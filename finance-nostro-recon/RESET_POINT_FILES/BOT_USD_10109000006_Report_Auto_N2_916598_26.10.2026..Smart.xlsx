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charles.kahungu\Documents\Smart Recon Files 2023\Workings Manual\"/>
    </mc:Choice>
  </mc:AlternateContent>
  <xr:revisionPtr revIDLastSave="0" documentId="13_ncr:1_{A383EFE4-EBC1-421D-9AF8-1139699179E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ummary" sheetId="1" r:id="rId1"/>
    <sheet name="Internal outstanding" sheetId="2" r:id="rId2"/>
    <sheet name="External outstand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03" i="3" l="1"/>
  <c r="J7303" i="3"/>
  <c r="K7303" i="3" s="1"/>
  <c r="L7302" i="3"/>
  <c r="J7302" i="3"/>
  <c r="K7302" i="3" s="1"/>
  <c r="L7301" i="3"/>
  <c r="J7301" i="3"/>
  <c r="K7301" i="3" s="1"/>
  <c r="L7300" i="3"/>
  <c r="J7300" i="3"/>
  <c r="K7300" i="3" s="1"/>
  <c r="L7299" i="3"/>
  <c r="J7299" i="3"/>
  <c r="K7299" i="3" s="1"/>
  <c r="L7298" i="3"/>
  <c r="J7298" i="3"/>
  <c r="K7298" i="3" s="1"/>
  <c r="L7297" i="3"/>
  <c r="J7297" i="3"/>
  <c r="K7297" i="3" s="1"/>
  <c r="L7296" i="3"/>
  <c r="J7296" i="3"/>
  <c r="K7296" i="3" s="1"/>
  <c r="L7295" i="3"/>
  <c r="J7295" i="3"/>
  <c r="K7295" i="3" s="1"/>
  <c r="L7294" i="3"/>
  <c r="J7294" i="3"/>
  <c r="K7294" i="3" s="1"/>
  <c r="L7293" i="3"/>
  <c r="J7293" i="3"/>
  <c r="K7293" i="3" s="1"/>
  <c r="L7292" i="3"/>
  <c r="J7292" i="3"/>
  <c r="K7292" i="3" s="1"/>
  <c r="L7291" i="3"/>
  <c r="J7291" i="3"/>
  <c r="K7291" i="3" s="1"/>
  <c r="L7290" i="3"/>
  <c r="J7290" i="3"/>
  <c r="K7290" i="3" s="1"/>
  <c r="L7289" i="3"/>
  <c r="J7289" i="3"/>
  <c r="K7289" i="3" s="1"/>
  <c r="L7288" i="3"/>
  <c r="J7288" i="3"/>
  <c r="K7288" i="3" s="1"/>
  <c r="L7287" i="3"/>
  <c r="J7287" i="3"/>
  <c r="K7287" i="3" s="1"/>
  <c r="L7286" i="3"/>
  <c r="J7286" i="3"/>
  <c r="K7286" i="3" s="1"/>
  <c r="L7285" i="3"/>
  <c r="J7285" i="3"/>
  <c r="K7285" i="3" s="1"/>
  <c r="L7284" i="3"/>
  <c r="J7284" i="3"/>
  <c r="K7284" i="3" s="1"/>
  <c r="L7283" i="3"/>
  <c r="J7283" i="3"/>
  <c r="K7283" i="3" s="1"/>
  <c r="L7282" i="3"/>
  <c r="J7282" i="3"/>
  <c r="K7282" i="3" s="1"/>
  <c r="L7281" i="3"/>
  <c r="J7281" i="3"/>
  <c r="K7281" i="3" s="1"/>
  <c r="L7280" i="3"/>
  <c r="J7280" i="3"/>
  <c r="K7280" i="3" s="1"/>
  <c r="L7279" i="3"/>
  <c r="J7279" i="3"/>
  <c r="K7279" i="3" s="1"/>
  <c r="L7278" i="3"/>
  <c r="J7278" i="3"/>
  <c r="K7278" i="3" s="1"/>
  <c r="L7277" i="3"/>
  <c r="J7277" i="3"/>
  <c r="K7277" i="3" s="1"/>
  <c r="L7276" i="3"/>
  <c r="J7276" i="3"/>
  <c r="K7276" i="3" s="1"/>
  <c r="L7275" i="3"/>
  <c r="J7275" i="3"/>
  <c r="K7275" i="3" s="1"/>
  <c r="L7274" i="3"/>
  <c r="J7274" i="3"/>
  <c r="K7274" i="3" s="1"/>
  <c r="L7273" i="3"/>
  <c r="J7273" i="3"/>
  <c r="K7273" i="3" s="1"/>
  <c r="L7272" i="3"/>
  <c r="J7272" i="3"/>
  <c r="K7272" i="3" s="1"/>
  <c r="L7271" i="3"/>
  <c r="J7271" i="3"/>
  <c r="K7271" i="3" s="1"/>
  <c r="L7270" i="3"/>
  <c r="J7270" i="3"/>
  <c r="K7270" i="3" s="1"/>
  <c r="L7269" i="3"/>
  <c r="J7269" i="3"/>
  <c r="K7269" i="3" s="1"/>
  <c r="L7268" i="3"/>
  <c r="J7268" i="3"/>
  <c r="K7268" i="3" s="1"/>
  <c r="L7267" i="3"/>
  <c r="J7267" i="3"/>
  <c r="K7267" i="3" s="1"/>
  <c r="L7266" i="3"/>
  <c r="J7266" i="3"/>
  <c r="K7266" i="3" s="1"/>
  <c r="L7265" i="3"/>
  <c r="J7265" i="3"/>
  <c r="K7265" i="3" s="1"/>
  <c r="L7264" i="3"/>
  <c r="J7264" i="3"/>
  <c r="K7264" i="3" s="1"/>
  <c r="L7263" i="3"/>
  <c r="J7263" i="3"/>
  <c r="K7263" i="3" s="1"/>
  <c r="L7262" i="3"/>
  <c r="J7262" i="3"/>
  <c r="K7262" i="3" s="1"/>
  <c r="L7261" i="3"/>
  <c r="J7261" i="3"/>
  <c r="K7261" i="3" s="1"/>
  <c r="L7260" i="3"/>
  <c r="J7260" i="3"/>
  <c r="K7260" i="3" s="1"/>
  <c r="L7259" i="3"/>
  <c r="J7259" i="3"/>
  <c r="K7259" i="3" s="1"/>
  <c r="L7258" i="3"/>
  <c r="J7258" i="3"/>
  <c r="K7258" i="3" s="1"/>
  <c r="L7257" i="3"/>
  <c r="J7257" i="3"/>
  <c r="K7257" i="3" s="1"/>
  <c r="L7256" i="3"/>
  <c r="J7256" i="3"/>
  <c r="K7256" i="3" s="1"/>
  <c r="L7255" i="3"/>
  <c r="J7255" i="3"/>
  <c r="K7255" i="3" s="1"/>
  <c r="L7254" i="3"/>
  <c r="J7254" i="3"/>
  <c r="K7254" i="3" s="1"/>
  <c r="L7253" i="3"/>
  <c r="J7253" i="3"/>
  <c r="K7253" i="3" s="1"/>
  <c r="L7252" i="3"/>
  <c r="J7252" i="3"/>
  <c r="K7252" i="3" s="1"/>
  <c r="L7251" i="3"/>
  <c r="J7251" i="3"/>
  <c r="K7251" i="3" s="1"/>
  <c r="L7250" i="3"/>
  <c r="J7250" i="3"/>
  <c r="K7250" i="3" s="1"/>
  <c r="L7249" i="3"/>
  <c r="J7249" i="3"/>
  <c r="K7249" i="3" s="1"/>
  <c r="L7248" i="3"/>
  <c r="J7248" i="3"/>
  <c r="K7248" i="3" s="1"/>
  <c r="L7247" i="3"/>
  <c r="J7247" i="3"/>
  <c r="K7247" i="3" s="1"/>
  <c r="L7246" i="3"/>
  <c r="J7246" i="3"/>
  <c r="K7246" i="3" s="1"/>
  <c r="L7245" i="3"/>
  <c r="J7245" i="3"/>
  <c r="K7245" i="3" s="1"/>
  <c r="L7244" i="3"/>
  <c r="J7244" i="3"/>
  <c r="K7244" i="3" s="1"/>
  <c r="L7243" i="3"/>
  <c r="J7243" i="3"/>
  <c r="K7243" i="3" s="1"/>
  <c r="L7242" i="3"/>
  <c r="J7242" i="3"/>
  <c r="K7242" i="3" s="1"/>
  <c r="L7241" i="3"/>
  <c r="J7241" i="3"/>
  <c r="K7241" i="3" s="1"/>
  <c r="L7240" i="3"/>
  <c r="J7240" i="3"/>
  <c r="K7240" i="3" s="1"/>
  <c r="L7239" i="3"/>
  <c r="J7239" i="3"/>
  <c r="K7239" i="3" s="1"/>
  <c r="L7238" i="3"/>
  <c r="J7238" i="3"/>
  <c r="K7238" i="3" s="1"/>
  <c r="L7237" i="3"/>
  <c r="J7237" i="3"/>
  <c r="K7237" i="3" s="1"/>
  <c r="L7236" i="3"/>
  <c r="J7236" i="3"/>
  <c r="K7236" i="3" s="1"/>
  <c r="L7235" i="3"/>
  <c r="J7235" i="3"/>
  <c r="K7235" i="3" s="1"/>
  <c r="L7234" i="3"/>
  <c r="J7234" i="3"/>
  <c r="K7234" i="3" s="1"/>
  <c r="L7233" i="3"/>
  <c r="J7233" i="3"/>
  <c r="K7233" i="3" s="1"/>
  <c r="L7232" i="3"/>
  <c r="J7232" i="3"/>
  <c r="K7232" i="3" s="1"/>
  <c r="L7231" i="3"/>
  <c r="J7231" i="3"/>
  <c r="K7231" i="3" s="1"/>
  <c r="L7230" i="3"/>
  <c r="J7230" i="3"/>
  <c r="K7230" i="3" s="1"/>
  <c r="L7229" i="3"/>
  <c r="J7229" i="3"/>
  <c r="K7229" i="3" s="1"/>
  <c r="L7228" i="3"/>
  <c r="J7228" i="3"/>
  <c r="K7228" i="3" s="1"/>
  <c r="L7227" i="3"/>
  <c r="J7227" i="3"/>
  <c r="K7227" i="3" s="1"/>
  <c r="L7226" i="3"/>
  <c r="J7226" i="3"/>
  <c r="K7226" i="3" s="1"/>
  <c r="L7225" i="3"/>
  <c r="J7225" i="3"/>
  <c r="K7225" i="3" s="1"/>
  <c r="L7224" i="3"/>
  <c r="J7224" i="3"/>
  <c r="K7224" i="3" s="1"/>
  <c r="L7223" i="3"/>
  <c r="J7223" i="3"/>
  <c r="K7223" i="3" s="1"/>
  <c r="L7222" i="3"/>
  <c r="J7222" i="3"/>
  <c r="K7222" i="3" s="1"/>
  <c r="L7221" i="3"/>
  <c r="J7221" i="3"/>
  <c r="K7221" i="3" s="1"/>
  <c r="L7220" i="3"/>
  <c r="J7220" i="3"/>
  <c r="K7220" i="3" s="1"/>
  <c r="L7219" i="3"/>
  <c r="J7219" i="3"/>
  <c r="K7219" i="3" s="1"/>
  <c r="L7218" i="3"/>
  <c r="J7218" i="3"/>
  <c r="K7218" i="3" s="1"/>
  <c r="L7217" i="3"/>
  <c r="J7217" i="3"/>
  <c r="K7217" i="3" s="1"/>
  <c r="L7216" i="3"/>
  <c r="J7216" i="3"/>
  <c r="K7216" i="3" s="1"/>
  <c r="L7215" i="3"/>
  <c r="J7215" i="3"/>
  <c r="K7215" i="3" s="1"/>
  <c r="L7214" i="3"/>
  <c r="J7214" i="3"/>
  <c r="K7214" i="3" s="1"/>
  <c r="L7213" i="3"/>
  <c r="J7213" i="3"/>
  <c r="K7213" i="3" s="1"/>
  <c r="L7212" i="3"/>
  <c r="J7212" i="3"/>
  <c r="K7212" i="3" s="1"/>
  <c r="L7211" i="3"/>
  <c r="J7211" i="3"/>
  <c r="K7211" i="3" s="1"/>
  <c r="L7210" i="3"/>
  <c r="J7210" i="3"/>
  <c r="K7210" i="3" s="1"/>
  <c r="L7209" i="3"/>
  <c r="J7209" i="3"/>
  <c r="K7209" i="3" s="1"/>
  <c r="L7208" i="3"/>
  <c r="J7208" i="3"/>
  <c r="K7208" i="3" s="1"/>
  <c r="L7207" i="3"/>
  <c r="J7207" i="3"/>
  <c r="K7207" i="3" s="1"/>
  <c r="L7206" i="3"/>
  <c r="J7206" i="3"/>
  <c r="K7206" i="3" s="1"/>
  <c r="L7205" i="3"/>
  <c r="J7205" i="3"/>
  <c r="K7205" i="3" s="1"/>
  <c r="L7204" i="3"/>
  <c r="J7204" i="3"/>
  <c r="K7204" i="3" s="1"/>
  <c r="L7203" i="3"/>
  <c r="J7203" i="3"/>
  <c r="K7203" i="3" s="1"/>
  <c r="L7202" i="3"/>
  <c r="J7202" i="3"/>
  <c r="K7202" i="3" s="1"/>
  <c r="L7201" i="3"/>
  <c r="J7201" i="3"/>
  <c r="K7201" i="3" s="1"/>
  <c r="L7200" i="3"/>
  <c r="J7200" i="3"/>
  <c r="K7200" i="3" s="1"/>
  <c r="L7199" i="3"/>
  <c r="J7199" i="3"/>
  <c r="K7199" i="3" s="1"/>
  <c r="L7198" i="3"/>
  <c r="J7198" i="3"/>
  <c r="K7198" i="3" s="1"/>
  <c r="L7197" i="3"/>
  <c r="J7197" i="3"/>
  <c r="K7197" i="3" s="1"/>
  <c r="L7196" i="3"/>
  <c r="J7196" i="3"/>
  <c r="K7196" i="3" s="1"/>
  <c r="L7195" i="3"/>
  <c r="J7195" i="3"/>
  <c r="K7195" i="3" s="1"/>
  <c r="L7194" i="3"/>
  <c r="J7194" i="3"/>
  <c r="K7194" i="3" s="1"/>
  <c r="L7193" i="3"/>
  <c r="J7193" i="3"/>
  <c r="K7193" i="3" s="1"/>
  <c r="L7192" i="3"/>
  <c r="J7192" i="3"/>
  <c r="K7192" i="3" s="1"/>
  <c r="L7191" i="3"/>
  <c r="J7191" i="3"/>
  <c r="K7191" i="3" s="1"/>
  <c r="L7190" i="3"/>
  <c r="K7190" i="3"/>
  <c r="J7190" i="3"/>
  <c r="L7189" i="3"/>
  <c r="K7189" i="3"/>
  <c r="J7189" i="3"/>
  <c r="L7188" i="3"/>
  <c r="J7188" i="3"/>
  <c r="K7188" i="3" s="1"/>
  <c r="L7187" i="3"/>
  <c r="J7187" i="3"/>
  <c r="K7187" i="3" s="1"/>
  <c r="L7186" i="3"/>
  <c r="J7186" i="3"/>
  <c r="K7186" i="3" s="1"/>
  <c r="L7185" i="3"/>
  <c r="J7185" i="3"/>
  <c r="K7185" i="3" s="1"/>
  <c r="L7184" i="3"/>
  <c r="J7184" i="3"/>
  <c r="K7184" i="3" s="1"/>
  <c r="L7183" i="3"/>
  <c r="J7183" i="3"/>
  <c r="K7183" i="3" s="1"/>
  <c r="L7182" i="3"/>
  <c r="J7182" i="3"/>
  <c r="K7182" i="3" s="1"/>
  <c r="L7181" i="3"/>
  <c r="J7181" i="3"/>
  <c r="K7181" i="3" s="1"/>
  <c r="L7180" i="3"/>
  <c r="J7180" i="3"/>
  <c r="K7180" i="3" s="1"/>
  <c r="L7179" i="3"/>
  <c r="J7179" i="3"/>
  <c r="K7179" i="3" s="1"/>
  <c r="L7178" i="3"/>
  <c r="J7178" i="3"/>
  <c r="K7178" i="3" s="1"/>
  <c r="L7177" i="3"/>
  <c r="K7177" i="3"/>
  <c r="J7177" i="3"/>
  <c r="L7176" i="3"/>
  <c r="J7176" i="3"/>
  <c r="K7176" i="3" s="1"/>
  <c r="L7175" i="3"/>
  <c r="J7175" i="3"/>
  <c r="K7175" i="3" s="1"/>
  <c r="L7174" i="3"/>
  <c r="J7174" i="3"/>
  <c r="K7174" i="3" s="1"/>
  <c r="L7173" i="3"/>
  <c r="J7173" i="3"/>
  <c r="K7173" i="3" s="1"/>
  <c r="L7172" i="3"/>
  <c r="J7172" i="3"/>
  <c r="K7172" i="3" s="1"/>
  <c r="L7171" i="3"/>
  <c r="J7171" i="3"/>
  <c r="K7171" i="3" s="1"/>
  <c r="L7170" i="3"/>
  <c r="J7170" i="3"/>
  <c r="K7170" i="3" s="1"/>
  <c r="L7169" i="3"/>
  <c r="J7169" i="3"/>
  <c r="K7169" i="3" s="1"/>
  <c r="L7168" i="3"/>
  <c r="J7168" i="3"/>
  <c r="K7168" i="3" s="1"/>
  <c r="L7167" i="3"/>
  <c r="J7167" i="3"/>
  <c r="K7167" i="3" s="1"/>
  <c r="L7166" i="3"/>
  <c r="J7166" i="3"/>
  <c r="K7166" i="3" s="1"/>
  <c r="L7165" i="3"/>
  <c r="J7165" i="3"/>
  <c r="K7165" i="3" s="1"/>
  <c r="L7164" i="3"/>
  <c r="J7164" i="3"/>
  <c r="K7164" i="3" s="1"/>
  <c r="L7163" i="3"/>
  <c r="J7163" i="3"/>
  <c r="K7163" i="3" s="1"/>
  <c r="L7162" i="3"/>
  <c r="J7162" i="3"/>
  <c r="K7162" i="3" s="1"/>
  <c r="L7161" i="3"/>
  <c r="J7161" i="3"/>
  <c r="K7161" i="3" s="1"/>
  <c r="L7160" i="3"/>
  <c r="J7160" i="3"/>
  <c r="K7160" i="3" s="1"/>
  <c r="L7159" i="3"/>
  <c r="J7159" i="3"/>
  <c r="K7159" i="3" s="1"/>
  <c r="L7158" i="3"/>
  <c r="J7158" i="3"/>
  <c r="K7158" i="3" s="1"/>
  <c r="L7157" i="3"/>
  <c r="J7157" i="3"/>
  <c r="K7157" i="3" s="1"/>
  <c r="L7156" i="3"/>
  <c r="J7156" i="3"/>
  <c r="K7156" i="3" s="1"/>
  <c r="L7155" i="3"/>
  <c r="J7155" i="3"/>
  <c r="K7155" i="3" s="1"/>
  <c r="L7154" i="3"/>
  <c r="J7154" i="3"/>
  <c r="K7154" i="3" s="1"/>
  <c r="L7153" i="3"/>
  <c r="J7153" i="3"/>
  <c r="K7153" i="3" s="1"/>
  <c r="L7152" i="3"/>
  <c r="J7152" i="3"/>
  <c r="K7152" i="3" s="1"/>
  <c r="L7151" i="3"/>
  <c r="J7151" i="3"/>
  <c r="K7151" i="3" s="1"/>
  <c r="L7150" i="3"/>
  <c r="J7150" i="3"/>
  <c r="K7150" i="3" s="1"/>
  <c r="L7149" i="3"/>
  <c r="J7149" i="3"/>
  <c r="K7149" i="3" s="1"/>
  <c r="L7148" i="3"/>
  <c r="J7148" i="3"/>
  <c r="K7148" i="3" s="1"/>
  <c r="L7147" i="3"/>
  <c r="J7147" i="3"/>
  <c r="K7147" i="3" s="1"/>
  <c r="L7146" i="3"/>
  <c r="J7146" i="3"/>
  <c r="K7146" i="3" s="1"/>
  <c r="L7145" i="3"/>
  <c r="J7145" i="3"/>
  <c r="K7145" i="3" s="1"/>
  <c r="L7144" i="3"/>
  <c r="J7144" i="3"/>
  <c r="K7144" i="3" s="1"/>
  <c r="L7143" i="3"/>
  <c r="J7143" i="3"/>
  <c r="K7143" i="3" s="1"/>
  <c r="L7142" i="3"/>
  <c r="J7142" i="3"/>
  <c r="K7142" i="3" s="1"/>
  <c r="L7141" i="3"/>
  <c r="J7141" i="3"/>
  <c r="K7141" i="3" s="1"/>
  <c r="L7140" i="3"/>
  <c r="J7140" i="3"/>
  <c r="K7140" i="3" s="1"/>
  <c r="L7139" i="3"/>
  <c r="J7139" i="3"/>
  <c r="K7139" i="3" s="1"/>
  <c r="L7138" i="3"/>
  <c r="J7138" i="3"/>
  <c r="K7138" i="3" s="1"/>
  <c r="L7137" i="3"/>
  <c r="J7137" i="3"/>
  <c r="K7137" i="3" s="1"/>
  <c r="L7136" i="3"/>
  <c r="J7136" i="3"/>
  <c r="K7136" i="3" s="1"/>
  <c r="L7135" i="3"/>
  <c r="J7135" i="3"/>
  <c r="K7135" i="3" s="1"/>
  <c r="L7134" i="3"/>
  <c r="J7134" i="3"/>
  <c r="K7134" i="3" s="1"/>
  <c r="L7133" i="3"/>
  <c r="K7133" i="3"/>
  <c r="J7133" i="3"/>
  <c r="L7132" i="3"/>
  <c r="J7132" i="3"/>
  <c r="K7132" i="3" s="1"/>
  <c r="L7131" i="3"/>
  <c r="J7131" i="3"/>
  <c r="K7131" i="3" s="1"/>
  <c r="L7130" i="3"/>
  <c r="J7130" i="3"/>
  <c r="K7130" i="3" s="1"/>
  <c r="L7129" i="3"/>
  <c r="J7129" i="3"/>
  <c r="K7129" i="3" s="1"/>
  <c r="L7128" i="3"/>
  <c r="J7128" i="3"/>
  <c r="K7128" i="3" s="1"/>
  <c r="L7127" i="3"/>
  <c r="J7127" i="3"/>
  <c r="K7127" i="3" s="1"/>
  <c r="L7126" i="3"/>
  <c r="J7126" i="3"/>
  <c r="K7126" i="3" s="1"/>
  <c r="L7125" i="3"/>
  <c r="J7125" i="3"/>
  <c r="K7125" i="3" s="1"/>
  <c r="L7124" i="3"/>
  <c r="J7124" i="3"/>
  <c r="K7124" i="3" s="1"/>
  <c r="L7123" i="3"/>
  <c r="J7123" i="3"/>
  <c r="K7123" i="3" s="1"/>
  <c r="L7122" i="3"/>
  <c r="J7122" i="3"/>
  <c r="K7122" i="3" s="1"/>
  <c r="L7121" i="3"/>
  <c r="J7121" i="3"/>
  <c r="K7121" i="3" s="1"/>
  <c r="L7120" i="3"/>
  <c r="J7120" i="3"/>
  <c r="K7120" i="3" s="1"/>
  <c r="L7119" i="3"/>
  <c r="J7119" i="3"/>
  <c r="K7119" i="3" s="1"/>
  <c r="L7118" i="3"/>
  <c r="J7118" i="3"/>
  <c r="K7118" i="3" s="1"/>
  <c r="L7117" i="3"/>
  <c r="J7117" i="3"/>
  <c r="K7117" i="3" s="1"/>
  <c r="L7116" i="3"/>
  <c r="J7116" i="3"/>
  <c r="K7116" i="3" s="1"/>
  <c r="L7115" i="3"/>
  <c r="J7115" i="3"/>
  <c r="K7115" i="3" s="1"/>
  <c r="L7114" i="3"/>
  <c r="J7114" i="3"/>
  <c r="K7114" i="3" s="1"/>
  <c r="L7113" i="3"/>
  <c r="J7113" i="3"/>
  <c r="K7113" i="3" s="1"/>
  <c r="L7112" i="3"/>
  <c r="J7112" i="3"/>
  <c r="K7112" i="3" s="1"/>
  <c r="L7111" i="3"/>
  <c r="J7111" i="3"/>
  <c r="K7111" i="3" s="1"/>
  <c r="L7110" i="3"/>
  <c r="J7110" i="3"/>
  <c r="K7110" i="3" s="1"/>
  <c r="L7109" i="3"/>
  <c r="J7109" i="3"/>
  <c r="K7109" i="3" s="1"/>
  <c r="L7108" i="3"/>
  <c r="J7108" i="3"/>
  <c r="K7108" i="3" s="1"/>
  <c r="L7107" i="3"/>
  <c r="J7107" i="3"/>
  <c r="K7107" i="3" s="1"/>
  <c r="L7106" i="3"/>
  <c r="J7106" i="3"/>
  <c r="K7106" i="3" s="1"/>
  <c r="L7105" i="3"/>
  <c r="J7105" i="3"/>
  <c r="K7105" i="3" s="1"/>
  <c r="L7104" i="3"/>
  <c r="J7104" i="3"/>
  <c r="K7104" i="3" s="1"/>
  <c r="L7103" i="3"/>
  <c r="J7103" i="3"/>
  <c r="K7103" i="3" s="1"/>
  <c r="L7102" i="3"/>
  <c r="J7102" i="3"/>
  <c r="K7102" i="3" s="1"/>
  <c r="L7101" i="3"/>
  <c r="J7101" i="3"/>
  <c r="K7101" i="3" s="1"/>
  <c r="L7100" i="3"/>
  <c r="J7100" i="3"/>
  <c r="K7100" i="3" s="1"/>
  <c r="L7099" i="3"/>
  <c r="J7099" i="3"/>
  <c r="K7099" i="3" s="1"/>
  <c r="L7098" i="3"/>
  <c r="J7098" i="3"/>
  <c r="K7098" i="3" s="1"/>
  <c r="L7097" i="3"/>
  <c r="J7097" i="3"/>
  <c r="K7097" i="3" s="1"/>
  <c r="L7096" i="3"/>
  <c r="K7096" i="3"/>
  <c r="J7096" i="3"/>
  <c r="L7095" i="3"/>
  <c r="J7095" i="3"/>
  <c r="K7095" i="3" s="1"/>
  <c r="L7094" i="3"/>
  <c r="J7094" i="3"/>
  <c r="K7094" i="3" s="1"/>
  <c r="L7093" i="3"/>
  <c r="J7093" i="3"/>
  <c r="K7093" i="3" s="1"/>
  <c r="L7092" i="3"/>
  <c r="J7092" i="3"/>
  <c r="K7092" i="3" s="1"/>
  <c r="L7091" i="3"/>
  <c r="J7091" i="3"/>
  <c r="K7091" i="3" s="1"/>
  <c r="L7090" i="3"/>
  <c r="J7090" i="3"/>
  <c r="K7090" i="3" s="1"/>
  <c r="L7089" i="3"/>
  <c r="J7089" i="3"/>
  <c r="K7089" i="3" s="1"/>
  <c r="L7088" i="3"/>
  <c r="J7088" i="3"/>
  <c r="K7088" i="3" s="1"/>
  <c r="L7087" i="3"/>
  <c r="J7087" i="3"/>
  <c r="K7087" i="3" s="1"/>
  <c r="L7086" i="3"/>
  <c r="J7086" i="3"/>
  <c r="K7086" i="3" s="1"/>
  <c r="L7085" i="3"/>
  <c r="J7085" i="3"/>
  <c r="K7085" i="3" s="1"/>
  <c r="L7084" i="3"/>
  <c r="J7084" i="3"/>
  <c r="K7084" i="3" s="1"/>
  <c r="L7083" i="3"/>
  <c r="J7083" i="3"/>
  <c r="K7083" i="3" s="1"/>
  <c r="L7082" i="3"/>
  <c r="J7082" i="3"/>
  <c r="K7082" i="3" s="1"/>
  <c r="L7081" i="3"/>
  <c r="J7081" i="3"/>
  <c r="K7081" i="3" s="1"/>
  <c r="L7080" i="3"/>
  <c r="J7080" i="3"/>
  <c r="K7080" i="3" s="1"/>
  <c r="L7079" i="3"/>
  <c r="J7079" i="3"/>
  <c r="K7079" i="3" s="1"/>
  <c r="L7078" i="3"/>
  <c r="J7078" i="3"/>
  <c r="K7078" i="3" s="1"/>
  <c r="L7077" i="3"/>
  <c r="J7077" i="3"/>
  <c r="K7077" i="3" s="1"/>
  <c r="L7076" i="3"/>
  <c r="J7076" i="3"/>
  <c r="K7076" i="3" s="1"/>
  <c r="L7075" i="3"/>
  <c r="J7075" i="3"/>
  <c r="K7075" i="3" s="1"/>
  <c r="L7074" i="3"/>
  <c r="J7074" i="3"/>
  <c r="K7074" i="3" s="1"/>
  <c r="L7073" i="3"/>
  <c r="J7073" i="3"/>
  <c r="K7073" i="3" s="1"/>
  <c r="L7072" i="3"/>
  <c r="J7072" i="3"/>
  <c r="K7072" i="3" s="1"/>
  <c r="L7071" i="3"/>
  <c r="J7071" i="3"/>
  <c r="K7071" i="3" s="1"/>
  <c r="L7070" i="3"/>
  <c r="J7070" i="3"/>
  <c r="K7070" i="3" s="1"/>
  <c r="L7069" i="3"/>
  <c r="J7069" i="3"/>
  <c r="K7069" i="3" s="1"/>
  <c r="L7068" i="3"/>
  <c r="J7068" i="3"/>
  <c r="K7068" i="3" s="1"/>
  <c r="L7067" i="3"/>
  <c r="J7067" i="3"/>
  <c r="K7067" i="3" s="1"/>
  <c r="L7066" i="3"/>
  <c r="J7066" i="3"/>
  <c r="K7066" i="3" s="1"/>
  <c r="L7065" i="3"/>
  <c r="J7065" i="3"/>
  <c r="K7065" i="3" s="1"/>
  <c r="L7064" i="3"/>
  <c r="J7064" i="3"/>
  <c r="K7064" i="3" s="1"/>
  <c r="L7063" i="3"/>
  <c r="J7063" i="3"/>
  <c r="K7063" i="3" s="1"/>
  <c r="L7062" i="3"/>
  <c r="J7062" i="3"/>
  <c r="K7062" i="3" s="1"/>
  <c r="L7061" i="3"/>
  <c r="J7061" i="3"/>
  <c r="K7061" i="3" s="1"/>
  <c r="L7060" i="3"/>
  <c r="J7060" i="3"/>
  <c r="K7060" i="3" s="1"/>
  <c r="L7059" i="3"/>
  <c r="J7059" i="3"/>
  <c r="K7059" i="3" s="1"/>
  <c r="L7058" i="3"/>
  <c r="J7058" i="3"/>
  <c r="K7058" i="3" s="1"/>
  <c r="L7057" i="3"/>
  <c r="J7057" i="3"/>
  <c r="K7057" i="3" s="1"/>
  <c r="L7056" i="3"/>
  <c r="K7056" i="3"/>
  <c r="J7056" i="3"/>
  <c r="L7055" i="3"/>
  <c r="J7055" i="3"/>
  <c r="K7055" i="3" s="1"/>
  <c r="L7054" i="3"/>
  <c r="J7054" i="3"/>
  <c r="K7054" i="3" s="1"/>
  <c r="L7053" i="3"/>
  <c r="J7053" i="3"/>
  <c r="K7053" i="3" s="1"/>
  <c r="L7052" i="3"/>
  <c r="J7052" i="3"/>
  <c r="K7052" i="3" s="1"/>
  <c r="L7051" i="3"/>
  <c r="J7051" i="3"/>
  <c r="K7051" i="3" s="1"/>
  <c r="L7050" i="3"/>
  <c r="J7050" i="3"/>
  <c r="K7050" i="3" s="1"/>
  <c r="L7049" i="3"/>
  <c r="J7049" i="3"/>
  <c r="K7049" i="3" s="1"/>
  <c r="L7048" i="3"/>
  <c r="J7048" i="3"/>
  <c r="K7048" i="3" s="1"/>
  <c r="L7047" i="3"/>
  <c r="J7047" i="3"/>
  <c r="K7047" i="3" s="1"/>
  <c r="L7046" i="3"/>
  <c r="J7046" i="3"/>
  <c r="K7046" i="3" s="1"/>
  <c r="L7045" i="3"/>
  <c r="J7045" i="3"/>
  <c r="K7045" i="3" s="1"/>
  <c r="L7044" i="3"/>
  <c r="J7044" i="3"/>
  <c r="K7044" i="3" s="1"/>
  <c r="L7043" i="3"/>
  <c r="J7043" i="3"/>
  <c r="K7043" i="3" s="1"/>
  <c r="L7042" i="3"/>
  <c r="J7042" i="3"/>
  <c r="K7042" i="3" s="1"/>
  <c r="L7041" i="3"/>
  <c r="J7041" i="3"/>
  <c r="K7041" i="3" s="1"/>
  <c r="L7040" i="3"/>
  <c r="J7040" i="3"/>
  <c r="K7040" i="3" s="1"/>
  <c r="L7039" i="3"/>
  <c r="J7039" i="3"/>
  <c r="K7039" i="3" s="1"/>
  <c r="L7038" i="3"/>
  <c r="J7038" i="3"/>
  <c r="K7038" i="3" s="1"/>
  <c r="L7037" i="3"/>
  <c r="J7037" i="3"/>
  <c r="K7037" i="3" s="1"/>
  <c r="L7036" i="3"/>
  <c r="J7036" i="3"/>
  <c r="K7036" i="3" s="1"/>
  <c r="L7035" i="3"/>
  <c r="J7035" i="3"/>
  <c r="K7035" i="3" s="1"/>
  <c r="L7034" i="3"/>
  <c r="J7034" i="3"/>
  <c r="K7034" i="3" s="1"/>
  <c r="L7033" i="3"/>
  <c r="J7033" i="3"/>
  <c r="K7033" i="3" s="1"/>
  <c r="L7032" i="3"/>
  <c r="J7032" i="3"/>
  <c r="K7032" i="3" s="1"/>
  <c r="L7031" i="3"/>
  <c r="K7031" i="3"/>
  <c r="J7031" i="3"/>
  <c r="L7030" i="3"/>
  <c r="J7030" i="3"/>
  <c r="K7030" i="3" s="1"/>
  <c r="L7029" i="3"/>
  <c r="J7029" i="3"/>
  <c r="K7029" i="3" s="1"/>
  <c r="L7028" i="3"/>
  <c r="J7028" i="3"/>
  <c r="K7028" i="3" s="1"/>
  <c r="L7027" i="3"/>
  <c r="J7027" i="3"/>
  <c r="K7027" i="3" s="1"/>
  <c r="L7026" i="3"/>
  <c r="J7026" i="3"/>
  <c r="K7026" i="3" s="1"/>
  <c r="L7025" i="3"/>
  <c r="J7025" i="3"/>
  <c r="K7025" i="3" s="1"/>
  <c r="L7024" i="3"/>
  <c r="J7024" i="3"/>
  <c r="K7024" i="3" s="1"/>
  <c r="L7023" i="3"/>
  <c r="J7023" i="3"/>
  <c r="K7023" i="3" s="1"/>
  <c r="L7022" i="3"/>
  <c r="J7022" i="3"/>
  <c r="K7022" i="3" s="1"/>
  <c r="L7021" i="3"/>
  <c r="J7021" i="3"/>
  <c r="K7021" i="3" s="1"/>
  <c r="L7020" i="3"/>
  <c r="J7020" i="3"/>
  <c r="K7020" i="3" s="1"/>
  <c r="L7019" i="3"/>
  <c r="J7019" i="3"/>
  <c r="K7019" i="3" s="1"/>
  <c r="L7018" i="3"/>
  <c r="J7018" i="3"/>
  <c r="K7018" i="3" s="1"/>
  <c r="L7017" i="3"/>
  <c r="J7017" i="3"/>
  <c r="K7017" i="3" s="1"/>
  <c r="L7016" i="3"/>
  <c r="J7016" i="3"/>
  <c r="K7016" i="3" s="1"/>
  <c r="L7015" i="3"/>
  <c r="J7015" i="3"/>
  <c r="K7015" i="3" s="1"/>
  <c r="L7014" i="3"/>
  <c r="J7014" i="3"/>
  <c r="K7014" i="3" s="1"/>
  <c r="L7013" i="3"/>
  <c r="J7013" i="3"/>
  <c r="K7013" i="3" s="1"/>
  <c r="L7012" i="3"/>
  <c r="J7012" i="3"/>
  <c r="K7012" i="3" s="1"/>
  <c r="L7011" i="3"/>
  <c r="J7011" i="3"/>
  <c r="K7011" i="3" s="1"/>
  <c r="L7010" i="3"/>
  <c r="J7010" i="3"/>
  <c r="K7010" i="3" s="1"/>
  <c r="L7009" i="3"/>
  <c r="J7009" i="3"/>
  <c r="K7009" i="3" s="1"/>
  <c r="L7008" i="3"/>
  <c r="J7008" i="3"/>
  <c r="K7008" i="3" s="1"/>
  <c r="L7007" i="3"/>
  <c r="J7007" i="3"/>
  <c r="K7007" i="3" s="1"/>
  <c r="L7006" i="3"/>
  <c r="J7006" i="3"/>
  <c r="K7006" i="3" s="1"/>
  <c r="L7005" i="3"/>
  <c r="J7005" i="3"/>
  <c r="K7005" i="3" s="1"/>
  <c r="L7004" i="3"/>
  <c r="J7004" i="3"/>
  <c r="K7004" i="3" s="1"/>
  <c r="L7003" i="3"/>
  <c r="J7003" i="3"/>
  <c r="K7003" i="3" s="1"/>
  <c r="L7002" i="3"/>
  <c r="J7002" i="3"/>
  <c r="K7002" i="3" s="1"/>
  <c r="L7001" i="3"/>
  <c r="J7001" i="3"/>
  <c r="K7001" i="3" s="1"/>
  <c r="L7000" i="3"/>
  <c r="J7000" i="3"/>
  <c r="K7000" i="3" s="1"/>
  <c r="L6999" i="3"/>
  <c r="J6999" i="3"/>
  <c r="K6999" i="3" s="1"/>
  <c r="L6998" i="3"/>
  <c r="J6998" i="3"/>
  <c r="K6998" i="3" s="1"/>
  <c r="L6997" i="3"/>
  <c r="J6997" i="3"/>
  <c r="K6997" i="3" s="1"/>
  <c r="L6996" i="3"/>
  <c r="J6996" i="3"/>
  <c r="K6996" i="3" s="1"/>
  <c r="L6995" i="3"/>
  <c r="J6995" i="3"/>
  <c r="K6995" i="3" s="1"/>
  <c r="L6994" i="3"/>
  <c r="J6994" i="3"/>
  <c r="K6994" i="3" s="1"/>
  <c r="L6993" i="3"/>
  <c r="J6993" i="3"/>
  <c r="K6993" i="3" s="1"/>
  <c r="L6992" i="3"/>
  <c r="J6992" i="3"/>
  <c r="K6992" i="3" s="1"/>
  <c r="L6991" i="3"/>
  <c r="J6991" i="3"/>
  <c r="K6991" i="3" s="1"/>
  <c r="L6990" i="3"/>
  <c r="J6990" i="3"/>
  <c r="K6990" i="3" s="1"/>
  <c r="L6989" i="3"/>
  <c r="J6989" i="3"/>
  <c r="K6989" i="3" s="1"/>
  <c r="L6988" i="3"/>
  <c r="J6988" i="3"/>
  <c r="K6988" i="3" s="1"/>
  <c r="L6987" i="3"/>
  <c r="J6987" i="3"/>
  <c r="K6987" i="3" s="1"/>
  <c r="L6986" i="3"/>
  <c r="J6986" i="3"/>
  <c r="K6986" i="3" s="1"/>
  <c r="L6985" i="3"/>
  <c r="J6985" i="3"/>
  <c r="K6985" i="3" s="1"/>
  <c r="L6984" i="3"/>
  <c r="J6984" i="3"/>
  <c r="K6984" i="3" s="1"/>
  <c r="L6983" i="3"/>
  <c r="J6983" i="3"/>
  <c r="K6983" i="3" s="1"/>
  <c r="L6982" i="3"/>
  <c r="J6982" i="3"/>
  <c r="K6982" i="3" s="1"/>
  <c r="L6981" i="3"/>
  <c r="J6981" i="3"/>
  <c r="K6981" i="3" s="1"/>
  <c r="L6980" i="3"/>
  <c r="J6980" i="3"/>
  <c r="K6980" i="3" s="1"/>
  <c r="L6979" i="3"/>
  <c r="J6979" i="3"/>
  <c r="K6979" i="3" s="1"/>
  <c r="L6978" i="3"/>
  <c r="J6978" i="3"/>
  <c r="K6978" i="3" s="1"/>
  <c r="L6977" i="3"/>
  <c r="J6977" i="3"/>
  <c r="K6977" i="3" s="1"/>
  <c r="L6976" i="3"/>
  <c r="K6976" i="3"/>
  <c r="J6976" i="3"/>
  <c r="L6975" i="3"/>
  <c r="J6975" i="3"/>
  <c r="K6975" i="3" s="1"/>
  <c r="L6974" i="3"/>
  <c r="J6974" i="3"/>
  <c r="K6974" i="3" s="1"/>
  <c r="L6973" i="3"/>
  <c r="J6973" i="3"/>
  <c r="K6973" i="3" s="1"/>
  <c r="L6972" i="3"/>
  <c r="J6972" i="3"/>
  <c r="K6972" i="3" s="1"/>
  <c r="L6971" i="3"/>
  <c r="J6971" i="3"/>
  <c r="K6971" i="3" s="1"/>
  <c r="L6970" i="3"/>
  <c r="J6970" i="3"/>
  <c r="K6970" i="3" s="1"/>
  <c r="L6969" i="3"/>
  <c r="J6969" i="3"/>
  <c r="K6969" i="3" s="1"/>
  <c r="L6968" i="3"/>
  <c r="J6968" i="3"/>
  <c r="K6968" i="3" s="1"/>
  <c r="L6967" i="3"/>
  <c r="J6967" i="3"/>
  <c r="K6967" i="3" s="1"/>
  <c r="L6966" i="3"/>
  <c r="J6966" i="3"/>
  <c r="K6966" i="3" s="1"/>
  <c r="L6965" i="3"/>
  <c r="J6965" i="3"/>
  <c r="K6965" i="3" s="1"/>
  <c r="L6964" i="3"/>
  <c r="J6964" i="3"/>
  <c r="K6964" i="3" s="1"/>
  <c r="L6963" i="3"/>
  <c r="J6963" i="3"/>
  <c r="K6963" i="3" s="1"/>
  <c r="L6962" i="3"/>
  <c r="J6962" i="3"/>
  <c r="K6962" i="3" s="1"/>
  <c r="L6961" i="3"/>
  <c r="J6961" i="3"/>
  <c r="K6961" i="3" s="1"/>
  <c r="L6960" i="3"/>
  <c r="J6960" i="3"/>
  <c r="K6960" i="3" s="1"/>
  <c r="L6959" i="3"/>
  <c r="J6959" i="3"/>
  <c r="K6959" i="3" s="1"/>
  <c r="L6958" i="3"/>
  <c r="J6958" i="3"/>
  <c r="K6958" i="3" s="1"/>
  <c r="L6957" i="3"/>
  <c r="J6957" i="3"/>
  <c r="K6957" i="3" s="1"/>
  <c r="L6956" i="3"/>
  <c r="J6956" i="3"/>
  <c r="K6956" i="3" s="1"/>
  <c r="L6955" i="3"/>
  <c r="J6955" i="3"/>
  <c r="K6955" i="3" s="1"/>
  <c r="L6954" i="3"/>
  <c r="J6954" i="3"/>
  <c r="K6954" i="3" s="1"/>
  <c r="L6953" i="3"/>
  <c r="J6953" i="3"/>
  <c r="K6953" i="3" s="1"/>
  <c r="L6952" i="3"/>
  <c r="J6952" i="3"/>
  <c r="K6952" i="3" s="1"/>
  <c r="L6951" i="3"/>
  <c r="J6951" i="3"/>
  <c r="K6951" i="3" s="1"/>
  <c r="L6950" i="3"/>
  <c r="J6950" i="3"/>
  <c r="K6950" i="3" s="1"/>
  <c r="L6949" i="3"/>
  <c r="J6949" i="3"/>
  <c r="K6949" i="3" s="1"/>
  <c r="L6948" i="3"/>
  <c r="J6948" i="3"/>
  <c r="K6948" i="3" s="1"/>
  <c r="L6947" i="3"/>
  <c r="J6947" i="3"/>
  <c r="K6947" i="3" s="1"/>
  <c r="L6946" i="3"/>
  <c r="J6946" i="3"/>
  <c r="K6946" i="3" s="1"/>
  <c r="L6945" i="3"/>
  <c r="J6945" i="3"/>
  <c r="K6945" i="3" s="1"/>
  <c r="L6944" i="3"/>
  <c r="J6944" i="3"/>
  <c r="K6944" i="3" s="1"/>
  <c r="L6943" i="3"/>
  <c r="J6943" i="3"/>
  <c r="K6943" i="3" s="1"/>
  <c r="L6942" i="3"/>
  <c r="J6942" i="3"/>
  <c r="K6942" i="3" s="1"/>
  <c r="L6941" i="3"/>
  <c r="J6941" i="3"/>
  <c r="K6941" i="3" s="1"/>
  <c r="L6940" i="3"/>
  <c r="J6940" i="3"/>
  <c r="K6940" i="3" s="1"/>
  <c r="L6939" i="3"/>
  <c r="J6939" i="3"/>
  <c r="K6939" i="3" s="1"/>
  <c r="L6938" i="3"/>
  <c r="J6938" i="3"/>
  <c r="K6938" i="3" s="1"/>
  <c r="L6937" i="3"/>
  <c r="J6937" i="3"/>
  <c r="K6937" i="3" s="1"/>
  <c r="L6936" i="3"/>
  <c r="J6936" i="3"/>
  <c r="K6936" i="3" s="1"/>
  <c r="L6935" i="3"/>
  <c r="J6935" i="3"/>
  <c r="K6935" i="3" s="1"/>
  <c r="L6934" i="3"/>
  <c r="J6934" i="3"/>
  <c r="K6934" i="3" s="1"/>
  <c r="L6933" i="3"/>
  <c r="J6933" i="3"/>
  <c r="K6933" i="3" s="1"/>
  <c r="L6932" i="3"/>
  <c r="J6932" i="3"/>
  <c r="K6932" i="3" s="1"/>
  <c r="L6931" i="3"/>
  <c r="J6931" i="3"/>
  <c r="K6931" i="3" s="1"/>
  <c r="L6930" i="3"/>
  <c r="J6930" i="3"/>
  <c r="K6930" i="3" s="1"/>
  <c r="L6929" i="3"/>
  <c r="J6929" i="3"/>
  <c r="K6929" i="3" s="1"/>
  <c r="L6928" i="3"/>
  <c r="J6928" i="3"/>
  <c r="K6928" i="3" s="1"/>
  <c r="L6927" i="3"/>
  <c r="J6927" i="3"/>
  <c r="K6927" i="3" s="1"/>
  <c r="L6926" i="3"/>
  <c r="J6926" i="3"/>
  <c r="K6926" i="3" s="1"/>
  <c r="L6925" i="3"/>
  <c r="J6925" i="3"/>
  <c r="K6925" i="3" s="1"/>
  <c r="L6924" i="3"/>
  <c r="J6924" i="3"/>
  <c r="K6924" i="3" s="1"/>
  <c r="L6923" i="3"/>
  <c r="J6923" i="3"/>
  <c r="K6923" i="3" s="1"/>
  <c r="L6922" i="3"/>
  <c r="J6922" i="3"/>
  <c r="K6922" i="3" s="1"/>
  <c r="L6921" i="3"/>
  <c r="J6921" i="3"/>
  <c r="K6921" i="3" s="1"/>
  <c r="L6920" i="3"/>
  <c r="J6920" i="3"/>
  <c r="K6920" i="3" s="1"/>
  <c r="L6919" i="3"/>
  <c r="J6919" i="3"/>
  <c r="K6919" i="3" s="1"/>
  <c r="L6918" i="3"/>
  <c r="J6918" i="3"/>
  <c r="K6918" i="3" s="1"/>
  <c r="L6917" i="3"/>
  <c r="J6917" i="3"/>
  <c r="K6917" i="3" s="1"/>
  <c r="L6916" i="3"/>
  <c r="J6916" i="3"/>
  <c r="K6916" i="3" s="1"/>
  <c r="L6915" i="3"/>
  <c r="J6915" i="3"/>
  <c r="K6915" i="3" s="1"/>
  <c r="L6914" i="3"/>
  <c r="J6914" i="3"/>
  <c r="K6914" i="3" s="1"/>
  <c r="L6913" i="3"/>
  <c r="J6913" i="3"/>
  <c r="K6913" i="3" s="1"/>
  <c r="L6912" i="3"/>
  <c r="J6912" i="3"/>
  <c r="K6912" i="3" s="1"/>
  <c r="L6911" i="3"/>
  <c r="J6911" i="3"/>
  <c r="K6911" i="3" s="1"/>
  <c r="L6910" i="3"/>
  <c r="J6910" i="3"/>
  <c r="K6910" i="3" s="1"/>
  <c r="L6909" i="3"/>
  <c r="J6909" i="3"/>
  <c r="K6909" i="3" s="1"/>
  <c r="L6908" i="3"/>
  <c r="J6908" i="3"/>
  <c r="K6908" i="3" s="1"/>
  <c r="L6907" i="3"/>
  <c r="J6907" i="3"/>
  <c r="K6907" i="3" s="1"/>
  <c r="L6906" i="3"/>
  <c r="J6906" i="3"/>
  <c r="K6906" i="3" s="1"/>
  <c r="L6905" i="3"/>
  <c r="J6905" i="3"/>
  <c r="K6905" i="3" s="1"/>
  <c r="L6904" i="3"/>
  <c r="J6904" i="3"/>
  <c r="K6904" i="3" s="1"/>
  <c r="L6903" i="3"/>
  <c r="J6903" i="3"/>
  <c r="K6903" i="3" s="1"/>
  <c r="L6902" i="3"/>
  <c r="J6902" i="3"/>
  <c r="K6902" i="3" s="1"/>
  <c r="L6901" i="3"/>
  <c r="J6901" i="3"/>
  <c r="K6901" i="3" s="1"/>
  <c r="L6900" i="3"/>
  <c r="J6900" i="3"/>
  <c r="K6900" i="3" s="1"/>
  <c r="L6899" i="3"/>
  <c r="J6899" i="3"/>
  <c r="K6899" i="3" s="1"/>
  <c r="L6898" i="3"/>
  <c r="J6898" i="3"/>
  <c r="K6898" i="3" s="1"/>
  <c r="L6897" i="3"/>
  <c r="J6897" i="3"/>
  <c r="K6897" i="3" s="1"/>
  <c r="L6896" i="3"/>
  <c r="J6896" i="3"/>
  <c r="K6896" i="3" s="1"/>
  <c r="L6895" i="3"/>
  <c r="J6895" i="3"/>
  <c r="K6895" i="3" s="1"/>
  <c r="L6894" i="3"/>
  <c r="J6894" i="3"/>
  <c r="K6894" i="3" s="1"/>
  <c r="L6893" i="3"/>
  <c r="J6893" i="3"/>
  <c r="K6893" i="3" s="1"/>
  <c r="L6892" i="3"/>
  <c r="J6892" i="3"/>
  <c r="K6892" i="3" s="1"/>
  <c r="L6891" i="3"/>
  <c r="J6891" i="3"/>
  <c r="K6891" i="3" s="1"/>
  <c r="L6890" i="3"/>
  <c r="J6890" i="3"/>
  <c r="K6890" i="3" s="1"/>
  <c r="L6889" i="3"/>
  <c r="J6889" i="3"/>
  <c r="K6889" i="3" s="1"/>
  <c r="L6888" i="3"/>
  <c r="J6888" i="3"/>
  <c r="K6888" i="3" s="1"/>
  <c r="L6887" i="3"/>
  <c r="J6887" i="3"/>
  <c r="K6887" i="3" s="1"/>
  <c r="L6886" i="3"/>
  <c r="J6886" i="3"/>
  <c r="K6886" i="3" s="1"/>
  <c r="L6885" i="3"/>
  <c r="J6885" i="3"/>
  <c r="K6885" i="3" s="1"/>
  <c r="L6884" i="3"/>
  <c r="J6884" i="3"/>
  <c r="K6884" i="3" s="1"/>
  <c r="L6883" i="3"/>
  <c r="J6883" i="3"/>
  <c r="K6883" i="3" s="1"/>
  <c r="L6882" i="3"/>
  <c r="J6882" i="3"/>
  <c r="K6882" i="3" s="1"/>
  <c r="L6881" i="3"/>
  <c r="J6881" i="3"/>
  <c r="K6881" i="3" s="1"/>
  <c r="L6880" i="3"/>
  <c r="J6880" i="3"/>
  <c r="K6880" i="3" s="1"/>
  <c r="L6879" i="3"/>
  <c r="J6879" i="3"/>
  <c r="K6879" i="3" s="1"/>
  <c r="L6878" i="3"/>
  <c r="J6878" i="3"/>
  <c r="K6878" i="3" s="1"/>
  <c r="L6877" i="3"/>
  <c r="J6877" i="3"/>
  <c r="K6877" i="3" s="1"/>
  <c r="L6876" i="3"/>
  <c r="J6876" i="3"/>
  <c r="K6876" i="3" s="1"/>
  <c r="L6875" i="3"/>
  <c r="J6875" i="3"/>
  <c r="K6875" i="3" s="1"/>
  <c r="L6874" i="3"/>
  <c r="J6874" i="3"/>
  <c r="K6874" i="3" s="1"/>
  <c r="L6873" i="3"/>
  <c r="J6873" i="3"/>
  <c r="K6873" i="3" s="1"/>
  <c r="L6872" i="3"/>
  <c r="J6872" i="3"/>
  <c r="K6872" i="3" s="1"/>
  <c r="L6871" i="3"/>
  <c r="J6871" i="3"/>
  <c r="K6871" i="3" s="1"/>
  <c r="L6870" i="3"/>
  <c r="J6870" i="3"/>
  <c r="K6870" i="3" s="1"/>
  <c r="L6869" i="3"/>
  <c r="J6869" i="3"/>
  <c r="K6869" i="3" s="1"/>
  <c r="L6868" i="3"/>
  <c r="J6868" i="3"/>
  <c r="K6868" i="3" s="1"/>
  <c r="L6867" i="3"/>
  <c r="J6867" i="3"/>
  <c r="K6867" i="3" s="1"/>
  <c r="L6866" i="3"/>
  <c r="J6866" i="3"/>
  <c r="K6866" i="3" s="1"/>
  <c r="L6865" i="3"/>
  <c r="J6865" i="3"/>
  <c r="K6865" i="3" s="1"/>
  <c r="L6864" i="3"/>
  <c r="J6864" i="3"/>
  <c r="K6864" i="3" s="1"/>
  <c r="L6863" i="3"/>
  <c r="J6863" i="3"/>
  <c r="K6863" i="3" s="1"/>
  <c r="L6862" i="3"/>
  <c r="J6862" i="3"/>
  <c r="K6862" i="3" s="1"/>
  <c r="L6861" i="3"/>
  <c r="J6861" i="3"/>
  <c r="K6861" i="3" s="1"/>
  <c r="L6860" i="3"/>
  <c r="J6860" i="3"/>
  <c r="K6860" i="3" s="1"/>
  <c r="L6859" i="3"/>
  <c r="J6859" i="3"/>
  <c r="K6859" i="3" s="1"/>
  <c r="L6858" i="3"/>
  <c r="J6858" i="3"/>
  <c r="K6858" i="3" s="1"/>
  <c r="L6857" i="3"/>
  <c r="J6857" i="3"/>
  <c r="K6857" i="3" s="1"/>
  <c r="L6856" i="3"/>
  <c r="J6856" i="3"/>
  <c r="K6856" i="3" s="1"/>
  <c r="L6855" i="3"/>
  <c r="J6855" i="3"/>
  <c r="K6855" i="3" s="1"/>
  <c r="L6854" i="3"/>
  <c r="J6854" i="3"/>
  <c r="K6854" i="3" s="1"/>
  <c r="L6853" i="3"/>
  <c r="J6853" i="3"/>
  <c r="K6853" i="3" s="1"/>
  <c r="L6852" i="3"/>
  <c r="J6852" i="3"/>
  <c r="K6852" i="3" s="1"/>
  <c r="L6851" i="3"/>
  <c r="J6851" i="3"/>
  <c r="K6851" i="3" s="1"/>
  <c r="L6850" i="3"/>
  <c r="J6850" i="3"/>
  <c r="K6850" i="3" s="1"/>
  <c r="L6849" i="3"/>
  <c r="J6849" i="3"/>
  <c r="K6849" i="3" s="1"/>
  <c r="L6848" i="3"/>
  <c r="J6848" i="3"/>
  <c r="K6848" i="3" s="1"/>
  <c r="L6847" i="3"/>
  <c r="J6847" i="3"/>
  <c r="K6847" i="3" s="1"/>
  <c r="L6846" i="3"/>
  <c r="J6846" i="3"/>
  <c r="K6846" i="3" s="1"/>
  <c r="L6845" i="3"/>
  <c r="J6845" i="3"/>
  <c r="K6845" i="3" s="1"/>
  <c r="L6844" i="3"/>
  <c r="J6844" i="3"/>
  <c r="K6844" i="3" s="1"/>
  <c r="L6843" i="3"/>
  <c r="J6843" i="3"/>
  <c r="K6843" i="3" s="1"/>
  <c r="L6842" i="3"/>
  <c r="J6842" i="3"/>
  <c r="K6842" i="3" s="1"/>
  <c r="L6841" i="3"/>
  <c r="J6841" i="3"/>
  <c r="K6841" i="3" s="1"/>
  <c r="L6840" i="3"/>
  <c r="J6840" i="3"/>
  <c r="K6840" i="3" s="1"/>
  <c r="L6839" i="3"/>
  <c r="J6839" i="3"/>
  <c r="K6839" i="3" s="1"/>
  <c r="L6838" i="3"/>
  <c r="J6838" i="3"/>
  <c r="K6838" i="3" s="1"/>
  <c r="L6837" i="3"/>
  <c r="J6837" i="3"/>
  <c r="K6837" i="3" s="1"/>
  <c r="L6836" i="3"/>
  <c r="J6836" i="3"/>
  <c r="K6836" i="3" s="1"/>
  <c r="L6835" i="3"/>
  <c r="J6835" i="3"/>
  <c r="K6835" i="3" s="1"/>
  <c r="L6834" i="3"/>
  <c r="J6834" i="3"/>
  <c r="K6834" i="3" s="1"/>
  <c r="L6833" i="3"/>
  <c r="J6833" i="3"/>
  <c r="K6833" i="3" s="1"/>
  <c r="L6832" i="3"/>
  <c r="J6832" i="3"/>
  <c r="K6832" i="3" s="1"/>
  <c r="L6831" i="3"/>
  <c r="J6831" i="3"/>
  <c r="K6831" i="3" s="1"/>
  <c r="L6830" i="3"/>
  <c r="J6830" i="3"/>
  <c r="K6830" i="3" s="1"/>
  <c r="L6829" i="3"/>
  <c r="J6829" i="3"/>
  <c r="K6829" i="3" s="1"/>
  <c r="L6828" i="3"/>
  <c r="J6828" i="3"/>
  <c r="K6828" i="3" s="1"/>
  <c r="L6827" i="3"/>
  <c r="J6827" i="3"/>
  <c r="K6827" i="3" s="1"/>
  <c r="L6826" i="3"/>
  <c r="J6826" i="3"/>
  <c r="K6826" i="3" s="1"/>
  <c r="L6825" i="3"/>
  <c r="J6825" i="3"/>
  <c r="K6825" i="3" s="1"/>
  <c r="L6824" i="3"/>
  <c r="J6824" i="3"/>
  <c r="K6824" i="3" s="1"/>
  <c r="L6823" i="3"/>
  <c r="J6823" i="3"/>
  <c r="K6823" i="3" s="1"/>
  <c r="L6822" i="3"/>
  <c r="J6822" i="3"/>
  <c r="K6822" i="3" s="1"/>
  <c r="L6821" i="3"/>
  <c r="J6821" i="3"/>
  <c r="K6821" i="3" s="1"/>
  <c r="L6820" i="3"/>
  <c r="J6820" i="3"/>
  <c r="K6820" i="3" s="1"/>
  <c r="L6819" i="3"/>
  <c r="J6819" i="3"/>
  <c r="K6819" i="3" s="1"/>
  <c r="L6818" i="3"/>
  <c r="J6818" i="3"/>
  <c r="K6818" i="3" s="1"/>
  <c r="L6817" i="3"/>
  <c r="J6817" i="3"/>
  <c r="K6817" i="3" s="1"/>
  <c r="L6816" i="3"/>
  <c r="J6816" i="3"/>
  <c r="K6816" i="3" s="1"/>
  <c r="L6815" i="3"/>
  <c r="J6815" i="3"/>
  <c r="K6815" i="3" s="1"/>
  <c r="L6814" i="3"/>
  <c r="J6814" i="3"/>
  <c r="K6814" i="3" s="1"/>
  <c r="L6813" i="3"/>
  <c r="J6813" i="3"/>
  <c r="K6813" i="3" s="1"/>
  <c r="L6812" i="3"/>
  <c r="J6812" i="3"/>
  <c r="K6812" i="3" s="1"/>
  <c r="L6811" i="3"/>
  <c r="J6811" i="3"/>
  <c r="K6811" i="3" s="1"/>
  <c r="L6810" i="3"/>
  <c r="J6810" i="3"/>
  <c r="K6810" i="3" s="1"/>
  <c r="L6809" i="3"/>
  <c r="J6809" i="3"/>
  <c r="K6809" i="3" s="1"/>
  <c r="L6808" i="3"/>
  <c r="J6808" i="3"/>
  <c r="K6808" i="3" s="1"/>
  <c r="L6807" i="3"/>
  <c r="J6807" i="3"/>
  <c r="K6807" i="3" s="1"/>
  <c r="L6806" i="3"/>
  <c r="J6806" i="3"/>
  <c r="K6806" i="3" s="1"/>
  <c r="L6805" i="3"/>
  <c r="J6805" i="3"/>
  <c r="K6805" i="3" s="1"/>
  <c r="L6804" i="3"/>
  <c r="J6804" i="3"/>
  <c r="K6804" i="3" s="1"/>
  <c r="L6803" i="3"/>
  <c r="J6803" i="3"/>
  <c r="K6803" i="3" s="1"/>
  <c r="L6802" i="3"/>
  <c r="J6802" i="3"/>
  <c r="K6802" i="3" s="1"/>
  <c r="L6801" i="3"/>
  <c r="J6801" i="3"/>
  <c r="K6801" i="3" s="1"/>
  <c r="L6800" i="3"/>
  <c r="J6800" i="3"/>
  <c r="K6800" i="3" s="1"/>
  <c r="L6799" i="3"/>
  <c r="J6799" i="3"/>
  <c r="K6799" i="3" s="1"/>
  <c r="L6798" i="3"/>
  <c r="J6798" i="3"/>
  <c r="K6798" i="3" s="1"/>
  <c r="L6797" i="3"/>
  <c r="J6797" i="3"/>
  <c r="K6797" i="3" s="1"/>
  <c r="L6796" i="3"/>
  <c r="J6796" i="3"/>
  <c r="K6796" i="3" s="1"/>
  <c r="L6795" i="3"/>
  <c r="J6795" i="3"/>
  <c r="K6795" i="3" s="1"/>
  <c r="L6794" i="3"/>
  <c r="J6794" i="3"/>
  <c r="K6794" i="3" s="1"/>
  <c r="L6793" i="3"/>
  <c r="J6793" i="3"/>
  <c r="K6793" i="3" s="1"/>
  <c r="L6792" i="3"/>
  <c r="J6792" i="3"/>
  <c r="K6792" i="3" s="1"/>
  <c r="L6791" i="3"/>
  <c r="J6791" i="3"/>
  <c r="K6791" i="3" s="1"/>
  <c r="L6790" i="3"/>
  <c r="J6790" i="3"/>
  <c r="K6790" i="3" s="1"/>
  <c r="L6789" i="3"/>
  <c r="J6789" i="3"/>
  <c r="K6789" i="3" s="1"/>
  <c r="L6788" i="3"/>
  <c r="J6788" i="3"/>
  <c r="K6788" i="3" s="1"/>
  <c r="L6787" i="3"/>
  <c r="J6787" i="3"/>
  <c r="K6787" i="3" s="1"/>
  <c r="L6786" i="3"/>
  <c r="J6786" i="3"/>
  <c r="K6786" i="3" s="1"/>
  <c r="L6785" i="3"/>
  <c r="J6785" i="3"/>
  <c r="K6785" i="3" s="1"/>
  <c r="L6784" i="3"/>
  <c r="J6784" i="3"/>
  <c r="K6784" i="3" s="1"/>
  <c r="L6783" i="3"/>
  <c r="J6783" i="3"/>
  <c r="K6783" i="3" s="1"/>
  <c r="L6782" i="3"/>
  <c r="J6782" i="3"/>
  <c r="K6782" i="3" s="1"/>
  <c r="L6781" i="3"/>
  <c r="J6781" i="3"/>
  <c r="K6781" i="3" s="1"/>
  <c r="L6780" i="3"/>
  <c r="J6780" i="3"/>
  <c r="K6780" i="3" s="1"/>
  <c r="L6779" i="3"/>
  <c r="J6779" i="3"/>
  <c r="K6779" i="3" s="1"/>
  <c r="L6778" i="3"/>
  <c r="J6778" i="3"/>
  <c r="K6778" i="3" s="1"/>
  <c r="L6777" i="3"/>
  <c r="J6777" i="3"/>
  <c r="K6777" i="3" s="1"/>
  <c r="L6776" i="3"/>
  <c r="J6776" i="3"/>
  <c r="K6776" i="3" s="1"/>
  <c r="L6775" i="3"/>
  <c r="J6775" i="3"/>
  <c r="K6775" i="3" s="1"/>
  <c r="L6774" i="3"/>
  <c r="J6774" i="3"/>
  <c r="K6774" i="3" s="1"/>
  <c r="L6773" i="3"/>
  <c r="J6773" i="3"/>
  <c r="K6773" i="3" s="1"/>
  <c r="L6772" i="3"/>
  <c r="J6772" i="3"/>
  <c r="K6772" i="3" s="1"/>
  <c r="L6771" i="3"/>
  <c r="J6771" i="3"/>
  <c r="K6771" i="3" s="1"/>
  <c r="L6770" i="3"/>
  <c r="J6770" i="3"/>
  <c r="K6770" i="3" s="1"/>
  <c r="L6769" i="3"/>
  <c r="J6769" i="3"/>
  <c r="K6769" i="3" s="1"/>
  <c r="L6768" i="3"/>
  <c r="J6768" i="3"/>
  <c r="K6768" i="3" s="1"/>
  <c r="L6767" i="3"/>
  <c r="J6767" i="3"/>
  <c r="K6767" i="3" s="1"/>
  <c r="L6766" i="3"/>
  <c r="J6766" i="3"/>
  <c r="K6766" i="3" s="1"/>
  <c r="L6765" i="3"/>
  <c r="J6765" i="3"/>
  <c r="K6765" i="3" s="1"/>
  <c r="L6764" i="3"/>
  <c r="J6764" i="3"/>
  <c r="K6764" i="3" s="1"/>
  <c r="L6763" i="3"/>
  <c r="J6763" i="3"/>
  <c r="K6763" i="3" s="1"/>
  <c r="L6762" i="3"/>
  <c r="J6762" i="3"/>
  <c r="K6762" i="3" s="1"/>
  <c r="L6761" i="3"/>
  <c r="J6761" i="3"/>
  <c r="K6761" i="3" s="1"/>
  <c r="L6760" i="3"/>
  <c r="J6760" i="3"/>
  <c r="K6760" i="3" s="1"/>
  <c r="L6759" i="3"/>
  <c r="J6759" i="3"/>
  <c r="K6759" i="3" s="1"/>
  <c r="L6758" i="3"/>
  <c r="J6758" i="3"/>
  <c r="K6758" i="3" s="1"/>
  <c r="L6757" i="3"/>
  <c r="J6757" i="3"/>
  <c r="K6757" i="3" s="1"/>
  <c r="L6756" i="3"/>
  <c r="J6756" i="3"/>
  <c r="K6756" i="3" s="1"/>
  <c r="L6755" i="3"/>
  <c r="J6755" i="3"/>
  <c r="K6755" i="3" s="1"/>
  <c r="L6754" i="3"/>
  <c r="J6754" i="3"/>
  <c r="K6754" i="3" s="1"/>
  <c r="L6753" i="3"/>
  <c r="J6753" i="3"/>
  <c r="K6753" i="3" s="1"/>
  <c r="L6752" i="3"/>
  <c r="J6752" i="3"/>
  <c r="K6752" i="3" s="1"/>
  <c r="L6751" i="3"/>
  <c r="J6751" i="3"/>
  <c r="K6751" i="3" s="1"/>
  <c r="L6750" i="3"/>
  <c r="J6750" i="3"/>
  <c r="K6750" i="3" s="1"/>
  <c r="L6749" i="3"/>
  <c r="J6749" i="3"/>
  <c r="K6749" i="3" s="1"/>
  <c r="L6748" i="3"/>
  <c r="J6748" i="3"/>
  <c r="K6748" i="3" s="1"/>
  <c r="L6747" i="3"/>
  <c r="K6747" i="3"/>
  <c r="J6747" i="3"/>
  <c r="L6746" i="3"/>
  <c r="J6746" i="3"/>
  <c r="K6746" i="3" s="1"/>
  <c r="L6745" i="3"/>
  <c r="J6745" i="3"/>
  <c r="K6745" i="3" s="1"/>
  <c r="L6744" i="3"/>
  <c r="J6744" i="3"/>
  <c r="K6744" i="3" s="1"/>
  <c r="L6743" i="3"/>
  <c r="J6743" i="3"/>
  <c r="K6743" i="3" s="1"/>
  <c r="L6742" i="3"/>
  <c r="J6742" i="3"/>
  <c r="K6742" i="3" s="1"/>
  <c r="L6741" i="3"/>
  <c r="J6741" i="3"/>
  <c r="K6741" i="3" s="1"/>
  <c r="L6740" i="3"/>
  <c r="J6740" i="3"/>
  <c r="K6740" i="3" s="1"/>
  <c r="L6739" i="3"/>
  <c r="J6739" i="3"/>
  <c r="K6739" i="3" s="1"/>
  <c r="L6738" i="3"/>
  <c r="J6738" i="3"/>
  <c r="K6738" i="3" s="1"/>
  <c r="L6737" i="3"/>
  <c r="J6737" i="3"/>
  <c r="K6737" i="3" s="1"/>
  <c r="L6736" i="3"/>
  <c r="J6736" i="3"/>
  <c r="K6736" i="3" s="1"/>
  <c r="L6735" i="3"/>
  <c r="J6735" i="3"/>
  <c r="K6735" i="3" s="1"/>
  <c r="L6734" i="3"/>
  <c r="J6734" i="3"/>
  <c r="K6734" i="3" s="1"/>
  <c r="L6733" i="3"/>
  <c r="J6733" i="3"/>
  <c r="K6733" i="3" s="1"/>
  <c r="L6732" i="3"/>
  <c r="J6732" i="3"/>
  <c r="K6732" i="3" s="1"/>
  <c r="L6731" i="3"/>
  <c r="J6731" i="3"/>
  <c r="K6731" i="3" s="1"/>
  <c r="L6730" i="3"/>
  <c r="J6730" i="3"/>
  <c r="K6730" i="3" s="1"/>
  <c r="L6729" i="3"/>
  <c r="J6729" i="3"/>
  <c r="K6729" i="3" s="1"/>
  <c r="L6728" i="3"/>
  <c r="J6728" i="3"/>
  <c r="K6728" i="3" s="1"/>
  <c r="L6727" i="3"/>
  <c r="J6727" i="3"/>
  <c r="K6727" i="3" s="1"/>
  <c r="L6726" i="3"/>
  <c r="J6726" i="3"/>
  <c r="K6726" i="3" s="1"/>
  <c r="L6725" i="3"/>
  <c r="J6725" i="3"/>
  <c r="K6725" i="3" s="1"/>
  <c r="L6724" i="3"/>
  <c r="J6724" i="3"/>
  <c r="K6724" i="3" s="1"/>
  <c r="L6723" i="3"/>
  <c r="J6723" i="3"/>
  <c r="K6723" i="3" s="1"/>
  <c r="L6722" i="3"/>
  <c r="J6722" i="3"/>
  <c r="K6722" i="3" s="1"/>
  <c r="L6721" i="3"/>
  <c r="J6721" i="3"/>
  <c r="K6721" i="3" s="1"/>
  <c r="L6720" i="3"/>
  <c r="J6720" i="3"/>
  <c r="K6720" i="3" s="1"/>
  <c r="L6719" i="3"/>
  <c r="J6719" i="3"/>
  <c r="K6719" i="3" s="1"/>
  <c r="L6718" i="3"/>
  <c r="J6718" i="3"/>
  <c r="K6718" i="3" s="1"/>
  <c r="L6717" i="3"/>
  <c r="J6717" i="3"/>
  <c r="K6717" i="3" s="1"/>
  <c r="L6716" i="3"/>
  <c r="J6716" i="3"/>
  <c r="K6716" i="3" s="1"/>
  <c r="L6715" i="3"/>
  <c r="J6715" i="3"/>
  <c r="K6715" i="3" s="1"/>
  <c r="L6714" i="3"/>
  <c r="J6714" i="3"/>
  <c r="K6714" i="3" s="1"/>
  <c r="L6713" i="3"/>
  <c r="J6713" i="3"/>
  <c r="K6713" i="3" s="1"/>
  <c r="L6712" i="3"/>
  <c r="J6712" i="3"/>
  <c r="K6712" i="3" s="1"/>
  <c r="L6711" i="3"/>
  <c r="J6711" i="3"/>
  <c r="K6711" i="3" s="1"/>
  <c r="L6710" i="3"/>
  <c r="J6710" i="3"/>
  <c r="K6710" i="3" s="1"/>
  <c r="L6709" i="3"/>
  <c r="J6709" i="3"/>
  <c r="K6709" i="3" s="1"/>
  <c r="L6708" i="3"/>
  <c r="J6708" i="3"/>
  <c r="K6708" i="3" s="1"/>
  <c r="L6707" i="3"/>
  <c r="J6707" i="3"/>
  <c r="K6707" i="3" s="1"/>
  <c r="L6706" i="3"/>
  <c r="J6706" i="3"/>
  <c r="K6706" i="3" s="1"/>
  <c r="L6705" i="3"/>
  <c r="J6705" i="3"/>
  <c r="K6705" i="3" s="1"/>
  <c r="L6704" i="3"/>
  <c r="J6704" i="3"/>
  <c r="K6704" i="3" s="1"/>
  <c r="L6703" i="3"/>
  <c r="J6703" i="3"/>
  <c r="K6703" i="3" s="1"/>
  <c r="L6702" i="3"/>
  <c r="J6702" i="3"/>
  <c r="K6702" i="3" s="1"/>
  <c r="L6701" i="3"/>
  <c r="J6701" i="3"/>
  <c r="K6701" i="3" s="1"/>
  <c r="L6700" i="3"/>
  <c r="J6700" i="3"/>
  <c r="K6700" i="3" s="1"/>
  <c r="L6699" i="3"/>
  <c r="J6699" i="3"/>
  <c r="K6699" i="3" s="1"/>
  <c r="L6698" i="3"/>
  <c r="J6698" i="3"/>
  <c r="K6698" i="3" s="1"/>
  <c r="L6697" i="3"/>
  <c r="J6697" i="3"/>
  <c r="K6697" i="3" s="1"/>
  <c r="L6696" i="3"/>
  <c r="J6696" i="3"/>
  <c r="K6696" i="3" s="1"/>
  <c r="L6695" i="3"/>
  <c r="J6695" i="3"/>
  <c r="K6695" i="3" s="1"/>
  <c r="L6694" i="3"/>
  <c r="J6694" i="3"/>
  <c r="K6694" i="3" s="1"/>
  <c r="L6693" i="3"/>
  <c r="J6693" i="3"/>
  <c r="K6693" i="3" s="1"/>
  <c r="L6692" i="3"/>
  <c r="J6692" i="3"/>
  <c r="K6692" i="3" s="1"/>
  <c r="L6691" i="3"/>
  <c r="J6691" i="3"/>
  <c r="K6691" i="3" s="1"/>
  <c r="L6690" i="3"/>
  <c r="J6690" i="3"/>
  <c r="K6690" i="3" s="1"/>
  <c r="L6689" i="3"/>
  <c r="J6689" i="3"/>
  <c r="K6689" i="3" s="1"/>
  <c r="L6688" i="3"/>
  <c r="J6688" i="3"/>
  <c r="K6688" i="3" s="1"/>
  <c r="L6687" i="3"/>
  <c r="J6687" i="3"/>
  <c r="K6687" i="3" s="1"/>
  <c r="L6686" i="3"/>
  <c r="J6686" i="3"/>
  <c r="K6686" i="3" s="1"/>
  <c r="L6685" i="3"/>
  <c r="J6685" i="3"/>
  <c r="K6685" i="3" s="1"/>
  <c r="L6684" i="3"/>
  <c r="J6684" i="3"/>
  <c r="K6684" i="3" s="1"/>
  <c r="L6683" i="3"/>
  <c r="J6683" i="3"/>
  <c r="K6683" i="3" s="1"/>
  <c r="L6682" i="3"/>
  <c r="J6682" i="3"/>
  <c r="K6682" i="3" s="1"/>
  <c r="L6681" i="3"/>
  <c r="J6681" i="3"/>
  <c r="K6681" i="3" s="1"/>
  <c r="L6680" i="3"/>
  <c r="J6680" i="3"/>
  <c r="K6680" i="3" s="1"/>
  <c r="L6679" i="3"/>
  <c r="J6679" i="3"/>
  <c r="K6679" i="3" s="1"/>
  <c r="L6678" i="3"/>
  <c r="J6678" i="3"/>
  <c r="K6678" i="3" s="1"/>
  <c r="L6677" i="3"/>
  <c r="J6677" i="3"/>
  <c r="K6677" i="3" s="1"/>
  <c r="L6676" i="3"/>
  <c r="J6676" i="3"/>
  <c r="K6676" i="3" s="1"/>
  <c r="L6675" i="3"/>
  <c r="J6675" i="3"/>
  <c r="K6675" i="3" s="1"/>
  <c r="L6674" i="3"/>
  <c r="J6674" i="3"/>
  <c r="K6674" i="3" s="1"/>
  <c r="L6673" i="3"/>
  <c r="J6673" i="3"/>
  <c r="K6673" i="3" s="1"/>
  <c r="L6672" i="3"/>
  <c r="J6672" i="3"/>
  <c r="K6672" i="3" s="1"/>
  <c r="L6671" i="3"/>
  <c r="J6671" i="3"/>
  <c r="K6671" i="3" s="1"/>
  <c r="L6670" i="3"/>
  <c r="J6670" i="3"/>
  <c r="K6670" i="3" s="1"/>
  <c r="L6669" i="3"/>
  <c r="J6669" i="3"/>
  <c r="K6669" i="3" s="1"/>
  <c r="L6668" i="3"/>
  <c r="J6668" i="3"/>
  <c r="K6668" i="3" s="1"/>
  <c r="L6667" i="3"/>
  <c r="J6667" i="3"/>
  <c r="K6667" i="3" s="1"/>
  <c r="L6666" i="3"/>
  <c r="J6666" i="3"/>
  <c r="K6666" i="3" s="1"/>
  <c r="L6665" i="3"/>
  <c r="J6665" i="3"/>
  <c r="K6665" i="3" s="1"/>
  <c r="L6664" i="3"/>
  <c r="J6664" i="3"/>
  <c r="K6664" i="3" s="1"/>
  <c r="L6663" i="3"/>
  <c r="J6663" i="3"/>
  <c r="K6663" i="3" s="1"/>
  <c r="L6662" i="3"/>
  <c r="J6662" i="3"/>
  <c r="K6662" i="3" s="1"/>
  <c r="L6661" i="3"/>
  <c r="J6661" i="3"/>
  <c r="K6661" i="3" s="1"/>
  <c r="L6660" i="3"/>
  <c r="J6660" i="3"/>
  <c r="K6660" i="3" s="1"/>
  <c r="L6659" i="3"/>
  <c r="J6659" i="3"/>
  <c r="K6659" i="3" s="1"/>
  <c r="L6658" i="3"/>
  <c r="J6658" i="3"/>
  <c r="K6658" i="3" s="1"/>
  <c r="L6657" i="3"/>
  <c r="J6657" i="3"/>
  <c r="K6657" i="3" s="1"/>
  <c r="L6656" i="3"/>
  <c r="J6656" i="3"/>
  <c r="K6656" i="3" s="1"/>
  <c r="L6655" i="3"/>
  <c r="J6655" i="3"/>
  <c r="K6655" i="3" s="1"/>
  <c r="L6654" i="3"/>
  <c r="J6654" i="3"/>
  <c r="K6654" i="3" s="1"/>
  <c r="L6653" i="3"/>
  <c r="J6653" i="3"/>
  <c r="K6653" i="3" s="1"/>
  <c r="L6652" i="3"/>
  <c r="J6652" i="3"/>
  <c r="K6652" i="3" s="1"/>
  <c r="L6651" i="3"/>
  <c r="J6651" i="3"/>
  <c r="K6651" i="3" s="1"/>
  <c r="L6650" i="3"/>
  <c r="J6650" i="3"/>
  <c r="K6650" i="3" s="1"/>
  <c r="L6649" i="3"/>
  <c r="J6649" i="3"/>
  <c r="K6649" i="3" s="1"/>
  <c r="L6648" i="3"/>
  <c r="J6648" i="3"/>
  <c r="K6648" i="3" s="1"/>
  <c r="L6647" i="3"/>
  <c r="J6647" i="3"/>
  <c r="K6647" i="3" s="1"/>
  <c r="L6646" i="3"/>
  <c r="J6646" i="3"/>
  <c r="K6646" i="3" s="1"/>
  <c r="L6645" i="3"/>
  <c r="J6645" i="3"/>
  <c r="K6645" i="3" s="1"/>
  <c r="L6644" i="3"/>
  <c r="J6644" i="3"/>
  <c r="K6644" i="3" s="1"/>
  <c r="L6643" i="3"/>
  <c r="J6643" i="3"/>
  <c r="K6643" i="3" s="1"/>
  <c r="L6642" i="3"/>
  <c r="J6642" i="3"/>
  <c r="K6642" i="3" s="1"/>
  <c r="L6641" i="3"/>
  <c r="J6641" i="3"/>
  <c r="K6641" i="3" s="1"/>
  <c r="L6640" i="3"/>
  <c r="J6640" i="3"/>
  <c r="K6640" i="3" s="1"/>
  <c r="L6639" i="3"/>
  <c r="J6639" i="3"/>
  <c r="K6639" i="3" s="1"/>
  <c r="L6638" i="3"/>
  <c r="J6638" i="3"/>
  <c r="K6638" i="3" s="1"/>
  <c r="L6637" i="3"/>
  <c r="J6637" i="3"/>
  <c r="K6637" i="3" s="1"/>
  <c r="L6636" i="3"/>
  <c r="J6636" i="3"/>
  <c r="K6636" i="3" s="1"/>
  <c r="L6635" i="3"/>
  <c r="J6635" i="3"/>
  <c r="K6635" i="3" s="1"/>
  <c r="L6634" i="3"/>
  <c r="J6634" i="3"/>
  <c r="K6634" i="3" s="1"/>
  <c r="L6633" i="3"/>
  <c r="J6633" i="3"/>
  <c r="K6633" i="3" s="1"/>
  <c r="L6632" i="3"/>
  <c r="J6632" i="3"/>
  <c r="K6632" i="3" s="1"/>
  <c r="L6631" i="3"/>
  <c r="J6631" i="3"/>
  <c r="K6631" i="3" s="1"/>
  <c r="L6630" i="3"/>
  <c r="J6630" i="3"/>
  <c r="K6630" i="3" s="1"/>
  <c r="L6629" i="3"/>
  <c r="J6629" i="3"/>
  <c r="K6629" i="3" s="1"/>
  <c r="L6628" i="3"/>
  <c r="J6628" i="3"/>
  <c r="K6628" i="3" s="1"/>
  <c r="L6627" i="3"/>
  <c r="J6627" i="3"/>
  <c r="K6627" i="3" s="1"/>
  <c r="L6626" i="3"/>
  <c r="J6626" i="3"/>
  <c r="K6626" i="3" s="1"/>
  <c r="L6625" i="3"/>
  <c r="J6625" i="3"/>
  <c r="K6625" i="3" s="1"/>
  <c r="L6624" i="3"/>
  <c r="J6624" i="3"/>
  <c r="K6624" i="3" s="1"/>
  <c r="L6623" i="3"/>
  <c r="J6623" i="3"/>
  <c r="K6623" i="3" s="1"/>
  <c r="L6622" i="3"/>
  <c r="J6622" i="3"/>
  <c r="K6622" i="3" s="1"/>
  <c r="L6621" i="3"/>
  <c r="J6621" i="3"/>
  <c r="K6621" i="3" s="1"/>
  <c r="L6620" i="3"/>
  <c r="J6620" i="3"/>
  <c r="K6620" i="3" s="1"/>
  <c r="L6619" i="3"/>
  <c r="J6619" i="3"/>
  <c r="K6619" i="3" s="1"/>
  <c r="L6618" i="3"/>
  <c r="J6618" i="3"/>
  <c r="K6618" i="3" s="1"/>
  <c r="L6617" i="3"/>
  <c r="J6617" i="3"/>
  <c r="K6617" i="3" s="1"/>
  <c r="L6616" i="3"/>
  <c r="J6616" i="3"/>
  <c r="K6616" i="3" s="1"/>
  <c r="L6615" i="3"/>
  <c r="J6615" i="3"/>
  <c r="K6615" i="3" s="1"/>
  <c r="L6614" i="3"/>
  <c r="J6614" i="3"/>
  <c r="K6614" i="3" s="1"/>
  <c r="L6613" i="3"/>
  <c r="J6613" i="3"/>
  <c r="K6613" i="3" s="1"/>
  <c r="L6612" i="3"/>
  <c r="J6612" i="3"/>
  <c r="K6612" i="3" s="1"/>
  <c r="L6611" i="3"/>
  <c r="J6611" i="3"/>
  <c r="K6611" i="3" s="1"/>
  <c r="L6610" i="3"/>
  <c r="J6610" i="3"/>
  <c r="K6610" i="3" s="1"/>
  <c r="L6609" i="3"/>
  <c r="J6609" i="3"/>
  <c r="K6609" i="3" s="1"/>
  <c r="L6608" i="3"/>
  <c r="J6608" i="3"/>
  <c r="K6608" i="3" s="1"/>
  <c r="L6607" i="3"/>
  <c r="J6607" i="3"/>
  <c r="K6607" i="3" s="1"/>
  <c r="L6606" i="3"/>
  <c r="J6606" i="3"/>
  <c r="K6606" i="3" s="1"/>
  <c r="L6605" i="3"/>
  <c r="J6605" i="3"/>
  <c r="K6605" i="3" s="1"/>
  <c r="L6604" i="3"/>
  <c r="J6604" i="3"/>
  <c r="K6604" i="3" s="1"/>
  <c r="L6603" i="3"/>
  <c r="J6603" i="3"/>
  <c r="K6603" i="3" s="1"/>
  <c r="L6602" i="3"/>
  <c r="J6602" i="3"/>
  <c r="K6602" i="3" s="1"/>
  <c r="L6601" i="3"/>
  <c r="J6601" i="3"/>
  <c r="K6601" i="3" s="1"/>
  <c r="L6600" i="3"/>
  <c r="J6600" i="3"/>
  <c r="K6600" i="3" s="1"/>
  <c r="L6599" i="3"/>
  <c r="J6599" i="3"/>
  <c r="K6599" i="3" s="1"/>
  <c r="L6598" i="3"/>
  <c r="J6598" i="3"/>
  <c r="K6598" i="3" s="1"/>
  <c r="L6597" i="3"/>
  <c r="J6597" i="3"/>
  <c r="K6597" i="3" s="1"/>
  <c r="L6596" i="3"/>
  <c r="J6596" i="3"/>
  <c r="K6596" i="3" s="1"/>
  <c r="L6595" i="3"/>
  <c r="J6595" i="3"/>
  <c r="K6595" i="3" s="1"/>
  <c r="L6594" i="3"/>
  <c r="J6594" i="3"/>
  <c r="K6594" i="3" s="1"/>
  <c r="L6593" i="3"/>
  <c r="J6593" i="3"/>
  <c r="K6593" i="3" s="1"/>
  <c r="L6592" i="3"/>
  <c r="J6592" i="3"/>
  <c r="K6592" i="3" s="1"/>
  <c r="L6591" i="3"/>
  <c r="J6591" i="3"/>
  <c r="K6591" i="3" s="1"/>
  <c r="L6590" i="3"/>
  <c r="J6590" i="3"/>
  <c r="K6590" i="3" s="1"/>
  <c r="L6589" i="3"/>
  <c r="J6589" i="3"/>
  <c r="K6589" i="3" s="1"/>
  <c r="L6588" i="3"/>
  <c r="J6588" i="3"/>
  <c r="K6588" i="3" s="1"/>
  <c r="L6587" i="3"/>
  <c r="J6587" i="3"/>
  <c r="K6587" i="3" s="1"/>
  <c r="L6586" i="3"/>
  <c r="J6586" i="3"/>
  <c r="K6586" i="3" s="1"/>
  <c r="L6585" i="3"/>
  <c r="J6585" i="3"/>
  <c r="K6585" i="3" s="1"/>
  <c r="L6584" i="3"/>
  <c r="J6584" i="3"/>
  <c r="K6584" i="3" s="1"/>
  <c r="L6583" i="3"/>
  <c r="J6583" i="3"/>
  <c r="K6583" i="3" s="1"/>
  <c r="L6582" i="3"/>
  <c r="J6582" i="3"/>
  <c r="K6582" i="3" s="1"/>
  <c r="L6581" i="3"/>
  <c r="J6581" i="3"/>
  <c r="K6581" i="3" s="1"/>
  <c r="L6580" i="3"/>
  <c r="J6580" i="3"/>
  <c r="K6580" i="3" s="1"/>
  <c r="L6579" i="3"/>
  <c r="J6579" i="3"/>
  <c r="K6579" i="3" s="1"/>
  <c r="L6578" i="3"/>
  <c r="J6578" i="3"/>
  <c r="K6578" i="3" s="1"/>
  <c r="L6577" i="3"/>
  <c r="J6577" i="3"/>
  <c r="K6577" i="3" s="1"/>
  <c r="L6576" i="3"/>
  <c r="J6576" i="3"/>
  <c r="K6576" i="3" s="1"/>
  <c r="L6575" i="3"/>
  <c r="J6575" i="3"/>
  <c r="K6575" i="3" s="1"/>
  <c r="L6574" i="3"/>
  <c r="J6574" i="3"/>
  <c r="K6574" i="3" s="1"/>
  <c r="L6573" i="3"/>
  <c r="J6573" i="3"/>
  <c r="K6573" i="3" s="1"/>
  <c r="L6572" i="3"/>
  <c r="J6572" i="3"/>
  <c r="K6572" i="3" s="1"/>
  <c r="L6571" i="3"/>
  <c r="J6571" i="3"/>
  <c r="K6571" i="3" s="1"/>
  <c r="L6570" i="3"/>
  <c r="J6570" i="3"/>
  <c r="K6570" i="3" s="1"/>
  <c r="L6569" i="3"/>
  <c r="J6569" i="3"/>
  <c r="K6569" i="3" s="1"/>
  <c r="L6568" i="3"/>
  <c r="J6568" i="3"/>
  <c r="K6568" i="3" s="1"/>
  <c r="L6567" i="3"/>
  <c r="J6567" i="3"/>
  <c r="K6567" i="3" s="1"/>
  <c r="L6566" i="3"/>
  <c r="J6566" i="3"/>
  <c r="K6566" i="3" s="1"/>
  <c r="L6565" i="3"/>
  <c r="J6565" i="3"/>
  <c r="K6565" i="3" s="1"/>
  <c r="L6564" i="3"/>
  <c r="J6564" i="3"/>
  <c r="K6564" i="3" s="1"/>
  <c r="L6563" i="3"/>
  <c r="J6563" i="3"/>
  <c r="K6563" i="3" s="1"/>
  <c r="L6562" i="3"/>
  <c r="J6562" i="3"/>
  <c r="K6562" i="3" s="1"/>
  <c r="L6561" i="3"/>
  <c r="J6561" i="3"/>
  <c r="K6561" i="3" s="1"/>
  <c r="L6560" i="3"/>
  <c r="J6560" i="3"/>
  <c r="K6560" i="3" s="1"/>
  <c r="L6559" i="3"/>
  <c r="J6559" i="3"/>
  <c r="K6559" i="3" s="1"/>
  <c r="L6558" i="3"/>
  <c r="J6558" i="3"/>
  <c r="K6558" i="3" s="1"/>
  <c r="L6557" i="3"/>
  <c r="J6557" i="3"/>
  <c r="K6557" i="3" s="1"/>
  <c r="L6556" i="3"/>
  <c r="J6556" i="3"/>
  <c r="K6556" i="3" s="1"/>
  <c r="L6555" i="3"/>
  <c r="J6555" i="3"/>
  <c r="K6555" i="3" s="1"/>
  <c r="L6554" i="3"/>
  <c r="J6554" i="3"/>
  <c r="K6554" i="3" s="1"/>
  <c r="L6553" i="3"/>
  <c r="J6553" i="3"/>
  <c r="K6553" i="3" s="1"/>
  <c r="L6552" i="3"/>
  <c r="J6552" i="3"/>
  <c r="K6552" i="3" s="1"/>
  <c r="L6551" i="3"/>
  <c r="J6551" i="3"/>
  <c r="K6551" i="3" s="1"/>
  <c r="L6550" i="3"/>
  <c r="J6550" i="3"/>
  <c r="K6550" i="3" s="1"/>
  <c r="L6549" i="3"/>
  <c r="J6549" i="3"/>
  <c r="K6549" i="3" s="1"/>
  <c r="L6548" i="3"/>
  <c r="J6548" i="3"/>
  <c r="K6548" i="3" s="1"/>
  <c r="L6547" i="3"/>
  <c r="J6547" i="3"/>
  <c r="K6547" i="3" s="1"/>
  <c r="L6546" i="3"/>
  <c r="J6546" i="3"/>
  <c r="K6546" i="3" s="1"/>
  <c r="L6545" i="3"/>
  <c r="J6545" i="3"/>
  <c r="K6545" i="3" s="1"/>
  <c r="L6544" i="3"/>
  <c r="J6544" i="3"/>
  <c r="K6544" i="3" s="1"/>
  <c r="L6543" i="3"/>
  <c r="J6543" i="3"/>
  <c r="K6543" i="3" s="1"/>
  <c r="L6542" i="3"/>
  <c r="J6542" i="3"/>
  <c r="K6542" i="3" s="1"/>
  <c r="L6541" i="3"/>
  <c r="J6541" i="3"/>
  <c r="K6541" i="3" s="1"/>
  <c r="L6540" i="3"/>
  <c r="J6540" i="3"/>
  <c r="K6540" i="3" s="1"/>
  <c r="L6539" i="3"/>
  <c r="J6539" i="3"/>
  <c r="K6539" i="3" s="1"/>
  <c r="L6538" i="3"/>
  <c r="J6538" i="3"/>
  <c r="K6538" i="3" s="1"/>
  <c r="L6537" i="3"/>
  <c r="J6537" i="3"/>
  <c r="K6537" i="3" s="1"/>
  <c r="L6536" i="3"/>
  <c r="J6536" i="3"/>
  <c r="K6536" i="3" s="1"/>
  <c r="L6535" i="3"/>
  <c r="J6535" i="3"/>
  <c r="K6535" i="3" s="1"/>
  <c r="L6534" i="3"/>
  <c r="J6534" i="3"/>
  <c r="K6534" i="3" s="1"/>
  <c r="L6533" i="3"/>
  <c r="J6533" i="3"/>
  <c r="K6533" i="3" s="1"/>
  <c r="L6532" i="3"/>
  <c r="J6532" i="3"/>
  <c r="K6532" i="3" s="1"/>
  <c r="L6531" i="3"/>
  <c r="J6531" i="3"/>
  <c r="K6531" i="3" s="1"/>
  <c r="L6530" i="3"/>
  <c r="J6530" i="3"/>
  <c r="K6530" i="3" s="1"/>
  <c r="L6529" i="3"/>
  <c r="J6529" i="3"/>
  <c r="K6529" i="3" s="1"/>
  <c r="L6528" i="3"/>
  <c r="J6528" i="3"/>
  <c r="K6528" i="3" s="1"/>
  <c r="L6527" i="3"/>
  <c r="J6527" i="3"/>
  <c r="K6527" i="3" s="1"/>
  <c r="L6526" i="3"/>
  <c r="J6526" i="3"/>
  <c r="K6526" i="3" s="1"/>
  <c r="L6525" i="3"/>
  <c r="J6525" i="3"/>
  <c r="K6525" i="3" s="1"/>
  <c r="L6524" i="3"/>
  <c r="J6524" i="3"/>
  <c r="K6524" i="3" s="1"/>
  <c r="L6523" i="3"/>
  <c r="J6523" i="3"/>
  <c r="K6523" i="3" s="1"/>
  <c r="L6522" i="3"/>
  <c r="J6522" i="3"/>
  <c r="K6522" i="3" s="1"/>
  <c r="L6521" i="3"/>
  <c r="J6521" i="3"/>
  <c r="K6521" i="3" s="1"/>
  <c r="L6520" i="3"/>
  <c r="J6520" i="3"/>
  <c r="K6520" i="3" s="1"/>
  <c r="L6519" i="3"/>
  <c r="J6519" i="3"/>
  <c r="K6519" i="3" s="1"/>
  <c r="L6518" i="3"/>
  <c r="J6518" i="3"/>
  <c r="K6518" i="3" s="1"/>
  <c r="L6517" i="3"/>
  <c r="J6517" i="3"/>
  <c r="K6517" i="3" s="1"/>
  <c r="L6516" i="3"/>
  <c r="J6516" i="3"/>
  <c r="K6516" i="3" s="1"/>
  <c r="L6515" i="3"/>
  <c r="J6515" i="3"/>
  <c r="K6515" i="3" s="1"/>
  <c r="L6514" i="3"/>
  <c r="K6514" i="3"/>
  <c r="J6514" i="3"/>
  <c r="L6513" i="3"/>
  <c r="J6513" i="3"/>
  <c r="K6513" i="3" s="1"/>
  <c r="L6512" i="3"/>
  <c r="J6512" i="3"/>
  <c r="K6512" i="3" s="1"/>
  <c r="L6511" i="3"/>
  <c r="J6511" i="3"/>
  <c r="K6511" i="3" s="1"/>
  <c r="L6510" i="3"/>
  <c r="J6510" i="3"/>
  <c r="K6510" i="3" s="1"/>
  <c r="L6509" i="3"/>
  <c r="J6509" i="3"/>
  <c r="K6509" i="3" s="1"/>
  <c r="L6508" i="3"/>
  <c r="J6508" i="3"/>
  <c r="K6508" i="3" s="1"/>
  <c r="L6507" i="3"/>
  <c r="J6507" i="3"/>
  <c r="K6507" i="3" s="1"/>
  <c r="L6506" i="3"/>
  <c r="J6506" i="3"/>
  <c r="K6506" i="3" s="1"/>
  <c r="L6505" i="3"/>
  <c r="J6505" i="3"/>
  <c r="K6505" i="3" s="1"/>
  <c r="L6504" i="3"/>
  <c r="J6504" i="3"/>
  <c r="K6504" i="3" s="1"/>
  <c r="L6503" i="3"/>
  <c r="J6503" i="3"/>
  <c r="K6503" i="3" s="1"/>
  <c r="L6502" i="3"/>
  <c r="J6502" i="3"/>
  <c r="K6502" i="3" s="1"/>
  <c r="L6501" i="3"/>
  <c r="J6501" i="3"/>
  <c r="K6501" i="3" s="1"/>
  <c r="L6500" i="3"/>
  <c r="J6500" i="3"/>
  <c r="K6500" i="3" s="1"/>
  <c r="L6499" i="3"/>
  <c r="J6499" i="3"/>
  <c r="K6499" i="3" s="1"/>
  <c r="L6498" i="3"/>
  <c r="J6498" i="3"/>
  <c r="K6498" i="3" s="1"/>
  <c r="L6497" i="3"/>
  <c r="J6497" i="3"/>
  <c r="K6497" i="3" s="1"/>
  <c r="L6496" i="3"/>
  <c r="J6496" i="3"/>
  <c r="K6496" i="3" s="1"/>
  <c r="L6495" i="3"/>
  <c r="J6495" i="3"/>
  <c r="K6495" i="3" s="1"/>
  <c r="L6494" i="3"/>
  <c r="J6494" i="3"/>
  <c r="K6494" i="3" s="1"/>
  <c r="L6493" i="3"/>
  <c r="J6493" i="3"/>
  <c r="K6493" i="3" s="1"/>
  <c r="L6492" i="3"/>
  <c r="J6492" i="3"/>
  <c r="K6492" i="3" s="1"/>
  <c r="L6491" i="3"/>
  <c r="J6491" i="3"/>
  <c r="K6491" i="3" s="1"/>
  <c r="L6490" i="3"/>
  <c r="J6490" i="3"/>
  <c r="K6490" i="3" s="1"/>
  <c r="L6489" i="3"/>
  <c r="J6489" i="3"/>
  <c r="K6489" i="3" s="1"/>
  <c r="L6488" i="3"/>
  <c r="J6488" i="3"/>
  <c r="K6488" i="3" s="1"/>
  <c r="L6487" i="3"/>
  <c r="J6487" i="3"/>
  <c r="K6487" i="3" s="1"/>
  <c r="L6486" i="3"/>
  <c r="J6486" i="3"/>
  <c r="K6486" i="3" s="1"/>
  <c r="L6485" i="3"/>
  <c r="J6485" i="3"/>
  <c r="K6485" i="3" s="1"/>
  <c r="L6484" i="3"/>
  <c r="J6484" i="3"/>
  <c r="K6484" i="3" s="1"/>
  <c r="L6483" i="3"/>
  <c r="J6483" i="3"/>
  <c r="K6483" i="3" s="1"/>
  <c r="L6482" i="3"/>
  <c r="J6482" i="3"/>
  <c r="K6482" i="3" s="1"/>
  <c r="L6481" i="3"/>
  <c r="J6481" i="3"/>
  <c r="K6481" i="3" s="1"/>
  <c r="L6480" i="3"/>
  <c r="J6480" i="3"/>
  <c r="K6480" i="3" s="1"/>
  <c r="L6479" i="3"/>
  <c r="J6479" i="3"/>
  <c r="K6479" i="3" s="1"/>
  <c r="L6478" i="3"/>
  <c r="J6478" i="3"/>
  <c r="K6478" i="3" s="1"/>
  <c r="L6477" i="3"/>
  <c r="J6477" i="3"/>
  <c r="K6477" i="3" s="1"/>
  <c r="L6476" i="3"/>
  <c r="J6476" i="3"/>
  <c r="K6476" i="3" s="1"/>
  <c r="L6475" i="3"/>
  <c r="J6475" i="3"/>
  <c r="K6475" i="3" s="1"/>
  <c r="L6474" i="3"/>
  <c r="J6474" i="3"/>
  <c r="K6474" i="3" s="1"/>
  <c r="L6473" i="3"/>
  <c r="J6473" i="3"/>
  <c r="K6473" i="3" s="1"/>
  <c r="L6472" i="3"/>
  <c r="K6472" i="3"/>
  <c r="J6472" i="3"/>
  <c r="L6471" i="3"/>
  <c r="J6471" i="3"/>
  <c r="K6471" i="3" s="1"/>
  <c r="L6470" i="3"/>
  <c r="J6470" i="3"/>
  <c r="K6470" i="3" s="1"/>
  <c r="L6469" i="3"/>
  <c r="J6469" i="3"/>
  <c r="K6469" i="3" s="1"/>
  <c r="L6468" i="3"/>
  <c r="J6468" i="3"/>
  <c r="K6468" i="3" s="1"/>
  <c r="L6467" i="3"/>
  <c r="J6467" i="3"/>
  <c r="K6467" i="3" s="1"/>
  <c r="L6466" i="3"/>
  <c r="J6466" i="3"/>
  <c r="K6466" i="3" s="1"/>
  <c r="L6465" i="3"/>
  <c r="J6465" i="3"/>
  <c r="K6465" i="3" s="1"/>
  <c r="L6464" i="3"/>
  <c r="J6464" i="3"/>
  <c r="K6464" i="3" s="1"/>
  <c r="L6463" i="3"/>
  <c r="J6463" i="3"/>
  <c r="K6463" i="3" s="1"/>
  <c r="L6462" i="3"/>
  <c r="J6462" i="3"/>
  <c r="K6462" i="3" s="1"/>
  <c r="L6461" i="3"/>
  <c r="J6461" i="3"/>
  <c r="K6461" i="3" s="1"/>
  <c r="L6460" i="3"/>
  <c r="J6460" i="3"/>
  <c r="K6460" i="3" s="1"/>
  <c r="L6459" i="3"/>
  <c r="J6459" i="3"/>
  <c r="K6459" i="3" s="1"/>
  <c r="L6458" i="3"/>
  <c r="J6458" i="3"/>
  <c r="K6458" i="3" s="1"/>
  <c r="L6457" i="3"/>
  <c r="J6457" i="3"/>
  <c r="K6457" i="3" s="1"/>
  <c r="L6456" i="3"/>
  <c r="J6456" i="3"/>
  <c r="K6456" i="3" s="1"/>
  <c r="L6455" i="3"/>
  <c r="J6455" i="3"/>
  <c r="K6455" i="3" s="1"/>
  <c r="L6454" i="3"/>
  <c r="J6454" i="3"/>
  <c r="K6454" i="3" s="1"/>
  <c r="L6453" i="3"/>
  <c r="J6453" i="3"/>
  <c r="K6453" i="3" s="1"/>
  <c r="L6452" i="3"/>
  <c r="J6452" i="3"/>
  <c r="K6452" i="3" s="1"/>
  <c r="L6451" i="3"/>
  <c r="J6451" i="3"/>
  <c r="K6451" i="3" s="1"/>
  <c r="L6450" i="3"/>
  <c r="J6450" i="3"/>
  <c r="K6450" i="3" s="1"/>
  <c r="L6449" i="3"/>
  <c r="J6449" i="3"/>
  <c r="K6449" i="3" s="1"/>
  <c r="L6448" i="3"/>
  <c r="J6448" i="3"/>
  <c r="K6448" i="3" s="1"/>
  <c r="L6447" i="3"/>
  <c r="J6447" i="3"/>
  <c r="K6447" i="3" s="1"/>
  <c r="L6446" i="3"/>
  <c r="J6446" i="3"/>
  <c r="K6446" i="3" s="1"/>
  <c r="L6445" i="3"/>
  <c r="J6445" i="3"/>
  <c r="K6445" i="3" s="1"/>
  <c r="L6444" i="3"/>
  <c r="J6444" i="3"/>
  <c r="K6444" i="3" s="1"/>
  <c r="L6443" i="3"/>
  <c r="J6443" i="3"/>
  <c r="K6443" i="3" s="1"/>
  <c r="L6442" i="3"/>
  <c r="J6442" i="3"/>
  <c r="K6442" i="3" s="1"/>
  <c r="L6441" i="3"/>
  <c r="J6441" i="3"/>
  <c r="K6441" i="3" s="1"/>
  <c r="L6440" i="3"/>
  <c r="J6440" i="3"/>
  <c r="K6440" i="3" s="1"/>
  <c r="L6439" i="3"/>
  <c r="J6439" i="3"/>
  <c r="K6439" i="3" s="1"/>
  <c r="L6438" i="3"/>
  <c r="J6438" i="3"/>
  <c r="K6438" i="3" s="1"/>
  <c r="L6437" i="3"/>
  <c r="J6437" i="3"/>
  <c r="K6437" i="3" s="1"/>
  <c r="L6436" i="3"/>
  <c r="J6436" i="3"/>
  <c r="K6436" i="3" s="1"/>
  <c r="L6435" i="3"/>
  <c r="J6435" i="3"/>
  <c r="K6435" i="3" s="1"/>
  <c r="L6434" i="3"/>
  <c r="J6434" i="3"/>
  <c r="K6434" i="3" s="1"/>
  <c r="L6433" i="3"/>
  <c r="J6433" i="3"/>
  <c r="K6433" i="3" s="1"/>
  <c r="L6432" i="3"/>
  <c r="J6432" i="3"/>
  <c r="K6432" i="3" s="1"/>
  <c r="L6431" i="3"/>
  <c r="J6431" i="3"/>
  <c r="K6431" i="3" s="1"/>
  <c r="L6430" i="3"/>
  <c r="J6430" i="3"/>
  <c r="K6430" i="3" s="1"/>
  <c r="L6429" i="3"/>
  <c r="J6429" i="3"/>
  <c r="K6429" i="3" s="1"/>
  <c r="L6428" i="3"/>
  <c r="J6428" i="3"/>
  <c r="K6428" i="3" s="1"/>
  <c r="L6427" i="3"/>
  <c r="J6427" i="3"/>
  <c r="K6427" i="3" s="1"/>
  <c r="L6426" i="3"/>
  <c r="J6426" i="3"/>
  <c r="K6426" i="3" s="1"/>
  <c r="L6425" i="3"/>
  <c r="J6425" i="3"/>
  <c r="K6425" i="3" s="1"/>
  <c r="L6424" i="3"/>
  <c r="J6424" i="3"/>
  <c r="K6424" i="3" s="1"/>
  <c r="L6423" i="3"/>
  <c r="J6423" i="3"/>
  <c r="K6423" i="3" s="1"/>
  <c r="L6422" i="3"/>
  <c r="J6422" i="3"/>
  <c r="K6422" i="3" s="1"/>
  <c r="L6421" i="3"/>
  <c r="J6421" i="3"/>
  <c r="K6421" i="3" s="1"/>
  <c r="L6420" i="3"/>
  <c r="J6420" i="3"/>
  <c r="K6420" i="3" s="1"/>
  <c r="L6419" i="3"/>
  <c r="J6419" i="3"/>
  <c r="K6419" i="3" s="1"/>
  <c r="L6418" i="3"/>
  <c r="J6418" i="3"/>
  <c r="K6418" i="3" s="1"/>
  <c r="L6417" i="3"/>
  <c r="J6417" i="3"/>
  <c r="K6417" i="3" s="1"/>
  <c r="L6416" i="3"/>
  <c r="J6416" i="3"/>
  <c r="K6416" i="3" s="1"/>
  <c r="L6415" i="3"/>
  <c r="J6415" i="3"/>
  <c r="K6415" i="3" s="1"/>
  <c r="L6414" i="3"/>
  <c r="J6414" i="3"/>
  <c r="K6414" i="3" s="1"/>
  <c r="L6413" i="3"/>
  <c r="J6413" i="3"/>
  <c r="K6413" i="3" s="1"/>
  <c r="L6412" i="3"/>
  <c r="J6412" i="3"/>
  <c r="K6412" i="3" s="1"/>
  <c r="L6411" i="3"/>
  <c r="J6411" i="3"/>
  <c r="K6411" i="3" s="1"/>
  <c r="L6410" i="3"/>
  <c r="J6410" i="3"/>
  <c r="K6410" i="3" s="1"/>
  <c r="L6409" i="3"/>
  <c r="J6409" i="3"/>
  <c r="K6409" i="3" s="1"/>
  <c r="L6408" i="3"/>
  <c r="J6408" i="3"/>
  <c r="K6408" i="3" s="1"/>
  <c r="L6407" i="3"/>
  <c r="J6407" i="3"/>
  <c r="K6407" i="3" s="1"/>
  <c r="L6406" i="3"/>
  <c r="J6406" i="3"/>
  <c r="K6406" i="3" s="1"/>
  <c r="L6405" i="3"/>
  <c r="J6405" i="3"/>
  <c r="K6405" i="3" s="1"/>
  <c r="L6404" i="3"/>
  <c r="J6404" i="3"/>
  <c r="K6404" i="3" s="1"/>
  <c r="L6403" i="3"/>
  <c r="J6403" i="3"/>
  <c r="K6403" i="3" s="1"/>
  <c r="L6402" i="3"/>
  <c r="J6402" i="3"/>
  <c r="K6402" i="3" s="1"/>
  <c r="L6401" i="3"/>
  <c r="J6401" i="3"/>
  <c r="K6401" i="3" s="1"/>
  <c r="L6400" i="3"/>
  <c r="J6400" i="3"/>
  <c r="K6400" i="3" s="1"/>
  <c r="L6399" i="3"/>
  <c r="J6399" i="3"/>
  <c r="K6399" i="3" s="1"/>
  <c r="L6398" i="3"/>
  <c r="J6398" i="3"/>
  <c r="K6398" i="3" s="1"/>
  <c r="L6397" i="3"/>
  <c r="J6397" i="3"/>
  <c r="K6397" i="3" s="1"/>
  <c r="L6396" i="3"/>
  <c r="J6396" i="3"/>
  <c r="K6396" i="3" s="1"/>
  <c r="L6395" i="3"/>
  <c r="J6395" i="3"/>
  <c r="K6395" i="3" s="1"/>
  <c r="L6394" i="3"/>
  <c r="J6394" i="3"/>
  <c r="K6394" i="3" s="1"/>
  <c r="L6393" i="3"/>
  <c r="J6393" i="3"/>
  <c r="K6393" i="3" s="1"/>
  <c r="L6392" i="3"/>
  <c r="J6392" i="3"/>
  <c r="K6392" i="3" s="1"/>
  <c r="L6391" i="3"/>
  <c r="J6391" i="3"/>
  <c r="K6391" i="3" s="1"/>
  <c r="L6390" i="3"/>
  <c r="J6390" i="3"/>
  <c r="K6390" i="3" s="1"/>
  <c r="L6389" i="3"/>
  <c r="J6389" i="3"/>
  <c r="K6389" i="3" s="1"/>
  <c r="L6388" i="3"/>
  <c r="J6388" i="3"/>
  <c r="K6388" i="3" s="1"/>
  <c r="L6387" i="3"/>
  <c r="J6387" i="3"/>
  <c r="K6387" i="3" s="1"/>
  <c r="L6386" i="3"/>
  <c r="J6386" i="3"/>
  <c r="K6386" i="3" s="1"/>
  <c r="L6385" i="3"/>
  <c r="J6385" i="3"/>
  <c r="K6385" i="3" s="1"/>
  <c r="L6384" i="3"/>
  <c r="J6384" i="3"/>
  <c r="K6384" i="3" s="1"/>
  <c r="L6383" i="3"/>
  <c r="J6383" i="3"/>
  <c r="K6383" i="3" s="1"/>
  <c r="L6382" i="3"/>
  <c r="J6382" i="3"/>
  <c r="K6382" i="3" s="1"/>
  <c r="L6381" i="3"/>
  <c r="J6381" i="3"/>
  <c r="K6381" i="3" s="1"/>
  <c r="L6380" i="3"/>
  <c r="J6380" i="3"/>
  <c r="K6380" i="3" s="1"/>
  <c r="L6379" i="3"/>
  <c r="J6379" i="3"/>
  <c r="K6379" i="3" s="1"/>
  <c r="L6378" i="3"/>
  <c r="J6378" i="3"/>
  <c r="K6378" i="3" s="1"/>
  <c r="L6377" i="3"/>
  <c r="J6377" i="3"/>
  <c r="K6377" i="3" s="1"/>
  <c r="L6376" i="3"/>
  <c r="J6376" i="3"/>
  <c r="K6376" i="3" s="1"/>
  <c r="L6375" i="3"/>
  <c r="J6375" i="3"/>
  <c r="K6375" i="3" s="1"/>
  <c r="L6374" i="3"/>
  <c r="J6374" i="3"/>
  <c r="K6374" i="3" s="1"/>
  <c r="L6373" i="3"/>
  <c r="J6373" i="3"/>
  <c r="K6373" i="3" s="1"/>
  <c r="L6372" i="3"/>
  <c r="J6372" i="3"/>
  <c r="K6372" i="3" s="1"/>
  <c r="L6371" i="3"/>
  <c r="J6371" i="3"/>
  <c r="K6371" i="3" s="1"/>
  <c r="L6370" i="3"/>
  <c r="J6370" i="3"/>
  <c r="K6370" i="3" s="1"/>
  <c r="L6369" i="3"/>
  <c r="J6369" i="3"/>
  <c r="K6369" i="3" s="1"/>
  <c r="L6368" i="3"/>
  <c r="J6368" i="3"/>
  <c r="K6368" i="3" s="1"/>
  <c r="L6367" i="3"/>
  <c r="J6367" i="3"/>
  <c r="K6367" i="3" s="1"/>
  <c r="L6366" i="3"/>
  <c r="J6366" i="3"/>
  <c r="K6366" i="3" s="1"/>
  <c r="L6365" i="3"/>
  <c r="J6365" i="3"/>
  <c r="K6365" i="3" s="1"/>
  <c r="L6364" i="3"/>
  <c r="J6364" i="3"/>
  <c r="K6364" i="3" s="1"/>
  <c r="L6363" i="3"/>
  <c r="J6363" i="3"/>
  <c r="K6363" i="3" s="1"/>
  <c r="L6362" i="3"/>
  <c r="J6362" i="3"/>
  <c r="K6362" i="3" s="1"/>
  <c r="L6361" i="3"/>
  <c r="J6361" i="3"/>
  <c r="K6361" i="3" s="1"/>
  <c r="L6360" i="3"/>
  <c r="J6360" i="3"/>
  <c r="K6360" i="3" s="1"/>
  <c r="L6359" i="3"/>
  <c r="J6359" i="3"/>
  <c r="K6359" i="3" s="1"/>
  <c r="L6358" i="3"/>
  <c r="J6358" i="3"/>
  <c r="K6358" i="3" s="1"/>
  <c r="L6357" i="3"/>
  <c r="J6357" i="3"/>
  <c r="K6357" i="3" s="1"/>
  <c r="L6356" i="3"/>
  <c r="J6356" i="3"/>
  <c r="K6356" i="3" s="1"/>
  <c r="L6355" i="3"/>
  <c r="J6355" i="3"/>
  <c r="K6355" i="3" s="1"/>
  <c r="L6354" i="3"/>
  <c r="J6354" i="3"/>
  <c r="K6354" i="3" s="1"/>
  <c r="L6353" i="3"/>
  <c r="J6353" i="3"/>
  <c r="K6353" i="3" s="1"/>
  <c r="L6352" i="3"/>
  <c r="J6352" i="3"/>
  <c r="K6352" i="3" s="1"/>
  <c r="L6351" i="3"/>
  <c r="J6351" i="3"/>
  <c r="K6351" i="3" s="1"/>
  <c r="L6350" i="3"/>
  <c r="J6350" i="3"/>
  <c r="K6350" i="3" s="1"/>
  <c r="L6349" i="3"/>
  <c r="J6349" i="3"/>
  <c r="K6349" i="3" s="1"/>
  <c r="L6348" i="3"/>
  <c r="J6348" i="3"/>
  <c r="K6348" i="3" s="1"/>
  <c r="L6347" i="3"/>
  <c r="J6347" i="3"/>
  <c r="K6347" i="3" s="1"/>
  <c r="L6346" i="3"/>
  <c r="J6346" i="3"/>
  <c r="K6346" i="3" s="1"/>
  <c r="L6345" i="3"/>
  <c r="J6345" i="3"/>
  <c r="K6345" i="3" s="1"/>
  <c r="L6344" i="3"/>
  <c r="J6344" i="3"/>
  <c r="K6344" i="3" s="1"/>
  <c r="L6343" i="3"/>
  <c r="J6343" i="3"/>
  <c r="K6343" i="3" s="1"/>
  <c r="L6342" i="3"/>
  <c r="J6342" i="3"/>
  <c r="K6342" i="3" s="1"/>
  <c r="L6341" i="3"/>
  <c r="J6341" i="3"/>
  <c r="K6341" i="3" s="1"/>
  <c r="L6340" i="3"/>
  <c r="J6340" i="3"/>
  <c r="K6340" i="3" s="1"/>
  <c r="L6339" i="3"/>
  <c r="J6339" i="3"/>
  <c r="K6339" i="3" s="1"/>
  <c r="L6338" i="3"/>
  <c r="J6338" i="3"/>
  <c r="K6338" i="3" s="1"/>
  <c r="L6337" i="3"/>
  <c r="J6337" i="3"/>
  <c r="K6337" i="3" s="1"/>
  <c r="L6336" i="3"/>
  <c r="J6336" i="3"/>
  <c r="K6336" i="3" s="1"/>
  <c r="L6335" i="3"/>
  <c r="J6335" i="3"/>
  <c r="K6335" i="3" s="1"/>
  <c r="L6334" i="3"/>
  <c r="J6334" i="3"/>
  <c r="K6334" i="3" s="1"/>
  <c r="L6333" i="3"/>
  <c r="J6333" i="3"/>
  <c r="K6333" i="3" s="1"/>
  <c r="L6332" i="3"/>
  <c r="J6332" i="3"/>
  <c r="K6332" i="3" s="1"/>
  <c r="L6331" i="3"/>
  <c r="J6331" i="3"/>
  <c r="K6331" i="3" s="1"/>
  <c r="L6330" i="3"/>
  <c r="J6330" i="3"/>
  <c r="K6330" i="3" s="1"/>
  <c r="L6329" i="3"/>
  <c r="J6329" i="3"/>
  <c r="K6329" i="3" s="1"/>
  <c r="L6328" i="3"/>
  <c r="J6328" i="3"/>
  <c r="K6328" i="3" s="1"/>
  <c r="L6327" i="3"/>
  <c r="J6327" i="3"/>
  <c r="K6327" i="3" s="1"/>
  <c r="L6326" i="3"/>
  <c r="J6326" i="3"/>
  <c r="K6326" i="3" s="1"/>
  <c r="L6325" i="3"/>
  <c r="J6325" i="3"/>
  <c r="K6325" i="3" s="1"/>
  <c r="L6324" i="3"/>
  <c r="J6324" i="3"/>
  <c r="K6324" i="3" s="1"/>
  <c r="L6323" i="3"/>
  <c r="J6323" i="3"/>
  <c r="K6323" i="3" s="1"/>
  <c r="L6322" i="3"/>
  <c r="J6322" i="3"/>
  <c r="K6322" i="3" s="1"/>
  <c r="L6321" i="3"/>
  <c r="J6321" i="3"/>
  <c r="K6321" i="3" s="1"/>
  <c r="L6320" i="3"/>
  <c r="J6320" i="3"/>
  <c r="K6320" i="3" s="1"/>
  <c r="L6319" i="3"/>
  <c r="J6319" i="3"/>
  <c r="K6319" i="3" s="1"/>
  <c r="L6318" i="3"/>
  <c r="J6318" i="3"/>
  <c r="K6318" i="3" s="1"/>
  <c r="L6317" i="3"/>
  <c r="J6317" i="3"/>
  <c r="K6317" i="3" s="1"/>
  <c r="L6316" i="3"/>
  <c r="J6316" i="3"/>
  <c r="K6316" i="3" s="1"/>
  <c r="L6315" i="3"/>
  <c r="J6315" i="3"/>
  <c r="K6315" i="3" s="1"/>
  <c r="L6314" i="3"/>
  <c r="J6314" i="3"/>
  <c r="K6314" i="3" s="1"/>
  <c r="L6313" i="3"/>
  <c r="J6313" i="3"/>
  <c r="K6313" i="3" s="1"/>
  <c r="L6312" i="3"/>
  <c r="J6312" i="3"/>
  <c r="K6312" i="3" s="1"/>
  <c r="L6311" i="3"/>
  <c r="J6311" i="3"/>
  <c r="K6311" i="3" s="1"/>
  <c r="L6310" i="3"/>
  <c r="J6310" i="3"/>
  <c r="K6310" i="3" s="1"/>
  <c r="L6309" i="3"/>
  <c r="J6309" i="3"/>
  <c r="K6309" i="3" s="1"/>
  <c r="L6308" i="3"/>
  <c r="J6308" i="3"/>
  <c r="K6308" i="3" s="1"/>
  <c r="L6307" i="3"/>
  <c r="J6307" i="3"/>
  <c r="K6307" i="3" s="1"/>
  <c r="L6306" i="3"/>
  <c r="J6306" i="3"/>
  <c r="K6306" i="3" s="1"/>
  <c r="L6305" i="3"/>
  <c r="J6305" i="3"/>
  <c r="K6305" i="3" s="1"/>
  <c r="L6304" i="3"/>
  <c r="J6304" i="3"/>
  <c r="K6304" i="3" s="1"/>
  <c r="L6303" i="3"/>
  <c r="J6303" i="3"/>
  <c r="K6303" i="3" s="1"/>
  <c r="L6302" i="3"/>
  <c r="J6302" i="3"/>
  <c r="K6302" i="3" s="1"/>
  <c r="L6301" i="3"/>
  <c r="J6301" i="3"/>
  <c r="K6301" i="3" s="1"/>
  <c r="L6300" i="3"/>
  <c r="J6300" i="3"/>
  <c r="K6300" i="3" s="1"/>
  <c r="L6299" i="3"/>
  <c r="J6299" i="3"/>
  <c r="K6299" i="3" s="1"/>
  <c r="L6298" i="3"/>
  <c r="J6298" i="3"/>
  <c r="K6298" i="3" s="1"/>
  <c r="L6297" i="3"/>
  <c r="J6297" i="3"/>
  <c r="K6297" i="3" s="1"/>
  <c r="L6296" i="3"/>
  <c r="J6296" i="3"/>
  <c r="K6296" i="3" s="1"/>
  <c r="L6295" i="3"/>
  <c r="J6295" i="3"/>
  <c r="K6295" i="3" s="1"/>
  <c r="L6294" i="3"/>
  <c r="J6294" i="3"/>
  <c r="K6294" i="3" s="1"/>
  <c r="L6293" i="3"/>
  <c r="J6293" i="3"/>
  <c r="K6293" i="3" s="1"/>
  <c r="L6292" i="3"/>
  <c r="J6292" i="3"/>
  <c r="K6292" i="3" s="1"/>
  <c r="L6291" i="3"/>
  <c r="J6291" i="3"/>
  <c r="K6291" i="3" s="1"/>
  <c r="L6290" i="3"/>
  <c r="J6290" i="3"/>
  <c r="K6290" i="3" s="1"/>
  <c r="L6289" i="3"/>
  <c r="J6289" i="3"/>
  <c r="K6289" i="3" s="1"/>
  <c r="L6288" i="3"/>
  <c r="J6288" i="3"/>
  <c r="K6288" i="3" s="1"/>
  <c r="L6287" i="3"/>
  <c r="J6287" i="3"/>
  <c r="K6287" i="3" s="1"/>
  <c r="L6286" i="3"/>
  <c r="J6286" i="3"/>
  <c r="K6286" i="3" s="1"/>
  <c r="L6285" i="3"/>
  <c r="J6285" i="3"/>
  <c r="K6285" i="3" s="1"/>
  <c r="L6284" i="3"/>
  <c r="J6284" i="3"/>
  <c r="K6284" i="3" s="1"/>
  <c r="L6283" i="3"/>
  <c r="J6283" i="3"/>
  <c r="K6283" i="3" s="1"/>
  <c r="L6282" i="3"/>
  <c r="J6282" i="3"/>
  <c r="K6282" i="3" s="1"/>
  <c r="L6281" i="3"/>
  <c r="J6281" i="3"/>
  <c r="K6281" i="3" s="1"/>
  <c r="L6280" i="3"/>
  <c r="J6280" i="3"/>
  <c r="K6280" i="3" s="1"/>
  <c r="L6279" i="3"/>
  <c r="J6279" i="3"/>
  <c r="K6279" i="3" s="1"/>
  <c r="L6278" i="3"/>
  <c r="J6278" i="3"/>
  <c r="K6278" i="3" s="1"/>
  <c r="L6277" i="3"/>
  <c r="J6277" i="3"/>
  <c r="K6277" i="3" s="1"/>
  <c r="L6276" i="3"/>
  <c r="J6276" i="3"/>
  <c r="K6276" i="3" s="1"/>
  <c r="L6275" i="3"/>
  <c r="J6275" i="3"/>
  <c r="K6275" i="3" s="1"/>
  <c r="L6274" i="3"/>
  <c r="J6274" i="3"/>
  <c r="K6274" i="3" s="1"/>
  <c r="L6273" i="3"/>
  <c r="J6273" i="3"/>
  <c r="K6273" i="3" s="1"/>
  <c r="L6272" i="3"/>
  <c r="J6272" i="3"/>
  <c r="K6272" i="3" s="1"/>
  <c r="L6271" i="3"/>
  <c r="J6271" i="3"/>
  <c r="K6271" i="3" s="1"/>
  <c r="L6270" i="3"/>
  <c r="J6270" i="3"/>
  <c r="K6270" i="3" s="1"/>
  <c r="L6269" i="3"/>
  <c r="J6269" i="3"/>
  <c r="K6269" i="3" s="1"/>
  <c r="L6268" i="3"/>
  <c r="J6268" i="3"/>
  <c r="K6268" i="3" s="1"/>
  <c r="L6267" i="3"/>
  <c r="J6267" i="3"/>
  <c r="K6267" i="3" s="1"/>
  <c r="L6266" i="3"/>
  <c r="J6266" i="3"/>
  <c r="K6266" i="3" s="1"/>
  <c r="L6265" i="3"/>
  <c r="J6265" i="3"/>
  <c r="K6265" i="3" s="1"/>
  <c r="L6264" i="3"/>
  <c r="J6264" i="3"/>
  <c r="K6264" i="3" s="1"/>
  <c r="L6263" i="3"/>
  <c r="J6263" i="3"/>
  <c r="K6263" i="3" s="1"/>
  <c r="L6262" i="3"/>
  <c r="J6262" i="3"/>
  <c r="K6262" i="3" s="1"/>
  <c r="L6261" i="3"/>
  <c r="J6261" i="3"/>
  <c r="K6261" i="3" s="1"/>
  <c r="L6260" i="3"/>
  <c r="J6260" i="3"/>
  <c r="K6260" i="3" s="1"/>
  <c r="L6259" i="3"/>
  <c r="J6259" i="3"/>
  <c r="K6259" i="3" s="1"/>
  <c r="L6258" i="3"/>
  <c r="J6258" i="3"/>
  <c r="K6258" i="3" s="1"/>
  <c r="L6257" i="3"/>
  <c r="J6257" i="3"/>
  <c r="K6257" i="3" s="1"/>
  <c r="L6256" i="3"/>
  <c r="J6256" i="3"/>
  <c r="K6256" i="3" s="1"/>
  <c r="L6255" i="3"/>
  <c r="J6255" i="3"/>
  <c r="K6255" i="3" s="1"/>
  <c r="L6254" i="3"/>
  <c r="J6254" i="3"/>
  <c r="K6254" i="3" s="1"/>
  <c r="L6253" i="3"/>
  <c r="J6253" i="3"/>
  <c r="K6253" i="3" s="1"/>
  <c r="L6252" i="3"/>
  <c r="J6252" i="3"/>
  <c r="K6252" i="3" s="1"/>
  <c r="L6251" i="3"/>
  <c r="J6251" i="3"/>
  <c r="K6251" i="3" s="1"/>
  <c r="L6250" i="3"/>
  <c r="J6250" i="3"/>
  <c r="K6250" i="3" s="1"/>
  <c r="L6249" i="3"/>
  <c r="J6249" i="3"/>
  <c r="K6249" i="3" s="1"/>
  <c r="L6248" i="3"/>
  <c r="J6248" i="3"/>
  <c r="K6248" i="3" s="1"/>
  <c r="L6247" i="3"/>
  <c r="J6247" i="3"/>
  <c r="K6247" i="3" s="1"/>
  <c r="L6246" i="3"/>
  <c r="J6246" i="3"/>
  <c r="K6246" i="3" s="1"/>
  <c r="L6245" i="3"/>
  <c r="J6245" i="3"/>
  <c r="K6245" i="3" s="1"/>
  <c r="L6244" i="3"/>
  <c r="J6244" i="3"/>
  <c r="K6244" i="3" s="1"/>
  <c r="L6243" i="3"/>
  <c r="J6243" i="3"/>
  <c r="K6243" i="3" s="1"/>
  <c r="L6242" i="3"/>
  <c r="J6242" i="3"/>
  <c r="K6242" i="3" s="1"/>
  <c r="L6241" i="3"/>
  <c r="J6241" i="3"/>
  <c r="K6241" i="3" s="1"/>
  <c r="L6240" i="3"/>
  <c r="J6240" i="3"/>
  <c r="K6240" i="3" s="1"/>
  <c r="L6239" i="3"/>
  <c r="J6239" i="3"/>
  <c r="K6239" i="3" s="1"/>
  <c r="L6238" i="3"/>
  <c r="J6238" i="3"/>
  <c r="K6238" i="3" s="1"/>
  <c r="L6237" i="3"/>
  <c r="J6237" i="3"/>
  <c r="K6237" i="3" s="1"/>
  <c r="L6236" i="3"/>
  <c r="J6236" i="3"/>
  <c r="K6236" i="3" s="1"/>
  <c r="L6235" i="3"/>
  <c r="J6235" i="3"/>
  <c r="K6235" i="3" s="1"/>
  <c r="L6234" i="3"/>
  <c r="J6234" i="3"/>
  <c r="K6234" i="3" s="1"/>
  <c r="L6233" i="3"/>
  <c r="J6233" i="3"/>
  <c r="K6233" i="3" s="1"/>
  <c r="L6232" i="3"/>
  <c r="J6232" i="3"/>
  <c r="K6232" i="3" s="1"/>
  <c r="L6231" i="3"/>
  <c r="J6231" i="3"/>
  <c r="K6231" i="3" s="1"/>
  <c r="L6230" i="3"/>
  <c r="J6230" i="3"/>
  <c r="K6230" i="3" s="1"/>
  <c r="L6229" i="3"/>
  <c r="J6229" i="3"/>
  <c r="K6229" i="3" s="1"/>
  <c r="L6228" i="3"/>
  <c r="J6228" i="3"/>
  <c r="K6228" i="3" s="1"/>
  <c r="L6227" i="3"/>
  <c r="J6227" i="3"/>
  <c r="K6227" i="3" s="1"/>
  <c r="L6226" i="3"/>
  <c r="J6226" i="3"/>
  <c r="K6226" i="3" s="1"/>
  <c r="L6225" i="3"/>
  <c r="J6225" i="3"/>
  <c r="K6225" i="3" s="1"/>
  <c r="L6224" i="3"/>
  <c r="J6224" i="3"/>
  <c r="K6224" i="3" s="1"/>
  <c r="L6223" i="3"/>
  <c r="J6223" i="3"/>
  <c r="K6223" i="3" s="1"/>
  <c r="L6222" i="3"/>
  <c r="J6222" i="3"/>
  <c r="K6222" i="3" s="1"/>
  <c r="L6221" i="3"/>
  <c r="J6221" i="3"/>
  <c r="K6221" i="3" s="1"/>
  <c r="L6220" i="3"/>
  <c r="J6220" i="3"/>
  <c r="K6220" i="3" s="1"/>
  <c r="L6219" i="3"/>
  <c r="J6219" i="3"/>
  <c r="K6219" i="3" s="1"/>
  <c r="L6218" i="3"/>
  <c r="J6218" i="3"/>
  <c r="K6218" i="3" s="1"/>
  <c r="L6217" i="3"/>
  <c r="J6217" i="3"/>
  <c r="K6217" i="3" s="1"/>
  <c r="L6216" i="3"/>
  <c r="J6216" i="3"/>
  <c r="K6216" i="3" s="1"/>
  <c r="L6215" i="3"/>
  <c r="J6215" i="3"/>
  <c r="K6215" i="3" s="1"/>
  <c r="L6214" i="3"/>
  <c r="J6214" i="3"/>
  <c r="K6214" i="3" s="1"/>
  <c r="L6213" i="3"/>
  <c r="J6213" i="3"/>
  <c r="K6213" i="3" s="1"/>
  <c r="L6212" i="3"/>
  <c r="J6212" i="3"/>
  <c r="K6212" i="3" s="1"/>
  <c r="L6211" i="3"/>
  <c r="J6211" i="3"/>
  <c r="K6211" i="3" s="1"/>
  <c r="L6210" i="3"/>
  <c r="J6210" i="3"/>
  <c r="K6210" i="3" s="1"/>
  <c r="L6209" i="3"/>
  <c r="J6209" i="3"/>
  <c r="K6209" i="3" s="1"/>
  <c r="L6208" i="3"/>
  <c r="J6208" i="3"/>
  <c r="K6208" i="3" s="1"/>
  <c r="L6207" i="3"/>
  <c r="J6207" i="3"/>
  <c r="K6207" i="3" s="1"/>
  <c r="L6206" i="3"/>
  <c r="J6206" i="3"/>
  <c r="K6206" i="3" s="1"/>
  <c r="L6205" i="3"/>
  <c r="J6205" i="3"/>
  <c r="K6205" i="3" s="1"/>
  <c r="L6204" i="3"/>
  <c r="J6204" i="3"/>
  <c r="K6204" i="3" s="1"/>
  <c r="L6203" i="3"/>
  <c r="J6203" i="3"/>
  <c r="K6203" i="3" s="1"/>
  <c r="L6202" i="3"/>
  <c r="J6202" i="3"/>
  <c r="K6202" i="3" s="1"/>
  <c r="L6201" i="3"/>
  <c r="J6201" i="3"/>
  <c r="K6201" i="3" s="1"/>
  <c r="L6200" i="3"/>
  <c r="J6200" i="3"/>
  <c r="K6200" i="3" s="1"/>
  <c r="L6199" i="3"/>
  <c r="J6199" i="3"/>
  <c r="K6199" i="3" s="1"/>
  <c r="L6198" i="3"/>
  <c r="J6198" i="3"/>
  <c r="K6198" i="3" s="1"/>
  <c r="L6197" i="3"/>
  <c r="J6197" i="3"/>
  <c r="K6197" i="3" s="1"/>
  <c r="L6196" i="3"/>
  <c r="J6196" i="3"/>
  <c r="K6196" i="3" s="1"/>
  <c r="L6195" i="3"/>
  <c r="J6195" i="3"/>
  <c r="K6195" i="3" s="1"/>
  <c r="L6194" i="3"/>
  <c r="J6194" i="3"/>
  <c r="K6194" i="3" s="1"/>
  <c r="L6193" i="3"/>
  <c r="J6193" i="3"/>
  <c r="K6193" i="3" s="1"/>
  <c r="L6192" i="3"/>
  <c r="J6192" i="3"/>
  <c r="K6192" i="3" s="1"/>
  <c r="L6191" i="3"/>
  <c r="J6191" i="3"/>
  <c r="K6191" i="3" s="1"/>
  <c r="L6190" i="3"/>
  <c r="J6190" i="3"/>
  <c r="K6190" i="3" s="1"/>
  <c r="L6189" i="3"/>
  <c r="J6189" i="3"/>
  <c r="K6189" i="3" s="1"/>
  <c r="L6188" i="3"/>
  <c r="J6188" i="3"/>
  <c r="K6188" i="3" s="1"/>
  <c r="L6187" i="3"/>
  <c r="J6187" i="3"/>
  <c r="K6187" i="3" s="1"/>
  <c r="L6186" i="3"/>
  <c r="J6186" i="3"/>
  <c r="K6186" i="3" s="1"/>
  <c r="L6185" i="3"/>
  <c r="J6185" i="3"/>
  <c r="K6185" i="3" s="1"/>
  <c r="L6184" i="3"/>
  <c r="J6184" i="3"/>
  <c r="K6184" i="3" s="1"/>
  <c r="L6183" i="3"/>
  <c r="J6183" i="3"/>
  <c r="K6183" i="3" s="1"/>
  <c r="L6182" i="3"/>
  <c r="J6182" i="3"/>
  <c r="K6182" i="3" s="1"/>
  <c r="L6181" i="3"/>
  <c r="J6181" i="3"/>
  <c r="K6181" i="3" s="1"/>
  <c r="L6180" i="3"/>
  <c r="J6180" i="3"/>
  <c r="K6180" i="3" s="1"/>
  <c r="L6179" i="3"/>
  <c r="J6179" i="3"/>
  <c r="K6179" i="3" s="1"/>
  <c r="L6178" i="3"/>
  <c r="J6178" i="3"/>
  <c r="K6178" i="3" s="1"/>
  <c r="L6177" i="3"/>
  <c r="J6177" i="3"/>
  <c r="K6177" i="3" s="1"/>
  <c r="L6176" i="3"/>
  <c r="J6176" i="3"/>
  <c r="K6176" i="3" s="1"/>
  <c r="L6175" i="3"/>
  <c r="J6175" i="3"/>
  <c r="K6175" i="3" s="1"/>
  <c r="L6174" i="3"/>
  <c r="J6174" i="3"/>
  <c r="K6174" i="3" s="1"/>
  <c r="L6173" i="3"/>
  <c r="J6173" i="3"/>
  <c r="K6173" i="3" s="1"/>
  <c r="L6172" i="3"/>
  <c r="J6172" i="3"/>
  <c r="K6172" i="3" s="1"/>
  <c r="L6171" i="3"/>
  <c r="J6171" i="3"/>
  <c r="K6171" i="3" s="1"/>
  <c r="L6170" i="3"/>
  <c r="J6170" i="3"/>
  <c r="K6170" i="3" s="1"/>
  <c r="L6169" i="3"/>
  <c r="J6169" i="3"/>
  <c r="K6169" i="3" s="1"/>
  <c r="L6168" i="3"/>
  <c r="J6168" i="3"/>
  <c r="K6168" i="3" s="1"/>
  <c r="L6167" i="3"/>
  <c r="J6167" i="3"/>
  <c r="K6167" i="3" s="1"/>
  <c r="L6166" i="3"/>
  <c r="J6166" i="3"/>
  <c r="K6166" i="3" s="1"/>
  <c r="L6165" i="3"/>
  <c r="J6165" i="3"/>
  <c r="K6165" i="3" s="1"/>
  <c r="L6164" i="3"/>
  <c r="J6164" i="3"/>
  <c r="K6164" i="3" s="1"/>
  <c r="L6163" i="3"/>
  <c r="J6163" i="3"/>
  <c r="K6163" i="3" s="1"/>
  <c r="L6162" i="3"/>
  <c r="J6162" i="3"/>
  <c r="K6162" i="3" s="1"/>
  <c r="L6161" i="3"/>
  <c r="J6161" i="3"/>
  <c r="K6161" i="3" s="1"/>
  <c r="L6160" i="3"/>
  <c r="J6160" i="3"/>
  <c r="K6160" i="3" s="1"/>
  <c r="L6159" i="3"/>
  <c r="J6159" i="3"/>
  <c r="K6159" i="3" s="1"/>
  <c r="L6158" i="3"/>
  <c r="J6158" i="3"/>
  <c r="K6158" i="3" s="1"/>
  <c r="L6157" i="3"/>
  <c r="J6157" i="3"/>
  <c r="K6157" i="3" s="1"/>
  <c r="L6156" i="3"/>
  <c r="J6156" i="3"/>
  <c r="K6156" i="3" s="1"/>
  <c r="L6155" i="3"/>
  <c r="J6155" i="3"/>
  <c r="K6155" i="3" s="1"/>
  <c r="L6154" i="3"/>
  <c r="J6154" i="3"/>
  <c r="K6154" i="3" s="1"/>
  <c r="L6153" i="3"/>
  <c r="J6153" i="3"/>
  <c r="K6153" i="3" s="1"/>
  <c r="L6152" i="3"/>
  <c r="K6152" i="3"/>
  <c r="J6152" i="3"/>
  <c r="L6151" i="3"/>
  <c r="J6151" i="3"/>
  <c r="K6151" i="3" s="1"/>
  <c r="L6150" i="3"/>
  <c r="J6150" i="3"/>
  <c r="K6150" i="3" s="1"/>
  <c r="L6149" i="3"/>
  <c r="J6149" i="3"/>
  <c r="K6149" i="3" s="1"/>
  <c r="L6148" i="3"/>
  <c r="J6148" i="3"/>
  <c r="K6148" i="3" s="1"/>
  <c r="L6147" i="3"/>
  <c r="J6147" i="3"/>
  <c r="K6147" i="3" s="1"/>
  <c r="L6146" i="3"/>
  <c r="J6146" i="3"/>
  <c r="K6146" i="3" s="1"/>
  <c r="L6145" i="3"/>
  <c r="J6145" i="3"/>
  <c r="K6145" i="3" s="1"/>
  <c r="L6144" i="3"/>
  <c r="J6144" i="3"/>
  <c r="K6144" i="3" s="1"/>
  <c r="L6143" i="3"/>
  <c r="J6143" i="3"/>
  <c r="K6143" i="3" s="1"/>
  <c r="L6142" i="3"/>
  <c r="J6142" i="3"/>
  <c r="K6142" i="3" s="1"/>
  <c r="L6141" i="3"/>
  <c r="J6141" i="3"/>
  <c r="K6141" i="3" s="1"/>
  <c r="L6140" i="3"/>
  <c r="J6140" i="3"/>
  <c r="K6140" i="3" s="1"/>
  <c r="L6139" i="3"/>
  <c r="J6139" i="3"/>
  <c r="K6139" i="3" s="1"/>
  <c r="L6138" i="3"/>
  <c r="J6138" i="3"/>
  <c r="K6138" i="3" s="1"/>
  <c r="L6137" i="3"/>
  <c r="J6137" i="3"/>
  <c r="K6137" i="3" s="1"/>
  <c r="L6136" i="3"/>
  <c r="J6136" i="3"/>
  <c r="K6136" i="3" s="1"/>
  <c r="L6135" i="3"/>
  <c r="J6135" i="3"/>
  <c r="K6135" i="3" s="1"/>
  <c r="L6134" i="3"/>
  <c r="J6134" i="3"/>
  <c r="K6134" i="3" s="1"/>
  <c r="L6133" i="3"/>
  <c r="J6133" i="3"/>
  <c r="K6133" i="3" s="1"/>
  <c r="L6132" i="3"/>
  <c r="J6132" i="3"/>
  <c r="K6132" i="3" s="1"/>
  <c r="L6131" i="3"/>
  <c r="J6131" i="3"/>
  <c r="K6131" i="3" s="1"/>
  <c r="L6130" i="3"/>
  <c r="J6130" i="3"/>
  <c r="K6130" i="3" s="1"/>
  <c r="L6129" i="3"/>
  <c r="J6129" i="3"/>
  <c r="K6129" i="3" s="1"/>
  <c r="L6128" i="3"/>
  <c r="J6128" i="3"/>
  <c r="K6128" i="3" s="1"/>
  <c r="L6127" i="3"/>
  <c r="J6127" i="3"/>
  <c r="K6127" i="3" s="1"/>
  <c r="L6126" i="3"/>
  <c r="J6126" i="3"/>
  <c r="K6126" i="3" s="1"/>
  <c r="L6125" i="3"/>
  <c r="J6125" i="3"/>
  <c r="K6125" i="3" s="1"/>
  <c r="L6124" i="3"/>
  <c r="J6124" i="3"/>
  <c r="K6124" i="3" s="1"/>
  <c r="L6123" i="3"/>
  <c r="J6123" i="3"/>
  <c r="K6123" i="3" s="1"/>
  <c r="L6122" i="3"/>
  <c r="J6122" i="3"/>
  <c r="K6122" i="3" s="1"/>
  <c r="L6121" i="3"/>
  <c r="J6121" i="3"/>
  <c r="K6121" i="3" s="1"/>
  <c r="L6120" i="3"/>
  <c r="J6120" i="3"/>
  <c r="K6120" i="3" s="1"/>
  <c r="L6119" i="3"/>
  <c r="J6119" i="3"/>
  <c r="K6119" i="3" s="1"/>
  <c r="L6118" i="3"/>
  <c r="J6118" i="3"/>
  <c r="K6118" i="3" s="1"/>
  <c r="L6117" i="3"/>
  <c r="J6117" i="3"/>
  <c r="K6117" i="3" s="1"/>
  <c r="L6116" i="3"/>
  <c r="J6116" i="3"/>
  <c r="K6116" i="3" s="1"/>
  <c r="L6115" i="3"/>
  <c r="J6115" i="3"/>
  <c r="K6115" i="3" s="1"/>
  <c r="L6114" i="3"/>
  <c r="J6114" i="3"/>
  <c r="K6114" i="3" s="1"/>
  <c r="L6113" i="3"/>
  <c r="J6113" i="3"/>
  <c r="K6113" i="3" s="1"/>
  <c r="L6112" i="3"/>
  <c r="J6112" i="3"/>
  <c r="K6112" i="3" s="1"/>
  <c r="L6111" i="3"/>
  <c r="J6111" i="3"/>
  <c r="K6111" i="3" s="1"/>
  <c r="L6110" i="3"/>
  <c r="J6110" i="3"/>
  <c r="K6110" i="3" s="1"/>
  <c r="L6109" i="3"/>
  <c r="J6109" i="3"/>
  <c r="K6109" i="3" s="1"/>
  <c r="L6108" i="3"/>
  <c r="J6108" i="3"/>
  <c r="K6108" i="3" s="1"/>
  <c r="L6107" i="3"/>
  <c r="J6107" i="3"/>
  <c r="K6107" i="3" s="1"/>
  <c r="L6106" i="3"/>
  <c r="J6106" i="3"/>
  <c r="K6106" i="3" s="1"/>
  <c r="L6105" i="3"/>
  <c r="J6105" i="3"/>
  <c r="K6105" i="3" s="1"/>
  <c r="L6104" i="3"/>
  <c r="J6104" i="3"/>
  <c r="K6104" i="3" s="1"/>
  <c r="L6103" i="3"/>
  <c r="J6103" i="3"/>
  <c r="K6103" i="3" s="1"/>
  <c r="L6102" i="3"/>
  <c r="J6102" i="3"/>
  <c r="K6102" i="3" s="1"/>
  <c r="L6101" i="3"/>
  <c r="J6101" i="3"/>
  <c r="K6101" i="3" s="1"/>
  <c r="L6100" i="3"/>
  <c r="J6100" i="3"/>
  <c r="K6100" i="3" s="1"/>
  <c r="L6099" i="3"/>
  <c r="J6099" i="3"/>
  <c r="K6099" i="3" s="1"/>
  <c r="L6098" i="3"/>
  <c r="J6098" i="3"/>
  <c r="K6098" i="3" s="1"/>
  <c r="L6097" i="3"/>
  <c r="J6097" i="3"/>
  <c r="K6097" i="3" s="1"/>
  <c r="L6096" i="3"/>
  <c r="J6096" i="3"/>
  <c r="K6096" i="3" s="1"/>
  <c r="L6095" i="3"/>
  <c r="J6095" i="3"/>
  <c r="K6095" i="3" s="1"/>
  <c r="L6094" i="3"/>
  <c r="J6094" i="3"/>
  <c r="K6094" i="3" s="1"/>
  <c r="L6093" i="3"/>
  <c r="J6093" i="3"/>
  <c r="K6093" i="3" s="1"/>
  <c r="L6092" i="3"/>
  <c r="J6092" i="3"/>
  <c r="K6092" i="3" s="1"/>
  <c r="L6091" i="3"/>
  <c r="J6091" i="3"/>
  <c r="K6091" i="3" s="1"/>
  <c r="L6090" i="3"/>
  <c r="J6090" i="3"/>
  <c r="K6090" i="3" s="1"/>
  <c r="L6089" i="3"/>
  <c r="J6089" i="3"/>
  <c r="K6089" i="3" s="1"/>
  <c r="L6088" i="3"/>
  <c r="J6088" i="3"/>
  <c r="K6088" i="3" s="1"/>
  <c r="L6087" i="3"/>
  <c r="J6087" i="3"/>
  <c r="K6087" i="3" s="1"/>
  <c r="L6086" i="3"/>
  <c r="J6086" i="3"/>
  <c r="K6086" i="3" s="1"/>
  <c r="L6085" i="3"/>
  <c r="J6085" i="3"/>
  <c r="K6085" i="3" s="1"/>
  <c r="L6084" i="3"/>
  <c r="J6084" i="3"/>
  <c r="K6084" i="3" s="1"/>
  <c r="L6083" i="3"/>
  <c r="J6083" i="3"/>
  <c r="K6083" i="3" s="1"/>
  <c r="L6082" i="3"/>
  <c r="J6082" i="3"/>
  <c r="K6082" i="3" s="1"/>
  <c r="L6081" i="3"/>
  <c r="J6081" i="3"/>
  <c r="K6081" i="3" s="1"/>
  <c r="L6080" i="3"/>
  <c r="J6080" i="3"/>
  <c r="K6080" i="3" s="1"/>
  <c r="L6079" i="3"/>
  <c r="J6079" i="3"/>
  <c r="K6079" i="3" s="1"/>
  <c r="L6078" i="3"/>
  <c r="J6078" i="3"/>
  <c r="K6078" i="3" s="1"/>
  <c r="L6077" i="3"/>
  <c r="J6077" i="3"/>
  <c r="K6077" i="3" s="1"/>
  <c r="L6076" i="3"/>
  <c r="J6076" i="3"/>
  <c r="K6076" i="3" s="1"/>
  <c r="L6075" i="3"/>
  <c r="J6075" i="3"/>
  <c r="K6075" i="3" s="1"/>
  <c r="L6074" i="3"/>
  <c r="J6074" i="3"/>
  <c r="K6074" i="3" s="1"/>
  <c r="L6073" i="3"/>
  <c r="J6073" i="3"/>
  <c r="K6073" i="3" s="1"/>
  <c r="L6072" i="3"/>
  <c r="J6072" i="3"/>
  <c r="K6072" i="3" s="1"/>
  <c r="L6071" i="3"/>
  <c r="J6071" i="3"/>
  <c r="K6071" i="3" s="1"/>
  <c r="L6070" i="3"/>
  <c r="J6070" i="3"/>
  <c r="K6070" i="3" s="1"/>
  <c r="L6069" i="3"/>
  <c r="J6069" i="3"/>
  <c r="K6069" i="3" s="1"/>
  <c r="L6068" i="3"/>
  <c r="J6068" i="3"/>
  <c r="K6068" i="3" s="1"/>
  <c r="L6067" i="3"/>
  <c r="J6067" i="3"/>
  <c r="K6067" i="3" s="1"/>
  <c r="L6066" i="3"/>
  <c r="J6066" i="3"/>
  <c r="K6066" i="3" s="1"/>
  <c r="L6065" i="3"/>
  <c r="J6065" i="3"/>
  <c r="K6065" i="3" s="1"/>
  <c r="L6064" i="3"/>
  <c r="J6064" i="3"/>
  <c r="K6064" i="3" s="1"/>
  <c r="L6063" i="3"/>
  <c r="J6063" i="3"/>
  <c r="K6063" i="3" s="1"/>
  <c r="L6062" i="3"/>
  <c r="J6062" i="3"/>
  <c r="K6062" i="3" s="1"/>
  <c r="L6061" i="3"/>
  <c r="J6061" i="3"/>
  <c r="K6061" i="3" s="1"/>
  <c r="L6060" i="3"/>
  <c r="J6060" i="3"/>
  <c r="K6060" i="3" s="1"/>
  <c r="L6059" i="3"/>
  <c r="J6059" i="3"/>
  <c r="K6059" i="3" s="1"/>
  <c r="L6058" i="3"/>
  <c r="J6058" i="3"/>
  <c r="K6058" i="3" s="1"/>
  <c r="L6057" i="3"/>
  <c r="J6057" i="3"/>
  <c r="K6057" i="3" s="1"/>
  <c r="L6056" i="3"/>
  <c r="J6056" i="3"/>
  <c r="K6056" i="3" s="1"/>
  <c r="L6055" i="3"/>
  <c r="J6055" i="3"/>
  <c r="K6055" i="3" s="1"/>
  <c r="L6054" i="3"/>
  <c r="J6054" i="3"/>
  <c r="K6054" i="3" s="1"/>
  <c r="L6053" i="3"/>
  <c r="J6053" i="3"/>
  <c r="K6053" i="3" s="1"/>
  <c r="L6052" i="3"/>
  <c r="J6052" i="3"/>
  <c r="K6052" i="3" s="1"/>
  <c r="L6051" i="3"/>
  <c r="J6051" i="3"/>
  <c r="K6051" i="3" s="1"/>
  <c r="L6050" i="3"/>
  <c r="J6050" i="3"/>
  <c r="K6050" i="3" s="1"/>
  <c r="L6049" i="3"/>
  <c r="J6049" i="3"/>
  <c r="K6049" i="3" s="1"/>
  <c r="L6048" i="3"/>
  <c r="J6048" i="3"/>
  <c r="K6048" i="3" s="1"/>
  <c r="L6047" i="3"/>
  <c r="J6047" i="3"/>
  <c r="K6047" i="3" s="1"/>
  <c r="L6046" i="3"/>
  <c r="J6046" i="3"/>
  <c r="K6046" i="3" s="1"/>
  <c r="L6045" i="3"/>
  <c r="J6045" i="3"/>
  <c r="K6045" i="3" s="1"/>
  <c r="L6044" i="3"/>
  <c r="J6044" i="3"/>
  <c r="K6044" i="3" s="1"/>
  <c r="L6043" i="3"/>
  <c r="J6043" i="3"/>
  <c r="K6043" i="3" s="1"/>
  <c r="L6042" i="3"/>
  <c r="J6042" i="3"/>
  <c r="K6042" i="3" s="1"/>
  <c r="L6041" i="3"/>
  <c r="J6041" i="3"/>
  <c r="K6041" i="3" s="1"/>
  <c r="L6040" i="3"/>
  <c r="J6040" i="3"/>
  <c r="K6040" i="3" s="1"/>
  <c r="L6039" i="3"/>
  <c r="J6039" i="3"/>
  <c r="K6039" i="3" s="1"/>
  <c r="L6038" i="3"/>
  <c r="J6038" i="3"/>
  <c r="K6038" i="3" s="1"/>
  <c r="L6037" i="3"/>
  <c r="J6037" i="3"/>
  <c r="K6037" i="3" s="1"/>
  <c r="L6036" i="3"/>
  <c r="J6036" i="3"/>
  <c r="K6036" i="3" s="1"/>
  <c r="L6035" i="3"/>
  <c r="J6035" i="3"/>
  <c r="K6035" i="3" s="1"/>
  <c r="L6034" i="3"/>
  <c r="J6034" i="3"/>
  <c r="K6034" i="3" s="1"/>
  <c r="L6033" i="3"/>
  <c r="J6033" i="3"/>
  <c r="K6033" i="3" s="1"/>
  <c r="L6032" i="3"/>
  <c r="J6032" i="3"/>
  <c r="K6032" i="3" s="1"/>
  <c r="L6031" i="3"/>
  <c r="J6031" i="3"/>
  <c r="K6031" i="3" s="1"/>
  <c r="L6030" i="3"/>
  <c r="J6030" i="3"/>
  <c r="K6030" i="3" s="1"/>
  <c r="L6029" i="3"/>
  <c r="J6029" i="3"/>
  <c r="K6029" i="3" s="1"/>
  <c r="L6028" i="3"/>
  <c r="J6028" i="3"/>
  <c r="K6028" i="3" s="1"/>
  <c r="L6027" i="3"/>
  <c r="J6027" i="3"/>
  <c r="K6027" i="3" s="1"/>
  <c r="L6026" i="3"/>
  <c r="J6026" i="3"/>
  <c r="K6026" i="3" s="1"/>
  <c r="L6025" i="3"/>
  <c r="J6025" i="3"/>
  <c r="K6025" i="3" s="1"/>
  <c r="L6024" i="3"/>
  <c r="J6024" i="3"/>
  <c r="K6024" i="3" s="1"/>
  <c r="L6023" i="3"/>
  <c r="J6023" i="3"/>
  <c r="K6023" i="3" s="1"/>
  <c r="L6022" i="3"/>
  <c r="J6022" i="3"/>
  <c r="K6022" i="3" s="1"/>
  <c r="L6021" i="3"/>
  <c r="J6021" i="3"/>
  <c r="K6021" i="3" s="1"/>
  <c r="L6020" i="3"/>
  <c r="J6020" i="3"/>
  <c r="K6020" i="3" s="1"/>
  <c r="L6019" i="3"/>
  <c r="J6019" i="3"/>
  <c r="K6019" i="3" s="1"/>
  <c r="L6018" i="3"/>
  <c r="J6018" i="3"/>
  <c r="K6018" i="3" s="1"/>
  <c r="L6017" i="3"/>
  <c r="J6017" i="3"/>
  <c r="K6017" i="3" s="1"/>
  <c r="L6016" i="3"/>
  <c r="J6016" i="3"/>
  <c r="K6016" i="3" s="1"/>
  <c r="L6015" i="3"/>
  <c r="J6015" i="3"/>
  <c r="K6015" i="3" s="1"/>
  <c r="L6014" i="3"/>
  <c r="J6014" i="3"/>
  <c r="K6014" i="3" s="1"/>
  <c r="L6013" i="3"/>
  <c r="J6013" i="3"/>
  <c r="K6013" i="3" s="1"/>
  <c r="L6012" i="3"/>
  <c r="J6012" i="3"/>
  <c r="K6012" i="3" s="1"/>
  <c r="L6011" i="3"/>
  <c r="J6011" i="3"/>
  <c r="K6011" i="3" s="1"/>
  <c r="L6010" i="3"/>
  <c r="J6010" i="3"/>
  <c r="K6010" i="3" s="1"/>
  <c r="L6009" i="3"/>
  <c r="J6009" i="3"/>
  <c r="K6009" i="3" s="1"/>
  <c r="L6008" i="3"/>
  <c r="J6008" i="3"/>
  <c r="K6008" i="3" s="1"/>
  <c r="L6007" i="3"/>
  <c r="J6007" i="3"/>
  <c r="K6007" i="3" s="1"/>
  <c r="L6006" i="3"/>
  <c r="J6006" i="3"/>
  <c r="K6006" i="3" s="1"/>
  <c r="L6005" i="3"/>
  <c r="J6005" i="3"/>
  <c r="K6005" i="3" s="1"/>
  <c r="L6004" i="3"/>
  <c r="J6004" i="3"/>
  <c r="K6004" i="3" s="1"/>
  <c r="L6003" i="3"/>
  <c r="J6003" i="3"/>
  <c r="K6003" i="3" s="1"/>
  <c r="L6002" i="3"/>
  <c r="J6002" i="3"/>
  <c r="K6002" i="3" s="1"/>
  <c r="L6001" i="3"/>
  <c r="J6001" i="3"/>
  <c r="K6001" i="3" s="1"/>
  <c r="L6000" i="3"/>
  <c r="J6000" i="3"/>
  <c r="K6000" i="3" s="1"/>
  <c r="L5999" i="3"/>
  <c r="J5999" i="3"/>
  <c r="K5999" i="3" s="1"/>
  <c r="L5998" i="3"/>
  <c r="J5998" i="3"/>
  <c r="K5998" i="3" s="1"/>
  <c r="L5997" i="3"/>
  <c r="J5997" i="3"/>
  <c r="K5997" i="3" s="1"/>
  <c r="L5996" i="3"/>
  <c r="J5996" i="3"/>
  <c r="K5996" i="3" s="1"/>
  <c r="L5995" i="3"/>
  <c r="J5995" i="3"/>
  <c r="K5995" i="3" s="1"/>
  <c r="L5994" i="3"/>
  <c r="J5994" i="3"/>
  <c r="K5994" i="3" s="1"/>
  <c r="L5993" i="3"/>
  <c r="J5993" i="3"/>
  <c r="K5993" i="3" s="1"/>
  <c r="L5992" i="3"/>
  <c r="J5992" i="3"/>
  <c r="K5992" i="3" s="1"/>
  <c r="L5991" i="3"/>
  <c r="J5991" i="3"/>
  <c r="K5991" i="3" s="1"/>
  <c r="L5990" i="3"/>
  <c r="J5990" i="3"/>
  <c r="K5990" i="3" s="1"/>
  <c r="L5989" i="3"/>
  <c r="J5989" i="3"/>
  <c r="K5989" i="3" s="1"/>
  <c r="L5988" i="3"/>
  <c r="J5988" i="3"/>
  <c r="K5988" i="3" s="1"/>
  <c r="L5987" i="3"/>
  <c r="J5987" i="3"/>
  <c r="K5987" i="3" s="1"/>
  <c r="L5986" i="3"/>
  <c r="J5986" i="3"/>
  <c r="K5986" i="3" s="1"/>
  <c r="L5985" i="3"/>
  <c r="J5985" i="3"/>
  <c r="K5985" i="3" s="1"/>
  <c r="L5984" i="3"/>
  <c r="J5984" i="3"/>
  <c r="K5984" i="3" s="1"/>
  <c r="L5983" i="3"/>
  <c r="J5983" i="3"/>
  <c r="K5983" i="3" s="1"/>
  <c r="L5982" i="3"/>
  <c r="J5982" i="3"/>
  <c r="K5982" i="3" s="1"/>
  <c r="L5981" i="3"/>
  <c r="J5981" i="3"/>
  <c r="K5981" i="3" s="1"/>
  <c r="L5980" i="3"/>
  <c r="J5980" i="3"/>
  <c r="K5980" i="3" s="1"/>
  <c r="L5979" i="3"/>
  <c r="J5979" i="3"/>
  <c r="K5979" i="3" s="1"/>
  <c r="L5978" i="3"/>
  <c r="J5978" i="3"/>
  <c r="K5978" i="3" s="1"/>
  <c r="L5977" i="3"/>
  <c r="J5977" i="3"/>
  <c r="K5977" i="3" s="1"/>
  <c r="L5976" i="3"/>
  <c r="J5976" i="3"/>
  <c r="K5976" i="3" s="1"/>
  <c r="L5975" i="3"/>
  <c r="J5975" i="3"/>
  <c r="K5975" i="3" s="1"/>
  <c r="L5974" i="3"/>
  <c r="J5974" i="3"/>
  <c r="K5974" i="3" s="1"/>
  <c r="L5973" i="3"/>
  <c r="J5973" i="3"/>
  <c r="K5973" i="3" s="1"/>
  <c r="L5972" i="3"/>
  <c r="J5972" i="3"/>
  <c r="K5972" i="3" s="1"/>
  <c r="L5971" i="3"/>
  <c r="J5971" i="3"/>
  <c r="K5971" i="3" s="1"/>
  <c r="L5970" i="3"/>
  <c r="J5970" i="3"/>
  <c r="K5970" i="3" s="1"/>
  <c r="L5969" i="3"/>
  <c r="J5969" i="3"/>
  <c r="K5969" i="3" s="1"/>
  <c r="L5968" i="3"/>
  <c r="J5968" i="3"/>
  <c r="K5968" i="3" s="1"/>
  <c r="L5967" i="3"/>
  <c r="J5967" i="3"/>
  <c r="K5967" i="3" s="1"/>
  <c r="L5966" i="3"/>
  <c r="J5966" i="3"/>
  <c r="K5966" i="3" s="1"/>
  <c r="L5965" i="3"/>
  <c r="J5965" i="3"/>
  <c r="K5965" i="3" s="1"/>
  <c r="L5964" i="3"/>
  <c r="J5964" i="3"/>
  <c r="K5964" i="3" s="1"/>
  <c r="L5963" i="3"/>
  <c r="J5963" i="3"/>
  <c r="K5963" i="3" s="1"/>
  <c r="L5962" i="3"/>
  <c r="J5962" i="3"/>
  <c r="K5962" i="3" s="1"/>
  <c r="L5961" i="3"/>
  <c r="J5961" i="3"/>
  <c r="K5961" i="3" s="1"/>
  <c r="L5960" i="3"/>
  <c r="J5960" i="3"/>
  <c r="K5960" i="3" s="1"/>
  <c r="L5959" i="3"/>
  <c r="J5959" i="3"/>
  <c r="K5959" i="3" s="1"/>
  <c r="L5958" i="3"/>
  <c r="J5958" i="3"/>
  <c r="K5958" i="3" s="1"/>
  <c r="L5957" i="3"/>
  <c r="J5957" i="3"/>
  <c r="K5957" i="3" s="1"/>
  <c r="L5956" i="3"/>
  <c r="J5956" i="3"/>
  <c r="K5956" i="3" s="1"/>
  <c r="L5955" i="3"/>
  <c r="J5955" i="3"/>
  <c r="K5955" i="3" s="1"/>
  <c r="L5954" i="3"/>
  <c r="J5954" i="3"/>
  <c r="K5954" i="3" s="1"/>
  <c r="L5953" i="3"/>
  <c r="J5953" i="3"/>
  <c r="K5953" i="3" s="1"/>
  <c r="L5952" i="3"/>
  <c r="J5952" i="3"/>
  <c r="K5952" i="3" s="1"/>
  <c r="L5951" i="3"/>
  <c r="J5951" i="3"/>
  <c r="K5951" i="3" s="1"/>
  <c r="L5950" i="3"/>
  <c r="J5950" i="3"/>
  <c r="K5950" i="3" s="1"/>
  <c r="L5949" i="3"/>
  <c r="J5949" i="3"/>
  <c r="K5949" i="3" s="1"/>
  <c r="L5948" i="3"/>
  <c r="J5948" i="3"/>
  <c r="K5948" i="3" s="1"/>
  <c r="L5947" i="3"/>
  <c r="J5947" i="3"/>
  <c r="K5947" i="3" s="1"/>
  <c r="L5946" i="3"/>
  <c r="J5946" i="3"/>
  <c r="K5946" i="3" s="1"/>
  <c r="L5945" i="3"/>
  <c r="J5945" i="3"/>
  <c r="K5945" i="3" s="1"/>
  <c r="L5944" i="3"/>
  <c r="J5944" i="3"/>
  <c r="K5944" i="3" s="1"/>
  <c r="L5943" i="3"/>
  <c r="J5943" i="3"/>
  <c r="K5943" i="3" s="1"/>
  <c r="L5942" i="3"/>
  <c r="J5942" i="3"/>
  <c r="K5942" i="3" s="1"/>
  <c r="L5941" i="3"/>
  <c r="J5941" i="3"/>
  <c r="K5941" i="3" s="1"/>
  <c r="L5940" i="3"/>
  <c r="J5940" i="3"/>
  <c r="K5940" i="3" s="1"/>
  <c r="L5939" i="3"/>
  <c r="J5939" i="3"/>
  <c r="K5939" i="3" s="1"/>
  <c r="L5938" i="3"/>
  <c r="J5938" i="3"/>
  <c r="K5938" i="3" s="1"/>
  <c r="L5937" i="3"/>
  <c r="J5937" i="3"/>
  <c r="K5937" i="3" s="1"/>
  <c r="L5936" i="3"/>
  <c r="J5936" i="3"/>
  <c r="K5936" i="3" s="1"/>
  <c r="L5935" i="3"/>
  <c r="J5935" i="3"/>
  <c r="K5935" i="3" s="1"/>
  <c r="L5934" i="3"/>
  <c r="J5934" i="3"/>
  <c r="K5934" i="3" s="1"/>
  <c r="L5933" i="3"/>
  <c r="J5933" i="3"/>
  <c r="K5933" i="3" s="1"/>
  <c r="L5932" i="3"/>
  <c r="J5932" i="3"/>
  <c r="K5932" i="3" s="1"/>
  <c r="L5931" i="3"/>
  <c r="J5931" i="3"/>
  <c r="K5931" i="3" s="1"/>
  <c r="L5930" i="3"/>
  <c r="J5930" i="3"/>
  <c r="K5930" i="3" s="1"/>
  <c r="L5929" i="3"/>
  <c r="J5929" i="3"/>
  <c r="K5929" i="3" s="1"/>
  <c r="L5928" i="3"/>
  <c r="J5928" i="3"/>
  <c r="K5928" i="3" s="1"/>
  <c r="L5927" i="3"/>
  <c r="J5927" i="3"/>
  <c r="K5927" i="3" s="1"/>
  <c r="L5926" i="3"/>
  <c r="J5926" i="3"/>
  <c r="K5926" i="3" s="1"/>
  <c r="L5925" i="3"/>
  <c r="J5925" i="3"/>
  <c r="K5925" i="3" s="1"/>
  <c r="L5924" i="3"/>
  <c r="J5924" i="3"/>
  <c r="K5924" i="3" s="1"/>
  <c r="L5923" i="3"/>
  <c r="J5923" i="3"/>
  <c r="K5923" i="3" s="1"/>
  <c r="L5922" i="3"/>
  <c r="J5922" i="3"/>
  <c r="K5922" i="3" s="1"/>
  <c r="L5921" i="3"/>
  <c r="J5921" i="3"/>
  <c r="K5921" i="3" s="1"/>
  <c r="L5920" i="3"/>
  <c r="J5920" i="3"/>
  <c r="K5920" i="3" s="1"/>
  <c r="L5919" i="3"/>
  <c r="J5919" i="3"/>
  <c r="K5919" i="3" s="1"/>
  <c r="L5918" i="3"/>
  <c r="J5918" i="3"/>
  <c r="K5918" i="3" s="1"/>
  <c r="L5917" i="3"/>
  <c r="J5917" i="3"/>
  <c r="K5917" i="3" s="1"/>
  <c r="L5916" i="3"/>
  <c r="J5916" i="3"/>
  <c r="K5916" i="3" s="1"/>
  <c r="L5915" i="3"/>
  <c r="J5915" i="3"/>
  <c r="K5915" i="3" s="1"/>
  <c r="L5914" i="3"/>
  <c r="J5914" i="3"/>
  <c r="K5914" i="3" s="1"/>
  <c r="L5913" i="3"/>
  <c r="J5913" i="3"/>
  <c r="K5913" i="3" s="1"/>
  <c r="L5912" i="3"/>
  <c r="J5912" i="3"/>
  <c r="K5912" i="3" s="1"/>
  <c r="L5911" i="3"/>
  <c r="J5911" i="3"/>
  <c r="K5911" i="3" s="1"/>
  <c r="L5910" i="3"/>
  <c r="J5910" i="3"/>
  <c r="K5910" i="3" s="1"/>
  <c r="L5909" i="3"/>
  <c r="J5909" i="3"/>
  <c r="K5909" i="3" s="1"/>
  <c r="L5908" i="3"/>
  <c r="J5908" i="3"/>
  <c r="K5908" i="3" s="1"/>
  <c r="L5907" i="3"/>
  <c r="J5907" i="3"/>
  <c r="K5907" i="3" s="1"/>
  <c r="L5906" i="3"/>
  <c r="J5906" i="3"/>
  <c r="K5906" i="3" s="1"/>
  <c r="L5905" i="3"/>
  <c r="J5905" i="3"/>
  <c r="K5905" i="3" s="1"/>
  <c r="L5904" i="3"/>
  <c r="J5904" i="3"/>
  <c r="K5904" i="3" s="1"/>
  <c r="L5903" i="3"/>
  <c r="J5903" i="3"/>
  <c r="K5903" i="3" s="1"/>
  <c r="L5902" i="3"/>
  <c r="J5902" i="3"/>
  <c r="K5902" i="3" s="1"/>
  <c r="L5901" i="3"/>
  <c r="J5901" i="3"/>
  <c r="K5901" i="3" s="1"/>
  <c r="L5900" i="3"/>
  <c r="J5900" i="3"/>
  <c r="K5900" i="3" s="1"/>
  <c r="L5899" i="3"/>
  <c r="J5899" i="3"/>
  <c r="K5899" i="3" s="1"/>
  <c r="L5898" i="3"/>
  <c r="J5898" i="3"/>
  <c r="K5898" i="3" s="1"/>
  <c r="L5897" i="3"/>
  <c r="J5897" i="3"/>
  <c r="K5897" i="3" s="1"/>
  <c r="L5896" i="3"/>
  <c r="J5896" i="3"/>
  <c r="K5896" i="3" s="1"/>
  <c r="L5895" i="3"/>
  <c r="J5895" i="3"/>
  <c r="K5895" i="3" s="1"/>
  <c r="L5894" i="3"/>
  <c r="J5894" i="3"/>
  <c r="K5894" i="3" s="1"/>
  <c r="L5893" i="3"/>
  <c r="J5893" i="3"/>
  <c r="K5893" i="3" s="1"/>
  <c r="L5892" i="3"/>
  <c r="J5892" i="3"/>
  <c r="K5892" i="3" s="1"/>
  <c r="L5891" i="3"/>
  <c r="J5891" i="3"/>
  <c r="K5891" i="3" s="1"/>
  <c r="L5890" i="3"/>
  <c r="J5890" i="3"/>
  <c r="K5890" i="3" s="1"/>
  <c r="L5889" i="3"/>
  <c r="J5889" i="3"/>
  <c r="K5889" i="3" s="1"/>
  <c r="L5888" i="3"/>
  <c r="J5888" i="3"/>
  <c r="K5888" i="3" s="1"/>
  <c r="L5887" i="3"/>
  <c r="J5887" i="3"/>
  <c r="K5887" i="3" s="1"/>
  <c r="L5886" i="3"/>
  <c r="J5886" i="3"/>
  <c r="K5886" i="3" s="1"/>
  <c r="L5885" i="3"/>
  <c r="J5885" i="3"/>
  <c r="K5885" i="3" s="1"/>
  <c r="L5884" i="3"/>
  <c r="J5884" i="3"/>
  <c r="K5884" i="3" s="1"/>
  <c r="L5883" i="3"/>
  <c r="J5883" i="3"/>
  <c r="K5883" i="3" s="1"/>
  <c r="L5882" i="3"/>
  <c r="J5882" i="3"/>
  <c r="K5882" i="3" s="1"/>
  <c r="L5881" i="3"/>
  <c r="J5881" i="3"/>
  <c r="K5881" i="3" s="1"/>
  <c r="L5880" i="3"/>
  <c r="J5880" i="3"/>
  <c r="K5880" i="3" s="1"/>
  <c r="L5879" i="3"/>
  <c r="J5879" i="3"/>
  <c r="K5879" i="3" s="1"/>
  <c r="L5878" i="3"/>
  <c r="J5878" i="3"/>
  <c r="K5878" i="3" s="1"/>
  <c r="L5877" i="3"/>
  <c r="J5877" i="3"/>
  <c r="K5877" i="3" s="1"/>
  <c r="L5876" i="3"/>
  <c r="J5876" i="3"/>
  <c r="K5876" i="3" s="1"/>
  <c r="L5875" i="3"/>
  <c r="J5875" i="3"/>
  <c r="K5875" i="3" s="1"/>
  <c r="L5874" i="3"/>
  <c r="J5874" i="3"/>
  <c r="K5874" i="3" s="1"/>
  <c r="L5873" i="3"/>
  <c r="J5873" i="3"/>
  <c r="K5873" i="3" s="1"/>
  <c r="L5872" i="3"/>
  <c r="J5872" i="3"/>
  <c r="K5872" i="3" s="1"/>
  <c r="L5871" i="3"/>
  <c r="J5871" i="3"/>
  <c r="K5871" i="3" s="1"/>
  <c r="L5870" i="3"/>
  <c r="J5870" i="3"/>
  <c r="K5870" i="3" s="1"/>
  <c r="L5869" i="3"/>
  <c r="J5869" i="3"/>
  <c r="K5869" i="3" s="1"/>
  <c r="L5868" i="3"/>
  <c r="J5868" i="3"/>
  <c r="K5868" i="3" s="1"/>
  <c r="L5867" i="3"/>
  <c r="J5867" i="3"/>
  <c r="K5867" i="3" s="1"/>
  <c r="L5866" i="3"/>
  <c r="J5866" i="3"/>
  <c r="K5866" i="3" s="1"/>
  <c r="L5865" i="3"/>
  <c r="J5865" i="3"/>
  <c r="K5865" i="3" s="1"/>
  <c r="L5864" i="3"/>
  <c r="J5864" i="3"/>
  <c r="K5864" i="3" s="1"/>
  <c r="L5863" i="3"/>
  <c r="J5863" i="3"/>
  <c r="K5863" i="3" s="1"/>
  <c r="L5862" i="3"/>
  <c r="J5862" i="3"/>
  <c r="K5862" i="3" s="1"/>
  <c r="L5861" i="3"/>
  <c r="J5861" i="3"/>
  <c r="K5861" i="3" s="1"/>
  <c r="L5860" i="3"/>
  <c r="J5860" i="3"/>
  <c r="K5860" i="3" s="1"/>
  <c r="L5859" i="3"/>
  <c r="J5859" i="3"/>
  <c r="K5859" i="3" s="1"/>
  <c r="L5858" i="3"/>
  <c r="J5858" i="3"/>
  <c r="K5858" i="3" s="1"/>
  <c r="L5857" i="3"/>
  <c r="J5857" i="3"/>
  <c r="K5857" i="3" s="1"/>
  <c r="L5856" i="3"/>
  <c r="J5856" i="3"/>
  <c r="K5856" i="3" s="1"/>
  <c r="L5855" i="3"/>
  <c r="J5855" i="3"/>
  <c r="K5855" i="3" s="1"/>
  <c r="L5854" i="3"/>
  <c r="J5854" i="3"/>
  <c r="K5854" i="3" s="1"/>
  <c r="L5853" i="3"/>
  <c r="J5853" i="3"/>
  <c r="K5853" i="3" s="1"/>
  <c r="L5852" i="3"/>
  <c r="J5852" i="3"/>
  <c r="K5852" i="3" s="1"/>
  <c r="L5851" i="3"/>
  <c r="J5851" i="3"/>
  <c r="K5851" i="3" s="1"/>
  <c r="L5850" i="3"/>
  <c r="J5850" i="3"/>
  <c r="K5850" i="3" s="1"/>
  <c r="L5849" i="3"/>
  <c r="J5849" i="3"/>
  <c r="K5849" i="3" s="1"/>
  <c r="L5848" i="3"/>
  <c r="J5848" i="3"/>
  <c r="K5848" i="3" s="1"/>
  <c r="L5847" i="3"/>
  <c r="J5847" i="3"/>
  <c r="K5847" i="3" s="1"/>
  <c r="L5846" i="3"/>
  <c r="J5846" i="3"/>
  <c r="K5846" i="3" s="1"/>
  <c r="L5845" i="3"/>
  <c r="J5845" i="3"/>
  <c r="K5845" i="3" s="1"/>
  <c r="L5844" i="3"/>
  <c r="J5844" i="3"/>
  <c r="K5844" i="3" s="1"/>
  <c r="L5843" i="3"/>
  <c r="J5843" i="3"/>
  <c r="K5843" i="3" s="1"/>
  <c r="L5842" i="3"/>
  <c r="J5842" i="3"/>
  <c r="K5842" i="3" s="1"/>
  <c r="L5841" i="3"/>
  <c r="J5841" i="3"/>
  <c r="K5841" i="3" s="1"/>
  <c r="L5840" i="3"/>
  <c r="J5840" i="3"/>
  <c r="K5840" i="3" s="1"/>
  <c r="L5839" i="3"/>
  <c r="J5839" i="3"/>
  <c r="K5839" i="3" s="1"/>
  <c r="L5838" i="3"/>
  <c r="J5838" i="3"/>
  <c r="K5838" i="3" s="1"/>
  <c r="L5837" i="3"/>
  <c r="J5837" i="3"/>
  <c r="K5837" i="3" s="1"/>
  <c r="L5836" i="3"/>
  <c r="J5836" i="3"/>
  <c r="K5836" i="3" s="1"/>
  <c r="L5835" i="3"/>
  <c r="J5835" i="3"/>
  <c r="K5835" i="3" s="1"/>
  <c r="L5834" i="3"/>
  <c r="J5834" i="3"/>
  <c r="K5834" i="3" s="1"/>
  <c r="L5833" i="3"/>
  <c r="J5833" i="3"/>
  <c r="K5833" i="3" s="1"/>
  <c r="L5832" i="3"/>
  <c r="J5832" i="3"/>
  <c r="K5832" i="3" s="1"/>
  <c r="L5831" i="3"/>
  <c r="J5831" i="3"/>
  <c r="K5831" i="3" s="1"/>
  <c r="L5830" i="3"/>
  <c r="J5830" i="3"/>
  <c r="K5830" i="3" s="1"/>
  <c r="L5829" i="3"/>
  <c r="J5829" i="3"/>
  <c r="K5829" i="3" s="1"/>
  <c r="L5828" i="3"/>
  <c r="J5828" i="3"/>
  <c r="K5828" i="3" s="1"/>
  <c r="L5827" i="3"/>
  <c r="J5827" i="3"/>
  <c r="K5827" i="3" s="1"/>
  <c r="L5826" i="3"/>
  <c r="J5826" i="3"/>
  <c r="K5826" i="3" s="1"/>
  <c r="L5825" i="3"/>
  <c r="J5825" i="3"/>
  <c r="K5825" i="3" s="1"/>
  <c r="L5824" i="3"/>
  <c r="J5824" i="3"/>
  <c r="K5824" i="3" s="1"/>
  <c r="L5823" i="3"/>
  <c r="J5823" i="3"/>
  <c r="K5823" i="3" s="1"/>
  <c r="L5822" i="3"/>
  <c r="J5822" i="3"/>
  <c r="K5822" i="3" s="1"/>
  <c r="L5821" i="3"/>
  <c r="J5821" i="3"/>
  <c r="K5821" i="3" s="1"/>
  <c r="L5820" i="3"/>
  <c r="J5820" i="3"/>
  <c r="K5820" i="3" s="1"/>
  <c r="L5819" i="3"/>
  <c r="J5819" i="3"/>
  <c r="K5819" i="3" s="1"/>
  <c r="L5818" i="3"/>
  <c r="J5818" i="3"/>
  <c r="K5818" i="3" s="1"/>
  <c r="L5817" i="3"/>
  <c r="J5817" i="3"/>
  <c r="K5817" i="3" s="1"/>
  <c r="L5816" i="3"/>
  <c r="J5816" i="3"/>
  <c r="K5816" i="3" s="1"/>
  <c r="L5815" i="3"/>
  <c r="J5815" i="3"/>
  <c r="K5815" i="3" s="1"/>
  <c r="L5814" i="3"/>
  <c r="J5814" i="3"/>
  <c r="K5814" i="3" s="1"/>
  <c r="L5813" i="3"/>
  <c r="J5813" i="3"/>
  <c r="K5813" i="3" s="1"/>
  <c r="L5812" i="3"/>
  <c r="J5812" i="3"/>
  <c r="K5812" i="3" s="1"/>
  <c r="L5811" i="3"/>
  <c r="J5811" i="3"/>
  <c r="K5811" i="3" s="1"/>
  <c r="L5810" i="3"/>
  <c r="J5810" i="3"/>
  <c r="K5810" i="3" s="1"/>
  <c r="L5809" i="3"/>
  <c r="J5809" i="3"/>
  <c r="K5809" i="3" s="1"/>
  <c r="L5808" i="3"/>
  <c r="J5808" i="3"/>
  <c r="K5808" i="3" s="1"/>
  <c r="L5807" i="3"/>
  <c r="J5807" i="3"/>
  <c r="K5807" i="3" s="1"/>
  <c r="L5806" i="3"/>
  <c r="J5806" i="3"/>
  <c r="K5806" i="3" s="1"/>
  <c r="L5805" i="3"/>
  <c r="J5805" i="3"/>
  <c r="K5805" i="3" s="1"/>
  <c r="L5804" i="3"/>
  <c r="J5804" i="3"/>
  <c r="K5804" i="3" s="1"/>
  <c r="L5803" i="3"/>
  <c r="J5803" i="3"/>
  <c r="K5803" i="3" s="1"/>
  <c r="L5802" i="3"/>
  <c r="J5802" i="3"/>
  <c r="K5802" i="3" s="1"/>
  <c r="L5801" i="3"/>
  <c r="J5801" i="3"/>
  <c r="K5801" i="3" s="1"/>
  <c r="L5800" i="3"/>
  <c r="J5800" i="3"/>
  <c r="K5800" i="3" s="1"/>
  <c r="L5799" i="3"/>
  <c r="J5799" i="3"/>
  <c r="K5799" i="3" s="1"/>
  <c r="L5798" i="3"/>
  <c r="J5798" i="3"/>
  <c r="K5798" i="3" s="1"/>
  <c r="L5797" i="3"/>
  <c r="J5797" i="3"/>
  <c r="K5797" i="3" s="1"/>
  <c r="L5796" i="3"/>
  <c r="J5796" i="3"/>
  <c r="K5796" i="3" s="1"/>
  <c r="L5795" i="3"/>
  <c r="J5795" i="3"/>
  <c r="K5795" i="3" s="1"/>
  <c r="L5794" i="3"/>
  <c r="J5794" i="3"/>
  <c r="K5794" i="3" s="1"/>
  <c r="L5793" i="3"/>
  <c r="J5793" i="3"/>
  <c r="K5793" i="3" s="1"/>
  <c r="L5792" i="3"/>
  <c r="J5792" i="3"/>
  <c r="K5792" i="3" s="1"/>
  <c r="L5791" i="3"/>
  <c r="J5791" i="3"/>
  <c r="K5791" i="3" s="1"/>
  <c r="L5790" i="3"/>
  <c r="J5790" i="3"/>
  <c r="K5790" i="3" s="1"/>
  <c r="L5789" i="3"/>
  <c r="J5789" i="3"/>
  <c r="K5789" i="3" s="1"/>
  <c r="L5788" i="3"/>
  <c r="K5788" i="3"/>
  <c r="J5788" i="3"/>
  <c r="L5787" i="3"/>
  <c r="J5787" i="3"/>
  <c r="K5787" i="3" s="1"/>
  <c r="L5786" i="3"/>
  <c r="J5786" i="3"/>
  <c r="K5786" i="3" s="1"/>
  <c r="L5785" i="3"/>
  <c r="J5785" i="3"/>
  <c r="K5785" i="3" s="1"/>
  <c r="L5784" i="3"/>
  <c r="J5784" i="3"/>
  <c r="K5784" i="3" s="1"/>
  <c r="L5783" i="3"/>
  <c r="J5783" i="3"/>
  <c r="K5783" i="3" s="1"/>
  <c r="L5782" i="3"/>
  <c r="J5782" i="3"/>
  <c r="K5782" i="3" s="1"/>
  <c r="L5781" i="3"/>
  <c r="J5781" i="3"/>
  <c r="K5781" i="3" s="1"/>
  <c r="L5780" i="3"/>
  <c r="J5780" i="3"/>
  <c r="K5780" i="3" s="1"/>
  <c r="L5779" i="3"/>
  <c r="J5779" i="3"/>
  <c r="K5779" i="3" s="1"/>
  <c r="L5778" i="3"/>
  <c r="J5778" i="3"/>
  <c r="K5778" i="3" s="1"/>
  <c r="L5777" i="3"/>
  <c r="J5777" i="3"/>
  <c r="K5777" i="3" s="1"/>
  <c r="L5776" i="3"/>
  <c r="J5776" i="3"/>
  <c r="K5776" i="3" s="1"/>
  <c r="L5775" i="3"/>
  <c r="J5775" i="3"/>
  <c r="K5775" i="3" s="1"/>
  <c r="L5774" i="3"/>
  <c r="J5774" i="3"/>
  <c r="K5774" i="3" s="1"/>
  <c r="L5773" i="3"/>
  <c r="J5773" i="3"/>
  <c r="K5773" i="3" s="1"/>
  <c r="L5772" i="3"/>
  <c r="J5772" i="3"/>
  <c r="K5772" i="3" s="1"/>
  <c r="L5771" i="3"/>
  <c r="J5771" i="3"/>
  <c r="K5771" i="3" s="1"/>
  <c r="L5770" i="3"/>
  <c r="J5770" i="3"/>
  <c r="K5770" i="3" s="1"/>
  <c r="L5769" i="3"/>
  <c r="J5769" i="3"/>
  <c r="K5769" i="3" s="1"/>
  <c r="L5768" i="3"/>
  <c r="J5768" i="3"/>
  <c r="K5768" i="3" s="1"/>
  <c r="L5767" i="3"/>
  <c r="J5767" i="3"/>
  <c r="K5767" i="3" s="1"/>
  <c r="L5766" i="3"/>
  <c r="J5766" i="3"/>
  <c r="K5766" i="3" s="1"/>
  <c r="L5765" i="3"/>
  <c r="J5765" i="3"/>
  <c r="K5765" i="3" s="1"/>
  <c r="L5764" i="3"/>
  <c r="J5764" i="3"/>
  <c r="K5764" i="3" s="1"/>
  <c r="L5763" i="3"/>
  <c r="J5763" i="3"/>
  <c r="K5763" i="3" s="1"/>
  <c r="L5762" i="3"/>
  <c r="J5762" i="3"/>
  <c r="K5762" i="3" s="1"/>
  <c r="L5761" i="3"/>
  <c r="J5761" i="3"/>
  <c r="K5761" i="3" s="1"/>
  <c r="L5760" i="3"/>
  <c r="J5760" i="3"/>
  <c r="K5760" i="3" s="1"/>
  <c r="L5759" i="3"/>
  <c r="J5759" i="3"/>
  <c r="K5759" i="3" s="1"/>
  <c r="L5758" i="3"/>
  <c r="J5758" i="3"/>
  <c r="K5758" i="3" s="1"/>
  <c r="L5757" i="3"/>
  <c r="K5757" i="3"/>
  <c r="J5757" i="3"/>
  <c r="L5756" i="3"/>
  <c r="J5756" i="3"/>
  <c r="K5756" i="3" s="1"/>
  <c r="L5755" i="3"/>
  <c r="J5755" i="3"/>
  <c r="K5755" i="3" s="1"/>
  <c r="L5754" i="3"/>
  <c r="J5754" i="3"/>
  <c r="K5754" i="3" s="1"/>
  <c r="L5753" i="3"/>
  <c r="J5753" i="3"/>
  <c r="K5753" i="3" s="1"/>
  <c r="L5752" i="3"/>
  <c r="J5752" i="3"/>
  <c r="K5752" i="3" s="1"/>
  <c r="L5751" i="3"/>
  <c r="J5751" i="3"/>
  <c r="K5751" i="3" s="1"/>
  <c r="L5750" i="3"/>
  <c r="J5750" i="3"/>
  <c r="K5750" i="3" s="1"/>
  <c r="L5749" i="3"/>
  <c r="J5749" i="3"/>
  <c r="K5749" i="3" s="1"/>
  <c r="L5748" i="3"/>
  <c r="J5748" i="3"/>
  <c r="K5748" i="3" s="1"/>
  <c r="L5747" i="3"/>
  <c r="J5747" i="3"/>
  <c r="K5747" i="3" s="1"/>
  <c r="L5746" i="3"/>
  <c r="J5746" i="3"/>
  <c r="K5746" i="3" s="1"/>
  <c r="L5745" i="3"/>
  <c r="J5745" i="3"/>
  <c r="K5745" i="3" s="1"/>
  <c r="L5744" i="3"/>
  <c r="J5744" i="3"/>
  <c r="K5744" i="3" s="1"/>
  <c r="L5743" i="3"/>
  <c r="J5743" i="3"/>
  <c r="K5743" i="3" s="1"/>
  <c r="L5742" i="3"/>
  <c r="J5742" i="3"/>
  <c r="K5742" i="3" s="1"/>
  <c r="L5741" i="3"/>
  <c r="J5741" i="3"/>
  <c r="K5741" i="3" s="1"/>
  <c r="L5740" i="3"/>
  <c r="J5740" i="3"/>
  <c r="K5740" i="3" s="1"/>
  <c r="L5739" i="3"/>
  <c r="J5739" i="3"/>
  <c r="K5739" i="3" s="1"/>
  <c r="L5738" i="3"/>
  <c r="J5738" i="3"/>
  <c r="K5738" i="3" s="1"/>
  <c r="L5737" i="3"/>
  <c r="J5737" i="3"/>
  <c r="K5737" i="3" s="1"/>
  <c r="L5736" i="3"/>
  <c r="J5736" i="3"/>
  <c r="K5736" i="3" s="1"/>
  <c r="L5735" i="3"/>
  <c r="J5735" i="3"/>
  <c r="K5735" i="3" s="1"/>
  <c r="L5734" i="3"/>
  <c r="J5734" i="3"/>
  <c r="K5734" i="3" s="1"/>
  <c r="L5733" i="3"/>
  <c r="J5733" i="3"/>
  <c r="K5733" i="3" s="1"/>
  <c r="L5732" i="3"/>
  <c r="J5732" i="3"/>
  <c r="K5732" i="3" s="1"/>
  <c r="L5731" i="3"/>
  <c r="J5731" i="3"/>
  <c r="K5731" i="3" s="1"/>
  <c r="L5730" i="3"/>
  <c r="J5730" i="3"/>
  <c r="K5730" i="3" s="1"/>
  <c r="L5729" i="3"/>
  <c r="J5729" i="3"/>
  <c r="K5729" i="3" s="1"/>
  <c r="L5728" i="3"/>
  <c r="J5728" i="3"/>
  <c r="K5728" i="3" s="1"/>
  <c r="L5727" i="3"/>
  <c r="J5727" i="3"/>
  <c r="K5727" i="3" s="1"/>
  <c r="L5726" i="3"/>
  <c r="J5726" i="3"/>
  <c r="K5726" i="3" s="1"/>
  <c r="L5725" i="3"/>
  <c r="J5725" i="3"/>
  <c r="K5725" i="3" s="1"/>
  <c r="L5724" i="3"/>
  <c r="J5724" i="3"/>
  <c r="K5724" i="3" s="1"/>
  <c r="L5723" i="3"/>
  <c r="J5723" i="3"/>
  <c r="K5723" i="3" s="1"/>
  <c r="L5722" i="3"/>
  <c r="J5722" i="3"/>
  <c r="K5722" i="3" s="1"/>
  <c r="L5721" i="3"/>
  <c r="J5721" i="3"/>
  <c r="K5721" i="3" s="1"/>
  <c r="L5720" i="3"/>
  <c r="J5720" i="3"/>
  <c r="K5720" i="3" s="1"/>
  <c r="L5719" i="3"/>
  <c r="J5719" i="3"/>
  <c r="K5719" i="3" s="1"/>
  <c r="L5718" i="3"/>
  <c r="J5718" i="3"/>
  <c r="K5718" i="3" s="1"/>
  <c r="L5717" i="3"/>
  <c r="J5717" i="3"/>
  <c r="K5717" i="3" s="1"/>
  <c r="L5716" i="3"/>
  <c r="J5716" i="3"/>
  <c r="K5716" i="3" s="1"/>
  <c r="L5715" i="3"/>
  <c r="J5715" i="3"/>
  <c r="K5715" i="3" s="1"/>
  <c r="L5714" i="3"/>
  <c r="J5714" i="3"/>
  <c r="K5714" i="3" s="1"/>
  <c r="L5713" i="3"/>
  <c r="J5713" i="3"/>
  <c r="K5713" i="3" s="1"/>
  <c r="L5712" i="3"/>
  <c r="J5712" i="3"/>
  <c r="K5712" i="3" s="1"/>
  <c r="L5711" i="3"/>
  <c r="J5711" i="3"/>
  <c r="K5711" i="3" s="1"/>
  <c r="L5710" i="3"/>
  <c r="J5710" i="3"/>
  <c r="K5710" i="3" s="1"/>
  <c r="L5709" i="3"/>
  <c r="J5709" i="3"/>
  <c r="K5709" i="3" s="1"/>
  <c r="L5708" i="3"/>
  <c r="J5708" i="3"/>
  <c r="K5708" i="3" s="1"/>
  <c r="L5707" i="3"/>
  <c r="J5707" i="3"/>
  <c r="K5707" i="3" s="1"/>
  <c r="L5706" i="3"/>
  <c r="J5706" i="3"/>
  <c r="K5706" i="3" s="1"/>
  <c r="L5705" i="3"/>
  <c r="J5705" i="3"/>
  <c r="K5705" i="3" s="1"/>
  <c r="L5704" i="3"/>
  <c r="J5704" i="3"/>
  <c r="K5704" i="3" s="1"/>
  <c r="L5703" i="3"/>
  <c r="J5703" i="3"/>
  <c r="K5703" i="3" s="1"/>
  <c r="L5702" i="3"/>
  <c r="J5702" i="3"/>
  <c r="K5702" i="3" s="1"/>
  <c r="L5701" i="3"/>
  <c r="J5701" i="3"/>
  <c r="K5701" i="3" s="1"/>
  <c r="L5700" i="3"/>
  <c r="J5700" i="3"/>
  <c r="K5700" i="3" s="1"/>
  <c r="L5699" i="3"/>
  <c r="J5699" i="3"/>
  <c r="K5699" i="3" s="1"/>
  <c r="L5698" i="3"/>
  <c r="J5698" i="3"/>
  <c r="K5698" i="3" s="1"/>
  <c r="L5697" i="3"/>
  <c r="J5697" i="3"/>
  <c r="K5697" i="3" s="1"/>
  <c r="L5696" i="3"/>
  <c r="J5696" i="3"/>
  <c r="K5696" i="3" s="1"/>
  <c r="L5695" i="3"/>
  <c r="J5695" i="3"/>
  <c r="K5695" i="3" s="1"/>
  <c r="L5694" i="3"/>
  <c r="J5694" i="3"/>
  <c r="K5694" i="3" s="1"/>
  <c r="L5693" i="3"/>
  <c r="J5693" i="3"/>
  <c r="K5693" i="3" s="1"/>
  <c r="L5692" i="3"/>
  <c r="J5692" i="3"/>
  <c r="K5692" i="3" s="1"/>
  <c r="L5691" i="3"/>
  <c r="J5691" i="3"/>
  <c r="K5691" i="3" s="1"/>
  <c r="L5690" i="3"/>
  <c r="J5690" i="3"/>
  <c r="K5690" i="3" s="1"/>
  <c r="L5689" i="3"/>
  <c r="J5689" i="3"/>
  <c r="K5689" i="3" s="1"/>
  <c r="L5688" i="3"/>
  <c r="J5688" i="3"/>
  <c r="K5688" i="3" s="1"/>
  <c r="L5687" i="3"/>
  <c r="J5687" i="3"/>
  <c r="K5687" i="3" s="1"/>
  <c r="L5686" i="3"/>
  <c r="J5686" i="3"/>
  <c r="K5686" i="3" s="1"/>
  <c r="L5685" i="3"/>
  <c r="J5685" i="3"/>
  <c r="K5685" i="3" s="1"/>
  <c r="L5684" i="3"/>
  <c r="J5684" i="3"/>
  <c r="K5684" i="3" s="1"/>
  <c r="L5683" i="3"/>
  <c r="J5683" i="3"/>
  <c r="K5683" i="3" s="1"/>
  <c r="L5682" i="3"/>
  <c r="J5682" i="3"/>
  <c r="K5682" i="3" s="1"/>
  <c r="L5681" i="3"/>
  <c r="J5681" i="3"/>
  <c r="K5681" i="3" s="1"/>
  <c r="L5680" i="3"/>
  <c r="J5680" i="3"/>
  <c r="K5680" i="3" s="1"/>
  <c r="L5679" i="3"/>
  <c r="J5679" i="3"/>
  <c r="K5679" i="3" s="1"/>
  <c r="L5678" i="3"/>
  <c r="J5678" i="3"/>
  <c r="K5678" i="3" s="1"/>
  <c r="L5677" i="3"/>
  <c r="J5677" i="3"/>
  <c r="K5677" i="3" s="1"/>
  <c r="L5676" i="3"/>
  <c r="J5676" i="3"/>
  <c r="K5676" i="3" s="1"/>
  <c r="L5675" i="3"/>
  <c r="J5675" i="3"/>
  <c r="K5675" i="3" s="1"/>
  <c r="L5674" i="3"/>
  <c r="J5674" i="3"/>
  <c r="K5674" i="3" s="1"/>
  <c r="L5673" i="3"/>
  <c r="J5673" i="3"/>
  <c r="K5673" i="3" s="1"/>
  <c r="L5672" i="3"/>
  <c r="J5672" i="3"/>
  <c r="K5672" i="3" s="1"/>
  <c r="L5671" i="3"/>
  <c r="J5671" i="3"/>
  <c r="K5671" i="3" s="1"/>
  <c r="L5670" i="3"/>
  <c r="J5670" i="3"/>
  <c r="K5670" i="3" s="1"/>
  <c r="L5669" i="3"/>
  <c r="J5669" i="3"/>
  <c r="K5669" i="3" s="1"/>
  <c r="L5668" i="3"/>
  <c r="J5668" i="3"/>
  <c r="K5668" i="3" s="1"/>
  <c r="L5667" i="3"/>
  <c r="J5667" i="3"/>
  <c r="K5667" i="3" s="1"/>
  <c r="L5666" i="3"/>
  <c r="J5666" i="3"/>
  <c r="K5666" i="3" s="1"/>
  <c r="L5665" i="3"/>
  <c r="J5665" i="3"/>
  <c r="K5665" i="3" s="1"/>
  <c r="L5664" i="3"/>
  <c r="J5664" i="3"/>
  <c r="K5664" i="3" s="1"/>
  <c r="L5663" i="3"/>
  <c r="J5663" i="3"/>
  <c r="K5663" i="3" s="1"/>
  <c r="L5662" i="3"/>
  <c r="J5662" i="3"/>
  <c r="K5662" i="3" s="1"/>
  <c r="L5661" i="3"/>
  <c r="J5661" i="3"/>
  <c r="K5661" i="3" s="1"/>
  <c r="L5660" i="3"/>
  <c r="J5660" i="3"/>
  <c r="K5660" i="3" s="1"/>
  <c r="L5659" i="3"/>
  <c r="J5659" i="3"/>
  <c r="K5659" i="3" s="1"/>
  <c r="L5658" i="3"/>
  <c r="J5658" i="3"/>
  <c r="K5658" i="3" s="1"/>
  <c r="L5657" i="3"/>
  <c r="J5657" i="3"/>
  <c r="K5657" i="3" s="1"/>
  <c r="L5656" i="3"/>
  <c r="J5656" i="3"/>
  <c r="K5656" i="3" s="1"/>
  <c r="L5655" i="3"/>
  <c r="J5655" i="3"/>
  <c r="K5655" i="3" s="1"/>
  <c r="L5654" i="3"/>
  <c r="J5654" i="3"/>
  <c r="K5654" i="3" s="1"/>
  <c r="L5653" i="3"/>
  <c r="J5653" i="3"/>
  <c r="K5653" i="3" s="1"/>
  <c r="L5652" i="3"/>
  <c r="J5652" i="3"/>
  <c r="K5652" i="3" s="1"/>
  <c r="L5651" i="3"/>
  <c r="J5651" i="3"/>
  <c r="K5651" i="3" s="1"/>
  <c r="L5650" i="3"/>
  <c r="J5650" i="3"/>
  <c r="K5650" i="3" s="1"/>
  <c r="L5649" i="3"/>
  <c r="J5649" i="3"/>
  <c r="K5649" i="3" s="1"/>
  <c r="L5648" i="3"/>
  <c r="J5648" i="3"/>
  <c r="K5648" i="3" s="1"/>
  <c r="L5647" i="3"/>
  <c r="J5647" i="3"/>
  <c r="K5647" i="3" s="1"/>
  <c r="L5646" i="3"/>
  <c r="J5646" i="3"/>
  <c r="K5646" i="3" s="1"/>
  <c r="L5645" i="3"/>
  <c r="J5645" i="3"/>
  <c r="K5645" i="3" s="1"/>
  <c r="L5644" i="3"/>
  <c r="J5644" i="3"/>
  <c r="K5644" i="3" s="1"/>
  <c r="L5643" i="3"/>
  <c r="J5643" i="3"/>
  <c r="K5643" i="3" s="1"/>
  <c r="L5642" i="3"/>
  <c r="J5642" i="3"/>
  <c r="K5642" i="3" s="1"/>
  <c r="L5641" i="3"/>
  <c r="J5641" i="3"/>
  <c r="K5641" i="3" s="1"/>
  <c r="L5640" i="3"/>
  <c r="J5640" i="3"/>
  <c r="K5640" i="3" s="1"/>
  <c r="L5639" i="3"/>
  <c r="J5639" i="3"/>
  <c r="K5639" i="3" s="1"/>
  <c r="L5638" i="3"/>
  <c r="J5638" i="3"/>
  <c r="K5638" i="3" s="1"/>
  <c r="L5637" i="3"/>
  <c r="J5637" i="3"/>
  <c r="K5637" i="3" s="1"/>
  <c r="L5636" i="3"/>
  <c r="J5636" i="3"/>
  <c r="K5636" i="3" s="1"/>
  <c r="L5635" i="3"/>
  <c r="J5635" i="3"/>
  <c r="K5635" i="3" s="1"/>
  <c r="L5634" i="3"/>
  <c r="J5634" i="3"/>
  <c r="K5634" i="3" s="1"/>
  <c r="L5633" i="3"/>
  <c r="J5633" i="3"/>
  <c r="K5633" i="3" s="1"/>
  <c r="L5632" i="3"/>
  <c r="J5632" i="3"/>
  <c r="K5632" i="3" s="1"/>
  <c r="L5631" i="3"/>
  <c r="J5631" i="3"/>
  <c r="K5631" i="3" s="1"/>
  <c r="L5630" i="3"/>
  <c r="J5630" i="3"/>
  <c r="K5630" i="3" s="1"/>
  <c r="L5629" i="3"/>
  <c r="J5629" i="3"/>
  <c r="K5629" i="3" s="1"/>
  <c r="L5628" i="3"/>
  <c r="J5628" i="3"/>
  <c r="K5628" i="3" s="1"/>
  <c r="L5627" i="3"/>
  <c r="J5627" i="3"/>
  <c r="K5627" i="3" s="1"/>
  <c r="L5626" i="3"/>
  <c r="J5626" i="3"/>
  <c r="K5626" i="3" s="1"/>
  <c r="L5625" i="3"/>
  <c r="J5625" i="3"/>
  <c r="K5625" i="3" s="1"/>
  <c r="L5624" i="3"/>
  <c r="J5624" i="3"/>
  <c r="K5624" i="3" s="1"/>
  <c r="L5623" i="3"/>
  <c r="J5623" i="3"/>
  <c r="K5623" i="3" s="1"/>
  <c r="L5622" i="3"/>
  <c r="J5622" i="3"/>
  <c r="K5622" i="3" s="1"/>
  <c r="L5621" i="3"/>
  <c r="J5621" i="3"/>
  <c r="K5621" i="3" s="1"/>
  <c r="L5620" i="3"/>
  <c r="J5620" i="3"/>
  <c r="K5620" i="3" s="1"/>
  <c r="L5619" i="3"/>
  <c r="J5619" i="3"/>
  <c r="K5619" i="3" s="1"/>
  <c r="L5618" i="3"/>
  <c r="J5618" i="3"/>
  <c r="K5618" i="3" s="1"/>
  <c r="L5617" i="3"/>
  <c r="J5617" i="3"/>
  <c r="K5617" i="3" s="1"/>
  <c r="L5616" i="3"/>
  <c r="J5616" i="3"/>
  <c r="K5616" i="3" s="1"/>
  <c r="L5615" i="3"/>
  <c r="J5615" i="3"/>
  <c r="K5615" i="3" s="1"/>
  <c r="L5614" i="3"/>
  <c r="J5614" i="3"/>
  <c r="K5614" i="3" s="1"/>
  <c r="L5613" i="3"/>
  <c r="J5613" i="3"/>
  <c r="K5613" i="3" s="1"/>
  <c r="L5612" i="3"/>
  <c r="J5612" i="3"/>
  <c r="K5612" i="3" s="1"/>
  <c r="L5611" i="3"/>
  <c r="J5611" i="3"/>
  <c r="K5611" i="3" s="1"/>
  <c r="L5610" i="3"/>
  <c r="J5610" i="3"/>
  <c r="K5610" i="3" s="1"/>
  <c r="L5609" i="3"/>
  <c r="J5609" i="3"/>
  <c r="K5609" i="3" s="1"/>
  <c r="L5608" i="3"/>
  <c r="J5608" i="3"/>
  <c r="K5608" i="3" s="1"/>
  <c r="L5607" i="3"/>
  <c r="J5607" i="3"/>
  <c r="K5607" i="3" s="1"/>
  <c r="L5606" i="3"/>
  <c r="J5606" i="3"/>
  <c r="K5606" i="3" s="1"/>
  <c r="L5605" i="3"/>
  <c r="J5605" i="3"/>
  <c r="K5605" i="3" s="1"/>
  <c r="L5604" i="3"/>
  <c r="J5604" i="3"/>
  <c r="K5604" i="3" s="1"/>
  <c r="L5603" i="3"/>
  <c r="J5603" i="3"/>
  <c r="K5603" i="3" s="1"/>
  <c r="L5602" i="3"/>
  <c r="J5602" i="3"/>
  <c r="K5602" i="3" s="1"/>
  <c r="L5601" i="3"/>
  <c r="J5601" i="3"/>
  <c r="K5601" i="3" s="1"/>
  <c r="L5600" i="3"/>
  <c r="J5600" i="3"/>
  <c r="K5600" i="3" s="1"/>
  <c r="L5599" i="3"/>
  <c r="J5599" i="3"/>
  <c r="K5599" i="3" s="1"/>
  <c r="L5598" i="3"/>
  <c r="J5598" i="3"/>
  <c r="K5598" i="3" s="1"/>
  <c r="L5597" i="3"/>
  <c r="J5597" i="3"/>
  <c r="K5597" i="3" s="1"/>
  <c r="L5596" i="3"/>
  <c r="K5596" i="3"/>
  <c r="J5596" i="3"/>
  <c r="L5595" i="3"/>
  <c r="J5595" i="3"/>
  <c r="K5595" i="3" s="1"/>
  <c r="L5594" i="3"/>
  <c r="J5594" i="3"/>
  <c r="K5594" i="3" s="1"/>
  <c r="L5593" i="3"/>
  <c r="J5593" i="3"/>
  <c r="K5593" i="3" s="1"/>
  <c r="L5592" i="3"/>
  <c r="J5592" i="3"/>
  <c r="K5592" i="3" s="1"/>
  <c r="L5591" i="3"/>
  <c r="J5591" i="3"/>
  <c r="K5591" i="3" s="1"/>
  <c r="L5590" i="3"/>
  <c r="J5590" i="3"/>
  <c r="K5590" i="3" s="1"/>
  <c r="L5589" i="3"/>
  <c r="J5589" i="3"/>
  <c r="K5589" i="3" s="1"/>
  <c r="L5588" i="3"/>
  <c r="J5588" i="3"/>
  <c r="K5588" i="3" s="1"/>
  <c r="L5587" i="3"/>
  <c r="J5587" i="3"/>
  <c r="K5587" i="3" s="1"/>
  <c r="L5586" i="3"/>
  <c r="J5586" i="3"/>
  <c r="K5586" i="3" s="1"/>
  <c r="L5585" i="3"/>
  <c r="J5585" i="3"/>
  <c r="K5585" i="3" s="1"/>
  <c r="L5584" i="3"/>
  <c r="J5584" i="3"/>
  <c r="K5584" i="3" s="1"/>
  <c r="L5583" i="3"/>
  <c r="J5583" i="3"/>
  <c r="K5583" i="3" s="1"/>
  <c r="L5582" i="3"/>
  <c r="J5582" i="3"/>
  <c r="K5582" i="3" s="1"/>
  <c r="L5581" i="3"/>
  <c r="J5581" i="3"/>
  <c r="K5581" i="3" s="1"/>
  <c r="L5580" i="3"/>
  <c r="J5580" i="3"/>
  <c r="K5580" i="3" s="1"/>
  <c r="L5579" i="3"/>
  <c r="J5579" i="3"/>
  <c r="K5579" i="3" s="1"/>
  <c r="L5578" i="3"/>
  <c r="J5578" i="3"/>
  <c r="K5578" i="3" s="1"/>
  <c r="L5577" i="3"/>
  <c r="J5577" i="3"/>
  <c r="K5577" i="3" s="1"/>
  <c r="L5576" i="3"/>
  <c r="J5576" i="3"/>
  <c r="K5576" i="3" s="1"/>
  <c r="L5575" i="3"/>
  <c r="J5575" i="3"/>
  <c r="K5575" i="3" s="1"/>
  <c r="L5574" i="3"/>
  <c r="J5574" i="3"/>
  <c r="K5574" i="3" s="1"/>
  <c r="L5573" i="3"/>
  <c r="J5573" i="3"/>
  <c r="K5573" i="3" s="1"/>
  <c r="L5572" i="3"/>
  <c r="J5572" i="3"/>
  <c r="K5572" i="3" s="1"/>
  <c r="L5571" i="3"/>
  <c r="J5571" i="3"/>
  <c r="K5571" i="3" s="1"/>
  <c r="L5570" i="3"/>
  <c r="J5570" i="3"/>
  <c r="K5570" i="3" s="1"/>
  <c r="L5569" i="3"/>
  <c r="J5569" i="3"/>
  <c r="K5569" i="3" s="1"/>
  <c r="L5568" i="3"/>
  <c r="J5568" i="3"/>
  <c r="K5568" i="3" s="1"/>
  <c r="L5567" i="3"/>
  <c r="J5567" i="3"/>
  <c r="K5567" i="3" s="1"/>
  <c r="L5566" i="3"/>
  <c r="J5566" i="3"/>
  <c r="K5566" i="3" s="1"/>
  <c r="L5565" i="3"/>
  <c r="J5565" i="3"/>
  <c r="K5565" i="3" s="1"/>
  <c r="L5564" i="3"/>
  <c r="J5564" i="3"/>
  <c r="K5564" i="3" s="1"/>
  <c r="L5563" i="3"/>
  <c r="J5563" i="3"/>
  <c r="K5563" i="3" s="1"/>
  <c r="L5562" i="3"/>
  <c r="J5562" i="3"/>
  <c r="K5562" i="3" s="1"/>
  <c r="L5561" i="3"/>
  <c r="J5561" i="3"/>
  <c r="K5561" i="3" s="1"/>
  <c r="L5560" i="3"/>
  <c r="J5560" i="3"/>
  <c r="K5560" i="3" s="1"/>
  <c r="L5559" i="3"/>
  <c r="J5559" i="3"/>
  <c r="K5559" i="3" s="1"/>
  <c r="L5558" i="3"/>
  <c r="J5558" i="3"/>
  <c r="K5558" i="3" s="1"/>
  <c r="L5557" i="3"/>
  <c r="J5557" i="3"/>
  <c r="K5557" i="3" s="1"/>
  <c r="L5556" i="3"/>
  <c r="J5556" i="3"/>
  <c r="K5556" i="3" s="1"/>
  <c r="L5555" i="3"/>
  <c r="J5555" i="3"/>
  <c r="K5555" i="3" s="1"/>
  <c r="L5554" i="3"/>
  <c r="J5554" i="3"/>
  <c r="K5554" i="3" s="1"/>
  <c r="L5553" i="3"/>
  <c r="J5553" i="3"/>
  <c r="K5553" i="3" s="1"/>
  <c r="L5552" i="3"/>
  <c r="J5552" i="3"/>
  <c r="K5552" i="3" s="1"/>
  <c r="L5551" i="3"/>
  <c r="J5551" i="3"/>
  <c r="K5551" i="3" s="1"/>
  <c r="L5550" i="3"/>
  <c r="J5550" i="3"/>
  <c r="K5550" i="3" s="1"/>
  <c r="L5549" i="3"/>
  <c r="J5549" i="3"/>
  <c r="K5549" i="3" s="1"/>
  <c r="L5548" i="3"/>
  <c r="J5548" i="3"/>
  <c r="K5548" i="3" s="1"/>
  <c r="L5547" i="3"/>
  <c r="J5547" i="3"/>
  <c r="K5547" i="3" s="1"/>
  <c r="L5546" i="3"/>
  <c r="J5546" i="3"/>
  <c r="K5546" i="3" s="1"/>
  <c r="L5545" i="3"/>
  <c r="J5545" i="3"/>
  <c r="K5545" i="3" s="1"/>
  <c r="L5544" i="3"/>
  <c r="J5544" i="3"/>
  <c r="K5544" i="3" s="1"/>
  <c r="L5543" i="3"/>
  <c r="J5543" i="3"/>
  <c r="K5543" i="3" s="1"/>
  <c r="L5542" i="3"/>
  <c r="J5542" i="3"/>
  <c r="K5542" i="3" s="1"/>
  <c r="L5541" i="3"/>
  <c r="J5541" i="3"/>
  <c r="K5541" i="3" s="1"/>
  <c r="L5540" i="3"/>
  <c r="J5540" i="3"/>
  <c r="K5540" i="3" s="1"/>
  <c r="L5539" i="3"/>
  <c r="J5539" i="3"/>
  <c r="K5539" i="3" s="1"/>
  <c r="L5538" i="3"/>
  <c r="J5538" i="3"/>
  <c r="K5538" i="3" s="1"/>
  <c r="L5537" i="3"/>
  <c r="J5537" i="3"/>
  <c r="K5537" i="3" s="1"/>
  <c r="L5536" i="3"/>
  <c r="J5536" i="3"/>
  <c r="K5536" i="3" s="1"/>
  <c r="L5535" i="3"/>
  <c r="J5535" i="3"/>
  <c r="K5535" i="3" s="1"/>
  <c r="L5534" i="3"/>
  <c r="J5534" i="3"/>
  <c r="K5534" i="3" s="1"/>
  <c r="L5533" i="3"/>
  <c r="J5533" i="3"/>
  <c r="K5533" i="3" s="1"/>
  <c r="L5532" i="3"/>
  <c r="J5532" i="3"/>
  <c r="K5532" i="3" s="1"/>
  <c r="L5531" i="3"/>
  <c r="J5531" i="3"/>
  <c r="K5531" i="3" s="1"/>
  <c r="L5530" i="3"/>
  <c r="J5530" i="3"/>
  <c r="K5530" i="3" s="1"/>
  <c r="L5529" i="3"/>
  <c r="J5529" i="3"/>
  <c r="K5529" i="3" s="1"/>
  <c r="L5528" i="3"/>
  <c r="J5528" i="3"/>
  <c r="K5528" i="3" s="1"/>
  <c r="L5527" i="3"/>
  <c r="J5527" i="3"/>
  <c r="K5527" i="3" s="1"/>
  <c r="L5526" i="3"/>
  <c r="J5526" i="3"/>
  <c r="K5526" i="3" s="1"/>
  <c r="L5525" i="3"/>
  <c r="J5525" i="3"/>
  <c r="K5525" i="3" s="1"/>
  <c r="L5524" i="3"/>
  <c r="J5524" i="3"/>
  <c r="K5524" i="3" s="1"/>
  <c r="L5523" i="3"/>
  <c r="J5523" i="3"/>
  <c r="K5523" i="3" s="1"/>
  <c r="L5522" i="3"/>
  <c r="J5522" i="3"/>
  <c r="K5522" i="3" s="1"/>
  <c r="L5521" i="3"/>
  <c r="J5521" i="3"/>
  <c r="K5521" i="3" s="1"/>
  <c r="L5520" i="3"/>
  <c r="J5520" i="3"/>
  <c r="K5520" i="3" s="1"/>
  <c r="L5519" i="3"/>
  <c r="J5519" i="3"/>
  <c r="K5519" i="3" s="1"/>
  <c r="L5518" i="3"/>
  <c r="J5518" i="3"/>
  <c r="K5518" i="3" s="1"/>
  <c r="L5517" i="3"/>
  <c r="J5517" i="3"/>
  <c r="K5517" i="3" s="1"/>
  <c r="L5516" i="3"/>
  <c r="J5516" i="3"/>
  <c r="K5516" i="3" s="1"/>
  <c r="L5515" i="3"/>
  <c r="J5515" i="3"/>
  <c r="K5515" i="3" s="1"/>
  <c r="L5514" i="3"/>
  <c r="J5514" i="3"/>
  <c r="K5514" i="3" s="1"/>
  <c r="L5513" i="3"/>
  <c r="J5513" i="3"/>
  <c r="K5513" i="3" s="1"/>
  <c r="L5512" i="3"/>
  <c r="J5512" i="3"/>
  <c r="K5512" i="3" s="1"/>
  <c r="L5511" i="3"/>
  <c r="J5511" i="3"/>
  <c r="K5511" i="3" s="1"/>
  <c r="L5510" i="3"/>
  <c r="J5510" i="3"/>
  <c r="K5510" i="3" s="1"/>
  <c r="L5509" i="3"/>
  <c r="J5509" i="3"/>
  <c r="K5509" i="3" s="1"/>
  <c r="L5508" i="3"/>
  <c r="J5508" i="3"/>
  <c r="K5508" i="3" s="1"/>
  <c r="L5507" i="3"/>
  <c r="J5507" i="3"/>
  <c r="K5507" i="3" s="1"/>
  <c r="L5506" i="3"/>
  <c r="J5506" i="3"/>
  <c r="K5506" i="3" s="1"/>
  <c r="L5505" i="3"/>
  <c r="J5505" i="3"/>
  <c r="K5505" i="3" s="1"/>
  <c r="L5504" i="3"/>
  <c r="J5504" i="3"/>
  <c r="K5504" i="3" s="1"/>
  <c r="L5503" i="3"/>
  <c r="J5503" i="3"/>
  <c r="K5503" i="3" s="1"/>
  <c r="L5502" i="3"/>
  <c r="J5502" i="3"/>
  <c r="K5502" i="3" s="1"/>
  <c r="L5501" i="3"/>
  <c r="J5501" i="3"/>
  <c r="K5501" i="3" s="1"/>
  <c r="L5500" i="3"/>
  <c r="J5500" i="3"/>
  <c r="K5500" i="3" s="1"/>
  <c r="L5499" i="3"/>
  <c r="J5499" i="3"/>
  <c r="K5499" i="3" s="1"/>
  <c r="L5498" i="3"/>
  <c r="J5498" i="3"/>
  <c r="K5498" i="3" s="1"/>
  <c r="L5497" i="3"/>
  <c r="J5497" i="3"/>
  <c r="K5497" i="3" s="1"/>
  <c r="L5496" i="3"/>
  <c r="J5496" i="3"/>
  <c r="K5496" i="3" s="1"/>
  <c r="L5495" i="3"/>
  <c r="J5495" i="3"/>
  <c r="K5495" i="3" s="1"/>
  <c r="L5494" i="3"/>
  <c r="J5494" i="3"/>
  <c r="K5494" i="3" s="1"/>
  <c r="L5493" i="3"/>
  <c r="J5493" i="3"/>
  <c r="K5493" i="3" s="1"/>
  <c r="L5492" i="3"/>
  <c r="J5492" i="3"/>
  <c r="K5492" i="3" s="1"/>
  <c r="L5491" i="3"/>
  <c r="J5491" i="3"/>
  <c r="K5491" i="3" s="1"/>
  <c r="L5490" i="3"/>
  <c r="J5490" i="3"/>
  <c r="K5490" i="3" s="1"/>
  <c r="L5489" i="3"/>
  <c r="J5489" i="3"/>
  <c r="K5489" i="3" s="1"/>
  <c r="L5488" i="3"/>
  <c r="J5488" i="3"/>
  <c r="K5488" i="3" s="1"/>
  <c r="L5487" i="3"/>
  <c r="J5487" i="3"/>
  <c r="K5487" i="3" s="1"/>
  <c r="L5486" i="3"/>
  <c r="J5486" i="3"/>
  <c r="K5486" i="3" s="1"/>
  <c r="L5485" i="3"/>
  <c r="J5485" i="3"/>
  <c r="K5485" i="3" s="1"/>
  <c r="L5484" i="3"/>
  <c r="J5484" i="3"/>
  <c r="K5484" i="3" s="1"/>
  <c r="L5483" i="3"/>
  <c r="J5483" i="3"/>
  <c r="K5483" i="3" s="1"/>
  <c r="L5482" i="3"/>
  <c r="J5482" i="3"/>
  <c r="K5482" i="3" s="1"/>
  <c r="L5481" i="3"/>
  <c r="J5481" i="3"/>
  <c r="K5481" i="3" s="1"/>
  <c r="L5480" i="3"/>
  <c r="J5480" i="3"/>
  <c r="K5480" i="3" s="1"/>
  <c r="L5479" i="3"/>
  <c r="J5479" i="3"/>
  <c r="K5479" i="3" s="1"/>
  <c r="L5478" i="3"/>
  <c r="J5478" i="3"/>
  <c r="K5478" i="3" s="1"/>
  <c r="L5477" i="3"/>
  <c r="J5477" i="3"/>
  <c r="K5477" i="3" s="1"/>
  <c r="L5476" i="3"/>
  <c r="J5476" i="3"/>
  <c r="K5476" i="3" s="1"/>
  <c r="L5475" i="3"/>
  <c r="J5475" i="3"/>
  <c r="K5475" i="3" s="1"/>
  <c r="L5474" i="3"/>
  <c r="J5474" i="3"/>
  <c r="K5474" i="3" s="1"/>
  <c r="L5473" i="3"/>
  <c r="J5473" i="3"/>
  <c r="K5473" i="3" s="1"/>
  <c r="L5472" i="3"/>
  <c r="J5472" i="3"/>
  <c r="K5472" i="3" s="1"/>
  <c r="L5471" i="3"/>
  <c r="J5471" i="3"/>
  <c r="K5471" i="3" s="1"/>
  <c r="L5470" i="3"/>
  <c r="J5470" i="3"/>
  <c r="K5470" i="3" s="1"/>
  <c r="L5469" i="3"/>
  <c r="J5469" i="3"/>
  <c r="K5469" i="3" s="1"/>
  <c r="L5468" i="3"/>
  <c r="J5468" i="3"/>
  <c r="K5468" i="3" s="1"/>
  <c r="L5467" i="3"/>
  <c r="J5467" i="3"/>
  <c r="K5467" i="3" s="1"/>
  <c r="L5466" i="3"/>
  <c r="J5466" i="3"/>
  <c r="K5466" i="3" s="1"/>
  <c r="L5465" i="3"/>
  <c r="J5465" i="3"/>
  <c r="K5465" i="3" s="1"/>
  <c r="L5464" i="3"/>
  <c r="J5464" i="3"/>
  <c r="K5464" i="3" s="1"/>
  <c r="L5463" i="3"/>
  <c r="J5463" i="3"/>
  <c r="K5463" i="3" s="1"/>
  <c r="L5462" i="3"/>
  <c r="J5462" i="3"/>
  <c r="K5462" i="3" s="1"/>
  <c r="L5461" i="3"/>
  <c r="J5461" i="3"/>
  <c r="K5461" i="3" s="1"/>
  <c r="L5460" i="3"/>
  <c r="J5460" i="3"/>
  <c r="K5460" i="3" s="1"/>
  <c r="L5459" i="3"/>
  <c r="J5459" i="3"/>
  <c r="K5459" i="3" s="1"/>
  <c r="L5458" i="3"/>
  <c r="J5458" i="3"/>
  <c r="K5458" i="3" s="1"/>
  <c r="L5457" i="3"/>
  <c r="J5457" i="3"/>
  <c r="K5457" i="3" s="1"/>
  <c r="L5456" i="3"/>
  <c r="J5456" i="3"/>
  <c r="K5456" i="3" s="1"/>
  <c r="L5455" i="3"/>
  <c r="J5455" i="3"/>
  <c r="K5455" i="3" s="1"/>
  <c r="L5454" i="3"/>
  <c r="J5454" i="3"/>
  <c r="K5454" i="3" s="1"/>
  <c r="L5453" i="3"/>
  <c r="J5453" i="3"/>
  <c r="K5453" i="3" s="1"/>
  <c r="L5452" i="3"/>
  <c r="J5452" i="3"/>
  <c r="K5452" i="3" s="1"/>
  <c r="L5451" i="3"/>
  <c r="J5451" i="3"/>
  <c r="K5451" i="3" s="1"/>
  <c r="L5450" i="3"/>
  <c r="J5450" i="3"/>
  <c r="K5450" i="3" s="1"/>
  <c r="L5449" i="3"/>
  <c r="J5449" i="3"/>
  <c r="K5449" i="3" s="1"/>
  <c r="L5448" i="3"/>
  <c r="J5448" i="3"/>
  <c r="K5448" i="3" s="1"/>
  <c r="L5447" i="3"/>
  <c r="J5447" i="3"/>
  <c r="K5447" i="3" s="1"/>
  <c r="L5446" i="3"/>
  <c r="J5446" i="3"/>
  <c r="K5446" i="3" s="1"/>
  <c r="L5445" i="3"/>
  <c r="J5445" i="3"/>
  <c r="K5445" i="3" s="1"/>
  <c r="L5444" i="3"/>
  <c r="J5444" i="3"/>
  <c r="K5444" i="3" s="1"/>
  <c r="L5443" i="3"/>
  <c r="J5443" i="3"/>
  <c r="K5443" i="3" s="1"/>
  <c r="L5442" i="3"/>
  <c r="J5442" i="3"/>
  <c r="K5442" i="3" s="1"/>
  <c r="L5441" i="3"/>
  <c r="J5441" i="3"/>
  <c r="K5441" i="3" s="1"/>
  <c r="L5440" i="3"/>
  <c r="J5440" i="3"/>
  <c r="K5440" i="3" s="1"/>
  <c r="L5439" i="3"/>
  <c r="J5439" i="3"/>
  <c r="K5439" i="3" s="1"/>
  <c r="L5438" i="3"/>
  <c r="J5438" i="3"/>
  <c r="K5438" i="3" s="1"/>
  <c r="L5437" i="3"/>
  <c r="J5437" i="3"/>
  <c r="K5437" i="3" s="1"/>
  <c r="L5436" i="3"/>
  <c r="J5436" i="3"/>
  <c r="K5436" i="3" s="1"/>
  <c r="L5435" i="3"/>
  <c r="J5435" i="3"/>
  <c r="K5435" i="3" s="1"/>
  <c r="L5434" i="3"/>
  <c r="J5434" i="3"/>
  <c r="K5434" i="3" s="1"/>
  <c r="L5433" i="3"/>
  <c r="J5433" i="3"/>
  <c r="K5433" i="3" s="1"/>
  <c r="L5432" i="3"/>
  <c r="J5432" i="3"/>
  <c r="K5432" i="3" s="1"/>
  <c r="L5431" i="3"/>
  <c r="J5431" i="3"/>
  <c r="K5431" i="3" s="1"/>
  <c r="L5430" i="3"/>
  <c r="J5430" i="3"/>
  <c r="K5430" i="3" s="1"/>
  <c r="L5429" i="3"/>
  <c r="J5429" i="3"/>
  <c r="K5429" i="3" s="1"/>
  <c r="L5428" i="3"/>
  <c r="J5428" i="3"/>
  <c r="K5428" i="3" s="1"/>
  <c r="L5427" i="3"/>
  <c r="J5427" i="3"/>
  <c r="K5427" i="3" s="1"/>
  <c r="L5426" i="3"/>
  <c r="J5426" i="3"/>
  <c r="K5426" i="3" s="1"/>
  <c r="L5425" i="3"/>
  <c r="J5425" i="3"/>
  <c r="K5425" i="3" s="1"/>
  <c r="L5424" i="3"/>
  <c r="J5424" i="3"/>
  <c r="K5424" i="3" s="1"/>
  <c r="L5423" i="3"/>
  <c r="J5423" i="3"/>
  <c r="K5423" i="3" s="1"/>
  <c r="L5422" i="3"/>
  <c r="J5422" i="3"/>
  <c r="K5422" i="3" s="1"/>
  <c r="L5421" i="3"/>
  <c r="J5421" i="3"/>
  <c r="K5421" i="3" s="1"/>
  <c r="L5420" i="3"/>
  <c r="J5420" i="3"/>
  <c r="K5420" i="3" s="1"/>
  <c r="L5419" i="3"/>
  <c r="J5419" i="3"/>
  <c r="K5419" i="3" s="1"/>
  <c r="L5418" i="3"/>
  <c r="J5418" i="3"/>
  <c r="K5418" i="3" s="1"/>
  <c r="L5417" i="3"/>
  <c r="J5417" i="3"/>
  <c r="K5417" i="3" s="1"/>
  <c r="L5416" i="3"/>
  <c r="J5416" i="3"/>
  <c r="K5416" i="3" s="1"/>
  <c r="L5415" i="3"/>
  <c r="J5415" i="3"/>
  <c r="K5415" i="3" s="1"/>
  <c r="L5414" i="3"/>
  <c r="J5414" i="3"/>
  <c r="K5414" i="3" s="1"/>
  <c r="L5413" i="3"/>
  <c r="J5413" i="3"/>
  <c r="K5413" i="3" s="1"/>
  <c r="L5412" i="3"/>
  <c r="J5412" i="3"/>
  <c r="K5412" i="3" s="1"/>
  <c r="L5411" i="3"/>
  <c r="J5411" i="3"/>
  <c r="K5411" i="3" s="1"/>
  <c r="L5410" i="3"/>
  <c r="J5410" i="3"/>
  <c r="K5410" i="3" s="1"/>
  <c r="L5409" i="3"/>
  <c r="J5409" i="3"/>
  <c r="K5409" i="3" s="1"/>
  <c r="L5408" i="3"/>
  <c r="J5408" i="3"/>
  <c r="K5408" i="3" s="1"/>
  <c r="L5407" i="3"/>
  <c r="J5407" i="3"/>
  <c r="K5407" i="3" s="1"/>
  <c r="L5406" i="3"/>
  <c r="J5406" i="3"/>
  <c r="K5406" i="3" s="1"/>
  <c r="L5405" i="3"/>
  <c r="J5405" i="3"/>
  <c r="K5405" i="3" s="1"/>
  <c r="L5404" i="3"/>
  <c r="J5404" i="3"/>
  <c r="K5404" i="3" s="1"/>
  <c r="L5403" i="3"/>
  <c r="J5403" i="3"/>
  <c r="K5403" i="3" s="1"/>
  <c r="L5402" i="3"/>
  <c r="J5402" i="3"/>
  <c r="K5402" i="3" s="1"/>
  <c r="L5401" i="3"/>
  <c r="J5401" i="3"/>
  <c r="K5401" i="3" s="1"/>
  <c r="L5400" i="3"/>
  <c r="J5400" i="3"/>
  <c r="K5400" i="3" s="1"/>
  <c r="L5399" i="3"/>
  <c r="J5399" i="3"/>
  <c r="K5399" i="3" s="1"/>
  <c r="L5398" i="3"/>
  <c r="J5398" i="3"/>
  <c r="K5398" i="3" s="1"/>
  <c r="L5397" i="3"/>
  <c r="J5397" i="3"/>
  <c r="K5397" i="3" s="1"/>
  <c r="L5396" i="3"/>
  <c r="J5396" i="3"/>
  <c r="K5396" i="3" s="1"/>
  <c r="L5395" i="3"/>
  <c r="J5395" i="3"/>
  <c r="K5395" i="3" s="1"/>
  <c r="L5394" i="3"/>
  <c r="J5394" i="3"/>
  <c r="K5394" i="3" s="1"/>
  <c r="L5393" i="3"/>
  <c r="J5393" i="3"/>
  <c r="K5393" i="3" s="1"/>
  <c r="L5392" i="3"/>
  <c r="J5392" i="3"/>
  <c r="K5392" i="3" s="1"/>
  <c r="L5391" i="3"/>
  <c r="J5391" i="3"/>
  <c r="K5391" i="3" s="1"/>
  <c r="L5390" i="3"/>
  <c r="J5390" i="3"/>
  <c r="K5390" i="3" s="1"/>
  <c r="L5389" i="3"/>
  <c r="J5389" i="3"/>
  <c r="K5389" i="3" s="1"/>
  <c r="L5388" i="3"/>
  <c r="J5388" i="3"/>
  <c r="K5388" i="3" s="1"/>
  <c r="L5387" i="3"/>
  <c r="J5387" i="3"/>
  <c r="K5387" i="3" s="1"/>
  <c r="L5386" i="3"/>
  <c r="J5386" i="3"/>
  <c r="K5386" i="3" s="1"/>
  <c r="L5385" i="3"/>
  <c r="J5385" i="3"/>
  <c r="K5385" i="3" s="1"/>
  <c r="L5384" i="3"/>
  <c r="J5384" i="3"/>
  <c r="K5384" i="3" s="1"/>
  <c r="L5383" i="3"/>
  <c r="J5383" i="3"/>
  <c r="K5383" i="3" s="1"/>
  <c r="L5382" i="3"/>
  <c r="J5382" i="3"/>
  <c r="K5382" i="3" s="1"/>
  <c r="L5381" i="3"/>
  <c r="J5381" i="3"/>
  <c r="K5381" i="3" s="1"/>
  <c r="L5380" i="3"/>
  <c r="J5380" i="3"/>
  <c r="K5380" i="3" s="1"/>
  <c r="L5379" i="3"/>
  <c r="J5379" i="3"/>
  <c r="K5379" i="3" s="1"/>
  <c r="L5378" i="3"/>
  <c r="J5378" i="3"/>
  <c r="K5378" i="3" s="1"/>
  <c r="L5377" i="3"/>
  <c r="J5377" i="3"/>
  <c r="K5377" i="3" s="1"/>
  <c r="L5376" i="3"/>
  <c r="J5376" i="3"/>
  <c r="K5376" i="3" s="1"/>
  <c r="L5375" i="3"/>
  <c r="J5375" i="3"/>
  <c r="K5375" i="3" s="1"/>
  <c r="L5374" i="3"/>
  <c r="J5374" i="3"/>
  <c r="K5374" i="3" s="1"/>
  <c r="L5373" i="3"/>
  <c r="J5373" i="3"/>
  <c r="K5373" i="3" s="1"/>
  <c r="L5372" i="3"/>
  <c r="J5372" i="3"/>
  <c r="K5372" i="3" s="1"/>
  <c r="L5371" i="3"/>
  <c r="J5371" i="3"/>
  <c r="K5371" i="3" s="1"/>
  <c r="L5370" i="3"/>
  <c r="J5370" i="3"/>
  <c r="K5370" i="3" s="1"/>
  <c r="L5369" i="3"/>
  <c r="J5369" i="3"/>
  <c r="K5369" i="3" s="1"/>
  <c r="L5368" i="3"/>
  <c r="J5368" i="3"/>
  <c r="K5368" i="3" s="1"/>
  <c r="L5367" i="3"/>
  <c r="J5367" i="3"/>
  <c r="K5367" i="3" s="1"/>
  <c r="L5366" i="3"/>
  <c r="J5366" i="3"/>
  <c r="K5366" i="3" s="1"/>
  <c r="L5365" i="3"/>
  <c r="J5365" i="3"/>
  <c r="K5365" i="3" s="1"/>
  <c r="L5364" i="3"/>
  <c r="J5364" i="3"/>
  <c r="K5364" i="3" s="1"/>
  <c r="L5363" i="3"/>
  <c r="J5363" i="3"/>
  <c r="K5363" i="3" s="1"/>
  <c r="L5362" i="3"/>
  <c r="J5362" i="3"/>
  <c r="K5362" i="3" s="1"/>
  <c r="L5361" i="3"/>
  <c r="J5361" i="3"/>
  <c r="K5361" i="3" s="1"/>
  <c r="L5360" i="3"/>
  <c r="J5360" i="3"/>
  <c r="K5360" i="3" s="1"/>
  <c r="L5359" i="3"/>
  <c r="J5359" i="3"/>
  <c r="K5359" i="3" s="1"/>
  <c r="L5358" i="3"/>
  <c r="J5358" i="3"/>
  <c r="K5358" i="3" s="1"/>
  <c r="L5357" i="3"/>
  <c r="J5357" i="3"/>
  <c r="K5357" i="3" s="1"/>
  <c r="L5356" i="3"/>
  <c r="J5356" i="3"/>
  <c r="K5356" i="3" s="1"/>
  <c r="L5355" i="3"/>
  <c r="J5355" i="3"/>
  <c r="K5355" i="3" s="1"/>
  <c r="L5354" i="3"/>
  <c r="J5354" i="3"/>
  <c r="K5354" i="3" s="1"/>
  <c r="L5353" i="3"/>
  <c r="J5353" i="3"/>
  <c r="K5353" i="3" s="1"/>
  <c r="L5352" i="3"/>
  <c r="J5352" i="3"/>
  <c r="K5352" i="3" s="1"/>
  <c r="L5351" i="3"/>
  <c r="J5351" i="3"/>
  <c r="K5351" i="3" s="1"/>
  <c r="L5350" i="3"/>
  <c r="J5350" i="3"/>
  <c r="K5350" i="3" s="1"/>
  <c r="L5349" i="3"/>
  <c r="J5349" i="3"/>
  <c r="K5349" i="3" s="1"/>
  <c r="L5348" i="3"/>
  <c r="J5348" i="3"/>
  <c r="K5348" i="3" s="1"/>
  <c r="L5347" i="3"/>
  <c r="J5347" i="3"/>
  <c r="K5347" i="3" s="1"/>
  <c r="L5346" i="3"/>
  <c r="J5346" i="3"/>
  <c r="K5346" i="3" s="1"/>
  <c r="L5345" i="3"/>
  <c r="J5345" i="3"/>
  <c r="K5345" i="3" s="1"/>
  <c r="L5344" i="3"/>
  <c r="J5344" i="3"/>
  <c r="K5344" i="3" s="1"/>
  <c r="L5343" i="3"/>
  <c r="J5343" i="3"/>
  <c r="K5343" i="3" s="1"/>
  <c r="L5342" i="3"/>
  <c r="J5342" i="3"/>
  <c r="K5342" i="3" s="1"/>
  <c r="L5341" i="3"/>
  <c r="J5341" i="3"/>
  <c r="K5341" i="3" s="1"/>
  <c r="L5340" i="3"/>
  <c r="J5340" i="3"/>
  <c r="K5340" i="3" s="1"/>
  <c r="L5339" i="3"/>
  <c r="J5339" i="3"/>
  <c r="K5339" i="3" s="1"/>
  <c r="L5338" i="3"/>
  <c r="J5338" i="3"/>
  <c r="K5338" i="3" s="1"/>
  <c r="L5337" i="3"/>
  <c r="J5337" i="3"/>
  <c r="K5337" i="3" s="1"/>
  <c r="L5336" i="3"/>
  <c r="J5336" i="3"/>
  <c r="K5336" i="3" s="1"/>
  <c r="L5335" i="3"/>
  <c r="J5335" i="3"/>
  <c r="K5335" i="3" s="1"/>
  <c r="L5334" i="3"/>
  <c r="J5334" i="3"/>
  <c r="K5334" i="3" s="1"/>
  <c r="L5333" i="3"/>
  <c r="J5333" i="3"/>
  <c r="K5333" i="3" s="1"/>
  <c r="L5332" i="3"/>
  <c r="J5332" i="3"/>
  <c r="K5332" i="3" s="1"/>
  <c r="L5331" i="3"/>
  <c r="J5331" i="3"/>
  <c r="K5331" i="3" s="1"/>
  <c r="L5330" i="3"/>
  <c r="J5330" i="3"/>
  <c r="K5330" i="3" s="1"/>
  <c r="L5329" i="3"/>
  <c r="J5329" i="3"/>
  <c r="K5329" i="3" s="1"/>
  <c r="L5328" i="3"/>
  <c r="J5328" i="3"/>
  <c r="K5328" i="3" s="1"/>
  <c r="L5327" i="3"/>
  <c r="J5327" i="3"/>
  <c r="K5327" i="3" s="1"/>
  <c r="L5326" i="3"/>
  <c r="J5326" i="3"/>
  <c r="K5326" i="3" s="1"/>
  <c r="L5325" i="3"/>
  <c r="J5325" i="3"/>
  <c r="K5325" i="3" s="1"/>
  <c r="L5324" i="3"/>
  <c r="J5324" i="3"/>
  <c r="K5324" i="3" s="1"/>
  <c r="L5323" i="3"/>
  <c r="J5323" i="3"/>
  <c r="K5323" i="3" s="1"/>
  <c r="L5322" i="3"/>
  <c r="J5322" i="3"/>
  <c r="K5322" i="3" s="1"/>
  <c r="L5321" i="3"/>
  <c r="J5321" i="3"/>
  <c r="K5321" i="3" s="1"/>
  <c r="L5320" i="3"/>
  <c r="J5320" i="3"/>
  <c r="K5320" i="3" s="1"/>
  <c r="L5319" i="3"/>
  <c r="J5319" i="3"/>
  <c r="K5319" i="3" s="1"/>
  <c r="L5318" i="3"/>
  <c r="J5318" i="3"/>
  <c r="K5318" i="3" s="1"/>
  <c r="L5317" i="3"/>
  <c r="J5317" i="3"/>
  <c r="K5317" i="3" s="1"/>
  <c r="L5316" i="3"/>
  <c r="J5316" i="3"/>
  <c r="K5316" i="3" s="1"/>
  <c r="L5315" i="3"/>
  <c r="J5315" i="3"/>
  <c r="K5315" i="3" s="1"/>
  <c r="L5314" i="3"/>
  <c r="J5314" i="3"/>
  <c r="K5314" i="3" s="1"/>
  <c r="L5313" i="3"/>
  <c r="J5313" i="3"/>
  <c r="K5313" i="3" s="1"/>
  <c r="L5312" i="3"/>
  <c r="J5312" i="3"/>
  <c r="K5312" i="3" s="1"/>
  <c r="L5311" i="3"/>
  <c r="J5311" i="3"/>
  <c r="K5311" i="3" s="1"/>
  <c r="L5310" i="3"/>
  <c r="J5310" i="3"/>
  <c r="K5310" i="3" s="1"/>
  <c r="L5309" i="3"/>
  <c r="J5309" i="3"/>
  <c r="K5309" i="3" s="1"/>
  <c r="L5308" i="3"/>
  <c r="J5308" i="3"/>
  <c r="K5308" i="3" s="1"/>
  <c r="L5307" i="3"/>
  <c r="J5307" i="3"/>
  <c r="K5307" i="3" s="1"/>
  <c r="L5306" i="3"/>
  <c r="J5306" i="3"/>
  <c r="K5306" i="3" s="1"/>
  <c r="L5305" i="3"/>
  <c r="J5305" i="3"/>
  <c r="K5305" i="3" s="1"/>
  <c r="L5304" i="3"/>
  <c r="J5304" i="3"/>
  <c r="K5304" i="3" s="1"/>
  <c r="L5303" i="3"/>
  <c r="J5303" i="3"/>
  <c r="K5303" i="3" s="1"/>
  <c r="L5302" i="3"/>
  <c r="J5302" i="3"/>
  <c r="K5302" i="3" s="1"/>
  <c r="L5301" i="3"/>
  <c r="J5301" i="3"/>
  <c r="K5301" i="3" s="1"/>
  <c r="L5300" i="3"/>
  <c r="J5300" i="3"/>
  <c r="K5300" i="3" s="1"/>
  <c r="L5299" i="3"/>
  <c r="J5299" i="3"/>
  <c r="K5299" i="3" s="1"/>
  <c r="L5298" i="3"/>
  <c r="J5298" i="3"/>
  <c r="K5298" i="3" s="1"/>
  <c r="L5297" i="3"/>
  <c r="J5297" i="3"/>
  <c r="K5297" i="3" s="1"/>
  <c r="L5296" i="3"/>
  <c r="J5296" i="3"/>
  <c r="K5296" i="3" s="1"/>
  <c r="L5295" i="3"/>
  <c r="J5295" i="3"/>
  <c r="K5295" i="3" s="1"/>
  <c r="L5294" i="3"/>
  <c r="J5294" i="3"/>
  <c r="K5294" i="3" s="1"/>
  <c r="L5293" i="3"/>
  <c r="J5293" i="3"/>
  <c r="K5293" i="3" s="1"/>
  <c r="L5292" i="3"/>
  <c r="J5292" i="3"/>
  <c r="K5292" i="3" s="1"/>
  <c r="L5291" i="3"/>
  <c r="J5291" i="3"/>
  <c r="K5291" i="3" s="1"/>
  <c r="L5290" i="3"/>
  <c r="J5290" i="3"/>
  <c r="K5290" i="3" s="1"/>
  <c r="L5289" i="3"/>
  <c r="J5289" i="3"/>
  <c r="K5289" i="3" s="1"/>
  <c r="L5288" i="3"/>
  <c r="J5288" i="3"/>
  <c r="K5288" i="3" s="1"/>
  <c r="L5287" i="3"/>
  <c r="J5287" i="3"/>
  <c r="K5287" i="3" s="1"/>
  <c r="L5286" i="3"/>
  <c r="J5286" i="3"/>
  <c r="K5286" i="3" s="1"/>
  <c r="L5285" i="3"/>
  <c r="J5285" i="3"/>
  <c r="K5285" i="3" s="1"/>
  <c r="L5284" i="3"/>
  <c r="J5284" i="3"/>
  <c r="K5284" i="3" s="1"/>
  <c r="L5283" i="3"/>
  <c r="J5283" i="3"/>
  <c r="K5283" i="3" s="1"/>
  <c r="L5282" i="3"/>
  <c r="J5282" i="3"/>
  <c r="K5282" i="3" s="1"/>
  <c r="L5281" i="3"/>
  <c r="J5281" i="3"/>
  <c r="K5281" i="3" s="1"/>
  <c r="L5280" i="3"/>
  <c r="J5280" i="3"/>
  <c r="K5280" i="3" s="1"/>
  <c r="L5279" i="3"/>
  <c r="J5279" i="3"/>
  <c r="K5279" i="3" s="1"/>
  <c r="L5278" i="3"/>
  <c r="J5278" i="3"/>
  <c r="K5278" i="3" s="1"/>
  <c r="L5277" i="3"/>
  <c r="J5277" i="3"/>
  <c r="K5277" i="3" s="1"/>
  <c r="L5276" i="3"/>
  <c r="J5276" i="3"/>
  <c r="K5276" i="3" s="1"/>
  <c r="L5275" i="3"/>
  <c r="J5275" i="3"/>
  <c r="K5275" i="3" s="1"/>
  <c r="L5274" i="3"/>
  <c r="J5274" i="3"/>
  <c r="K5274" i="3" s="1"/>
  <c r="L5273" i="3"/>
  <c r="J5273" i="3"/>
  <c r="K5273" i="3" s="1"/>
  <c r="L5272" i="3"/>
  <c r="J5272" i="3"/>
  <c r="K5272" i="3" s="1"/>
  <c r="L5271" i="3"/>
  <c r="J5271" i="3"/>
  <c r="K5271" i="3" s="1"/>
  <c r="L5270" i="3"/>
  <c r="J5270" i="3"/>
  <c r="K5270" i="3" s="1"/>
  <c r="L5269" i="3"/>
  <c r="J5269" i="3"/>
  <c r="K5269" i="3" s="1"/>
  <c r="L5268" i="3"/>
  <c r="J5268" i="3"/>
  <c r="K5268" i="3" s="1"/>
  <c r="L5267" i="3"/>
  <c r="J5267" i="3"/>
  <c r="K5267" i="3" s="1"/>
  <c r="L5266" i="3"/>
  <c r="J5266" i="3"/>
  <c r="K5266" i="3" s="1"/>
  <c r="L5265" i="3"/>
  <c r="J5265" i="3"/>
  <c r="K5265" i="3" s="1"/>
  <c r="L5264" i="3"/>
  <c r="J5264" i="3"/>
  <c r="K5264" i="3" s="1"/>
  <c r="L5263" i="3"/>
  <c r="J5263" i="3"/>
  <c r="K5263" i="3" s="1"/>
  <c r="L5262" i="3"/>
  <c r="J5262" i="3"/>
  <c r="K5262" i="3" s="1"/>
  <c r="L5261" i="3"/>
  <c r="J5261" i="3"/>
  <c r="K5261" i="3" s="1"/>
  <c r="L5260" i="3"/>
  <c r="J5260" i="3"/>
  <c r="K5260" i="3" s="1"/>
  <c r="L5259" i="3"/>
  <c r="J5259" i="3"/>
  <c r="K5259" i="3" s="1"/>
  <c r="L5258" i="3"/>
  <c r="J5258" i="3"/>
  <c r="K5258" i="3" s="1"/>
  <c r="L5257" i="3"/>
  <c r="J5257" i="3"/>
  <c r="K5257" i="3" s="1"/>
  <c r="L5256" i="3"/>
  <c r="J5256" i="3"/>
  <c r="K5256" i="3" s="1"/>
  <c r="L5255" i="3"/>
  <c r="J5255" i="3"/>
  <c r="K5255" i="3" s="1"/>
  <c r="L5254" i="3"/>
  <c r="J5254" i="3"/>
  <c r="K5254" i="3" s="1"/>
  <c r="L5253" i="3"/>
  <c r="J5253" i="3"/>
  <c r="K5253" i="3" s="1"/>
  <c r="L5252" i="3"/>
  <c r="J5252" i="3"/>
  <c r="K5252" i="3" s="1"/>
  <c r="L5251" i="3"/>
  <c r="J5251" i="3"/>
  <c r="K5251" i="3" s="1"/>
  <c r="L5250" i="3"/>
  <c r="J5250" i="3"/>
  <c r="K5250" i="3" s="1"/>
  <c r="L5249" i="3"/>
  <c r="J5249" i="3"/>
  <c r="K5249" i="3" s="1"/>
  <c r="L5248" i="3"/>
  <c r="J5248" i="3"/>
  <c r="K5248" i="3" s="1"/>
  <c r="L5247" i="3"/>
  <c r="J5247" i="3"/>
  <c r="K5247" i="3" s="1"/>
  <c r="L5246" i="3"/>
  <c r="J5246" i="3"/>
  <c r="K5246" i="3" s="1"/>
  <c r="L5245" i="3"/>
  <c r="J5245" i="3"/>
  <c r="K5245" i="3" s="1"/>
  <c r="L5244" i="3"/>
  <c r="J5244" i="3"/>
  <c r="K5244" i="3" s="1"/>
  <c r="L5243" i="3"/>
  <c r="J5243" i="3"/>
  <c r="K5243" i="3" s="1"/>
  <c r="L5242" i="3"/>
  <c r="J5242" i="3"/>
  <c r="K5242" i="3" s="1"/>
  <c r="L5241" i="3"/>
  <c r="J5241" i="3"/>
  <c r="K5241" i="3" s="1"/>
  <c r="L5240" i="3"/>
  <c r="J5240" i="3"/>
  <c r="K5240" i="3" s="1"/>
  <c r="L5239" i="3"/>
  <c r="J5239" i="3"/>
  <c r="K5239" i="3" s="1"/>
  <c r="L5238" i="3"/>
  <c r="J5238" i="3"/>
  <c r="K5238" i="3" s="1"/>
  <c r="L5237" i="3"/>
  <c r="J5237" i="3"/>
  <c r="K5237" i="3" s="1"/>
  <c r="L5236" i="3"/>
  <c r="J5236" i="3"/>
  <c r="K5236" i="3" s="1"/>
  <c r="L5235" i="3"/>
  <c r="J5235" i="3"/>
  <c r="K5235" i="3" s="1"/>
  <c r="L5234" i="3"/>
  <c r="J5234" i="3"/>
  <c r="K5234" i="3" s="1"/>
  <c r="L5233" i="3"/>
  <c r="J5233" i="3"/>
  <c r="K5233" i="3" s="1"/>
  <c r="L5232" i="3"/>
  <c r="J5232" i="3"/>
  <c r="K5232" i="3" s="1"/>
  <c r="L5231" i="3"/>
  <c r="J5231" i="3"/>
  <c r="K5231" i="3" s="1"/>
  <c r="L5230" i="3"/>
  <c r="J5230" i="3"/>
  <c r="K5230" i="3" s="1"/>
  <c r="L5229" i="3"/>
  <c r="J5229" i="3"/>
  <c r="K5229" i="3" s="1"/>
  <c r="L5228" i="3"/>
  <c r="J5228" i="3"/>
  <c r="K5228" i="3" s="1"/>
  <c r="L5227" i="3"/>
  <c r="J5227" i="3"/>
  <c r="K5227" i="3" s="1"/>
  <c r="L5226" i="3"/>
  <c r="J5226" i="3"/>
  <c r="K5226" i="3" s="1"/>
  <c r="L5225" i="3"/>
  <c r="J5225" i="3"/>
  <c r="K5225" i="3" s="1"/>
  <c r="L5224" i="3"/>
  <c r="J5224" i="3"/>
  <c r="K5224" i="3" s="1"/>
  <c r="L5223" i="3"/>
  <c r="J5223" i="3"/>
  <c r="K5223" i="3" s="1"/>
  <c r="L5222" i="3"/>
  <c r="J5222" i="3"/>
  <c r="K5222" i="3" s="1"/>
  <c r="L5221" i="3"/>
  <c r="J5221" i="3"/>
  <c r="K5221" i="3" s="1"/>
  <c r="L5220" i="3"/>
  <c r="J5220" i="3"/>
  <c r="K5220" i="3" s="1"/>
  <c r="L5219" i="3"/>
  <c r="J5219" i="3"/>
  <c r="K5219" i="3" s="1"/>
  <c r="L5218" i="3"/>
  <c r="J5218" i="3"/>
  <c r="K5218" i="3" s="1"/>
  <c r="L5217" i="3"/>
  <c r="J5217" i="3"/>
  <c r="K5217" i="3" s="1"/>
  <c r="L5216" i="3"/>
  <c r="J5216" i="3"/>
  <c r="K5216" i="3" s="1"/>
  <c r="L5215" i="3"/>
  <c r="J5215" i="3"/>
  <c r="K5215" i="3" s="1"/>
  <c r="L5214" i="3"/>
  <c r="J5214" i="3"/>
  <c r="K5214" i="3" s="1"/>
  <c r="L5213" i="3"/>
  <c r="J5213" i="3"/>
  <c r="K5213" i="3" s="1"/>
  <c r="L5212" i="3"/>
  <c r="J5212" i="3"/>
  <c r="K5212" i="3" s="1"/>
  <c r="L5211" i="3"/>
  <c r="J5211" i="3"/>
  <c r="K5211" i="3" s="1"/>
  <c r="L5210" i="3"/>
  <c r="J5210" i="3"/>
  <c r="K5210" i="3" s="1"/>
  <c r="L5209" i="3"/>
  <c r="J5209" i="3"/>
  <c r="K5209" i="3" s="1"/>
  <c r="L5208" i="3"/>
  <c r="J5208" i="3"/>
  <c r="K5208" i="3" s="1"/>
  <c r="L5207" i="3"/>
  <c r="J5207" i="3"/>
  <c r="K5207" i="3" s="1"/>
  <c r="L5206" i="3"/>
  <c r="J5206" i="3"/>
  <c r="K5206" i="3" s="1"/>
  <c r="L5205" i="3"/>
  <c r="J5205" i="3"/>
  <c r="K5205" i="3" s="1"/>
  <c r="L5204" i="3"/>
  <c r="J5204" i="3"/>
  <c r="K5204" i="3" s="1"/>
  <c r="L5203" i="3"/>
  <c r="J5203" i="3"/>
  <c r="K5203" i="3" s="1"/>
  <c r="L5202" i="3"/>
  <c r="J5202" i="3"/>
  <c r="K5202" i="3" s="1"/>
  <c r="L5201" i="3"/>
  <c r="J5201" i="3"/>
  <c r="K5201" i="3" s="1"/>
  <c r="L5200" i="3"/>
  <c r="J5200" i="3"/>
  <c r="K5200" i="3" s="1"/>
  <c r="L5199" i="3"/>
  <c r="J5199" i="3"/>
  <c r="K5199" i="3" s="1"/>
  <c r="L5198" i="3"/>
  <c r="J5198" i="3"/>
  <c r="K5198" i="3" s="1"/>
  <c r="L5197" i="3"/>
  <c r="J5197" i="3"/>
  <c r="K5197" i="3" s="1"/>
  <c r="L5196" i="3"/>
  <c r="J5196" i="3"/>
  <c r="K5196" i="3" s="1"/>
  <c r="L5195" i="3"/>
  <c r="J5195" i="3"/>
  <c r="K5195" i="3" s="1"/>
  <c r="L5194" i="3"/>
  <c r="J5194" i="3"/>
  <c r="K5194" i="3" s="1"/>
  <c r="L5193" i="3"/>
  <c r="J5193" i="3"/>
  <c r="K5193" i="3" s="1"/>
  <c r="L5192" i="3"/>
  <c r="J5192" i="3"/>
  <c r="K5192" i="3" s="1"/>
  <c r="L5191" i="3"/>
  <c r="J5191" i="3"/>
  <c r="K5191" i="3" s="1"/>
  <c r="L5190" i="3"/>
  <c r="J5190" i="3"/>
  <c r="K5190" i="3" s="1"/>
  <c r="L5189" i="3"/>
  <c r="J5189" i="3"/>
  <c r="K5189" i="3" s="1"/>
  <c r="L5188" i="3"/>
  <c r="J5188" i="3"/>
  <c r="K5188" i="3" s="1"/>
  <c r="L5187" i="3"/>
  <c r="J5187" i="3"/>
  <c r="K5187" i="3" s="1"/>
  <c r="L5186" i="3"/>
  <c r="J5186" i="3"/>
  <c r="K5186" i="3" s="1"/>
  <c r="L5185" i="3"/>
  <c r="J5185" i="3"/>
  <c r="K5185" i="3" s="1"/>
  <c r="L5184" i="3"/>
  <c r="J5184" i="3"/>
  <c r="K5184" i="3" s="1"/>
  <c r="L5183" i="3"/>
  <c r="J5183" i="3"/>
  <c r="K5183" i="3" s="1"/>
  <c r="L5182" i="3"/>
  <c r="J5182" i="3"/>
  <c r="K5182" i="3" s="1"/>
  <c r="L5181" i="3"/>
  <c r="J5181" i="3"/>
  <c r="K5181" i="3" s="1"/>
  <c r="L5180" i="3"/>
  <c r="J5180" i="3"/>
  <c r="K5180" i="3" s="1"/>
  <c r="L5179" i="3"/>
  <c r="J5179" i="3"/>
  <c r="K5179" i="3" s="1"/>
  <c r="L5178" i="3"/>
  <c r="J5178" i="3"/>
  <c r="K5178" i="3" s="1"/>
  <c r="L5177" i="3"/>
  <c r="J5177" i="3"/>
  <c r="K5177" i="3" s="1"/>
  <c r="L5176" i="3"/>
  <c r="J5176" i="3"/>
  <c r="K5176" i="3" s="1"/>
  <c r="L5175" i="3"/>
  <c r="J5175" i="3"/>
  <c r="K5175" i="3" s="1"/>
  <c r="L5174" i="3"/>
  <c r="J5174" i="3"/>
  <c r="K5174" i="3" s="1"/>
  <c r="L5173" i="3"/>
  <c r="J5173" i="3"/>
  <c r="K5173" i="3" s="1"/>
  <c r="L5172" i="3"/>
  <c r="J5172" i="3"/>
  <c r="K5172" i="3" s="1"/>
  <c r="L5171" i="3"/>
  <c r="J5171" i="3"/>
  <c r="K5171" i="3" s="1"/>
  <c r="L5170" i="3"/>
  <c r="J5170" i="3"/>
  <c r="K5170" i="3" s="1"/>
  <c r="L5169" i="3"/>
  <c r="J5169" i="3"/>
  <c r="K5169" i="3" s="1"/>
  <c r="L5168" i="3"/>
  <c r="J5168" i="3"/>
  <c r="K5168" i="3" s="1"/>
  <c r="L5167" i="3"/>
  <c r="J5167" i="3"/>
  <c r="K5167" i="3" s="1"/>
  <c r="L5166" i="3"/>
  <c r="J5166" i="3"/>
  <c r="K5166" i="3" s="1"/>
  <c r="L5165" i="3"/>
  <c r="J5165" i="3"/>
  <c r="K5165" i="3" s="1"/>
  <c r="L5164" i="3"/>
  <c r="J5164" i="3"/>
  <c r="K5164" i="3" s="1"/>
  <c r="L5163" i="3"/>
  <c r="J5163" i="3"/>
  <c r="K5163" i="3" s="1"/>
  <c r="L5162" i="3"/>
  <c r="J5162" i="3"/>
  <c r="K5162" i="3" s="1"/>
  <c r="L5161" i="3"/>
  <c r="J5161" i="3"/>
  <c r="K5161" i="3" s="1"/>
  <c r="L5160" i="3"/>
  <c r="J5160" i="3"/>
  <c r="K5160" i="3" s="1"/>
  <c r="L5159" i="3"/>
  <c r="J5159" i="3"/>
  <c r="K5159" i="3" s="1"/>
  <c r="L5158" i="3"/>
  <c r="J5158" i="3"/>
  <c r="K5158" i="3" s="1"/>
  <c r="L5157" i="3"/>
  <c r="J5157" i="3"/>
  <c r="K5157" i="3" s="1"/>
  <c r="L5156" i="3"/>
  <c r="J5156" i="3"/>
  <c r="K5156" i="3" s="1"/>
  <c r="L5155" i="3"/>
  <c r="J5155" i="3"/>
  <c r="K5155" i="3" s="1"/>
  <c r="L5154" i="3"/>
  <c r="J5154" i="3"/>
  <c r="K5154" i="3" s="1"/>
  <c r="L5153" i="3"/>
  <c r="J5153" i="3"/>
  <c r="K5153" i="3" s="1"/>
  <c r="L5152" i="3"/>
  <c r="J5152" i="3"/>
  <c r="K5152" i="3" s="1"/>
  <c r="L5151" i="3"/>
  <c r="J5151" i="3"/>
  <c r="K5151" i="3" s="1"/>
  <c r="L5150" i="3"/>
  <c r="J5150" i="3"/>
  <c r="K5150" i="3" s="1"/>
  <c r="L5149" i="3"/>
  <c r="J5149" i="3"/>
  <c r="K5149" i="3" s="1"/>
  <c r="L5148" i="3"/>
  <c r="J5148" i="3"/>
  <c r="K5148" i="3" s="1"/>
  <c r="L5147" i="3"/>
  <c r="J5147" i="3"/>
  <c r="K5147" i="3" s="1"/>
  <c r="L5146" i="3"/>
  <c r="J5146" i="3"/>
  <c r="K5146" i="3" s="1"/>
  <c r="L5145" i="3"/>
  <c r="J5145" i="3"/>
  <c r="K5145" i="3" s="1"/>
  <c r="L5144" i="3"/>
  <c r="J5144" i="3"/>
  <c r="K5144" i="3" s="1"/>
  <c r="L5143" i="3"/>
  <c r="J5143" i="3"/>
  <c r="K5143" i="3" s="1"/>
  <c r="L5142" i="3"/>
  <c r="J5142" i="3"/>
  <c r="K5142" i="3" s="1"/>
  <c r="L5141" i="3"/>
  <c r="J5141" i="3"/>
  <c r="K5141" i="3" s="1"/>
  <c r="L5140" i="3"/>
  <c r="J5140" i="3"/>
  <c r="K5140" i="3" s="1"/>
  <c r="L5139" i="3"/>
  <c r="J5139" i="3"/>
  <c r="K5139" i="3" s="1"/>
  <c r="L5138" i="3"/>
  <c r="J5138" i="3"/>
  <c r="K5138" i="3" s="1"/>
  <c r="L5137" i="3"/>
  <c r="J5137" i="3"/>
  <c r="K5137" i="3" s="1"/>
  <c r="L5136" i="3"/>
  <c r="J5136" i="3"/>
  <c r="K5136" i="3" s="1"/>
  <c r="L5135" i="3"/>
  <c r="J5135" i="3"/>
  <c r="K5135" i="3" s="1"/>
  <c r="L5134" i="3"/>
  <c r="J5134" i="3"/>
  <c r="K5134" i="3" s="1"/>
  <c r="L5133" i="3"/>
  <c r="J5133" i="3"/>
  <c r="K5133" i="3" s="1"/>
  <c r="L5132" i="3"/>
  <c r="J5132" i="3"/>
  <c r="K5132" i="3" s="1"/>
  <c r="L5131" i="3"/>
  <c r="J5131" i="3"/>
  <c r="K5131" i="3" s="1"/>
  <c r="L5130" i="3"/>
  <c r="J5130" i="3"/>
  <c r="K5130" i="3" s="1"/>
  <c r="L5129" i="3"/>
  <c r="J5129" i="3"/>
  <c r="K5129" i="3" s="1"/>
  <c r="L5128" i="3"/>
  <c r="J5128" i="3"/>
  <c r="K5128" i="3" s="1"/>
  <c r="L5127" i="3"/>
  <c r="J5127" i="3"/>
  <c r="K5127" i="3" s="1"/>
  <c r="L5126" i="3"/>
  <c r="J5126" i="3"/>
  <c r="K5126" i="3" s="1"/>
  <c r="L5125" i="3"/>
  <c r="J5125" i="3"/>
  <c r="K5125" i="3" s="1"/>
  <c r="L5124" i="3"/>
  <c r="J5124" i="3"/>
  <c r="K5124" i="3" s="1"/>
  <c r="L5123" i="3"/>
  <c r="J5123" i="3"/>
  <c r="K5123" i="3" s="1"/>
  <c r="L5122" i="3"/>
  <c r="J5122" i="3"/>
  <c r="K5122" i="3" s="1"/>
  <c r="L5121" i="3"/>
  <c r="J5121" i="3"/>
  <c r="K5121" i="3" s="1"/>
  <c r="L5120" i="3"/>
  <c r="J5120" i="3"/>
  <c r="K5120" i="3" s="1"/>
  <c r="L5119" i="3"/>
  <c r="J5119" i="3"/>
  <c r="K5119" i="3" s="1"/>
  <c r="L5118" i="3"/>
  <c r="J5118" i="3"/>
  <c r="K5118" i="3" s="1"/>
  <c r="L5117" i="3"/>
  <c r="J5117" i="3"/>
  <c r="K5117" i="3" s="1"/>
  <c r="L5116" i="3"/>
  <c r="J5116" i="3"/>
  <c r="K5116" i="3" s="1"/>
  <c r="L5115" i="3"/>
  <c r="J5115" i="3"/>
  <c r="K5115" i="3" s="1"/>
  <c r="L5114" i="3"/>
  <c r="J5114" i="3"/>
  <c r="K5114" i="3" s="1"/>
  <c r="L5113" i="3"/>
  <c r="J5113" i="3"/>
  <c r="K5113" i="3" s="1"/>
  <c r="L5112" i="3"/>
  <c r="J5112" i="3"/>
  <c r="K5112" i="3" s="1"/>
  <c r="L5111" i="3"/>
  <c r="K5111" i="3"/>
  <c r="J5111" i="3"/>
  <c r="L5110" i="3"/>
  <c r="J5110" i="3"/>
  <c r="K5110" i="3" s="1"/>
  <c r="L5109" i="3"/>
  <c r="J5109" i="3"/>
  <c r="K5109" i="3" s="1"/>
  <c r="L5108" i="3"/>
  <c r="J5108" i="3"/>
  <c r="K5108" i="3" s="1"/>
  <c r="L5107" i="3"/>
  <c r="J5107" i="3"/>
  <c r="K5107" i="3" s="1"/>
  <c r="L5106" i="3"/>
  <c r="J5106" i="3"/>
  <c r="K5106" i="3" s="1"/>
  <c r="L5105" i="3"/>
  <c r="J5105" i="3"/>
  <c r="K5105" i="3" s="1"/>
  <c r="L5104" i="3"/>
  <c r="J5104" i="3"/>
  <c r="K5104" i="3" s="1"/>
  <c r="L5103" i="3"/>
  <c r="J5103" i="3"/>
  <c r="K5103" i="3" s="1"/>
  <c r="L5102" i="3"/>
  <c r="J5102" i="3"/>
  <c r="K5102" i="3" s="1"/>
  <c r="L5101" i="3"/>
  <c r="J5101" i="3"/>
  <c r="K5101" i="3" s="1"/>
  <c r="L5100" i="3"/>
  <c r="J5100" i="3"/>
  <c r="K5100" i="3" s="1"/>
  <c r="L5099" i="3"/>
  <c r="J5099" i="3"/>
  <c r="K5099" i="3" s="1"/>
  <c r="L5098" i="3"/>
  <c r="J5098" i="3"/>
  <c r="K5098" i="3" s="1"/>
  <c r="L5097" i="3"/>
  <c r="J5097" i="3"/>
  <c r="K5097" i="3" s="1"/>
  <c r="L5096" i="3"/>
  <c r="J5096" i="3"/>
  <c r="K5096" i="3" s="1"/>
  <c r="L5095" i="3"/>
  <c r="J5095" i="3"/>
  <c r="K5095" i="3" s="1"/>
  <c r="L5094" i="3"/>
  <c r="J5094" i="3"/>
  <c r="K5094" i="3" s="1"/>
  <c r="L5093" i="3"/>
  <c r="J5093" i="3"/>
  <c r="K5093" i="3" s="1"/>
  <c r="L5092" i="3"/>
  <c r="J5092" i="3"/>
  <c r="K5092" i="3" s="1"/>
  <c r="L5091" i="3"/>
  <c r="J5091" i="3"/>
  <c r="K5091" i="3" s="1"/>
  <c r="L5090" i="3"/>
  <c r="J5090" i="3"/>
  <c r="K5090" i="3" s="1"/>
  <c r="L5089" i="3"/>
  <c r="J5089" i="3"/>
  <c r="K5089" i="3" s="1"/>
  <c r="L5088" i="3"/>
  <c r="J5088" i="3"/>
  <c r="K5088" i="3" s="1"/>
  <c r="L5087" i="3"/>
  <c r="J5087" i="3"/>
  <c r="K5087" i="3" s="1"/>
  <c r="L5086" i="3"/>
  <c r="J5086" i="3"/>
  <c r="K5086" i="3" s="1"/>
  <c r="L5085" i="3"/>
  <c r="J5085" i="3"/>
  <c r="K5085" i="3" s="1"/>
  <c r="L5084" i="3"/>
  <c r="J5084" i="3"/>
  <c r="K5084" i="3" s="1"/>
  <c r="L5083" i="3"/>
  <c r="J5083" i="3"/>
  <c r="K5083" i="3" s="1"/>
  <c r="L5082" i="3"/>
  <c r="J5082" i="3"/>
  <c r="K5082" i="3" s="1"/>
  <c r="L5081" i="3"/>
  <c r="J5081" i="3"/>
  <c r="K5081" i="3" s="1"/>
  <c r="L5080" i="3"/>
  <c r="J5080" i="3"/>
  <c r="K5080" i="3" s="1"/>
  <c r="L5079" i="3"/>
  <c r="J5079" i="3"/>
  <c r="K5079" i="3" s="1"/>
  <c r="L5078" i="3"/>
  <c r="J5078" i="3"/>
  <c r="K5078" i="3" s="1"/>
  <c r="L5077" i="3"/>
  <c r="J5077" i="3"/>
  <c r="K5077" i="3" s="1"/>
  <c r="L5076" i="3"/>
  <c r="J5076" i="3"/>
  <c r="K5076" i="3" s="1"/>
  <c r="L5075" i="3"/>
  <c r="J5075" i="3"/>
  <c r="K5075" i="3" s="1"/>
  <c r="L5074" i="3"/>
  <c r="J5074" i="3"/>
  <c r="K5074" i="3" s="1"/>
  <c r="L5073" i="3"/>
  <c r="J5073" i="3"/>
  <c r="K5073" i="3" s="1"/>
  <c r="L5072" i="3"/>
  <c r="J5072" i="3"/>
  <c r="K5072" i="3" s="1"/>
  <c r="L5071" i="3"/>
  <c r="J5071" i="3"/>
  <c r="K5071" i="3" s="1"/>
  <c r="L5070" i="3"/>
  <c r="J5070" i="3"/>
  <c r="K5070" i="3" s="1"/>
  <c r="L5069" i="3"/>
  <c r="J5069" i="3"/>
  <c r="K5069" i="3" s="1"/>
  <c r="L5068" i="3"/>
  <c r="J5068" i="3"/>
  <c r="K5068" i="3" s="1"/>
  <c r="L5067" i="3"/>
  <c r="J5067" i="3"/>
  <c r="K5067" i="3" s="1"/>
  <c r="L5066" i="3"/>
  <c r="J5066" i="3"/>
  <c r="K5066" i="3" s="1"/>
  <c r="L5065" i="3"/>
  <c r="J5065" i="3"/>
  <c r="K5065" i="3" s="1"/>
  <c r="L5064" i="3"/>
  <c r="J5064" i="3"/>
  <c r="K5064" i="3" s="1"/>
  <c r="L5063" i="3"/>
  <c r="J5063" i="3"/>
  <c r="K5063" i="3" s="1"/>
  <c r="L5062" i="3"/>
  <c r="J5062" i="3"/>
  <c r="K5062" i="3" s="1"/>
  <c r="L5061" i="3"/>
  <c r="J5061" i="3"/>
  <c r="K5061" i="3" s="1"/>
  <c r="L5060" i="3"/>
  <c r="J5060" i="3"/>
  <c r="K5060" i="3" s="1"/>
  <c r="L5059" i="3"/>
  <c r="J5059" i="3"/>
  <c r="K5059" i="3" s="1"/>
  <c r="L5058" i="3"/>
  <c r="J5058" i="3"/>
  <c r="K5058" i="3" s="1"/>
  <c r="L5057" i="3"/>
  <c r="J5057" i="3"/>
  <c r="K5057" i="3" s="1"/>
  <c r="L5056" i="3"/>
  <c r="J5056" i="3"/>
  <c r="K5056" i="3" s="1"/>
  <c r="L5055" i="3"/>
  <c r="J5055" i="3"/>
  <c r="K5055" i="3" s="1"/>
  <c r="L5054" i="3"/>
  <c r="J5054" i="3"/>
  <c r="K5054" i="3" s="1"/>
  <c r="L5053" i="3"/>
  <c r="J5053" i="3"/>
  <c r="K5053" i="3" s="1"/>
  <c r="L5052" i="3"/>
  <c r="J5052" i="3"/>
  <c r="K5052" i="3" s="1"/>
  <c r="L5051" i="3"/>
  <c r="J5051" i="3"/>
  <c r="K5051" i="3" s="1"/>
  <c r="L5050" i="3"/>
  <c r="J5050" i="3"/>
  <c r="K5050" i="3" s="1"/>
  <c r="L5049" i="3"/>
  <c r="J5049" i="3"/>
  <c r="K5049" i="3" s="1"/>
  <c r="L5048" i="3"/>
  <c r="J5048" i="3"/>
  <c r="K5048" i="3" s="1"/>
  <c r="L5047" i="3"/>
  <c r="J5047" i="3"/>
  <c r="K5047" i="3" s="1"/>
  <c r="L5046" i="3"/>
  <c r="J5046" i="3"/>
  <c r="K5046" i="3" s="1"/>
  <c r="L5045" i="3"/>
  <c r="J5045" i="3"/>
  <c r="K5045" i="3" s="1"/>
  <c r="L5044" i="3"/>
  <c r="J5044" i="3"/>
  <c r="K5044" i="3" s="1"/>
  <c r="L5043" i="3"/>
  <c r="J5043" i="3"/>
  <c r="K5043" i="3" s="1"/>
  <c r="L5042" i="3"/>
  <c r="J5042" i="3"/>
  <c r="K5042" i="3" s="1"/>
  <c r="L5041" i="3"/>
  <c r="J5041" i="3"/>
  <c r="K5041" i="3" s="1"/>
  <c r="L5040" i="3"/>
  <c r="J5040" i="3"/>
  <c r="K5040" i="3" s="1"/>
  <c r="L5039" i="3"/>
  <c r="J5039" i="3"/>
  <c r="K5039" i="3" s="1"/>
  <c r="L5038" i="3"/>
  <c r="J5038" i="3"/>
  <c r="K5038" i="3" s="1"/>
  <c r="L5037" i="3"/>
  <c r="J5037" i="3"/>
  <c r="K5037" i="3" s="1"/>
  <c r="L5036" i="3"/>
  <c r="J5036" i="3"/>
  <c r="K5036" i="3" s="1"/>
  <c r="L5035" i="3"/>
  <c r="J5035" i="3"/>
  <c r="K5035" i="3" s="1"/>
  <c r="L5034" i="3"/>
  <c r="J5034" i="3"/>
  <c r="K5034" i="3" s="1"/>
  <c r="L5033" i="3"/>
  <c r="J5033" i="3"/>
  <c r="K5033" i="3" s="1"/>
  <c r="L5032" i="3"/>
  <c r="J5032" i="3"/>
  <c r="K5032" i="3" s="1"/>
  <c r="L5031" i="3"/>
  <c r="J5031" i="3"/>
  <c r="K5031" i="3" s="1"/>
  <c r="L5030" i="3"/>
  <c r="J5030" i="3"/>
  <c r="K5030" i="3" s="1"/>
  <c r="L5029" i="3"/>
  <c r="J5029" i="3"/>
  <c r="K5029" i="3" s="1"/>
  <c r="L5028" i="3"/>
  <c r="J5028" i="3"/>
  <c r="K5028" i="3" s="1"/>
  <c r="L5027" i="3"/>
  <c r="J5027" i="3"/>
  <c r="K5027" i="3" s="1"/>
  <c r="L5026" i="3"/>
  <c r="J5026" i="3"/>
  <c r="K5026" i="3" s="1"/>
  <c r="L5025" i="3"/>
  <c r="J5025" i="3"/>
  <c r="K5025" i="3" s="1"/>
  <c r="L5024" i="3"/>
  <c r="J5024" i="3"/>
  <c r="K5024" i="3" s="1"/>
  <c r="L5023" i="3"/>
  <c r="J5023" i="3"/>
  <c r="K5023" i="3" s="1"/>
  <c r="L5022" i="3"/>
  <c r="J5022" i="3"/>
  <c r="K5022" i="3" s="1"/>
  <c r="L5021" i="3"/>
  <c r="J5021" i="3"/>
  <c r="K5021" i="3" s="1"/>
  <c r="L5020" i="3"/>
  <c r="J5020" i="3"/>
  <c r="K5020" i="3" s="1"/>
  <c r="L5019" i="3"/>
  <c r="J5019" i="3"/>
  <c r="K5019" i="3" s="1"/>
  <c r="L5018" i="3"/>
  <c r="J5018" i="3"/>
  <c r="K5018" i="3" s="1"/>
  <c r="L5017" i="3"/>
  <c r="J5017" i="3"/>
  <c r="K5017" i="3" s="1"/>
  <c r="L5016" i="3"/>
  <c r="J5016" i="3"/>
  <c r="K5016" i="3" s="1"/>
  <c r="L5015" i="3"/>
  <c r="J5015" i="3"/>
  <c r="K5015" i="3" s="1"/>
  <c r="L5014" i="3"/>
  <c r="J5014" i="3"/>
  <c r="K5014" i="3" s="1"/>
  <c r="L5013" i="3"/>
  <c r="J5013" i="3"/>
  <c r="K5013" i="3" s="1"/>
  <c r="L5012" i="3"/>
  <c r="J5012" i="3"/>
  <c r="K5012" i="3" s="1"/>
  <c r="L5011" i="3"/>
  <c r="J5011" i="3"/>
  <c r="K5011" i="3" s="1"/>
  <c r="L5010" i="3"/>
  <c r="J5010" i="3"/>
  <c r="K5010" i="3" s="1"/>
  <c r="L5009" i="3"/>
  <c r="J5009" i="3"/>
  <c r="K5009" i="3" s="1"/>
  <c r="L5008" i="3"/>
  <c r="J5008" i="3"/>
  <c r="K5008" i="3" s="1"/>
  <c r="L5007" i="3"/>
  <c r="J5007" i="3"/>
  <c r="K5007" i="3" s="1"/>
  <c r="L5006" i="3"/>
  <c r="J5006" i="3"/>
  <c r="K5006" i="3" s="1"/>
  <c r="L5005" i="3"/>
  <c r="J5005" i="3"/>
  <c r="K5005" i="3" s="1"/>
  <c r="L5004" i="3"/>
  <c r="J5004" i="3"/>
  <c r="K5004" i="3" s="1"/>
  <c r="L5003" i="3"/>
  <c r="J5003" i="3"/>
  <c r="K5003" i="3" s="1"/>
  <c r="L5002" i="3"/>
  <c r="J5002" i="3"/>
  <c r="K5002" i="3" s="1"/>
  <c r="L5001" i="3"/>
  <c r="J5001" i="3"/>
  <c r="K5001" i="3" s="1"/>
  <c r="L5000" i="3"/>
  <c r="J5000" i="3"/>
  <c r="K5000" i="3" s="1"/>
  <c r="L4999" i="3"/>
  <c r="J4999" i="3"/>
  <c r="K4999" i="3" s="1"/>
  <c r="L4998" i="3"/>
  <c r="J4998" i="3"/>
  <c r="K4998" i="3" s="1"/>
  <c r="L4997" i="3"/>
  <c r="J4997" i="3"/>
  <c r="K4997" i="3" s="1"/>
  <c r="L4996" i="3"/>
  <c r="J4996" i="3"/>
  <c r="K4996" i="3" s="1"/>
  <c r="L4995" i="3"/>
  <c r="J4995" i="3"/>
  <c r="K4995" i="3" s="1"/>
  <c r="L4994" i="3"/>
  <c r="J4994" i="3"/>
  <c r="K4994" i="3" s="1"/>
  <c r="L4993" i="3"/>
  <c r="J4993" i="3"/>
  <c r="K4993" i="3" s="1"/>
  <c r="L4992" i="3"/>
  <c r="J4992" i="3"/>
  <c r="K4992" i="3" s="1"/>
  <c r="L4991" i="3"/>
  <c r="J4991" i="3"/>
  <c r="K4991" i="3" s="1"/>
  <c r="L4990" i="3"/>
  <c r="J4990" i="3"/>
  <c r="K4990" i="3" s="1"/>
  <c r="L4989" i="3"/>
  <c r="J4989" i="3"/>
  <c r="K4989" i="3" s="1"/>
  <c r="L4988" i="3"/>
  <c r="J4988" i="3"/>
  <c r="K4988" i="3" s="1"/>
  <c r="L4987" i="3"/>
  <c r="J4987" i="3"/>
  <c r="K4987" i="3" s="1"/>
  <c r="L4986" i="3"/>
  <c r="J4986" i="3"/>
  <c r="K4986" i="3" s="1"/>
  <c r="L4985" i="3"/>
  <c r="J4985" i="3"/>
  <c r="K4985" i="3" s="1"/>
  <c r="L4984" i="3"/>
  <c r="J4984" i="3"/>
  <c r="K4984" i="3" s="1"/>
  <c r="L4983" i="3"/>
  <c r="J4983" i="3"/>
  <c r="K4983" i="3" s="1"/>
  <c r="L4982" i="3"/>
  <c r="J4982" i="3"/>
  <c r="K4982" i="3" s="1"/>
  <c r="L4981" i="3"/>
  <c r="J4981" i="3"/>
  <c r="K4981" i="3" s="1"/>
  <c r="L4980" i="3"/>
  <c r="J4980" i="3"/>
  <c r="K4980" i="3" s="1"/>
  <c r="L4979" i="3"/>
  <c r="J4979" i="3"/>
  <c r="K4979" i="3" s="1"/>
  <c r="L4978" i="3"/>
  <c r="J4978" i="3"/>
  <c r="K4978" i="3" s="1"/>
  <c r="L4977" i="3"/>
  <c r="J4977" i="3"/>
  <c r="K4977" i="3" s="1"/>
  <c r="L4976" i="3"/>
  <c r="J4976" i="3"/>
  <c r="K4976" i="3" s="1"/>
  <c r="L4975" i="3"/>
  <c r="J4975" i="3"/>
  <c r="K4975" i="3" s="1"/>
  <c r="L4974" i="3"/>
  <c r="J4974" i="3"/>
  <c r="K4974" i="3" s="1"/>
  <c r="L4973" i="3"/>
  <c r="J4973" i="3"/>
  <c r="K4973" i="3" s="1"/>
  <c r="L4972" i="3"/>
  <c r="J4972" i="3"/>
  <c r="K4972" i="3" s="1"/>
  <c r="L4971" i="3"/>
  <c r="J4971" i="3"/>
  <c r="K4971" i="3" s="1"/>
  <c r="L4970" i="3"/>
  <c r="J4970" i="3"/>
  <c r="K4970" i="3" s="1"/>
  <c r="L4969" i="3"/>
  <c r="J4969" i="3"/>
  <c r="K4969" i="3" s="1"/>
  <c r="L4968" i="3"/>
  <c r="J4968" i="3"/>
  <c r="K4968" i="3" s="1"/>
  <c r="L4967" i="3"/>
  <c r="J4967" i="3"/>
  <c r="K4967" i="3" s="1"/>
  <c r="L4966" i="3"/>
  <c r="J4966" i="3"/>
  <c r="K4966" i="3" s="1"/>
  <c r="L4965" i="3"/>
  <c r="J4965" i="3"/>
  <c r="K4965" i="3" s="1"/>
  <c r="L4964" i="3"/>
  <c r="J4964" i="3"/>
  <c r="K4964" i="3" s="1"/>
  <c r="L4963" i="3"/>
  <c r="J4963" i="3"/>
  <c r="K4963" i="3" s="1"/>
  <c r="L4962" i="3"/>
  <c r="J4962" i="3"/>
  <c r="K4962" i="3" s="1"/>
  <c r="L4961" i="3"/>
  <c r="J4961" i="3"/>
  <c r="K4961" i="3" s="1"/>
  <c r="L4960" i="3"/>
  <c r="J4960" i="3"/>
  <c r="K4960" i="3" s="1"/>
  <c r="L4959" i="3"/>
  <c r="J4959" i="3"/>
  <c r="K4959" i="3" s="1"/>
  <c r="L4958" i="3"/>
  <c r="J4958" i="3"/>
  <c r="K4958" i="3" s="1"/>
  <c r="L4957" i="3"/>
  <c r="J4957" i="3"/>
  <c r="K4957" i="3" s="1"/>
  <c r="L4956" i="3"/>
  <c r="J4956" i="3"/>
  <c r="K4956" i="3" s="1"/>
  <c r="L4955" i="3"/>
  <c r="J4955" i="3"/>
  <c r="K4955" i="3" s="1"/>
  <c r="L4954" i="3"/>
  <c r="J4954" i="3"/>
  <c r="K4954" i="3" s="1"/>
  <c r="L4953" i="3"/>
  <c r="J4953" i="3"/>
  <c r="K4953" i="3" s="1"/>
  <c r="L4952" i="3"/>
  <c r="J4952" i="3"/>
  <c r="K4952" i="3" s="1"/>
  <c r="L4951" i="3"/>
  <c r="J4951" i="3"/>
  <c r="K4951" i="3" s="1"/>
  <c r="L4950" i="3"/>
  <c r="J4950" i="3"/>
  <c r="K4950" i="3" s="1"/>
  <c r="L4949" i="3"/>
  <c r="J4949" i="3"/>
  <c r="K4949" i="3" s="1"/>
  <c r="L4948" i="3"/>
  <c r="J4948" i="3"/>
  <c r="K4948" i="3" s="1"/>
  <c r="L4947" i="3"/>
  <c r="J4947" i="3"/>
  <c r="K4947" i="3" s="1"/>
  <c r="L4946" i="3"/>
  <c r="J4946" i="3"/>
  <c r="K4946" i="3" s="1"/>
  <c r="L4945" i="3"/>
  <c r="J4945" i="3"/>
  <c r="K4945" i="3" s="1"/>
  <c r="L4944" i="3"/>
  <c r="J4944" i="3"/>
  <c r="K4944" i="3" s="1"/>
  <c r="L4943" i="3"/>
  <c r="J4943" i="3"/>
  <c r="K4943" i="3" s="1"/>
  <c r="L4942" i="3"/>
  <c r="J4942" i="3"/>
  <c r="K4942" i="3" s="1"/>
  <c r="L4941" i="3"/>
  <c r="J4941" i="3"/>
  <c r="K4941" i="3" s="1"/>
  <c r="L4940" i="3"/>
  <c r="J4940" i="3"/>
  <c r="K4940" i="3" s="1"/>
  <c r="L4939" i="3"/>
  <c r="J4939" i="3"/>
  <c r="K4939" i="3" s="1"/>
  <c r="L4938" i="3"/>
  <c r="J4938" i="3"/>
  <c r="K4938" i="3" s="1"/>
  <c r="L4937" i="3"/>
  <c r="J4937" i="3"/>
  <c r="K4937" i="3" s="1"/>
  <c r="L4936" i="3"/>
  <c r="J4936" i="3"/>
  <c r="K4936" i="3" s="1"/>
  <c r="L4935" i="3"/>
  <c r="J4935" i="3"/>
  <c r="K4935" i="3" s="1"/>
  <c r="L4934" i="3"/>
  <c r="J4934" i="3"/>
  <c r="K4934" i="3" s="1"/>
  <c r="L4933" i="3"/>
  <c r="J4933" i="3"/>
  <c r="K4933" i="3" s="1"/>
  <c r="L4932" i="3"/>
  <c r="J4932" i="3"/>
  <c r="K4932" i="3" s="1"/>
  <c r="L4931" i="3"/>
  <c r="J4931" i="3"/>
  <c r="K4931" i="3" s="1"/>
  <c r="L4930" i="3"/>
  <c r="J4930" i="3"/>
  <c r="K4930" i="3" s="1"/>
  <c r="L4929" i="3"/>
  <c r="J4929" i="3"/>
  <c r="K4929" i="3" s="1"/>
  <c r="L4928" i="3"/>
  <c r="J4928" i="3"/>
  <c r="K4928" i="3" s="1"/>
  <c r="L4927" i="3"/>
  <c r="J4927" i="3"/>
  <c r="K4927" i="3" s="1"/>
  <c r="L4926" i="3"/>
  <c r="J4926" i="3"/>
  <c r="K4926" i="3" s="1"/>
  <c r="L4925" i="3"/>
  <c r="J4925" i="3"/>
  <c r="K4925" i="3" s="1"/>
  <c r="L4924" i="3"/>
  <c r="J4924" i="3"/>
  <c r="K4924" i="3" s="1"/>
  <c r="L4923" i="3"/>
  <c r="J4923" i="3"/>
  <c r="K4923" i="3" s="1"/>
  <c r="L4922" i="3"/>
  <c r="J4922" i="3"/>
  <c r="K4922" i="3" s="1"/>
  <c r="L4921" i="3"/>
  <c r="J4921" i="3"/>
  <c r="K4921" i="3" s="1"/>
  <c r="L4920" i="3"/>
  <c r="J4920" i="3"/>
  <c r="K4920" i="3" s="1"/>
  <c r="L4919" i="3"/>
  <c r="J4919" i="3"/>
  <c r="K4919" i="3" s="1"/>
  <c r="L4918" i="3"/>
  <c r="J4918" i="3"/>
  <c r="K4918" i="3" s="1"/>
  <c r="L4917" i="3"/>
  <c r="J4917" i="3"/>
  <c r="K4917" i="3" s="1"/>
  <c r="L4916" i="3"/>
  <c r="J4916" i="3"/>
  <c r="K4916" i="3" s="1"/>
  <c r="L4915" i="3"/>
  <c r="J4915" i="3"/>
  <c r="K4915" i="3" s="1"/>
  <c r="L4914" i="3"/>
  <c r="J4914" i="3"/>
  <c r="K4914" i="3" s="1"/>
  <c r="L4913" i="3"/>
  <c r="J4913" i="3"/>
  <c r="K4913" i="3" s="1"/>
  <c r="L4912" i="3"/>
  <c r="J4912" i="3"/>
  <c r="K4912" i="3" s="1"/>
  <c r="L4911" i="3"/>
  <c r="J4911" i="3"/>
  <c r="K4911" i="3" s="1"/>
  <c r="L4910" i="3"/>
  <c r="J4910" i="3"/>
  <c r="K4910" i="3" s="1"/>
  <c r="L4909" i="3"/>
  <c r="J4909" i="3"/>
  <c r="K4909" i="3" s="1"/>
  <c r="L4908" i="3"/>
  <c r="J4908" i="3"/>
  <c r="K4908" i="3" s="1"/>
  <c r="L4907" i="3"/>
  <c r="J4907" i="3"/>
  <c r="K4907" i="3" s="1"/>
  <c r="L4906" i="3"/>
  <c r="J4906" i="3"/>
  <c r="K4906" i="3" s="1"/>
  <c r="L4905" i="3"/>
  <c r="J4905" i="3"/>
  <c r="K4905" i="3" s="1"/>
  <c r="L4904" i="3"/>
  <c r="J4904" i="3"/>
  <c r="K4904" i="3" s="1"/>
  <c r="L4903" i="3"/>
  <c r="J4903" i="3"/>
  <c r="K4903" i="3" s="1"/>
  <c r="L4902" i="3"/>
  <c r="J4902" i="3"/>
  <c r="K4902" i="3" s="1"/>
  <c r="L4901" i="3"/>
  <c r="J4901" i="3"/>
  <c r="K4901" i="3" s="1"/>
  <c r="L4900" i="3"/>
  <c r="J4900" i="3"/>
  <c r="K4900" i="3" s="1"/>
  <c r="L4899" i="3"/>
  <c r="J4899" i="3"/>
  <c r="K4899" i="3" s="1"/>
  <c r="L4898" i="3"/>
  <c r="J4898" i="3"/>
  <c r="K4898" i="3" s="1"/>
  <c r="L4897" i="3"/>
  <c r="J4897" i="3"/>
  <c r="K4897" i="3" s="1"/>
  <c r="L4896" i="3"/>
  <c r="J4896" i="3"/>
  <c r="K4896" i="3" s="1"/>
  <c r="L4895" i="3"/>
  <c r="J4895" i="3"/>
  <c r="K4895" i="3" s="1"/>
  <c r="L4894" i="3"/>
  <c r="J4894" i="3"/>
  <c r="K4894" i="3" s="1"/>
  <c r="L4893" i="3"/>
  <c r="J4893" i="3"/>
  <c r="K4893" i="3" s="1"/>
  <c r="L4892" i="3"/>
  <c r="J4892" i="3"/>
  <c r="K4892" i="3" s="1"/>
  <c r="L4891" i="3"/>
  <c r="J4891" i="3"/>
  <c r="K4891" i="3" s="1"/>
  <c r="L4890" i="3"/>
  <c r="J4890" i="3"/>
  <c r="K4890" i="3" s="1"/>
  <c r="L4889" i="3"/>
  <c r="J4889" i="3"/>
  <c r="K4889" i="3" s="1"/>
  <c r="L4888" i="3"/>
  <c r="J4888" i="3"/>
  <c r="K4888" i="3" s="1"/>
  <c r="L4887" i="3"/>
  <c r="J4887" i="3"/>
  <c r="K4887" i="3" s="1"/>
  <c r="L4886" i="3"/>
  <c r="J4886" i="3"/>
  <c r="K4886" i="3" s="1"/>
  <c r="L4885" i="3"/>
  <c r="J4885" i="3"/>
  <c r="K4885" i="3" s="1"/>
  <c r="L4884" i="3"/>
  <c r="J4884" i="3"/>
  <c r="K4884" i="3" s="1"/>
  <c r="L4883" i="3"/>
  <c r="J4883" i="3"/>
  <c r="K4883" i="3" s="1"/>
  <c r="L4882" i="3"/>
  <c r="J4882" i="3"/>
  <c r="K4882" i="3" s="1"/>
  <c r="L4881" i="3"/>
  <c r="J4881" i="3"/>
  <c r="K4881" i="3" s="1"/>
  <c r="L4880" i="3"/>
  <c r="J4880" i="3"/>
  <c r="K4880" i="3" s="1"/>
  <c r="L4879" i="3"/>
  <c r="J4879" i="3"/>
  <c r="K4879" i="3" s="1"/>
  <c r="L4878" i="3"/>
  <c r="J4878" i="3"/>
  <c r="K4878" i="3" s="1"/>
  <c r="L4877" i="3"/>
  <c r="J4877" i="3"/>
  <c r="K4877" i="3" s="1"/>
  <c r="L4876" i="3"/>
  <c r="J4876" i="3"/>
  <c r="K4876" i="3" s="1"/>
  <c r="L4875" i="3"/>
  <c r="J4875" i="3"/>
  <c r="K4875" i="3" s="1"/>
  <c r="L4874" i="3"/>
  <c r="J4874" i="3"/>
  <c r="K4874" i="3" s="1"/>
  <c r="L4873" i="3"/>
  <c r="J4873" i="3"/>
  <c r="K4873" i="3" s="1"/>
  <c r="L4872" i="3"/>
  <c r="J4872" i="3"/>
  <c r="K4872" i="3" s="1"/>
  <c r="L4871" i="3"/>
  <c r="J4871" i="3"/>
  <c r="K4871" i="3" s="1"/>
  <c r="L4870" i="3"/>
  <c r="J4870" i="3"/>
  <c r="K4870" i="3" s="1"/>
  <c r="L4869" i="3"/>
  <c r="J4869" i="3"/>
  <c r="K4869" i="3" s="1"/>
  <c r="L4868" i="3"/>
  <c r="J4868" i="3"/>
  <c r="K4868" i="3" s="1"/>
  <c r="L4867" i="3"/>
  <c r="J4867" i="3"/>
  <c r="K4867" i="3" s="1"/>
  <c r="L4866" i="3"/>
  <c r="J4866" i="3"/>
  <c r="K4866" i="3" s="1"/>
  <c r="L4865" i="3"/>
  <c r="J4865" i="3"/>
  <c r="K4865" i="3" s="1"/>
  <c r="L4864" i="3"/>
  <c r="J4864" i="3"/>
  <c r="K4864" i="3" s="1"/>
  <c r="L4863" i="3"/>
  <c r="J4863" i="3"/>
  <c r="K4863" i="3" s="1"/>
  <c r="L4862" i="3"/>
  <c r="J4862" i="3"/>
  <c r="K4862" i="3" s="1"/>
  <c r="L4861" i="3"/>
  <c r="J4861" i="3"/>
  <c r="K4861" i="3" s="1"/>
  <c r="L4860" i="3"/>
  <c r="J4860" i="3"/>
  <c r="K4860" i="3" s="1"/>
  <c r="L4859" i="3"/>
  <c r="J4859" i="3"/>
  <c r="K4859" i="3" s="1"/>
  <c r="L4858" i="3"/>
  <c r="J4858" i="3"/>
  <c r="K4858" i="3" s="1"/>
  <c r="L4857" i="3"/>
  <c r="J4857" i="3"/>
  <c r="K4857" i="3" s="1"/>
  <c r="L4856" i="3"/>
  <c r="J4856" i="3"/>
  <c r="K4856" i="3" s="1"/>
  <c r="L4855" i="3"/>
  <c r="J4855" i="3"/>
  <c r="K4855" i="3" s="1"/>
  <c r="L4854" i="3"/>
  <c r="J4854" i="3"/>
  <c r="K4854" i="3" s="1"/>
  <c r="L4853" i="3"/>
  <c r="J4853" i="3"/>
  <c r="K4853" i="3" s="1"/>
  <c r="L4852" i="3"/>
  <c r="J4852" i="3"/>
  <c r="K4852" i="3" s="1"/>
  <c r="L4851" i="3"/>
  <c r="J4851" i="3"/>
  <c r="K4851" i="3" s="1"/>
  <c r="L4850" i="3"/>
  <c r="J4850" i="3"/>
  <c r="K4850" i="3" s="1"/>
  <c r="L4849" i="3"/>
  <c r="J4849" i="3"/>
  <c r="K4849" i="3" s="1"/>
  <c r="L4848" i="3"/>
  <c r="J4848" i="3"/>
  <c r="K4848" i="3" s="1"/>
  <c r="L4847" i="3"/>
  <c r="J4847" i="3"/>
  <c r="K4847" i="3" s="1"/>
  <c r="L4846" i="3"/>
  <c r="J4846" i="3"/>
  <c r="K4846" i="3" s="1"/>
  <c r="L4845" i="3"/>
  <c r="J4845" i="3"/>
  <c r="K4845" i="3" s="1"/>
  <c r="L4844" i="3"/>
  <c r="J4844" i="3"/>
  <c r="K4844" i="3" s="1"/>
  <c r="L4843" i="3"/>
  <c r="J4843" i="3"/>
  <c r="K4843" i="3" s="1"/>
  <c r="L4842" i="3"/>
  <c r="J4842" i="3"/>
  <c r="K4842" i="3" s="1"/>
  <c r="L4841" i="3"/>
  <c r="J4841" i="3"/>
  <c r="K4841" i="3" s="1"/>
  <c r="L4840" i="3"/>
  <c r="J4840" i="3"/>
  <c r="K4840" i="3" s="1"/>
  <c r="L4839" i="3"/>
  <c r="J4839" i="3"/>
  <c r="K4839" i="3" s="1"/>
  <c r="L4838" i="3"/>
  <c r="J4838" i="3"/>
  <c r="K4838" i="3" s="1"/>
  <c r="L4837" i="3"/>
  <c r="J4837" i="3"/>
  <c r="K4837" i="3" s="1"/>
  <c r="L4836" i="3"/>
  <c r="J4836" i="3"/>
  <c r="K4836" i="3" s="1"/>
  <c r="L4835" i="3"/>
  <c r="J4835" i="3"/>
  <c r="K4835" i="3" s="1"/>
  <c r="L4834" i="3"/>
  <c r="J4834" i="3"/>
  <c r="K4834" i="3" s="1"/>
  <c r="L4833" i="3"/>
  <c r="J4833" i="3"/>
  <c r="K4833" i="3" s="1"/>
  <c r="L4832" i="3"/>
  <c r="J4832" i="3"/>
  <c r="K4832" i="3" s="1"/>
  <c r="L4831" i="3"/>
  <c r="J4831" i="3"/>
  <c r="K4831" i="3" s="1"/>
  <c r="L4830" i="3"/>
  <c r="J4830" i="3"/>
  <c r="K4830" i="3" s="1"/>
  <c r="L4829" i="3"/>
  <c r="J4829" i="3"/>
  <c r="K4829" i="3" s="1"/>
  <c r="L4828" i="3"/>
  <c r="J4828" i="3"/>
  <c r="K4828" i="3" s="1"/>
  <c r="L4827" i="3"/>
  <c r="J4827" i="3"/>
  <c r="K4827" i="3" s="1"/>
  <c r="L4826" i="3"/>
  <c r="J4826" i="3"/>
  <c r="K4826" i="3" s="1"/>
  <c r="L4825" i="3"/>
  <c r="J4825" i="3"/>
  <c r="K4825" i="3" s="1"/>
  <c r="L4824" i="3"/>
  <c r="J4824" i="3"/>
  <c r="K4824" i="3" s="1"/>
  <c r="L4823" i="3"/>
  <c r="J4823" i="3"/>
  <c r="K4823" i="3" s="1"/>
  <c r="L4822" i="3"/>
  <c r="J4822" i="3"/>
  <c r="K4822" i="3" s="1"/>
  <c r="L4821" i="3"/>
  <c r="J4821" i="3"/>
  <c r="K4821" i="3" s="1"/>
  <c r="L4820" i="3"/>
  <c r="J4820" i="3"/>
  <c r="K4820" i="3" s="1"/>
  <c r="L4819" i="3"/>
  <c r="J4819" i="3"/>
  <c r="K4819" i="3" s="1"/>
  <c r="L4818" i="3"/>
  <c r="J4818" i="3"/>
  <c r="K4818" i="3" s="1"/>
  <c r="L4817" i="3"/>
  <c r="J4817" i="3"/>
  <c r="K4817" i="3" s="1"/>
  <c r="L4816" i="3"/>
  <c r="J4816" i="3"/>
  <c r="K4816" i="3" s="1"/>
  <c r="L4815" i="3"/>
  <c r="J4815" i="3"/>
  <c r="K4815" i="3" s="1"/>
  <c r="L4814" i="3"/>
  <c r="J4814" i="3"/>
  <c r="K4814" i="3" s="1"/>
  <c r="L4813" i="3"/>
  <c r="J4813" i="3"/>
  <c r="K4813" i="3" s="1"/>
  <c r="L4812" i="3"/>
  <c r="J4812" i="3"/>
  <c r="K4812" i="3" s="1"/>
  <c r="L4811" i="3"/>
  <c r="J4811" i="3"/>
  <c r="K4811" i="3" s="1"/>
  <c r="L4810" i="3"/>
  <c r="J4810" i="3"/>
  <c r="K4810" i="3" s="1"/>
  <c r="L4809" i="3"/>
  <c r="J4809" i="3"/>
  <c r="K4809" i="3" s="1"/>
  <c r="L4808" i="3"/>
  <c r="J4808" i="3"/>
  <c r="K4808" i="3" s="1"/>
  <c r="L4807" i="3"/>
  <c r="J4807" i="3"/>
  <c r="K4807" i="3" s="1"/>
  <c r="L4806" i="3"/>
  <c r="J4806" i="3"/>
  <c r="K4806" i="3" s="1"/>
  <c r="L4805" i="3"/>
  <c r="J4805" i="3"/>
  <c r="K4805" i="3" s="1"/>
  <c r="L4804" i="3"/>
  <c r="J4804" i="3"/>
  <c r="K4804" i="3" s="1"/>
  <c r="L4803" i="3"/>
  <c r="J4803" i="3"/>
  <c r="K4803" i="3" s="1"/>
  <c r="L4802" i="3"/>
  <c r="J4802" i="3"/>
  <c r="K4802" i="3" s="1"/>
  <c r="L4801" i="3"/>
  <c r="J4801" i="3"/>
  <c r="K4801" i="3" s="1"/>
  <c r="L4800" i="3"/>
  <c r="J4800" i="3"/>
  <c r="K4800" i="3" s="1"/>
  <c r="L4799" i="3"/>
  <c r="J4799" i="3"/>
  <c r="K4799" i="3" s="1"/>
  <c r="L4798" i="3"/>
  <c r="J4798" i="3"/>
  <c r="K4798" i="3" s="1"/>
  <c r="L4797" i="3"/>
  <c r="J4797" i="3"/>
  <c r="K4797" i="3" s="1"/>
  <c r="L4796" i="3"/>
  <c r="J4796" i="3"/>
  <c r="K4796" i="3" s="1"/>
  <c r="L4795" i="3"/>
  <c r="J4795" i="3"/>
  <c r="K4795" i="3" s="1"/>
  <c r="L4794" i="3"/>
  <c r="J4794" i="3"/>
  <c r="K4794" i="3" s="1"/>
  <c r="L4793" i="3"/>
  <c r="J4793" i="3"/>
  <c r="K4793" i="3" s="1"/>
  <c r="L4792" i="3"/>
  <c r="J4792" i="3"/>
  <c r="K4792" i="3" s="1"/>
  <c r="L4791" i="3"/>
  <c r="J4791" i="3"/>
  <c r="K4791" i="3" s="1"/>
  <c r="L4790" i="3"/>
  <c r="J4790" i="3"/>
  <c r="K4790" i="3" s="1"/>
  <c r="L4789" i="3"/>
  <c r="J4789" i="3"/>
  <c r="K4789" i="3" s="1"/>
  <c r="L4788" i="3"/>
  <c r="J4788" i="3"/>
  <c r="K4788" i="3" s="1"/>
  <c r="L4787" i="3"/>
  <c r="J4787" i="3"/>
  <c r="K4787" i="3" s="1"/>
  <c r="L4786" i="3"/>
  <c r="J4786" i="3"/>
  <c r="K4786" i="3" s="1"/>
  <c r="L4785" i="3"/>
  <c r="J4785" i="3"/>
  <c r="K4785" i="3" s="1"/>
  <c r="L4784" i="3"/>
  <c r="J4784" i="3"/>
  <c r="K4784" i="3" s="1"/>
  <c r="L4783" i="3"/>
  <c r="J4783" i="3"/>
  <c r="K4783" i="3" s="1"/>
  <c r="L4782" i="3"/>
  <c r="J4782" i="3"/>
  <c r="K4782" i="3" s="1"/>
  <c r="L4781" i="3"/>
  <c r="J4781" i="3"/>
  <c r="K4781" i="3" s="1"/>
  <c r="L4780" i="3"/>
  <c r="J4780" i="3"/>
  <c r="K4780" i="3" s="1"/>
  <c r="L4779" i="3"/>
  <c r="J4779" i="3"/>
  <c r="K4779" i="3" s="1"/>
  <c r="L4778" i="3"/>
  <c r="J4778" i="3"/>
  <c r="K4778" i="3" s="1"/>
  <c r="L4777" i="3"/>
  <c r="J4777" i="3"/>
  <c r="K4777" i="3" s="1"/>
  <c r="L4776" i="3"/>
  <c r="J4776" i="3"/>
  <c r="K4776" i="3" s="1"/>
  <c r="L4775" i="3"/>
  <c r="J4775" i="3"/>
  <c r="K4775" i="3" s="1"/>
  <c r="L4774" i="3"/>
  <c r="J4774" i="3"/>
  <c r="K4774" i="3" s="1"/>
  <c r="L4773" i="3"/>
  <c r="J4773" i="3"/>
  <c r="K4773" i="3" s="1"/>
  <c r="L4772" i="3"/>
  <c r="J4772" i="3"/>
  <c r="K4772" i="3" s="1"/>
  <c r="L4771" i="3"/>
  <c r="J4771" i="3"/>
  <c r="K4771" i="3" s="1"/>
  <c r="L4770" i="3"/>
  <c r="J4770" i="3"/>
  <c r="K4770" i="3" s="1"/>
  <c r="L4769" i="3"/>
  <c r="J4769" i="3"/>
  <c r="K4769" i="3" s="1"/>
  <c r="L4768" i="3"/>
  <c r="J4768" i="3"/>
  <c r="K4768" i="3" s="1"/>
  <c r="L4767" i="3"/>
  <c r="J4767" i="3"/>
  <c r="K4767" i="3" s="1"/>
  <c r="L4766" i="3"/>
  <c r="J4766" i="3"/>
  <c r="K4766" i="3" s="1"/>
  <c r="L4765" i="3"/>
  <c r="J4765" i="3"/>
  <c r="K4765" i="3" s="1"/>
  <c r="L4764" i="3"/>
  <c r="J4764" i="3"/>
  <c r="K4764" i="3" s="1"/>
  <c r="L4763" i="3"/>
  <c r="J4763" i="3"/>
  <c r="K4763" i="3" s="1"/>
  <c r="L4762" i="3"/>
  <c r="J4762" i="3"/>
  <c r="K4762" i="3" s="1"/>
  <c r="L4761" i="3"/>
  <c r="J4761" i="3"/>
  <c r="K4761" i="3" s="1"/>
  <c r="L4760" i="3"/>
  <c r="J4760" i="3"/>
  <c r="K4760" i="3" s="1"/>
  <c r="L4759" i="3"/>
  <c r="J4759" i="3"/>
  <c r="K4759" i="3" s="1"/>
  <c r="L4758" i="3"/>
  <c r="J4758" i="3"/>
  <c r="K4758" i="3" s="1"/>
  <c r="L4757" i="3"/>
  <c r="J4757" i="3"/>
  <c r="K4757" i="3" s="1"/>
  <c r="L4756" i="3"/>
  <c r="J4756" i="3"/>
  <c r="K4756" i="3" s="1"/>
  <c r="L4755" i="3"/>
  <c r="J4755" i="3"/>
  <c r="K4755" i="3" s="1"/>
  <c r="L4754" i="3"/>
  <c r="J4754" i="3"/>
  <c r="K4754" i="3" s="1"/>
  <c r="L4753" i="3"/>
  <c r="J4753" i="3"/>
  <c r="K4753" i="3" s="1"/>
  <c r="L4752" i="3"/>
  <c r="J4752" i="3"/>
  <c r="K4752" i="3" s="1"/>
  <c r="L4751" i="3"/>
  <c r="J4751" i="3"/>
  <c r="K4751" i="3" s="1"/>
  <c r="L4750" i="3"/>
  <c r="J4750" i="3"/>
  <c r="K4750" i="3" s="1"/>
  <c r="L4749" i="3"/>
  <c r="J4749" i="3"/>
  <c r="K4749" i="3" s="1"/>
  <c r="L4748" i="3"/>
  <c r="J4748" i="3"/>
  <c r="K4748" i="3" s="1"/>
  <c r="L4747" i="3"/>
  <c r="J4747" i="3"/>
  <c r="K4747" i="3" s="1"/>
  <c r="L4746" i="3"/>
  <c r="J4746" i="3"/>
  <c r="K4746" i="3" s="1"/>
  <c r="L4745" i="3"/>
  <c r="J4745" i="3"/>
  <c r="K4745" i="3" s="1"/>
  <c r="L4744" i="3"/>
  <c r="J4744" i="3"/>
  <c r="K4744" i="3" s="1"/>
  <c r="L4743" i="3"/>
  <c r="J4743" i="3"/>
  <c r="K4743" i="3" s="1"/>
  <c r="L4742" i="3"/>
  <c r="J4742" i="3"/>
  <c r="K4742" i="3" s="1"/>
  <c r="L4741" i="3"/>
  <c r="J4741" i="3"/>
  <c r="K4741" i="3" s="1"/>
  <c r="L4740" i="3"/>
  <c r="J4740" i="3"/>
  <c r="K4740" i="3" s="1"/>
  <c r="L4739" i="3"/>
  <c r="J4739" i="3"/>
  <c r="K4739" i="3" s="1"/>
  <c r="L4738" i="3"/>
  <c r="J4738" i="3"/>
  <c r="K4738" i="3" s="1"/>
  <c r="L4737" i="3"/>
  <c r="J4737" i="3"/>
  <c r="K4737" i="3" s="1"/>
  <c r="L4736" i="3"/>
  <c r="J4736" i="3"/>
  <c r="K4736" i="3" s="1"/>
  <c r="L4735" i="3"/>
  <c r="J4735" i="3"/>
  <c r="K4735" i="3" s="1"/>
  <c r="L4734" i="3"/>
  <c r="J4734" i="3"/>
  <c r="K4734" i="3" s="1"/>
  <c r="L4733" i="3"/>
  <c r="J4733" i="3"/>
  <c r="K4733" i="3" s="1"/>
  <c r="L4732" i="3"/>
  <c r="J4732" i="3"/>
  <c r="K4732" i="3" s="1"/>
  <c r="L4731" i="3"/>
  <c r="J4731" i="3"/>
  <c r="K4731" i="3" s="1"/>
  <c r="L4730" i="3"/>
  <c r="J4730" i="3"/>
  <c r="K4730" i="3" s="1"/>
  <c r="L4729" i="3"/>
  <c r="J4729" i="3"/>
  <c r="K4729" i="3" s="1"/>
  <c r="L4728" i="3"/>
  <c r="J4728" i="3"/>
  <c r="K4728" i="3" s="1"/>
  <c r="L4727" i="3"/>
  <c r="J4727" i="3"/>
  <c r="K4727" i="3" s="1"/>
  <c r="L4726" i="3"/>
  <c r="J4726" i="3"/>
  <c r="K4726" i="3" s="1"/>
  <c r="L4725" i="3"/>
  <c r="J4725" i="3"/>
  <c r="K4725" i="3" s="1"/>
  <c r="L4724" i="3"/>
  <c r="J4724" i="3"/>
  <c r="K4724" i="3" s="1"/>
  <c r="L4723" i="3"/>
  <c r="J4723" i="3"/>
  <c r="K4723" i="3" s="1"/>
  <c r="L4722" i="3"/>
  <c r="J4722" i="3"/>
  <c r="K4722" i="3" s="1"/>
  <c r="L4721" i="3"/>
  <c r="J4721" i="3"/>
  <c r="K4721" i="3" s="1"/>
  <c r="L4720" i="3"/>
  <c r="J4720" i="3"/>
  <c r="K4720" i="3" s="1"/>
  <c r="L4719" i="3"/>
  <c r="J4719" i="3"/>
  <c r="K4719" i="3" s="1"/>
  <c r="L4718" i="3"/>
  <c r="J4718" i="3"/>
  <c r="K4718" i="3" s="1"/>
  <c r="L4717" i="3"/>
  <c r="J4717" i="3"/>
  <c r="K4717" i="3" s="1"/>
  <c r="L4716" i="3"/>
  <c r="J4716" i="3"/>
  <c r="K4716" i="3" s="1"/>
  <c r="L4715" i="3"/>
  <c r="J4715" i="3"/>
  <c r="K4715" i="3" s="1"/>
  <c r="L4714" i="3"/>
  <c r="J4714" i="3"/>
  <c r="K4714" i="3" s="1"/>
  <c r="L4713" i="3"/>
  <c r="J4713" i="3"/>
  <c r="K4713" i="3" s="1"/>
  <c r="L4712" i="3"/>
  <c r="J4712" i="3"/>
  <c r="K4712" i="3" s="1"/>
  <c r="L4711" i="3"/>
  <c r="J4711" i="3"/>
  <c r="K4711" i="3" s="1"/>
  <c r="L4710" i="3"/>
  <c r="J4710" i="3"/>
  <c r="K4710" i="3" s="1"/>
  <c r="L4709" i="3"/>
  <c r="J4709" i="3"/>
  <c r="K4709" i="3" s="1"/>
  <c r="L4708" i="3"/>
  <c r="J4708" i="3"/>
  <c r="K4708" i="3" s="1"/>
  <c r="L4707" i="3"/>
  <c r="J4707" i="3"/>
  <c r="K4707" i="3" s="1"/>
  <c r="L4706" i="3"/>
  <c r="J4706" i="3"/>
  <c r="K4706" i="3" s="1"/>
  <c r="L4705" i="3"/>
  <c r="J4705" i="3"/>
  <c r="K4705" i="3" s="1"/>
  <c r="L4704" i="3"/>
  <c r="J4704" i="3"/>
  <c r="K4704" i="3" s="1"/>
  <c r="L4703" i="3"/>
  <c r="J4703" i="3"/>
  <c r="K4703" i="3" s="1"/>
  <c r="L4702" i="3"/>
  <c r="J4702" i="3"/>
  <c r="K4702" i="3" s="1"/>
  <c r="L4701" i="3"/>
  <c r="J4701" i="3"/>
  <c r="K4701" i="3" s="1"/>
  <c r="L4700" i="3"/>
  <c r="J4700" i="3"/>
  <c r="K4700" i="3" s="1"/>
  <c r="L4699" i="3"/>
  <c r="J4699" i="3"/>
  <c r="K4699" i="3" s="1"/>
  <c r="L4698" i="3"/>
  <c r="J4698" i="3"/>
  <c r="K4698" i="3" s="1"/>
  <c r="L4697" i="3"/>
  <c r="J4697" i="3"/>
  <c r="K4697" i="3" s="1"/>
  <c r="L4696" i="3"/>
  <c r="J4696" i="3"/>
  <c r="K4696" i="3" s="1"/>
  <c r="L4695" i="3"/>
  <c r="J4695" i="3"/>
  <c r="K4695" i="3" s="1"/>
  <c r="L4694" i="3"/>
  <c r="J4694" i="3"/>
  <c r="K4694" i="3" s="1"/>
  <c r="L4693" i="3"/>
  <c r="J4693" i="3"/>
  <c r="K4693" i="3" s="1"/>
  <c r="L4692" i="3"/>
  <c r="J4692" i="3"/>
  <c r="K4692" i="3" s="1"/>
  <c r="L4691" i="3"/>
  <c r="J4691" i="3"/>
  <c r="K4691" i="3" s="1"/>
  <c r="L4690" i="3"/>
  <c r="J4690" i="3"/>
  <c r="K4690" i="3" s="1"/>
  <c r="L4689" i="3"/>
  <c r="J4689" i="3"/>
  <c r="K4689" i="3" s="1"/>
  <c r="L4688" i="3"/>
  <c r="J4688" i="3"/>
  <c r="K4688" i="3" s="1"/>
  <c r="L4687" i="3"/>
  <c r="J4687" i="3"/>
  <c r="K4687" i="3" s="1"/>
  <c r="L4686" i="3"/>
  <c r="J4686" i="3"/>
  <c r="K4686" i="3" s="1"/>
  <c r="L4685" i="3"/>
  <c r="J4685" i="3"/>
  <c r="K4685" i="3" s="1"/>
  <c r="L4684" i="3"/>
  <c r="J4684" i="3"/>
  <c r="K4684" i="3" s="1"/>
  <c r="L4683" i="3"/>
  <c r="J4683" i="3"/>
  <c r="K4683" i="3" s="1"/>
  <c r="L4682" i="3"/>
  <c r="J4682" i="3"/>
  <c r="K4682" i="3" s="1"/>
  <c r="L4681" i="3"/>
  <c r="J4681" i="3"/>
  <c r="K4681" i="3" s="1"/>
  <c r="L4680" i="3"/>
  <c r="J4680" i="3"/>
  <c r="K4680" i="3" s="1"/>
  <c r="L4679" i="3"/>
  <c r="J4679" i="3"/>
  <c r="K4679" i="3" s="1"/>
  <c r="L4678" i="3"/>
  <c r="J4678" i="3"/>
  <c r="K4678" i="3" s="1"/>
  <c r="L4677" i="3"/>
  <c r="J4677" i="3"/>
  <c r="K4677" i="3" s="1"/>
  <c r="L4676" i="3"/>
  <c r="J4676" i="3"/>
  <c r="K4676" i="3" s="1"/>
  <c r="L4675" i="3"/>
  <c r="J4675" i="3"/>
  <c r="K4675" i="3" s="1"/>
  <c r="L4674" i="3"/>
  <c r="J4674" i="3"/>
  <c r="K4674" i="3" s="1"/>
  <c r="L4673" i="3"/>
  <c r="J4673" i="3"/>
  <c r="K4673" i="3" s="1"/>
  <c r="L4672" i="3"/>
  <c r="J4672" i="3"/>
  <c r="K4672" i="3" s="1"/>
  <c r="L4671" i="3"/>
  <c r="J4671" i="3"/>
  <c r="K4671" i="3" s="1"/>
  <c r="L4670" i="3"/>
  <c r="J4670" i="3"/>
  <c r="K4670" i="3" s="1"/>
  <c r="L4669" i="3"/>
  <c r="J4669" i="3"/>
  <c r="K4669" i="3" s="1"/>
  <c r="L4668" i="3"/>
  <c r="J4668" i="3"/>
  <c r="K4668" i="3" s="1"/>
  <c r="L4667" i="3"/>
  <c r="J4667" i="3"/>
  <c r="K4667" i="3" s="1"/>
  <c r="L4666" i="3"/>
  <c r="J4666" i="3"/>
  <c r="K4666" i="3" s="1"/>
  <c r="L4665" i="3"/>
  <c r="J4665" i="3"/>
  <c r="K4665" i="3" s="1"/>
  <c r="L4664" i="3"/>
  <c r="J4664" i="3"/>
  <c r="K4664" i="3" s="1"/>
  <c r="L4663" i="3"/>
  <c r="J4663" i="3"/>
  <c r="K4663" i="3" s="1"/>
  <c r="L4662" i="3"/>
  <c r="J4662" i="3"/>
  <c r="K4662" i="3" s="1"/>
  <c r="L4661" i="3"/>
  <c r="J4661" i="3"/>
  <c r="K4661" i="3" s="1"/>
  <c r="L4660" i="3"/>
  <c r="J4660" i="3"/>
  <c r="K4660" i="3" s="1"/>
  <c r="L4659" i="3"/>
  <c r="J4659" i="3"/>
  <c r="K4659" i="3" s="1"/>
  <c r="L4658" i="3"/>
  <c r="J4658" i="3"/>
  <c r="K4658" i="3" s="1"/>
  <c r="L4657" i="3"/>
  <c r="J4657" i="3"/>
  <c r="K4657" i="3" s="1"/>
  <c r="L4656" i="3"/>
  <c r="J4656" i="3"/>
  <c r="K4656" i="3" s="1"/>
  <c r="L4655" i="3"/>
  <c r="J4655" i="3"/>
  <c r="K4655" i="3" s="1"/>
  <c r="L4654" i="3"/>
  <c r="J4654" i="3"/>
  <c r="K4654" i="3" s="1"/>
  <c r="L4653" i="3"/>
  <c r="J4653" i="3"/>
  <c r="K4653" i="3" s="1"/>
  <c r="L4652" i="3"/>
  <c r="J4652" i="3"/>
  <c r="K4652" i="3" s="1"/>
  <c r="L4651" i="3"/>
  <c r="J4651" i="3"/>
  <c r="K4651" i="3" s="1"/>
  <c r="L4650" i="3"/>
  <c r="J4650" i="3"/>
  <c r="K4650" i="3" s="1"/>
  <c r="L4649" i="3"/>
  <c r="J4649" i="3"/>
  <c r="K4649" i="3" s="1"/>
  <c r="L4648" i="3"/>
  <c r="J4648" i="3"/>
  <c r="K4648" i="3" s="1"/>
  <c r="L4647" i="3"/>
  <c r="J4647" i="3"/>
  <c r="K4647" i="3" s="1"/>
  <c r="L4646" i="3"/>
  <c r="J4646" i="3"/>
  <c r="K4646" i="3" s="1"/>
  <c r="L4645" i="3"/>
  <c r="J4645" i="3"/>
  <c r="K4645" i="3" s="1"/>
  <c r="L4644" i="3"/>
  <c r="J4644" i="3"/>
  <c r="K4644" i="3" s="1"/>
  <c r="L4643" i="3"/>
  <c r="J4643" i="3"/>
  <c r="K4643" i="3" s="1"/>
  <c r="L4642" i="3"/>
  <c r="J4642" i="3"/>
  <c r="K4642" i="3" s="1"/>
  <c r="L4641" i="3"/>
  <c r="J4641" i="3"/>
  <c r="K4641" i="3" s="1"/>
  <c r="L4640" i="3"/>
  <c r="J4640" i="3"/>
  <c r="K4640" i="3" s="1"/>
  <c r="L4639" i="3"/>
  <c r="J4639" i="3"/>
  <c r="K4639" i="3" s="1"/>
  <c r="L4638" i="3"/>
  <c r="J4638" i="3"/>
  <c r="K4638" i="3" s="1"/>
  <c r="L4637" i="3"/>
  <c r="J4637" i="3"/>
  <c r="K4637" i="3" s="1"/>
  <c r="L4636" i="3"/>
  <c r="J4636" i="3"/>
  <c r="K4636" i="3" s="1"/>
  <c r="L4635" i="3"/>
  <c r="J4635" i="3"/>
  <c r="K4635" i="3" s="1"/>
  <c r="L4634" i="3"/>
  <c r="J4634" i="3"/>
  <c r="K4634" i="3" s="1"/>
  <c r="L4633" i="3"/>
  <c r="J4633" i="3"/>
  <c r="K4633" i="3" s="1"/>
  <c r="L4632" i="3"/>
  <c r="J4632" i="3"/>
  <c r="K4632" i="3" s="1"/>
  <c r="L4631" i="3"/>
  <c r="J4631" i="3"/>
  <c r="K4631" i="3" s="1"/>
  <c r="L4630" i="3"/>
  <c r="J4630" i="3"/>
  <c r="K4630" i="3" s="1"/>
  <c r="L4629" i="3"/>
  <c r="J4629" i="3"/>
  <c r="K4629" i="3" s="1"/>
  <c r="L4628" i="3"/>
  <c r="J4628" i="3"/>
  <c r="K4628" i="3" s="1"/>
  <c r="L4627" i="3"/>
  <c r="J4627" i="3"/>
  <c r="K4627" i="3" s="1"/>
  <c r="L4626" i="3"/>
  <c r="J4626" i="3"/>
  <c r="K4626" i="3" s="1"/>
  <c r="L4625" i="3"/>
  <c r="J4625" i="3"/>
  <c r="K4625" i="3" s="1"/>
  <c r="L4624" i="3"/>
  <c r="J4624" i="3"/>
  <c r="K4624" i="3" s="1"/>
  <c r="L4623" i="3"/>
  <c r="J4623" i="3"/>
  <c r="K4623" i="3" s="1"/>
  <c r="L4622" i="3"/>
  <c r="J4622" i="3"/>
  <c r="K4622" i="3" s="1"/>
  <c r="L4621" i="3"/>
  <c r="J4621" i="3"/>
  <c r="K4621" i="3" s="1"/>
  <c r="L4620" i="3"/>
  <c r="J4620" i="3"/>
  <c r="K4620" i="3" s="1"/>
  <c r="L4619" i="3"/>
  <c r="J4619" i="3"/>
  <c r="K4619" i="3" s="1"/>
  <c r="L4618" i="3"/>
  <c r="J4618" i="3"/>
  <c r="K4618" i="3" s="1"/>
  <c r="L4617" i="3"/>
  <c r="J4617" i="3"/>
  <c r="K4617" i="3" s="1"/>
  <c r="L4616" i="3"/>
  <c r="J4616" i="3"/>
  <c r="K4616" i="3" s="1"/>
  <c r="L4615" i="3"/>
  <c r="J4615" i="3"/>
  <c r="K4615" i="3" s="1"/>
  <c r="L4614" i="3"/>
  <c r="J4614" i="3"/>
  <c r="K4614" i="3" s="1"/>
  <c r="L4613" i="3"/>
  <c r="J4613" i="3"/>
  <c r="K4613" i="3" s="1"/>
  <c r="L4612" i="3"/>
  <c r="J4612" i="3"/>
  <c r="K4612" i="3" s="1"/>
  <c r="L4611" i="3"/>
  <c r="J4611" i="3"/>
  <c r="K4611" i="3" s="1"/>
  <c r="L4610" i="3"/>
  <c r="J4610" i="3"/>
  <c r="K4610" i="3" s="1"/>
  <c r="L4609" i="3"/>
  <c r="J4609" i="3"/>
  <c r="K4609" i="3" s="1"/>
  <c r="L4608" i="3"/>
  <c r="J4608" i="3"/>
  <c r="K4608" i="3" s="1"/>
  <c r="L4607" i="3"/>
  <c r="J4607" i="3"/>
  <c r="K4607" i="3" s="1"/>
  <c r="L4606" i="3"/>
  <c r="J4606" i="3"/>
  <c r="K4606" i="3" s="1"/>
  <c r="L4605" i="3"/>
  <c r="J4605" i="3"/>
  <c r="K4605" i="3" s="1"/>
  <c r="L4604" i="3"/>
  <c r="J4604" i="3"/>
  <c r="K4604" i="3" s="1"/>
  <c r="L4603" i="3"/>
  <c r="J4603" i="3"/>
  <c r="K4603" i="3" s="1"/>
  <c r="L4602" i="3"/>
  <c r="J4602" i="3"/>
  <c r="K4602" i="3" s="1"/>
  <c r="L4601" i="3"/>
  <c r="J4601" i="3"/>
  <c r="K4601" i="3" s="1"/>
  <c r="L4600" i="3"/>
  <c r="J4600" i="3"/>
  <c r="K4600" i="3" s="1"/>
  <c r="L4599" i="3"/>
  <c r="J4599" i="3"/>
  <c r="K4599" i="3" s="1"/>
  <c r="L4598" i="3"/>
  <c r="J4598" i="3"/>
  <c r="K4598" i="3" s="1"/>
  <c r="L4597" i="3"/>
  <c r="J4597" i="3"/>
  <c r="K4597" i="3" s="1"/>
  <c r="L4596" i="3"/>
  <c r="J4596" i="3"/>
  <c r="K4596" i="3" s="1"/>
  <c r="L4595" i="3"/>
  <c r="J4595" i="3"/>
  <c r="K4595" i="3" s="1"/>
  <c r="L4594" i="3"/>
  <c r="J4594" i="3"/>
  <c r="K4594" i="3" s="1"/>
  <c r="L4593" i="3"/>
  <c r="J4593" i="3"/>
  <c r="K4593" i="3" s="1"/>
  <c r="L4592" i="3"/>
  <c r="J4592" i="3"/>
  <c r="K4592" i="3" s="1"/>
  <c r="L4591" i="3"/>
  <c r="J4591" i="3"/>
  <c r="K4591" i="3" s="1"/>
  <c r="L4590" i="3"/>
  <c r="J4590" i="3"/>
  <c r="K4590" i="3" s="1"/>
  <c r="L4589" i="3"/>
  <c r="J4589" i="3"/>
  <c r="K4589" i="3" s="1"/>
  <c r="L4588" i="3"/>
  <c r="J4588" i="3"/>
  <c r="K4588" i="3" s="1"/>
  <c r="L4587" i="3"/>
  <c r="J4587" i="3"/>
  <c r="K4587" i="3" s="1"/>
  <c r="L4586" i="3"/>
  <c r="J4586" i="3"/>
  <c r="K4586" i="3" s="1"/>
  <c r="L4585" i="3"/>
  <c r="J4585" i="3"/>
  <c r="K4585" i="3" s="1"/>
  <c r="L4584" i="3"/>
  <c r="J4584" i="3"/>
  <c r="K4584" i="3" s="1"/>
  <c r="L4583" i="3"/>
  <c r="J4583" i="3"/>
  <c r="K4583" i="3" s="1"/>
  <c r="L4582" i="3"/>
  <c r="J4582" i="3"/>
  <c r="K4582" i="3" s="1"/>
  <c r="L4581" i="3"/>
  <c r="J4581" i="3"/>
  <c r="K4581" i="3" s="1"/>
  <c r="L4580" i="3"/>
  <c r="J4580" i="3"/>
  <c r="K4580" i="3" s="1"/>
  <c r="L4579" i="3"/>
  <c r="J4579" i="3"/>
  <c r="K4579" i="3" s="1"/>
  <c r="L4578" i="3"/>
  <c r="J4578" i="3"/>
  <c r="K4578" i="3" s="1"/>
  <c r="L4577" i="3"/>
  <c r="J4577" i="3"/>
  <c r="K4577" i="3" s="1"/>
  <c r="L4576" i="3"/>
  <c r="J4576" i="3"/>
  <c r="K4576" i="3" s="1"/>
  <c r="L4575" i="3"/>
  <c r="J4575" i="3"/>
  <c r="K4575" i="3" s="1"/>
  <c r="L4574" i="3"/>
  <c r="J4574" i="3"/>
  <c r="K4574" i="3" s="1"/>
  <c r="L4573" i="3"/>
  <c r="J4573" i="3"/>
  <c r="K4573" i="3" s="1"/>
  <c r="L4572" i="3"/>
  <c r="J4572" i="3"/>
  <c r="K4572" i="3" s="1"/>
  <c r="L4571" i="3"/>
  <c r="J4571" i="3"/>
  <c r="K4571" i="3" s="1"/>
  <c r="L4570" i="3"/>
  <c r="J4570" i="3"/>
  <c r="K4570" i="3" s="1"/>
  <c r="L4569" i="3"/>
  <c r="J4569" i="3"/>
  <c r="K4569" i="3" s="1"/>
  <c r="L4568" i="3"/>
  <c r="J4568" i="3"/>
  <c r="K4568" i="3" s="1"/>
  <c r="L4567" i="3"/>
  <c r="J4567" i="3"/>
  <c r="K4567" i="3" s="1"/>
  <c r="L4566" i="3"/>
  <c r="J4566" i="3"/>
  <c r="K4566" i="3" s="1"/>
  <c r="L4565" i="3"/>
  <c r="J4565" i="3"/>
  <c r="K4565" i="3" s="1"/>
  <c r="L4564" i="3"/>
  <c r="J4564" i="3"/>
  <c r="K4564" i="3" s="1"/>
  <c r="L4563" i="3"/>
  <c r="J4563" i="3"/>
  <c r="K4563" i="3" s="1"/>
  <c r="L4562" i="3"/>
  <c r="J4562" i="3"/>
  <c r="K4562" i="3" s="1"/>
  <c r="L4561" i="3"/>
  <c r="J4561" i="3"/>
  <c r="K4561" i="3" s="1"/>
  <c r="L4560" i="3"/>
  <c r="J4560" i="3"/>
  <c r="K4560" i="3" s="1"/>
  <c r="L4559" i="3"/>
  <c r="J4559" i="3"/>
  <c r="K4559" i="3" s="1"/>
  <c r="L4558" i="3"/>
  <c r="J4558" i="3"/>
  <c r="K4558" i="3" s="1"/>
  <c r="L4557" i="3"/>
  <c r="J4557" i="3"/>
  <c r="K4557" i="3" s="1"/>
  <c r="L4556" i="3"/>
  <c r="J4556" i="3"/>
  <c r="K4556" i="3" s="1"/>
  <c r="L4555" i="3"/>
  <c r="J4555" i="3"/>
  <c r="K4555" i="3" s="1"/>
  <c r="L4554" i="3"/>
  <c r="J4554" i="3"/>
  <c r="K4554" i="3" s="1"/>
  <c r="L4553" i="3"/>
  <c r="J4553" i="3"/>
  <c r="K4553" i="3" s="1"/>
  <c r="L4552" i="3"/>
  <c r="J4552" i="3"/>
  <c r="K4552" i="3" s="1"/>
  <c r="L4551" i="3"/>
  <c r="J4551" i="3"/>
  <c r="K4551" i="3" s="1"/>
  <c r="L4550" i="3"/>
  <c r="J4550" i="3"/>
  <c r="K4550" i="3" s="1"/>
  <c r="L4549" i="3"/>
  <c r="J4549" i="3"/>
  <c r="K4549" i="3" s="1"/>
  <c r="L4548" i="3"/>
  <c r="J4548" i="3"/>
  <c r="K4548" i="3" s="1"/>
  <c r="L4547" i="3"/>
  <c r="J4547" i="3"/>
  <c r="K4547" i="3" s="1"/>
  <c r="L4546" i="3"/>
  <c r="J4546" i="3"/>
  <c r="K4546" i="3" s="1"/>
  <c r="L4545" i="3"/>
  <c r="J4545" i="3"/>
  <c r="K4545" i="3" s="1"/>
  <c r="L4544" i="3"/>
  <c r="J4544" i="3"/>
  <c r="K4544" i="3" s="1"/>
  <c r="L4543" i="3"/>
  <c r="J4543" i="3"/>
  <c r="K4543" i="3" s="1"/>
  <c r="L4542" i="3"/>
  <c r="J4542" i="3"/>
  <c r="K4542" i="3" s="1"/>
  <c r="L4541" i="3"/>
  <c r="J4541" i="3"/>
  <c r="K4541" i="3" s="1"/>
  <c r="L4540" i="3"/>
  <c r="J4540" i="3"/>
  <c r="K4540" i="3" s="1"/>
  <c r="L4539" i="3"/>
  <c r="J4539" i="3"/>
  <c r="K4539" i="3" s="1"/>
  <c r="L4538" i="3"/>
  <c r="J4538" i="3"/>
  <c r="K4538" i="3" s="1"/>
  <c r="L4537" i="3"/>
  <c r="J4537" i="3"/>
  <c r="K4537" i="3" s="1"/>
  <c r="L4536" i="3"/>
  <c r="J4536" i="3"/>
  <c r="K4536" i="3" s="1"/>
  <c r="L4535" i="3"/>
  <c r="J4535" i="3"/>
  <c r="K4535" i="3" s="1"/>
  <c r="L4534" i="3"/>
  <c r="J4534" i="3"/>
  <c r="K4534" i="3" s="1"/>
  <c r="L4533" i="3"/>
  <c r="J4533" i="3"/>
  <c r="K4533" i="3" s="1"/>
  <c r="L4532" i="3"/>
  <c r="J4532" i="3"/>
  <c r="K4532" i="3" s="1"/>
  <c r="L4531" i="3"/>
  <c r="J4531" i="3"/>
  <c r="K4531" i="3" s="1"/>
  <c r="L4530" i="3"/>
  <c r="J4530" i="3"/>
  <c r="K4530" i="3" s="1"/>
  <c r="L4529" i="3"/>
  <c r="J4529" i="3"/>
  <c r="K4529" i="3" s="1"/>
  <c r="L4528" i="3"/>
  <c r="J4528" i="3"/>
  <c r="K4528" i="3" s="1"/>
  <c r="L4527" i="3"/>
  <c r="J4527" i="3"/>
  <c r="K4527" i="3" s="1"/>
  <c r="L4526" i="3"/>
  <c r="J4526" i="3"/>
  <c r="K4526" i="3" s="1"/>
  <c r="L4525" i="3"/>
  <c r="J4525" i="3"/>
  <c r="K4525" i="3" s="1"/>
  <c r="L4524" i="3"/>
  <c r="J4524" i="3"/>
  <c r="K4524" i="3" s="1"/>
  <c r="L4523" i="3"/>
  <c r="J4523" i="3"/>
  <c r="K4523" i="3" s="1"/>
  <c r="L4522" i="3"/>
  <c r="J4522" i="3"/>
  <c r="K4522" i="3" s="1"/>
  <c r="L4521" i="3"/>
  <c r="J4521" i="3"/>
  <c r="K4521" i="3" s="1"/>
  <c r="L4520" i="3"/>
  <c r="J4520" i="3"/>
  <c r="K4520" i="3" s="1"/>
  <c r="L4519" i="3"/>
  <c r="J4519" i="3"/>
  <c r="K4519" i="3" s="1"/>
  <c r="L4518" i="3"/>
  <c r="J4518" i="3"/>
  <c r="K4518" i="3" s="1"/>
  <c r="L4517" i="3"/>
  <c r="J4517" i="3"/>
  <c r="K4517" i="3" s="1"/>
  <c r="L4516" i="3"/>
  <c r="J4516" i="3"/>
  <c r="K4516" i="3" s="1"/>
  <c r="L4515" i="3"/>
  <c r="J4515" i="3"/>
  <c r="K4515" i="3" s="1"/>
  <c r="L4514" i="3"/>
  <c r="J4514" i="3"/>
  <c r="K4514" i="3" s="1"/>
  <c r="L4513" i="3"/>
  <c r="J4513" i="3"/>
  <c r="K4513" i="3" s="1"/>
  <c r="L4512" i="3"/>
  <c r="J4512" i="3"/>
  <c r="K4512" i="3" s="1"/>
  <c r="L4511" i="3"/>
  <c r="J4511" i="3"/>
  <c r="K4511" i="3" s="1"/>
  <c r="L4510" i="3"/>
  <c r="J4510" i="3"/>
  <c r="K4510" i="3" s="1"/>
  <c r="L4509" i="3"/>
  <c r="J4509" i="3"/>
  <c r="K4509" i="3" s="1"/>
  <c r="L4508" i="3"/>
  <c r="J4508" i="3"/>
  <c r="K4508" i="3" s="1"/>
  <c r="L4507" i="3"/>
  <c r="J4507" i="3"/>
  <c r="K4507" i="3" s="1"/>
  <c r="L4506" i="3"/>
  <c r="J4506" i="3"/>
  <c r="K4506" i="3" s="1"/>
  <c r="L4505" i="3"/>
  <c r="J4505" i="3"/>
  <c r="K4505" i="3" s="1"/>
  <c r="L4504" i="3"/>
  <c r="J4504" i="3"/>
  <c r="K4504" i="3" s="1"/>
  <c r="L4503" i="3"/>
  <c r="J4503" i="3"/>
  <c r="K4503" i="3" s="1"/>
  <c r="L4502" i="3"/>
  <c r="J4502" i="3"/>
  <c r="K4502" i="3" s="1"/>
  <c r="L4501" i="3"/>
  <c r="J4501" i="3"/>
  <c r="K4501" i="3" s="1"/>
  <c r="L4500" i="3"/>
  <c r="J4500" i="3"/>
  <c r="K4500" i="3" s="1"/>
  <c r="L4499" i="3"/>
  <c r="J4499" i="3"/>
  <c r="K4499" i="3" s="1"/>
  <c r="L4498" i="3"/>
  <c r="J4498" i="3"/>
  <c r="K4498" i="3" s="1"/>
  <c r="L4497" i="3"/>
  <c r="J4497" i="3"/>
  <c r="K4497" i="3" s="1"/>
  <c r="L4496" i="3"/>
  <c r="J4496" i="3"/>
  <c r="K4496" i="3" s="1"/>
  <c r="L4495" i="3"/>
  <c r="J4495" i="3"/>
  <c r="K4495" i="3" s="1"/>
  <c r="L4494" i="3"/>
  <c r="J4494" i="3"/>
  <c r="K4494" i="3" s="1"/>
  <c r="L4493" i="3"/>
  <c r="J4493" i="3"/>
  <c r="K4493" i="3" s="1"/>
  <c r="L4492" i="3"/>
  <c r="J4492" i="3"/>
  <c r="K4492" i="3" s="1"/>
  <c r="L4491" i="3"/>
  <c r="J4491" i="3"/>
  <c r="K4491" i="3" s="1"/>
  <c r="L4490" i="3"/>
  <c r="J4490" i="3"/>
  <c r="K4490" i="3" s="1"/>
  <c r="L4489" i="3"/>
  <c r="J4489" i="3"/>
  <c r="K4489" i="3" s="1"/>
  <c r="L4488" i="3"/>
  <c r="J4488" i="3"/>
  <c r="K4488" i="3" s="1"/>
  <c r="L4487" i="3"/>
  <c r="J4487" i="3"/>
  <c r="K4487" i="3" s="1"/>
  <c r="L4486" i="3"/>
  <c r="J4486" i="3"/>
  <c r="K4486" i="3" s="1"/>
  <c r="L4485" i="3"/>
  <c r="J4485" i="3"/>
  <c r="K4485" i="3" s="1"/>
  <c r="L4484" i="3"/>
  <c r="J4484" i="3"/>
  <c r="K4484" i="3" s="1"/>
  <c r="L4483" i="3"/>
  <c r="J4483" i="3"/>
  <c r="K4483" i="3" s="1"/>
  <c r="L4482" i="3"/>
  <c r="J4482" i="3"/>
  <c r="K4482" i="3" s="1"/>
  <c r="L4481" i="3"/>
  <c r="J4481" i="3"/>
  <c r="K4481" i="3" s="1"/>
  <c r="L4480" i="3"/>
  <c r="J4480" i="3"/>
  <c r="K4480" i="3" s="1"/>
  <c r="L4479" i="3"/>
  <c r="J4479" i="3"/>
  <c r="K4479" i="3" s="1"/>
  <c r="L4478" i="3"/>
  <c r="J4478" i="3"/>
  <c r="K4478" i="3" s="1"/>
  <c r="L4477" i="3"/>
  <c r="J4477" i="3"/>
  <c r="K4477" i="3" s="1"/>
  <c r="L4476" i="3"/>
  <c r="J4476" i="3"/>
  <c r="K4476" i="3" s="1"/>
  <c r="L4475" i="3"/>
  <c r="J4475" i="3"/>
  <c r="K4475" i="3" s="1"/>
  <c r="L4474" i="3"/>
  <c r="J4474" i="3"/>
  <c r="K4474" i="3" s="1"/>
  <c r="L4473" i="3"/>
  <c r="J4473" i="3"/>
  <c r="K4473" i="3" s="1"/>
  <c r="L4472" i="3"/>
  <c r="J4472" i="3"/>
  <c r="K4472" i="3" s="1"/>
  <c r="L4471" i="3"/>
  <c r="J4471" i="3"/>
  <c r="K4471" i="3" s="1"/>
  <c r="L4470" i="3"/>
  <c r="J4470" i="3"/>
  <c r="K4470" i="3" s="1"/>
  <c r="L4469" i="3"/>
  <c r="J4469" i="3"/>
  <c r="K4469" i="3" s="1"/>
  <c r="L4468" i="3"/>
  <c r="J4468" i="3"/>
  <c r="K4468" i="3" s="1"/>
  <c r="L4467" i="3"/>
  <c r="J4467" i="3"/>
  <c r="K4467" i="3" s="1"/>
  <c r="L4466" i="3"/>
  <c r="J4466" i="3"/>
  <c r="K4466" i="3" s="1"/>
  <c r="L4465" i="3"/>
  <c r="J4465" i="3"/>
  <c r="K4465" i="3" s="1"/>
  <c r="L4464" i="3"/>
  <c r="J4464" i="3"/>
  <c r="K4464" i="3" s="1"/>
  <c r="L4463" i="3"/>
  <c r="J4463" i="3"/>
  <c r="K4463" i="3" s="1"/>
  <c r="L4462" i="3"/>
  <c r="J4462" i="3"/>
  <c r="K4462" i="3" s="1"/>
  <c r="L4461" i="3"/>
  <c r="J4461" i="3"/>
  <c r="K4461" i="3" s="1"/>
  <c r="L4460" i="3"/>
  <c r="J4460" i="3"/>
  <c r="K4460" i="3" s="1"/>
  <c r="L4459" i="3"/>
  <c r="J4459" i="3"/>
  <c r="K4459" i="3" s="1"/>
  <c r="L4458" i="3"/>
  <c r="J4458" i="3"/>
  <c r="K4458" i="3" s="1"/>
  <c r="L4457" i="3"/>
  <c r="J4457" i="3"/>
  <c r="K4457" i="3" s="1"/>
  <c r="L4456" i="3"/>
  <c r="J4456" i="3"/>
  <c r="K4456" i="3" s="1"/>
  <c r="L4455" i="3"/>
  <c r="J4455" i="3"/>
  <c r="K4455" i="3" s="1"/>
  <c r="L4454" i="3"/>
  <c r="J4454" i="3"/>
  <c r="K4454" i="3" s="1"/>
  <c r="L4453" i="3"/>
  <c r="J4453" i="3"/>
  <c r="K4453" i="3" s="1"/>
  <c r="L4452" i="3"/>
  <c r="J4452" i="3"/>
  <c r="K4452" i="3" s="1"/>
  <c r="L4451" i="3"/>
  <c r="J4451" i="3"/>
  <c r="K4451" i="3" s="1"/>
  <c r="L4450" i="3"/>
  <c r="J4450" i="3"/>
  <c r="K4450" i="3" s="1"/>
  <c r="L4449" i="3"/>
  <c r="J4449" i="3"/>
  <c r="K4449" i="3" s="1"/>
  <c r="L4448" i="3"/>
  <c r="J4448" i="3"/>
  <c r="K4448" i="3" s="1"/>
  <c r="L4447" i="3"/>
  <c r="J4447" i="3"/>
  <c r="K4447" i="3" s="1"/>
  <c r="L4446" i="3"/>
  <c r="J4446" i="3"/>
  <c r="K4446" i="3" s="1"/>
  <c r="L4445" i="3"/>
  <c r="J4445" i="3"/>
  <c r="K4445" i="3" s="1"/>
  <c r="L4444" i="3"/>
  <c r="J4444" i="3"/>
  <c r="K4444" i="3" s="1"/>
  <c r="L4443" i="3"/>
  <c r="J4443" i="3"/>
  <c r="K4443" i="3" s="1"/>
  <c r="L4442" i="3"/>
  <c r="J4442" i="3"/>
  <c r="K4442" i="3" s="1"/>
  <c r="L4441" i="3"/>
  <c r="J4441" i="3"/>
  <c r="K4441" i="3" s="1"/>
  <c r="L4440" i="3"/>
  <c r="J4440" i="3"/>
  <c r="K4440" i="3" s="1"/>
  <c r="L4439" i="3"/>
  <c r="J4439" i="3"/>
  <c r="K4439" i="3" s="1"/>
  <c r="L4438" i="3"/>
  <c r="J4438" i="3"/>
  <c r="K4438" i="3" s="1"/>
  <c r="L4437" i="3"/>
  <c r="J4437" i="3"/>
  <c r="K4437" i="3" s="1"/>
  <c r="L4436" i="3"/>
  <c r="J4436" i="3"/>
  <c r="K4436" i="3" s="1"/>
  <c r="L4435" i="3"/>
  <c r="J4435" i="3"/>
  <c r="K4435" i="3" s="1"/>
  <c r="L4434" i="3"/>
  <c r="J4434" i="3"/>
  <c r="K4434" i="3" s="1"/>
  <c r="L4433" i="3"/>
  <c r="J4433" i="3"/>
  <c r="K4433" i="3" s="1"/>
  <c r="L4432" i="3"/>
  <c r="J4432" i="3"/>
  <c r="K4432" i="3" s="1"/>
  <c r="L4431" i="3"/>
  <c r="J4431" i="3"/>
  <c r="K4431" i="3" s="1"/>
  <c r="L4430" i="3"/>
  <c r="J4430" i="3"/>
  <c r="K4430" i="3" s="1"/>
  <c r="L4429" i="3"/>
  <c r="J4429" i="3"/>
  <c r="K4429" i="3" s="1"/>
  <c r="L4428" i="3"/>
  <c r="J4428" i="3"/>
  <c r="K4428" i="3" s="1"/>
  <c r="L4427" i="3"/>
  <c r="J4427" i="3"/>
  <c r="K4427" i="3" s="1"/>
  <c r="L4426" i="3"/>
  <c r="J4426" i="3"/>
  <c r="K4426" i="3" s="1"/>
  <c r="L4425" i="3"/>
  <c r="J4425" i="3"/>
  <c r="K4425" i="3" s="1"/>
  <c r="L4424" i="3"/>
  <c r="J4424" i="3"/>
  <c r="K4424" i="3" s="1"/>
  <c r="L4423" i="3"/>
  <c r="J4423" i="3"/>
  <c r="K4423" i="3" s="1"/>
  <c r="L4422" i="3"/>
  <c r="J4422" i="3"/>
  <c r="K4422" i="3" s="1"/>
  <c r="L4421" i="3"/>
  <c r="J4421" i="3"/>
  <c r="K4421" i="3" s="1"/>
  <c r="L4420" i="3"/>
  <c r="J4420" i="3"/>
  <c r="K4420" i="3" s="1"/>
  <c r="L4419" i="3"/>
  <c r="J4419" i="3"/>
  <c r="K4419" i="3" s="1"/>
  <c r="L4418" i="3"/>
  <c r="J4418" i="3"/>
  <c r="K4418" i="3" s="1"/>
  <c r="L4417" i="3"/>
  <c r="J4417" i="3"/>
  <c r="K4417" i="3" s="1"/>
  <c r="L4416" i="3"/>
  <c r="J4416" i="3"/>
  <c r="K4416" i="3" s="1"/>
  <c r="L4415" i="3"/>
  <c r="J4415" i="3"/>
  <c r="K4415" i="3" s="1"/>
  <c r="L4414" i="3"/>
  <c r="J4414" i="3"/>
  <c r="K4414" i="3" s="1"/>
  <c r="L4413" i="3"/>
  <c r="J4413" i="3"/>
  <c r="K4413" i="3" s="1"/>
  <c r="L4412" i="3"/>
  <c r="J4412" i="3"/>
  <c r="K4412" i="3" s="1"/>
  <c r="L4411" i="3"/>
  <c r="J4411" i="3"/>
  <c r="K4411" i="3" s="1"/>
  <c r="L4410" i="3"/>
  <c r="J4410" i="3"/>
  <c r="K4410" i="3" s="1"/>
  <c r="L4409" i="3"/>
  <c r="J4409" i="3"/>
  <c r="K4409" i="3" s="1"/>
  <c r="L4408" i="3"/>
  <c r="J4408" i="3"/>
  <c r="K4408" i="3" s="1"/>
  <c r="L4407" i="3"/>
  <c r="J4407" i="3"/>
  <c r="K4407" i="3" s="1"/>
  <c r="L4406" i="3"/>
  <c r="J4406" i="3"/>
  <c r="K4406" i="3" s="1"/>
  <c r="L4405" i="3"/>
  <c r="J4405" i="3"/>
  <c r="K4405" i="3" s="1"/>
  <c r="L4404" i="3"/>
  <c r="J4404" i="3"/>
  <c r="K4404" i="3" s="1"/>
  <c r="L4403" i="3"/>
  <c r="J4403" i="3"/>
  <c r="K4403" i="3" s="1"/>
  <c r="L4402" i="3"/>
  <c r="J4402" i="3"/>
  <c r="K4402" i="3" s="1"/>
  <c r="L4401" i="3"/>
  <c r="J4401" i="3"/>
  <c r="K4401" i="3" s="1"/>
  <c r="L4400" i="3"/>
  <c r="J4400" i="3"/>
  <c r="K4400" i="3" s="1"/>
  <c r="L4399" i="3"/>
  <c r="J4399" i="3"/>
  <c r="K4399" i="3" s="1"/>
  <c r="L4398" i="3"/>
  <c r="J4398" i="3"/>
  <c r="K4398" i="3" s="1"/>
  <c r="L4397" i="3"/>
  <c r="J4397" i="3"/>
  <c r="K4397" i="3" s="1"/>
  <c r="L4396" i="3"/>
  <c r="J4396" i="3"/>
  <c r="K4396" i="3" s="1"/>
  <c r="L4395" i="3"/>
  <c r="J4395" i="3"/>
  <c r="K4395" i="3" s="1"/>
  <c r="L4394" i="3"/>
  <c r="J4394" i="3"/>
  <c r="K4394" i="3" s="1"/>
  <c r="L4393" i="3"/>
  <c r="J4393" i="3"/>
  <c r="K4393" i="3" s="1"/>
  <c r="L4392" i="3"/>
  <c r="J4392" i="3"/>
  <c r="K4392" i="3" s="1"/>
  <c r="L4391" i="3"/>
  <c r="J4391" i="3"/>
  <c r="K4391" i="3" s="1"/>
  <c r="L4390" i="3"/>
  <c r="J4390" i="3"/>
  <c r="K4390" i="3" s="1"/>
  <c r="L4389" i="3"/>
  <c r="J4389" i="3"/>
  <c r="K4389" i="3" s="1"/>
  <c r="L4388" i="3"/>
  <c r="J4388" i="3"/>
  <c r="K4388" i="3" s="1"/>
  <c r="L4387" i="3"/>
  <c r="J4387" i="3"/>
  <c r="K4387" i="3" s="1"/>
  <c r="L4386" i="3"/>
  <c r="J4386" i="3"/>
  <c r="K4386" i="3" s="1"/>
  <c r="L4385" i="3"/>
  <c r="J4385" i="3"/>
  <c r="K4385" i="3" s="1"/>
  <c r="L4384" i="3"/>
  <c r="J4384" i="3"/>
  <c r="K4384" i="3" s="1"/>
  <c r="L4383" i="3"/>
  <c r="J4383" i="3"/>
  <c r="K4383" i="3" s="1"/>
  <c r="L4382" i="3"/>
  <c r="J4382" i="3"/>
  <c r="K4382" i="3" s="1"/>
  <c r="L4381" i="3"/>
  <c r="J4381" i="3"/>
  <c r="K4381" i="3" s="1"/>
  <c r="L4380" i="3"/>
  <c r="J4380" i="3"/>
  <c r="K4380" i="3" s="1"/>
  <c r="L4379" i="3"/>
  <c r="J4379" i="3"/>
  <c r="K4379" i="3" s="1"/>
  <c r="L4378" i="3"/>
  <c r="J4378" i="3"/>
  <c r="K4378" i="3" s="1"/>
  <c r="L4377" i="3"/>
  <c r="J4377" i="3"/>
  <c r="K4377" i="3" s="1"/>
  <c r="L4376" i="3"/>
  <c r="J4376" i="3"/>
  <c r="K4376" i="3" s="1"/>
  <c r="L4375" i="3"/>
  <c r="J4375" i="3"/>
  <c r="K4375" i="3" s="1"/>
  <c r="L4374" i="3"/>
  <c r="J4374" i="3"/>
  <c r="K4374" i="3" s="1"/>
  <c r="L4373" i="3"/>
  <c r="J4373" i="3"/>
  <c r="K4373" i="3" s="1"/>
  <c r="L4372" i="3"/>
  <c r="J4372" i="3"/>
  <c r="K4372" i="3" s="1"/>
  <c r="L4371" i="3"/>
  <c r="J4371" i="3"/>
  <c r="K4371" i="3" s="1"/>
  <c r="L4370" i="3"/>
  <c r="J4370" i="3"/>
  <c r="K4370" i="3" s="1"/>
  <c r="L4369" i="3"/>
  <c r="J4369" i="3"/>
  <c r="K4369" i="3" s="1"/>
  <c r="L4368" i="3"/>
  <c r="J4368" i="3"/>
  <c r="K4368" i="3" s="1"/>
  <c r="L4367" i="3"/>
  <c r="J4367" i="3"/>
  <c r="K4367" i="3" s="1"/>
  <c r="L4366" i="3"/>
  <c r="J4366" i="3"/>
  <c r="K4366" i="3" s="1"/>
  <c r="L4365" i="3"/>
  <c r="J4365" i="3"/>
  <c r="K4365" i="3" s="1"/>
  <c r="L4364" i="3"/>
  <c r="J4364" i="3"/>
  <c r="K4364" i="3" s="1"/>
  <c r="L4363" i="3"/>
  <c r="J4363" i="3"/>
  <c r="K4363" i="3" s="1"/>
  <c r="L4362" i="3"/>
  <c r="J4362" i="3"/>
  <c r="K4362" i="3" s="1"/>
  <c r="L4361" i="3"/>
  <c r="J4361" i="3"/>
  <c r="K4361" i="3" s="1"/>
  <c r="L4360" i="3"/>
  <c r="J4360" i="3"/>
  <c r="K4360" i="3" s="1"/>
  <c r="L4359" i="3"/>
  <c r="J4359" i="3"/>
  <c r="K4359" i="3" s="1"/>
  <c r="L4358" i="3"/>
  <c r="J4358" i="3"/>
  <c r="K4358" i="3" s="1"/>
  <c r="L4357" i="3"/>
  <c r="J4357" i="3"/>
  <c r="K4357" i="3" s="1"/>
  <c r="L4356" i="3"/>
  <c r="J4356" i="3"/>
  <c r="K4356" i="3" s="1"/>
  <c r="L4355" i="3"/>
  <c r="J4355" i="3"/>
  <c r="K4355" i="3" s="1"/>
  <c r="L4354" i="3"/>
  <c r="J4354" i="3"/>
  <c r="K4354" i="3" s="1"/>
  <c r="L4353" i="3"/>
  <c r="J4353" i="3"/>
  <c r="K4353" i="3" s="1"/>
  <c r="L4352" i="3"/>
  <c r="J4352" i="3"/>
  <c r="K4352" i="3" s="1"/>
  <c r="L4351" i="3"/>
  <c r="J4351" i="3"/>
  <c r="K4351" i="3" s="1"/>
  <c r="L4350" i="3"/>
  <c r="J4350" i="3"/>
  <c r="K4350" i="3" s="1"/>
  <c r="L4349" i="3"/>
  <c r="J4349" i="3"/>
  <c r="K4349" i="3" s="1"/>
  <c r="L4348" i="3"/>
  <c r="J4348" i="3"/>
  <c r="K4348" i="3" s="1"/>
  <c r="L4347" i="3"/>
  <c r="J4347" i="3"/>
  <c r="K4347" i="3" s="1"/>
  <c r="L4346" i="3"/>
  <c r="J4346" i="3"/>
  <c r="K4346" i="3" s="1"/>
  <c r="L4345" i="3"/>
  <c r="J4345" i="3"/>
  <c r="K4345" i="3" s="1"/>
  <c r="L4344" i="3"/>
  <c r="J4344" i="3"/>
  <c r="K4344" i="3" s="1"/>
  <c r="L4343" i="3"/>
  <c r="J4343" i="3"/>
  <c r="K4343" i="3" s="1"/>
  <c r="L4342" i="3"/>
  <c r="J4342" i="3"/>
  <c r="K4342" i="3" s="1"/>
  <c r="L4341" i="3"/>
  <c r="J4341" i="3"/>
  <c r="K4341" i="3" s="1"/>
  <c r="L4340" i="3"/>
  <c r="J4340" i="3"/>
  <c r="K4340" i="3" s="1"/>
  <c r="L4339" i="3"/>
  <c r="J4339" i="3"/>
  <c r="K4339" i="3" s="1"/>
  <c r="L4338" i="3"/>
  <c r="J4338" i="3"/>
  <c r="K4338" i="3" s="1"/>
  <c r="L4337" i="3"/>
  <c r="J4337" i="3"/>
  <c r="K4337" i="3" s="1"/>
  <c r="L4336" i="3"/>
  <c r="J4336" i="3"/>
  <c r="K4336" i="3" s="1"/>
  <c r="L4335" i="3"/>
  <c r="J4335" i="3"/>
  <c r="K4335" i="3" s="1"/>
  <c r="L4334" i="3"/>
  <c r="J4334" i="3"/>
  <c r="K4334" i="3" s="1"/>
  <c r="L4333" i="3"/>
  <c r="J4333" i="3"/>
  <c r="K4333" i="3" s="1"/>
  <c r="L4332" i="3"/>
  <c r="J4332" i="3"/>
  <c r="K4332" i="3" s="1"/>
  <c r="L4331" i="3"/>
  <c r="J4331" i="3"/>
  <c r="K4331" i="3" s="1"/>
  <c r="L4330" i="3"/>
  <c r="J4330" i="3"/>
  <c r="K4330" i="3" s="1"/>
  <c r="L4329" i="3"/>
  <c r="J4329" i="3"/>
  <c r="K4329" i="3" s="1"/>
  <c r="L4328" i="3"/>
  <c r="J4328" i="3"/>
  <c r="K4328" i="3" s="1"/>
  <c r="L4327" i="3"/>
  <c r="J4327" i="3"/>
  <c r="K4327" i="3" s="1"/>
  <c r="L4326" i="3"/>
  <c r="J4326" i="3"/>
  <c r="K4326" i="3" s="1"/>
  <c r="L4325" i="3"/>
  <c r="J4325" i="3"/>
  <c r="K4325" i="3" s="1"/>
  <c r="L4324" i="3"/>
  <c r="J4324" i="3"/>
  <c r="K4324" i="3" s="1"/>
  <c r="L4323" i="3"/>
  <c r="J4323" i="3"/>
  <c r="K4323" i="3" s="1"/>
  <c r="L4322" i="3"/>
  <c r="J4322" i="3"/>
  <c r="K4322" i="3" s="1"/>
  <c r="L4321" i="3"/>
  <c r="J4321" i="3"/>
  <c r="K4321" i="3" s="1"/>
  <c r="L4320" i="3"/>
  <c r="J4320" i="3"/>
  <c r="K4320" i="3" s="1"/>
  <c r="L4319" i="3"/>
  <c r="J4319" i="3"/>
  <c r="K4319" i="3" s="1"/>
  <c r="L4318" i="3"/>
  <c r="J4318" i="3"/>
  <c r="K4318" i="3" s="1"/>
  <c r="L4317" i="3"/>
  <c r="J4317" i="3"/>
  <c r="K4317" i="3" s="1"/>
  <c r="L4316" i="3"/>
  <c r="J4316" i="3"/>
  <c r="K4316" i="3" s="1"/>
  <c r="L4315" i="3"/>
  <c r="J4315" i="3"/>
  <c r="K4315" i="3" s="1"/>
  <c r="L4314" i="3"/>
  <c r="J4314" i="3"/>
  <c r="K4314" i="3" s="1"/>
  <c r="L4313" i="3"/>
  <c r="J4313" i="3"/>
  <c r="K4313" i="3" s="1"/>
  <c r="L4312" i="3"/>
  <c r="J4312" i="3"/>
  <c r="K4312" i="3" s="1"/>
  <c r="L4311" i="3"/>
  <c r="J4311" i="3"/>
  <c r="K4311" i="3" s="1"/>
  <c r="L4310" i="3"/>
  <c r="J4310" i="3"/>
  <c r="K4310" i="3" s="1"/>
  <c r="L4309" i="3"/>
  <c r="J4309" i="3"/>
  <c r="K4309" i="3" s="1"/>
  <c r="L4308" i="3"/>
  <c r="J4308" i="3"/>
  <c r="K4308" i="3" s="1"/>
  <c r="L4307" i="3"/>
  <c r="J4307" i="3"/>
  <c r="K4307" i="3" s="1"/>
  <c r="L4306" i="3"/>
  <c r="J4306" i="3"/>
  <c r="K4306" i="3" s="1"/>
  <c r="L4305" i="3"/>
  <c r="J4305" i="3"/>
  <c r="K4305" i="3" s="1"/>
  <c r="L4304" i="3"/>
  <c r="J4304" i="3"/>
  <c r="K4304" i="3" s="1"/>
  <c r="L4303" i="3"/>
  <c r="J4303" i="3"/>
  <c r="K4303" i="3" s="1"/>
  <c r="L4302" i="3"/>
  <c r="J4302" i="3"/>
  <c r="K4302" i="3" s="1"/>
  <c r="L4301" i="3"/>
  <c r="J4301" i="3"/>
  <c r="K4301" i="3" s="1"/>
  <c r="L4300" i="3"/>
  <c r="J4300" i="3"/>
  <c r="K4300" i="3" s="1"/>
  <c r="L4299" i="3"/>
  <c r="J4299" i="3"/>
  <c r="K4299" i="3" s="1"/>
  <c r="L4298" i="3"/>
  <c r="J4298" i="3"/>
  <c r="K4298" i="3" s="1"/>
  <c r="L4297" i="3"/>
  <c r="J4297" i="3"/>
  <c r="K4297" i="3" s="1"/>
  <c r="L4296" i="3"/>
  <c r="J4296" i="3"/>
  <c r="K4296" i="3" s="1"/>
  <c r="L4295" i="3"/>
  <c r="J4295" i="3"/>
  <c r="K4295" i="3" s="1"/>
  <c r="L4294" i="3"/>
  <c r="J4294" i="3"/>
  <c r="K4294" i="3" s="1"/>
  <c r="L4293" i="3"/>
  <c r="J4293" i="3"/>
  <c r="K4293" i="3" s="1"/>
  <c r="L4292" i="3"/>
  <c r="J4292" i="3"/>
  <c r="K4292" i="3" s="1"/>
  <c r="L4291" i="3"/>
  <c r="J4291" i="3"/>
  <c r="K4291" i="3" s="1"/>
  <c r="L4290" i="3"/>
  <c r="J4290" i="3"/>
  <c r="K4290" i="3" s="1"/>
  <c r="L4289" i="3"/>
  <c r="J4289" i="3"/>
  <c r="K4289" i="3" s="1"/>
  <c r="L4288" i="3"/>
  <c r="J4288" i="3"/>
  <c r="K4288" i="3" s="1"/>
  <c r="L4287" i="3"/>
  <c r="J4287" i="3"/>
  <c r="K4287" i="3" s="1"/>
  <c r="L4286" i="3"/>
  <c r="J4286" i="3"/>
  <c r="K4286" i="3" s="1"/>
  <c r="L4285" i="3"/>
  <c r="J4285" i="3"/>
  <c r="K4285" i="3" s="1"/>
  <c r="L4284" i="3"/>
  <c r="J4284" i="3"/>
  <c r="K4284" i="3" s="1"/>
  <c r="L4283" i="3"/>
  <c r="J4283" i="3"/>
  <c r="K4283" i="3" s="1"/>
  <c r="L4282" i="3"/>
  <c r="J4282" i="3"/>
  <c r="K4282" i="3" s="1"/>
  <c r="L4281" i="3"/>
  <c r="J4281" i="3"/>
  <c r="K4281" i="3" s="1"/>
  <c r="L4280" i="3"/>
  <c r="J4280" i="3"/>
  <c r="K4280" i="3" s="1"/>
  <c r="L4279" i="3"/>
  <c r="J4279" i="3"/>
  <c r="K4279" i="3" s="1"/>
  <c r="L4278" i="3"/>
  <c r="J4278" i="3"/>
  <c r="K4278" i="3" s="1"/>
  <c r="L4277" i="3"/>
  <c r="J4277" i="3"/>
  <c r="K4277" i="3" s="1"/>
  <c r="L4276" i="3"/>
  <c r="J4276" i="3"/>
  <c r="K4276" i="3" s="1"/>
  <c r="L4275" i="3"/>
  <c r="J4275" i="3"/>
  <c r="K4275" i="3" s="1"/>
  <c r="L4274" i="3"/>
  <c r="J4274" i="3"/>
  <c r="K4274" i="3" s="1"/>
  <c r="L4273" i="3"/>
  <c r="J4273" i="3"/>
  <c r="K4273" i="3" s="1"/>
  <c r="L4272" i="3"/>
  <c r="J4272" i="3"/>
  <c r="K4272" i="3" s="1"/>
  <c r="L4271" i="3"/>
  <c r="J4271" i="3"/>
  <c r="K4271" i="3" s="1"/>
  <c r="L4270" i="3"/>
  <c r="J4270" i="3"/>
  <c r="K4270" i="3" s="1"/>
  <c r="L4269" i="3"/>
  <c r="J4269" i="3"/>
  <c r="K4269" i="3" s="1"/>
  <c r="L4268" i="3"/>
  <c r="J4268" i="3"/>
  <c r="K4268" i="3" s="1"/>
  <c r="L4267" i="3"/>
  <c r="J4267" i="3"/>
  <c r="K4267" i="3" s="1"/>
  <c r="L4266" i="3"/>
  <c r="J4266" i="3"/>
  <c r="K4266" i="3" s="1"/>
  <c r="L4265" i="3"/>
  <c r="J4265" i="3"/>
  <c r="K4265" i="3" s="1"/>
  <c r="L4264" i="3"/>
  <c r="J4264" i="3"/>
  <c r="K4264" i="3" s="1"/>
  <c r="L4263" i="3"/>
  <c r="J4263" i="3"/>
  <c r="K4263" i="3" s="1"/>
  <c r="L4262" i="3"/>
  <c r="J4262" i="3"/>
  <c r="K4262" i="3" s="1"/>
  <c r="L4261" i="3"/>
  <c r="J4261" i="3"/>
  <c r="K4261" i="3" s="1"/>
  <c r="L4260" i="3"/>
  <c r="J4260" i="3"/>
  <c r="K4260" i="3" s="1"/>
  <c r="L4259" i="3"/>
  <c r="J4259" i="3"/>
  <c r="K4259" i="3" s="1"/>
  <c r="L4258" i="3"/>
  <c r="J4258" i="3"/>
  <c r="K4258" i="3" s="1"/>
  <c r="L4257" i="3"/>
  <c r="J4257" i="3"/>
  <c r="K4257" i="3" s="1"/>
  <c r="L4256" i="3"/>
  <c r="J4256" i="3"/>
  <c r="K4256" i="3" s="1"/>
  <c r="L4255" i="3"/>
  <c r="J4255" i="3"/>
  <c r="K4255" i="3" s="1"/>
  <c r="L4254" i="3"/>
  <c r="J4254" i="3"/>
  <c r="K4254" i="3" s="1"/>
  <c r="L4253" i="3"/>
  <c r="J4253" i="3"/>
  <c r="K4253" i="3" s="1"/>
  <c r="L4252" i="3"/>
  <c r="J4252" i="3"/>
  <c r="K4252" i="3" s="1"/>
  <c r="L4251" i="3"/>
  <c r="J4251" i="3"/>
  <c r="K4251" i="3" s="1"/>
  <c r="L4250" i="3"/>
  <c r="J4250" i="3"/>
  <c r="K4250" i="3" s="1"/>
  <c r="L4249" i="3"/>
  <c r="J4249" i="3"/>
  <c r="K4249" i="3" s="1"/>
  <c r="L4248" i="3"/>
  <c r="J4248" i="3"/>
  <c r="K4248" i="3" s="1"/>
  <c r="L4247" i="3"/>
  <c r="J4247" i="3"/>
  <c r="K4247" i="3" s="1"/>
  <c r="L4246" i="3"/>
  <c r="J4246" i="3"/>
  <c r="K4246" i="3" s="1"/>
  <c r="L4245" i="3"/>
  <c r="J4245" i="3"/>
  <c r="K4245" i="3" s="1"/>
  <c r="L4244" i="3"/>
  <c r="J4244" i="3"/>
  <c r="K4244" i="3" s="1"/>
  <c r="L4243" i="3"/>
  <c r="J4243" i="3"/>
  <c r="K4243" i="3" s="1"/>
  <c r="L4242" i="3"/>
  <c r="J4242" i="3"/>
  <c r="K4242" i="3" s="1"/>
  <c r="L4241" i="3"/>
  <c r="J4241" i="3"/>
  <c r="K4241" i="3" s="1"/>
  <c r="L4240" i="3"/>
  <c r="J4240" i="3"/>
  <c r="K4240" i="3" s="1"/>
  <c r="L4239" i="3"/>
  <c r="J4239" i="3"/>
  <c r="K4239" i="3" s="1"/>
  <c r="L4238" i="3"/>
  <c r="J4238" i="3"/>
  <c r="K4238" i="3" s="1"/>
  <c r="L4237" i="3"/>
  <c r="J4237" i="3"/>
  <c r="K4237" i="3" s="1"/>
  <c r="L4236" i="3"/>
  <c r="J4236" i="3"/>
  <c r="K4236" i="3" s="1"/>
  <c r="L4235" i="3"/>
  <c r="J4235" i="3"/>
  <c r="K4235" i="3" s="1"/>
  <c r="L4234" i="3"/>
  <c r="J4234" i="3"/>
  <c r="K4234" i="3" s="1"/>
  <c r="L4233" i="3"/>
  <c r="J4233" i="3"/>
  <c r="K4233" i="3" s="1"/>
  <c r="L4232" i="3"/>
  <c r="J4232" i="3"/>
  <c r="K4232" i="3" s="1"/>
  <c r="L4231" i="3"/>
  <c r="J4231" i="3"/>
  <c r="K4231" i="3" s="1"/>
  <c r="L4230" i="3"/>
  <c r="J4230" i="3"/>
  <c r="K4230" i="3" s="1"/>
  <c r="L4229" i="3"/>
  <c r="J4229" i="3"/>
  <c r="K4229" i="3" s="1"/>
  <c r="L4228" i="3"/>
  <c r="J4228" i="3"/>
  <c r="K4228" i="3" s="1"/>
  <c r="L4227" i="3"/>
  <c r="J4227" i="3"/>
  <c r="K4227" i="3" s="1"/>
  <c r="L4226" i="3"/>
  <c r="J4226" i="3"/>
  <c r="K4226" i="3" s="1"/>
  <c r="L4225" i="3"/>
  <c r="J4225" i="3"/>
  <c r="K4225" i="3" s="1"/>
  <c r="L4224" i="3"/>
  <c r="J4224" i="3"/>
  <c r="K4224" i="3" s="1"/>
  <c r="L4223" i="3"/>
  <c r="J4223" i="3"/>
  <c r="K4223" i="3" s="1"/>
  <c r="L4222" i="3"/>
  <c r="J4222" i="3"/>
  <c r="K4222" i="3" s="1"/>
  <c r="L4221" i="3"/>
  <c r="J4221" i="3"/>
  <c r="K4221" i="3" s="1"/>
  <c r="L4220" i="3"/>
  <c r="J4220" i="3"/>
  <c r="K4220" i="3" s="1"/>
  <c r="L4219" i="3"/>
  <c r="J4219" i="3"/>
  <c r="K4219" i="3" s="1"/>
  <c r="L4218" i="3"/>
  <c r="J4218" i="3"/>
  <c r="K4218" i="3" s="1"/>
  <c r="L4217" i="3"/>
  <c r="J4217" i="3"/>
  <c r="K4217" i="3" s="1"/>
  <c r="L4216" i="3"/>
  <c r="J4216" i="3"/>
  <c r="K4216" i="3" s="1"/>
  <c r="L4215" i="3"/>
  <c r="J4215" i="3"/>
  <c r="K4215" i="3" s="1"/>
  <c r="L4214" i="3"/>
  <c r="J4214" i="3"/>
  <c r="K4214" i="3" s="1"/>
  <c r="L4213" i="3"/>
  <c r="J4213" i="3"/>
  <c r="K4213" i="3" s="1"/>
  <c r="L4212" i="3"/>
  <c r="J4212" i="3"/>
  <c r="K4212" i="3" s="1"/>
  <c r="L4211" i="3"/>
  <c r="J4211" i="3"/>
  <c r="K4211" i="3" s="1"/>
  <c r="L4210" i="3"/>
  <c r="J4210" i="3"/>
  <c r="K4210" i="3" s="1"/>
  <c r="L4209" i="3"/>
  <c r="J4209" i="3"/>
  <c r="K4209" i="3" s="1"/>
  <c r="L4208" i="3"/>
  <c r="J4208" i="3"/>
  <c r="K4208" i="3" s="1"/>
  <c r="L4207" i="3"/>
  <c r="J4207" i="3"/>
  <c r="K4207" i="3" s="1"/>
  <c r="L4206" i="3"/>
  <c r="J4206" i="3"/>
  <c r="K4206" i="3" s="1"/>
  <c r="L4205" i="3"/>
  <c r="J4205" i="3"/>
  <c r="K4205" i="3" s="1"/>
  <c r="L4204" i="3"/>
  <c r="J4204" i="3"/>
  <c r="K4204" i="3" s="1"/>
  <c r="L4203" i="3"/>
  <c r="J4203" i="3"/>
  <c r="K4203" i="3" s="1"/>
  <c r="L4202" i="3"/>
  <c r="J4202" i="3"/>
  <c r="K4202" i="3" s="1"/>
  <c r="L4201" i="3"/>
  <c r="J4201" i="3"/>
  <c r="K4201" i="3" s="1"/>
  <c r="L4200" i="3"/>
  <c r="J4200" i="3"/>
  <c r="K4200" i="3" s="1"/>
  <c r="L4199" i="3"/>
  <c r="J4199" i="3"/>
  <c r="K4199" i="3" s="1"/>
  <c r="L4198" i="3"/>
  <c r="J4198" i="3"/>
  <c r="K4198" i="3" s="1"/>
  <c r="L4197" i="3"/>
  <c r="J4197" i="3"/>
  <c r="K4197" i="3" s="1"/>
  <c r="L4196" i="3"/>
  <c r="J4196" i="3"/>
  <c r="K4196" i="3" s="1"/>
  <c r="L4195" i="3"/>
  <c r="J4195" i="3"/>
  <c r="K4195" i="3" s="1"/>
  <c r="L4194" i="3"/>
  <c r="J4194" i="3"/>
  <c r="K4194" i="3" s="1"/>
  <c r="L4193" i="3"/>
  <c r="J4193" i="3"/>
  <c r="K4193" i="3" s="1"/>
  <c r="L4192" i="3"/>
  <c r="J4192" i="3"/>
  <c r="K4192" i="3" s="1"/>
  <c r="L4191" i="3"/>
  <c r="J4191" i="3"/>
  <c r="K4191" i="3" s="1"/>
  <c r="L4190" i="3"/>
  <c r="J4190" i="3"/>
  <c r="K4190" i="3" s="1"/>
  <c r="L4189" i="3"/>
  <c r="J4189" i="3"/>
  <c r="K4189" i="3" s="1"/>
  <c r="L4188" i="3"/>
  <c r="J4188" i="3"/>
  <c r="K4188" i="3" s="1"/>
  <c r="L4187" i="3"/>
  <c r="J4187" i="3"/>
  <c r="K4187" i="3" s="1"/>
  <c r="L4186" i="3"/>
  <c r="J4186" i="3"/>
  <c r="K4186" i="3" s="1"/>
  <c r="L4185" i="3"/>
  <c r="J4185" i="3"/>
  <c r="K4185" i="3" s="1"/>
  <c r="L4184" i="3"/>
  <c r="J4184" i="3"/>
  <c r="K4184" i="3" s="1"/>
  <c r="L4183" i="3"/>
  <c r="J4183" i="3"/>
  <c r="K4183" i="3" s="1"/>
  <c r="L4182" i="3"/>
  <c r="J4182" i="3"/>
  <c r="K4182" i="3" s="1"/>
  <c r="L4181" i="3"/>
  <c r="J4181" i="3"/>
  <c r="K4181" i="3" s="1"/>
  <c r="L4180" i="3"/>
  <c r="J4180" i="3"/>
  <c r="K4180" i="3" s="1"/>
  <c r="L4179" i="3"/>
  <c r="J4179" i="3"/>
  <c r="K4179" i="3" s="1"/>
  <c r="L4178" i="3"/>
  <c r="J4178" i="3"/>
  <c r="K4178" i="3" s="1"/>
  <c r="L4177" i="3"/>
  <c r="J4177" i="3"/>
  <c r="K4177" i="3" s="1"/>
  <c r="L4176" i="3"/>
  <c r="J4176" i="3"/>
  <c r="K4176" i="3" s="1"/>
  <c r="L4175" i="3"/>
  <c r="J4175" i="3"/>
  <c r="K4175" i="3" s="1"/>
  <c r="L4174" i="3"/>
  <c r="J4174" i="3"/>
  <c r="K4174" i="3" s="1"/>
  <c r="L4173" i="3"/>
  <c r="J4173" i="3"/>
  <c r="K4173" i="3" s="1"/>
  <c r="L4172" i="3"/>
  <c r="J4172" i="3"/>
  <c r="K4172" i="3" s="1"/>
  <c r="L4171" i="3"/>
  <c r="J4171" i="3"/>
  <c r="K4171" i="3" s="1"/>
  <c r="L4170" i="3"/>
  <c r="J4170" i="3"/>
  <c r="K4170" i="3" s="1"/>
  <c r="L4169" i="3"/>
  <c r="J4169" i="3"/>
  <c r="K4169" i="3" s="1"/>
  <c r="L4168" i="3"/>
  <c r="J4168" i="3"/>
  <c r="K4168" i="3" s="1"/>
  <c r="L4167" i="3"/>
  <c r="J4167" i="3"/>
  <c r="K4167" i="3" s="1"/>
  <c r="L4166" i="3"/>
  <c r="J4166" i="3"/>
  <c r="K4166" i="3" s="1"/>
  <c r="L4165" i="3"/>
  <c r="J4165" i="3"/>
  <c r="K4165" i="3" s="1"/>
  <c r="L4164" i="3"/>
  <c r="J4164" i="3"/>
  <c r="K4164" i="3" s="1"/>
  <c r="L4163" i="3"/>
  <c r="J4163" i="3"/>
  <c r="K4163" i="3" s="1"/>
  <c r="L4162" i="3"/>
  <c r="J4162" i="3"/>
  <c r="K4162" i="3" s="1"/>
  <c r="L4161" i="3"/>
  <c r="J4161" i="3"/>
  <c r="K4161" i="3" s="1"/>
  <c r="L4160" i="3"/>
  <c r="J4160" i="3"/>
  <c r="K4160" i="3" s="1"/>
  <c r="L4159" i="3"/>
  <c r="J4159" i="3"/>
  <c r="K4159" i="3" s="1"/>
  <c r="L4158" i="3"/>
  <c r="J4158" i="3"/>
  <c r="K4158" i="3" s="1"/>
  <c r="L4157" i="3"/>
  <c r="J4157" i="3"/>
  <c r="K4157" i="3" s="1"/>
  <c r="L4156" i="3"/>
  <c r="J4156" i="3"/>
  <c r="K4156" i="3" s="1"/>
  <c r="L4155" i="3"/>
  <c r="J4155" i="3"/>
  <c r="K4155" i="3" s="1"/>
  <c r="L4154" i="3"/>
  <c r="J4154" i="3"/>
  <c r="K4154" i="3" s="1"/>
  <c r="L4153" i="3"/>
  <c r="J4153" i="3"/>
  <c r="K4153" i="3" s="1"/>
  <c r="L4152" i="3"/>
  <c r="J4152" i="3"/>
  <c r="K4152" i="3" s="1"/>
  <c r="L4151" i="3"/>
  <c r="J4151" i="3"/>
  <c r="K4151" i="3" s="1"/>
  <c r="L4150" i="3"/>
  <c r="J4150" i="3"/>
  <c r="K4150" i="3" s="1"/>
  <c r="L4149" i="3"/>
  <c r="J4149" i="3"/>
  <c r="K4149" i="3" s="1"/>
  <c r="L4148" i="3"/>
  <c r="J4148" i="3"/>
  <c r="K4148" i="3" s="1"/>
  <c r="L4147" i="3"/>
  <c r="J4147" i="3"/>
  <c r="K4147" i="3" s="1"/>
  <c r="L4146" i="3"/>
  <c r="J4146" i="3"/>
  <c r="K4146" i="3" s="1"/>
  <c r="L4145" i="3"/>
  <c r="J4145" i="3"/>
  <c r="K4145" i="3" s="1"/>
  <c r="L4144" i="3"/>
  <c r="J4144" i="3"/>
  <c r="K4144" i="3" s="1"/>
  <c r="L4143" i="3"/>
  <c r="J4143" i="3"/>
  <c r="K4143" i="3" s="1"/>
  <c r="L4142" i="3"/>
  <c r="J4142" i="3"/>
  <c r="K4142" i="3" s="1"/>
  <c r="L4141" i="3"/>
  <c r="J4141" i="3"/>
  <c r="K4141" i="3" s="1"/>
  <c r="L4140" i="3"/>
  <c r="J4140" i="3"/>
  <c r="K4140" i="3" s="1"/>
  <c r="L4139" i="3"/>
  <c r="J4139" i="3"/>
  <c r="K4139" i="3" s="1"/>
  <c r="L4138" i="3"/>
  <c r="J4138" i="3"/>
  <c r="K4138" i="3" s="1"/>
  <c r="L4137" i="3"/>
  <c r="J4137" i="3"/>
  <c r="K4137" i="3" s="1"/>
  <c r="L4136" i="3"/>
  <c r="J4136" i="3"/>
  <c r="K4136" i="3" s="1"/>
  <c r="L4135" i="3"/>
  <c r="J4135" i="3"/>
  <c r="K4135" i="3" s="1"/>
  <c r="L4134" i="3"/>
  <c r="J4134" i="3"/>
  <c r="K4134" i="3" s="1"/>
  <c r="L4133" i="3"/>
  <c r="J4133" i="3"/>
  <c r="K4133" i="3" s="1"/>
  <c r="L4132" i="3"/>
  <c r="J4132" i="3"/>
  <c r="K4132" i="3" s="1"/>
  <c r="L4131" i="3"/>
  <c r="J4131" i="3"/>
  <c r="K4131" i="3" s="1"/>
  <c r="L4130" i="3"/>
  <c r="J4130" i="3"/>
  <c r="K4130" i="3" s="1"/>
  <c r="L4129" i="3"/>
  <c r="J4129" i="3"/>
  <c r="K4129" i="3" s="1"/>
  <c r="L4128" i="3"/>
  <c r="J4128" i="3"/>
  <c r="K4128" i="3" s="1"/>
  <c r="L4127" i="3"/>
  <c r="J4127" i="3"/>
  <c r="K4127" i="3" s="1"/>
  <c r="L4126" i="3"/>
  <c r="J4126" i="3"/>
  <c r="K4126" i="3" s="1"/>
  <c r="L4125" i="3"/>
  <c r="J4125" i="3"/>
  <c r="K4125" i="3" s="1"/>
  <c r="L4124" i="3"/>
  <c r="J4124" i="3"/>
  <c r="K4124" i="3" s="1"/>
  <c r="L4123" i="3"/>
  <c r="J4123" i="3"/>
  <c r="K4123" i="3" s="1"/>
  <c r="L4122" i="3"/>
  <c r="J4122" i="3"/>
  <c r="K4122" i="3" s="1"/>
  <c r="L4121" i="3"/>
  <c r="J4121" i="3"/>
  <c r="K4121" i="3" s="1"/>
  <c r="L4120" i="3"/>
  <c r="J4120" i="3"/>
  <c r="K4120" i="3" s="1"/>
  <c r="L4119" i="3"/>
  <c r="J4119" i="3"/>
  <c r="K4119" i="3" s="1"/>
  <c r="L4118" i="3"/>
  <c r="J4118" i="3"/>
  <c r="K4118" i="3" s="1"/>
  <c r="L4117" i="3"/>
  <c r="J4117" i="3"/>
  <c r="K4117" i="3" s="1"/>
  <c r="L4116" i="3"/>
  <c r="J4116" i="3"/>
  <c r="K4116" i="3" s="1"/>
  <c r="L4115" i="3"/>
  <c r="J4115" i="3"/>
  <c r="K4115" i="3" s="1"/>
  <c r="L4114" i="3"/>
  <c r="J4114" i="3"/>
  <c r="K4114" i="3" s="1"/>
  <c r="L4113" i="3"/>
  <c r="J4113" i="3"/>
  <c r="K4113" i="3" s="1"/>
  <c r="L4112" i="3"/>
  <c r="J4112" i="3"/>
  <c r="K4112" i="3" s="1"/>
  <c r="L4111" i="3"/>
  <c r="J4111" i="3"/>
  <c r="K4111" i="3" s="1"/>
  <c r="L4110" i="3"/>
  <c r="J4110" i="3"/>
  <c r="K4110" i="3" s="1"/>
  <c r="L4109" i="3"/>
  <c r="J4109" i="3"/>
  <c r="K4109" i="3" s="1"/>
  <c r="L4108" i="3"/>
  <c r="J4108" i="3"/>
  <c r="K4108" i="3" s="1"/>
  <c r="L4107" i="3"/>
  <c r="J4107" i="3"/>
  <c r="K4107" i="3" s="1"/>
  <c r="L4106" i="3"/>
  <c r="J4106" i="3"/>
  <c r="K4106" i="3" s="1"/>
  <c r="L4105" i="3"/>
  <c r="J4105" i="3"/>
  <c r="K4105" i="3" s="1"/>
  <c r="L4104" i="3"/>
  <c r="J4104" i="3"/>
  <c r="K4104" i="3" s="1"/>
  <c r="L4103" i="3"/>
  <c r="J4103" i="3"/>
  <c r="K4103" i="3" s="1"/>
  <c r="L4102" i="3"/>
  <c r="J4102" i="3"/>
  <c r="K4102" i="3" s="1"/>
  <c r="L4101" i="3"/>
  <c r="J4101" i="3"/>
  <c r="K4101" i="3" s="1"/>
  <c r="L4100" i="3"/>
  <c r="J4100" i="3"/>
  <c r="K4100" i="3" s="1"/>
  <c r="L4099" i="3"/>
  <c r="J4099" i="3"/>
  <c r="K4099" i="3" s="1"/>
  <c r="L4098" i="3"/>
  <c r="J4098" i="3"/>
  <c r="K4098" i="3" s="1"/>
  <c r="L4097" i="3"/>
  <c r="J4097" i="3"/>
  <c r="K4097" i="3" s="1"/>
  <c r="L4096" i="3"/>
  <c r="J4096" i="3"/>
  <c r="K4096" i="3" s="1"/>
  <c r="L4095" i="3"/>
  <c r="J4095" i="3"/>
  <c r="K4095" i="3" s="1"/>
  <c r="L4094" i="3"/>
  <c r="J4094" i="3"/>
  <c r="K4094" i="3" s="1"/>
  <c r="L4093" i="3"/>
  <c r="J4093" i="3"/>
  <c r="K4093" i="3" s="1"/>
  <c r="L4092" i="3"/>
  <c r="J4092" i="3"/>
  <c r="K4092" i="3" s="1"/>
  <c r="L4091" i="3"/>
  <c r="J4091" i="3"/>
  <c r="K4091" i="3" s="1"/>
  <c r="L4090" i="3"/>
  <c r="J4090" i="3"/>
  <c r="K4090" i="3" s="1"/>
  <c r="L4089" i="3"/>
  <c r="J4089" i="3"/>
  <c r="K4089" i="3" s="1"/>
  <c r="L4088" i="3"/>
  <c r="J4088" i="3"/>
  <c r="K4088" i="3" s="1"/>
  <c r="L4087" i="3"/>
  <c r="J4087" i="3"/>
  <c r="K4087" i="3" s="1"/>
  <c r="L4086" i="3"/>
  <c r="J4086" i="3"/>
  <c r="K4086" i="3" s="1"/>
  <c r="L4085" i="3"/>
  <c r="J4085" i="3"/>
  <c r="K4085" i="3" s="1"/>
  <c r="L4084" i="3"/>
  <c r="J4084" i="3"/>
  <c r="K4084" i="3" s="1"/>
  <c r="L4083" i="3"/>
  <c r="J4083" i="3"/>
  <c r="K4083" i="3" s="1"/>
  <c r="L4082" i="3"/>
  <c r="J4082" i="3"/>
  <c r="K4082" i="3" s="1"/>
  <c r="L4081" i="3"/>
  <c r="J4081" i="3"/>
  <c r="K4081" i="3" s="1"/>
  <c r="L4080" i="3"/>
  <c r="J4080" i="3"/>
  <c r="K4080" i="3" s="1"/>
  <c r="L4079" i="3"/>
  <c r="J4079" i="3"/>
  <c r="K4079" i="3" s="1"/>
  <c r="L4078" i="3"/>
  <c r="J4078" i="3"/>
  <c r="K4078" i="3" s="1"/>
  <c r="L4077" i="3"/>
  <c r="J4077" i="3"/>
  <c r="K4077" i="3" s="1"/>
  <c r="L4076" i="3"/>
  <c r="J4076" i="3"/>
  <c r="K4076" i="3" s="1"/>
  <c r="L4075" i="3"/>
  <c r="J4075" i="3"/>
  <c r="K4075" i="3" s="1"/>
  <c r="L4074" i="3"/>
  <c r="J4074" i="3"/>
  <c r="K4074" i="3" s="1"/>
  <c r="L4073" i="3"/>
  <c r="J4073" i="3"/>
  <c r="K4073" i="3" s="1"/>
  <c r="L4072" i="3"/>
  <c r="J4072" i="3"/>
  <c r="K4072" i="3" s="1"/>
  <c r="L4071" i="3"/>
  <c r="J4071" i="3"/>
  <c r="K4071" i="3" s="1"/>
  <c r="L4070" i="3"/>
  <c r="J4070" i="3"/>
  <c r="K4070" i="3" s="1"/>
  <c r="L4069" i="3"/>
  <c r="J4069" i="3"/>
  <c r="K4069" i="3" s="1"/>
  <c r="L4068" i="3"/>
  <c r="J4068" i="3"/>
  <c r="K4068" i="3" s="1"/>
  <c r="L4067" i="3"/>
  <c r="J4067" i="3"/>
  <c r="K4067" i="3" s="1"/>
  <c r="L4066" i="3"/>
  <c r="J4066" i="3"/>
  <c r="K4066" i="3" s="1"/>
  <c r="L4065" i="3"/>
  <c r="J4065" i="3"/>
  <c r="K4065" i="3" s="1"/>
  <c r="L4064" i="3"/>
  <c r="J4064" i="3"/>
  <c r="K4064" i="3" s="1"/>
  <c r="L4063" i="3"/>
  <c r="J4063" i="3"/>
  <c r="K4063" i="3" s="1"/>
  <c r="L4062" i="3"/>
  <c r="J4062" i="3"/>
  <c r="K4062" i="3" s="1"/>
  <c r="L4061" i="3"/>
  <c r="J4061" i="3"/>
  <c r="K4061" i="3" s="1"/>
  <c r="L4060" i="3"/>
  <c r="J4060" i="3"/>
  <c r="K4060" i="3" s="1"/>
  <c r="L4059" i="3"/>
  <c r="J4059" i="3"/>
  <c r="K4059" i="3" s="1"/>
  <c r="L4058" i="3"/>
  <c r="J4058" i="3"/>
  <c r="K4058" i="3" s="1"/>
  <c r="L4057" i="3"/>
  <c r="J4057" i="3"/>
  <c r="K4057" i="3" s="1"/>
  <c r="L4056" i="3"/>
  <c r="J4056" i="3"/>
  <c r="K4056" i="3" s="1"/>
  <c r="L4055" i="3"/>
  <c r="J4055" i="3"/>
  <c r="K4055" i="3" s="1"/>
  <c r="L4054" i="3"/>
  <c r="J4054" i="3"/>
  <c r="K4054" i="3" s="1"/>
  <c r="L4053" i="3"/>
  <c r="J4053" i="3"/>
  <c r="K4053" i="3" s="1"/>
  <c r="L4052" i="3"/>
  <c r="J4052" i="3"/>
  <c r="K4052" i="3" s="1"/>
  <c r="L4051" i="3"/>
  <c r="J4051" i="3"/>
  <c r="K4051" i="3" s="1"/>
  <c r="L4050" i="3"/>
  <c r="J4050" i="3"/>
  <c r="K4050" i="3" s="1"/>
  <c r="L4049" i="3"/>
  <c r="J4049" i="3"/>
  <c r="K4049" i="3" s="1"/>
  <c r="L4048" i="3"/>
  <c r="J4048" i="3"/>
  <c r="K4048" i="3" s="1"/>
  <c r="L4047" i="3"/>
  <c r="J4047" i="3"/>
  <c r="K4047" i="3" s="1"/>
  <c r="L4046" i="3"/>
  <c r="J4046" i="3"/>
  <c r="K4046" i="3" s="1"/>
  <c r="L4045" i="3"/>
  <c r="J4045" i="3"/>
  <c r="K4045" i="3" s="1"/>
  <c r="L4044" i="3"/>
  <c r="J4044" i="3"/>
  <c r="K4044" i="3" s="1"/>
  <c r="L4043" i="3"/>
  <c r="J4043" i="3"/>
  <c r="K4043" i="3" s="1"/>
  <c r="L4042" i="3"/>
  <c r="J4042" i="3"/>
  <c r="K4042" i="3" s="1"/>
  <c r="L4041" i="3"/>
  <c r="J4041" i="3"/>
  <c r="K4041" i="3" s="1"/>
  <c r="L4040" i="3"/>
  <c r="J4040" i="3"/>
  <c r="K4040" i="3" s="1"/>
  <c r="L4039" i="3"/>
  <c r="J4039" i="3"/>
  <c r="K4039" i="3" s="1"/>
  <c r="L4038" i="3"/>
  <c r="J4038" i="3"/>
  <c r="K4038" i="3" s="1"/>
  <c r="L4037" i="3"/>
  <c r="J4037" i="3"/>
  <c r="K4037" i="3" s="1"/>
  <c r="L4036" i="3"/>
  <c r="J4036" i="3"/>
  <c r="K4036" i="3" s="1"/>
  <c r="L4035" i="3"/>
  <c r="J4035" i="3"/>
  <c r="K4035" i="3" s="1"/>
  <c r="L4034" i="3"/>
  <c r="J4034" i="3"/>
  <c r="K4034" i="3" s="1"/>
  <c r="L4033" i="3"/>
  <c r="J4033" i="3"/>
  <c r="K4033" i="3" s="1"/>
  <c r="L4032" i="3"/>
  <c r="J4032" i="3"/>
  <c r="K4032" i="3" s="1"/>
  <c r="L4031" i="3"/>
  <c r="J4031" i="3"/>
  <c r="K4031" i="3" s="1"/>
  <c r="L4030" i="3"/>
  <c r="J4030" i="3"/>
  <c r="K4030" i="3" s="1"/>
  <c r="L4029" i="3"/>
  <c r="J4029" i="3"/>
  <c r="K4029" i="3" s="1"/>
  <c r="L4028" i="3"/>
  <c r="J4028" i="3"/>
  <c r="K4028" i="3" s="1"/>
  <c r="L4027" i="3"/>
  <c r="J4027" i="3"/>
  <c r="K4027" i="3" s="1"/>
  <c r="L4026" i="3"/>
  <c r="J4026" i="3"/>
  <c r="K4026" i="3" s="1"/>
  <c r="L4025" i="3"/>
  <c r="J4025" i="3"/>
  <c r="K4025" i="3" s="1"/>
  <c r="L4024" i="3"/>
  <c r="J4024" i="3"/>
  <c r="K4024" i="3" s="1"/>
  <c r="L4023" i="3"/>
  <c r="J4023" i="3"/>
  <c r="K4023" i="3" s="1"/>
  <c r="L4022" i="3"/>
  <c r="J4022" i="3"/>
  <c r="K4022" i="3" s="1"/>
  <c r="L4021" i="3"/>
  <c r="J4021" i="3"/>
  <c r="K4021" i="3" s="1"/>
  <c r="L4020" i="3"/>
  <c r="J4020" i="3"/>
  <c r="K4020" i="3" s="1"/>
  <c r="L4019" i="3"/>
  <c r="J4019" i="3"/>
  <c r="K4019" i="3" s="1"/>
  <c r="L4018" i="3"/>
  <c r="J4018" i="3"/>
  <c r="K4018" i="3" s="1"/>
  <c r="L4017" i="3"/>
  <c r="J4017" i="3"/>
  <c r="K4017" i="3" s="1"/>
  <c r="L4016" i="3"/>
  <c r="J4016" i="3"/>
  <c r="K4016" i="3" s="1"/>
  <c r="L4015" i="3"/>
  <c r="J4015" i="3"/>
  <c r="K4015" i="3" s="1"/>
  <c r="L4014" i="3"/>
  <c r="J4014" i="3"/>
  <c r="K4014" i="3" s="1"/>
  <c r="L4013" i="3"/>
  <c r="J4013" i="3"/>
  <c r="K4013" i="3" s="1"/>
  <c r="L4012" i="3"/>
  <c r="J4012" i="3"/>
  <c r="K4012" i="3" s="1"/>
  <c r="L4011" i="3"/>
  <c r="J4011" i="3"/>
  <c r="K4011" i="3" s="1"/>
  <c r="L4010" i="3"/>
  <c r="J4010" i="3"/>
  <c r="K4010" i="3" s="1"/>
  <c r="L4009" i="3"/>
  <c r="J4009" i="3"/>
  <c r="K4009" i="3" s="1"/>
  <c r="L4008" i="3"/>
  <c r="J4008" i="3"/>
  <c r="K4008" i="3" s="1"/>
  <c r="L4007" i="3"/>
  <c r="J4007" i="3"/>
  <c r="K4007" i="3" s="1"/>
  <c r="L4006" i="3"/>
  <c r="J4006" i="3"/>
  <c r="K4006" i="3" s="1"/>
  <c r="L4005" i="3"/>
  <c r="J4005" i="3"/>
  <c r="K4005" i="3" s="1"/>
  <c r="L4004" i="3"/>
  <c r="J4004" i="3"/>
  <c r="K4004" i="3" s="1"/>
  <c r="L4003" i="3"/>
  <c r="J4003" i="3"/>
  <c r="K4003" i="3" s="1"/>
  <c r="L4002" i="3"/>
  <c r="J4002" i="3"/>
  <c r="K4002" i="3" s="1"/>
  <c r="L4001" i="3"/>
  <c r="J4001" i="3"/>
  <c r="K4001" i="3" s="1"/>
  <c r="L4000" i="3"/>
  <c r="J4000" i="3"/>
  <c r="K4000" i="3" s="1"/>
  <c r="L3999" i="3"/>
  <c r="J3999" i="3"/>
  <c r="K3999" i="3" s="1"/>
  <c r="L3998" i="3"/>
  <c r="J3998" i="3"/>
  <c r="K3998" i="3" s="1"/>
  <c r="L3997" i="3"/>
  <c r="J3997" i="3"/>
  <c r="K3997" i="3" s="1"/>
  <c r="L3996" i="3"/>
  <c r="J3996" i="3"/>
  <c r="K3996" i="3" s="1"/>
  <c r="L3995" i="3"/>
  <c r="J3995" i="3"/>
  <c r="K3995" i="3" s="1"/>
  <c r="L3994" i="3"/>
  <c r="J3994" i="3"/>
  <c r="K3994" i="3" s="1"/>
  <c r="L3993" i="3"/>
  <c r="J3993" i="3"/>
  <c r="K3993" i="3" s="1"/>
  <c r="L3992" i="3"/>
  <c r="J3992" i="3"/>
  <c r="K3992" i="3" s="1"/>
  <c r="L3991" i="3"/>
  <c r="J3991" i="3"/>
  <c r="K3991" i="3" s="1"/>
  <c r="L3990" i="3"/>
  <c r="J3990" i="3"/>
  <c r="K3990" i="3" s="1"/>
  <c r="L3989" i="3"/>
  <c r="J3989" i="3"/>
  <c r="K3989" i="3" s="1"/>
  <c r="L3988" i="3"/>
  <c r="J3988" i="3"/>
  <c r="K3988" i="3" s="1"/>
  <c r="L3987" i="3"/>
  <c r="J3987" i="3"/>
  <c r="K3987" i="3" s="1"/>
  <c r="L3986" i="3"/>
  <c r="J3986" i="3"/>
  <c r="K3986" i="3" s="1"/>
  <c r="L3985" i="3"/>
  <c r="J3985" i="3"/>
  <c r="K3985" i="3" s="1"/>
  <c r="L3984" i="3"/>
  <c r="J3984" i="3"/>
  <c r="K3984" i="3" s="1"/>
  <c r="L3983" i="3"/>
  <c r="J3983" i="3"/>
  <c r="K3983" i="3" s="1"/>
  <c r="L3982" i="3"/>
  <c r="J3982" i="3"/>
  <c r="K3982" i="3" s="1"/>
  <c r="L3981" i="3"/>
  <c r="J3981" i="3"/>
  <c r="K3981" i="3" s="1"/>
  <c r="L3980" i="3"/>
  <c r="J3980" i="3"/>
  <c r="K3980" i="3" s="1"/>
  <c r="L3979" i="3"/>
  <c r="J3979" i="3"/>
  <c r="K3979" i="3" s="1"/>
  <c r="L3978" i="3"/>
  <c r="J3978" i="3"/>
  <c r="K3978" i="3" s="1"/>
  <c r="L3977" i="3"/>
  <c r="J3977" i="3"/>
  <c r="K3977" i="3" s="1"/>
  <c r="L3976" i="3"/>
  <c r="J3976" i="3"/>
  <c r="K3976" i="3" s="1"/>
  <c r="L3975" i="3"/>
  <c r="J3975" i="3"/>
  <c r="K3975" i="3" s="1"/>
  <c r="L3974" i="3"/>
  <c r="J3974" i="3"/>
  <c r="K3974" i="3" s="1"/>
  <c r="L3973" i="3"/>
  <c r="J3973" i="3"/>
  <c r="K3973" i="3" s="1"/>
  <c r="L3972" i="3"/>
  <c r="J3972" i="3"/>
  <c r="K3972" i="3" s="1"/>
  <c r="L3971" i="3"/>
  <c r="J3971" i="3"/>
  <c r="K3971" i="3" s="1"/>
  <c r="L3970" i="3"/>
  <c r="J3970" i="3"/>
  <c r="K3970" i="3" s="1"/>
  <c r="L3969" i="3"/>
  <c r="J3969" i="3"/>
  <c r="K3969" i="3" s="1"/>
  <c r="L3968" i="3"/>
  <c r="J3968" i="3"/>
  <c r="K3968" i="3" s="1"/>
  <c r="L3967" i="3"/>
  <c r="J3967" i="3"/>
  <c r="K3967" i="3" s="1"/>
  <c r="L3966" i="3"/>
  <c r="J3966" i="3"/>
  <c r="K3966" i="3" s="1"/>
  <c r="L3965" i="3"/>
  <c r="J3965" i="3"/>
  <c r="K3965" i="3" s="1"/>
  <c r="L3964" i="3"/>
  <c r="J3964" i="3"/>
  <c r="K3964" i="3" s="1"/>
  <c r="L3963" i="3"/>
  <c r="J3963" i="3"/>
  <c r="K3963" i="3" s="1"/>
  <c r="L3962" i="3"/>
  <c r="J3962" i="3"/>
  <c r="K3962" i="3" s="1"/>
  <c r="L3961" i="3"/>
  <c r="J3961" i="3"/>
  <c r="K3961" i="3" s="1"/>
  <c r="L3960" i="3"/>
  <c r="J3960" i="3"/>
  <c r="K3960" i="3" s="1"/>
  <c r="L3959" i="3"/>
  <c r="J3959" i="3"/>
  <c r="K3959" i="3" s="1"/>
  <c r="L3958" i="3"/>
  <c r="J3958" i="3"/>
  <c r="K3958" i="3" s="1"/>
  <c r="L3957" i="3"/>
  <c r="J3957" i="3"/>
  <c r="K3957" i="3" s="1"/>
  <c r="L3956" i="3"/>
  <c r="J3956" i="3"/>
  <c r="K3956" i="3" s="1"/>
  <c r="L3955" i="3"/>
  <c r="J3955" i="3"/>
  <c r="K3955" i="3" s="1"/>
  <c r="L3954" i="3"/>
  <c r="J3954" i="3"/>
  <c r="K3954" i="3" s="1"/>
  <c r="L3953" i="3"/>
  <c r="J3953" i="3"/>
  <c r="K3953" i="3" s="1"/>
  <c r="L3952" i="3"/>
  <c r="J3952" i="3"/>
  <c r="K3952" i="3" s="1"/>
  <c r="L3951" i="3"/>
  <c r="J3951" i="3"/>
  <c r="K3951" i="3" s="1"/>
  <c r="L3950" i="3"/>
  <c r="J3950" i="3"/>
  <c r="K3950" i="3" s="1"/>
  <c r="L3949" i="3"/>
  <c r="J3949" i="3"/>
  <c r="K3949" i="3" s="1"/>
  <c r="L3948" i="3"/>
  <c r="J3948" i="3"/>
  <c r="K3948" i="3" s="1"/>
  <c r="L3947" i="3"/>
  <c r="J3947" i="3"/>
  <c r="K3947" i="3" s="1"/>
  <c r="L3946" i="3"/>
  <c r="J3946" i="3"/>
  <c r="K3946" i="3" s="1"/>
  <c r="L3945" i="3"/>
  <c r="J3945" i="3"/>
  <c r="K3945" i="3" s="1"/>
  <c r="L3944" i="3"/>
  <c r="J3944" i="3"/>
  <c r="K3944" i="3" s="1"/>
  <c r="L3943" i="3"/>
  <c r="J3943" i="3"/>
  <c r="K3943" i="3" s="1"/>
  <c r="L3942" i="3"/>
  <c r="J3942" i="3"/>
  <c r="K3942" i="3" s="1"/>
  <c r="L3941" i="3"/>
  <c r="J3941" i="3"/>
  <c r="K3941" i="3" s="1"/>
  <c r="L3940" i="3"/>
  <c r="J3940" i="3"/>
  <c r="K3940" i="3" s="1"/>
  <c r="L3939" i="3"/>
  <c r="J3939" i="3"/>
  <c r="K3939" i="3" s="1"/>
  <c r="L3938" i="3"/>
  <c r="J3938" i="3"/>
  <c r="K3938" i="3" s="1"/>
  <c r="L3937" i="3"/>
  <c r="J3937" i="3"/>
  <c r="K3937" i="3" s="1"/>
  <c r="L3936" i="3"/>
  <c r="J3936" i="3"/>
  <c r="K3936" i="3" s="1"/>
  <c r="L3935" i="3"/>
  <c r="J3935" i="3"/>
  <c r="K3935" i="3" s="1"/>
  <c r="L3934" i="3"/>
  <c r="J3934" i="3"/>
  <c r="K3934" i="3" s="1"/>
  <c r="L3933" i="3"/>
  <c r="J3933" i="3"/>
  <c r="K3933" i="3" s="1"/>
  <c r="L3932" i="3"/>
  <c r="J3932" i="3"/>
  <c r="K3932" i="3" s="1"/>
  <c r="L3931" i="3"/>
  <c r="J3931" i="3"/>
  <c r="K3931" i="3" s="1"/>
  <c r="L3930" i="3"/>
  <c r="J3930" i="3"/>
  <c r="K3930" i="3" s="1"/>
  <c r="L3929" i="3"/>
  <c r="J3929" i="3"/>
  <c r="K3929" i="3" s="1"/>
  <c r="L3928" i="3"/>
  <c r="J3928" i="3"/>
  <c r="K3928" i="3" s="1"/>
  <c r="L3927" i="3"/>
  <c r="J3927" i="3"/>
  <c r="K3927" i="3" s="1"/>
  <c r="L3926" i="3"/>
  <c r="J3926" i="3"/>
  <c r="K3926" i="3" s="1"/>
  <c r="L3925" i="3"/>
  <c r="J3925" i="3"/>
  <c r="K3925" i="3" s="1"/>
  <c r="L3924" i="3"/>
  <c r="J3924" i="3"/>
  <c r="K3924" i="3" s="1"/>
  <c r="L3923" i="3"/>
  <c r="J3923" i="3"/>
  <c r="K3923" i="3" s="1"/>
  <c r="L3922" i="3"/>
  <c r="J3922" i="3"/>
  <c r="K3922" i="3" s="1"/>
  <c r="L3921" i="3"/>
  <c r="J3921" i="3"/>
  <c r="K3921" i="3" s="1"/>
  <c r="L3920" i="3"/>
  <c r="J3920" i="3"/>
  <c r="K3920" i="3" s="1"/>
  <c r="L3919" i="3"/>
  <c r="J3919" i="3"/>
  <c r="K3919" i="3" s="1"/>
  <c r="L3918" i="3"/>
  <c r="J3918" i="3"/>
  <c r="K3918" i="3" s="1"/>
  <c r="L3917" i="3"/>
  <c r="J3917" i="3"/>
  <c r="K3917" i="3" s="1"/>
  <c r="L3916" i="3"/>
  <c r="J3916" i="3"/>
  <c r="K3916" i="3" s="1"/>
  <c r="L3915" i="3"/>
  <c r="J3915" i="3"/>
  <c r="K3915" i="3" s="1"/>
  <c r="L3914" i="3"/>
  <c r="J3914" i="3"/>
  <c r="K3914" i="3" s="1"/>
  <c r="L3913" i="3"/>
  <c r="J3913" i="3"/>
  <c r="K3913" i="3" s="1"/>
  <c r="L3912" i="3"/>
  <c r="J3912" i="3"/>
  <c r="K3912" i="3" s="1"/>
  <c r="L3911" i="3"/>
  <c r="J3911" i="3"/>
  <c r="K3911" i="3" s="1"/>
  <c r="L3910" i="3"/>
  <c r="J3910" i="3"/>
  <c r="K3910" i="3" s="1"/>
  <c r="L3909" i="3"/>
  <c r="J3909" i="3"/>
  <c r="K3909" i="3" s="1"/>
  <c r="L3908" i="3"/>
  <c r="J3908" i="3"/>
  <c r="K3908" i="3" s="1"/>
  <c r="L3907" i="3"/>
  <c r="J3907" i="3"/>
  <c r="K3907" i="3" s="1"/>
  <c r="L3906" i="3"/>
  <c r="J3906" i="3"/>
  <c r="K3906" i="3" s="1"/>
  <c r="L3905" i="3"/>
  <c r="J3905" i="3"/>
  <c r="K3905" i="3" s="1"/>
  <c r="L3904" i="3"/>
  <c r="J3904" i="3"/>
  <c r="K3904" i="3" s="1"/>
  <c r="L3903" i="3"/>
  <c r="J3903" i="3"/>
  <c r="K3903" i="3" s="1"/>
  <c r="L3902" i="3"/>
  <c r="J3902" i="3"/>
  <c r="K3902" i="3" s="1"/>
  <c r="L3901" i="3"/>
  <c r="J3901" i="3"/>
  <c r="K3901" i="3" s="1"/>
  <c r="L3900" i="3"/>
  <c r="J3900" i="3"/>
  <c r="K3900" i="3" s="1"/>
  <c r="L3899" i="3"/>
  <c r="J3899" i="3"/>
  <c r="K3899" i="3" s="1"/>
  <c r="L3898" i="3"/>
  <c r="J3898" i="3"/>
  <c r="K3898" i="3" s="1"/>
  <c r="L3897" i="3"/>
  <c r="J3897" i="3"/>
  <c r="K3897" i="3" s="1"/>
  <c r="L3896" i="3"/>
  <c r="J3896" i="3"/>
  <c r="K3896" i="3" s="1"/>
  <c r="L3895" i="3"/>
  <c r="J3895" i="3"/>
  <c r="K3895" i="3" s="1"/>
  <c r="L3894" i="3"/>
  <c r="J3894" i="3"/>
  <c r="K3894" i="3" s="1"/>
  <c r="L3893" i="3"/>
  <c r="J3893" i="3"/>
  <c r="K3893" i="3" s="1"/>
  <c r="L3892" i="3"/>
  <c r="J3892" i="3"/>
  <c r="K3892" i="3" s="1"/>
  <c r="L3891" i="3"/>
  <c r="J3891" i="3"/>
  <c r="K3891" i="3" s="1"/>
  <c r="L3890" i="3"/>
  <c r="J3890" i="3"/>
  <c r="K3890" i="3" s="1"/>
  <c r="L3889" i="3"/>
  <c r="J3889" i="3"/>
  <c r="K3889" i="3" s="1"/>
  <c r="L3888" i="3"/>
  <c r="J3888" i="3"/>
  <c r="K3888" i="3" s="1"/>
  <c r="L3887" i="3"/>
  <c r="J3887" i="3"/>
  <c r="K3887" i="3" s="1"/>
  <c r="L3886" i="3"/>
  <c r="J3886" i="3"/>
  <c r="K3886" i="3" s="1"/>
  <c r="L3885" i="3"/>
  <c r="J3885" i="3"/>
  <c r="K3885" i="3" s="1"/>
  <c r="L3884" i="3"/>
  <c r="J3884" i="3"/>
  <c r="K3884" i="3" s="1"/>
  <c r="L3883" i="3"/>
  <c r="J3883" i="3"/>
  <c r="K3883" i="3" s="1"/>
  <c r="L3882" i="3"/>
  <c r="J3882" i="3"/>
  <c r="K3882" i="3" s="1"/>
  <c r="L3881" i="3"/>
  <c r="J3881" i="3"/>
  <c r="K3881" i="3" s="1"/>
  <c r="L3880" i="3"/>
  <c r="J3880" i="3"/>
  <c r="K3880" i="3" s="1"/>
  <c r="L3879" i="3"/>
  <c r="J3879" i="3"/>
  <c r="K3879" i="3" s="1"/>
  <c r="L3878" i="3"/>
  <c r="J3878" i="3"/>
  <c r="K3878" i="3" s="1"/>
  <c r="L3877" i="3"/>
  <c r="J3877" i="3"/>
  <c r="K3877" i="3" s="1"/>
  <c r="L3876" i="3"/>
  <c r="J3876" i="3"/>
  <c r="K3876" i="3" s="1"/>
  <c r="L3875" i="3"/>
  <c r="J3875" i="3"/>
  <c r="K3875" i="3" s="1"/>
  <c r="L3874" i="3"/>
  <c r="J3874" i="3"/>
  <c r="K3874" i="3" s="1"/>
  <c r="L3873" i="3"/>
  <c r="J3873" i="3"/>
  <c r="K3873" i="3" s="1"/>
  <c r="L3872" i="3"/>
  <c r="J3872" i="3"/>
  <c r="K3872" i="3" s="1"/>
  <c r="L3871" i="3"/>
  <c r="J3871" i="3"/>
  <c r="K3871" i="3" s="1"/>
  <c r="L3870" i="3"/>
  <c r="J3870" i="3"/>
  <c r="K3870" i="3" s="1"/>
  <c r="L3869" i="3"/>
  <c r="J3869" i="3"/>
  <c r="K3869" i="3" s="1"/>
  <c r="L3868" i="3"/>
  <c r="J3868" i="3"/>
  <c r="K3868" i="3" s="1"/>
  <c r="L3867" i="3"/>
  <c r="J3867" i="3"/>
  <c r="K3867" i="3" s="1"/>
  <c r="L3866" i="3"/>
  <c r="J3866" i="3"/>
  <c r="K3866" i="3" s="1"/>
  <c r="L3865" i="3"/>
  <c r="J3865" i="3"/>
  <c r="K3865" i="3" s="1"/>
  <c r="L3864" i="3"/>
  <c r="J3864" i="3"/>
  <c r="K3864" i="3" s="1"/>
  <c r="L3863" i="3"/>
  <c r="J3863" i="3"/>
  <c r="K3863" i="3" s="1"/>
  <c r="L3862" i="3"/>
  <c r="J3862" i="3"/>
  <c r="K3862" i="3" s="1"/>
  <c r="L3861" i="3"/>
  <c r="J3861" i="3"/>
  <c r="K3861" i="3" s="1"/>
  <c r="L3860" i="3"/>
  <c r="J3860" i="3"/>
  <c r="K3860" i="3" s="1"/>
  <c r="L3859" i="3"/>
  <c r="J3859" i="3"/>
  <c r="K3859" i="3" s="1"/>
  <c r="L3858" i="3"/>
  <c r="J3858" i="3"/>
  <c r="K3858" i="3" s="1"/>
  <c r="L3857" i="3"/>
  <c r="J3857" i="3"/>
  <c r="K3857" i="3" s="1"/>
  <c r="L3856" i="3"/>
  <c r="J3856" i="3"/>
  <c r="K3856" i="3" s="1"/>
  <c r="L3855" i="3"/>
  <c r="J3855" i="3"/>
  <c r="K3855" i="3" s="1"/>
  <c r="L3854" i="3"/>
  <c r="J3854" i="3"/>
  <c r="K3854" i="3" s="1"/>
  <c r="L3853" i="3"/>
  <c r="J3853" i="3"/>
  <c r="K3853" i="3" s="1"/>
  <c r="L3852" i="3"/>
  <c r="J3852" i="3"/>
  <c r="K3852" i="3" s="1"/>
  <c r="L3851" i="3"/>
  <c r="J3851" i="3"/>
  <c r="K3851" i="3" s="1"/>
  <c r="L3850" i="3"/>
  <c r="J3850" i="3"/>
  <c r="K3850" i="3" s="1"/>
  <c r="L3849" i="3"/>
  <c r="J3849" i="3"/>
  <c r="K3849" i="3" s="1"/>
  <c r="L3848" i="3"/>
  <c r="J3848" i="3"/>
  <c r="K3848" i="3" s="1"/>
  <c r="L3847" i="3"/>
  <c r="J3847" i="3"/>
  <c r="K3847" i="3" s="1"/>
  <c r="L3846" i="3"/>
  <c r="J3846" i="3"/>
  <c r="K3846" i="3" s="1"/>
  <c r="L3845" i="3"/>
  <c r="J3845" i="3"/>
  <c r="K3845" i="3" s="1"/>
  <c r="L3844" i="3"/>
  <c r="J3844" i="3"/>
  <c r="K3844" i="3" s="1"/>
  <c r="L3843" i="3"/>
  <c r="J3843" i="3"/>
  <c r="K3843" i="3" s="1"/>
  <c r="L3842" i="3"/>
  <c r="J3842" i="3"/>
  <c r="K3842" i="3" s="1"/>
  <c r="L3841" i="3"/>
  <c r="J3841" i="3"/>
  <c r="K3841" i="3" s="1"/>
  <c r="L3840" i="3"/>
  <c r="J3840" i="3"/>
  <c r="K3840" i="3" s="1"/>
  <c r="L3839" i="3"/>
  <c r="J3839" i="3"/>
  <c r="K3839" i="3" s="1"/>
  <c r="L3838" i="3"/>
  <c r="J3838" i="3"/>
  <c r="K3838" i="3" s="1"/>
  <c r="L3837" i="3"/>
  <c r="J3837" i="3"/>
  <c r="K3837" i="3" s="1"/>
  <c r="L3836" i="3"/>
  <c r="J3836" i="3"/>
  <c r="K3836" i="3" s="1"/>
  <c r="L3835" i="3"/>
  <c r="J3835" i="3"/>
  <c r="K3835" i="3" s="1"/>
  <c r="L3834" i="3"/>
  <c r="J3834" i="3"/>
  <c r="K3834" i="3" s="1"/>
  <c r="L3833" i="3"/>
  <c r="J3833" i="3"/>
  <c r="K3833" i="3" s="1"/>
  <c r="L3832" i="3"/>
  <c r="J3832" i="3"/>
  <c r="K3832" i="3" s="1"/>
  <c r="L3831" i="3"/>
  <c r="J3831" i="3"/>
  <c r="K3831" i="3" s="1"/>
  <c r="L3830" i="3"/>
  <c r="J3830" i="3"/>
  <c r="K3830" i="3" s="1"/>
  <c r="L3829" i="3"/>
  <c r="J3829" i="3"/>
  <c r="K3829" i="3" s="1"/>
  <c r="L3828" i="3"/>
  <c r="J3828" i="3"/>
  <c r="K3828" i="3" s="1"/>
  <c r="L3827" i="3"/>
  <c r="J3827" i="3"/>
  <c r="K3827" i="3" s="1"/>
  <c r="L3826" i="3"/>
  <c r="J3826" i="3"/>
  <c r="K3826" i="3" s="1"/>
  <c r="L3825" i="3"/>
  <c r="J3825" i="3"/>
  <c r="K3825" i="3" s="1"/>
  <c r="L3824" i="3"/>
  <c r="J3824" i="3"/>
  <c r="K3824" i="3" s="1"/>
  <c r="L3823" i="3"/>
  <c r="J3823" i="3"/>
  <c r="K3823" i="3" s="1"/>
  <c r="L3822" i="3"/>
  <c r="J3822" i="3"/>
  <c r="K3822" i="3" s="1"/>
  <c r="L3821" i="3"/>
  <c r="J3821" i="3"/>
  <c r="K3821" i="3" s="1"/>
  <c r="L3820" i="3"/>
  <c r="J3820" i="3"/>
  <c r="K3820" i="3" s="1"/>
  <c r="L3819" i="3"/>
  <c r="J3819" i="3"/>
  <c r="K3819" i="3" s="1"/>
  <c r="L3818" i="3"/>
  <c r="J3818" i="3"/>
  <c r="K3818" i="3" s="1"/>
  <c r="L3817" i="3"/>
  <c r="J3817" i="3"/>
  <c r="K3817" i="3" s="1"/>
  <c r="L3816" i="3"/>
  <c r="J3816" i="3"/>
  <c r="K3816" i="3" s="1"/>
  <c r="L3815" i="3"/>
  <c r="J3815" i="3"/>
  <c r="K3815" i="3" s="1"/>
  <c r="L3814" i="3"/>
  <c r="J3814" i="3"/>
  <c r="K3814" i="3" s="1"/>
  <c r="L3813" i="3"/>
  <c r="J3813" i="3"/>
  <c r="K3813" i="3" s="1"/>
  <c r="L3812" i="3"/>
  <c r="J3812" i="3"/>
  <c r="K3812" i="3" s="1"/>
  <c r="L3811" i="3"/>
  <c r="J3811" i="3"/>
  <c r="K3811" i="3" s="1"/>
  <c r="L3810" i="3"/>
  <c r="J3810" i="3"/>
  <c r="K3810" i="3" s="1"/>
  <c r="L3809" i="3"/>
  <c r="J3809" i="3"/>
  <c r="K3809" i="3" s="1"/>
  <c r="L3808" i="3"/>
  <c r="J3808" i="3"/>
  <c r="K3808" i="3" s="1"/>
  <c r="L3807" i="3"/>
  <c r="J3807" i="3"/>
  <c r="K3807" i="3" s="1"/>
  <c r="L3806" i="3"/>
  <c r="J3806" i="3"/>
  <c r="K3806" i="3" s="1"/>
  <c r="L3805" i="3"/>
  <c r="J3805" i="3"/>
  <c r="K3805" i="3" s="1"/>
  <c r="L3804" i="3"/>
  <c r="J3804" i="3"/>
  <c r="K3804" i="3" s="1"/>
  <c r="L3803" i="3"/>
  <c r="J3803" i="3"/>
  <c r="K3803" i="3" s="1"/>
  <c r="L3802" i="3"/>
  <c r="J3802" i="3"/>
  <c r="K3802" i="3" s="1"/>
  <c r="L3801" i="3"/>
  <c r="J3801" i="3"/>
  <c r="K3801" i="3" s="1"/>
  <c r="L3800" i="3"/>
  <c r="J3800" i="3"/>
  <c r="K3800" i="3" s="1"/>
  <c r="L3799" i="3"/>
  <c r="J3799" i="3"/>
  <c r="K3799" i="3" s="1"/>
  <c r="L3798" i="3"/>
  <c r="J3798" i="3"/>
  <c r="K3798" i="3" s="1"/>
  <c r="L3797" i="3"/>
  <c r="J3797" i="3"/>
  <c r="K3797" i="3" s="1"/>
  <c r="L3796" i="3"/>
  <c r="J3796" i="3"/>
  <c r="K3796" i="3" s="1"/>
  <c r="L3795" i="3"/>
  <c r="J3795" i="3"/>
  <c r="K3795" i="3" s="1"/>
  <c r="L3794" i="3"/>
  <c r="J3794" i="3"/>
  <c r="K3794" i="3" s="1"/>
  <c r="L3793" i="3"/>
  <c r="J3793" i="3"/>
  <c r="K3793" i="3" s="1"/>
  <c r="L3792" i="3"/>
  <c r="J3792" i="3"/>
  <c r="K3792" i="3" s="1"/>
  <c r="L3791" i="3"/>
  <c r="J3791" i="3"/>
  <c r="K3791" i="3" s="1"/>
  <c r="L3790" i="3"/>
  <c r="J3790" i="3"/>
  <c r="K3790" i="3" s="1"/>
  <c r="L3789" i="3"/>
  <c r="J3789" i="3"/>
  <c r="K3789" i="3" s="1"/>
  <c r="L3788" i="3"/>
  <c r="J3788" i="3"/>
  <c r="K3788" i="3" s="1"/>
  <c r="L3787" i="3"/>
  <c r="J3787" i="3"/>
  <c r="K3787" i="3" s="1"/>
  <c r="L3786" i="3"/>
  <c r="J3786" i="3"/>
  <c r="K3786" i="3" s="1"/>
  <c r="L3785" i="3"/>
  <c r="J3785" i="3"/>
  <c r="K3785" i="3" s="1"/>
  <c r="L3784" i="3"/>
  <c r="J3784" i="3"/>
  <c r="K3784" i="3" s="1"/>
  <c r="L3783" i="3"/>
  <c r="J3783" i="3"/>
  <c r="K3783" i="3" s="1"/>
  <c r="L3782" i="3"/>
  <c r="J3782" i="3"/>
  <c r="K3782" i="3" s="1"/>
  <c r="L3781" i="3"/>
  <c r="J3781" i="3"/>
  <c r="K3781" i="3" s="1"/>
  <c r="L3780" i="3"/>
  <c r="J3780" i="3"/>
  <c r="K3780" i="3" s="1"/>
  <c r="L3779" i="3"/>
  <c r="J3779" i="3"/>
  <c r="K3779" i="3" s="1"/>
  <c r="L3778" i="3"/>
  <c r="J3778" i="3"/>
  <c r="K3778" i="3" s="1"/>
  <c r="L3777" i="3"/>
  <c r="J3777" i="3"/>
  <c r="K3777" i="3" s="1"/>
  <c r="L3776" i="3"/>
  <c r="J3776" i="3"/>
  <c r="K3776" i="3" s="1"/>
  <c r="L3775" i="3"/>
  <c r="J3775" i="3"/>
  <c r="K3775" i="3" s="1"/>
  <c r="L3774" i="3"/>
  <c r="J3774" i="3"/>
  <c r="K3774" i="3" s="1"/>
  <c r="L3773" i="3"/>
  <c r="J3773" i="3"/>
  <c r="K3773" i="3" s="1"/>
  <c r="L3772" i="3"/>
  <c r="J3772" i="3"/>
  <c r="K3772" i="3" s="1"/>
  <c r="L3771" i="3"/>
  <c r="J3771" i="3"/>
  <c r="K3771" i="3" s="1"/>
  <c r="L3770" i="3"/>
  <c r="J3770" i="3"/>
  <c r="K3770" i="3" s="1"/>
  <c r="L3769" i="3"/>
  <c r="J3769" i="3"/>
  <c r="K3769" i="3" s="1"/>
  <c r="L3768" i="3"/>
  <c r="J3768" i="3"/>
  <c r="K3768" i="3" s="1"/>
  <c r="L3767" i="3"/>
  <c r="J3767" i="3"/>
  <c r="K3767" i="3" s="1"/>
  <c r="L3766" i="3"/>
  <c r="J3766" i="3"/>
  <c r="K3766" i="3" s="1"/>
  <c r="L3765" i="3"/>
  <c r="J3765" i="3"/>
  <c r="K3765" i="3" s="1"/>
  <c r="L3764" i="3"/>
  <c r="J3764" i="3"/>
  <c r="K3764" i="3" s="1"/>
  <c r="L3763" i="3"/>
  <c r="J3763" i="3"/>
  <c r="K3763" i="3" s="1"/>
  <c r="L3762" i="3"/>
  <c r="J3762" i="3"/>
  <c r="K3762" i="3" s="1"/>
  <c r="L3761" i="3"/>
  <c r="J3761" i="3"/>
  <c r="K3761" i="3" s="1"/>
  <c r="L3760" i="3"/>
  <c r="J3760" i="3"/>
  <c r="K3760" i="3" s="1"/>
  <c r="L3759" i="3"/>
  <c r="J3759" i="3"/>
  <c r="K3759" i="3" s="1"/>
  <c r="L3758" i="3"/>
  <c r="J3758" i="3"/>
  <c r="K3758" i="3" s="1"/>
  <c r="L3757" i="3"/>
  <c r="J3757" i="3"/>
  <c r="K3757" i="3" s="1"/>
  <c r="L3756" i="3"/>
  <c r="J3756" i="3"/>
  <c r="K3756" i="3" s="1"/>
  <c r="L3755" i="3"/>
  <c r="J3755" i="3"/>
  <c r="K3755" i="3" s="1"/>
  <c r="L3754" i="3"/>
  <c r="J3754" i="3"/>
  <c r="K3754" i="3" s="1"/>
  <c r="L3753" i="3"/>
  <c r="J3753" i="3"/>
  <c r="K3753" i="3" s="1"/>
  <c r="L3752" i="3"/>
  <c r="J3752" i="3"/>
  <c r="K3752" i="3" s="1"/>
  <c r="L3751" i="3"/>
  <c r="J3751" i="3"/>
  <c r="K3751" i="3" s="1"/>
  <c r="L3750" i="3"/>
  <c r="J3750" i="3"/>
  <c r="K3750" i="3" s="1"/>
  <c r="L3749" i="3"/>
  <c r="J3749" i="3"/>
  <c r="K3749" i="3" s="1"/>
  <c r="L3748" i="3"/>
  <c r="J3748" i="3"/>
  <c r="K3748" i="3" s="1"/>
  <c r="L3747" i="3"/>
  <c r="J3747" i="3"/>
  <c r="K3747" i="3" s="1"/>
  <c r="L3746" i="3"/>
  <c r="J3746" i="3"/>
  <c r="K3746" i="3" s="1"/>
  <c r="L3745" i="3"/>
  <c r="J3745" i="3"/>
  <c r="K3745" i="3" s="1"/>
  <c r="L3744" i="3"/>
  <c r="J3744" i="3"/>
  <c r="K3744" i="3" s="1"/>
  <c r="L3743" i="3"/>
  <c r="J3743" i="3"/>
  <c r="K3743" i="3" s="1"/>
  <c r="L3742" i="3"/>
  <c r="J3742" i="3"/>
  <c r="K3742" i="3" s="1"/>
  <c r="L3741" i="3"/>
  <c r="J3741" i="3"/>
  <c r="K3741" i="3" s="1"/>
  <c r="L3740" i="3"/>
  <c r="J3740" i="3"/>
  <c r="K3740" i="3" s="1"/>
  <c r="L3739" i="3"/>
  <c r="J3739" i="3"/>
  <c r="K3739" i="3" s="1"/>
  <c r="L3738" i="3"/>
  <c r="J3738" i="3"/>
  <c r="K3738" i="3" s="1"/>
  <c r="L3737" i="3"/>
  <c r="J3737" i="3"/>
  <c r="K3737" i="3" s="1"/>
  <c r="L3736" i="3"/>
  <c r="J3736" i="3"/>
  <c r="K3736" i="3" s="1"/>
  <c r="L3735" i="3"/>
  <c r="J3735" i="3"/>
  <c r="K3735" i="3" s="1"/>
  <c r="L3734" i="3"/>
  <c r="J3734" i="3"/>
  <c r="K3734" i="3" s="1"/>
  <c r="L3733" i="3"/>
  <c r="J3733" i="3"/>
  <c r="K3733" i="3" s="1"/>
  <c r="L3732" i="3"/>
  <c r="J3732" i="3"/>
  <c r="K3732" i="3" s="1"/>
  <c r="L3731" i="3"/>
  <c r="J3731" i="3"/>
  <c r="K3731" i="3" s="1"/>
  <c r="L3730" i="3"/>
  <c r="J3730" i="3"/>
  <c r="K3730" i="3" s="1"/>
  <c r="L3729" i="3"/>
  <c r="J3729" i="3"/>
  <c r="K3729" i="3" s="1"/>
  <c r="L3728" i="3"/>
  <c r="J3728" i="3"/>
  <c r="K3728" i="3" s="1"/>
  <c r="L3727" i="3"/>
  <c r="J3727" i="3"/>
  <c r="K3727" i="3" s="1"/>
  <c r="L3726" i="3"/>
  <c r="J3726" i="3"/>
  <c r="K3726" i="3" s="1"/>
  <c r="L3725" i="3"/>
  <c r="J3725" i="3"/>
  <c r="K3725" i="3" s="1"/>
  <c r="L3724" i="3"/>
  <c r="J3724" i="3"/>
  <c r="K3724" i="3" s="1"/>
  <c r="L3723" i="3"/>
  <c r="J3723" i="3"/>
  <c r="K3723" i="3" s="1"/>
  <c r="L3722" i="3"/>
  <c r="J3722" i="3"/>
  <c r="K3722" i="3" s="1"/>
  <c r="L3721" i="3"/>
  <c r="J3721" i="3"/>
  <c r="K3721" i="3" s="1"/>
  <c r="L3720" i="3"/>
  <c r="J3720" i="3"/>
  <c r="K3720" i="3" s="1"/>
  <c r="L3719" i="3"/>
  <c r="J3719" i="3"/>
  <c r="K3719" i="3" s="1"/>
  <c r="L3718" i="3"/>
  <c r="J3718" i="3"/>
  <c r="K3718" i="3" s="1"/>
  <c r="L3717" i="3"/>
  <c r="J3717" i="3"/>
  <c r="K3717" i="3" s="1"/>
  <c r="L3716" i="3"/>
  <c r="J3716" i="3"/>
  <c r="K3716" i="3" s="1"/>
  <c r="L3715" i="3"/>
  <c r="J3715" i="3"/>
  <c r="K3715" i="3" s="1"/>
  <c r="L3714" i="3"/>
  <c r="J3714" i="3"/>
  <c r="K3714" i="3" s="1"/>
  <c r="L3713" i="3"/>
  <c r="J3713" i="3"/>
  <c r="K3713" i="3" s="1"/>
  <c r="L3712" i="3"/>
  <c r="J3712" i="3"/>
  <c r="K3712" i="3" s="1"/>
  <c r="L3711" i="3"/>
  <c r="J3711" i="3"/>
  <c r="K3711" i="3" s="1"/>
  <c r="L3710" i="3"/>
  <c r="J3710" i="3"/>
  <c r="K3710" i="3" s="1"/>
  <c r="L3709" i="3"/>
  <c r="J3709" i="3"/>
  <c r="K3709" i="3" s="1"/>
  <c r="L3708" i="3"/>
  <c r="J3708" i="3"/>
  <c r="K3708" i="3" s="1"/>
  <c r="L3707" i="3"/>
  <c r="J3707" i="3"/>
  <c r="K3707" i="3" s="1"/>
  <c r="L3706" i="3"/>
  <c r="J3706" i="3"/>
  <c r="K3706" i="3" s="1"/>
  <c r="L3705" i="3"/>
  <c r="J3705" i="3"/>
  <c r="K3705" i="3" s="1"/>
  <c r="L3704" i="3"/>
  <c r="J3704" i="3"/>
  <c r="K3704" i="3" s="1"/>
  <c r="L3703" i="3"/>
  <c r="J3703" i="3"/>
  <c r="K3703" i="3" s="1"/>
  <c r="L3702" i="3"/>
  <c r="J3702" i="3"/>
  <c r="K3702" i="3" s="1"/>
  <c r="L3701" i="3"/>
  <c r="J3701" i="3"/>
  <c r="K3701" i="3" s="1"/>
  <c r="L3700" i="3"/>
  <c r="J3700" i="3"/>
  <c r="K3700" i="3" s="1"/>
  <c r="L3699" i="3"/>
  <c r="J3699" i="3"/>
  <c r="K3699" i="3" s="1"/>
  <c r="L3698" i="3"/>
  <c r="J3698" i="3"/>
  <c r="K3698" i="3" s="1"/>
  <c r="L3697" i="3"/>
  <c r="J3697" i="3"/>
  <c r="K3697" i="3" s="1"/>
  <c r="L3696" i="3"/>
  <c r="J3696" i="3"/>
  <c r="K3696" i="3" s="1"/>
  <c r="L3695" i="3"/>
  <c r="J3695" i="3"/>
  <c r="K3695" i="3" s="1"/>
  <c r="L3694" i="3"/>
  <c r="J3694" i="3"/>
  <c r="K3694" i="3" s="1"/>
  <c r="L3693" i="3"/>
  <c r="J3693" i="3"/>
  <c r="K3693" i="3" s="1"/>
  <c r="L3692" i="3"/>
  <c r="J3692" i="3"/>
  <c r="K3692" i="3" s="1"/>
  <c r="L3691" i="3"/>
  <c r="J3691" i="3"/>
  <c r="K3691" i="3" s="1"/>
  <c r="L3690" i="3"/>
  <c r="J3690" i="3"/>
  <c r="K3690" i="3" s="1"/>
  <c r="L3689" i="3"/>
  <c r="J3689" i="3"/>
  <c r="K3689" i="3" s="1"/>
  <c r="L3688" i="3"/>
  <c r="J3688" i="3"/>
  <c r="K3688" i="3" s="1"/>
  <c r="L3687" i="3"/>
  <c r="J3687" i="3"/>
  <c r="K3687" i="3" s="1"/>
  <c r="L3686" i="3"/>
  <c r="J3686" i="3"/>
  <c r="K3686" i="3" s="1"/>
  <c r="L3685" i="3"/>
  <c r="J3685" i="3"/>
  <c r="K3685" i="3" s="1"/>
  <c r="L3684" i="3"/>
  <c r="J3684" i="3"/>
  <c r="K3684" i="3" s="1"/>
  <c r="L3683" i="3"/>
  <c r="J3683" i="3"/>
  <c r="K3683" i="3" s="1"/>
  <c r="L3682" i="3"/>
  <c r="J3682" i="3"/>
  <c r="K3682" i="3" s="1"/>
  <c r="L3681" i="3"/>
  <c r="J3681" i="3"/>
  <c r="K3681" i="3" s="1"/>
  <c r="L3680" i="3"/>
  <c r="J3680" i="3"/>
  <c r="K3680" i="3" s="1"/>
  <c r="L3679" i="3"/>
  <c r="J3679" i="3"/>
  <c r="K3679" i="3" s="1"/>
  <c r="L3678" i="3"/>
  <c r="J3678" i="3"/>
  <c r="K3678" i="3" s="1"/>
  <c r="L3677" i="3"/>
  <c r="J3677" i="3"/>
  <c r="K3677" i="3" s="1"/>
  <c r="L3676" i="3"/>
  <c r="J3676" i="3"/>
  <c r="K3676" i="3" s="1"/>
  <c r="L3675" i="3"/>
  <c r="J3675" i="3"/>
  <c r="K3675" i="3" s="1"/>
  <c r="L3674" i="3"/>
  <c r="J3674" i="3"/>
  <c r="K3674" i="3" s="1"/>
  <c r="L3673" i="3"/>
  <c r="J3673" i="3"/>
  <c r="K3673" i="3" s="1"/>
  <c r="L3672" i="3"/>
  <c r="J3672" i="3"/>
  <c r="K3672" i="3" s="1"/>
  <c r="L3671" i="3"/>
  <c r="J3671" i="3"/>
  <c r="K3671" i="3" s="1"/>
  <c r="L3670" i="3"/>
  <c r="J3670" i="3"/>
  <c r="K3670" i="3" s="1"/>
  <c r="L3669" i="3"/>
  <c r="J3669" i="3"/>
  <c r="K3669" i="3" s="1"/>
  <c r="L3668" i="3"/>
  <c r="J3668" i="3"/>
  <c r="K3668" i="3" s="1"/>
  <c r="L3667" i="3"/>
  <c r="J3667" i="3"/>
  <c r="K3667" i="3" s="1"/>
  <c r="L3666" i="3"/>
  <c r="J3666" i="3"/>
  <c r="K3666" i="3" s="1"/>
  <c r="L3665" i="3"/>
  <c r="J3665" i="3"/>
  <c r="K3665" i="3" s="1"/>
  <c r="L3664" i="3"/>
  <c r="J3664" i="3"/>
  <c r="K3664" i="3" s="1"/>
  <c r="L3663" i="3"/>
  <c r="J3663" i="3"/>
  <c r="K3663" i="3" s="1"/>
  <c r="L3662" i="3"/>
  <c r="J3662" i="3"/>
  <c r="K3662" i="3" s="1"/>
  <c r="L3661" i="3"/>
  <c r="J3661" i="3"/>
  <c r="K3661" i="3" s="1"/>
  <c r="L3660" i="3"/>
  <c r="J3660" i="3"/>
  <c r="K3660" i="3" s="1"/>
  <c r="L3659" i="3"/>
  <c r="J3659" i="3"/>
  <c r="K3659" i="3" s="1"/>
  <c r="L3658" i="3"/>
  <c r="J3658" i="3"/>
  <c r="K3658" i="3" s="1"/>
  <c r="L3657" i="3"/>
  <c r="J3657" i="3"/>
  <c r="K3657" i="3" s="1"/>
  <c r="L3656" i="3"/>
  <c r="J3656" i="3"/>
  <c r="K3656" i="3" s="1"/>
  <c r="L3655" i="3"/>
  <c r="J3655" i="3"/>
  <c r="K3655" i="3" s="1"/>
  <c r="L3654" i="3"/>
  <c r="J3654" i="3"/>
  <c r="K3654" i="3" s="1"/>
  <c r="L3653" i="3"/>
  <c r="J3653" i="3"/>
  <c r="K3653" i="3" s="1"/>
  <c r="L3652" i="3"/>
  <c r="J3652" i="3"/>
  <c r="K3652" i="3" s="1"/>
  <c r="L3651" i="3"/>
  <c r="J3651" i="3"/>
  <c r="K3651" i="3" s="1"/>
  <c r="L3650" i="3"/>
  <c r="J3650" i="3"/>
  <c r="K3650" i="3" s="1"/>
  <c r="L3649" i="3"/>
  <c r="J3649" i="3"/>
  <c r="K3649" i="3" s="1"/>
  <c r="L3648" i="3"/>
  <c r="J3648" i="3"/>
  <c r="K3648" i="3" s="1"/>
  <c r="L3647" i="3"/>
  <c r="J3647" i="3"/>
  <c r="K3647" i="3" s="1"/>
  <c r="L3646" i="3"/>
  <c r="J3646" i="3"/>
  <c r="K3646" i="3" s="1"/>
  <c r="L3645" i="3"/>
  <c r="J3645" i="3"/>
  <c r="K3645" i="3" s="1"/>
  <c r="L3644" i="3"/>
  <c r="J3644" i="3"/>
  <c r="K3644" i="3" s="1"/>
  <c r="L3643" i="3"/>
  <c r="J3643" i="3"/>
  <c r="K3643" i="3" s="1"/>
  <c r="L3642" i="3"/>
  <c r="J3642" i="3"/>
  <c r="K3642" i="3" s="1"/>
  <c r="L3641" i="3"/>
  <c r="J3641" i="3"/>
  <c r="K3641" i="3" s="1"/>
  <c r="L3640" i="3"/>
  <c r="J3640" i="3"/>
  <c r="K3640" i="3" s="1"/>
  <c r="L3639" i="3"/>
  <c r="J3639" i="3"/>
  <c r="K3639" i="3" s="1"/>
  <c r="L3638" i="3"/>
  <c r="J3638" i="3"/>
  <c r="K3638" i="3" s="1"/>
  <c r="L3637" i="3"/>
  <c r="J3637" i="3"/>
  <c r="K3637" i="3" s="1"/>
  <c r="L3636" i="3"/>
  <c r="J3636" i="3"/>
  <c r="K3636" i="3" s="1"/>
  <c r="L3635" i="3"/>
  <c r="J3635" i="3"/>
  <c r="K3635" i="3" s="1"/>
  <c r="L3634" i="3"/>
  <c r="J3634" i="3"/>
  <c r="K3634" i="3" s="1"/>
  <c r="L3633" i="3"/>
  <c r="J3633" i="3"/>
  <c r="K3633" i="3" s="1"/>
  <c r="L3632" i="3"/>
  <c r="J3632" i="3"/>
  <c r="K3632" i="3" s="1"/>
  <c r="L3631" i="3"/>
  <c r="J3631" i="3"/>
  <c r="K3631" i="3" s="1"/>
  <c r="L3630" i="3"/>
  <c r="J3630" i="3"/>
  <c r="K3630" i="3" s="1"/>
  <c r="L3629" i="3"/>
  <c r="J3629" i="3"/>
  <c r="K3629" i="3" s="1"/>
  <c r="L3628" i="3"/>
  <c r="J3628" i="3"/>
  <c r="K3628" i="3" s="1"/>
  <c r="L3627" i="3"/>
  <c r="J3627" i="3"/>
  <c r="K3627" i="3" s="1"/>
  <c r="L3626" i="3"/>
  <c r="J3626" i="3"/>
  <c r="K3626" i="3" s="1"/>
  <c r="L3625" i="3"/>
  <c r="J3625" i="3"/>
  <c r="K3625" i="3" s="1"/>
  <c r="L3624" i="3"/>
  <c r="J3624" i="3"/>
  <c r="K3624" i="3" s="1"/>
  <c r="L3623" i="3"/>
  <c r="J3623" i="3"/>
  <c r="K3623" i="3" s="1"/>
  <c r="L3622" i="3"/>
  <c r="J3622" i="3"/>
  <c r="K3622" i="3" s="1"/>
  <c r="L3621" i="3"/>
  <c r="J3621" i="3"/>
  <c r="K3621" i="3" s="1"/>
  <c r="L3620" i="3"/>
  <c r="J3620" i="3"/>
  <c r="K3620" i="3" s="1"/>
  <c r="L3619" i="3"/>
  <c r="J3619" i="3"/>
  <c r="K3619" i="3" s="1"/>
  <c r="L3618" i="3"/>
  <c r="J3618" i="3"/>
  <c r="K3618" i="3" s="1"/>
  <c r="L3617" i="3"/>
  <c r="J3617" i="3"/>
  <c r="K3617" i="3" s="1"/>
  <c r="L3616" i="3"/>
  <c r="J3616" i="3"/>
  <c r="K3616" i="3" s="1"/>
  <c r="L3615" i="3"/>
  <c r="J3615" i="3"/>
  <c r="K3615" i="3" s="1"/>
  <c r="L3614" i="3"/>
  <c r="J3614" i="3"/>
  <c r="K3614" i="3" s="1"/>
  <c r="L3613" i="3"/>
  <c r="J3613" i="3"/>
  <c r="K3613" i="3" s="1"/>
  <c r="L3612" i="3"/>
  <c r="J3612" i="3"/>
  <c r="K3612" i="3" s="1"/>
  <c r="L3611" i="3"/>
  <c r="J3611" i="3"/>
  <c r="K3611" i="3" s="1"/>
  <c r="L3610" i="3"/>
  <c r="J3610" i="3"/>
  <c r="K3610" i="3" s="1"/>
  <c r="L3609" i="3"/>
  <c r="J3609" i="3"/>
  <c r="K3609" i="3" s="1"/>
  <c r="L3608" i="3"/>
  <c r="J3608" i="3"/>
  <c r="K3608" i="3" s="1"/>
  <c r="L3607" i="3"/>
  <c r="J3607" i="3"/>
  <c r="K3607" i="3" s="1"/>
  <c r="L3606" i="3"/>
  <c r="J3606" i="3"/>
  <c r="K3606" i="3" s="1"/>
  <c r="L3605" i="3"/>
  <c r="J3605" i="3"/>
  <c r="K3605" i="3" s="1"/>
  <c r="L3604" i="3"/>
  <c r="J3604" i="3"/>
  <c r="K3604" i="3" s="1"/>
  <c r="L3603" i="3"/>
  <c r="J3603" i="3"/>
  <c r="K3603" i="3" s="1"/>
  <c r="L3602" i="3"/>
  <c r="J3602" i="3"/>
  <c r="K3602" i="3" s="1"/>
  <c r="L3601" i="3"/>
  <c r="J3601" i="3"/>
  <c r="K3601" i="3" s="1"/>
  <c r="L3600" i="3"/>
  <c r="J3600" i="3"/>
  <c r="K3600" i="3" s="1"/>
  <c r="L3599" i="3"/>
  <c r="J3599" i="3"/>
  <c r="K3599" i="3" s="1"/>
  <c r="L3598" i="3"/>
  <c r="J3598" i="3"/>
  <c r="K3598" i="3" s="1"/>
  <c r="L3597" i="3"/>
  <c r="J3597" i="3"/>
  <c r="K3597" i="3" s="1"/>
  <c r="L3596" i="3"/>
  <c r="J3596" i="3"/>
  <c r="K3596" i="3" s="1"/>
  <c r="L3595" i="3"/>
  <c r="J3595" i="3"/>
  <c r="K3595" i="3" s="1"/>
  <c r="L3594" i="3"/>
  <c r="J3594" i="3"/>
  <c r="K3594" i="3" s="1"/>
  <c r="L3593" i="3"/>
  <c r="J3593" i="3"/>
  <c r="K3593" i="3" s="1"/>
  <c r="L3592" i="3"/>
  <c r="J3592" i="3"/>
  <c r="K3592" i="3" s="1"/>
  <c r="L3591" i="3"/>
  <c r="J3591" i="3"/>
  <c r="K3591" i="3" s="1"/>
  <c r="L3590" i="3"/>
  <c r="J3590" i="3"/>
  <c r="K3590" i="3" s="1"/>
  <c r="L3589" i="3"/>
  <c r="J3589" i="3"/>
  <c r="K3589" i="3" s="1"/>
  <c r="L3588" i="3"/>
  <c r="J3588" i="3"/>
  <c r="K3588" i="3" s="1"/>
  <c r="L3587" i="3"/>
  <c r="J3587" i="3"/>
  <c r="K3587" i="3" s="1"/>
  <c r="L3586" i="3"/>
  <c r="J3586" i="3"/>
  <c r="K3586" i="3" s="1"/>
  <c r="L3585" i="3"/>
  <c r="J3585" i="3"/>
  <c r="K3585" i="3" s="1"/>
  <c r="L3584" i="3"/>
  <c r="J3584" i="3"/>
  <c r="K3584" i="3" s="1"/>
  <c r="L3583" i="3"/>
  <c r="J3583" i="3"/>
  <c r="K3583" i="3" s="1"/>
  <c r="L3582" i="3"/>
  <c r="J3582" i="3"/>
  <c r="K3582" i="3" s="1"/>
  <c r="L3581" i="3"/>
  <c r="J3581" i="3"/>
  <c r="K3581" i="3" s="1"/>
  <c r="L3580" i="3"/>
  <c r="J3580" i="3"/>
  <c r="K3580" i="3" s="1"/>
  <c r="L3579" i="3"/>
  <c r="J3579" i="3"/>
  <c r="K3579" i="3" s="1"/>
  <c r="L3578" i="3"/>
  <c r="J3578" i="3"/>
  <c r="K3578" i="3" s="1"/>
  <c r="L3577" i="3"/>
  <c r="J3577" i="3"/>
  <c r="K3577" i="3" s="1"/>
  <c r="L3576" i="3"/>
  <c r="J3576" i="3"/>
  <c r="K3576" i="3" s="1"/>
  <c r="L3575" i="3"/>
  <c r="J3575" i="3"/>
  <c r="K3575" i="3" s="1"/>
  <c r="L3574" i="3"/>
  <c r="J3574" i="3"/>
  <c r="K3574" i="3" s="1"/>
  <c r="L3573" i="3"/>
  <c r="J3573" i="3"/>
  <c r="K3573" i="3" s="1"/>
  <c r="L3572" i="3"/>
  <c r="J3572" i="3"/>
  <c r="K3572" i="3" s="1"/>
  <c r="L3571" i="3"/>
  <c r="J3571" i="3"/>
  <c r="K3571" i="3" s="1"/>
  <c r="L3570" i="3"/>
  <c r="J3570" i="3"/>
  <c r="K3570" i="3" s="1"/>
  <c r="L3569" i="3"/>
  <c r="J3569" i="3"/>
  <c r="K3569" i="3" s="1"/>
  <c r="L3568" i="3"/>
  <c r="J3568" i="3"/>
  <c r="K3568" i="3" s="1"/>
  <c r="L3567" i="3"/>
  <c r="J3567" i="3"/>
  <c r="K3567" i="3" s="1"/>
  <c r="L3566" i="3"/>
  <c r="J3566" i="3"/>
  <c r="K3566" i="3" s="1"/>
  <c r="L3565" i="3"/>
  <c r="J3565" i="3"/>
  <c r="K3565" i="3" s="1"/>
  <c r="L3564" i="3"/>
  <c r="J3564" i="3"/>
  <c r="K3564" i="3" s="1"/>
  <c r="L3563" i="3"/>
  <c r="J3563" i="3"/>
  <c r="K3563" i="3" s="1"/>
  <c r="L3562" i="3"/>
  <c r="J3562" i="3"/>
  <c r="K3562" i="3" s="1"/>
  <c r="L3561" i="3"/>
  <c r="J3561" i="3"/>
  <c r="K3561" i="3" s="1"/>
  <c r="L3560" i="3"/>
  <c r="J3560" i="3"/>
  <c r="K3560" i="3" s="1"/>
  <c r="L3559" i="3"/>
  <c r="J3559" i="3"/>
  <c r="K3559" i="3" s="1"/>
  <c r="L3558" i="3"/>
  <c r="J3558" i="3"/>
  <c r="K3558" i="3" s="1"/>
  <c r="L3557" i="3"/>
  <c r="J3557" i="3"/>
  <c r="K3557" i="3" s="1"/>
  <c r="L3556" i="3"/>
  <c r="J3556" i="3"/>
  <c r="K3556" i="3" s="1"/>
  <c r="L3555" i="3"/>
  <c r="J3555" i="3"/>
  <c r="K3555" i="3" s="1"/>
  <c r="L3554" i="3"/>
  <c r="J3554" i="3"/>
  <c r="K3554" i="3" s="1"/>
  <c r="L3553" i="3"/>
  <c r="J3553" i="3"/>
  <c r="K3553" i="3" s="1"/>
  <c r="L3552" i="3"/>
  <c r="J3552" i="3"/>
  <c r="K3552" i="3" s="1"/>
  <c r="L3551" i="3"/>
  <c r="J3551" i="3"/>
  <c r="K3551" i="3" s="1"/>
  <c r="L3550" i="3"/>
  <c r="J3550" i="3"/>
  <c r="K3550" i="3" s="1"/>
  <c r="L3549" i="3"/>
  <c r="J3549" i="3"/>
  <c r="K3549" i="3" s="1"/>
  <c r="L3548" i="3"/>
  <c r="J3548" i="3"/>
  <c r="K3548" i="3" s="1"/>
  <c r="L3547" i="3"/>
  <c r="J3547" i="3"/>
  <c r="K3547" i="3" s="1"/>
  <c r="L3546" i="3"/>
  <c r="J3546" i="3"/>
  <c r="K3546" i="3" s="1"/>
  <c r="L3545" i="3"/>
  <c r="J3545" i="3"/>
  <c r="K3545" i="3" s="1"/>
  <c r="L3544" i="3"/>
  <c r="J3544" i="3"/>
  <c r="K3544" i="3" s="1"/>
  <c r="L3543" i="3"/>
  <c r="J3543" i="3"/>
  <c r="K3543" i="3" s="1"/>
  <c r="L3542" i="3"/>
  <c r="J3542" i="3"/>
  <c r="K3542" i="3" s="1"/>
  <c r="L3541" i="3"/>
  <c r="J3541" i="3"/>
  <c r="K3541" i="3" s="1"/>
  <c r="L3540" i="3"/>
  <c r="J3540" i="3"/>
  <c r="K3540" i="3" s="1"/>
  <c r="L3539" i="3"/>
  <c r="J3539" i="3"/>
  <c r="K3539" i="3" s="1"/>
  <c r="L3538" i="3"/>
  <c r="J3538" i="3"/>
  <c r="K3538" i="3" s="1"/>
  <c r="L3537" i="3"/>
  <c r="J3537" i="3"/>
  <c r="K3537" i="3" s="1"/>
  <c r="L3536" i="3"/>
  <c r="J3536" i="3"/>
  <c r="K3536" i="3" s="1"/>
  <c r="L3535" i="3"/>
  <c r="J3535" i="3"/>
  <c r="K3535" i="3" s="1"/>
  <c r="L3534" i="3"/>
  <c r="J3534" i="3"/>
  <c r="K3534" i="3" s="1"/>
  <c r="L3533" i="3"/>
  <c r="J3533" i="3"/>
  <c r="K3533" i="3" s="1"/>
  <c r="L3532" i="3"/>
  <c r="J3532" i="3"/>
  <c r="K3532" i="3" s="1"/>
  <c r="L3531" i="3"/>
  <c r="J3531" i="3"/>
  <c r="K3531" i="3" s="1"/>
  <c r="L3530" i="3"/>
  <c r="J3530" i="3"/>
  <c r="K3530" i="3" s="1"/>
  <c r="L3529" i="3"/>
  <c r="J3529" i="3"/>
  <c r="K3529" i="3" s="1"/>
  <c r="L3528" i="3"/>
  <c r="J3528" i="3"/>
  <c r="K3528" i="3" s="1"/>
  <c r="L3527" i="3"/>
  <c r="J3527" i="3"/>
  <c r="K3527" i="3" s="1"/>
  <c r="L3526" i="3"/>
  <c r="J3526" i="3"/>
  <c r="K3526" i="3" s="1"/>
  <c r="L3525" i="3"/>
  <c r="J3525" i="3"/>
  <c r="K3525" i="3" s="1"/>
  <c r="L3524" i="3"/>
  <c r="J3524" i="3"/>
  <c r="K3524" i="3" s="1"/>
  <c r="L3523" i="3"/>
  <c r="J3523" i="3"/>
  <c r="K3523" i="3" s="1"/>
  <c r="L3522" i="3"/>
  <c r="J3522" i="3"/>
  <c r="K3522" i="3" s="1"/>
  <c r="L3521" i="3"/>
  <c r="J3521" i="3"/>
  <c r="K3521" i="3" s="1"/>
  <c r="L3520" i="3"/>
  <c r="J3520" i="3"/>
  <c r="K3520" i="3" s="1"/>
  <c r="L3519" i="3"/>
  <c r="J3519" i="3"/>
  <c r="K3519" i="3" s="1"/>
  <c r="L3518" i="3"/>
  <c r="J3518" i="3"/>
  <c r="K3518" i="3" s="1"/>
  <c r="L3517" i="3"/>
  <c r="J3517" i="3"/>
  <c r="K3517" i="3" s="1"/>
  <c r="L3516" i="3"/>
  <c r="J3516" i="3"/>
  <c r="K3516" i="3" s="1"/>
  <c r="L3515" i="3"/>
  <c r="J3515" i="3"/>
  <c r="K3515" i="3" s="1"/>
  <c r="L3514" i="3"/>
  <c r="J3514" i="3"/>
  <c r="K3514" i="3" s="1"/>
  <c r="L3513" i="3"/>
  <c r="J3513" i="3"/>
  <c r="K3513" i="3" s="1"/>
  <c r="L3512" i="3"/>
  <c r="J3512" i="3"/>
  <c r="K3512" i="3" s="1"/>
  <c r="L3511" i="3"/>
  <c r="J3511" i="3"/>
  <c r="K3511" i="3" s="1"/>
  <c r="L3510" i="3"/>
  <c r="J3510" i="3"/>
  <c r="K3510" i="3" s="1"/>
  <c r="L3509" i="3"/>
  <c r="J3509" i="3"/>
  <c r="K3509" i="3" s="1"/>
  <c r="L3508" i="3"/>
  <c r="J3508" i="3"/>
  <c r="K3508" i="3" s="1"/>
  <c r="L3507" i="3"/>
  <c r="J3507" i="3"/>
  <c r="K3507" i="3" s="1"/>
  <c r="L3506" i="3"/>
  <c r="J3506" i="3"/>
  <c r="K3506" i="3" s="1"/>
  <c r="L3505" i="3"/>
  <c r="J3505" i="3"/>
  <c r="K3505" i="3" s="1"/>
  <c r="L3504" i="3"/>
  <c r="J3504" i="3"/>
  <c r="K3504" i="3" s="1"/>
  <c r="L3503" i="3"/>
  <c r="J3503" i="3"/>
  <c r="K3503" i="3" s="1"/>
  <c r="L3502" i="3"/>
  <c r="J3502" i="3"/>
  <c r="K3502" i="3" s="1"/>
  <c r="L3501" i="3"/>
  <c r="J3501" i="3"/>
  <c r="K3501" i="3" s="1"/>
  <c r="L3500" i="3"/>
  <c r="J3500" i="3"/>
  <c r="K3500" i="3" s="1"/>
  <c r="L3499" i="3"/>
  <c r="J3499" i="3"/>
  <c r="K3499" i="3" s="1"/>
  <c r="L3498" i="3"/>
  <c r="J3498" i="3"/>
  <c r="K3498" i="3" s="1"/>
  <c r="L3497" i="3"/>
  <c r="J3497" i="3"/>
  <c r="K3497" i="3" s="1"/>
  <c r="L3496" i="3"/>
  <c r="J3496" i="3"/>
  <c r="K3496" i="3" s="1"/>
  <c r="L3495" i="3"/>
  <c r="J3495" i="3"/>
  <c r="K3495" i="3" s="1"/>
  <c r="L3494" i="3"/>
  <c r="J3494" i="3"/>
  <c r="K3494" i="3" s="1"/>
  <c r="L3493" i="3"/>
  <c r="J3493" i="3"/>
  <c r="K3493" i="3" s="1"/>
  <c r="L3492" i="3"/>
  <c r="J3492" i="3"/>
  <c r="K3492" i="3" s="1"/>
  <c r="L3491" i="3"/>
  <c r="J3491" i="3"/>
  <c r="K3491" i="3" s="1"/>
  <c r="L3490" i="3"/>
  <c r="J3490" i="3"/>
  <c r="K3490" i="3" s="1"/>
  <c r="L3489" i="3"/>
  <c r="J3489" i="3"/>
  <c r="K3489" i="3" s="1"/>
  <c r="L3488" i="3"/>
  <c r="J3488" i="3"/>
  <c r="K3488" i="3" s="1"/>
  <c r="L3487" i="3"/>
  <c r="J3487" i="3"/>
  <c r="K3487" i="3" s="1"/>
  <c r="L3486" i="3"/>
  <c r="J3486" i="3"/>
  <c r="K3486" i="3" s="1"/>
  <c r="L3485" i="3"/>
  <c r="J3485" i="3"/>
  <c r="K3485" i="3" s="1"/>
  <c r="L3484" i="3"/>
  <c r="J3484" i="3"/>
  <c r="K3484" i="3" s="1"/>
  <c r="L3483" i="3"/>
  <c r="J3483" i="3"/>
  <c r="K3483" i="3" s="1"/>
  <c r="L3482" i="3"/>
  <c r="J3482" i="3"/>
  <c r="K3482" i="3" s="1"/>
  <c r="L3481" i="3"/>
  <c r="J3481" i="3"/>
  <c r="K3481" i="3" s="1"/>
  <c r="L3480" i="3"/>
  <c r="J3480" i="3"/>
  <c r="K3480" i="3" s="1"/>
  <c r="L3479" i="3"/>
  <c r="J3479" i="3"/>
  <c r="K3479" i="3" s="1"/>
  <c r="L3478" i="3"/>
  <c r="J3478" i="3"/>
  <c r="K3478" i="3" s="1"/>
  <c r="L3477" i="3"/>
  <c r="J3477" i="3"/>
  <c r="K3477" i="3" s="1"/>
  <c r="L3476" i="3"/>
  <c r="J3476" i="3"/>
  <c r="K3476" i="3" s="1"/>
  <c r="L3475" i="3"/>
  <c r="J3475" i="3"/>
  <c r="K3475" i="3" s="1"/>
  <c r="L3474" i="3"/>
  <c r="J3474" i="3"/>
  <c r="K3474" i="3" s="1"/>
  <c r="L3473" i="3"/>
  <c r="J3473" i="3"/>
  <c r="K3473" i="3" s="1"/>
  <c r="L3472" i="3"/>
  <c r="J3472" i="3"/>
  <c r="K3472" i="3" s="1"/>
  <c r="L3471" i="3"/>
  <c r="J3471" i="3"/>
  <c r="K3471" i="3" s="1"/>
  <c r="L3470" i="3"/>
  <c r="J3470" i="3"/>
  <c r="K3470" i="3" s="1"/>
  <c r="L3469" i="3"/>
  <c r="J3469" i="3"/>
  <c r="K3469" i="3" s="1"/>
  <c r="L3468" i="3"/>
  <c r="J3468" i="3"/>
  <c r="K3468" i="3" s="1"/>
  <c r="L3467" i="3"/>
  <c r="J3467" i="3"/>
  <c r="K3467" i="3" s="1"/>
  <c r="L3466" i="3"/>
  <c r="J3466" i="3"/>
  <c r="K3466" i="3" s="1"/>
  <c r="L3465" i="3"/>
  <c r="J3465" i="3"/>
  <c r="K3465" i="3" s="1"/>
  <c r="L3464" i="3"/>
  <c r="J3464" i="3"/>
  <c r="K3464" i="3" s="1"/>
  <c r="L3463" i="3"/>
  <c r="J3463" i="3"/>
  <c r="K3463" i="3" s="1"/>
  <c r="L3462" i="3"/>
  <c r="J3462" i="3"/>
  <c r="K3462" i="3" s="1"/>
  <c r="L3461" i="3"/>
  <c r="J3461" i="3"/>
  <c r="K3461" i="3" s="1"/>
  <c r="L3460" i="3"/>
  <c r="J3460" i="3"/>
  <c r="K3460" i="3" s="1"/>
  <c r="L3459" i="3"/>
  <c r="J3459" i="3"/>
  <c r="K3459" i="3" s="1"/>
  <c r="L3458" i="3"/>
  <c r="J3458" i="3"/>
  <c r="K3458" i="3" s="1"/>
  <c r="L3457" i="3"/>
  <c r="J3457" i="3"/>
  <c r="K3457" i="3" s="1"/>
  <c r="L3456" i="3"/>
  <c r="J3456" i="3"/>
  <c r="K3456" i="3" s="1"/>
  <c r="L3455" i="3"/>
  <c r="J3455" i="3"/>
  <c r="K3455" i="3" s="1"/>
  <c r="L3454" i="3"/>
  <c r="J3454" i="3"/>
  <c r="K3454" i="3" s="1"/>
  <c r="L3453" i="3"/>
  <c r="L3450" i="3"/>
  <c r="L3447" i="3"/>
  <c r="L3446" i="3"/>
  <c r="L3445" i="3"/>
  <c r="L3443" i="3"/>
  <c r="L3442" i="3"/>
  <c r="L3441" i="3"/>
  <c r="L3440" i="3"/>
  <c r="L3439" i="3"/>
  <c r="L3438" i="3"/>
  <c r="L3437" i="3"/>
  <c r="L3436" i="3"/>
  <c r="L3435" i="3"/>
  <c r="L3434" i="3"/>
  <c r="L3433" i="3"/>
  <c r="L3432" i="3"/>
  <c r="L3431" i="3"/>
  <c r="L3429" i="3"/>
  <c r="L3427" i="3"/>
  <c r="L3426" i="3"/>
  <c r="L3424" i="3"/>
  <c r="L3420" i="3"/>
  <c r="L3419" i="3"/>
  <c r="L3418" i="3"/>
  <c r="L3416" i="3"/>
  <c r="L3415" i="3"/>
  <c r="L3414" i="3"/>
  <c r="L3413" i="3"/>
  <c r="L3412" i="3"/>
  <c r="L3410" i="3"/>
  <c r="L3409" i="3"/>
  <c r="L3407" i="3"/>
  <c r="L3406" i="3"/>
  <c r="L3404" i="3"/>
  <c r="L3402" i="3"/>
  <c r="L3400" i="3"/>
  <c r="L3398" i="3"/>
  <c r="L3396" i="3"/>
  <c r="L3395" i="3"/>
  <c r="L3393" i="3"/>
  <c r="L3392" i="3"/>
  <c r="L3391" i="3"/>
  <c r="L3390" i="3"/>
  <c r="L3389" i="3"/>
  <c r="L3388" i="3"/>
  <c r="L3387" i="3"/>
  <c r="L3386" i="3"/>
  <c r="L3384" i="3"/>
  <c r="L3383" i="3"/>
  <c r="L3380" i="3"/>
  <c r="L3379" i="3"/>
  <c r="L3378" i="3"/>
  <c r="L3377" i="3"/>
  <c r="L3376" i="3"/>
  <c r="L3374" i="3"/>
  <c r="L3372" i="3"/>
  <c r="L3371" i="3"/>
  <c r="L3370" i="3"/>
  <c r="L3369" i="3"/>
  <c r="L3368" i="3"/>
  <c r="L3367" i="3"/>
  <c r="L3366" i="3"/>
  <c r="L3364" i="3"/>
  <c r="L3363" i="3"/>
  <c r="L3362" i="3"/>
  <c r="L3358" i="3"/>
  <c r="L3356" i="3"/>
  <c r="L3355" i="3"/>
  <c r="L3353" i="3"/>
  <c r="L3352" i="3"/>
  <c r="L3351" i="3"/>
  <c r="L3350" i="3"/>
  <c r="L3349" i="3"/>
  <c r="L3348" i="3"/>
  <c r="L3347" i="3"/>
  <c r="L3344" i="3"/>
  <c r="L3343" i="3"/>
  <c r="L3338" i="3"/>
  <c r="L3337" i="3"/>
  <c r="L3336" i="3"/>
  <c r="L3332" i="3"/>
  <c r="L3331" i="3"/>
  <c r="L3327" i="3"/>
  <c r="L3326" i="3"/>
  <c r="L3325" i="3"/>
  <c r="L3324" i="3"/>
  <c r="L3323" i="3"/>
  <c r="L3321" i="3"/>
  <c r="L3320" i="3"/>
  <c r="L3319" i="3"/>
  <c r="L3318" i="3"/>
  <c r="L3317" i="3"/>
  <c r="L3316" i="3"/>
  <c r="L3315" i="3"/>
  <c r="L3314" i="3"/>
  <c r="L3313" i="3"/>
  <c r="L3311" i="3"/>
  <c r="L3310" i="3"/>
  <c r="L3309" i="3"/>
  <c r="L3308" i="3"/>
  <c r="L3307" i="3"/>
  <c r="L3306" i="3"/>
  <c r="L3305" i="3"/>
  <c r="L3304" i="3"/>
  <c r="L3303" i="3"/>
  <c r="L3301" i="3"/>
  <c r="L3300" i="3"/>
  <c r="L3299" i="3"/>
  <c r="L3297" i="3"/>
  <c r="L3295" i="3"/>
  <c r="L3294" i="3"/>
  <c r="L3292" i="3"/>
  <c r="L3291" i="3"/>
  <c r="L3290" i="3"/>
  <c r="L3288" i="3"/>
  <c r="L3287" i="3"/>
  <c r="L3286" i="3"/>
  <c r="L3284" i="3"/>
  <c r="L3283" i="3"/>
  <c r="L3281" i="3"/>
  <c r="L3280" i="3"/>
  <c r="L3279" i="3"/>
  <c r="L3277" i="3"/>
  <c r="L3276" i="3"/>
  <c r="L3275" i="3"/>
  <c r="L3274" i="3"/>
  <c r="L3273" i="3"/>
  <c r="L3270" i="3"/>
  <c r="L3269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4" i="3"/>
  <c r="L3233" i="3"/>
  <c r="L3232" i="3"/>
  <c r="L3231" i="3"/>
  <c r="L3230" i="3"/>
  <c r="L3228" i="3"/>
  <c r="L3227" i="3"/>
  <c r="L3225" i="3"/>
  <c r="L3224" i="3"/>
  <c r="L3223" i="3"/>
  <c r="L3222" i="3"/>
  <c r="L3221" i="3"/>
  <c r="L3219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4" i="3"/>
  <c r="L3143" i="3"/>
  <c r="L3140" i="3"/>
  <c r="L3139" i="3"/>
  <c r="L3138" i="3"/>
  <c r="L3137" i="3"/>
  <c r="L3136" i="3"/>
  <c r="L3135" i="3"/>
  <c r="L3134" i="3"/>
  <c r="L3133" i="3"/>
  <c r="L3131" i="3"/>
  <c r="L3130" i="3"/>
  <c r="L3129" i="3"/>
  <c r="L3128" i="3"/>
  <c r="L3127" i="3"/>
  <c r="L3126" i="3"/>
  <c r="L3125" i="3"/>
  <c r="L3124" i="3"/>
  <c r="L3123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1" i="3"/>
  <c r="L3090" i="3"/>
  <c r="L3089" i="3"/>
  <c r="L3087" i="3"/>
  <c r="L3085" i="3"/>
  <c r="L3084" i="3"/>
  <c r="L3081" i="3"/>
  <c r="L3080" i="3"/>
  <c r="L3079" i="3"/>
  <c r="L3078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2" i="3"/>
  <c r="L3000" i="3"/>
  <c r="L2998" i="3"/>
  <c r="L2997" i="3"/>
  <c r="L2995" i="3"/>
  <c r="L2994" i="3"/>
  <c r="L2993" i="3"/>
  <c r="L2992" i="3"/>
  <c r="L2991" i="3"/>
  <c r="L2990" i="3"/>
  <c r="L2989" i="3"/>
  <c r="L2987" i="3"/>
  <c r="L2986" i="3"/>
  <c r="L2985" i="3"/>
  <c r="L2984" i="3"/>
  <c r="L2983" i="3"/>
  <c r="L2982" i="3"/>
  <c r="L2981" i="3"/>
  <c r="L2980" i="3"/>
  <c r="L2979" i="3"/>
  <c r="L2978" i="3"/>
  <c r="L2976" i="3"/>
  <c r="L2975" i="3"/>
  <c r="L2974" i="3"/>
  <c r="L2973" i="3"/>
  <c r="L2972" i="3"/>
  <c r="L2971" i="3"/>
  <c r="L2969" i="3"/>
  <c r="L2968" i="3"/>
  <c r="L2965" i="3"/>
  <c r="L2963" i="3"/>
  <c r="L2962" i="3"/>
  <c r="L2961" i="3"/>
  <c r="L2960" i="3"/>
  <c r="L2959" i="3"/>
  <c r="L2958" i="3"/>
  <c r="L2957" i="3"/>
  <c r="L2956" i="3"/>
  <c r="L2955" i="3"/>
  <c r="L2954" i="3"/>
  <c r="L2953" i="3"/>
  <c r="L2951" i="3"/>
  <c r="L2950" i="3"/>
  <c r="L2949" i="3"/>
  <c r="L2947" i="3"/>
  <c r="L2946" i="3"/>
  <c r="L2945" i="3"/>
  <c r="L2944" i="3"/>
  <c r="L2943" i="3"/>
  <c r="L2942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8" i="3"/>
  <c r="L2917" i="3"/>
  <c r="L2916" i="3"/>
  <c r="L2915" i="3"/>
  <c r="L2913" i="3"/>
  <c r="L2911" i="3"/>
  <c r="L2910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7" i="3"/>
  <c r="L2786" i="3"/>
  <c r="L2785" i="3"/>
  <c r="L2784" i="3"/>
  <c r="L2783" i="3"/>
  <c r="L2782" i="3"/>
  <c r="L2778" i="3"/>
  <c r="L2777" i="3"/>
  <c r="L2776" i="3"/>
  <c r="L2775" i="3"/>
  <c r="L2774" i="3"/>
  <c r="L2773" i="3"/>
  <c r="L2771" i="3"/>
  <c r="L2770" i="3"/>
  <c r="L2769" i="3"/>
  <c r="L2768" i="3"/>
  <c r="L2767" i="3"/>
  <c r="L2765" i="3"/>
  <c r="L2764" i="3"/>
  <c r="L2763" i="3"/>
  <c r="L2762" i="3"/>
  <c r="L2761" i="3"/>
  <c r="L2760" i="3"/>
  <c r="L2759" i="3"/>
  <c r="L2758" i="3"/>
  <c r="L2756" i="3"/>
  <c r="L2755" i="3"/>
  <c r="L2754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8" i="3"/>
  <c r="L2737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2" i="3"/>
  <c r="L2721" i="3"/>
  <c r="L2720" i="3"/>
  <c r="L2719" i="3"/>
  <c r="L2718" i="3"/>
  <c r="L2717" i="3"/>
  <c r="L2716" i="3"/>
  <c r="L2715" i="3"/>
  <c r="L2714" i="3"/>
  <c r="L2713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8" i="3"/>
  <c r="L2697" i="3"/>
  <c r="L2696" i="3"/>
  <c r="L2695" i="3"/>
  <c r="L2694" i="3"/>
  <c r="L2693" i="3"/>
  <c r="L2691" i="3"/>
  <c r="L2690" i="3"/>
  <c r="L2689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6" i="3"/>
  <c r="L2665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4" i="3"/>
  <c r="L2643" i="3"/>
  <c r="L2640" i="3"/>
  <c r="L2639" i="3"/>
  <c r="L2637" i="3"/>
  <c r="L2636" i="3"/>
  <c r="L2635" i="3"/>
  <c r="L2634" i="3"/>
  <c r="L2633" i="3"/>
  <c r="L2632" i="3"/>
  <c r="L2631" i="3"/>
  <c r="L2630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0" i="3"/>
  <c r="L2549" i="3"/>
  <c r="L2547" i="3"/>
  <c r="L2546" i="3"/>
  <c r="L2545" i="3"/>
  <c r="L2544" i="3"/>
  <c r="L2543" i="3"/>
  <c r="L2542" i="3"/>
  <c r="L2541" i="3"/>
  <c r="L2540" i="3"/>
  <c r="L2539" i="3"/>
  <c r="L2538" i="3"/>
  <c r="L2537" i="3"/>
  <c r="L2535" i="3"/>
  <c r="L2534" i="3"/>
  <c r="L2533" i="3"/>
  <c r="L2532" i="3"/>
  <c r="L2531" i="3"/>
  <c r="L2529" i="3"/>
  <c r="L2528" i="3"/>
  <c r="L2527" i="3"/>
  <c r="L2526" i="3"/>
  <c r="L2525" i="3"/>
  <c r="L2524" i="3"/>
  <c r="L2523" i="3"/>
  <c r="L2522" i="3"/>
  <c r="L2521" i="3"/>
  <c r="L2520" i="3"/>
  <c r="L2519" i="3"/>
  <c r="L2517" i="3"/>
  <c r="L2516" i="3"/>
  <c r="L2515" i="3"/>
  <c r="L2514" i="3"/>
  <c r="L2513" i="3"/>
  <c r="L2512" i="3"/>
  <c r="L2511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6" i="3"/>
  <c r="L2485" i="3"/>
  <c r="L2484" i="3"/>
  <c r="L2483" i="3"/>
  <c r="L2482" i="3"/>
  <c r="L2480" i="3"/>
  <c r="L2479" i="3"/>
  <c r="L2478" i="3"/>
  <c r="L2477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8" i="3"/>
  <c r="L2457" i="3"/>
  <c r="L2456" i="3"/>
  <c r="L2455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39" i="3"/>
  <c r="L2438" i="3"/>
  <c r="L2437" i="3"/>
  <c r="L2436" i="3"/>
  <c r="L2434" i="3"/>
  <c r="L2433" i="3"/>
  <c r="L2432" i="3"/>
  <c r="L2431" i="3"/>
  <c r="L2430" i="3"/>
  <c r="L2428" i="3"/>
  <c r="L2427" i="3"/>
  <c r="L2426" i="3"/>
  <c r="L2424" i="3"/>
  <c r="L2423" i="3"/>
  <c r="L2422" i="3"/>
  <c r="L2421" i="3"/>
  <c r="L2420" i="3"/>
  <c r="L2419" i="3"/>
  <c r="L2417" i="3"/>
  <c r="L2415" i="3"/>
  <c r="L2414" i="3"/>
  <c r="L2413" i="3"/>
  <c r="L2412" i="3"/>
  <c r="L2411" i="3"/>
  <c r="L2409" i="3"/>
  <c r="L2408" i="3"/>
  <c r="L2407" i="3"/>
  <c r="L2406" i="3"/>
  <c r="L2405" i="3"/>
  <c r="L2404" i="3"/>
  <c r="L2402" i="3"/>
  <c r="L2401" i="3"/>
  <c r="L2400" i="3"/>
  <c r="L2399" i="3"/>
  <c r="L2398" i="3"/>
  <c r="L2397" i="3"/>
  <c r="L2396" i="3"/>
  <c r="L2395" i="3"/>
  <c r="L2393" i="3"/>
  <c r="L2392" i="3"/>
  <c r="L2391" i="3"/>
  <c r="L2390" i="3"/>
  <c r="L2389" i="3"/>
  <c r="L2388" i="3"/>
  <c r="L2386" i="3"/>
  <c r="L2385" i="3"/>
  <c r="L2384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2" i="3"/>
  <c r="L2321" i="3"/>
  <c r="L2320" i="3"/>
  <c r="L2319" i="3"/>
  <c r="L2318" i="3"/>
  <c r="L2317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5" i="3"/>
  <c r="L2214" i="3"/>
  <c r="L2213" i="3"/>
  <c r="L2212" i="3"/>
  <c r="L2211" i="3"/>
  <c r="L2210" i="3"/>
  <c r="L2209" i="3"/>
  <c r="L2208" i="3"/>
  <c r="L2207" i="3"/>
  <c r="L2206" i="3"/>
  <c r="L2205" i="3"/>
  <c r="L2203" i="3"/>
  <c r="L2202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5" i="3"/>
  <c r="L2174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5" i="3"/>
  <c r="L2134" i="3"/>
  <c r="L2133" i="3"/>
  <c r="L2132" i="3"/>
  <c r="L2131" i="3"/>
  <c r="L2130" i="3"/>
  <c r="L2129" i="3"/>
  <c r="L2128" i="3"/>
  <c r="L2127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5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J2021" i="3"/>
  <c r="K2021" i="3" s="1"/>
  <c r="L2020" i="3"/>
  <c r="J2020" i="3"/>
  <c r="K2020" i="3" s="1"/>
  <c r="L2019" i="3"/>
  <c r="J2019" i="3"/>
  <c r="K2019" i="3" s="1"/>
  <c r="L2018" i="3"/>
  <c r="J2018" i="3"/>
  <c r="K2018" i="3" s="1"/>
  <c r="L2017" i="3"/>
  <c r="J2017" i="3"/>
  <c r="K2017" i="3" s="1"/>
  <c r="L2016" i="3"/>
  <c r="J2016" i="3"/>
  <c r="K2016" i="3" s="1"/>
  <c r="L2015" i="3"/>
  <c r="J2015" i="3"/>
  <c r="K2015" i="3" s="1"/>
  <c r="L2014" i="3"/>
  <c r="J2014" i="3"/>
  <c r="K2014" i="3" s="1"/>
  <c r="L2013" i="3"/>
  <c r="J2013" i="3"/>
  <c r="K2013" i="3" s="1"/>
  <c r="L2012" i="3"/>
  <c r="J2012" i="3"/>
  <c r="K2012" i="3" s="1"/>
  <c r="L2011" i="3"/>
  <c r="J2011" i="3"/>
  <c r="K2011" i="3" s="1"/>
  <c r="L2010" i="3"/>
  <c r="J2010" i="3"/>
  <c r="K2010" i="3" s="1"/>
  <c r="L2009" i="3"/>
  <c r="J2009" i="3"/>
  <c r="K2009" i="3" s="1"/>
  <c r="L2008" i="3"/>
  <c r="J2008" i="3"/>
  <c r="K2008" i="3" s="1"/>
  <c r="L2007" i="3"/>
  <c r="J2007" i="3"/>
  <c r="K2007" i="3" s="1"/>
  <c r="J2006" i="3"/>
  <c r="L2005" i="3"/>
  <c r="J2005" i="3"/>
  <c r="K2005" i="3" s="1"/>
  <c r="J2004" i="3"/>
  <c r="L2003" i="3"/>
  <c r="J2003" i="3"/>
  <c r="K2003" i="3" s="1"/>
  <c r="L2002" i="3"/>
  <c r="J2002" i="3"/>
  <c r="K2002" i="3" s="1"/>
  <c r="L2001" i="3"/>
  <c r="J2001" i="3"/>
  <c r="K2001" i="3" s="1"/>
  <c r="L2000" i="3"/>
  <c r="J2000" i="3"/>
  <c r="K2000" i="3" s="1"/>
  <c r="L1999" i="3"/>
  <c r="J1999" i="3"/>
  <c r="K1999" i="3" s="1"/>
  <c r="L1998" i="3"/>
  <c r="J1998" i="3"/>
  <c r="K1998" i="3" s="1"/>
  <c r="L1997" i="3"/>
  <c r="J1997" i="3"/>
  <c r="K1997" i="3" s="1"/>
  <c r="L1996" i="3"/>
  <c r="J1996" i="3"/>
  <c r="K1996" i="3" s="1"/>
  <c r="L1995" i="3"/>
  <c r="J1995" i="3"/>
  <c r="K1995" i="3" s="1"/>
  <c r="L1994" i="3"/>
  <c r="J1994" i="3"/>
  <c r="K1994" i="3" s="1"/>
  <c r="L1993" i="3"/>
  <c r="J1993" i="3"/>
  <c r="K1993" i="3" s="1"/>
  <c r="L1992" i="3"/>
  <c r="J1992" i="3"/>
  <c r="K1992" i="3" s="1"/>
  <c r="L1991" i="3"/>
  <c r="J1991" i="3"/>
  <c r="K1991" i="3" s="1"/>
  <c r="L1990" i="3"/>
  <c r="J1990" i="3"/>
  <c r="K1990" i="3" s="1"/>
  <c r="L1989" i="3"/>
  <c r="J1989" i="3"/>
  <c r="K1989" i="3" s="1"/>
  <c r="L1988" i="3"/>
  <c r="J1988" i="3"/>
  <c r="K1988" i="3" s="1"/>
  <c r="L1987" i="3"/>
  <c r="J1987" i="3"/>
  <c r="K1987" i="3" s="1"/>
  <c r="L1986" i="3"/>
  <c r="J1986" i="3"/>
  <c r="K1986" i="3" s="1"/>
  <c r="L1985" i="3"/>
  <c r="J1985" i="3"/>
  <c r="K1985" i="3" s="1"/>
  <c r="L1984" i="3"/>
  <c r="J1984" i="3"/>
  <c r="K1984" i="3" s="1"/>
  <c r="L1983" i="3"/>
  <c r="J1983" i="3"/>
  <c r="K1983" i="3" s="1"/>
  <c r="L1982" i="3"/>
  <c r="J1982" i="3"/>
  <c r="K1982" i="3" s="1"/>
  <c r="L1981" i="3"/>
  <c r="J1981" i="3"/>
  <c r="K1981" i="3" s="1"/>
  <c r="J1980" i="3"/>
  <c r="L1979" i="3"/>
  <c r="J1979" i="3"/>
  <c r="K1979" i="3" s="1"/>
  <c r="L1978" i="3"/>
  <c r="J1978" i="3"/>
  <c r="K1978" i="3" s="1"/>
  <c r="L1977" i="3"/>
  <c r="J1977" i="3"/>
  <c r="K1977" i="3" s="1"/>
  <c r="L1976" i="3"/>
  <c r="J1976" i="3"/>
  <c r="K1976" i="3" s="1"/>
  <c r="L1975" i="3"/>
  <c r="J1975" i="3"/>
  <c r="K1975" i="3" s="1"/>
  <c r="L1974" i="3"/>
  <c r="J1974" i="3"/>
  <c r="K1974" i="3" s="1"/>
  <c r="L1973" i="3"/>
  <c r="J1973" i="3"/>
  <c r="K1973" i="3" s="1"/>
  <c r="L1972" i="3"/>
  <c r="J1972" i="3"/>
  <c r="K1972" i="3" s="1"/>
  <c r="L1971" i="3"/>
  <c r="J1971" i="3"/>
  <c r="K1971" i="3" s="1"/>
  <c r="J1970" i="3"/>
  <c r="L1969" i="3"/>
  <c r="J1969" i="3"/>
  <c r="K1969" i="3" s="1"/>
  <c r="J1968" i="3"/>
  <c r="L1967" i="3"/>
  <c r="J1967" i="3"/>
  <c r="K1967" i="3" s="1"/>
  <c r="L1966" i="3"/>
  <c r="J1966" i="3"/>
  <c r="K1966" i="3" s="1"/>
  <c r="L1965" i="3"/>
  <c r="J1965" i="3"/>
  <c r="K1965" i="3" s="1"/>
  <c r="L1964" i="3"/>
  <c r="J1964" i="3"/>
  <c r="K1964" i="3" s="1"/>
  <c r="L1963" i="3"/>
  <c r="J1963" i="3"/>
  <c r="K1963" i="3" s="1"/>
  <c r="L1962" i="3"/>
  <c r="J1962" i="3"/>
  <c r="K1962" i="3" s="1"/>
  <c r="L1961" i="3"/>
  <c r="J1961" i="3"/>
  <c r="K1961" i="3" s="1"/>
  <c r="L1960" i="3"/>
  <c r="J1960" i="3"/>
  <c r="K1960" i="3" s="1"/>
  <c r="L1959" i="3"/>
  <c r="J1959" i="3"/>
  <c r="K1959" i="3" s="1"/>
  <c r="L1958" i="3"/>
  <c r="J1958" i="3"/>
  <c r="K1958" i="3" s="1"/>
  <c r="L1957" i="3"/>
  <c r="J1957" i="3"/>
  <c r="K1957" i="3" s="1"/>
  <c r="J1956" i="3"/>
  <c r="L1955" i="3"/>
  <c r="J1955" i="3"/>
  <c r="K1955" i="3" s="1"/>
  <c r="L1954" i="3"/>
  <c r="J1954" i="3"/>
  <c r="K1954" i="3" s="1"/>
  <c r="L1953" i="3"/>
  <c r="J1953" i="3"/>
  <c r="K1953" i="3" s="1"/>
  <c r="L1952" i="3"/>
  <c r="J1952" i="3"/>
  <c r="K1952" i="3" s="1"/>
  <c r="L1951" i="3"/>
  <c r="J1951" i="3"/>
  <c r="K1951" i="3" s="1"/>
  <c r="L1950" i="3"/>
  <c r="J1950" i="3"/>
  <c r="K1950" i="3" s="1"/>
  <c r="L1949" i="3"/>
  <c r="J1949" i="3"/>
  <c r="K1949" i="3" s="1"/>
  <c r="L1948" i="3"/>
  <c r="J1948" i="3"/>
  <c r="K1948" i="3" s="1"/>
  <c r="L1947" i="3"/>
  <c r="J1947" i="3"/>
  <c r="K1947" i="3" s="1"/>
  <c r="L1946" i="3"/>
  <c r="J1946" i="3"/>
  <c r="K1946" i="3" s="1"/>
  <c r="L1945" i="3"/>
  <c r="J1945" i="3"/>
  <c r="K1945" i="3" s="1"/>
  <c r="L1944" i="3"/>
  <c r="J1944" i="3"/>
  <c r="K1944" i="3" s="1"/>
  <c r="L1943" i="3"/>
  <c r="J1943" i="3"/>
  <c r="K1943" i="3" s="1"/>
  <c r="L1942" i="3"/>
  <c r="J1942" i="3"/>
  <c r="K1942" i="3" s="1"/>
  <c r="L1941" i="3"/>
  <c r="J1941" i="3"/>
  <c r="K1941" i="3" s="1"/>
  <c r="L1940" i="3"/>
  <c r="J1940" i="3"/>
  <c r="K1940" i="3" s="1"/>
  <c r="L1939" i="3"/>
  <c r="J1939" i="3"/>
  <c r="K1939" i="3" s="1"/>
  <c r="L1938" i="3"/>
  <c r="J1938" i="3"/>
  <c r="K1938" i="3" s="1"/>
  <c r="L1937" i="3"/>
  <c r="J1937" i="3"/>
  <c r="K1937" i="3" s="1"/>
  <c r="L1936" i="3"/>
  <c r="J1936" i="3"/>
  <c r="K1936" i="3" s="1"/>
  <c r="J1935" i="3"/>
  <c r="L1934" i="3"/>
  <c r="J1934" i="3"/>
  <c r="K1934" i="3" s="1"/>
  <c r="L1933" i="3"/>
  <c r="J1933" i="3"/>
  <c r="K1933" i="3" s="1"/>
  <c r="L1932" i="3"/>
  <c r="J1932" i="3"/>
  <c r="K1932" i="3" s="1"/>
  <c r="L1931" i="3"/>
  <c r="J1931" i="3"/>
  <c r="K1931" i="3" s="1"/>
  <c r="L1930" i="3"/>
  <c r="J1930" i="3"/>
  <c r="K1930" i="3" s="1"/>
  <c r="J1929" i="3"/>
  <c r="L1928" i="3"/>
  <c r="J1928" i="3"/>
  <c r="K1928" i="3" s="1"/>
  <c r="L1927" i="3"/>
  <c r="J1927" i="3"/>
  <c r="K1927" i="3" s="1"/>
  <c r="L1926" i="3"/>
  <c r="J1926" i="3"/>
  <c r="K1926" i="3" s="1"/>
  <c r="L1925" i="3"/>
  <c r="J1925" i="3"/>
  <c r="K1925" i="3" s="1"/>
  <c r="L1924" i="3"/>
  <c r="J1924" i="3"/>
  <c r="K1924" i="3" s="1"/>
  <c r="L1923" i="3"/>
  <c r="J1923" i="3"/>
  <c r="K1923" i="3" s="1"/>
  <c r="L1922" i="3"/>
  <c r="J1922" i="3"/>
  <c r="K1922" i="3" s="1"/>
  <c r="L1921" i="3"/>
  <c r="J1921" i="3"/>
  <c r="K1921" i="3" s="1"/>
  <c r="L1920" i="3"/>
  <c r="J1920" i="3"/>
  <c r="K1920" i="3" s="1"/>
  <c r="L1919" i="3"/>
  <c r="J1919" i="3"/>
  <c r="K1919" i="3" s="1"/>
  <c r="L1918" i="3"/>
  <c r="J1918" i="3"/>
  <c r="K1918" i="3" s="1"/>
  <c r="L1917" i="3"/>
  <c r="J1917" i="3"/>
  <c r="K1917" i="3" s="1"/>
  <c r="L1916" i="3"/>
  <c r="J1916" i="3"/>
  <c r="K1916" i="3" s="1"/>
  <c r="L1915" i="3"/>
  <c r="J1915" i="3"/>
  <c r="K1915" i="3" s="1"/>
  <c r="L1914" i="3"/>
  <c r="J1914" i="3"/>
  <c r="K1914" i="3" s="1"/>
  <c r="L1913" i="3"/>
  <c r="J1913" i="3"/>
  <c r="K1913" i="3" s="1"/>
  <c r="J1912" i="3"/>
  <c r="L1911" i="3"/>
  <c r="J1911" i="3"/>
  <c r="K1911" i="3" s="1"/>
  <c r="L1910" i="3"/>
  <c r="J1910" i="3"/>
  <c r="K1910" i="3" s="1"/>
  <c r="L1909" i="3"/>
  <c r="J1909" i="3"/>
  <c r="K1909" i="3" s="1"/>
  <c r="L1908" i="3"/>
  <c r="J1908" i="3"/>
  <c r="K1908" i="3" s="1"/>
  <c r="J1907" i="3"/>
  <c r="L1906" i="3"/>
  <c r="J1906" i="3"/>
  <c r="K1906" i="3" s="1"/>
  <c r="L1905" i="3"/>
  <c r="J1905" i="3"/>
  <c r="K1905" i="3" s="1"/>
  <c r="L1904" i="3"/>
  <c r="J1904" i="3"/>
  <c r="K1904" i="3" s="1"/>
  <c r="L1903" i="3"/>
  <c r="J1903" i="3"/>
  <c r="K1903" i="3" s="1"/>
  <c r="L1902" i="3"/>
  <c r="J1902" i="3"/>
  <c r="K1902" i="3" s="1"/>
  <c r="L1901" i="3"/>
  <c r="J1901" i="3"/>
  <c r="K1901" i="3" s="1"/>
  <c r="L1900" i="3"/>
  <c r="J1900" i="3"/>
  <c r="K1900" i="3" s="1"/>
  <c r="L1899" i="3"/>
  <c r="J1899" i="3"/>
  <c r="K1899" i="3" s="1"/>
  <c r="L1898" i="3"/>
  <c r="J1898" i="3"/>
  <c r="K1898" i="3" s="1"/>
  <c r="J1897" i="3"/>
  <c r="L1896" i="3"/>
  <c r="J1896" i="3"/>
  <c r="K1896" i="3" s="1"/>
  <c r="L1895" i="3"/>
  <c r="J1895" i="3"/>
  <c r="K1895" i="3" s="1"/>
  <c r="L1894" i="3"/>
  <c r="J1894" i="3"/>
  <c r="K1894" i="3" s="1"/>
  <c r="L1893" i="3"/>
  <c r="J1893" i="3"/>
  <c r="K1893" i="3" s="1"/>
  <c r="L1892" i="3"/>
  <c r="J1892" i="3"/>
  <c r="K1892" i="3" s="1"/>
  <c r="L1891" i="3"/>
  <c r="J1891" i="3"/>
  <c r="K1891" i="3" s="1"/>
  <c r="L1890" i="3"/>
  <c r="J1890" i="3"/>
  <c r="K1890" i="3" s="1"/>
  <c r="L1889" i="3"/>
  <c r="J1889" i="3"/>
  <c r="K1889" i="3" s="1"/>
  <c r="L1888" i="3"/>
  <c r="J1888" i="3"/>
  <c r="K1888" i="3" s="1"/>
  <c r="L1887" i="3"/>
  <c r="J1887" i="3"/>
  <c r="K1887" i="3" s="1"/>
  <c r="L1886" i="3"/>
  <c r="J1886" i="3"/>
  <c r="K1886" i="3" s="1"/>
  <c r="L1885" i="3"/>
  <c r="J1885" i="3"/>
  <c r="K1885" i="3" s="1"/>
  <c r="L1884" i="3"/>
  <c r="J1884" i="3"/>
  <c r="K1884" i="3" s="1"/>
  <c r="L1883" i="3"/>
  <c r="J1883" i="3"/>
  <c r="K1883" i="3" s="1"/>
  <c r="L1882" i="3"/>
  <c r="J1882" i="3"/>
  <c r="K1882" i="3" s="1"/>
  <c r="L1881" i="3"/>
  <c r="J1881" i="3"/>
  <c r="K1881" i="3" s="1"/>
  <c r="L1880" i="3"/>
  <c r="J1880" i="3"/>
  <c r="K1880" i="3" s="1"/>
  <c r="L1879" i="3"/>
  <c r="J1879" i="3"/>
  <c r="K1879" i="3" s="1"/>
  <c r="L1878" i="3"/>
  <c r="J1878" i="3"/>
  <c r="K1878" i="3" s="1"/>
  <c r="J1877" i="3"/>
  <c r="L1876" i="3"/>
  <c r="J1876" i="3"/>
  <c r="K1876" i="3" s="1"/>
  <c r="L1875" i="3"/>
  <c r="J1875" i="3"/>
  <c r="K1875" i="3" s="1"/>
  <c r="L1874" i="3"/>
  <c r="J1874" i="3"/>
  <c r="K1874" i="3" s="1"/>
  <c r="L1873" i="3"/>
  <c r="J1873" i="3"/>
  <c r="K1873" i="3" s="1"/>
  <c r="L1872" i="3"/>
  <c r="J1872" i="3"/>
  <c r="K1872" i="3" s="1"/>
  <c r="L1871" i="3"/>
  <c r="J1871" i="3"/>
  <c r="K1871" i="3" s="1"/>
  <c r="J1870" i="3"/>
  <c r="L1869" i="3"/>
  <c r="J1869" i="3"/>
  <c r="K1869" i="3" s="1"/>
  <c r="J1868" i="3"/>
  <c r="L1867" i="3"/>
  <c r="J1867" i="3"/>
  <c r="K1867" i="3" s="1"/>
  <c r="L1866" i="3"/>
  <c r="J1866" i="3"/>
  <c r="K1866" i="3" s="1"/>
  <c r="L1865" i="3"/>
  <c r="J1865" i="3"/>
  <c r="K1865" i="3" s="1"/>
  <c r="L1864" i="3"/>
  <c r="J1864" i="3"/>
  <c r="K1864" i="3" s="1"/>
  <c r="L1863" i="3"/>
  <c r="J1863" i="3"/>
  <c r="K1863" i="3" s="1"/>
  <c r="L1862" i="3"/>
  <c r="J1862" i="3"/>
  <c r="K1862" i="3" s="1"/>
  <c r="L1861" i="3"/>
  <c r="J1861" i="3"/>
  <c r="K1861" i="3" s="1"/>
  <c r="L1860" i="3"/>
  <c r="J1860" i="3"/>
  <c r="K1860" i="3" s="1"/>
  <c r="L1859" i="3"/>
  <c r="J1859" i="3"/>
  <c r="K1859" i="3" s="1"/>
  <c r="L1858" i="3"/>
  <c r="J1858" i="3"/>
  <c r="K1858" i="3" s="1"/>
  <c r="L1857" i="3"/>
  <c r="J1857" i="3"/>
  <c r="K1857" i="3" s="1"/>
  <c r="L1856" i="3"/>
  <c r="J1856" i="3"/>
  <c r="K1856" i="3" s="1"/>
  <c r="L1855" i="3"/>
  <c r="J1855" i="3"/>
  <c r="K1855" i="3" s="1"/>
  <c r="L1854" i="3"/>
  <c r="J1854" i="3"/>
  <c r="K1854" i="3" s="1"/>
  <c r="L1853" i="3"/>
  <c r="J1853" i="3"/>
  <c r="K1853" i="3" s="1"/>
  <c r="J1852" i="3"/>
  <c r="L1851" i="3"/>
  <c r="J1851" i="3"/>
  <c r="K1851" i="3" s="1"/>
  <c r="L1850" i="3"/>
  <c r="J1850" i="3"/>
  <c r="K1850" i="3" s="1"/>
  <c r="L1849" i="3"/>
  <c r="J1849" i="3"/>
  <c r="K1849" i="3" s="1"/>
  <c r="L1848" i="3"/>
  <c r="J1848" i="3"/>
  <c r="K1848" i="3" s="1"/>
  <c r="L1847" i="3"/>
  <c r="J1847" i="3"/>
  <c r="K1847" i="3" s="1"/>
  <c r="L1846" i="3"/>
  <c r="J1846" i="3"/>
  <c r="K1846" i="3" s="1"/>
  <c r="L1845" i="3"/>
  <c r="J1845" i="3"/>
  <c r="K1845" i="3" s="1"/>
  <c r="L1844" i="3"/>
  <c r="J1844" i="3"/>
  <c r="K1844" i="3" s="1"/>
  <c r="L1843" i="3"/>
  <c r="J1843" i="3"/>
  <c r="K1843" i="3" s="1"/>
  <c r="J1842" i="3"/>
  <c r="L1841" i="3"/>
  <c r="J1841" i="3"/>
  <c r="K1841" i="3" s="1"/>
  <c r="L1840" i="3"/>
  <c r="J1840" i="3"/>
  <c r="K1840" i="3" s="1"/>
  <c r="L1839" i="3"/>
  <c r="J1839" i="3"/>
  <c r="K1839" i="3" s="1"/>
  <c r="L1838" i="3"/>
  <c r="J1838" i="3"/>
  <c r="K1838" i="3" s="1"/>
  <c r="L1837" i="3"/>
  <c r="J1837" i="3"/>
  <c r="K1837" i="3" s="1"/>
  <c r="L1836" i="3"/>
  <c r="J1836" i="3"/>
  <c r="K1836" i="3" s="1"/>
  <c r="L1835" i="3"/>
  <c r="J1835" i="3"/>
  <c r="K1835" i="3" s="1"/>
  <c r="L1834" i="3"/>
  <c r="J1834" i="3"/>
  <c r="K1834" i="3" s="1"/>
  <c r="L1833" i="3"/>
  <c r="J1833" i="3"/>
  <c r="K1833" i="3" s="1"/>
  <c r="L1832" i="3"/>
  <c r="J1832" i="3"/>
  <c r="K1832" i="3" s="1"/>
  <c r="L1831" i="3"/>
  <c r="J1831" i="3"/>
  <c r="K1831" i="3" s="1"/>
  <c r="L1830" i="3"/>
  <c r="J1830" i="3"/>
  <c r="K1830" i="3" s="1"/>
  <c r="L1829" i="3"/>
  <c r="J1829" i="3"/>
  <c r="K1829" i="3" s="1"/>
  <c r="L1828" i="3"/>
  <c r="J1828" i="3"/>
  <c r="K1828" i="3" s="1"/>
  <c r="L1827" i="3"/>
  <c r="J1827" i="3"/>
  <c r="K1827" i="3" s="1"/>
  <c r="L1826" i="3"/>
  <c r="J1826" i="3"/>
  <c r="K1826" i="3" s="1"/>
  <c r="L1825" i="3"/>
  <c r="J1825" i="3"/>
  <c r="K1825" i="3" s="1"/>
  <c r="J1824" i="3"/>
  <c r="L1823" i="3"/>
  <c r="J1823" i="3"/>
  <c r="K1823" i="3" s="1"/>
  <c r="L1822" i="3"/>
  <c r="J1822" i="3"/>
  <c r="K1822" i="3" s="1"/>
  <c r="L1821" i="3"/>
  <c r="J1821" i="3"/>
  <c r="K1821" i="3" s="1"/>
  <c r="L1820" i="3"/>
  <c r="J1820" i="3"/>
  <c r="K1820" i="3" s="1"/>
  <c r="L1819" i="3"/>
  <c r="J1819" i="3"/>
  <c r="K1819" i="3" s="1"/>
  <c r="L1818" i="3"/>
  <c r="J1818" i="3"/>
  <c r="K1818" i="3" s="1"/>
  <c r="L1817" i="3"/>
  <c r="J1817" i="3"/>
  <c r="K1817" i="3" s="1"/>
  <c r="L1816" i="3"/>
  <c r="J1816" i="3"/>
  <c r="K1816" i="3" s="1"/>
  <c r="L1815" i="3"/>
  <c r="J1815" i="3"/>
  <c r="K1815" i="3" s="1"/>
  <c r="L1814" i="3"/>
  <c r="J1814" i="3"/>
  <c r="K1814" i="3" s="1"/>
  <c r="L1813" i="3"/>
  <c r="J1813" i="3"/>
  <c r="K1813" i="3" s="1"/>
  <c r="L1812" i="3"/>
  <c r="J1812" i="3"/>
  <c r="K1812" i="3" s="1"/>
  <c r="L1811" i="3"/>
  <c r="J1811" i="3"/>
  <c r="K1811" i="3" s="1"/>
  <c r="L1810" i="3"/>
  <c r="J1810" i="3"/>
  <c r="K1810" i="3" s="1"/>
  <c r="L1809" i="3"/>
  <c r="J1809" i="3"/>
  <c r="K1809" i="3" s="1"/>
  <c r="L1808" i="3"/>
  <c r="J1808" i="3"/>
  <c r="K1808" i="3" s="1"/>
  <c r="L1807" i="3"/>
  <c r="J1807" i="3"/>
  <c r="K1807" i="3" s="1"/>
  <c r="L1806" i="3"/>
  <c r="J1806" i="3"/>
  <c r="K1806" i="3" s="1"/>
  <c r="L1805" i="3"/>
  <c r="J1805" i="3"/>
  <c r="K1805" i="3" s="1"/>
  <c r="L1804" i="3"/>
  <c r="J1804" i="3"/>
  <c r="K1804" i="3" s="1"/>
  <c r="L1803" i="3"/>
  <c r="J1803" i="3"/>
  <c r="K1803" i="3" s="1"/>
  <c r="L1802" i="3"/>
  <c r="J1802" i="3"/>
  <c r="K1802" i="3" s="1"/>
  <c r="L1801" i="3"/>
  <c r="J1801" i="3"/>
  <c r="K1801" i="3" s="1"/>
  <c r="L1800" i="3"/>
  <c r="J1800" i="3"/>
  <c r="K1800" i="3" s="1"/>
  <c r="L1799" i="3"/>
  <c r="J1799" i="3"/>
  <c r="K1799" i="3" s="1"/>
  <c r="L1798" i="3"/>
  <c r="J1798" i="3"/>
  <c r="K1798" i="3" s="1"/>
  <c r="L1797" i="3"/>
  <c r="J1797" i="3"/>
  <c r="K1797" i="3" s="1"/>
  <c r="L1796" i="3"/>
  <c r="J1796" i="3"/>
  <c r="K1796" i="3" s="1"/>
  <c r="L1795" i="3"/>
  <c r="J1795" i="3"/>
  <c r="K1795" i="3" s="1"/>
  <c r="J1794" i="3"/>
  <c r="L1793" i="3"/>
  <c r="J1793" i="3"/>
  <c r="K1793" i="3" s="1"/>
  <c r="L1792" i="3"/>
  <c r="J1792" i="3"/>
  <c r="K1792" i="3" s="1"/>
  <c r="L1791" i="3"/>
  <c r="J1791" i="3"/>
  <c r="K1791" i="3" s="1"/>
  <c r="L1790" i="3"/>
  <c r="J1790" i="3"/>
  <c r="K1790" i="3" s="1"/>
  <c r="L1789" i="3"/>
  <c r="J1789" i="3"/>
  <c r="K1789" i="3" s="1"/>
  <c r="L1788" i="3"/>
  <c r="J1788" i="3"/>
  <c r="K1788" i="3" s="1"/>
  <c r="L1787" i="3"/>
  <c r="J1787" i="3"/>
  <c r="K1787" i="3" s="1"/>
  <c r="L1786" i="3"/>
  <c r="J1786" i="3"/>
  <c r="K1786" i="3" s="1"/>
  <c r="L1785" i="3"/>
  <c r="J1785" i="3"/>
  <c r="K1785" i="3" s="1"/>
  <c r="L1784" i="3"/>
  <c r="J1784" i="3"/>
  <c r="K1784" i="3" s="1"/>
  <c r="L1783" i="3"/>
  <c r="J1783" i="3"/>
  <c r="K1783" i="3" s="1"/>
  <c r="L1782" i="3"/>
  <c r="J1782" i="3"/>
  <c r="K1782" i="3" s="1"/>
  <c r="J1781" i="3"/>
  <c r="L1780" i="3"/>
  <c r="J1780" i="3"/>
  <c r="K1780" i="3" s="1"/>
  <c r="L1779" i="3"/>
  <c r="J1779" i="3"/>
  <c r="K1779" i="3" s="1"/>
  <c r="L1778" i="3"/>
  <c r="J1778" i="3"/>
  <c r="K1778" i="3" s="1"/>
  <c r="L1777" i="3"/>
  <c r="J1777" i="3"/>
  <c r="K1777" i="3" s="1"/>
  <c r="L1776" i="3"/>
  <c r="J1776" i="3"/>
  <c r="K1776" i="3" s="1"/>
  <c r="L1775" i="3"/>
  <c r="J1775" i="3"/>
  <c r="K1775" i="3" s="1"/>
  <c r="L1774" i="3"/>
  <c r="J1774" i="3"/>
  <c r="K1774" i="3" s="1"/>
  <c r="L1773" i="3"/>
  <c r="J1773" i="3"/>
  <c r="K1773" i="3" s="1"/>
  <c r="L1772" i="3"/>
  <c r="J1772" i="3"/>
  <c r="K1772" i="3" s="1"/>
  <c r="L1771" i="3"/>
  <c r="J1771" i="3"/>
  <c r="K1771" i="3" s="1"/>
  <c r="L1770" i="3"/>
  <c r="J1770" i="3"/>
  <c r="K1770" i="3" s="1"/>
  <c r="L1769" i="3"/>
  <c r="J1769" i="3"/>
  <c r="K1769" i="3" s="1"/>
  <c r="L1768" i="3"/>
  <c r="J1768" i="3"/>
  <c r="K1768" i="3" s="1"/>
  <c r="L1767" i="3"/>
  <c r="J1767" i="3"/>
  <c r="K1767" i="3" s="1"/>
  <c r="L1766" i="3"/>
  <c r="J1766" i="3"/>
  <c r="K1766" i="3" s="1"/>
  <c r="L1765" i="3"/>
  <c r="J1765" i="3"/>
  <c r="K1765" i="3" s="1"/>
  <c r="L1764" i="3"/>
  <c r="J1764" i="3"/>
  <c r="K1764" i="3" s="1"/>
  <c r="L1763" i="3"/>
  <c r="J1763" i="3"/>
  <c r="K1763" i="3" s="1"/>
  <c r="L1762" i="3"/>
  <c r="J1762" i="3"/>
  <c r="K1762" i="3" s="1"/>
  <c r="L1761" i="3"/>
  <c r="J1761" i="3"/>
  <c r="K1761" i="3" s="1"/>
  <c r="L1760" i="3"/>
  <c r="J1760" i="3"/>
  <c r="K1760" i="3" s="1"/>
  <c r="L1759" i="3"/>
  <c r="J1759" i="3"/>
  <c r="K1759" i="3" s="1"/>
  <c r="L1758" i="3"/>
  <c r="J1758" i="3"/>
  <c r="K1758" i="3" s="1"/>
  <c r="L1757" i="3"/>
  <c r="J1757" i="3"/>
  <c r="K1757" i="3" s="1"/>
  <c r="L1756" i="3"/>
  <c r="J1756" i="3"/>
  <c r="K1756" i="3" s="1"/>
  <c r="L1755" i="3"/>
  <c r="J1755" i="3"/>
  <c r="K1755" i="3" s="1"/>
  <c r="L1754" i="3"/>
  <c r="J1754" i="3"/>
  <c r="K1754" i="3" s="1"/>
  <c r="L1753" i="3"/>
  <c r="J1753" i="3"/>
  <c r="K1753" i="3" s="1"/>
  <c r="L1752" i="3"/>
  <c r="J1752" i="3"/>
  <c r="K1752" i="3" s="1"/>
  <c r="L1751" i="3"/>
  <c r="J1751" i="3"/>
  <c r="K1751" i="3" s="1"/>
  <c r="L1750" i="3"/>
  <c r="J1750" i="3"/>
  <c r="K1750" i="3" s="1"/>
  <c r="L1749" i="3"/>
  <c r="J1749" i="3"/>
  <c r="K1749" i="3" s="1"/>
  <c r="L1748" i="3"/>
  <c r="J1748" i="3"/>
  <c r="K1748" i="3" s="1"/>
  <c r="L1747" i="3"/>
  <c r="J1747" i="3"/>
  <c r="K1747" i="3" s="1"/>
  <c r="L1746" i="3"/>
  <c r="J1746" i="3"/>
  <c r="K1746" i="3" s="1"/>
  <c r="L1745" i="3"/>
  <c r="J1745" i="3"/>
  <c r="K1745" i="3" s="1"/>
  <c r="L1744" i="3"/>
  <c r="J1744" i="3"/>
  <c r="K1744" i="3" s="1"/>
  <c r="L1743" i="3"/>
  <c r="J1743" i="3"/>
  <c r="K1743" i="3" s="1"/>
  <c r="L1742" i="3"/>
  <c r="J1742" i="3"/>
  <c r="K1742" i="3" s="1"/>
  <c r="L1741" i="3"/>
  <c r="J1741" i="3"/>
  <c r="K1741" i="3" s="1"/>
  <c r="L1740" i="3"/>
  <c r="J1740" i="3"/>
  <c r="K1740" i="3" s="1"/>
  <c r="L1739" i="3"/>
  <c r="J1739" i="3"/>
  <c r="K1739" i="3" s="1"/>
  <c r="L1738" i="3"/>
  <c r="J1738" i="3"/>
  <c r="K1738" i="3" s="1"/>
  <c r="L1737" i="3"/>
  <c r="J1737" i="3"/>
  <c r="K1737" i="3" s="1"/>
  <c r="L1736" i="3"/>
  <c r="J1736" i="3"/>
  <c r="K1736" i="3" s="1"/>
  <c r="L1735" i="3"/>
  <c r="J1735" i="3"/>
  <c r="K1735" i="3" s="1"/>
  <c r="L1734" i="3"/>
  <c r="J1734" i="3"/>
  <c r="K1734" i="3" s="1"/>
  <c r="L1733" i="3"/>
  <c r="J1733" i="3"/>
  <c r="K1733" i="3" s="1"/>
  <c r="L1732" i="3"/>
  <c r="J1732" i="3"/>
  <c r="K1732" i="3" s="1"/>
  <c r="J1731" i="3"/>
  <c r="L1730" i="3"/>
  <c r="J1730" i="3"/>
  <c r="K1730" i="3" s="1"/>
  <c r="L1729" i="3"/>
  <c r="J1729" i="3"/>
  <c r="K1729" i="3" s="1"/>
  <c r="L1728" i="3"/>
  <c r="J1728" i="3"/>
  <c r="K1728" i="3" s="1"/>
  <c r="L1727" i="3"/>
  <c r="J1727" i="3"/>
  <c r="K1727" i="3" s="1"/>
  <c r="L1726" i="3"/>
  <c r="J1726" i="3"/>
  <c r="K1726" i="3" s="1"/>
  <c r="L1725" i="3"/>
  <c r="J1725" i="3"/>
  <c r="K1725" i="3" s="1"/>
  <c r="L1724" i="3"/>
  <c r="J1724" i="3"/>
  <c r="K1724" i="3" s="1"/>
  <c r="L1723" i="3"/>
  <c r="J1723" i="3"/>
  <c r="K1723" i="3" s="1"/>
  <c r="L1722" i="3"/>
  <c r="J1722" i="3"/>
  <c r="K1722" i="3" s="1"/>
  <c r="L1721" i="3"/>
  <c r="J1721" i="3"/>
  <c r="K1721" i="3" s="1"/>
  <c r="L1720" i="3"/>
  <c r="J1720" i="3"/>
  <c r="K1720" i="3" s="1"/>
  <c r="L1719" i="3"/>
  <c r="J1719" i="3"/>
  <c r="K1719" i="3" s="1"/>
  <c r="L1718" i="3"/>
  <c r="J1718" i="3"/>
  <c r="K1718" i="3" s="1"/>
  <c r="L1717" i="3"/>
  <c r="J1717" i="3"/>
  <c r="K1717" i="3" s="1"/>
  <c r="L1716" i="3"/>
  <c r="J1716" i="3"/>
  <c r="K1716" i="3" s="1"/>
  <c r="J1715" i="3"/>
  <c r="L1714" i="3"/>
  <c r="J1714" i="3"/>
  <c r="K1714" i="3" s="1"/>
  <c r="L1713" i="3"/>
  <c r="J1713" i="3"/>
  <c r="K1713" i="3" s="1"/>
  <c r="J1712" i="3"/>
  <c r="L1711" i="3"/>
  <c r="J1711" i="3"/>
  <c r="K1711" i="3" s="1"/>
  <c r="L1710" i="3"/>
  <c r="J1710" i="3"/>
  <c r="K1710" i="3" s="1"/>
  <c r="J1709" i="3"/>
  <c r="L1708" i="3"/>
  <c r="J1708" i="3"/>
  <c r="K1708" i="3" s="1"/>
  <c r="L1707" i="3"/>
  <c r="J1707" i="3"/>
  <c r="K1707" i="3" s="1"/>
  <c r="L1706" i="3"/>
  <c r="J1706" i="3"/>
  <c r="K1706" i="3" s="1"/>
  <c r="L1705" i="3"/>
  <c r="J1705" i="3"/>
  <c r="K1705" i="3" s="1"/>
  <c r="L1704" i="3"/>
  <c r="J1704" i="3"/>
  <c r="K1704" i="3" s="1"/>
  <c r="L1703" i="3"/>
  <c r="J1703" i="3"/>
  <c r="K1703" i="3" s="1"/>
  <c r="L1702" i="3"/>
  <c r="J1702" i="3"/>
  <c r="K1702" i="3" s="1"/>
  <c r="L1701" i="3"/>
  <c r="J1701" i="3"/>
  <c r="K1701" i="3" s="1"/>
  <c r="J1700" i="3"/>
  <c r="L1699" i="3"/>
  <c r="J1699" i="3"/>
  <c r="K1699" i="3" s="1"/>
  <c r="L1698" i="3"/>
  <c r="J1698" i="3"/>
  <c r="K1698" i="3" s="1"/>
  <c r="L1697" i="3"/>
  <c r="J1697" i="3"/>
  <c r="K1697" i="3" s="1"/>
  <c r="J1696" i="3"/>
  <c r="L1695" i="3"/>
  <c r="J1695" i="3"/>
  <c r="K1695" i="3" s="1"/>
  <c r="L1694" i="3"/>
  <c r="J1694" i="3"/>
  <c r="K1694" i="3" s="1"/>
  <c r="L1693" i="3"/>
  <c r="J1693" i="3"/>
  <c r="K1693" i="3" s="1"/>
  <c r="L1692" i="3"/>
  <c r="J1692" i="3"/>
  <c r="K1692" i="3" s="1"/>
  <c r="L1691" i="3"/>
  <c r="J1691" i="3"/>
  <c r="K1691" i="3" s="1"/>
  <c r="L1690" i="3"/>
  <c r="J1690" i="3"/>
  <c r="K1690" i="3" s="1"/>
  <c r="L1689" i="3"/>
  <c r="J1689" i="3"/>
  <c r="K1689" i="3" s="1"/>
  <c r="L1688" i="3"/>
  <c r="J1688" i="3"/>
  <c r="K1688" i="3" s="1"/>
  <c r="J1687" i="3"/>
  <c r="L1686" i="3"/>
  <c r="J1686" i="3"/>
  <c r="K1686" i="3" s="1"/>
  <c r="L1685" i="3"/>
  <c r="J1685" i="3"/>
  <c r="K1685" i="3" s="1"/>
  <c r="L1684" i="3"/>
  <c r="J1684" i="3"/>
  <c r="K1684" i="3" s="1"/>
  <c r="L1683" i="3"/>
  <c r="J1683" i="3"/>
  <c r="K1683" i="3" s="1"/>
  <c r="L1682" i="3"/>
  <c r="J1682" i="3"/>
  <c r="K1682" i="3" s="1"/>
  <c r="L1681" i="3"/>
  <c r="J1681" i="3"/>
  <c r="K1681" i="3" s="1"/>
  <c r="J1680" i="3"/>
  <c r="L1679" i="3"/>
  <c r="J1679" i="3"/>
  <c r="K1679" i="3" s="1"/>
  <c r="L1678" i="3"/>
  <c r="J1678" i="3"/>
  <c r="K1678" i="3" s="1"/>
  <c r="L1677" i="3"/>
  <c r="J1677" i="3"/>
  <c r="K1677" i="3" s="1"/>
  <c r="L1676" i="3"/>
  <c r="J1676" i="3"/>
  <c r="K1676" i="3" s="1"/>
  <c r="J1675" i="3"/>
  <c r="L1674" i="3"/>
  <c r="J1674" i="3"/>
  <c r="K1674" i="3" s="1"/>
  <c r="J1673" i="3"/>
  <c r="L1672" i="3"/>
  <c r="J1672" i="3"/>
  <c r="K1672" i="3" s="1"/>
  <c r="L1671" i="3"/>
  <c r="J1671" i="3"/>
  <c r="K1671" i="3" s="1"/>
  <c r="L1670" i="3"/>
  <c r="J1670" i="3"/>
  <c r="K1670" i="3" s="1"/>
  <c r="L1669" i="3"/>
  <c r="J1669" i="3"/>
  <c r="K1669" i="3" s="1"/>
  <c r="L1668" i="3"/>
  <c r="J1668" i="3"/>
  <c r="K1668" i="3" s="1"/>
  <c r="L1667" i="3"/>
  <c r="J1667" i="3"/>
  <c r="K1667" i="3" s="1"/>
  <c r="L1666" i="3"/>
  <c r="J1666" i="3"/>
  <c r="K1666" i="3" s="1"/>
  <c r="J1665" i="3"/>
  <c r="L1664" i="3"/>
  <c r="J1664" i="3"/>
  <c r="K1664" i="3" s="1"/>
  <c r="L1663" i="3"/>
  <c r="J1663" i="3"/>
  <c r="K1663" i="3" s="1"/>
  <c r="L1662" i="3"/>
  <c r="J1662" i="3"/>
  <c r="K1662" i="3" s="1"/>
  <c r="J1661" i="3"/>
  <c r="J1660" i="3"/>
  <c r="L1659" i="3"/>
  <c r="J1659" i="3"/>
  <c r="K1659" i="3" s="1"/>
  <c r="L1658" i="3"/>
  <c r="J1658" i="3"/>
  <c r="K1658" i="3" s="1"/>
  <c r="J1657" i="3"/>
  <c r="L1656" i="3"/>
  <c r="J1656" i="3"/>
  <c r="K1656" i="3" s="1"/>
  <c r="L1655" i="3"/>
  <c r="J1655" i="3"/>
  <c r="K1655" i="3" s="1"/>
  <c r="J1654" i="3"/>
  <c r="J1653" i="3"/>
  <c r="J1652" i="3"/>
  <c r="J1651" i="3"/>
  <c r="L1650" i="3"/>
  <c r="J1650" i="3"/>
  <c r="K1650" i="3" s="1"/>
  <c r="J1649" i="3"/>
  <c r="J1648" i="3"/>
  <c r="L1647" i="3"/>
  <c r="J1647" i="3"/>
  <c r="K1647" i="3" s="1"/>
  <c r="L1646" i="3"/>
  <c r="J1646" i="3"/>
  <c r="K1646" i="3" s="1"/>
  <c r="J1645" i="3"/>
  <c r="J1644" i="3"/>
  <c r="J1643" i="3"/>
  <c r="J1642" i="3"/>
  <c r="J1641" i="3"/>
  <c r="L1640" i="3"/>
  <c r="J1640" i="3"/>
  <c r="K1640" i="3" s="1"/>
  <c r="L1639" i="3"/>
  <c r="J1639" i="3"/>
  <c r="K1639" i="3" s="1"/>
  <c r="J1638" i="3"/>
  <c r="L1637" i="3"/>
  <c r="J1637" i="3"/>
  <c r="K1637" i="3" s="1"/>
  <c r="J1636" i="3"/>
  <c r="J1635" i="3"/>
  <c r="J1634" i="3"/>
  <c r="L1633" i="3"/>
  <c r="J1633" i="3"/>
  <c r="K1633" i="3" s="1"/>
  <c r="L1632" i="3"/>
  <c r="J1632" i="3"/>
  <c r="K1632" i="3" s="1"/>
  <c r="J1631" i="3"/>
  <c r="J1630" i="3"/>
  <c r="J1629" i="3"/>
  <c r="J1628" i="3"/>
  <c r="J1627" i="3"/>
  <c r="J1626" i="3"/>
  <c r="J1625" i="3"/>
  <c r="L1624" i="3"/>
  <c r="J1624" i="3"/>
  <c r="K1624" i="3" s="1"/>
  <c r="J1623" i="3"/>
  <c r="L1622" i="3"/>
  <c r="J1622" i="3"/>
  <c r="K1622" i="3" s="1"/>
  <c r="J1621" i="3"/>
  <c r="J1620" i="3"/>
  <c r="L1619" i="3"/>
  <c r="J1619" i="3"/>
  <c r="K1619" i="3" s="1"/>
  <c r="L1618" i="3"/>
  <c r="J1618" i="3"/>
  <c r="K1618" i="3" s="1"/>
  <c r="J1617" i="3"/>
  <c r="J1616" i="3"/>
  <c r="J1615" i="3"/>
  <c r="L1614" i="3"/>
  <c r="J1614" i="3"/>
  <c r="K1614" i="3" s="1"/>
  <c r="J1613" i="3"/>
  <c r="L1612" i="3"/>
  <c r="J1612" i="3"/>
  <c r="K1612" i="3" s="1"/>
  <c r="J1611" i="3"/>
  <c r="L1610" i="3"/>
  <c r="J1610" i="3"/>
  <c r="K1610" i="3" s="1"/>
  <c r="L1609" i="3"/>
  <c r="J1609" i="3"/>
  <c r="K1609" i="3" s="1"/>
  <c r="J1608" i="3"/>
  <c r="J1607" i="3"/>
  <c r="J1606" i="3"/>
  <c r="J1605" i="3"/>
  <c r="L1604" i="3"/>
  <c r="J1604" i="3"/>
  <c r="K1604" i="3" s="1"/>
  <c r="J1603" i="3"/>
  <c r="L1602" i="3"/>
  <c r="J1602" i="3"/>
  <c r="K1602" i="3" s="1"/>
  <c r="L1601" i="3"/>
  <c r="J1601" i="3"/>
  <c r="K1601" i="3" s="1"/>
  <c r="L1600" i="3"/>
  <c r="J1600" i="3"/>
  <c r="K1600" i="3" s="1"/>
  <c r="L1599" i="3"/>
  <c r="J1599" i="3"/>
  <c r="K1599" i="3" s="1"/>
  <c r="L1598" i="3"/>
  <c r="J1598" i="3"/>
  <c r="K1598" i="3" s="1"/>
  <c r="J1597" i="3"/>
  <c r="J1596" i="3"/>
  <c r="L1595" i="3"/>
  <c r="J1595" i="3"/>
  <c r="K1595" i="3" s="1"/>
  <c r="L1594" i="3"/>
  <c r="J1594" i="3"/>
  <c r="K1594" i="3" s="1"/>
  <c r="L1593" i="3"/>
  <c r="J1593" i="3"/>
  <c r="K1593" i="3" s="1"/>
  <c r="L1592" i="3"/>
  <c r="J1592" i="3"/>
  <c r="K1592" i="3" s="1"/>
  <c r="J1591" i="3"/>
  <c r="L1590" i="3"/>
  <c r="J1590" i="3"/>
  <c r="K1590" i="3" s="1"/>
  <c r="J1589" i="3"/>
  <c r="J1588" i="3"/>
  <c r="J1587" i="3"/>
  <c r="J1586" i="3"/>
  <c r="J1585" i="3"/>
  <c r="L1584" i="3"/>
  <c r="J1584" i="3"/>
  <c r="K1584" i="3" s="1"/>
  <c r="J1583" i="3"/>
  <c r="L1582" i="3"/>
  <c r="J1582" i="3"/>
  <c r="K1582" i="3" s="1"/>
  <c r="J1581" i="3"/>
  <c r="L1580" i="3"/>
  <c r="J1580" i="3"/>
  <c r="K1580" i="3" s="1"/>
  <c r="J1579" i="3"/>
  <c r="J1578" i="3"/>
  <c r="J1577" i="3"/>
  <c r="J1576" i="3"/>
  <c r="L1575" i="3"/>
  <c r="J1575" i="3"/>
  <c r="K1575" i="3" s="1"/>
  <c r="J1574" i="3"/>
  <c r="J1573" i="3"/>
  <c r="J1572" i="3"/>
  <c r="L1571" i="3"/>
  <c r="J1571" i="3"/>
  <c r="K1571" i="3" s="1"/>
  <c r="J1570" i="3"/>
  <c r="J1569" i="3"/>
  <c r="L1568" i="3"/>
  <c r="J1568" i="3"/>
  <c r="K1568" i="3" s="1"/>
  <c r="J1567" i="3"/>
  <c r="J1566" i="3"/>
  <c r="J1565" i="3"/>
  <c r="L1564" i="3"/>
  <c r="J1564" i="3"/>
  <c r="K1564" i="3" s="1"/>
  <c r="L1563" i="3"/>
  <c r="J1563" i="3"/>
  <c r="K1563" i="3" s="1"/>
  <c r="J1562" i="3"/>
  <c r="L1561" i="3"/>
  <c r="J1561" i="3"/>
  <c r="K1561" i="3" s="1"/>
  <c r="J1560" i="3"/>
  <c r="J1559" i="3"/>
  <c r="L1558" i="3"/>
  <c r="J1558" i="3"/>
  <c r="K1558" i="3" s="1"/>
  <c r="J1557" i="3"/>
  <c r="J1556" i="3"/>
  <c r="J1555" i="3"/>
  <c r="J1554" i="3"/>
  <c r="J1553" i="3"/>
  <c r="L1552" i="3"/>
  <c r="J1552" i="3"/>
  <c r="K1552" i="3" s="1"/>
  <c r="J1551" i="3"/>
  <c r="L1550" i="3"/>
  <c r="J1550" i="3"/>
  <c r="K1550" i="3" s="1"/>
  <c r="J1549" i="3"/>
  <c r="J1548" i="3"/>
  <c r="L1547" i="3"/>
  <c r="J1547" i="3"/>
  <c r="K1547" i="3" s="1"/>
  <c r="J1546" i="3"/>
  <c r="L1545" i="3"/>
  <c r="J1545" i="3"/>
  <c r="K1545" i="3" s="1"/>
  <c r="L1544" i="3"/>
  <c r="J1544" i="3"/>
  <c r="K1544" i="3" s="1"/>
  <c r="J1543" i="3"/>
  <c r="J1542" i="3"/>
  <c r="J1541" i="3"/>
  <c r="J1540" i="3"/>
  <c r="J1539" i="3"/>
  <c r="L1538" i="3"/>
  <c r="J1538" i="3"/>
  <c r="K1538" i="3" s="1"/>
  <c r="L1537" i="3"/>
  <c r="J1537" i="3"/>
  <c r="K1537" i="3" s="1"/>
  <c r="J1536" i="3"/>
  <c r="L1535" i="3"/>
  <c r="J1535" i="3"/>
  <c r="K1535" i="3" s="1"/>
  <c r="J1534" i="3"/>
  <c r="J1533" i="3"/>
  <c r="L1532" i="3"/>
  <c r="J1532" i="3"/>
  <c r="K1532" i="3" s="1"/>
  <c r="L1531" i="3"/>
  <c r="J1531" i="3"/>
  <c r="K1531" i="3" s="1"/>
  <c r="J1530" i="3"/>
  <c r="J1529" i="3"/>
  <c r="L1528" i="3"/>
  <c r="J1528" i="3"/>
  <c r="K1528" i="3" s="1"/>
  <c r="J1527" i="3"/>
  <c r="J1526" i="3"/>
  <c r="L1525" i="3"/>
  <c r="J1525" i="3"/>
  <c r="K1525" i="3" s="1"/>
  <c r="J1524" i="3"/>
  <c r="J1523" i="3"/>
  <c r="J1522" i="3"/>
  <c r="J1521" i="3"/>
  <c r="J1520" i="3"/>
  <c r="J1519" i="3"/>
  <c r="J1518" i="3"/>
  <c r="J1517" i="3"/>
  <c r="J1516" i="3"/>
  <c r="J1515" i="3"/>
  <c r="L1514" i="3"/>
  <c r="J1514" i="3"/>
  <c r="K1514" i="3" s="1"/>
  <c r="J1513" i="3"/>
  <c r="J1512" i="3"/>
  <c r="K1511" i="3"/>
  <c r="J1511" i="3"/>
  <c r="L1511" i="3" s="1"/>
  <c r="L1510" i="3"/>
  <c r="J1510" i="3"/>
  <c r="K1510" i="3" s="1"/>
  <c r="J1509" i="3"/>
  <c r="L1508" i="3"/>
  <c r="J1508" i="3"/>
  <c r="K1508" i="3" s="1"/>
  <c r="J1507" i="3"/>
  <c r="J1506" i="3"/>
  <c r="L1505" i="3"/>
  <c r="J1505" i="3"/>
  <c r="K1505" i="3" s="1"/>
  <c r="J1504" i="3"/>
  <c r="L1503" i="3"/>
  <c r="J1503" i="3"/>
  <c r="K1503" i="3" s="1"/>
  <c r="L1502" i="3"/>
  <c r="J1502" i="3"/>
  <c r="K1502" i="3" s="1"/>
  <c r="L1501" i="3"/>
  <c r="J1501" i="3"/>
  <c r="K1501" i="3" s="1"/>
  <c r="L1500" i="3"/>
  <c r="J1500" i="3"/>
  <c r="K1500" i="3" s="1"/>
  <c r="J1499" i="3"/>
  <c r="J1498" i="3"/>
  <c r="J1497" i="3"/>
  <c r="L1496" i="3"/>
  <c r="J1496" i="3"/>
  <c r="K1496" i="3" s="1"/>
  <c r="L1495" i="3"/>
  <c r="J1495" i="3"/>
  <c r="K1495" i="3" s="1"/>
  <c r="J1494" i="3"/>
  <c r="L1493" i="3"/>
  <c r="J1493" i="3"/>
  <c r="K1493" i="3" s="1"/>
  <c r="J1492" i="3"/>
  <c r="J1491" i="3"/>
  <c r="J1490" i="3"/>
  <c r="J1489" i="3"/>
  <c r="J1488" i="3"/>
  <c r="L1487" i="3"/>
  <c r="J1487" i="3"/>
  <c r="K1487" i="3" s="1"/>
  <c r="J1486" i="3"/>
  <c r="J1485" i="3"/>
  <c r="J1484" i="3"/>
  <c r="L1483" i="3"/>
  <c r="J1483" i="3"/>
  <c r="K1483" i="3" s="1"/>
  <c r="J1482" i="3"/>
  <c r="L1470" i="3"/>
  <c r="L1469" i="3"/>
  <c r="L1468" i="3"/>
  <c r="L1466" i="3"/>
  <c r="L1465" i="3"/>
  <c r="L1464" i="3"/>
  <c r="L1463" i="3"/>
  <c r="L1462" i="3"/>
  <c r="L1461" i="3"/>
  <c r="L1458" i="3"/>
  <c r="L1457" i="3"/>
  <c r="L1456" i="3"/>
  <c r="L1455" i="3"/>
  <c r="L1454" i="3"/>
  <c r="L1453" i="3"/>
  <c r="L1451" i="3"/>
  <c r="L1450" i="3"/>
  <c r="L1449" i="3"/>
  <c r="L1448" i="3"/>
  <c r="L1447" i="3"/>
  <c r="L1446" i="3"/>
  <c r="L1445" i="3"/>
  <c r="L1444" i="3"/>
  <c r="L1443" i="3"/>
  <c r="L1441" i="3"/>
  <c r="L1440" i="3"/>
  <c r="L1439" i="3"/>
  <c r="L1438" i="3"/>
  <c r="L1436" i="3"/>
  <c r="L1435" i="3"/>
  <c r="L1434" i="3"/>
  <c r="L1433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6" i="3"/>
  <c r="L1415" i="3"/>
  <c r="L1414" i="3"/>
  <c r="L1413" i="3"/>
  <c r="L1411" i="3"/>
  <c r="L1408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6" i="3"/>
  <c r="L1385" i="3"/>
  <c r="L1384" i="3"/>
  <c r="L1383" i="3"/>
  <c r="L1382" i="3"/>
  <c r="L1381" i="3"/>
  <c r="L1380" i="3"/>
  <c r="L1379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1" i="3"/>
  <c r="L1250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4" i="3"/>
  <c r="L1223" i="3"/>
  <c r="L1222" i="3"/>
  <c r="L1221" i="3"/>
  <c r="L1220" i="3"/>
  <c r="L1218" i="3"/>
  <c r="L1216" i="3"/>
  <c r="L1215" i="3"/>
  <c r="L1213" i="3"/>
  <c r="L1212" i="3"/>
  <c r="L1211" i="3"/>
  <c r="L1210" i="3"/>
  <c r="L1209" i="3"/>
  <c r="L1208" i="3"/>
  <c r="L1207" i="3"/>
  <c r="L1206" i="3"/>
  <c r="L1205" i="3"/>
  <c r="L1204" i="3"/>
  <c r="L1203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7" i="3"/>
  <c r="L1136" i="3"/>
  <c r="L1135" i="3"/>
  <c r="L1134" i="3"/>
  <c r="L1133" i="3"/>
  <c r="L1132" i="3"/>
  <c r="L1131" i="3"/>
  <c r="L1128" i="3"/>
  <c r="L1127" i="3"/>
  <c r="L1126" i="3"/>
  <c r="L1125" i="3"/>
  <c r="L1124" i="3"/>
  <c r="L1123" i="3"/>
  <c r="L1122" i="3"/>
  <c r="L1121" i="3"/>
  <c r="L1120" i="3"/>
  <c r="L1117" i="3"/>
  <c r="L1116" i="3"/>
  <c r="L1115" i="3"/>
  <c r="L1114" i="3"/>
  <c r="L1112" i="3"/>
  <c r="L1111" i="3"/>
  <c r="L1110" i="3"/>
  <c r="L1108" i="3"/>
  <c r="L1107" i="3"/>
  <c r="L1105" i="3"/>
  <c r="L1104" i="3"/>
  <c r="L1103" i="3"/>
  <c r="L1102" i="3"/>
  <c r="L1101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6" i="3"/>
  <c r="L1045" i="3"/>
  <c r="L1043" i="3"/>
  <c r="L1042" i="3"/>
  <c r="L1041" i="3"/>
  <c r="L1040" i="3"/>
  <c r="L1039" i="3"/>
  <c r="L1038" i="3"/>
  <c r="L1037" i="3"/>
  <c r="L1036" i="3"/>
  <c r="L1035" i="3"/>
  <c r="L1033" i="3"/>
  <c r="L1032" i="3"/>
  <c r="L1031" i="3"/>
  <c r="L1030" i="3"/>
  <c r="L1029" i="3"/>
  <c r="L1028" i="3"/>
  <c r="L1027" i="3"/>
  <c r="L1026" i="3"/>
  <c r="L1025" i="3"/>
  <c r="L1024" i="3"/>
  <c r="L1023" i="3"/>
  <c r="L1021" i="3"/>
  <c r="L1020" i="3"/>
  <c r="L1019" i="3"/>
  <c r="L1018" i="3"/>
  <c r="L1017" i="3"/>
  <c r="L1016" i="3"/>
  <c r="L1015" i="3"/>
  <c r="L1014" i="3"/>
  <c r="L1013" i="3"/>
  <c r="L1012" i="3"/>
  <c r="L1011" i="3"/>
  <c r="L1010" i="3"/>
  <c r="L1009" i="3"/>
  <c r="L1008" i="3"/>
  <c r="L1007" i="3"/>
  <c r="L1006" i="3"/>
  <c r="L1005" i="3"/>
  <c r="L1004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6" i="3"/>
  <c r="L905" i="3"/>
  <c r="L903" i="3"/>
  <c r="L901" i="3"/>
  <c r="L900" i="3"/>
  <c r="L898" i="3"/>
  <c r="L895" i="3"/>
  <c r="L894" i="3"/>
  <c r="L892" i="3"/>
  <c r="L891" i="3"/>
  <c r="L890" i="3"/>
  <c r="L889" i="3"/>
  <c r="L888" i="3"/>
  <c r="L887" i="3"/>
  <c r="L886" i="3"/>
  <c r="L885" i="3"/>
  <c r="L882" i="3"/>
  <c r="L881" i="3"/>
  <c r="L879" i="3"/>
  <c r="L878" i="3"/>
  <c r="L877" i="3"/>
  <c r="L876" i="3"/>
  <c r="L875" i="3"/>
  <c r="L874" i="3"/>
  <c r="L873" i="3"/>
  <c r="L872" i="3"/>
  <c r="L871" i="3"/>
  <c r="L870" i="3"/>
  <c r="L868" i="3"/>
  <c r="L865" i="3"/>
  <c r="L862" i="3"/>
  <c r="L861" i="3"/>
  <c r="L860" i="3"/>
  <c r="L859" i="3"/>
  <c r="L858" i="3"/>
  <c r="L857" i="3"/>
  <c r="L856" i="3"/>
  <c r="L855" i="3"/>
  <c r="L854" i="3"/>
  <c r="L853" i="3"/>
  <c r="L852" i="3"/>
  <c r="L851" i="3"/>
  <c r="L850" i="3"/>
  <c r="L849" i="3"/>
  <c r="L848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2" i="3"/>
  <c r="L791" i="3"/>
  <c r="L790" i="3"/>
  <c r="L789" i="3"/>
  <c r="L787" i="3"/>
  <c r="L786" i="3"/>
  <c r="L785" i="3"/>
  <c r="L784" i="3"/>
  <c r="L783" i="3"/>
  <c r="L782" i="3"/>
  <c r="L779" i="3"/>
  <c r="L777" i="3"/>
  <c r="L776" i="3"/>
  <c r="L775" i="3"/>
  <c r="L774" i="3"/>
  <c r="L772" i="3"/>
  <c r="L770" i="3"/>
  <c r="L768" i="3"/>
  <c r="L767" i="3"/>
  <c r="L764" i="3"/>
  <c r="L763" i="3"/>
  <c r="L762" i="3"/>
  <c r="L761" i="3"/>
  <c r="L760" i="3"/>
  <c r="L759" i="3"/>
  <c r="L758" i="3"/>
  <c r="L757" i="3"/>
  <c r="L756" i="3"/>
  <c r="L755" i="3"/>
  <c r="L754" i="3"/>
  <c r="L752" i="3"/>
  <c r="L750" i="3"/>
  <c r="L749" i="3"/>
  <c r="L748" i="3"/>
  <c r="L747" i="3"/>
  <c r="L746" i="3"/>
  <c r="L745" i="3"/>
  <c r="L744" i="3"/>
  <c r="L743" i="3"/>
  <c r="L741" i="3"/>
  <c r="L740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5" i="3"/>
  <c r="L684" i="3"/>
  <c r="L683" i="3"/>
  <c r="L682" i="3"/>
  <c r="L681" i="3"/>
  <c r="L679" i="3"/>
  <c r="L678" i="3"/>
  <c r="L677" i="3"/>
  <c r="L676" i="3"/>
  <c r="L669" i="3"/>
  <c r="L668" i="3"/>
  <c r="L667" i="3"/>
  <c r="L665" i="3"/>
  <c r="L664" i="3"/>
  <c r="L663" i="3"/>
  <c r="L662" i="3"/>
  <c r="L661" i="3"/>
  <c r="L660" i="3"/>
  <c r="L659" i="3"/>
  <c r="L657" i="3"/>
  <c r="L656" i="3"/>
  <c r="L655" i="3"/>
  <c r="L654" i="3"/>
  <c r="L653" i="3"/>
  <c r="L652" i="3"/>
  <c r="L650" i="3"/>
  <c r="L649" i="3"/>
  <c r="L648" i="3"/>
  <c r="L647" i="3"/>
  <c r="L646" i="3"/>
  <c r="L645" i="3"/>
  <c r="L644" i="3"/>
  <c r="L643" i="3"/>
  <c r="L641" i="3"/>
  <c r="L640" i="3"/>
  <c r="L639" i="3"/>
  <c r="L638" i="3"/>
  <c r="L637" i="3"/>
  <c r="L636" i="3"/>
  <c r="L635" i="3"/>
  <c r="L634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5" i="3"/>
  <c r="L593" i="3"/>
  <c r="L592" i="3"/>
  <c r="L591" i="3"/>
  <c r="L590" i="3"/>
  <c r="L589" i="3"/>
  <c r="L588" i="3"/>
  <c r="L586" i="3"/>
  <c r="L585" i="3"/>
  <c r="L584" i="3"/>
  <c r="L583" i="3"/>
  <c r="L582" i="3"/>
  <c r="L581" i="3"/>
  <c r="L580" i="3"/>
  <c r="L578" i="3"/>
  <c r="L574" i="3"/>
  <c r="L573" i="3"/>
  <c r="L572" i="3"/>
  <c r="L570" i="3"/>
  <c r="L567" i="3"/>
  <c r="L564" i="3"/>
  <c r="L562" i="3"/>
  <c r="L561" i="3"/>
  <c r="L560" i="3"/>
  <c r="L559" i="3"/>
  <c r="L558" i="3"/>
  <c r="L557" i="3"/>
  <c r="L555" i="3"/>
  <c r="L554" i="3"/>
  <c r="L553" i="3"/>
  <c r="L551" i="3"/>
  <c r="L550" i="3"/>
  <c r="L549" i="3"/>
  <c r="L548" i="3"/>
  <c r="L546" i="3"/>
  <c r="L545" i="3"/>
  <c r="L543" i="3"/>
  <c r="L541" i="3"/>
  <c r="L540" i="3"/>
  <c r="L538" i="3"/>
  <c r="L535" i="3"/>
  <c r="L534" i="3"/>
  <c r="L533" i="3"/>
  <c r="L532" i="3"/>
  <c r="L530" i="3"/>
  <c r="L528" i="3"/>
  <c r="L527" i="3"/>
  <c r="L525" i="3"/>
  <c r="L523" i="3"/>
  <c r="L522" i="3"/>
  <c r="L520" i="3"/>
  <c r="L519" i="3"/>
  <c r="L518" i="3"/>
  <c r="L517" i="3"/>
  <c r="L515" i="3"/>
  <c r="L514" i="3"/>
  <c r="L512" i="3"/>
  <c r="L510" i="3"/>
  <c r="L508" i="3"/>
  <c r="L506" i="3"/>
  <c r="L504" i="3"/>
  <c r="L503" i="3"/>
  <c r="L502" i="3"/>
  <c r="L501" i="3"/>
  <c r="L500" i="3"/>
  <c r="L499" i="3"/>
  <c r="L498" i="3"/>
  <c r="L496" i="3"/>
  <c r="L494" i="3"/>
  <c r="L493" i="3"/>
  <c r="L491" i="3"/>
  <c r="L490" i="3"/>
  <c r="L488" i="3"/>
  <c r="L487" i="3"/>
  <c r="L486" i="3"/>
  <c r="L485" i="3"/>
  <c r="L484" i="3"/>
  <c r="L482" i="3"/>
  <c r="L480" i="3"/>
  <c r="L478" i="3"/>
  <c r="L477" i="3"/>
  <c r="L476" i="3"/>
  <c r="L474" i="3"/>
  <c r="L473" i="3"/>
  <c r="L470" i="3"/>
  <c r="L468" i="3"/>
  <c r="L467" i="3"/>
  <c r="L466" i="3"/>
  <c r="L465" i="3"/>
  <c r="L464" i="3"/>
  <c r="L463" i="3"/>
  <c r="L462" i="3"/>
  <c r="L461" i="3"/>
  <c r="L460" i="3"/>
  <c r="L459" i="3"/>
  <c r="L457" i="3"/>
  <c r="L456" i="3"/>
  <c r="L454" i="3"/>
  <c r="L453" i="3"/>
  <c r="L452" i="3"/>
  <c r="L451" i="3"/>
  <c r="L448" i="3"/>
  <c r="L447" i="3"/>
  <c r="L446" i="3"/>
  <c r="L444" i="3"/>
  <c r="L443" i="3"/>
  <c r="L442" i="3"/>
  <c r="L441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5" i="3"/>
  <c r="L344" i="3"/>
  <c r="L343" i="3"/>
  <c r="L342" i="3"/>
  <c r="L341" i="3"/>
  <c r="L340" i="3"/>
  <c r="L339" i="3"/>
  <c r="L338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19" i="3"/>
  <c r="L318" i="3"/>
  <c r="L317" i="3"/>
  <c r="L316" i="3"/>
  <c r="L315" i="3"/>
  <c r="L314" i="3"/>
  <c r="L311" i="3"/>
  <c r="L310" i="3"/>
  <c r="L309" i="3"/>
  <c r="L308" i="3"/>
  <c r="L307" i="3"/>
  <c r="L306" i="3"/>
  <c r="L305" i="3"/>
  <c r="L304" i="3"/>
  <c r="L303" i="3"/>
  <c r="L301" i="3"/>
  <c r="L300" i="3"/>
  <c r="L299" i="3"/>
  <c r="L298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3" i="3"/>
  <c r="L281" i="3"/>
  <c r="L280" i="3"/>
  <c r="L278" i="3"/>
  <c r="L277" i="3"/>
  <c r="L276" i="3"/>
  <c r="L275" i="3"/>
  <c r="L274" i="3"/>
  <c r="L273" i="3"/>
  <c r="L272" i="3"/>
  <c r="L271" i="3"/>
  <c r="L270" i="3"/>
  <c r="L268" i="3"/>
  <c r="L267" i="3"/>
  <c r="L266" i="3"/>
  <c r="L265" i="3"/>
  <c r="L264" i="3"/>
  <c r="L263" i="3"/>
  <c r="L262" i="3"/>
  <c r="L261" i="3"/>
  <c r="L260" i="3"/>
  <c r="L259" i="3"/>
  <c r="L258" i="3"/>
  <c r="L256" i="3"/>
  <c r="L255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0" i="3"/>
  <c r="L239" i="3"/>
  <c r="L236" i="3"/>
  <c r="L235" i="3"/>
  <c r="L233" i="3"/>
  <c r="L231" i="3"/>
  <c r="L230" i="3"/>
  <c r="L229" i="3"/>
  <c r="L227" i="3"/>
  <c r="L226" i="3"/>
  <c r="L225" i="3"/>
  <c r="L224" i="3"/>
  <c r="L223" i="3"/>
  <c r="L221" i="3"/>
  <c r="L220" i="3"/>
  <c r="L219" i="3"/>
  <c r="L218" i="3"/>
  <c r="L213" i="3"/>
  <c r="L212" i="3"/>
  <c r="L209" i="3"/>
  <c r="L208" i="3"/>
  <c r="L207" i="3"/>
  <c r="L206" i="3"/>
  <c r="L205" i="3"/>
  <c r="L204" i="3"/>
  <c r="L203" i="3"/>
  <c r="L202" i="3"/>
  <c r="L200" i="3"/>
  <c r="L199" i="3"/>
  <c r="L197" i="3"/>
  <c r="L196" i="3"/>
  <c r="L195" i="3"/>
  <c r="L194" i="3"/>
  <c r="L193" i="3"/>
  <c r="L191" i="3"/>
  <c r="L189" i="3"/>
  <c r="L188" i="3"/>
  <c r="L186" i="3"/>
  <c r="L185" i="3"/>
  <c r="L184" i="3"/>
  <c r="L183" i="3"/>
  <c r="L182" i="3"/>
  <c r="L181" i="3"/>
  <c r="L179" i="3"/>
  <c r="L178" i="3"/>
  <c r="L176" i="3"/>
  <c r="L175" i="3"/>
  <c r="L174" i="3"/>
  <c r="L173" i="3"/>
  <c r="L172" i="3"/>
  <c r="L170" i="3"/>
  <c r="L169" i="3"/>
  <c r="L168" i="3"/>
  <c r="L167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6" i="3"/>
  <c r="L135" i="3"/>
  <c r="L133" i="3"/>
  <c r="L132" i="3"/>
  <c r="L131" i="3"/>
  <c r="L130" i="3"/>
  <c r="L129" i="3"/>
  <c r="L128" i="3"/>
  <c r="L127" i="3"/>
  <c r="L126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D5" i="3"/>
  <c r="D17" i="1" s="1"/>
  <c r="D20" i="1" s="1"/>
  <c r="C5" i="3"/>
  <c r="D18" i="1" s="1"/>
  <c r="A5" i="3"/>
  <c r="U7507" i="2"/>
  <c r="S7507" i="2"/>
  <c r="T7507" i="2" s="1"/>
  <c r="U7506" i="2"/>
  <c r="S7506" i="2"/>
  <c r="T7506" i="2" s="1"/>
  <c r="U7505" i="2"/>
  <c r="S7505" i="2"/>
  <c r="T7505" i="2" s="1"/>
  <c r="U7504" i="2"/>
  <c r="S7504" i="2"/>
  <c r="T7504" i="2" s="1"/>
  <c r="U7503" i="2"/>
  <c r="S7503" i="2"/>
  <c r="T7503" i="2" s="1"/>
  <c r="U7502" i="2"/>
  <c r="S7502" i="2"/>
  <c r="T7502" i="2" s="1"/>
  <c r="U7501" i="2"/>
  <c r="S7501" i="2"/>
  <c r="T7501" i="2" s="1"/>
  <c r="U7500" i="2"/>
  <c r="S7500" i="2"/>
  <c r="T7500" i="2" s="1"/>
  <c r="U7499" i="2"/>
  <c r="S7499" i="2"/>
  <c r="T7499" i="2" s="1"/>
  <c r="U7498" i="2"/>
  <c r="S7498" i="2"/>
  <c r="T7498" i="2" s="1"/>
  <c r="U7497" i="2"/>
  <c r="S7497" i="2"/>
  <c r="T7497" i="2" s="1"/>
  <c r="U7496" i="2"/>
  <c r="S7496" i="2"/>
  <c r="T7496" i="2" s="1"/>
  <c r="U7495" i="2"/>
  <c r="S7495" i="2"/>
  <c r="T7495" i="2" s="1"/>
  <c r="U7494" i="2"/>
  <c r="S7494" i="2"/>
  <c r="T7494" i="2" s="1"/>
  <c r="U7493" i="2"/>
  <c r="S7493" i="2"/>
  <c r="T7493" i="2" s="1"/>
  <c r="U7492" i="2"/>
  <c r="S7492" i="2"/>
  <c r="T7492" i="2" s="1"/>
  <c r="U7491" i="2"/>
  <c r="S7491" i="2"/>
  <c r="T7491" i="2" s="1"/>
  <c r="U7490" i="2"/>
  <c r="S7490" i="2"/>
  <c r="T7490" i="2" s="1"/>
  <c r="U7489" i="2"/>
  <c r="S7489" i="2"/>
  <c r="T7489" i="2" s="1"/>
  <c r="U7488" i="2"/>
  <c r="S7488" i="2"/>
  <c r="T7488" i="2" s="1"/>
  <c r="U7487" i="2"/>
  <c r="S7487" i="2"/>
  <c r="T7487" i="2" s="1"/>
  <c r="U7486" i="2"/>
  <c r="S7486" i="2"/>
  <c r="T7486" i="2" s="1"/>
  <c r="U7485" i="2"/>
  <c r="S7485" i="2"/>
  <c r="T7485" i="2" s="1"/>
  <c r="U7484" i="2"/>
  <c r="S7484" i="2"/>
  <c r="T7484" i="2" s="1"/>
  <c r="U7483" i="2"/>
  <c r="S7483" i="2"/>
  <c r="T7483" i="2" s="1"/>
  <c r="U7482" i="2"/>
  <c r="S7482" i="2"/>
  <c r="T7482" i="2" s="1"/>
  <c r="U7481" i="2"/>
  <c r="S7481" i="2"/>
  <c r="T7481" i="2" s="1"/>
  <c r="U7480" i="2"/>
  <c r="S7480" i="2"/>
  <c r="T7480" i="2" s="1"/>
  <c r="U7479" i="2"/>
  <c r="S7479" i="2"/>
  <c r="T7479" i="2" s="1"/>
  <c r="U7478" i="2"/>
  <c r="S7478" i="2"/>
  <c r="T7478" i="2" s="1"/>
  <c r="U7477" i="2"/>
  <c r="S7477" i="2"/>
  <c r="T7477" i="2" s="1"/>
  <c r="U7476" i="2"/>
  <c r="S7476" i="2"/>
  <c r="T7476" i="2" s="1"/>
  <c r="U7475" i="2"/>
  <c r="S7475" i="2"/>
  <c r="T7475" i="2" s="1"/>
  <c r="U7474" i="2"/>
  <c r="S7474" i="2"/>
  <c r="T7474" i="2" s="1"/>
  <c r="U7473" i="2"/>
  <c r="S7473" i="2"/>
  <c r="T7473" i="2" s="1"/>
  <c r="U7472" i="2"/>
  <c r="S7472" i="2"/>
  <c r="T7472" i="2" s="1"/>
  <c r="U7471" i="2"/>
  <c r="S7471" i="2"/>
  <c r="T7471" i="2" s="1"/>
  <c r="U7470" i="2"/>
  <c r="S7470" i="2"/>
  <c r="T7470" i="2" s="1"/>
  <c r="U7469" i="2"/>
  <c r="S7469" i="2"/>
  <c r="T7469" i="2" s="1"/>
  <c r="U7468" i="2"/>
  <c r="S7468" i="2"/>
  <c r="T7468" i="2" s="1"/>
  <c r="U7467" i="2"/>
  <c r="S7467" i="2"/>
  <c r="T7467" i="2" s="1"/>
  <c r="U7466" i="2"/>
  <c r="S7466" i="2"/>
  <c r="T7466" i="2" s="1"/>
  <c r="U7465" i="2"/>
  <c r="S7465" i="2"/>
  <c r="T7465" i="2" s="1"/>
  <c r="U7464" i="2"/>
  <c r="S7464" i="2"/>
  <c r="T7464" i="2" s="1"/>
  <c r="U7463" i="2"/>
  <c r="S7463" i="2"/>
  <c r="T7463" i="2" s="1"/>
  <c r="U7462" i="2"/>
  <c r="S7462" i="2"/>
  <c r="T7462" i="2" s="1"/>
  <c r="U7461" i="2"/>
  <c r="S7461" i="2"/>
  <c r="T7461" i="2" s="1"/>
  <c r="U7460" i="2"/>
  <c r="S7460" i="2"/>
  <c r="T7460" i="2" s="1"/>
  <c r="U7459" i="2"/>
  <c r="S7459" i="2"/>
  <c r="T7459" i="2" s="1"/>
  <c r="U7458" i="2"/>
  <c r="S7458" i="2"/>
  <c r="T7458" i="2" s="1"/>
  <c r="U7457" i="2"/>
  <c r="S7457" i="2"/>
  <c r="T7457" i="2" s="1"/>
  <c r="U7456" i="2"/>
  <c r="S7456" i="2"/>
  <c r="T7456" i="2" s="1"/>
  <c r="U7455" i="2"/>
  <c r="S7455" i="2"/>
  <c r="T7455" i="2" s="1"/>
  <c r="U7454" i="2"/>
  <c r="S7454" i="2"/>
  <c r="T7454" i="2" s="1"/>
  <c r="U7453" i="2"/>
  <c r="S7453" i="2"/>
  <c r="T7453" i="2" s="1"/>
  <c r="U7452" i="2"/>
  <c r="S7452" i="2"/>
  <c r="T7452" i="2" s="1"/>
  <c r="U7451" i="2"/>
  <c r="S7451" i="2"/>
  <c r="T7451" i="2" s="1"/>
  <c r="U7450" i="2"/>
  <c r="S7450" i="2"/>
  <c r="T7450" i="2" s="1"/>
  <c r="U7449" i="2"/>
  <c r="S7449" i="2"/>
  <c r="T7449" i="2" s="1"/>
  <c r="U7448" i="2"/>
  <c r="S7448" i="2"/>
  <c r="T7448" i="2" s="1"/>
  <c r="U7447" i="2"/>
  <c r="S7447" i="2"/>
  <c r="T7447" i="2" s="1"/>
  <c r="U7446" i="2"/>
  <c r="S7446" i="2"/>
  <c r="T7446" i="2" s="1"/>
  <c r="U7445" i="2"/>
  <c r="S7445" i="2"/>
  <c r="T7445" i="2" s="1"/>
  <c r="U7444" i="2"/>
  <c r="S7444" i="2"/>
  <c r="T7444" i="2" s="1"/>
  <c r="U7443" i="2"/>
  <c r="S7443" i="2"/>
  <c r="T7443" i="2" s="1"/>
  <c r="U7442" i="2"/>
  <c r="S7442" i="2"/>
  <c r="T7442" i="2" s="1"/>
  <c r="U7441" i="2"/>
  <c r="S7441" i="2"/>
  <c r="T7441" i="2" s="1"/>
  <c r="U7440" i="2"/>
  <c r="S7440" i="2"/>
  <c r="T7440" i="2" s="1"/>
  <c r="U7439" i="2"/>
  <c r="S7439" i="2"/>
  <c r="T7439" i="2" s="1"/>
  <c r="U7438" i="2"/>
  <c r="S7438" i="2"/>
  <c r="T7438" i="2" s="1"/>
  <c r="U7437" i="2"/>
  <c r="S7437" i="2"/>
  <c r="T7437" i="2" s="1"/>
  <c r="U7436" i="2"/>
  <c r="S7436" i="2"/>
  <c r="T7436" i="2" s="1"/>
  <c r="U7435" i="2"/>
  <c r="S7435" i="2"/>
  <c r="T7435" i="2" s="1"/>
  <c r="U7434" i="2"/>
  <c r="S7434" i="2"/>
  <c r="T7434" i="2" s="1"/>
  <c r="U7433" i="2"/>
  <c r="S7433" i="2"/>
  <c r="T7433" i="2" s="1"/>
  <c r="U7432" i="2"/>
  <c r="S7432" i="2"/>
  <c r="T7432" i="2" s="1"/>
  <c r="U7431" i="2"/>
  <c r="S7431" i="2"/>
  <c r="T7431" i="2" s="1"/>
  <c r="U7430" i="2"/>
  <c r="S7430" i="2"/>
  <c r="T7430" i="2" s="1"/>
  <c r="U7429" i="2"/>
  <c r="S7429" i="2"/>
  <c r="T7429" i="2" s="1"/>
  <c r="U7428" i="2"/>
  <c r="S7428" i="2"/>
  <c r="T7428" i="2" s="1"/>
  <c r="U7427" i="2"/>
  <c r="S7427" i="2"/>
  <c r="T7427" i="2" s="1"/>
  <c r="U7426" i="2"/>
  <c r="S7426" i="2"/>
  <c r="T7426" i="2" s="1"/>
  <c r="U7425" i="2"/>
  <c r="S7425" i="2"/>
  <c r="T7425" i="2" s="1"/>
  <c r="U7424" i="2"/>
  <c r="S7424" i="2"/>
  <c r="T7424" i="2" s="1"/>
  <c r="U7423" i="2"/>
  <c r="S7423" i="2"/>
  <c r="T7423" i="2" s="1"/>
  <c r="U7422" i="2"/>
  <c r="S7422" i="2"/>
  <c r="T7422" i="2" s="1"/>
  <c r="U7421" i="2"/>
  <c r="S7421" i="2"/>
  <c r="T7421" i="2" s="1"/>
  <c r="U7420" i="2"/>
  <c r="S7420" i="2"/>
  <c r="T7420" i="2" s="1"/>
  <c r="U7419" i="2"/>
  <c r="S7419" i="2"/>
  <c r="T7419" i="2" s="1"/>
  <c r="U7418" i="2"/>
  <c r="S7418" i="2"/>
  <c r="T7418" i="2" s="1"/>
  <c r="U7417" i="2"/>
  <c r="S7417" i="2"/>
  <c r="T7417" i="2" s="1"/>
  <c r="U7416" i="2"/>
  <c r="S7416" i="2"/>
  <c r="T7416" i="2" s="1"/>
  <c r="U7415" i="2"/>
  <c r="S7415" i="2"/>
  <c r="T7415" i="2" s="1"/>
  <c r="U7414" i="2"/>
  <c r="S7414" i="2"/>
  <c r="T7414" i="2" s="1"/>
  <c r="U7413" i="2"/>
  <c r="S7413" i="2"/>
  <c r="T7413" i="2" s="1"/>
  <c r="U7412" i="2"/>
  <c r="S7412" i="2"/>
  <c r="T7412" i="2" s="1"/>
  <c r="U7411" i="2"/>
  <c r="S7411" i="2"/>
  <c r="T7411" i="2" s="1"/>
  <c r="U7410" i="2"/>
  <c r="S7410" i="2"/>
  <c r="T7410" i="2" s="1"/>
  <c r="U7409" i="2"/>
  <c r="S7409" i="2"/>
  <c r="T7409" i="2" s="1"/>
  <c r="U7408" i="2"/>
  <c r="S7408" i="2"/>
  <c r="T7408" i="2" s="1"/>
  <c r="U7407" i="2"/>
  <c r="S7407" i="2"/>
  <c r="T7407" i="2" s="1"/>
  <c r="U7406" i="2"/>
  <c r="S7406" i="2"/>
  <c r="T7406" i="2" s="1"/>
  <c r="U7405" i="2"/>
  <c r="S7405" i="2"/>
  <c r="T7405" i="2" s="1"/>
  <c r="U7404" i="2"/>
  <c r="S7404" i="2"/>
  <c r="T7404" i="2" s="1"/>
  <c r="U7403" i="2"/>
  <c r="S7403" i="2"/>
  <c r="T7403" i="2" s="1"/>
  <c r="U7402" i="2"/>
  <c r="S7402" i="2"/>
  <c r="T7402" i="2" s="1"/>
  <c r="U7401" i="2"/>
  <c r="S7401" i="2"/>
  <c r="T7401" i="2" s="1"/>
  <c r="U7400" i="2"/>
  <c r="S7400" i="2"/>
  <c r="T7400" i="2" s="1"/>
  <c r="U7399" i="2"/>
  <c r="S7399" i="2"/>
  <c r="T7399" i="2" s="1"/>
  <c r="U7398" i="2"/>
  <c r="S7398" i="2"/>
  <c r="T7398" i="2" s="1"/>
  <c r="U7397" i="2"/>
  <c r="S7397" i="2"/>
  <c r="T7397" i="2" s="1"/>
  <c r="U7396" i="2"/>
  <c r="S7396" i="2"/>
  <c r="T7396" i="2" s="1"/>
  <c r="U7395" i="2"/>
  <c r="S7395" i="2"/>
  <c r="T7395" i="2" s="1"/>
  <c r="U7394" i="2"/>
  <c r="S7394" i="2"/>
  <c r="T7394" i="2" s="1"/>
  <c r="U7393" i="2"/>
  <c r="S7393" i="2"/>
  <c r="T7393" i="2" s="1"/>
  <c r="U7392" i="2"/>
  <c r="S7392" i="2"/>
  <c r="T7392" i="2" s="1"/>
  <c r="U7391" i="2"/>
  <c r="S7391" i="2"/>
  <c r="T7391" i="2" s="1"/>
  <c r="U7390" i="2"/>
  <c r="S7390" i="2"/>
  <c r="T7390" i="2" s="1"/>
  <c r="U7389" i="2"/>
  <c r="S7389" i="2"/>
  <c r="T7389" i="2" s="1"/>
  <c r="U7388" i="2"/>
  <c r="S7388" i="2"/>
  <c r="T7388" i="2" s="1"/>
  <c r="U7387" i="2"/>
  <c r="S7387" i="2"/>
  <c r="T7387" i="2" s="1"/>
  <c r="U7386" i="2"/>
  <c r="S7386" i="2"/>
  <c r="T7386" i="2" s="1"/>
  <c r="U7385" i="2"/>
  <c r="S7385" i="2"/>
  <c r="T7385" i="2" s="1"/>
  <c r="U7384" i="2"/>
  <c r="S7384" i="2"/>
  <c r="T7384" i="2" s="1"/>
  <c r="U7383" i="2"/>
  <c r="S7383" i="2"/>
  <c r="T7383" i="2" s="1"/>
  <c r="U7382" i="2"/>
  <c r="S7382" i="2"/>
  <c r="T7382" i="2" s="1"/>
  <c r="U7381" i="2"/>
  <c r="S7381" i="2"/>
  <c r="T7381" i="2" s="1"/>
  <c r="U7380" i="2"/>
  <c r="S7380" i="2"/>
  <c r="T7380" i="2" s="1"/>
  <c r="U7379" i="2"/>
  <c r="S7379" i="2"/>
  <c r="T7379" i="2" s="1"/>
  <c r="U7378" i="2"/>
  <c r="S7378" i="2"/>
  <c r="T7378" i="2" s="1"/>
  <c r="U7377" i="2"/>
  <c r="S7377" i="2"/>
  <c r="T7377" i="2" s="1"/>
  <c r="U7376" i="2"/>
  <c r="S7376" i="2"/>
  <c r="T7376" i="2" s="1"/>
  <c r="U7375" i="2"/>
  <c r="S7375" i="2"/>
  <c r="T7375" i="2" s="1"/>
  <c r="U7374" i="2"/>
  <c r="S7374" i="2"/>
  <c r="T7374" i="2" s="1"/>
  <c r="U7373" i="2"/>
  <c r="S7373" i="2"/>
  <c r="T7373" i="2" s="1"/>
  <c r="U7372" i="2"/>
  <c r="S7372" i="2"/>
  <c r="T7372" i="2" s="1"/>
  <c r="U7371" i="2"/>
  <c r="S7371" i="2"/>
  <c r="T7371" i="2" s="1"/>
  <c r="U7370" i="2"/>
  <c r="S7370" i="2"/>
  <c r="T7370" i="2" s="1"/>
  <c r="U7369" i="2"/>
  <c r="S7369" i="2"/>
  <c r="T7369" i="2" s="1"/>
  <c r="U7368" i="2"/>
  <c r="S7368" i="2"/>
  <c r="T7368" i="2" s="1"/>
  <c r="U7367" i="2"/>
  <c r="S7367" i="2"/>
  <c r="T7367" i="2" s="1"/>
  <c r="U7366" i="2"/>
  <c r="S7366" i="2"/>
  <c r="T7366" i="2" s="1"/>
  <c r="U7365" i="2"/>
  <c r="S7365" i="2"/>
  <c r="T7365" i="2" s="1"/>
  <c r="U7364" i="2"/>
  <c r="S7364" i="2"/>
  <c r="T7364" i="2" s="1"/>
  <c r="U7363" i="2"/>
  <c r="S7363" i="2"/>
  <c r="T7363" i="2" s="1"/>
  <c r="U7362" i="2"/>
  <c r="S7362" i="2"/>
  <c r="T7362" i="2" s="1"/>
  <c r="U7361" i="2"/>
  <c r="S7361" i="2"/>
  <c r="T7361" i="2" s="1"/>
  <c r="U7360" i="2"/>
  <c r="S7360" i="2"/>
  <c r="T7360" i="2" s="1"/>
  <c r="U7359" i="2"/>
  <c r="S7359" i="2"/>
  <c r="T7359" i="2" s="1"/>
  <c r="U7358" i="2"/>
  <c r="S7358" i="2"/>
  <c r="T7358" i="2" s="1"/>
  <c r="U7357" i="2"/>
  <c r="S7357" i="2"/>
  <c r="T7357" i="2" s="1"/>
  <c r="U7356" i="2"/>
  <c r="S7356" i="2"/>
  <c r="T7356" i="2" s="1"/>
  <c r="U7355" i="2"/>
  <c r="S7355" i="2"/>
  <c r="T7355" i="2" s="1"/>
  <c r="U7354" i="2"/>
  <c r="S7354" i="2"/>
  <c r="T7354" i="2" s="1"/>
  <c r="U7353" i="2"/>
  <c r="S7353" i="2"/>
  <c r="T7353" i="2" s="1"/>
  <c r="U7352" i="2"/>
  <c r="S7352" i="2"/>
  <c r="T7352" i="2" s="1"/>
  <c r="U7351" i="2"/>
  <c r="S7351" i="2"/>
  <c r="T7351" i="2" s="1"/>
  <c r="U7350" i="2"/>
  <c r="S7350" i="2"/>
  <c r="T7350" i="2" s="1"/>
  <c r="U7349" i="2"/>
  <c r="S7349" i="2"/>
  <c r="T7349" i="2" s="1"/>
  <c r="U7348" i="2"/>
  <c r="S7348" i="2"/>
  <c r="T7348" i="2" s="1"/>
  <c r="U7347" i="2"/>
  <c r="S7347" i="2"/>
  <c r="T7347" i="2" s="1"/>
  <c r="U7346" i="2"/>
  <c r="S7346" i="2"/>
  <c r="T7346" i="2" s="1"/>
  <c r="U7345" i="2"/>
  <c r="S7345" i="2"/>
  <c r="T7345" i="2" s="1"/>
  <c r="U7344" i="2"/>
  <c r="S7344" i="2"/>
  <c r="T7344" i="2" s="1"/>
  <c r="U7343" i="2"/>
  <c r="S7343" i="2"/>
  <c r="T7343" i="2" s="1"/>
  <c r="U7342" i="2"/>
  <c r="S7342" i="2"/>
  <c r="T7342" i="2" s="1"/>
  <c r="U7341" i="2"/>
  <c r="S7341" i="2"/>
  <c r="T7341" i="2" s="1"/>
  <c r="U7340" i="2"/>
  <c r="S7340" i="2"/>
  <c r="T7340" i="2" s="1"/>
  <c r="U7339" i="2"/>
  <c r="S7339" i="2"/>
  <c r="T7339" i="2" s="1"/>
  <c r="U7338" i="2"/>
  <c r="S7338" i="2"/>
  <c r="T7338" i="2" s="1"/>
  <c r="U7337" i="2"/>
  <c r="S7337" i="2"/>
  <c r="T7337" i="2" s="1"/>
  <c r="U7336" i="2"/>
  <c r="S7336" i="2"/>
  <c r="T7336" i="2" s="1"/>
  <c r="U7335" i="2"/>
  <c r="S7335" i="2"/>
  <c r="T7335" i="2" s="1"/>
  <c r="U7334" i="2"/>
  <c r="S7334" i="2"/>
  <c r="T7334" i="2" s="1"/>
  <c r="U7333" i="2"/>
  <c r="S7333" i="2"/>
  <c r="T7333" i="2" s="1"/>
  <c r="U7332" i="2"/>
  <c r="S7332" i="2"/>
  <c r="T7332" i="2" s="1"/>
  <c r="U7331" i="2"/>
  <c r="S7331" i="2"/>
  <c r="T7331" i="2" s="1"/>
  <c r="U7330" i="2"/>
  <c r="S7330" i="2"/>
  <c r="T7330" i="2" s="1"/>
  <c r="U7329" i="2"/>
  <c r="S7329" i="2"/>
  <c r="T7329" i="2" s="1"/>
  <c r="U7328" i="2"/>
  <c r="S7328" i="2"/>
  <c r="T7328" i="2" s="1"/>
  <c r="U7327" i="2"/>
  <c r="S7327" i="2"/>
  <c r="T7327" i="2" s="1"/>
  <c r="U7326" i="2"/>
  <c r="S7326" i="2"/>
  <c r="T7326" i="2" s="1"/>
  <c r="U7325" i="2"/>
  <c r="S7325" i="2"/>
  <c r="T7325" i="2" s="1"/>
  <c r="U7324" i="2"/>
  <c r="S7324" i="2"/>
  <c r="T7324" i="2" s="1"/>
  <c r="U7323" i="2"/>
  <c r="S7323" i="2"/>
  <c r="T7323" i="2" s="1"/>
  <c r="U7322" i="2"/>
  <c r="S7322" i="2"/>
  <c r="T7322" i="2" s="1"/>
  <c r="U7321" i="2"/>
  <c r="S7321" i="2"/>
  <c r="T7321" i="2" s="1"/>
  <c r="U7320" i="2"/>
  <c r="S7320" i="2"/>
  <c r="T7320" i="2" s="1"/>
  <c r="U7319" i="2"/>
  <c r="S7319" i="2"/>
  <c r="T7319" i="2" s="1"/>
  <c r="U7318" i="2"/>
  <c r="S7318" i="2"/>
  <c r="T7318" i="2" s="1"/>
  <c r="U7317" i="2"/>
  <c r="S7317" i="2"/>
  <c r="T7317" i="2" s="1"/>
  <c r="U7316" i="2"/>
  <c r="S7316" i="2"/>
  <c r="T7316" i="2" s="1"/>
  <c r="U7315" i="2"/>
  <c r="S7315" i="2"/>
  <c r="T7315" i="2" s="1"/>
  <c r="U7314" i="2"/>
  <c r="S7314" i="2"/>
  <c r="T7314" i="2" s="1"/>
  <c r="U7313" i="2"/>
  <c r="S7313" i="2"/>
  <c r="T7313" i="2" s="1"/>
  <c r="U7312" i="2"/>
  <c r="S7312" i="2"/>
  <c r="T7312" i="2" s="1"/>
  <c r="U7311" i="2"/>
  <c r="S7311" i="2"/>
  <c r="T7311" i="2" s="1"/>
  <c r="U7310" i="2"/>
  <c r="S7310" i="2"/>
  <c r="T7310" i="2" s="1"/>
  <c r="U7309" i="2"/>
  <c r="S7309" i="2"/>
  <c r="T7309" i="2" s="1"/>
  <c r="U7308" i="2"/>
  <c r="S7308" i="2"/>
  <c r="T7308" i="2" s="1"/>
  <c r="U7307" i="2"/>
  <c r="S7307" i="2"/>
  <c r="T7307" i="2" s="1"/>
  <c r="U7306" i="2"/>
  <c r="S7306" i="2"/>
  <c r="T7306" i="2" s="1"/>
  <c r="U7305" i="2"/>
  <c r="S7305" i="2"/>
  <c r="T7305" i="2" s="1"/>
  <c r="U7304" i="2"/>
  <c r="S7304" i="2"/>
  <c r="T7304" i="2" s="1"/>
  <c r="U7303" i="2"/>
  <c r="S7303" i="2"/>
  <c r="T7303" i="2" s="1"/>
  <c r="U7302" i="2"/>
  <c r="S7302" i="2"/>
  <c r="T7302" i="2" s="1"/>
  <c r="U7301" i="2"/>
  <c r="S7301" i="2"/>
  <c r="T7301" i="2" s="1"/>
  <c r="U7300" i="2"/>
  <c r="S7300" i="2"/>
  <c r="T7300" i="2" s="1"/>
  <c r="U7299" i="2"/>
  <c r="S7299" i="2"/>
  <c r="T7299" i="2" s="1"/>
  <c r="U7298" i="2"/>
  <c r="S7298" i="2"/>
  <c r="T7298" i="2" s="1"/>
  <c r="U7297" i="2"/>
  <c r="S7297" i="2"/>
  <c r="T7297" i="2" s="1"/>
  <c r="U7296" i="2"/>
  <c r="S7296" i="2"/>
  <c r="T7296" i="2" s="1"/>
  <c r="U7295" i="2"/>
  <c r="S7295" i="2"/>
  <c r="T7295" i="2" s="1"/>
  <c r="U7294" i="2"/>
  <c r="S7294" i="2"/>
  <c r="T7294" i="2" s="1"/>
  <c r="U7293" i="2"/>
  <c r="S7293" i="2"/>
  <c r="T7293" i="2" s="1"/>
  <c r="U7292" i="2"/>
  <c r="S7292" i="2"/>
  <c r="T7292" i="2" s="1"/>
  <c r="U7291" i="2"/>
  <c r="S7291" i="2"/>
  <c r="T7291" i="2" s="1"/>
  <c r="U7290" i="2"/>
  <c r="S7290" i="2"/>
  <c r="T7290" i="2" s="1"/>
  <c r="U7289" i="2"/>
  <c r="S7289" i="2"/>
  <c r="T7289" i="2" s="1"/>
  <c r="U7288" i="2"/>
  <c r="S7288" i="2"/>
  <c r="T7288" i="2" s="1"/>
  <c r="U7287" i="2"/>
  <c r="S7287" i="2"/>
  <c r="T7287" i="2" s="1"/>
  <c r="U7286" i="2"/>
  <c r="S7286" i="2"/>
  <c r="T7286" i="2" s="1"/>
  <c r="U7285" i="2"/>
  <c r="S7285" i="2"/>
  <c r="T7285" i="2" s="1"/>
  <c r="U7284" i="2"/>
  <c r="S7284" i="2"/>
  <c r="T7284" i="2" s="1"/>
  <c r="U7283" i="2"/>
  <c r="S7283" i="2"/>
  <c r="T7283" i="2" s="1"/>
  <c r="U7282" i="2"/>
  <c r="S7282" i="2"/>
  <c r="T7282" i="2" s="1"/>
  <c r="U7281" i="2"/>
  <c r="S7281" i="2"/>
  <c r="T7281" i="2" s="1"/>
  <c r="U7280" i="2"/>
  <c r="S7280" i="2"/>
  <c r="T7280" i="2" s="1"/>
  <c r="U7279" i="2"/>
  <c r="S7279" i="2"/>
  <c r="T7279" i="2" s="1"/>
  <c r="U7278" i="2"/>
  <c r="S7278" i="2"/>
  <c r="T7278" i="2" s="1"/>
  <c r="U7277" i="2"/>
  <c r="S7277" i="2"/>
  <c r="T7277" i="2" s="1"/>
  <c r="U7276" i="2"/>
  <c r="S7276" i="2"/>
  <c r="T7276" i="2" s="1"/>
  <c r="U7275" i="2"/>
  <c r="S7275" i="2"/>
  <c r="T7275" i="2" s="1"/>
  <c r="U7274" i="2"/>
  <c r="S7274" i="2"/>
  <c r="T7274" i="2" s="1"/>
  <c r="U7273" i="2"/>
  <c r="S7273" i="2"/>
  <c r="T7273" i="2" s="1"/>
  <c r="U7272" i="2"/>
  <c r="S7272" i="2"/>
  <c r="T7272" i="2" s="1"/>
  <c r="U7271" i="2"/>
  <c r="S7271" i="2"/>
  <c r="T7271" i="2" s="1"/>
  <c r="U7270" i="2"/>
  <c r="S7270" i="2"/>
  <c r="T7270" i="2" s="1"/>
  <c r="U7269" i="2"/>
  <c r="S7269" i="2"/>
  <c r="T7269" i="2" s="1"/>
  <c r="U7268" i="2"/>
  <c r="S7268" i="2"/>
  <c r="T7268" i="2" s="1"/>
  <c r="U7267" i="2"/>
  <c r="S7267" i="2"/>
  <c r="T7267" i="2" s="1"/>
  <c r="U7266" i="2"/>
  <c r="S7266" i="2"/>
  <c r="T7266" i="2" s="1"/>
  <c r="U7265" i="2"/>
  <c r="S7265" i="2"/>
  <c r="T7265" i="2" s="1"/>
  <c r="U7264" i="2"/>
  <c r="S7264" i="2"/>
  <c r="T7264" i="2" s="1"/>
  <c r="U7263" i="2"/>
  <c r="S7263" i="2"/>
  <c r="T7263" i="2" s="1"/>
  <c r="U7262" i="2"/>
  <c r="S7262" i="2"/>
  <c r="T7262" i="2" s="1"/>
  <c r="U7261" i="2"/>
  <c r="S7261" i="2"/>
  <c r="T7261" i="2" s="1"/>
  <c r="U7260" i="2"/>
  <c r="S7260" i="2"/>
  <c r="T7260" i="2" s="1"/>
  <c r="U7259" i="2"/>
  <c r="S7259" i="2"/>
  <c r="T7259" i="2" s="1"/>
  <c r="U7258" i="2"/>
  <c r="S7258" i="2"/>
  <c r="T7258" i="2" s="1"/>
  <c r="U7257" i="2"/>
  <c r="S7257" i="2"/>
  <c r="T7257" i="2" s="1"/>
  <c r="U7256" i="2"/>
  <c r="S7256" i="2"/>
  <c r="T7256" i="2" s="1"/>
  <c r="U7255" i="2"/>
  <c r="S7255" i="2"/>
  <c r="T7255" i="2" s="1"/>
  <c r="U7254" i="2"/>
  <c r="S7254" i="2"/>
  <c r="T7254" i="2" s="1"/>
  <c r="U7253" i="2"/>
  <c r="S7253" i="2"/>
  <c r="T7253" i="2" s="1"/>
  <c r="U7252" i="2"/>
  <c r="S7252" i="2"/>
  <c r="T7252" i="2" s="1"/>
  <c r="U7251" i="2"/>
  <c r="S7251" i="2"/>
  <c r="T7251" i="2" s="1"/>
  <c r="U7250" i="2"/>
  <c r="S7250" i="2"/>
  <c r="T7250" i="2" s="1"/>
  <c r="U7249" i="2"/>
  <c r="S7249" i="2"/>
  <c r="T7249" i="2" s="1"/>
  <c r="U7248" i="2"/>
  <c r="S7248" i="2"/>
  <c r="T7248" i="2" s="1"/>
  <c r="U7247" i="2"/>
  <c r="S7247" i="2"/>
  <c r="T7247" i="2" s="1"/>
  <c r="U7246" i="2"/>
  <c r="S7246" i="2"/>
  <c r="T7246" i="2" s="1"/>
  <c r="U7245" i="2"/>
  <c r="S7245" i="2"/>
  <c r="T7245" i="2" s="1"/>
  <c r="U7244" i="2"/>
  <c r="S7244" i="2"/>
  <c r="T7244" i="2" s="1"/>
  <c r="U7243" i="2"/>
  <c r="S7243" i="2"/>
  <c r="T7243" i="2" s="1"/>
  <c r="U7242" i="2"/>
  <c r="S7242" i="2"/>
  <c r="T7242" i="2" s="1"/>
  <c r="U7241" i="2"/>
  <c r="S7241" i="2"/>
  <c r="T7241" i="2" s="1"/>
  <c r="U7240" i="2"/>
  <c r="S7240" i="2"/>
  <c r="T7240" i="2" s="1"/>
  <c r="U7239" i="2"/>
  <c r="S7239" i="2"/>
  <c r="T7239" i="2" s="1"/>
  <c r="U7238" i="2"/>
  <c r="S7238" i="2"/>
  <c r="T7238" i="2" s="1"/>
  <c r="U7237" i="2"/>
  <c r="S7237" i="2"/>
  <c r="T7237" i="2" s="1"/>
  <c r="U7236" i="2"/>
  <c r="S7236" i="2"/>
  <c r="T7236" i="2" s="1"/>
  <c r="U7235" i="2"/>
  <c r="S7235" i="2"/>
  <c r="T7235" i="2" s="1"/>
  <c r="U7234" i="2"/>
  <c r="S7234" i="2"/>
  <c r="T7234" i="2" s="1"/>
  <c r="U7233" i="2"/>
  <c r="S7233" i="2"/>
  <c r="T7233" i="2" s="1"/>
  <c r="U7232" i="2"/>
  <c r="S7232" i="2"/>
  <c r="T7232" i="2" s="1"/>
  <c r="U7231" i="2"/>
  <c r="S7231" i="2"/>
  <c r="T7231" i="2" s="1"/>
  <c r="U7230" i="2"/>
  <c r="S7230" i="2"/>
  <c r="T7230" i="2" s="1"/>
  <c r="U7229" i="2"/>
  <c r="S7229" i="2"/>
  <c r="T7229" i="2" s="1"/>
  <c r="U7228" i="2"/>
  <c r="S7228" i="2"/>
  <c r="T7228" i="2" s="1"/>
  <c r="U7227" i="2"/>
  <c r="S7227" i="2"/>
  <c r="T7227" i="2" s="1"/>
  <c r="U7226" i="2"/>
  <c r="S7226" i="2"/>
  <c r="T7226" i="2" s="1"/>
  <c r="U7225" i="2"/>
  <c r="S7225" i="2"/>
  <c r="T7225" i="2" s="1"/>
  <c r="U7224" i="2"/>
  <c r="S7224" i="2"/>
  <c r="T7224" i="2" s="1"/>
  <c r="U7223" i="2"/>
  <c r="S7223" i="2"/>
  <c r="T7223" i="2" s="1"/>
  <c r="U7222" i="2"/>
  <c r="S7222" i="2"/>
  <c r="T7222" i="2" s="1"/>
  <c r="U7221" i="2"/>
  <c r="S7221" i="2"/>
  <c r="T7221" i="2" s="1"/>
  <c r="U7220" i="2"/>
  <c r="S7220" i="2"/>
  <c r="T7220" i="2" s="1"/>
  <c r="U7219" i="2"/>
  <c r="S7219" i="2"/>
  <c r="T7219" i="2" s="1"/>
  <c r="U7218" i="2"/>
  <c r="S7218" i="2"/>
  <c r="T7218" i="2" s="1"/>
  <c r="U7217" i="2"/>
  <c r="S7217" i="2"/>
  <c r="T7217" i="2" s="1"/>
  <c r="U7216" i="2"/>
  <c r="S7216" i="2"/>
  <c r="T7216" i="2" s="1"/>
  <c r="U7215" i="2"/>
  <c r="S7215" i="2"/>
  <c r="T7215" i="2" s="1"/>
  <c r="U7214" i="2"/>
  <c r="S7214" i="2"/>
  <c r="T7214" i="2" s="1"/>
  <c r="U7213" i="2"/>
  <c r="T7213" i="2"/>
  <c r="S7213" i="2"/>
  <c r="U7212" i="2"/>
  <c r="S7212" i="2"/>
  <c r="T7212" i="2" s="1"/>
  <c r="U7211" i="2"/>
  <c r="S7211" i="2"/>
  <c r="T7211" i="2" s="1"/>
  <c r="U7210" i="2"/>
  <c r="S7210" i="2"/>
  <c r="T7210" i="2" s="1"/>
  <c r="U7209" i="2"/>
  <c r="S7209" i="2"/>
  <c r="T7209" i="2" s="1"/>
  <c r="U7208" i="2"/>
  <c r="S7208" i="2"/>
  <c r="T7208" i="2" s="1"/>
  <c r="U7207" i="2"/>
  <c r="S7207" i="2"/>
  <c r="T7207" i="2" s="1"/>
  <c r="U7206" i="2"/>
  <c r="S7206" i="2"/>
  <c r="T7206" i="2" s="1"/>
  <c r="U7205" i="2"/>
  <c r="S7205" i="2"/>
  <c r="T7205" i="2" s="1"/>
  <c r="U7204" i="2"/>
  <c r="S7204" i="2"/>
  <c r="T7204" i="2" s="1"/>
  <c r="U7203" i="2"/>
  <c r="S7203" i="2"/>
  <c r="T7203" i="2" s="1"/>
  <c r="U7202" i="2"/>
  <c r="S7202" i="2"/>
  <c r="T7202" i="2" s="1"/>
  <c r="U7201" i="2"/>
  <c r="S7201" i="2"/>
  <c r="T7201" i="2" s="1"/>
  <c r="U7200" i="2"/>
  <c r="S7200" i="2"/>
  <c r="T7200" i="2" s="1"/>
  <c r="U7199" i="2"/>
  <c r="S7199" i="2"/>
  <c r="T7199" i="2" s="1"/>
  <c r="U7198" i="2"/>
  <c r="S7198" i="2"/>
  <c r="T7198" i="2" s="1"/>
  <c r="U7197" i="2"/>
  <c r="S7197" i="2"/>
  <c r="T7197" i="2" s="1"/>
  <c r="U7196" i="2"/>
  <c r="S7196" i="2"/>
  <c r="T7196" i="2" s="1"/>
  <c r="U7195" i="2"/>
  <c r="S7195" i="2"/>
  <c r="T7195" i="2" s="1"/>
  <c r="U7194" i="2"/>
  <c r="S7194" i="2"/>
  <c r="T7194" i="2" s="1"/>
  <c r="U7193" i="2"/>
  <c r="S7193" i="2"/>
  <c r="T7193" i="2" s="1"/>
  <c r="U7192" i="2"/>
  <c r="S7192" i="2"/>
  <c r="T7192" i="2" s="1"/>
  <c r="U7191" i="2"/>
  <c r="S7191" i="2"/>
  <c r="T7191" i="2" s="1"/>
  <c r="U7190" i="2"/>
  <c r="S7190" i="2"/>
  <c r="T7190" i="2" s="1"/>
  <c r="U7189" i="2"/>
  <c r="S7189" i="2"/>
  <c r="T7189" i="2" s="1"/>
  <c r="U7188" i="2"/>
  <c r="S7188" i="2"/>
  <c r="T7188" i="2" s="1"/>
  <c r="U7187" i="2"/>
  <c r="S7187" i="2"/>
  <c r="T7187" i="2" s="1"/>
  <c r="U7186" i="2"/>
  <c r="S7186" i="2"/>
  <c r="T7186" i="2" s="1"/>
  <c r="U7185" i="2"/>
  <c r="S7185" i="2"/>
  <c r="T7185" i="2" s="1"/>
  <c r="U7184" i="2"/>
  <c r="S7184" i="2"/>
  <c r="T7184" i="2" s="1"/>
  <c r="U7183" i="2"/>
  <c r="S7183" i="2"/>
  <c r="T7183" i="2" s="1"/>
  <c r="U7182" i="2"/>
  <c r="S7182" i="2"/>
  <c r="T7182" i="2" s="1"/>
  <c r="U7181" i="2"/>
  <c r="S7181" i="2"/>
  <c r="T7181" i="2" s="1"/>
  <c r="U7180" i="2"/>
  <c r="S7180" i="2"/>
  <c r="T7180" i="2" s="1"/>
  <c r="U7179" i="2"/>
  <c r="S7179" i="2"/>
  <c r="T7179" i="2" s="1"/>
  <c r="U7178" i="2"/>
  <c r="S7178" i="2"/>
  <c r="T7178" i="2" s="1"/>
  <c r="U7177" i="2"/>
  <c r="S7177" i="2"/>
  <c r="T7177" i="2" s="1"/>
  <c r="U7176" i="2"/>
  <c r="T7176" i="2"/>
  <c r="S7176" i="2"/>
  <c r="U7175" i="2"/>
  <c r="S7175" i="2"/>
  <c r="T7175" i="2" s="1"/>
  <c r="U7174" i="2"/>
  <c r="S7174" i="2"/>
  <c r="T7174" i="2" s="1"/>
  <c r="U7173" i="2"/>
  <c r="S7173" i="2"/>
  <c r="T7173" i="2" s="1"/>
  <c r="U7172" i="2"/>
  <c r="S7172" i="2"/>
  <c r="T7172" i="2" s="1"/>
  <c r="U7171" i="2"/>
  <c r="S7171" i="2"/>
  <c r="T7171" i="2" s="1"/>
  <c r="U7170" i="2"/>
  <c r="S7170" i="2"/>
  <c r="T7170" i="2" s="1"/>
  <c r="U7169" i="2"/>
  <c r="S7169" i="2"/>
  <c r="T7169" i="2" s="1"/>
  <c r="U7168" i="2"/>
  <c r="S7168" i="2"/>
  <c r="T7168" i="2" s="1"/>
  <c r="U7167" i="2"/>
  <c r="S7167" i="2"/>
  <c r="T7167" i="2" s="1"/>
  <c r="U7166" i="2"/>
  <c r="S7166" i="2"/>
  <c r="T7166" i="2" s="1"/>
  <c r="U7165" i="2"/>
  <c r="S7165" i="2"/>
  <c r="T7165" i="2" s="1"/>
  <c r="U7164" i="2"/>
  <c r="S7164" i="2"/>
  <c r="T7164" i="2" s="1"/>
  <c r="U7163" i="2"/>
  <c r="S7163" i="2"/>
  <c r="T7163" i="2" s="1"/>
  <c r="U7162" i="2"/>
  <c r="S7162" i="2"/>
  <c r="T7162" i="2" s="1"/>
  <c r="U7161" i="2"/>
  <c r="S7161" i="2"/>
  <c r="T7161" i="2" s="1"/>
  <c r="U7160" i="2"/>
  <c r="S7160" i="2"/>
  <c r="T7160" i="2" s="1"/>
  <c r="U7159" i="2"/>
  <c r="S7159" i="2"/>
  <c r="T7159" i="2" s="1"/>
  <c r="U7158" i="2"/>
  <c r="S7158" i="2"/>
  <c r="T7158" i="2" s="1"/>
  <c r="U7157" i="2"/>
  <c r="S7157" i="2"/>
  <c r="T7157" i="2" s="1"/>
  <c r="U7156" i="2"/>
  <c r="S7156" i="2"/>
  <c r="T7156" i="2" s="1"/>
  <c r="U7155" i="2"/>
  <c r="S7155" i="2"/>
  <c r="T7155" i="2" s="1"/>
  <c r="U7154" i="2"/>
  <c r="S7154" i="2"/>
  <c r="T7154" i="2" s="1"/>
  <c r="U7153" i="2"/>
  <c r="S7153" i="2"/>
  <c r="T7153" i="2" s="1"/>
  <c r="U7152" i="2"/>
  <c r="S7152" i="2"/>
  <c r="T7152" i="2" s="1"/>
  <c r="U7151" i="2"/>
  <c r="S7151" i="2"/>
  <c r="T7151" i="2" s="1"/>
  <c r="U7150" i="2"/>
  <c r="S7150" i="2"/>
  <c r="T7150" i="2" s="1"/>
  <c r="U7149" i="2"/>
  <c r="S7149" i="2"/>
  <c r="T7149" i="2" s="1"/>
  <c r="U7148" i="2"/>
  <c r="S7148" i="2"/>
  <c r="T7148" i="2" s="1"/>
  <c r="U7147" i="2"/>
  <c r="S7147" i="2"/>
  <c r="T7147" i="2" s="1"/>
  <c r="U7146" i="2"/>
  <c r="S7146" i="2"/>
  <c r="T7146" i="2" s="1"/>
  <c r="U7145" i="2"/>
  <c r="S7145" i="2"/>
  <c r="T7145" i="2" s="1"/>
  <c r="U7144" i="2"/>
  <c r="S7144" i="2"/>
  <c r="T7144" i="2" s="1"/>
  <c r="U7143" i="2"/>
  <c r="S7143" i="2"/>
  <c r="T7143" i="2" s="1"/>
  <c r="U7142" i="2"/>
  <c r="S7142" i="2"/>
  <c r="T7142" i="2" s="1"/>
  <c r="U7141" i="2"/>
  <c r="S7141" i="2"/>
  <c r="T7141" i="2" s="1"/>
  <c r="U7140" i="2"/>
  <c r="S7140" i="2"/>
  <c r="T7140" i="2" s="1"/>
  <c r="U7139" i="2"/>
  <c r="S7139" i="2"/>
  <c r="T7139" i="2" s="1"/>
  <c r="U7138" i="2"/>
  <c r="S7138" i="2"/>
  <c r="T7138" i="2" s="1"/>
  <c r="U7137" i="2"/>
  <c r="S7137" i="2"/>
  <c r="T7137" i="2" s="1"/>
  <c r="U7136" i="2"/>
  <c r="S7136" i="2"/>
  <c r="T7136" i="2" s="1"/>
  <c r="U7135" i="2"/>
  <c r="S7135" i="2"/>
  <c r="T7135" i="2" s="1"/>
  <c r="U7134" i="2"/>
  <c r="S7134" i="2"/>
  <c r="T7134" i="2" s="1"/>
  <c r="U7133" i="2"/>
  <c r="S7133" i="2"/>
  <c r="T7133" i="2" s="1"/>
  <c r="U7132" i="2"/>
  <c r="S7132" i="2"/>
  <c r="T7132" i="2" s="1"/>
  <c r="U7131" i="2"/>
  <c r="S7131" i="2"/>
  <c r="T7131" i="2" s="1"/>
  <c r="U7130" i="2"/>
  <c r="S7130" i="2"/>
  <c r="T7130" i="2" s="1"/>
  <c r="U7129" i="2"/>
  <c r="S7129" i="2"/>
  <c r="T7129" i="2" s="1"/>
  <c r="U7128" i="2"/>
  <c r="S7128" i="2"/>
  <c r="T7128" i="2" s="1"/>
  <c r="U7127" i="2"/>
  <c r="S7127" i="2"/>
  <c r="T7127" i="2" s="1"/>
  <c r="U7126" i="2"/>
  <c r="S7126" i="2"/>
  <c r="T7126" i="2" s="1"/>
  <c r="U7125" i="2"/>
  <c r="S7125" i="2"/>
  <c r="T7125" i="2" s="1"/>
  <c r="U7124" i="2"/>
  <c r="S7124" i="2"/>
  <c r="T7124" i="2" s="1"/>
  <c r="U7123" i="2"/>
  <c r="S7123" i="2"/>
  <c r="T7123" i="2" s="1"/>
  <c r="U7122" i="2"/>
  <c r="S7122" i="2"/>
  <c r="T7122" i="2" s="1"/>
  <c r="U7121" i="2"/>
  <c r="S7121" i="2"/>
  <c r="T7121" i="2" s="1"/>
  <c r="U7120" i="2"/>
  <c r="S7120" i="2"/>
  <c r="T7120" i="2" s="1"/>
  <c r="U7119" i="2"/>
  <c r="S7119" i="2"/>
  <c r="T7119" i="2" s="1"/>
  <c r="U7118" i="2"/>
  <c r="S7118" i="2"/>
  <c r="T7118" i="2" s="1"/>
  <c r="U7117" i="2"/>
  <c r="S7117" i="2"/>
  <c r="T7117" i="2" s="1"/>
  <c r="U7116" i="2"/>
  <c r="S7116" i="2"/>
  <c r="T7116" i="2" s="1"/>
  <c r="U7115" i="2"/>
  <c r="S7115" i="2"/>
  <c r="T7115" i="2" s="1"/>
  <c r="U7114" i="2"/>
  <c r="S7114" i="2"/>
  <c r="T7114" i="2" s="1"/>
  <c r="U7113" i="2"/>
  <c r="S7113" i="2"/>
  <c r="T7113" i="2" s="1"/>
  <c r="U7112" i="2"/>
  <c r="S7112" i="2"/>
  <c r="T7112" i="2" s="1"/>
  <c r="U7111" i="2"/>
  <c r="S7111" i="2"/>
  <c r="T7111" i="2" s="1"/>
  <c r="U7110" i="2"/>
  <c r="T7110" i="2"/>
  <c r="S7110" i="2"/>
  <c r="U7109" i="2"/>
  <c r="S7109" i="2"/>
  <c r="T7109" i="2" s="1"/>
  <c r="U7108" i="2"/>
  <c r="S7108" i="2"/>
  <c r="T7108" i="2" s="1"/>
  <c r="U7107" i="2"/>
  <c r="S7107" i="2"/>
  <c r="T7107" i="2" s="1"/>
  <c r="U7106" i="2"/>
  <c r="S7106" i="2"/>
  <c r="T7106" i="2" s="1"/>
  <c r="U7105" i="2"/>
  <c r="S7105" i="2"/>
  <c r="T7105" i="2" s="1"/>
  <c r="U7104" i="2"/>
  <c r="S7104" i="2"/>
  <c r="T7104" i="2" s="1"/>
  <c r="U7103" i="2"/>
  <c r="S7103" i="2"/>
  <c r="T7103" i="2" s="1"/>
  <c r="U7102" i="2"/>
  <c r="S7102" i="2"/>
  <c r="T7102" i="2" s="1"/>
  <c r="U7101" i="2"/>
  <c r="S7101" i="2"/>
  <c r="T7101" i="2" s="1"/>
  <c r="U7100" i="2"/>
  <c r="S7100" i="2"/>
  <c r="T7100" i="2" s="1"/>
  <c r="U7099" i="2"/>
  <c r="T7099" i="2"/>
  <c r="S7099" i="2"/>
  <c r="U7098" i="2"/>
  <c r="S7098" i="2"/>
  <c r="T7098" i="2" s="1"/>
  <c r="U7097" i="2"/>
  <c r="S7097" i="2"/>
  <c r="T7097" i="2" s="1"/>
  <c r="U7096" i="2"/>
  <c r="S7096" i="2"/>
  <c r="T7096" i="2" s="1"/>
  <c r="U7095" i="2"/>
  <c r="S7095" i="2"/>
  <c r="T7095" i="2" s="1"/>
  <c r="U7094" i="2"/>
  <c r="S7094" i="2"/>
  <c r="T7094" i="2" s="1"/>
  <c r="U7093" i="2"/>
  <c r="S7093" i="2"/>
  <c r="T7093" i="2" s="1"/>
  <c r="U7092" i="2"/>
  <c r="S7092" i="2"/>
  <c r="T7092" i="2" s="1"/>
  <c r="U7091" i="2"/>
  <c r="S7091" i="2"/>
  <c r="T7091" i="2" s="1"/>
  <c r="U7090" i="2"/>
  <c r="S7090" i="2"/>
  <c r="T7090" i="2" s="1"/>
  <c r="U7089" i="2"/>
  <c r="S7089" i="2"/>
  <c r="T7089" i="2" s="1"/>
  <c r="U7088" i="2"/>
  <c r="S7088" i="2"/>
  <c r="T7088" i="2" s="1"/>
  <c r="U7087" i="2"/>
  <c r="S7087" i="2"/>
  <c r="T7087" i="2" s="1"/>
  <c r="U7086" i="2"/>
  <c r="S7086" i="2"/>
  <c r="T7086" i="2" s="1"/>
  <c r="U7085" i="2"/>
  <c r="S7085" i="2"/>
  <c r="T7085" i="2" s="1"/>
  <c r="U7084" i="2"/>
  <c r="S7084" i="2"/>
  <c r="T7084" i="2" s="1"/>
  <c r="U7083" i="2"/>
  <c r="S7083" i="2"/>
  <c r="T7083" i="2" s="1"/>
  <c r="U7082" i="2"/>
  <c r="S7082" i="2"/>
  <c r="T7082" i="2" s="1"/>
  <c r="U7081" i="2"/>
  <c r="S7081" i="2"/>
  <c r="T7081" i="2" s="1"/>
  <c r="U7080" i="2"/>
  <c r="S7080" i="2"/>
  <c r="T7080" i="2" s="1"/>
  <c r="U7079" i="2"/>
  <c r="S7079" i="2"/>
  <c r="T7079" i="2" s="1"/>
  <c r="U7078" i="2"/>
  <c r="S7078" i="2"/>
  <c r="T7078" i="2" s="1"/>
  <c r="U7077" i="2"/>
  <c r="S7077" i="2"/>
  <c r="T7077" i="2" s="1"/>
  <c r="U7076" i="2"/>
  <c r="S7076" i="2"/>
  <c r="T7076" i="2" s="1"/>
  <c r="U7075" i="2"/>
  <c r="S7075" i="2"/>
  <c r="T7075" i="2" s="1"/>
  <c r="U7074" i="2"/>
  <c r="S7074" i="2"/>
  <c r="T7074" i="2" s="1"/>
  <c r="U7073" i="2"/>
  <c r="S7073" i="2"/>
  <c r="T7073" i="2" s="1"/>
  <c r="U7072" i="2"/>
  <c r="S7072" i="2"/>
  <c r="T7072" i="2" s="1"/>
  <c r="U7071" i="2"/>
  <c r="S7071" i="2"/>
  <c r="T7071" i="2" s="1"/>
  <c r="U7070" i="2"/>
  <c r="S7070" i="2"/>
  <c r="T7070" i="2" s="1"/>
  <c r="U7069" i="2"/>
  <c r="S7069" i="2"/>
  <c r="T7069" i="2" s="1"/>
  <c r="U7068" i="2"/>
  <c r="S7068" i="2"/>
  <c r="T7068" i="2" s="1"/>
  <c r="U7067" i="2"/>
  <c r="S7067" i="2"/>
  <c r="T7067" i="2" s="1"/>
  <c r="U7066" i="2"/>
  <c r="S7066" i="2"/>
  <c r="T7066" i="2" s="1"/>
  <c r="U7065" i="2"/>
  <c r="S7065" i="2"/>
  <c r="T7065" i="2" s="1"/>
  <c r="U7064" i="2"/>
  <c r="T7064" i="2"/>
  <c r="S7064" i="2"/>
  <c r="U7063" i="2"/>
  <c r="S7063" i="2"/>
  <c r="T7063" i="2" s="1"/>
  <c r="U7062" i="2"/>
  <c r="S7062" i="2"/>
  <c r="T7062" i="2" s="1"/>
  <c r="U7061" i="2"/>
  <c r="S7061" i="2"/>
  <c r="T7061" i="2" s="1"/>
  <c r="U7060" i="2"/>
  <c r="S7060" i="2"/>
  <c r="T7060" i="2" s="1"/>
  <c r="U7059" i="2"/>
  <c r="S7059" i="2"/>
  <c r="T7059" i="2" s="1"/>
  <c r="U7058" i="2"/>
  <c r="S7058" i="2"/>
  <c r="T7058" i="2" s="1"/>
  <c r="U7057" i="2"/>
  <c r="S7057" i="2"/>
  <c r="T7057" i="2" s="1"/>
  <c r="U7056" i="2"/>
  <c r="S7056" i="2"/>
  <c r="T7056" i="2" s="1"/>
  <c r="U7055" i="2"/>
  <c r="S7055" i="2"/>
  <c r="T7055" i="2" s="1"/>
  <c r="U7054" i="2"/>
  <c r="S7054" i="2"/>
  <c r="T7054" i="2" s="1"/>
  <c r="U7053" i="2"/>
  <c r="S7053" i="2"/>
  <c r="T7053" i="2" s="1"/>
  <c r="U7052" i="2"/>
  <c r="S7052" i="2"/>
  <c r="T7052" i="2" s="1"/>
  <c r="U7051" i="2"/>
  <c r="S7051" i="2"/>
  <c r="T7051" i="2" s="1"/>
  <c r="U7050" i="2"/>
  <c r="S7050" i="2"/>
  <c r="T7050" i="2" s="1"/>
  <c r="U7049" i="2"/>
  <c r="S7049" i="2"/>
  <c r="T7049" i="2" s="1"/>
  <c r="U7048" i="2"/>
  <c r="S7048" i="2"/>
  <c r="T7048" i="2" s="1"/>
  <c r="U7047" i="2"/>
  <c r="S7047" i="2"/>
  <c r="T7047" i="2" s="1"/>
  <c r="U7046" i="2"/>
  <c r="S7046" i="2"/>
  <c r="T7046" i="2" s="1"/>
  <c r="U7045" i="2"/>
  <c r="S7045" i="2"/>
  <c r="T7045" i="2" s="1"/>
  <c r="U7044" i="2"/>
  <c r="S7044" i="2"/>
  <c r="T7044" i="2" s="1"/>
  <c r="U7043" i="2"/>
  <c r="S7043" i="2"/>
  <c r="T7043" i="2" s="1"/>
  <c r="U7042" i="2"/>
  <c r="S7042" i="2"/>
  <c r="T7042" i="2" s="1"/>
  <c r="U7041" i="2"/>
  <c r="S7041" i="2"/>
  <c r="T7041" i="2" s="1"/>
  <c r="U7040" i="2"/>
  <c r="S7040" i="2"/>
  <c r="T7040" i="2" s="1"/>
  <c r="U7039" i="2"/>
  <c r="S7039" i="2"/>
  <c r="T7039" i="2" s="1"/>
  <c r="U7038" i="2"/>
  <c r="S7038" i="2"/>
  <c r="T7038" i="2" s="1"/>
  <c r="U7037" i="2"/>
  <c r="S7037" i="2"/>
  <c r="T7037" i="2" s="1"/>
  <c r="U7036" i="2"/>
  <c r="S7036" i="2"/>
  <c r="T7036" i="2" s="1"/>
  <c r="U7035" i="2"/>
  <c r="S7035" i="2"/>
  <c r="T7035" i="2" s="1"/>
  <c r="U7034" i="2"/>
  <c r="S7034" i="2"/>
  <c r="T7034" i="2" s="1"/>
  <c r="U7033" i="2"/>
  <c r="S7033" i="2"/>
  <c r="T7033" i="2" s="1"/>
  <c r="U7032" i="2"/>
  <c r="S7032" i="2"/>
  <c r="T7032" i="2" s="1"/>
  <c r="U7031" i="2"/>
  <c r="S7031" i="2"/>
  <c r="T7031" i="2" s="1"/>
  <c r="U7030" i="2"/>
  <c r="S7030" i="2"/>
  <c r="T7030" i="2" s="1"/>
  <c r="U7029" i="2"/>
  <c r="S7029" i="2"/>
  <c r="T7029" i="2" s="1"/>
  <c r="U7028" i="2"/>
  <c r="S7028" i="2"/>
  <c r="T7028" i="2" s="1"/>
  <c r="U7027" i="2"/>
  <c r="S7027" i="2"/>
  <c r="T7027" i="2" s="1"/>
  <c r="U7026" i="2"/>
  <c r="S7026" i="2"/>
  <c r="T7026" i="2" s="1"/>
  <c r="U7025" i="2"/>
  <c r="S7025" i="2"/>
  <c r="T7025" i="2" s="1"/>
  <c r="U7024" i="2"/>
  <c r="S7024" i="2"/>
  <c r="T7024" i="2" s="1"/>
  <c r="U7023" i="2"/>
  <c r="S7023" i="2"/>
  <c r="T7023" i="2" s="1"/>
  <c r="U7022" i="2"/>
  <c r="S7022" i="2"/>
  <c r="T7022" i="2" s="1"/>
  <c r="U7021" i="2"/>
  <c r="T7021" i="2"/>
  <c r="S7021" i="2"/>
  <c r="U7020" i="2"/>
  <c r="S7020" i="2"/>
  <c r="T7020" i="2" s="1"/>
  <c r="U7019" i="2"/>
  <c r="S7019" i="2"/>
  <c r="T7019" i="2" s="1"/>
  <c r="U7018" i="2"/>
  <c r="S7018" i="2"/>
  <c r="T7018" i="2" s="1"/>
  <c r="U7017" i="2"/>
  <c r="T7017" i="2"/>
  <c r="S7017" i="2"/>
  <c r="U7016" i="2"/>
  <c r="S7016" i="2"/>
  <c r="T7016" i="2" s="1"/>
  <c r="U7015" i="2"/>
  <c r="S7015" i="2"/>
  <c r="T7015" i="2" s="1"/>
  <c r="U7014" i="2"/>
  <c r="S7014" i="2"/>
  <c r="T7014" i="2" s="1"/>
  <c r="U7013" i="2"/>
  <c r="S7013" i="2"/>
  <c r="T7013" i="2" s="1"/>
  <c r="U7012" i="2"/>
  <c r="S7012" i="2"/>
  <c r="T7012" i="2" s="1"/>
  <c r="U7011" i="2"/>
  <c r="S7011" i="2"/>
  <c r="T7011" i="2" s="1"/>
  <c r="U7010" i="2"/>
  <c r="S7010" i="2"/>
  <c r="T7010" i="2" s="1"/>
  <c r="U7009" i="2"/>
  <c r="S7009" i="2"/>
  <c r="T7009" i="2" s="1"/>
  <c r="U7008" i="2"/>
  <c r="S7008" i="2"/>
  <c r="T7008" i="2" s="1"/>
  <c r="U7007" i="2"/>
  <c r="S7007" i="2"/>
  <c r="T7007" i="2" s="1"/>
  <c r="U7006" i="2"/>
  <c r="S7006" i="2"/>
  <c r="T7006" i="2" s="1"/>
  <c r="U7005" i="2"/>
  <c r="S7005" i="2"/>
  <c r="T7005" i="2" s="1"/>
  <c r="U7004" i="2"/>
  <c r="S7004" i="2"/>
  <c r="T7004" i="2" s="1"/>
  <c r="U7003" i="2"/>
  <c r="S7003" i="2"/>
  <c r="T7003" i="2" s="1"/>
  <c r="U7002" i="2"/>
  <c r="S7002" i="2"/>
  <c r="T7002" i="2" s="1"/>
  <c r="U7001" i="2"/>
  <c r="S7001" i="2"/>
  <c r="T7001" i="2" s="1"/>
  <c r="U7000" i="2"/>
  <c r="S7000" i="2"/>
  <c r="T7000" i="2" s="1"/>
  <c r="U6999" i="2"/>
  <c r="S6999" i="2"/>
  <c r="T6999" i="2" s="1"/>
  <c r="U6998" i="2"/>
  <c r="S6998" i="2"/>
  <c r="T6998" i="2" s="1"/>
  <c r="U6997" i="2"/>
  <c r="S6997" i="2"/>
  <c r="T6997" i="2" s="1"/>
  <c r="U6996" i="2"/>
  <c r="S6996" i="2"/>
  <c r="T6996" i="2" s="1"/>
  <c r="U6995" i="2"/>
  <c r="S6995" i="2"/>
  <c r="T6995" i="2" s="1"/>
  <c r="U6994" i="2"/>
  <c r="S6994" i="2"/>
  <c r="T6994" i="2" s="1"/>
  <c r="U6993" i="2"/>
  <c r="S6993" i="2"/>
  <c r="T6993" i="2" s="1"/>
  <c r="U6992" i="2"/>
  <c r="S6992" i="2"/>
  <c r="T6992" i="2" s="1"/>
  <c r="U6991" i="2"/>
  <c r="S6991" i="2"/>
  <c r="T6991" i="2" s="1"/>
  <c r="U6990" i="2"/>
  <c r="S6990" i="2"/>
  <c r="T6990" i="2" s="1"/>
  <c r="U6989" i="2"/>
  <c r="S6989" i="2"/>
  <c r="T6989" i="2" s="1"/>
  <c r="U6988" i="2"/>
  <c r="S6988" i="2"/>
  <c r="T6988" i="2" s="1"/>
  <c r="U6987" i="2"/>
  <c r="S6987" i="2"/>
  <c r="T6987" i="2" s="1"/>
  <c r="U6986" i="2"/>
  <c r="S6986" i="2"/>
  <c r="T6986" i="2" s="1"/>
  <c r="U6985" i="2"/>
  <c r="S6985" i="2"/>
  <c r="T6985" i="2" s="1"/>
  <c r="U6984" i="2"/>
  <c r="T6984" i="2"/>
  <c r="S6984" i="2"/>
  <c r="U6983" i="2"/>
  <c r="S6983" i="2"/>
  <c r="T6983" i="2" s="1"/>
  <c r="U6982" i="2"/>
  <c r="S6982" i="2"/>
  <c r="T6982" i="2" s="1"/>
  <c r="U6981" i="2"/>
  <c r="S6981" i="2"/>
  <c r="T6981" i="2" s="1"/>
  <c r="U6980" i="2"/>
  <c r="S6980" i="2"/>
  <c r="T6980" i="2" s="1"/>
  <c r="U6979" i="2"/>
  <c r="S6979" i="2"/>
  <c r="T6979" i="2" s="1"/>
  <c r="U6978" i="2"/>
  <c r="S6978" i="2"/>
  <c r="T6978" i="2" s="1"/>
  <c r="U6977" i="2"/>
  <c r="S6977" i="2"/>
  <c r="T6977" i="2" s="1"/>
  <c r="U6976" i="2"/>
  <c r="S6976" i="2"/>
  <c r="T6976" i="2" s="1"/>
  <c r="U6975" i="2"/>
  <c r="S6975" i="2"/>
  <c r="T6975" i="2" s="1"/>
  <c r="U6974" i="2"/>
  <c r="S6974" i="2"/>
  <c r="T6974" i="2" s="1"/>
  <c r="U6973" i="2"/>
  <c r="S6973" i="2"/>
  <c r="T6973" i="2" s="1"/>
  <c r="U6972" i="2"/>
  <c r="S6972" i="2"/>
  <c r="T6972" i="2" s="1"/>
  <c r="U6971" i="2"/>
  <c r="S6971" i="2"/>
  <c r="T6971" i="2" s="1"/>
  <c r="U6970" i="2"/>
  <c r="S6970" i="2"/>
  <c r="T6970" i="2" s="1"/>
  <c r="U6969" i="2"/>
  <c r="S6969" i="2"/>
  <c r="T6969" i="2" s="1"/>
  <c r="U6968" i="2"/>
  <c r="S6968" i="2"/>
  <c r="T6968" i="2" s="1"/>
  <c r="U6967" i="2"/>
  <c r="S6967" i="2"/>
  <c r="T6967" i="2" s="1"/>
  <c r="U6966" i="2"/>
  <c r="S6966" i="2"/>
  <c r="T6966" i="2" s="1"/>
  <c r="U6965" i="2"/>
  <c r="S6965" i="2"/>
  <c r="T6965" i="2" s="1"/>
  <c r="U6964" i="2"/>
  <c r="S6964" i="2"/>
  <c r="T6964" i="2" s="1"/>
  <c r="U6963" i="2"/>
  <c r="S6963" i="2"/>
  <c r="T6963" i="2" s="1"/>
  <c r="U6962" i="2"/>
  <c r="S6962" i="2"/>
  <c r="T6962" i="2" s="1"/>
  <c r="U6961" i="2"/>
  <c r="S6961" i="2"/>
  <c r="T6961" i="2" s="1"/>
  <c r="U6960" i="2"/>
  <c r="S6960" i="2"/>
  <c r="T6960" i="2" s="1"/>
  <c r="U6959" i="2"/>
  <c r="S6959" i="2"/>
  <c r="T6959" i="2" s="1"/>
  <c r="U6958" i="2"/>
  <c r="S6958" i="2"/>
  <c r="T6958" i="2" s="1"/>
  <c r="U6957" i="2"/>
  <c r="S6957" i="2"/>
  <c r="T6957" i="2" s="1"/>
  <c r="U6956" i="2"/>
  <c r="S6956" i="2"/>
  <c r="T6956" i="2" s="1"/>
  <c r="U6955" i="2"/>
  <c r="S6955" i="2"/>
  <c r="T6955" i="2" s="1"/>
  <c r="U6954" i="2"/>
  <c r="S6954" i="2"/>
  <c r="T6954" i="2" s="1"/>
  <c r="U6953" i="2"/>
  <c r="S6953" i="2"/>
  <c r="T6953" i="2" s="1"/>
  <c r="U6952" i="2"/>
  <c r="S6952" i="2"/>
  <c r="T6952" i="2" s="1"/>
  <c r="U6951" i="2"/>
  <c r="S6951" i="2"/>
  <c r="T6951" i="2" s="1"/>
  <c r="U6950" i="2"/>
  <c r="S6950" i="2"/>
  <c r="T6950" i="2" s="1"/>
  <c r="U6949" i="2"/>
  <c r="S6949" i="2"/>
  <c r="T6949" i="2" s="1"/>
  <c r="U6948" i="2"/>
  <c r="S6948" i="2"/>
  <c r="T6948" i="2" s="1"/>
  <c r="U6947" i="2"/>
  <c r="S6947" i="2"/>
  <c r="T6947" i="2" s="1"/>
  <c r="U6946" i="2"/>
  <c r="S6946" i="2"/>
  <c r="T6946" i="2" s="1"/>
  <c r="U6945" i="2"/>
  <c r="S6945" i="2"/>
  <c r="T6945" i="2" s="1"/>
  <c r="U6944" i="2"/>
  <c r="S6944" i="2"/>
  <c r="T6944" i="2" s="1"/>
  <c r="U6943" i="2"/>
  <c r="S6943" i="2"/>
  <c r="T6943" i="2" s="1"/>
  <c r="U6942" i="2"/>
  <c r="S6942" i="2"/>
  <c r="T6942" i="2" s="1"/>
  <c r="U6941" i="2"/>
  <c r="S6941" i="2"/>
  <c r="T6941" i="2" s="1"/>
  <c r="U6940" i="2"/>
  <c r="S6940" i="2"/>
  <c r="T6940" i="2" s="1"/>
  <c r="U6939" i="2"/>
  <c r="S6939" i="2"/>
  <c r="T6939" i="2" s="1"/>
  <c r="U6938" i="2"/>
  <c r="S6938" i="2"/>
  <c r="T6938" i="2" s="1"/>
  <c r="U6937" i="2"/>
  <c r="S6937" i="2"/>
  <c r="T6937" i="2" s="1"/>
  <c r="U6936" i="2"/>
  <c r="S6936" i="2"/>
  <c r="T6936" i="2" s="1"/>
  <c r="U6935" i="2"/>
  <c r="S6935" i="2"/>
  <c r="T6935" i="2" s="1"/>
  <c r="U6934" i="2"/>
  <c r="S6934" i="2"/>
  <c r="T6934" i="2" s="1"/>
  <c r="U6933" i="2"/>
  <c r="S6933" i="2"/>
  <c r="T6933" i="2" s="1"/>
  <c r="U6932" i="2"/>
  <c r="S6932" i="2"/>
  <c r="T6932" i="2" s="1"/>
  <c r="U6931" i="2"/>
  <c r="S6931" i="2"/>
  <c r="T6931" i="2" s="1"/>
  <c r="U6930" i="2"/>
  <c r="S6930" i="2"/>
  <c r="T6930" i="2" s="1"/>
  <c r="U6929" i="2"/>
  <c r="S6929" i="2"/>
  <c r="T6929" i="2" s="1"/>
  <c r="U6928" i="2"/>
  <c r="S6928" i="2"/>
  <c r="T6928" i="2" s="1"/>
  <c r="U6927" i="2"/>
  <c r="S6927" i="2"/>
  <c r="T6927" i="2" s="1"/>
  <c r="U6926" i="2"/>
  <c r="S6926" i="2"/>
  <c r="T6926" i="2" s="1"/>
  <c r="U6925" i="2"/>
  <c r="S6925" i="2"/>
  <c r="T6925" i="2" s="1"/>
  <c r="U6924" i="2"/>
  <c r="S6924" i="2"/>
  <c r="T6924" i="2" s="1"/>
  <c r="U6923" i="2"/>
  <c r="S6923" i="2"/>
  <c r="T6923" i="2" s="1"/>
  <c r="U6922" i="2"/>
  <c r="S6922" i="2"/>
  <c r="T6922" i="2" s="1"/>
  <c r="U6921" i="2"/>
  <c r="S6921" i="2"/>
  <c r="T6921" i="2" s="1"/>
  <c r="U6920" i="2"/>
  <c r="S6920" i="2"/>
  <c r="T6920" i="2" s="1"/>
  <c r="U6919" i="2"/>
  <c r="S6919" i="2"/>
  <c r="T6919" i="2" s="1"/>
  <c r="U6918" i="2"/>
  <c r="S6918" i="2"/>
  <c r="T6918" i="2" s="1"/>
  <c r="U6917" i="2"/>
  <c r="S6917" i="2"/>
  <c r="T6917" i="2" s="1"/>
  <c r="U6916" i="2"/>
  <c r="S6916" i="2"/>
  <c r="T6916" i="2" s="1"/>
  <c r="U6915" i="2"/>
  <c r="S6915" i="2"/>
  <c r="T6915" i="2" s="1"/>
  <c r="U6914" i="2"/>
  <c r="S6914" i="2"/>
  <c r="T6914" i="2" s="1"/>
  <c r="U6913" i="2"/>
  <c r="S6913" i="2"/>
  <c r="T6913" i="2" s="1"/>
  <c r="U6912" i="2"/>
  <c r="T6912" i="2"/>
  <c r="S6912" i="2"/>
  <c r="U6911" i="2"/>
  <c r="S6911" i="2"/>
  <c r="T6911" i="2" s="1"/>
  <c r="U6910" i="2"/>
  <c r="S6910" i="2"/>
  <c r="T6910" i="2" s="1"/>
  <c r="U6909" i="2"/>
  <c r="S6909" i="2"/>
  <c r="T6909" i="2" s="1"/>
  <c r="U6908" i="2"/>
  <c r="S6908" i="2"/>
  <c r="T6908" i="2" s="1"/>
  <c r="U6907" i="2"/>
  <c r="S6907" i="2"/>
  <c r="T6907" i="2" s="1"/>
  <c r="U6906" i="2"/>
  <c r="S6906" i="2"/>
  <c r="T6906" i="2" s="1"/>
  <c r="U6905" i="2"/>
  <c r="S6905" i="2"/>
  <c r="T6905" i="2" s="1"/>
  <c r="U6904" i="2"/>
  <c r="S6904" i="2"/>
  <c r="T6904" i="2" s="1"/>
  <c r="U6903" i="2"/>
  <c r="S6903" i="2"/>
  <c r="T6903" i="2" s="1"/>
  <c r="U6902" i="2"/>
  <c r="S6902" i="2"/>
  <c r="T6902" i="2" s="1"/>
  <c r="U6901" i="2"/>
  <c r="S6901" i="2"/>
  <c r="T6901" i="2" s="1"/>
  <c r="U6900" i="2"/>
  <c r="S6900" i="2"/>
  <c r="T6900" i="2" s="1"/>
  <c r="U6899" i="2"/>
  <c r="S6899" i="2"/>
  <c r="T6899" i="2" s="1"/>
  <c r="U6898" i="2"/>
  <c r="S6898" i="2"/>
  <c r="T6898" i="2" s="1"/>
  <c r="U6897" i="2"/>
  <c r="S6897" i="2"/>
  <c r="T6897" i="2" s="1"/>
  <c r="U6896" i="2"/>
  <c r="S6896" i="2"/>
  <c r="T6896" i="2" s="1"/>
  <c r="U6895" i="2"/>
  <c r="S6895" i="2"/>
  <c r="T6895" i="2" s="1"/>
  <c r="U6894" i="2"/>
  <c r="T6894" i="2"/>
  <c r="S6894" i="2"/>
  <c r="U6893" i="2"/>
  <c r="S6893" i="2"/>
  <c r="T6893" i="2" s="1"/>
  <c r="U6892" i="2"/>
  <c r="S6892" i="2"/>
  <c r="T6892" i="2" s="1"/>
  <c r="U6891" i="2"/>
  <c r="S6891" i="2"/>
  <c r="T6891" i="2" s="1"/>
  <c r="U6890" i="2"/>
  <c r="S6890" i="2"/>
  <c r="T6890" i="2" s="1"/>
  <c r="U6889" i="2"/>
  <c r="S6889" i="2"/>
  <c r="T6889" i="2" s="1"/>
  <c r="U6888" i="2"/>
  <c r="S6888" i="2"/>
  <c r="T6888" i="2" s="1"/>
  <c r="U6887" i="2"/>
  <c r="S6887" i="2"/>
  <c r="T6887" i="2" s="1"/>
  <c r="U6886" i="2"/>
  <c r="S6886" i="2"/>
  <c r="T6886" i="2" s="1"/>
  <c r="U6885" i="2"/>
  <c r="S6885" i="2"/>
  <c r="T6885" i="2" s="1"/>
  <c r="U6884" i="2"/>
  <c r="S6884" i="2"/>
  <c r="T6884" i="2" s="1"/>
  <c r="U6883" i="2"/>
  <c r="S6883" i="2"/>
  <c r="T6883" i="2" s="1"/>
  <c r="U6882" i="2"/>
  <c r="S6882" i="2"/>
  <c r="T6882" i="2" s="1"/>
  <c r="U6881" i="2"/>
  <c r="S6881" i="2"/>
  <c r="T6881" i="2" s="1"/>
  <c r="U6880" i="2"/>
  <c r="S6880" i="2"/>
  <c r="T6880" i="2" s="1"/>
  <c r="U6879" i="2"/>
  <c r="S6879" i="2"/>
  <c r="T6879" i="2" s="1"/>
  <c r="U6878" i="2"/>
  <c r="S6878" i="2"/>
  <c r="T6878" i="2" s="1"/>
  <c r="U6877" i="2"/>
  <c r="S6877" i="2"/>
  <c r="T6877" i="2" s="1"/>
  <c r="U6876" i="2"/>
  <c r="S6876" i="2"/>
  <c r="T6876" i="2" s="1"/>
  <c r="U6875" i="2"/>
  <c r="S6875" i="2"/>
  <c r="T6875" i="2" s="1"/>
  <c r="U6874" i="2"/>
  <c r="S6874" i="2"/>
  <c r="T6874" i="2" s="1"/>
  <c r="U6873" i="2"/>
  <c r="S6873" i="2"/>
  <c r="T6873" i="2" s="1"/>
  <c r="U6872" i="2"/>
  <c r="S6872" i="2"/>
  <c r="T6872" i="2" s="1"/>
  <c r="U6871" i="2"/>
  <c r="S6871" i="2"/>
  <c r="T6871" i="2" s="1"/>
  <c r="U6870" i="2"/>
  <c r="S6870" i="2"/>
  <c r="T6870" i="2" s="1"/>
  <c r="U6869" i="2"/>
  <c r="S6869" i="2"/>
  <c r="T6869" i="2" s="1"/>
  <c r="U6868" i="2"/>
  <c r="S6868" i="2"/>
  <c r="T6868" i="2" s="1"/>
  <c r="U6867" i="2"/>
  <c r="S6867" i="2"/>
  <c r="T6867" i="2" s="1"/>
  <c r="U6866" i="2"/>
  <c r="S6866" i="2"/>
  <c r="T6866" i="2" s="1"/>
  <c r="U6865" i="2"/>
  <c r="S6865" i="2"/>
  <c r="T6865" i="2" s="1"/>
  <c r="U6864" i="2"/>
  <c r="S6864" i="2"/>
  <c r="T6864" i="2" s="1"/>
  <c r="U6863" i="2"/>
  <c r="S6863" i="2"/>
  <c r="T6863" i="2" s="1"/>
  <c r="U6862" i="2"/>
  <c r="S6862" i="2"/>
  <c r="T6862" i="2" s="1"/>
  <c r="U6861" i="2"/>
  <c r="S6861" i="2"/>
  <c r="T6861" i="2" s="1"/>
  <c r="U6860" i="2"/>
  <c r="S6860" i="2"/>
  <c r="T6860" i="2" s="1"/>
  <c r="U6859" i="2"/>
  <c r="S6859" i="2"/>
  <c r="T6859" i="2" s="1"/>
  <c r="U6858" i="2"/>
  <c r="S6858" i="2"/>
  <c r="T6858" i="2" s="1"/>
  <c r="U6857" i="2"/>
  <c r="S6857" i="2"/>
  <c r="T6857" i="2" s="1"/>
  <c r="U6856" i="2"/>
  <c r="S6856" i="2"/>
  <c r="T6856" i="2" s="1"/>
  <c r="U6855" i="2"/>
  <c r="S6855" i="2"/>
  <c r="T6855" i="2" s="1"/>
  <c r="U6854" i="2"/>
  <c r="S6854" i="2"/>
  <c r="T6854" i="2" s="1"/>
  <c r="U6853" i="2"/>
  <c r="S6853" i="2"/>
  <c r="T6853" i="2" s="1"/>
  <c r="U6852" i="2"/>
  <c r="S6852" i="2"/>
  <c r="T6852" i="2" s="1"/>
  <c r="U6851" i="2"/>
  <c r="S6851" i="2"/>
  <c r="T6851" i="2" s="1"/>
  <c r="U6850" i="2"/>
  <c r="S6850" i="2"/>
  <c r="T6850" i="2" s="1"/>
  <c r="U6849" i="2"/>
  <c r="S6849" i="2"/>
  <c r="T6849" i="2" s="1"/>
  <c r="U6848" i="2"/>
  <c r="S6848" i="2"/>
  <c r="T6848" i="2" s="1"/>
  <c r="U6847" i="2"/>
  <c r="S6847" i="2"/>
  <c r="T6847" i="2" s="1"/>
  <c r="U6846" i="2"/>
  <c r="S6846" i="2"/>
  <c r="T6846" i="2" s="1"/>
  <c r="U6845" i="2"/>
  <c r="S6845" i="2"/>
  <c r="T6845" i="2" s="1"/>
  <c r="U6844" i="2"/>
  <c r="S6844" i="2"/>
  <c r="T6844" i="2" s="1"/>
  <c r="U6843" i="2"/>
  <c r="S6843" i="2"/>
  <c r="T6843" i="2" s="1"/>
  <c r="U6842" i="2"/>
  <c r="S6842" i="2"/>
  <c r="T6842" i="2" s="1"/>
  <c r="U6841" i="2"/>
  <c r="S6841" i="2"/>
  <c r="T6841" i="2" s="1"/>
  <c r="U6840" i="2"/>
  <c r="S6840" i="2"/>
  <c r="T6840" i="2" s="1"/>
  <c r="U6839" i="2"/>
  <c r="S6839" i="2"/>
  <c r="T6839" i="2" s="1"/>
  <c r="U6838" i="2"/>
  <c r="T6838" i="2"/>
  <c r="S6838" i="2"/>
  <c r="U6837" i="2"/>
  <c r="S6837" i="2"/>
  <c r="T6837" i="2" s="1"/>
  <c r="U6836" i="2"/>
  <c r="S6836" i="2"/>
  <c r="T6836" i="2" s="1"/>
  <c r="U6835" i="2"/>
  <c r="S6835" i="2"/>
  <c r="T6835" i="2" s="1"/>
  <c r="U6834" i="2"/>
  <c r="S6834" i="2"/>
  <c r="T6834" i="2" s="1"/>
  <c r="U6833" i="2"/>
  <c r="S6833" i="2"/>
  <c r="T6833" i="2" s="1"/>
  <c r="U6832" i="2"/>
  <c r="S6832" i="2"/>
  <c r="T6832" i="2" s="1"/>
  <c r="U6831" i="2"/>
  <c r="S6831" i="2"/>
  <c r="T6831" i="2" s="1"/>
  <c r="U6830" i="2"/>
  <c r="S6830" i="2"/>
  <c r="T6830" i="2" s="1"/>
  <c r="U6829" i="2"/>
  <c r="S6829" i="2"/>
  <c r="T6829" i="2" s="1"/>
  <c r="U6828" i="2"/>
  <c r="S6828" i="2"/>
  <c r="T6828" i="2" s="1"/>
  <c r="U6827" i="2"/>
  <c r="S6827" i="2"/>
  <c r="T6827" i="2" s="1"/>
  <c r="U6826" i="2"/>
  <c r="S6826" i="2"/>
  <c r="T6826" i="2" s="1"/>
  <c r="U6825" i="2"/>
  <c r="S6825" i="2"/>
  <c r="T6825" i="2" s="1"/>
  <c r="U6824" i="2"/>
  <c r="S6824" i="2"/>
  <c r="T6824" i="2" s="1"/>
  <c r="U6823" i="2"/>
  <c r="S6823" i="2"/>
  <c r="T6823" i="2" s="1"/>
  <c r="U6822" i="2"/>
  <c r="S6822" i="2"/>
  <c r="T6822" i="2" s="1"/>
  <c r="U6821" i="2"/>
  <c r="S6821" i="2"/>
  <c r="T6821" i="2" s="1"/>
  <c r="U6820" i="2"/>
  <c r="S6820" i="2"/>
  <c r="T6820" i="2" s="1"/>
  <c r="U6819" i="2"/>
  <c r="S6819" i="2"/>
  <c r="T6819" i="2" s="1"/>
  <c r="U6818" i="2"/>
  <c r="S6818" i="2"/>
  <c r="T6818" i="2" s="1"/>
  <c r="U6817" i="2"/>
  <c r="S6817" i="2"/>
  <c r="T6817" i="2" s="1"/>
  <c r="U6816" i="2"/>
  <c r="S6816" i="2"/>
  <c r="T6816" i="2" s="1"/>
  <c r="U6815" i="2"/>
  <c r="S6815" i="2"/>
  <c r="T6815" i="2" s="1"/>
  <c r="U6814" i="2"/>
  <c r="S6814" i="2"/>
  <c r="T6814" i="2" s="1"/>
  <c r="U6813" i="2"/>
  <c r="S6813" i="2"/>
  <c r="T6813" i="2" s="1"/>
  <c r="U6812" i="2"/>
  <c r="S6812" i="2"/>
  <c r="T6812" i="2" s="1"/>
  <c r="U6811" i="2"/>
  <c r="S6811" i="2"/>
  <c r="T6811" i="2" s="1"/>
  <c r="U6810" i="2"/>
  <c r="S6810" i="2"/>
  <c r="T6810" i="2" s="1"/>
  <c r="U6809" i="2"/>
  <c r="S6809" i="2"/>
  <c r="T6809" i="2" s="1"/>
  <c r="U6808" i="2"/>
  <c r="S6808" i="2"/>
  <c r="T6808" i="2" s="1"/>
  <c r="U6807" i="2"/>
  <c r="S6807" i="2"/>
  <c r="T6807" i="2" s="1"/>
  <c r="U6806" i="2"/>
  <c r="S6806" i="2"/>
  <c r="T6806" i="2" s="1"/>
  <c r="U6805" i="2"/>
  <c r="S6805" i="2"/>
  <c r="T6805" i="2" s="1"/>
  <c r="U6804" i="2"/>
  <c r="S6804" i="2"/>
  <c r="T6804" i="2" s="1"/>
  <c r="U6803" i="2"/>
  <c r="S6803" i="2"/>
  <c r="T6803" i="2" s="1"/>
  <c r="U6802" i="2"/>
  <c r="S6802" i="2"/>
  <c r="T6802" i="2" s="1"/>
  <c r="U6801" i="2"/>
  <c r="S6801" i="2"/>
  <c r="T6801" i="2" s="1"/>
  <c r="U6800" i="2"/>
  <c r="S6800" i="2"/>
  <c r="T6800" i="2" s="1"/>
  <c r="U6799" i="2"/>
  <c r="S6799" i="2"/>
  <c r="T6799" i="2" s="1"/>
  <c r="U6798" i="2"/>
  <c r="S6798" i="2"/>
  <c r="T6798" i="2" s="1"/>
  <c r="U6797" i="2"/>
  <c r="S6797" i="2"/>
  <c r="T6797" i="2" s="1"/>
  <c r="U6796" i="2"/>
  <c r="S6796" i="2"/>
  <c r="T6796" i="2" s="1"/>
  <c r="U6795" i="2"/>
  <c r="S6795" i="2"/>
  <c r="T6795" i="2" s="1"/>
  <c r="U6794" i="2"/>
  <c r="S6794" i="2"/>
  <c r="T6794" i="2" s="1"/>
  <c r="U6793" i="2"/>
  <c r="S6793" i="2"/>
  <c r="T6793" i="2" s="1"/>
  <c r="U6792" i="2"/>
  <c r="S6792" i="2"/>
  <c r="T6792" i="2" s="1"/>
  <c r="U6791" i="2"/>
  <c r="S6791" i="2"/>
  <c r="T6791" i="2" s="1"/>
  <c r="U6790" i="2"/>
  <c r="S6790" i="2"/>
  <c r="T6790" i="2" s="1"/>
  <c r="U6789" i="2"/>
  <c r="S6789" i="2"/>
  <c r="T6789" i="2" s="1"/>
  <c r="U6788" i="2"/>
  <c r="S6788" i="2"/>
  <c r="T6788" i="2" s="1"/>
  <c r="U6787" i="2"/>
  <c r="S6787" i="2"/>
  <c r="T6787" i="2" s="1"/>
  <c r="U6786" i="2"/>
  <c r="S6786" i="2"/>
  <c r="T6786" i="2" s="1"/>
  <c r="U6785" i="2"/>
  <c r="S6785" i="2"/>
  <c r="T6785" i="2" s="1"/>
  <c r="U6784" i="2"/>
  <c r="S6784" i="2"/>
  <c r="T6784" i="2" s="1"/>
  <c r="U6783" i="2"/>
  <c r="S6783" i="2"/>
  <c r="T6783" i="2" s="1"/>
  <c r="U6782" i="2"/>
  <c r="S6782" i="2"/>
  <c r="T6782" i="2" s="1"/>
  <c r="U6781" i="2"/>
  <c r="S6781" i="2"/>
  <c r="T6781" i="2" s="1"/>
  <c r="U6780" i="2"/>
  <c r="S6780" i="2"/>
  <c r="T6780" i="2" s="1"/>
  <c r="U6779" i="2"/>
  <c r="S6779" i="2"/>
  <c r="T6779" i="2" s="1"/>
  <c r="U6778" i="2"/>
  <c r="S6778" i="2"/>
  <c r="T6778" i="2" s="1"/>
  <c r="U6777" i="2"/>
  <c r="S6777" i="2"/>
  <c r="T6777" i="2" s="1"/>
  <c r="U6776" i="2"/>
  <c r="S6776" i="2"/>
  <c r="T6776" i="2" s="1"/>
  <c r="U6775" i="2"/>
  <c r="S6775" i="2"/>
  <c r="T6775" i="2" s="1"/>
  <c r="U6774" i="2"/>
  <c r="S6774" i="2"/>
  <c r="T6774" i="2" s="1"/>
  <c r="U6773" i="2"/>
  <c r="S6773" i="2"/>
  <c r="T6773" i="2" s="1"/>
  <c r="U6772" i="2"/>
  <c r="T6772" i="2"/>
  <c r="S6772" i="2"/>
  <c r="U6771" i="2"/>
  <c r="S6771" i="2"/>
  <c r="T6771" i="2" s="1"/>
  <c r="U6770" i="2"/>
  <c r="S6770" i="2"/>
  <c r="T6770" i="2" s="1"/>
  <c r="U6769" i="2"/>
  <c r="S6769" i="2"/>
  <c r="T6769" i="2" s="1"/>
  <c r="U6768" i="2"/>
  <c r="S6768" i="2"/>
  <c r="T6768" i="2" s="1"/>
  <c r="U6767" i="2"/>
  <c r="S6767" i="2"/>
  <c r="T6767" i="2" s="1"/>
  <c r="U6766" i="2"/>
  <c r="T6766" i="2"/>
  <c r="S6766" i="2"/>
  <c r="U6765" i="2"/>
  <c r="S6765" i="2"/>
  <c r="T6765" i="2" s="1"/>
  <c r="U6764" i="2"/>
  <c r="S6764" i="2"/>
  <c r="T6764" i="2" s="1"/>
  <c r="U6763" i="2"/>
  <c r="S6763" i="2"/>
  <c r="T6763" i="2" s="1"/>
  <c r="U6762" i="2"/>
  <c r="S6762" i="2"/>
  <c r="T6762" i="2" s="1"/>
  <c r="U6761" i="2"/>
  <c r="S6761" i="2"/>
  <c r="T6761" i="2" s="1"/>
  <c r="U6760" i="2"/>
  <c r="S6760" i="2"/>
  <c r="T6760" i="2" s="1"/>
  <c r="U6759" i="2"/>
  <c r="S6759" i="2"/>
  <c r="T6759" i="2" s="1"/>
  <c r="U6758" i="2"/>
  <c r="S6758" i="2"/>
  <c r="T6758" i="2" s="1"/>
  <c r="U6757" i="2"/>
  <c r="S6757" i="2"/>
  <c r="T6757" i="2" s="1"/>
  <c r="U6756" i="2"/>
  <c r="S6756" i="2"/>
  <c r="T6756" i="2" s="1"/>
  <c r="U6755" i="2"/>
  <c r="S6755" i="2"/>
  <c r="T6755" i="2" s="1"/>
  <c r="U6754" i="2"/>
  <c r="S6754" i="2"/>
  <c r="T6754" i="2" s="1"/>
  <c r="U6753" i="2"/>
  <c r="S6753" i="2"/>
  <c r="T6753" i="2" s="1"/>
  <c r="U6752" i="2"/>
  <c r="S6752" i="2"/>
  <c r="T6752" i="2" s="1"/>
  <c r="U6751" i="2"/>
  <c r="S6751" i="2"/>
  <c r="T6751" i="2" s="1"/>
  <c r="U6750" i="2"/>
  <c r="S6750" i="2"/>
  <c r="T6750" i="2" s="1"/>
  <c r="U6749" i="2"/>
  <c r="S6749" i="2"/>
  <c r="T6749" i="2" s="1"/>
  <c r="U6748" i="2"/>
  <c r="S6748" i="2"/>
  <c r="T6748" i="2" s="1"/>
  <c r="U6747" i="2"/>
  <c r="S6747" i="2"/>
  <c r="T6747" i="2" s="1"/>
  <c r="U6746" i="2"/>
  <c r="S6746" i="2"/>
  <c r="T6746" i="2" s="1"/>
  <c r="U6745" i="2"/>
  <c r="S6745" i="2"/>
  <c r="T6745" i="2" s="1"/>
  <c r="U6744" i="2"/>
  <c r="S6744" i="2"/>
  <c r="T6744" i="2" s="1"/>
  <c r="U6743" i="2"/>
  <c r="S6743" i="2"/>
  <c r="T6743" i="2" s="1"/>
  <c r="U6742" i="2"/>
  <c r="S6742" i="2"/>
  <c r="T6742" i="2" s="1"/>
  <c r="U6741" i="2"/>
  <c r="S6741" i="2"/>
  <c r="T6741" i="2" s="1"/>
  <c r="U6740" i="2"/>
  <c r="S6740" i="2"/>
  <c r="T6740" i="2" s="1"/>
  <c r="U6739" i="2"/>
  <c r="S6739" i="2"/>
  <c r="T6739" i="2" s="1"/>
  <c r="U6738" i="2"/>
  <c r="S6738" i="2"/>
  <c r="T6738" i="2" s="1"/>
  <c r="U6737" i="2"/>
  <c r="S6737" i="2"/>
  <c r="T6737" i="2" s="1"/>
  <c r="U6736" i="2"/>
  <c r="S6736" i="2"/>
  <c r="T6736" i="2" s="1"/>
  <c r="U6735" i="2"/>
  <c r="S6735" i="2"/>
  <c r="T6735" i="2" s="1"/>
  <c r="U6734" i="2"/>
  <c r="S6734" i="2"/>
  <c r="T6734" i="2" s="1"/>
  <c r="U6733" i="2"/>
  <c r="S6733" i="2"/>
  <c r="T6733" i="2" s="1"/>
  <c r="U6732" i="2"/>
  <c r="S6732" i="2"/>
  <c r="T6732" i="2" s="1"/>
  <c r="U6731" i="2"/>
  <c r="S6731" i="2"/>
  <c r="T6731" i="2" s="1"/>
  <c r="U6730" i="2"/>
  <c r="T6730" i="2"/>
  <c r="S6730" i="2"/>
  <c r="U6729" i="2"/>
  <c r="S6729" i="2"/>
  <c r="T6729" i="2" s="1"/>
  <c r="U6728" i="2"/>
  <c r="S6728" i="2"/>
  <c r="T6728" i="2" s="1"/>
  <c r="U6727" i="2"/>
  <c r="S6727" i="2"/>
  <c r="T6727" i="2" s="1"/>
  <c r="U6726" i="2"/>
  <c r="S6726" i="2"/>
  <c r="T6726" i="2" s="1"/>
  <c r="U6725" i="2"/>
  <c r="S6725" i="2"/>
  <c r="T6725" i="2" s="1"/>
  <c r="U6724" i="2"/>
  <c r="S6724" i="2"/>
  <c r="T6724" i="2" s="1"/>
  <c r="U6723" i="2"/>
  <c r="S6723" i="2"/>
  <c r="T6723" i="2" s="1"/>
  <c r="U6722" i="2"/>
  <c r="S6722" i="2"/>
  <c r="T6722" i="2" s="1"/>
  <c r="U6721" i="2"/>
  <c r="S6721" i="2"/>
  <c r="T6721" i="2" s="1"/>
  <c r="U6720" i="2"/>
  <c r="S6720" i="2"/>
  <c r="T6720" i="2" s="1"/>
  <c r="U6719" i="2"/>
  <c r="S6719" i="2"/>
  <c r="T6719" i="2" s="1"/>
  <c r="U6718" i="2"/>
  <c r="S6718" i="2"/>
  <c r="T6718" i="2" s="1"/>
  <c r="U6717" i="2"/>
  <c r="S6717" i="2"/>
  <c r="T6717" i="2" s="1"/>
  <c r="U6716" i="2"/>
  <c r="S6716" i="2"/>
  <c r="T6716" i="2" s="1"/>
  <c r="U6715" i="2"/>
  <c r="S6715" i="2"/>
  <c r="T6715" i="2" s="1"/>
  <c r="U6714" i="2"/>
  <c r="S6714" i="2"/>
  <c r="T6714" i="2" s="1"/>
  <c r="U6713" i="2"/>
  <c r="S6713" i="2"/>
  <c r="T6713" i="2" s="1"/>
  <c r="U6712" i="2"/>
  <c r="S6712" i="2"/>
  <c r="T6712" i="2" s="1"/>
  <c r="U6711" i="2"/>
  <c r="S6711" i="2"/>
  <c r="T6711" i="2" s="1"/>
  <c r="U6710" i="2"/>
  <c r="S6710" i="2"/>
  <c r="T6710" i="2" s="1"/>
  <c r="U6709" i="2"/>
  <c r="S6709" i="2"/>
  <c r="T6709" i="2" s="1"/>
  <c r="U6708" i="2"/>
  <c r="S6708" i="2"/>
  <c r="T6708" i="2" s="1"/>
  <c r="U6707" i="2"/>
  <c r="S6707" i="2"/>
  <c r="T6707" i="2" s="1"/>
  <c r="U6706" i="2"/>
  <c r="S6706" i="2"/>
  <c r="T6706" i="2" s="1"/>
  <c r="U6705" i="2"/>
  <c r="S6705" i="2"/>
  <c r="T6705" i="2" s="1"/>
  <c r="U6704" i="2"/>
  <c r="S6704" i="2"/>
  <c r="T6704" i="2" s="1"/>
  <c r="U6703" i="2"/>
  <c r="S6703" i="2"/>
  <c r="T6703" i="2" s="1"/>
  <c r="U6702" i="2"/>
  <c r="S6702" i="2"/>
  <c r="T6702" i="2" s="1"/>
  <c r="U6701" i="2"/>
  <c r="S6701" i="2"/>
  <c r="T6701" i="2" s="1"/>
  <c r="U6700" i="2"/>
  <c r="S6700" i="2"/>
  <c r="T6700" i="2" s="1"/>
  <c r="U6699" i="2"/>
  <c r="S6699" i="2"/>
  <c r="T6699" i="2" s="1"/>
  <c r="U6698" i="2"/>
  <c r="S6698" i="2"/>
  <c r="T6698" i="2" s="1"/>
  <c r="U6697" i="2"/>
  <c r="S6697" i="2"/>
  <c r="T6697" i="2" s="1"/>
  <c r="U6696" i="2"/>
  <c r="S6696" i="2"/>
  <c r="T6696" i="2" s="1"/>
  <c r="U6695" i="2"/>
  <c r="S6695" i="2"/>
  <c r="T6695" i="2" s="1"/>
  <c r="U6694" i="2"/>
  <c r="S6694" i="2"/>
  <c r="T6694" i="2" s="1"/>
  <c r="U6693" i="2"/>
  <c r="S6693" i="2"/>
  <c r="T6693" i="2" s="1"/>
  <c r="U6692" i="2"/>
  <c r="S6692" i="2"/>
  <c r="T6692" i="2" s="1"/>
  <c r="U6691" i="2"/>
  <c r="S6691" i="2"/>
  <c r="T6691" i="2" s="1"/>
  <c r="U6690" i="2"/>
  <c r="S6690" i="2"/>
  <c r="T6690" i="2" s="1"/>
  <c r="U6689" i="2"/>
  <c r="S6689" i="2"/>
  <c r="T6689" i="2" s="1"/>
  <c r="U6688" i="2"/>
  <c r="S6688" i="2"/>
  <c r="T6688" i="2" s="1"/>
  <c r="U6687" i="2"/>
  <c r="S6687" i="2"/>
  <c r="T6687" i="2" s="1"/>
  <c r="U6686" i="2"/>
  <c r="S6686" i="2"/>
  <c r="T6686" i="2" s="1"/>
  <c r="U6685" i="2"/>
  <c r="S6685" i="2"/>
  <c r="T6685" i="2" s="1"/>
  <c r="U6684" i="2"/>
  <c r="S6684" i="2"/>
  <c r="T6684" i="2" s="1"/>
  <c r="U6683" i="2"/>
  <c r="S6683" i="2"/>
  <c r="T6683" i="2" s="1"/>
  <c r="U6682" i="2"/>
  <c r="S6682" i="2"/>
  <c r="T6682" i="2" s="1"/>
  <c r="U6681" i="2"/>
  <c r="S6681" i="2"/>
  <c r="T6681" i="2" s="1"/>
  <c r="U6680" i="2"/>
  <c r="S6680" i="2"/>
  <c r="T6680" i="2" s="1"/>
  <c r="U6679" i="2"/>
  <c r="S6679" i="2"/>
  <c r="T6679" i="2" s="1"/>
  <c r="U6678" i="2"/>
  <c r="S6678" i="2"/>
  <c r="T6678" i="2" s="1"/>
  <c r="U6677" i="2"/>
  <c r="S6677" i="2"/>
  <c r="T6677" i="2" s="1"/>
  <c r="U6676" i="2"/>
  <c r="S6676" i="2"/>
  <c r="T6676" i="2" s="1"/>
  <c r="U6675" i="2"/>
  <c r="S6675" i="2"/>
  <c r="T6675" i="2" s="1"/>
  <c r="U6674" i="2"/>
  <c r="S6674" i="2"/>
  <c r="T6674" i="2" s="1"/>
  <c r="U6673" i="2"/>
  <c r="S6673" i="2"/>
  <c r="T6673" i="2" s="1"/>
  <c r="U6672" i="2"/>
  <c r="S6672" i="2"/>
  <c r="T6672" i="2" s="1"/>
  <c r="U6671" i="2"/>
  <c r="S6671" i="2"/>
  <c r="T6671" i="2" s="1"/>
  <c r="U6670" i="2"/>
  <c r="T6670" i="2"/>
  <c r="S6670" i="2"/>
  <c r="U6669" i="2"/>
  <c r="S6669" i="2"/>
  <c r="T6669" i="2" s="1"/>
  <c r="U6668" i="2"/>
  <c r="S6668" i="2"/>
  <c r="T6668" i="2" s="1"/>
  <c r="U6667" i="2"/>
  <c r="S6667" i="2"/>
  <c r="T6667" i="2" s="1"/>
  <c r="U6666" i="2"/>
  <c r="S6666" i="2"/>
  <c r="T6666" i="2" s="1"/>
  <c r="U6665" i="2"/>
  <c r="S6665" i="2"/>
  <c r="T6665" i="2" s="1"/>
  <c r="U6664" i="2"/>
  <c r="S6664" i="2"/>
  <c r="T6664" i="2" s="1"/>
  <c r="U6663" i="2"/>
  <c r="S6663" i="2"/>
  <c r="T6663" i="2" s="1"/>
  <c r="U6662" i="2"/>
  <c r="S6662" i="2"/>
  <c r="T6662" i="2" s="1"/>
  <c r="U6661" i="2"/>
  <c r="S6661" i="2"/>
  <c r="T6661" i="2" s="1"/>
  <c r="U6660" i="2"/>
  <c r="S6660" i="2"/>
  <c r="T6660" i="2" s="1"/>
  <c r="U6659" i="2"/>
  <c r="S6659" i="2"/>
  <c r="T6659" i="2" s="1"/>
  <c r="U6658" i="2"/>
  <c r="S6658" i="2"/>
  <c r="T6658" i="2" s="1"/>
  <c r="U6657" i="2"/>
  <c r="S6657" i="2"/>
  <c r="T6657" i="2" s="1"/>
  <c r="U6656" i="2"/>
  <c r="S6656" i="2"/>
  <c r="T6656" i="2" s="1"/>
  <c r="U6655" i="2"/>
  <c r="S6655" i="2"/>
  <c r="T6655" i="2" s="1"/>
  <c r="U6654" i="2"/>
  <c r="S6654" i="2"/>
  <c r="T6654" i="2" s="1"/>
  <c r="U6653" i="2"/>
  <c r="S6653" i="2"/>
  <c r="T6653" i="2" s="1"/>
  <c r="U6652" i="2"/>
  <c r="S6652" i="2"/>
  <c r="T6652" i="2" s="1"/>
  <c r="U6651" i="2"/>
  <c r="S6651" i="2"/>
  <c r="T6651" i="2" s="1"/>
  <c r="U6650" i="2"/>
  <c r="S6650" i="2"/>
  <c r="T6650" i="2" s="1"/>
  <c r="U6649" i="2"/>
  <c r="S6649" i="2"/>
  <c r="T6649" i="2" s="1"/>
  <c r="U6648" i="2"/>
  <c r="S6648" i="2"/>
  <c r="T6648" i="2" s="1"/>
  <c r="U6647" i="2"/>
  <c r="S6647" i="2"/>
  <c r="T6647" i="2" s="1"/>
  <c r="U6646" i="2"/>
  <c r="S6646" i="2"/>
  <c r="T6646" i="2" s="1"/>
  <c r="U6645" i="2"/>
  <c r="S6645" i="2"/>
  <c r="T6645" i="2" s="1"/>
  <c r="U6644" i="2"/>
  <c r="S6644" i="2"/>
  <c r="T6644" i="2" s="1"/>
  <c r="U6643" i="2"/>
  <c r="S6643" i="2"/>
  <c r="T6643" i="2" s="1"/>
  <c r="U6642" i="2"/>
  <c r="S6642" i="2"/>
  <c r="T6642" i="2" s="1"/>
  <c r="U6641" i="2"/>
  <c r="S6641" i="2"/>
  <c r="T6641" i="2" s="1"/>
  <c r="U6640" i="2"/>
  <c r="S6640" i="2"/>
  <c r="T6640" i="2" s="1"/>
  <c r="U6639" i="2"/>
  <c r="S6639" i="2"/>
  <c r="T6639" i="2" s="1"/>
  <c r="U6638" i="2"/>
  <c r="S6638" i="2"/>
  <c r="T6638" i="2" s="1"/>
  <c r="U6637" i="2"/>
  <c r="S6637" i="2"/>
  <c r="T6637" i="2" s="1"/>
  <c r="U6636" i="2"/>
  <c r="S6636" i="2"/>
  <c r="T6636" i="2" s="1"/>
  <c r="U6635" i="2"/>
  <c r="S6635" i="2"/>
  <c r="T6635" i="2" s="1"/>
  <c r="U6634" i="2"/>
  <c r="S6634" i="2"/>
  <c r="T6634" i="2" s="1"/>
  <c r="U6633" i="2"/>
  <c r="S6633" i="2"/>
  <c r="T6633" i="2" s="1"/>
  <c r="U6632" i="2"/>
  <c r="S6632" i="2"/>
  <c r="T6632" i="2" s="1"/>
  <c r="U6631" i="2"/>
  <c r="S6631" i="2"/>
  <c r="T6631" i="2" s="1"/>
  <c r="U6630" i="2"/>
  <c r="S6630" i="2"/>
  <c r="T6630" i="2" s="1"/>
  <c r="U6629" i="2"/>
  <c r="S6629" i="2"/>
  <c r="T6629" i="2" s="1"/>
  <c r="U6628" i="2"/>
  <c r="S6628" i="2"/>
  <c r="T6628" i="2" s="1"/>
  <c r="U6627" i="2"/>
  <c r="S6627" i="2"/>
  <c r="T6627" i="2" s="1"/>
  <c r="U6626" i="2"/>
  <c r="S6626" i="2"/>
  <c r="T6626" i="2" s="1"/>
  <c r="U6625" i="2"/>
  <c r="S6625" i="2"/>
  <c r="T6625" i="2" s="1"/>
  <c r="U6624" i="2"/>
  <c r="S6624" i="2"/>
  <c r="T6624" i="2" s="1"/>
  <c r="U6623" i="2"/>
  <c r="S6623" i="2"/>
  <c r="T6623" i="2" s="1"/>
  <c r="U6622" i="2"/>
  <c r="S6622" i="2"/>
  <c r="T6622" i="2" s="1"/>
  <c r="U6621" i="2"/>
  <c r="S6621" i="2"/>
  <c r="T6621" i="2" s="1"/>
  <c r="U6620" i="2"/>
  <c r="S6620" i="2"/>
  <c r="T6620" i="2" s="1"/>
  <c r="U6619" i="2"/>
  <c r="S6619" i="2"/>
  <c r="T6619" i="2" s="1"/>
  <c r="U6618" i="2"/>
  <c r="S6618" i="2"/>
  <c r="T6618" i="2" s="1"/>
  <c r="U6617" i="2"/>
  <c r="S6617" i="2"/>
  <c r="T6617" i="2" s="1"/>
  <c r="U6616" i="2"/>
  <c r="S6616" i="2"/>
  <c r="T6616" i="2" s="1"/>
  <c r="U6615" i="2"/>
  <c r="S6615" i="2"/>
  <c r="T6615" i="2" s="1"/>
  <c r="U6614" i="2"/>
  <c r="S6614" i="2"/>
  <c r="T6614" i="2" s="1"/>
  <c r="U6613" i="2"/>
  <c r="S6613" i="2"/>
  <c r="T6613" i="2" s="1"/>
  <c r="U6612" i="2"/>
  <c r="S6612" i="2"/>
  <c r="T6612" i="2" s="1"/>
  <c r="U6611" i="2"/>
  <c r="S6611" i="2"/>
  <c r="T6611" i="2" s="1"/>
  <c r="U6610" i="2"/>
  <c r="S6610" i="2"/>
  <c r="T6610" i="2" s="1"/>
  <c r="U6609" i="2"/>
  <c r="S6609" i="2"/>
  <c r="T6609" i="2" s="1"/>
  <c r="U6608" i="2"/>
  <c r="S6608" i="2"/>
  <c r="T6608" i="2" s="1"/>
  <c r="U6607" i="2"/>
  <c r="S6607" i="2"/>
  <c r="T6607" i="2" s="1"/>
  <c r="U6606" i="2"/>
  <c r="S6606" i="2"/>
  <c r="T6606" i="2" s="1"/>
  <c r="U6605" i="2"/>
  <c r="S6605" i="2"/>
  <c r="T6605" i="2" s="1"/>
  <c r="U6604" i="2"/>
  <c r="S6604" i="2"/>
  <c r="T6604" i="2" s="1"/>
  <c r="U6603" i="2"/>
  <c r="S6603" i="2"/>
  <c r="T6603" i="2" s="1"/>
  <c r="U6602" i="2"/>
  <c r="S6602" i="2"/>
  <c r="T6602" i="2" s="1"/>
  <c r="U6601" i="2"/>
  <c r="S6601" i="2"/>
  <c r="T6601" i="2" s="1"/>
  <c r="U6600" i="2"/>
  <c r="S6600" i="2"/>
  <c r="T6600" i="2" s="1"/>
  <c r="U6599" i="2"/>
  <c r="S6599" i="2"/>
  <c r="T6599" i="2" s="1"/>
  <c r="U6598" i="2"/>
  <c r="S6598" i="2"/>
  <c r="T6598" i="2" s="1"/>
  <c r="U6597" i="2"/>
  <c r="S6597" i="2"/>
  <c r="T6597" i="2" s="1"/>
  <c r="U6596" i="2"/>
  <c r="S6596" i="2"/>
  <c r="T6596" i="2" s="1"/>
  <c r="U6595" i="2"/>
  <c r="S6595" i="2"/>
  <c r="T6595" i="2" s="1"/>
  <c r="U6594" i="2"/>
  <c r="S6594" i="2"/>
  <c r="T6594" i="2" s="1"/>
  <c r="U6593" i="2"/>
  <c r="S6593" i="2"/>
  <c r="T6593" i="2" s="1"/>
  <c r="U6592" i="2"/>
  <c r="S6592" i="2"/>
  <c r="T6592" i="2" s="1"/>
  <c r="U6591" i="2"/>
  <c r="S6591" i="2"/>
  <c r="T6591" i="2" s="1"/>
  <c r="U6590" i="2"/>
  <c r="T6590" i="2"/>
  <c r="S6590" i="2"/>
  <c r="U6589" i="2"/>
  <c r="S6589" i="2"/>
  <c r="T6589" i="2" s="1"/>
  <c r="U6588" i="2"/>
  <c r="S6588" i="2"/>
  <c r="T6588" i="2" s="1"/>
  <c r="U6587" i="2"/>
  <c r="S6587" i="2"/>
  <c r="T6587" i="2" s="1"/>
  <c r="U6586" i="2"/>
  <c r="S6586" i="2"/>
  <c r="T6586" i="2" s="1"/>
  <c r="U6585" i="2"/>
  <c r="S6585" i="2"/>
  <c r="T6585" i="2" s="1"/>
  <c r="U6584" i="2"/>
  <c r="S6584" i="2"/>
  <c r="T6584" i="2" s="1"/>
  <c r="U6583" i="2"/>
  <c r="S6583" i="2"/>
  <c r="T6583" i="2" s="1"/>
  <c r="U6582" i="2"/>
  <c r="S6582" i="2"/>
  <c r="T6582" i="2" s="1"/>
  <c r="U6581" i="2"/>
  <c r="T6581" i="2"/>
  <c r="S6581" i="2"/>
  <c r="U6580" i="2"/>
  <c r="S6580" i="2"/>
  <c r="T6580" i="2" s="1"/>
  <c r="U6579" i="2"/>
  <c r="S6579" i="2"/>
  <c r="T6579" i="2" s="1"/>
  <c r="U6578" i="2"/>
  <c r="S6578" i="2"/>
  <c r="T6578" i="2" s="1"/>
  <c r="U6577" i="2"/>
  <c r="S6577" i="2"/>
  <c r="T6577" i="2" s="1"/>
  <c r="U6576" i="2"/>
  <c r="S6576" i="2"/>
  <c r="T6576" i="2" s="1"/>
  <c r="U6575" i="2"/>
  <c r="S6575" i="2"/>
  <c r="T6575" i="2" s="1"/>
  <c r="U6574" i="2"/>
  <c r="S6574" i="2"/>
  <c r="T6574" i="2" s="1"/>
  <c r="U6573" i="2"/>
  <c r="S6573" i="2"/>
  <c r="T6573" i="2" s="1"/>
  <c r="U6572" i="2"/>
  <c r="S6572" i="2"/>
  <c r="T6572" i="2" s="1"/>
  <c r="U6571" i="2"/>
  <c r="S6571" i="2"/>
  <c r="T6571" i="2" s="1"/>
  <c r="U6570" i="2"/>
  <c r="T6570" i="2"/>
  <c r="S6570" i="2"/>
  <c r="U6569" i="2"/>
  <c r="S6569" i="2"/>
  <c r="T6569" i="2" s="1"/>
  <c r="U6568" i="2"/>
  <c r="S6568" i="2"/>
  <c r="T6568" i="2" s="1"/>
  <c r="U6567" i="2"/>
  <c r="S6567" i="2"/>
  <c r="T6567" i="2" s="1"/>
  <c r="U6566" i="2"/>
  <c r="S6566" i="2"/>
  <c r="T6566" i="2" s="1"/>
  <c r="U6565" i="2"/>
  <c r="S6565" i="2"/>
  <c r="T6565" i="2" s="1"/>
  <c r="U6564" i="2"/>
  <c r="S6564" i="2"/>
  <c r="T6564" i="2" s="1"/>
  <c r="U6563" i="2"/>
  <c r="S6563" i="2"/>
  <c r="T6563" i="2" s="1"/>
  <c r="U6562" i="2"/>
  <c r="S6562" i="2"/>
  <c r="T6562" i="2" s="1"/>
  <c r="U6561" i="2"/>
  <c r="S6561" i="2"/>
  <c r="T6561" i="2" s="1"/>
  <c r="U6560" i="2"/>
  <c r="S6560" i="2"/>
  <c r="T6560" i="2" s="1"/>
  <c r="U6559" i="2"/>
  <c r="S6559" i="2"/>
  <c r="T6559" i="2" s="1"/>
  <c r="U6558" i="2"/>
  <c r="S6558" i="2"/>
  <c r="T6558" i="2" s="1"/>
  <c r="U6557" i="2"/>
  <c r="S6557" i="2"/>
  <c r="T6557" i="2" s="1"/>
  <c r="U6556" i="2"/>
  <c r="S6556" i="2"/>
  <c r="T6556" i="2" s="1"/>
  <c r="U6555" i="2"/>
  <c r="S6555" i="2"/>
  <c r="T6555" i="2" s="1"/>
  <c r="U6554" i="2"/>
  <c r="S6554" i="2"/>
  <c r="T6554" i="2" s="1"/>
  <c r="U6553" i="2"/>
  <c r="S6553" i="2"/>
  <c r="T6553" i="2" s="1"/>
  <c r="U6552" i="2"/>
  <c r="S6552" i="2"/>
  <c r="T6552" i="2" s="1"/>
  <c r="U6551" i="2"/>
  <c r="S6551" i="2"/>
  <c r="T6551" i="2" s="1"/>
  <c r="U6550" i="2"/>
  <c r="S6550" i="2"/>
  <c r="T6550" i="2" s="1"/>
  <c r="U6549" i="2"/>
  <c r="S6549" i="2"/>
  <c r="T6549" i="2" s="1"/>
  <c r="U6548" i="2"/>
  <c r="S6548" i="2"/>
  <c r="T6548" i="2" s="1"/>
  <c r="U6547" i="2"/>
  <c r="S6547" i="2"/>
  <c r="T6547" i="2" s="1"/>
  <c r="U6546" i="2"/>
  <c r="S6546" i="2"/>
  <c r="T6546" i="2" s="1"/>
  <c r="U6545" i="2"/>
  <c r="S6545" i="2"/>
  <c r="T6545" i="2" s="1"/>
  <c r="U6544" i="2"/>
  <c r="S6544" i="2"/>
  <c r="T6544" i="2" s="1"/>
  <c r="U6543" i="2"/>
  <c r="S6543" i="2"/>
  <c r="T6543" i="2" s="1"/>
  <c r="U6542" i="2"/>
  <c r="S6542" i="2"/>
  <c r="T6542" i="2" s="1"/>
  <c r="U6541" i="2"/>
  <c r="S6541" i="2"/>
  <c r="T6541" i="2" s="1"/>
  <c r="U6540" i="2"/>
  <c r="S6540" i="2"/>
  <c r="T6540" i="2" s="1"/>
  <c r="U6539" i="2"/>
  <c r="S6539" i="2"/>
  <c r="T6539" i="2" s="1"/>
  <c r="U6538" i="2"/>
  <c r="S6538" i="2"/>
  <c r="T6538" i="2" s="1"/>
  <c r="U6537" i="2"/>
  <c r="S6537" i="2"/>
  <c r="T6537" i="2" s="1"/>
  <c r="U6536" i="2"/>
  <c r="S6536" i="2"/>
  <c r="T6536" i="2" s="1"/>
  <c r="U6535" i="2"/>
  <c r="S6535" i="2"/>
  <c r="T6535" i="2" s="1"/>
  <c r="U6534" i="2"/>
  <c r="S6534" i="2"/>
  <c r="T6534" i="2" s="1"/>
  <c r="U6533" i="2"/>
  <c r="S6533" i="2"/>
  <c r="T6533" i="2" s="1"/>
  <c r="U6532" i="2"/>
  <c r="S6532" i="2"/>
  <c r="T6532" i="2" s="1"/>
  <c r="U6531" i="2"/>
  <c r="S6531" i="2"/>
  <c r="T6531" i="2" s="1"/>
  <c r="U6530" i="2"/>
  <c r="S6530" i="2"/>
  <c r="T6530" i="2" s="1"/>
  <c r="U6529" i="2"/>
  <c r="S6529" i="2"/>
  <c r="T6529" i="2" s="1"/>
  <c r="U6528" i="2"/>
  <c r="T6528" i="2"/>
  <c r="S6528" i="2"/>
  <c r="U6527" i="2"/>
  <c r="S6527" i="2"/>
  <c r="T6527" i="2" s="1"/>
  <c r="U6526" i="2"/>
  <c r="S6526" i="2"/>
  <c r="T6526" i="2" s="1"/>
  <c r="U6525" i="2"/>
  <c r="S6525" i="2"/>
  <c r="T6525" i="2" s="1"/>
  <c r="U6524" i="2"/>
  <c r="S6524" i="2"/>
  <c r="T6524" i="2" s="1"/>
  <c r="U6523" i="2"/>
  <c r="S6523" i="2"/>
  <c r="T6523" i="2" s="1"/>
  <c r="U6522" i="2"/>
  <c r="S6522" i="2"/>
  <c r="T6522" i="2" s="1"/>
  <c r="U6521" i="2"/>
  <c r="S6521" i="2"/>
  <c r="T6521" i="2" s="1"/>
  <c r="U6520" i="2"/>
  <c r="S6520" i="2"/>
  <c r="T6520" i="2" s="1"/>
  <c r="U6519" i="2"/>
  <c r="S6519" i="2"/>
  <c r="T6519" i="2" s="1"/>
  <c r="U6518" i="2"/>
  <c r="S6518" i="2"/>
  <c r="T6518" i="2" s="1"/>
  <c r="U6517" i="2"/>
  <c r="S6517" i="2"/>
  <c r="T6517" i="2" s="1"/>
  <c r="U6516" i="2"/>
  <c r="S6516" i="2"/>
  <c r="T6516" i="2" s="1"/>
  <c r="U6515" i="2"/>
  <c r="S6515" i="2"/>
  <c r="T6515" i="2" s="1"/>
  <c r="U6514" i="2"/>
  <c r="S6514" i="2"/>
  <c r="T6514" i="2" s="1"/>
  <c r="U6513" i="2"/>
  <c r="T6513" i="2"/>
  <c r="S6513" i="2"/>
  <c r="U6512" i="2"/>
  <c r="S6512" i="2"/>
  <c r="T6512" i="2" s="1"/>
  <c r="U6511" i="2"/>
  <c r="S6511" i="2"/>
  <c r="T6511" i="2" s="1"/>
  <c r="U6510" i="2"/>
  <c r="S6510" i="2"/>
  <c r="T6510" i="2" s="1"/>
  <c r="U6509" i="2"/>
  <c r="S6509" i="2"/>
  <c r="T6509" i="2" s="1"/>
  <c r="U6508" i="2"/>
  <c r="S6508" i="2"/>
  <c r="T6508" i="2" s="1"/>
  <c r="U6507" i="2"/>
  <c r="S6507" i="2"/>
  <c r="T6507" i="2" s="1"/>
  <c r="U6506" i="2"/>
  <c r="S6506" i="2"/>
  <c r="T6506" i="2" s="1"/>
  <c r="U6505" i="2"/>
  <c r="S6505" i="2"/>
  <c r="T6505" i="2" s="1"/>
  <c r="U6504" i="2"/>
  <c r="S6504" i="2"/>
  <c r="T6504" i="2" s="1"/>
  <c r="U6503" i="2"/>
  <c r="S6503" i="2"/>
  <c r="T6503" i="2" s="1"/>
  <c r="U6502" i="2"/>
  <c r="S6502" i="2"/>
  <c r="T6502" i="2" s="1"/>
  <c r="U6501" i="2"/>
  <c r="S6501" i="2"/>
  <c r="T6501" i="2" s="1"/>
  <c r="U6500" i="2"/>
  <c r="S6500" i="2"/>
  <c r="T6500" i="2" s="1"/>
  <c r="U6499" i="2"/>
  <c r="S6499" i="2"/>
  <c r="T6499" i="2" s="1"/>
  <c r="U6498" i="2"/>
  <c r="S6498" i="2"/>
  <c r="T6498" i="2" s="1"/>
  <c r="U6497" i="2"/>
  <c r="S6497" i="2"/>
  <c r="T6497" i="2" s="1"/>
  <c r="U6496" i="2"/>
  <c r="S6496" i="2"/>
  <c r="T6496" i="2" s="1"/>
  <c r="U6495" i="2"/>
  <c r="S6495" i="2"/>
  <c r="T6495" i="2" s="1"/>
  <c r="U6494" i="2"/>
  <c r="S6494" i="2"/>
  <c r="T6494" i="2" s="1"/>
  <c r="U6493" i="2"/>
  <c r="S6493" i="2"/>
  <c r="T6493" i="2" s="1"/>
  <c r="U6492" i="2"/>
  <c r="S6492" i="2"/>
  <c r="T6492" i="2" s="1"/>
  <c r="U6491" i="2"/>
  <c r="S6491" i="2"/>
  <c r="T6491" i="2" s="1"/>
  <c r="U6490" i="2"/>
  <c r="S6490" i="2"/>
  <c r="T6490" i="2" s="1"/>
  <c r="U6489" i="2"/>
  <c r="S6489" i="2"/>
  <c r="T6489" i="2" s="1"/>
  <c r="U6488" i="2"/>
  <c r="S6488" i="2"/>
  <c r="T6488" i="2" s="1"/>
  <c r="U6487" i="2"/>
  <c r="S6487" i="2"/>
  <c r="T6487" i="2" s="1"/>
  <c r="U6486" i="2"/>
  <c r="S6486" i="2"/>
  <c r="T6486" i="2" s="1"/>
  <c r="U6485" i="2"/>
  <c r="S6485" i="2"/>
  <c r="T6485" i="2" s="1"/>
  <c r="U6484" i="2"/>
  <c r="S6484" i="2"/>
  <c r="T6484" i="2" s="1"/>
  <c r="U6483" i="2"/>
  <c r="S6483" i="2"/>
  <c r="T6483" i="2" s="1"/>
  <c r="U6482" i="2"/>
  <c r="S6482" i="2"/>
  <c r="T6482" i="2" s="1"/>
  <c r="U6481" i="2"/>
  <c r="T6481" i="2"/>
  <c r="S6481" i="2"/>
  <c r="U6480" i="2"/>
  <c r="S6480" i="2"/>
  <c r="T6480" i="2" s="1"/>
  <c r="U6479" i="2"/>
  <c r="S6479" i="2"/>
  <c r="T6479" i="2" s="1"/>
  <c r="U6478" i="2"/>
  <c r="S6478" i="2"/>
  <c r="T6478" i="2" s="1"/>
  <c r="U6477" i="2"/>
  <c r="T6477" i="2"/>
  <c r="S6477" i="2"/>
  <c r="U6476" i="2"/>
  <c r="S6476" i="2"/>
  <c r="T6476" i="2" s="1"/>
  <c r="U6475" i="2"/>
  <c r="S6475" i="2"/>
  <c r="T6475" i="2" s="1"/>
  <c r="U6474" i="2"/>
  <c r="S6474" i="2"/>
  <c r="T6474" i="2" s="1"/>
  <c r="U6473" i="2"/>
  <c r="S6473" i="2"/>
  <c r="T6473" i="2" s="1"/>
  <c r="U6472" i="2"/>
  <c r="S6472" i="2"/>
  <c r="T6472" i="2" s="1"/>
  <c r="U6471" i="2"/>
  <c r="S6471" i="2"/>
  <c r="T6471" i="2" s="1"/>
  <c r="U6470" i="2"/>
  <c r="S6470" i="2"/>
  <c r="T6470" i="2" s="1"/>
  <c r="U6469" i="2"/>
  <c r="S6469" i="2"/>
  <c r="T6469" i="2" s="1"/>
  <c r="U6468" i="2"/>
  <c r="S6468" i="2"/>
  <c r="T6468" i="2" s="1"/>
  <c r="U6467" i="2"/>
  <c r="S6467" i="2"/>
  <c r="T6467" i="2" s="1"/>
  <c r="U6466" i="2"/>
  <c r="S6466" i="2"/>
  <c r="T6466" i="2" s="1"/>
  <c r="U6465" i="2"/>
  <c r="S6465" i="2"/>
  <c r="T6465" i="2" s="1"/>
  <c r="U6464" i="2"/>
  <c r="S6464" i="2"/>
  <c r="T6464" i="2" s="1"/>
  <c r="U6463" i="2"/>
  <c r="S6463" i="2"/>
  <c r="T6463" i="2" s="1"/>
  <c r="U6462" i="2"/>
  <c r="S6462" i="2"/>
  <c r="T6462" i="2" s="1"/>
  <c r="U6461" i="2"/>
  <c r="S6461" i="2"/>
  <c r="T6461" i="2" s="1"/>
  <c r="U6460" i="2"/>
  <c r="S6460" i="2"/>
  <c r="T6460" i="2" s="1"/>
  <c r="U6459" i="2"/>
  <c r="S6459" i="2"/>
  <c r="T6459" i="2" s="1"/>
  <c r="U6458" i="2"/>
  <c r="S6458" i="2"/>
  <c r="T6458" i="2" s="1"/>
  <c r="U6457" i="2"/>
  <c r="S6457" i="2"/>
  <c r="T6457" i="2" s="1"/>
  <c r="U6456" i="2"/>
  <c r="S6456" i="2"/>
  <c r="T6456" i="2" s="1"/>
  <c r="U6455" i="2"/>
  <c r="S6455" i="2"/>
  <c r="T6455" i="2" s="1"/>
  <c r="U6454" i="2"/>
  <c r="S6454" i="2"/>
  <c r="T6454" i="2" s="1"/>
  <c r="U6453" i="2"/>
  <c r="S6453" i="2"/>
  <c r="T6453" i="2" s="1"/>
  <c r="U6452" i="2"/>
  <c r="S6452" i="2"/>
  <c r="T6452" i="2" s="1"/>
  <c r="U6451" i="2"/>
  <c r="S6451" i="2"/>
  <c r="T6451" i="2" s="1"/>
  <c r="U6450" i="2"/>
  <c r="S6450" i="2"/>
  <c r="T6450" i="2" s="1"/>
  <c r="U6449" i="2"/>
  <c r="S6449" i="2"/>
  <c r="T6449" i="2" s="1"/>
  <c r="U6448" i="2"/>
  <c r="S6448" i="2"/>
  <c r="T6448" i="2" s="1"/>
  <c r="U6447" i="2"/>
  <c r="S6447" i="2"/>
  <c r="T6447" i="2" s="1"/>
  <c r="U6446" i="2"/>
  <c r="S6446" i="2"/>
  <c r="T6446" i="2" s="1"/>
  <c r="U6445" i="2"/>
  <c r="S6445" i="2"/>
  <c r="T6445" i="2" s="1"/>
  <c r="U6444" i="2"/>
  <c r="S6444" i="2"/>
  <c r="T6444" i="2" s="1"/>
  <c r="U6443" i="2"/>
  <c r="S6443" i="2"/>
  <c r="T6443" i="2" s="1"/>
  <c r="U6442" i="2"/>
  <c r="S6442" i="2"/>
  <c r="T6442" i="2" s="1"/>
  <c r="U6441" i="2"/>
  <c r="S6441" i="2"/>
  <c r="T6441" i="2" s="1"/>
  <c r="U6440" i="2"/>
  <c r="S6440" i="2"/>
  <c r="T6440" i="2" s="1"/>
  <c r="U6439" i="2"/>
  <c r="S6439" i="2"/>
  <c r="T6439" i="2" s="1"/>
  <c r="U6438" i="2"/>
  <c r="S6438" i="2"/>
  <c r="T6438" i="2" s="1"/>
  <c r="U6437" i="2"/>
  <c r="T6437" i="2"/>
  <c r="S6437" i="2"/>
  <c r="U6436" i="2"/>
  <c r="S6436" i="2"/>
  <c r="T6436" i="2" s="1"/>
  <c r="U6435" i="2"/>
  <c r="S6435" i="2"/>
  <c r="T6435" i="2" s="1"/>
  <c r="U6434" i="2"/>
  <c r="S6434" i="2"/>
  <c r="T6434" i="2" s="1"/>
  <c r="U6433" i="2"/>
  <c r="S6433" i="2"/>
  <c r="T6433" i="2" s="1"/>
  <c r="U6432" i="2"/>
  <c r="S6432" i="2"/>
  <c r="T6432" i="2" s="1"/>
  <c r="U6431" i="2"/>
  <c r="S6431" i="2"/>
  <c r="T6431" i="2" s="1"/>
  <c r="U6430" i="2"/>
  <c r="T6430" i="2"/>
  <c r="S6430" i="2"/>
  <c r="U6429" i="2"/>
  <c r="S6429" i="2"/>
  <c r="T6429" i="2" s="1"/>
  <c r="U6428" i="2"/>
  <c r="S6428" i="2"/>
  <c r="T6428" i="2" s="1"/>
  <c r="U6427" i="2"/>
  <c r="S6427" i="2"/>
  <c r="T6427" i="2" s="1"/>
  <c r="U6426" i="2"/>
  <c r="S6426" i="2"/>
  <c r="T6426" i="2" s="1"/>
  <c r="U6425" i="2"/>
  <c r="S6425" i="2"/>
  <c r="T6425" i="2" s="1"/>
  <c r="U6424" i="2"/>
  <c r="S6424" i="2"/>
  <c r="T6424" i="2" s="1"/>
  <c r="U6423" i="2"/>
  <c r="S6423" i="2"/>
  <c r="T6423" i="2" s="1"/>
  <c r="U6422" i="2"/>
  <c r="S6422" i="2"/>
  <c r="T6422" i="2" s="1"/>
  <c r="U6421" i="2"/>
  <c r="S6421" i="2"/>
  <c r="T6421" i="2" s="1"/>
  <c r="U6420" i="2"/>
  <c r="S6420" i="2"/>
  <c r="T6420" i="2" s="1"/>
  <c r="U6419" i="2"/>
  <c r="S6419" i="2"/>
  <c r="T6419" i="2" s="1"/>
  <c r="U6418" i="2"/>
  <c r="S6418" i="2"/>
  <c r="T6418" i="2" s="1"/>
  <c r="U6417" i="2"/>
  <c r="S6417" i="2"/>
  <c r="T6417" i="2" s="1"/>
  <c r="U6416" i="2"/>
  <c r="S6416" i="2"/>
  <c r="T6416" i="2" s="1"/>
  <c r="U6415" i="2"/>
  <c r="S6415" i="2"/>
  <c r="T6415" i="2" s="1"/>
  <c r="U6414" i="2"/>
  <c r="S6414" i="2"/>
  <c r="T6414" i="2" s="1"/>
  <c r="U6413" i="2"/>
  <c r="T6413" i="2"/>
  <c r="S6413" i="2"/>
  <c r="U6412" i="2"/>
  <c r="T6412" i="2"/>
  <c r="S6412" i="2"/>
  <c r="U6411" i="2"/>
  <c r="S6411" i="2"/>
  <c r="T6411" i="2" s="1"/>
  <c r="U6410" i="2"/>
  <c r="S6410" i="2"/>
  <c r="T6410" i="2" s="1"/>
  <c r="U6409" i="2"/>
  <c r="S6409" i="2"/>
  <c r="T6409" i="2" s="1"/>
  <c r="U6408" i="2"/>
  <c r="S6408" i="2"/>
  <c r="T6408" i="2" s="1"/>
  <c r="U6407" i="2"/>
  <c r="S6407" i="2"/>
  <c r="T6407" i="2" s="1"/>
  <c r="U6406" i="2"/>
  <c r="S6406" i="2"/>
  <c r="T6406" i="2" s="1"/>
  <c r="U6405" i="2"/>
  <c r="S6405" i="2"/>
  <c r="T6405" i="2" s="1"/>
  <c r="U6404" i="2"/>
  <c r="S6404" i="2"/>
  <c r="T6404" i="2" s="1"/>
  <c r="U6403" i="2"/>
  <c r="S6403" i="2"/>
  <c r="T6403" i="2" s="1"/>
  <c r="U6402" i="2"/>
  <c r="S6402" i="2"/>
  <c r="T6402" i="2" s="1"/>
  <c r="U6401" i="2"/>
  <c r="S6401" i="2"/>
  <c r="T6401" i="2" s="1"/>
  <c r="U6400" i="2"/>
  <c r="S6400" i="2"/>
  <c r="T6400" i="2" s="1"/>
  <c r="U6399" i="2"/>
  <c r="S6399" i="2"/>
  <c r="T6399" i="2" s="1"/>
  <c r="U6398" i="2"/>
  <c r="S6398" i="2"/>
  <c r="T6398" i="2" s="1"/>
  <c r="U6397" i="2"/>
  <c r="S6397" i="2"/>
  <c r="T6397" i="2" s="1"/>
  <c r="U6396" i="2"/>
  <c r="S6396" i="2"/>
  <c r="T6396" i="2" s="1"/>
  <c r="U6395" i="2"/>
  <c r="S6395" i="2"/>
  <c r="T6395" i="2" s="1"/>
  <c r="U6394" i="2"/>
  <c r="T6394" i="2"/>
  <c r="S6394" i="2"/>
  <c r="U6393" i="2"/>
  <c r="S6393" i="2"/>
  <c r="T6393" i="2" s="1"/>
  <c r="U6392" i="2"/>
  <c r="S6392" i="2"/>
  <c r="T6392" i="2" s="1"/>
  <c r="U6391" i="2"/>
  <c r="S6391" i="2"/>
  <c r="T6391" i="2" s="1"/>
  <c r="U6390" i="2"/>
  <c r="T6390" i="2"/>
  <c r="S6390" i="2"/>
  <c r="U6389" i="2"/>
  <c r="S6389" i="2"/>
  <c r="T6389" i="2" s="1"/>
  <c r="U6388" i="2"/>
  <c r="S6388" i="2"/>
  <c r="T6388" i="2" s="1"/>
  <c r="U6387" i="2"/>
  <c r="T6387" i="2"/>
  <c r="S6387" i="2"/>
  <c r="U6386" i="2"/>
  <c r="S6386" i="2"/>
  <c r="T6386" i="2" s="1"/>
  <c r="U6385" i="2"/>
  <c r="S6385" i="2"/>
  <c r="T6385" i="2" s="1"/>
  <c r="U6384" i="2"/>
  <c r="S6384" i="2"/>
  <c r="T6384" i="2" s="1"/>
  <c r="U6383" i="2"/>
  <c r="S6383" i="2"/>
  <c r="T6383" i="2" s="1"/>
  <c r="U6382" i="2"/>
  <c r="S6382" i="2"/>
  <c r="T6382" i="2" s="1"/>
  <c r="U6381" i="2"/>
  <c r="S6381" i="2"/>
  <c r="T6381" i="2" s="1"/>
  <c r="U6380" i="2"/>
  <c r="S6380" i="2"/>
  <c r="T6380" i="2" s="1"/>
  <c r="U6379" i="2"/>
  <c r="S6379" i="2"/>
  <c r="T6379" i="2" s="1"/>
  <c r="U6378" i="2"/>
  <c r="S6378" i="2"/>
  <c r="T6378" i="2" s="1"/>
  <c r="U6377" i="2"/>
  <c r="S6377" i="2"/>
  <c r="T6377" i="2" s="1"/>
  <c r="U6376" i="2"/>
  <c r="S6376" i="2"/>
  <c r="T6376" i="2" s="1"/>
  <c r="U6375" i="2"/>
  <c r="S6375" i="2"/>
  <c r="T6375" i="2" s="1"/>
  <c r="U6374" i="2"/>
  <c r="S6374" i="2"/>
  <c r="T6374" i="2" s="1"/>
  <c r="U6373" i="2"/>
  <c r="S6373" i="2"/>
  <c r="T6373" i="2" s="1"/>
  <c r="U6372" i="2"/>
  <c r="S6372" i="2"/>
  <c r="T6372" i="2" s="1"/>
  <c r="U6371" i="2"/>
  <c r="S6371" i="2"/>
  <c r="T6371" i="2" s="1"/>
  <c r="U6370" i="2"/>
  <c r="S6370" i="2"/>
  <c r="T6370" i="2" s="1"/>
  <c r="U6369" i="2"/>
  <c r="S6369" i="2"/>
  <c r="T6369" i="2" s="1"/>
  <c r="U6368" i="2"/>
  <c r="S6368" i="2"/>
  <c r="T6368" i="2" s="1"/>
  <c r="U6367" i="2"/>
  <c r="S6367" i="2"/>
  <c r="T6367" i="2" s="1"/>
  <c r="U6366" i="2"/>
  <c r="S6366" i="2"/>
  <c r="T6366" i="2" s="1"/>
  <c r="U6365" i="2"/>
  <c r="S6365" i="2"/>
  <c r="T6365" i="2" s="1"/>
  <c r="U6364" i="2"/>
  <c r="S6364" i="2"/>
  <c r="T6364" i="2" s="1"/>
  <c r="U6363" i="2"/>
  <c r="S6363" i="2"/>
  <c r="T6363" i="2" s="1"/>
  <c r="U6362" i="2"/>
  <c r="S6362" i="2"/>
  <c r="T6362" i="2" s="1"/>
  <c r="U6361" i="2"/>
  <c r="S6361" i="2"/>
  <c r="T6361" i="2" s="1"/>
  <c r="U6360" i="2"/>
  <c r="S6360" i="2"/>
  <c r="T6360" i="2" s="1"/>
  <c r="U6359" i="2"/>
  <c r="S6359" i="2"/>
  <c r="T6359" i="2" s="1"/>
  <c r="U6358" i="2"/>
  <c r="S6358" i="2"/>
  <c r="T6358" i="2" s="1"/>
  <c r="U6357" i="2"/>
  <c r="S6357" i="2"/>
  <c r="T6357" i="2" s="1"/>
  <c r="U6356" i="2"/>
  <c r="S6356" i="2"/>
  <c r="T6356" i="2" s="1"/>
  <c r="U6355" i="2"/>
  <c r="S6355" i="2"/>
  <c r="T6355" i="2" s="1"/>
  <c r="U6354" i="2"/>
  <c r="S6354" i="2"/>
  <c r="T6354" i="2" s="1"/>
  <c r="U6353" i="2"/>
  <c r="S6353" i="2"/>
  <c r="T6353" i="2" s="1"/>
  <c r="U6352" i="2"/>
  <c r="S6352" i="2"/>
  <c r="T6352" i="2" s="1"/>
  <c r="U6351" i="2"/>
  <c r="S6351" i="2"/>
  <c r="T6351" i="2" s="1"/>
  <c r="U6350" i="2"/>
  <c r="S6350" i="2"/>
  <c r="T6350" i="2" s="1"/>
  <c r="U6349" i="2"/>
  <c r="S6349" i="2"/>
  <c r="T6349" i="2" s="1"/>
  <c r="U6348" i="2"/>
  <c r="S6348" i="2"/>
  <c r="T6348" i="2" s="1"/>
  <c r="U6347" i="2"/>
  <c r="S6347" i="2"/>
  <c r="T6347" i="2" s="1"/>
  <c r="U6346" i="2"/>
  <c r="S6346" i="2"/>
  <c r="T6346" i="2" s="1"/>
  <c r="U6345" i="2"/>
  <c r="S6345" i="2"/>
  <c r="T6345" i="2" s="1"/>
  <c r="U6344" i="2"/>
  <c r="S6344" i="2"/>
  <c r="T6344" i="2" s="1"/>
  <c r="U6343" i="2"/>
  <c r="S6343" i="2"/>
  <c r="T6343" i="2" s="1"/>
  <c r="U6342" i="2"/>
  <c r="S6342" i="2"/>
  <c r="T6342" i="2" s="1"/>
  <c r="U6341" i="2"/>
  <c r="S6341" i="2"/>
  <c r="T6341" i="2" s="1"/>
  <c r="U6340" i="2"/>
  <c r="S6340" i="2"/>
  <c r="T6340" i="2" s="1"/>
  <c r="U6339" i="2"/>
  <c r="S6339" i="2"/>
  <c r="T6339" i="2" s="1"/>
  <c r="U6338" i="2"/>
  <c r="S6338" i="2"/>
  <c r="T6338" i="2" s="1"/>
  <c r="U6337" i="2"/>
  <c r="S6337" i="2"/>
  <c r="T6337" i="2" s="1"/>
  <c r="U6336" i="2"/>
  <c r="S6336" i="2"/>
  <c r="T6336" i="2" s="1"/>
  <c r="U6335" i="2"/>
  <c r="S6335" i="2"/>
  <c r="T6335" i="2" s="1"/>
  <c r="U6334" i="2"/>
  <c r="T6334" i="2"/>
  <c r="S6334" i="2"/>
  <c r="U6333" i="2"/>
  <c r="S6333" i="2"/>
  <c r="T6333" i="2" s="1"/>
  <c r="U6332" i="2"/>
  <c r="S6332" i="2"/>
  <c r="T6332" i="2" s="1"/>
  <c r="U6331" i="2"/>
  <c r="S6331" i="2"/>
  <c r="T6331" i="2" s="1"/>
  <c r="U6330" i="2"/>
  <c r="S6330" i="2"/>
  <c r="T6330" i="2" s="1"/>
  <c r="U6329" i="2"/>
  <c r="S6329" i="2"/>
  <c r="T6329" i="2" s="1"/>
  <c r="U6328" i="2"/>
  <c r="S6328" i="2"/>
  <c r="T6328" i="2" s="1"/>
  <c r="U6327" i="2"/>
  <c r="S6327" i="2"/>
  <c r="T6327" i="2" s="1"/>
  <c r="U6326" i="2"/>
  <c r="S6326" i="2"/>
  <c r="T6326" i="2" s="1"/>
  <c r="U6325" i="2"/>
  <c r="S6325" i="2"/>
  <c r="T6325" i="2" s="1"/>
  <c r="U6324" i="2"/>
  <c r="S6324" i="2"/>
  <c r="T6324" i="2" s="1"/>
  <c r="U6323" i="2"/>
  <c r="S6323" i="2"/>
  <c r="T6323" i="2" s="1"/>
  <c r="U6322" i="2"/>
  <c r="S6322" i="2"/>
  <c r="T6322" i="2" s="1"/>
  <c r="U6321" i="2"/>
  <c r="S6321" i="2"/>
  <c r="T6321" i="2" s="1"/>
  <c r="U6320" i="2"/>
  <c r="S6320" i="2"/>
  <c r="T6320" i="2" s="1"/>
  <c r="U6319" i="2"/>
  <c r="S6319" i="2"/>
  <c r="T6319" i="2" s="1"/>
  <c r="U6318" i="2"/>
  <c r="S6318" i="2"/>
  <c r="T6318" i="2" s="1"/>
  <c r="U6317" i="2"/>
  <c r="S6317" i="2"/>
  <c r="T6317" i="2" s="1"/>
  <c r="U6316" i="2"/>
  <c r="T6316" i="2"/>
  <c r="S6316" i="2"/>
  <c r="U6315" i="2"/>
  <c r="S6315" i="2"/>
  <c r="T6315" i="2" s="1"/>
  <c r="U6314" i="2"/>
  <c r="S6314" i="2"/>
  <c r="T6314" i="2" s="1"/>
  <c r="U6313" i="2"/>
  <c r="S6313" i="2"/>
  <c r="T6313" i="2" s="1"/>
  <c r="U6312" i="2"/>
  <c r="S6312" i="2"/>
  <c r="T6312" i="2" s="1"/>
  <c r="U6311" i="2"/>
  <c r="S6311" i="2"/>
  <c r="T6311" i="2" s="1"/>
  <c r="U6310" i="2"/>
  <c r="S6310" i="2"/>
  <c r="T6310" i="2" s="1"/>
  <c r="U6309" i="2"/>
  <c r="S6309" i="2"/>
  <c r="T6309" i="2" s="1"/>
  <c r="U6308" i="2"/>
  <c r="S6308" i="2"/>
  <c r="T6308" i="2" s="1"/>
  <c r="U6307" i="2"/>
  <c r="S6307" i="2"/>
  <c r="T6307" i="2" s="1"/>
  <c r="U6306" i="2"/>
  <c r="S6306" i="2"/>
  <c r="T6306" i="2" s="1"/>
  <c r="U6305" i="2"/>
  <c r="S6305" i="2"/>
  <c r="T6305" i="2" s="1"/>
  <c r="U6304" i="2"/>
  <c r="S6304" i="2"/>
  <c r="T6304" i="2" s="1"/>
  <c r="U6303" i="2"/>
  <c r="S6303" i="2"/>
  <c r="T6303" i="2" s="1"/>
  <c r="U6302" i="2"/>
  <c r="T6302" i="2"/>
  <c r="S6302" i="2"/>
  <c r="U6301" i="2"/>
  <c r="S6301" i="2"/>
  <c r="T6301" i="2" s="1"/>
  <c r="U6300" i="2"/>
  <c r="S6300" i="2"/>
  <c r="T6300" i="2" s="1"/>
  <c r="U6299" i="2"/>
  <c r="S6299" i="2"/>
  <c r="T6299" i="2" s="1"/>
  <c r="U6298" i="2"/>
  <c r="S6298" i="2"/>
  <c r="T6298" i="2" s="1"/>
  <c r="U6297" i="2"/>
  <c r="S6297" i="2"/>
  <c r="T6297" i="2" s="1"/>
  <c r="U6296" i="2"/>
  <c r="S6296" i="2"/>
  <c r="T6296" i="2" s="1"/>
  <c r="U6295" i="2"/>
  <c r="S6295" i="2"/>
  <c r="T6295" i="2" s="1"/>
  <c r="U6294" i="2"/>
  <c r="S6294" i="2"/>
  <c r="T6294" i="2" s="1"/>
  <c r="U6293" i="2"/>
  <c r="S6293" i="2"/>
  <c r="T6293" i="2" s="1"/>
  <c r="U6292" i="2"/>
  <c r="S6292" i="2"/>
  <c r="T6292" i="2" s="1"/>
  <c r="U6291" i="2"/>
  <c r="S6291" i="2"/>
  <c r="T6291" i="2" s="1"/>
  <c r="U6290" i="2"/>
  <c r="S6290" i="2"/>
  <c r="T6290" i="2" s="1"/>
  <c r="U6289" i="2"/>
  <c r="S6289" i="2"/>
  <c r="T6289" i="2" s="1"/>
  <c r="U6288" i="2"/>
  <c r="S6288" i="2"/>
  <c r="T6288" i="2" s="1"/>
  <c r="U6287" i="2"/>
  <c r="S6287" i="2"/>
  <c r="T6287" i="2" s="1"/>
  <c r="U6286" i="2"/>
  <c r="S6286" i="2"/>
  <c r="T6286" i="2" s="1"/>
  <c r="U6285" i="2"/>
  <c r="S6285" i="2"/>
  <c r="T6285" i="2" s="1"/>
  <c r="U6284" i="2"/>
  <c r="S6284" i="2"/>
  <c r="T6284" i="2" s="1"/>
  <c r="U6283" i="2"/>
  <c r="S6283" i="2"/>
  <c r="T6283" i="2" s="1"/>
  <c r="U6282" i="2"/>
  <c r="S6282" i="2"/>
  <c r="T6282" i="2" s="1"/>
  <c r="U6281" i="2"/>
  <c r="S6281" i="2"/>
  <c r="T6281" i="2" s="1"/>
  <c r="U6280" i="2"/>
  <c r="S6280" i="2"/>
  <c r="T6280" i="2" s="1"/>
  <c r="U6279" i="2"/>
  <c r="S6279" i="2"/>
  <c r="T6279" i="2" s="1"/>
  <c r="U6278" i="2"/>
  <c r="S6278" i="2"/>
  <c r="T6278" i="2" s="1"/>
  <c r="U6277" i="2"/>
  <c r="S6277" i="2"/>
  <c r="T6277" i="2" s="1"/>
  <c r="U6276" i="2"/>
  <c r="S6276" i="2"/>
  <c r="T6276" i="2" s="1"/>
  <c r="U6275" i="2"/>
  <c r="S6275" i="2"/>
  <c r="T6275" i="2" s="1"/>
  <c r="U6274" i="2"/>
  <c r="S6274" i="2"/>
  <c r="T6274" i="2" s="1"/>
  <c r="U6273" i="2"/>
  <c r="S6273" i="2"/>
  <c r="T6273" i="2" s="1"/>
  <c r="U6272" i="2"/>
  <c r="S6272" i="2"/>
  <c r="T6272" i="2" s="1"/>
  <c r="U6271" i="2"/>
  <c r="S6271" i="2"/>
  <c r="T6271" i="2" s="1"/>
  <c r="U6270" i="2"/>
  <c r="S6270" i="2"/>
  <c r="T6270" i="2" s="1"/>
  <c r="U6269" i="2"/>
  <c r="S6269" i="2"/>
  <c r="T6269" i="2" s="1"/>
  <c r="U6268" i="2"/>
  <c r="S6268" i="2"/>
  <c r="T6268" i="2" s="1"/>
  <c r="U6267" i="2"/>
  <c r="S6267" i="2"/>
  <c r="T6267" i="2" s="1"/>
  <c r="U6266" i="2"/>
  <c r="S6266" i="2"/>
  <c r="T6266" i="2" s="1"/>
  <c r="U6265" i="2"/>
  <c r="S6265" i="2"/>
  <c r="T6265" i="2" s="1"/>
  <c r="U6264" i="2"/>
  <c r="S6264" i="2"/>
  <c r="T6264" i="2" s="1"/>
  <c r="U6263" i="2"/>
  <c r="S6263" i="2"/>
  <c r="T6263" i="2" s="1"/>
  <c r="U6262" i="2"/>
  <c r="S6262" i="2"/>
  <c r="T6262" i="2" s="1"/>
  <c r="U6261" i="2"/>
  <c r="S6261" i="2"/>
  <c r="T6261" i="2" s="1"/>
  <c r="U6260" i="2"/>
  <c r="S6260" i="2"/>
  <c r="T6260" i="2" s="1"/>
  <c r="U6259" i="2"/>
  <c r="S6259" i="2"/>
  <c r="T6259" i="2" s="1"/>
  <c r="U6258" i="2"/>
  <c r="S6258" i="2"/>
  <c r="T6258" i="2" s="1"/>
  <c r="U6257" i="2"/>
  <c r="S6257" i="2"/>
  <c r="T6257" i="2" s="1"/>
  <c r="U6256" i="2"/>
  <c r="S6256" i="2"/>
  <c r="T6256" i="2" s="1"/>
  <c r="U6255" i="2"/>
  <c r="S6255" i="2"/>
  <c r="T6255" i="2" s="1"/>
  <c r="U6254" i="2"/>
  <c r="S6254" i="2"/>
  <c r="T6254" i="2" s="1"/>
  <c r="U6253" i="2"/>
  <c r="S6253" i="2"/>
  <c r="T6253" i="2" s="1"/>
  <c r="U6252" i="2"/>
  <c r="T6252" i="2"/>
  <c r="S6252" i="2"/>
  <c r="U6251" i="2"/>
  <c r="S6251" i="2"/>
  <c r="T6251" i="2" s="1"/>
  <c r="U6250" i="2"/>
  <c r="S6250" i="2"/>
  <c r="T6250" i="2" s="1"/>
  <c r="U6249" i="2"/>
  <c r="S6249" i="2"/>
  <c r="T6249" i="2" s="1"/>
  <c r="U6248" i="2"/>
  <c r="S6248" i="2"/>
  <c r="T6248" i="2" s="1"/>
  <c r="U6247" i="2"/>
  <c r="S6247" i="2"/>
  <c r="T6247" i="2" s="1"/>
  <c r="U6246" i="2"/>
  <c r="S6246" i="2"/>
  <c r="T6246" i="2" s="1"/>
  <c r="U6245" i="2"/>
  <c r="S6245" i="2"/>
  <c r="T6245" i="2" s="1"/>
  <c r="U6244" i="2"/>
  <c r="S6244" i="2"/>
  <c r="T6244" i="2" s="1"/>
  <c r="U6243" i="2"/>
  <c r="S6243" i="2"/>
  <c r="T6243" i="2" s="1"/>
  <c r="U6242" i="2"/>
  <c r="S6242" i="2"/>
  <c r="T6242" i="2" s="1"/>
  <c r="U6241" i="2"/>
  <c r="S6241" i="2"/>
  <c r="T6241" i="2" s="1"/>
  <c r="U6240" i="2"/>
  <c r="S6240" i="2"/>
  <c r="T6240" i="2" s="1"/>
  <c r="U6239" i="2"/>
  <c r="S6239" i="2"/>
  <c r="T6239" i="2" s="1"/>
  <c r="U6238" i="2"/>
  <c r="S6238" i="2"/>
  <c r="T6238" i="2" s="1"/>
  <c r="U6237" i="2"/>
  <c r="S6237" i="2"/>
  <c r="T6237" i="2" s="1"/>
  <c r="U6236" i="2"/>
  <c r="S6236" i="2"/>
  <c r="T6236" i="2" s="1"/>
  <c r="U6235" i="2"/>
  <c r="S6235" i="2"/>
  <c r="T6235" i="2" s="1"/>
  <c r="U6234" i="2"/>
  <c r="T6234" i="2"/>
  <c r="S6234" i="2"/>
  <c r="U6233" i="2"/>
  <c r="S6233" i="2"/>
  <c r="T6233" i="2" s="1"/>
  <c r="U6232" i="2"/>
  <c r="S6232" i="2"/>
  <c r="T6232" i="2" s="1"/>
  <c r="U6231" i="2"/>
  <c r="S6231" i="2"/>
  <c r="T6231" i="2" s="1"/>
  <c r="U6230" i="2"/>
  <c r="S6230" i="2"/>
  <c r="T6230" i="2" s="1"/>
  <c r="U6229" i="2"/>
  <c r="S6229" i="2"/>
  <c r="T6229" i="2" s="1"/>
  <c r="U6228" i="2"/>
  <c r="S6228" i="2"/>
  <c r="T6228" i="2" s="1"/>
  <c r="U6227" i="2"/>
  <c r="S6227" i="2"/>
  <c r="T6227" i="2" s="1"/>
  <c r="U6226" i="2"/>
  <c r="S6226" i="2"/>
  <c r="T6226" i="2" s="1"/>
  <c r="U6225" i="2"/>
  <c r="S6225" i="2"/>
  <c r="T6225" i="2" s="1"/>
  <c r="U6224" i="2"/>
  <c r="S6224" i="2"/>
  <c r="T6224" i="2" s="1"/>
  <c r="U6223" i="2"/>
  <c r="S6223" i="2"/>
  <c r="T6223" i="2" s="1"/>
  <c r="U6222" i="2"/>
  <c r="T6222" i="2"/>
  <c r="S6222" i="2"/>
  <c r="U6221" i="2"/>
  <c r="S6221" i="2"/>
  <c r="T6221" i="2" s="1"/>
  <c r="U6220" i="2"/>
  <c r="S6220" i="2"/>
  <c r="T6220" i="2" s="1"/>
  <c r="U6219" i="2"/>
  <c r="S6219" i="2"/>
  <c r="T6219" i="2" s="1"/>
  <c r="U6218" i="2"/>
  <c r="S6218" i="2"/>
  <c r="T6218" i="2" s="1"/>
  <c r="U6217" i="2"/>
  <c r="S6217" i="2"/>
  <c r="T6217" i="2" s="1"/>
  <c r="U6216" i="2"/>
  <c r="S6216" i="2"/>
  <c r="T6216" i="2" s="1"/>
  <c r="U6215" i="2"/>
  <c r="S6215" i="2"/>
  <c r="T6215" i="2" s="1"/>
  <c r="U6214" i="2"/>
  <c r="S6214" i="2"/>
  <c r="T6214" i="2" s="1"/>
  <c r="U6213" i="2"/>
  <c r="S6213" i="2"/>
  <c r="T6213" i="2" s="1"/>
  <c r="U6212" i="2"/>
  <c r="S6212" i="2"/>
  <c r="T6212" i="2" s="1"/>
  <c r="U6211" i="2"/>
  <c r="S6211" i="2"/>
  <c r="T6211" i="2" s="1"/>
  <c r="U6210" i="2"/>
  <c r="S6210" i="2"/>
  <c r="T6210" i="2" s="1"/>
  <c r="U6209" i="2"/>
  <c r="S6209" i="2"/>
  <c r="T6209" i="2" s="1"/>
  <c r="U6208" i="2"/>
  <c r="S6208" i="2"/>
  <c r="T6208" i="2" s="1"/>
  <c r="U6207" i="2"/>
  <c r="S6207" i="2"/>
  <c r="T6207" i="2" s="1"/>
  <c r="U6206" i="2"/>
  <c r="S6206" i="2"/>
  <c r="T6206" i="2" s="1"/>
  <c r="U6205" i="2"/>
  <c r="S6205" i="2"/>
  <c r="T6205" i="2" s="1"/>
  <c r="U6204" i="2"/>
  <c r="S6204" i="2"/>
  <c r="T6204" i="2" s="1"/>
  <c r="U6203" i="2"/>
  <c r="S6203" i="2"/>
  <c r="T6203" i="2" s="1"/>
  <c r="U6202" i="2"/>
  <c r="S6202" i="2"/>
  <c r="T6202" i="2" s="1"/>
  <c r="U6201" i="2"/>
  <c r="S6201" i="2"/>
  <c r="T6201" i="2" s="1"/>
  <c r="U6200" i="2"/>
  <c r="S6200" i="2"/>
  <c r="T6200" i="2" s="1"/>
  <c r="U6199" i="2"/>
  <c r="S6199" i="2"/>
  <c r="T6199" i="2" s="1"/>
  <c r="U6198" i="2"/>
  <c r="S6198" i="2"/>
  <c r="T6198" i="2" s="1"/>
  <c r="U6197" i="2"/>
  <c r="S6197" i="2"/>
  <c r="T6197" i="2" s="1"/>
  <c r="U6196" i="2"/>
  <c r="S6196" i="2"/>
  <c r="T6196" i="2" s="1"/>
  <c r="U6195" i="2"/>
  <c r="S6195" i="2"/>
  <c r="T6195" i="2" s="1"/>
  <c r="U6194" i="2"/>
  <c r="S6194" i="2"/>
  <c r="T6194" i="2" s="1"/>
  <c r="U6193" i="2"/>
  <c r="S6193" i="2"/>
  <c r="T6193" i="2" s="1"/>
  <c r="U6192" i="2"/>
  <c r="S6192" i="2"/>
  <c r="T6192" i="2" s="1"/>
  <c r="U6191" i="2"/>
  <c r="S6191" i="2"/>
  <c r="T6191" i="2" s="1"/>
  <c r="U6190" i="2"/>
  <c r="S6190" i="2"/>
  <c r="T6190" i="2" s="1"/>
  <c r="U6189" i="2"/>
  <c r="S6189" i="2"/>
  <c r="T6189" i="2" s="1"/>
  <c r="U6188" i="2"/>
  <c r="S6188" i="2"/>
  <c r="T6188" i="2" s="1"/>
  <c r="U6187" i="2"/>
  <c r="S6187" i="2"/>
  <c r="T6187" i="2" s="1"/>
  <c r="U6186" i="2"/>
  <c r="S6186" i="2"/>
  <c r="T6186" i="2" s="1"/>
  <c r="U6185" i="2"/>
  <c r="S6185" i="2"/>
  <c r="T6185" i="2" s="1"/>
  <c r="U6184" i="2"/>
  <c r="S6184" i="2"/>
  <c r="T6184" i="2" s="1"/>
  <c r="U6183" i="2"/>
  <c r="S6183" i="2"/>
  <c r="T6183" i="2" s="1"/>
  <c r="U6182" i="2"/>
  <c r="S6182" i="2"/>
  <c r="T6182" i="2" s="1"/>
  <c r="U6181" i="2"/>
  <c r="S6181" i="2"/>
  <c r="T6181" i="2" s="1"/>
  <c r="U6180" i="2"/>
  <c r="S6180" i="2"/>
  <c r="T6180" i="2" s="1"/>
  <c r="U6179" i="2"/>
  <c r="S6179" i="2"/>
  <c r="T6179" i="2" s="1"/>
  <c r="U6178" i="2"/>
  <c r="T6178" i="2"/>
  <c r="S6178" i="2"/>
  <c r="U6177" i="2"/>
  <c r="S6177" i="2"/>
  <c r="T6177" i="2" s="1"/>
  <c r="U6176" i="2"/>
  <c r="S6176" i="2"/>
  <c r="T6176" i="2" s="1"/>
  <c r="U6175" i="2"/>
  <c r="S6175" i="2"/>
  <c r="T6175" i="2" s="1"/>
  <c r="U6174" i="2"/>
  <c r="S6174" i="2"/>
  <c r="T6174" i="2" s="1"/>
  <c r="U6173" i="2"/>
  <c r="S6173" i="2"/>
  <c r="T6173" i="2" s="1"/>
  <c r="U6172" i="2"/>
  <c r="S6172" i="2"/>
  <c r="T6172" i="2" s="1"/>
  <c r="U6171" i="2"/>
  <c r="S6171" i="2"/>
  <c r="T6171" i="2" s="1"/>
  <c r="U6170" i="2"/>
  <c r="S6170" i="2"/>
  <c r="T6170" i="2" s="1"/>
  <c r="U6169" i="2"/>
  <c r="S6169" i="2"/>
  <c r="T6169" i="2" s="1"/>
  <c r="U6168" i="2"/>
  <c r="S6168" i="2"/>
  <c r="T6168" i="2" s="1"/>
  <c r="U6167" i="2"/>
  <c r="S6167" i="2"/>
  <c r="T6167" i="2" s="1"/>
  <c r="U6166" i="2"/>
  <c r="S6166" i="2"/>
  <c r="T6166" i="2" s="1"/>
  <c r="U6165" i="2"/>
  <c r="S6165" i="2"/>
  <c r="T6165" i="2" s="1"/>
  <c r="U6164" i="2"/>
  <c r="S6164" i="2"/>
  <c r="T6164" i="2" s="1"/>
  <c r="U6163" i="2"/>
  <c r="S6163" i="2"/>
  <c r="T6163" i="2" s="1"/>
  <c r="U6162" i="2"/>
  <c r="S6162" i="2"/>
  <c r="T6162" i="2" s="1"/>
  <c r="U6161" i="2"/>
  <c r="S6161" i="2"/>
  <c r="T6161" i="2" s="1"/>
  <c r="U6160" i="2"/>
  <c r="S6160" i="2"/>
  <c r="T6160" i="2" s="1"/>
  <c r="U6159" i="2"/>
  <c r="S6159" i="2"/>
  <c r="T6159" i="2" s="1"/>
  <c r="U6158" i="2"/>
  <c r="S6158" i="2"/>
  <c r="T6158" i="2" s="1"/>
  <c r="U6157" i="2"/>
  <c r="S6157" i="2"/>
  <c r="T6157" i="2" s="1"/>
  <c r="U6156" i="2"/>
  <c r="S6156" i="2"/>
  <c r="T6156" i="2" s="1"/>
  <c r="U6155" i="2"/>
  <c r="S6155" i="2"/>
  <c r="T6155" i="2" s="1"/>
  <c r="U6154" i="2"/>
  <c r="S6154" i="2"/>
  <c r="T6154" i="2" s="1"/>
  <c r="U6153" i="2"/>
  <c r="S6153" i="2"/>
  <c r="T6153" i="2" s="1"/>
  <c r="U6152" i="2"/>
  <c r="S6152" i="2"/>
  <c r="T6152" i="2" s="1"/>
  <c r="U6151" i="2"/>
  <c r="S6151" i="2"/>
  <c r="T6151" i="2" s="1"/>
  <c r="U6150" i="2"/>
  <c r="S6150" i="2"/>
  <c r="T6150" i="2" s="1"/>
  <c r="U6149" i="2"/>
  <c r="S6149" i="2"/>
  <c r="T6149" i="2" s="1"/>
  <c r="U6148" i="2"/>
  <c r="S6148" i="2"/>
  <c r="T6148" i="2" s="1"/>
  <c r="U6147" i="2"/>
  <c r="S6147" i="2"/>
  <c r="T6147" i="2" s="1"/>
  <c r="U6146" i="2"/>
  <c r="S6146" i="2"/>
  <c r="T6146" i="2" s="1"/>
  <c r="U6145" i="2"/>
  <c r="S6145" i="2"/>
  <c r="T6145" i="2" s="1"/>
  <c r="U6144" i="2"/>
  <c r="S6144" i="2"/>
  <c r="T6144" i="2" s="1"/>
  <c r="U6143" i="2"/>
  <c r="S6143" i="2"/>
  <c r="T6143" i="2" s="1"/>
  <c r="U6142" i="2"/>
  <c r="S6142" i="2"/>
  <c r="T6142" i="2" s="1"/>
  <c r="U6141" i="2"/>
  <c r="S6141" i="2"/>
  <c r="T6141" i="2" s="1"/>
  <c r="U6140" i="2"/>
  <c r="S6140" i="2"/>
  <c r="T6140" i="2" s="1"/>
  <c r="U6139" i="2"/>
  <c r="S6139" i="2"/>
  <c r="T6139" i="2" s="1"/>
  <c r="U6138" i="2"/>
  <c r="S6138" i="2"/>
  <c r="T6138" i="2" s="1"/>
  <c r="U6137" i="2"/>
  <c r="S6137" i="2"/>
  <c r="T6137" i="2" s="1"/>
  <c r="U6136" i="2"/>
  <c r="S6136" i="2"/>
  <c r="T6136" i="2" s="1"/>
  <c r="U6135" i="2"/>
  <c r="S6135" i="2"/>
  <c r="T6135" i="2" s="1"/>
  <c r="U6134" i="2"/>
  <c r="S6134" i="2"/>
  <c r="T6134" i="2" s="1"/>
  <c r="U6133" i="2"/>
  <c r="S6133" i="2"/>
  <c r="T6133" i="2" s="1"/>
  <c r="U6132" i="2"/>
  <c r="S6132" i="2"/>
  <c r="T6132" i="2" s="1"/>
  <c r="U6131" i="2"/>
  <c r="S6131" i="2"/>
  <c r="T6131" i="2" s="1"/>
  <c r="U6130" i="2"/>
  <c r="S6130" i="2"/>
  <c r="T6130" i="2" s="1"/>
  <c r="U6129" i="2"/>
  <c r="S6129" i="2"/>
  <c r="T6129" i="2" s="1"/>
  <c r="U6128" i="2"/>
  <c r="S6128" i="2"/>
  <c r="T6128" i="2" s="1"/>
  <c r="U6127" i="2"/>
  <c r="S6127" i="2"/>
  <c r="T6127" i="2" s="1"/>
  <c r="U6126" i="2"/>
  <c r="S6126" i="2"/>
  <c r="T6126" i="2" s="1"/>
  <c r="U6125" i="2"/>
  <c r="T6125" i="2"/>
  <c r="S6125" i="2"/>
  <c r="U6124" i="2"/>
  <c r="S6124" i="2"/>
  <c r="T6124" i="2" s="1"/>
  <c r="U6123" i="2"/>
  <c r="S6123" i="2"/>
  <c r="T6123" i="2" s="1"/>
  <c r="U6122" i="2"/>
  <c r="S6122" i="2"/>
  <c r="T6122" i="2" s="1"/>
  <c r="U6121" i="2"/>
  <c r="S6121" i="2"/>
  <c r="T6121" i="2" s="1"/>
  <c r="U6120" i="2"/>
  <c r="S6120" i="2"/>
  <c r="T6120" i="2" s="1"/>
  <c r="U6119" i="2"/>
  <c r="S6119" i="2"/>
  <c r="T6119" i="2" s="1"/>
  <c r="U6118" i="2"/>
  <c r="S6118" i="2"/>
  <c r="T6118" i="2" s="1"/>
  <c r="U6117" i="2"/>
  <c r="S6117" i="2"/>
  <c r="T6117" i="2" s="1"/>
  <c r="U6116" i="2"/>
  <c r="S6116" i="2"/>
  <c r="T6116" i="2" s="1"/>
  <c r="U6115" i="2"/>
  <c r="S6115" i="2"/>
  <c r="T6115" i="2" s="1"/>
  <c r="U6114" i="2"/>
  <c r="S6114" i="2"/>
  <c r="T6114" i="2" s="1"/>
  <c r="U6113" i="2"/>
  <c r="S6113" i="2"/>
  <c r="T6113" i="2" s="1"/>
  <c r="U6112" i="2"/>
  <c r="S6112" i="2"/>
  <c r="T6112" i="2" s="1"/>
  <c r="U6111" i="2"/>
  <c r="S6111" i="2"/>
  <c r="T6111" i="2" s="1"/>
  <c r="U6110" i="2"/>
  <c r="S6110" i="2"/>
  <c r="T6110" i="2" s="1"/>
  <c r="U6109" i="2"/>
  <c r="S6109" i="2"/>
  <c r="T6109" i="2" s="1"/>
  <c r="U6108" i="2"/>
  <c r="S6108" i="2"/>
  <c r="T6108" i="2" s="1"/>
  <c r="U6107" i="2"/>
  <c r="S6107" i="2"/>
  <c r="T6107" i="2" s="1"/>
  <c r="U6106" i="2"/>
  <c r="S6106" i="2"/>
  <c r="T6106" i="2" s="1"/>
  <c r="U6105" i="2"/>
  <c r="S6105" i="2"/>
  <c r="T6105" i="2" s="1"/>
  <c r="U6104" i="2"/>
  <c r="S6104" i="2"/>
  <c r="T6104" i="2" s="1"/>
  <c r="U6103" i="2"/>
  <c r="S6103" i="2"/>
  <c r="T6103" i="2" s="1"/>
  <c r="U6102" i="2"/>
  <c r="S6102" i="2"/>
  <c r="T6102" i="2" s="1"/>
  <c r="U6101" i="2"/>
  <c r="S6101" i="2"/>
  <c r="T6101" i="2" s="1"/>
  <c r="U6100" i="2"/>
  <c r="T6100" i="2"/>
  <c r="S6100" i="2"/>
  <c r="U6099" i="2"/>
  <c r="S6099" i="2"/>
  <c r="T6099" i="2" s="1"/>
  <c r="U6098" i="2"/>
  <c r="S6098" i="2"/>
  <c r="T6098" i="2" s="1"/>
  <c r="U6097" i="2"/>
  <c r="S6097" i="2"/>
  <c r="T6097" i="2" s="1"/>
  <c r="U6096" i="2"/>
  <c r="S6096" i="2"/>
  <c r="T6096" i="2" s="1"/>
  <c r="U6095" i="2"/>
  <c r="S6095" i="2"/>
  <c r="T6095" i="2" s="1"/>
  <c r="U6094" i="2"/>
  <c r="S6094" i="2"/>
  <c r="T6094" i="2" s="1"/>
  <c r="U6093" i="2"/>
  <c r="T6093" i="2"/>
  <c r="S6093" i="2"/>
  <c r="U6092" i="2"/>
  <c r="S6092" i="2"/>
  <c r="T6092" i="2" s="1"/>
  <c r="U6091" i="2"/>
  <c r="S6091" i="2"/>
  <c r="T6091" i="2" s="1"/>
  <c r="U6090" i="2"/>
  <c r="S6090" i="2"/>
  <c r="T6090" i="2" s="1"/>
  <c r="U6089" i="2"/>
  <c r="S6089" i="2"/>
  <c r="T6089" i="2" s="1"/>
  <c r="U6088" i="2"/>
  <c r="S6088" i="2"/>
  <c r="T6088" i="2" s="1"/>
  <c r="U6087" i="2"/>
  <c r="S6087" i="2"/>
  <c r="T6087" i="2" s="1"/>
  <c r="U6086" i="2"/>
  <c r="S6086" i="2"/>
  <c r="T6086" i="2" s="1"/>
  <c r="U6085" i="2"/>
  <c r="S6085" i="2"/>
  <c r="T6085" i="2" s="1"/>
  <c r="U6084" i="2"/>
  <c r="S6084" i="2"/>
  <c r="T6084" i="2" s="1"/>
  <c r="U6083" i="2"/>
  <c r="S6083" i="2"/>
  <c r="T6083" i="2" s="1"/>
  <c r="U6082" i="2"/>
  <c r="S6082" i="2"/>
  <c r="T6082" i="2" s="1"/>
  <c r="U6081" i="2"/>
  <c r="S6081" i="2"/>
  <c r="T6081" i="2" s="1"/>
  <c r="U6080" i="2"/>
  <c r="S6080" i="2"/>
  <c r="T6080" i="2" s="1"/>
  <c r="U6079" i="2"/>
  <c r="S6079" i="2"/>
  <c r="T6079" i="2" s="1"/>
  <c r="U6078" i="2"/>
  <c r="S6078" i="2"/>
  <c r="T6078" i="2" s="1"/>
  <c r="U6077" i="2"/>
  <c r="S6077" i="2"/>
  <c r="T6077" i="2" s="1"/>
  <c r="U6076" i="2"/>
  <c r="S6076" i="2"/>
  <c r="T6076" i="2" s="1"/>
  <c r="U6075" i="2"/>
  <c r="S6075" i="2"/>
  <c r="T6075" i="2" s="1"/>
  <c r="U6074" i="2"/>
  <c r="S6074" i="2"/>
  <c r="T6074" i="2" s="1"/>
  <c r="U6073" i="2"/>
  <c r="S6073" i="2"/>
  <c r="T6073" i="2" s="1"/>
  <c r="U6072" i="2"/>
  <c r="T6072" i="2"/>
  <c r="S6072" i="2"/>
  <c r="U6071" i="2"/>
  <c r="S6071" i="2"/>
  <c r="T6071" i="2" s="1"/>
  <c r="U6070" i="2"/>
  <c r="S6070" i="2"/>
  <c r="T6070" i="2" s="1"/>
  <c r="U6069" i="2"/>
  <c r="S6069" i="2"/>
  <c r="T6069" i="2" s="1"/>
  <c r="U6068" i="2"/>
  <c r="S6068" i="2"/>
  <c r="T6068" i="2" s="1"/>
  <c r="U6067" i="2"/>
  <c r="S6067" i="2"/>
  <c r="T6067" i="2" s="1"/>
  <c r="U6066" i="2"/>
  <c r="S6066" i="2"/>
  <c r="T6066" i="2" s="1"/>
  <c r="U6065" i="2"/>
  <c r="S6065" i="2"/>
  <c r="T6065" i="2" s="1"/>
  <c r="U6064" i="2"/>
  <c r="S6064" i="2"/>
  <c r="T6064" i="2" s="1"/>
  <c r="U6063" i="2"/>
  <c r="S6063" i="2"/>
  <c r="T6063" i="2" s="1"/>
  <c r="U6062" i="2"/>
  <c r="S6062" i="2"/>
  <c r="T6062" i="2" s="1"/>
  <c r="U6061" i="2"/>
  <c r="S6061" i="2"/>
  <c r="T6061" i="2" s="1"/>
  <c r="U6060" i="2"/>
  <c r="S6060" i="2"/>
  <c r="T6060" i="2" s="1"/>
  <c r="U6059" i="2"/>
  <c r="S6059" i="2"/>
  <c r="T6059" i="2" s="1"/>
  <c r="U6058" i="2"/>
  <c r="S6058" i="2"/>
  <c r="T6058" i="2" s="1"/>
  <c r="U6057" i="2"/>
  <c r="S6057" i="2"/>
  <c r="T6057" i="2" s="1"/>
  <c r="U6056" i="2"/>
  <c r="S6056" i="2"/>
  <c r="T6056" i="2" s="1"/>
  <c r="U6055" i="2"/>
  <c r="S6055" i="2"/>
  <c r="T6055" i="2" s="1"/>
  <c r="U6054" i="2"/>
  <c r="S6054" i="2"/>
  <c r="T6054" i="2" s="1"/>
  <c r="U6053" i="2"/>
  <c r="S6053" i="2"/>
  <c r="T6053" i="2" s="1"/>
  <c r="U6052" i="2"/>
  <c r="S6052" i="2"/>
  <c r="T6052" i="2" s="1"/>
  <c r="U6051" i="2"/>
  <c r="S6051" i="2"/>
  <c r="T6051" i="2" s="1"/>
  <c r="U6050" i="2"/>
  <c r="S6050" i="2"/>
  <c r="T6050" i="2" s="1"/>
  <c r="U6049" i="2"/>
  <c r="S6049" i="2"/>
  <c r="T6049" i="2" s="1"/>
  <c r="U6048" i="2"/>
  <c r="S6048" i="2"/>
  <c r="T6048" i="2" s="1"/>
  <c r="U6047" i="2"/>
  <c r="S6047" i="2"/>
  <c r="T6047" i="2" s="1"/>
  <c r="U6046" i="2"/>
  <c r="S6046" i="2"/>
  <c r="T6046" i="2" s="1"/>
  <c r="U6045" i="2"/>
  <c r="S6045" i="2"/>
  <c r="T6045" i="2" s="1"/>
  <c r="U6044" i="2"/>
  <c r="S6044" i="2"/>
  <c r="T6044" i="2" s="1"/>
  <c r="U6043" i="2"/>
  <c r="S6043" i="2"/>
  <c r="T6043" i="2" s="1"/>
  <c r="U6042" i="2"/>
  <c r="S6042" i="2"/>
  <c r="T6042" i="2" s="1"/>
  <c r="U6041" i="2"/>
  <c r="S6041" i="2"/>
  <c r="T6041" i="2" s="1"/>
  <c r="U6040" i="2"/>
  <c r="S6040" i="2"/>
  <c r="T6040" i="2" s="1"/>
  <c r="U6039" i="2"/>
  <c r="S6039" i="2"/>
  <c r="T6039" i="2" s="1"/>
  <c r="U6038" i="2"/>
  <c r="S6038" i="2"/>
  <c r="T6038" i="2" s="1"/>
  <c r="U6037" i="2"/>
  <c r="S6037" i="2"/>
  <c r="T6037" i="2" s="1"/>
  <c r="U6036" i="2"/>
  <c r="S6036" i="2"/>
  <c r="T6036" i="2" s="1"/>
  <c r="U6035" i="2"/>
  <c r="S6035" i="2"/>
  <c r="T6035" i="2" s="1"/>
  <c r="U6034" i="2"/>
  <c r="S6034" i="2"/>
  <c r="T6034" i="2" s="1"/>
  <c r="U6033" i="2"/>
  <c r="S6033" i="2"/>
  <c r="T6033" i="2" s="1"/>
  <c r="U6032" i="2"/>
  <c r="S6032" i="2"/>
  <c r="T6032" i="2" s="1"/>
  <c r="U6031" i="2"/>
  <c r="S6031" i="2"/>
  <c r="T6031" i="2" s="1"/>
  <c r="U6030" i="2"/>
  <c r="S6030" i="2"/>
  <c r="T6030" i="2" s="1"/>
  <c r="U6029" i="2"/>
  <c r="S6029" i="2"/>
  <c r="T6029" i="2" s="1"/>
  <c r="U6028" i="2"/>
  <c r="S6028" i="2"/>
  <c r="T6028" i="2" s="1"/>
  <c r="U6027" i="2"/>
  <c r="S6027" i="2"/>
  <c r="T6027" i="2" s="1"/>
  <c r="U6026" i="2"/>
  <c r="S6026" i="2"/>
  <c r="T6026" i="2" s="1"/>
  <c r="U6025" i="2"/>
  <c r="S6025" i="2"/>
  <c r="T6025" i="2" s="1"/>
  <c r="U6024" i="2"/>
  <c r="S6024" i="2"/>
  <c r="T6024" i="2" s="1"/>
  <c r="U6023" i="2"/>
  <c r="S6023" i="2"/>
  <c r="T6023" i="2" s="1"/>
  <c r="U6022" i="2"/>
  <c r="S6022" i="2"/>
  <c r="T6022" i="2" s="1"/>
  <c r="U6021" i="2"/>
  <c r="S6021" i="2"/>
  <c r="T6021" i="2" s="1"/>
  <c r="U6020" i="2"/>
  <c r="S6020" i="2"/>
  <c r="T6020" i="2" s="1"/>
  <c r="U6019" i="2"/>
  <c r="S6019" i="2"/>
  <c r="T6019" i="2" s="1"/>
  <c r="U6018" i="2"/>
  <c r="S6018" i="2"/>
  <c r="T6018" i="2" s="1"/>
  <c r="U6017" i="2"/>
  <c r="S6017" i="2"/>
  <c r="T6017" i="2" s="1"/>
  <c r="U6016" i="2"/>
  <c r="S6016" i="2"/>
  <c r="T6016" i="2" s="1"/>
  <c r="U6015" i="2"/>
  <c r="S6015" i="2"/>
  <c r="T6015" i="2" s="1"/>
  <c r="U6014" i="2"/>
  <c r="S6014" i="2"/>
  <c r="T6014" i="2" s="1"/>
  <c r="U6013" i="2"/>
  <c r="S6013" i="2"/>
  <c r="T6013" i="2" s="1"/>
  <c r="U6012" i="2"/>
  <c r="S6012" i="2"/>
  <c r="T6012" i="2" s="1"/>
  <c r="U6011" i="2"/>
  <c r="S6011" i="2"/>
  <c r="T6011" i="2" s="1"/>
  <c r="U6010" i="2"/>
  <c r="S6010" i="2"/>
  <c r="T6010" i="2" s="1"/>
  <c r="U6009" i="2"/>
  <c r="S6009" i="2"/>
  <c r="T6009" i="2" s="1"/>
  <c r="U6008" i="2"/>
  <c r="S6008" i="2"/>
  <c r="T6008" i="2" s="1"/>
  <c r="U6007" i="2"/>
  <c r="S6007" i="2"/>
  <c r="T6007" i="2" s="1"/>
  <c r="U6006" i="2"/>
  <c r="S6006" i="2"/>
  <c r="T6006" i="2" s="1"/>
  <c r="U6005" i="2"/>
  <c r="S6005" i="2"/>
  <c r="T6005" i="2" s="1"/>
  <c r="U6004" i="2"/>
  <c r="S6004" i="2"/>
  <c r="T6004" i="2" s="1"/>
  <c r="U6003" i="2"/>
  <c r="S6003" i="2"/>
  <c r="T6003" i="2" s="1"/>
  <c r="U6002" i="2"/>
  <c r="S6002" i="2"/>
  <c r="T6002" i="2" s="1"/>
  <c r="U6001" i="2"/>
  <c r="S6001" i="2"/>
  <c r="T6001" i="2" s="1"/>
  <c r="U6000" i="2"/>
  <c r="S6000" i="2"/>
  <c r="T6000" i="2" s="1"/>
  <c r="U5999" i="2"/>
  <c r="S5999" i="2"/>
  <c r="T5999" i="2" s="1"/>
  <c r="U5998" i="2"/>
  <c r="S5998" i="2"/>
  <c r="T5998" i="2" s="1"/>
  <c r="U5997" i="2"/>
  <c r="S5997" i="2"/>
  <c r="T5997" i="2" s="1"/>
  <c r="U5996" i="2"/>
  <c r="S5996" i="2"/>
  <c r="T5996" i="2" s="1"/>
  <c r="U5995" i="2"/>
  <c r="S5995" i="2"/>
  <c r="T5995" i="2" s="1"/>
  <c r="U5994" i="2"/>
  <c r="S5994" i="2"/>
  <c r="T5994" i="2" s="1"/>
  <c r="U5993" i="2"/>
  <c r="S5993" i="2"/>
  <c r="T5993" i="2" s="1"/>
  <c r="U5992" i="2"/>
  <c r="S5992" i="2"/>
  <c r="T5992" i="2" s="1"/>
  <c r="U5991" i="2"/>
  <c r="S5991" i="2"/>
  <c r="T5991" i="2" s="1"/>
  <c r="U5990" i="2"/>
  <c r="S5990" i="2"/>
  <c r="T5990" i="2" s="1"/>
  <c r="U5989" i="2"/>
  <c r="S5989" i="2"/>
  <c r="T5989" i="2" s="1"/>
  <c r="U5988" i="2"/>
  <c r="S5988" i="2"/>
  <c r="T5988" i="2" s="1"/>
  <c r="U5987" i="2"/>
  <c r="S5987" i="2"/>
  <c r="T5987" i="2" s="1"/>
  <c r="U5986" i="2"/>
  <c r="S5986" i="2"/>
  <c r="T5986" i="2" s="1"/>
  <c r="U5985" i="2"/>
  <c r="S5985" i="2"/>
  <c r="T5985" i="2" s="1"/>
  <c r="U5984" i="2"/>
  <c r="S5984" i="2"/>
  <c r="T5984" i="2" s="1"/>
  <c r="U5983" i="2"/>
  <c r="S5983" i="2"/>
  <c r="T5983" i="2" s="1"/>
  <c r="U5982" i="2"/>
  <c r="S5982" i="2"/>
  <c r="T5982" i="2" s="1"/>
  <c r="U5981" i="2"/>
  <c r="S5981" i="2"/>
  <c r="T5981" i="2" s="1"/>
  <c r="U5980" i="2"/>
  <c r="S5980" i="2"/>
  <c r="T5980" i="2" s="1"/>
  <c r="U5979" i="2"/>
  <c r="S5979" i="2"/>
  <c r="T5979" i="2" s="1"/>
  <c r="U5978" i="2"/>
  <c r="S5978" i="2"/>
  <c r="T5978" i="2" s="1"/>
  <c r="U5977" i="2"/>
  <c r="S5977" i="2"/>
  <c r="T5977" i="2" s="1"/>
  <c r="U5976" i="2"/>
  <c r="S5976" i="2"/>
  <c r="T5976" i="2" s="1"/>
  <c r="U5975" i="2"/>
  <c r="S5975" i="2"/>
  <c r="T5975" i="2" s="1"/>
  <c r="U5974" i="2"/>
  <c r="S5974" i="2"/>
  <c r="T5974" i="2" s="1"/>
  <c r="U5973" i="2"/>
  <c r="S5973" i="2"/>
  <c r="T5973" i="2" s="1"/>
  <c r="U5972" i="2"/>
  <c r="S5972" i="2"/>
  <c r="T5972" i="2" s="1"/>
  <c r="U5971" i="2"/>
  <c r="S5971" i="2"/>
  <c r="T5971" i="2" s="1"/>
  <c r="U5970" i="2"/>
  <c r="S5970" i="2"/>
  <c r="T5970" i="2" s="1"/>
  <c r="U5969" i="2"/>
  <c r="S5969" i="2"/>
  <c r="T5969" i="2" s="1"/>
  <c r="U5968" i="2"/>
  <c r="S5968" i="2"/>
  <c r="T5968" i="2" s="1"/>
  <c r="U5967" i="2"/>
  <c r="S5967" i="2"/>
  <c r="T5967" i="2" s="1"/>
  <c r="U5966" i="2"/>
  <c r="S5966" i="2"/>
  <c r="T5966" i="2" s="1"/>
  <c r="U5965" i="2"/>
  <c r="S5965" i="2"/>
  <c r="T5965" i="2" s="1"/>
  <c r="U5964" i="2"/>
  <c r="S5964" i="2"/>
  <c r="T5964" i="2" s="1"/>
  <c r="U5963" i="2"/>
  <c r="S5963" i="2"/>
  <c r="T5963" i="2" s="1"/>
  <c r="U5962" i="2"/>
  <c r="S5962" i="2"/>
  <c r="T5962" i="2" s="1"/>
  <c r="U5961" i="2"/>
  <c r="S5961" i="2"/>
  <c r="T5961" i="2" s="1"/>
  <c r="U5960" i="2"/>
  <c r="S5960" i="2"/>
  <c r="T5960" i="2" s="1"/>
  <c r="U5959" i="2"/>
  <c r="S5959" i="2"/>
  <c r="T5959" i="2" s="1"/>
  <c r="U5958" i="2"/>
  <c r="S5958" i="2"/>
  <c r="T5958" i="2" s="1"/>
  <c r="U5957" i="2"/>
  <c r="S5957" i="2"/>
  <c r="T5957" i="2" s="1"/>
  <c r="U5956" i="2"/>
  <c r="S5956" i="2"/>
  <c r="T5956" i="2" s="1"/>
  <c r="U5955" i="2"/>
  <c r="S5955" i="2"/>
  <c r="T5955" i="2" s="1"/>
  <c r="U5954" i="2"/>
  <c r="S5954" i="2"/>
  <c r="T5954" i="2" s="1"/>
  <c r="U5953" i="2"/>
  <c r="S5953" i="2"/>
  <c r="T5953" i="2" s="1"/>
  <c r="U5952" i="2"/>
  <c r="S5952" i="2"/>
  <c r="T5952" i="2" s="1"/>
  <c r="U5951" i="2"/>
  <c r="S5951" i="2"/>
  <c r="T5951" i="2" s="1"/>
  <c r="U5950" i="2"/>
  <c r="S5950" i="2"/>
  <c r="T5950" i="2" s="1"/>
  <c r="U5949" i="2"/>
  <c r="S5949" i="2"/>
  <c r="T5949" i="2" s="1"/>
  <c r="U5948" i="2"/>
  <c r="S5948" i="2"/>
  <c r="T5948" i="2" s="1"/>
  <c r="U5947" i="2"/>
  <c r="S5947" i="2"/>
  <c r="T5947" i="2" s="1"/>
  <c r="U5946" i="2"/>
  <c r="S5946" i="2"/>
  <c r="T5946" i="2" s="1"/>
  <c r="U5945" i="2"/>
  <c r="S5945" i="2"/>
  <c r="T5945" i="2" s="1"/>
  <c r="U5944" i="2"/>
  <c r="S5944" i="2"/>
  <c r="T5944" i="2" s="1"/>
  <c r="U5943" i="2"/>
  <c r="S5943" i="2"/>
  <c r="T5943" i="2" s="1"/>
  <c r="U5942" i="2"/>
  <c r="S5942" i="2"/>
  <c r="T5942" i="2" s="1"/>
  <c r="U5941" i="2"/>
  <c r="S5941" i="2"/>
  <c r="T5941" i="2" s="1"/>
  <c r="U5940" i="2"/>
  <c r="S5940" i="2"/>
  <c r="T5940" i="2" s="1"/>
  <c r="U5939" i="2"/>
  <c r="S5939" i="2"/>
  <c r="T5939" i="2" s="1"/>
  <c r="U5938" i="2"/>
  <c r="S5938" i="2"/>
  <c r="T5938" i="2" s="1"/>
  <c r="U5937" i="2"/>
  <c r="S5937" i="2"/>
  <c r="T5937" i="2" s="1"/>
  <c r="U5936" i="2"/>
  <c r="S5936" i="2"/>
  <c r="T5936" i="2" s="1"/>
  <c r="U5935" i="2"/>
  <c r="S5935" i="2"/>
  <c r="T5935" i="2" s="1"/>
  <c r="U5934" i="2"/>
  <c r="S5934" i="2"/>
  <c r="T5934" i="2" s="1"/>
  <c r="U5933" i="2"/>
  <c r="S5933" i="2"/>
  <c r="T5933" i="2" s="1"/>
  <c r="U5932" i="2"/>
  <c r="S5932" i="2"/>
  <c r="T5932" i="2" s="1"/>
  <c r="U5931" i="2"/>
  <c r="S5931" i="2"/>
  <c r="T5931" i="2" s="1"/>
  <c r="U5930" i="2"/>
  <c r="S5930" i="2"/>
  <c r="T5930" i="2" s="1"/>
  <c r="U5929" i="2"/>
  <c r="S5929" i="2"/>
  <c r="T5929" i="2" s="1"/>
  <c r="U5928" i="2"/>
  <c r="S5928" i="2"/>
  <c r="T5928" i="2" s="1"/>
  <c r="U5927" i="2"/>
  <c r="S5927" i="2"/>
  <c r="T5927" i="2" s="1"/>
  <c r="U5926" i="2"/>
  <c r="S5926" i="2"/>
  <c r="T5926" i="2" s="1"/>
  <c r="U5925" i="2"/>
  <c r="S5925" i="2"/>
  <c r="T5925" i="2" s="1"/>
  <c r="U5924" i="2"/>
  <c r="S5924" i="2"/>
  <c r="T5924" i="2" s="1"/>
  <c r="U5923" i="2"/>
  <c r="S5923" i="2"/>
  <c r="T5923" i="2" s="1"/>
  <c r="U5922" i="2"/>
  <c r="S5922" i="2"/>
  <c r="T5922" i="2" s="1"/>
  <c r="U5921" i="2"/>
  <c r="S5921" i="2"/>
  <c r="T5921" i="2" s="1"/>
  <c r="U5920" i="2"/>
  <c r="S5920" i="2"/>
  <c r="T5920" i="2" s="1"/>
  <c r="U5919" i="2"/>
  <c r="S5919" i="2"/>
  <c r="T5919" i="2" s="1"/>
  <c r="U5918" i="2"/>
  <c r="S5918" i="2"/>
  <c r="T5918" i="2" s="1"/>
  <c r="U5917" i="2"/>
  <c r="S5917" i="2"/>
  <c r="T5917" i="2" s="1"/>
  <c r="U5916" i="2"/>
  <c r="S5916" i="2"/>
  <c r="T5916" i="2" s="1"/>
  <c r="U5915" i="2"/>
  <c r="S5915" i="2"/>
  <c r="T5915" i="2" s="1"/>
  <c r="U5914" i="2"/>
  <c r="S5914" i="2"/>
  <c r="T5914" i="2" s="1"/>
  <c r="U5913" i="2"/>
  <c r="S5913" i="2"/>
  <c r="T5913" i="2" s="1"/>
  <c r="U5912" i="2"/>
  <c r="S5912" i="2"/>
  <c r="T5912" i="2" s="1"/>
  <c r="U5911" i="2"/>
  <c r="S5911" i="2"/>
  <c r="T5911" i="2" s="1"/>
  <c r="U5910" i="2"/>
  <c r="S5910" i="2"/>
  <c r="T5910" i="2" s="1"/>
  <c r="U5909" i="2"/>
  <c r="S5909" i="2"/>
  <c r="T5909" i="2" s="1"/>
  <c r="U5908" i="2"/>
  <c r="S5908" i="2"/>
  <c r="T5908" i="2" s="1"/>
  <c r="U5907" i="2"/>
  <c r="S5907" i="2"/>
  <c r="T5907" i="2" s="1"/>
  <c r="U5906" i="2"/>
  <c r="S5906" i="2"/>
  <c r="T5906" i="2" s="1"/>
  <c r="U5905" i="2"/>
  <c r="S5905" i="2"/>
  <c r="T5905" i="2" s="1"/>
  <c r="U5904" i="2"/>
  <c r="S5904" i="2"/>
  <c r="T5904" i="2" s="1"/>
  <c r="U5903" i="2"/>
  <c r="S5903" i="2"/>
  <c r="T5903" i="2" s="1"/>
  <c r="U5902" i="2"/>
  <c r="S5902" i="2"/>
  <c r="T5902" i="2" s="1"/>
  <c r="U5901" i="2"/>
  <c r="S5901" i="2"/>
  <c r="T5901" i="2" s="1"/>
  <c r="U5900" i="2"/>
  <c r="S5900" i="2"/>
  <c r="T5900" i="2" s="1"/>
  <c r="U5899" i="2"/>
  <c r="S5899" i="2"/>
  <c r="T5899" i="2" s="1"/>
  <c r="U5898" i="2"/>
  <c r="S5898" i="2"/>
  <c r="T5898" i="2" s="1"/>
  <c r="U5897" i="2"/>
  <c r="S5897" i="2"/>
  <c r="T5897" i="2" s="1"/>
  <c r="U5896" i="2"/>
  <c r="S5896" i="2"/>
  <c r="T5896" i="2" s="1"/>
  <c r="U5895" i="2"/>
  <c r="S5895" i="2"/>
  <c r="T5895" i="2" s="1"/>
  <c r="U5894" i="2"/>
  <c r="S5894" i="2"/>
  <c r="T5894" i="2" s="1"/>
  <c r="U5893" i="2"/>
  <c r="S5893" i="2"/>
  <c r="T5893" i="2" s="1"/>
  <c r="U5892" i="2"/>
  <c r="S5892" i="2"/>
  <c r="T5892" i="2" s="1"/>
  <c r="U5891" i="2"/>
  <c r="S5891" i="2"/>
  <c r="T5891" i="2" s="1"/>
  <c r="U5890" i="2"/>
  <c r="S5890" i="2"/>
  <c r="T5890" i="2" s="1"/>
  <c r="U5889" i="2"/>
  <c r="S5889" i="2"/>
  <c r="T5889" i="2" s="1"/>
  <c r="U5888" i="2"/>
  <c r="S5888" i="2"/>
  <c r="T5888" i="2" s="1"/>
  <c r="U5887" i="2"/>
  <c r="S5887" i="2"/>
  <c r="T5887" i="2" s="1"/>
  <c r="U5886" i="2"/>
  <c r="S5886" i="2"/>
  <c r="T5886" i="2" s="1"/>
  <c r="U5885" i="2"/>
  <c r="S5885" i="2"/>
  <c r="T5885" i="2" s="1"/>
  <c r="U5884" i="2"/>
  <c r="S5884" i="2"/>
  <c r="T5884" i="2" s="1"/>
  <c r="U5883" i="2"/>
  <c r="S5883" i="2"/>
  <c r="T5883" i="2" s="1"/>
  <c r="U5882" i="2"/>
  <c r="S5882" i="2"/>
  <c r="T5882" i="2" s="1"/>
  <c r="U5881" i="2"/>
  <c r="S5881" i="2"/>
  <c r="T5881" i="2" s="1"/>
  <c r="U5880" i="2"/>
  <c r="S5880" i="2"/>
  <c r="T5880" i="2" s="1"/>
  <c r="U5879" i="2"/>
  <c r="S5879" i="2"/>
  <c r="T5879" i="2" s="1"/>
  <c r="U5878" i="2"/>
  <c r="S5878" i="2"/>
  <c r="T5878" i="2" s="1"/>
  <c r="U5877" i="2"/>
  <c r="S5877" i="2"/>
  <c r="T5877" i="2" s="1"/>
  <c r="U5876" i="2"/>
  <c r="S5876" i="2"/>
  <c r="T5876" i="2" s="1"/>
  <c r="U5875" i="2"/>
  <c r="S5875" i="2"/>
  <c r="T5875" i="2" s="1"/>
  <c r="U5874" i="2"/>
  <c r="S5874" i="2"/>
  <c r="T5874" i="2" s="1"/>
  <c r="U5873" i="2"/>
  <c r="S5873" i="2"/>
  <c r="T5873" i="2" s="1"/>
  <c r="U5872" i="2"/>
  <c r="S5872" i="2"/>
  <c r="T5872" i="2" s="1"/>
  <c r="U5871" i="2"/>
  <c r="S5871" i="2"/>
  <c r="T5871" i="2" s="1"/>
  <c r="U5870" i="2"/>
  <c r="S5870" i="2"/>
  <c r="T5870" i="2" s="1"/>
  <c r="U5869" i="2"/>
  <c r="S5869" i="2"/>
  <c r="T5869" i="2" s="1"/>
  <c r="U5868" i="2"/>
  <c r="S5868" i="2"/>
  <c r="T5868" i="2" s="1"/>
  <c r="U5867" i="2"/>
  <c r="S5867" i="2"/>
  <c r="T5867" i="2" s="1"/>
  <c r="U5866" i="2"/>
  <c r="S5866" i="2"/>
  <c r="T5866" i="2" s="1"/>
  <c r="U5865" i="2"/>
  <c r="S5865" i="2"/>
  <c r="T5865" i="2" s="1"/>
  <c r="U5864" i="2"/>
  <c r="S5864" i="2"/>
  <c r="T5864" i="2" s="1"/>
  <c r="U5863" i="2"/>
  <c r="S5863" i="2"/>
  <c r="T5863" i="2" s="1"/>
  <c r="U5862" i="2"/>
  <c r="S5862" i="2"/>
  <c r="T5862" i="2" s="1"/>
  <c r="U5861" i="2"/>
  <c r="S5861" i="2"/>
  <c r="T5861" i="2" s="1"/>
  <c r="U5860" i="2"/>
  <c r="S5860" i="2"/>
  <c r="T5860" i="2" s="1"/>
  <c r="U5859" i="2"/>
  <c r="S5859" i="2"/>
  <c r="T5859" i="2" s="1"/>
  <c r="U5858" i="2"/>
  <c r="S5858" i="2"/>
  <c r="T5858" i="2" s="1"/>
  <c r="U5857" i="2"/>
  <c r="S5857" i="2"/>
  <c r="T5857" i="2" s="1"/>
  <c r="U5856" i="2"/>
  <c r="S5856" i="2"/>
  <c r="T5856" i="2" s="1"/>
  <c r="U5855" i="2"/>
  <c r="S5855" i="2"/>
  <c r="T5855" i="2" s="1"/>
  <c r="U5854" i="2"/>
  <c r="S5854" i="2"/>
  <c r="T5854" i="2" s="1"/>
  <c r="U5853" i="2"/>
  <c r="S5853" i="2"/>
  <c r="T5853" i="2" s="1"/>
  <c r="U5852" i="2"/>
  <c r="S5852" i="2"/>
  <c r="T5852" i="2" s="1"/>
  <c r="U5851" i="2"/>
  <c r="S5851" i="2"/>
  <c r="T5851" i="2" s="1"/>
  <c r="U5850" i="2"/>
  <c r="S5850" i="2"/>
  <c r="T5850" i="2" s="1"/>
  <c r="U5849" i="2"/>
  <c r="S5849" i="2"/>
  <c r="T5849" i="2" s="1"/>
  <c r="U5848" i="2"/>
  <c r="S5848" i="2"/>
  <c r="T5848" i="2" s="1"/>
  <c r="U5847" i="2"/>
  <c r="S5847" i="2"/>
  <c r="T5847" i="2" s="1"/>
  <c r="U5846" i="2"/>
  <c r="S5846" i="2"/>
  <c r="T5846" i="2" s="1"/>
  <c r="U5845" i="2"/>
  <c r="S5845" i="2"/>
  <c r="T5845" i="2" s="1"/>
  <c r="U5844" i="2"/>
  <c r="S5844" i="2"/>
  <c r="T5844" i="2" s="1"/>
  <c r="U5843" i="2"/>
  <c r="S5843" i="2"/>
  <c r="T5843" i="2" s="1"/>
  <c r="U5842" i="2"/>
  <c r="S5842" i="2"/>
  <c r="T5842" i="2" s="1"/>
  <c r="U5841" i="2"/>
  <c r="S5841" i="2"/>
  <c r="T5841" i="2" s="1"/>
  <c r="U5840" i="2"/>
  <c r="S5840" i="2"/>
  <c r="T5840" i="2" s="1"/>
  <c r="U5839" i="2"/>
  <c r="S5839" i="2"/>
  <c r="T5839" i="2" s="1"/>
  <c r="U5838" i="2"/>
  <c r="S5838" i="2"/>
  <c r="T5838" i="2" s="1"/>
  <c r="U5837" i="2"/>
  <c r="S5837" i="2"/>
  <c r="T5837" i="2" s="1"/>
  <c r="U5836" i="2"/>
  <c r="S5836" i="2"/>
  <c r="T5836" i="2" s="1"/>
  <c r="U5835" i="2"/>
  <c r="S5835" i="2"/>
  <c r="T5835" i="2" s="1"/>
  <c r="U5834" i="2"/>
  <c r="S5834" i="2"/>
  <c r="T5834" i="2" s="1"/>
  <c r="U5833" i="2"/>
  <c r="S5833" i="2"/>
  <c r="T5833" i="2" s="1"/>
  <c r="U5832" i="2"/>
  <c r="S5832" i="2"/>
  <c r="T5832" i="2" s="1"/>
  <c r="U5831" i="2"/>
  <c r="S5831" i="2"/>
  <c r="T5831" i="2" s="1"/>
  <c r="U5830" i="2"/>
  <c r="S5830" i="2"/>
  <c r="T5830" i="2" s="1"/>
  <c r="U5829" i="2"/>
  <c r="S5829" i="2"/>
  <c r="T5829" i="2" s="1"/>
  <c r="U5828" i="2"/>
  <c r="S5828" i="2"/>
  <c r="T5828" i="2" s="1"/>
  <c r="U5827" i="2"/>
  <c r="S5827" i="2"/>
  <c r="T5827" i="2" s="1"/>
  <c r="U5826" i="2"/>
  <c r="S5826" i="2"/>
  <c r="T5826" i="2" s="1"/>
  <c r="U5825" i="2"/>
  <c r="S5825" i="2"/>
  <c r="T5825" i="2" s="1"/>
  <c r="U5824" i="2"/>
  <c r="S5824" i="2"/>
  <c r="T5824" i="2" s="1"/>
  <c r="U5823" i="2"/>
  <c r="S5823" i="2"/>
  <c r="T5823" i="2" s="1"/>
  <c r="U5822" i="2"/>
  <c r="S5822" i="2"/>
  <c r="T5822" i="2" s="1"/>
  <c r="U5821" i="2"/>
  <c r="S5821" i="2"/>
  <c r="T5821" i="2" s="1"/>
  <c r="U5820" i="2"/>
  <c r="S5820" i="2"/>
  <c r="T5820" i="2" s="1"/>
  <c r="U5819" i="2"/>
  <c r="S5819" i="2"/>
  <c r="T5819" i="2" s="1"/>
  <c r="U5818" i="2"/>
  <c r="S5818" i="2"/>
  <c r="T5818" i="2" s="1"/>
  <c r="U5817" i="2"/>
  <c r="S5817" i="2"/>
  <c r="T5817" i="2" s="1"/>
  <c r="U5816" i="2"/>
  <c r="S5816" i="2"/>
  <c r="T5816" i="2" s="1"/>
  <c r="U5815" i="2"/>
  <c r="S5815" i="2"/>
  <c r="T5815" i="2" s="1"/>
  <c r="U5814" i="2"/>
  <c r="S5814" i="2"/>
  <c r="T5814" i="2" s="1"/>
  <c r="U5813" i="2"/>
  <c r="S5813" i="2"/>
  <c r="T5813" i="2" s="1"/>
  <c r="U5812" i="2"/>
  <c r="S5812" i="2"/>
  <c r="T5812" i="2" s="1"/>
  <c r="U5811" i="2"/>
  <c r="S5811" i="2"/>
  <c r="T5811" i="2" s="1"/>
  <c r="U5810" i="2"/>
  <c r="S5810" i="2"/>
  <c r="T5810" i="2" s="1"/>
  <c r="U5809" i="2"/>
  <c r="S5809" i="2"/>
  <c r="T5809" i="2" s="1"/>
  <c r="U5808" i="2"/>
  <c r="S5808" i="2"/>
  <c r="T5808" i="2" s="1"/>
  <c r="U5807" i="2"/>
  <c r="S5807" i="2"/>
  <c r="T5807" i="2" s="1"/>
  <c r="U5806" i="2"/>
  <c r="S5806" i="2"/>
  <c r="T5806" i="2" s="1"/>
  <c r="U5805" i="2"/>
  <c r="S5805" i="2"/>
  <c r="T5805" i="2" s="1"/>
  <c r="U5804" i="2"/>
  <c r="S5804" i="2"/>
  <c r="T5804" i="2" s="1"/>
  <c r="U5803" i="2"/>
  <c r="S5803" i="2"/>
  <c r="T5803" i="2" s="1"/>
  <c r="U5802" i="2"/>
  <c r="S5802" i="2"/>
  <c r="T5802" i="2" s="1"/>
  <c r="U5801" i="2"/>
  <c r="S5801" i="2"/>
  <c r="T5801" i="2" s="1"/>
  <c r="U5800" i="2"/>
  <c r="S5800" i="2"/>
  <c r="T5800" i="2" s="1"/>
  <c r="U5799" i="2"/>
  <c r="S5799" i="2"/>
  <c r="T5799" i="2" s="1"/>
  <c r="U5798" i="2"/>
  <c r="S5798" i="2"/>
  <c r="T5798" i="2" s="1"/>
  <c r="U5797" i="2"/>
  <c r="S5797" i="2"/>
  <c r="T5797" i="2" s="1"/>
  <c r="U5796" i="2"/>
  <c r="S5796" i="2"/>
  <c r="T5796" i="2" s="1"/>
  <c r="U5795" i="2"/>
  <c r="S5795" i="2"/>
  <c r="T5795" i="2" s="1"/>
  <c r="U5794" i="2"/>
  <c r="S5794" i="2"/>
  <c r="T5794" i="2" s="1"/>
  <c r="U5793" i="2"/>
  <c r="S5793" i="2"/>
  <c r="T5793" i="2" s="1"/>
  <c r="U5792" i="2"/>
  <c r="S5792" i="2"/>
  <c r="T5792" i="2" s="1"/>
  <c r="U5791" i="2"/>
  <c r="S5791" i="2"/>
  <c r="T5791" i="2" s="1"/>
  <c r="U5790" i="2"/>
  <c r="S5790" i="2"/>
  <c r="T5790" i="2" s="1"/>
  <c r="U5789" i="2"/>
  <c r="S5789" i="2"/>
  <c r="T5789" i="2" s="1"/>
  <c r="U5788" i="2"/>
  <c r="S5788" i="2"/>
  <c r="T5788" i="2" s="1"/>
  <c r="U5787" i="2"/>
  <c r="S5787" i="2"/>
  <c r="T5787" i="2" s="1"/>
  <c r="U5786" i="2"/>
  <c r="S5786" i="2"/>
  <c r="T5786" i="2" s="1"/>
  <c r="U5785" i="2"/>
  <c r="S5785" i="2"/>
  <c r="T5785" i="2" s="1"/>
  <c r="U5784" i="2"/>
  <c r="S5784" i="2"/>
  <c r="T5784" i="2" s="1"/>
  <c r="U5783" i="2"/>
  <c r="S5783" i="2"/>
  <c r="T5783" i="2" s="1"/>
  <c r="U5782" i="2"/>
  <c r="S5782" i="2"/>
  <c r="T5782" i="2" s="1"/>
  <c r="U5781" i="2"/>
  <c r="S5781" i="2"/>
  <c r="T5781" i="2" s="1"/>
  <c r="U5780" i="2"/>
  <c r="S5780" i="2"/>
  <c r="T5780" i="2" s="1"/>
  <c r="U5779" i="2"/>
  <c r="S5779" i="2"/>
  <c r="T5779" i="2" s="1"/>
  <c r="U5778" i="2"/>
  <c r="S5778" i="2"/>
  <c r="T5778" i="2" s="1"/>
  <c r="U5777" i="2"/>
  <c r="S5777" i="2"/>
  <c r="T5777" i="2" s="1"/>
  <c r="U5776" i="2"/>
  <c r="S5776" i="2"/>
  <c r="T5776" i="2" s="1"/>
  <c r="U5775" i="2"/>
  <c r="S5775" i="2"/>
  <c r="T5775" i="2" s="1"/>
  <c r="U5774" i="2"/>
  <c r="S5774" i="2"/>
  <c r="T5774" i="2" s="1"/>
  <c r="U5773" i="2"/>
  <c r="S5773" i="2"/>
  <c r="T5773" i="2" s="1"/>
  <c r="U5772" i="2"/>
  <c r="S5772" i="2"/>
  <c r="T5772" i="2" s="1"/>
  <c r="U5771" i="2"/>
  <c r="S5771" i="2"/>
  <c r="T5771" i="2" s="1"/>
  <c r="U5770" i="2"/>
  <c r="S5770" i="2"/>
  <c r="T5770" i="2" s="1"/>
  <c r="U5769" i="2"/>
  <c r="S5769" i="2"/>
  <c r="T5769" i="2" s="1"/>
  <c r="U5768" i="2"/>
  <c r="S5768" i="2"/>
  <c r="T5768" i="2" s="1"/>
  <c r="U5767" i="2"/>
  <c r="S5767" i="2"/>
  <c r="T5767" i="2" s="1"/>
  <c r="U5766" i="2"/>
  <c r="S5766" i="2"/>
  <c r="T5766" i="2" s="1"/>
  <c r="U5765" i="2"/>
  <c r="S5765" i="2"/>
  <c r="T5765" i="2" s="1"/>
  <c r="U5764" i="2"/>
  <c r="S5764" i="2"/>
  <c r="T5764" i="2" s="1"/>
  <c r="U5763" i="2"/>
  <c r="S5763" i="2"/>
  <c r="T5763" i="2" s="1"/>
  <c r="U5762" i="2"/>
  <c r="S5762" i="2"/>
  <c r="T5762" i="2" s="1"/>
  <c r="U5761" i="2"/>
  <c r="S5761" i="2"/>
  <c r="T5761" i="2" s="1"/>
  <c r="U5760" i="2"/>
  <c r="S5760" i="2"/>
  <c r="T5760" i="2" s="1"/>
  <c r="U5759" i="2"/>
  <c r="S5759" i="2"/>
  <c r="T5759" i="2" s="1"/>
  <c r="U5758" i="2"/>
  <c r="S5758" i="2"/>
  <c r="T5758" i="2" s="1"/>
  <c r="U5757" i="2"/>
  <c r="S5757" i="2"/>
  <c r="T5757" i="2" s="1"/>
  <c r="U5756" i="2"/>
  <c r="S5756" i="2"/>
  <c r="T5756" i="2" s="1"/>
  <c r="U5755" i="2"/>
  <c r="S5755" i="2"/>
  <c r="T5755" i="2" s="1"/>
  <c r="U5754" i="2"/>
  <c r="S5754" i="2"/>
  <c r="T5754" i="2" s="1"/>
  <c r="U5753" i="2"/>
  <c r="S5753" i="2"/>
  <c r="T5753" i="2" s="1"/>
  <c r="U5752" i="2"/>
  <c r="S5752" i="2"/>
  <c r="T5752" i="2" s="1"/>
  <c r="U5751" i="2"/>
  <c r="S5751" i="2"/>
  <c r="T5751" i="2" s="1"/>
  <c r="U5750" i="2"/>
  <c r="S5750" i="2"/>
  <c r="T5750" i="2" s="1"/>
  <c r="U5749" i="2"/>
  <c r="S5749" i="2"/>
  <c r="T5749" i="2" s="1"/>
  <c r="U5748" i="2"/>
  <c r="S5748" i="2"/>
  <c r="T5748" i="2" s="1"/>
  <c r="U5747" i="2"/>
  <c r="S5747" i="2"/>
  <c r="T5747" i="2" s="1"/>
  <c r="U5746" i="2"/>
  <c r="S5746" i="2"/>
  <c r="T5746" i="2" s="1"/>
  <c r="U5745" i="2"/>
  <c r="S5745" i="2"/>
  <c r="T5745" i="2" s="1"/>
  <c r="U5744" i="2"/>
  <c r="S5744" i="2"/>
  <c r="T5744" i="2" s="1"/>
  <c r="U5743" i="2"/>
  <c r="S5743" i="2"/>
  <c r="T5743" i="2" s="1"/>
  <c r="U5742" i="2"/>
  <c r="S5742" i="2"/>
  <c r="T5742" i="2" s="1"/>
  <c r="U5741" i="2"/>
  <c r="S5741" i="2"/>
  <c r="T5741" i="2" s="1"/>
  <c r="U5740" i="2"/>
  <c r="S5740" i="2"/>
  <c r="T5740" i="2" s="1"/>
  <c r="U5739" i="2"/>
  <c r="S5739" i="2"/>
  <c r="T5739" i="2" s="1"/>
  <c r="U5738" i="2"/>
  <c r="S5738" i="2"/>
  <c r="T5738" i="2" s="1"/>
  <c r="U5737" i="2"/>
  <c r="S5737" i="2"/>
  <c r="T5737" i="2" s="1"/>
  <c r="U5736" i="2"/>
  <c r="S5736" i="2"/>
  <c r="T5736" i="2" s="1"/>
  <c r="U5735" i="2"/>
  <c r="S5735" i="2"/>
  <c r="T5735" i="2" s="1"/>
  <c r="U5734" i="2"/>
  <c r="S5734" i="2"/>
  <c r="T5734" i="2" s="1"/>
  <c r="U5733" i="2"/>
  <c r="S5733" i="2"/>
  <c r="T5733" i="2" s="1"/>
  <c r="U5732" i="2"/>
  <c r="S5732" i="2"/>
  <c r="T5732" i="2" s="1"/>
  <c r="U5731" i="2"/>
  <c r="S5731" i="2"/>
  <c r="T5731" i="2" s="1"/>
  <c r="U5730" i="2"/>
  <c r="S5730" i="2"/>
  <c r="T5730" i="2" s="1"/>
  <c r="U5729" i="2"/>
  <c r="S5729" i="2"/>
  <c r="T5729" i="2" s="1"/>
  <c r="U5728" i="2"/>
  <c r="S5728" i="2"/>
  <c r="T5728" i="2" s="1"/>
  <c r="U5727" i="2"/>
  <c r="S5727" i="2"/>
  <c r="T5727" i="2" s="1"/>
  <c r="U5726" i="2"/>
  <c r="S5726" i="2"/>
  <c r="T5726" i="2" s="1"/>
  <c r="U5725" i="2"/>
  <c r="S5725" i="2"/>
  <c r="T5725" i="2" s="1"/>
  <c r="U5724" i="2"/>
  <c r="S5724" i="2"/>
  <c r="T5724" i="2" s="1"/>
  <c r="U5723" i="2"/>
  <c r="S5723" i="2"/>
  <c r="T5723" i="2" s="1"/>
  <c r="U5722" i="2"/>
  <c r="S5722" i="2"/>
  <c r="T5722" i="2" s="1"/>
  <c r="U5721" i="2"/>
  <c r="S5721" i="2"/>
  <c r="T5721" i="2" s="1"/>
  <c r="U5720" i="2"/>
  <c r="S5720" i="2"/>
  <c r="T5720" i="2" s="1"/>
  <c r="U5719" i="2"/>
  <c r="S5719" i="2"/>
  <c r="T5719" i="2" s="1"/>
  <c r="U5718" i="2"/>
  <c r="S5718" i="2"/>
  <c r="T5718" i="2" s="1"/>
  <c r="U5717" i="2"/>
  <c r="S5717" i="2"/>
  <c r="T5717" i="2" s="1"/>
  <c r="U5716" i="2"/>
  <c r="S5716" i="2"/>
  <c r="T5716" i="2" s="1"/>
  <c r="U5715" i="2"/>
  <c r="S5715" i="2"/>
  <c r="T5715" i="2" s="1"/>
  <c r="U5714" i="2"/>
  <c r="S5714" i="2"/>
  <c r="T5714" i="2" s="1"/>
  <c r="U5713" i="2"/>
  <c r="S5713" i="2"/>
  <c r="T5713" i="2" s="1"/>
  <c r="U5712" i="2"/>
  <c r="S5712" i="2"/>
  <c r="T5712" i="2" s="1"/>
  <c r="U5711" i="2"/>
  <c r="S5711" i="2"/>
  <c r="T5711" i="2" s="1"/>
  <c r="U5710" i="2"/>
  <c r="S5710" i="2"/>
  <c r="T5710" i="2" s="1"/>
  <c r="U5709" i="2"/>
  <c r="S5709" i="2"/>
  <c r="T5709" i="2" s="1"/>
  <c r="U5708" i="2"/>
  <c r="S5708" i="2"/>
  <c r="T5708" i="2" s="1"/>
  <c r="U5707" i="2"/>
  <c r="S5707" i="2"/>
  <c r="T5707" i="2" s="1"/>
  <c r="U5706" i="2"/>
  <c r="S5706" i="2"/>
  <c r="T5706" i="2" s="1"/>
  <c r="U5705" i="2"/>
  <c r="S5705" i="2"/>
  <c r="T5705" i="2" s="1"/>
  <c r="U5704" i="2"/>
  <c r="S5704" i="2"/>
  <c r="T5704" i="2" s="1"/>
  <c r="U5703" i="2"/>
  <c r="S5703" i="2"/>
  <c r="T5703" i="2" s="1"/>
  <c r="U5702" i="2"/>
  <c r="S5702" i="2"/>
  <c r="T5702" i="2" s="1"/>
  <c r="U5701" i="2"/>
  <c r="S5701" i="2"/>
  <c r="T5701" i="2" s="1"/>
  <c r="U5700" i="2"/>
  <c r="S5700" i="2"/>
  <c r="T5700" i="2" s="1"/>
  <c r="U5699" i="2"/>
  <c r="S5699" i="2"/>
  <c r="T5699" i="2" s="1"/>
  <c r="U5698" i="2"/>
  <c r="S5698" i="2"/>
  <c r="T5698" i="2" s="1"/>
  <c r="U5697" i="2"/>
  <c r="S5697" i="2"/>
  <c r="T5697" i="2" s="1"/>
  <c r="U5696" i="2"/>
  <c r="S5696" i="2"/>
  <c r="T5696" i="2" s="1"/>
  <c r="U5695" i="2"/>
  <c r="S5695" i="2"/>
  <c r="T5695" i="2" s="1"/>
  <c r="U5694" i="2"/>
  <c r="S5694" i="2"/>
  <c r="T5694" i="2" s="1"/>
  <c r="U5693" i="2"/>
  <c r="S5693" i="2"/>
  <c r="T5693" i="2" s="1"/>
  <c r="U5692" i="2"/>
  <c r="S5692" i="2"/>
  <c r="T5692" i="2" s="1"/>
  <c r="U5691" i="2"/>
  <c r="S5691" i="2"/>
  <c r="T5691" i="2" s="1"/>
  <c r="U5690" i="2"/>
  <c r="S5690" i="2"/>
  <c r="T5690" i="2" s="1"/>
  <c r="U5689" i="2"/>
  <c r="S5689" i="2"/>
  <c r="T5689" i="2" s="1"/>
  <c r="U5688" i="2"/>
  <c r="S5688" i="2"/>
  <c r="T5688" i="2" s="1"/>
  <c r="U5687" i="2"/>
  <c r="S5687" i="2"/>
  <c r="T5687" i="2" s="1"/>
  <c r="U5686" i="2"/>
  <c r="S5686" i="2"/>
  <c r="T5686" i="2" s="1"/>
  <c r="U5685" i="2"/>
  <c r="S5685" i="2"/>
  <c r="T5685" i="2" s="1"/>
  <c r="U5684" i="2"/>
  <c r="S5684" i="2"/>
  <c r="T5684" i="2" s="1"/>
  <c r="U5683" i="2"/>
  <c r="S5683" i="2"/>
  <c r="T5683" i="2" s="1"/>
  <c r="U5682" i="2"/>
  <c r="S5682" i="2"/>
  <c r="T5682" i="2" s="1"/>
  <c r="U5681" i="2"/>
  <c r="S5681" i="2"/>
  <c r="T5681" i="2" s="1"/>
  <c r="U5680" i="2"/>
  <c r="S5680" i="2"/>
  <c r="T5680" i="2" s="1"/>
  <c r="U5679" i="2"/>
  <c r="S5679" i="2"/>
  <c r="T5679" i="2" s="1"/>
  <c r="U5678" i="2"/>
  <c r="S5678" i="2"/>
  <c r="T5678" i="2" s="1"/>
  <c r="U5677" i="2"/>
  <c r="S5677" i="2"/>
  <c r="T5677" i="2" s="1"/>
  <c r="U5676" i="2"/>
  <c r="S5676" i="2"/>
  <c r="T5676" i="2" s="1"/>
  <c r="U5675" i="2"/>
  <c r="S5675" i="2"/>
  <c r="T5675" i="2" s="1"/>
  <c r="U5674" i="2"/>
  <c r="S5674" i="2"/>
  <c r="T5674" i="2" s="1"/>
  <c r="U5673" i="2"/>
  <c r="S5673" i="2"/>
  <c r="T5673" i="2" s="1"/>
  <c r="U5672" i="2"/>
  <c r="S5672" i="2"/>
  <c r="T5672" i="2" s="1"/>
  <c r="U5671" i="2"/>
  <c r="S5671" i="2"/>
  <c r="T5671" i="2" s="1"/>
  <c r="U5670" i="2"/>
  <c r="S5670" i="2"/>
  <c r="T5670" i="2" s="1"/>
  <c r="U5669" i="2"/>
  <c r="S5669" i="2"/>
  <c r="T5669" i="2" s="1"/>
  <c r="U5668" i="2"/>
  <c r="S5668" i="2"/>
  <c r="T5668" i="2" s="1"/>
  <c r="U5667" i="2"/>
  <c r="S5667" i="2"/>
  <c r="T5667" i="2" s="1"/>
  <c r="U5666" i="2"/>
  <c r="S5666" i="2"/>
  <c r="T5666" i="2" s="1"/>
  <c r="U5665" i="2"/>
  <c r="S5665" i="2"/>
  <c r="T5665" i="2" s="1"/>
  <c r="U5664" i="2"/>
  <c r="S5664" i="2"/>
  <c r="T5664" i="2" s="1"/>
  <c r="U5663" i="2"/>
  <c r="S5663" i="2"/>
  <c r="T5663" i="2" s="1"/>
  <c r="U5662" i="2"/>
  <c r="S5662" i="2"/>
  <c r="T5662" i="2" s="1"/>
  <c r="U5661" i="2"/>
  <c r="S5661" i="2"/>
  <c r="T5661" i="2" s="1"/>
  <c r="U5660" i="2"/>
  <c r="S5660" i="2"/>
  <c r="T5660" i="2" s="1"/>
  <c r="U5659" i="2"/>
  <c r="S5659" i="2"/>
  <c r="T5659" i="2" s="1"/>
  <c r="U5658" i="2"/>
  <c r="S5658" i="2"/>
  <c r="T5658" i="2" s="1"/>
  <c r="U5657" i="2"/>
  <c r="S5657" i="2"/>
  <c r="T5657" i="2" s="1"/>
  <c r="U5656" i="2"/>
  <c r="S5656" i="2"/>
  <c r="T5656" i="2" s="1"/>
  <c r="U5655" i="2"/>
  <c r="S5655" i="2"/>
  <c r="T5655" i="2" s="1"/>
  <c r="U5654" i="2"/>
  <c r="S5654" i="2"/>
  <c r="T5654" i="2" s="1"/>
  <c r="U5653" i="2"/>
  <c r="S5653" i="2"/>
  <c r="T5653" i="2" s="1"/>
  <c r="U5652" i="2"/>
  <c r="S5652" i="2"/>
  <c r="T5652" i="2" s="1"/>
  <c r="U5651" i="2"/>
  <c r="S5651" i="2"/>
  <c r="T5651" i="2" s="1"/>
  <c r="U5650" i="2"/>
  <c r="S5650" i="2"/>
  <c r="T5650" i="2" s="1"/>
  <c r="U5649" i="2"/>
  <c r="S5649" i="2"/>
  <c r="T5649" i="2" s="1"/>
  <c r="U5648" i="2"/>
  <c r="S5648" i="2"/>
  <c r="T5648" i="2" s="1"/>
  <c r="U5647" i="2"/>
  <c r="S5647" i="2"/>
  <c r="T5647" i="2" s="1"/>
  <c r="U5646" i="2"/>
  <c r="S5646" i="2"/>
  <c r="T5646" i="2" s="1"/>
  <c r="U5645" i="2"/>
  <c r="S5645" i="2"/>
  <c r="T5645" i="2" s="1"/>
  <c r="U5644" i="2"/>
  <c r="S5644" i="2"/>
  <c r="T5644" i="2" s="1"/>
  <c r="U5643" i="2"/>
  <c r="S5643" i="2"/>
  <c r="T5643" i="2" s="1"/>
  <c r="U5642" i="2"/>
  <c r="S5642" i="2"/>
  <c r="T5642" i="2" s="1"/>
  <c r="U5641" i="2"/>
  <c r="S5641" i="2"/>
  <c r="T5641" i="2" s="1"/>
  <c r="U5640" i="2"/>
  <c r="S5640" i="2"/>
  <c r="T5640" i="2" s="1"/>
  <c r="U5639" i="2"/>
  <c r="S5639" i="2"/>
  <c r="T5639" i="2" s="1"/>
  <c r="U5638" i="2"/>
  <c r="S5638" i="2"/>
  <c r="T5638" i="2" s="1"/>
  <c r="U5637" i="2"/>
  <c r="S5637" i="2"/>
  <c r="T5637" i="2" s="1"/>
  <c r="U5636" i="2"/>
  <c r="S5636" i="2"/>
  <c r="T5636" i="2" s="1"/>
  <c r="U5635" i="2"/>
  <c r="S5635" i="2"/>
  <c r="T5635" i="2" s="1"/>
  <c r="U5634" i="2"/>
  <c r="S5634" i="2"/>
  <c r="T5634" i="2" s="1"/>
  <c r="U5633" i="2"/>
  <c r="S5633" i="2"/>
  <c r="T5633" i="2" s="1"/>
  <c r="U5632" i="2"/>
  <c r="S5632" i="2"/>
  <c r="T5632" i="2" s="1"/>
  <c r="U5631" i="2"/>
  <c r="S5631" i="2"/>
  <c r="T5631" i="2" s="1"/>
  <c r="U5630" i="2"/>
  <c r="S5630" i="2"/>
  <c r="T5630" i="2" s="1"/>
  <c r="U5629" i="2"/>
  <c r="S5629" i="2"/>
  <c r="T5629" i="2" s="1"/>
  <c r="U5628" i="2"/>
  <c r="S5628" i="2"/>
  <c r="T5628" i="2" s="1"/>
  <c r="U5627" i="2"/>
  <c r="S5627" i="2"/>
  <c r="T5627" i="2" s="1"/>
  <c r="U5626" i="2"/>
  <c r="S5626" i="2"/>
  <c r="T5626" i="2" s="1"/>
  <c r="U5625" i="2"/>
  <c r="S5625" i="2"/>
  <c r="T5625" i="2" s="1"/>
  <c r="U5624" i="2"/>
  <c r="S5624" i="2"/>
  <c r="T5624" i="2" s="1"/>
  <c r="U5623" i="2"/>
  <c r="S5623" i="2"/>
  <c r="T5623" i="2" s="1"/>
  <c r="U5622" i="2"/>
  <c r="S5622" i="2"/>
  <c r="T5622" i="2" s="1"/>
  <c r="U5621" i="2"/>
  <c r="S5621" i="2"/>
  <c r="T5621" i="2" s="1"/>
  <c r="U5620" i="2"/>
  <c r="S5620" i="2"/>
  <c r="T5620" i="2" s="1"/>
  <c r="U5619" i="2"/>
  <c r="S5619" i="2"/>
  <c r="T5619" i="2" s="1"/>
  <c r="U5618" i="2"/>
  <c r="S5618" i="2"/>
  <c r="T5618" i="2" s="1"/>
  <c r="U5617" i="2"/>
  <c r="S5617" i="2"/>
  <c r="T5617" i="2" s="1"/>
  <c r="U5616" i="2"/>
  <c r="S5616" i="2"/>
  <c r="T5616" i="2" s="1"/>
  <c r="U5615" i="2"/>
  <c r="S5615" i="2"/>
  <c r="T5615" i="2" s="1"/>
  <c r="U5614" i="2"/>
  <c r="S5614" i="2"/>
  <c r="T5614" i="2" s="1"/>
  <c r="U5613" i="2"/>
  <c r="S5613" i="2"/>
  <c r="T5613" i="2" s="1"/>
  <c r="U5612" i="2"/>
  <c r="S5612" i="2"/>
  <c r="T5612" i="2" s="1"/>
  <c r="U5611" i="2"/>
  <c r="S5611" i="2"/>
  <c r="T5611" i="2" s="1"/>
  <c r="U5610" i="2"/>
  <c r="S5610" i="2"/>
  <c r="T5610" i="2" s="1"/>
  <c r="U5609" i="2"/>
  <c r="S5609" i="2"/>
  <c r="T5609" i="2" s="1"/>
  <c r="U5608" i="2"/>
  <c r="S5608" i="2"/>
  <c r="T5608" i="2" s="1"/>
  <c r="U5607" i="2"/>
  <c r="S5607" i="2"/>
  <c r="T5607" i="2" s="1"/>
  <c r="U5606" i="2"/>
  <c r="S5606" i="2"/>
  <c r="T5606" i="2" s="1"/>
  <c r="U5605" i="2"/>
  <c r="S5605" i="2"/>
  <c r="T5605" i="2" s="1"/>
  <c r="U5604" i="2"/>
  <c r="S5604" i="2"/>
  <c r="T5604" i="2" s="1"/>
  <c r="U5603" i="2"/>
  <c r="S5603" i="2"/>
  <c r="T5603" i="2" s="1"/>
  <c r="U5602" i="2"/>
  <c r="S5602" i="2"/>
  <c r="T5602" i="2" s="1"/>
  <c r="U5601" i="2"/>
  <c r="S5601" i="2"/>
  <c r="T5601" i="2" s="1"/>
  <c r="U5600" i="2"/>
  <c r="S5600" i="2"/>
  <c r="T5600" i="2" s="1"/>
  <c r="U5599" i="2"/>
  <c r="S5599" i="2"/>
  <c r="T5599" i="2" s="1"/>
  <c r="U5598" i="2"/>
  <c r="S5598" i="2"/>
  <c r="T5598" i="2" s="1"/>
  <c r="U5597" i="2"/>
  <c r="S5597" i="2"/>
  <c r="T5597" i="2" s="1"/>
  <c r="U5596" i="2"/>
  <c r="S5596" i="2"/>
  <c r="T5596" i="2" s="1"/>
  <c r="U5595" i="2"/>
  <c r="S5595" i="2"/>
  <c r="T5595" i="2" s="1"/>
  <c r="U5594" i="2"/>
  <c r="S5594" i="2"/>
  <c r="T5594" i="2" s="1"/>
  <c r="U5593" i="2"/>
  <c r="S5593" i="2"/>
  <c r="T5593" i="2" s="1"/>
  <c r="U5592" i="2"/>
  <c r="S5592" i="2"/>
  <c r="T5592" i="2" s="1"/>
  <c r="U5591" i="2"/>
  <c r="S5591" i="2"/>
  <c r="T5591" i="2" s="1"/>
  <c r="U5590" i="2"/>
  <c r="S5590" i="2"/>
  <c r="T5590" i="2" s="1"/>
  <c r="U5589" i="2"/>
  <c r="S5589" i="2"/>
  <c r="T5589" i="2" s="1"/>
  <c r="U5588" i="2"/>
  <c r="S5588" i="2"/>
  <c r="T5588" i="2" s="1"/>
  <c r="U5587" i="2"/>
  <c r="S5587" i="2"/>
  <c r="T5587" i="2" s="1"/>
  <c r="U5586" i="2"/>
  <c r="S5586" i="2"/>
  <c r="T5586" i="2" s="1"/>
  <c r="U5585" i="2"/>
  <c r="S5585" i="2"/>
  <c r="T5585" i="2" s="1"/>
  <c r="U5584" i="2"/>
  <c r="S5584" i="2"/>
  <c r="T5584" i="2" s="1"/>
  <c r="U5583" i="2"/>
  <c r="S5583" i="2"/>
  <c r="T5583" i="2" s="1"/>
  <c r="U5582" i="2"/>
  <c r="S5582" i="2"/>
  <c r="T5582" i="2" s="1"/>
  <c r="U5581" i="2"/>
  <c r="S5581" i="2"/>
  <c r="T5581" i="2" s="1"/>
  <c r="U5580" i="2"/>
  <c r="S5580" i="2"/>
  <c r="T5580" i="2" s="1"/>
  <c r="U5579" i="2"/>
  <c r="S5579" i="2"/>
  <c r="T5579" i="2" s="1"/>
  <c r="U5578" i="2"/>
  <c r="S5578" i="2"/>
  <c r="T5578" i="2" s="1"/>
  <c r="U5577" i="2"/>
  <c r="S5577" i="2"/>
  <c r="T5577" i="2" s="1"/>
  <c r="U5576" i="2"/>
  <c r="S5576" i="2"/>
  <c r="T5576" i="2" s="1"/>
  <c r="U5575" i="2"/>
  <c r="S5575" i="2"/>
  <c r="T5575" i="2" s="1"/>
  <c r="U5574" i="2"/>
  <c r="S5574" i="2"/>
  <c r="T5574" i="2" s="1"/>
  <c r="U5573" i="2"/>
  <c r="S5573" i="2"/>
  <c r="T5573" i="2" s="1"/>
  <c r="U5572" i="2"/>
  <c r="S5572" i="2"/>
  <c r="T5572" i="2" s="1"/>
  <c r="U5571" i="2"/>
  <c r="S5571" i="2"/>
  <c r="T5571" i="2" s="1"/>
  <c r="U5570" i="2"/>
  <c r="S5570" i="2"/>
  <c r="T5570" i="2" s="1"/>
  <c r="U5569" i="2"/>
  <c r="S5569" i="2"/>
  <c r="T5569" i="2" s="1"/>
  <c r="U5568" i="2"/>
  <c r="S5568" i="2"/>
  <c r="T5568" i="2" s="1"/>
  <c r="U5567" i="2"/>
  <c r="S5567" i="2"/>
  <c r="T5567" i="2" s="1"/>
  <c r="U5566" i="2"/>
  <c r="S5566" i="2"/>
  <c r="T5566" i="2" s="1"/>
  <c r="U5565" i="2"/>
  <c r="S5565" i="2"/>
  <c r="T5565" i="2" s="1"/>
  <c r="U5564" i="2"/>
  <c r="S5564" i="2"/>
  <c r="T5564" i="2" s="1"/>
  <c r="U5563" i="2"/>
  <c r="S5563" i="2"/>
  <c r="T5563" i="2" s="1"/>
  <c r="U5562" i="2"/>
  <c r="S5562" i="2"/>
  <c r="T5562" i="2" s="1"/>
  <c r="U5561" i="2"/>
  <c r="S5561" i="2"/>
  <c r="T5561" i="2" s="1"/>
  <c r="U5560" i="2"/>
  <c r="S5560" i="2"/>
  <c r="T5560" i="2" s="1"/>
  <c r="U5559" i="2"/>
  <c r="S5559" i="2"/>
  <c r="T5559" i="2" s="1"/>
  <c r="U5558" i="2"/>
  <c r="S5558" i="2"/>
  <c r="T5558" i="2" s="1"/>
  <c r="U5557" i="2"/>
  <c r="S5557" i="2"/>
  <c r="T5557" i="2" s="1"/>
  <c r="U5556" i="2"/>
  <c r="S5556" i="2"/>
  <c r="T5556" i="2" s="1"/>
  <c r="U5555" i="2"/>
  <c r="S5555" i="2"/>
  <c r="T5555" i="2" s="1"/>
  <c r="U5554" i="2"/>
  <c r="S5554" i="2"/>
  <c r="T5554" i="2" s="1"/>
  <c r="U5553" i="2"/>
  <c r="S5553" i="2"/>
  <c r="T5553" i="2" s="1"/>
  <c r="U5552" i="2"/>
  <c r="S5552" i="2"/>
  <c r="T5552" i="2" s="1"/>
  <c r="U5551" i="2"/>
  <c r="S5551" i="2"/>
  <c r="T5551" i="2" s="1"/>
  <c r="U5550" i="2"/>
  <c r="S5550" i="2"/>
  <c r="T5550" i="2" s="1"/>
  <c r="U5549" i="2"/>
  <c r="S5549" i="2"/>
  <c r="T5549" i="2" s="1"/>
  <c r="U5548" i="2"/>
  <c r="S5548" i="2"/>
  <c r="T5548" i="2" s="1"/>
  <c r="U5547" i="2"/>
  <c r="S5547" i="2"/>
  <c r="T5547" i="2" s="1"/>
  <c r="U5546" i="2"/>
  <c r="S5546" i="2"/>
  <c r="T5546" i="2" s="1"/>
  <c r="U5545" i="2"/>
  <c r="S5545" i="2"/>
  <c r="T5545" i="2" s="1"/>
  <c r="U5544" i="2"/>
  <c r="S5544" i="2"/>
  <c r="T5544" i="2" s="1"/>
  <c r="U5543" i="2"/>
  <c r="S5543" i="2"/>
  <c r="T5543" i="2" s="1"/>
  <c r="U5542" i="2"/>
  <c r="S5542" i="2"/>
  <c r="T5542" i="2" s="1"/>
  <c r="U5541" i="2"/>
  <c r="S5541" i="2"/>
  <c r="T5541" i="2" s="1"/>
  <c r="U5540" i="2"/>
  <c r="S5540" i="2"/>
  <c r="T5540" i="2" s="1"/>
  <c r="U5539" i="2"/>
  <c r="S5539" i="2"/>
  <c r="T5539" i="2" s="1"/>
  <c r="U5538" i="2"/>
  <c r="S5538" i="2"/>
  <c r="T5538" i="2" s="1"/>
  <c r="U5537" i="2"/>
  <c r="S5537" i="2"/>
  <c r="T5537" i="2" s="1"/>
  <c r="U5536" i="2"/>
  <c r="S5536" i="2"/>
  <c r="T5536" i="2" s="1"/>
  <c r="U5535" i="2"/>
  <c r="S5535" i="2"/>
  <c r="T5535" i="2" s="1"/>
  <c r="U5534" i="2"/>
  <c r="S5534" i="2"/>
  <c r="T5534" i="2" s="1"/>
  <c r="U5533" i="2"/>
  <c r="S5533" i="2"/>
  <c r="T5533" i="2" s="1"/>
  <c r="U5532" i="2"/>
  <c r="S5532" i="2"/>
  <c r="T5532" i="2" s="1"/>
  <c r="U5531" i="2"/>
  <c r="S5531" i="2"/>
  <c r="T5531" i="2" s="1"/>
  <c r="U5530" i="2"/>
  <c r="S5530" i="2"/>
  <c r="T5530" i="2" s="1"/>
  <c r="U5529" i="2"/>
  <c r="S5529" i="2"/>
  <c r="T5529" i="2" s="1"/>
  <c r="U5528" i="2"/>
  <c r="S5528" i="2"/>
  <c r="T5528" i="2" s="1"/>
  <c r="U5527" i="2"/>
  <c r="S5527" i="2"/>
  <c r="T5527" i="2" s="1"/>
  <c r="U5526" i="2"/>
  <c r="S5526" i="2"/>
  <c r="T5526" i="2" s="1"/>
  <c r="U5525" i="2"/>
  <c r="S5525" i="2"/>
  <c r="T5525" i="2" s="1"/>
  <c r="U5524" i="2"/>
  <c r="S5524" i="2"/>
  <c r="T5524" i="2" s="1"/>
  <c r="U5523" i="2"/>
  <c r="S5523" i="2"/>
  <c r="T5523" i="2" s="1"/>
  <c r="U5522" i="2"/>
  <c r="S5522" i="2"/>
  <c r="T5522" i="2" s="1"/>
  <c r="U5521" i="2"/>
  <c r="S5521" i="2"/>
  <c r="T5521" i="2" s="1"/>
  <c r="U5520" i="2"/>
  <c r="S5520" i="2"/>
  <c r="T5520" i="2" s="1"/>
  <c r="U5519" i="2"/>
  <c r="S5519" i="2"/>
  <c r="T5519" i="2" s="1"/>
  <c r="U5518" i="2"/>
  <c r="S5518" i="2"/>
  <c r="T5518" i="2" s="1"/>
  <c r="U5517" i="2"/>
  <c r="S5517" i="2"/>
  <c r="T5517" i="2" s="1"/>
  <c r="U5516" i="2"/>
  <c r="S5516" i="2"/>
  <c r="T5516" i="2" s="1"/>
  <c r="U5515" i="2"/>
  <c r="S5515" i="2"/>
  <c r="T5515" i="2" s="1"/>
  <c r="U5514" i="2"/>
  <c r="S5514" i="2"/>
  <c r="T5514" i="2" s="1"/>
  <c r="U5513" i="2"/>
  <c r="S5513" i="2"/>
  <c r="T5513" i="2" s="1"/>
  <c r="U5512" i="2"/>
  <c r="S5512" i="2"/>
  <c r="T5512" i="2" s="1"/>
  <c r="U5511" i="2"/>
  <c r="S5511" i="2"/>
  <c r="T5511" i="2" s="1"/>
  <c r="U5510" i="2"/>
  <c r="S5510" i="2"/>
  <c r="T5510" i="2" s="1"/>
  <c r="U5509" i="2"/>
  <c r="S5509" i="2"/>
  <c r="T5509" i="2" s="1"/>
  <c r="U5508" i="2"/>
  <c r="S5508" i="2"/>
  <c r="T5508" i="2" s="1"/>
  <c r="U5507" i="2"/>
  <c r="S5507" i="2"/>
  <c r="T5507" i="2" s="1"/>
  <c r="U5506" i="2"/>
  <c r="S5506" i="2"/>
  <c r="T5506" i="2" s="1"/>
  <c r="U5505" i="2"/>
  <c r="S5505" i="2"/>
  <c r="T5505" i="2" s="1"/>
  <c r="U5504" i="2"/>
  <c r="S5504" i="2"/>
  <c r="T5504" i="2" s="1"/>
  <c r="U5503" i="2"/>
  <c r="S5503" i="2"/>
  <c r="T5503" i="2" s="1"/>
  <c r="U5502" i="2"/>
  <c r="S5502" i="2"/>
  <c r="T5502" i="2" s="1"/>
  <c r="U5501" i="2"/>
  <c r="S5501" i="2"/>
  <c r="T5501" i="2" s="1"/>
  <c r="U5500" i="2"/>
  <c r="S5500" i="2"/>
  <c r="T5500" i="2" s="1"/>
  <c r="U5499" i="2"/>
  <c r="S5499" i="2"/>
  <c r="T5499" i="2" s="1"/>
  <c r="U5498" i="2"/>
  <c r="S5498" i="2"/>
  <c r="T5498" i="2" s="1"/>
  <c r="U5497" i="2"/>
  <c r="S5497" i="2"/>
  <c r="T5497" i="2" s="1"/>
  <c r="U5496" i="2"/>
  <c r="S5496" i="2"/>
  <c r="T5496" i="2" s="1"/>
  <c r="U5495" i="2"/>
  <c r="S5495" i="2"/>
  <c r="T5495" i="2" s="1"/>
  <c r="U5494" i="2"/>
  <c r="S5494" i="2"/>
  <c r="T5494" i="2" s="1"/>
  <c r="U5493" i="2"/>
  <c r="S5493" i="2"/>
  <c r="T5493" i="2" s="1"/>
  <c r="U5492" i="2"/>
  <c r="S5492" i="2"/>
  <c r="T5492" i="2" s="1"/>
  <c r="U5491" i="2"/>
  <c r="S5491" i="2"/>
  <c r="T5491" i="2" s="1"/>
  <c r="U5490" i="2"/>
  <c r="S5490" i="2"/>
  <c r="T5490" i="2" s="1"/>
  <c r="U5489" i="2"/>
  <c r="S5489" i="2"/>
  <c r="T5489" i="2" s="1"/>
  <c r="U5488" i="2"/>
  <c r="S5488" i="2"/>
  <c r="T5488" i="2" s="1"/>
  <c r="U5487" i="2"/>
  <c r="S5487" i="2"/>
  <c r="T5487" i="2" s="1"/>
  <c r="U5486" i="2"/>
  <c r="S5486" i="2"/>
  <c r="T5486" i="2" s="1"/>
  <c r="U5485" i="2"/>
  <c r="S5485" i="2"/>
  <c r="T5485" i="2" s="1"/>
  <c r="U5484" i="2"/>
  <c r="S5484" i="2"/>
  <c r="T5484" i="2" s="1"/>
  <c r="U5483" i="2"/>
  <c r="S5483" i="2"/>
  <c r="T5483" i="2" s="1"/>
  <c r="U5482" i="2"/>
  <c r="S5482" i="2"/>
  <c r="T5482" i="2" s="1"/>
  <c r="U5481" i="2"/>
  <c r="S5481" i="2"/>
  <c r="T5481" i="2" s="1"/>
  <c r="U5480" i="2"/>
  <c r="S5480" i="2"/>
  <c r="T5480" i="2" s="1"/>
  <c r="U5479" i="2"/>
  <c r="S5479" i="2"/>
  <c r="T5479" i="2" s="1"/>
  <c r="U5478" i="2"/>
  <c r="S5478" i="2"/>
  <c r="T5478" i="2" s="1"/>
  <c r="U5477" i="2"/>
  <c r="S5477" i="2"/>
  <c r="T5477" i="2" s="1"/>
  <c r="U5476" i="2"/>
  <c r="S5476" i="2"/>
  <c r="T5476" i="2" s="1"/>
  <c r="U5475" i="2"/>
  <c r="S5475" i="2"/>
  <c r="T5475" i="2" s="1"/>
  <c r="U5474" i="2"/>
  <c r="S5474" i="2"/>
  <c r="T5474" i="2" s="1"/>
  <c r="U5473" i="2"/>
  <c r="S5473" i="2"/>
  <c r="T5473" i="2" s="1"/>
  <c r="U5472" i="2"/>
  <c r="S5472" i="2"/>
  <c r="T5472" i="2" s="1"/>
  <c r="U5471" i="2"/>
  <c r="S5471" i="2"/>
  <c r="T5471" i="2" s="1"/>
  <c r="U5470" i="2"/>
  <c r="S5470" i="2"/>
  <c r="T5470" i="2" s="1"/>
  <c r="U5469" i="2"/>
  <c r="S5469" i="2"/>
  <c r="T5469" i="2" s="1"/>
  <c r="U5468" i="2"/>
  <c r="S5468" i="2"/>
  <c r="T5468" i="2" s="1"/>
  <c r="U5467" i="2"/>
  <c r="S5467" i="2"/>
  <c r="T5467" i="2" s="1"/>
  <c r="U5466" i="2"/>
  <c r="S5466" i="2"/>
  <c r="T5466" i="2" s="1"/>
  <c r="U5465" i="2"/>
  <c r="S5465" i="2"/>
  <c r="T5465" i="2" s="1"/>
  <c r="U5464" i="2"/>
  <c r="S5464" i="2"/>
  <c r="T5464" i="2" s="1"/>
  <c r="U5463" i="2"/>
  <c r="S5463" i="2"/>
  <c r="T5463" i="2" s="1"/>
  <c r="U5462" i="2"/>
  <c r="S5462" i="2"/>
  <c r="T5462" i="2" s="1"/>
  <c r="U5461" i="2"/>
  <c r="S5461" i="2"/>
  <c r="T5461" i="2" s="1"/>
  <c r="U5460" i="2"/>
  <c r="S5460" i="2"/>
  <c r="T5460" i="2" s="1"/>
  <c r="U5459" i="2"/>
  <c r="S5459" i="2"/>
  <c r="T5459" i="2" s="1"/>
  <c r="U5458" i="2"/>
  <c r="S5458" i="2"/>
  <c r="T5458" i="2" s="1"/>
  <c r="U5457" i="2"/>
  <c r="S5457" i="2"/>
  <c r="T5457" i="2" s="1"/>
  <c r="U5456" i="2"/>
  <c r="S5456" i="2"/>
  <c r="T5456" i="2" s="1"/>
  <c r="U5455" i="2"/>
  <c r="S5455" i="2"/>
  <c r="T5455" i="2" s="1"/>
  <c r="U5454" i="2"/>
  <c r="S5454" i="2"/>
  <c r="T5454" i="2" s="1"/>
  <c r="U5453" i="2"/>
  <c r="S5453" i="2"/>
  <c r="T5453" i="2" s="1"/>
  <c r="U5452" i="2"/>
  <c r="S5452" i="2"/>
  <c r="T5452" i="2" s="1"/>
  <c r="U5451" i="2"/>
  <c r="S5451" i="2"/>
  <c r="T5451" i="2" s="1"/>
  <c r="U5450" i="2"/>
  <c r="S5450" i="2"/>
  <c r="T5450" i="2" s="1"/>
  <c r="U5449" i="2"/>
  <c r="S5449" i="2"/>
  <c r="T5449" i="2" s="1"/>
  <c r="U5448" i="2"/>
  <c r="S5448" i="2"/>
  <c r="T5448" i="2" s="1"/>
  <c r="U5447" i="2"/>
  <c r="S5447" i="2"/>
  <c r="T5447" i="2" s="1"/>
  <c r="U5446" i="2"/>
  <c r="S5446" i="2"/>
  <c r="T5446" i="2" s="1"/>
  <c r="U5445" i="2"/>
  <c r="S5445" i="2"/>
  <c r="T5445" i="2" s="1"/>
  <c r="U5444" i="2"/>
  <c r="S5444" i="2"/>
  <c r="T5444" i="2" s="1"/>
  <c r="U5443" i="2"/>
  <c r="S5443" i="2"/>
  <c r="T5443" i="2" s="1"/>
  <c r="U5442" i="2"/>
  <c r="S5442" i="2"/>
  <c r="T5442" i="2" s="1"/>
  <c r="U5441" i="2"/>
  <c r="S5441" i="2"/>
  <c r="T5441" i="2" s="1"/>
  <c r="U5440" i="2"/>
  <c r="S5440" i="2"/>
  <c r="T5440" i="2" s="1"/>
  <c r="U5439" i="2"/>
  <c r="S5439" i="2"/>
  <c r="T5439" i="2" s="1"/>
  <c r="U5438" i="2"/>
  <c r="S5438" i="2"/>
  <c r="T5438" i="2" s="1"/>
  <c r="U5437" i="2"/>
  <c r="S5437" i="2"/>
  <c r="T5437" i="2" s="1"/>
  <c r="U5436" i="2"/>
  <c r="S5436" i="2"/>
  <c r="T5436" i="2" s="1"/>
  <c r="U5435" i="2"/>
  <c r="S5435" i="2"/>
  <c r="T5435" i="2" s="1"/>
  <c r="U5434" i="2"/>
  <c r="S5434" i="2"/>
  <c r="T5434" i="2" s="1"/>
  <c r="U5433" i="2"/>
  <c r="S5433" i="2"/>
  <c r="T5433" i="2" s="1"/>
  <c r="U5432" i="2"/>
  <c r="S5432" i="2"/>
  <c r="T5432" i="2" s="1"/>
  <c r="U5431" i="2"/>
  <c r="S5431" i="2"/>
  <c r="T5431" i="2" s="1"/>
  <c r="U5430" i="2"/>
  <c r="S5430" i="2"/>
  <c r="T5430" i="2" s="1"/>
  <c r="U5429" i="2"/>
  <c r="S5429" i="2"/>
  <c r="T5429" i="2" s="1"/>
  <c r="U5428" i="2"/>
  <c r="S5428" i="2"/>
  <c r="T5428" i="2" s="1"/>
  <c r="U5427" i="2"/>
  <c r="S5427" i="2"/>
  <c r="T5427" i="2" s="1"/>
  <c r="U5426" i="2"/>
  <c r="S5426" i="2"/>
  <c r="T5426" i="2" s="1"/>
  <c r="U5425" i="2"/>
  <c r="S5425" i="2"/>
  <c r="T5425" i="2" s="1"/>
  <c r="U5424" i="2"/>
  <c r="S5424" i="2"/>
  <c r="T5424" i="2" s="1"/>
  <c r="U5423" i="2"/>
  <c r="S5423" i="2"/>
  <c r="T5423" i="2" s="1"/>
  <c r="U5422" i="2"/>
  <c r="S5422" i="2"/>
  <c r="T5422" i="2" s="1"/>
  <c r="U5421" i="2"/>
  <c r="S5421" i="2"/>
  <c r="T5421" i="2" s="1"/>
  <c r="U5420" i="2"/>
  <c r="S5420" i="2"/>
  <c r="T5420" i="2" s="1"/>
  <c r="U5419" i="2"/>
  <c r="S5419" i="2"/>
  <c r="T5419" i="2" s="1"/>
  <c r="U5418" i="2"/>
  <c r="S5418" i="2"/>
  <c r="T5418" i="2" s="1"/>
  <c r="U5417" i="2"/>
  <c r="S5417" i="2"/>
  <c r="T5417" i="2" s="1"/>
  <c r="U5416" i="2"/>
  <c r="S5416" i="2"/>
  <c r="T5416" i="2" s="1"/>
  <c r="U5415" i="2"/>
  <c r="S5415" i="2"/>
  <c r="T5415" i="2" s="1"/>
  <c r="U5414" i="2"/>
  <c r="S5414" i="2"/>
  <c r="T5414" i="2" s="1"/>
  <c r="U5413" i="2"/>
  <c r="S5413" i="2"/>
  <c r="T5413" i="2" s="1"/>
  <c r="U5412" i="2"/>
  <c r="S5412" i="2"/>
  <c r="T5412" i="2" s="1"/>
  <c r="U5411" i="2"/>
  <c r="S5411" i="2"/>
  <c r="T5411" i="2" s="1"/>
  <c r="U5410" i="2"/>
  <c r="S5410" i="2"/>
  <c r="T5410" i="2" s="1"/>
  <c r="U5409" i="2"/>
  <c r="S5409" i="2"/>
  <c r="T5409" i="2" s="1"/>
  <c r="U5408" i="2"/>
  <c r="S5408" i="2"/>
  <c r="T5408" i="2" s="1"/>
  <c r="U5407" i="2"/>
  <c r="S5407" i="2"/>
  <c r="T5407" i="2" s="1"/>
  <c r="U5406" i="2"/>
  <c r="S5406" i="2"/>
  <c r="T5406" i="2" s="1"/>
  <c r="U5405" i="2"/>
  <c r="S5405" i="2"/>
  <c r="T5405" i="2" s="1"/>
  <c r="U5404" i="2"/>
  <c r="S5404" i="2"/>
  <c r="T5404" i="2" s="1"/>
  <c r="U5403" i="2"/>
  <c r="S5403" i="2"/>
  <c r="T5403" i="2" s="1"/>
  <c r="U5402" i="2"/>
  <c r="S5402" i="2"/>
  <c r="T5402" i="2" s="1"/>
  <c r="U5401" i="2"/>
  <c r="S5401" i="2"/>
  <c r="T5401" i="2" s="1"/>
  <c r="U5400" i="2"/>
  <c r="S5400" i="2"/>
  <c r="T5400" i="2" s="1"/>
  <c r="U5399" i="2"/>
  <c r="S5399" i="2"/>
  <c r="T5399" i="2" s="1"/>
  <c r="U5398" i="2"/>
  <c r="S5398" i="2"/>
  <c r="T5398" i="2" s="1"/>
  <c r="U5397" i="2"/>
  <c r="S5397" i="2"/>
  <c r="T5397" i="2" s="1"/>
  <c r="U5396" i="2"/>
  <c r="S5396" i="2"/>
  <c r="T5396" i="2" s="1"/>
  <c r="U5395" i="2"/>
  <c r="S5395" i="2"/>
  <c r="T5395" i="2" s="1"/>
  <c r="U5394" i="2"/>
  <c r="S5394" i="2"/>
  <c r="T5394" i="2" s="1"/>
  <c r="U5393" i="2"/>
  <c r="S5393" i="2"/>
  <c r="T5393" i="2" s="1"/>
  <c r="U5392" i="2"/>
  <c r="S5392" i="2"/>
  <c r="T5392" i="2" s="1"/>
  <c r="U5391" i="2"/>
  <c r="S5391" i="2"/>
  <c r="T5391" i="2" s="1"/>
  <c r="U5390" i="2"/>
  <c r="S5390" i="2"/>
  <c r="T5390" i="2" s="1"/>
  <c r="U5389" i="2"/>
  <c r="S5389" i="2"/>
  <c r="T5389" i="2" s="1"/>
  <c r="U5388" i="2"/>
  <c r="S5388" i="2"/>
  <c r="T5388" i="2" s="1"/>
  <c r="U5387" i="2"/>
  <c r="S5387" i="2"/>
  <c r="T5387" i="2" s="1"/>
  <c r="U5386" i="2"/>
  <c r="S5386" i="2"/>
  <c r="T5386" i="2" s="1"/>
  <c r="U5385" i="2"/>
  <c r="S5385" i="2"/>
  <c r="T5385" i="2" s="1"/>
  <c r="U5384" i="2"/>
  <c r="S5384" i="2"/>
  <c r="T5384" i="2" s="1"/>
  <c r="U5383" i="2"/>
  <c r="S5383" i="2"/>
  <c r="T5383" i="2" s="1"/>
  <c r="U5382" i="2"/>
  <c r="S5382" i="2"/>
  <c r="T5382" i="2" s="1"/>
  <c r="U5381" i="2"/>
  <c r="S5381" i="2"/>
  <c r="T5381" i="2" s="1"/>
  <c r="U5380" i="2"/>
  <c r="S5380" i="2"/>
  <c r="T5380" i="2" s="1"/>
  <c r="U5379" i="2"/>
  <c r="S5379" i="2"/>
  <c r="T5379" i="2" s="1"/>
  <c r="U5378" i="2"/>
  <c r="S5378" i="2"/>
  <c r="T5378" i="2" s="1"/>
  <c r="U5377" i="2"/>
  <c r="S5377" i="2"/>
  <c r="T5377" i="2" s="1"/>
  <c r="U5376" i="2"/>
  <c r="S5376" i="2"/>
  <c r="T5376" i="2" s="1"/>
  <c r="U5375" i="2"/>
  <c r="S5375" i="2"/>
  <c r="T5375" i="2" s="1"/>
  <c r="U5374" i="2"/>
  <c r="S5374" i="2"/>
  <c r="T5374" i="2" s="1"/>
  <c r="U5373" i="2"/>
  <c r="S5373" i="2"/>
  <c r="T5373" i="2" s="1"/>
  <c r="U5372" i="2"/>
  <c r="S5372" i="2"/>
  <c r="T5372" i="2" s="1"/>
  <c r="U5371" i="2"/>
  <c r="S5371" i="2"/>
  <c r="T5371" i="2" s="1"/>
  <c r="U5370" i="2"/>
  <c r="S5370" i="2"/>
  <c r="T5370" i="2" s="1"/>
  <c r="U5369" i="2"/>
  <c r="S5369" i="2"/>
  <c r="T5369" i="2" s="1"/>
  <c r="U5368" i="2"/>
  <c r="S5368" i="2"/>
  <c r="T5368" i="2" s="1"/>
  <c r="U5367" i="2"/>
  <c r="S5367" i="2"/>
  <c r="T5367" i="2" s="1"/>
  <c r="U5366" i="2"/>
  <c r="S5366" i="2"/>
  <c r="T5366" i="2" s="1"/>
  <c r="U5365" i="2"/>
  <c r="S5365" i="2"/>
  <c r="T5365" i="2" s="1"/>
  <c r="U5364" i="2"/>
  <c r="S5364" i="2"/>
  <c r="T5364" i="2" s="1"/>
  <c r="U5363" i="2"/>
  <c r="S5363" i="2"/>
  <c r="T5363" i="2" s="1"/>
  <c r="U5362" i="2"/>
  <c r="S5362" i="2"/>
  <c r="T5362" i="2" s="1"/>
  <c r="U5361" i="2"/>
  <c r="S5361" i="2"/>
  <c r="T5361" i="2" s="1"/>
  <c r="U5360" i="2"/>
  <c r="S5360" i="2"/>
  <c r="T5360" i="2" s="1"/>
  <c r="U5359" i="2"/>
  <c r="S5359" i="2"/>
  <c r="T5359" i="2" s="1"/>
  <c r="U5358" i="2"/>
  <c r="S5358" i="2"/>
  <c r="T5358" i="2" s="1"/>
  <c r="U5357" i="2"/>
  <c r="S5357" i="2"/>
  <c r="T5357" i="2" s="1"/>
  <c r="U5356" i="2"/>
  <c r="S5356" i="2"/>
  <c r="T5356" i="2" s="1"/>
  <c r="U5355" i="2"/>
  <c r="S5355" i="2"/>
  <c r="T5355" i="2" s="1"/>
  <c r="U5354" i="2"/>
  <c r="S5354" i="2"/>
  <c r="T5354" i="2" s="1"/>
  <c r="U5353" i="2"/>
  <c r="S5353" i="2"/>
  <c r="T5353" i="2" s="1"/>
  <c r="U5352" i="2"/>
  <c r="S5352" i="2"/>
  <c r="T5352" i="2" s="1"/>
  <c r="U5351" i="2"/>
  <c r="S5351" i="2"/>
  <c r="T5351" i="2" s="1"/>
  <c r="U5350" i="2"/>
  <c r="T5350" i="2"/>
  <c r="S5350" i="2"/>
  <c r="U5349" i="2"/>
  <c r="S5349" i="2"/>
  <c r="T5349" i="2" s="1"/>
  <c r="U5348" i="2"/>
  <c r="T5348" i="2"/>
  <c r="S5348" i="2"/>
  <c r="U5347" i="2"/>
  <c r="S5347" i="2"/>
  <c r="T5347" i="2" s="1"/>
  <c r="U5346" i="2"/>
  <c r="S5346" i="2"/>
  <c r="T5346" i="2" s="1"/>
  <c r="U5345" i="2"/>
  <c r="S5345" i="2"/>
  <c r="T5345" i="2" s="1"/>
  <c r="U5344" i="2"/>
  <c r="S5344" i="2"/>
  <c r="T5344" i="2" s="1"/>
  <c r="U5343" i="2"/>
  <c r="S5343" i="2"/>
  <c r="T5343" i="2" s="1"/>
  <c r="U5342" i="2"/>
  <c r="S5342" i="2"/>
  <c r="T5342" i="2" s="1"/>
  <c r="U5341" i="2"/>
  <c r="S5341" i="2"/>
  <c r="T5341" i="2" s="1"/>
  <c r="U5340" i="2"/>
  <c r="S5340" i="2"/>
  <c r="T5340" i="2" s="1"/>
  <c r="U5339" i="2"/>
  <c r="S5339" i="2"/>
  <c r="T5339" i="2" s="1"/>
  <c r="U5338" i="2"/>
  <c r="S5338" i="2"/>
  <c r="T5338" i="2" s="1"/>
  <c r="U5337" i="2"/>
  <c r="T5337" i="2"/>
  <c r="S5337" i="2"/>
  <c r="U5336" i="2"/>
  <c r="S5336" i="2"/>
  <c r="T5336" i="2" s="1"/>
  <c r="U5335" i="2"/>
  <c r="S5335" i="2"/>
  <c r="T5335" i="2" s="1"/>
  <c r="U5334" i="2"/>
  <c r="S5334" i="2"/>
  <c r="T5334" i="2" s="1"/>
  <c r="U5333" i="2"/>
  <c r="S5333" i="2"/>
  <c r="T5333" i="2" s="1"/>
  <c r="U5332" i="2"/>
  <c r="S5332" i="2"/>
  <c r="T5332" i="2" s="1"/>
  <c r="U5331" i="2"/>
  <c r="S5331" i="2"/>
  <c r="T5331" i="2" s="1"/>
  <c r="U5330" i="2"/>
  <c r="S5330" i="2"/>
  <c r="T5330" i="2" s="1"/>
  <c r="U5329" i="2"/>
  <c r="S5329" i="2"/>
  <c r="T5329" i="2" s="1"/>
  <c r="U5328" i="2"/>
  <c r="S5328" i="2"/>
  <c r="T5328" i="2" s="1"/>
  <c r="U5327" i="2"/>
  <c r="S5327" i="2"/>
  <c r="T5327" i="2" s="1"/>
  <c r="U5326" i="2"/>
  <c r="S5326" i="2"/>
  <c r="T5326" i="2" s="1"/>
  <c r="U5325" i="2"/>
  <c r="S5325" i="2"/>
  <c r="T5325" i="2" s="1"/>
  <c r="U5324" i="2"/>
  <c r="S5324" i="2"/>
  <c r="T5324" i="2" s="1"/>
  <c r="U5323" i="2"/>
  <c r="S5323" i="2"/>
  <c r="T5323" i="2" s="1"/>
  <c r="U5322" i="2"/>
  <c r="S5322" i="2"/>
  <c r="T5322" i="2" s="1"/>
  <c r="U5321" i="2"/>
  <c r="S5321" i="2"/>
  <c r="T5321" i="2" s="1"/>
  <c r="U5320" i="2"/>
  <c r="T5320" i="2"/>
  <c r="S5320" i="2"/>
  <c r="U5319" i="2"/>
  <c r="S5319" i="2"/>
  <c r="T5319" i="2" s="1"/>
  <c r="U5318" i="2"/>
  <c r="S5318" i="2"/>
  <c r="T5318" i="2" s="1"/>
  <c r="U5317" i="2"/>
  <c r="S5317" i="2"/>
  <c r="T5317" i="2" s="1"/>
  <c r="U5316" i="2"/>
  <c r="T5316" i="2"/>
  <c r="S5316" i="2"/>
  <c r="U5315" i="2"/>
  <c r="S5315" i="2"/>
  <c r="T5315" i="2" s="1"/>
  <c r="U5314" i="2"/>
  <c r="S5314" i="2"/>
  <c r="T5314" i="2" s="1"/>
  <c r="U5313" i="2"/>
  <c r="S5313" i="2"/>
  <c r="T5313" i="2" s="1"/>
  <c r="U5312" i="2"/>
  <c r="S5312" i="2"/>
  <c r="T5312" i="2" s="1"/>
  <c r="U5311" i="2"/>
  <c r="S5311" i="2"/>
  <c r="T5311" i="2" s="1"/>
  <c r="U5310" i="2"/>
  <c r="S5310" i="2"/>
  <c r="T5310" i="2" s="1"/>
  <c r="U5309" i="2"/>
  <c r="S5309" i="2"/>
  <c r="T5309" i="2" s="1"/>
  <c r="U5308" i="2"/>
  <c r="S5308" i="2"/>
  <c r="T5308" i="2" s="1"/>
  <c r="U5307" i="2"/>
  <c r="S5307" i="2"/>
  <c r="T5307" i="2" s="1"/>
  <c r="U5306" i="2"/>
  <c r="S5306" i="2"/>
  <c r="T5306" i="2" s="1"/>
  <c r="U5305" i="2"/>
  <c r="S5305" i="2"/>
  <c r="T5305" i="2" s="1"/>
  <c r="U5304" i="2"/>
  <c r="S5304" i="2"/>
  <c r="T5304" i="2" s="1"/>
  <c r="U5303" i="2"/>
  <c r="S5303" i="2"/>
  <c r="T5303" i="2" s="1"/>
  <c r="U5302" i="2"/>
  <c r="S5302" i="2"/>
  <c r="T5302" i="2" s="1"/>
  <c r="U5301" i="2"/>
  <c r="S5301" i="2"/>
  <c r="T5301" i="2" s="1"/>
  <c r="U5300" i="2"/>
  <c r="S5300" i="2"/>
  <c r="T5300" i="2" s="1"/>
  <c r="U5299" i="2"/>
  <c r="S5299" i="2"/>
  <c r="T5299" i="2" s="1"/>
  <c r="U5298" i="2"/>
  <c r="S5298" i="2"/>
  <c r="T5298" i="2" s="1"/>
  <c r="U5297" i="2"/>
  <c r="S5297" i="2"/>
  <c r="T5297" i="2" s="1"/>
  <c r="U5296" i="2"/>
  <c r="S5296" i="2"/>
  <c r="T5296" i="2" s="1"/>
  <c r="U5295" i="2"/>
  <c r="S5295" i="2"/>
  <c r="T5295" i="2" s="1"/>
  <c r="U5294" i="2"/>
  <c r="S5294" i="2"/>
  <c r="T5294" i="2" s="1"/>
  <c r="U5293" i="2"/>
  <c r="S5293" i="2"/>
  <c r="T5293" i="2" s="1"/>
  <c r="U5292" i="2"/>
  <c r="S5292" i="2"/>
  <c r="T5292" i="2" s="1"/>
  <c r="U5291" i="2"/>
  <c r="S5291" i="2"/>
  <c r="T5291" i="2" s="1"/>
  <c r="U5290" i="2"/>
  <c r="S5290" i="2"/>
  <c r="T5290" i="2" s="1"/>
  <c r="U5289" i="2"/>
  <c r="S5289" i="2"/>
  <c r="T5289" i="2" s="1"/>
  <c r="U5288" i="2"/>
  <c r="S5288" i="2"/>
  <c r="T5288" i="2" s="1"/>
  <c r="U5287" i="2"/>
  <c r="S5287" i="2"/>
  <c r="T5287" i="2" s="1"/>
  <c r="U5286" i="2"/>
  <c r="S5286" i="2"/>
  <c r="T5286" i="2" s="1"/>
  <c r="U5285" i="2"/>
  <c r="S5285" i="2"/>
  <c r="T5285" i="2" s="1"/>
  <c r="U5284" i="2"/>
  <c r="S5284" i="2"/>
  <c r="T5284" i="2" s="1"/>
  <c r="U5283" i="2"/>
  <c r="S5283" i="2"/>
  <c r="T5283" i="2" s="1"/>
  <c r="U5282" i="2"/>
  <c r="S5282" i="2"/>
  <c r="T5282" i="2" s="1"/>
  <c r="U5281" i="2"/>
  <c r="S5281" i="2"/>
  <c r="T5281" i="2" s="1"/>
  <c r="U5280" i="2"/>
  <c r="S5280" i="2"/>
  <c r="T5280" i="2" s="1"/>
  <c r="U5279" i="2"/>
  <c r="S5279" i="2"/>
  <c r="T5279" i="2" s="1"/>
  <c r="U5278" i="2"/>
  <c r="S5278" i="2"/>
  <c r="T5278" i="2" s="1"/>
  <c r="U5277" i="2"/>
  <c r="S5277" i="2"/>
  <c r="T5277" i="2" s="1"/>
  <c r="U5276" i="2"/>
  <c r="S5276" i="2"/>
  <c r="T5276" i="2" s="1"/>
  <c r="U5275" i="2"/>
  <c r="S5275" i="2"/>
  <c r="T5275" i="2" s="1"/>
  <c r="U5274" i="2"/>
  <c r="S5274" i="2"/>
  <c r="T5274" i="2" s="1"/>
  <c r="U5273" i="2"/>
  <c r="S5273" i="2"/>
  <c r="T5273" i="2" s="1"/>
  <c r="U5272" i="2"/>
  <c r="S5272" i="2"/>
  <c r="T5272" i="2" s="1"/>
  <c r="U5271" i="2"/>
  <c r="S5271" i="2"/>
  <c r="T5271" i="2" s="1"/>
  <c r="U5270" i="2"/>
  <c r="S5270" i="2"/>
  <c r="T5270" i="2" s="1"/>
  <c r="U5269" i="2"/>
  <c r="S5269" i="2"/>
  <c r="T5269" i="2" s="1"/>
  <c r="U5268" i="2"/>
  <c r="S5268" i="2"/>
  <c r="T5268" i="2" s="1"/>
  <c r="U5267" i="2"/>
  <c r="S5267" i="2"/>
  <c r="T5267" i="2" s="1"/>
  <c r="U5266" i="2"/>
  <c r="S5266" i="2"/>
  <c r="T5266" i="2" s="1"/>
  <c r="U5265" i="2"/>
  <c r="S5265" i="2"/>
  <c r="T5265" i="2" s="1"/>
  <c r="U5264" i="2"/>
  <c r="S5264" i="2"/>
  <c r="T5264" i="2" s="1"/>
  <c r="U5263" i="2"/>
  <c r="S5263" i="2"/>
  <c r="T5263" i="2" s="1"/>
  <c r="U5262" i="2"/>
  <c r="S5262" i="2"/>
  <c r="T5262" i="2" s="1"/>
  <c r="U5261" i="2"/>
  <c r="S5261" i="2"/>
  <c r="T5261" i="2" s="1"/>
  <c r="U5260" i="2"/>
  <c r="S5260" i="2"/>
  <c r="T5260" i="2" s="1"/>
  <c r="U5259" i="2"/>
  <c r="S5259" i="2"/>
  <c r="T5259" i="2" s="1"/>
  <c r="U5258" i="2"/>
  <c r="S5258" i="2"/>
  <c r="T5258" i="2" s="1"/>
  <c r="U5257" i="2"/>
  <c r="S5257" i="2"/>
  <c r="T5257" i="2" s="1"/>
  <c r="U5256" i="2"/>
  <c r="T5256" i="2"/>
  <c r="S5256" i="2"/>
  <c r="U5255" i="2"/>
  <c r="S5255" i="2"/>
  <c r="T5255" i="2" s="1"/>
  <c r="U5254" i="2"/>
  <c r="S5254" i="2"/>
  <c r="T5254" i="2" s="1"/>
  <c r="U5253" i="2"/>
  <c r="S5253" i="2"/>
  <c r="T5253" i="2" s="1"/>
  <c r="U5252" i="2"/>
  <c r="S5252" i="2"/>
  <c r="T5252" i="2" s="1"/>
  <c r="U5251" i="2"/>
  <c r="S5251" i="2"/>
  <c r="T5251" i="2" s="1"/>
  <c r="U5250" i="2"/>
  <c r="S5250" i="2"/>
  <c r="T5250" i="2" s="1"/>
  <c r="U5249" i="2"/>
  <c r="S5249" i="2"/>
  <c r="T5249" i="2" s="1"/>
  <c r="U5248" i="2"/>
  <c r="S5248" i="2"/>
  <c r="T5248" i="2" s="1"/>
  <c r="U5247" i="2"/>
  <c r="S5247" i="2"/>
  <c r="T5247" i="2" s="1"/>
  <c r="U5246" i="2"/>
  <c r="S5246" i="2"/>
  <c r="T5246" i="2" s="1"/>
  <c r="U5245" i="2"/>
  <c r="S5245" i="2"/>
  <c r="T5245" i="2" s="1"/>
  <c r="U5244" i="2"/>
  <c r="S5244" i="2"/>
  <c r="T5244" i="2" s="1"/>
  <c r="U5243" i="2"/>
  <c r="S5243" i="2"/>
  <c r="T5243" i="2" s="1"/>
  <c r="U5242" i="2"/>
  <c r="S5242" i="2"/>
  <c r="T5242" i="2" s="1"/>
  <c r="U5241" i="2"/>
  <c r="S5241" i="2"/>
  <c r="T5241" i="2" s="1"/>
  <c r="U5240" i="2"/>
  <c r="S5240" i="2"/>
  <c r="T5240" i="2" s="1"/>
  <c r="U5239" i="2"/>
  <c r="S5239" i="2"/>
  <c r="T5239" i="2" s="1"/>
  <c r="U5238" i="2"/>
  <c r="S5238" i="2"/>
  <c r="T5238" i="2" s="1"/>
  <c r="U5237" i="2"/>
  <c r="S5237" i="2"/>
  <c r="T5237" i="2" s="1"/>
  <c r="U5236" i="2"/>
  <c r="S5236" i="2"/>
  <c r="T5236" i="2" s="1"/>
  <c r="U5235" i="2"/>
  <c r="S5235" i="2"/>
  <c r="T5235" i="2" s="1"/>
  <c r="U5234" i="2"/>
  <c r="S5234" i="2"/>
  <c r="T5234" i="2" s="1"/>
  <c r="U5233" i="2"/>
  <c r="S5233" i="2"/>
  <c r="T5233" i="2" s="1"/>
  <c r="U5232" i="2"/>
  <c r="S5232" i="2"/>
  <c r="T5232" i="2" s="1"/>
  <c r="U5231" i="2"/>
  <c r="S5231" i="2"/>
  <c r="T5231" i="2" s="1"/>
  <c r="U5230" i="2"/>
  <c r="S5230" i="2"/>
  <c r="T5230" i="2" s="1"/>
  <c r="U5229" i="2"/>
  <c r="S5229" i="2"/>
  <c r="T5229" i="2" s="1"/>
  <c r="U5228" i="2"/>
  <c r="S5228" i="2"/>
  <c r="T5228" i="2" s="1"/>
  <c r="U5227" i="2"/>
  <c r="S5227" i="2"/>
  <c r="T5227" i="2" s="1"/>
  <c r="U5226" i="2"/>
  <c r="S5226" i="2"/>
  <c r="T5226" i="2" s="1"/>
  <c r="U5225" i="2"/>
  <c r="S5225" i="2"/>
  <c r="T5225" i="2" s="1"/>
  <c r="U5224" i="2"/>
  <c r="S5224" i="2"/>
  <c r="T5224" i="2" s="1"/>
  <c r="U5223" i="2"/>
  <c r="S5223" i="2"/>
  <c r="T5223" i="2" s="1"/>
  <c r="U5222" i="2"/>
  <c r="S5222" i="2"/>
  <c r="T5222" i="2" s="1"/>
  <c r="U5221" i="2"/>
  <c r="S5221" i="2"/>
  <c r="T5221" i="2" s="1"/>
  <c r="U5220" i="2"/>
  <c r="S5220" i="2"/>
  <c r="T5220" i="2" s="1"/>
  <c r="U5219" i="2"/>
  <c r="S5219" i="2"/>
  <c r="T5219" i="2" s="1"/>
  <c r="U5218" i="2"/>
  <c r="S5218" i="2"/>
  <c r="T5218" i="2" s="1"/>
  <c r="U5217" i="2"/>
  <c r="S5217" i="2"/>
  <c r="T5217" i="2" s="1"/>
  <c r="U5216" i="2"/>
  <c r="S5216" i="2"/>
  <c r="T5216" i="2" s="1"/>
  <c r="U5215" i="2"/>
  <c r="S5215" i="2"/>
  <c r="T5215" i="2" s="1"/>
  <c r="U5214" i="2"/>
  <c r="S5214" i="2"/>
  <c r="T5214" i="2" s="1"/>
  <c r="U5213" i="2"/>
  <c r="S5213" i="2"/>
  <c r="T5213" i="2" s="1"/>
  <c r="U5212" i="2"/>
  <c r="S5212" i="2"/>
  <c r="T5212" i="2" s="1"/>
  <c r="U5211" i="2"/>
  <c r="S5211" i="2"/>
  <c r="T5211" i="2" s="1"/>
  <c r="U5210" i="2"/>
  <c r="S5210" i="2"/>
  <c r="T5210" i="2" s="1"/>
  <c r="U5209" i="2"/>
  <c r="S5209" i="2"/>
  <c r="T5209" i="2" s="1"/>
  <c r="U5208" i="2"/>
  <c r="S5208" i="2"/>
  <c r="T5208" i="2" s="1"/>
  <c r="U5207" i="2"/>
  <c r="S5207" i="2"/>
  <c r="T5207" i="2" s="1"/>
  <c r="U5206" i="2"/>
  <c r="S5206" i="2"/>
  <c r="T5206" i="2" s="1"/>
  <c r="U5205" i="2"/>
  <c r="S5205" i="2"/>
  <c r="T5205" i="2" s="1"/>
  <c r="U5204" i="2"/>
  <c r="S5204" i="2"/>
  <c r="T5204" i="2" s="1"/>
  <c r="U5203" i="2"/>
  <c r="S5203" i="2"/>
  <c r="T5203" i="2" s="1"/>
  <c r="U5202" i="2"/>
  <c r="S5202" i="2"/>
  <c r="T5202" i="2" s="1"/>
  <c r="U5201" i="2"/>
  <c r="T5201" i="2"/>
  <c r="S5201" i="2"/>
  <c r="U5200" i="2"/>
  <c r="S5200" i="2"/>
  <c r="T5200" i="2" s="1"/>
  <c r="U5199" i="2"/>
  <c r="S5199" i="2"/>
  <c r="T5199" i="2" s="1"/>
  <c r="U5198" i="2"/>
  <c r="S5198" i="2"/>
  <c r="T5198" i="2" s="1"/>
  <c r="U5197" i="2"/>
  <c r="S5197" i="2"/>
  <c r="T5197" i="2" s="1"/>
  <c r="U5196" i="2"/>
  <c r="S5196" i="2"/>
  <c r="T5196" i="2" s="1"/>
  <c r="U5195" i="2"/>
  <c r="S5195" i="2"/>
  <c r="T5195" i="2" s="1"/>
  <c r="U5194" i="2"/>
  <c r="S5194" i="2"/>
  <c r="T5194" i="2" s="1"/>
  <c r="U5193" i="2"/>
  <c r="S5193" i="2"/>
  <c r="T5193" i="2" s="1"/>
  <c r="U5192" i="2"/>
  <c r="S5192" i="2"/>
  <c r="T5192" i="2" s="1"/>
  <c r="U5191" i="2"/>
  <c r="S5191" i="2"/>
  <c r="T5191" i="2" s="1"/>
  <c r="U5190" i="2"/>
  <c r="S5190" i="2"/>
  <c r="T5190" i="2" s="1"/>
  <c r="U5189" i="2"/>
  <c r="S5189" i="2"/>
  <c r="T5189" i="2" s="1"/>
  <c r="U5188" i="2"/>
  <c r="S5188" i="2"/>
  <c r="T5188" i="2" s="1"/>
  <c r="U5187" i="2"/>
  <c r="S5187" i="2"/>
  <c r="T5187" i="2" s="1"/>
  <c r="U5186" i="2"/>
  <c r="S5186" i="2"/>
  <c r="T5186" i="2" s="1"/>
  <c r="U5185" i="2"/>
  <c r="S5185" i="2"/>
  <c r="T5185" i="2" s="1"/>
  <c r="U5184" i="2"/>
  <c r="S5184" i="2"/>
  <c r="T5184" i="2" s="1"/>
  <c r="U5183" i="2"/>
  <c r="S5183" i="2"/>
  <c r="T5183" i="2" s="1"/>
  <c r="U5182" i="2"/>
  <c r="S5182" i="2"/>
  <c r="T5182" i="2" s="1"/>
  <c r="U5181" i="2"/>
  <c r="S5181" i="2"/>
  <c r="T5181" i="2" s="1"/>
  <c r="U5180" i="2"/>
  <c r="S5180" i="2"/>
  <c r="T5180" i="2" s="1"/>
  <c r="U5179" i="2"/>
  <c r="S5179" i="2"/>
  <c r="T5179" i="2" s="1"/>
  <c r="U5178" i="2"/>
  <c r="S5178" i="2"/>
  <c r="T5178" i="2" s="1"/>
  <c r="U5177" i="2"/>
  <c r="T5177" i="2"/>
  <c r="S5177" i="2"/>
  <c r="U5176" i="2"/>
  <c r="S5176" i="2"/>
  <c r="T5176" i="2" s="1"/>
  <c r="U5175" i="2"/>
  <c r="S5175" i="2"/>
  <c r="T5175" i="2" s="1"/>
  <c r="U5174" i="2"/>
  <c r="S5174" i="2"/>
  <c r="T5174" i="2" s="1"/>
  <c r="U5173" i="2"/>
  <c r="S5173" i="2"/>
  <c r="T5173" i="2" s="1"/>
  <c r="U5172" i="2"/>
  <c r="S5172" i="2"/>
  <c r="T5172" i="2" s="1"/>
  <c r="U5171" i="2"/>
  <c r="S5171" i="2"/>
  <c r="T5171" i="2" s="1"/>
  <c r="U5170" i="2"/>
  <c r="S5170" i="2"/>
  <c r="T5170" i="2" s="1"/>
  <c r="U5169" i="2"/>
  <c r="S5169" i="2"/>
  <c r="T5169" i="2" s="1"/>
  <c r="U5168" i="2"/>
  <c r="S5168" i="2"/>
  <c r="T5168" i="2" s="1"/>
  <c r="U5167" i="2"/>
  <c r="S5167" i="2"/>
  <c r="T5167" i="2" s="1"/>
  <c r="U5166" i="2"/>
  <c r="T5166" i="2"/>
  <c r="S5166" i="2"/>
  <c r="U5165" i="2"/>
  <c r="S5165" i="2"/>
  <c r="T5165" i="2" s="1"/>
  <c r="U5164" i="2"/>
  <c r="S5164" i="2"/>
  <c r="T5164" i="2" s="1"/>
  <c r="U5163" i="2"/>
  <c r="S5163" i="2"/>
  <c r="T5163" i="2" s="1"/>
  <c r="U5162" i="2"/>
  <c r="S5162" i="2"/>
  <c r="T5162" i="2" s="1"/>
  <c r="U5161" i="2"/>
  <c r="S5161" i="2"/>
  <c r="T5161" i="2" s="1"/>
  <c r="U5160" i="2"/>
  <c r="S5160" i="2"/>
  <c r="T5160" i="2" s="1"/>
  <c r="U5159" i="2"/>
  <c r="S5159" i="2"/>
  <c r="T5159" i="2" s="1"/>
  <c r="U5158" i="2"/>
  <c r="S5158" i="2"/>
  <c r="T5158" i="2" s="1"/>
  <c r="U5157" i="2"/>
  <c r="S5157" i="2"/>
  <c r="T5157" i="2" s="1"/>
  <c r="U5156" i="2"/>
  <c r="S5156" i="2"/>
  <c r="T5156" i="2" s="1"/>
  <c r="U5155" i="2"/>
  <c r="S5155" i="2"/>
  <c r="T5155" i="2" s="1"/>
  <c r="U5154" i="2"/>
  <c r="S5154" i="2"/>
  <c r="T5154" i="2" s="1"/>
  <c r="U5153" i="2"/>
  <c r="S5153" i="2"/>
  <c r="T5153" i="2" s="1"/>
  <c r="U5152" i="2"/>
  <c r="S5152" i="2"/>
  <c r="T5152" i="2" s="1"/>
  <c r="U5151" i="2"/>
  <c r="T5151" i="2"/>
  <c r="S5151" i="2"/>
  <c r="U5150" i="2"/>
  <c r="T5150" i="2"/>
  <c r="S5150" i="2"/>
  <c r="U5149" i="2"/>
  <c r="S5149" i="2"/>
  <c r="T5149" i="2" s="1"/>
  <c r="U5148" i="2"/>
  <c r="S5148" i="2"/>
  <c r="T5148" i="2" s="1"/>
  <c r="U5147" i="2"/>
  <c r="T5147" i="2"/>
  <c r="S5147" i="2"/>
  <c r="U5146" i="2"/>
  <c r="S5146" i="2"/>
  <c r="T5146" i="2" s="1"/>
  <c r="U5145" i="2"/>
  <c r="S5145" i="2"/>
  <c r="T5145" i="2" s="1"/>
  <c r="U5144" i="2"/>
  <c r="T5144" i="2"/>
  <c r="S5144" i="2"/>
  <c r="U5143" i="2"/>
  <c r="S5143" i="2"/>
  <c r="T5143" i="2" s="1"/>
  <c r="U5142" i="2"/>
  <c r="S5142" i="2"/>
  <c r="T5142" i="2" s="1"/>
  <c r="U5141" i="2"/>
  <c r="S5141" i="2"/>
  <c r="T5141" i="2" s="1"/>
  <c r="U5140" i="2"/>
  <c r="S5140" i="2"/>
  <c r="T5140" i="2" s="1"/>
  <c r="U5139" i="2"/>
  <c r="S5139" i="2"/>
  <c r="T5139" i="2" s="1"/>
  <c r="U5138" i="2"/>
  <c r="T5138" i="2"/>
  <c r="S5138" i="2"/>
  <c r="U5137" i="2"/>
  <c r="S5137" i="2"/>
  <c r="T5137" i="2" s="1"/>
  <c r="U5136" i="2"/>
  <c r="S5136" i="2"/>
  <c r="T5136" i="2" s="1"/>
  <c r="U5135" i="2"/>
  <c r="S5135" i="2"/>
  <c r="T5135" i="2" s="1"/>
  <c r="U5134" i="2"/>
  <c r="S5134" i="2"/>
  <c r="T5134" i="2" s="1"/>
  <c r="U5133" i="2"/>
  <c r="S5133" i="2"/>
  <c r="T5133" i="2" s="1"/>
  <c r="U5132" i="2"/>
  <c r="S5132" i="2"/>
  <c r="T5132" i="2" s="1"/>
  <c r="U5131" i="2"/>
  <c r="S5131" i="2"/>
  <c r="T5131" i="2" s="1"/>
  <c r="U5130" i="2"/>
  <c r="S5130" i="2"/>
  <c r="T5130" i="2" s="1"/>
  <c r="U5129" i="2"/>
  <c r="S5129" i="2"/>
  <c r="T5129" i="2" s="1"/>
  <c r="U5128" i="2"/>
  <c r="S5128" i="2"/>
  <c r="T5128" i="2" s="1"/>
  <c r="U5127" i="2"/>
  <c r="S5127" i="2"/>
  <c r="T5127" i="2" s="1"/>
  <c r="U5126" i="2"/>
  <c r="S5126" i="2"/>
  <c r="T5126" i="2" s="1"/>
  <c r="U5125" i="2"/>
  <c r="S5125" i="2"/>
  <c r="T5125" i="2" s="1"/>
  <c r="U5124" i="2"/>
  <c r="S5124" i="2"/>
  <c r="T5124" i="2" s="1"/>
  <c r="U5123" i="2"/>
  <c r="S5123" i="2"/>
  <c r="T5123" i="2" s="1"/>
  <c r="U5122" i="2"/>
  <c r="S5122" i="2"/>
  <c r="T5122" i="2" s="1"/>
  <c r="U5121" i="2"/>
  <c r="S5121" i="2"/>
  <c r="T5121" i="2" s="1"/>
  <c r="U5120" i="2"/>
  <c r="S5120" i="2"/>
  <c r="T5120" i="2" s="1"/>
  <c r="U5119" i="2"/>
  <c r="S5119" i="2"/>
  <c r="T5119" i="2" s="1"/>
  <c r="U5118" i="2"/>
  <c r="S5118" i="2"/>
  <c r="T5118" i="2" s="1"/>
  <c r="U5117" i="2"/>
  <c r="S5117" i="2"/>
  <c r="T5117" i="2" s="1"/>
  <c r="U5116" i="2"/>
  <c r="S5116" i="2"/>
  <c r="T5116" i="2" s="1"/>
  <c r="U5115" i="2"/>
  <c r="S5115" i="2"/>
  <c r="T5115" i="2" s="1"/>
  <c r="U5114" i="2"/>
  <c r="S5114" i="2"/>
  <c r="T5114" i="2" s="1"/>
  <c r="U5113" i="2"/>
  <c r="S5113" i="2"/>
  <c r="T5113" i="2" s="1"/>
  <c r="U5112" i="2"/>
  <c r="S5112" i="2"/>
  <c r="T5112" i="2" s="1"/>
  <c r="U5111" i="2"/>
  <c r="S5111" i="2"/>
  <c r="T5111" i="2" s="1"/>
  <c r="U5110" i="2"/>
  <c r="S5110" i="2"/>
  <c r="T5110" i="2" s="1"/>
  <c r="U5109" i="2"/>
  <c r="S5109" i="2"/>
  <c r="T5109" i="2" s="1"/>
  <c r="U5108" i="2"/>
  <c r="S5108" i="2"/>
  <c r="T5108" i="2" s="1"/>
  <c r="U5107" i="2"/>
  <c r="S5107" i="2"/>
  <c r="T5107" i="2" s="1"/>
  <c r="U5106" i="2"/>
  <c r="S5106" i="2"/>
  <c r="T5106" i="2" s="1"/>
  <c r="U5105" i="2"/>
  <c r="S5105" i="2"/>
  <c r="T5105" i="2" s="1"/>
  <c r="U5104" i="2"/>
  <c r="S5104" i="2"/>
  <c r="T5104" i="2" s="1"/>
  <c r="U5103" i="2"/>
  <c r="S5103" i="2"/>
  <c r="T5103" i="2" s="1"/>
  <c r="U5102" i="2"/>
  <c r="S5102" i="2"/>
  <c r="T5102" i="2" s="1"/>
  <c r="U5101" i="2"/>
  <c r="S5101" i="2"/>
  <c r="T5101" i="2" s="1"/>
  <c r="U5100" i="2"/>
  <c r="S5100" i="2"/>
  <c r="T5100" i="2" s="1"/>
  <c r="U5099" i="2"/>
  <c r="S5099" i="2"/>
  <c r="T5099" i="2" s="1"/>
  <c r="U5098" i="2"/>
  <c r="S5098" i="2"/>
  <c r="T5098" i="2" s="1"/>
  <c r="U5097" i="2"/>
  <c r="S5097" i="2"/>
  <c r="T5097" i="2" s="1"/>
  <c r="U5096" i="2"/>
  <c r="S5096" i="2"/>
  <c r="T5096" i="2" s="1"/>
  <c r="U5095" i="2"/>
  <c r="S5095" i="2"/>
  <c r="T5095" i="2" s="1"/>
  <c r="U5094" i="2"/>
  <c r="S5094" i="2"/>
  <c r="T5094" i="2" s="1"/>
  <c r="U5093" i="2"/>
  <c r="S5093" i="2"/>
  <c r="T5093" i="2" s="1"/>
  <c r="U5092" i="2"/>
  <c r="S5092" i="2"/>
  <c r="T5092" i="2" s="1"/>
  <c r="U5091" i="2"/>
  <c r="S5091" i="2"/>
  <c r="T5091" i="2" s="1"/>
  <c r="U5090" i="2"/>
  <c r="S5090" i="2"/>
  <c r="T5090" i="2" s="1"/>
  <c r="U5089" i="2"/>
  <c r="S5089" i="2"/>
  <c r="T5089" i="2" s="1"/>
  <c r="U5088" i="2"/>
  <c r="S5088" i="2"/>
  <c r="T5088" i="2" s="1"/>
  <c r="U5087" i="2"/>
  <c r="S5087" i="2"/>
  <c r="T5087" i="2" s="1"/>
  <c r="U5086" i="2"/>
  <c r="S5086" i="2"/>
  <c r="T5086" i="2" s="1"/>
  <c r="U5085" i="2"/>
  <c r="S5085" i="2"/>
  <c r="T5085" i="2" s="1"/>
  <c r="U5084" i="2"/>
  <c r="S5084" i="2"/>
  <c r="T5084" i="2" s="1"/>
  <c r="U5083" i="2"/>
  <c r="S5083" i="2"/>
  <c r="T5083" i="2" s="1"/>
  <c r="U5082" i="2"/>
  <c r="S5082" i="2"/>
  <c r="T5082" i="2" s="1"/>
  <c r="U5081" i="2"/>
  <c r="S5081" i="2"/>
  <c r="T5081" i="2" s="1"/>
  <c r="U5080" i="2"/>
  <c r="S5080" i="2"/>
  <c r="T5080" i="2" s="1"/>
  <c r="U5079" i="2"/>
  <c r="S5079" i="2"/>
  <c r="T5079" i="2" s="1"/>
  <c r="U5078" i="2"/>
  <c r="S5078" i="2"/>
  <c r="T5078" i="2" s="1"/>
  <c r="U5077" i="2"/>
  <c r="S5077" i="2"/>
  <c r="T5077" i="2" s="1"/>
  <c r="U5076" i="2"/>
  <c r="S5076" i="2"/>
  <c r="T5076" i="2" s="1"/>
  <c r="U5075" i="2"/>
  <c r="S5075" i="2"/>
  <c r="T5075" i="2" s="1"/>
  <c r="U5074" i="2"/>
  <c r="S5074" i="2"/>
  <c r="T5074" i="2" s="1"/>
  <c r="U5073" i="2"/>
  <c r="S5073" i="2"/>
  <c r="T5073" i="2" s="1"/>
  <c r="U5072" i="2"/>
  <c r="S5072" i="2"/>
  <c r="T5072" i="2" s="1"/>
  <c r="U5071" i="2"/>
  <c r="S5071" i="2"/>
  <c r="T5071" i="2" s="1"/>
  <c r="U5070" i="2"/>
  <c r="S5070" i="2"/>
  <c r="T5070" i="2" s="1"/>
  <c r="U5069" i="2"/>
  <c r="S5069" i="2"/>
  <c r="T5069" i="2" s="1"/>
  <c r="U5068" i="2"/>
  <c r="S5068" i="2"/>
  <c r="T5068" i="2" s="1"/>
  <c r="U5067" i="2"/>
  <c r="S5067" i="2"/>
  <c r="T5067" i="2" s="1"/>
  <c r="U5066" i="2"/>
  <c r="S5066" i="2"/>
  <c r="T5066" i="2" s="1"/>
  <c r="U5065" i="2"/>
  <c r="S5065" i="2"/>
  <c r="T5065" i="2" s="1"/>
  <c r="U5064" i="2"/>
  <c r="S5064" i="2"/>
  <c r="T5064" i="2" s="1"/>
  <c r="U5063" i="2"/>
  <c r="S5063" i="2"/>
  <c r="T5063" i="2" s="1"/>
  <c r="U5062" i="2"/>
  <c r="S5062" i="2"/>
  <c r="T5062" i="2" s="1"/>
  <c r="U5061" i="2"/>
  <c r="S5061" i="2"/>
  <c r="T5061" i="2" s="1"/>
  <c r="U5060" i="2"/>
  <c r="S5060" i="2"/>
  <c r="T5060" i="2" s="1"/>
  <c r="U5059" i="2"/>
  <c r="S5059" i="2"/>
  <c r="T5059" i="2" s="1"/>
  <c r="U5058" i="2"/>
  <c r="S5058" i="2"/>
  <c r="T5058" i="2" s="1"/>
  <c r="U5057" i="2"/>
  <c r="S5057" i="2"/>
  <c r="T5057" i="2" s="1"/>
  <c r="U5056" i="2"/>
  <c r="S5056" i="2"/>
  <c r="T5056" i="2" s="1"/>
  <c r="U5055" i="2"/>
  <c r="S5055" i="2"/>
  <c r="T5055" i="2" s="1"/>
  <c r="U5054" i="2"/>
  <c r="S5054" i="2"/>
  <c r="T5054" i="2" s="1"/>
  <c r="U5053" i="2"/>
  <c r="S5053" i="2"/>
  <c r="T5053" i="2" s="1"/>
  <c r="U5052" i="2"/>
  <c r="S5052" i="2"/>
  <c r="T5052" i="2" s="1"/>
  <c r="U5051" i="2"/>
  <c r="S5051" i="2"/>
  <c r="T5051" i="2" s="1"/>
  <c r="U5050" i="2"/>
  <c r="S5050" i="2"/>
  <c r="T5050" i="2" s="1"/>
  <c r="U5049" i="2"/>
  <c r="S5049" i="2"/>
  <c r="T5049" i="2" s="1"/>
  <c r="U5048" i="2"/>
  <c r="S5048" i="2"/>
  <c r="T5048" i="2" s="1"/>
  <c r="U5047" i="2"/>
  <c r="S5047" i="2"/>
  <c r="T5047" i="2" s="1"/>
  <c r="U5046" i="2"/>
  <c r="S5046" i="2"/>
  <c r="T5046" i="2" s="1"/>
  <c r="U5045" i="2"/>
  <c r="S5045" i="2"/>
  <c r="T5045" i="2" s="1"/>
  <c r="U5044" i="2"/>
  <c r="S5044" i="2"/>
  <c r="T5044" i="2" s="1"/>
  <c r="U5043" i="2"/>
  <c r="S5043" i="2"/>
  <c r="T5043" i="2" s="1"/>
  <c r="U5042" i="2"/>
  <c r="S5042" i="2"/>
  <c r="T5042" i="2" s="1"/>
  <c r="U5041" i="2"/>
  <c r="S5041" i="2"/>
  <c r="T5041" i="2" s="1"/>
  <c r="U5040" i="2"/>
  <c r="S5040" i="2"/>
  <c r="T5040" i="2" s="1"/>
  <c r="U5039" i="2"/>
  <c r="S5039" i="2"/>
  <c r="T5039" i="2" s="1"/>
  <c r="U5038" i="2"/>
  <c r="S5038" i="2"/>
  <c r="T5038" i="2" s="1"/>
  <c r="U5037" i="2"/>
  <c r="S5037" i="2"/>
  <c r="T5037" i="2" s="1"/>
  <c r="U5036" i="2"/>
  <c r="S5036" i="2"/>
  <c r="T5036" i="2" s="1"/>
  <c r="U5035" i="2"/>
  <c r="S5035" i="2"/>
  <c r="T5035" i="2" s="1"/>
  <c r="U5034" i="2"/>
  <c r="S5034" i="2"/>
  <c r="T5034" i="2" s="1"/>
  <c r="U5033" i="2"/>
  <c r="S5033" i="2"/>
  <c r="T5033" i="2" s="1"/>
  <c r="U5032" i="2"/>
  <c r="S5032" i="2"/>
  <c r="T5032" i="2" s="1"/>
  <c r="U5031" i="2"/>
  <c r="S5031" i="2"/>
  <c r="T5031" i="2" s="1"/>
  <c r="U5030" i="2"/>
  <c r="S5030" i="2"/>
  <c r="T5030" i="2" s="1"/>
  <c r="U5029" i="2"/>
  <c r="S5029" i="2"/>
  <c r="T5029" i="2" s="1"/>
  <c r="U5028" i="2"/>
  <c r="S5028" i="2"/>
  <c r="T5028" i="2" s="1"/>
  <c r="U5027" i="2"/>
  <c r="S5027" i="2"/>
  <c r="T5027" i="2" s="1"/>
  <c r="U5026" i="2"/>
  <c r="T5026" i="2"/>
  <c r="S5026" i="2"/>
  <c r="U5025" i="2"/>
  <c r="S5025" i="2"/>
  <c r="T5025" i="2" s="1"/>
  <c r="U5024" i="2"/>
  <c r="S5024" i="2"/>
  <c r="T5024" i="2" s="1"/>
  <c r="U5023" i="2"/>
  <c r="S5023" i="2"/>
  <c r="T5023" i="2" s="1"/>
  <c r="U5022" i="2"/>
  <c r="S5022" i="2"/>
  <c r="T5022" i="2" s="1"/>
  <c r="U5021" i="2"/>
  <c r="T5021" i="2"/>
  <c r="S5021" i="2"/>
  <c r="U5020" i="2"/>
  <c r="S5020" i="2"/>
  <c r="T5020" i="2" s="1"/>
  <c r="U5019" i="2"/>
  <c r="S5019" i="2"/>
  <c r="T5019" i="2" s="1"/>
  <c r="U5018" i="2"/>
  <c r="S5018" i="2"/>
  <c r="T5018" i="2" s="1"/>
  <c r="U5017" i="2"/>
  <c r="S5017" i="2"/>
  <c r="T5017" i="2" s="1"/>
  <c r="U5016" i="2"/>
  <c r="S5016" i="2"/>
  <c r="T5016" i="2" s="1"/>
  <c r="U5015" i="2"/>
  <c r="S5015" i="2"/>
  <c r="T5015" i="2" s="1"/>
  <c r="U5014" i="2"/>
  <c r="S5014" i="2"/>
  <c r="T5014" i="2" s="1"/>
  <c r="U5013" i="2"/>
  <c r="S5013" i="2"/>
  <c r="T5013" i="2" s="1"/>
  <c r="U5012" i="2"/>
  <c r="T5012" i="2"/>
  <c r="S5012" i="2"/>
  <c r="U5011" i="2"/>
  <c r="S5011" i="2"/>
  <c r="T5011" i="2" s="1"/>
  <c r="U5010" i="2"/>
  <c r="S5010" i="2"/>
  <c r="T5010" i="2" s="1"/>
  <c r="U5009" i="2"/>
  <c r="S5009" i="2"/>
  <c r="T5009" i="2" s="1"/>
  <c r="U5008" i="2"/>
  <c r="S5008" i="2"/>
  <c r="T5008" i="2" s="1"/>
  <c r="U5007" i="2"/>
  <c r="S5007" i="2"/>
  <c r="T5007" i="2" s="1"/>
  <c r="U5006" i="2"/>
  <c r="S5006" i="2"/>
  <c r="T5006" i="2" s="1"/>
  <c r="U5005" i="2"/>
  <c r="S5005" i="2"/>
  <c r="T5005" i="2" s="1"/>
  <c r="U5004" i="2"/>
  <c r="S5004" i="2"/>
  <c r="T5004" i="2" s="1"/>
  <c r="U5003" i="2"/>
  <c r="S5003" i="2"/>
  <c r="T5003" i="2" s="1"/>
  <c r="U5002" i="2"/>
  <c r="S5002" i="2"/>
  <c r="T5002" i="2" s="1"/>
  <c r="U5001" i="2"/>
  <c r="S5001" i="2"/>
  <c r="T5001" i="2" s="1"/>
  <c r="U5000" i="2"/>
  <c r="S5000" i="2"/>
  <c r="T5000" i="2" s="1"/>
  <c r="U4999" i="2"/>
  <c r="T4999" i="2"/>
  <c r="S4999" i="2"/>
  <c r="U4998" i="2"/>
  <c r="S4998" i="2"/>
  <c r="T4998" i="2" s="1"/>
  <c r="U4997" i="2"/>
  <c r="S4997" i="2"/>
  <c r="T4997" i="2" s="1"/>
  <c r="U4996" i="2"/>
  <c r="S4996" i="2"/>
  <c r="T4996" i="2" s="1"/>
  <c r="U4995" i="2"/>
  <c r="S4995" i="2"/>
  <c r="T4995" i="2" s="1"/>
  <c r="U4994" i="2"/>
  <c r="S4994" i="2"/>
  <c r="T4994" i="2" s="1"/>
  <c r="U4993" i="2"/>
  <c r="S4993" i="2"/>
  <c r="T4993" i="2" s="1"/>
  <c r="U4992" i="2"/>
  <c r="S4992" i="2"/>
  <c r="T4992" i="2" s="1"/>
  <c r="U4991" i="2"/>
  <c r="S4991" i="2"/>
  <c r="T4991" i="2" s="1"/>
  <c r="U4990" i="2"/>
  <c r="S4990" i="2"/>
  <c r="T4990" i="2" s="1"/>
  <c r="U4989" i="2"/>
  <c r="S4989" i="2"/>
  <c r="T4989" i="2" s="1"/>
  <c r="U4988" i="2"/>
  <c r="S4988" i="2"/>
  <c r="T4988" i="2" s="1"/>
  <c r="U4987" i="2"/>
  <c r="S4987" i="2"/>
  <c r="T4987" i="2" s="1"/>
  <c r="U4986" i="2"/>
  <c r="S4986" i="2"/>
  <c r="T4986" i="2" s="1"/>
  <c r="U4985" i="2"/>
  <c r="S4985" i="2"/>
  <c r="T4985" i="2" s="1"/>
  <c r="U4984" i="2"/>
  <c r="S4984" i="2"/>
  <c r="T4984" i="2" s="1"/>
  <c r="U4983" i="2"/>
  <c r="S4983" i="2"/>
  <c r="T4983" i="2" s="1"/>
  <c r="U4982" i="2"/>
  <c r="S4982" i="2"/>
  <c r="T4982" i="2" s="1"/>
  <c r="U4981" i="2"/>
  <c r="S4981" i="2"/>
  <c r="T4981" i="2" s="1"/>
  <c r="U4980" i="2"/>
  <c r="S4980" i="2"/>
  <c r="T4980" i="2" s="1"/>
  <c r="U4979" i="2"/>
  <c r="S4979" i="2"/>
  <c r="T4979" i="2" s="1"/>
  <c r="U4978" i="2"/>
  <c r="S4978" i="2"/>
  <c r="T4978" i="2" s="1"/>
  <c r="U4977" i="2"/>
  <c r="S4977" i="2"/>
  <c r="T4977" i="2" s="1"/>
  <c r="U4976" i="2"/>
  <c r="S4976" i="2"/>
  <c r="T4976" i="2" s="1"/>
  <c r="U4975" i="2"/>
  <c r="S4975" i="2"/>
  <c r="T4975" i="2" s="1"/>
  <c r="U4974" i="2"/>
  <c r="S4974" i="2"/>
  <c r="T4974" i="2" s="1"/>
  <c r="U4973" i="2"/>
  <c r="S4973" i="2"/>
  <c r="T4973" i="2" s="1"/>
  <c r="U4972" i="2"/>
  <c r="S4972" i="2"/>
  <c r="T4972" i="2" s="1"/>
  <c r="U4971" i="2"/>
  <c r="S4971" i="2"/>
  <c r="T4971" i="2" s="1"/>
  <c r="U4970" i="2"/>
  <c r="S4970" i="2"/>
  <c r="T4970" i="2" s="1"/>
  <c r="U4969" i="2"/>
  <c r="S4969" i="2"/>
  <c r="T4969" i="2" s="1"/>
  <c r="U4968" i="2"/>
  <c r="S4968" i="2"/>
  <c r="T4968" i="2" s="1"/>
  <c r="U4967" i="2"/>
  <c r="S4967" i="2"/>
  <c r="T4967" i="2" s="1"/>
  <c r="U4966" i="2"/>
  <c r="S4966" i="2"/>
  <c r="T4966" i="2" s="1"/>
  <c r="U4965" i="2"/>
  <c r="S4965" i="2"/>
  <c r="T4965" i="2" s="1"/>
  <c r="U4964" i="2"/>
  <c r="S4964" i="2"/>
  <c r="T4964" i="2" s="1"/>
  <c r="U4963" i="2"/>
  <c r="S4963" i="2"/>
  <c r="T4963" i="2" s="1"/>
  <c r="U4962" i="2"/>
  <c r="S4962" i="2"/>
  <c r="T4962" i="2" s="1"/>
  <c r="U4961" i="2"/>
  <c r="S4961" i="2"/>
  <c r="T4961" i="2" s="1"/>
  <c r="U4960" i="2"/>
  <c r="T4960" i="2"/>
  <c r="S4960" i="2"/>
  <c r="U4959" i="2"/>
  <c r="S4959" i="2"/>
  <c r="T4959" i="2" s="1"/>
  <c r="U4958" i="2"/>
  <c r="S4958" i="2"/>
  <c r="T4958" i="2" s="1"/>
  <c r="U4957" i="2"/>
  <c r="S4957" i="2"/>
  <c r="T4957" i="2" s="1"/>
  <c r="U4956" i="2"/>
  <c r="S4956" i="2"/>
  <c r="T4956" i="2" s="1"/>
  <c r="U4955" i="2"/>
  <c r="T4955" i="2"/>
  <c r="S4955" i="2"/>
  <c r="U4954" i="2"/>
  <c r="S4954" i="2"/>
  <c r="T4954" i="2" s="1"/>
  <c r="U4953" i="2"/>
  <c r="S4953" i="2"/>
  <c r="T4953" i="2" s="1"/>
  <c r="U4952" i="2"/>
  <c r="S4952" i="2"/>
  <c r="T4952" i="2" s="1"/>
  <c r="U4951" i="2"/>
  <c r="S4951" i="2"/>
  <c r="T4951" i="2" s="1"/>
  <c r="U4950" i="2"/>
  <c r="S4950" i="2"/>
  <c r="T4950" i="2" s="1"/>
  <c r="U4949" i="2"/>
  <c r="S4949" i="2"/>
  <c r="T4949" i="2" s="1"/>
  <c r="U4948" i="2"/>
  <c r="S4948" i="2"/>
  <c r="T4948" i="2" s="1"/>
  <c r="U4947" i="2"/>
  <c r="S4947" i="2"/>
  <c r="T4947" i="2" s="1"/>
  <c r="U4946" i="2"/>
  <c r="S4946" i="2"/>
  <c r="T4946" i="2" s="1"/>
  <c r="U4945" i="2"/>
  <c r="S4945" i="2"/>
  <c r="T4945" i="2" s="1"/>
  <c r="U4944" i="2"/>
  <c r="S4944" i="2"/>
  <c r="T4944" i="2" s="1"/>
  <c r="U4943" i="2"/>
  <c r="S4943" i="2"/>
  <c r="T4943" i="2" s="1"/>
  <c r="U4942" i="2"/>
  <c r="S4942" i="2"/>
  <c r="T4942" i="2" s="1"/>
  <c r="U4941" i="2"/>
  <c r="S4941" i="2"/>
  <c r="T4941" i="2" s="1"/>
  <c r="U4940" i="2"/>
  <c r="T4940" i="2"/>
  <c r="S4940" i="2"/>
  <c r="U4939" i="2"/>
  <c r="T4939" i="2"/>
  <c r="S4939" i="2"/>
  <c r="U4938" i="2"/>
  <c r="S4938" i="2"/>
  <c r="T4938" i="2" s="1"/>
  <c r="U4937" i="2"/>
  <c r="S4937" i="2"/>
  <c r="T4937" i="2" s="1"/>
  <c r="U4936" i="2"/>
  <c r="S4936" i="2"/>
  <c r="T4936" i="2" s="1"/>
  <c r="U4935" i="2"/>
  <c r="S4935" i="2"/>
  <c r="T4935" i="2" s="1"/>
  <c r="U4934" i="2"/>
  <c r="S4934" i="2"/>
  <c r="T4934" i="2" s="1"/>
  <c r="U4933" i="2"/>
  <c r="S4933" i="2"/>
  <c r="T4933" i="2" s="1"/>
  <c r="U4932" i="2"/>
  <c r="S4932" i="2"/>
  <c r="T4932" i="2" s="1"/>
  <c r="U4931" i="2"/>
  <c r="S4931" i="2"/>
  <c r="T4931" i="2" s="1"/>
  <c r="U4930" i="2"/>
  <c r="S4930" i="2"/>
  <c r="T4930" i="2" s="1"/>
  <c r="U4929" i="2"/>
  <c r="S4929" i="2"/>
  <c r="T4929" i="2" s="1"/>
  <c r="U4928" i="2"/>
  <c r="S4928" i="2"/>
  <c r="T4928" i="2" s="1"/>
  <c r="U4927" i="2"/>
  <c r="S4927" i="2"/>
  <c r="T4927" i="2" s="1"/>
  <c r="U4926" i="2"/>
  <c r="S4926" i="2"/>
  <c r="T4926" i="2" s="1"/>
  <c r="U4925" i="2"/>
  <c r="S4925" i="2"/>
  <c r="T4925" i="2" s="1"/>
  <c r="U4924" i="2"/>
  <c r="S4924" i="2"/>
  <c r="T4924" i="2" s="1"/>
  <c r="U4923" i="2"/>
  <c r="S4923" i="2"/>
  <c r="T4923" i="2" s="1"/>
  <c r="U4922" i="2"/>
  <c r="S4922" i="2"/>
  <c r="T4922" i="2" s="1"/>
  <c r="U4921" i="2"/>
  <c r="S4921" i="2"/>
  <c r="T4921" i="2" s="1"/>
  <c r="U4920" i="2"/>
  <c r="S4920" i="2"/>
  <c r="T4920" i="2" s="1"/>
  <c r="U4919" i="2"/>
  <c r="S4919" i="2"/>
  <c r="T4919" i="2" s="1"/>
  <c r="U4918" i="2"/>
  <c r="S4918" i="2"/>
  <c r="T4918" i="2" s="1"/>
  <c r="U4917" i="2"/>
  <c r="S4917" i="2"/>
  <c r="T4917" i="2" s="1"/>
  <c r="U4916" i="2"/>
  <c r="S4916" i="2"/>
  <c r="T4916" i="2" s="1"/>
  <c r="U4915" i="2"/>
  <c r="S4915" i="2"/>
  <c r="T4915" i="2" s="1"/>
  <c r="U4914" i="2"/>
  <c r="S4914" i="2"/>
  <c r="T4914" i="2" s="1"/>
  <c r="U4913" i="2"/>
  <c r="S4913" i="2"/>
  <c r="T4913" i="2" s="1"/>
  <c r="U4912" i="2"/>
  <c r="S4912" i="2"/>
  <c r="T4912" i="2" s="1"/>
  <c r="U4911" i="2"/>
  <c r="S4911" i="2"/>
  <c r="T4911" i="2" s="1"/>
  <c r="U4910" i="2"/>
  <c r="S4910" i="2"/>
  <c r="T4910" i="2" s="1"/>
  <c r="U4909" i="2"/>
  <c r="S4909" i="2"/>
  <c r="T4909" i="2" s="1"/>
  <c r="U4908" i="2"/>
  <c r="S4908" i="2"/>
  <c r="T4908" i="2" s="1"/>
  <c r="U4907" i="2"/>
  <c r="S4907" i="2"/>
  <c r="T4907" i="2" s="1"/>
  <c r="U4906" i="2"/>
  <c r="S4906" i="2"/>
  <c r="T4906" i="2" s="1"/>
  <c r="U4905" i="2"/>
  <c r="S4905" i="2"/>
  <c r="T4905" i="2" s="1"/>
  <c r="U4904" i="2"/>
  <c r="S4904" i="2"/>
  <c r="T4904" i="2" s="1"/>
  <c r="U4903" i="2"/>
  <c r="S4903" i="2"/>
  <c r="T4903" i="2" s="1"/>
  <c r="U4902" i="2"/>
  <c r="S4902" i="2"/>
  <c r="T4902" i="2" s="1"/>
  <c r="U4901" i="2"/>
  <c r="S4901" i="2"/>
  <c r="T4901" i="2" s="1"/>
  <c r="U4900" i="2"/>
  <c r="S4900" i="2"/>
  <c r="T4900" i="2" s="1"/>
  <c r="U4899" i="2"/>
  <c r="S4899" i="2"/>
  <c r="T4899" i="2" s="1"/>
  <c r="U4898" i="2"/>
  <c r="S4898" i="2"/>
  <c r="T4898" i="2" s="1"/>
  <c r="U4897" i="2"/>
  <c r="S4897" i="2"/>
  <c r="T4897" i="2" s="1"/>
  <c r="U4896" i="2"/>
  <c r="S4896" i="2"/>
  <c r="T4896" i="2" s="1"/>
  <c r="U4895" i="2"/>
  <c r="S4895" i="2"/>
  <c r="T4895" i="2" s="1"/>
  <c r="U4894" i="2"/>
  <c r="S4894" i="2"/>
  <c r="T4894" i="2" s="1"/>
  <c r="U4893" i="2"/>
  <c r="S4893" i="2"/>
  <c r="T4893" i="2" s="1"/>
  <c r="U4892" i="2"/>
  <c r="S4892" i="2"/>
  <c r="T4892" i="2" s="1"/>
  <c r="U4891" i="2"/>
  <c r="S4891" i="2"/>
  <c r="T4891" i="2" s="1"/>
  <c r="U4890" i="2"/>
  <c r="S4890" i="2"/>
  <c r="T4890" i="2" s="1"/>
  <c r="U4889" i="2"/>
  <c r="S4889" i="2"/>
  <c r="T4889" i="2" s="1"/>
  <c r="U4888" i="2"/>
  <c r="S4888" i="2"/>
  <c r="T4888" i="2" s="1"/>
  <c r="U4887" i="2"/>
  <c r="S4887" i="2"/>
  <c r="T4887" i="2" s="1"/>
  <c r="U4886" i="2"/>
  <c r="S4886" i="2"/>
  <c r="T4886" i="2" s="1"/>
  <c r="U4885" i="2"/>
  <c r="S4885" i="2"/>
  <c r="T4885" i="2" s="1"/>
  <c r="U4884" i="2"/>
  <c r="S4884" i="2"/>
  <c r="T4884" i="2" s="1"/>
  <c r="U4883" i="2"/>
  <c r="S4883" i="2"/>
  <c r="T4883" i="2" s="1"/>
  <c r="U4882" i="2"/>
  <c r="S4882" i="2"/>
  <c r="T4882" i="2" s="1"/>
  <c r="U4881" i="2"/>
  <c r="S4881" i="2"/>
  <c r="T4881" i="2" s="1"/>
  <c r="U4880" i="2"/>
  <c r="S4880" i="2"/>
  <c r="T4880" i="2" s="1"/>
  <c r="U4879" i="2"/>
  <c r="S4879" i="2"/>
  <c r="T4879" i="2" s="1"/>
  <c r="U4878" i="2"/>
  <c r="T4878" i="2"/>
  <c r="S4878" i="2"/>
  <c r="U4877" i="2"/>
  <c r="S4877" i="2"/>
  <c r="T4877" i="2" s="1"/>
  <c r="U4876" i="2"/>
  <c r="S4876" i="2"/>
  <c r="T4876" i="2" s="1"/>
  <c r="U4875" i="2"/>
  <c r="S4875" i="2"/>
  <c r="T4875" i="2" s="1"/>
  <c r="U4874" i="2"/>
  <c r="S4874" i="2"/>
  <c r="T4874" i="2" s="1"/>
  <c r="U4873" i="2"/>
  <c r="S4873" i="2"/>
  <c r="T4873" i="2" s="1"/>
  <c r="U4872" i="2"/>
  <c r="S4872" i="2"/>
  <c r="T4872" i="2" s="1"/>
  <c r="U4871" i="2"/>
  <c r="S4871" i="2"/>
  <c r="T4871" i="2" s="1"/>
  <c r="U4870" i="2"/>
  <c r="S4870" i="2"/>
  <c r="T4870" i="2" s="1"/>
  <c r="U4869" i="2"/>
  <c r="S4869" i="2"/>
  <c r="T4869" i="2" s="1"/>
  <c r="U4868" i="2"/>
  <c r="S4868" i="2"/>
  <c r="T4868" i="2" s="1"/>
  <c r="U4867" i="2"/>
  <c r="S4867" i="2"/>
  <c r="T4867" i="2" s="1"/>
  <c r="U4866" i="2"/>
  <c r="S4866" i="2"/>
  <c r="T4866" i="2" s="1"/>
  <c r="U4865" i="2"/>
  <c r="S4865" i="2"/>
  <c r="T4865" i="2" s="1"/>
  <c r="U4864" i="2"/>
  <c r="S4864" i="2"/>
  <c r="T4864" i="2" s="1"/>
  <c r="U4863" i="2"/>
  <c r="S4863" i="2"/>
  <c r="T4863" i="2" s="1"/>
  <c r="U4862" i="2"/>
  <c r="S4862" i="2"/>
  <c r="T4862" i="2" s="1"/>
  <c r="U4861" i="2"/>
  <c r="S4861" i="2"/>
  <c r="T4861" i="2" s="1"/>
  <c r="U4860" i="2"/>
  <c r="S4860" i="2"/>
  <c r="T4860" i="2" s="1"/>
  <c r="U4859" i="2"/>
  <c r="S4859" i="2"/>
  <c r="T4859" i="2" s="1"/>
  <c r="U4858" i="2"/>
  <c r="S4858" i="2"/>
  <c r="T4858" i="2" s="1"/>
  <c r="U4857" i="2"/>
  <c r="T4857" i="2"/>
  <c r="S4857" i="2"/>
  <c r="U4856" i="2"/>
  <c r="S4856" i="2"/>
  <c r="T4856" i="2" s="1"/>
  <c r="U4855" i="2"/>
  <c r="S4855" i="2"/>
  <c r="T4855" i="2" s="1"/>
  <c r="U4854" i="2"/>
  <c r="S4854" i="2"/>
  <c r="T4854" i="2" s="1"/>
  <c r="U4853" i="2"/>
  <c r="S4853" i="2"/>
  <c r="T4853" i="2" s="1"/>
  <c r="U4852" i="2"/>
  <c r="S4852" i="2"/>
  <c r="T4852" i="2" s="1"/>
  <c r="U4851" i="2"/>
  <c r="S4851" i="2"/>
  <c r="T4851" i="2" s="1"/>
  <c r="U4850" i="2"/>
  <c r="S4850" i="2"/>
  <c r="T4850" i="2" s="1"/>
  <c r="U4849" i="2"/>
  <c r="S4849" i="2"/>
  <c r="T4849" i="2" s="1"/>
  <c r="U4848" i="2"/>
  <c r="S4848" i="2"/>
  <c r="T4848" i="2" s="1"/>
  <c r="U4847" i="2"/>
  <c r="S4847" i="2"/>
  <c r="T4847" i="2" s="1"/>
  <c r="U4846" i="2"/>
  <c r="S4846" i="2"/>
  <c r="T4846" i="2" s="1"/>
  <c r="U4845" i="2"/>
  <c r="S4845" i="2"/>
  <c r="T4845" i="2" s="1"/>
  <c r="U4844" i="2"/>
  <c r="S4844" i="2"/>
  <c r="T4844" i="2" s="1"/>
  <c r="U4843" i="2"/>
  <c r="T4843" i="2"/>
  <c r="S4843" i="2"/>
  <c r="U4842" i="2"/>
  <c r="S4842" i="2"/>
  <c r="T4842" i="2" s="1"/>
  <c r="U4841" i="2"/>
  <c r="S4841" i="2"/>
  <c r="T4841" i="2" s="1"/>
  <c r="U4840" i="2"/>
  <c r="S4840" i="2"/>
  <c r="T4840" i="2" s="1"/>
  <c r="U4839" i="2"/>
  <c r="S4839" i="2"/>
  <c r="T4839" i="2" s="1"/>
  <c r="U4838" i="2"/>
  <c r="S4838" i="2"/>
  <c r="T4838" i="2" s="1"/>
  <c r="U4837" i="2"/>
  <c r="S4837" i="2"/>
  <c r="T4837" i="2" s="1"/>
  <c r="U4836" i="2"/>
  <c r="S4836" i="2"/>
  <c r="T4836" i="2" s="1"/>
  <c r="U4835" i="2"/>
  <c r="S4835" i="2"/>
  <c r="T4835" i="2" s="1"/>
  <c r="U4834" i="2"/>
  <c r="S4834" i="2"/>
  <c r="T4834" i="2" s="1"/>
  <c r="U4833" i="2"/>
  <c r="S4833" i="2"/>
  <c r="T4833" i="2" s="1"/>
  <c r="U4832" i="2"/>
  <c r="T4832" i="2"/>
  <c r="S4832" i="2"/>
  <c r="U4831" i="2"/>
  <c r="S4831" i="2"/>
  <c r="T4831" i="2" s="1"/>
  <c r="U4830" i="2"/>
  <c r="S4830" i="2"/>
  <c r="T4830" i="2" s="1"/>
  <c r="U4829" i="2"/>
  <c r="S4829" i="2"/>
  <c r="T4829" i="2" s="1"/>
  <c r="U4828" i="2"/>
  <c r="S4828" i="2"/>
  <c r="T4828" i="2" s="1"/>
  <c r="U4827" i="2"/>
  <c r="S4827" i="2"/>
  <c r="T4827" i="2" s="1"/>
  <c r="U4826" i="2"/>
  <c r="S4826" i="2"/>
  <c r="T4826" i="2" s="1"/>
  <c r="U4825" i="2"/>
  <c r="S4825" i="2"/>
  <c r="T4825" i="2" s="1"/>
  <c r="U4824" i="2"/>
  <c r="S4824" i="2"/>
  <c r="T4824" i="2" s="1"/>
  <c r="U4823" i="2"/>
  <c r="S4823" i="2"/>
  <c r="T4823" i="2" s="1"/>
  <c r="U4822" i="2"/>
  <c r="S4822" i="2"/>
  <c r="T4822" i="2" s="1"/>
  <c r="U4821" i="2"/>
  <c r="S4821" i="2"/>
  <c r="T4821" i="2" s="1"/>
  <c r="U4820" i="2"/>
  <c r="S4820" i="2"/>
  <c r="T4820" i="2" s="1"/>
  <c r="U4819" i="2"/>
  <c r="S4819" i="2"/>
  <c r="T4819" i="2" s="1"/>
  <c r="U4818" i="2"/>
  <c r="S4818" i="2"/>
  <c r="T4818" i="2" s="1"/>
  <c r="U4817" i="2"/>
  <c r="S4817" i="2"/>
  <c r="T4817" i="2" s="1"/>
  <c r="U4816" i="2"/>
  <c r="S4816" i="2"/>
  <c r="T4816" i="2" s="1"/>
  <c r="U4815" i="2"/>
  <c r="S4815" i="2"/>
  <c r="T4815" i="2" s="1"/>
  <c r="U4814" i="2"/>
  <c r="S4814" i="2"/>
  <c r="T4814" i="2" s="1"/>
  <c r="U4813" i="2"/>
  <c r="S4813" i="2"/>
  <c r="T4813" i="2" s="1"/>
  <c r="U4812" i="2"/>
  <c r="S4812" i="2"/>
  <c r="T4812" i="2" s="1"/>
  <c r="U4811" i="2"/>
  <c r="S4811" i="2"/>
  <c r="T4811" i="2" s="1"/>
  <c r="U4810" i="2"/>
  <c r="T4810" i="2"/>
  <c r="S4810" i="2"/>
  <c r="U4809" i="2"/>
  <c r="S4809" i="2"/>
  <c r="T4809" i="2" s="1"/>
  <c r="U4808" i="2"/>
  <c r="S4808" i="2"/>
  <c r="T4808" i="2" s="1"/>
  <c r="U4807" i="2"/>
  <c r="S4807" i="2"/>
  <c r="T4807" i="2" s="1"/>
  <c r="U4806" i="2"/>
  <c r="S4806" i="2"/>
  <c r="T4806" i="2" s="1"/>
  <c r="U4805" i="2"/>
  <c r="S4805" i="2"/>
  <c r="T4805" i="2" s="1"/>
  <c r="U4804" i="2"/>
  <c r="S4804" i="2"/>
  <c r="T4804" i="2" s="1"/>
  <c r="U4803" i="2"/>
  <c r="S4803" i="2"/>
  <c r="T4803" i="2" s="1"/>
  <c r="U4802" i="2"/>
  <c r="S4802" i="2"/>
  <c r="T4802" i="2" s="1"/>
  <c r="U4801" i="2"/>
  <c r="T4801" i="2"/>
  <c r="S4801" i="2"/>
  <c r="U4800" i="2"/>
  <c r="S4800" i="2"/>
  <c r="T4800" i="2" s="1"/>
  <c r="U4799" i="2"/>
  <c r="S4799" i="2"/>
  <c r="T4799" i="2" s="1"/>
  <c r="U4798" i="2"/>
  <c r="S4798" i="2"/>
  <c r="T4798" i="2" s="1"/>
  <c r="U4797" i="2"/>
  <c r="T4797" i="2"/>
  <c r="S4797" i="2"/>
  <c r="U4796" i="2"/>
  <c r="S4796" i="2"/>
  <c r="T4796" i="2" s="1"/>
  <c r="U4795" i="2"/>
  <c r="T4795" i="2"/>
  <c r="S4795" i="2"/>
  <c r="U4794" i="2"/>
  <c r="S4794" i="2"/>
  <c r="T4794" i="2" s="1"/>
  <c r="U4793" i="2"/>
  <c r="S4793" i="2"/>
  <c r="T4793" i="2" s="1"/>
  <c r="U4792" i="2"/>
  <c r="S4792" i="2"/>
  <c r="T4792" i="2" s="1"/>
  <c r="U4791" i="2"/>
  <c r="S4791" i="2"/>
  <c r="T4791" i="2" s="1"/>
  <c r="U4790" i="2"/>
  <c r="S4790" i="2"/>
  <c r="T4790" i="2" s="1"/>
  <c r="U4789" i="2"/>
  <c r="S4789" i="2"/>
  <c r="T4789" i="2" s="1"/>
  <c r="U4788" i="2"/>
  <c r="S4788" i="2"/>
  <c r="T4788" i="2" s="1"/>
  <c r="U4787" i="2"/>
  <c r="S4787" i="2"/>
  <c r="T4787" i="2" s="1"/>
  <c r="U4786" i="2"/>
  <c r="S4786" i="2"/>
  <c r="T4786" i="2" s="1"/>
  <c r="U4785" i="2"/>
  <c r="S4785" i="2"/>
  <c r="T4785" i="2" s="1"/>
  <c r="U4784" i="2"/>
  <c r="S4784" i="2"/>
  <c r="T4784" i="2" s="1"/>
  <c r="U4783" i="2"/>
  <c r="S4783" i="2"/>
  <c r="T4783" i="2" s="1"/>
  <c r="U4782" i="2"/>
  <c r="S4782" i="2"/>
  <c r="T4782" i="2" s="1"/>
  <c r="U4781" i="2"/>
  <c r="S4781" i="2"/>
  <c r="T4781" i="2" s="1"/>
  <c r="U4780" i="2"/>
  <c r="S4780" i="2"/>
  <c r="T4780" i="2" s="1"/>
  <c r="U4779" i="2"/>
  <c r="S4779" i="2"/>
  <c r="T4779" i="2" s="1"/>
  <c r="U4778" i="2"/>
  <c r="S4778" i="2"/>
  <c r="T4778" i="2" s="1"/>
  <c r="U4777" i="2"/>
  <c r="S4777" i="2"/>
  <c r="T4777" i="2" s="1"/>
  <c r="U4776" i="2"/>
  <c r="S4776" i="2"/>
  <c r="T4776" i="2" s="1"/>
  <c r="U4775" i="2"/>
  <c r="S4775" i="2"/>
  <c r="T4775" i="2" s="1"/>
  <c r="U4774" i="2"/>
  <c r="S4774" i="2"/>
  <c r="T4774" i="2" s="1"/>
  <c r="U4773" i="2"/>
  <c r="S4773" i="2"/>
  <c r="T4773" i="2" s="1"/>
  <c r="U4772" i="2"/>
  <c r="S4772" i="2"/>
  <c r="T4772" i="2" s="1"/>
  <c r="U4771" i="2"/>
  <c r="S4771" i="2"/>
  <c r="T4771" i="2" s="1"/>
  <c r="U4770" i="2"/>
  <c r="S4770" i="2"/>
  <c r="T4770" i="2" s="1"/>
  <c r="U4769" i="2"/>
  <c r="S4769" i="2"/>
  <c r="T4769" i="2" s="1"/>
  <c r="U4768" i="2"/>
  <c r="S4768" i="2"/>
  <c r="T4768" i="2" s="1"/>
  <c r="U4767" i="2"/>
  <c r="S4767" i="2"/>
  <c r="T4767" i="2" s="1"/>
  <c r="U4766" i="2"/>
  <c r="S4766" i="2"/>
  <c r="T4766" i="2" s="1"/>
  <c r="U4765" i="2"/>
  <c r="S4765" i="2"/>
  <c r="T4765" i="2" s="1"/>
  <c r="U4764" i="2"/>
  <c r="S4764" i="2"/>
  <c r="T4764" i="2" s="1"/>
  <c r="U4763" i="2"/>
  <c r="S4763" i="2"/>
  <c r="T4763" i="2" s="1"/>
  <c r="U4762" i="2"/>
  <c r="S4762" i="2"/>
  <c r="T4762" i="2" s="1"/>
  <c r="U4761" i="2"/>
  <c r="S4761" i="2"/>
  <c r="T4761" i="2" s="1"/>
  <c r="U4760" i="2"/>
  <c r="S4760" i="2"/>
  <c r="T4760" i="2" s="1"/>
  <c r="U4759" i="2"/>
  <c r="S4759" i="2"/>
  <c r="T4759" i="2" s="1"/>
  <c r="U4758" i="2"/>
  <c r="S4758" i="2"/>
  <c r="T4758" i="2" s="1"/>
  <c r="U4757" i="2"/>
  <c r="S4757" i="2"/>
  <c r="T4757" i="2" s="1"/>
  <c r="U4756" i="2"/>
  <c r="S4756" i="2"/>
  <c r="T4756" i="2" s="1"/>
  <c r="U4755" i="2"/>
  <c r="S4755" i="2"/>
  <c r="T4755" i="2" s="1"/>
  <c r="U4754" i="2"/>
  <c r="S4754" i="2"/>
  <c r="T4754" i="2" s="1"/>
  <c r="U4753" i="2"/>
  <c r="S4753" i="2"/>
  <c r="T4753" i="2" s="1"/>
  <c r="U4752" i="2"/>
  <c r="S4752" i="2"/>
  <c r="T4752" i="2" s="1"/>
  <c r="U4751" i="2"/>
  <c r="S4751" i="2"/>
  <c r="T4751" i="2" s="1"/>
  <c r="U4750" i="2"/>
  <c r="S4750" i="2"/>
  <c r="T4750" i="2" s="1"/>
  <c r="U4749" i="2"/>
  <c r="S4749" i="2"/>
  <c r="T4749" i="2" s="1"/>
  <c r="U4748" i="2"/>
  <c r="S4748" i="2"/>
  <c r="T4748" i="2" s="1"/>
  <c r="U4747" i="2"/>
  <c r="S4747" i="2"/>
  <c r="T4747" i="2" s="1"/>
  <c r="U4746" i="2"/>
  <c r="S4746" i="2"/>
  <c r="T4746" i="2" s="1"/>
  <c r="U4745" i="2"/>
  <c r="S4745" i="2"/>
  <c r="T4745" i="2" s="1"/>
  <c r="U4744" i="2"/>
  <c r="S4744" i="2"/>
  <c r="T4744" i="2" s="1"/>
  <c r="U4743" i="2"/>
  <c r="S4743" i="2"/>
  <c r="T4743" i="2" s="1"/>
  <c r="U4742" i="2"/>
  <c r="T4742" i="2"/>
  <c r="S4742" i="2"/>
  <c r="U4741" i="2"/>
  <c r="S4741" i="2"/>
  <c r="T4741" i="2" s="1"/>
  <c r="U4740" i="2"/>
  <c r="S4740" i="2"/>
  <c r="T4740" i="2" s="1"/>
  <c r="U4739" i="2"/>
  <c r="S4739" i="2"/>
  <c r="T4739" i="2" s="1"/>
  <c r="U4738" i="2"/>
  <c r="S4738" i="2"/>
  <c r="T4738" i="2" s="1"/>
  <c r="U4737" i="2"/>
  <c r="S4737" i="2"/>
  <c r="T4737" i="2" s="1"/>
  <c r="U4736" i="2"/>
  <c r="S4736" i="2"/>
  <c r="T4736" i="2" s="1"/>
  <c r="U4735" i="2"/>
  <c r="S4735" i="2"/>
  <c r="T4735" i="2" s="1"/>
  <c r="U4734" i="2"/>
  <c r="S4734" i="2"/>
  <c r="T4734" i="2" s="1"/>
  <c r="U4733" i="2"/>
  <c r="S4733" i="2"/>
  <c r="T4733" i="2" s="1"/>
  <c r="U4732" i="2"/>
  <c r="S4732" i="2"/>
  <c r="T4732" i="2" s="1"/>
  <c r="U4731" i="2"/>
  <c r="S4731" i="2"/>
  <c r="T4731" i="2" s="1"/>
  <c r="U4730" i="2"/>
  <c r="S4730" i="2"/>
  <c r="T4730" i="2" s="1"/>
  <c r="U4729" i="2"/>
  <c r="S4729" i="2"/>
  <c r="T4729" i="2" s="1"/>
  <c r="U4728" i="2"/>
  <c r="S4728" i="2"/>
  <c r="T4728" i="2" s="1"/>
  <c r="U4727" i="2"/>
  <c r="S4727" i="2"/>
  <c r="T4727" i="2" s="1"/>
  <c r="U4726" i="2"/>
  <c r="S4726" i="2"/>
  <c r="T4726" i="2" s="1"/>
  <c r="U4725" i="2"/>
  <c r="S4725" i="2"/>
  <c r="T4725" i="2" s="1"/>
  <c r="U4724" i="2"/>
  <c r="S4724" i="2"/>
  <c r="T4724" i="2" s="1"/>
  <c r="U4723" i="2"/>
  <c r="S4723" i="2"/>
  <c r="T4723" i="2" s="1"/>
  <c r="U4722" i="2"/>
  <c r="S4722" i="2"/>
  <c r="T4722" i="2" s="1"/>
  <c r="U4721" i="2"/>
  <c r="S4721" i="2"/>
  <c r="T4721" i="2" s="1"/>
  <c r="U4720" i="2"/>
  <c r="S4720" i="2"/>
  <c r="T4720" i="2" s="1"/>
  <c r="U4719" i="2"/>
  <c r="S4719" i="2"/>
  <c r="T4719" i="2" s="1"/>
  <c r="U4718" i="2"/>
  <c r="S4718" i="2"/>
  <c r="T4718" i="2" s="1"/>
  <c r="U4717" i="2"/>
  <c r="S4717" i="2"/>
  <c r="T4717" i="2" s="1"/>
  <c r="U4716" i="2"/>
  <c r="S4716" i="2"/>
  <c r="T4716" i="2" s="1"/>
  <c r="U4715" i="2"/>
  <c r="S4715" i="2"/>
  <c r="T4715" i="2" s="1"/>
  <c r="U4714" i="2"/>
  <c r="S4714" i="2"/>
  <c r="T4714" i="2" s="1"/>
  <c r="U4713" i="2"/>
  <c r="S4713" i="2"/>
  <c r="T4713" i="2" s="1"/>
  <c r="U4712" i="2"/>
  <c r="S4712" i="2"/>
  <c r="T4712" i="2" s="1"/>
  <c r="U4711" i="2"/>
  <c r="S4711" i="2"/>
  <c r="T4711" i="2" s="1"/>
  <c r="U4710" i="2"/>
  <c r="S4710" i="2"/>
  <c r="T4710" i="2" s="1"/>
  <c r="U4709" i="2"/>
  <c r="S4709" i="2"/>
  <c r="T4709" i="2" s="1"/>
  <c r="U4708" i="2"/>
  <c r="T4708" i="2"/>
  <c r="S4708" i="2"/>
  <c r="U4707" i="2"/>
  <c r="S4707" i="2"/>
  <c r="T4707" i="2" s="1"/>
  <c r="U4706" i="2"/>
  <c r="S4706" i="2"/>
  <c r="T4706" i="2" s="1"/>
  <c r="U4705" i="2"/>
  <c r="S4705" i="2"/>
  <c r="T4705" i="2" s="1"/>
  <c r="U4704" i="2"/>
  <c r="S4704" i="2"/>
  <c r="T4704" i="2" s="1"/>
  <c r="U4703" i="2"/>
  <c r="S4703" i="2"/>
  <c r="T4703" i="2" s="1"/>
  <c r="U4702" i="2"/>
  <c r="S4702" i="2"/>
  <c r="T4702" i="2" s="1"/>
  <c r="U4701" i="2"/>
  <c r="S4701" i="2"/>
  <c r="T4701" i="2" s="1"/>
  <c r="U4700" i="2"/>
  <c r="S4700" i="2"/>
  <c r="T4700" i="2" s="1"/>
  <c r="U4699" i="2"/>
  <c r="S4699" i="2"/>
  <c r="T4699" i="2" s="1"/>
  <c r="U4698" i="2"/>
  <c r="S4698" i="2"/>
  <c r="T4698" i="2" s="1"/>
  <c r="U4697" i="2"/>
  <c r="S4697" i="2"/>
  <c r="T4697" i="2" s="1"/>
  <c r="U4696" i="2"/>
  <c r="S4696" i="2"/>
  <c r="T4696" i="2" s="1"/>
  <c r="U4695" i="2"/>
  <c r="S4695" i="2"/>
  <c r="T4695" i="2" s="1"/>
  <c r="U4694" i="2"/>
  <c r="S4694" i="2"/>
  <c r="T4694" i="2" s="1"/>
  <c r="U4693" i="2"/>
  <c r="S4693" i="2"/>
  <c r="T4693" i="2" s="1"/>
  <c r="U4692" i="2"/>
  <c r="S4692" i="2"/>
  <c r="T4692" i="2" s="1"/>
  <c r="U4691" i="2"/>
  <c r="S4691" i="2"/>
  <c r="T4691" i="2" s="1"/>
  <c r="U4690" i="2"/>
  <c r="T4690" i="2"/>
  <c r="S4690" i="2"/>
  <c r="U4689" i="2"/>
  <c r="S4689" i="2"/>
  <c r="T4689" i="2" s="1"/>
  <c r="U4688" i="2"/>
  <c r="S4688" i="2"/>
  <c r="T4688" i="2" s="1"/>
  <c r="U4687" i="2"/>
  <c r="S4687" i="2"/>
  <c r="T4687" i="2" s="1"/>
  <c r="U4686" i="2"/>
  <c r="S4686" i="2"/>
  <c r="T4686" i="2" s="1"/>
  <c r="U4685" i="2"/>
  <c r="S4685" i="2"/>
  <c r="T4685" i="2" s="1"/>
  <c r="U4684" i="2"/>
  <c r="S4684" i="2"/>
  <c r="T4684" i="2" s="1"/>
  <c r="U4683" i="2"/>
  <c r="S4683" i="2"/>
  <c r="T4683" i="2" s="1"/>
  <c r="U4682" i="2"/>
  <c r="S4682" i="2"/>
  <c r="T4682" i="2" s="1"/>
  <c r="U4681" i="2"/>
  <c r="S4681" i="2"/>
  <c r="T4681" i="2" s="1"/>
  <c r="U4680" i="2"/>
  <c r="S4680" i="2"/>
  <c r="T4680" i="2" s="1"/>
  <c r="U4679" i="2"/>
  <c r="S4679" i="2"/>
  <c r="T4679" i="2" s="1"/>
  <c r="U4678" i="2"/>
  <c r="S4678" i="2"/>
  <c r="T4678" i="2" s="1"/>
  <c r="U4677" i="2"/>
  <c r="S4677" i="2"/>
  <c r="T4677" i="2" s="1"/>
  <c r="U4676" i="2"/>
  <c r="S4676" i="2"/>
  <c r="T4676" i="2" s="1"/>
  <c r="U4675" i="2"/>
  <c r="T4675" i="2"/>
  <c r="S4675" i="2"/>
  <c r="U4674" i="2"/>
  <c r="S4674" i="2"/>
  <c r="T4674" i="2" s="1"/>
  <c r="U4673" i="2"/>
  <c r="S4673" i="2"/>
  <c r="T4673" i="2" s="1"/>
  <c r="U4672" i="2"/>
  <c r="S4672" i="2"/>
  <c r="T4672" i="2" s="1"/>
  <c r="U4671" i="2"/>
  <c r="S4671" i="2"/>
  <c r="T4671" i="2" s="1"/>
  <c r="U4670" i="2"/>
  <c r="S4670" i="2"/>
  <c r="T4670" i="2" s="1"/>
  <c r="U4669" i="2"/>
  <c r="T4669" i="2"/>
  <c r="S4669" i="2"/>
  <c r="U4668" i="2"/>
  <c r="S4668" i="2"/>
  <c r="T4668" i="2" s="1"/>
  <c r="U4667" i="2"/>
  <c r="S4667" i="2"/>
  <c r="T4667" i="2" s="1"/>
  <c r="U4666" i="2"/>
  <c r="S4666" i="2"/>
  <c r="T4666" i="2" s="1"/>
  <c r="U4665" i="2"/>
  <c r="S4665" i="2"/>
  <c r="T4665" i="2" s="1"/>
  <c r="U4664" i="2"/>
  <c r="S4664" i="2"/>
  <c r="T4664" i="2" s="1"/>
  <c r="U4663" i="2"/>
  <c r="S4663" i="2"/>
  <c r="T4663" i="2" s="1"/>
  <c r="U4662" i="2"/>
  <c r="S4662" i="2"/>
  <c r="T4662" i="2" s="1"/>
  <c r="U4661" i="2"/>
  <c r="S4661" i="2"/>
  <c r="T4661" i="2" s="1"/>
  <c r="U4660" i="2"/>
  <c r="S4660" i="2"/>
  <c r="T4660" i="2" s="1"/>
  <c r="U4659" i="2"/>
  <c r="S4659" i="2"/>
  <c r="T4659" i="2" s="1"/>
  <c r="U4658" i="2"/>
  <c r="S4658" i="2"/>
  <c r="T4658" i="2" s="1"/>
  <c r="U4657" i="2"/>
  <c r="S4657" i="2"/>
  <c r="T4657" i="2" s="1"/>
  <c r="U4656" i="2"/>
  <c r="S4656" i="2"/>
  <c r="T4656" i="2" s="1"/>
  <c r="U4655" i="2"/>
  <c r="S4655" i="2"/>
  <c r="T4655" i="2" s="1"/>
  <c r="U4654" i="2"/>
  <c r="S4654" i="2"/>
  <c r="T4654" i="2" s="1"/>
  <c r="U4653" i="2"/>
  <c r="S4653" i="2"/>
  <c r="T4653" i="2" s="1"/>
  <c r="U4652" i="2"/>
  <c r="S4652" i="2"/>
  <c r="T4652" i="2" s="1"/>
  <c r="U4651" i="2"/>
  <c r="S4651" i="2"/>
  <c r="T4651" i="2" s="1"/>
  <c r="U4650" i="2"/>
  <c r="S4650" i="2"/>
  <c r="T4650" i="2" s="1"/>
  <c r="U4649" i="2"/>
  <c r="S4649" i="2"/>
  <c r="T4649" i="2" s="1"/>
  <c r="U4648" i="2"/>
  <c r="S4648" i="2"/>
  <c r="T4648" i="2" s="1"/>
  <c r="U4647" i="2"/>
  <c r="S4647" i="2"/>
  <c r="T4647" i="2" s="1"/>
  <c r="U4646" i="2"/>
  <c r="S4646" i="2"/>
  <c r="T4646" i="2" s="1"/>
  <c r="U4645" i="2"/>
  <c r="S4645" i="2"/>
  <c r="T4645" i="2" s="1"/>
  <c r="U4644" i="2"/>
  <c r="S4644" i="2"/>
  <c r="T4644" i="2" s="1"/>
  <c r="U4643" i="2"/>
  <c r="S4643" i="2"/>
  <c r="T4643" i="2" s="1"/>
  <c r="U4642" i="2"/>
  <c r="S4642" i="2"/>
  <c r="T4642" i="2" s="1"/>
  <c r="U4641" i="2"/>
  <c r="S4641" i="2"/>
  <c r="T4641" i="2" s="1"/>
  <c r="U4640" i="2"/>
  <c r="S4640" i="2"/>
  <c r="T4640" i="2" s="1"/>
  <c r="U4639" i="2"/>
  <c r="S4639" i="2"/>
  <c r="T4639" i="2" s="1"/>
  <c r="U4638" i="2"/>
  <c r="T4638" i="2"/>
  <c r="S4638" i="2"/>
  <c r="U4637" i="2"/>
  <c r="T4637" i="2"/>
  <c r="S4637" i="2"/>
  <c r="U4636" i="2"/>
  <c r="S4636" i="2"/>
  <c r="T4636" i="2" s="1"/>
  <c r="U4635" i="2"/>
  <c r="S4635" i="2"/>
  <c r="T4635" i="2" s="1"/>
  <c r="U4634" i="2"/>
  <c r="S4634" i="2"/>
  <c r="T4634" i="2" s="1"/>
  <c r="U4633" i="2"/>
  <c r="T4633" i="2"/>
  <c r="S4633" i="2"/>
  <c r="U4632" i="2"/>
  <c r="S4632" i="2"/>
  <c r="T4632" i="2" s="1"/>
  <c r="U4631" i="2"/>
  <c r="S4631" i="2"/>
  <c r="T4631" i="2" s="1"/>
  <c r="U4630" i="2"/>
  <c r="S4630" i="2"/>
  <c r="T4630" i="2" s="1"/>
  <c r="U4629" i="2"/>
  <c r="S4629" i="2"/>
  <c r="T4629" i="2" s="1"/>
  <c r="U4628" i="2"/>
  <c r="S4628" i="2"/>
  <c r="T4628" i="2" s="1"/>
  <c r="U4627" i="2"/>
  <c r="S4627" i="2"/>
  <c r="T4627" i="2" s="1"/>
  <c r="U4626" i="2"/>
  <c r="S4626" i="2"/>
  <c r="T4626" i="2" s="1"/>
  <c r="U4625" i="2"/>
  <c r="S4625" i="2"/>
  <c r="T4625" i="2" s="1"/>
  <c r="U4624" i="2"/>
  <c r="S4624" i="2"/>
  <c r="T4624" i="2" s="1"/>
  <c r="U4623" i="2"/>
  <c r="S4623" i="2"/>
  <c r="T4623" i="2" s="1"/>
  <c r="U4622" i="2"/>
  <c r="S4622" i="2"/>
  <c r="T4622" i="2" s="1"/>
  <c r="U4621" i="2"/>
  <c r="S4621" i="2"/>
  <c r="T4621" i="2" s="1"/>
  <c r="U4620" i="2"/>
  <c r="S4620" i="2"/>
  <c r="T4620" i="2" s="1"/>
  <c r="U4619" i="2"/>
  <c r="S4619" i="2"/>
  <c r="T4619" i="2" s="1"/>
  <c r="U4618" i="2"/>
  <c r="S4618" i="2"/>
  <c r="T4618" i="2" s="1"/>
  <c r="U4617" i="2"/>
  <c r="S4617" i="2"/>
  <c r="T4617" i="2" s="1"/>
  <c r="U4616" i="2"/>
  <c r="S4616" i="2"/>
  <c r="T4616" i="2" s="1"/>
  <c r="U4615" i="2"/>
  <c r="S4615" i="2"/>
  <c r="T4615" i="2" s="1"/>
  <c r="U4614" i="2"/>
  <c r="S4614" i="2"/>
  <c r="T4614" i="2" s="1"/>
  <c r="U4613" i="2"/>
  <c r="S4613" i="2"/>
  <c r="T4613" i="2" s="1"/>
  <c r="U4612" i="2"/>
  <c r="S4612" i="2"/>
  <c r="T4612" i="2" s="1"/>
  <c r="U4611" i="2"/>
  <c r="S4611" i="2"/>
  <c r="T4611" i="2" s="1"/>
  <c r="U4610" i="2"/>
  <c r="T4610" i="2"/>
  <c r="S4610" i="2"/>
  <c r="U4609" i="2"/>
  <c r="S4609" i="2"/>
  <c r="T4609" i="2" s="1"/>
  <c r="U4608" i="2"/>
  <c r="S4608" i="2"/>
  <c r="T4608" i="2" s="1"/>
  <c r="U4607" i="2"/>
  <c r="S4607" i="2"/>
  <c r="T4607" i="2" s="1"/>
  <c r="U4606" i="2"/>
  <c r="S4606" i="2"/>
  <c r="T4606" i="2" s="1"/>
  <c r="U4605" i="2"/>
  <c r="T4605" i="2"/>
  <c r="S4605" i="2"/>
  <c r="U4604" i="2"/>
  <c r="T4604" i="2"/>
  <c r="S4604" i="2"/>
  <c r="U4603" i="2"/>
  <c r="S4603" i="2"/>
  <c r="T4603" i="2" s="1"/>
  <c r="U4602" i="2"/>
  <c r="S4602" i="2"/>
  <c r="T4602" i="2" s="1"/>
  <c r="U4601" i="2"/>
  <c r="S4601" i="2"/>
  <c r="T4601" i="2" s="1"/>
  <c r="U4600" i="2"/>
  <c r="T4600" i="2"/>
  <c r="S4600" i="2"/>
  <c r="U4599" i="2"/>
  <c r="S4599" i="2"/>
  <c r="T4599" i="2" s="1"/>
  <c r="U4598" i="2"/>
  <c r="S4598" i="2"/>
  <c r="T4598" i="2" s="1"/>
  <c r="U4597" i="2"/>
  <c r="S4597" i="2"/>
  <c r="T4597" i="2" s="1"/>
  <c r="U4596" i="2"/>
  <c r="S4596" i="2"/>
  <c r="T4596" i="2" s="1"/>
  <c r="U4595" i="2"/>
  <c r="S4595" i="2"/>
  <c r="T4595" i="2" s="1"/>
  <c r="U4594" i="2"/>
  <c r="S4594" i="2"/>
  <c r="T4594" i="2" s="1"/>
  <c r="U4593" i="2"/>
  <c r="S4593" i="2"/>
  <c r="T4593" i="2" s="1"/>
  <c r="U4592" i="2"/>
  <c r="S4592" i="2"/>
  <c r="T4592" i="2" s="1"/>
  <c r="U4591" i="2"/>
  <c r="S4591" i="2"/>
  <c r="T4591" i="2" s="1"/>
  <c r="U4590" i="2"/>
  <c r="S4590" i="2"/>
  <c r="T4590" i="2" s="1"/>
  <c r="U4589" i="2"/>
  <c r="S4589" i="2"/>
  <c r="T4589" i="2" s="1"/>
  <c r="U4588" i="2"/>
  <c r="S4588" i="2"/>
  <c r="T4588" i="2" s="1"/>
  <c r="U4587" i="2"/>
  <c r="S4587" i="2"/>
  <c r="T4587" i="2" s="1"/>
  <c r="U4586" i="2"/>
  <c r="S4586" i="2"/>
  <c r="T4586" i="2" s="1"/>
  <c r="U4585" i="2"/>
  <c r="S4585" i="2"/>
  <c r="T4585" i="2" s="1"/>
  <c r="U4584" i="2"/>
  <c r="S4584" i="2"/>
  <c r="T4584" i="2" s="1"/>
  <c r="U4583" i="2"/>
  <c r="S4583" i="2"/>
  <c r="T4583" i="2" s="1"/>
  <c r="U4582" i="2"/>
  <c r="S4582" i="2"/>
  <c r="T4582" i="2" s="1"/>
  <c r="U4581" i="2"/>
  <c r="S4581" i="2"/>
  <c r="T4581" i="2" s="1"/>
  <c r="U4580" i="2"/>
  <c r="S4580" i="2"/>
  <c r="T4580" i="2" s="1"/>
  <c r="U4579" i="2"/>
  <c r="S4579" i="2"/>
  <c r="T4579" i="2" s="1"/>
  <c r="U4578" i="2"/>
  <c r="S4578" i="2"/>
  <c r="T4578" i="2" s="1"/>
  <c r="U4577" i="2"/>
  <c r="T4577" i="2"/>
  <c r="S4577" i="2"/>
  <c r="U4576" i="2"/>
  <c r="T4576" i="2"/>
  <c r="S4576" i="2"/>
  <c r="U4575" i="2"/>
  <c r="S4575" i="2"/>
  <c r="T4575" i="2" s="1"/>
  <c r="U4574" i="2"/>
  <c r="S4574" i="2"/>
  <c r="T4574" i="2" s="1"/>
  <c r="U4573" i="2"/>
  <c r="S4573" i="2"/>
  <c r="T4573" i="2" s="1"/>
  <c r="U4572" i="2"/>
  <c r="S4572" i="2"/>
  <c r="T4572" i="2" s="1"/>
  <c r="U4571" i="2"/>
  <c r="S4571" i="2"/>
  <c r="T4571" i="2" s="1"/>
  <c r="U4570" i="2"/>
  <c r="S4570" i="2"/>
  <c r="T4570" i="2" s="1"/>
  <c r="U4569" i="2"/>
  <c r="S4569" i="2"/>
  <c r="T4569" i="2" s="1"/>
  <c r="U4568" i="2"/>
  <c r="S4568" i="2"/>
  <c r="T4568" i="2" s="1"/>
  <c r="U4567" i="2"/>
  <c r="S4567" i="2"/>
  <c r="T4567" i="2" s="1"/>
  <c r="U4566" i="2"/>
  <c r="S4566" i="2"/>
  <c r="T4566" i="2" s="1"/>
  <c r="U4565" i="2"/>
  <c r="S4565" i="2"/>
  <c r="T4565" i="2" s="1"/>
  <c r="U4564" i="2"/>
  <c r="S4564" i="2"/>
  <c r="T4564" i="2" s="1"/>
  <c r="U4563" i="2"/>
  <c r="S4563" i="2"/>
  <c r="T4563" i="2" s="1"/>
  <c r="U4562" i="2"/>
  <c r="S4562" i="2"/>
  <c r="T4562" i="2" s="1"/>
  <c r="U4561" i="2"/>
  <c r="S4561" i="2"/>
  <c r="T4561" i="2" s="1"/>
  <c r="U4560" i="2"/>
  <c r="S4560" i="2"/>
  <c r="T4560" i="2" s="1"/>
  <c r="U4559" i="2"/>
  <c r="S4559" i="2"/>
  <c r="T4559" i="2" s="1"/>
  <c r="U4558" i="2"/>
  <c r="S4558" i="2"/>
  <c r="T4558" i="2" s="1"/>
  <c r="U4557" i="2"/>
  <c r="S4557" i="2"/>
  <c r="T4557" i="2" s="1"/>
  <c r="U4556" i="2"/>
  <c r="T4556" i="2"/>
  <c r="S4556" i="2"/>
  <c r="U4555" i="2"/>
  <c r="S4555" i="2"/>
  <c r="T4555" i="2" s="1"/>
  <c r="U4554" i="2"/>
  <c r="S4554" i="2"/>
  <c r="T4554" i="2" s="1"/>
  <c r="U4553" i="2"/>
  <c r="S4553" i="2"/>
  <c r="T4553" i="2" s="1"/>
  <c r="U4552" i="2"/>
  <c r="S4552" i="2"/>
  <c r="T4552" i="2" s="1"/>
  <c r="U4551" i="2"/>
  <c r="S4551" i="2"/>
  <c r="T4551" i="2" s="1"/>
  <c r="U4550" i="2"/>
  <c r="S4550" i="2"/>
  <c r="T4550" i="2" s="1"/>
  <c r="U4549" i="2"/>
  <c r="S4549" i="2"/>
  <c r="T4549" i="2" s="1"/>
  <c r="U4548" i="2"/>
  <c r="T4548" i="2"/>
  <c r="S4548" i="2"/>
  <c r="U4547" i="2"/>
  <c r="T4547" i="2"/>
  <c r="S4547" i="2"/>
  <c r="U4546" i="2"/>
  <c r="S4546" i="2"/>
  <c r="T4546" i="2" s="1"/>
  <c r="U4545" i="2"/>
  <c r="S4545" i="2"/>
  <c r="T4545" i="2" s="1"/>
  <c r="U4544" i="2"/>
  <c r="S4544" i="2"/>
  <c r="T4544" i="2" s="1"/>
  <c r="U4543" i="2"/>
  <c r="S4543" i="2"/>
  <c r="T4543" i="2" s="1"/>
  <c r="U4542" i="2"/>
  <c r="S4542" i="2"/>
  <c r="T4542" i="2" s="1"/>
  <c r="U4541" i="2"/>
  <c r="S4541" i="2"/>
  <c r="T4541" i="2" s="1"/>
  <c r="U4540" i="2"/>
  <c r="S4540" i="2"/>
  <c r="T4540" i="2" s="1"/>
  <c r="U4539" i="2"/>
  <c r="S4539" i="2"/>
  <c r="T4539" i="2" s="1"/>
  <c r="U4538" i="2"/>
  <c r="S4538" i="2"/>
  <c r="T4538" i="2" s="1"/>
  <c r="U4537" i="2"/>
  <c r="S4537" i="2"/>
  <c r="T4537" i="2" s="1"/>
  <c r="U4536" i="2"/>
  <c r="S4536" i="2"/>
  <c r="T4536" i="2" s="1"/>
  <c r="U4535" i="2"/>
  <c r="S4535" i="2"/>
  <c r="T4535" i="2" s="1"/>
  <c r="U4534" i="2"/>
  <c r="S4534" i="2"/>
  <c r="T4534" i="2" s="1"/>
  <c r="U4533" i="2"/>
  <c r="S4533" i="2"/>
  <c r="T4533" i="2" s="1"/>
  <c r="U4532" i="2"/>
  <c r="S4532" i="2"/>
  <c r="T4532" i="2" s="1"/>
  <c r="U4531" i="2"/>
  <c r="S4531" i="2"/>
  <c r="T4531" i="2" s="1"/>
  <c r="U4530" i="2"/>
  <c r="S4530" i="2"/>
  <c r="T4530" i="2" s="1"/>
  <c r="U4529" i="2"/>
  <c r="S4529" i="2"/>
  <c r="T4529" i="2" s="1"/>
  <c r="U4528" i="2"/>
  <c r="S4528" i="2"/>
  <c r="T4528" i="2" s="1"/>
  <c r="U4527" i="2"/>
  <c r="S4527" i="2"/>
  <c r="T4527" i="2" s="1"/>
  <c r="U4526" i="2"/>
  <c r="S4526" i="2"/>
  <c r="T4526" i="2" s="1"/>
  <c r="U4525" i="2"/>
  <c r="S4525" i="2"/>
  <c r="T4525" i="2" s="1"/>
  <c r="U4524" i="2"/>
  <c r="S4524" i="2"/>
  <c r="T4524" i="2" s="1"/>
  <c r="U4523" i="2"/>
  <c r="S4523" i="2"/>
  <c r="T4523" i="2" s="1"/>
  <c r="U4522" i="2"/>
  <c r="S4522" i="2"/>
  <c r="T4522" i="2" s="1"/>
  <c r="U4521" i="2"/>
  <c r="S4521" i="2"/>
  <c r="T4521" i="2" s="1"/>
  <c r="U4520" i="2"/>
  <c r="S4520" i="2"/>
  <c r="T4520" i="2" s="1"/>
  <c r="U4519" i="2"/>
  <c r="S4519" i="2"/>
  <c r="T4519" i="2" s="1"/>
  <c r="U4518" i="2"/>
  <c r="S4518" i="2"/>
  <c r="T4518" i="2" s="1"/>
  <c r="U4517" i="2"/>
  <c r="S4517" i="2"/>
  <c r="T4517" i="2" s="1"/>
  <c r="U4516" i="2"/>
  <c r="S4516" i="2"/>
  <c r="T4516" i="2" s="1"/>
  <c r="U4515" i="2"/>
  <c r="S4515" i="2"/>
  <c r="T4515" i="2" s="1"/>
  <c r="U4514" i="2"/>
  <c r="S4514" i="2"/>
  <c r="T4514" i="2" s="1"/>
  <c r="U4513" i="2"/>
  <c r="S4513" i="2"/>
  <c r="T4513" i="2" s="1"/>
  <c r="U4512" i="2"/>
  <c r="S4512" i="2"/>
  <c r="T4512" i="2" s="1"/>
  <c r="U4511" i="2"/>
  <c r="S4511" i="2"/>
  <c r="T4511" i="2" s="1"/>
  <c r="U4510" i="2"/>
  <c r="S4510" i="2"/>
  <c r="T4510" i="2" s="1"/>
  <c r="U4509" i="2"/>
  <c r="S4509" i="2"/>
  <c r="T4509" i="2" s="1"/>
  <c r="U4508" i="2"/>
  <c r="S4508" i="2"/>
  <c r="T4508" i="2" s="1"/>
  <c r="U4507" i="2"/>
  <c r="S4507" i="2"/>
  <c r="T4507" i="2" s="1"/>
  <c r="U4506" i="2"/>
  <c r="S4506" i="2"/>
  <c r="T4506" i="2" s="1"/>
  <c r="U4505" i="2"/>
  <c r="S4505" i="2"/>
  <c r="T4505" i="2" s="1"/>
  <c r="U4504" i="2"/>
  <c r="S4504" i="2"/>
  <c r="T4504" i="2" s="1"/>
  <c r="U4503" i="2"/>
  <c r="S4503" i="2"/>
  <c r="T4503" i="2" s="1"/>
  <c r="U4502" i="2"/>
  <c r="S4502" i="2"/>
  <c r="T4502" i="2" s="1"/>
  <c r="U4501" i="2"/>
  <c r="S4501" i="2"/>
  <c r="T4501" i="2" s="1"/>
  <c r="U4500" i="2"/>
  <c r="S4500" i="2"/>
  <c r="T4500" i="2" s="1"/>
  <c r="U4499" i="2"/>
  <c r="S4499" i="2"/>
  <c r="T4499" i="2" s="1"/>
  <c r="U4498" i="2"/>
  <c r="S4498" i="2"/>
  <c r="T4498" i="2" s="1"/>
  <c r="U4497" i="2"/>
  <c r="S4497" i="2"/>
  <c r="T4497" i="2" s="1"/>
  <c r="U4496" i="2"/>
  <c r="S4496" i="2"/>
  <c r="T4496" i="2" s="1"/>
  <c r="U4495" i="2"/>
  <c r="S4495" i="2"/>
  <c r="T4495" i="2" s="1"/>
  <c r="U4494" i="2"/>
  <c r="S4494" i="2"/>
  <c r="T4494" i="2" s="1"/>
  <c r="U4493" i="2"/>
  <c r="T4493" i="2"/>
  <c r="S4493" i="2"/>
  <c r="U4492" i="2"/>
  <c r="S4492" i="2"/>
  <c r="T4492" i="2" s="1"/>
  <c r="U4491" i="2"/>
  <c r="S4491" i="2"/>
  <c r="T4491" i="2" s="1"/>
  <c r="U4490" i="2"/>
  <c r="S4490" i="2"/>
  <c r="T4490" i="2" s="1"/>
  <c r="U4489" i="2"/>
  <c r="S4489" i="2"/>
  <c r="T4489" i="2" s="1"/>
  <c r="U4488" i="2"/>
  <c r="S4488" i="2"/>
  <c r="T4488" i="2" s="1"/>
  <c r="U4487" i="2"/>
  <c r="S4487" i="2"/>
  <c r="T4487" i="2" s="1"/>
  <c r="U4486" i="2"/>
  <c r="S4486" i="2"/>
  <c r="T4486" i="2" s="1"/>
  <c r="U4485" i="2"/>
  <c r="S4485" i="2"/>
  <c r="T4485" i="2" s="1"/>
  <c r="U4484" i="2"/>
  <c r="S4484" i="2"/>
  <c r="T4484" i="2" s="1"/>
  <c r="U4483" i="2"/>
  <c r="S4483" i="2"/>
  <c r="T4483" i="2" s="1"/>
  <c r="U4482" i="2"/>
  <c r="T4482" i="2"/>
  <c r="S4482" i="2"/>
  <c r="U4481" i="2"/>
  <c r="S4481" i="2"/>
  <c r="T4481" i="2" s="1"/>
  <c r="U4480" i="2"/>
  <c r="S4480" i="2"/>
  <c r="T4480" i="2" s="1"/>
  <c r="U4479" i="2"/>
  <c r="S4479" i="2"/>
  <c r="T4479" i="2" s="1"/>
  <c r="U4478" i="2"/>
  <c r="S4478" i="2"/>
  <c r="T4478" i="2" s="1"/>
  <c r="U4477" i="2"/>
  <c r="S4477" i="2"/>
  <c r="T4477" i="2" s="1"/>
  <c r="U4476" i="2"/>
  <c r="S4476" i="2"/>
  <c r="T4476" i="2" s="1"/>
  <c r="U4475" i="2"/>
  <c r="S4475" i="2"/>
  <c r="T4475" i="2" s="1"/>
  <c r="U4474" i="2"/>
  <c r="S4474" i="2"/>
  <c r="T4474" i="2" s="1"/>
  <c r="U4473" i="2"/>
  <c r="S4473" i="2"/>
  <c r="T4473" i="2" s="1"/>
  <c r="U4472" i="2"/>
  <c r="S4472" i="2"/>
  <c r="T4472" i="2" s="1"/>
  <c r="U4471" i="2"/>
  <c r="S4471" i="2"/>
  <c r="T4471" i="2" s="1"/>
  <c r="U4470" i="2"/>
  <c r="T4470" i="2"/>
  <c r="S4470" i="2"/>
  <c r="U4469" i="2"/>
  <c r="S4469" i="2"/>
  <c r="T4469" i="2" s="1"/>
  <c r="U4468" i="2"/>
  <c r="S4468" i="2"/>
  <c r="T4468" i="2" s="1"/>
  <c r="U4467" i="2"/>
  <c r="S4467" i="2"/>
  <c r="T4467" i="2" s="1"/>
  <c r="U4466" i="2"/>
  <c r="S4466" i="2"/>
  <c r="T4466" i="2" s="1"/>
  <c r="U4465" i="2"/>
  <c r="S4465" i="2"/>
  <c r="T4465" i="2" s="1"/>
  <c r="U4464" i="2"/>
  <c r="S4464" i="2"/>
  <c r="T4464" i="2" s="1"/>
  <c r="U4463" i="2"/>
  <c r="S4463" i="2"/>
  <c r="T4463" i="2" s="1"/>
  <c r="U4462" i="2"/>
  <c r="S4462" i="2"/>
  <c r="T4462" i="2" s="1"/>
  <c r="U4461" i="2"/>
  <c r="S4461" i="2"/>
  <c r="T4461" i="2" s="1"/>
  <c r="U4460" i="2"/>
  <c r="S4460" i="2"/>
  <c r="T4460" i="2" s="1"/>
  <c r="U4459" i="2"/>
  <c r="S4459" i="2"/>
  <c r="T4459" i="2" s="1"/>
  <c r="U4458" i="2"/>
  <c r="S4458" i="2"/>
  <c r="T4458" i="2" s="1"/>
  <c r="U4457" i="2"/>
  <c r="S4457" i="2"/>
  <c r="T4457" i="2" s="1"/>
  <c r="U4456" i="2"/>
  <c r="S4456" i="2"/>
  <c r="T4456" i="2" s="1"/>
  <c r="U4455" i="2"/>
  <c r="S4455" i="2"/>
  <c r="T4455" i="2" s="1"/>
  <c r="U4454" i="2"/>
  <c r="S4454" i="2"/>
  <c r="T4454" i="2" s="1"/>
  <c r="U4453" i="2"/>
  <c r="S4453" i="2"/>
  <c r="T4453" i="2" s="1"/>
  <c r="U4452" i="2"/>
  <c r="S4452" i="2"/>
  <c r="T4452" i="2" s="1"/>
  <c r="U4451" i="2"/>
  <c r="S4451" i="2"/>
  <c r="T4451" i="2" s="1"/>
  <c r="U4450" i="2"/>
  <c r="S4450" i="2"/>
  <c r="T4450" i="2" s="1"/>
  <c r="U4449" i="2"/>
  <c r="S4449" i="2"/>
  <c r="T4449" i="2" s="1"/>
  <c r="U4448" i="2"/>
  <c r="S4448" i="2"/>
  <c r="T4448" i="2" s="1"/>
  <c r="U4447" i="2"/>
  <c r="S4447" i="2"/>
  <c r="T4447" i="2" s="1"/>
  <c r="U4446" i="2"/>
  <c r="S4446" i="2"/>
  <c r="T4446" i="2" s="1"/>
  <c r="U4445" i="2"/>
  <c r="S4445" i="2"/>
  <c r="T4445" i="2" s="1"/>
  <c r="U4444" i="2"/>
  <c r="S4444" i="2"/>
  <c r="T4444" i="2" s="1"/>
  <c r="U4443" i="2"/>
  <c r="S4443" i="2"/>
  <c r="T4443" i="2" s="1"/>
  <c r="U4442" i="2"/>
  <c r="S4442" i="2"/>
  <c r="T4442" i="2" s="1"/>
  <c r="U4441" i="2"/>
  <c r="S4441" i="2"/>
  <c r="T4441" i="2" s="1"/>
  <c r="U4440" i="2"/>
  <c r="S4440" i="2"/>
  <c r="T4440" i="2" s="1"/>
  <c r="U4439" i="2"/>
  <c r="S4439" i="2"/>
  <c r="T4439" i="2" s="1"/>
  <c r="U4438" i="2"/>
  <c r="S4438" i="2"/>
  <c r="T4438" i="2" s="1"/>
  <c r="U4437" i="2"/>
  <c r="S4437" i="2"/>
  <c r="T4437" i="2" s="1"/>
  <c r="U4436" i="2"/>
  <c r="S4436" i="2"/>
  <c r="T4436" i="2" s="1"/>
  <c r="U4435" i="2"/>
  <c r="S4435" i="2"/>
  <c r="T4435" i="2" s="1"/>
  <c r="U4434" i="2"/>
  <c r="S4434" i="2"/>
  <c r="T4434" i="2" s="1"/>
  <c r="U4433" i="2"/>
  <c r="S4433" i="2"/>
  <c r="T4433" i="2" s="1"/>
  <c r="U4432" i="2"/>
  <c r="T4432" i="2"/>
  <c r="S4432" i="2"/>
  <c r="U4431" i="2"/>
  <c r="S4431" i="2"/>
  <c r="T4431" i="2" s="1"/>
  <c r="U4430" i="2"/>
  <c r="T4430" i="2"/>
  <c r="S4430" i="2"/>
  <c r="U4429" i="2"/>
  <c r="S4429" i="2"/>
  <c r="T4429" i="2" s="1"/>
  <c r="U4428" i="2"/>
  <c r="S4428" i="2"/>
  <c r="T4428" i="2" s="1"/>
  <c r="U4427" i="2"/>
  <c r="S4427" i="2"/>
  <c r="T4427" i="2" s="1"/>
  <c r="U4426" i="2"/>
  <c r="S4426" i="2"/>
  <c r="T4426" i="2" s="1"/>
  <c r="U4425" i="2"/>
  <c r="S4425" i="2"/>
  <c r="T4425" i="2" s="1"/>
  <c r="U4424" i="2"/>
  <c r="S4424" i="2"/>
  <c r="T4424" i="2" s="1"/>
  <c r="U4423" i="2"/>
  <c r="S4423" i="2"/>
  <c r="T4423" i="2" s="1"/>
  <c r="U4422" i="2"/>
  <c r="S4422" i="2"/>
  <c r="T4422" i="2" s="1"/>
  <c r="U4421" i="2"/>
  <c r="S4421" i="2"/>
  <c r="T4421" i="2" s="1"/>
  <c r="U4420" i="2"/>
  <c r="S4420" i="2"/>
  <c r="T4420" i="2" s="1"/>
  <c r="U4419" i="2"/>
  <c r="S4419" i="2"/>
  <c r="T4419" i="2" s="1"/>
  <c r="U4418" i="2"/>
  <c r="S4418" i="2"/>
  <c r="T4418" i="2" s="1"/>
  <c r="U4417" i="2"/>
  <c r="S4417" i="2"/>
  <c r="T4417" i="2" s="1"/>
  <c r="U4416" i="2"/>
  <c r="S4416" i="2"/>
  <c r="T4416" i="2" s="1"/>
  <c r="U4415" i="2"/>
  <c r="S4415" i="2"/>
  <c r="T4415" i="2" s="1"/>
  <c r="U4414" i="2"/>
  <c r="S4414" i="2"/>
  <c r="T4414" i="2" s="1"/>
  <c r="U4413" i="2"/>
  <c r="S4413" i="2"/>
  <c r="T4413" i="2" s="1"/>
  <c r="U4412" i="2"/>
  <c r="S4412" i="2"/>
  <c r="T4412" i="2" s="1"/>
  <c r="U4411" i="2"/>
  <c r="S4411" i="2"/>
  <c r="T4411" i="2" s="1"/>
  <c r="U4410" i="2"/>
  <c r="S4410" i="2"/>
  <c r="T4410" i="2" s="1"/>
  <c r="U4409" i="2"/>
  <c r="S4409" i="2"/>
  <c r="T4409" i="2" s="1"/>
  <c r="U4408" i="2"/>
  <c r="S4408" i="2"/>
  <c r="T4408" i="2" s="1"/>
  <c r="U4407" i="2"/>
  <c r="S4407" i="2"/>
  <c r="T4407" i="2" s="1"/>
  <c r="U4406" i="2"/>
  <c r="S4406" i="2"/>
  <c r="T4406" i="2" s="1"/>
  <c r="U4405" i="2"/>
  <c r="S4405" i="2"/>
  <c r="T4405" i="2" s="1"/>
  <c r="U4404" i="2"/>
  <c r="S4404" i="2"/>
  <c r="T4404" i="2" s="1"/>
  <c r="U4403" i="2"/>
  <c r="S4403" i="2"/>
  <c r="T4403" i="2" s="1"/>
  <c r="U4402" i="2"/>
  <c r="T4402" i="2"/>
  <c r="S4402" i="2"/>
  <c r="U4401" i="2"/>
  <c r="S4401" i="2"/>
  <c r="T4401" i="2" s="1"/>
  <c r="U4400" i="2"/>
  <c r="S4400" i="2"/>
  <c r="T4400" i="2" s="1"/>
  <c r="U4399" i="2"/>
  <c r="S4399" i="2"/>
  <c r="T4399" i="2" s="1"/>
  <c r="U4398" i="2"/>
  <c r="T4398" i="2"/>
  <c r="S4398" i="2"/>
  <c r="U4397" i="2"/>
  <c r="S4397" i="2"/>
  <c r="T4397" i="2" s="1"/>
  <c r="U4396" i="2"/>
  <c r="S4396" i="2"/>
  <c r="T4396" i="2" s="1"/>
  <c r="U4395" i="2"/>
  <c r="S4395" i="2"/>
  <c r="T4395" i="2" s="1"/>
  <c r="U4394" i="2"/>
  <c r="S4394" i="2"/>
  <c r="T4394" i="2" s="1"/>
  <c r="U4393" i="2"/>
  <c r="S4393" i="2"/>
  <c r="T4393" i="2" s="1"/>
  <c r="U4392" i="2"/>
  <c r="S4392" i="2"/>
  <c r="T4392" i="2" s="1"/>
  <c r="U4391" i="2"/>
  <c r="S4391" i="2"/>
  <c r="T4391" i="2" s="1"/>
  <c r="U4390" i="2"/>
  <c r="S4390" i="2"/>
  <c r="T4390" i="2" s="1"/>
  <c r="U4389" i="2"/>
  <c r="S4389" i="2"/>
  <c r="T4389" i="2" s="1"/>
  <c r="U4388" i="2"/>
  <c r="S4388" i="2"/>
  <c r="T4388" i="2" s="1"/>
  <c r="U4387" i="2"/>
  <c r="S4387" i="2"/>
  <c r="T4387" i="2" s="1"/>
  <c r="U4386" i="2"/>
  <c r="S4386" i="2"/>
  <c r="T4386" i="2" s="1"/>
  <c r="U4385" i="2"/>
  <c r="S4385" i="2"/>
  <c r="T4385" i="2" s="1"/>
  <c r="U4384" i="2"/>
  <c r="S4384" i="2"/>
  <c r="T4384" i="2" s="1"/>
  <c r="U4383" i="2"/>
  <c r="S4383" i="2"/>
  <c r="T4383" i="2" s="1"/>
  <c r="U4382" i="2"/>
  <c r="S4382" i="2"/>
  <c r="T4382" i="2" s="1"/>
  <c r="U4381" i="2"/>
  <c r="S4381" i="2"/>
  <c r="T4381" i="2" s="1"/>
  <c r="U4380" i="2"/>
  <c r="S4380" i="2"/>
  <c r="T4380" i="2" s="1"/>
  <c r="U4379" i="2"/>
  <c r="S4379" i="2"/>
  <c r="T4379" i="2" s="1"/>
  <c r="U4378" i="2"/>
  <c r="S4378" i="2"/>
  <c r="T4378" i="2" s="1"/>
  <c r="U4377" i="2"/>
  <c r="S4377" i="2"/>
  <c r="T4377" i="2" s="1"/>
  <c r="U4376" i="2"/>
  <c r="S4376" i="2"/>
  <c r="T4376" i="2" s="1"/>
  <c r="U4375" i="2"/>
  <c r="S4375" i="2"/>
  <c r="T4375" i="2" s="1"/>
  <c r="U4374" i="2"/>
  <c r="S4374" i="2"/>
  <c r="T4374" i="2" s="1"/>
  <c r="U4373" i="2"/>
  <c r="S4373" i="2"/>
  <c r="T4373" i="2" s="1"/>
  <c r="U4372" i="2"/>
  <c r="S4372" i="2"/>
  <c r="T4372" i="2" s="1"/>
  <c r="U4371" i="2"/>
  <c r="S4371" i="2"/>
  <c r="T4371" i="2" s="1"/>
  <c r="U4370" i="2"/>
  <c r="S4370" i="2"/>
  <c r="T4370" i="2" s="1"/>
  <c r="U4369" i="2"/>
  <c r="S4369" i="2"/>
  <c r="T4369" i="2" s="1"/>
  <c r="U4368" i="2"/>
  <c r="S4368" i="2"/>
  <c r="T4368" i="2" s="1"/>
  <c r="U4367" i="2"/>
  <c r="S4367" i="2"/>
  <c r="T4367" i="2" s="1"/>
  <c r="U4366" i="2"/>
  <c r="S4366" i="2"/>
  <c r="T4366" i="2" s="1"/>
  <c r="U4365" i="2"/>
  <c r="S4365" i="2"/>
  <c r="T4365" i="2" s="1"/>
  <c r="U4364" i="2"/>
  <c r="S4364" i="2"/>
  <c r="T4364" i="2" s="1"/>
  <c r="U4363" i="2"/>
  <c r="S4363" i="2"/>
  <c r="T4363" i="2" s="1"/>
  <c r="U4362" i="2"/>
  <c r="S4362" i="2"/>
  <c r="T4362" i="2" s="1"/>
  <c r="U4361" i="2"/>
  <c r="S4361" i="2"/>
  <c r="T4361" i="2" s="1"/>
  <c r="U4360" i="2"/>
  <c r="S4360" i="2"/>
  <c r="T4360" i="2" s="1"/>
  <c r="U4359" i="2"/>
  <c r="S4359" i="2"/>
  <c r="T4359" i="2" s="1"/>
  <c r="U4358" i="2"/>
  <c r="S4358" i="2"/>
  <c r="T4358" i="2" s="1"/>
  <c r="U4357" i="2"/>
  <c r="S4357" i="2"/>
  <c r="T4357" i="2" s="1"/>
  <c r="U4356" i="2"/>
  <c r="S4356" i="2"/>
  <c r="T4356" i="2" s="1"/>
  <c r="U4355" i="2"/>
  <c r="S4355" i="2"/>
  <c r="T4355" i="2" s="1"/>
  <c r="U4354" i="2"/>
  <c r="S4354" i="2"/>
  <c r="T4354" i="2" s="1"/>
  <c r="U4353" i="2"/>
  <c r="S4353" i="2"/>
  <c r="T4353" i="2" s="1"/>
  <c r="U4352" i="2"/>
  <c r="T4352" i="2"/>
  <c r="S4352" i="2"/>
  <c r="U4351" i="2"/>
  <c r="S4351" i="2"/>
  <c r="T4351" i="2" s="1"/>
  <c r="U4350" i="2"/>
  <c r="T4350" i="2"/>
  <c r="S4350" i="2"/>
  <c r="U4349" i="2"/>
  <c r="T4349" i="2"/>
  <c r="S4349" i="2"/>
  <c r="U4348" i="2"/>
  <c r="S4348" i="2"/>
  <c r="T4348" i="2" s="1"/>
  <c r="U4347" i="2"/>
  <c r="S4347" i="2"/>
  <c r="T4347" i="2" s="1"/>
  <c r="U4346" i="2"/>
  <c r="S4346" i="2"/>
  <c r="T4346" i="2" s="1"/>
  <c r="U4345" i="2"/>
  <c r="S4345" i="2"/>
  <c r="T4345" i="2" s="1"/>
  <c r="U4344" i="2"/>
  <c r="S4344" i="2"/>
  <c r="T4344" i="2" s="1"/>
  <c r="U4343" i="2"/>
  <c r="S4343" i="2"/>
  <c r="T4343" i="2" s="1"/>
  <c r="U4342" i="2"/>
  <c r="S4342" i="2"/>
  <c r="T4342" i="2" s="1"/>
  <c r="U4341" i="2"/>
  <c r="S4341" i="2"/>
  <c r="T4341" i="2" s="1"/>
  <c r="U4340" i="2"/>
  <c r="S4340" i="2"/>
  <c r="T4340" i="2" s="1"/>
  <c r="U4339" i="2"/>
  <c r="S4339" i="2"/>
  <c r="T4339" i="2" s="1"/>
  <c r="U4338" i="2"/>
  <c r="S4338" i="2"/>
  <c r="T4338" i="2" s="1"/>
  <c r="U4337" i="2"/>
  <c r="S4337" i="2"/>
  <c r="T4337" i="2" s="1"/>
  <c r="U4336" i="2"/>
  <c r="S4336" i="2"/>
  <c r="T4336" i="2" s="1"/>
  <c r="U4335" i="2"/>
  <c r="S4335" i="2"/>
  <c r="T4335" i="2" s="1"/>
  <c r="U4334" i="2"/>
  <c r="S4334" i="2"/>
  <c r="T4334" i="2" s="1"/>
  <c r="U4333" i="2"/>
  <c r="S4333" i="2"/>
  <c r="T4333" i="2" s="1"/>
  <c r="U4332" i="2"/>
  <c r="S4332" i="2"/>
  <c r="T4332" i="2" s="1"/>
  <c r="U4331" i="2"/>
  <c r="S4331" i="2"/>
  <c r="T4331" i="2" s="1"/>
  <c r="U4330" i="2"/>
  <c r="S4330" i="2"/>
  <c r="T4330" i="2" s="1"/>
  <c r="U4329" i="2"/>
  <c r="S4329" i="2"/>
  <c r="T4329" i="2" s="1"/>
  <c r="U4328" i="2"/>
  <c r="T4328" i="2"/>
  <c r="S4328" i="2"/>
  <c r="U4327" i="2"/>
  <c r="S4327" i="2"/>
  <c r="T4327" i="2" s="1"/>
  <c r="U4326" i="2"/>
  <c r="S4326" i="2"/>
  <c r="T4326" i="2" s="1"/>
  <c r="U4325" i="2"/>
  <c r="S4325" i="2"/>
  <c r="T4325" i="2" s="1"/>
  <c r="U4324" i="2"/>
  <c r="S4324" i="2"/>
  <c r="T4324" i="2" s="1"/>
  <c r="U4323" i="2"/>
  <c r="S4323" i="2"/>
  <c r="T4323" i="2" s="1"/>
  <c r="U4322" i="2"/>
  <c r="S4322" i="2"/>
  <c r="T4322" i="2" s="1"/>
  <c r="U4321" i="2"/>
  <c r="S4321" i="2"/>
  <c r="T4321" i="2" s="1"/>
  <c r="U4320" i="2"/>
  <c r="S4320" i="2"/>
  <c r="T4320" i="2" s="1"/>
  <c r="U4319" i="2"/>
  <c r="S4319" i="2"/>
  <c r="T4319" i="2" s="1"/>
  <c r="U4318" i="2"/>
  <c r="S4318" i="2"/>
  <c r="T4318" i="2" s="1"/>
  <c r="U4317" i="2"/>
  <c r="S4317" i="2"/>
  <c r="T4317" i="2" s="1"/>
  <c r="U4316" i="2"/>
  <c r="S4316" i="2"/>
  <c r="T4316" i="2" s="1"/>
  <c r="U4315" i="2"/>
  <c r="S4315" i="2"/>
  <c r="T4315" i="2" s="1"/>
  <c r="U4314" i="2"/>
  <c r="S4314" i="2"/>
  <c r="T4314" i="2" s="1"/>
  <c r="U4313" i="2"/>
  <c r="S4313" i="2"/>
  <c r="T4313" i="2" s="1"/>
  <c r="U4312" i="2"/>
  <c r="S4312" i="2"/>
  <c r="T4312" i="2" s="1"/>
  <c r="U4311" i="2"/>
  <c r="S4311" i="2"/>
  <c r="T4311" i="2" s="1"/>
  <c r="U4310" i="2"/>
  <c r="S4310" i="2"/>
  <c r="T4310" i="2" s="1"/>
  <c r="U4309" i="2"/>
  <c r="S4309" i="2"/>
  <c r="T4309" i="2" s="1"/>
  <c r="U4308" i="2"/>
  <c r="S4308" i="2"/>
  <c r="T4308" i="2" s="1"/>
  <c r="U4307" i="2"/>
  <c r="S4307" i="2"/>
  <c r="T4307" i="2" s="1"/>
  <c r="U4306" i="2"/>
  <c r="S4306" i="2"/>
  <c r="T4306" i="2" s="1"/>
  <c r="U4305" i="2"/>
  <c r="S4305" i="2"/>
  <c r="T4305" i="2" s="1"/>
  <c r="U4304" i="2"/>
  <c r="S4304" i="2"/>
  <c r="T4304" i="2" s="1"/>
  <c r="U4303" i="2"/>
  <c r="S4303" i="2"/>
  <c r="T4303" i="2" s="1"/>
  <c r="U4302" i="2"/>
  <c r="S4302" i="2"/>
  <c r="T4302" i="2" s="1"/>
  <c r="U4301" i="2"/>
  <c r="S4301" i="2"/>
  <c r="T4301" i="2" s="1"/>
  <c r="U4300" i="2"/>
  <c r="S4300" i="2"/>
  <c r="T4300" i="2" s="1"/>
  <c r="U4299" i="2"/>
  <c r="S4299" i="2"/>
  <c r="T4299" i="2" s="1"/>
  <c r="U4298" i="2"/>
  <c r="S4298" i="2"/>
  <c r="T4298" i="2" s="1"/>
  <c r="U4297" i="2"/>
  <c r="S4297" i="2"/>
  <c r="T4297" i="2" s="1"/>
  <c r="U4296" i="2"/>
  <c r="S4296" i="2"/>
  <c r="T4296" i="2" s="1"/>
  <c r="U4295" i="2"/>
  <c r="S4295" i="2"/>
  <c r="T4295" i="2" s="1"/>
  <c r="U4294" i="2"/>
  <c r="S4294" i="2"/>
  <c r="T4294" i="2" s="1"/>
  <c r="U4293" i="2"/>
  <c r="S4293" i="2"/>
  <c r="T4293" i="2" s="1"/>
  <c r="U4292" i="2"/>
  <c r="S4292" i="2"/>
  <c r="T4292" i="2" s="1"/>
  <c r="U4291" i="2"/>
  <c r="S4291" i="2"/>
  <c r="T4291" i="2" s="1"/>
  <c r="U4290" i="2"/>
  <c r="S4290" i="2"/>
  <c r="T4290" i="2" s="1"/>
  <c r="U4289" i="2"/>
  <c r="S4289" i="2"/>
  <c r="T4289" i="2" s="1"/>
  <c r="U4288" i="2"/>
  <c r="S4288" i="2"/>
  <c r="T4288" i="2" s="1"/>
  <c r="U4287" i="2"/>
  <c r="S4287" i="2"/>
  <c r="T4287" i="2" s="1"/>
  <c r="U4286" i="2"/>
  <c r="S4286" i="2"/>
  <c r="T4286" i="2" s="1"/>
  <c r="U4285" i="2"/>
  <c r="S4285" i="2"/>
  <c r="T4285" i="2" s="1"/>
  <c r="U4284" i="2"/>
  <c r="S4284" i="2"/>
  <c r="T4284" i="2" s="1"/>
  <c r="U4283" i="2"/>
  <c r="S4283" i="2"/>
  <c r="T4283" i="2" s="1"/>
  <c r="U4282" i="2"/>
  <c r="S4282" i="2"/>
  <c r="T4282" i="2" s="1"/>
  <c r="U4281" i="2"/>
  <c r="S4281" i="2"/>
  <c r="T4281" i="2" s="1"/>
  <c r="U4280" i="2"/>
  <c r="T4280" i="2"/>
  <c r="S4280" i="2"/>
  <c r="U4279" i="2"/>
  <c r="S4279" i="2"/>
  <c r="T4279" i="2" s="1"/>
  <c r="U4278" i="2"/>
  <c r="S4278" i="2"/>
  <c r="T4278" i="2" s="1"/>
  <c r="U4277" i="2"/>
  <c r="S4277" i="2"/>
  <c r="T4277" i="2" s="1"/>
  <c r="U4276" i="2"/>
  <c r="S4276" i="2"/>
  <c r="T4276" i="2" s="1"/>
  <c r="U4275" i="2"/>
  <c r="S4275" i="2"/>
  <c r="T4275" i="2" s="1"/>
  <c r="U4274" i="2"/>
  <c r="S4274" i="2"/>
  <c r="T4274" i="2" s="1"/>
  <c r="U4273" i="2"/>
  <c r="S4273" i="2"/>
  <c r="T4273" i="2" s="1"/>
  <c r="U4272" i="2"/>
  <c r="S4272" i="2"/>
  <c r="T4272" i="2" s="1"/>
  <c r="U4271" i="2"/>
  <c r="S4271" i="2"/>
  <c r="T4271" i="2" s="1"/>
  <c r="U4270" i="2"/>
  <c r="S4270" i="2"/>
  <c r="T4270" i="2" s="1"/>
  <c r="U4269" i="2"/>
  <c r="S4269" i="2"/>
  <c r="T4269" i="2" s="1"/>
  <c r="U4268" i="2"/>
  <c r="S4268" i="2"/>
  <c r="T4268" i="2" s="1"/>
  <c r="U4267" i="2"/>
  <c r="S4267" i="2"/>
  <c r="T4267" i="2" s="1"/>
  <c r="U4266" i="2"/>
  <c r="S4266" i="2"/>
  <c r="T4266" i="2" s="1"/>
  <c r="U4265" i="2"/>
  <c r="S4265" i="2"/>
  <c r="T4265" i="2" s="1"/>
  <c r="U4264" i="2"/>
  <c r="S4264" i="2"/>
  <c r="T4264" i="2" s="1"/>
  <c r="U4263" i="2"/>
  <c r="S4263" i="2"/>
  <c r="T4263" i="2" s="1"/>
  <c r="U4262" i="2"/>
  <c r="S4262" i="2"/>
  <c r="T4262" i="2" s="1"/>
  <c r="U4261" i="2"/>
  <c r="S4261" i="2"/>
  <c r="T4261" i="2" s="1"/>
  <c r="U4260" i="2"/>
  <c r="S4260" i="2"/>
  <c r="T4260" i="2" s="1"/>
  <c r="U4259" i="2"/>
  <c r="S4259" i="2"/>
  <c r="T4259" i="2" s="1"/>
  <c r="U4258" i="2"/>
  <c r="S4258" i="2"/>
  <c r="T4258" i="2" s="1"/>
  <c r="U4257" i="2"/>
  <c r="S4257" i="2"/>
  <c r="T4257" i="2" s="1"/>
  <c r="U4256" i="2"/>
  <c r="S4256" i="2"/>
  <c r="T4256" i="2" s="1"/>
  <c r="U4255" i="2"/>
  <c r="S4255" i="2"/>
  <c r="T4255" i="2" s="1"/>
  <c r="U4254" i="2"/>
  <c r="S4254" i="2"/>
  <c r="T4254" i="2" s="1"/>
  <c r="U4253" i="2"/>
  <c r="S4253" i="2"/>
  <c r="T4253" i="2" s="1"/>
  <c r="U4252" i="2"/>
  <c r="S4252" i="2"/>
  <c r="T4252" i="2" s="1"/>
  <c r="U4251" i="2"/>
  <c r="S4251" i="2"/>
  <c r="T4251" i="2" s="1"/>
  <c r="U4250" i="2"/>
  <c r="S4250" i="2"/>
  <c r="T4250" i="2" s="1"/>
  <c r="U4249" i="2"/>
  <c r="S4249" i="2"/>
  <c r="T4249" i="2" s="1"/>
  <c r="U4248" i="2"/>
  <c r="S4248" i="2"/>
  <c r="T4248" i="2" s="1"/>
  <c r="U4247" i="2"/>
  <c r="S4247" i="2"/>
  <c r="T4247" i="2" s="1"/>
  <c r="U4246" i="2"/>
  <c r="S4246" i="2"/>
  <c r="T4246" i="2" s="1"/>
  <c r="U4245" i="2"/>
  <c r="S4245" i="2"/>
  <c r="T4245" i="2" s="1"/>
  <c r="U4244" i="2"/>
  <c r="S4244" i="2"/>
  <c r="T4244" i="2" s="1"/>
  <c r="U4243" i="2"/>
  <c r="S4243" i="2"/>
  <c r="T4243" i="2" s="1"/>
  <c r="U4242" i="2"/>
  <c r="S4242" i="2"/>
  <c r="T4242" i="2" s="1"/>
  <c r="U4241" i="2"/>
  <c r="S4241" i="2"/>
  <c r="T4241" i="2" s="1"/>
  <c r="U4240" i="2"/>
  <c r="S4240" i="2"/>
  <c r="T4240" i="2" s="1"/>
  <c r="U4239" i="2"/>
  <c r="S4239" i="2"/>
  <c r="T4239" i="2" s="1"/>
  <c r="U4238" i="2"/>
  <c r="S4238" i="2"/>
  <c r="T4238" i="2" s="1"/>
  <c r="U4237" i="2"/>
  <c r="S4237" i="2"/>
  <c r="T4237" i="2" s="1"/>
  <c r="U4236" i="2"/>
  <c r="S4236" i="2"/>
  <c r="T4236" i="2" s="1"/>
  <c r="U4235" i="2"/>
  <c r="S4235" i="2"/>
  <c r="T4235" i="2" s="1"/>
  <c r="U4234" i="2"/>
  <c r="S4234" i="2"/>
  <c r="T4234" i="2" s="1"/>
  <c r="U4233" i="2"/>
  <c r="S4233" i="2"/>
  <c r="T4233" i="2" s="1"/>
  <c r="U4232" i="2"/>
  <c r="S4232" i="2"/>
  <c r="T4232" i="2" s="1"/>
  <c r="U4231" i="2"/>
  <c r="S4231" i="2"/>
  <c r="T4231" i="2" s="1"/>
  <c r="U4230" i="2"/>
  <c r="S4230" i="2"/>
  <c r="T4230" i="2" s="1"/>
  <c r="U4229" i="2"/>
  <c r="S4229" i="2"/>
  <c r="T4229" i="2" s="1"/>
  <c r="U4228" i="2"/>
  <c r="S4228" i="2"/>
  <c r="T4228" i="2" s="1"/>
  <c r="U4227" i="2"/>
  <c r="S4227" i="2"/>
  <c r="T4227" i="2" s="1"/>
  <c r="U4226" i="2"/>
  <c r="S4226" i="2"/>
  <c r="T4226" i="2" s="1"/>
  <c r="U4225" i="2"/>
  <c r="S4225" i="2"/>
  <c r="T4225" i="2" s="1"/>
  <c r="U4224" i="2"/>
  <c r="S4224" i="2"/>
  <c r="T4224" i="2" s="1"/>
  <c r="U4223" i="2"/>
  <c r="S4223" i="2"/>
  <c r="T4223" i="2" s="1"/>
  <c r="U4222" i="2"/>
  <c r="S4222" i="2"/>
  <c r="T4222" i="2" s="1"/>
  <c r="U4221" i="2"/>
  <c r="S4221" i="2"/>
  <c r="T4221" i="2" s="1"/>
  <c r="U4220" i="2"/>
  <c r="S4220" i="2"/>
  <c r="T4220" i="2" s="1"/>
  <c r="U4219" i="2"/>
  <c r="S4219" i="2"/>
  <c r="T4219" i="2" s="1"/>
  <c r="U4218" i="2"/>
  <c r="S4218" i="2"/>
  <c r="T4218" i="2" s="1"/>
  <c r="U4217" i="2"/>
  <c r="S4217" i="2"/>
  <c r="T4217" i="2" s="1"/>
  <c r="U4216" i="2"/>
  <c r="S4216" i="2"/>
  <c r="T4216" i="2" s="1"/>
  <c r="U4215" i="2"/>
  <c r="S4215" i="2"/>
  <c r="T4215" i="2" s="1"/>
  <c r="U4214" i="2"/>
  <c r="S4214" i="2"/>
  <c r="T4214" i="2" s="1"/>
  <c r="U4213" i="2"/>
  <c r="S4213" i="2"/>
  <c r="T4213" i="2" s="1"/>
  <c r="U4212" i="2"/>
  <c r="S4212" i="2"/>
  <c r="T4212" i="2" s="1"/>
  <c r="U4211" i="2"/>
  <c r="S4211" i="2"/>
  <c r="T4211" i="2" s="1"/>
  <c r="U4210" i="2"/>
  <c r="S4210" i="2"/>
  <c r="T4210" i="2" s="1"/>
  <c r="U4209" i="2"/>
  <c r="S4209" i="2"/>
  <c r="T4209" i="2" s="1"/>
  <c r="U4208" i="2"/>
  <c r="S4208" i="2"/>
  <c r="T4208" i="2" s="1"/>
  <c r="U4207" i="2"/>
  <c r="S4207" i="2"/>
  <c r="T4207" i="2" s="1"/>
  <c r="U4206" i="2"/>
  <c r="S4206" i="2"/>
  <c r="T4206" i="2" s="1"/>
  <c r="U4205" i="2"/>
  <c r="S4205" i="2"/>
  <c r="T4205" i="2" s="1"/>
  <c r="U4204" i="2"/>
  <c r="S4204" i="2"/>
  <c r="T4204" i="2" s="1"/>
  <c r="U4203" i="2"/>
  <c r="S4203" i="2"/>
  <c r="T4203" i="2" s="1"/>
  <c r="U4202" i="2"/>
  <c r="S4202" i="2"/>
  <c r="T4202" i="2" s="1"/>
  <c r="U4201" i="2"/>
  <c r="S4201" i="2"/>
  <c r="T4201" i="2" s="1"/>
  <c r="U4200" i="2"/>
  <c r="S4200" i="2"/>
  <c r="T4200" i="2" s="1"/>
  <c r="U4199" i="2"/>
  <c r="S4199" i="2"/>
  <c r="T4199" i="2" s="1"/>
  <c r="U4198" i="2"/>
  <c r="S4198" i="2"/>
  <c r="T4198" i="2" s="1"/>
  <c r="U4197" i="2"/>
  <c r="S4197" i="2"/>
  <c r="T4197" i="2" s="1"/>
  <c r="U4196" i="2"/>
  <c r="S4196" i="2"/>
  <c r="T4196" i="2" s="1"/>
  <c r="U4195" i="2"/>
  <c r="S4195" i="2"/>
  <c r="T4195" i="2" s="1"/>
  <c r="U4194" i="2"/>
  <c r="S4194" i="2"/>
  <c r="T4194" i="2" s="1"/>
  <c r="U4193" i="2"/>
  <c r="S4193" i="2"/>
  <c r="T4193" i="2" s="1"/>
  <c r="U4192" i="2"/>
  <c r="S4192" i="2"/>
  <c r="T4192" i="2" s="1"/>
  <c r="U4191" i="2"/>
  <c r="S4191" i="2"/>
  <c r="T4191" i="2" s="1"/>
  <c r="U4190" i="2"/>
  <c r="S4190" i="2"/>
  <c r="T4190" i="2" s="1"/>
  <c r="U4189" i="2"/>
  <c r="S4189" i="2"/>
  <c r="T4189" i="2" s="1"/>
  <c r="U4188" i="2"/>
  <c r="S4188" i="2"/>
  <c r="T4188" i="2" s="1"/>
  <c r="U4187" i="2"/>
  <c r="S4187" i="2"/>
  <c r="T4187" i="2" s="1"/>
  <c r="U4186" i="2"/>
  <c r="T4186" i="2"/>
  <c r="S4186" i="2"/>
  <c r="U4185" i="2"/>
  <c r="S4185" i="2"/>
  <c r="T4185" i="2" s="1"/>
  <c r="U4184" i="2"/>
  <c r="S4184" i="2"/>
  <c r="T4184" i="2" s="1"/>
  <c r="U4183" i="2"/>
  <c r="S4183" i="2"/>
  <c r="T4183" i="2" s="1"/>
  <c r="U4182" i="2"/>
  <c r="S4182" i="2"/>
  <c r="T4182" i="2" s="1"/>
  <c r="U4181" i="2"/>
  <c r="S4181" i="2"/>
  <c r="T4181" i="2" s="1"/>
  <c r="U4180" i="2"/>
  <c r="S4180" i="2"/>
  <c r="T4180" i="2" s="1"/>
  <c r="U4179" i="2"/>
  <c r="S4179" i="2"/>
  <c r="T4179" i="2" s="1"/>
  <c r="U4178" i="2"/>
  <c r="S4178" i="2"/>
  <c r="T4178" i="2" s="1"/>
  <c r="U4177" i="2"/>
  <c r="S4177" i="2"/>
  <c r="T4177" i="2" s="1"/>
  <c r="U4176" i="2"/>
  <c r="S4176" i="2"/>
  <c r="T4176" i="2" s="1"/>
  <c r="U4175" i="2"/>
  <c r="S4175" i="2"/>
  <c r="T4175" i="2" s="1"/>
  <c r="U4174" i="2"/>
  <c r="S4174" i="2"/>
  <c r="T4174" i="2" s="1"/>
  <c r="U4173" i="2"/>
  <c r="S4173" i="2"/>
  <c r="T4173" i="2" s="1"/>
  <c r="U4172" i="2"/>
  <c r="S4172" i="2"/>
  <c r="T4172" i="2" s="1"/>
  <c r="U4171" i="2"/>
  <c r="S4171" i="2"/>
  <c r="T4171" i="2" s="1"/>
  <c r="U4170" i="2"/>
  <c r="S4170" i="2"/>
  <c r="T4170" i="2" s="1"/>
  <c r="U4169" i="2"/>
  <c r="S4169" i="2"/>
  <c r="T4169" i="2" s="1"/>
  <c r="U4168" i="2"/>
  <c r="S4168" i="2"/>
  <c r="T4168" i="2" s="1"/>
  <c r="U4167" i="2"/>
  <c r="S4167" i="2"/>
  <c r="T4167" i="2" s="1"/>
  <c r="U4166" i="2"/>
  <c r="S4166" i="2"/>
  <c r="T4166" i="2" s="1"/>
  <c r="U4165" i="2"/>
  <c r="S4165" i="2"/>
  <c r="T4165" i="2" s="1"/>
  <c r="U4164" i="2"/>
  <c r="S4164" i="2"/>
  <c r="T4164" i="2" s="1"/>
  <c r="U4163" i="2"/>
  <c r="S4163" i="2"/>
  <c r="T4163" i="2" s="1"/>
  <c r="U4162" i="2"/>
  <c r="S4162" i="2"/>
  <c r="T4162" i="2" s="1"/>
  <c r="U4161" i="2"/>
  <c r="S4161" i="2"/>
  <c r="T4161" i="2" s="1"/>
  <c r="U4160" i="2"/>
  <c r="S4160" i="2"/>
  <c r="T4160" i="2" s="1"/>
  <c r="U4159" i="2"/>
  <c r="S4159" i="2"/>
  <c r="T4159" i="2" s="1"/>
  <c r="U4158" i="2"/>
  <c r="S4158" i="2"/>
  <c r="T4158" i="2" s="1"/>
  <c r="U4157" i="2"/>
  <c r="S4157" i="2"/>
  <c r="T4157" i="2" s="1"/>
  <c r="U4156" i="2"/>
  <c r="S4156" i="2"/>
  <c r="T4156" i="2" s="1"/>
  <c r="U4155" i="2"/>
  <c r="S4155" i="2"/>
  <c r="T4155" i="2" s="1"/>
  <c r="U4154" i="2"/>
  <c r="S4154" i="2"/>
  <c r="T4154" i="2" s="1"/>
  <c r="U4153" i="2"/>
  <c r="S4153" i="2"/>
  <c r="T4153" i="2" s="1"/>
  <c r="U4152" i="2"/>
  <c r="S4152" i="2"/>
  <c r="T4152" i="2" s="1"/>
  <c r="U4151" i="2"/>
  <c r="S4151" i="2"/>
  <c r="T4151" i="2" s="1"/>
  <c r="U4150" i="2"/>
  <c r="S4150" i="2"/>
  <c r="T4150" i="2" s="1"/>
  <c r="U4149" i="2"/>
  <c r="S4149" i="2"/>
  <c r="T4149" i="2" s="1"/>
  <c r="U4148" i="2"/>
  <c r="S4148" i="2"/>
  <c r="T4148" i="2" s="1"/>
  <c r="U4147" i="2"/>
  <c r="S4147" i="2"/>
  <c r="T4147" i="2" s="1"/>
  <c r="U4146" i="2"/>
  <c r="S4146" i="2"/>
  <c r="T4146" i="2" s="1"/>
  <c r="U4145" i="2"/>
  <c r="S4145" i="2"/>
  <c r="T4145" i="2" s="1"/>
  <c r="U4144" i="2"/>
  <c r="S4144" i="2"/>
  <c r="T4144" i="2" s="1"/>
  <c r="U4143" i="2"/>
  <c r="S4143" i="2"/>
  <c r="T4143" i="2" s="1"/>
  <c r="U4142" i="2"/>
  <c r="S4142" i="2"/>
  <c r="T4142" i="2" s="1"/>
  <c r="U4141" i="2"/>
  <c r="S4141" i="2"/>
  <c r="T4141" i="2" s="1"/>
  <c r="U4140" i="2"/>
  <c r="S4140" i="2"/>
  <c r="T4140" i="2" s="1"/>
  <c r="U4139" i="2"/>
  <c r="S4139" i="2"/>
  <c r="T4139" i="2" s="1"/>
  <c r="U4138" i="2"/>
  <c r="S4138" i="2"/>
  <c r="T4138" i="2" s="1"/>
  <c r="U4137" i="2"/>
  <c r="S4137" i="2"/>
  <c r="T4137" i="2" s="1"/>
  <c r="U4136" i="2"/>
  <c r="S4136" i="2"/>
  <c r="T4136" i="2" s="1"/>
  <c r="U4135" i="2"/>
  <c r="S4135" i="2"/>
  <c r="T4135" i="2" s="1"/>
  <c r="U4134" i="2"/>
  <c r="S4134" i="2"/>
  <c r="T4134" i="2" s="1"/>
  <c r="U4133" i="2"/>
  <c r="S4133" i="2"/>
  <c r="T4133" i="2" s="1"/>
  <c r="U4132" i="2"/>
  <c r="S4132" i="2"/>
  <c r="T4132" i="2" s="1"/>
  <c r="U4131" i="2"/>
  <c r="S4131" i="2"/>
  <c r="T4131" i="2" s="1"/>
  <c r="U4130" i="2"/>
  <c r="S4130" i="2"/>
  <c r="T4130" i="2" s="1"/>
  <c r="U4129" i="2"/>
  <c r="S4129" i="2"/>
  <c r="T4129" i="2" s="1"/>
  <c r="U4128" i="2"/>
  <c r="S4128" i="2"/>
  <c r="T4128" i="2" s="1"/>
  <c r="U4127" i="2"/>
  <c r="S4127" i="2"/>
  <c r="T4127" i="2" s="1"/>
  <c r="U4126" i="2"/>
  <c r="S4126" i="2"/>
  <c r="T4126" i="2" s="1"/>
  <c r="U4125" i="2"/>
  <c r="S4125" i="2"/>
  <c r="T4125" i="2" s="1"/>
  <c r="U4124" i="2"/>
  <c r="S4124" i="2"/>
  <c r="T4124" i="2" s="1"/>
  <c r="U4123" i="2"/>
  <c r="S4123" i="2"/>
  <c r="T4123" i="2" s="1"/>
  <c r="U4122" i="2"/>
  <c r="S4122" i="2"/>
  <c r="T4122" i="2" s="1"/>
  <c r="U4121" i="2"/>
  <c r="S4121" i="2"/>
  <c r="T4121" i="2" s="1"/>
  <c r="U4120" i="2"/>
  <c r="S4120" i="2"/>
  <c r="T4120" i="2" s="1"/>
  <c r="U4119" i="2"/>
  <c r="S4119" i="2"/>
  <c r="T4119" i="2" s="1"/>
  <c r="U4118" i="2"/>
  <c r="S4118" i="2"/>
  <c r="T4118" i="2" s="1"/>
  <c r="U4117" i="2"/>
  <c r="S4117" i="2"/>
  <c r="T4117" i="2" s="1"/>
  <c r="U4116" i="2"/>
  <c r="S4116" i="2"/>
  <c r="T4116" i="2" s="1"/>
  <c r="U4115" i="2"/>
  <c r="S4115" i="2"/>
  <c r="T4115" i="2" s="1"/>
  <c r="U4114" i="2"/>
  <c r="S4114" i="2"/>
  <c r="T4114" i="2" s="1"/>
  <c r="U4113" i="2"/>
  <c r="S4113" i="2"/>
  <c r="T4113" i="2" s="1"/>
  <c r="U4112" i="2"/>
  <c r="S4112" i="2"/>
  <c r="T4112" i="2" s="1"/>
  <c r="U4111" i="2"/>
  <c r="S4111" i="2"/>
  <c r="T4111" i="2" s="1"/>
  <c r="U4110" i="2"/>
  <c r="S4110" i="2"/>
  <c r="T4110" i="2" s="1"/>
  <c r="U4109" i="2"/>
  <c r="S4109" i="2"/>
  <c r="T4109" i="2" s="1"/>
  <c r="U4108" i="2"/>
  <c r="S4108" i="2"/>
  <c r="T4108" i="2" s="1"/>
  <c r="U4107" i="2"/>
  <c r="S4107" i="2"/>
  <c r="T4107" i="2" s="1"/>
  <c r="U4106" i="2"/>
  <c r="S4106" i="2"/>
  <c r="T4106" i="2" s="1"/>
  <c r="U4105" i="2"/>
  <c r="S4105" i="2"/>
  <c r="T4105" i="2" s="1"/>
  <c r="U4104" i="2"/>
  <c r="S4104" i="2"/>
  <c r="T4104" i="2" s="1"/>
  <c r="U4103" i="2"/>
  <c r="S4103" i="2"/>
  <c r="T4103" i="2" s="1"/>
  <c r="U4102" i="2"/>
  <c r="S4102" i="2"/>
  <c r="T4102" i="2" s="1"/>
  <c r="U4101" i="2"/>
  <c r="S4101" i="2"/>
  <c r="T4101" i="2" s="1"/>
  <c r="U4100" i="2"/>
  <c r="S4100" i="2"/>
  <c r="T4100" i="2" s="1"/>
  <c r="U4099" i="2"/>
  <c r="S4099" i="2"/>
  <c r="T4099" i="2" s="1"/>
  <c r="U4098" i="2"/>
  <c r="S4098" i="2"/>
  <c r="T4098" i="2" s="1"/>
  <c r="U4097" i="2"/>
  <c r="S4097" i="2"/>
  <c r="T4097" i="2" s="1"/>
  <c r="U4096" i="2"/>
  <c r="T4096" i="2"/>
  <c r="S4096" i="2"/>
  <c r="U4095" i="2"/>
  <c r="S4095" i="2"/>
  <c r="T4095" i="2" s="1"/>
  <c r="U4094" i="2"/>
  <c r="T4094" i="2"/>
  <c r="S4094" i="2"/>
  <c r="U4093" i="2"/>
  <c r="S4093" i="2"/>
  <c r="T4093" i="2" s="1"/>
  <c r="U4092" i="2"/>
  <c r="S4092" i="2"/>
  <c r="T4092" i="2" s="1"/>
  <c r="U4091" i="2"/>
  <c r="S4091" i="2"/>
  <c r="T4091" i="2" s="1"/>
  <c r="U4090" i="2"/>
  <c r="S4090" i="2"/>
  <c r="T4090" i="2" s="1"/>
  <c r="U4089" i="2"/>
  <c r="S4089" i="2"/>
  <c r="T4089" i="2" s="1"/>
  <c r="U4088" i="2"/>
  <c r="S4088" i="2"/>
  <c r="T4088" i="2" s="1"/>
  <c r="U4087" i="2"/>
  <c r="S4087" i="2"/>
  <c r="T4087" i="2" s="1"/>
  <c r="U4086" i="2"/>
  <c r="S4086" i="2"/>
  <c r="T4086" i="2" s="1"/>
  <c r="U4085" i="2"/>
  <c r="S4085" i="2"/>
  <c r="T4085" i="2" s="1"/>
  <c r="U4084" i="2"/>
  <c r="S4084" i="2"/>
  <c r="T4084" i="2" s="1"/>
  <c r="U4083" i="2"/>
  <c r="S4083" i="2"/>
  <c r="T4083" i="2" s="1"/>
  <c r="U4082" i="2"/>
  <c r="S4082" i="2"/>
  <c r="T4082" i="2" s="1"/>
  <c r="U4081" i="2"/>
  <c r="S4081" i="2"/>
  <c r="T4081" i="2" s="1"/>
  <c r="U4080" i="2"/>
  <c r="S4080" i="2"/>
  <c r="T4080" i="2" s="1"/>
  <c r="U4079" i="2"/>
  <c r="S4079" i="2"/>
  <c r="T4079" i="2" s="1"/>
  <c r="U4078" i="2"/>
  <c r="S4078" i="2"/>
  <c r="T4078" i="2" s="1"/>
  <c r="U4077" i="2"/>
  <c r="S4077" i="2"/>
  <c r="T4077" i="2" s="1"/>
  <c r="U4076" i="2"/>
  <c r="S4076" i="2"/>
  <c r="T4076" i="2" s="1"/>
  <c r="U4075" i="2"/>
  <c r="S4075" i="2"/>
  <c r="T4075" i="2" s="1"/>
  <c r="U4074" i="2"/>
  <c r="S4074" i="2"/>
  <c r="T4074" i="2" s="1"/>
  <c r="U4073" i="2"/>
  <c r="S4073" i="2"/>
  <c r="T4073" i="2" s="1"/>
  <c r="U4072" i="2"/>
  <c r="S4072" i="2"/>
  <c r="T4072" i="2" s="1"/>
  <c r="U4071" i="2"/>
  <c r="S4071" i="2"/>
  <c r="T4071" i="2" s="1"/>
  <c r="U4070" i="2"/>
  <c r="S4070" i="2"/>
  <c r="T4070" i="2" s="1"/>
  <c r="U4069" i="2"/>
  <c r="S4069" i="2"/>
  <c r="T4069" i="2" s="1"/>
  <c r="U4068" i="2"/>
  <c r="S4068" i="2"/>
  <c r="T4068" i="2" s="1"/>
  <c r="U4067" i="2"/>
  <c r="T4067" i="2"/>
  <c r="S4067" i="2"/>
  <c r="U4066" i="2"/>
  <c r="S4066" i="2"/>
  <c r="T4066" i="2" s="1"/>
  <c r="U4065" i="2"/>
  <c r="S4065" i="2"/>
  <c r="T4065" i="2" s="1"/>
  <c r="U4064" i="2"/>
  <c r="S4064" i="2"/>
  <c r="T4064" i="2" s="1"/>
  <c r="U4063" i="2"/>
  <c r="S4063" i="2"/>
  <c r="T4063" i="2" s="1"/>
  <c r="U4062" i="2"/>
  <c r="T4062" i="2"/>
  <c r="S4062" i="2"/>
  <c r="U4061" i="2"/>
  <c r="S4061" i="2"/>
  <c r="T4061" i="2" s="1"/>
  <c r="U4060" i="2"/>
  <c r="S4060" i="2"/>
  <c r="T4060" i="2" s="1"/>
  <c r="U4059" i="2"/>
  <c r="S4059" i="2"/>
  <c r="T4059" i="2" s="1"/>
  <c r="U4058" i="2"/>
  <c r="S4058" i="2"/>
  <c r="T4058" i="2" s="1"/>
  <c r="U4057" i="2"/>
  <c r="S4057" i="2"/>
  <c r="T4057" i="2" s="1"/>
  <c r="U4056" i="2"/>
  <c r="S4056" i="2"/>
  <c r="T4056" i="2" s="1"/>
  <c r="U4055" i="2"/>
  <c r="S4055" i="2"/>
  <c r="T4055" i="2" s="1"/>
  <c r="U4054" i="2"/>
  <c r="S4054" i="2"/>
  <c r="T4054" i="2" s="1"/>
  <c r="U4053" i="2"/>
  <c r="S4053" i="2"/>
  <c r="T4053" i="2" s="1"/>
  <c r="U4052" i="2"/>
  <c r="S4052" i="2"/>
  <c r="T4052" i="2" s="1"/>
  <c r="U4051" i="2"/>
  <c r="S4051" i="2"/>
  <c r="T4051" i="2" s="1"/>
  <c r="U4050" i="2"/>
  <c r="S4050" i="2"/>
  <c r="T4050" i="2" s="1"/>
  <c r="U4049" i="2"/>
  <c r="S4049" i="2"/>
  <c r="T4049" i="2" s="1"/>
  <c r="U4048" i="2"/>
  <c r="S4048" i="2"/>
  <c r="T4048" i="2" s="1"/>
  <c r="U4047" i="2"/>
  <c r="S4047" i="2"/>
  <c r="T4047" i="2" s="1"/>
  <c r="U4046" i="2"/>
  <c r="S4046" i="2"/>
  <c r="T4046" i="2" s="1"/>
  <c r="U4045" i="2"/>
  <c r="S4045" i="2"/>
  <c r="T4045" i="2" s="1"/>
  <c r="U4044" i="2"/>
  <c r="T4044" i="2"/>
  <c r="S4044" i="2"/>
  <c r="U4043" i="2"/>
  <c r="S4043" i="2"/>
  <c r="T4043" i="2" s="1"/>
  <c r="U4042" i="2"/>
  <c r="S4042" i="2"/>
  <c r="T4042" i="2" s="1"/>
  <c r="U4041" i="2"/>
  <c r="S4041" i="2"/>
  <c r="T4041" i="2" s="1"/>
  <c r="U4040" i="2"/>
  <c r="S4040" i="2"/>
  <c r="T4040" i="2" s="1"/>
  <c r="U4039" i="2"/>
  <c r="S4039" i="2"/>
  <c r="T4039" i="2" s="1"/>
  <c r="U4038" i="2"/>
  <c r="S4038" i="2"/>
  <c r="T4038" i="2" s="1"/>
  <c r="U4037" i="2"/>
  <c r="S4037" i="2"/>
  <c r="T4037" i="2" s="1"/>
  <c r="U4036" i="2"/>
  <c r="S4036" i="2"/>
  <c r="T4036" i="2" s="1"/>
  <c r="U4035" i="2"/>
  <c r="S4035" i="2"/>
  <c r="T4035" i="2" s="1"/>
  <c r="U4034" i="2"/>
  <c r="S4034" i="2"/>
  <c r="T4034" i="2" s="1"/>
  <c r="U4033" i="2"/>
  <c r="S4033" i="2"/>
  <c r="T4033" i="2" s="1"/>
  <c r="U4032" i="2"/>
  <c r="S4032" i="2"/>
  <c r="T4032" i="2" s="1"/>
  <c r="U4031" i="2"/>
  <c r="S4031" i="2"/>
  <c r="T4031" i="2" s="1"/>
  <c r="U4030" i="2"/>
  <c r="S4030" i="2"/>
  <c r="T4030" i="2" s="1"/>
  <c r="U4029" i="2"/>
  <c r="S4029" i="2"/>
  <c r="T4029" i="2" s="1"/>
  <c r="U4028" i="2"/>
  <c r="S4028" i="2"/>
  <c r="T4028" i="2" s="1"/>
  <c r="U4027" i="2"/>
  <c r="S4027" i="2"/>
  <c r="T4027" i="2" s="1"/>
  <c r="U4026" i="2"/>
  <c r="S4026" i="2"/>
  <c r="T4026" i="2" s="1"/>
  <c r="U4025" i="2"/>
  <c r="S4025" i="2"/>
  <c r="T4025" i="2" s="1"/>
  <c r="U4024" i="2"/>
  <c r="S4024" i="2"/>
  <c r="T4024" i="2" s="1"/>
  <c r="U4023" i="2"/>
  <c r="S4023" i="2"/>
  <c r="T4023" i="2" s="1"/>
  <c r="U4022" i="2"/>
  <c r="T4022" i="2"/>
  <c r="S4022" i="2"/>
  <c r="U4021" i="2"/>
  <c r="S4021" i="2"/>
  <c r="T4021" i="2" s="1"/>
  <c r="U4020" i="2"/>
  <c r="S4020" i="2"/>
  <c r="T4020" i="2" s="1"/>
  <c r="U4019" i="2"/>
  <c r="S4019" i="2"/>
  <c r="T4019" i="2" s="1"/>
  <c r="U4018" i="2"/>
  <c r="S4018" i="2"/>
  <c r="T4018" i="2" s="1"/>
  <c r="U4017" i="2"/>
  <c r="S4017" i="2"/>
  <c r="T4017" i="2" s="1"/>
  <c r="U4016" i="2"/>
  <c r="S4016" i="2"/>
  <c r="T4016" i="2" s="1"/>
  <c r="U4015" i="2"/>
  <c r="S4015" i="2"/>
  <c r="T4015" i="2" s="1"/>
  <c r="U4014" i="2"/>
  <c r="S4014" i="2"/>
  <c r="T4014" i="2" s="1"/>
  <c r="U4013" i="2"/>
  <c r="S4013" i="2"/>
  <c r="T4013" i="2" s="1"/>
  <c r="U4012" i="2"/>
  <c r="S4012" i="2"/>
  <c r="T4012" i="2" s="1"/>
  <c r="U4011" i="2"/>
  <c r="S4011" i="2"/>
  <c r="T4011" i="2" s="1"/>
  <c r="U4010" i="2"/>
  <c r="S4010" i="2"/>
  <c r="T4010" i="2" s="1"/>
  <c r="U4009" i="2"/>
  <c r="S4009" i="2"/>
  <c r="T4009" i="2" s="1"/>
  <c r="U4008" i="2"/>
  <c r="S4008" i="2"/>
  <c r="T4008" i="2" s="1"/>
  <c r="U4007" i="2"/>
  <c r="S4007" i="2"/>
  <c r="T4007" i="2" s="1"/>
  <c r="U4006" i="2"/>
  <c r="S4006" i="2"/>
  <c r="T4006" i="2" s="1"/>
  <c r="U4005" i="2"/>
  <c r="S4005" i="2"/>
  <c r="T4005" i="2" s="1"/>
  <c r="U4004" i="2"/>
  <c r="S4004" i="2"/>
  <c r="T4004" i="2" s="1"/>
  <c r="U4003" i="2"/>
  <c r="S4003" i="2"/>
  <c r="T4003" i="2" s="1"/>
  <c r="U4002" i="2"/>
  <c r="S4002" i="2"/>
  <c r="T4002" i="2" s="1"/>
  <c r="U4001" i="2"/>
  <c r="S4001" i="2"/>
  <c r="T4001" i="2" s="1"/>
  <c r="U4000" i="2"/>
  <c r="S4000" i="2"/>
  <c r="T4000" i="2" s="1"/>
  <c r="U3999" i="2"/>
  <c r="S3999" i="2"/>
  <c r="T3999" i="2" s="1"/>
  <c r="U3998" i="2"/>
  <c r="S3998" i="2"/>
  <c r="T3998" i="2" s="1"/>
  <c r="U3997" i="2"/>
  <c r="S3997" i="2"/>
  <c r="T3997" i="2" s="1"/>
  <c r="U3996" i="2"/>
  <c r="S3996" i="2"/>
  <c r="T3996" i="2" s="1"/>
  <c r="U3995" i="2"/>
  <c r="S3995" i="2"/>
  <c r="T3995" i="2" s="1"/>
  <c r="U3994" i="2"/>
  <c r="S3994" i="2"/>
  <c r="T3994" i="2" s="1"/>
  <c r="U3993" i="2"/>
  <c r="S3993" i="2"/>
  <c r="T3993" i="2" s="1"/>
  <c r="U3992" i="2"/>
  <c r="S3992" i="2"/>
  <c r="T3992" i="2" s="1"/>
  <c r="U3991" i="2"/>
  <c r="S3991" i="2"/>
  <c r="T3991" i="2" s="1"/>
  <c r="U3990" i="2"/>
  <c r="S3990" i="2"/>
  <c r="T3990" i="2" s="1"/>
  <c r="U3989" i="2"/>
  <c r="S3989" i="2"/>
  <c r="T3989" i="2" s="1"/>
  <c r="U3988" i="2"/>
  <c r="S3988" i="2"/>
  <c r="T3988" i="2" s="1"/>
  <c r="U3987" i="2"/>
  <c r="S3987" i="2"/>
  <c r="T3987" i="2" s="1"/>
  <c r="U3986" i="2"/>
  <c r="S3986" i="2"/>
  <c r="T3986" i="2" s="1"/>
  <c r="U3985" i="2"/>
  <c r="S3985" i="2"/>
  <c r="T3985" i="2" s="1"/>
  <c r="U3984" i="2"/>
  <c r="S3984" i="2"/>
  <c r="T3984" i="2" s="1"/>
  <c r="U3983" i="2"/>
  <c r="S3983" i="2"/>
  <c r="T3983" i="2" s="1"/>
  <c r="U3982" i="2"/>
  <c r="S3982" i="2"/>
  <c r="T3982" i="2" s="1"/>
  <c r="U3981" i="2"/>
  <c r="S3981" i="2"/>
  <c r="T3981" i="2" s="1"/>
  <c r="U3980" i="2"/>
  <c r="S3980" i="2"/>
  <c r="T3980" i="2" s="1"/>
  <c r="U3979" i="2"/>
  <c r="S3979" i="2"/>
  <c r="T3979" i="2" s="1"/>
  <c r="U3978" i="2"/>
  <c r="S3978" i="2"/>
  <c r="T3978" i="2" s="1"/>
  <c r="U3977" i="2"/>
  <c r="T3977" i="2"/>
  <c r="S3977" i="2"/>
  <c r="U3976" i="2"/>
  <c r="S3976" i="2"/>
  <c r="T3976" i="2" s="1"/>
  <c r="U3975" i="2"/>
  <c r="S3975" i="2"/>
  <c r="T3975" i="2" s="1"/>
  <c r="U3974" i="2"/>
  <c r="T3974" i="2"/>
  <c r="S3974" i="2"/>
  <c r="U3973" i="2"/>
  <c r="S3973" i="2"/>
  <c r="T3973" i="2" s="1"/>
  <c r="U3972" i="2"/>
  <c r="S3972" i="2"/>
  <c r="T3972" i="2" s="1"/>
  <c r="U3971" i="2"/>
  <c r="S3971" i="2"/>
  <c r="T3971" i="2" s="1"/>
  <c r="U3970" i="2"/>
  <c r="S3970" i="2"/>
  <c r="T3970" i="2" s="1"/>
  <c r="U3969" i="2"/>
  <c r="S3969" i="2"/>
  <c r="T3969" i="2" s="1"/>
  <c r="U3968" i="2"/>
  <c r="S3968" i="2"/>
  <c r="T3968" i="2" s="1"/>
  <c r="U3967" i="2"/>
  <c r="S3967" i="2"/>
  <c r="T3967" i="2" s="1"/>
  <c r="U3966" i="2"/>
  <c r="S3966" i="2"/>
  <c r="T3966" i="2" s="1"/>
  <c r="U3965" i="2"/>
  <c r="S3965" i="2"/>
  <c r="T3965" i="2" s="1"/>
  <c r="U3964" i="2"/>
  <c r="S3964" i="2"/>
  <c r="T3964" i="2" s="1"/>
  <c r="U3963" i="2"/>
  <c r="S3963" i="2"/>
  <c r="T3963" i="2" s="1"/>
  <c r="U3962" i="2"/>
  <c r="S3962" i="2"/>
  <c r="T3962" i="2" s="1"/>
  <c r="U3961" i="2"/>
  <c r="S3961" i="2"/>
  <c r="T3961" i="2" s="1"/>
  <c r="U3960" i="2"/>
  <c r="S3960" i="2"/>
  <c r="T3960" i="2" s="1"/>
  <c r="U3959" i="2"/>
  <c r="S3959" i="2"/>
  <c r="T3959" i="2" s="1"/>
  <c r="U3958" i="2"/>
  <c r="S3958" i="2"/>
  <c r="T3958" i="2" s="1"/>
  <c r="U3957" i="2"/>
  <c r="S3957" i="2"/>
  <c r="T3957" i="2" s="1"/>
  <c r="U3956" i="2"/>
  <c r="S3956" i="2"/>
  <c r="T3956" i="2" s="1"/>
  <c r="U3955" i="2"/>
  <c r="S3955" i="2"/>
  <c r="T3955" i="2" s="1"/>
  <c r="U3954" i="2"/>
  <c r="S3954" i="2"/>
  <c r="T3954" i="2" s="1"/>
  <c r="U3953" i="2"/>
  <c r="S3953" i="2"/>
  <c r="T3953" i="2" s="1"/>
  <c r="U3952" i="2"/>
  <c r="S3952" i="2"/>
  <c r="T3952" i="2" s="1"/>
  <c r="U3951" i="2"/>
  <c r="S3951" i="2"/>
  <c r="T3951" i="2" s="1"/>
  <c r="U3950" i="2"/>
  <c r="S3950" i="2"/>
  <c r="T3950" i="2" s="1"/>
  <c r="U3949" i="2"/>
  <c r="S3949" i="2"/>
  <c r="T3949" i="2" s="1"/>
  <c r="U3948" i="2"/>
  <c r="S3948" i="2"/>
  <c r="T3948" i="2" s="1"/>
  <c r="U3947" i="2"/>
  <c r="S3947" i="2"/>
  <c r="T3947" i="2" s="1"/>
  <c r="U3946" i="2"/>
  <c r="S3946" i="2"/>
  <c r="T3946" i="2" s="1"/>
  <c r="U3945" i="2"/>
  <c r="S3945" i="2"/>
  <c r="T3945" i="2" s="1"/>
  <c r="U3944" i="2"/>
  <c r="S3944" i="2"/>
  <c r="T3944" i="2" s="1"/>
  <c r="U3943" i="2"/>
  <c r="S3943" i="2"/>
  <c r="T3943" i="2" s="1"/>
  <c r="U3942" i="2"/>
  <c r="S3942" i="2"/>
  <c r="T3942" i="2" s="1"/>
  <c r="U3941" i="2"/>
  <c r="S3941" i="2"/>
  <c r="T3941" i="2" s="1"/>
  <c r="U3940" i="2"/>
  <c r="S3940" i="2"/>
  <c r="T3940" i="2" s="1"/>
  <c r="U3939" i="2"/>
  <c r="S3939" i="2"/>
  <c r="T3939" i="2" s="1"/>
  <c r="U3938" i="2"/>
  <c r="S3938" i="2"/>
  <c r="T3938" i="2" s="1"/>
  <c r="U3937" i="2"/>
  <c r="S3937" i="2"/>
  <c r="T3937" i="2" s="1"/>
  <c r="U3936" i="2"/>
  <c r="S3936" i="2"/>
  <c r="T3936" i="2" s="1"/>
  <c r="U3935" i="2"/>
  <c r="S3935" i="2"/>
  <c r="T3935" i="2" s="1"/>
  <c r="U3934" i="2"/>
  <c r="S3934" i="2"/>
  <c r="T3934" i="2" s="1"/>
  <c r="U3933" i="2"/>
  <c r="T3933" i="2"/>
  <c r="S3933" i="2"/>
  <c r="U3932" i="2"/>
  <c r="S3932" i="2"/>
  <c r="T3932" i="2" s="1"/>
  <c r="U3931" i="2"/>
  <c r="S3931" i="2"/>
  <c r="T3931" i="2" s="1"/>
  <c r="U3930" i="2"/>
  <c r="S3930" i="2"/>
  <c r="T3930" i="2" s="1"/>
  <c r="U3929" i="2"/>
  <c r="S3929" i="2"/>
  <c r="T3929" i="2" s="1"/>
  <c r="U3928" i="2"/>
  <c r="S3928" i="2"/>
  <c r="T3928" i="2" s="1"/>
  <c r="U3927" i="2"/>
  <c r="S3927" i="2"/>
  <c r="T3927" i="2" s="1"/>
  <c r="U3926" i="2"/>
  <c r="S3926" i="2"/>
  <c r="T3926" i="2" s="1"/>
  <c r="U3925" i="2"/>
  <c r="S3925" i="2"/>
  <c r="T3925" i="2" s="1"/>
  <c r="U3924" i="2"/>
  <c r="S3924" i="2"/>
  <c r="T3924" i="2" s="1"/>
  <c r="U3923" i="2"/>
  <c r="S3923" i="2"/>
  <c r="T3923" i="2" s="1"/>
  <c r="U3922" i="2"/>
  <c r="S3922" i="2"/>
  <c r="T3922" i="2" s="1"/>
  <c r="U3921" i="2"/>
  <c r="S3921" i="2"/>
  <c r="T3921" i="2" s="1"/>
  <c r="U3920" i="2"/>
  <c r="S3920" i="2"/>
  <c r="T3920" i="2" s="1"/>
  <c r="U3919" i="2"/>
  <c r="T3919" i="2"/>
  <c r="S3919" i="2"/>
  <c r="U3918" i="2"/>
  <c r="S3918" i="2"/>
  <c r="T3918" i="2" s="1"/>
  <c r="U3917" i="2"/>
  <c r="S3917" i="2"/>
  <c r="T3917" i="2" s="1"/>
  <c r="U3916" i="2"/>
  <c r="T3916" i="2"/>
  <c r="S3916" i="2"/>
  <c r="U3915" i="2"/>
  <c r="S3915" i="2"/>
  <c r="T3915" i="2" s="1"/>
  <c r="U3914" i="2"/>
  <c r="S3914" i="2"/>
  <c r="T3914" i="2" s="1"/>
  <c r="U3913" i="2"/>
  <c r="S3913" i="2"/>
  <c r="T3913" i="2" s="1"/>
  <c r="U3912" i="2"/>
  <c r="S3912" i="2"/>
  <c r="T3912" i="2" s="1"/>
  <c r="U3911" i="2"/>
  <c r="S3911" i="2"/>
  <c r="T3911" i="2" s="1"/>
  <c r="U3910" i="2"/>
  <c r="S3910" i="2"/>
  <c r="T3910" i="2" s="1"/>
  <c r="U3909" i="2"/>
  <c r="S3909" i="2"/>
  <c r="T3909" i="2" s="1"/>
  <c r="U3908" i="2"/>
  <c r="S3908" i="2"/>
  <c r="T3908" i="2" s="1"/>
  <c r="U3907" i="2"/>
  <c r="S3907" i="2"/>
  <c r="T3907" i="2" s="1"/>
  <c r="U3906" i="2"/>
  <c r="S3906" i="2"/>
  <c r="T3906" i="2" s="1"/>
  <c r="U3905" i="2"/>
  <c r="S3905" i="2"/>
  <c r="T3905" i="2" s="1"/>
  <c r="U3904" i="2"/>
  <c r="S3904" i="2"/>
  <c r="T3904" i="2" s="1"/>
  <c r="U3903" i="2"/>
  <c r="S3903" i="2"/>
  <c r="T3903" i="2" s="1"/>
  <c r="U3902" i="2"/>
  <c r="S3902" i="2"/>
  <c r="T3902" i="2" s="1"/>
  <c r="U3901" i="2"/>
  <c r="S3901" i="2"/>
  <c r="T3901" i="2" s="1"/>
  <c r="U3900" i="2"/>
  <c r="S3900" i="2"/>
  <c r="T3900" i="2" s="1"/>
  <c r="U3899" i="2"/>
  <c r="S3899" i="2"/>
  <c r="T3899" i="2" s="1"/>
  <c r="U3898" i="2"/>
  <c r="S3898" i="2"/>
  <c r="T3898" i="2" s="1"/>
  <c r="U3897" i="2"/>
  <c r="S3897" i="2"/>
  <c r="T3897" i="2" s="1"/>
  <c r="U3896" i="2"/>
  <c r="S3896" i="2"/>
  <c r="T3896" i="2" s="1"/>
  <c r="U3895" i="2"/>
  <c r="S3895" i="2"/>
  <c r="T3895" i="2" s="1"/>
  <c r="U3894" i="2"/>
  <c r="S3894" i="2"/>
  <c r="T3894" i="2" s="1"/>
  <c r="U3893" i="2"/>
  <c r="S3893" i="2"/>
  <c r="T3893" i="2" s="1"/>
  <c r="U3892" i="2"/>
  <c r="S3892" i="2"/>
  <c r="T3892" i="2" s="1"/>
  <c r="U3891" i="2"/>
  <c r="S3891" i="2"/>
  <c r="T3891" i="2" s="1"/>
  <c r="U3890" i="2"/>
  <c r="S3890" i="2"/>
  <c r="T3890" i="2" s="1"/>
  <c r="U3889" i="2"/>
  <c r="S3889" i="2"/>
  <c r="T3889" i="2" s="1"/>
  <c r="U3888" i="2"/>
  <c r="S3888" i="2"/>
  <c r="T3888" i="2" s="1"/>
  <c r="U3887" i="2"/>
  <c r="S3887" i="2"/>
  <c r="T3887" i="2" s="1"/>
  <c r="U3886" i="2"/>
  <c r="S3886" i="2"/>
  <c r="T3886" i="2" s="1"/>
  <c r="U3885" i="2"/>
  <c r="S3885" i="2"/>
  <c r="T3885" i="2" s="1"/>
  <c r="U3884" i="2"/>
  <c r="S3884" i="2"/>
  <c r="T3884" i="2" s="1"/>
  <c r="U3883" i="2"/>
  <c r="S3883" i="2"/>
  <c r="T3883" i="2" s="1"/>
  <c r="U3882" i="2"/>
  <c r="S3882" i="2"/>
  <c r="T3882" i="2" s="1"/>
  <c r="U3881" i="2"/>
  <c r="S3881" i="2"/>
  <c r="T3881" i="2" s="1"/>
  <c r="U3880" i="2"/>
  <c r="S3880" i="2"/>
  <c r="T3880" i="2" s="1"/>
  <c r="U3879" i="2"/>
  <c r="S3879" i="2"/>
  <c r="T3879" i="2" s="1"/>
  <c r="U3878" i="2"/>
  <c r="S3878" i="2"/>
  <c r="T3878" i="2" s="1"/>
  <c r="U3877" i="2"/>
  <c r="S3877" i="2"/>
  <c r="T3877" i="2" s="1"/>
  <c r="U3876" i="2"/>
  <c r="S3876" i="2"/>
  <c r="T3876" i="2" s="1"/>
  <c r="U3875" i="2"/>
  <c r="S3875" i="2"/>
  <c r="T3875" i="2" s="1"/>
  <c r="U3874" i="2"/>
  <c r="S3874" i="2"/>
  <c r="T3874" i="2" s="1"/>
  <c r="U3873" i="2"/>
  <c r="T3873" i="2"/>
  <c r="S3873" i="2"/>
  <c r="U3872" i="2"/>
  <c r="S3872" i="2"/>
  <c r="T3872" i="2" s="1"/>
  <c r="U3871" i="2"/>
  <c r="S3871" i="2"/>
  <c r="T3871" i="2" s="1"/>
  <c r="U3870" i="2"/>
  <c r="S3870" i="2"/>
  <c r="T3870" i="2" s="1"/>
  <c r="U3869" i="2"/>
  <c r="S3869" i="2"/>
  <c r="T3869" i="2" s="1"/>
  <c r="U3868" i="2"/>
  <c r="S3868" i="2"/>
  <c r="T3868" i="2" s="1"/>
  <c r="U3867" i="2"/>
  <c r="S3867" i="2"/>
  <c r="T3867" i="2" s="1"/>
  <c r="U3866" i="2"/>
  <c r="S3866" i="2"/>
  <c r="T3866" i="2" s="1"/>
  <c r="U3865" i="2"/>
  <c r="S3865" i="2"/>
  <c r="T3865" i="2" s="1"/>
  <c r="U3864" i="2"/>
  <c r="S3864" i="2"/>
  <c r="T3864" i="2" s="1"/>
  <c r="U3863" i="2"/>
  <c r="S3863" i="2"/>
  <c r="T3863" i="2" s="1"/>
  <c r="U3862" i="2"/>
  <c r="S3862" i="2"/>
  <c r="T3862" i="2" s="1"/>
  <c r="U3861" i="2"/>
  <c r="S3861" i="2"/>
  <c r="T3861" i="2" s="1"/>
  <c r="U3860" i="2"/>
  <c r="S3860" i="2"/>
  <c r="T3860" i="2" s="1"/>
  <c r="U3859" i="2"/>
  <c r="S3859" i="2"/>
  <c r="T3859" i="2" s="1"/>
  <c r="U3858" i="2"/>
  <c r="S3858" i="2"/>
  <c r="T3858" i="2" s="1"/>
  <c r="U3857" i="2"/>
  <c r="S3857" i="2"/>
  <c r="T3857" i="2" s="1"/>
  <c r="U3856" i="2"/>
  <c r="S3856" i="2"/>
  <c r="T3856" i="2" s="1"/>
  <c r="U3855" i="2"/>
  <c r="S3855" i="2"/>
  <c r="T3855" i="2" s="1"/>
  <c r="U3854" i="2"/>
  <c r="S3854" i="2"/>
  <c r="T3854" i="2" s="1"/>
  <c r="U3853" i="2"/>
  <c r="S3853" i="2"/>
  <c r="T3853" i="2" s="1"/>
  <c r="U3852" i="2"/>
  <c r="S3852" i="2"/>
  <c r="T3852" i="2" s="1"/>
  <c r="U3851" i="2"/>
  <c r="S3851" i="2"/>
  <c r="T3851" i="2" s="1"/>
  <c r="U3850" i="2"/>
  <c r="T3850" i="2"/>
  <c r="S3850" i="2"/>
  <c r="U3849" i="2"/>
  <c r="S3849" i="2"/>
  <c r="T3849" i="2" s="1"/>
  <c r="U3848" i="2"/>
  <c r="S3848" i="2"/>
  <c r="T3848" i="2" s="1"/>
  <c r="U3847" i="2"/>
  <c r="S3847" i="2"/>
  <c r="T3847" i="2" s="1"/>
  <c r="U3846" i="2"/>
  <c r="S3846" i="2"/>
  <c r="T3846" i="2" s="1"/>
  <c r="U3845" i="2"/>
  <c r="S3845" i="2"/>
  <c r="T3845" i="2" s="1"/>
  <c r="U3844" i="2"/>
  <c r="S3844" i="2"/>
  <c r="T3844" i="2" s="1"/>
  <c r="U3843" i="2"/>
  <c r="S3843" i="2"/>
  <c r="T3843" i="2" s="1"/>
  <c r="U3842" i="2"/>
  <c r="S3842" i="2"/>
  <c r="T3842" i="2" s="1"/>
  <c r="U3841" i="2"/>
  <c r="S3841" i="2"/>
  <c r="T3841" i="2" s="1"/>
  <c r="U3840" i="2"/>
  <c r="S3840" i="2"/>
  <c r="T3840" i="2" s="1"/>
  <c r="U3839" i="2"/>
  <c r="S3839" i="2"/>
  <c r="T3839" i="2" s="1"/>
  <c r="U3838" i="2"/>
  <c r="T3838" i="2"/>
  <c r="S3838" i="2"/>
  <c r="U3837" i="2"/>
  <c r="S3837" i="2"/>
  <c r="T3837" i="2" s="1"/>
  <c r="U3836" i="2"/>
  <c r="S3836" i="2"/>
  <c r="T3836" i="2" s="1"/>
  <c r="U3835" i="2"/>
  <c r="S3835" i="2"/>
  <c r="T3835" i="2" s="1"/>
  <c r="U3834" i="2"/>
  <c r="S3834" i="2"/>
  <c r="T3834" i="2" s="1"/>
  <c r="U3833" i="2"/>
  <c r="S3833" i="2"/>
  <c r="T3833" i="2" s="1"/>
  <c r="U3832" i="2"/>
  <c r="S3832" i="2"/>
  <c r="T3832" i="2" s="1"/>
  <c r="U3831" i="2"/>
  <c r="S3831" i="2"/>
  <c r="T3831" i="2" s="1"/>
  <c r="U3830" i="2"/>
  <c r="S3830" i="2"/>
  <c r="T3830" i="2" s="1"/>
  <c r="U3829" i="2"/>
  <c r="S3829" i="2"/>
  <c r="T3829" i="2" s="1"/>
  <c r="U3828" i="2"/>
  <c r="S3828" i="2"/>
  <c r="T3828" i="2" s="1"/>
  <c r="U3827" i="2"/>
  <c r="S3827" i="2"/>
  <c r="T3827" i="2" s="1"/>
  <c r="U3826" i="2"/>
  <c r="T3826" i="2"/>
  <c r="S3826" i="2"/>
  <c r="U3825" i="2"/>
  <c r="S3825" i="2"/>
  <c r="T3825" i="2" s="1"/>
  <c r="U3824" i="2"/>
  <c r="S3824" i="2"/>
  <c r="T3824" i="2" s="1"/>
  <c r="U3823" i="2"/>
  <c r="S3823" i="2"/>
  <c r="T3823" i="2" s="1"/>
  <c r="U3822" i="2"/>
  <c r="S3822" i="2"/>
  <c r="T3822" i="2" s="1"/>
  <c r="U3821" i="2"/>
  <c r="S3821" i="2"/>
  <c r="T3821" i="2" s="1"/>
  <c r="U3820" i="2"/>
  <c r="S3820" i="2"/>
  <c r="T3820" i="2" s="1"/>
  <c r="U3819" i="2"/>
  <c r="S3819" i="2"/>
  <c r="T3819" i="2" s="1"/>
  <c r="U3818" i="2"/>
  <c r="S3818" i="2"/>
  <c r="T3818" i="2" s="1"/>
  <c r="U3817" i="2"/>
  <c r="S3817" i="2"/>
  <c r="T3817" i="2" s="1"/>
  <c r="U3816" i="2"/>
  <c r="S3816" i="2"/>
  <c r="T3816" i="2" s="1"/>
  <c r="U3815" i="2"/>
  <c r="S3815" i="2"/>
  <c r="T3815" i="2" s="1"/>
  <c r="U3814" i="2"/>
  <c r="S3814" i="2"/>
  <c r="T3814" i="2" s="1"/>
  <c r="U3813" i="2"/>
  <c r="S3813" i="2"/>
  <c r="T3813" i="2" s="1"/>
  <c r="U3812" i="2"/>
  <c r="S3812" i="2"/>
  <c r="T3812" i="2" s="1"/>
  <c r="U3811" i="2"/>
  <c r="S3811" i="2"/>
  <c r="T3811" i="2" s="1"/>
  <c r="U3810" i="2"/>
  <c r="S3810" i="2"/>
  <c r="T3810" i="2" s="1"/>
  <c r="U3809" i="2"/>
  <c r="S3809" i="2"/>
  <c r="T3809" i="2" s="1"/>
  <c r="U3808" i="2"/>
  <c r="S3808" i="2"/>
  <c r="T3808" i="2" s="1"/>
  <c r="U3807" i="2"/>
  <c r="S3807" i="2"/>
  <c r="T3807" i="2" s="1"/>
  <c r="U3806" i="2"/>
  <c r="S3806" i="2"/>
  <c r="T3806" i="2" s="1"/>
  <c r="U3805" i="2"/>
  <c r="S3805" i="2"/>
  <c r="T3805" i="2" s="1"/>
  <c r="U3804" i="2"/>
  <c r="S3804" i="2"/>
  <c r="T3804" i="2" s="1"/>
  <c r="U3803" i="2"/>
  <c r="S3803" i="2"/>
  <c r="T3803" i="2" s="1"/>
  <c r="U3802" i="2"/>
  <c r="S3802" i="2"/>
  <c r="T3802" i="2" s="1"/>
  <c r="U3801" i="2"/>
  <c r="S3801" i="2"/>
  <c r="T3801" i="2" s="1"/>
  <c r="U3800" i="2"/>
  <c r="S3800" i="2"/>
  <c r="T3800" i="2" s="1"/>
  <c r="U3799" i="2"/>
  <c r="T3799" i="2"/>
  <c r="S3799" i="2"/>
  <c r="U3798" i="2"/>
  <c r="S3798" i="2"/>
  <c r="T3798" i="2" s="1"/>
  <c r="U3797" i="2"/>
  <c r="S3797" i="2"/>
  <c r="T3797" i="2" s="1"/>
  <c r="U3796" i="2"/>
  <c r="S3796" i="2"/>
  <c r="T3796" i="2" s="1"/>
  <c r="U3795" i="2"/>
  <c r="S3795" i="2"/>
  <c r="T3795" i="2" s="1"/>
  <c r="U3794" i="2"/>
  <c r="S3794" i="2"/>
  <c r="T3794" i="2" s="1"/>
  <c r="U3793" i="2"/>
  <c r="S3793" i="2"/>
  <c r="T3793" i="2" s="1"/>
  <c r="U3792" i="2"/>
  <c r="S3792" i="2"/>
  <c r="T3792" i="2" s="1"/>
  <c r="U3791" i="2"/>
  <c r="S3791" i="2"/>
  <c r="T3791" i="2" s="1"/>
  <c r="U3790" i="2"/>
  <c r="S3790" i="2"/>
  <c r="T3790" i="2" s="1"/>
  <c r="U3789" i="2"/>
  <c r="S3789" i="2"/>
  <c r="T3789" i="2" s="1"/>
  <c r="U3788" i="2"/>
  <c r="S3788" i="2"/>
  <c r="T3788" i="2" s="1"/>
  <c r="U3787" i="2"/>
  <c r="S3787" i="2"/>
  <c r="T3787" i="2" s="1"/>
  <c r="U3786" i="2"/>
  <c r="S3786" i="2"/>
  <c r="T3786" i="2" s="1"/>
  <c r="U3785" i="2"/>
  <c r="S3785" i="2"/>
  <c r="T3785" i="2" s="1"/>
  <c r="U3784" i="2"/>
  <c r="S3784" i="2"/>
  <c r="T3784" i="2" s="1"/>
  <c r="U3783" i="2"/>
  <c r="S3783" i="2"/>
  <c r="T3783" i="2" s="1"/>
  <c r="U3782" i="2"/>
  <c r="S3782" i="2"/>
  <c r="T3782" i="2" s="1"/>
  <c r="U3781" i="2"/>
  <c r="S3781" i="2"/>
  <c r="T3781" i="2" s="1"/>
  <c r="U3780" i="2"/>
  <c r="S3780" i="2"/>
  <c r="T3780" i="2" s="1"/>
  <c r="U3779" i="2"/>
  <c r="S3779" i="2"/>
  <c r="T3779" i="2" s="1"/>
  <c r="U3778" i="2"/>
  <c r="S3778" i="2"/>
  <c r="T3778" i="2" s="1"/>
  <c r="U3777" i="2"/>
  <c r="S3777" i="2"/>
  <c r="T3777" i="2" s="1"/>
  <c r="U3776" i="2"/>
  <c r="S3776" i="2"/>
  <c r="T3776" i="2" s="1"/>
  <c r="U3775" i="2"/>
  <c r="S3775" i="2"/>
  <c r="T3775" i="2" s="1"/>
  <c r="U3774" i="2"/>
  <c r="S3774" i="2"/>
  <c r="T3774" i="2" s="1"/>
  <c r="U3773" i="2"/>
  <c r="S3773" i="2"/>
  <c r="T3773" i="2" s="1"/>
  <c r="U3772" i="2"/>
  <c r="S3772" i="2"/>
  <c r="T3772" i="2" s="1"/>
  <c r="U3771" i="2"/>
  <c r="S3771" i="2"/>
  <c r="T3771" i="2" s="1"/>
  <c r="U3770" i="2"/>
  <c r="S3770" i="2"/>
  <c r="T3770" i="2" s="1"/>
  <c r="U3769" i="2"/>
  <c r="S3769" i="2"/>
  <c r="T3769" i="2" s="1"/>
  <c r="U3768" i="2"/>
  <c r="S3768" i="2"/>
  <c r="T3768" i="2" s="1"/>
  <c r="U3767" i="2"/>
  <c r="S3767" i="2"/>
  <c r="T3767" i="2" s="1"/>
  <c r="U3766" i="2"/>
  <c r="S3766" i="2"/>
  <c r="T3766" i="2" s="1"/>
  <c r="U3765" i="2"/>
  <c r="S3765" i="2"/>
  <c r="T3765" i="2" s="1"/>
  <c r="U3764" i="2"/>
  <c r="S3764" i="2"/>
  <c r="T3764" i="2" s="1"/>
  <c r="U3763" i="2"/>
  <c r="S3763" i="2"/>
  <c r="T3763" i="2" s="1"/>
  <c r="U3762" i="2"/>
  <c r="S3762" i="2"/>
  <c r="T3762" i="2" s="1"/>
  <c r="U3761" i="2"/>
  <c r="S3761" i="2"/>
  <c r="T3761" i="2" s="1"/>
  <c r="U3760" i="2"/>
  <c r="S3760" i="2"/>
  <c r="T3760" i="2" s="1"/>
  <c r="U3759" i="2"/>
  <c r="S3759" i="2"/>
  <c r="T3759" i="2" s="1"/>
  <c r="U3758" i="2"/>
  <c r="S3758" i="2"/>
  <c r="T3758" i="2" s="1"/>
  <c r="U3757" i="2"/>
  <c r="S3757" i="2"/>
  <c r="T3757" i="2" s="1"/>
  <c r="U3756" i="2"/>
  <c r="S3756" i="2"/>
  <c r="T3756" i="2" s="1"/>
  <c r="U3755" i="2"/>
  <c r="S3755" i="2"/>
  <c r="T3755" i="2" s="1"/>
  <c r="U3754" i="2"/>
  <c r="S3754" i="2"/>
  <c r="T3754" i="2" s="1"/>
  <c r="U3753" i="2"/>
  <c r="S3753" i="2"/>
  <c r="T3753" i="2" s="1"/>
  <c r="U3752" i="2"/>
  <c r="S3752" i="2"/>
  <c r="T3752" i="2" s="1"/>
  <c r="U3751" i="2"/>
  <c r="S3751" i="2"/>
  <c r="T3751" i="2" s="1"/>
  <c r="U3750" i="2"/>
  <c r="S3750" i="2"/>
  <c r="T3750" i="2" s="1"/>
  <c r="U3749" i="2"/>
  <c r="S3749" i="2"/>
  <c r="T3749" i="2" s="1"/>
  <c r="U3748" i="2"/>
  <c r="S3748" i="2"/>
  <c r="T3748" i="2" s="1"/>
  <c r="U3747" i="2"/>
  <c r="S3747" i="2"/>
  <c r="T3747" i="2" s="1"/>
  <c r="U3746" i="2"/>
  <c r="S3746" i="2"/>
  <c r="T3746" i="2" s="1"/>
  <c r="U3745" i="2"/>
  <c r="S3745" i="2"/>
  <c r="T3745" i="2" s="1"/>
  <c r="U3744" i="2"/>
  <c r="S3744" i="2"/>
  <c r="T3744" i="2" s="1"/>
  <c r="U3743" i="2"/>
  <c r="S3743" i="2"/>
  <c r="T3743" i="2" s="1"/>
  <c r="U3742" i="2"/>
  <c r="S3742" i="2"/>
  <c r="T3742" i="2" s="1"/>
  <c r="U3741" i="2"/>
  <c r="S3741" i="2"/>
  <c r="T3741" i="2" s="1"/>
  <c r="U3740" i="2"/>
  <c r="S3740" i="2"/>
  <c r="T3740" i="2" s="1"/>
  <c r="U3739" i="2"/>
  <c r="S3739" i="2"/>
  <c r="T3739" i="2" s="1"/>
  <c r="U3738" i="2"/>
  <c r="S3738" i="2"/>
  <c r="T3738" i="2" s="1"/>
  <c r="U3737" i="2"/>
  <c r="S3737" i="2"/>
  <c r="T3737" i="2" s="1"/>
  <c r="U3736" i="2"/>
  <c r="S3736" i="2"/>
  <c r="T3736" i="2" s="1"/>
  <c r="U3735" i="2"/>
  <c r="S3735" i="2"/>
  <c r="T3735" i="2" s="1"/>
  <c r="U3734" i="2"/>
  <c r="S3734" i="2"/>
  <c r="T3734" i="2" s="1"/>
  <c r="U3733" i="2"/>
  <c r="S3733" i="2"/>
  <c r="T3733" i="2" s="1"/>
  <c r="U3732" i="2"/>
  <c r="S3732" i="2"/>
  <c r="T3732" i="2" s="1"/>
  <c r="U3731" i="2"/>
  <c r="S3731" i="2"/>
  <c r="T3731" i="2" s="1"/>
  <c r="U3730" i="2"/>
  <c r="S3730" i="2"/>
  <c r="T3730" i="2" s="1"/>
  <c r="U3729" i="2"/>
  <c r="S3729" i="2"/>
  <c r="T3729" i="2" s="1"/>
  <c r="U3728" i="2"/>
  <c r="S3728" i="2"/>
  <c r="T3728" i="2" s="1"/>
  <c r="U3727" i="2"/>
  <c r="S3727" i="2"/>
  <c r="T3727" i="2" s="1"/>
  <c r="U3726" i="2"/>
  <c r="T3726" i="2"/>
  <c r="S3726" i="2"/>
  <c r="U3725" i="2"/>
  <c r="S3725" i="2"/>
  <c r="T3725" i="2" s="1"/>
  <c r="U3724" i="2"/>
  <c r="S3724" i="2"/>
  <c r="T3724" i="2" s="1"/>
  <c r="U3723" i="2"/>
  <c r="S3723" i="2"/>
  <c r="T3723" i="2" s="1"/>
  <c r="U3722" i="2"/>
  <c r="S3722" i="2"/>
  <c r="T3722" i="2" s="1"/>
  <c r="U3721" i="2"/>
  <c r="T3721" i="2"/>
  <c r="S3721" i="2"/>
  <c r="U3720" i="2"/>
  <c r="S3720" i="2"/>
  <c r="T3720" i="2" s="1"/>
  <c r="U3719" i="2"/>
  <c r="S3719" i="2"/>
  <c r="T3719" i="2" s="1"/>
  <c r="U3718" i="2"/>
  <c r="S3718" i="2"/>
  <c r="T3718" i="2" s="1"/>
  <c r="U3717" i="2"/>
  <c r="S3717" i="2"/>
  <c r="T3717" i="2" s="1"/>
  <c r="U3716" i="2"/>
  <c r="S3716" i="2"/>
  <c r="T3716" i="2" s="1"/>
  <c r="U3715" i="2"/>
  <c r="S3715" i="2"/>
  <c r="T3715" i="2" s="1"/>
  <c r="U3714" i="2"/>
  <c r="S3714" i="2"/>
  <c r="T3714" i="2" s="1"/>
  <c r="U3713" i="2"/>
  <c r="S3713" i="2"/>
  <c r="T3713" i="2" s="1"/>
  <c r="U3712" i="2"/>
  <c r="S3712" i="2"/>
  <c r="T3712" i="2" s="1"/>
  <c r="U3711" i="2"/>
  <c r="S3711" i="2"/>
  <c r="T3711" i="2" s="1"/>
  <c r="U3710" i="2"/>
  <c r="S3710" i="2"/>
  <c r="T3710" i="2" s="1"/>
  <c r="U3709" i="2"/>
  <c r="S3709" i="2"/>
  <c r="T3709" i="2" s="1"/>
  <c r="U3708" i="2"/>
  <c r="S3708" i="2"/>
  <c r="T3708" i="2" s="1"/>
  <c r="U3707" i="2"/>
  <c r="T3707" i="2"/>
  <c r="S3707" i="2"/>
  <c r="U3706" i="2"/>
  <c r="S3706" i="2"/>
  <c r="T3706" i="2" s="1"/>
  <c r="U3705" i="2"/>
  <c r="S3705" i="2"/>
  <c r="T3705" i="2" s="1"/>
  <c r="U3704" i="2"/>
  <c r="S3704" i="2"/>
  <c r="T3704" i="2" s="1"/>
  <c r="U3703" i="2"/>
  <c r="S3703" i="2"/>
  <c r="T3703" i="2" s="1"/>
  <c r="U3702" i="2"/>
  <c r="S3702" i="2"/>
  <c r="T3702" i="2" s="1"/>
  <c r="U3701" i="2"/>
  <c r="S3701" i="2"/>
  <c r="T3701" i="2" s="1"/>
  <c r="U3700" i="2"/>
  <c r="S3700" i="2"/>
  <c r="T3700" i="2" s="1"/>
  <c r="U3699" i="2"/>
  <c r="S3699" i="2"/>
  <c r="T3699" i="2" s="1"/>
  <c r="U3698" i="2"/>
  <c r="S3698" i="2"/>
  <c r="T3698" i="2" s="1"/>
  <c r="U3697" i="2"/>
  <c r="S3697" i="2"/>
  <c r="T3697" i="2" s="1"/>
  <c r="U3696" i="2"/>
  <c r="S3696" i="2"/>
  <c r="T3696" i="2" s="1"/>
  <c r="U3695" i="2"/>
  <c r="S3695" i="2"/>
  <c r="T3695" i="2" s="1"/>
  <c r="U3694" i="2"/>
  <c r="S3694" i="2"/>
  <c r="T3694" i="2" s="1"/>
  <c r="U3693" i="2"/>
  <c r="S3693" i="2"/>
  <c r="T3693" i="2" s="1"/>
  <c r="U3692" i="2"/>
  <c r="S3692" i="2"/>
  <c r="T3692" i="2" s="1"/>
  <c r="U3691" i="2"/>
  <c r="S3691" i="2"/>
  <c r="T3691" i="2" s="1"/>
  <c r="U3690" i="2"/>
  <c r="S3690" i="2"/>
  <c r="T3690" i="2" s="1"/>
  <c r="U3689" i="2"/>
  <c r="S3689" i="2"/>
  <c r="T3689" i="2" s="1"/>
  <c r="U3688" i="2"/>
  <c r="S3688" i="2"/>
  <c r="T3688" i="2" s="1"/>
  <c r="U3687" i="2"/>
  <c r="S3687" i="2"/>
  <c r="T3687" i="2" s="1"/>
  <c r="U3686" i="2"/>
  <c r="S3686" i="2"/>
  <c r="T3686" i="2" s="1"/>
  <c r="U3685" i="2"/>
  <c r="S3685" i="2"/>
  <c r="T3685" i="2" s="1"/>
  <c r="U3684" i="2"/>
  <c r="S3684" i="2"/>
  <c r="T3684" i="2" s="1"/>
  <c r="U3683" i="2"/>
  <c r="S3683" i="2"/>
  <c r="T3683" i="2" s="1"/>
  <c r="U3682" i="2"/>
  <c r="S3682" i="2"/>
  <c r="T3682" i="2" s="1"/>
  <c r="U3681" i="2"/>
  <c r="S3681" i="2"/>
  <c r="T3681" i="2" s="1"/>
  <c r="U3680" i="2"/>
  <c r="S3680" i="2"/>
  <c r="T3680" i="2" s="1"/>
  <c r="U3679" i="2"/>
  <c r="S3679" i="2"/>
  <c r="T3679" i="2" s="1"/>
  <c r="U3678" i="2"/>
  <c r="S3678" i="2"/>
  <c r="T3678" i="2" s="1"/>
  <c r="U3677" i="2"/>
  <c r="S3677" i="2"/>
  <c r="T3677" i="2" s="1"/>
  <c r="U3676" i="2"/>
  <c r="S3676" i="2"/>
  <c r="T3676" i="2" s="1"/>
  <c r="U3675" i="2"/>
  <c r="S3675" i="2"/>
  <c r="T3675" i="2" s="1"/>
  <c r="U3674" i="2"/>
  <c r="S3674" i="2"/>
  <c r="T3674" i="2" s="1"/>
  <c r="U3673" i="2"/>
  <c r="S3673" i="2"/>
  <c r="T3673" i="2" s="1"/>
  <c r="U3672" i="2"/>
  <c r="S3672" i="2"/>
  <c r="T3672" i="2" s="1"/>
  <c r="U3671" i="2"/>
  <c r="S3671" i="2"/>
  <c r="T3671" i="2" s="1"/>
  <c r="U3670" i="2"/>
  <c r="S3670" i="2"/>
  <c r="T3670" i="2" s="1"/>
  <c r="U3669" i="2"/>
  <c r="S3669" i="2"/>
  <c r="T3669" i="2" s="1"/>
  <c r="U3668" i="2"/>
  <c r="S3668" i="2"/>
  <c r="T3668" i="2" s="1"/>
  <c r="U3667" i="2"/>
  <c r="S3667" i="2"/>
  <c r="T3667" i="2" s="1"/>
  <c r="U3666" i="2"/>
  <c r="S3666" i="2"/>
  <c r="T3666" i="2" s="1"/>
  <c r="U3665" i="2"/>
  <c r="S3665" i="2"/>
  <c r="T3665" i="2" s="1"/>
  <c r="U3664" i="2"/>
  <c r="S3664" i="2"/>
  <c r="T3664" i="2" s="1"/>
  <c r="U3663" i="2"/>
  <c r="S3663" i="2"/>
  <c r="T3663" i="2" s="1"/>
  <c r="U3662" i="2"/>
  <c r="S3662" i="2"/>
  <c r="T3662" i="2" s="1"/>
  <c r="U3661" i="2"/>
  <c r="S3661" i="2"/>
  <c r="T3661" i="2" s="1"/>
  <c r="U3660" i="2"/>
  <c r="S3660" i="2"/>
  <c r="T3660" i="2" s="1"/>
  <c r="U3659" i="2"/>
  <c r="S3659" i="2"/>
  <c r="T3659" i="2" s="1"/>
  <c r="U3658" i="2"/>
  <c r="S3658" i="2"/>
  <c r="T3658" i="2" s="1"/>
  <c r="U3657" i="2"/>
  <c r="S3657" i="2"/>
  <c r="T3657" i="2" s="1"/>
  <c r="U3656" i="2"/>
  <c r="T3656" i="2"/>
  <c r="S3656" i="2"/>
  <c r="U3655" i="2"/>
  <c r="S3655" i="2"/>
  <c r="T3655" i="2" s="1"/>
  <c r="U3654" i="2"/>
  <c r="T3654" i="2"/>
  <c r="S3654" i="2"/>
  <c r="U3653" i="2"/>
  <c r="S3653" i="2"/>
  <c r="T3653" i="2" s="1"/>
  <c r="U3652" i="2"/>
  <c r="S3652" i="2"/>
  <c r="T3652" i="2" s="1"/>
  <c r="U3651" i="2"/>
  <c r="S3651" i="2"/>
  <c r="T3651" i="2" s="1"/>
  <c r="U3650" i="2"/>
  <c r="S3650" i="2"/>
  <c r="T3650" i="2" s="1"/>
  <c r="U3649" i="2"/>
  <c r="S3649" i="2"/>
  <c r="T3649" i="2" s="1"/>
  <c r="U3648" i="2"/>
  <c r="S3648" i="2"/>
  <c r="T3648" i="2" s="1"/>
  <c r="U3647" i="2"/>
  <c r="S3647" i="2"/>
  <c r="T3647" i="2" s="1"/>
  <c r="U3646" i="2"/>
  <c r="S3646" i="2"/>
  <c r="T3646" i="2" s="1"/>
  <c r="U3645" i="2"/>
  <c r="S3645" i="2"/>
  <c r="T3645" i="2" s="1"/>
  <c r="U3644" i="2"/>
  <c r="S3644" i="2"/>
  <c r="T3644" i="2" s="1"/>
  <c r="U3643" i="2"/>
  <c r="S3643" i="2"/>
  <c r="T3643" i="2" s="1"/>
  <c r="U3642" i="2"/>
  <c r="S3642" i="2"/>
  <c r="T3642" i="2" s="1"/>
  <c r="U3641" i="2"/>
  <c r="S3641" i="2"/>
  <c r="T3641" i="2" s="1"/>
  <c r="U3640" i="2"/>
  <c r="S3640" i="2"/>
  <c r="T3640" i="2" s="1"/>
  <c r="U3639" i="2"/>
  <c r="S3639" i="2"/>
  <c r="T3639" i="2" s="1"/>
  <c r="U3638" i="2"/>
  <c r="S3638" i="2"/>
  <c r="T3638" i="2" s="1"/>
  <c r="U3637" i="2"/>
  <c r="S3637" i="2"/>
  <c r="T3637" i="2" s="1"/>
  <c r="U3636" i="2"/>
  <c r="S3636" i="2"/>
  <c r="T3636" i="2" s="1"/>
  <c r="U3635" i="2"/>
  <c r="S3635" i="2"/>
  <c r="T3635" i="2" s="1"/>
  <c r="U3634" i="2"/>
  <c r="S3634" i="2"/>
  <c r="T3634" i="2" s="1"/>
  <c r="U3633" i="2"/>
  <c r="S3633" i="2"/>
  <c r="T3633" i="2" s="1"/>
  <c r="U3632" i="2"/>
  <c r="S3632" i="2"/>
  <c r="T3632" i="2" s="1"/>
  <c r="U3631" i="2"/>
  <c r="S3631" i="2"/>
  <c r="T3631" i="2" s="1"/>
  <c r="U3630" i="2"/>
  <c r="S3630" i="2"/>
  <c r="T3630" i="2" s="1"/>
  <c r="U3629" i="2"/>
  <c r="S3629" i="2"/>
  <c r="T3629" i="2" s="1"/>
  <c r="U3628" i="2"/>
  <c r="S3628" i="2"/>
  <c r="T3628" i="2" s="1"/>
  <c r="U3627" i="2"/>
  <c r="S3627" i="2"/>
  <c r="T3627" i="2" s="1"/>
  <c r="U3626" i="2"/>
  <c r="S3626" i="2"/>
  <c r="T3626" i="2" s="1"/>
  <c r="U3625" i="2"/>
  <c r="T3625" i="2"/>
  <c r="S3625" i="2"/>
  <c r="U3624" i="2"/>
  <c r="S3624" i="2"/>
  <c r="T3624" i="2" s="1"/>
  <c r="U3623" i="2"/>
  <c r="S3623" i="2"/>
  <c r="T3623" i="2" s="1"/>
  <c r="U3622" i="2"/>
  <c r="S3622" i="2"/>
  <c r="T3622" i="2" s="1"/>
  <c r="U3621" i="2"/>
  <c r="T3621" i="2"/>
  <c r="S3621" i="2"/>
  <c r="U3620" i="2"/>
  <c r="S3620" i="2"/>
  <c r="T3620" i="2" s="1"/>
  <c r="U3619" i="2"/>
  <c r="S3619" i="2"/>
  <c r="T3619" i="2" s="1"/>
  <c r="U3618" i="2"/>
  <c r="S3618" i="2"/>
  <c r="T3618" i="2" s="1"/>
  <c r="U3617" i="2"/>
  <c r="S3617" i="2"/>
  <c r="T3617" i="2" s="1"/>
  <c r="U3616" i="2"/>
  <c r="S3616" i="2"/>
  <c r="T3616" i="2" s="1"/>
  <c r="U3615" i="2"/>
  <c r="S3615" i="2"/>
  <c r="T3615" i="2" s="1"/>
  <c r="U3614" i="2"/>
  <c r="S3614" i="2"/>
  <c r="T3614" i="2" s="1"/>
  <c r="U3613" i="2"/>
  <c r="S3613" i="2"/>
  <c r="T3613" i="2" s="1"/>
  <c r="U3612" i="2"/>
  <c r="S3612" i="2"/>
  <c r="T3612" i="2" s="1"/>
  <c r="U3611" i="2"/>
  <c r="S3611" i="2"/>
  <c r="T3611" i="2" s="1"/>
  <c r="U3610" i="2"/>
  <c r="S3610" i="2"/>
  <c r="T3610" i="2" s="1"/>
  <c r="U3609" i="2"/>
  <c r="S3609" i="2"/>
  <c r="T3609" i="2" s="1"/>
  <c r="U3608" i="2"/>
  <c r="S3608" i="2"/>
  <c r="T3608" i="2" s="1"/>
  <c r="U3607" i="2"/>
  <c r="S3607" i="2"/>
  <c r="T3607" i="2" s="1"/>
  <c r="U3606" i="2"/>
  <c r="S3606" i="2"/>
  <c r="T3606" i="2" s="1"/>
  <c r="U3605" i="2"/>
  <c r="S3605" i="2"/>
  <c r="T3605" i="2" s="1"/>
  <c r="U3604" i="2"/>
  <c r="S3604" i="2"/>
  <c r="T3604" i="2" s="1"/>
  <c r="U3603" i="2"/>
  <c r="S3603" i="2"/>
  <c r="T3603" i="2" s="1"/>
  <c r="U3602" i="2"/>
  <c r="S3602" i="2"/>
  <c r="T3602" i="2" s="1"/>
  <c r="U3601" i="2"/>
  <c r="S3601" i="2"/>
  <c r="T3601" i="2" s="1"/>
  <c r="U3600" i="2"/>
  <c r="S3600" i="2"/>
  <c r="T3600" i="2" s="1"/>
  <c r="U3599" i="2"/>
  <c r="S3599" i="2"/>
  <c r="T3599" i="2" s="1"/>
  <c r="U3598" i="2"/>
  <c r="S3598" i="2"/>
  <c r="T3598" i="2" s="1"/>
  <c r="U3597" i="2"/>
  <c r="S3597" i="2"/>
  <c r="T3597" i="2" s="1"/>
  <c r="U3596" i="2"/>
  <c r="S3596" i="2"/>
  <c r="T3596" i="2" s="1"/>
  <c r="U3595" i="2"/>
  <c r="S3595" i="2"/>
  <c r="T3595" i="2" s="1"/>
  <c r="U3594" i="2"/>
  <c r="S3594" i="2"/>
  <c r="T3594" i="2" s="1"/>
  <c r="U3593" i="2"/>
  <c r="S3593" i="2"/>
  <c r="T3593" i="2" s="1"/>
  <c r="U3592" i="2"/>
  <c r="S3592" i="2"/>
  <c r="T3592" i="2" s="1"/>
  <c r="U3591" i="2"/>
  <c r="S3591" i="2"/>
  <c r="T3591" i="2" s="1"/>
  <c r="U3590" i="2"/>
  <c r="S3590" i="2"/>
  <c r="T3590" i="2" s="1"/>
  <c r="U3589" i="2"/>
  <c r="S3589" i="2"/>
  <c r="T3589" i="2" s="1"/>
  <c r="U3588" i="2"/>
  <c r="S3588" i="2"/>
  <c r="T3588" i="2" s="1"/>
  <c r="U3587" i="2"/>
  <c r="S3587" i="2"/>
  <c r="T3587" i="2" s="1"/>
  <c r="U3586" i="2"/>
  <c r="S3586" i="2"/>
  <c r="T3586" i="2" s="1"/>
  <c r="U3585" i="2"/>
  <c r="S3585" i="2"/>
  <c r="T3585" i="2" s="1"/>
  <c r="U3584" i="2"/>
  <c r="S3584" i="2"/>
  <c r="T3584" i="2" s="1"/>
  <c r="U3583" i="2"/>
  <c r="S3583" i="2"/>
  <c r="T3583" i="2" s="1"/>
  <c r="U3582" i="2"/>
  <c r="S3582" i="2"/>
  <c r="T3582" i="2" s="1"/>
  <c r="U3581" i="2"/>
  <c r="S3581" i="2"/>
  <c r="T3581" i="2" s="1"/>
  <c r="U3580" i="2"/>
  <c r="S3580" i="2"/>
  <c r="T3580" i="2" s="1"/>
  <c r="U3579" i="2"/>
  <c r="S3579" i="2"/>
  <c r="T3579" i="2" s="1"/>
  <c r="U3578" i="2"/>
  <c r="S3578" i="2"/>
  <c r="T3578" i="2" s="1"/>
  <c r="U3577" i="2"/>
  <c r="S3577" i="2"/>
  <c r="T3577" i="2" s="1"/>
  <c r="U3576" i="2"/>
  <c r="S3576" i="2"/>
  <c r="T3576" i="2" s="1"/>
  <c r="U3575" i="2"/>
  <c r="S3575" i="2"/>
  <c r="T3575" i="2" s="1"/>
  <c r="U3574" i="2"/>
  <c r="S3574" i="2"/>
  <c r="T3574" i="2" s="1"/>
  <c r="U3573" i="2"/>
  <c r="S3573" i="2"/>
  <c r="T3573" i="2" s="1"/>
  <c r="U3572" i="2"/>
  <c r="S3572" i="2"/>
  <c r="T3572" i="2" s="1"/>
  <c r="U3571" i="2"/>
  <c r="S3571" i="2"/>
  <c r="T3571" i="2" s="1"/>
  <c r="U3570" i="2"/>
  <c r="S3570" i="2"/>
  <c r="T3570" i="2" s="1"/>
  <c r="U3569" i="2"/>
  <c r="S3569" i="2"/>
  <c r="T3569" i="2" s="1"/>
  <c r="U3568" i="2"/>
  <c r="S3568" i="2"/>
  <c r="T3568" i="2" s="1"/>
  <c r="U3567" i="2"/>
  <c r="S3567" i="2"/>
  <c r="T3567" i="2" s="1"/>
  <c r="U3566" i="2"/>
  <c r="S3566" i="2"/>
  <c r="T3566" i="2" s="1"/>
  <c r="U3565" i="2"/>
  <c r="S3565" i="2"/>
  <c r="T3565" i="2" s="1"/>
  <c r="U3564" i="2"/>
  <c r="S3564" i="2"/>
  <c r="T3564" i="2" s="1"/>
  <c r="U3563" i="2"/>
  <c r="S3563" i="2"/>
  <c r="T3563" i="2" s="1"/>
  <c r="U3562" i="2"/>
  <c r="S3562" i="2"/>
  <c r="T3562" i="2" s="1"/>
  <c r="U3561" i="2"/>
  <c r="S3561" i="2"/>
  <c r="T3561" i="2" s="1"/>
  <c r="U3560" i="2"/>
  <c r="S3560" i="2"/>
  <c r="T3560" i="2" s="1"/>
  <c r="U3559" i="2"/>
  <c r="S3559" i="2"/>
  <c r="T3559" i="2" s="1"/>
  <c r="U3558" i="2"/>
  <c r="S3558" i="2"/>
  <c r="T3558" i="2" s="1"/>
  <c r="U3557" i="2"/>
  <c r="S3557" i="2"/>
  <c r="T3557" i="2" s="1"/>
  <c r="U3556" i="2"/>
  <c r="S3556" i="2"/>
  <c r="T3556" i="2" s="1"/>
  <c r="U3555" i="2"/>
  <c r="S3555" i="2"/>
  <c r="T3555" i="2" s="1"/>
  <c r="U3554" i="2"/>
  <c r="S3554" i="2"/>
  <c r="T3554" i="2" s="1"/>
  <c r="U3553" i="2"/>
  <c r="T3553" i="2"/>
  <c r="S3553" i="2"/>
  <c r="U3552" i="2"/>
  <c r="S3552" i="2"/>
  <c r="T3552" i="2" s="1"/>
  <c r="U3551" i="2"/>
  <c r="S3551" i="2"/>
  <c r="T3551" i="2" s="1"/>
  <c r="U3550" i="2"/>
  <c r="S3550" i="2"/>
  <c r="T3550" i="2" s="1"/>
  <c r="U3549" i="2"/>
  <c r="S3549" i="2"/>
  <c r="T3549" i="2" s="1"/>
  <c r="U3548" i="2"/>
  <c r="T3548" i="2"/>
  <c r="S3548" i="2"/>
  <c r="U3547" i="2"/>
  <c r="S3547" i="2"/>
  <c r="T3547" i="2" s="1"/>
  <c r="U3546" i="2"/>
  <c r="S3546" i="2"/>
  <c r="T3546" i="2" s="1"/>
  <c r="U3545" i="2"/>
  <c r="S3545" i="2"/>
  <c r="T3545" i="2" s="1"/>
  <c r="U3544" i="2"/>
  <c r="S3544" i="2"/>
  <c r="T3544" i="2" s="1"/>
  <c r="U3543" i="2"/>
  <c r="S3543" i="2"/>
  <c r="T3543" i="2" s="1"/>
  <c r="U3542" i="2"/>
  <c r="S3542" i="2"/>
  <c r="T3542" i="2" s="1"/>
  <c r="U3541" i="2"/>
  <c r="S3541" i="2"/>
  <c r="T3541" i="2" s="1"/>
  <c r="U3540" i="2"/>
  <c r="S3540" i="2"/>
  <c r="T3540" i="2" s="1"/>
  <c r="U3539" i="2"/>
  <c r="S3539" i="2"/>
  <c r="T3539" i="2" s="1"/>
  <c r="U3538" i="2"/>
  <c r="S3538" i="2"/>
  <c r="T3538" i="2" s="1"/>
  <c r="U3537" i="2"/>
  <c r="S3537" i="2"/>
  <c r="T3537" i="2" s="1"/>
  <c r="U3536" i="2"/>
  <c r="S3536" i="2"/>
  <c r="T3536" i="2" s="1"/>
  <c r="U3535" i="2"/>
  <c r="S3535" i="2"/>
  <c r="T3535" i="2" s="1"/>
  <c r="U3534" i="2"/>
  <c r="S3534" i="2"/>
  <c r="T3534" i="2" s="1"/>
  <c r="U3533" i="2"/>
  <c r="S3533" i="2"/>
  <c r="T3533" i="2" s="1"/>
  <c r="U3532" i="2"/>
  <c r="S3532" i="2"/>
  <c r="T3532" i="2" s="1"/>
  <c r="U3531" i="2"/>
  <c r="S3531" i="2"/>
  <c r="T3531" i="2" s="1"/>
  <c r="U3530" i="2"/>
  <c r="S3530" i="2"/>
  <c r="T3530" i="2" s="1"/>
  <c r="U3529" i="2"/>
  <c r="S3529" i="2"/>
  <c r="T3529" i="2" s="1"/>
  <c r="U3528" i="2"/>
  <c r="S3528" i="2"/>
  <c r="T3528" i="2" s="1"/>
  <c r="U3527" i="2"/>
  <c r="S3527" i="2"/>
  <c r="T3527" i="2" s="1"/>
  <c r="U3526" i="2"/>
  <c r="S3526" i="2"/>
  <c r="T3526" i="2" s="1"/>
  <c r="U3525" i="2"/>
  <c r="S3525" i="2"/>
  <c r="T3525" i="2" s="1"/>
  <c r="U3524" i="2"/>
  <c r="S3524" i="2"/>
  <c r="T3524" i="2" s="1"/>
  <c r="U3523" i="2"/>
  <c r="S3523" i="2"/>
  <c r="T3523" i="2" s="1"/>
  <c r="U3522" i="2"/>
  <c r="S3522" i="2"/>
  <c r="T3522" i="2" s="1"/>
  <c r="U3521" i="2"/>
  <c r="S3521" i="2"/>
  <c r="T3521" i="2" s="1"/>
  <c r="U3520" i="2"/>
  <c r="S3520" i="2"/>
  <c r="T3520" i="2" s="1"/>
  <c r="U3519" i="2"/>
  <c r="S3519" i="2"/>
  <c r="T3519" i="2" s="1"/>
  <c r="U3518" i="2"/>
  <c r="S3518" i="2"/>
  <c r="T3518" i="2" s="1"/>
  <c r="U3517" i="2"/>
  <c r="S3517" i="2"/>
  <c r="T3517" i="2" s="1"/>
  <c r="U3516" i="2"/>
  <c r="S3516" i="2"/>
  <c r="T3516" i="2" s="1"/>
  <c r="U3515" i="2"/>
  <c r="S3515" i="2"/>
  <c r="T3515" i="2" s="1"/>
  <c r="U3514" i="2"/>
  <c r="S3514" i="2"/>
  <c r="T3514" i="2" s="1"/>
  <c r="U3513" i="2"/>
  <c r="S3513" i="2"/>
  <c r="T3513" i="2" s="1"/>
  <c r="U3512" i="2"/>
  <c r="S3512" i="2"/>
  <c r="T3512" i="2" s="1"/>
  <c r="U3511" i="2"/>
  <c r="S3511" i="2"/>
  <c r="T3511" i="2" s="1"/>
  <c r="U3510" i="2"/>
  <c r="S3510" i="2"/>
  <c r="T3510" i="2" s="1"/>
  <c r="U3509" i="2"/>
  <c r="S3509" i="2"/>
  <c r="T3509" i="2" s="1"/>
  <c r="U3508" i="2"/>
  <c r="S3508" i="2"/>
  <c r="T3508" i="2" s="1"/>
  <c r="U3507" i="2"/>
  <c r="S3507" i="2"/>
  <c r="T3507" i="2" s="1"/>
  <c r="U3506" i="2"/>
  <c r="S3506" i="2"/>
  <c r="T3506" i="2" s="1"/>
  <c r="U3505" i="2"/>
  <c r="S3505" i="2"/>
  <c r="T3505" i="2" s="1"/>
  <c r="U3504" i="2"/>
  <c r="S3504" i="2"/>
  <c r="T3504" i="2" s="1"/>
  <c r="U3503" i="2"/>
  <c r="S3503" i="2"/>
  <c r="T3503" i="2" s="1"/>
  <c r="U3502" i="2"/>
  <c r="S3502" i="2"/>
  <c r="T3502" i="2" s="1"/>
  <c r="U3501" i="2"/>
  <c r="S3501" i="2"/>
  <c r="T3501" i="2" s="1"/>
  <c r="U3500" i="2"/>
  <c r="S3500" i="2"/>
  <c r="T3500" i="2" s="1"/>
  <c r="U3499" i="2"/>
  <c r="S3499" i="2"/>
  <c r="T3499" i="2" s="1"/>
  <c r="U3498" i="2"/>
  <c r="S3498" i="2"/>
  <c r="T3498" i="2" s="1"/>
  <c r="U3497" i="2"/>
  <c r="S3497" i="2"/>
  <c r="T3497" i="2" s="1"/>
  <c r="U3496" i="2"/>
  <c r="S3496" i="2"/>
  <c r="T3496" i="2" s="1"/>
  <c r="U3495" i="2"/>
  <c r="S3495" i="2"/>
  <c r="T3495" i="2" s="1"/>
  <c r="U3494" i="2"/>
  <c r="S3494" i="2"/>
  <c r="T3494" i="2" s="1"/>
  <c r="U3493" i="2"/>
  <c r="S3493" i="2"/>
  <c r="T3493" i="2" s="1"/>
  <c r="U3492" i="2"/>
  <c r="S3492" i="2"/>
  <c r="T3492" i="2" s="1"/>
  <c r="U3491" i="2"/>
  <c r="S3491" i="2"/>
  <c r="T3491" i="2" s="1"/>
  <c r="U3490" i="2"/>
  <c r="S3490" i="2"/>
  <c r="T3490" i="2" s="1"/>
  <c r="U3489" i="2"/>
  <c r="S3489" i="2"/>
  <c r="T3489" i="2" s="1"/>
  <c r="U3488" i="2"/>
  <c r="S3488" i="2"/>
  <c r="T3488" i="2" s="1"/>
  <c r="U3487" i="2"/>
  <c r="S3487" i="2"/>
  <c r="T3487" i="2" s="1"/>
  <c r="U3486" i="2"/>
  <c r="S3486" i="2"/>
  <c r="T3486" i="2" s="1"/>
  <c r="U3485" i="2"/>
  <c r="S3485" i="2"/>
  <c r="T3485" i="2" s="1"/>
  <c r="U3484" i="2"/>
  <c r="S3484" i="2"/>
  <c r="T3484" i="2" s="1"/>
  <c r="U3483" i="2"/>
  <c r="S3483" i="2"/>
  <c r="T3483" i="2" s="1"/>
  <c r="U3482" i="2"/>
  <c r="S3482" i="2"/>
  <c r="T3482" i="2" s="1"/>
  <c r="U3481" i="2"/>
  <c r="S3481" i="2"/>
  <c r="T3481" i="2" s="1"/>
  <c r="U3480" i="2"/>
  <c r="S3480" i="2"/>
  <c r="T3480" i="2" s="1"/>
  <c r="U3479" i="2"/>
  <c r="S3479" i="2"/>
  <c r="T3479" i="2" s="1"/>
  <c r="U3478" i="2"/>
  <c r="S3478" i="2"/>
  <c r="T3478" i="2" s="1"/>
  <c r="U3477" i="2"/>
  <c r="S3477" i="2"/>
  <c r="T3477" i="2" s="1"/>
  <c r="U3476" i="2"/>
  <c r="S3476" i="2"/>
  <c r="T3476" i="2" s="1"/>
  <c r="U3475" i="2"/>
  <c r="S3475" i="2"/>
  <c r="T3475" i="2" s="1"/>
  <c r="U3474" i="2"/>
  <c r="S3474" i="2"/>
  <c r="T3474" i="2" s="1"/>
  <c r="U3473" i="2"/>
  <c r="S3473" i="2"/>
  <c r="T3473" i="2" s="1"/>
  <c r="U3472" i="2"/>
  <c r="S3472" i="2"/>
  <c r="T3472" i="2" s="1"/>
  <c r="U3471" i="2"/>
  <c r="S3471" i="2"/>
  <c r="T3471" i="2" s="1"/>
  <c r="U3470" i="2"/>
  <c r="S3470" i="2"/>
  <c r="T3470" i="2" s="1"/>
  <c r="U3469" i="2"/>
  <c r="S3469" i="2"/>
  <c r="T3469" i="2" s="1"/>
  <c r="U3468" i="2"/>
  <c r="S3468" i="2"/>
  <c r="T3468" i="2" s="1"/>
  <c r="U3467" i="2"/>
  <c r="S3467" i="2"/>
  <c r="T3467" i="2" s="1"/>
  <c r="U3466" i="2"/>
  <c r="S3466" i="2"/>
  <c r="T3466" i="2" s="1"/>
  <c r="U3465" i="2"/>
  <c r="S3465" i="2"/>
  <c r="T3465" i="2" s="1"/>
  <c r="U3464" i="2"/>
  <c r="S3464" i="2"/>
  <c r="T3464" i="2" s="1"/>
  <c r="U3463" i="2"/>
  <c r="S3463" i="2"/>
  <c r="T3463" i="2" s="1"/>
  <c r="U3462" i="2"/>
  <c r="S3462" i="2"/>
  <c r="T3462" i="2" s="1"/>
  <c r="U3461" i="2"/>
  <c r="T3461" i="2"/>
  <c r="S3461" i="2"/>
  <c r="U3460" i="2"/>
  <c r="S3460" i="2"/>
  <c r="T3460" i="2" s="1"/>
  <c r="U3459" i="2"/>
  <c r="S3459" i="2"/>
  <c r="T3459" i="2" s="1"/>
  <c r="U3458" i="2"/>
  <c r="T3458" i="2"/>
  <c r="S3458" i="2"/>
  <c r="U3457" i="2"/>
  <c r="S3457" i="2"/>
  <c r="T3457" i="2" s="1"/>
  <c r="U3456" i="2"/>
  <c r="S3456" i="2"/>
  <c r="T3456" i="2" s="1"/>
  <c r="U3455" i="2"/>
  <c r="S3455" i="2"/>
  <c r="T3455" i="2" s="1"/>
  <c r="U3454" i="2"/>
  <c r="S3454" i="2"/>
  <c r="T3454" i="2" s="1"/>
  <c r="U3453" i="2"/>
  <c r="S3453" i="2"/>
  <c r="T3453" i="2" s="1"/>
  <c r="U3452" i="2"/>
  <c r="S3452" i="2"/>
  <c r="T3452" i="2" s="1"/>
  <c r="U3451" i="2"/>
  <c r="S3451" i="2"/>
  <c r="T3451" i="2" s="1"/>
  <c r="U3450" i="2"/>
  <c r="S3450" i="2"/>
  <c r="T3450" i="2" s="1"/>
  <c r="U3449" i="2"/>
  <c r="S3449" i="2"/>
  <c r="T3449" i="2" s="1"/>
  <c r="U3448" i="2"/>
  <c r="S3448" i="2"/>
  <c r="T3448" i="2" s="1"/>
  <c r="U3447" i="2"/>
  <c r="S3447" i="2"/>
  <c r="T3447" i="2" s="1"/>
  <c r="U3446" i="2"/>
  <c r="S3446" i="2"/>
  <c r="T3446" i="2" s="1"/>
  <c r="U3445" i="2"/>
  <c r="S3445" i="2"/>
  <c r="T3445" i="2" s="1"/>
  <c r="U3444" i="2"/>
  <c r="S3444" i="2"/>
  <c r="T3444" i="2" s="1"/>
  <c r="U3443" i="2"/>
  <c r="S3443" i="2"/>
  <c r="T3443" i="2" s="1"/>
  <c r="U3442" i="2"/>
  <c r="S3442" i="2"/>
  <c r="T3442" i="2" s="1"/>
  <c r="U3441" i="2"/>
  <c r="S3441" i="2"/>
  <c r="T3441" i="2" s="1"/>
  <c r="U3440" i="2"/>
  <c r="S3440" i="2"/>
  <c r="T3440" i="2" s="1"/>
  <c r="U3439" i="2"/>
  <c r="S3439" i="2"/>
  <c r="T3439" i="2" s="1"/>
  <c r="U3438" i="2"/>
  <c r="S3438" i="2"/>
  <c r="T3438" i="2" s="1"/>
  <c r="U3437" i="2"/>
  <c r="S3437" i="2"/>
  <c r="T3437" i="2" s="1"/>
  <c r="U3436" i="2"/>
  <c r="S3436" i="2"/>
  <c r="T3436" i="2" s="1"/>
  <c r="U3435" i="2"/>
  <c r="S3435" i="2"/>
  <c r="T3435" i="2" s="1"/>
  <c r="U3434" i="2"/>
  <c r="S3434" i="2"/>
  <c r="T3434" i="2" s="1"/>
  <c r="U3433" i="2"/>
  <c r="S3433" i="2"/>
  <c r="T3433" i="2" s="1"/>
  <c r="U3432" i="2"/>
  <c r="S3432" i="2"/>
  <c r="T3432" i="2" s="1"/>
  <c r="U3431" i="2"/>
  <c r="S3431" i="2"/>
  <c r="T3431" i="2" s="1"/>
  <c r="U3430" i="2"/>
  <c r="S3430" i="2"/>
  <c r="T3430" i="2" s="1"/>
  <c r="U3429" i="2"/>
  <c r="S3429" i="2"/>
  <c r="T3429" i="2" s="1"/>
  <c r="U3428" i="2"/>
  <c r="S3428" i="2"/>
  <c r="T3428" i="2" s="1"/>
  <c r="U3427" i="2"/>
  <c r="S3427" i="2"/>
  <c r="T3427" i="2" s="1"/>
  <c r="U3426" i="2"/>
  <c r="S3426" i="2"/>
  <c r="T3426" i="2" s="1"/>
  <c r="U3425" i="2"/>
  <c r="S3425" i="2"/>
  <c r="T3425" i="2" s="1"/>
  <c r="U3424" i="2"/>
  <c r="S3424" i="2"/>
  <c r="T3424" i="2" s="1"/>
  <c r="U3423" i="2"/>
  <c r="S3423" i="2"/>
  <c r="T3423" i="2" s="1"/>
  <c r="U3422" i="2"/>
  <c r="S3422" i="2"/>
  <c r="T3422" i="2" s="1"/>
  <c r="U3421" i="2"/>
  <c r="S3421" i="2"/>
  <c r="T3421" i="2" s="1"/>
  <c r="U3420" i="2"/>
  <c r="S3420" i="2"/>
  <c r="T3420" i="2" s="1"/>
  <c r="U3419" i="2"/>
  <c r="S3419" i="2"/>
  <c r="T3419" i="2" s="1"/>
  <c r="U3418" i="2"/>
  <c r="S3418" i="2"/>
  <c r="T3418" i="2" s="1"/>
  <c r="U3417" i="2"/>
  <c r="S3417" i="2"/>
  <c r="T3417" i="2" s="1"/>
  <c r="U3416" i="2"/>
  <c r="S3416" i="2"/>
  <c r="T3416" i="2" s="1"/>
  <c r="U3415" i="2"/>
  <c r="S3415" i="2"/>
  <c r="T3415" i="2" s="1"/>
  <c r="U3414" i="2"/>
  <c r="S3414" i="2"/>
  <c r="T3414" i="2" s="1"/>
  <c r="U3413" i="2"/>
  <c r="S3413" i="2"/>
  <c r="T3413" i="2" s="1"/>
  <c r="U3412" i="2"/>
  <c r="S3412" i="2"/>
  <c r="T3412" i="2" s="1"/>
  <c r="U3411" i="2"/>
  <c r="S3411" i="2"/>
  <c r="T3411" i="2" s="1"/>
  <c r="U3410" i="2"/>
  <c r="S3410" i="2"/>
  <c r="T3410" i="2" s="1"/>
  <c r="U3409" i="2"/>
  <c r="S3409" i="2"/>
  <c r="T3409" i="2" s="1"/>
  <c r="U3408" i="2"/>
  <c r="S3408" i="2"/>
  <c r="T3408" i="2" s="1"/>
  <c r="U3407" i="2"/>
  <c r="S3407" i="2"/>
  <c r="T3407" i="2" s="1"/>
  <c r="U3406" i="2"/>
  <c r="S3406" i="2"/>
  <c r="T3406" i="2" s="1"/>
  <c r="U3405" i="2"/>
  <c r="S3405" i="2"/>
  <c r="T3405" i="2" s="1"/>
  <c r="U3404" i="2"/>
  <c r="S3404" i="2"/>
  <c r="T3404" i="2" s="1"/>
  <c r="U3403" i="2"/>
  <c r="S3403" i="2"/>
  <c r="T3403" i="2" s="1"/>
  <c r="U3402" i="2"/>
  <c r="S3402" i="2"/>
  <c r="T3402" i="2" s="1"/>
  <c r="U3401" i="2"/>
  <c r="S3401" i="2"/>
  <c r="T3401" i="2" s="1"/>
  <c r="U3400" i="2"/>
  <c r="S3400" i="2"/>
  <c r="T3400" i="2" s="1"/>
  <c r="U3399" i="2"/>
  <c r="S3399" i="2"/>
  <c r="T3399" i="2" s="1"/>
  <c r="U3398" i="2"/>
  <c r="S3398" i="2"/>
  <c r="T3398" i="2" s="1"/>
  <c r="U3397" i="2"/>
  <c r="S3397" i="2"/>
  <c r="T3397" i="2" s="1"/>
  <c r="U3396" i="2"/>
  <c r="S3396" i="2"/>
  <c r="T3396" i="2" s="1"/>
  <c r="U3395" i="2"/>
  <c r="S3395" i="2"/>
  <c r="T3395" i="2" s="1"/>
  <c r="U3394" i="2"/>
  <c r="T3394" i="2"/>
  <c r="S3394" i="2"/>
  <c r="U3393" i="2"/>
  <c r="S3393" i="2"/>
  <c r="T3393" i="2" s="1"/>
  <c r="U3392" i="2"/>
  <c r="S3392" i="2"/>
  <c r="T3392" i="2" s="1"/>
  <c r="U3391" i="2"/>
  <c r="S3391" i="2"/>
  <c r="T3391" i="2" s="1"/>
  <c r="U3390" i="2"/>
  <c r="S3390" i="2"/>
  <c r="T3390" i="2" s="1"/>
  <c r="U3389" i="2"/>
  <c r="S3389" i="2"/>
  <c r="T3389" i="2" s="1"/>
  <c r="U3388" i="2"/>
  <c r="S3388" i="2"/>
  <c r="T3388" i="2" s="1"/>
  <c r="U3387" i="2"/>
  <c r="S3387" i="2"/>
  <c r="T3387" i="2" s="1"/>
  <c r="U3386" i="2"/>
  <c r="S3386" i="2"/>
  <c r="T3386" i="2" s="1"/>
  <c r="U3385" i="2"/>
  <c r="S3385" i="2"/>
  <c r="T3385" i="2" s="1"/>
  <c r="U3384" i="2"/>
  <c r="S3384" i="2"/>
  <c r="T3384" i="2" s="1"/>
  <c r="U3383" i="2"/>
  <c r="S3383" i="2"/>
  <c r="T3383" i="2" s="1"/>
  <c r="U3382" i="2"/>
  <c r="S3382" i="2"/>
  <c r="T3382" i="2" s="1"/>
  <c r="U3381" i="2"/>
  <c r="S3381" i="2"/>
  <c r="T3381" i="2" s="1"/>
  <c r="U3380" i="2"/>
  <c r="S3380" i="2"/>
  <c r="T3380" i="2" s="1"/>
  <c r="U3379" i="2"/>
  <c r="S3379" i="2"/>
  <c r="T3379" i="2" s="1"/>
  <c r="U3378" i="2"/>
  <c r="S3378" i="2"/>
  <c r="T3378" i="2" s="1"/>
  <c r="U3377" i="2"/>
  <c r="T3377" i="2"/>
  <c r="S3377" i="2"/>
  <c r="U3376" i="2"/>
  <c r="S3376" i="2"/>
  <c r="T3376" i="2" s="1"/>
  <c r="U3375" i="2"/>
  <c r="S3375" i="2"/>
  <c r="T3375" i="2" s="1"/>
  <c r="U3374" i="2"/>
  <c r="S3374" i="2"/>
  <c r="T3374" i="2" s="1"/>
  <c r="U3373" i="2"/>
  <c r="S3373" i="2"/>
  <c r="T3373" i="2" s="1"/>
  <c r="U3372" i="2"/>
  <c r="S3372" i="2"/>
  <c r="T3372" i="2" s="1"/>
  <c r="U3371" i="2"/>
  <c r="S3371" i="2"/>
  <c r="T3371" i="2" s="1"/>
  <c r="U3370" i="2"/>
  <c r="S3370" i="2"/>
  <c r="T3370" i="2" s="1"/>
  <c r="U3369" i="2"/>
  <c r="T3369" i="2"/>
  <c r="S3369" i="2"/>
  <c r="U3368" i="2"/>
  <c r="S3368" i="2"/>
  <c r="T3368" i="2" s="1"/>
  <c r="U3367" i="2"/>
  <c r="S3367" i="2"/>
  <c r="T3367" i="2" s="1"/>
  <c r="U3366" i="2"/>
  <c r="S3366" i="2"/>
  <c r="T3366" i="2" s="1"/>
  <c r="U3365" i="2"/>
  <c r="S3365" i="2"/>
  <c r="T3365" i="2" s="1"/>
  <c r="U3364" i="2"/>
  <c r="S3364" i="2"/>
  <c r="T3364" i="2" s="1"/>
  <c r="U3363" i="2"/>
  <c r="S3363" i="2"/>
  <c r="T3363" i="2" s="1"/>
  <c r="U3362" i="2"/>
  <c r="S3362" i="2"/>
  <c r="T3362" i="2" s="1"/>
  <c r="U3361" i="2"/>
  <c r="S3361" i="2"/>
  <c r="T3361" i="2" s="1"/>
  <c r="U3360" i="2"/>
  <c r="S3360" i="2"/>
  <c r="T3360" i="2" s="1"/>
  <c r="U3359" i="2"/>
  <c r="S3359" i="2"/>
  <c r="T3359" i="2" s="1"/>
  <c r="U3358" i="2"/>
  <c r="S3358" i="2"/>
  <c r="T3358" i="2" s="1"/>
  <c r="U3357" i="2"/>
  <c r="S3357" i="2"/>
  <c r="T3357" i="2" s="1"/>
  <c r="U3356" i="2"/>
  <c r="S3356" i="2"/>
  <c r="T3356" i="2" s="1"/>
  <c r="U3355" i="2"/>
  <c r="S3355" i="2"/>
  <c r="T3355" i="2" s="1"/>
  <c r="U3354" i="2"/>
  <c r="S3354" i="2"/>
  <c r="T3354" i="2" s="1"/>
  <c r="U3353" i="2"/>
  <c r="S3353" i="2"/>
  <c r="T3353" i="2" s="1"/>
  <c r="U3352" i="2"/>
  <c r="S3352" i="2"/>
  <c r="T3352" i="2" s="1"/>
  <c r="U3351" i="2"/>
  <c r="S3351" i="2"/>
  <c r="T3351" i="2" s="1"/>
  <c r="U3350" i="2"/>
  <c r="S3350" i="2"/>
  <c r="T3350" i="2" s="1"/>
  <c r="U3349" i="2"/>
  <c r="S3349" i="2"/>
  <c r="T3349" i="2" s="1"/>
  <c r="U3348" i="2"/>
  <c r="S3348" i="2"/>
  <c r="T3348" i="2" s="1"/>
  <c r="U3347" i="2"/>
  <c r="S3347" i="2"/>
  <c r="T3347" i="2" s="1"/>
  <c r="U3346" i="2"/>
  <c r="S3346" i="2"/>
  <c r="T3346" i="2" s="1"/>
  <c r="U3345" i="2"/>
  <c r="S3345" i="2"/>
  <c r="T3345" i="2" s="1"/>
  <c r="U3344" i="2"/>
  <c r="S3344" i="2"/>
  <c r="T3344" i="2" s="1"/>
  <c r="U3343" i="2"/>
  <c r="S3343" i="2"/>
  <c r="T3343" i="2" s="1"/>
  <c r="U3342" i="2"/>
  <c r="S3342" i="2"/>
  <c r="T3342" i="2" s="1"/>
  <c r="U3341" i="2"/>
  <c r="S3341" i="2"/>
  <c r="T3341" i="2" s="1"/>
  <c r="U3340" i="2"/>
  <c r="S3340" i="2"/>
  <c r="T3340" i="2" s="1"/>
  <c r="U3339" i="2"/>
  <c r="S3339" i="2"/>
  <c r="T3339" i="2" s="1"/>
  <c r="U3338" i="2"/>
  <c r="S3338" i="2"/>
  <c r="T3338" i="2" s="1"/>
  <c r="U3337" i="2"/>
  <c r="S3337" i="2"/>
  <c r="T3337" i="2" s="1"/>
  <c r="U3336" i="2"/>
  <c r="S3336" i="2"/>
  <c r="T3336" i="2" s="1"/>
  <c r="U3335" i="2"/>
  <c r="S3335" i="2"/>
  <c r="T3335" i="2" s="1"/>
  <c r="U3334" i="2"/>
  <c r="S3334" i="2"/>
  <c r="T3334" i="2" s="1"/>
  <c r="U3333" i="2"/>
  <c r="S3333" i="2"/>
  <c r="T3333" i="2" s="1"/>
  <c r="U3332" i="2"/>
  <c r="S3332" i="2"/>
  <c r="T3332" i="2" s="1"/>
  <c r="U3331" i="2"/>
  <c r="S3331" i="2"/>
  <c r="T3331" i="2" s="1"/>
  <c r="U3330" i="2"/>
  <c r="S3330" i="2"/>
  <c r="T3330" i="2" s="1"/>
  <c r="U3329" i="2"/>
  <c r="S3329" i="2"/>
  <c r="T3329" i="2" s="1"/>
  <c r="U3328" i="2"/>
  <c r="S3328" i="2"/>
  <c r="T3328" i="2" s="1"/>
  <c r="U3327" i="2"/>
  <c r="S3327" i="2"/>
  <c r="T3327" i="2" s="1"/>
  <c r="U3326" i="2"/>
  <c r="S3326" i="2"/>
  <c r="T3326" i="2" s="1"/>
  <c r="U3325" i="2"/>
  <c r="S3325" i="2"/>
  <c r="T3325" i="2" s="1"/>
  <c r="U3324" i="2"/>
  <c r="S3324" i="2"/>
  <c r="T3324" i="2" s="1"/>
  <c r="U3323" i="2"/>
  <c r="S3323" i="2"/>
  <c r="T3323" i="2" s="1"/>
  <c r="U3322" i="2"/>
  <c r="S3322" i="2"/>
  <c r="T3322" i="2" s="1"/>
  <c r="U3321" i="2"/>
  <c r="S3321" i="2"/>
  <c r="T3321" i="2" s="1"/>
  <c r="U3320" i="2"/>
  <c r="S3320" i="2"/>
  <c r="T3320" i="2" s="1"/>
  <c r="U3319" i="2"/>
  <c r="S3319" i="2"/>
  <c r="T3319" i="2" s="1"/>
  <c r="U3318" i="2"/>
  <c r="S3318" i="2"/>
  <c r="T3318" i="2" s="1"/>
  <c r="U3317" i="2"/>
  <c r="S3317" i="2"/>
  <c r="T3317" i="2" s="1"/>
  <c r="U3316" i="2"/>
  <c r="S3316" i="2"/>
  <c r="T3316" i="2" s="1"/>
  <c r="U3315" i="2"/>
  <c r="S3315" i="2"/>
  <c r="T3315" i="2" s="1"/>
  <c r="U3314" i="2"/>
  <c r="S3314" i="2"/>
  <c r="T3314" i="2" s="1"/>
  <c r="U3313" i="2"/>
  <c r="S3313" i="2"/>
  <c r="T3313" i="2" s="1"/>
  <c r="U3312" i="2"/>
  <c r="S3312" i="2"/>
  <c r="T3312" i="2" s="1"/>
  <c r="U3311" i="2"/>
  <c r="S3311" i="2"/>
  <c r="T3311" i="2" s="1"/>
  <c r="U3310" i="2"/>
  <c r="S3310" i="2"/>
  <c r="T3310" i="2" s="1"/>
  <c r="U3309" i="2"/>
  <c r="S3309" i="2"/>
  <c r="T3309" i="2" s="1"/>
  <c r="U3308" i="2"/>
  <c r="S3308" i="2"/>
  <c r="T3308" i="2" s="1"/>
  <c r="U3307" i="2"/>
  <c r="S3307" i="2"/>
  <c r="T3307" i="2" s="1"/>
  <c r="U3306" i="2"/>
  <c r="S3306" i="2"/>
  <c r="T3306" i="2" s="1"/>
  <c r="U3305" i="2"/>
  <c r="S3305" i="2"/>
  <c r="T3305" i="2" s="1"/>
  <c r="U3304" i="2"/>
  <c r="S3304" i="2"/>
  <c r="T3304" i="2" s="1"/>
  <c r="U3303" i="2"/>
  <c r="S3303" i="2"/>
  <c r="T3303" i="2" s="1"/>
  <c r="U3302" i="2"/>
  <c r="S3302" i="2"/>
  <c r="T3302" i="2" s="1"/>
  <c r="U3301" i="2"/>
  <c r="S3301" i="2"/>
  <c r="T3301" i="2" s="1"/>
  <c r="U3300" i="2"/>
  <c r="S3300" i="2"/>
  <c r="T3300" i="2" s="1"/>
  <c r="U3299" i="2"/>
  <c r="S3299" i="2"/>
  <c r="T3299" i="2" s="1"/>
  <c r="U3298" i="2"/>
  <c r="S3298" i="2"/>
  <c r="T3298" i="2" s="1"/>
  <c r="U3297" i="2"/>
  <c r="S3297" i="2"/>
  <c r="T3297" i="2" s="1"/>
  <c r="U3296" i="2"/>
  <c r="S3296" i="2"/>
  <c r="T3296" i="2" s="1"/>
  <c r="U3295" i="2"/>
  <c r="S3295" i="2"/>
  <c r="T3295" i="2" s="1"/>
  <c r="U3294" i="2"/>
  <c r="S3294" i="2"/>
  <c r="T3294" i="2" s="1"/>
  <c r="U3293" i="2"/>
  <c r="S3293" i="2"/>
  <c r="T3293" i="2" s="1"/>
  <c r="U3292" i="2"/>
  <c r="S3292" i="2"/>
  <c r="T3292" i="2" s="1"/>
  <c r="U3291" i="2"/>
  <c r="S3291" i="2"/>
  <c r="T3291" i="2" s="1"/>
  <c r="U3290" i="2"/>
  <c r="S3290" i="2"/>
  <c r="T3290" i="2" s="1"/>
  <c r="U3289" i="2"/>
  <c r="S3289" i="2"/>
  <c r="T3289" i="2" s="1"/>
  <c r="U3288" i="2"/>
  <c r="S3288" i="2"/>
  <c r="T3288" i="2" s="1"/>
  <c r="U3287" i="2"/>
  <c r="S3287" i="2"/>
  <c r="T3287" i="2" s="1"/>
  <c r="U3286" i="2"/>
  <c r="S3286" i="2"/>
  <c r="T3286" i="2" s="1"/>
  <c r="U3285" i="2"/>
  <c r="S3285" i="2"/>
  <c r="T3285" i="2" s="1"/>
  <c r="U3284" i="2"/>
  <c r="S3284" i="2"/>
  <c r="T3284" i="2" s="1"/>
  <c r="U3283" i="2"/>
  <c r="S3283" i="2"/>
  <c r="T3283" i="2" s="1"/>
  <c r="U3282" i="2"/>
  <c r="S3282" i="2"/>
  <c r="T3282" i="2" s="1"/>
  <c r="U3281" i="2"/>
  <c r="S3281" i="2"/>
  <c r="T3281" i="2" s="1"/>
  <c r="U3280" i="2"/>
  <c r="S3280" i="2"/>
  <c r="T3280" i="2" s="1"/>
  <c r="U3279" i="2"/>
  <c r="S3279" i="2"/>
  <c r="T3279" i="2" s="1"/>
  <c r="U3278" i="2"/>
  <c r="S3278" i="2"/>
  <c r="T3278" i="2" s="1"/>
  <c r="U3277" i="2"/>
  <c r="S3277" i="2"/>
  <c r="T3277" i="2" s="1"/>
  <c r="U3276" i="2"/>
  <c r="S3276" i="2"/>
  <c r="T3276" i="2" s="1"/>
  <c r="U3275" i="2"/>
  <c r="S3275" i="2"/>
  <c r="T3275" i="2" s="1"/>
  <c r="U3274" i="2"/>
  <c r="S3274" i="2"/>
  <c r="T3274" i="2" s="1"/>
  <c r="U3273" i="2"/>
  <c r="S3273" i="2"/>
  <c r="T3273" i="2" s="1"/>
  <c r="U3272" i="2"/>
  <c r="S3272" i="2"/>
  <c r="T3272" i="2" s="1"/>
  <c r="U3271" i="2"/>
  <c r="S3271" i="2"/>
  <c r="T3271" i="2" s="1"/>
  <c r="U3270" i="2"/>
  <c r="S3270" i="2"/>
  <c r="T3270" i="2" s="1"/>
  <c r="U3269" i="2"/>
  <c r="S3269" i="2"/>
  <c r="T3269" i="2" s="1"/>
  <c r="U3268" i="2"/>
  <c r="S3268" i="2"/>
  <c r="T3268" i="2" s="1"/>
  <c r="U3267" i="2"/>
  <c r="S3267" i="2"/>
  <c r="T3267" i="2" s="1"/>
  <c r="U3266" i="2"/>
  <c r="S3266" i="2"/>
  <c r="T3266" i="2" s="1"/>
  <c r="U3265" i="2"/>
  <c r="S3265" i="2"/>
  <c r="T3265" i="2" s="1"/>
  <c r="U3264" i="2"/>
  <c r="T3264" i="2"/>
  <c r="S3264" i="2"/>
  <c r="U3263" i="2"/>
  <c r="S3263" i="2"/>
  <c r="T3263" i="2" s="1"/>
  <c r="U3262" i="2"/>
  <c r="S3262" i="2"/>
  <c r="T3262" i="2" s="1"/>
  <c r="U3261" i="2"/>
  <c r="S3261" i="2"/>
  <c r="T3261" i="2" s="1"/>
  <c r="U3260" i="2"/>
  <c r="S3260" i="2"/>
  <c r="T3260" i="2" s="1"/>
  <c r="U3259" i="2"/>
  <c r="S3259" i="2"/>
  <c r="T3259" i="2" s="1"/>
  <c r="U3258" i="2"/>
  <c r="S3258" i="2"/>
  <c r="T3258" i="2" s="1"/>
  <c r="U3257" i="2"/>
  <c r="S3257" i="2"/>
  <c r="T3257" i="2" s="1"/>
  <c r="U3256" i="2"/>
  <c r="T3256" i="2"/>
  <c r="S3256" i="2"/>
  <c r="U3255" i="2"/>
  <c r="S3255" i="2"/>
  <c r="T3255" i="2" s="1"/>
  <c r="U3254" i="2"/>
  <c r="S3254" i="2"/>
  <c r="T3254" i="2" s="1"/>
  <c r="U3253" i="2"/>
  <c r="S3253" i="2"/>
  <c r="T3253" i="2" s="1"/>
  <c r="U3252" i="2"/>
  <c r="S3252" i="2"/>
  <c r="T3252" i="2" s="1"/>
  <c r="U3251" i="2"/>
  <c r="T3251" i="2"/>
  <c r="S3251" i="2"/>
  <c r="U3250" i="2"/>
  <c r="S3250" i="2"/>
  <c r="T3250" i="2" s="1"/>
  <c r="U3249" i="2"/>
  <c r="S3249" i="2"/>
  <c r="T3249" i="2" s="1"/>
  <c r="U3248" i="2"/>
  <c r="S3248" i="2"/>
  <c r="T3248" i="2" s="1"/>
  <c r="U3247" i="2"/>
  <c r="S3247" i="2"/>
  <c r="T3247" i="2" s="1"/>
  <c r="U3246" i="2"/>
  <c r="S3246" i="2"/>
  <c r="T3246" i="2" s="1"/>
  <c r="U3245" i="2"/>
  <c r="S3245" i="2"/>
  <c r="T3245" i="2" s="1"/>
  <c r="U3244" i="2"/>
  <c r="S3244" i="2"/>
  <c r="T3244" i="2" s="1"/>
  <c r="U3243" i="2"/>
  <c r="S3243" i="2"/>
  <c r="T3243" i="2" s="1"/>
  <c r="U3242" i="2"/>
  <c r="S3242" i="2"/>
  <c r="T3242" i="2" s="1"/>
  <c r="U3241" i="2"/>
  <c r="S3241" i="2"/>
  <c r="T3241" i="2" s="1"/>
  <c r="U3240" i="2"/>
  <c r="S3240" i="2"/>
  <c r="T3240" i="2" s="1"/>
  <c r="U3239" i="2"/>
  <c r="S3239" i="2"/>
  <c r="T3239" i="2" s="1"/>
  <c r="U3238" i="2"/>
  <c r="S3238" i="2"/>
  <c r="T3238" i="2" s="1"/>
  <c r="U3237" i="2"/>
  <c r="S3237" i="2"/>
  <c r="T3237" i="2" s="1"/>
  <c r="U3236" i="2"/>
  <c r="S3236" i="2"/>
  <c r="T3236" i="2" s="1"/>
  <c r="U3235" i="2"/>
  <c r="S3235" i="2"/>
  <c r="T3235" i="2" s="1"/>
  <c r="U3234" i="2"/>
  <c r="S3234" i="2"/>
  <c r="T3234" i="2" s="1"/>
  <c r="U3233" i="2"/>
  <c r="S3233" i="2"/>
  <c r="T3233" i="2" s="1"/>
  <c r="U3232" i="2"/>
  <c r="S3232" i="2"/>
  <c r="T3232" i="2" s="1"/>
  <c r="U3231" i="2"/>
  <c r="S3231" i="2"/>
  <c r="T3231" i="2" s="1"/>
  <c r="U3230" i="2"/>
  <c r="S3230" i="2"/>
  <c r="T3230" i="2" s="1"/>
  <c r="U3229" i="2"/>
  <c r="S3229" i="2"/>
  <c r="T3229" i="2" s="1"/>
  <c r="U3228" i="2"/>
  <c r="S3228" i="2"/>
  <c r="T3228" i="2" s="1"/>
  <c r="U3227" i="2"/>
  <c r="S3227" i="2"/>
  <c r="T3227" i="2" s="1"/>
  <c r="U3226" i="2"/>
  <c r="S3226" i="2"/>
  <c r="T3226" i="2" s="1"/>
  <c r="U3225" i="2"/>
  <c r="S3225" i="2"/>
  <c r="T3225" i="2" s="1"/>
  <c r="U3224" i="2"/>
  <c r="S3224" i="2"/>
  <c r="T3224" i="2" s="1"/>
  <c r="U3223" i="2"/>
  <c r="S3223" i="2"/>
  <c r="T3223" i="2" s="1"/>
  <c r="U3222" i="2"/>
  <c r="S3222" i="2"/>
  <c r="T3222" i="2" s="1"/>
  <c r="U3221" i="2"/>
  <c r="S3221" i="2"/>
  <c r="T3221" i="2" s="1"/>
  <c r="U3220" i="2"/>
  <c r="S3220" i="2"/>
  <c r="T3220" i="2" s="1"/>
  <c r="U3219" i="2"/>
  <c r="S3219" i="2"/>
  <c r="T3219" i="2" s="1"/>
  <c r="U3218" i="2"/>
  <c r="S3218" i="2"/>
  <c r="T3218" i="2" s="1"/>
  <c r="U3217" i="2"/>
  <c r="S3217" i="2"/>
  <c r="T3217" i="2" s="1"/>
  <c r="U3216" i="2"/>
  <c r="S3216" i="2"/>
  <c r="T3216" i="2" s="1"/>
  <c r="U3215" i="2"/>
  <c r="S3215" i="2"/>
  <c r="T3215" i="2" s="1"/>
  <c r="U3214" i="2"/>
  <c r="S3214" i="2"/>
  <c r="T3214" i="2" s="1"/>
  <c r="U3213" i="2"/>
  <c r="S3213" i="2"/>
  <c r="T3213" i="2" s="1"/>
  <c r="U3212" i="2"/>
  <c r="S3212" i="2"/>
  <c r="T3212" i="2" s="1"/>
  <c r="U3211" i="2"/>
  <c r="S3211" i="2"/>
  <c r="T3211" i="2" s="1"/>
  <c r="U3210" i="2"/>
  <c r="S3210" i="2"/>
  <c r="T3210" i="2" s="1"/>
  <c r="U3209" i="2"/>
  <c r="S3209" i="2"/>
  <c r="T3209" i="2" s="1"/>
  <c r="U3208" i="2"/>
  <c r="S3208" i="2"/>
  <c r="T3208" i="2" s="1"/>
  <c r="U3207" i="2"/>
  <c r="S3207" i="2"/>
  <c r="T3207" i="2" s="1"/>
  <c r="U3206" i="2"/>
  <c r="S3206" i="2"/>
  <c r="T3206" i="2" s="1"/>
  <c r="U3205" i="2"/>
  <c r="S3205" i="2"/>
  <c r="T3205" i="2" s="1"/>
  <c r="U3204" i="2"/>
  <c r="S3204" i="2"/>
  <c r="T3204" i="2" s="1"/>
  <c r="U3203" i="2"/>
  <c r="S3203" i="2"/>
  <c r="T3203" i="2" s="1"/>
  <c r="U3202" i="2"/>
  <c r="S3202" i="2"/>
  <c r="T3202" i="2" s="1"/>
  <c r="U3201" i="2"/>
  <c r="S3201" i="2"/>
  <c r="T3201" i="2" s="1"/>
  <c r="U3200" i="2"/>
  <c r="S3200" i="2"/>
  <c r="T3200" i="2" s="1"/>
  <c r="U3199" i="2"/>
  <c r="S3199" i="2"/>
  <c r="T3199" i="2" s="1"/>
  <c r="U3198" i="2"/>
  <c r="S3198" i="2"/>
  <c r="T3198" i="2" s="1"/>
  <c r="U3197" i="2"/>
  <c r="T3197" i="2"/>
  <c r="S3197" i="2"/>
  <c r="U3196" i="2"/>
  <c r="S3196" i="2"/>
  <c r="T3196" i="2" s="1"/>
  <c r="U3195" i="2"/>
  <c r="S3195" i="2"/>
  <c r="T3195" i="2" s="1"/>
  <c r="U3194" i="2"/>
  <c r="S3194" i="2"/>
  <c r="T3194" i="2" s="1"/>
  <c r="U3193" i="2"/>
  <c r="S3193" i="2"/>
  <c r="T3193" i="2" s="1"/>
  <c r="U3192" i="2"/>
  <c r="S3192" i="2"/>
  <c r="T3192" i="2" s="1"/>
  <c r="U3191" i="2"/>
  <c r="S3191" i="2"/>
  <c r="T3191" i="2" s="1"/>
  <c r="U3190" i="2"/>
  <c r="T3190" i="2"/>
  <c r="S3190" i="2"/>
  <c r="U3189" i="2"/>
  <c r="S3189" i="2"/>
  <c r="T3189" i="2" s="1"/>
  <c r="U3188" i="2"/>
  <c r="T3188" i="2"/>
  <c r="S3188" i="2"/>
  <c r="U3187" i="2"/>
  <c r="S3187" i="2"/>
  <c r="T3187" i="2" s="1"/>
  <c r="U3186" i="2"/>
  <c r="S3186" i="2"/>
  <c r="T3186" i="2" s="1"/>
  <c r="U3185" i="2"/>
  <c r="T3185" i="2"/>
  <c r="S3185" i="2"/>
  <c r="U3184" i="2"/>
  <c r="S3184" i="2"/>
  <c r="T3184" i="2" s="1"/>
  <c r="U3183" i="2"/>
  <c r="S3183" i="2"/>
  <c r="T3183" i="2" s="1"/>
  <c r="U3182" i="2"/>
  <c r="T3182" i="2"/>
  <c r="S3182" i="2"/>
  <c r="U3181" i="2"/>
  <c r="S3181" i="2"/>
  <c r="T3181" i="2" s="1"/>
  <c r="U3180" i="2"/>
  <c r="T3180" i="2"/>
  <c r="S3180" i="2"/>
  <c r="U3179" i="2"/>
  <c r="S3179" i="2"/>
  <c r="T3179" i="2" s="1"/>
  <c r="U3178" i="2"/>
  <c r="S3178" i="2"/>
  <c r="T3178" i="2" s="1"/>
  <c r="U3177" i="2"/>
  <c r="S3177" i="2"/>
  <c r="T3177" i="2" s="1"/>
  <c r="U3176" i="2"/>
  <c r="T3176" i="2"/>
  <c r="S3176" i="2"/>
  <c r="U3175" i="2"/>
  <c r="T3175" i="2"/>
  <c r="S3175" i="2"/>
  <c r="U3174" i="2"/>
  <c r="T3174" i="2"/>
  <c r="S3174" i="2"/>
  <c r="U3173" i="2"/>
  <c r="S3173" i="2"/>
  <c r="T3173" i="2" s="1"/>
  <c r="U3172" i="2"/>
  <c r="S3172" i="2"/>
  <c r="T3172" i="2" s="1"/>
  <c r="U3171" i="2"/>
  <c r="S3171" i="2"/>
  <c r="T3171" i="2" s="1"/>
  <c r="U3170" i="2"/>
  <c r="S3170" i="2"/>
  <c r="T3170" i="2" s="1"/>
  <c r="U3169" i="2"/>
  <c r="S3169" i="2"/>
  <c r="T3169" i="2" s="1"/>
  <c r="U3168" i="2"/>
  <c r="S3168" i="2"/>
  <c r="T3168" i="2" s="1"/>
  <c r="U3167" i="2"/>
  <c r="S3167" i="2"/>
  <c r="T3167" i="2" s="1"/>
  <c r="U3166" i="2"/>
  <c r="T3166" i="2"/>
  <c r="S3166" i="2"/>
  <c r="U3165" i="2"/>
  <c r="T3165" i="2"/>
  <c r="S3165" i="2"/>
  <c r="U3164" i="2"/>
  <c r="T3164" i="2"/>
  <c r="S3164" i="2"/>
  <c r="U3163" i="2"/>
  <c r="T3163" i="2"/>
  <c r="S3163" i="2"/>
  <c r="U3162" i="2"/>
  <c r="T3162" i="2"/>
  <c r="S3162" i="2"/>
  <c r="U3161" i="2"/>
  <c r="T3161" i="2"/>
  <c r="S3161" i="2"/>
  <c r="U3160" i="2"/>
  <c r="T3160" i="2"/>
  <c r="S3160" i="2"/>
  <c r="U3159" i="2"/>
  <c r="S3159" i="2"/>
  <c r="T3159" i="2" s="1"/>
  <c r="U3158" i="2"/>
  <c r="S3158" i="2"/>
  <c r="T3158" i="2" s="1"/>
  <c r="U3157" i="2"/>
  <c r="S3157" i="2"/>
  <c r="T3157" i="2" s="1"/>
  <c r="U3156" i="2"/>
  <c r="S3156" i="2"/>
  <c r="T3156" i="2" s="1"/>
  <c r="U3155" i="2"/>
  <c r="S3155" i="2"/>
  <c r="T3155" i="2" s="1"/>
  <c r="U3154" i="2"/>
  <c r="S3154" i="2"/>
  <c r="T3154" i="2" s="1"/>
  <c r="U3153" i="2"/>
  <c r="S3153" i="2"/>
  <c r="T3153" i="2" s="1"/>
  <c r="U3152" i="2"/>
  <c r="S3152" i="2"/>
  <c r="T3152" i="2" s="1"/>
  <c r="U3151" i="2"/>
  <c r="S3151" i="2"/>
  <c r="T3151" i="2" s="1"/>
  <c r="U3150" i="2"/>
  <c r="S3150" i="2"/>
  <c r="T3150" i="2" s="1"/>
  <c r="U3149" i="2"/>
  <c r="S3149" i="2"/>
  <c r="T3149" i="2" s="1"/>
  <c r="U3148" i="2"/>
  <c r="S3148" i="2"/>
  <c r="T3148" i="2" s="1"/>
  <c r="U3147" i="2"/>
  <c r="S3147" i="2"/>
  <c r="T3147" i="2" s="1"/>
  <c r="U3146" i="2"/>
  <c r="S3146" i="2"/>
  <c r="T3146" i="2" s="1"/>
  <c r="U3145" i="2"/>
  <c r="S3145" i="2"/>
  <c r="T3145" i="2" s="1"/>
  <c r="U3144" i="2"/>
  <c r="S3144" i="2"/>
  <c r="T3144" i="2" s="1"/>
  <c r="U3143" i="2"/>
  <c r="S3143" i="2"/>
  <c r="T3143" i="2" s="1"/>
  <c r="U3142" i="2"/>
  <c r="S3142" i="2"/>
  <c r="T3142" i="2" s="1"/>
  <c r="U3141" i="2"/>
  <c r="S3141" i="2"/>
  <c r="T3141" i="2" s="1"/>
  <c r="U3140" i="2"/>
  <c r="S3140" i="2"/>
  <c r="T3140" i="2" s="1"/>
  <c r="U3139" i="2"/>
  <c r="S3139" i="2"/>
  <c r="T3139" i="2" s="1"/>
  <c r="U3138" i="2"/>
  <c r="S3138" i="2"/>
  <c r="T3138" i="2" s="1"/>
  <c r="U3137" i="2"/>
  <c r="S3137" i="2"/>
  <c r="T3137" i="2" s="1"/>
  <c r="U3136" i="2"/>
  <c r="S3136" i="2"/>
  <c r="T3136" i="2" s="1"/>
  <c r="U3135" i="2"/>
  <c r="S3135" i="2"/>
  <c r="T3135" i="2" s="1"/>
  <c r="U3134" i="2"/>
  <c r="S3134" i="2"/>
  <c r="T3134" i="2" s="1"/>
  <c r="U3133" i="2"/>
  <c r="S3133" i="2"/>
  <c r="T3133" i="2" s="1"/>
  <c r="U3132" i="2"/>
  <c r="S3132" i="2"/>
  <c r="T3132" i="2" s="1"/>
  <c r="U3131" i="2"/>
  <c r="S3131" i="2"/>
  <c r="T3131" i="2" s="1"/>
  <c r="U3130" i="2"/>
  <c r="S3130" i="2"/>
  <c r="T3130" i="2" s="1"/>
  <c r="U3129" i="2"/>
  <c r="S3129" i="2"/>
  <c r="T3129" i="2" s="1"/>
  <c r="U3128" i="2"/>
  <c r="S3128" i="2"/>
  <c r="T3128" i="2" s="1"/>
  <c r="U3127" i="2"/>
  <c r="S3127" i="2"/>
  <c r="T3127" i="2" s="1"/>
  <c r="U3126" i="2"/>
  <c r="S3126" i="2"/>
  <c r="T3126" i="2" s="1"/>
  <c r="U3125" i="2"/>
  <c r="S3125" i="2"/>
  <c r="T3125" i="2" s="1"/>
  <c r="U3124" i="2"/>
  <c r="S3124" i="2"/>
  <c r="T3124" i="2" s="1"/>
  <c r="U3123" i="2"/>
  <c r="S3123" i="2"/>
  <c r="T3123" i="2" s="1"/>
  <c r="U3122" i="2"/>
  <c r="S3122" i="2"/>
  <c r="T3122" i="2" s="1"/>
  <c r="U3121" i="2"/>
  <c r="S3121" i="2"/>
  <c r="T3121" i="2" s="1"/>
  <c r="U3120" i="2"/>
  <c r="S3120" i="2"/>
  <c r="T3120" i="2" s="1"/>
  <c r="U3119" i="2"/>
  <c r="S3119" i="2"/>
  <c r="T3119" i="2" s="1"/>
  <c r="U3118" i="2"/>
  <c r="S3118" i="2"/>
  <c r="T3118" i="2" s="1"/>
  <c r="U3117" i="2"/>
  <c r="S3117" i="2"/>
  <c r="T3117" i="2" s="1"/>
  <c r="U3116" i="2"/>
  <c r="S3116" i="2"/>
  <c r="T3116" i="2" s="1"/>
  <c r="U3115" i="2"/>
  <c r="S3115" i="2"/>
  <c r="T3115" i="2" s="1"/>
  <c r="U3114" i="2"/>
  <c r="S3114" i="2"/>
  <c r="T3114" i="2" s="1"/>
  <c r="U3113" i="2"/>
  <c r="S3113" i="2"/>
  <c r="T3113" i="2" s="1"/>
  <c r="U3112" i="2"/>
  <c r="S3112" i="2"/>
  <c r="T3112" i="2" s="1"/>
  <c r="U3111" i="2"/>
  <c r="S3111" i="2"/>
  <c r="T3111" i="2" s="1"/>
  <c r="U3110" i="2"/>
  <c r="S3110" i="2"/>
  <c r="T3110" i="2" s="1"/>
  <c r="U3109" i="2"/>
  <c r="S3109" i="2"/>
  <c r="T3109" i="2" s="1"/>
  <c r="U3108" i="2"/>
  <c r="S3108" i="2"/>
  <c r="T3108" i="2" s="1"/>
  <c r="U3107" i="2"/>
  <c r="S3107" i="2"/>
  <c r="T3107" i="2" s="1"/>
  <c r="U3106" i="2"/>
  <c r="S3106" i="2"/>
  <c r="T3106" i="2" s="1"/>
  <c r="U3105" i="2"/>
  <c r="S3105" i="2"/>
  <c r="T3105" i="2" s="1"/>
  <c r="U3104" i="2"/>
  <c r="S3104" i="2"/>
  <c r="T3104" i="2" s="1"/>
  <c r="U3103" i="2"/>
  <c r="S3103" i="2"/>
  <c r="T3103" i="2" s="1"/>
  <c r="U3102" i="2"/>
  <c r="S3102" i="2"/>
  <c r="T3102" i="2" s="1"/>
  <c r="U3101" i="2"/>
  <c r="S3101" i="2"/>
  <c r="T3101" i="2" s="1"/>
  <c r="U3100" i="2"/>
  <c r="S3100" i="2"/>
  <c r="T3100" i="2" s="1"/>
  <c r="U3099" i="2"/>
  <c r="S3099" i="2"/>
  <c r="T3099" i="2" s="1"/>
  <c r="U3098" i="2"/>
  <c r="S3098" i="2"/>
  <c r="T3098" i="2" s="1"/>
  <c r="U3097" i="2"/>
  <c r="S3097" i="2"/>
  <c r="T3097" i="2" s="1"/>
  <c r="U3096" i="2"/>
  <c r="S3096" i="2"/>
  <c r="T3096" i="2" s="1"/>
  <c r="U3095" i="2"/>
  <c r="S3095" i="2"/>
  <c r="T3095" i="2" s="1"/>
  <c r="U3094" i="2"/>
  <c r="S3094" i="2"/>
  <c r="T3094" i="2" s="1"/>
  <c r="U3093" i="2"/>
  <c r="S3093" i="2"/>
  <c r="T3093" i="2" s="1"/>
  <c r="U3092" i="2"/>
  <c r="S3092" i="2"/>
  <c r="T3092" i="2" s="1"/>
  <c r="U3091" i="2"/>
  <c r="S3091" i="2"/>
  <c r="T3091" i="2" s="1"/>
  <c r="U3090" i="2"/>
  <c r="S3090" i="2"/>
  <c r="T3090" i="2" s="1"/>
  <c r="U3089" i="2"/>
  <c r="S3089" i="2"/>
  <c r="T3089" i="2" s="1"/>
  <c r="U3088" i="2"/>
  <c r="S3088" i="2"/>
  <c r="T3088" i="2" s="1"/>
  <c r="U3087" i="2"/>
  <c r="S3087" i="2"/>
  <c r="T3087" i="2" s="1"/>
  <c r="U3086" i="2"/>
  <c r="S3086" i="2"/>
  <c r="T3086" i="2" s="1"/>
  <c r="U3085" i="2"/>
  <c r="S3085" i="2"/>
  <c r="T3085" i="2" s="1"/>
  <c r="U3084" i="2"/>
  <c r="S3084" i="2"/>
  <c r="T3084" i="2" s="1"/>
  <c r="U3083" i="2"/>
  <c r="S3083" i="2"/>
  <c r="T3083" i="2" s="1"/>
  <c r="U3082" i="2"/>
  <c r="S3082" i="2"/>
  <c r="T3082" i="2" s="1"/>
  <c r="U3081" i="2"/>
  <c r="S3081" i="2"/>
  <c r="T3081" i="2" s="1"/>
  <c r="U3080" i="2"/>
  <c r="S3080" i="2"/>
  <c r="T3080" i="2" s="1"/>
  <c r="U3079" i="2"/>
  <c r="S3079" i="2"/>
  <c r="T3079" i="2" s="1"/>
  <c r="U3078" i="2"/>
  <c r="S3078" i="2"/>
  <c r="T3078" i="2" s="1"/>
  <c r="U3077" i="2"/>
  <c r="S3077" i="2"/>
  <c r="T3077" i="2" s="1"/>
  <c r="U3076" i="2"/>
  <c r="S3076" i="2"/>
  <c r="T3076" i="2" s="1"/>
  <c r="U3075" i="2"/>
  <c r="S3075" i="2"/>
  <c r="T3075" i="2" s="1"/>
  <c r="U3074" i="2"/>
  <c r="S3074" i="2"/>
  <c r="T3074" i="2" s="1"/>
  <c r="U3073" i="2"/>
  <c r="S3073" i="2"/>
  <c r="T3073" i="2" s="1"/>
  <c r="U3072" i="2"/>
  <c r="S3072" i="2"/>
  <c r="T3072" i="2" s="1"/>
  <c r="U3071" i="2"/>
  <c r="S3071" i="2"/>
  <c r="T3071" i="2" s="1"/>
  <c r="U3070" i="2"/>
  <c r="S3070" i="2"/>
  <c r="T3070" i="2" s="1"/>
  <c r="U3069" i="2"/>
  <c r="S3069" i="2"/>
  <c r="T3069" i="2" s="1"/>
  <c r="U3068" i="2"/>
  <c r="S3068" i="2"/>
  <c r="T3068" i="2" s="1"/>
  <c r="U3067" i="2"/>
  <c r="S3067" i="2"/>
  <c r="T3067" i="2" s="1"/>
  <c r="U3066" i="2"/>
  <c r="S3066" i="2"/>
  <c r="T3066" i="2" s="1"/>
  <c r="U3065" i="2"/>
  <c r="S3065" i="2"/>
  <c r="T3065" i="2" s="1"/>
  <c r="U3064" i="2"/>
  <c r="S3064" i="2"/>
  <c r="T3064" i="2" s="1"/>
  <c r="U3063" i="2"/>
  <c r="S3063" i="2"/>
  <c r="T3063" i="2" s="1"/>
  <c r="U3062" i="2"/>
  <c r="S3062" i="2"/>
  <c r="T3062" i="2" s="1"/>
  <c r="U3061" i="2"/>
  <c r="S3061" i="2"/>
  <c r="T3061" i="2" s="1"/>
  <c r="U3060" i="2"/>
  <c r="S3060" i="2"/>
  <c r="T3060" i="2" s="1"/>
  <c r="U3059" i="2"/>
  <c r="S3059" i="2"/>
  <c r="T3059" i="2" s="1"/>
  <c r="U3058" i="2"/>
  <c r="S3058" i="2"/>
  <c r="T3058" i="2" s="1"/>
  <c r="U3057" i="2"/>
  <c r="S3057" i="2"/>
  <c r="T3057" i="2" s="1"/>
  <c r="U3056" i="2"/>
  <c r="S3056" i="2"/>
  <c r="T3056" i="2" s="1"/>
  <c r="U3055" i="2"/>
  <c r="S3055" i="2"/>
  <c r="T3055" i="2" s="1"/>
  <c r="U3054" i="2"/>
  <c r="S3054" i="2"/>
  <c r="T3054" i="2" s="1"/>
  <c r="U3053" i="2"/>
  <c r="S3053" i="2"/>
  <c r="T3053" i="2" s="1"/>
  <c r="U3052" i="2"/>
  <c r="S3052" i="2"/>
  <c r="T3052" i="2" s="1"/>
  <c r="U3051" i="2"/>
  <c r="S3051" i="2"/>
  <c r="T3051" i="2" s="1"/>
  <c r="U3050" i="2"/>
  <c r="S3050" i="2"/>
  <c r="T3050" i="2" s="1"/>
  <c r="U3049" i="2"/>
  <c r="S3049" i="2"/>
  <c r="T3049" i="2" s="1"/>
  <c r="U3048" i="2"/>
  <c r="S3048" i="2"/>
  <c r="T3048" i="2" s="1"/>
  <c r="U3047" i="2"/>
  <c r="S3047" i="2"/>
  <c r="T3047" i="2" s="1"/>
  <c r="U3046" i="2"/>
  <c r="S3046" i="2"/>
  <c r="T3046" i="2" s="1"/>
  <c r="U3045" i="2"/>
  <c r="S3045" i="2"/>
  <c r="T3045" i="2" s="1"/>
  <c r="U3044" i="2"/>
  <c r="S3044" i="2"/>
  <c r="T3044" i="2" s="1"/>
  <c r="U3043" i="2"/>
  <c r="S3043" i="2"/>
  <c r="T3043" i="2" s="1"/>
  <c r="U3042" i="2"/>
  <c r="S3042" i="2"/>
  <c r="T3042" i="2" s="1"/>
  <c r="U3041" i="2"/>
  <c r="S3041" i="2"/>
  <c r="T3041" i="2" s="1"/>
  <c r="U3040" i="2"/>
  <c r="S3040" i="2"/>
  <c r="T3040" i="2" s="1"/>
  <c r="U3039" i="2"/>
  <c r="S3039" i="2"/>
  <c r="T3039" i="2" s="1"/>
  <c r="U3038" i="2"/>
  <c r="S3038" i="2"/>
  <c r="T3038" i="2" s="1"/>
  <c r="U3037" i="2"/>
  <c r="S3037" i="2"/>
  <c r="T3037" i="2" s="1"/>
  <c r="U3036" i="2"/>
  <c r="S3036" i="2"/>
  <c r="T3036" i="2" s="1"/>
  <c r="U3035" i="2"/>
  <c r="S3035" i="2"/>
  <c r="T3035" i="2" s="1"/>
  <c r="U3034" i="2"/>
  <c r="S3034" i="2"/>
  <c r="T3034" i="2" s="1"/>
  <c r="U3033" i="2"/>
  <c r="S3033" i="2"/>
  <c r="T3033" i="2" s="1"/>
  <c r="U3032" i="2"/>
  <c r="S3032" i="2"/>
  <c r="T3032" i="2" s="1"/>
  <c r="U3031" i="2"/>
  <c r="S3031" i="2"/>
  <c r="T3031" i="2" s="1"/>
  <c r="U3030" i="2"/>
  <c r="S3030" i="2"/>
  <c r="T3030" i="2" s="1"/>
  <c r="U3029" i="2"/>
  <c r="S3029" i="2"/>
  <c r="T3029" i="2" s="1"/>
  <c r="U3028" i="2"/>
  <c r="S3028" i="2"/>
  <c r="T3028" i="2" s="1"/>
  <c r="U3027" i="2"/>
  <c r="S3027" i="2"/>
  <c r="T3027" i="2" s="1"/>
  <c r="U3026" i="2"/>
  <c r="S3026" i="2"/>
  <c r="T3026" i="2" s="1"/>
  <c r="U3025" i="2"/>
  <c r="S3025" i="2"/>
  <c r="T3025" i="2" s="1"/>
  <c r="U3024" i="2"/>
  <c r="S3024" i="2"/>
  <c r="T3024" i="2" s="1"/>
  <c r="U3023" i="2"/>
  <c r="S3023" i="2"/>
  <c r="T3023" i="2" s="1"/>
  <c r="U3022" i="2"/>
  <c r="S3022" i="2"/>
  <c r="T3022" i="2" s="1"/>
  <c r="U3021" i="2"/>
  <c r="S3021" i="2"/>
  <c r="T3021" i="2" s="1"/>
  <c r="U3020" i="2"/>
  <c r="S3020" i="2"/>
  <c r="T3020" i="2" s="1"/>
  <c r="U3019" i="2"/>
  <c r="S3019" i="2"/>
  <c r="T3019" i="2" s="1"/>
  <c r="U3018" i="2"/>
  <c r="S3018" i="2"/>
  <c r="T3018" i="2" s="1"/>
  <c r="U3017" i="2"/>
  <c r="S3017" i="2"/>
  <c r="T3017" i="2" s="1"/>
  <c r="U3016" i="2"/>
  <c r="S3016" i="2"/>
  <c r="T3016" i="2" s="1"/>
  <c r="U3015" i="2"/>
  <c r="S3015" i="2"/>
  <c r="T3015" i="2" s="1"/>
  <c r="U3014" i="2"/>
  <c r="S3014" i="2"/>
  <c r="T3014" i="2" s="1"/>
  <c r="U3013" i="2"/>
  <c r="S3013" i="2"/>
  <c r="T3013" i="2" s="1"/>
  <c r="U3012" i="2"/>
  <c r="S3012" i="2"/>
  <c r="T3012" i="2" s="1"/>
  <c r="U3011" i="2"/>
  <c r="S3011" i="2"/>
  <c r="T3011" i="2" s="1"/>
  <c r="U3010" i="2"/>
  <c r="S3010" i="2"/>
  <c r="T3010" i="2" s="1"/>
  <c r="U3009" i="2"/>
  <c r="S3009" i="2"/>
  <c r="T3009" i="2" s="1"/>
  <c r="U3008" i="2"/>
  <c r="S3008" i="2"/>
  <c r="T3008" i="2" s="1"/>
  <c r="U3007" i="2"/>
  <c r="S3007" i="2"/>
  <c r="T3007" i="2" s="1"/>
  <c r="U3006" i="2"/>
  <c r="S3006" i="2"/>
  <c r="T3006" i="2" s="1"/>
  <c r="U3005" i="2"/>
  <c r="S3005" i="2"/>
  <c r="T3005" i="2" s="1"/>
  <c r="U3004" i="2"/>
  <c r="S3004" i="2"/>
  <c r="T3004" i="2" s="1"/>
  <c r="U3003" i="2"/>
  <c r="S3003" i="2"/>
  <c r="T3003" i="2" s="1"/>
  <c r="U3002" i="2"/>
  <c r="S3002" i="2"/>
  <c r="T3002" i="2" s="1"/>
  <c r="U3001" i="2"/>
  <c r="S3001" i="2"/>
  <c r="T3001" i="2" s="1"/>
  <c r="U3000" i="2"/>
  <c r="S3000" i="2"/>
  <c r="T3000" i="2" s="1"/>
  <c r="U2999" i="2"/>
  <c r="S2999" i="2"/>
  <c r="T2999" i="2" s="1"/>
  <c r="U2998" i="2"/>
  <c r="S2998" i="2"/>
  <c r="T2998" i="2" s="1"/>
  <c r="U2997" i="2"/>
  <c r="S2997" i="2"/>
  <c r="T2997" i="2" s="1"/>
  <c r="U2996" i="2"/>
  <c r="S2996" i="2"/>
  <c r="T2996" i="2" s="1"/>
  <c r="U2995" i="2"/>
  <c r="S2995" i="2"/>
  <c r="T2995" i="2" s="1"/>
  <c r="U2994" i="2"/>
  <c r="S2994" i="2"/>
  <c r="T2994" i="2" s="1"/>
  <c r="U2993" i="2"/>
  <c r="S2993" i="2"/>
  <c r="T2993" i="2" s="1"/>
  <c r="U2992" i="2"/>
  <c r="S2992" i="2"/>
  <c r="T2992" i="2" s="1"/>
  <c r="U2991" i="2"/>
  <c r="S2991" i="2"/>
  <c r="T2991" i="2" s="1"/>
  <c r="U2990" i="2"/>
  <c r="S2990" i="2"/>
  <c r="T2990" i="2" s="1"/>
  <c r="U2989" i="2"/>
  <c r="S2989" i="2"/>
  <c r="T2989" i="2" s="1"/>
  <c r="U2988" i="2"/>
  <c r="S2988" i="2"/>
  <c r="T2988" i="2" s="1"/>
  <c r="U2987" i="2"/>
  <c r="S2987" i="2"/>
  <c r="T2987" i="2" s="1"/>
  <c r="U2986" i="2"/>
  <c r="S2986" i="2"/>
  <c r="T2986" i="2" s="1"/>
  <c r="U2985" i="2"/>
  <c r="S2985" i="2"/>
  <c r="T2985" i="2" s="1"/>
  <c r="U2984" i="2"/>
  <c r="S2984" i="2"/>
  <c r="T2984" i="2" s="1"/>
  <c r="U2983" i="2"/>
  <c r="S2983" i="2"/>
  <c r="T2983" i="2" s="1"/>
  <c r="U2982" i="2"/>
  <c r="S2982" i="2"/>
  <c r="T2982" i="2" s="1"/>
  <c r="U2981" i="2"/>
  <c r="S2981" i="2"/>
  <c r="T2981" i="2" s="1"/>
  <c r="U2980" i="2"/>
  <c r="S2980" i="2"/>
  <c r="T2980" i="2" s="1"/>
  <c r="U2979" i="2"/>
  <c r="S2979" i="2"/>
  <c r="T2979" i="2" s="1"/>
  <c r="U2978" i="2"/>
  <c r="S2978" i="2"/>
  <c r="T2978" i="2" s="1"/>
  <c r="U2977" i="2"/>
  <c r="S2977" i="2"/>
  <c r="T2977" i="2" s="1"/>
  <c r="U2976" i="2"/>
  <c r="S2976" i="2"/>
  <c r="T2976" i="2" s="1"/>
  <c r="U2975" i="2"/>
  <c r="S2975" i="2"/>
  <c r="T2975" i="2" s="1"/>
  <c r="U2974" i="2"/>
  <c r="S2974" i="2"/>
  <c r="T2974" i="2" s="1"/>
  <c r="U2973" i="2"/>
  <c r="S2973" i="2"/>
  <c r="T2973" i="2" s="1"/>
  <c r="U2972" i="2"/>
  <c r="S2972" i="2"/>
  <c r="T2972" i="2" s="1"/>
  <c r="U2971" i="2"/>
  <c r="S2971" i="2"/>
  <c r="T2971" i="2" s="1"/>
  <c r="U2970" i="2"/>
  <c r="S2970" i="2"/>
  <c r="T2970" i="2" s="1"/>
  <c r="U2969" i="2"/>
  <c r="S2969" i="2"/>
  <c r="T2969" i="2" s="1"/>
  <c r="U2968" i="2"/>
  <c r="S2968" i="2"/>
  <c r="T2968" i="2" s="1"/>
  <c r="U2967" i="2"/>
  <c r="S2967" i="2"/>
  <c r="T2967" i="2" s="1"/>
  <c r="U2966" i="2"/>
  <c r="S2966" i="2"/>
  <c r="T2966" i="2" s="1"/>
  <c r="U2965" i="2"/>
  <c r="S2965" i="2"/>
  <c r="T2965" i="2" s="1"/>
  <c r="U2964" i="2"/>
  <c r="S2964" i="2"/>
  <c r="T2964" i="2" s="1"/>
  <c r="U2963" i="2"/>
  <c r="S2963" i="2"/>
  <c r="T2963" i="2" s="1"/>
  <c r="U2962" i="2"/>
  <c r="S2962" i="2"/>
  <c r="T2962" i="2" s="1"/>
  <c r="U2961" i="2"/>
  <c r="S2961" i="2"/>
  <c r="T2961" i="2" s="1"/>
  <c r="U2960" i="2"/>
  <c r="S2960" i="2"/>
  <c r="T2960" i="2" s="1"/>
  <c r="U2959" i="2"/>
  <c r="S2959" i="2"/>
  <c r="T2959" i="2" s="1"/>
  <c r="U2958" i="2"/>
  <c r="S2958" i="2"/>
  <c r="T2958" i="2" s="1"/>
  <c r="U2957" i="2"/>
  <c r="S2957" i="2"/>
  <c r="T2957" i="2" s="1"/>
  <c r="U2956" i="2"/>
  <c r="S2956" i="2"/>
  <c r="T2956" i="2" s="1"/>
  <c r="U2955" i="2"/>
  <c r="S2955" i="2"/>
  <c r="T2955" i="2" s="1"/>
  <c r="U2954" i="2"/>
  <c r="S2954" i="2"/>
  <c r="T2954" i="2" s="1"/>
  <c r="U2953" i="2"/>
  <c r="S2953" i="2"/>
  <c r="T2953" i="2" s="1"/>
  <c r="U2952" i="2"/>
  <c r="S2952" i="2"/>
  <c r="T2952" i="2" s="1"/>
  <c r="U2951" i="2"/>
  <c r="S2951" i="2"/>
  <c r="T2951" i="2" s="1"/>
  <c r="U2950" i="2"/>
  <c r="S2950" i="2"/>
  <c r="T2950" i="2" s="1"/>
  <c r="U2949" i="2"/>
  <c r="S2949" i="2"/>
  <c r="T2949" i="2" s="1"/>
  <c r="U2948" i="2"/>
  <c r="S2948" i="2"/>
  <c r="T2948" i="2" s="1"/>
  <c r="U2947" i="2"/>
  <c r="S2947" i="2"/>
  <c r="T2947" i="2" s="1"/>
  <c r="U2946" i="2"/>
  <c r="S2946" i="2"/>
  <c r="T2946" i="2" s="1"/>
  <c r="U2945" i="2"/>
  <c r="S2945" i="2"/>
  <c r="T2945" i="2" s="1"/>
  <c r="U2944" i="2"/>
  <c r="S2944" i="2"/>
  <c r="T2944" i="2" s="1"/>
  <c r="U2943" i="2"/>
  <c r="S2943" i="2"/>
  <c r="T2943" i="2" s="1"/>
  <c r="U2942" i="2"/>
  <c r="S2942" i="2"/>
  <c r="T2942" i="2" s="1"/>
  <c r="U2941" i="2"/>
  <c r="S2941" i="2"/>
  <c r="T2941" i="2" s="1"/>
  <c r="U2940" i="2"/>
  <c r="S2940" i="2"/>
  <c r="T2940" i="2" s="1"/>
  <c r="U2939" i="2"/>
  <c r="S2939" i="2"/>
  <c r="T2939" i="2" s="1"/>
  <c r="U2938" i="2"/>
  <c r="S2938" i="2"/>
  <c r="T2938" i="2" s="1"/>
  <c r="U2937" i="2"/>
  <c r="S2937" i="2"/>
  <c r="T2937" i="2" s="1"/>
  <c r="U2936" i="2"/>
  <c r="S2936" i="2"/>
  <c r="T2936" i="2" s="1"/>
  <c r="U2935" i="2"/>
  <c r="S2935" i="2"/>
  <c r="T2935" i="2" s="1"/>
  <c r="U2934" i="2"/>
  <c r="S2934" i="2"/>
  <c r="T2934" i="2" s="1"/>
  <c r="U2933" i="2"/>
  <c r="S2933" i="2"/>
  <c r="T2933" i="2" s="1"/>
  <c r="U2932" i="2"/>
  <c r="S2932" i="2"/>
  <c r="T2932" i="2" s="1"/>
  <c r="U2931" i="2"/>
  <c r="S2931" i="2"/>
  <c r="T2931" i="2" s="1"/>
  <c r="U2930" i="2"/>
  <c r="S2930" i="2"/>
  <c r="T2930" i="2" s="1"/>
  <c r="U2929" i="2"/>
  <c r="S2929" i="2"/>
  <c r="T2929" i="2" s="1"/>
  <c r="U2928" i="2"/>
  <c r="S2928" i="2"/>
  <c r="T2928" i="2" s="1"/>
  <c r="U2927" i="2"/>
  <c r="S2927" i="2"/>
  <c r="T2927" i="2" s="1"/>
  <c r="U2926" i="2"/>
  <c r="S2926" i="2"/>
  <c r="T2926" i="2" s="1"/>
  <c r="U2925" i="2"/>
  <c r="S2925" i="2"/>
  <c r="T2925" i="2" s="1"/>
  <c r="U2924" i="2"/>
  <c r="S2924" i="2"/>
  <c r="T2924" i="2" s="1"/>
  <c r="U2923" i="2"/>
  <c r="S2923" i="2"/>
  <c r="T2923" i="2" s="1"/>
  <c r="U2922" i="2"/>
  <c r="S2922" i="2"/>
  <c r="T2922" i="2" s="1"/>
  <c r="U2921" i="2"/>
  <c r="S2921" i="2"/>
  <c r="T2921" i="2" s="1"/>
  <c r="U2920" i="2"/>
  <c r="S2920" i="2"/>
  <c r="T2920" i="2" s="1"/>
  <c r="U2919" i="2"/>
  <c r="S2919" i="2"/>
  <c r="T2919" i="2" s="1"/>
  <c r="U2918" i="2"/>
  <c r="S2918" i="2"/>
  <c r="T2918" i="2" s="1"/>
  <c r="U2917" i="2"/>
  <c r="S2917" i="2"/>
  <c r="T2917" i="2" s="1"/>
  <c r="U2916" i="2"/>
  <c r="S2916" i="2"/>
  <c r="T2916" i="2" s="1"/>
  <c r="U2915" i="2"/>
  <c r="S2915" i="2"/>
  <c r="T2915" i="2" s="1"/>
  <c r="U2914" i="2"/>
  <c r="S2914" i="2"/>
  <c r="T2914" i="2" s="1"/>
  <c r="U2913" i="2"/>
  <c r="S2913" i="2"/>
  <c r="T2913" i="2" s="1"/>
  <c r="U2912" i="2"/>
  <c r="S2912" i="2"/>
  <c r="T2912" i="2" s="1"/>
  <c r="U2911" i="2"/>
  <c r="S2911" i="2"/>
  <c r="T2911" i="2" s="1"/>
  <c r="U2910" i="2"/>
  <c r="S2910" i="2"/>
  <c r="T2910" i="2" s="1"/>
  <c r="U2909" i="2"/>
  <c r="S2909" i="2"/>
  <c r="T2909" i="2" s="1"/>
  <c r="U2908" i="2"/>
  <c r="S2908" i="2"/>
  <c r="T2908" i="2" s="1"/>
  <c r="U2907" i="2"/>
  <c r="S2907" i="2"/>
  <c r="T2907" i="2" s="1"/>
  <c r="U2906" i="2"/>
  <c r="S2906" i="2"/>
  <c r="T2906" i="2" s="1"/>
  <c r="U2905" i="2"/>
  <c r="S2905" i="2"/>
  <c r="T2905" i="2" s="1"/>
  <c r="U2904" i="2"/>
  <c r="S2904" i="2"/>
  <c r="T2904" i="2" s="1"/>
  <c r="U2903" i="2"/>
  <c r="S2903" i="2"/>
  <c r="T2903" i="2" s="1"/>
  <c r="U2902" i="2"/>
  <c r="S2902" i="2"/>
  <c r="T2902" i="2" s="1"/>
  <c r="U2901" i="2"/>
  <c r="S2901" i="2"/>
  <c r="T2901" i="2" s="1"/>
  <c r="U2900" i="2"/>
  <c r="S2900" i="2"/>
  <c r="T2900" i="2" s="1"/>
  <c r="U2899" i="2"/>
  <c r="S2899" i="2"/>
  <c r="T2899" i="2" s="1"/>
  <c r="U2898" i="2"/>
  <c r="S2898" i="2"/>
  <c r="T2898" i="2" s="1"/>
  <c r="U2897" i="2"/>
  <c r="S2897" i="2"/>
  <c r="T2897" i="2" s="1"/>
  <c r="U2896" i="2"/>
  <c r="S2896" i="2"/>
  <c r="T2896" i="2" s="1"/>
  <c r="U2895" i="2"/>
  <c r="S2895" i="2"/>
  <c r="T2895" i="2" s="1"/>
  <c r="U2894" i="2"/>
  <c r="S2894" i="2"/>
  <c r="T2894" i="2" s="1"/>
  <c r="U2893" i="2"/>
  <c r="S2893" i="2"/>
  <c r="T2893" i="2" s="1"/>
  <c r="U2892" i="2"/>
  <c r="S2892" i="2"/>
  <c r="T2892" i="2" s="1"/>
  <c r="U2891" i="2"/>
  <c r="S2891" i="2"/>
  <c r="T2891" i="2" s="1"/>
  <c r="U2890" i="2"/>
  <c r="S2890" i="2"/>
  <c r="T2890" i="2" s="1"/>
  <c r="U2889" i="2"/>
  <c r="S2889" i="2"/>
  <c r="T2889" i="2" s="1"/>
  <c r="U2888" i="2"/>
  <c r="S2888" i="2"/>
  <c r="T2888" i="2" s="1"/>
  <c r="U2887" i="2"/>
  <c r="S2887" i="2"/>
  <c r="T2887" i="2" s="1"/>
  <c r="U2886" i="2"/>
  <c r="S2886" i="2"/>
  <c r="T2886" i="2" s="1"/>
  <c r="U2885" i="2"/>
  <c r="S2885" i="2"/>
  <c r="T2885" i="2" s="1"/>
  <c r="U2884" i="2"/>
  <c r="S2884" i="2"/>
  <c r="T2884" i="2" s="1"/>
  <c r="U2883" i="2"/>
  <c r="S2883" i="2"/>
  <c r="T2883" i="2" s="1"/>
  <c r="U2882" i="2"/>
  <c r="S2882" i="2"/>
  <c r="T2882" i="2" s="1"/>
  <c r="U2881" i="2"/>
  <c r="S2881" i="2"/>
  <c r="T2881" i="2" s="1"/>
  <c r="U2880" i="2"/>
  <c r="S2880" i="2"/>
  <c r="T2880" i="2" s="1"/>
  <c r="U2879" i="2"/>
  <c r="S2879" i="2"/>
  <c r="T2879" i="2" s="1"/>
  <c r="U2878" i="2"/>
  <c r="S2878" i="2"/>
  <c r="T2878" i="2" s="1"/>
  <c r="U2877" i="2"/>
  <c r="S2877" i="2"/>
  <c r="T2877" i="2" s="1"/>
  <c r="U2876" i="2"/>
  <c r="S2876" i="2"/>
  <c r="T2876" i="2" s="1"/>
  <c r="U2875" i="2"/>
  <c r="S2875" i="2"/>
  <c r="T2875" i="2" s="1"/>
  <c r="U2874" i="2"/>
  <c r="S2874" i="2"/>
  <c r="T2874" i="2" s="1"/>
  <c r="U2873" i="2"/>
  <c r="S2873" i="2"/>
  <c r="T2873" i="2" s="1"/>
  <c r="U2872" i="2"/>
  <c r="S2872" i="2"/>
  <c r="T2872" i="2" s="1"/>
  <c r="U2871" i="2"/>
  <c r="S2871" i="2"/>
  <c r="T2871" i="2" s="1"/>
  <c r="U2870" i="2"/>
  <c r="S2870" i="2"/>
  <c r="T2870" i="2" s="1"/>
  <c r="U2869" i="2"/>
  <c r="S2869" i="2"/>
  <c r="T2869" i="2" s="1"/>
  <c r="U2868" i="2"/>
  <c r="S2868" i="2"/>
  <c r="T2868" i="2" s="1"/>
  <c r="U2867" i="2"/>
  <c r="S2867" i="2"/>
  <c r="T2867" i="2" s="1"/>
  <c r="U2866" i="2"/>
  <c r="S2866" i="2"/>
  <c r="T2866" i="2" s="1"/>
  <c r="U2865" i="2"/>
  <c r="S2865" i="2"/>
  <c r="T2865" i="2" s="1"/>
  <c r="U2864" i="2"/>
  <c r="S2864" i="2"/>
  <c r="T2864" i="2" s="1"/>
  <c r="U2863" i="2"/>
  <c r="S2863" i="2"/>
  <c r="T2863" i="2" s="1"/>
  <c r="U2862" i="2"/>
  <c r="S2862" i="2"/>
  <c r="T2862" i="2" s="1"/>
  <c r="U2861" i="2"/>
  <c r="S2861" i="2"/>
  <c r="T2861" i="2" s="1"/>
  <c r="U2860" i="2"/>
  <c r="S2860" i="2"/>
  <c r="T2860" i="2" s="1"/>
  <c r="U2859" i="2"/>
  <c r="S2859" i="2"/>
  <c r="T2859" i="2" s="1"/>
  <c r="U2858" i="2"/>
  <c r="S2858" i="2"/>
  <c r="T2858" i="2" s="1"/>
  <c r="U2857" i="2"/>
  <c r="S2857" i="2"/>
  <c r="T2857" i="2" s="1"/>
  <c r="U2856" i="2"/>
  <c r="S2856" i="2"/>
  <c r="T2856" i="2" s="1"/>
  <c r="U2855" i="2"/>
  <c r="S2855" i="2"/>
  <c r="T2855" i="2" s="1"/>
  <c r="U2854" i="2"/>
  <c r="S2854" i="2"/>
  <c r="T2854" i="2" s="1"/>
  <c r="U2853" i="2"/>
  <c r="S2853" i="2"/>
  <c r="T2853" i="2" s="1"/>
  <c r="U2852" i="2"/>
  <c r="S2852" i="2"/>
  <c r="T2852" i="2" s="1"/>
  <c r="U2851" i="2"/>
  <c r="S2851" i="2"/>
  <c r="T2851" i="2" s="1"/>
  <c r="U2850" i="2"/>
  <c r="S2850" i="2"/>
  <c r="T2850" i="2" s="1"/>
  <c r="U2849" i="2"/>
  <c r="S2849" i="2"/>
  <c r="T2849" i="2" s="1"/>
  <c r="U2848" i="2"/>
  <c r="S2848" i="2"/>
  <c r="T2848" i="2" s="1"/>
  <c r="U2847" i="2"/>
  <c r="S2847" i="2"/>
  <c r="T2847" i="2" s="1"/>
  <c r="U2846" i="2"/>
  <c r="S2846" i="2"/>
  <c r="T2846" i="2" s="1"/>
  <c r="U2845" i="2"/>
  <c r="S2845" i="2"/>
  <c r="T2845" i="2" s="1"/>
  <c r="U2844" i="2"/>
  <c r="S2844" i="2"/>
  <c r="T2844" i="2" s="1"/>
  <c r="U2843" i="2"/>
  <c r="S2843" i="2"/>
  <c r="T2843" i="2" s="1"/>
  <c r="U2842" i="2"/>
  <c r="S2842" i="2"/>
  <c r="T2842" i="2" s="1"/>
  <c r="U2841" i="2"/>
  <c r="S2841" i="2"/>
  <c r="T2841" i="2" s="1"/>
  <c r="U2840" i="2"/>
  <c r="S2840" i="2"/>
  <c r="T2840" i="2" s="1"/>
  <c r="U2839" i="2"/>
  <c r="S2839" i="2"/>
  <c r="T2839" i="2" s="1"/>
  <c r="U2838" i="2"/>
  <c r="S2838" i="2"/>
  <c r="T2838" i="2" s="1"/>
  <c r="U2837" i="2"/>
  <c r="S2837" i="2"/>
  <c r="T2837" i="2" s="1"/>
  <c r="U2836" i="2"/>
  <c r="S2836" i="2"/>
  <c r="T2836" i="2" s="1"/>
  <c r="U2835" i="2"/>
  <c r="S2835" i="2"/>
  <c r="T2835" i="2" s="1"/>
  <c r="U2834" i="2"/>
  <c r="S2834" i="2"/>
  <c r="T2834" i="2" s="1"/>
  <c r="U2833" i="2"/>
  <c r="S2833" i="2"/>
  <c r="T2833" i="2" s="1"/>
  <c r="U2832" i="2"/>
  <c r="S2832" i="2"/>
  <c r="T2832" i="2" s="1"/>
  <c r="U2831" i="2"/>
  <c r="S2831" i="2"/>
  <c r="T2831" i="2" s="1"/>
  <c r="U2830" i="2"/>
  <c r="S2830" i="2"/>
  <c r="T2830" i="2" s="1"/>
  <c r="U2829" i="2"/>
  <c r="S2829" i="2"/>
  <c r="T2829" i="2" s="1"/>
  <c r="U2828" i="2"/>
  <c r="S2828" i="2"/>
  <c r="T2828" i="2" s="1"/>
  <c r="U2827" i="2"/>
  <c r="S2827" i="2"/>
  <c r="T2827" i="2" s="1"/>
  <c r="U2826" i="2"/>
  <c r="S2826" i="2"/>
  <c r="T2826" i="2" s="1"/>
  <c r="U2825" i="2"/>
  <c r="S2825" i="2"/>
  <c r="T2825" i="2" s="1"/>
  <c r="U2824" i="2"/>
  <c r="S2824" i="2"/>
  <c r="T2824" i="2" s="1"/>
  <c r="U2823" i="2"/>
  <c r="S2823" i="2"/>
  <c r="T2823" i="2" s="1"/>
  <c r="U2822" i="2"/>
  <c r="S2822" i="2"/>
  <c r="T2822" i="2" s="1"/>
  <c r="U2821" i="2"/>
  <c r="S2821" i="2"/>
  <c r="T2821" i="2" s="1"/>
  <c r="U2820" i="2"/>
  <c r="S2820" i="2"/>
  <c r="T2820" i="2" s="1"/>
  <c r="U2819" i="2"/>
  <c r="S2819" i="2"/>
  <c r="T2819" i="2" s="1"/>
  <c r="U2818" i="2"/>
  <c r="S2818" i="2"/>
  <c r="T2818" i="2" s="1"/>
  <c r="U2817" i="2"/>
  <c r="S2817" i="2"/>
  <c r="T2817" i="2" s="1"/>
  <c r="U2816" i="2"/>
  <c r="S2816" i="2"/>
  <c r="T2816" i="2" s="1"/>
  <c r="U2815" i="2"/>
  <c r="S2815" i="2"/>
  <c r="T2815" i="2" s="1"/>
  <c r="U2814" i="2"/>
  <c r="S2814" i="2"/>
  <c r="T2814" i="2" s="1"/>
  <c r="U2813" i="2"/>
  <c r="S2813" i="2"/>
  <c r="T2813" i="2" s="1"/>
  <c r="U2812" i="2"/>
  <c r="S2812" i="2"/>
  <c r="T2812" i="2" s="1"/>
  <c r="U2811" i="2"/>
  <c r="S2811" i="2"/>
  <c r="T2811" i="2" s="1"/>
  <c r="U2810" i="2"/>
  <c r="S2810" i="2"/>
  <c r="T2810" i="2" s="1"/>
  <c r="U2809" i="2"/>
  <c r="S2809" i="2"/>
  <c r="T2809" i="2" s="1"/>
  <c r="U2808" i="2"/>
  <c r="S2808" i="2"/>
  <c r="T2808" i="2" s="1"/>
  <c r="U2807" i="2"/>
  <c r="S2807" i="2"/>
  <c r="T2807" i="2" s="1"/>
  <c r="U2806" i="2"/>
  <c r="S2806" i="2"/>
  <c r="T2806" i="2" s="1"/>
  <c r="U2805" i="2"/>
  <c r="S2805" i="2"/>
  <c r="T2805" i="2" s="1"/>
  <c r="U2804" i="2"/>
  <c r="S2804" i="2"/>
  <c r="T2804" i="2" s="1"/>
  <c r="U2803" i="2"/>
  <c r="S2803" i="2"/>
  <c r="T2803" i="2" s="1"/>
  <c r="U2802" i="2"/>
  <c r="S2802" i="2"/>
  <c r="T2802" i="2" s="1"/>
  <c r="U2801" i="2"/>
  <c r="S2801" i="2"/>
  <c r="T2801" i="2" s="1"/>
  <c r="U2800" i="2"/>
  <c r="S2800" i="2"/>
  <c r="T2800" i="2" s="1"/>
  <c r="U2799" i="2"/>
  <c r="S2799" i="2"/>
  <c r="T2799" i="2" s="1"/>
  <c r="U2798" i="2"/>
  <c r="S2798" i="2"/>
  <c r="T2798" i="2" s="1"/>
  <c r="U2797" i="2"/>
  <c r="S2797" i="2"/>
  <c r="T2797" i="2" s="1"/>
  <c r="U2796" i="2"/>
  <c r="S2796" i="2"/>
  <c r="T2796" i="2" s="1"/>
  <c r="U2795" i="2"/>
  <c r="S2795" i="2"/>
  <c r="T2795" i="2" s="1"/>
  <c r="U2794" i="2"/>
  <c r="S2794" i="2"/>
  <c r="T2794" i="2" s="1"/>
  <c r="U2793" i="2"/>
  <c r="S2793" i="2"/>
  <c r="T2793" i="2" s="1"/>
  <c r="U2792" i="2"/>
  <c r="S2792" i="2"/>
  <c r="T2792" i="2" s="1"/>
  <c r="U2791" i="2"/>
  <c r="S2791" i="2"/>
  <c r="T2791" i="2" s="1"/>
  <c r="U2790" i="2"/>
  <c r="S2790" i="2"/>
  <c r="T2790" i="2" s="1"/>
  <c r="U2789" i="2"/>
  <c r="S2789" i="2"/>
  <c r="T2789" i="2" s="1"/>
  <c r="U2788" i="2"/>
  <c r="S2788" i="2"/>
  <c r="T2788" i="2" s="1"/>
  <c r="U2787" i="2"/>
  <c r="S2787" i="2"/>
  <c r="T2787" i="2" s="1"/>
  <c r="U2786" i="2"/>
  <c r="S2786" i="2"/>
  <c r="T2786" i="2" s="1"/>
  <c r="U2785" i="2"/>
  <c r="S2785" i="2"/>
  <c r="T2785" i="2" s="1"/>
  <c r="U2784" i="2"/>
  <c r="S2784" i="2"/>
  <c r="T2784" i="2" s="1"/>
  <c r="U2783" i="2"/>
  <c r="S2783" i="2"/>
  <c r="T2783" i="2" s="1"/>
  <c r="U2782" i="2"/>
  <c r="S2782" i="2"/>
  <c r="T2782" i="2" s="1"/>
  <c r="U2781" i="2"/>
  <c r="S2781" i="2"/>
  <c r="T2781" i="2" s="1"/>
  <c r="U2780" i="2"/>
  <c r="S2780" i="2"/>
  <c r="T2780" i="2" s="1"/>
  <c r="U2779" i="2"/>
  <c r="S2779" i="2"/>
  <c r="T2779" i="2" s="1"/>
  <c r="U2778" i="2"/>
  <c r="S2778" i="2"/>
  <c r="T2778" i="2" s="1"/>
  <c r="U2777" i="2"/>
  <c r="S2777" i="2"/>
  <c r="T2777" i="2" s="1"/>
  <c r="U2776" i="2"/>
  <c r="S2776" i="2"/>
  <c r="T2776" i="2" s="1"/>
  <c r="U2775" i="2"/>
  <c r="S2775" i="2"/>
  <c r="T2775" i="2" s="1"/>
  <c r="U2774" i="2"/>
  <c r="S2774" i="2"/>
  <c r="T2774" i="2" s="1"/>
  <c r="U2773" i="2"/>
  <c r="S2773" i="2"/>
  <c r="T2773" i="2" s="1"/>
  <c r="U2772" i="2"/>
  <c r="S2772" i="2"/>
  <c r="T2772" i="2" s="1"/>
  <c r="U2771" i="2"/>
  <c r="S2771" i="2"/>
  <c r="T2771" i="2" s="1"/>
  <c r="U2770" i="2"/>
  <c r="S2770" i="2"/>
  <c r="T2770" i="2" s="1"/>
  <c r="U2769" i="2"/>
  <c r="S2769" i="2"/>
  <c r="T2769" i="2" s="1"/>
  <c r="U2768" i="2"/>
  <c r="S2768" i="2"/>
  <c r="T2768" i="2" s="1"/>
  <c r="U2767" i="2"/>
  <c r="S2767" i="2"/>
  <c r="T2767" i="2" s="1"/>
  <c r="U2766" i="2"/>
  <c r="S2766" i="2"/>
  <c r="T2766" i="2" s="1"/>
  <c r="U2765" i="2"/>
  <c r="S2765" i="2"/>
  <c r="T2765" i="2" s="1"/>
  <c r="U2764" i="2"/>
  <c r="S2764" i="2"/>
  <c r="T2764" i="2" s="1"/>
  <c r="U2763" i="2"/>
  <c r="S2763" i="2"/>
  <c r="T2763" i="2" s="1"/>
  <c r="U2762" i="2"/>
  <c r="S2762" i="2"/>
  <c r="T2762" i="2" s="1"/>
  <c r="U2761" i="2"/>
  <c r="S2761" i="2"/>
  <c r="T2761" i="2" s="1"/>
  <c r="U2760" i="2"/>
  <c r="S2760" i="2"/>
  <c r="T2760" i="2" s="1"/>
  <c r="U2759" i="2"/>
  <c r="S2759" i="2"/>
  <c r="T2759" i="2" s="1"/>
  <c r="U2758" i="2"/>
  <c r="S2758" i="2"/>
  <c r="T2758" i="2" s="1"/>
  <c r="U2757" i="2"/>
  <c r="S2757" i="2"/>
  <c r="T2757" i="2" s="1"/>
  <c r="U2756" i="2"/>
  <c r="S2756" i="2"/>
  <c r="T2756" i="2" s="1"/>
  <c r="U2755" i="2"/>
  <c r="S2755" i="2"/>
  <c r="T2755" i="2" s="1"/>
  <c r="U2754" i="2"/>
  <c r="S2754" i="2"/>
  <c r="T2754" i="2" s="1"/>
  <c r="U2753" i="2"/>
  <c r="S2753" i="2"/>
  <c r="T2753" i="2" s="1"/>
  <c r="U2752" i="2"/>
  <c r="S2752" i="2"/>
  <c r="T2752" i="2" s="1"/>
  <c r="U2751" i="2"/>
  <c r="S2751" i="2"/>
  <c r="T2751" i="2" s="1"/>
  <c r="U2750" i="2"/>
  <c r="S2750" i="2"/>
  <c r="T2750" i="2" s="1"/>
  <c r="U2749" i="2"/>
  <c r="S2749" i="2"/>
  <c r="T2749" i="2" s="1"/>
  <c r="U2748" i="2"/>
  <c r="S2748" i="2"/>
  <c r="T2748" i="2" s="1"/>
  <c r="U2747" i="2"/>
  <c r="S2747" i="2"/>
  <c r="T2747" i="2" s="1"/>
  <c r="U2746" i="2"/>
  <c r="S2746" i="2"/>
  <c r="T2746" i="2" s="1"/>
  <c r="U2745" i="2"/>
  <c r="S2745" i="2"/>
  <c r="T2745" i="2" s="1"/>
  <c r="U2744" i="2"/>
  <c r="S2744" i="2"/>
  <c r="T2744" i="2" s="1"/>
  <c r="U2743" i="2"/>
  <c r="S2743" i="2"/>
  <c r="T2743" i="2" s="1"/>
  <c r="U2742" i="2"/>
  <c r="S2742" i="2"/>
  <c r="T2742" i="2" s="1"/>
  <c r="U2741" i="2"/>
  <c r="S2741" i="2"/>
  <c r="T2741" i="2" s="1"/>
  <c r="U2740" i="2"/>
  <c r="S2740" i="2"/>
  <c r="T2740" i="2" s="1"/>
  <c r="U2739" i="2"/>
  <c r="S2739" i="2"/>
  <c r="T2739" i="2" s="1"/>
  <c r="U2738" i="2"/>
  <c r="S2738" i="2"/>
  <c r="T2738" i="2" s="1"/>
  <c r="U2737" i="2"/>
  <c r="S2737" i="2"/>
  <c r="T2737" i="2" s="1"/>
  <c r="U2736" i="2"/>
  <c r="S2736" i="2"/>
  <c r="T2736" i="2" s="1"/>
  <c r="U2735" i="2"/>
  <c r="S2735" i="2"/>
  <c r="T2735" i="2" s="1"/>
  <c r="U2734" i="2"/>
  <c r="S2734" i="2"/>
  <c r="T2734" i="2" s="1"/>
  <c r="U2733" i="2"/>
  <c r="S2733" i="2"/>
  <c r="T2733" i="2" s="1"/>
  <c r="U2732" i="2"/>
  <c r="S2732" i="2"/>
  <c r="T2732" i="2" s="1"/>
  <c r="U2731" i="2"/>
  <c r="S2731" i="2"/>
  <c r="T2731" i="2" s="1"/>
  <c r="U2730" i="2"/>
  <c r="S2730" i="2"/>
  <c r="T2730" i="2" s="1"/>
  <c r="U2729" i="2"/>
  <c r="S2729" i="2"/>
  <c r="T2729" i="2" s="1"/>
  <c r="U2728" i="2"/>
  <c r="S2728" i="2"/>
  <c r="T2728" i="2" s="1"/>
  <c r="U2727" i="2"/>
  <c r="S2727" i="2"/>
  <c r="T2727" i="2" s="1"/>
  <c r="U2726" i="2"/>
  <c r="S2726" i="2"/>
  <c r="T2726" i="2" s="1"/>
  <c r="U2725" i="2"/>
  <c r="S2725" i="2"/>
  <c r="T2725" i="2" s="1"/>
  <c r="U2724" i="2"/>
  <c r="S2724" i="2"/>
  <c r="T2724" i="2" s="1"/>
  <c r="U2723" i="2"/>
  <c r="S2723" i="2"/>
  <c r="T2723" i="2" s="1"/>
  <c r="U2722" i="2"/>
  <c r="S2722" i="2"/>
  <c r="T2722" i="2" s="1"/>
  <c r="U2721" i="2"/>
  <c r="S2721" i="2"/>
  <c r="T2721" i="2" s="1"/>
  <c r="U2720" i="2"/>
  <c r="S2720" i="2"/>
  <c r="T2720" i="2" s="1"/>
  <c r="U2719" i="2"/>
  <c r="S2719" i="2"/>
  <c r="T2719" i="2" s="1"/>
  <c r="U2718" i="2"/>
  <c r="S2718" i="2"/>
  <c r="T2718" i="2" s="1"/>
  <c r="U2717" i="2"/>
  <c r="S2717" i="2"/>
  <c r="T2717" i="2" s="1"/>
  <c r="U2716" i="2"/>
  <c r="S2716" i="2"/>
  <c r="T2716" i="2" s="1"/>
  <c r="U2715" i="2"/>
  <c r="S2715" i="2"/>
  <c r="T2715" i="2" s="1"/>
  <c r="U2714" i="2"/>
  <c r="S2714" i="2"/>
  <c r="T2714" i="2" s="1"/>
  <c r="U2713" i="2"/>
  <c r="S2713" i="2"/>
  <c r="T2713" i="2" s="1"/>
  <c r="U2712" i="2"/>
  <c r="S2712" i="2"/>
  <c r="T2712" i="2" s="1"/>
  <c r="U2711" i="2"/>
  <c r="S2711" i="2"/>
  <c r="T2711" i="2" s="1"/>
  <c r="U2710" i="2"/>
  <c r="S2710" i="2"/>
  <c r="T2710" i="2" s="1"/>
  <c r="U2709" i="2"/>
  <c r="S2709" i="2"/>
  <c r="T2709" i="2" s="1"/>
  <c r="U2708" i="2"/>
  <c r="S2708" i="2"/>
  <c r="T2708" i="2" s="1"/>
  <c r="U2707" i="2"/>
  <c r="S2707" i="2"/>
  <c r="T2707" i="2" s="1"/>
  <c r="U2706" i="2"/>
  <c r="S2706" i="2"/>
  <c r="T2706" i="2" s="1"/>
  <c r="U2705" i="2"/>
  <c r="S2705" i="2"/>
  <c r="T2705" i="2" s="1"/>
  <c r="U2704" i="2"/>
  <c r="S2704" i="2"/>
  <c r="T2704" i="2" s="1"/>
  <c r="U2703" i="2"/>
  <c r="S2703" i="2"/>
  <c r="T2703" i="2" s="1"/>
  <c r="U2702" i="2"/>
  <c r="S2702" i="2"/>
  <c r="T2702" i="2" s="1"/>
  <c r="U2701" i="2"/>
  <c r="S2701" i="2"/>
  <c r="T2701" i="2" s="1"/>
  <c r="U2700" i="2"/>
  <c r="S2700" i="2"/>
  <c r="T2700" i="2" s="1"/>
  <c r="U2699" i="2"/>
  <c r="S2699" i="2"/>
  <c r="T2699" i="2" s="1"/>
  <c r="U2698" i="2"/>
  <c r="S2698" i="2"/>
  <c r="T2698" i="2" s="1"/>
  <c r="U2697" i="2"/>
  <c r="S2697" i="2"/>
  <c r="T2697" i="2" s="1"/>
  <c r="U2696" i="2"/>
  <c r="S2696" i="2"/>
  <c r="T2696" i="2" s="1"/>
  <c r="U2695" i="2"/>
  <c r="S2695" i="2"/>
  <c r="T2695" i="2" s="1"/>
  <c r="U2694" i="2"/>
  <c r="S2694" i="2"/>
  <c r="T2694" i="2" s="1"/>
  <c r="U2693" i="2"/>
  <c r="S2693" i="2"/>
  <c r="T2693" i="2" s="1"/>
  <c r="U2692" i="2"/>
  <c r="S2692" i="2"/>
  <c r="T2692" i="2" s="1"/>
  <c r="U2691" i="2"/>
  <c r="S2691" i="2"/>
  <c r="T2691" i="2" s="1"/>
  <c r="U2690" i="2"/>
  <c r="S2690" i="2"/>
  <c r="T2690" i="2" s="1"/>
  <c r="U2689" i="2"/>
  <c r="S2689" i="2"/>
  <c r="T2689" i="2" s="1"/>
  <c r="U2688" i="2"/>
  <c r="S2688" i="2"/>
  <c r="T2688" i="2" s="1"/>
  <c r="U2687" i="2"/>
  <c r="S2687" i="2"/>
  <c r="T2687" i="2" s="1"/>
  <c r="U2686" i="2"/>
  <c r="S2686" i="2"/>
  <c r="T2686" i="2" s="1"/>
  <c r="U2685" i="2"/>
  <c r="S2685" i="2"/>
  <c r="T2685" i="2" s="1"/>
  <c r="U2684" i="2"/>
  <c r="S2684" i="2"/>
  <c r="T2684" i="2" s="1"/>
  <c r="U2683" i="2"/>
  <c r="S2683" i="2"/>
  <c r="T2683" i="2" s="1"/>
  <c r="U2682" i="2"/>
  <c r="S2682" i="2"/>
  <c r="T2682" i="2" s="1"/>
  <c r="U2681" i="2"/>
  <c r="S2681" i="2"/>
  <c r="T2681" i="2" s="1"/>
  <c r="U2680" i="2"/>
  <c r="S2680" i="2"/>
  <c r="T2680" i="2" s="1"/>
  <c r="U2679" i="2"/>
  <c r="S2679" i="2"/>
  <c r="T2679" i="2" s="1"/>
  <c r="U2678" i="2"/>
  <c r="S2678" i="2"/>
  <c r="T2678" i="2" s="1"/>
  <c r="U2677" i="2"/>
  <c r="S2677" i="2"/>
  <c r="T2677" i="2" s="1"/>
  <c r="U2676" i="2"/>
  <c r="S2676" i="2"/>
  <c r="T2676" i="2" s="1"/>
  <c r="U2675" i="2"/>
  <c r="S2675" i="2"/>
  <c r="T2675" i="2" s="1"/>
  <c r="U2674" i="2"/>
  <c r="S2674" i="2"/>
  <c r="T2674" i="2" s="1"/>
  <c r="U2673" i="2"/>
  <c r="S2673" i="2"/>
  <c r="T2673" i="2" s="1"/>
  <c r="U2672" i="2"/>
  <c r="S2672" i="2"/>
  <c r="T2672" i="2" s="1"/>
  <c r="U2671" i="2"/>
  <c r="S2671" i="2"/>
  <c r="T2671" i="2" s="1"/>
  <c r="U2670" i="2"/>
  <c r="S2670" i="2"/>
  <c r="T2670" i="2" s="1"/>
  <c r="U2669" i="2"/>
  <c r="S2669" i="2"/>
  <c r="T2669" i="2" s="1"/>
  <c r="U2668" i="2"/>
  <c r="S2668" i="2"/>
  <c r="T2668" i="2" s="1"/>
  <c r="U2667" i="2"/>
  <c r="S2667" i="2"/>
  <c r="T2667" i="2" s="1"/>
  <c r="U2666" i="2"/>
  <c r="S2666" i="2"/>
  <c r="T2666" i="2" s="1"/>
  <c r="U2665" i="2"/>
  <c r="S2665" i="2"/>
  <c r="T2665" i="2" s="1"/>
  <c r="U2664" i="2"/>
  <c r="S2664" i="2"/>
  <c r="T2664" i="2" s="1"/>
  <c r="U2663" i="2"/>
  <c r="S2663" i="2"/>
  <c r="T2663" i="2" s="1"/>
  <c r="U2662" i="2"/>
  <c r="S2662" i="2"/>
  <c r="T2662" i="2" s="1"/>
  <c r="U2661" i="2"/>
  <c r="S2661" i="2"/>
  <c r="T2661" i="2" s="1"/>
  <c r="U2660" i="2"/>
  <c r="S2660" i="2"/>
  <c r="T2660" i="2" s="1"/>
  <c r="U2659" i="2"/>
  <c r="S2659" i="2"/>
  <c r="T2659" i="2" s="1"/>
  <c r="U2658" i="2"/>
  <c r="S2658" i="2"/>
  <c r="T2658" i="2" s="1"/>
  <c r="U2657" i="2"/>
  <c r="S2657" i="2"/>
  <c r="T2657" i="2" s="1"/>
  <c r="U2656" i="2"/>
  <c r="S2656" i="2"/>
  <c r="T2656" i="2" s="1"/>
  <c r="U2655" i="2"/>
  <c r="S2655" i="2"/>
  <c r="T2655" i="2" s="1"/>
  <c r="U2654" i="2"/>
  <c r="S2654" i="2"/>
  <c r="T2654" i="2" s="1"/>
  <c r="U2653" i="2"/>
  <c r="S2653" i="2"/>
  <c r="T2653" i="2" s="1"/>
  <c r="U2652" i="2"/>
  <c r="S2652" i="2"/>
  <c r="T2652" i="2" s="1"/>
  <c r="U2651" i="2"/>
  <c r="S2651" i="2"/>
  <c r="T2651" i="2" s="1"/>
  <c r="U2650" i="2"/>
  <c r="S2650" i="2"/>
  <c r="T2650" i="2" s="1"/>
  <c r="U2649" i="2"/>
  <c r="S2649" i="2"/>
  <c r="T2649" i="2" s="1"/>
  <c r="U2648" i="2"/>
  <c r="S2648" i="2"/>
  <c r="T2648" i="2" s="1"/>
  <c r="U2647" i="2"/>
  <c r="S2647" i="2"/>
  <c r="T2647" i="2" s="1"/>
  <c r="U2646" i="2"/>
  <c r="S2646" i="2"/>
  <c r="T2646" i="2" s="1"/>
  <c r="U2645" i="2"/>
  <c r="S2645" i="2"/>
  <c r="T2645" i="2" s="1"/>
  <c r="U2644" i="2"/>
  <c r="S2644" i="2"/>
  <c r="T2644" i="2" s="1"/>
  <c r="U2643" i="2"/>
  <c r="S2643" i="2"/>
  <c r="T2643" i="2" s="1"/>
  <c r="U2642" i="2"/>
  <c r="S2642" i="2"/>
  <c r="T2642" i="2" s="1"/>
  <c r="U2641" i="2"/>
  <c r="S2641" i="2"/>
  <c r="T2641" i="2" s="1"/>
  <c r="U2640" i="2"/>
  <c r="S2640" i="2"/>
  <c r="T2640" i="2" s="1"/>
  <c r="U2639" i="2"/>
  <c r="S2639" i="2"/>
  <c r="T2639" i="2" s="1"/>
  <c r="U2638" i="2"/>
  <c r="S2638" i="2"/>
  <c r="T2638" i="2" s="1"/>
  <c r="U2637" i="2"/>
  <c r="S2637" i="2"/>
  <c r="T2637" i="2" s="1"/>
  <c r="U2636" i="2"/>
  <c r="S2636" i="2"/>
  <c r="T2636" i="2" s="1"/>
  <c r="U2635" i="2"/>
  <c r="S2635" i="2"/>
  <c r="T2635" i="2" s="1"/>
  <c r="U2634" i="2"/>
  <c r="S2634" i="2"/>
  <c r="T2634" i="2" s="1"/>
  <c r="U2633" i="2"/>
  <c r="S2633" i="2"/>
  <c r="T2633" i="2" s="1"/>
  <c r="U2632" i="2"/>
  <c r="S2632" i="2"/>
  <c r="T2632" i="2" s="1"/>
  <c r="U2631" i="2"/>
  <c r="S2631" i="2"/>
  <c r="T2631" i="2" s="1"/>
  <c r="U2630" i="2"/>
  <c r="S2630" i="2"/>
  <c r="T2630" i="2" s="1"/>
  <c r="U2629" i="2"/>
  <c r="S2629" i="2"/>
  <c r="T2629" i="2" s="1"/>
  <c r="U2628" i="2"/>
  <c r="S2628" i="2"/>
  <c r="T2628" i="2" s="1"/>
  <c r="U2627" i="2"/>
  <c r="S2627" i="2"/>
  <c r="T2627" i="2" s="1"/>
  <c r="U2626" i="2"/>
  <c r="S2626" i="2"/>
  <c r="T2626" i="2" s="1"/>
  <c r="U2625" i="2"/>
  <c r="S2625" i="2"/>
  <c r="T2625" i="2" s="1"/>
  <c r="U2624" i="2"/>
  <c r="S2624" i="2"/>
  <c r="T2624" i="2" s="1"/>
  <c r="U2623" i="2"/>
  <c r="S2623" i="2"/>
  <c r="T2623" i="2" s="1"/>
  <c r="U2622" i="2"/>
  <c r="S2622" i="2"/>
  <c r="T2622" i="2" s="1"/>
  <c r="U2621" i="2"/>
  <c r="S2621" i="2"/>
  <c r="T2621" i="2" s="1"/>
  <c r="U2620" i="2"/>
  <c r="S2620" i="2"/>
  <c r="T2620" i="2" s="1"/>
  <c r="U2619" i="2"/>
  <c r="S2619" i="2"/>
  <c r="T2619" i="2" s="1"/>
  <c r="U2618" i="2"/>
  <c r="S2618" i="2"/>
  <c r="T2618" i="2" s="1"/>
  <c r="U2617" i="2"/>
  <c r="S2617" i="2"/>
  <c r="T2617" i="2" s="1"/>
  <c r="U2616" i="2"/>
  <c r="S2616" i="2"/>
  <c r="T2616" i="2" s="1"/>
  <c r="U2615" i="2"/>
  <c r="S2615" i="2"/>
  <c r="T2615" i="2" s="1"/>
  <c r="U2614" i="2"/>
  <c r="S2614" i="2"/>
  <c r="T2614" i="2" s="1"/>
  <c r="U2613" i="2"/>
  <c r="S2613" i="2"/>
  <c r="T2613" i="2" s="1"/>
  <c r="U2612" i="2"/>
  <c r="S2612" i="2"/>
  <c r="T2612" i="2" s="1"/>
  <c r="U2611" i="2"/>
  <c r="S2611" i="2"/>
  <c r="T2611" i="2" s="1"/>
  <c r="U2610" i="2"/>
  <c r="S2610" i="2"/>
  <c r="T2610" i="2" s="1"/>
  <c r="U2609" i="2"/>
  <c r="S2609" i="2"/>
  <c r="T2609" i="2" s="1"/>
  <c r="U2608" i="2"/>
  <c r="S2608" i="2"/>
  <c r="T2608" i="2" s="1"/>
  <c r="U2607" i="2"/>
  <c r="S2607" i="2"/>
  <c r="T2607" i="2" s="1"/>
  <c r="U2606" i="2"/>
  <c r="S2606" i="2"/>
  <c r="T2606" i="2" s="1"/>
  <c r="U2605" i="2"/>
  <c r="S2605" i="2"/>
  <c r="T2605" i="2" s="1"/>
  <c r="U2604" i="2"/>
  <c r="S2604" i="2"/>
  <c r="T2604" i="2" s="1"/>
  <c r="U2603" i="2"/>
  <c r="S2603" i="2"/>
  <c r="T2603" i="2" s="1"/>
  <c r="U2602" i="2"/>
  <c r="S2602" i="2"/>
  <c r="T2602" i="2" s="1"/>
  <c r="U2601" i="2"/>
  <c r="S2601" i="2"/>
  <c r="T2601" i="2" s="1"/>
  <c r="U2600" i="2"/>
  <c r="S2600" i="2"/>
  <c r="T2600" i="2" s="1"/>
  <c r="U2599" i="2"/>
  <c r="S2599" i="2"/>
  <c r="T2599" i="2" s="1"/>
  <c r="U2598" i="2"/>
  <c r="S2598" i="2"/>
  <c r="T2598" i="2" s="1"/>
  <c r="U2597" i="2"/>
  <c r="S2597" i="2"/>
  <c r="T2597" i="2" s="1"/>
  <c r="U2596" i="2"/>
  <c r="S2596" i="2"/>
  <c r="T2596" i="2" s="1"/>
  <c r="U2595" i="2"/>
  <c r="S2595" i="2"/>
  <c r="T2595" i="2" s="1"/>
  <c r="U2594" i="2"/>
  <c r="S2594" i="2"/>
  <c r="T2594" i="2" s="1"/>
  <c r="U2593" i="2"/>
  <c r="S2593" i="2"/>
  <c r="T2593" i="2" s="1"/>
  <c r="U2592" i="2"/>
  <c r="S2592" i="2"/>
  <c r="T2592" i="2" s="1"/>
  <c r="U2591" i="2"/>
  <c r="S2591" i="2"/>
  <c r="T2591" i="2" s="1"/>
  <c r="U2590" i="2"/>
  <c r="S2590" i="2"/>
  <c r="T2590" i="2" s="1"/>
  <c r="U2589" i="2"/>
  <c r="S2589" i="2"/>
  <c r="T2589" i="2" s="1"/>
  <c r="U2588" i="2"/>
  <c r="S2588" i="2"/>
  <c r="T2588" i="2" s="1"/>
  <c r="U2587" i="2"/>
  <c r="S2587" i="2"/>
  <c r="T2587" i="2" s="1"/>
  <c r="U2586" i="2"/>
  <c r="S2586" i="2"/>
  <c r="T2586" i="2" s="1"/>
  <c r="U2585" i="2"/>
  <c r="S2585" i="2"/>
  <c r="T2585" i="2" s="1"/>
  <c r="U2584" i="2"/>
  <c r="S2584" i="2"/>
  <c r="T2584" i="2" s="1"/>
  <c r="U2583" i="2"/>
  <c r="S2583" i="2"/>
  <c r="T2583" i="2" s="1"/>
  <c r="U2582" i="2"/>
  <c r="S2582" i="2"/>
  <c r="T2582" i="2" s="1"/>
  <c r="U2581" i="2"/>
  <c r="S2581" i="2"/>
  <c r="T2581" i="2" s="1"/>
  <c r="U2580" i="2"/>
  <c r="S2580" i="2"/>
  <c r="T2580" i="2" s="1"/>
  <c r="U2579" i="2"/>
  <c r="S2579" i="2"/>
  <c r="T2579" i="2" s="1"/>
  <c r="U2578" i="2"/>
  <c r="S2578" i="2"/>
  <c r="T2578" i="2" s="1"/>
  <c r="U2577" i="2"/>
  <c r="S2577" i="2"/>
  <c r="T2577" i="2" s="1"/>
  <c r="U2576" i="2"/>
  <c r="S2576" i="2"/>
  <c r="T2576" i="2" s="1"/>
  <c r="U2575" i="2"/>
  <c r="S2575" i="2"/>
  <c r="T2575" i="2" s="1"/>
  <c r="U2574" i="2"/>
  <c r="S2574" i="2"/>
  <c r="T2574" i="2" s="1"/>
  <c r="U2573" i="2"/>
  <c r="S2573" i="2"/>
  <c r="T2573" i="2" s="1"/>
  <c r="U2572" i="2"/>
  <c r="S2572" i="2"/>
  <c r="T2572" i="2" s="1"/>
  <c r="U2571" i="2"/>
  <c r="S2571" i="2"/>
  <c r="T2571" i="2" s="1"/>
  <c r="U2570" i="2"/>
  <c r="S2570" i="2"/>
  <c r="T2570" i="2" s="1"/>
  <c r="U2569" i="2"/>
  <c r="S2569" i="2"/>
  <c r="T2569" i="2" s="1"/>
  <c r="U2568" i="2"/>
  <c r="S2568" i="2"/>
  <c r="T2568" i="2" s="1"/>
  <c r="U2567" i="2"/>
  <c r="S2567" i="2"/>
  <c r="T2567" i="2" s="1"/>
  <c r="U2566" i="2"/>
  <c r="S2566" i="2"/>
  <c r="T2566" i="2" s="1"/>
  <c r="U2565" i="2"/>
  <c r="S2565" i="2"/>
  <c r="T2565" i="2" s="1"/>
  <c r="U2564" i="2"/>
  <c r="S2564" i="2"/>
  <c r="T2564" i="2" s="1"/>
  <c r="U2563" i="2"/>
  <c r="S2563" i="2"/>
  <c r="T2563" i="2" s="1"/>
  <c r="U2562" i="2"/>
  <c r="S2562" i="2"/>
  <c r="T2562" i="2" s="1"/>
  <c r="U2561" i="2"/>
  <c r="S2561" i="2"/>
  <c r="T2561" i="2" s="1"/>
  <c r="U2560" i="2"/>
  <c r="S2560" i="2"/>
  <c r="T2560" i="2" s="1"/>
  <c r="U2559" i="2"/>
  <c r="S2559" i="2"/>
  <c r="T2559" i="2" s="1"/>
  <c r="U2558" i="2"/>
  <c r="S2558" i="2"/>
  <c r="T2558" i="2" s="1"/>
  <c r="U2557" i="2"/>
  <c r="S2557" i="2"/>
  <c r="T2557" i="2" s="1"/>
  <c r="U2556" i="2"/>
  <c r="S2556" i="2"/>
  <c r="T2556" i="2" s="1"/>
  <c r="U2555" i="2"/>
  <c r="S2555" i="2"/>
  <c r="T2555" i="2" s="1"/>
  <c r="U2554" i="2"/>
  <c r="S2554" i="2"/>
  <c r="T2554" i="2" s="1"/>
  <c r="U2553" i="2"/>
  <c r="S2553" i="2"/>
  <c r="T2553" i="2" s="1"/>
  <c r="U2552" i="2"/>
  <c r="S2552" i="2"/>
  <c r="T2552" i="2" s="1"/>
  <c r="U2551" i="2"/>
  <c r="S2551" i="2"/>
  <c r="T2551" i="2" s="1"/>
  <c r="U2550" i="2"/>
  <c r="S2550" i="2"/>
  <c r="T2550" i="2" s="1"/>
  <c r="U2549" i="2"/>
  <c r="S2549" i="2"/>
  <c r="T2549" i="2" s="1"/>
  <c r="U2548" i="2"/>
  <c r="S2548" i="2"/>
  <c r="T2548" i="2" s="1"/>
  <c r="U2547" i="2"/>
  <c r="S2547" i="2"/>
  <c r="T2547" i="2" s="1"/>
  <c r="U2546" i="2"/>
  <c r="S2546" i="2"/>
  <c r="T2546" i="2" s="1"/>
  <c r="U2545" i="2"/>
  <c r="S2545" i="2"/>
  <c r="T2545" i="2" s="1"/>
  <c r="U2544" i="2"/>
  <c r="S2544" i="2"/>
  <c r="T2544" i="2" s="1"/>
  <c r="U2543" i="2"/>
  <c r="S2543" i="2"/>
  <c r="T2543" i="2" s="1"/>
  <c r="U2542" i="2"/>
  <c r="S2542" i="2"/>
  <c r="T2542" i="2" s="1"/>
  <c r="U2541" i="2"/>
  <c r="S2541" i="2"/>
  <c r="T2541" i="2" s="1"/>
  <c r="U2540" i="2"/>
  <c r="S2540" i="2"/>
  <c r="T2540" i="2" s="1"/>
  <c r="U2539" i="2"/>
  <c r="S2539" i="2"/>
  <c r="T2539" i="2" s="1"/>
  <c r="U2538" i="2"/>
  <c r="S2538" i="2"/>
  <c r="T2538" i="2" s="1"/>
  <c r="U2537" i="2"/>
  <c r="S2537" i="2"/>
  <c r="T2537" i="2" s="1"/>
  <c r="U2536" i="2"/>
  <c r="S2536" i="2"/>
  <c r="T2536" i="2" s="1"/>
  <c r="U2535" i="2"/>
  <c r="S2535" i="2"/>
  <c r="T2535" i="2" s="1"/>
  <c r="U2534" i="2"/>
  <c r="S2534" i="2"/>
  <c r="T2534" i="2" s="1"/>
  <c r="U2533" i="2"/>
  <c r="S2533" i="2"/>
  <c r="T2533" i="2" s="1"/>
  <c r="U2532" i="2"/>
  <c r="S2532" i="2"/>
  <c r="T2532" i="2" s="1"/>
  <c r="U2531" i="2"/>
  <c r="S2531" i="2"/>
  <c r="T2531" i="2" s="1"/>
  <c r="U2530" i="2"/>
  <c r="S2530" i="2"/>
  <c r="T2530" i="2" s="1"/>
  <c r="U2529" i="2"/>
  <c r="S2529" i="2"/>
  <c r="T2529" i="2" s="1"/>
  <c r="U2528" i="2"/>
  <c r="S2528" i="2"/>
  <c r="T2528" i="2" s="1"/>
  <c r="U2527" i="2"/>
  <c r="S2527" i="2"/>
  <c r="T2527" i="2" s="1"/>
  <c r="U2526" i="2"/>
  <c r="S2526" i="2"/>
  <c r="T2526" i="2" s="1"/>
  <c r="U2525" i="2"/>
  <c r="S2525" i="2"/>
  <c r="T2525" i="2" s="1"/>
  <c r="U2524" i="2"/>
  <c r="S2524" i="2"/>
  <c r="T2524" i="2" s="1"/>
  <c r="U2523" i="2"/>
  <c r="S2523" i="2"/>
  <c r="T2523" i="2" s="1"/>
  <c r="U2522" i="2"/>
  <c r="S2522" i="2"/>
  <c r="T2522" i="2" s="1"/>
  <c r="U2521" i="2"/>
  <c r="S2521" i="2"/>
  <c r="T2521" i="2" s="1"/>
  <c r="U2520" i="2"/>
  <c r="S2520" i="2"/>
  <c r="T2520" i="2" s="1"/>
  <c r="U2519" i="2"/>
  <c r="S2519" i="2"/>
  <c r="T2519" i="2" s="1"/>
  <c r="U2518" i="2"/>
  <c r="S2518" i="2"/>
  <c r="T2518" i="2" s="1"/>
  <c r="U2517" i="2"/>
  <c r="S2517" i="2"/>
  <c r="T2517" i="2" s="1"/>
  <c r="U2516" i="2"/>
  <c r="S2516" i="2"/>
  <c r="T2516" i="2" s="1"/>
  <c r="U2515" i="2"/>
  <c r="S2515" i="2"/>
  <c r="T2515" i="2" s="1"/>
  <c r="U2514" i="2"/>
  <c r="S2514" i="2"/>
  <c r="T2514" i="2" s="1"/>
  <c r="U2513" i="2"/>
  <c r="S2513" i="2"/>
  <c r="T2513" i="2" s="1"/>
  <c r="U2512" i="2"/>
  <c r="S2512" i="2"/>
  <c r="T2512" i="2" s="1"/>
  <c r="U2511" i="2"/>
  <c r="S2511" i="2"/>
  <c r="T2511" i="2" s="1"/>
  <c r="U2510" i="2"/>
  <c r="S2510" i="2"/>
  <c r="T2510" i="2" s="1"/>
  <c r="U2509" i="2"/>
  <c r="S2509" i="2"/>
  <c r="T2509" i="2" s="1"/>
  <c r="U2508" i="2"/>
  <c r="S2508" i="2"/>
  <c r="T2508" i="2" s="1"/>
  <c r="U2507" i="2"/>
  <c r="S2507" i="2"/>
  <c r="T2507" i="2" s="1"/>
  <c r="U2506" i="2"/>
  <c r="S2506" i="2"/>
  <c r="T2506" i="2" s="1"/>
  <c r="U2505" i="2"/>
  <c r="S2505" i="2"/>
  <c r="T2505" i="2" s="1"/>
  <c r="U2504" i="2"/>
  <c r="S2504" i="2"/>
  <c r="T2504" i="2" s="1"/>
  <c r="U2503" i="2"/>
  <c r="S2503" i="2"/>
  <c r="T2503" i="2" s="1"/>
  <c r="U2502" i="2"/>
  <c r="S2502" i="2"/>
  <c r="T2502" i="2" s="1"/>
  <c r="U2501" i="2"/>
  <c r="S2501" i="2"/>
  <c r="T2501" i="2" s="1"/>
  <c r="U2500" i="2"/>
  <c r="S2500" i="2"/>
  <c r="T2500" i="2" s="1"/>
  <c r="U2499" i="2"/>
  <c r="S2499" i="2"/>
  <c r="T2499" i="2" s="1"/>
  <c r="U2498" i="2"/>
  <c r="S2498" i="2"/>
  <c r="T2498" i="2" s="1"/>
  <c r="U2497" i="2"/>
  <c r="S2497" i="2"/>
  <c r="T2497" i="2" s="1"/>
  <c r="U2496" i="2"/>
  <c r="S2496" i="2"/>
  <c r="T2496" i="2" s="1"/>
  <c r="U2495" i="2"/>
  <c r="S2495" i="2"/>
  <c r="T2495" i="2" s="1"/>
  <c r="U2494" i="2"/>
  <c r="S2494" i="2"/>
  <c r="T2494" i="2" s="1"/>
  <c r="U2493" i="2"/>
  <c r="S2493" i="2"/>
  <c r="T2493" i="2" s="1"/>
  <c r="U2492" i="2"/>
  <c r="S2492" i="2"/>
  <c r="T2492" i="2" s="1"/>
  <c r="U2491" i="2"/>
  <c r="S2491" i="2"/>
  <c r="T2491" i="2" s="1"/>
  <c r="U2490" i="2"/>
  <c r="S2490" i="2"/>
  <c r="T2490" i="2" s="1"/>
  <c r="U2489" i="2"/>
  <c r="S2489" i="2"/>
  <c r="T2489" i="2" s="1"/>
  <c r="U2488" i="2"/>
  <c r="S2488" i="2"/>
  <c r="T2488" i="2" s="1"/>
  <c r="U2487" i="2"/>
  <c r="S2487" i="2"/>
  <c r="T2487" i="2" s="1"/>
  <c r="U2486" i="2"/>
  <c r="S2486" i="2"/>
  <c r="T2486" i="2" s="1"/>
  <c r="U2485" i="2"/>
  <c r="S2485" i="2"/>
  <c r="T2485" i="2" s="1"/>
  <c r="U2484" i="2"/>
  <c r="S2484" i="2"/>
  <c r="T2484" i="2" s="1"/>
  <c r="U2483" i="2"/>
  <c r="S2483" i="2"/>
  <c r="T2483" i="2" s="1"/>
  <c r="U2482" i="2"/>
  <c r="S2482" i="2"/>
  <c r="T2482" i="2" s="1"/>
  <c r="U2481" i="2"/>
  <c r="S2481" i="2"/>
  <c r="T2481" i="2" s="1"/>
  <c r="U2480" i="2"/>
  <c r="S2480" i="2"/>
  <c r="T2480" i="2" s="1"/>
  <c r="U2479" i="2"/>
  <c r="S2479" i="2"/>
  <c r="T2479" i="2" s="1"/>
  <c r="U2478" i="2"/>
  <c r="S2478" i="2"/>
  <c r="T2478" i="2" s="1"/>
  <c r="U2477" i="2"/>
  <c r="S2477" i="2"/>
  <c r="T2477" i="2" s="1"/>
  <c r="U2476" i="2"/>
  <c r="S2476" i="2"/>
  <c r="T2476" i="2" s="1"/>
  <c r="U2475" i="2"/>
  <c r="S2475" i="2"/>
  <c r="T2475" i="2" s="1"/>
  <c r="U2474" i="2"/>
  <c r="S2474" i="2"/>
  <c r="T2474" i="2" s="1"/>
  <c r="U2473" i="2"/>
  <c r="S2473" i="2"/>
  <c r="T2473" i="2" s="1"/>
  <c r="U2472" i="2"/>
  <c r="S2472" i="2"/>
  <c r="T2472" i="2" s="1"/>
  <c r="U2471" i="2"/>
  <c r="S2471" i="2"/>
  <c r="T2471" i="2" s="1"/>
  <c r="U2470" i="2"/>
  <c r="S2470" i="2"/>
  <c r="T2470" i="2" s="1"/>
  <c r="U2469" i="2"/>
  <c r="S2469" i="2"/>
  <c r="T2469" i="2" s="1"/>
  <c r="U2468" i="2"/>
  <c r="S2468" i="2"/>
  <c r="T2468" i="2" s="1"/>
  <c r="U2467" i="2"/>
  <c r="S2467" i="2"/>
  <c r="T2467" i="2" s="1"/>
  <c r="U2466" i="2"/>
  <c r="S2466" i="2"/>
  <c r="T2466" i="2" s="1"/>
  <c r="U2465" i="2"/>
  <c r="S2465" i="2"/>
  <c r="T2465" i="2" s="1"/>
  <c r="U2464" i="2"/>
  <c r="S2464" i="2"/>
  <c r="T2464" i="2" s="1"/>
  <c r="U2463" i="2"/>
  <c r="S2463" i="2"/>
  <c r="T2463" i="2" s="1"/>
  <c r="U2462" i="2"/>
  <c r="S2462" i="2"/>
  <c r="T2462" i="2" s="1"/>
  <c r="U2461" i="2"/>
  <c r="S2461" i="2"/>
  <c r="T2461" i="2" s="1"/>
  <c r="U2460" i="2"/>
  <c r="S2460" i="2"/>
  <c r="T2460" i="2" s="1"/>
  <c r="U2459" i="2"/>
  <c r="S2459" i="2"/>
  <c r="T2459" i="2" s="1"/>
  <c r="U2458" i="2"/>
  <c r="S2458" i="2"/>
  <c r="T2458" i="2" s="1"/>
  <c r="U2457" i="2"/>
  <c r="S2457" i="2"/>
  <c r="T2457" i="2" s="1"/>
  <c r="U2456" i="2"/>
  <c r="S2456" i="2"/>
  <c r="T2456" i="2" s="1"/>
  <c r="U2455" i="2"/>
  <c r="S2455" i="2"/>
  <c r="T2455" i="2" s="1"/>
  <c r="U2454" i="2"/>
  <c r="S2454" i="2"/>
  <c r="T2454" i="2" s="1"/>
  <c r="U2453" i="2"/>
  <c r="S2453" i="2"/>
  <c r="T2453" i="2" s="1"/>
  <c r="U2452" i="2"/>
  <c r="S2452" i="2"/>
  <c r="T2452" i="2" s="1"/>
  <c r="U2451" i="2"/>
  <c r="S2451" i="2"/>
  <c r="T2451" i="2" s="1"/>
  <c r="U2450" i="2"/>
  <c r="S2450" i="2"/>
  <c r="T2450" i="2" s="1"/>
  <c r="U2449" i="2"/>
  <c r="S2449" i="2"/>
  <c r="T2449" i="2" s="1"/>
  <c r="U2448" i="2"/>
  <c r="S2448" i="2"/>
  <c r="T2448" i="2" s="1"/>
  <c r="U2447" i="2"/>
  <c r="S2447" i="2"/>
  <c r="T2447" i="2" s="1"/>
  <c r="U2446" i="2"/>
  <c r="S2446" i="2"/>
  <c r="T2446" i="2" s="1"/>
  <c r="U2445" i="2"/>
  <c r="S2445" i="2"/>
  <c r="T2445" i="2" s="1"/>
  <c r="U2444" i="2"/>
  <c r="S2444" i="2"/>
  <c r="T2444" i="2" s="1"/>
  <c r="U2443" i="2"/>
  <c r="S2443" i="2"/>
  <c r="T2443" i="2" s="1"/>
  <c r="U2442" i="2"/>
  <c r="S2442" i="2"/>
  <c r="T2442" i="2" s="1"/>
  <c r="U2441" i="2"/>
  <c r="S2441" i="2"/>
  <c r="T2441" i="2" s="1"/>
  <c r="U2440" i="2"/>
  <c r="S2440" i="2"/>
  <c r="T2440" i="2" s="1"/>
  <c r="U2439" i="2"/>
  <c r="S2439" i="2"/>
  <c r="T2439" i="2" s="1"/>
  <c r="U2438" i="2"/>
  <c r="S2438" i="2"/>
  <c r="T2438" i="2" s="1"/>
  <c r="U2437" i="2"/>
  <c r="S2437" i="2"/>
  <c r="T2437" i="2" s="1"/>
  <c r="U2436" i="2"/>
  <c r="S2436" i="2"/>
  <c r="T2436" i="2" s="1"/>
  <c r="U2435" i="2"/>
  <c r="S2435" i="2"/>
  <c r="T2435" i="2" s="1"/>
  <c r="U2434" i="2"/>
  <c r="S2434" i="2"/>
  <c r="T2434" i="2" s="1"/>
  <c r="U2433" i="2"/>
  <c r="S2433" i="2"/>
  <c r="T2433" i="2" s="1"/>
  <c r="U2432" i="2"/>
  <c r="S2432" i="2"/>
  <c r="T2432" i="2" s="1"/>
  <c r="U2431" i="2"/>
  <c r="S2431" i="2"/>
  <c r="T2431" i="2" s="1"/>
  <c r="U2430" i="2"/>
  <c r="S2430" i="2"/>
  <c r="T2430" i="2" s="1"/>
  <c r="U2429" i="2"/>
  <c r="S2429" i="2"/>
  <c r="T2429" i="2" s="1"/>
  <c r="U2428" i="2"/>
  <c r="S2428" i="2"/>
  <c r="T2428" i="2" s="1"/>
  <c r="U2427" i="2"/>
  <c r="S2427" i="2"/>
  <c r="T2427" i="2" s="1"/>
  <c r="U2426" i="2"/>
  <c r="S2426" i="2"/>
  <c r="T2426" i="2" s="1"/>
  <c r="U2425" i="2"/>
  <c r="S2425" i="2"/>
  <c r="T2425" i="2" s="1"/>
  <c r="U2424" i="2"/>
  <c r="S2424" i="2"/>
  <c r="T2424" i="2" s="1"/>
  <c r="U2423" i="2"/>
  <c r="S2423" i="2"/>
  <c r="T2423" i="2" s="1"/>
  <c r="U2422" i="2"/>
  <c r="S2422" i="2"/>
  <c r="T2422" i="2" s="1"/>
  <c r="U2421" i="2"/>
  <c r="S2421" i="2"/>
  <c r="T2421" i="2" s="1"/>
  <c r="U2420" i="2"/>
  <c r="S2420" i="2"/>
  <c r="T2420" i="2" s="1"/>
  <c r="U2419" i="2"/>
  <c r="S2419" i="2"/>
  <c r="T2419" i="2" s="1"/>
  <c r="U2418" i="2"/>
  <c r="S2418" i="2"/>
  <c r="T2418" i="2" s="1"/>
  <c r="U2417" i="2"/>
  <c r="S2417" i="2"/>
  <c r="T2417" i="2" s="1"/>
  <c r="U2416" i="2"/>
  <c r="S2416" i="2"/>
  <c r="T2416" i="2" s="1"/>
  <c r="U2415" i="2"/>
  <c r="S2415" i="2"/>
  <c r="T2415" i="2" s="1"/>
  <c r="U2414" i="2"/>
  <c r="S2414" i="2"/>
  <c r="T2414" i="2" s="1"/>
  <c r="U2413" i="2"/>
  <c r="S2413" i="2"/>
  <c r="T2413" i="2" s="1"/>
  <c r="U2412" i="2"/>
  <c r="S2412" i="2"/>
  <c r="T2412" i="2" s="1"/>
  <c r="U2411" i="2"/>
  <c r="S2411" i="2"/>
  <c r="T2411" i="2" s="1"/>
  <c r="U2410" i="2"/>
  <c r="S2410" i="2"/>
  <c r="T2410" i="2" s="1"/>
  <c r="U2409" i="2"/>
  <c r="S2409" i="2"/>
  <c r="T2409" i="2" s="1"/>
  <c r="U2408" i="2"/>
  <c r="S2408" i="2"/>
  <c r="T2408" i="2" s="1"/>
  <c r="U2407" i="2"/>
  <c r="S2407" i="2"/>
  <c r="T2407" i="2" s="1"/>
  <c r="U2406" i="2"/>
  <c r="S2406" i="2"/>
  <c r="T2406" i="2" s="1"/>
  <c r="U2405" i="2"/>
  <c r="S2405" i="2"/>
  <c r="T2405" i="2" s="1"/>
  <c r="U2404" i="2"/>
  <c r="S2404" i="2"/>
  <c r="T2404" i="2" s="1"/>
  <c r="U2403" i="2"/>
  <c r="S2403" i="2"/>
  <c r="T2403" i="2" s="1"/>
  <c r="U2402" i="2"/>
  <c r="S2402" i="2"/>
  <c r="T2402" i="2" s="1"/>
  <c r="U2401" i="2"/>
  <c r="S2401" i="2"/>
  <c r="T2401" i="2" s="1"/>
  <c r="U2400" i="2"/>
  <c r="S2400" i="2"/>
  <c r="T2400" i="2" s="1"/>
  <c r="U2399" i="2"/>
  <c r="S2399" i="2"/>
  <c r="T2399" i="2" s="1"/>
  <c r="U2398" i="2"/>
  <c r="S2398" i="2"/>
  <c r="T2398" i="2" s="1"/>
  <c r="U2397" i="2"/>
  <c r="S2397" i="2"/>
  <c r="T2397" i="2" s="1"/>
  <c r="U2396" i="2"/>
  <c r="S2396" i="2"/>
  <c r="T2396" i="2" s="1"/>
  <c r="U2395" i="2"/>
  <c r="S2395" i="2"/>
  <c r="T2395" i="2" s="1"/>
  <c r="U2394" i="2"/>
  <c r="S2394" i="2"/>
  <c r="T2394" i="2" s="1"/>
  <c r="U2393" i="2"/>
  <c r="S2393" i="2"/>
  <c r="T2393" i="2" s="1"/>
  <c r="U2392" i="2"/>
  <c r="S2392" i="2"/>
  <c r="T2392" i="2" s="1"/>
  <c r="U2391" i="2"/>
  <c r="S2391" i="2"/>
  <c r="T2391" i="2" s="1"/>
  <c r="U2390" i="2"/>
  <c r="S2390" i="2"/>
  <c r="T2390" i="2" s="1"/>
  <c r="U2389" i="2"/>
  <c r="S2389" i="2"/>
  <c r="T2389" i="2" s="1"/>
  <c r="U2388" i="2"/>
  <c r="S2388" i="2"/>
  <c r="T2388" i="2" s="1"/>
  <c r="U2387" i="2"/>
  <c r="S2387" i="2"/>
  <c r="T2387" i="2" s="1"/>
  <c r="U2386" i="2"/>
  <c r="S2386" i="2"/>
  <c r="T2386" i="2" s="1"/>
  <c r="U2385" i="2"/>
  <c r="S2385" i="2"/>
  <c r="T2385" i="2" s="1"/>
  <c r="U2384" i="2"/>
  <c r="S2384" i="2"/>
  <c r="T2384" i="2" s="1"/>
  <c r="U2383" i="2"/>
  <c r="S2383" i="2"/>
  <c r="T2383" i="2" s="1"/>
  <c r="U2382" i="2"/>
  <c r="S2382" i="2"/>
  <c r="T2382" i="2" s="1"/>
  <c r="U2381" i="2"/>
  <c r="S2381" i="2"/>
  <c r="T2381" i="2" s="1"/>
  <c r="U2380" i="2"/>
  <c r="S2380" i="2"/>
  <c r="T2380" i="2" s="1"/>
  <c r="U2379" i="2"/>
  <c r="S2379" i="2"/>
  <c r="T2379" i="2" s="1"/>
  <c r="U2378" i="2"/>
  <c r="S2378" i="2"/>
  <c r="T2378" i="2" s="1"/>
  <c r="U2377" i="2"/>
  <c r="S2377" i="2"/>
  <c r="T2377" i="2" s="1"/>
  <c r="U2376" i="2"/>
  <c r="S2376" i="2"/>
  <c r="T2376" i="2" s="1"/>
  <c r="U2375" i="2"/>
  <c r="S2375" i="2"/>
  <c r="T2375" i="2" s="1"/>
  <c r="U2374" i="2"/>
  <c r="S2374" i="2"/>
  <c r="T2374" i="2" s="1"/>
  <c r="U2373" i="2"/>
  <c r="S2373" i="2"/>
  <c r="T2373" i="2" s="1"/>
  <c r="U2372" i="2"/>
  <c r="S2372" i="2"/>
  <c r="T2372" i="2" s="1"/>
  <c r="U2371" i="2"/>
  <c r="S2371" i="2"/>
  <c r="T2371" i="2" s="1"/>
  <c r="U2370" i="2"/>
  <c r="S2370" i="2"/>
  <c r="T2370" i="2" s="1"/>
  <c r="U2369" i="2"/>
  <c r="S2369" i="2"/>
  <c r="T2369" i="2" s="1"/>
  <c r="U2368" i="2"/>
  <c r="S2368" i="2"/>
  <c r="T2368" i="2" s="1"/>
  <c r="U2367" i="2"/>
  <c r="S2367" i="2"/>
  <c r="T2367" i="2" s="1"/>
  <c r="U2366" i="2"/>
  <c r="S2366" i="2"/>
  <c r="T2366" i="2" s="1"/>
  <c r="U2365" i="2"/>
  <c r="S2365" i="2"/>
  <c r="T2365" i="2" s="1"/>
  <c r="U2364" i="2"/>
  <c r="S2364" i="2"/>
  <c r="T2364" i="2" s="1"/>
  <c r="U2363" i="2"/>
  <c r="S2363" i="2"/>
  <c r="T2363" i="2" s="1"/>
  <c r="U2362" i="2"/>
  <c r="S2362" i="2"/>
  <c r="T2362" i="2" s="1"/>
  <c r="U2361" i="2"/>
  <c r="S2361" i="2"/>
  <c r="T2361" i="2" s="1"/>
  <c r="U2360" i="2"/>
  <c r="S2360" i="2"/>
  <c r="T2360" i="2" s="1"/>
  <c r="U2359" i="2"/>
  <c r="S2359" i="2"/>
  <c r="T2359" i="2" s="1"/>
  <c r="U2358" i="2"/>
  <c r="S2358" i="2"/>
  <c r="T2358" i="2" s="1"/>
  <c r="U2357" i="2"/>
  <c r="S2357" i="2"/>
  <c r="T2357" i="2" s="1"/>
  <c r="U2356" i="2"/>
  <c r="S2356" i="2"/>
  <c r="T2356" i="2" s="1"/>
  <c r="U2355" i="2"/>
  <c r="S2355" i="2"/>
  <c r="T2355" i="2" s="1"/>
  <c r="U2354" i="2"/>
  <c r="S2354" i="2"/>
  <c r="T2354" i="2" s="1"/>
  <c r="U2353" i="2"/>
  <c r="S2353" i="2"/>
  <c r="T2353" i="2" s="1"/>
  <c r="U2352" i="2"/>
  <c r="S2352" i="2"/>
  <c r="T2352" i="2" s="1"/>
  <c r="U2351" i="2"/>
  <c r="S2351" i="2"/>
  <c r="T2351" i="2" s="1"/>
  <c r="U2350" i="2"/>
  <c r="S2350" i="2"/>
  <c r="T2350" i="2" s="1"/>
  <c r="U2349" i="2"/>
  <c r="S2349" i="2"/>
  <c r="T2349" i="2" s="1"/>
  <c r="U2348" i="2"/>
  <c r="S2348" i="2"/>
  <c r="T2348" i="2" s="1"/>
  <c r="U2347" i="2"/>
  <c r="S2347" i="2"/>
  <c r="T2347" i="2" s="1"/>
  <c r="U2346" i="2"/>
  <c r="S2346" i="2"/>
  <c r="T2346" i="2" s="1"/>
  <c r="U2345" i="2"/>
  <c r="S2345" i="2"/>
  <c r="T2345" i="2" s="1"/>
  <c r="U2344" i="2"/>
  <c r="S2344" i="2"/>
  <c r="T2344" i="2" s="1"/>
  <c r="U2343" i="2"/>
  <c r="S2343" i="2"/>
  <c r="T2343" i="2" s="1"/>
  <c r="U2342" i="2"/>
  <c r="S2342" i="2"/>
  <c r="T2342" i="2" s="1"/>
  <c r="U2341" i="2"/>
  <c r="S2341" i="2"/>
  <c r="T2341" i="2" s="1"/>
  <c r="U2340" i="2"/>
  <c r="S2340" i="2"/>
  <c r="T2340" i="2" s="1"/>
  <c r="U2339" i="2"/>
  <c r="S2339" i="2"/>
  <c r="T2339" i="2" s="1"/>
  <c r="U2338" i="2"/>
  <c r="S2338" i="2"/>
  <c r="T2338" i="2" s="1"/>
  <c r="U2337" i="2"/>
  <c r="S2337" i="2"/>
  <c r="T2337" i="2" s="1"/>
  <c r="U2336" i="2"/>
  <c r="S2336" i="2"/>
  <c r="T2336" i="2" s="1"/>
  <c r="U2335" i="2"/>
  <c r="S2335" i="2"/>
  <c r="T2335" i="2" s="1"/>
  <c r="U2334" i="2"/>
  <c r="S2334" i="2"/>
  <c r="T2334" i="2" s="1"/>
  <c r="U2333" i="2"/>
  <c r="S2333" i="2"/>
  <c r="T2333" i="2" s="1"/>
  <c r="U2332" i="2"/>
  <c r="S2332" i="2"/>
  <c r="T2332" i="2" s="1"/>
  <c r="U2331" i="2"/>
  <c r="S2331" i="2"/>
  <c r="T2331" i="2" s="1"/>
  <c r="U2330" i="2"/>
  <c r="S2330" i="2"/>
  <c r="T2330" i="2" s="1"/>
  <c r="U2329" i="2"/>
  <c r="S2329" i="2"/>
  <c r="T2329" i="2" s="1"/>
  <c r="U2328" i="2"/>
  <c r="S2328" i="2"/>
  <c r="T2328" i="2" s="1"/>
  <c r="U2327" i="2"/>
  <c r="S2327" i="2"/>
  <c r="T2327" i="2" s="1"/>
  <c r="U2326" i="2"/>
  <c r="S2326" i="2"/>
  <c r="T2326" i="2" s="1"/>
  <c r="U2325" i="2"/>
  <c r="S2325" i="2"/>
  <c r="T2325" i="2" s="1"/>
  <c r="U2324" i="2"/>
  <c r="S2324" i="2"/>
  <c r="T2324" i="2" s="1"/>
  <c r="U2323" i="2"/>
  <c r="S2323" i="2"/>
  <c r="T2323" i="2" s="1"/>
  <c r="U2322" i="2"/>
  <c r="S2322" i="2"/>
  <c r="T2322" i="2" s="1"/>
  <c r="U2321" i="2"/>
  <c r="S2321" i="2"/>
  <c r="T2321" i="2" s="1"/>
  <c r="U2320" i="2"/>
  <c r="S2320" i="2"/>
  <c r="T2320" i="2" s="1"/>
  <c r="U2319" i="2"/>
  <c r="S2319" i="2"/>
  <c r="T2319" i="2" s="1"/>
  <c r="U2318" i="2"/>
  <c r="S2318" i="2"/>
  <c r="T2318" i="2" s="1"/>
  <c r="U2317" i="2"/>
  <c r="S2317" i="2"/>
  <c r="T2317" i="2" s="1"/>
  <c r="U2316" i="2"/>
  <c r="S2316" i="2"/>
  <c r="T2316" i="2" s="1"/>
  <c r="U2315" i="2"/>
  <c r="S2315" i="2"/>
  <c r="T2315" i="2" s="1"/>
  <c r="U2314" i="2"/>
  <c r="S2314" i="2"/>
  <c r="T2314" i="2" s="1"/>
  <c r="U2313" i="2"/>
  <c r="S2313" i="2"/>
  <c r="T2313" i="2" s="1"/>
  <c r="U2312" i="2"/>
  <c r="S2312" i="2"/>
  <c r="T2312" i="2" s="1"/>
  <c r="U2311" i="2"/>
  <c r="S2311" i="2"/>
  <c r="T2311" i="2" s="1"/>
  <c r="U2310" i="2"/>
  <c r="S2310" i="2"/>
  <c r="T2310" i="2" s="1"/>
  <c r="U2309" i="2"/>
  <c r="S2309" i="2"/>
  <c r="T2309" i="2" s="1"/>
  <c r="U2308" i="2"/>
  <c r="S2308" i="2"/>
  <c r="T2308" i="2" s="1"/>
  <c r="U2307" i="2"/>
  <c r="S2307" i="2"/>
  <c r="T2307" i="2" s="1"/>
  <c r="U2306" i="2"/>
  <c r="S2306" i="2"/>
  <c r="T2306" i="2" s="1"/>
  <c r="U2305" i="2"/>
  <c r="S2305" i="2"/>
  <c r="T2305" i="2" s="1"/>
  <c r="U2304" i="2"/>
  <c r="S2304" i="2"/>
  <c r="T2304" i="2" s="1"/>
  <c r="U2303" i="2"/>
  <c r="S2303" i="2"/>
  <c r="T2303" i="2" s="1"/>
  <c r="U2302" i="2"/>
  <c r="S2302" i="2"/>
  <c r="T2302" i="2" s="1"/>
  <c r="U2301" i="2"/>
  <c r="S2301" i="2"/>
  <c r="T2301" i="2" s="1"/>
  <c r="U2300" i="2"/>
  <c r="S2300" i="2"/>
  <c r="T2300" i="2" s="1"/>
  <c r="U2299" i="2"/>
  <c r="S2299" i="2"/>
  <c r="T2299" i="2" s="1"/>
  <c r="U2298" i="2"/>
  <c r="S2298" i="2"/>
  <c r="T2298" i="2" s="1"/>
  <c r="U2297" i="2"/>
  <c r="S2297" i="2"/>
  <c r="T2297" i="2" s="1"/>
  <c r="U2296" i="2"/>
  <c r="S2296" i="2"/>
  <c r="T2296" i="2" s="1"/>
  <c r="U2295" i="2"/>
  <c r="S2295" i="2"/>
  <c r="T2295" i="2" s="1"/>
  <c r="U2294" i="2"/>
  <c r="S2294" i="2"/>
  <c r="T2294" i="2" s="1"/>
  <c r="U2293" i="2"/>
  <c r="S2293" i="2"/>
  <c r="T2293" i="2" s="1"/>
  <c r="U2292" i="2"/>
  <c r="S2292" i="2"/>
  <c r="T2292" i="2" s="1"/>
  <c r="U2291" i="2"/>
  <c r="S2291" i="2"/>
  <c r="T2291" i="2" s="1"/>
  <c r="U2290" i="2"/>
  <c r="S2290" i="2"/>
  <c r="T2290" i="2" s="1"/>
  <c r="U2289" i="2"/>
  <c r="S2289" i="2"/>
  <c r="T2289" i="2" s="1"/>
  <c r="U2288" i="2"/>
  <c r="S2288" i="2"/>
  <c r="T2288" i="2" s="1"/>
  <c r="U2287" i="2"/>
  <c r="S2287" i="2"/>
  <c r="T2287" i="2" s="1"/>
  <c r="U2286" i="2"/>
  <c r="S2286" i="2"/>
  <c r="T2286" i="2" s="1"/>
  <c r="U2285" i="2"/>
  <c r="S2285" i="2"/>
  <c r="T2285" i="2" s="1"/>
  <c r="U2284" i="2"/>
  <c r="S2284" i="2"/>
  <c r="T2284" i="2" s="1"/>
  <c r="U2283" i="2"/>
  <c r="S2283" i="2"/>
  <c r="T2283" i="2" s="1"/>
  <c r="U2282" i="2"/>
  <c r="S2282" i="2"/>
  <c r="T2282" i="2" s="1"/>
  <c r="U2281" i="2"/>
  <c r="S2281" i="2"/>
  <c r="T2281" i="2" s="1"/>
  <c r="U2280" i="2"/>
  <c r="S2280" i="2"/>
  <c r="T2280" i="2" s="1"/>
  <c r="U2279" i="2"/>
  <c r="S2279" i="2"/>
  <c r="T2279" i="2" s="1"/>
  <c r="U2278" i="2"/>
  <c r="S2278" i="2"/>
  <c r="T2278" i="2" s="1"/>
  <c r="U2277" i="2"/>
  <c r="S2277" i="2"/>
  <c r="T2277" i="2" s="1"/>
  <c r="U2276" i="2"/>
  <c r="S2276" i="2"/>
  <c r="T2276" i="2" s="1"/>
  <c r="U2275" i="2"/>
  <c r="S2275" i="2"/>
  <c r="T2275" i="2" s="1"/>
  <c r="U2274" i="2"/>
  <c r="S2274" i="2"/>
  <c r="T2274" i="2" s="1"/>
  <c r="U2273" i="2"/>
  <c r="S2273" i="2"/>
  <c r="T2273" i="2" s="1"/>
  <c r="U2272" i="2"/>
  <c r="S2272" i="2"/>
  <c r="T2272" i="2" s="1"/>
  <c r="U2271" i="2"/>
  <c r="S2271" i="2"/>
  <c r="T2271" i="2" s="1"/>
  <c r="U2270" i="2"/>
  <c r="S2270" i="2"/>
  <c r="T2270" i="2" s="1"/>
  <c r="U2269" i="2"/>
  <c r="S2269" i="2"/>
  <c r="T2269" i="2" s="1"/>
  <c r="U2268" i="2"/>
  <c r="S2268" i="2"/>
  <c r="T2268" i="2" s="1"/>
  <c r="U2267" i="2"/>
  <c r="S2267" i="2"/>
  <c r="T2267" i="2" s="1"/>
  <c r="U2266" i="2"/>
  <c r="S2266" i="2"/>
  <c r="T2266" i="2" s="1"/>
  <c r="U2265" i="2"/>
  <c r="S2265" i="2"/>
  <c r="T2265" i="2" s="1"/>
  <c r="U2264" i="2"/>
  <c r="S2264" i="2"/>
  <c r="T2264" i="2" s="1"/>
  <c r="U2263" i="2"/>
  <c r="S2263" i="2"/>
  <c r="T2263" i="2" s="1"/>
  <c r="U2262" i="2"/>
  <c r="S2262" i="2"/>
  <c r="T2262" i="2" s="1"/>
  <c r="U2261" i="2"/>
  <c r="S2261" i="2"/>
  <c r="T2261" i="2" s="1"/>
  <c r="U2260" i="2"/>
  <c r="S2260" i="2"/>
  <c r="T2260" i="2" s="1"/>
  <c r="U2259" i="2"/>
  <c r="S2259" i="2"/>
  <c r="T2259" i="2" s="1"/>
  <c r="U2258" i="2"/>
  <c r="S2258" i="2"/>
  <c r="T2258" i="2" s="1"/>
  <c r="U2257" i="2"/>
  <c r="S2257" i="2"/>
  <c r="T2257" i="2" s="1"/>
  <c r="U2256" i="2"/>
  <c r="S2256" i="2"/>
  <c r="T2256" i="2" s="1"/>
  <c r="U2255" i="2"/>
  <c r="S2255" i="2"/>
  <c r="T2255" i="2" s="1"/>
  <c r="U2254" i="2"/>
  <c r="S2254" i="2"/>
  <c r="T2254" i="2" s="1"/>
  <c r="U2253" i="2"/>
  <c r="S2253" i="2"/>
  <c r="T2253" i="2" s="1"/>
  <c r="U2252" i="2"/>
  <c r="S2252" i="2"/>
  <c r="T2252" i="2" s="1"/>
  <c r="U2251" i="2"/>
  <c r="S2251" i="2"/>
  <c r="T2251" i="2" s="1"/>
  <c r="U2250" i="2"/>
  <c r="S2250" i="2"/>
  <c r="T2250" i="2" s="1"/>
  <c r="U2249" i="2"/>
  <c r="S2249" i="2"/>
  <c r="T2249" i="2" s="1"/>
  <c r="U2248" i="2"/>
  <c r="S2248" i="2"/>
  <c r="T2248" i="2" s="1"/>
  <c r="U2247" i="2"/>
  <c r="S2247" i="2"/>
  <c r="T2247" i="2" s="1"/>
  <c r="U2246" i="2"/>
  <c r="S2246" i="2"/>
  <c r="T2246" i="2" s="1"/>
  <c r="U2245" i="2"/>
  <c r="S2245" i="2"/>
  <c r="T2245" i="2" s="1"/>
  <c r="U2244" i="2"/>
  <c r="S2244" i="2"/>
  <c r="T2244" i="2" s="1"/>
  <c r="U2243" i="2"/>
  <c r="S2243" i="2"/>
  <c r="T2243" i="2" s="1"/>
  <c r="U2242" i="2"/>
  <c r="S2242" i="2"/>
  <c r="T2242" i="2" s="1"/>
  <c r="U2241" i="2"/>
  <c r="S2241" i="2"/>
  <c r="T2241" i="2" s="1"/>
  <c r="U2240" i="2"/>
  <c r="S2240" i="2"/>
  <c r="T2240" i="2" s="1"/>
  <c r="U2239" i="2"/>
  <c r="S2239" i="2"/>
  <c r="T2239" i="2" s="1"/>
  <c r="U2238" i="2"/>
  <c r="S2238" i="2"/>
  <c r="T2238" i="2" s="1"/>
  <c r="U2237" i="2"/>
  <c r="S2237" i="2"/>
  <c r="T2237" i="2" s="1"/>
  <c r="U2236" i="2"/>
  <c r="S2236" i="2"/>
  <c r="T2236" i="2" s="1"/>
  <c r="U2235" i="2"/>
  <c r="S2235" i="2"/>
  <c r="T2235" i="2" s="1"/>
  <c r="U2234" i="2"/>
  <c r="S2234" i="2"/>
  <c r="T2234" i="2" s="1"/>
  <c r="U2233" i="2"/>
  <c r="S2233" i="2"/>
  <c r="T2233" i="2" s="1"/>
  <c r="U2232" i="2"/>
  <c r="S2232" i="2"/>
  <c r="T2232" i="2" s="1"/>
  <c r="U2231" i="2"/>
  <c r="S2231" i="2"/>
  <c r="T2231" i="2" s="1"/>
  <c r="U2230" i="2"/>
  <c r="S2230" i="2"/>
  <c r="T2230" i="2" s="1"/>
  <c r="U2229" i="2"/>
  <c r="S2229" i="2"/>
  <c r="T2229" i="2" s="1"/>
  <c r="U2228" i="2"/>
  <c r="S2228" i="2"/>
  <c r="T2228" i="2" s="1"/>
  <c r="U2227" i="2"/>
  <c r="S2227" i="2"/>
  <c r="T2227" i="2" s="1"/>
  <c r="U2226" i="2"/>
  <c r="S2226" i="2"/>
  <c r="T2226" i="2" s="1"/>
  <c r="U2225" i="2"/>
  <c r="S2225" i="2"/>
  <c r="T2225" i="2" s="1"/>
  <c r="U2224" i="2"/>
  <c r="S2224" i="2"/>
  <c r="T2224" i="2" s="1"/>
  <c r="U2223" i="2"/>
  <c r="S2223" i="2"/>
  <c r="T2223" i="2" s="1"/>
  <c r="U2222" i="2"/>
  <c r="S2222" i="2"/>
  <c r="T2222" i="2" s="1"/>
  <c r="U2221" i="2"/>
  <c r="S2221" i="2"/>
  <c r="T2221" i="2" s="1"/>
  <c r="U2220" i="2"/>
  <c r="S2220" i="2"/>
  <c r="T2220" i="2" s="1"/>
  <c r="U2219" i="2"/>
  <c r="S2219" i="2"/>
  <c r="T2219" i="2" s="1"/>
  <c r="U2218" i="2"/>
  <c r="S2218" i="2"/>
  <c r="T2218" i="2" s="1"/>
  <c r="U2217" i="2"/>
  <c r="S2217" i="2"/>
  <c r="T2217" i="2" s="1"/>
  <c r="U2216" i="2"/>
  <c r="S2216" i="2"/>
  <c r="T2216" i="2" s="1"/>
  <c r="U2215" i="2"/>
  <c r="S2215" i="2"/>
  <c r="T2215" i="2" s="1"/>
  <c r="U2214" i="2"/>
  <c r="S2214" i="2"/>
  <c r="T2214" i="2" s="1"/>
  <c r="U2213" i="2"/>
  <c r="S2213" i="2"/>
  <c r="T2213" i="2" s="1"/>
  <c r="U2212" i="2"/>
  <c r="S2212" i="2"/>
  <c r="T2212" i="2" s="1"/>
  <c r="U2211" i="2"/>
  <c r="S2211" i="2"/>
  <c r="T2211" i="2" s="1"/>
  <c r="U2210" i="2"/>
  <c r="S2210" i="2"/>
  <c r="T2210" i="2" s="1"/>
  <c r="U2209" i="2"/>
  <c r="S2209" i="2"/>
  <c r="T2209" i="2" s="1"/>
  <c r="U2208" i="2"/>
  <c r="S2208" i="2"/>
  <c r="T2208" i="2" s="1"/>
  <c r="U2207" i="2"/>
  <c r="S2207" i="2"/>
  <c r="T2207" i="2" s="1"/>
  <c r="U2206" i="2"/>
  <c r="S2206" i="2"/>
  <c r="T2206" i="2" s="1"/>
  <c r="U2205" i="2"/>
  <c r="S2205" i="2"/>
  <c r="T2205" i="2" s="1"/>
  <c r="U2204" i="2"/>
  <c r="S2204" i="2"/>
  <c r="T2204" i="2" s="1"/>
  <c r="U2203" i="2"/>
  <c r="S2203" i="2"/>
  <c r="T2203" i="2" s="1"/>
  <c r="U2202" i="2"/>
  <c r="S2202" i="2"/>
  <c r="T2202" i="2" s="1"/>
  <c r="U2201" i="2"/>
  <c r="S2201" i="2"/>
  <c r="T2201" i="2" s="1"/>
  <c r="U2200" i="2"/>
  <c r="S2200" i="2"/>
  <c r="T2200" i="2" s="1"/>
  <c r="U2199" i="2"/>
  <c r="S2199" i="2"/>
  <c r="T2199" i="2" s="1"/>
  <c r="U2198" i="2"/>
  <c r="S2198" i="2"/>
  <c r="T2198" i="2" s="1"/>
  <c r="U2197" i="2"/>
  <c r="S2197" i="2"/>
  <c r="T2197" i="2" s="1"/>
  <c r="U2196" i="2"/>
  <c r="S2196" i="2"/>
  <c r="T2196" i="2" s="1"/>
  <c r="U2195" i="2"/>
  <c r="S2195" i="2"/>
  <c r="T2195" i="2" s="1"/>
  <c r="U2194" i="2"/>
  <c r="S2194" i="2"/>
  <c r="T2194" i="2" s="1"/>
  <c r="U2193" i="2"/>
  <c r="S2193" i="2"/>
  <c r="T2193" i="2" s="1"/>
  <c r="U2192" i="2"/>
  <c r="S2192" i="2"/>
  <c r="T2192" i="2" s="1"/>
  <c r="U2191" i="2"/>
  <c r="S2191" i="2"/>
  <c r="T2191" i="2" s="1"/>
  <c r="U2190" i="2"/>
  <c r="S2190" i="2"/>
  <c r="T2190" i="2" s="1"/>
  <c r="U2189" i="2"/>
  <c r="S2189" i="2"/>
  <c r="T2189" i="2" s="1"/>
  <c r="U2188" i="2"/>
  <c r="S2188" i="2"/>
  <c r="T2188" i="2" s="1"/>
  <c r="U2187" i="2"/>
  <c r="S2187" i="2"/>
  <c r="T2187" i="2" s="1"/>
  <c r="U2186" i="2"/>
  <c r="S2186" i="2"/>
  <c r="T2186" i="2" s="1"/>
  <c r="U2185" i="2"/>
  <c r="S2185" i="2"/>
  <c r="T2185" i="2" s="1"/>
  <c r="U2184" i="2"/>
  <c r="S2184" i="2"/>
  <c r="T2184" i="2" s="1"/>
  <c r="U2183" i="2"/>
  <c r="S2183" i="2"/>
  <c r="T2183" i="2" s="1"/>
  <c r="U2182" i="2"/>
  <c r="S2182" i="2"/>
  <c r="T2182" i="2" s="1"/>
  <c r="U2181" i="2"/>
  <c r="S2181" i="2"/>
  <c r="T2181" i="2" s="1"/>
  <c r="U2180" i="2"/>
  <c r="S2180" i="2"/>
  <c r="T2180" i="2" s="1"/>
  <c r="U2179" i="2"/>
  <c r="S2179" i="2"/>
  <c r="T2179" i="2" s="1"/>
  <c r="U2178" i="2"/>
  <c r="S2178" i="2"/>
  <c r="T2178" i="2" s="1"/>
  <c r="U2177" i="2"/>
  <c r="S2177" i="2"/>
  <c r="T2177" i="2" s="1"/>
  <c r="U2176" i="2"/>
  <c r="S2176" i="2"/>
  <c r="T2176" i="2" s="1"/>
  <c r="U2175" i="2"/>
  <c r="S2175" i="2"/>
  <c r="T2175" i="2" s="1"/>
  <c r="U2174" i="2"/>
  <c r="S2174" i="2"/>
  <c r="T2174" i="2" s="1"/>
  <c r="U2173" i="2"/>
  <c r="S2173" i="2"/>
  <c r="T2173" i="2" s="1"/>
  <c r="U2172" i="2"/>
  <c r="S2172" i="2"/>
  <c r="T2172" i="2" s="1"/>
  <c r="U2171" i="2"/>
  <c r="S2171" i="2"/>
  <c r="T2171" i="2" s="1"/>
  <c r="U2170" i="2"/>
  <c r="S2170" i="2"/>
  <c r="T2170" i="2" s="1"/>
  <c r="U2169" i="2"/>
  <c r="S2169" i="2"/>
  <c r="T2169" i="2" s="1"/>
  <c r="U2168" i="2"/>
  <c r="S2168" i="2"/>
  <c r="T2168" i="2" s="1"/>
  <c r="U2167" i="2"/>
  <c r="S2167" i="2"/>
  <c r="T2167" i="2" s="1"/>
  <c r="U2166" i="2"/>
  <c r="S2166" i="2"/>
  <c r="T2166" i="2" s="1"/>
  <c r="U2165" i="2"/>
  <c r="S2165" i="2"/>
  <c r="T2165" i="2" s="1"/>
  <c r="U2164" i="2"/>
  <c r="S2164" i="2"/>
  <c r="T2164" i="2" s="1"/>
  <c r="U2163" i="2"/>
  <c r="S2163" i="2"/>
  <c r="T2163" i="2" s="1"/>
  <c r="U2162" i="2"/>
  <c r="S2162" i="2"/>
  <c r="T2162" i="2" s="1"/>
  <c r="U2161" i="2"/>
  <c r="S2161" i="2"/>
  <c r="T2161" i="2" s="1"/>
  <c r="U2160" i="2"/>
  <c r="S2160" i="2"/>
  <c r="T2160" i="2" s="1"/>
  <c r="U2159" i="2"/>
  <c r="S2159" i="2"/>
  <c r="T2159" i="2" s="1"/>
  <c r="U2158" i="2"/>
  <c r="S2158" i="2"/>
  <c r="T2158" i="2" s="1"/>
  <c r="U2157" i="2"/>
  <c r="S2157" i="2"/>
  <c r="T2157" i="2" s="1"/>
  <c r="U2156" i="2"/>
  <c r="S2156" i="2"/>
  <c r="T2156" i="2" s="1"/>
  <c r="U2155" i="2"/>
  <c r="S2155" i="2"/>
  <c r="T2155" i="2" s="1"/>
  <c r="U2154" i="2"/>
  <c r="S2154" i="2"/>
  <c r="T2154" i="2" s="1"/>
  <c r="U2153" i="2"/>
  <c r="S2153" i="2"/>
  <c r="T2153" i="2" s="1"/>
  <c r="U2152" i="2"/>
  <c r="S2152" i="2"/>
  <c r="T2152" i="2" s="1"/>
  <c r="U2151" i="2"/>
  <c r="S2151" i="2"/>
  <c r="T2151" i="2" s="1"/>
  <c r="U2150" i="2"/>
  <c r="S2150" i="2"/>
  <c r="T2150" i="2" s="1"/>
  <c r="U2149" i="2"/>
  <c r="S2149" i="2"/>
  <c r="T2149" i="2" s="1"/>
  <c r="U2148" i="2"/>
  <c r="S2148" i="2"/>
  <c r="T2148" i="2" s="1"/>
  <c r="U2147" i="2"/>
  <c r="S2147" i="2"/>
  <c r="T2147" i="2" s="1"/>
  <c r="U2146" i="2"/>
  <c r="S2146" i="2"/>
  <c r="T2146" i="2" s="1"/>
  <c r="U2145" i="2"/>
  <c r="S2145" i="2"/>
  <c r="T2145" i="2" s="1"/>
  <c r="U2144" i="2"/>
  <c r="S2144" i="2"/>
  <c r="T2144" i="2" s="1"/>
  <c r="U2143" i="2"/>
  <c r="S2143" i="2"/>
  <c r="T2143" i="2" s="1"/>
  <c r="U2142" i="2"/>
  <c r="S2142" i="2"/>
  <c r="T2142" i="2" s="1"/>
  <c r="U2141" i="2"/>
  <c r="S2141" i="2"/>
  <c r="T2141" i="2" s="1"/>
  <c r="U2140" i="2"/>
  <c r="S2140" i="2"/>
  <c r="T2140" i="2" s="1"/>
  <c r="U2139" i="2"/>
  <c r="S2139" i="2"/>
  <c r="T2139" i="2" s="1"/>
  <c r="U2138" i="2"/>
  <c r="S2138" i="2"/>
  <c r="T2138" i="2" s="1"/>
  <c r="U2137" i="2"/>
  <c r="S2137" i="2"/>
  <c r="T2137" i="2" s="1"/>
  <c r="U2136" i="2"/>
  <c r="S2136" i="2"/>
  <c r="T2136" i="2" s="1"/>
  <c r="U2135" i="2"/>
  <c r="S2135" i="2"/>
  <c r="T2135" i="2" s="1"/>
  <c r="U2134" i="2"/>
  <c r="S2134" i="2"/>
  <c r="T2134" i="2" s="1"/>
  <c r="U2133" i="2"/>
  <c r="S2133" i="2"/>
  <c r="T2133" i="2" s="1"/>
  <c r="U2132" i="2"/>
  <c r="S2132" i="2"/>
  <c r="T2132" i="2" s="1"/>
  <c r="U2131" i="2"/>
  <c r="S2131" i="2"/>
  <c r="T2131" i="2" s="1"/>
  <c r="U2130" i="2"/>
  <c r="S2130" i="2"/>
  <c r="T2130" i="2" s="1"/>
  <c r="U2129" i="2"/>
  <c r="S2129" i="2"/>
  <c r="T2129" i="2" s="1"/>
  <c r="U2128" i="2"/>
  <c r="S2128" i="2"/>
  <c r="T2128" i="2" s="1"/>
  <c r="U2127" i="2"/>
  <c r="S2127" i="2"/>
  <c r="T2127" i="2" s="1"/>
  <c r="U2126" i="2"/>
  <c r="S2126" i="2"/>
  <c r="T2126" i="2" s="1"/>
  <c r="U2125" i="2"/>
  <c r="S2125" i="2"/>
  <c r="T2125" i="2" s="1"/>
  <c r="U2124" i="2"/>
  <c r="S2124" i="2"/>
  <c r="T2124" i="2" s="1"/>
  <c r="U2123" i="2"/>
  <c r="S2123" i="2"/>
  <c r="T2123" i="2" s="1"/>
  <c r="U2122" i="2"/>
  <c r="S2122" i="2"/>
  <c r="T2122" i="2" s="1"/>
  <c r="U2121" i="2"/>
  <c r="S2121" i="2"/>
  <c r="T2121" i="2" s="1"/>
  <c r="U2120" i="2"/>
  <c r="S2120" i="2"/>
  <c r="T2120" i="2" s="1"/>
  <c r="U2119" i="2"/>
  <c r="S2119" i="2"/>
  <c r="T2119" i="2" s="1"/>
  <c r="U2118" i="2"/>
  <c r="S2118" i="2"/>
  <c r="T2118" i="2" s="1"/>
  <c r="U2117" i="2"/>
  <c r="S2117" i="2"/>
  <c r="T2117" i="2" s="1"/>
  <c r="U2116" i="2"/>
  <c r="S2116" i="2"/>
  <c r="T2116" i="2" s="1"/>
  <c r="U2115" i="2"/>
  <c r="S2115" i="2"/>
  <c r="T2115" i="2" s="1"/>
  <c r="U2114" i="2"/>
  <c r="S2114" i="2"/>
  <c r="T2114" i="2" s="1"/>
  <c r="U2113" i="2"/>
  <c r="S2113" i="2"/>
  <c r="T2113" i="2" s="1"/>
  <c r="U2112" i="2"/>
  <c r="S2112" i="2"/>
  <c r="T2112" i="2" s="1"/>
  <c r="U2111" i="2"/>
  <c r="S2111" i="2"/>
  <c r="T2111" i="2" s="1"/>
  <c r="U2110" i="2"/>
  <c r="S2110" i="2"/>
  <c r="T2110" i="2" s="1"/>
  <c r="U2109" i="2"/>
  <c r="S2109" i="2"/>
  <c r="T2109" i="2" s="1"/>
  <c r="U2108" i="2"/>
  <c r="S2108" i="2"/>
  <c r="T2108" i="2" s="1"/>
  <c r="U2107" i="2"/>
  <c r="S2107" i="2"/>
  <c r="T2107" i="2" s="1"/>
  <c r="U2106" i="2"/>
  <c r="S2106" i="2"/>
  <c r="T2106" i="2" s="1"/>
  <c r="U2105" i="2"/>
  <c r="S2105" i="2"/>
  <c r="T2105" i="2" s="1"/>
  <c r="U2104" i="2"/>
  <c r="S2104" i="2"/>
  <c r="T2104" i="2" s="1"/>
  <c r="U2103" i="2"/>
  <c r="S2103" i="2"/>
  <c r="T2103" i="2" s="1"/>
  <c r="U2102" i="2"/>
  <c r="S2102" i="2"/>
  <c r="T2102" i="2" s="1"/>
  <c r="U2101" i="2"/>
  <c r="S2101" i="2"/>
  <c r="T2101" i="2" s="1"/>
  <c r="U2100" i="2"/>
  <c r="S2100" i="2"/>
  <c r="T2100" i="2" s="1"/>
  <c r="U2099" i="2"/>
  <c r="S2099" i="2"/>
  <c r="T2099" i="2" s="1"/>
  <c r="U2098" i="2"/>
  <c r="S2098" i="2"/>
  <c r="T2098" i="2" s="1"/>
  <c r="U2097" i="2"/>
  <c r="S2097" i="2"/>
  <c r="T2097" i="2" s="1"/>
  <c r="U2096" i="2"/>
  <c r="S2096" i="2"/>
  <c r="T2096" i="2" s="1"/>
  <c r="U2095" i="2"/>
  <c r="S2095" i="2"/>
  <c r="T2095" i="2" s="1"/>
  <c r="U2094" i="2"/>
  <c r="S2094" i="2"/>
  <c r="T2094" i="2" s="1"/>
  <c r="U2093" i="2"/>
  <c r="S2093" i="2"/>
  <c r="T2093" i="2" s="1"/>
  <c r="U2092" i="2"/>
  <c r="S2092" i="2"/>
  <c r="T2092" i="2" s="1"/>
  <c r="U2091" i="2"/>
  <c r="S2091" i="2"/>
  <c r="T2091" i="2" s="1"/>
  <c r="U2090" i="2"/>
  <c r="S2090" i="2"/>
  <c r="T2090" i="2" s="1"/>
  <c r="U2089" i="2"/>
  <c r="S2089" i="2"/>
  <c r="T2089" i="2" s="1"/>
  <c r="U2088" i="2"/>
  <c r="S2088" i="2"/>
  <c r="T2088" i="2" s="1"/>
  <c r="U2087" i="2"/>
  <c r="S2087" i="2"/>
  <c r="T2087" i="2" s="1"/>
  <c r="U2086" i="2"/>
  <c r="S2086" i="2"/>
  <c r="T2086" i="2" s="1"/>
  <c r="U2085" i="2"/>
  <c r="S2085" i="2"/>
  <c r="T2085" i="2" s="1"/>
  <c r="U2084" i="2"/>
  <c r="S2084" i="2"/>
  <c r="T2084" i="2" s="1"/>
  <c r="U2083" i="2"/>
  <c r="S2083" i="2"/>
  <c r="T2083" i="2" s="1"/>
  <c r="U2082" i="2"/>
  <c r="S2082" i="2"/>
  <c r="T2082" i="2" s="1"/>
  <c r="U2081" i="2"/>
  <c r="S2081" i="2"/>
  <c r="T2081" i="2" s="1"/>
  <c r="U2080" i="2"/>
  <c r="S2080" i="2"/>
  <c r="T2080" i="2" s="1"/>
  <c r="U2079" i="2"/>
  <c r="S2079" i="2"/>
  <c r="T2079" i="2" s="1"/>
  <c r="U2078" i="2"/>
  <c r="S2078" i="2"/>
  <c r="T2078" i="2" s="1"/>
  <c r="U2077" i="2"/>
  <c r="S2077" i="2"/>
  <c r="T2077" i="2" s="1"/>
  <c r="U2076" i="2"/>
  <c r="S2076" i="2"/>
  <c r="T2076" i="2" s="1"/>
  <c r="U2075" i="2"/>
  <c r="S2075" i="2"/>
  <c r="T2075" i="2" s="1"/>
  <c r="U2074" i="2"/>
  <c r="S2074" i="2"/>
  <c r="T2074" i="2" s="1"/>
  <c r="U2073" i="2"/>
  <c r="S2073" i="2"/>
  <c r="T2073" i="2" s="1"/>
  <c r="U2072" i="2"/>
  <c r="S2072" i="2"/>
  <c r="T2072" i="2" s="1"/>
  <c r="U2071" i="2"/>
  <c r="S2071" i="2"/>
  <c r="T2071" i="2" s="1"/>
  <c r="U2070" i="2"/>
  <c r="S2070" i="2"/>
  <c r="T2070" i="2" s="1"/>
  <c r="U2069" i="2"/>
  <c r="S2069" i="2"/>
  <c r="T2069" i="2" s="1"/>
  <c r="U2068" i="2"/>
  <c r="S2068" i="2"/>
  <c r="T2068" i="2" s="1"/>
  <c r="U2067" i="2"/>
  <c r="S2067" i="2"/>
  <c r="T2067" i="2" s="1"/>
  <c r="U2066" i="2"/>
  <c r="S2066" i="2"/>
  <c r="T2066" i="2" s="1"/>
  <c r="U2065" i="2"/>
  <c r="S2065" i="2"/>
  <c r="T2065" i="2" s="1"/>
  <c r="U2064" i="2"/>
  <c r="S2064" i="2"/>
  <c r="T2064" i="2" s="1"/>
  <c r="U2063" i="2"/>
  <c r="S2063" i="2"/>
  <c r="T2063" i="2" s="1"/>
  <c r="U2062" i="2"/>
  <c r="S2062" i="2"/>
  <c r="T2062" i="2" s="1"/>
  <c r="U2061" i="2"/>
  <c r="S2061" i="2"/>
  <c r="T2061" i="2" s="1"/>
  <c r="U2060" i="2"/>
  <c r="S2060" i="2"/>
  <c r="T2060" i="2" s="1"/>
  <c r="U2059" i="2"/>
  <c r="S2059" i="2"/>
  <c r="T2059" i="2" s="1"/>
  <c r="U2058" i="2"/>
  <c r="S2058" i="2"/>
  <c r="T2058" i="2" s="1"/>
  <c r="U2057" i="2"/>
  <c r="S2057" i="2"/>
  <c r="T2057" i="2" s="1"/>
  <c r="U2056" i="2"/>
  <c r="S2056" i="2"/>
  <c r="T2056" i="2" s="1"/>
  <c r="U2055" i="2"/>
  <c r="S2055" i="2"/>
  <c r="T2055" i="2" s="1"/>
  <c r="U2054" i="2"/>
  <c r="S2054" i="2"/>
  <c r="T2054" i="2" s="1"/>
  <c r="U2053" i="2"/>
  <c r="S2053" i="2"/>
  <c r="T2053" i="2" s="1"/>
  <c r="U2052" i="2"/>
  <c r="S2052" i="2"/>
  <c r="T2052" i="2" s="1"/>
  <c r="U2051" i="2"/>
  <c r="S2051" i="2"/>
  <c r="T2051" i="2" s="1"/>
  <c r="U2050" i="2"/>
  <c r="S2050" i="2"/>
  <c r="T2050" i="2" s="1"/>
  <c r="U2049" i="2"/>
  <c r="S2049" i="2"/>
  <c r="T2049" i="2" s="1"/>
  <c r="U2048" i="2"/>
  <c r="S2048" i="2"/>
  <c r="T2048" i="2" s="1"/>
  <c r="U2047" i="2"/>
  <c r="S2047" i="2"/>
  <c r="T2047" i="2" s="1"/>
  <c r="U2046" i="2"/>
  <c r="S2046" i="2"/>
  <c r="T2046" i="2" s="1"/>
  <c r="U2045" i="2"/>
  <c r="S2045" i="2"/>
  <c r="T2045" i="2" s="1"/>
  <c r="U2044" i="2"/>
  <c r="S2044" i="2"/>
  <c r="T2044" i="2" s="1"/>
  <c r="U2043" i="2"/>
  <c r="S2043" i="2"/>
  <c r="T2043" i="2" s="1"/>
  <c r="U2042" i="2"/>
  <c r="S2042" i="2"/>
  <c r="T2042" i="2" s="1"/>
  <c r="U2041" i="2"/>
  <c r="S2041" i="2"/>
  <c r="T2041" i="2" s="1"/>
  <c r="U2040" i="2"/>
  <c r="S2040" i="2"/>
  <c r="T2040" i="2" s="1"/>
  <c r="U2039" i="2"/>
  <c r="S2039" i="2"/>
  <c r="T2039" i="2" s="1"/>
  <c r="U2038" i="2"/>
  <c r="S2038" i="2"/>
  <c r="T2038" i="2" s="1"/>
  <c r="U2037" i="2"/>
  <c r="S2037" i="2"/>
  <c r="T2037" i="2" s="1"/>
  <c r="U2036" i="2"/>
  <c r="S2036" i="2"/>
  <c r="T2036" i="2" s="1"/>
  <c r="U2035" i="2"/>
  <c r="S2035" i="2"/>
  <c r="T2035" i="2" s="1"/>
  <c r="U2034" i="2"/>
  <c r="S2034" i="2"/>
  <c r="T2034" i="2" s="1"/>
  <c r="U2033" i="2"/>
  <c r="S2033" i="2"/>
  <c r="T2033" i="2" s="1"/>
  <c r="U2032" i="2"/>
  <c r="S2032" i="2"/>
  <c r="T2032" i="2" s="1"/>
  <c r="U2031" i="2"/>
  <c r="S2031" i="2"/>
  <c r="T2031" i="2" s="1"/>
  <c r="U2030" i="2"/>
  <c r="S2030" i="2"/>
  <c r="T2030" i="2" s="1"/>
  <c r="U2029" i="2"/>
  <c r="S2029" i="2"/>
  <c r="T2029" i="2" s="1"/>
  <c r="U2028" i="2"/>
  <c r="S2028" i="2"/>
  <c r="T2028" i="2" s="1"/>
  <c r="U2027" i="2"/>
  <c r="S2027" i="2"/>
  <c r="T2027" i="2" s="1"/>
  <c r="U2026" i="2"/>
  <c r="S2026" i="2"/>
  <c r="T2026" i="2" s="1"/>
  <c r="U2025" i="2"/>
  <c r="S2025" i="2"/>
  <c r="T2025" i="2" s="1"/>
  <c r="U2024" i="2"/>
  <c r="S2024" i="2"/>
  <c r="T2024" i="2" s="1"/>
  <c r="U2023" i="2"/>
  <c r="S2023" i="2"/>
  <c r="T2023" i="2" s="1"/>
  <c r="U2022" i="2"/>
  <c r="S2022" i="2"/>
  <c r="T2022" i="2" s="1"/>
  <c r="U2021" i="2"/>
  <c r="S2021" i="2"/>
  <c r="T2021" i="2" s="1"/>
  <c r="U2020" i="2"/>
  <c r="S2020" i="2"/>
  <c r="T2020" i="2" s="1"/>
  <c r="U2019" i="2"/>
  <c r="S2019" i="2"/>
  <c r="T2019" i="2" s="1"/>
  <c r="U2018" i="2"/>
  <c r="S2018" i="2"/>
  <c r="T2018" i="2" s="1"/>
  <c r="U2017" i="2"/>
  <c r="S2017" i="2"/>
  <c r="T2017" i="2" s="1"/>
  <c r="U2016" i="2"/>
  <c r="S2016" i="2"/>
  <c r="T2016" i="2" s="1"/>
  <c r="U2015" i="2"/>
  <c r="S2015" i="2"/>
  <c r="T2015" i="2" s="1"/>
  <c r="U2014" i="2"/>
  <c r="S2014" i="2"/>
  <c r="T2014" i="2" s="1"/>
  <c r="U2013" i="2"/>
  <c r="S2013" i="2"/>
  <c r="T2013" i="2" s="1"/>
  <c r="U2012" i="2"/>
  <c r="S2012" i="2"/>
  <c r="T2012" i="2" s="1"/>
  <c r="U2011" i="2"/>
  <c r="S2011" i="2"/>
  <c r="T2011" i="2" s="1"/>
  <c r="U2010" i="2"/>
  <c r="S2010" i="2"/>
  <c r="T2010" i="2" s="1"/>
  <c r="U2009" i="2"/>
  <c r="S2009" i="2"/>
  <c r="T2009" i="2" s="1"/>
  <c r="U2008" i="2"/>
  <c r="S2008" i="2"/>
  <c r="T2008" i="2" s="1"/>
  <c r="U2007" i="2"/>
  <c r="S2007" i="2"/>
  <c r="T2007" i="2" s="1"/>
  <c r="U2006" i="2"/>
  <c r="S2006" i="2"/>
  <c r="T2006" i="2" s="1"/>
  <c r="U2005" i="2"/>
  <c r="S2005" i="2"/>
  <c r="T2005" i="2" s="1"/>
  <c r="U2004" i="2"/>
  <c r="S2004" i="2"/>
  <c r="T2004" i="2" s="1"/>
  <c r="U2003" i="2"/>
  <c r="S2003" i="2"/>
  <c r="T2003" i="2" s="1"/>
  <c r="U2002" i="2"/>
  <c r="S2002" i="2"/>
  <c r="T2002" i="2" s="1"/>
  <c r="U2001" i="2"/>
  <c r="S2001" i="2"/>
  <c r="T2001" i="2" s="1"/>
  <c r="U2000" i="2"/>
  <c r="S2000" i="2"/>
  <c r="T2000" i="2" s="1"/>
  <c r="U1999" i="2"/>
  <c r="S1999" i="2"/>
  <c r="T1999" i="2" s="1"/>
  <c r="U1998" i="2"/>
  <c r="S1998" i="2"/>
  <c r="T1998" i="2" s="1"/>
  <c r="U1997" i="2"/>
  <c r="S1997" i="2"/>
  <c r="T1997" i="2" s="1"/>
  <c r="U1996" i="2"/>
  <c r="S1996" i="2"/>
  <c r="T1996" i="2" s="1"/>
  <c r="U1995" i="2"/>
  <c r="S1995" i="2"/>
  <c r="T1995" i="2" s="1"/>
  <c r="U1994" i="2"/>
  <c r="S1994" i="2"/>
  <c r="T1994" i="2" s="1"/>
  <c r="U1993" i="2"/>
  <c r="S1993" i="2"/>
  <c r="T1993" i="2" s="1"/>
  <c r="U1992" i="2"/>
  <c r="S1992" i="2"/>
  <c r="T1992" i="2" s="1"/>
  <c r="U1991" i="2"/>
  <c r="S1991" i="2"/>
  <c r="T1991" i="2" s="1"/>
  <c r="U1990" i="2"/>
  <c r="S1990" i="2"/>
  <c r="T1990" i="2" s="1"/>
  <c r="U1989" i="2"/>
  <c r="S1989" i="2"/>
  <c r="T1989" i="2" s="1"/>
  <c r="U1988" i="2"/>
  <c r="S1988" i="2"/>
  <c r="T1988" i="2" s="1"/>
  <c r="U1987" i="2"/>
  <c r="S1987" i="2"/>
  <c r="T1987" i="2" s="1"/>
  <c r="U1986" i="2"/>
  <c r="S1986" i="2"/>
  <c r="T1986" i="2" s="1"/>
  <c r="U1985" i="2"/>
  <c r="S1985" i="2"/>
  <c r="T1985" i="2" s="1"/>
  <c r="U1984" i="2"/>
  <c r="S1984" i="2"/>
  <c r="T1984" i="2" s="1"/>
  <c r="U1983" i="2"/>
  <c r="S1983" i="2"/>
  <c r="T1983" i="2" s="1"/>
  <c r="U1982" i="2"/>
  <c r="S1982" i="2"/>
  <c r="T1982" i="2" s="1"/>
  <c r="U1981" i="2"/>
  <c r="S1981" i="2"/>
  <c r="T1981" i="2" s="1"/>
  <c r="U1980" i="2"/>
  <c r="S1980" i="2"/>
  <c r="T1980" i="2" s="1"/>
  <c r="U1979" i="2"/>
  <c r="S1979" i="2"/>
  <c r="T1979" i="2" s="1"/>
  <c r="U1978" i="2"/>
  <c r="S1978" i="2"/>
  <c r="T1978" i="2" s="1"/>
  <c r="U1977" i="2"/>
  <c r="S1977" i="2"/>
  <c r="T1977" i="2" s="1"/>
  <c r="U1976" i="2"/>
  <c r="S1976" i="2"/>
  <c r="T1976" i="2" s="1"/>
  <c r="U1975" i="2"/>
  <c r="S1975" i="2"/>
  <c r="T1975" i="2" s="1"/>
  <c r="U1974" i="2"/>
  <c r="S1974" i="2"/>
  <c r="T1974" i="2" s="1"/>
  <c r="U1973" i="2"/>
  <c r="S1973" i="2"/>
  <c r="T1973" i="2" s="1"/>
  <c r="U1972" i="2"/>
  <c r="S1972" i="2"/>
  <c r="T1972" i="2" s="1"/>
  <c r="U1971" i="2"/>
  <c r="S1971" i="2"/>
  <c r="T1971" i="2" s="1"/>
  <c r="U1970" i="2"/>
  <c r="S1970" i="2"/>
  <c r="T1970" i="2" s="1"/>
  <c r="U1969" i="2"/>
  <c r="S1969" i="2"/>
  <c r="T1969" i="2" s="1"/>
  <c r="U1968" i="2"/>
  <c r="S1968" i="2"/>
  <c r="T1968" i="2" s="1"/>
  <c r="U1967" i="2"/>
  <c r="S1967" i="2"/>
  <c r="T1967" i="2" s="1"/>
  <c r="U1966" i="2"/>
  <c r="S1966" i="2"/>
  <c r="T1966" i="2" s="1"/>
  <c r="U1965" i="2"/>
  <c r="S1965" i="2"/>
  <c r="T1965" i="2" s="1"/>
  <c r="U1964" i="2"/>
  <c r="S1964" i="2"/>
  <c r="T1964" i="2" s="1"/>
  <c r="U1963" i="2"/>
  <c r="S1963" i="2"/>
  <c r="T1963" i="2" s="1"/>
  <c r="U1962" i="2"/>
  <c r="S1962" i="2"/>
  <c r="T1962" i="2" s="1"/>
  <c r="U1961" i="2"/>
  <c r="S1961" i="2"/>
  <c r="T1961" i="2" s="1"/>
  <c r="U1960" i="2"/>
  <c r="S1960" i="2"/>
  <c r="T1960" i="2" s="1"/>
  <c r="U1959" i="2"/>
  <c r="S1959" i="2"/>
  <c r="T1959" i="2" s="1"/>
  <c r="U1958" i="2"/>
  <c r="S1958" i="2"/>
  <c r="T1958" i="2" s="1"/>
  <c r="U1957" i="2"/>
  <c r="S1957" i="2"/>
  <c r="T1957" i="2" s="1"/>
  <c r="U1956" i="2"/>
  <c r="S1956" i="2"/>
  <c r="T1956" i="2" s="1"/>
  <c r="U1955" i="2"/>
  <c r="S1955" i="2"/>
  <c r="T1955" i="2" s="1"/>
  <c r="U1954" i="2"/>
  <c r="S1954" i="2"/>
  <c r="T1954" i="2" s="1"/>
  <c r="U1953" i="2"/>
  <c r="S1953" i="2"/>
  <c r="T1953" i="2" s="1"/>
  <c r="U1952" i="2"/>
  <c r="S1952" i="2"/>
  <c r="T1952" i="2" s="1"/>
  <c r="U1951" i="2"/>
  <c r="S1951" i="2"/>
  <c r="T1951" i="2" s="1"/>
  <c r="U1950" i="2"/>
  <c r="S1950" i="2"/>
  <c r="T1950" i="2" s="1"/>
  <c r="U1949" i="2"/>
  <c r="S1949" i="2"/>
  <c r="T1949" i="2" s="1"/>
  <c r="U1948" i="2"/>
  <c r="S1948" i="2"/>
  <c r="T1948" i="2" s="1"/>
  <c r="U1947" i="2"/>
  <c r="S1947" i="2"/>
  <c r="T1947" i="2" s="1"/>
  <c r="U1946" i="2"/>
  <c r="S1946" i="2"/>
  <c r="T1946" i="2" s="1"/>
  <c r="U1945" i="2"/>
  <c r="S1945" i="2"/>
  <c r="T1945" i="2" s="1"/>
  <c r="U1944" i="2"/>
  <c r="S1944" i="2"/>
  <c r="T1944" i="2" s="1"/>
  <c r="U1943" i="2"/>
  <c r="S1943" i="2"/>
  <c r="T1943" i="2" s="1"/>
  <c r="U1942" i="2"/>
  <c r="S1942" i="2"/>
  <c r="T1942" i="2" s="1"/>
  <c r="U1941" i="2"/>
  <c r="S1941" i="2"/>
  <c r="T1941" i="2" s="1"/>
  <c r="U1940" i="2"/>
  <c r="S1940" i="2"/>
  <c r="T1940" i="2" s="1"/>
  <c r="U1939" i="2"/>
  <c r="S1939" i="2"/>
  <c r="T1939" i="2" s="1"/>
  <c r="U1938" i="2"/>
  <c r="S1938" i="2"/>
  <c r="T1938" i="2" s="1"/>
  <c r="U1937" i="2"/>
  <c r="S1937" i="2"/>
  <c r="T1937" i="2" s="1"/>
  <c r="U1936" i="2"/>
  <c r="S1936" i="2"/>
  <c r="T1936" i="2" s="1"/>
  <c r="U1935" i="2"/>
  <c r="S1935" i="2"/>
  <c r="T1935" i="2" s="1"/>
  <c r="U1934" i="2"/>
  <c r="S1934" i="2"/>
  <c r="T1934" i="2" s="1"/>
  <c r="U1933" i="2"/>
  <c r="S1933" i="2"/>
  <c r="T1933" i="2" s="1"/>
  <c r="U1932" i="2"/>
  <c r="S1932" i="2"/>
  <c r="T1932" i="2" s="1"/>
  <c r="U1931" i="2"/>
  <c r="S1931" i="2"/>
  <c r="T1931" i="2" s="1"/>
  <c r="U1930" i="2"/>
  <c r="S1930" i="2"/>
  <c r="T1930" i="2" s="1"/>
  <c r="U1929" i="2"/>
  <c r="S1929" i="2"/>
  <c r="T1929" i="2" s="1"/>
  <c r="U1928" i="2"/>
  <c r="S1928" i="2"/>
  <c r="T1928" i="2" s="1"/>
  <c r="U1927" i="2"/>
  <c r="S1927" i="2"/>
  <c r="T1927" i="2" s="1"/>
  <c r="U1926" i="2"/>
  <c r="S1926" i="2"/>
  <c r="T1926" i="2" s="1"/>
  <c r="U1925" i="2"/>
  <c r="S1925" i="2"/>
  <c r="T1925" i="2" s="1"/>
  <c r="U1924" i="2"/>
  <c r="S1924" i="2"/>
  <c r="T1924" i="2" s="1"/>
  <c r="U1923" i="2"/>
  <c r="S1923" i="2"/>
  <c r="T1923" i="2" s="1"/>
  <c r="U1922" i="2"/>
  <c r="S1922" i="2"/>
  <c r="T1922" i="2" s="1"/>
  <c r="U1921" i="2"/>
  <c r="S1921" i="2"/>
  <c r="T1921" i="2" s="1"/>
  <c r="U1920" i="2"/>
  <c r="S1920" i="2"/>
  <c r="T1920" i="2" s="1"/>
  <c r="U1919" i="2"/>
  <c r="S1919" i="2"/>
  <c r="T1919" i="2" s="1"/>
  <c r="U1918" i="2"/>
  <c r="S1918" i="2"/>
  <c r="T1918" i="2" s="1"/>
  <c r="U1917" i="2"/>
  <c r="S1917" i="2"/>
  <c r="T1917" i="2" s="1"/>
  <c r="U1916" i="2"/>
  <c r="S1916" i="2"/>
  <c r="T1916" i="2" s="1"/>
  <c r="U1915" i="2"/>
  <c r="S1915" i="2"/>
  <c r="T1915" i="2" s="1"/>
  <c r="U1914" i="2"/>
  <c r="S1914" i="2"/>
  <c r="T1914" i="2" s="1"/>
  <c r="U1913" i="2"/>
  <c r="S1913" i="2"/>
  <c r="T1913" i="2" s="1"/>
  <c r="U1912" i="2"/>
  <c r="S1912" i="2"/>
  <c r="T1912" i="2" s="1"/>
  <c r="U1911" i="2"/>
  <c r="S1911" i="2"/>
  <c r="T1911" i="2" s="1"/>
  <c r="U1910" i="2"/>
  <c r="S1910" i="2"/>
  <c r="T1910" i="2" s="1"/>
  <c r="U1909" i="2"/>
  <c r="S1909" i="2"/>
  <c r="T1909" i="2" s="1"/>
  <c r="U1908" i="2"/>
  <c r="S1908" i="2"/>
  <c r="T1908" i="2" s="1"/>
  <c r="U1907" i="2"/>
  <c r="S1907" i="2"/>
  <c r="T1907" i="2" s="1"/>
  <c r="U1906" i="2"/>
  <c r="S1906" i="2"/>
  <c r="T1906" i="2" s="1"/>
  <c r="U1905" i="2"/>
  <c r="S1905" i="2"/>
  <c r="T1905" i="2" s="1"/>
  <c r="U1904" i="2"/>
  <c r="S1904" i="2"/>
  <c r="T1904" i="2" s="1"/>
  <c r="U1903" i="2"/>
  <c r="S1903" i="2"/>
  <c r="T1903" i="2" s="1"/>
  <c r="U1902" i="2"/>
  <c r="S1902" i="2"/>
  <c r="T1902" i="2" s="1"/>
  <c r="U1901" i="2"/>
  <c r="S1901" i="2"/>
  <c r="T1901" i="2" s="1"/>
  <c r="U1900" i="2"/>
  <c r="S1900" i="2"/>
  <c r="T1900" i="2" s="1"/>
  <c r="U1899" i="2"/>
  <c r="S1899" i="2"/>
  <c r="T1899" i="2" s="1"/>
  <c r="U1898" i="2"/>
  <c r="S1898" i="2"/>
  <c r="T1898" i="2" s="1"/>
  <c r="U1897" i="2"/>
  <c r="S1897" i="2"/>
  <c r="T1897" i="2" s="1"/>
  <c r="U1896" i="2"/>
  <c r="S1896" i="2"/>
  <c r="T1896" i="2" s="1"/>
  <c r="U1895" i="2"/>
  <c r="S1895" i="2"/>
  <c r="T1895" i="2" s="1"/>
  <c r="U1894" i="2"/>
  <c r="S1894" i="2"/>
  <c r="T1894" i="2" s="1"/>
  <c r="U1893" i="2"/>
  <c r="S1893" i="2"/>
  <c r="T1893" i="2" s="1"/>
  <c r="U1892" i="2"/>
  <c r="S1892" i="2"/>
  <c r="T1892" i="2" s="1"/>
  <c r="U1891" i="2"/>
  <c r="S1891" i="2"/>
  <c r="T1891" i="2" s="1"/>
  <c r="U1890" i="2"/>
  <c r="S1890" i="2"/>
  <c r="T1890" i="2" s="1"/>
  <c r="U1889" i="2"/>
  <c r="S1889" i="2"/>
  <c r="T1889" i="2" s="1"/>
  <c r="U1888" i="2"/>
  <c r="S1888" i="2"/>
  <c r="T1888" i="2" s="1"/>
  <c r="U1887" i="2"/>
  <c r="S1887" i="2"/>
  <c r="T1887" i="2" s="1"/>
  <c r="U1886" i="2"/>
  <c r="S1886" i="2"/>
  <c r="T1886" i="2" s="1"/>
  <c r="U1885" i="2"/>
  <c r="S1885" i="2"/>
  <c r="T1885" i="2" s="1"/>
  <c r="U1884" i="2"/>
  <c r="S1884" i="2"/>
  <c r="T1884" i="2" s="1"/>
  <c r="U1883" i="2"/>
  <c r="S1883" i="2"/>
  <c r="T1883" i="2" s="1"/>
  <c r="U1882" i="2"/>
  <c r="S1882" i="2"/>
  <c r="T1882" i="2" s="1"/>
  <c r="U1881" i="2"/>
  <c r="S1881" i="2"/>
  <c r="T1881" i="2" s="1"/>
  <c r="U1880" i="2"/>
  <c r="S1880" i="2"/>
  <c r="T1880" i="2" s="1"/>
  <c r="U1879" i="2"/>
  <c r="S1879" i="2"/>
  <c r="T1879" i="2" s="1"/>
  <c r="U1878" i="2"/>
  <c r="S1878" i="2"/>
  <c r="T1878" i="2" s="1"/>
  <c r="U1877" i="2"/>
  <c r="S1877" i="2"/>
  <c r="T1877" i="2" s="1"/>
  <c r="U1876" i="2"/>
  <c r="S1876" i="2"/>
  <c r="T1876" i="2" s="1"/>
  <c r="U1875" i="2"/>
  <c r="S1875" i="2"/>
  <c r="T1875" i="2" s="1"/>
  <c r="U1874" i="2"/>
  <c r="S1874" i="2"/>
  <c r="T1874" i="2" s="1"/>
  <c r="U1873" i="2"/>
  <c r="S1873" i="2"/>
  <c r="T1873" i="2" s="1"/>
  <c r="U1872" i="2"/>
  <c r="S1872" i="2"/>
  <c r="T1872" i="2" s="1"/>
  <c r="U1871" i="2"/>
  <c r="S1871" i="2"/>
  <c r="T1871" i="2" s="1"/>
  <c r="U1870" i="2"/>
  <c r="S1870" i="2"/>
  <c r="T1870" i="2" s="1"/>
  <c r="U1869" i="2"/>
  <c r="S1869" i="2"/>
  <c r="T1869" i="2" s="1"/>
  <c r="U1868" i="2"/>
  <c r="S1868" i="2"/>
  <c r="T1868" i="2" s="1"/>
  <c r="U1867" i="2"/>
  <c r="S1867" i="2"/>
  <c r="T1867" i="2" s="1"/>
  <c r="U1866" i="2"/>
  <c r="S1866" i="2"/>
  <c r="T1866" i="2" s="1"/>
  <c r="U1865" i="2"/>
  <c r="S1865" i="2"/>
  <c r="T1865" i="2" s="1"/>
  <c r="U1864" i="2"/>
  <c r="S1864" i="2"/>
  <c r="T1864" i="2" s="1"/>
  <c r="U1863" i="2"/>
  <c r="S1863" i="2"/>
  <c r="T1863" i="2" s="1"/>
  <c r="U1862" i="2"/>
  <c r="S1862" i="2"/>
  <c r="T1862" i="2" s="1"/>
  <c r="U1861" i="2"/>
  <c r="S1861" i="2"/>
  <c r="T1861" i="2" s="1"/>
  <c r="U1860" i="2"/>
  <c r="S1860" i="2"/>
  <c r="T1860" i="2" s="1"/>
  <c r="U1859" i="2"/>
  <c r="S1859" i="2"/>
  <c r="T1859" i="2" s="1"/>
  <c r="U1858" i="2"/>
  <c r="S1858" i="2"/>
  <c r="T1858" i="2" s="1"/>
  <c r="U1857" i="2"/>
  <c r="S1857" i="2"/>
  <c r="T1857" i="2" s="1"/>
  <c r="U1856" i="2"/>
  <c r="S1856" i="2"/>
  <c r="T1856" i="2" s="1"/>
  <c r="U1855" i="2"/>
  <c r="S1855" i="2"/>
  <c r="T1855" i="2" s="1"/>
  <c r="U1854" i="2"/>
  <c r="S1854" i="2"/>
  <c r="T1854" i="2" s="1"/>
  <c r="U1853" i="2"/>
  <c r="S1853" i="2"/>
  <c r="T1853" i="2" s="1"/>
  <c r="U1852" i="2"/>
  <c r="S1852" i="2"/>
  <c r="T1852" i="2" s="1"/>
  <c r="U1851" i="2"/>
  <c r="S1851" i="2"/>
  <c r="T1851" i="2" s="1"/>
  <c r="U1850" i="2"/>
  <c r="S1850" i="2"/>
  <c r="T1850" i="2" s="1"/>
  <c r="U1849" i="2"/>
  <c r="S1849" i="2"/>
  <c r="T1849" i="2" s="1"/>
  <c r="U1848" i="2"/>
  <c r="S1848" i="2"/>
  <c r="T1848" i="2" s="1"/>
  <c r="U1847" i="2"/>
  <c r="S1847" i="2"/>
  <c r="T1847" i="2" s="1"/>
  <c r="U1846" i="2"/>
  <c r="S1846" i="2"/>
  <c r="T1846" i="2" s="1"/>
  <c r="U1845" i="2"/>
  <c r="S1845" i="2"/>
  <c r="T1845" i="2" s="1"/>
  <c r="U1844" i="2"/>
  <c r="S1844" i="2"/>
  <c r="T1844" i="2" s="1"/>
  <c r="U1843" i="2"/>
  <c r="S1843" i="2"/>
  <c r="T1843" i="2" s="1"/>
  <c r="U1842" i="2"/>
  <c r="S1842" i="2"/>
  <c r="T1842" i="2" s="1"/>
  <c r="U1841" i="2"/>
  <c r="S1841" i="2"/>
  <c r="T1841" i="2" s="1"/>
  <c r="U1840" i="2"/>
  <c r="S1840" i="2"/>
  <c r="T1840" i="2" s="1"/>
  <c r="U1839" i="2"/>
  <c r="S1839" i="2"/>
  <c r="T1839" i="2" s="1"/>
  <c r="U1838" i="2"/>
  <c r="S1838" i="2"/>
  <c r="T1838" i="2" s="1"/>
  <c r="U1837" i="2"/>
  <c r="S1837" i="2"/>
  <c r="T1837" i="2" s="1"/>
  <c r="U1836" i="2"/>
  <c r="S1836" i="2"/>
  <c r="T1836" i="2" s="1"/>
  <c r="U1835" i="2"/>
  <c r="S1835" i="2"/>
  <c r="T1835" i="2" s="1"/>
  <c r="U1834" i="2"/>
  <c r="S1834" i="2"/>
  <c r="T1834" i="2" s="1"/>
  <c r="U1833" i="2"/>
  <c r="S1833" i="2"/>
  <c r="T1833" i="2" s="1"/>
  <c r="U1832" i="2"/>
  <c r="S1832" i="2"/>
  <c r="T1832" i="2" s="1"/>
  <c r="U1831" i="2"/>
  <c r="S1831" i="2"/>
  <c r="T1831" i="2" s="1"/>
  <c r="U1830" i="2"/>
  <c r="S1830" i="2"/>
  <c r="T1830" i="2" s="1"/>
  <c r="U1829" i="2"/>
  <c r="S1829" i="2"/>
  <c r="T1829" i="2" s="1"/>
  <c r="U1828" i="2"/>
  <c r="S1828" i="2"/>
  <c r="T1828" i="2" s="1"/>
  <c r="U1827" i="2"/>
  <c r="S1827" i="2"/>
  <c r="T1827" i="2" s="1"/>
  <c r="U1826" i="2"/>
  <c r="S1826" i="2"/>
  <c r="T1826" i="2" s="1"/>
  <c r="U1825" i="2"/>
  <c r="S1825" i="2"/>
  <c r="T1825" i="2" s="1"/>
  <c r="U1824" i="2"/>
  <c r="S1824" i="2"/>
  <c r="T1824" i="2" s="1"/>
  <c r="U1823" i="2"/>
  <c r="S1823" i="2"/>
  <c r="T1823" i="2" s="1"/>
  <c r="U1822" i="2"/>
  <c r="S1822" i="2"/>
  <c r="T1822" i="2" s="1"/>
  <c r="U1821" i="2"/>
  <c r="S1821" i="2"/>
  <c r="T1821" i="2" s="1"/>
  <c r="U1820" i="2"/>
  <c r="S1820" i="2"/>
  <c r="T1820" i="2" s="1"/>
  <c r="U1819" i="2"/>
  <c r="S1819" i="2"/>
  <c r="T1819" i="2" s="1"/>
  <c r="U1818" i="2"/>
  <c r="S1818" i="2"/>
  <c r="T1818" i="2" s="1"/>
  <c r="U1817" i="2"/>
  <c r="S1817" i="2"/>
  <c r="T1817" i="2" s="1"/>
  <c r="U1816" i="2"/>
  <c r="S1816" i="2"/>
  <c r="T1816" i="2" s="1"/>
  <c r="U1815" i="2"/>
  <c r="S1815" i="2"/>
  <c r="T1815" i="2" s="1"/>
  <c r="U1814" i="2"/>
  <c r="S1814" i="2"/>
  <c r="T1814" i="2" s="1"/>
  <c r="U1813" i="2"/>
  <c r="S1813" i="2"/>
  <c r="T1813" i="2" s="1"/>
  <c r="U1812" i="2"/>
  <c r="S1812" i="2"/>
  <c r="T1812" i="2" s="1"/>
  <c r="U1811" i="2"/>
  <c r="S1811" i="2"/>
  <c r="T1811" i="2" s="1"/>
  <c r="U1810" i="2"/>
  <c r="S1810" i="2"/>
  <c r="T1810" i="2" s="1"/>
  <c r="U1809" i="2"/>
  <c r="S1809" i="2"/>
  <c r="T1809" i="2" s="1"/>
  <c r="U1808" i="2"/>
  <c r="S1808" i="2"/>
  <c r="T1808" i="2" s="1"/>
  <c r="U1807" i="2"/>
  <c r="S1807" i="2"/>
  <c r="T1807" i="2" s="1"/>
  <c r="U1806" i="2"/>
  <c r="S1806" i="2"/>
  <c r="T1806" i="2" s="1"/>
  <c r="U1805" i="2"/>
  <c r="S1805" i="2"/>
  <c r="T1805" i="2" s="1"/>
  <c r="U1804" i="2"/>
  <c r="S1804" i="2"/>
  <c r="T1804" i="2" s="1"/>
  <c r="U1803" i="2"/>
  <c r="S1803" i="2"/>
  <c r="T1803" i="2" s="1"/>
  <c r="U1802" i="2"/>
  <c r="S1802" i="2"/>
  <c r="T1802" i="2" s="1"/>
  <c r="U1801" i="2"/>
  <c r="S1801" i="2"/>
  <c r="T1801" i="2" s="1"/>
  <c r="U1800" i="2"/>
  <c r="S1800" i="2"/>
  <c r="T1800" i="2" s="1"/>
  <c r="U1799" i="2"/>
  <c r="S1799" i="2"/>
  <c r="T1799" i="2" s="1"/>
  <c r="U1798" i="2"/>
  <c r="S1798" i="2"/>
  <c r="T1798" i="2" s="1"/>
  <c r="U1797" i="2"/>
  <c r="S1797" i="2"/>
  <c r="T1797" i="2" s="1"/>
  <c r="U1796" i="2"/>
  <c r="S1796" i="2"/>
  <c r="T1796" i="2" s="1"/>
  <c r="U1795" i="2"/>
  <c r="S1795" i="2"/>
  <c r="T1795" i="2" s="1"/>
  <c r="U1794" i="2"/>
  <c r="S1794" i="2"/>
  <c r="T1794" i="2" s="1"/>
  <c r="U1793" i="2"/>
  <c r="S1793" i="2"/>
  <c r="T1793" i="2" s="1"/>
  <c r="U1792" i="2"/>
  <c r="S1792" i="2"/>
  <c r="T1792" i="2" s="1"/>
  <c r="U1791" i="2"/>
  <c r="S1791" i="2"/>
  <c r="T1791" i="2" s="1"/>
  <c r="U1790" i="2"/>
  <c r="S1790" i="2"/>
  <c r="T1790" i="2" s="1"/>
  <c r="U1789" i="2"/>
  <c r="S1789" i="2"/>
  <c r="T1789" i="2" s="1"/>
  <c r="U1788" i="2"/>
  <c r="S1788" i="2"/>
  <c r="T1788" i="2" s="1"/>
  <c r="U1787" i="2"/>
  <c r="S1787" i="2"/>
  <c r="T1787" i="2" s="1"/>
  <c r="U1786" i="2"/>
  <c r="S1786" i="2"/>
  <c r="T1786" i="2" s="1"/>
  <c r="U1785" i="2"/>
  <c r="S1785" i="2"/>
  <c r="T1785" i="2" s="1"/>
  <c r="U1784" i="2"/>
  <c r="S1784" i="2"/>
  <c r="T1784" i="2" s="1"/>
  <c r="U1783" i="2"/>
  <c r="S1783" i="2"/>
  <c r="T1783" i="2" s="1"/>
  <c r="U1782" i="2"/>
  <c r="S1782" i="2"/>
  <c r="T1782" i="2" s="1"/>
  <c r="U1781" i="2"/>
  <c r="S1781" i="2"/>
  <c r="T1781" i="2" s="1"/>
  <c r="U1780" i="2"/>
  <c r="S1780" i="2"/>
  <c r="T1780" i="2" s="1"/>
  <c r="U1779" i="2"/>
  <c r="S1779" i="2"/>
  <c r="T1779" i="2" s="1"/>
  <c r="U1778" i="2"/>
  <c r="S1778" i="2"/>
  <c r="T1778" i="2" s="1"/>
  <c r="U1777" i="2"/>
  <c r="S1777" i="2"/>
  <c r="T1777" i="2" s="1"/>
  <c r="U1776" i="2"/>
  <c r="S1776" i="2"/>
  <c r="T1776" i="2" s="1"/>
  <c r="U1775" i="2"/>
  <c r="S1775" i="2"/>
  <c r="T1775" i="2" s="1"/>
  <c r="U1774" i="2"/>
  <c r="S1774" i="2"/>
  <c r="T1774" i="2" s="1"/>
  <c r="U1773" i="2"/>
  <c r="S1773" i="2"/>
  <c r="T1773" i="2" s="1"/>
  <c r="U1772" i="2"/>
  <c r="S1772" i="2"/>
  <c r="T1772" i="2" s="1"/>
  <c r="U1771" i="2"/>
  <c r="S1771" i="2"/>
  <c r="T1771" i="2" s="1"/>
  <c r="U1770" i="2"/>
  <c r="S1770" i="2"/>
  <c r="T1770" i="2" s="1"/>
  <c r="U1769" i="2"/>
  <c r="S1769" i="2"/>
  <c r="T1769" i="2" s="1"/>
  <c r="U1768" i="2"/>
  <c r="S1768" i="2"/>
  <c r="T1768" i="2" s="1"/>
  <c r="U1767" i="2"/>
  <c r="S1767" i="2"/>
  <c r="T1767" i="2" s="1"/>
  <c r="U1766" i="2"/>
  <c r="S1766" i="2"/>
  <c r="T1766" i="2" s="1"/>
  <c r="U1765" i="2"/>
  <c r="S1765" i="2"/>
  <c r="T1765" i="2" s="1"/>
  <c r="U1764" i="2"/>
  <c r="S1764" i="2"/>
  <c r="T1764" i="2" s="1"/>
  <c r="U1763" i="2"/>
  <c r="S1763" i="2"/>
  <c r="T1763" i="2" s="1"/>
  <c r="U1762" i="2"/>
  <c r="S1762" i="2"/>
  <c r="T1762" i="2" s="1"/>
  <c r="U1761" i="2"/>
  <c r="S1761" i="2"/>
  <c r="T1761" i="2" s="1"/>
  <c r="U1760" i="2"/>
  <c r="S1760" i="2"/>
  <c r="T1760" i="2" s="1"/>
  <c r="U1759" i="2"/>
  <c r="S1759" i="2"/>
  <c r="T1759" i="2" s="1"/>
  <c r="U1758" i="2"/>
  <c r="S1758" i="2"/>
  <c r="T1758" i="2" s="1"/>
  <c r="U1757" i="2"/>
  <c r="S1757" i="2"/>
  <c r="T1757" i="2" s="1"/>
  <c r="U1756" i="2"/>
  <c r="S1756" i="2"/>
  <c r="T1756" i="2" s="1"/>
  <c r="U1755" i="2"/>
  <c r="S1755" i="2"/>
  <c r="T1755" i="2" s="1"/>
  <c r="U1754" i="2"/>
  <c r="S1754" i="2"/>
  <c r="T1754" i="2" s="1"/>
  <c r="U1753" i="2"/>
  <c r="S1753" i="2"/>
  <c r="T1753" i="2" s="1"/>
  <c r="U1752" i="2"/>
  <c r="S1752" i="2"/>
  <c r="T1752" i="2" s="1"/>
  <c r="U1751" i="2"/>
  <c r="S1751" i="2"/>
  <c r="T1751" i="2" s="1"/>
  <c r="U1750" i="2"/>
  <c r="S1750" i="2"/>
  <c r="T1750" i="2" s="1"/>
  <c r="U1749" i="2"/>
  <c r="S1749" i="2"/>
  <c r="T1749" i="2" s="1"/>
  <c r="U1748" i="2"/>
  <c r="S1748" i="2"/>
  <c r="T1748" i="2" s="1"/>
  <c r="U1747" i="2"/>
  <c r="S1747" i="2"/>
  <c r="T1747" i="2" s="1"/>
  <c r="U1746" i="2"/>
  <c r="S1746" i="2"/>
  <c r="T1746" i="2" s="1"/>
  <c r="U1745" i="2"/>
  <c r="S1745" i="2"/>
  <c r="T1745" i="2" s="1"/>
  <c r="U1744" i="2"/>
  <c r="S1744" i="2"/>
  <c r="T1744" i="2" s="1"/>
  <c r="U1743" i="2"/>
  <c r="S1743" i="2"/>
  <c r="T1743" i="2" s="1"/>
  <c r="U1742" i="2"/>
  <c r="S1742" i="2"/>
  <c r="T1742" i="2" s="1"/>
  <c r="U1741" i="2"/>
  <c r="S1741" i="2"/>
  <c r="T1741" i="2" s="1"/>
  <c r="U1740" i="2"/>
  <c r="S1740" i="2"/>
  <c r="T1740" i="2" s="1"/>
  <c r="U1739" i="2"/>
  <c r="S1739" i="2"/>
  <c r="T1739" i="2" s="1"/>
  <c r="U1738" i="2"/>
  <c r="S1738" i="2"/>
  <c r="T1738" i="2" s="1"/>
  <c r="U1737" i="2"/>
  <c r="S1737" i="2"/>
  <c r="T1737" i="2" s="1"/>
  <c r="U1736" i="2"/>
  <c r="S1736" i="2"/>
  <c r="T1736" i="2" s="1"/>
  <c r="U1735" i="2"/>
  <c r="S1735" i="2"/>
  <c r="T1735" i="2" s="1"/>
  <c r="U1734" i="2"/>
  <c r="S1734" i="2"/>
  <c r="T1734" i="2" s="1"/>
  <c r="U1733" i="2"/>
  <c r="S1733" i="2"/>
  <c r="T1733" i="2" s="1"/>
  <c r="U1732" i="2"/>
  <c r="S1732" i="2"/>
  <c r="T1732" i="2" s="1"/>
  <c r="U1731" i="2"/>
  <c r="S1731" i="2"/>
  <c r="T1731" i="2" s="1"/>
  <c r="U1730" i="2"/>
  <c r="S1730" i="2"/>
  <c r="T1730" i="2" s="1"/>
  <c r="U1729" i="2"/>
  <c r="S1729" i="2"/>
  <c r="T1729" i="2" s="1"/>
  <c r="U1728" i="2"/>
  <c r="S1728" i="2"/>
  <c r="T1728" i="2" s="1"/>
  <c r="U1727" i="2"/>
  <c r="S1727" i="2"/>
  <c r="T1727" i="2" s="1"/>
  <c r="U1726" i="2"/>
  <c r="S1726" i="2"/>
  <c r="T1726" i="2" s="1"/>
  <c r="U1725" i="2"/>
  <c r="S1725" i="2"/>
  <c r="T1725" i="2" s="1"/>
  <c r="U1724" i="2"/>
  <c r="S1724" i="2"/>
  <c r="T1724" i="2" s="1"/>
  <c r="U1723" i="2"/>
  <c r="S1723" i="2"/>
  <c r="T1723" i="2" s="1"/>
  <c r="U1722" i="2"/>
  <c r="S1722" i="2"/>
  <c r="T1722" i="2" s="1"/>
  <c r="U1721" i="2"/>
  <c r="S1721" i="2"/>
  <c r="T1721" i="2" s="1"/>
  <c r="U1720" i="2"/>
  <c r="S1720" i="2"/>
  <c r="T1720" i="2" s="1"/>
  <c r="U1719" i="2"/>
  <c r="S1719" i="2"/>
  <c r="T1719" i="2" s="1"/>
  <c r="U1718" i="2"/>
  <c r="S1718" i="2"/>
  <c r="T1718" i="2" s="1"/>
  <c r="U1717" i="2"/>
  <c r="S1717" i="2"/>
  <c r="T1717" i="2" s="1"/>
  <c r="U1716" i="2"/>
  <c r="S1716" i="2"/>
  <c r="T1716" i="2" s="1"/>
  <c r="U1715" i="2"/>
  <c r="S1715" i="2"/>
  <c r="T1715" i="2" s="1"/>
  <c r="U1714" i="2"/>
  <c r="S1714" i="2"/>
  <c r="T1714" i="2" s="1"/>
  <c r="U1713" i="2"/>
  <c r="S1713" i="2"/>
  <c r="T1713" i="2" s="1"/>
  <c r="U1712" i="2"/>
  <c r="S1712" i="2"/>
  <c r="T1712" i="2" s="1"/>
  <c r="U1711" i="2"/>
  <c r="S1711" i="2"/>
  <c r="T1711" i="2" s="1"/>
  <c r="U1710" i="2"/>
  <c r="S1710" i="2"/>
  <c r="T1710" i="2" s="1"/>
  <c r="U1709" i="2"/>
  <c r="S1709" i="2"/>
  <c r="T1709" i="2" s="1"/>
  <c r="U1708" i="2"/>
  <c r="S1708" i="2"/>
  <c r="T1708" i="2" s="1"/>
  <c r="U1707" i="2"/>
  <c r="S1707" i="2"/>
  <c r="T1707" i="2" s="1"/>
  <c r="U1706" i="2"/>
  <c r="S1706" i="2"/>
  <c r="T1706" i="2" s="1"/>
  <c r="U1705" i="2"/>
  <c r="S1705" i="2"/>
  <c r="T1705" i="2" s="1"/>
  <c r="U1704" i="2"/>
  <c r="S1704" i="2"/>
  <c r="T1704" i="2" s="1"/>
  <c r="U1703" i="2"/>
  <c r="S1703" i="2"/>
  <c r="T1703" i="2" s="1"/>
  <c r="U1702" i="2"/>
  <c r="S1702" i="2"/>
  <c r="T1702" i="2" s="1"/>
  <c r="U1701" i="2"/>
  <c r="S1701" i="2"/>
  <c r="T1701" i="2" s="1"/>
  <c r="U1700" i="2"/>
  <c r="S1700" i="2"/>
  <c r="T1700" i="2" s="1"/>
  <c r="U1699" i="2"/>
  <c r="S1699" i="2"/>
  <c r="T1699" i="2" s="1"/>
  <c r="U1698" i="2"/>
  <c r="S1698" i="2"/>
  <c r="T1698" i="2" s="1"/>
  <c r="U1697" i="2"/>
  <c r="S1697" i="2"/>
  <c r="T1697" i="2" s="1"/>
  <c r="U1696" i="2"/>
  <c r="S1696" i="2"/>
  <c r="T1696" i="2" s="1"/>
  <c r="U1695" i="2"/>
  <c r="S1695" i="2"/>
  <c r="T1695" i="2" s="1"/>
  <c r="U1694" i="2"/>
  <c r="S1694" i="2"/>
  <c r="T1694" i="2" s="1"/>
  <c r="U1693" i="2"/>
  <c r="S1693" i="2"/>
  <c r="T1693" i="2" s="1"/>
  <c r="U1692" i="2"/>
  <c r="S1692" i="2"/>
  <c r="T1692" i="2" s="1"/>
  <c r="U1691" i="2"/>
  <c r="S1691" i="2"/>
  <c r="T1691" i="2" s="1"/>
  <c r="U1690" i="2"/>
  <c r="S1690" i="2"/>
  <c r="T1690" i="2" s="1"/>
  <c r="U1689" i="2"/>
  <c r="S1689" i="2"/>
  <c r="T1689" i="2" s="1"/>
  <c r="U1688" i="2"/>
  <c r="S1688" i="2"/>
  <c r="T1688" i="2" s="1"/>
  <c r="U1687" i="2"/>
  <c r="S1687" i="2"/>
  <c r="T1687" i="2" s="1"/>
  <c r="U1686" i="2"/>
  <c r="S1686" i="2"/>
  <c r="T1686" i="2" s="1"/>
  <c r="U1685" i="2"/>
  <c r="S1685" i="2"/>
  <c r="T1685" i="2" s="1"/>
  <c r="U1684" i="2"/>
  <c r="S1684" i="2"/>
  <c r="T1684" i="2" s="1"/>
  <c r="U1683" i="2"/>
  <c r="S1683" i="2"/>
  <c r="T1683" i="2" s="1"/>
  <c r="U1682" i="2"/>
  <c r="S1682" i="2"/>
  <c r="T1682" i="2" s="1"/>
  <c r="U1681" i="2"/>
  <c r="S1681" i="2"/>
  <c r="T1681" i="2" s="1"/>
  <c r="U1680" i="2"/>
  <c r="S1680" i="2"/>
  <c r="T1680" i="2" s="1"/>
  <c r="U1679" i="2"/>
  <c r="S1679" i="2"/>
  <c r="T1679" i="2" s="1"/>
  <c r="U1678" i="2"/>
  <c r="S1678" i="2"/>
  <c r="T1678" i="2" s="1"/>
  <c r="U1677" i="2"/>
  <c r="S1677" i="2"/>
  <c r="T1677" i="2" s="1"/>
  <c r="U1676" i="2"/>
  <c r="S1676" i="2"/>
  <c r="T1676" i="2" s="1"/>
  <c r="U1675" i="2"/>
  <c r="S1675" i="2"/>
  <c r="T1675" i="2" s="1"/>
  <c r="U1674" i="2"/>
  <c r="S1674" i="2"/>
  <c r="T1674" i="2" s="1"/>
  <c r="U1673" i="2"/>
  <c r="S1673" i="2"/>
  <c r="T1673" i="2" s="1"/>
  <c r="U1672" i="2"/>
  <c r="S1672" i="2"/>
  <c r="T1672" i="2" s="1"/>
  <c r="U1671" i="2"/>
  <c r="S1671" i="2"/>
  <c r="T1671" i="2" s="1"/>
  <c r="U1670" i="2"/>
  <c r="S1670" i="2"/>
  <c r="T1670" i="2" s="1"/>
  <c r="U1669" i="2"/>
  <c r="S1669" i="2"/>
  <c r="T1669" i="2" s="1"/>
  <c r="U1668" i="2"/>
  <c r="S1668" i="2"/>
  <c r="T1668" i="2" s="1"/>
  <c r="U1667" i="2"/>
  <c r="S1667" i="2"/>
  <c r="T1667" i="2" s="1"/>
  <c r="U1666" i="2"/>
  <c r="S1666" i="2"/>
  <c r="T1666" i="2" s="1"/>
  <c r="U1665" i="2"/>
  <c r="S1665" i="2"/>
  <c r="T1665" i="2" s="1"/>
  <c r="U1664" i="2"/>
  <c r="S1664" i="2"/>
  <c r="T1664" i="2" s="1"/>
  <c r="U1663" i="2"/>
  <c r="S1663" i="2"/>
  <c r="T1663" i="2" s="1"/>
  <c r="U1662" i="2"/>
  <c r="S1662" i="2"/>
  <c r="T1662" i="2" s="1"/>
  <c r="U1661" i="2"/>
  <c r="S1661" i="2"/>
  <c r="T1661" i="2" s="1"/>
  <c r="U1660" i="2"/>
  <c r="S1660" i="2"/>
  <c r="T1660" i="2" s="1"/>
  <c r="U1659" i="2"/>
  <c r="S1659" i="2"/>
  <c r="T1659" i="2" s="1"/>
  <c r="U1658" i="2"/>
  <c r="S1658" i="2"/>
  <c r="T1658" i="2" s="1"/>
  <c r="U1657" i="2"/>
  <c r="S1657" i="2"/>
  <c r="T1657" i="2" s="1"/>
  <c r="U1656" i="2"/>
  <c r="S1656" i="2"/>
  <c r="T1656" i="2" s="1"/>
  <c r="U1655" i="2"/>
  <c r="S1655" i="2"/>
  <c r="T1655" i="2" s="1"/>
  <c r="U1654" i="2"/>
  <c r="S1654" i="2"/>
  <c r="T1654" i="2" s="1"/>
  <c r="U1653" i="2"/>
  <c r="S1653" i="2"/>
  <c r="T1653" i="2" s="1"/>
  <c r="U1652" i="2"/>
  <c r="S1652" i="2"/>
  <c r="T1652" i="2" s="1"/>
  <c r="U1651" i="2"/>
  <c r="S1651" i="2"/>
  <c r="T1651" i="2" s="1"/>
  <c r="U1650" i="2"/>
  <c r="S1650" i="2"/>
  <c r="T1650" i="2" s="1"/>
  <c r="U1649" i="2"/>
  <c r="S1649" i="2"/>
  <c r="T1649" i="2" s="1"/>
  <c r="U1648" i="2"/>
  <c r="S1648" i="2"/>
  <c r="T1648" i="2" s="1"/>
  <c r="U1647" i="2"/>
  <c r="S1647" i="2"/>
  <c r="T1647" i="2" s="1"/>
  <c r="U1646" i="2"/>
  <c r="S1646" i="2"/>
  <c r="T1646" i="2" s="1"/>
  <c r="U1645" i="2"/>
  <c r="S1645" i="2"/>
  <c r="T1645" i="2" s="1"/>
  <c r="U1644" i="2"/>
  <c r="S1644" i="2"/>
  <c r="T1644" i="2" s="1"/>
  <c r="U1643" i="2"/>
  <c r="S1643" i="2"/>
  <c r="T1643" i="2" s="1"/>
  <c r="U1642" i="2"/>
  <c r="S1642" i="2"/>
  <c r="T1642" i="2" s="1"/>
  <c r="U1641" i="2"/>
  <c r="S1641" i="2"/>
  <c r="T1641" i="2" s="1"/>
  <c r="U1640" i="2"/>
  <c r="S1640" i="2"/>
  <c r="T1640" i="2" s="1"/>
  <c r="U1639" i="2"/>
  <c r="S1639" i="2"/>
  <c r="T1639" i="2" s="1"/>
  <c r="U1638" i="2"/>
  <c r="S1638" i="2"/>
  <c r="T1638" i="2" s="1"/>
  <c r="U1637" i="2"/>
  <c r="S1637" i="2"/>
  <c r="T1637" i="2" s="1"/>
  <c r="U1636" i="2"/>
  <c r="S1636" i="2"/>
  <c r="T1636" i="2" s="1"/>
  <c r="U1635" i="2"/>
  <c r="S1635" i="2"/>
  <c r="T1635" i="2" s="1"/>
  <c r="U1634" i="2"/>
  <c r="S1634" i="2"/>
  <c r="T1634" i="2" s="1"/>
  <c r="U1633" i="2"/>
  <c r="S1633" i="2"/>
  <c r="T1633" i="2" s="1"/>
  <c r="U1632" i="2"/>
  <c r="S1632" i="2"/>
  <c r="T1632" i="2" s="1"/>
  <c r="U1631" i="2"/>
  <c r="S1631" i="2"/>
  <c r="T1631" i="2" s="1"/>
  <c r="U1630" i="2"/>
  <c r="S1630" i="2"/>
  <c r="T1630" i="2" s="1"/>
  <c r="U1629" i="2"/>
  <c r="S1629" i="2"/>
  <c r="T1629" i="2" s="1"/>
  <c r="U1628" i="2"/>
  <c r="S1628" i="2"/>
  <c r="T1628" i="2" s="1"/>
  <c r="U1627" i="2"/>
  <c r="S1627" i="2"/>
  <c r="T1627" i="2" s="1"/>
  <c r="U1626" i="2"/>
  <c r="S1626" i="2"/>
  <c r="T1626" i="2" s="1"/>
  <c r="U1625" i="2"/>
  <c r="S1625" i="2"/>
  <c r="T1625" i="2" s="1"/>
  <c r="U1624" i="2"/>
  <c r="S1624" i="2"/>
  <c r="T1624" i="2" s="1"/>
  <c r="U1623" i="2"/>
  <c r="S1623" i="2"/>
  <c r="T1623" i="2" s="1"/>
  <c r="U1622" i="2"/>
  <c r="S1622" i="2"/>
  <c r="T1622" i="2" s="1"/>
  <c r="U1621" i="2"/>
  <c r="S1621" i="2"/>
  <c r="T1621" i="2" s="1"/>
  <c r="U1620" i="2"/>
  <c r="S1620" i="2"/>
  <c r="T1620" i="2" s="1"/>
  <c r="U1619" i="2"/>
  <c r="S1619" i="2"/>
  <c r="T1619" i="2" s="1"/>
  <c r="U1618" i="2"/>
  <c r="S1618" i="2"/>
  <c r="T1618" i="2" s="1"/>
  <c r="U1617" i="2"/>
  <c r="S1617" i="2"/>
  <c r="T1617" i="2" s="1"/>
  <c r="U1616" i="2"/>
  <c r="S1616" i="2"/>
  <c r="T1616" i="2" s="1"/>
  <c r="U1615" i="2"/>
  <c r="S1615" i="2"/>
  <c r="T1615" i="2" s="1"/>
  <c r="U1614" i="2"/>
  <c r="S1614" i="2"/>
  <c r="T1614" i="2" s="1"/>
  <c r="U1613" i="2"/>
  <c r="S1613" i="2"/>
  <c r="T1613" i="2" s="1"/>
  <c r="U1612" i="2"/>
  <c r="S1612" i="2"/>
  <c r="T1612" i="2" s="1"/>
  <c r="U1611" i="2"/>
  <c r="S1611" i="2"/>
  <c r="T1611" i="2" s="1"/>
  <c r="U1610" i="2"/>
  <c r="S1610" i="2"/>
  <c r="T1610" i="2" s="1"/>
  <c r="U1609" i="2"/>
  <c r="S1609" i="2"/>
  <c r="T1609" i="2" s="1"/>
  <c r="U1608" i="2"/>
  <c r="S1608" i="2"/>
  <c r="T1608" i="2" s="1"/>
  <c r="U1607" i="2"/>
  <c r="S1607" i="2"/>
  <c r="T1607" i="2" s="1"/>
  <c r="U1606" i="2"/>
  <c r="S1606" i="2"/>
  <c r="T1606" i="2" s="1"/>
  <c r="U1605" i="2"/>
  <c r="S1605" i="2"/>
  <c r="T1605" i="2" s="1"/>
  <c r="U1604" i="2"/>
  <c r="S1604" i="2"/>
  <c r="T1604" i="2" s="1"/>
  <c r="U1603" i="2"/>
  <c r="S1603" i="2"/>
  <c r="T1603" i="2" s="1"/>
  <c r="U1602" i="2"/>
  <c r="S1602" i="2"/>
  <c r="T1602" i="2" s="1"/>
  <c r="U1601" i="2"/>
  <c r="S1601" i="2"/>
  <c r="T1601" i="2" s="1"/>
  <c r="U1600" i="2"/>
  <c r="S1600" i="2"/>
  <c r="T1600" i="2" s="1"/>
  <c r="U1599" i="2"/>
  <c r="S1599" i="2"/>
  <c r="T1599" i="2" s="1"/>
  <c r="U1598" i="2"/>
  <c r="S1598" i="2"/>
  <c r="T1598" i="2" s="1"/>
  <c r="U1597" i="2"/>
  <c r="S1597" i="2"/>
  <c r="T1597" i="2" s="1"/>
  <c r="U1596" i="2"/>
  <c r="S1596" i="2"/>
  <c r="T1596" i="2" s="1"/>
  <c r="U1595" i="2"/>
  <c r="S1595" i="2"/>
  <c r="T1595" i="2" s="1"/>
  <c r="U1594" i="2"/>
  <c r="S1594" i="2"/>
  <c r="T1594" i="2" s="1"/>
  <c r="U1593" i="2"/>
  <c r="S1593" i="2"/>
  <c r="T1593" i="2" s="1"/>
  <c r="U1592" i="2"/>
  <c r="S1592" i="2"/>
  <c r="T1592" i="2" s="1"/>
  <c r="U1591" i="2"/>
  <c r="S1591" i="2"/>
  <c r="T1591" i="2" s="1"/>
  <c r="U1590" i="2"/>
  <c r="S1590" i="2"/>
  <c r="T1590" i="2" s="1"/>
  <c r="U1589" i="2"/>
  <c r="S1589" i="2"/>
  <c r="T1589" i="2" s="1"/>
  <c r="U1588" i="2"/>
  <c r="S1588" i="2"/>
  <c r="T1588" i="2" s="1"/>
  <c r="U1587" i="2"/>
  <c r="S1587" i="2"/>
  <c r="T1587" i="2" s="1"/>
  <c r="U1586" i="2"/>
  <c r="S1586" i="2"/>
  <c r="T1586" i="2" s="1"/>
  <c r="U1585" i="2"/>
  <c r="S1585" i="2"/>
  <c r="T1585" i="2" s="1"/>
  <c r="U1584" i="2"/>
  <c r="S1584" i="2"/>
  <c r="T1584" i="2" s="1"/>
  <c r="U1583" i="2"/>
  <c r="S1583" i="2"/>
  <c r="T1583" i="2" s="1"/>
  <c r="U1582" i="2"/>
  <c r="S1582" i="2"/>
  <c r="T1582" i="2" s="1"/>
  <c r="U1581" i="2"/>
  <c r="S1581" i="2"/>
  <c r="T1581" i="2" s="1"/>
  <c r="U1580" i="2"/>
  <c r="S1580" i="2"/>
  <c r="T1580" i="2" s="1"/>
  <c r="U1579" i="2"/>
  <c r="S1579" i="2"/>
  <c r="T1579" i="2" s="1"/>
  <c r="U1578" i="2"/>
  <c r="S1578" i="2"/>
  <c r="T1578" i="2" s="1"/>
  <c r="U1577" i="2"/>
  <c r="S1577" i="2"/>
  <c r="T1577" i="2" s="1"/>
  <c r="U1576" i="2"/>
  <c r="S1576" i="2"/>
  <c r="T1576" i="2" s="1"/>
  <c r="U1575" i="2"/>
  <c r="S1575" i="2"/>
  <c r="T1575" i="2" s="1"/>
  <c r="U1574" i="2"/>
  <c r="S1574" i="2"/>
  <c r="T1574" i="2" s="1"/>
  <c r="U1573" i="2"/>
  <c r="S1573" i="2"/>
  <c r="T1573" i="2" s="1"/>
  <c r="U1572" i="2"/>
  <c r="S1572" i="2"/>
  <c r="T1572" i="2" s="1"/>
  <c r="U1571" i="2"/>
  <c r="S1571" i="2"/>
  <c r="T1571" i="2" s="1"/>
  <c r="U1570" i="2"/>
  <c r="S1570" i="2"/>
  <c r="T1570" i="2" s="1"/>
  <c r="U1569" i="2"/>
  <c r="S1569" i="2"/>
  <c r="T1569" i="2" s="1"/>
  <c r="U1568" i="2"/>
  <c r="S1568" i="2"/>
  <c r="T1568" i="2" s="1"/>
  <c r="U1567" i="2"/>
  <c r="S1567" i="2"/>
  <c r="T1567" i="2" s="1"/>
  <c r="U1566" i="2"/>
  <c r="S1566" i="2"/>
  <c r="T1566" i="2" s="1"/>
  <c r="U1565" i="2"/>
  <c r="S1565" i="2"/>
  <c r="T1565" i="2" s="1"/>
  <c r="U1564" i="2"/>
  <c r="S1564" i="2"/>
  <c r="T1564" i="2" s="1"/>
  <c r="U1563" i="2"/>
  <c r="S1563" i="2"/>
  <c r="T1563" i="2" s="1"/>
  <c r="U1562" i="2"/>
  <c r="S1562" i="2"/>
  <c r="T1562" i="2" s="1"/>
  <c r="U1561" i="2"/>
  <c r="S1561" i="2"/>
  <c r="T1561" i="2" s="1"/>
  <c r="U1560" i="2"/>
  <c r="S1560" i="2"/>
  <c r="T1560" i="2" s="1"/>
  <c r="U1559" i="2"/>
  <c r="S1559" i="2"/>
  <c r="T1559" i="2" s="1"/>
  <c r="U1558" i="2"/>
  <c r="S1558" i="2"/>
  <c r="T1558" i="2" s="1"/>
  <c r="U1557" i="2"/>
  <c r="S1557" i="2"/>
  <c r="T1557" i="2" s="1"/>
  <c r="U1556" i="2"/>
  <c r="S1556" i="2"/>
  <c r="T1556" i="2" s="1"/>
  <c r="U1555" i="2"/>
  <c r="S1555" i="2"/>
  <c r="T1555" i="2" s="1"/>
  <c r="U1554" i="2"/>
  <c r="S1554" i="2"/>
  <c r="T1554" i="2" s="1"/>
  <c r="U1553" i="2"/>
  <c r="S1553" i="2"/>
  <c r="T1553" i="2" s="1"/>
  <c r="U1552" i="2"/>
  <c r="S1552" i="2"/>
  <c r="T1552" i="2" s="1"/>
  <c r="U1551" i="2"/>
  <c r="S1551" i="2"/>
  <c r="T1551" i="2" s="1"/>
  <c r="U1550" i="2"/>
  <c r="S1550" i="2"/>
  <c r="T1550" i="2" s="1"/>
  <c r="U1549" i="2"/>
  <c r="S1549" i="2"/>
  <c r="T1549" i="2" s="1"/>
  <c r="U1548" i="2"/>
  <c r="S1548" i="2"/>
  <c r="T1548" i="2" s="1"/>
  <c r="U1547" i="2"/>
  <c r="S1547" i="2"/>
  <c r="T1547" i="2" s="1"/>
  <c r="U1546" i="2"/>
  <c r="S1546" i="2"/>
  <c r="T1546" i="2" s="1"/>
  <c r="U1545" i="2"/>
  <c r="S1545" i="2"/>
  <c r="T1545" i="2" s="1"/>
  <c r="U1544" i="2"/>
  <c r="S1544" i="2"/>
  <c r="T1544" i="2" s="1"/>
  <c r="U1543" i="2"/>
  <c r="S1543" i="2"/>
  <c r="T1543" i="2" s="1"/>
  <c r="U1542" i="2"/>
  <c r="S1542" i="2"/>
  <c r="T1542" i="2" s="1"/>
  <c r="U1541" i="2"/>
  <c r="S1541" i="2"/>
  <c r="T1541" i="2" s="1"/>
  <c r="U1540" i="2"/>
  <c r="S1540" i="2"/>
  <c r="T1540" i="2" s="1"/>
  <c r="U1539" i="2"/>
  <c r="S1539" i="2"/>
  <c r="T1539" i="2" s="1"/>
  <c r="U1538" i="2"/>
  <c r="S1538" i="2"/>
  <c r="T1538" i="2" s="1"/>
  <c r="U1537" i="2"/>
  <c r="S1537" i="2"/>
  <c r="T1537" i="2" s="1"/>
  <c r="U1536" i="2"/>
  <c r="S1536" i="2"/>
  <c r="T1536" i="2" s="1"/>
  <c r="U1535" i="2"/>
  <c r="S1535" i="2"/>
  <c r="T1535" i="2" s="1"/>
  <c r="U1534" i="2"/>
  <c r="S1534" i="2"/>
  <c r="T1534" i="2" s="1"/>
  <c r="U1533" i="2"/>
  <c r="S1533" i="2"/>
  <c r="T1533" i="2" s="1"/>
  <c r="U1532" i="2"/>
  <c r="S1532" i="2"/>
  <c r="T1532" i="2" s="1"/>
  <c r="U1531" i="2"/>
  <c r="S1531" i="2"/>
  <c r="T1531" i="2" s="1"/>
  <c r="U1530" i="2"/>
  <c r="S1530" i="2"/>
  <c r="T1530" i="2" s="1"/>
  <c r="U1529" i="2"/>
  <c r="S1529" i="2"/>
  <c r="T1529" i="2" s="1"/>
  <c r="U1528" i="2"/>
  <c r="S1528" i="2"/>
  <c r="T1528" i="2" s="1"/>
  <c r="U1527" i="2"/>
  <c r="S1527" i="2"/>
  <c r="T1527" i="2" s="1"/>
  <c r="U1526" i="2"/>
  <c r="S1526" i="2"/>
  <c r="T1526" i="2" s="1"/>
  <c r="U1525" i="2"/>
  <c r="S1525" i="2"/>
  <c r="T1525" i="2" s="1"/>
  <c r="U1524" i="2"/>
  <c r="S1524" i="2"/>
  <c r="T1524" i="2" s="1"/>
  <c r="U1523" i="2"/>
  <c r="S1523" i="2"/>
  <c r="T1523" i="2" s="1"/>
  <c r="U1522" i="2"/>
  <c r="S1522" i="2"/>
  <c r="T1522" i="2" s="1"/>
  <c r="U1521" i="2"/>
  <c r="S1521" i="2"/>
  <c r="T1521" i="2" s="1"/>
  <c r="U1520" i="2"/>
  <c r="S1520" i="2"/>
  <c r="T1520" i="2" s="1"/>
  <c r="U1519" i="2"/>
  <c r="S1519" i="2"/>
  <c r="T1519" i="2" s="1"/>
  <c r="U1518" i="2"/>
  <c r="S1518" i="2"/>
  <c r="T1518" i="2" s="1"/>
  <c r="U1517" i="2"/>
  <c r="S1517" i="2"/>
  <c r="T1517" i="2" s="1"/>
  <c r="U1516" i="2"/>
  <c r="S1516" i="2"/>
  <c r="T1516" i="2" s="1"/>
  <c r="U1515" i="2"/>
  <c r="S1515" i="2"/>
  <c r="T1515" i="2" s="1"/>
  <c r="U1514" i="2"/>
  <c r="S1514" i="2"/>
  <c r="T1514" i="2" s="1"/>
  <c r="U1513" i="2"/>
  <c r="S1513" i="2"/>
  <c r="T1513" i="2" s="1"/>
  <c r="U1512" i="2"/>
  <c r="S1512" i="2"/>
  <c r="T1512" i="2" s="1"/>
  <c r="U1511" i="2"/>
  <c r="S1511" i="2"/>
  <c r="T1511" i="2" s="1"/>
  <c r="U1510" i="2"/>
  <c r="S1510" i="2"/>
  <c r="T1510" i="2" s="1"/>
  <c r="U1509" i="2"/>
  <c r="S1509" i="2"/>
  <c r="T1509" i="2" s="1"/>
  <c r="U1508" i="2"/>
  <c r="S1508" i="2"/>
  <c r="T1508" i="2" s="1"/>
  <c r="U1507" i="2"/>
  <c r="S1507" i="2"/>
  <c r="T1507" i="2" s="1"/>
  <c r="U1506" i="2"/>
  <c r="S1506" i="2"/>
  <c r="T1506" i="2" s="1"/>
  <c r="U1505" i="2"/>
  <c r="S1505" i="2"/>
  <c r="T1505" i="2" s="1"/>
  <c r="U1504" i="2"/>
  <c r="S1504" i="2"/>
  <c r="T1504" i="2" s="1"/>
  <c r="S1503" i="2"/>
  <c r="S1502" i="2"/>
  <c r="S1501" i="2"/>
  <c r="S1500" i="2"/>
  <c r="S1499" i="2"/>
  <c r="S1498" i="2"/>
  <c r="S1497" i="2"/>
  <c r="S1496" i="2"/>
  <c r="S1495" i="2"/>
  <c r="S1494" i="2"/>
  <c r="S1493" i="2"/>
  <c r="S1492" i="2"/>
  <c r="S1491" i="2"/>
  <c r="U1490" i="2"/>
  <c r="S1490" i="2"/>
  <c r="T1490" i="2" s="1"/>
  <c r="U1489" i="2"/>
  <c r="S1489" i="2"/>
  <c r="T1489" i="2" s="1"/>
  <c r="S1488" i="2"/>
  <c r="S1487" i="2"/>
  <c r="S1486" i="2"/>
  <c r="S1485" i="2"/>
  <c r="S1484" i="2"/>
  <c r="S1483" i="2"/>
  <c r="S1482" i="2"/>
  <c r="S1481" i="2"/>
  <c r="S1480" i="2"/>
  <c r="S1479" i="2"/>
  <c r="S1478" i="2"/>
  <c r="S1477" i="2"/>
  <c r="S1476" i="2"/>
  <c r="S1475" i="2"/>
  <c r="S1474" i="2"/>
  <c r="S1473" i="2"/>
  <c r="U1472" i="2"/>
  <c r="S1472" i="2"/>
  <c r="T1472" i="2" s="1"/>
  <c r="S1471" i="2"/>
  <c r="S1470" i="2"/>
  <c r="S1469" i="2"/>
  <c r="S1468" i="2"/>
  <c r="S1467" i="2"/>
  <c r="S1466" i="2"/>
  <c r="S1465" i="2"/>
  <c r="S1464" i="2"/>
  <c r="S1463" i="2"/>
  <c r="S1462" i="2"/>
  <c r="S1461" i="2"/>
  <c r="S1460" i="2"/>
  <c r="S1459" i="2"/>
  <c r="S1458" i="2"/>
  <c r="U1457" i="2"/>
  <c r="S1457" i="2"/>
  <c r="T1457" i="2" s="1"/>
  <c r="S1456" i="2"/>
  <c r="S1455" i="2"/>
  <c r="S1454" i="2"/>
  <c r="S1453" i="2"/>
  <c r="S1452" i="2"/>
  <c r="S1451" i="2"/>
  <c r="S1450" i="2"/>
  <c r="U1449" i="2"/>
  <c r="S1449" i="2"/>
  <c r="T1449" i="2" s="1"/>
  <c r="S1448" i="2"/>
  <c r="S1447" i="2"/>
  <c r="U1446" i="2"/>
  <c r="S1446" i="2"/>
  <c r="T1446" i="2" s="1"/>
  <c r="S1445" i="2"/>
  <c r="S1444" i="2"/>
  <c r="S1443" i="2"/>
  <c r="S1442" i="2"/>
  <c r="S1441" i="2"/>
  <c r="S1440" i="2"/>
  <c r="S1439" i="2"/>
  <c r="S1438" i="2"/>
  <c r="S1437" i="2"/>
  <c r="S1436" i="2"/>
  <c r="U1435" i="2"/>
  <c r="S1435" i="2"/>
  <c r="T1435" i="2" s="1"/>
  <c r="S1434" i="2"/>
  <c r="S1433" i="2"/>
  <c r="S1432" i="2"/>
  <c r="S1431" i="2"/>
  <c r="S1430" i="2"/>
  <c r="S1429" i="2"/>
  <c r="S1428" i="2"/>
  <c r="S1427" i="2"/>
  <c r="S1426" i="2"/>
  <c r="S1425" i="2"/>
  <c r="S1424" i="2"/>
  <c r="S1423" i="2"/>
  <c r="S1422" i="2"/>
  <c r="S1421" i="2"/>
  <c r="S1420" i="2"/>
  <c r="S1419" i="2"/>
  <c r="S1418" i="2"/>
  <c r="S1417" i="2"/>
  <c r="S1416" i="2"/>
  <c r="S1415" i="2"/>
  <c r="S1414" i="2"/>
  <c r="S1413" i="2"/>
  <c r="U1412" i="2"/>
  <c r="S1412" i="2"/>
  <c r="T1412" i="2" s="1"/>
  <c r="S1411" i="2"/>
  <c r="S1410" i="2"/>
  <c r="S1409" i="2"/>
  <c r="S1408" i="2"/>
  <c r="S1407" i="2"/>
  <c r="S1406" i="2"/>
  <c r="S1405" i="2"/>
  <c r="S1404" i="2"/>
  <c r="U1403" i="2"/>
  <c r="S1403" i="2"/>
  <c r="T1403" i="2" s="1"/>
  <c r="S1402" i="2"/>
  <c r="S1401" i="2"/>
  <c r="U1400" i="2"/>
  <c r="S1400" i="2"/>
  <c r="T1400" i="2" s="1"/>
  <c r="S1399" i="2"/>
  <c r="S1398" i="2"/>
  <c r="S1397" i="2"/>
  <c r="S1396" i="2"/>
  <c r="U1395" i="2"/>
  <c r="S1395" i="2"/>
  <c r="T1395" i="2" s="1"/>
  <c r="U1394" i="2"/>
  <c r="S1394" i="2"/>
  <c r="T1394" i="2" s="1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U1377" i="2"/>
  <c r="S1377" i="2"/>
  <c r="T1377" i="2" s="1"/>
  <c r="S1376" i="2"/>
  <c r="S1375" i="2"/>
  <c r="S1374" i="2"/>
  <c r="S1373" i="2"/>
  <c r="S1372" i="2"/>
  <c r="S1371" i="2"/>
  <c r="S1370" i="2"/>
  <c r="U1369" i="2"/>
  <c r="S1369" i="2"/>
  <c r="T1369" i="2" s="1"/>
  <c r="S1368" i="2"/>
  <c r="S1367" i="2"/>
  <c r="S1366" i="2"/>
  <c r="U1365" i="2"/>
  <c r="S1365" i="2"/>
  <c r="T1365" i="2" s="1"/>
  <c r="U1364" i="2"/>
  <c r="S1364" i="2"/>
  <c r="T1364" i="2" s="1"/>
  <c r="S1363" i="2"/>
  <c r="S1362" i="2"/>
  <c r="S1361" i="2"/>
  <c r="S1360" i="2"/>
  <c r="S1359" i="2"/>
  <c r="S1358" i="2"/>
  <c r="S1357" i="2"/>
  <c r="S1356" i="2"/>
  <c r="S1355" i="2"/>
  <c r="S1354" i="2"/>
  <c r="U1353" i="2"/>
  <c r="S1353" i="2"/>
  <c r="T1353" i="2" s="1"/>
  <c r="S1352" i="2"/>
  <c r="S1351" i="2"/>
  <c r="S1350" i="2"/>
  <c r="S1349" i="2"/>
  <c r="S1348" i="2"/>
  <c r="U1347" i="2"/>
  <c r="S1347" i="2"/>
  <c r="T1347" i="2" s="1"/>
  <c r="S1346" i="2"/>
  <c r="S1345" i="2"/>
  <c r="S1344" i="2"/>
  <c r="U1343" i="2"/>
  <c r="S1343" i="2"/>
  <c r="T1343" i="2" s="1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U1307" i="2"/>
  <c r="S1307" i="2"/>
  <c r="T1307" i="2" s="1"/>
  <c r="S1306" i="2"/>
  <c r="S1305" i="2"/>
  <c r="S1304" i="2"/>
  <c r="S1303" i="2"/>
  <c r="S1302" i="2"/>
  <c r="S1301" i="2"/>
  <c r="S1300" i="2"/>
  <c r="U1299" i="2"/>
  <c r="S1299" i="2"/>
  <c r="T1299" i="2" s="1"/>
  <c r="S1298" i="2"/>
  <c r="S1297" i="2"/>
  <c r="S1296" i="2"/>
  <c r="S1295" i="2"/>
  <c r="S1294" i="2"/>
  <c r="S1293" i="2"/>
  <c r="S1292" i="2"/>
  <c r="U1291" i="2"/>
  <c r="S1291" i="2"/>
  <c r="T1291" i="2" s="1"/>
  <c r="S1290" i="2"/>
  <c r="S1289" i="2"/>
  <c r="S1288" i="2"/>
  <c r="S1287" i="2"/>
  <c r="U1286" i="2"/>
  <c r="S1286" i="2"/>
  <c r="T1286" i="2" s="1"/>
  <c r="S1285" i="2"/>
  <c r="S1284" i="2"/>
  <c r="U1283" i="2"/>
  <c r="S1283" i="2"/>
  <c r="T1283" i="2" s="1"/>
  <c r="S1282" i="2"/>
  <c r="S1281" i="2"/>
  <c r="S1280" i="2"/>
  <c r="S1279" i="2"/>
  <c r="S1278" i="2"/>
  <c r="S1277" i="2"/>
  <c r="S1276" i="2"/>
  <c r="U1275" i="2"/>
  <c r="S1275" i="2"/>
  <c r="T1275" i="2" s="1"/>
  <c r="S1274" i="2"/>
  <c r="U1273" i="2"/>
  <c r="S1273" i="2"/>
  <c r="T1273" i="2" s="1"/>
  <c r="S1272" i="2"/>
  <c r="U1271" i="2"/>
  <c r="S1271" i="2"/>
  <c r="T1271" i="2" s="1"/>
  <c r="S1270" i="2"/>
  <c r="S1269" i="2"/>
  <c r="S1268" i="2"/>
  <c r="S1267" i="2"/>
  <c r="S1266" i="2"/>
  <c r="S1265" i="2"/>
  <c r="S1264" i="2"/>
  <c r="S1263" i="2"/>
  <c r="S1262" i="2"/>
  <c r="S1261" i="2"/>
  <c r="S1260" i="2"/>
  <c r="U1259" i="2"/>
  <c r="S1259" i="2"/>
  <c r="T1259" i="2" s="1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U1232" i="2"/>
  <c r="S1232" i="2"/>
  <c r="T1232" i="2" s="1"/>
  <c r="S1231" i="2"/>
  <c r="S1230" i="2"/>
  <c r="S1229" i="2"/>
  <c r="S1228" i="2"/>
  <c r="S1227" i="2"/>
  <c r="S1226" i="2"/>
  <c r="U1225" i="2"/>
  <c r="S1225" i="2"/>
  <c r="T1225" i="2" s="1"/>
  <c r="S1224" i="2"/>
  <c r="S1223" i="2"/>
  <c r="S1222" i="2"/>
  <c r="U1221" i="2"/>
  <c r="S1221" i="2"/>
  <c r="T1221" i="2" s="1"/>
  <c r="S1220" i="2"/>
  <c r="S1219" i="2"/>
  <c r="S1218" i="2"/>
  <c r="S1217" i="2"/>
  <c r="S1216" i="2"/>
  <c r="S1215" i="2"/>
  <c r="U1214" i="2"/>
  <c r="S1214" i="2"/>
  <c r="T1214" i="2" s="1"/>
  <c r="S1213" i="2"/>
  <c r="S1212" i="2"/>
  <c r="U1211" i="2"/>
  <c r="S1211" i="2"/>
  <c r="T1211" i="2" s="1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U1193" i="2"/>
  <c r="S1193" i="2"/>
  <c r="T1193" i="2" s="1"/>
  <c r="S1192" i="2"/>
  <c r="S1191" i="2"/>
  <c r="S1190" i="2"/>
  <c r="S1189" i="2"/>
  <c r="S1188" i="2"/>
  <c r="S1187" i="2"/>
  <c r="S1186" i="2"/>
  <c r="S1185" i="2"/>
  <c r="U1184" i="2"/>
  <c r="S1184" i="2"/>
  <c r="T1184" i="2" s="1"/>
  <c r="S1183" i="2"/>
  <c r="S1182" i="2"/>
  <c r="S1181" i="2"/>
  <c r="S1180" i="2"/>
  <c r="S1179" i="2"/>
  <c r="S1178" i="2"/>
  <c r="S1177" i="2"/>
  <c r="S1176" i="2"/>
  <c r="S1175" i="2"/>
  <c r="S1174" i="2"/>
  <c r="S1173" i="2"/>
  <c r="U1172" i="2"/>
  <c r="S1172" i="2"/>
  <c r="T1172" i="2" s="1"/>
  <c r="S1171" i="2"/>
  <c r="S1170" i="2"/>
  <c r="S1169" i="2"/>
  <c r="S1168" i="2"/>
  <c r="S1167" i="2"/>
  <c r="S1166" i="2"/>
  <c r="S1165" i="2"/>
  <c r="U1164" i="2"/>
  <c r="S1164" i="2"/>
  <c r="T1164" i="2" s="1"/>
  <c r="S1163" i="2"/>
  <c r="S1162" i="2"/>
  <c r="U1161" i="2"/>
  <c r="S1161" i="2"/>
  <c r="T1161" i="2" s="1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U1141" i="2"/>
  <c r="S1141" i="2"/>
  <c r="T1141" i="2" s="1"/>
  <c r="S1140" i="2"/>
  <c r="S1139" i="2"/>
  <c r="S1138" i="2"/>
  <c r="S1137" i="2"/>
  <c r="S1136" i="2"/>
  <c r="S1135" i="2"/>
  <c r="U1134" i="2"/>
  <c r="S1134" i="2"/>
  <c r="T1134" i="2" s="1"/>
  <c r="S1133" i="2"/>
  <c r="S1132" i="2"/>
  <c r="S1131" i="2"/>
  <c r="S1130" i="2"/>
  <c r="U1129" i="2"/>
  <c r="S1129" i="2"/>
  <c r="T1129" i="2" s="1"/>
  <c r="U1128" i="2"/>
  <c r="S1128" i="2"/>
  <c r="T1128" i="2" s="1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U1107" i="2"/>
  <c r="S1107" i="2"/>
  <c r="T1107" i="2" s="1"/>
  <c r="S1106" i="2"/>
  <c r="S1105" i="2"/>
  <c r="S1104" i="2"/>
  <c r="S1103" i="2"/>
  <c r="U1102" i="2"/>
  <c r="S1102" i="2"/>
  <c r="T1102" i="2" s="1"/>
  <c r="S1101" i="2"/>
  <c r="S1100" i="2"/>
  <c r="S1099" i="2"/>
  <c r="S1098" i="2"/>
  <c r="S1097" i="2"/>
  <c r="U1096" i="2"/>
  <c r="S1096" i="2"/>
  <c r="T1096" i="2" s="1"/>
  <c r="S1095" i="2"/>
  <c r="S1094" i="2"/>
  <c r="S1093" i="2"/>
  <c r="S1092" i="2"/>
  <c r="S1091" i="2"/>
  <c r="S1090" i="2"/>
  <c r="U1089" i="2"/>
  <c r="S1089" i="2"/>
  <c r="T1089" i="2" s="1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U1059" i="2"/>
  <c r="S1059" i="2"/>
  <c r="T1059" i="2" s="1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U1029" i="2"/>
  <c r="S1029" i="2"/>
  <c r="T1029" i="2" s="1"/>
  <c r="S1028" i="2"/>
  <c r="S1027" i="2"/>
  <c r="S1026" i="2"/>
  <c r="S1025" i="2"/>
  <c r="U1024" i="2"/>
  <c r="S1024" i="2"/>
  <c r="T1024" i="2" s="1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U1004" i="2"/>
  <c r="S1004" i="2"/>
  <c r="T1004" i="2" s="1"/>
  <c r="S1003" i="2"/>
  <c r="S1002" i="2"/>
  <c r="S1001" i="2"/>
  <c r="S1000" i="2"/>
  <c r="U999" i="2"/>
  <c r="S999" i="2"/>
  <c r="T999" i="2" s="1"/>
  <c r="S998" i="2"/>
  <c r="S997" i="2"/>
  <c r="S996" i="2"/>
  <c r="U995" i="2"/>
  <c r="S995" i="2"/>
  <c r="T995" i="2" s="1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U950" i="2"/>
  <c r="S950" i="2"/>
  <c r="T950" i="2" s="1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U926" i="2"/>
  <c r="S926" i="2"/>
  <c r="T926" i="2" s="1"/>
  <c r="S925" i="2"/>
  <c r="U924" i="2"/>
  <c r="S924" i="2"/>
  <c r="T924" i="2" s="1"/>
  <c r="U923" i="2"/>
  <c r="S923" i="2"/>
  <c r="T923" i="2" s="1"/>
  <c r="S922" i="2"/>
  <c r="S921" i="2"/>
  <c r="S920" i="2"/>
  <c r="S919" i="2"/>
  <c r="S918" i="2"/>
  <c r="S917" i="2"/>
  <c r="U916" i="2"/>
  <c r="S916" i="2"/>
  <c r="T916" i="2" s="1"/>
  <c r="S915" i="2"/>
  <c r="S914" i="2"/>
  <c r="U913" i="2"/>
  <c r="S913" i="2"/>
  <c r="T913" i="2" s="1"/>
  <c r="U912" i="2"/>
  <c r="S912" i="2"/>
  <c r="T912" i="2" s="1"/>
  <c r="U911" i="2"/>
  <c r="S911" i="2"/>
  <c r="T911" i="2" s="1"/>
  <c r="U910" i="2"/>
  <c r="S910" i="2"/>
  <c r="T910" i="2" s="1"/>
  <c r="U909" i="2"/>
  <c r="S909" i="2"/>
  <c r="T909" i="2" s="1"/>
  <c r="U908" i="2"/>
  <c r="S908" i="2"/>
  <c r="T908" i="2" s="1"/>
  <c r="U907" i="2"/>
  <c r="S907" i="2"/>
  <c r="T907" i="2" s="1"/>
  <c r="S906" i="2"/>
  <c r="U905" i="2"/>
  <c r="S905" i="2"/>
  <c r="T905" i="2" s="1"/>
  <c r="U904" i="2"/>
  <c r="S904" i="2"/>
  <c r="T904" i="2" s="1"/>
  <c r="U903" i="2"/>
  <c r="S903" i="2"/>
  <c r="T903" i="2" s="1"/>
  <c r="U902" i="2"/>
  <c r="S902" i="2"/>
  <c r="T902" i="2" s="1"/>
  <c r="U901" i="2"/>
  <c r="S901" i="2"/>
  <c r="T901" i="2" s="1"/>
  <c r="U900" i="2"/>
  <c r="S900" i="2"/>
  <c r="T900" i="2" s="1"/>
  <c r="S899" i="2"/>
  <c r="S898" i="2"/>
  <c r="U897" i="2"/>
  <c r="S897" i="2"/>
  <c r="T897" i="2" s="1"/>
  <c r="U896" i="2"/>
  <c r="S896" i="2"/>
  <c r="T896" i="2" s="1"/>
  <c r="U895" i="2"/>
  <c r="S895" i="2"/>
  <c r="T895" i="2" s="1"/>
  <c r="U894" i="2"/>
  <c r="S894" i="2"/>
  <c r="T894" i="2" s="1"/>
  <c r="U893" i="2"/>
  <c r="S893" i="2"/>
  <c r="T893" i="2" s="1"/>
  <c r="U892" i="2"/>
  <c r="S892" i="2"/>
  <c r="T892" i="2" s="1"/>
  <c r="U891" i="2"/>
  <c r="S891" i="2"/>
  <c r="T891" i="2" s="1"/>
  <c r="U890" i="2"/>
  <c r="S890" i="2"/>
  <c r="T890" i="2" s="1"/>
  <c r="S889" i="2"/>
  <c r="S888" i="2"/>
  <c r="U887" i="2"/>
  <c r="S887" i="2"/>
  <c r="T887" i="2" s="1"/>
  <c r="U886" i="2"/>
  <c r="S886" i="2"/>
  <c r="T886" i="2" s="1"/>
  <c r="S885" i="2"/>
  <c r="U884" i="2"/>
  <c r="S884" i="2"/>
  <c r="T884" i="2" s="1"/>
  <c r="U883" i="2"/>
  <c r="S883" i="2"/>
  <c r="T883" i="2" s="1"/>
  <c r="U882" i="2"/>
  <c r="S882" i="2"/>
  <c r="T882" i="2" s="1"/>
  <c r="U881" i="2"/>
  <c r="S881" i="2"/>
  <c r="T881" i="2" s="1"/>
  <c r="U880" i="2"/>
  <c r="S880" i="2"/>
  <c r="T880" i="2" s="1"/>
  <c r="U879" i="2"/>
  <c r="S879" i="2"/>
  <c r="T879" i="2" s="1"/>
  <c r="S878" i="2"/>
  <c r="U877" i="2"/>
  <c r="S877" i="2"/>
  <c r="T877" i="2" s="1"/>
  <c r="U876" i="2"/>
  <c r="S876" i="2"/>
  <c r="T876" i="2" s="1"/>
  <c r="U875" i="2"/>
  <c r="S875" i="2"/>
  <c r="T875" i="2" s="1"/>
  <c r="S874" i="2"/>
  <c r="U873" i="2"/>
  <c r="S873" i="2"/>
  <c r="T873" i="2" s="1"/>
  <c r="S872" i="2"/>
  <c r="U871" i="2"/>
  <c r="S871" i="2"/>
  <c r="T871" i="2" s="1"/>
  <c r="U870" i="2"/>
  <c r="S870" i="2"/>
  <c r="T870" i="2" s="1"/>
  <c r="U869" i="2"/>
  <c r="S869" i="2"/>
  <c r="T869" i="2" s="1"/>
  <c r="S868" i="2"/>
  <c r="U867" i="2"/>
  <c r="S867" i="2"/>
  <c r="T867" i="2" s="1"/>
  <c r="U866" i="2"/>
  <c r="S866" i="2"/>
  <c r="T866" i="2" s="1"/>
  <c r="S865" i="2"/>
  <c r="U864" i="2"/>
  <c r="S864" i="2"/>
  <c r="T864" i="2" s="1"/>
  <c r="S863" i="2"/>
  <c r="U862" i="2"/>
  <c r="S862" i="2"/>
  <c r="T862" i="2" s="1"/>
  <c r="U861" i="2"/>
  <c r="S861" i="2"/>
  <c r="T861" i="2" s="1"/>
  <c r="U860" i="2"/>
  <c r="S860" i="2"/>
  <c r="T860" i="2" s="1"/>
  <c r="U859" i="2"/>
  <c r="S859" i="2"/>
  <c r="T859" i="2" s="1"/>
  <c r="U858" i="2"/>
  <c r="S858" i="2"/>
  <c r="T858" i="2" s="1"/>
  <c r="S857" i="2"/>
  <c r="S856" i="2"/>
  <c r="S855" i="2"/>
  <c r="U854" i="2"/>
  <c r="S854" i="2"/>
  <c r="T854" i="2" s="1"/>
  <c r="S853" i="2"/>
  <c r="U852" i="2"/>
  <c r="S852" i="2"/>
  <c r="T852" i="2" s="1"/>
  <c r="S851" i="2"/>
  <c r="U850" i="2"/>
  <c r="S850" i="2"/>
  <c r="T850" i="2" s="1"/>
  <c r="U849" i="2"/>
  <c r="S849" i="2"/>
  <c r="T849" i="2" s="1"/>
  <c r="U848" i="2"/>
  <c r="S848" i="2"/>
  <c r="T848" i="2" s="1"/>
  <c r="U847" i="2"/>
  <c r="S847" i="2"/>
  <c r="T847" i="2" s="1"/>
  <c r="S846" i="2"/>
  <c r="U845" i="2"/>
  <c r="S845" i="2"/>
  <c r="T845" i="2" s="1"/>
  <c r="U844" i="2"/>
  <c r="S844" i="2"/>
  <c r="T844" i="2" s="1"/>
  <c r="S843" i="2"/>
  <c r="U842" i="2"/>
  <c r="S842" i="2"/>
  <c r="T842" i="2" s="1"/>
  <c r="S841" i="2"/>
  <c r="U840" i="2"/>
  <c r="S840" i="2"/>
  <c r="T840" i="2" s="1"/>
  <c r="U839" i="2"/>
  <c r="S839" i="2"/>
  <c r="T839" i="2" s="1"/>
  <c r="U838" i="2"/>
  <c r="S838" i="2"/>
  <c r="T838" i="2" s="1"/>
  <c r="U837" i="2"/>
  <c r="S837" i="2"/>
  <c r="T837" i="2" s="1"/>
  <c r="U836" i="2"/>
  <c r="S836" i="2"/>
  <c r="T836" i="2" s="1"/>
  <c r="U835" i="2"/>
  <c r="S835" i="2"/>
  <c r="T835" i="2" s="1"/>
  <c r="U834" i="2"/>
  <c r="S834" i="2"/>
  <c r="T834" i="2" s="1"/>
  <c r="U833" i="2"/>
  <c r="S833" i="2"/>
  <c r="T833" i="2" s="1"/>
  <c r="U832" i="2"/>
  <c r="S832" i="2"/>
  <c r="T832" i="2" s="1"/>
  <c r="U831" i="2"/>
  <c r="S831" i="2"/>
  <c r="T831" i="2" s="1"/>
  <c r="U830" i="2"/>
  <c r="S830" i="2"/>
  <c r="T830" i="2" s="1"/>
  <c r="S829" i="2"/>
  <c r="U828" i="2"/>
  <c r="S828" i="2"/>
  <c r="T828" i="2" s="1"/>
  <c r="S827" i="2"/>
  <c r="U826" i="2"/>
  <c r="S826" i="2"/>
  <c r="T826" i="2" s="1"/>
  <c r="U825" i="2"/>
  <c r="S825" i="2"/>
  <c r="T825" i="2" s="1"/>
  <c r="S824" i="2"/>
  <c r="U823" i="2"/>
  <c r="S823" i="2"/>
  <c r="T823" i="2" s="1"/>
  <c r="S822" i="2"/>
  <c r="U821" i="2"/>
  <c r="S821" i="2"/>
  <c r="T821" i="2" s="1"/>
  <c r="S820" i="2"/>
  <c r="U819" i="2"/>
  <c r="S819" i="2"/>
  <c r="T819" i="2" s="1"/>
  <c r="S818" i="2"/>
  <c r="U817" i="2"/>
  <c r="S817" i="2"/>
  <c r="T817" i="2" s="1"/>
  <c r="S816" i="2"/>
  <c r="U815" i="2"/>
  <c r="S815" i="2"/>
  <c r="T815" i="2" s="1"/>
  <c r="U814" i="2"/>
  <c r="S814" i="2"/>
  <c r="T814" i="2" s="1"/>
  <c r="U813" i="2"/>
  <c r="S813" i="2"/>
  <c r="T813" i="2" s="1"/>
  <c r="S812" i="2"/>
  <c r="U811" i="2"/>
  <c r="S811" i="2"/>
  <c r="T811" i="2" s="1"/>
  <c r="U810" i="2"/>
  <c r="S810" i="2"/>
  <c r="T810" i="2" s="1"/>
  <c r="S809" i="2"/>
  <c r="U808" i="2"/>
  <c r="S808" i="2"/>
  <c r="T808" i="2" s="1"/>
  <c r="U807" i="2"/>
  <c r="S807" i="2"/>
  <c r="T807" i="2" s="1"/>
  <c r="U806" i="2"/>
  <c r="S806" i="2"/>
  <c r="T806" i="2" s="1"/>
  <c r="U805" i="2"/>
  <c r="S805" i="2"/>
  <c r="T805" i="2" s="1"/>
  <c r="U804" i="2"/>
  <c r="S804" i="2"/>
  <c r="T804" i="2" s="1"/>
  <c r="U803" i="2"/>
  <c r="S803" i="2"/>
  <c r="T803" i="2" s="1"/>
  <c r="S802" i="2"/>
  <c r="S801" i="2"/>
  <c r="U800" i="2"/>
  <c r="S800" i="2"/>
  <c r="T800" i="2" s="1"/>
  <c r="U799" i="2"/>
  <c r="S799" i="2"/>
  <c r="T799" i="2" s="1"/>
  <c r="U798" i="2"/>
  <c r="S798" i="2"/>
  <c r="T798" i="2" s="1"/>
  <c r="U797" i="2"/>
  <c r="S797" i="2"/>
  <c r="T797" i="2" s="1"/>
  <c r="U796" i="2"/>
  <c r="S796" i="2"/>
  <c r="T796" i="2" s="1"/>
  <c r="U795" i="2"/>
  <c r="S795" i="2"/>
  <c r="T795" i="2" s="1"/>
  <c r="U794" i="2"/>
  <c r="S794" i="2"/>
  <c r="T794" i="2" s="1"/>
  <c r="U793" i="2"/>
  <c r="S793" i="2"/>
  <c r="T793" i="2" s="1"/>
  <c r="S792" i="2"/>
  <c r="S791" i="2"/>
  <c r="S790" i="2"/>
  <c r="U789" i="2"/>
  <c r="S789" i="2"/>
  <c r="T789" i="2" s="1"/>
  <c r="S788" i="2"/>
  <c r="U787" i="2"/>
  <c r="S787" i="2"/>
  <c r="T787" i="2" s="1"/>
  <c r="U786" i="2"/>
  <c r="S786" i="2"/>
  <c r="T786" i="2" s="1"/>
  <c r="U785" i="2"/>
  <c r="S785" i="2"/>
  <c r="T785" i="2" s="1"/>
  <c r="S784" i="2"/>
  <c r="U783" i="2"/>
  <c r="S783" i="2"/>
  <c r="T783" i="2" s="1"/>
  <c r="U782" i="2"/>
  <c r="S782" i="2"/>
  <c r="T782" i="2" s="1"/>
  <c r="S781" i="2"/>
  <c r="U780" i="2"/>
  <c r="S780" i="2"/>
  <c r="T780" i="2" s="1"/>
  <c r="S779" i="2"/>
  <c r="U778" i="2"/>
  <c r="S778" i="2"/>
  <c r="T778" i="2" s="1"/>
  <c r="U777" i="2"/>
  <c r="S777" i="2"/>
  <c r="T777" i="2" s="1"/>
  <c r="U776" i="2"/>
  <c r="S776" i="2"/>
  <c r="T776" i="2" s="1"/>
  <c r="U775" i="2"/>
  <c r="S775" i="2"/>
  <c r="T775" i="2" s="1"/>
  <c r="U774" i="2"/>
  <c r="S774" i="2"/>
  <c r="T774" i="2" s="1"/>
  <c r="S773" i="2"/>
  <c r="S772" i="2"/>
  <c r="U771" i="2"/>
  <c r="S771" i="2"/>
  <c r="T771" i="2" s="1"/>
  <c r="S770" i="2"/>
  <c r="U769" i="2"/>
  <c r="S769" i="2"/>
  <c r="T769" i="2" s="1"/>
  <c r="S768" i="2"/>
  <c r="S767" i="2"/>
  <c r="U766" i="2"/>
  <c r="S766" i="2"/>
  <c r="T766" i="2" s="1"/>
  <c r="S765" i="2"/>
  <c r="U764" i="2"/>
  <c r="S764" i="2"/>
  <c r="T764" i="2" s="1"/>
  <c r="U763" i="2"/>
  <c r="S763" i="2"/>
  <c r="T763" i="2" s="1"/>
  <c r="U762" i="2"/>
  <c r="S762" i="2"/>
  <c r="T762" i="2" s="1"/>
  <c r="U761" i="2"/>
  <c r="S761" i="2"/>
  <c r="T761" i="2" s="1"/>
  <c r="S760" i="2"/>
  <c r="U759" i="2"/>
  <c r="S759" i="2"/>
  <c r="T759" i="2" s="1"/>
  <c r="S758" i="2"/>
  <c r="U757" i="2"/>
  <c r="S757" i="2"/>
  <c r="T757" i="2" s="1"/>
  <c r="S756" i="2"/>
  <c r="U755" i="2"/>
  <c r="S755" i="2"/>
  <c r="T755" i="2" s="1"/>
  <c r="U754" i="2"/>
  <c r="S754" i="2"/>
  <c r="T754" i="2" s="1"/>
  <c r="S753" i="2"/>
  <c r="U752" i="2"/>
  <c r="S752" i="2"/>
  <c r="T752" i="2" s="1"/>
  <c r="U751" i="2"/>
  <c r="S751" i="2"/>
  <c r="T751" i="2" s="1"/>
  <c r="U750" i="2"/>
  <c r="S750" i="2"/>
  <c r="T750" i="2" s="1"/>
  <c r="S749" i="2"/>
  <c r="S748" i="2"/>
  <c r="U747" i="2"/>
  <c r="S747" i="2"/>
  <c r="T747" i="2" s="1"/>
  <c r="S746" i="2"/>
  <c r="U745" i="2"/>
  <c r="S745" i="2"/>
  <c r="T745" i="2" s="1"/>
  <c r="S744" i="2"/>
  <c r="S743" i="2"/>
  <c r="S742" i="2"/>
  <c r="S741" i="2"/>
  <c r="U740" i="2"/>
  <c r="S740" i="2"/>
  <c r="T740" i="2" s="1"/>
  <c r="U739" i="2"/>
  <c r="S739" i="2"/>
  <c r="T739" i="2" s="1"/>
  <c r="S738" i="2"/>
  <c r="U737" i="2"/>
  <c r="S737" i="2"/>
  <c r="T737" i="2" s="1"/>
  <c r="U736" i="2"/>
  <c r="S736" i="2"/>
  <c r="T736" i="2" s="1"/>
  <c r="S735" i="2"/>
  <c r="S734" i="2"/>
  <c r="U733" i="2"/>
  <c r="S733" i="2"/>
  <c r="T733" i="2" s="1"/>
  <c r="U732" i="2"/>
  <c r="S732" i="2"/>
  <c r="T732" i="2" s="1"/>
  <c r="U731" i="2"/>
  <c r="S731" i="2"/>
  <c r="T731" i="2" s="1"/>
  <c r="S730" i="2"/>
  <c r="S729" i="2"/>
  <c r="U728" i="2"/>
  <c r="S728" i="2"/>
  <c r="T728" i="2" s="1"/>
  <c r="S727" i="2"/>
  <c r="S726" i="2"/>
  <c r="U725" i="2"/>
  <c r="S725" i="2"/>
  <c r="T725" i="2" s="1"/>
  <c r="S724" i="2"/>
  <c r="S723" i="2"/>
  <c r="U722" i="2"/>
  <c r="S722" i="2"/>
  <c r="T722" i="2" s="1"/>
  <c r="S721" i="2"/>
  <c r="S720" i="2"/>
  <c r="S719" i="2"/>
  <c r="S718" i="2"/>
  <c r="S717" i="2"/>
  <c r="S716" i="2"/>
  <c r="U715" i="2"/>
  <c r="S715" i="2"/>
  <c r="T715" i="2" s="1"/>
  <c r="S714" i="2"/>
  <c r="S713" i="2"/>
  <c r="S712" i="2"/>
  <c r="S711" i="2"/>
  <c r="U710" i="2"/>
  <c r="S710" i="2"/>
  <c r="T710" i="2" s="1"/>
  <c r="U709" i="2"/>
  <c r="S709" i="2"/>
  <c r="T709" i="2" s="1"/>
  <c r="S708" i="2"/>
  <c r="U707" i="2"/>
  <c r="S707" i="2"/>
  <c r="T707" i="2" s="1"/>
  <c r="U706" i="2"/>
  <c r="S706" i="2"/>
  <c r="T706" i="2" s="1"/>
  <c r="U705" i="2"/>
  <c r="S705" i="2"/>
  <c r="T705" i="2" s="1"/>
  <c r="U704" i="2"/>
  <c r="S704" i="2"/>
  <c r="T704" i="2" s="1"/>
  <c r="U703" i="2"/>
  <c r="S703" i="2"/>
  <c r="T703" i="2" s="1"/>
  <c r="U702" i="2"/>
  <c r="S702" i="2"/>
  <c r="T702" i="2" s="1"/>
  <c r="S701" i="2"/>
  <c r="S700" i="2"/>
  <c r="S699" i="2"/>
  <c r="U698" i="2"/>
  <c r="S698" i="2"/>
  <c r="T698" i="2" s="1"/>
  <c r="S697" i="2"/>
  <c r="S696" i="2"/>
  <c r="S695" i="2"/>
  <c r="S694" i="2"/>
  <c r="U693" i="2"/>
  <c r="S693" i="2"/>
  <c r="T693" i="2" s="1"/>
  <c r="U692" i="2"/>
  <c r="S692" i="2"/>
  <c r="T692" i="2" s="1"/>
  <c r="S691" i="2"/>
  <c r="U690" i="2"/>
  <c r="S690" i="2"/>
  <c r="T690" i="2" s="1"/>
  <c r="S689" i="2"/>
  <c r="U688" i="2"/>
  <c r="S688" i="2"/>
  <c r="T688" i="2" s="1"/>
  <c r="S687" i="2"/>
  <c r="S686" i="2"/>
  <c r="U685" i="2"/>
  <c r="S685" i="2"/>
  <c r="T685" i="2" s="1"/>
  <c r="U684" i="2"/>
  <c r="S684" i="2"/>
  <c r="T684" i="2" s="1"/>
  <c r="S683" i="2"/>
  <c r="S682" i="2"/>
  <c r="U681" i="2"/>
  <c r="S681" i="2"/>
  <c r="T681" i="2" s="1"/>
  <c r="U680" i="2"/>
  <c r="S680" i="2"/>
  <c r="T680" i="2" s="1"/>
  <c r="U679" i="2"/>
  <c r="S679" i="2"/>
  <c r="T679" i="2" s="1"/>
  <c r="S678" i="2"/>
  <c r="U677" i="2"/>
  <c r="S677" i="2"/>
  <c r="T677" i="2" s="1"/>
  <c r="S676" i="2"/>
  <c r="S675" i="2"/>
  <c r="S674" i="2"/>
  <c r="S673" i="2"/>
  <c r="U672" i="2"/>
  <c r="S672" i="2"/>
  <c r="T672" i="2" s="1"/>
  <c r="S671" i="2"/>
  <c r="U670" i="2"/>
  <c r="S670" i="2"/>
  <c r="T670" i="2" s="1"/>
  <c r="S669" i="2"/>
  <c r="U668" i="2"/>
  <c r="S668" i="2"/>
  <c r="T668" i="2" s="1"/>
  <c r="S667" i="2"/>
  <c r="S666" i="2"/>
  <c r="S665" i="2"/>
  <c r="S664" i="2"/>
  <c r="S663" i="2"/>
  <c r="U662" i="2"/>
  <c r="S662" i="2"/>
  <c r="T662" i="2" s="1"/>
  <c r="S661" i="2"/>
  <c r="S660" i="2"/>
  <c r="S659" i="2"/>
  <c r="S658" i="2"/>
  <c r="S657" i="2"/>
  <c r="S656" i="2"/>
  <c r="U655" i="2"/>
  <c r="S655" i="2"/>
  <c r="T655" i="2" s="1"/>
  <c r="U654" i="2"/>
  <c r="S654" i="2"/>
  <c r="T654" i="2" s="1"/>
  <c r="U653" i="2"/>
  <c r="S653" i="2"/>
  <c r="T653" i="2" s="1"/>
  <c r="U652" i="2"/>
  <c r="S652" i="2"/>
  <c r="T652" i="2" s="1"/>
  <c r="S651" i="2"/>
  <c r="U650" i="2"/>
  <c r="S650" i="2"/>
  <c r="T650" i="2" s="1"/>
  <c r="S649" i="2"/>
  <c r="S648" i="2"/>
  <c r="U647" i="2"/>
  <c r="S647" i="2"/>
  <c r="T647" i="2" s="1"/>
  <c r="U646" i="2"/>
  <c r="S646" i="2"/>
  <c r="T646" i="2" s="1"/>
  <c r="U645" i="2"/>
  <c r="S645" i="2"/>
  <c r="T645" i="2" s="1"/>
  <c r="S644" i="2"/>
  <c r="S643" i="2"/>
  <c r="U642" i="2"/>
  <c r="S642" i="2"/>
  <c r="T642" i="2" s="1"/>
  <c r="U641" i="2"/>
  <c r="S641" i="2"/>
  <c r="T641" i="2" s="1"/>
  <c r="U640" i="2"/>
  <c r="S640" i="2"/>
  <c r="T640" i="2" s="1"/>
  <c r="S639" i="2"/>
  <c r="U638" i="2"/>
  <c r="S638" i="2"/>
  <c r="T638" i="2" s="1"/>
  <c r="U637" i="2"/>
  <c r="S637" i="2"/>
  <c r="T637" i="2" s="1"/>
  <c r="S636" i="2"/>
  <c r="U635" i="2"/>
  <c r="S635" i="2"/>
  <c r="T635" i="2" s="1"/>
  <c r="S634" i="2"/>
  <c r="U633" i="2"/>
  <c r="S633" i="2"/>
  <c r="T633" i="2" s="1"/>
  <c r="S632" i="2"/>
  <c r="U631" i="2"/>
  <c r="S631" i="2"/>
  <c r="T631" i="2" s="1"/>
  <c r="S630" i="2"/>
  <c r="U629" i="2"/>
  <c r="S629" i="2"/>
  <c r="T629" i="2" s="1"/>
  <c r="U628" i="2"/>
  <c r="S628" i="2"/>
  <c r="T628" i="2" s="1"/>
  <c r="U627" i="2"/>
  <c r="S627" i="2"/>
  <c r="T627" i="2" s="1"/>
  <c r="U626" i="2"/>
  <c r="S626" i="2"/>
  <c r="T626" i="2" s="1"/>
  <c r="S625" i="2"/>
  <c r="U624" i="2"/>
  <c r="S624" i="2"/>
  <c r="T624" i="2" s="1"/>
  <c r="S623" i="2"/>
  <c r="U622" i="2"/>
  <c r="S622" i="2"/>
  <c r="T622" i="2" s="1"/>
  <c r="U621" i="2"/>
  <c r="S621" i="2"/>
  <c r="T621" i="2" s="1"/>
  <c r="U620" i="2"/>
  <c r="S620" i="2"/>
  <c r="T620" i="2" s="1"/>
  <c r="U619" i="2"/>
  <c r="S619" i="2"/>
  <c r="T619" i="2" s="1"/>
  <c r="S618" i="2"/>
  <c r="U617" i="2"/>
  <c r="S617" i="2"/>
  <c r="T617" i="2" s="1"/>
  <c r="U616" i="2"/>
  <c r="S616" i="2"/>
  <c r="T616" i="2" s="1"/>
  <c r="U615" i="2"/>
  <c r="S615" i="2"/>
  <c r="T615" i="2" s="1"/>
  <c r="U614" i="2"/>
  <c r="S614" i="2"/>
  <c r="T614" i="2" s="1"/>
  <c r="U613" i="2"/>
  <c r="S613" i="2"/>
  <c r="T613" i="2" s="1"/>
  <c r="S612" i="2"/>
  <c r="U611" i="2"/>
  <c r="S611" i="2"/>
  <c r="T611" i="2" s="1"/>
  <c r="U610" i="2"/>
  <c r="S610" i="2"/>
  <c r="T610" i="2" s="1"/>
  <c r="U609" i="2"/>
  <c r="S609" i="2"/>
  <c r="T609" i="2" s="1"/>
  <c r="U608" i="2"/>
  <c r="S608" i="2"/>
  <c r="T608" i="2" s="1"/>
  <c r="S607" i="2"/>
  <c r="U606" i="2"/>
  <c r="S606" i="2"/>
  <c r="T606" i="2" s="1"/>
  <c r="S605" i="2"/>
  <c r="S604" i="2"/>
  <c r="S603" i="2"/>
  <c r="S602" i="2"/>
  <c r="S601" i="2"/>
  <c r="S600" i="2"/>
  <c r="S599" i="2"/>
  <c r="S598" i="2"/>
  <c r="U597" i="2"/>
  <c r="S597" i="2"/>
  <c r="T597" i="2" s="1"/>
  <c r="S596" i="2"/>
  <c r="U595" i="2"/>
  <c r="S595" i="2"/>
  <c r="T595" i="2" s="1"/>
  <c r="U594" i="2"/>
  <c r="S594" i="2"/>
  <c r="T594" i="2" s="1"/>
  <c r="U593" i="2"/>
  <c r="S593" i="2"/>
  <c r="T593" i="2" s="1"/>
  <c r="U592" i="2"/>
  <c r="S592" i="2"/>
  <c r="T592" i="2" s="1"/>
  <c r="S591" i="2"/>
  <c r="U590" i="2"/>
  <c r="S590" i="2"/>
  <c r="T590" i="2" s="1"/>
  <c r="S589" i="2"/>
  <c r="S588" i="2"/>
  <c r="S587" i="2"/>
  <c r="S586" i="2"/>
  <c r="U585" i="2"/>
  <c r="S585" i="2"/>
  <c r="T585" i="2" s="1"/>
  <c r="U584" i="2"/>
  <c r="S584" i="2"/>
  <c r="T584" i="2" s="1"/>
  <c r="S583" i="2"/>
  <c r="S582" i="2"/>
  <c r="S581" i="2"/>
  <c r="S580" i="2"/>
  <c r="U579" i="2"/>
  <c r="S579" i="2"/>
  <c r="T579" i="2" s="1"/>
  <c r="S578" i="2"/>
  <c r="S577" i="2"/>
  <c r="S576" i="2"/>
  <c r="S575" i="2"/>
  <c r="S574" i="2"/>
  <c r="S573" i="2"/>
  <c r="S572" i="2"/>
  <c r="S571" i="2"/>
  <c r="U570" i="2"/>
  <c r="S570" i="2"/>
  <c r="T570" i="2" s="1"/>
  <c r="U569" i="2"/>
  <c r="S569" i="2"/>
  <c r="T569" i="2" s="1"/>
  <c r="U568" i="2"/>
  <c r="S568" i="2"/>
  <c r="T568" i="2" s="1"/>
  <c r="S567" i="2"/>
  <c r="U566" i="2"/>
  <c r="S566" i="2"/>
  <c r="T566" i="2" s="1"/>
  <c r="S565" i="2"/>
  <c r="S564" i="2"/>
  <c r="S563" i="2"/>
  <c r="S562" i="2"/>
  <c r="S561" i="2"/>
  <c r="U560" i="2"/>
  <c r="S560" i="2"/>
  <c r="T560" i="2" s="1"/>
  <c r="S559" i="2"/>
  <c r="S558" i="2"/>
  <c r="S557" i="2"/>
  <c r="U556" i="2"/>
  <c r="S556" i="2"/>
  <c r="T556" i="2" s="1"/>
  <c r="U555" i="2"/>
  <c r="S555" i="2"/>
  <c r="T555" i="2" s="1"/>
  <c r="S554" i="2"/>
  <c r="U553" i="2"/>
  <c r="S553" i="2"/>
  <c r="T553" i="2" s="1"/>
  <c r="U552" i="2"/>
  <c r="S552" i="2"/>
  <c r="T552" i="2" s="1"/>
  <c r="S551" i="2"/>
  <c r="S550" i="2"/>
  <c r="U549" i="2"/>
  <c r="S549" i="2"/>
  <c r="T549" i="2" s="1"/>
  <c r="U548" i="2"/>
  <c r="S548" i="2"/>
  <c r="T548" i="2" s="1"/>
  <c r="U547" i="2"/>
  <c r="S547" i="2"/>
  <c r="T547" i="2" s="1"/>
  <c r="S546" i="2"/>
  <c r="S545" i="2"/>
  <c r="U544" i="2"/>
  <c r="S544" i="2"/>
  <c r="T544" i="2" s="1"/>
  <c r="S543" i="2"/>
  <c r="S542" i="2"/>
  <c r="U541" i="2"/>
  <c r="S541" i="2"/>
  <c r="T541" i="2" s="1"/>
  <c r="U540" i="2"/>
  <c r="S540" i="2"/>
  <c r="T540" i="2" s="1"/>
  <c r="S539" i="2"/>
  <c r="S538" i="2"/>
  <c r="U537" i="2"/>
  <c r="S537" i="2"/>
  <c r="T537" i="2" s="1"/>
  <c r="U536" i="2"/>
  <c r="S536" i="2"/>
  <c r="T536" i="2" s="1"/>
  <c r="U535" i="2"/>
  <c r="S535" i="2"/>
  <c r="T535" i="2" s="1"/>
  <c r="U534" i="2"/>
  <c r="S534" i="2"/>
  <c r="T534" i="2" s="1"/>
  <c r="U533" i="2"/>
  <c r="S533" i="2"/>
  <c r="T533" i="2" s="1"/>
  <c r="S532" i="2"/>
  <c r="U531" i="2"/>
  <c r="S531" i="2"/>
  <c r="T531" i="2" s="1"/>
  <c r="U530" i="2"/>
  <c r="S530" i="2"/>
  <c r="T530" i="2" s="1"/>
  <c r="U529" i="2"/>
  <c r="S529" i="2"/>
  <c r="T529" i="2" s="1"/>
  <c r="U528" i="2"/>
  <c r="S528" i="2"/>
  <c r="T528" i="2" s="1"/>
  <c r="S527" i="2"/>
  <c r="U526" i="2"/>
  <c r="S526" i="2"/>
  <c r="T526" i="2" s="1"/>
  <c r="U525" i="2"/>
  <c r="S525" i="2"/>
  <c r="T525" i="2" s="1"/>
  <c r="S524" i="2"/>
  <c r="S523" i="2"/>
  <c r="T522" i="2"/>
  <c r="S522" i="2"/>
  <c r="U522" i="2" s="1"/>
  <c r="U521" i="2"/>
  <c r="S521" i="2"/>
  <c r="T521" i="2" s="1"/>
  <c r="U520" i="2"/>
  <c r="S520" i="2"/>
  <c r="T520" i="2" s="1"/>
  <c r="S519" i="2"/>
  <c r="S518" i="2"/>
  <c r="U517" i="2"/>
  <c r="S517" i="2"/>
  <c r="T517" i="2" s="1"/>
  <c r="S516" i="2"/>
  <c r="S515" i="2"/>
  <c r="S514" i="2"/>
  <c r="S513" i="2"/>
  <c r="U512" i="2"/>
  <c r="S512" i="2"/>
  <c r="T512" i="2" s="1"/>
  <c r="U511" i="2"/>
  <c r="S511" i="2"/>
  <c r="T511" i="2" s="1"/>
  <c r="S510" i="2"/>
  <c r="U509" i="2"/>
  <c r="S509" i="2"/>
  <c r="T509" i="2" s="1"/>
  <c r="S508" i="2"/>
  <c r="S507" i="2"/>
  <c r="S506" i="2"/>
  <c r="U505" i="2"/>
  <c r="S505" i="2"/>
  <c r="T505" i="2" s="1"/>
  <c r="S504" i="2"/>
  <c r="U503" i="2"/>
  <c r="S503" i="2"/>
  <c r="T503" i="2" s="1"/>
  <c r="S502" i="2"/>
  <c r="U501" i="2"/>
  <c r="S501" i="2"/>
  <c r="T501" i="2" s="1"/>
  <c r="U500" i="2"/>
  <c r="S500" i="2"/>
  <c r="T500" i="2" s="1"/>
  <c r="S499" i="2"/>
  <c r="U498" i="2"/>
  <c r="S498" i="2"/>
  <c r="T498" i="2" s="1"/>
  <c r="U497" i="2"/>
  <c r="S497" i="2"/>
  <c r="T497" i="2" s="1"/>
  <c r="S496" i="2"/>
  <c r="U495" i="2"/>
  <c r="S495" i="2"/>
  <c r="T495" i="2" s="1"/>
  <c r="U494" i="2"/>
  <c r="S494" i="2"/>
  <c r="T494" i="2" s="1"/>
  <c r="U493" i="2"/>
  <c r="S493" i="2"/>
  <c r="T493" i="2" s="1"/>
  <c r="S492" i="2"/>
  <c r="U491" i="2"/>
  <c r="S491" i="2"/>
  <c r="T491" i="2" s="1"/>
  <c r="U490" i="2"/>
  <c r="S490" i="2"/>
  <c r="T490" i="2" s="1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U476" i="2"/>
  <c r="S476" i="2"/>
  <c r="T476" i="2" s="1"/>
  <c r="U475" i="2"/>
  <c r="S475" i="2"/>
  <c r="T475" i="2" s="1"/>
  <c r="U474" i="2"/>
  <c r="S474" i="2"/>
  <c r="T474" i="2" s="1"/>
  <c r="S473" i="2"/>
  <c r="S472" i="2"/>
  <c r="S471" i="2"/>
  <c r="S470" i="2"/>
  <c r="S469" i="2"/>
  <c r="S468" i="2"/>
  <c r="S467" i="2"/>
  <c r="S466" i="2"/>
  <c r="U465" i="2"/>
  <c r="S465" i="2"/>
  <c r="T465" i="2" s="1"/>
  <c r="S464" i="2"/>
  <c r="S463" i="2"/>
  <c r="S462" i="2"/>
  <c r="S461" i="2"/>
  <c r="S460" i="2"/>
  <c r="U459" i="2"/>
  <c r="S459" i="2"/>
  <c r="T459" i="2" s="1"/>
  <c r="S458" i="2"/>
  <c r="S457" i="2"/>
  <c r="S456" i="2"/>
  <c r="S455" i="2"/>
  <c r="S454" i="2"/>
  <c r="S453" i="2"/>
  <c r="S452" i="2"/>
  <c r="S451" i="2"/>
  <c r="S450" i="2"/>
  <c r="S449" i="2"/>
  <c r="S448" i="2"/>
  <c r="U447" i="2"/>
  <c r="S447" i="2"/>
  <c r="T447" i="2" s="1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U413" i="2"/>
  <c r="S413" i="2"/>
  <c r="T413" i="2" s="1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U392" i="2"/>
  <c r="S392" i="2"/>
  <c r="T392" i="2" s="1"/>
  <c r="S391" i="2"/>
  <c r="S390" i="2"/>
  <c r="S389" i="2"/>
  <c r="S388" i="2"/>
  <c r="S387" i="2"/>
  <c r="S386" i="2"/>
  <c r="S385" i="2"/>
  <c r="S384" i="2"/>
  <c r="U383" i="2"/>
  <c r="S383" i="2"/>
  <c r="T383" i="2" s="1"/>
  <c r="S382" i="2"/>
  <c r="U381" i="2"/>
  <c r="S381" i="2"/>
  <c r="T381" i="2" s="1"/>
  <c r="S380" i="2"/>
  <c r="S379" i="2"/>
  <c r="S378" i="2"/>
  <c r="S377" i="2"/>
  <c r="S376" i="2"/>
  <c r="S375" i="2"/>
  <c r="S374" i="2"/>
  <c r="S373" i="2"/>
  <c r="S372" i="2"/>
  <c r="U371" i="2"/>
  <c r="S371" i="2"/>
  <c r="T371" i="2" s="1"/>
  <c r="S370" i="2"/>
  <c r="S369" i="2"/>
  <c r="S368" i="2"/>
  <c r="S367" i="2"/>
  <c r="S366" i="2"/>
  <c r="U365" i="2"/>
  <c r="S365" i="2"/>
  <c r="T365" i="2" s="1"/>
  <c r="S364" i="2"/>
  <c r="S363" i="2"/>
  <c r="S362" i="2"/>
  <c r="U361" i="2"/>
  <c r="S361" i="2"/>
  <c r="T361" i="2" s="1"/>
  <c r="S360" i="2"/>
  <c r="S359" i="2"/>
  <c r="S358" i="2"/>
  <c r="U357" i="2"/>
  <c r="S357" i="2"/>
  <c r="T357" i="2" s="1"/>
  <c r="S356" i="2"/>
  <c r="U355" i="2"/>
  <c r="S355" i="2"/>
  <c r="T355" i="2" s="1"/>
  <c r="U354" i="2"/>
  <c r="S354" i="2"/>
  <c r="T354" i="2" s="1"/>
  <c r="U353" i="2"/>
  <c r="S353" i="2"/>
  <c r="T353" i="2" s="1"/>
  <c r="U352" i="2"/>
  <c r="S352" i="2"/>
  <c r="T352" i="2" s="1"/>
  <c r="S351" i="2"/>
  <c r="U350" i="2"/>
  <c r="S350" i="2"/>
  <c r="T350" i="2" s="1"/>
  <c r="S349" i="2"/>
  <c r="U348" i="2"/>
  <c r="S348" i="2"/>
  <c r="T348" i="2" s="1"/>
  <c r="U347" i="2"/>
  <c r="S347" i="2"/>
  <c r="T347" i="2" s="1"/>
  <c r="U346" i="2"/>
  <c r="S346" i="2"/>
  <c r="T346" i="2" s="1"/>
  <c r="U345" i="2"/>
  <c r="S345" i="2"/>
  <c r="T345" i="2" s="1"/>
  <c r="U344" i="2"/>
  <c r="S344" i="2"/>
  <c r="T344" i="2" s="1"/>
  <c r="U343" i="2"/>
  <c r="S343" i="2"/>
  <c r="T343" i="2" s="1"/>
  <c r="U342" i="2"/>
  <c r="S342" i="2"/>
  <c r="T342" i="2" s="1"/>
  <c r="U341" i="2"/>
  <c r="S341" i="2"/>
  <c r="T341" i="2" s="1"/>
  <c r="U340" i="2"/>
  <c r="S340" i="2"/>
  <c r="T340" i="2" s="1"/>
  <c r="U339" i="2"/>
  <c r="S339" i="2"/>
  <c r="T339" i="2" s="1"/>
  <c r="S338" i="2"/>
  <c r="U337" i="2"/>
  <c r="S337" i="2"/>
  <c r="T337" i="2" s="1"/>
  <c r="U336" i="2"/>
  <c r="S336" i="2"/>
  <c r="T336" i="2" s="1"/>
  <c r="S335" i="2"/>
  <c r="S334" i="2"/>
  <c r="S333" i="2"/>
  <c r="S332" i="2"/>
  <c r="S331" i="2"/>
  <c r="U330" i="2"/>
  <c r="S330" i="2"/>
  <c r="T330" i="2" s="1"/>
  <c r="S329" i="2"/>
  <c r="S328" i="2"/>
  <c r="U327" i="2"/>
  <c r="S327" i="2"/>
  <c r="T327" i="2" s="1"/>
  <c r="U326" i="2"/>
  <c r="S326" i="2"/>
  <c r="T326" i="2" s="1"/>
  <c r="S325" i="2"/>
  <c r="U324" i="2"/>
  <c r="S324" i="2"/>
  <c r="T324" i="2" s="1"/>
  <c r="U323" i="2"/>
  <c r="S323" i="2"/>
  <c r="T323" i="2" s="1"/>
  <c r="U322" i="2"/>
  <c r="S322" i="2"/>
  <c r="T322" i="2" s="1"/>
  <c r="U321" i="2"/>
  <c r="S321" i="2"/>
  <c r="T321" i="2" s="1"/>
  <c r="S320" i="2"/>
  <c r="U319" i="2"/>
  <c r="S319" i="2"/>
  <c r="T319" i="2" s="1"/>
  <c r="S318" i="2"/>
  <c r="U317" i="2"/>
  <c r="S317" i="2"/>
  <c r="T317" i="2" s="1"/>
  <c r="U316" i="2"/>
  <c r="S316" i="2"/>
  <c r="T316" i="2" s="1"/>
  <c r="S315" i="2"/>
  <c r="S314" i="2"/>
  <c r="U313" i="2"/>
  <c r="S313" i="2"/>
  <c r="T313" i="2" s="1"/>
  <c r="S312" i="2"/>
  <c r="S311" i="2"/>
  <c r="S310" i="2"/>
  <c r="U309" i="2"/>
  <c r="S309" i="2"/>
  <c r="T309" i="2" s="1"/>
  <c r="U308" i="2"/>
  <c r="S308" i="2"/>
  <c r="T308" i="2" s="1"/>
  <c r="S307" i="2"/>
  <c r="S306" i="2"/>
  <c r="S305" i="2"/>
  <c r="S304" i="2"/>
  <c r="U303" i="2"/>
  <c r="S303" i="2"/>
  <c r="T303" i="2" s="1"/>
  <c r="U302" i="2"/>
  <c r="S302" i="2"/>
  <c r="T302" i="2" s="1"/>
  <c r="U301" i="2"/>
  <c r="S301" i="2"/>
  <c r="T301" i="2" s="1"/>
  <c r="S300" i="2"/>
  <c r="U299" i="2"/>
  <c r="S299" i="2"/>
  <c r="T299" i="2" s="1"/>
  <c r="S298" i="2"/>
  <c r="S297" i="2"/>
  <c r="S296" i="2"/>
  <c r="S295" i="2"/>
  <c r="S294" i="2"/>
  <c r="U293" i="2"/>
  <c r="S293" i="2"/>
  <c r="T293" i="2" s="1"/>
  <c r="S292" i="2"/>
  <c r="U291" i="2"/>
  <c r="S291" i="2"/>
  <c r="T291" i="2" s="1"/>
  <c r="U290" i="2"/>
  <c r="S290" i="2"/>
  <c r="T290" i="2" s="1"/>
  <c r="S289" i="2"/>
  <c r="U288" i="2"/>
  <c r="S288" i="2"/>
  <c r="T288" i="2" s="1"/>
  <c r="U287" i="2"/>
  <c r="S287" i="2"/>
  <c r="T287" i="2" s="1"/>
  <c r="S286" i="2"/>
  <c r="U285" i="2"/>
  <c r="S285" i="2"/>
  <c r="T285" i="2" s="1"/>
  <c r="S284" i="2"/>
  <c r="U283" i="2"/>
  <c r="S283" i="2"/>
  <c r="T283" i="2" s="1"/>
  <c r="S282" i="2"/>
  <c r="S281" i="2"/>
  <c r="S280" i="2"/>
  <c r="U279" i="2"/>
  <c r="S279" i="2"/>
  <c r="T279" i="2" s="1"/>
  <c r="U278" i="2"/>
  <c r="S278" i="2"/>
  <c r="T278" i="2" s="1"/>
  <c r="S277" i="2"/>
  <c r="S276" i="2"/>
  <c r="S275" i="2"/>
  <c r="U274" i="2"/>
  <c r="S274" i="2"/>
  <c r="T274" i="2" s="1"/>
  <c r="U273" i="2"/>
  <c r="S273" i="2"/>
  <c r="T273" i="2" s="1"/>
  <c r="S272" i="2"/>
  <c r="U271" i="2"/>
  <c r="S271" i="2"/>
  <c r="T271" i="2" s="1"/>
  <c r="S270" i="2"/>
  <c r="S269" i="2"/>
  <c r="U268" i="2"/>
  <c r="S268" i="2"/>
  <c r="T268" i="2" s="1"/>
  <c r="U267" i="2"/>
  <c r="S267" i="2"/>
  <c r="T267" i="2" s="1"/>
  <c r="U266" i="2"/>
  <c r="S266" i="2"/>
  <c r="T266" i="2" s="1"/>
  <c r="U265" i="2"/>
  <c r="S265" i="2"/>
  <c r="T265" i="2" s="1"/>
  <c r="U264" i="2"/>
  <c r="S264" i="2"/>
  <c r="T264" i="2" s="1"/>
  <c r="U263" i="2"/>
  <c r="S263" i="2"/>
  <c r="T263" i="2" s="1"/>
  <c r="U262" i="2"/>
  <c r="S262" i="2"/>
  <c r="T262" i="2" s="1"/>
  <c r="S261" i="2"/>
  <c r="U260" i="2"/>
  <c r="S260" i="2"/>
  <c r="T260" i="2" s="1"/>
  <c r="S259" i="2"/>
  <c r="U258" i="2"/>
  <c r="S258" i="2"/>
  <c r="T258" i="2" s="1"/>
  <c r="S257" i="2"/>
  <c r="U256" i="2"/>
  <c r="S256" i="2"/>
  <c r="T256" i="2" s="1"/>
  <c r="S255" i="2"/>
  <c r="S254" i="2"/>
  <c r="U253" i="2"/>
  <c r="S253" i="2"/>
  <c r="T253" i="2" s="1"/>
  <c r="U252" i="2"/>
  <c r="S252" i="2"/>
  <c r="T252" i="2" s="1"/>
  <c r="U251" i="2"/>
  <c r="S251" i="2"/>
  <c r="T251" i="2" s="1"/>
  <c r="S250" i="2"/>
  <c r="U249" i="2"/>
  <c r="T249" i="2"/>
  <c r="S249" i="2"/>
  <c r="U248" i="2"/>
  <c r="S248" i="2"/>
  <c r="T248" i="2" s="1"/>
  <c r="S247" i="2"/>
  <c r="U246" i="2"/>
  <c r="S246" i="2"/>
  <c r="T246" i="2" s="1"/>
  <c r="U245" i="2"/>
  <c r="S245" i="2"/>
  <c r="T245" i="2" s="1"/>
  <c r="S244" i="2"/>
  <c r="S243" i="2"/>
  <c r="S242" i="2"/>
  <c r="U241" i="2"/>
  <c r="S241" i="2"/>
  <c r="T241" i="2" s="1"/>
  <c r="S240" i="2"/>
  <c r="S239" i="2"/>
  <c r="U238" i="2"/>
  <c r="S238" i="2"/>
  <c r="T238" i="2" s="1"/>
  <c r="U237" i="2"/>
  <c r="S237" i="2"/>
  <c r="T237" i="2" s="1"/>
  <c r="U236" i="2"/>
  <c r="S236" i="2"/>
  <c r="T236" i="2" s="1"/>
  <c r="U235" i="2"/>
  <c r="S235" i="2"/>
  <c r="T235" i="2" s="1"/>
  <c r="S234" i="2"/>
  <c r="U233" i="2"/>
  <c r="S233" i="2"/>
  <c r="T233" i="2" s="1"/>
  <c r="U232" i="2"/>
  <c r="S232" i="2"/>
  <c r="T232" i="2" s="1"/>
  <c r="S231" i="2"/>
  <c r="U230" i="2"/>
  <c r="S230" i="2"/>
  <c r="T230" i="2" s="1"/>
  <c r="U229" i="2"/>
  <c r="S229" i="2"/>
  <c r="T229" i="2" s="1"/>
  <c r="U228" i="2"/>
  <c r="S228" i="2"/>
  <c r="T228" i="2" s="1"/>
  <c r="U227" i="2"/>
  <c r="S227" i="2"/>
  <c r="T227" i="2" s="1"/>
  <c r="U226" i="2"/>
  <c r="S226" i="2"/>
  <c r="T226" i="2" s="1"/>
  <c r="S225" i="2"/>
  <c r="U224" i="2"/>
  <c r="S224" i="2"/>
  <c r="T224" i="2" s="1"/>
  <c r="S223" i="2"/>
  <c r="S222" i="2"/>
  <c r="U221" i="2"/>
  <c r="S221" i="2"/>
  <c r="T221" i="2" s="1"/>
  <c r="U220" i="2"/>
  <c r="S220" i="2"/>
  <c r="T220" i="2" s="1"/>
  <c r="S219" i="2"/>
  <c r="U218" i="2"/>
  <c r="S218" i="2"/>
  <c r="T218" i="2" s="1"/>
  <c r="U217" i="2"/>
  <c r="S217" i="2"/>
  <c r="T217" i="2" s="1"/>
  <c r="U216" i="2"/>
  <c r="S216" i="2"/>
  <c r="T216" i="2" s="1"/>
  <c r="S215" i="2"/>
  <c r="S214" i="2"/>
  <c r="U213" i="2"/>
  <c r="S213" i="2"/>
  <c r="T213" i="2" s="1"/>
  <c r="S212" i="2"/>
  <c r="U211" i="2"/>
  <c r="S211" i="2"/>
  <c r="T211" i="2" s="1"/>
  <c r="S210" i="2"/>
  <c r="U209" i="2"/>
  <c r="S209" i="2"/>
  <c r="T209" i="2" s="1"/>
  <c r="S208" i="2"/>
  <c r="U207" i="2"/>
  <c r="S207" i="2"/>
  <c r="T207" i="2" s="1"/>
  <c r="U206" i="2"/>
  <c r="S206" i="2"/>
  <c r="T206" i="2" s="1"/>
  <c r="S205" i="2"/>
  <c r="U204" i="2"/>
  <c r="S204" i="2"/>
  <c r="T204" i="2" s="1"/>
  <c r="S203" i="2"/>
  <c r="U202" i="2"/>
  <c r="S202" i="2"/>
  <c r="T202" i="2" s="1"/>
  <c r="S201" i="2"/>
  <c r="U200" i="2"/>
  <c r="S200" i="2"/>
  <c r="T200" i="2" s="1"/>
  <c r="U199" i="2"/>
  <c r="S199" i="2"/>
  <c r="T199" i="2" s="1"/>
  <c r="U198" i="2"/>
  <c r="S198" i="2"/>
  <c r="T198" i="2" s="1"/>
  <c r="S197" i="2"/>
  <c r="S196" i="2"/>
  <c r="S195" i="2"/>
  <c r="U194" i="2"/>
  <c r="S194" i="2"/>
  <c r="T194" i="2" s="1"/>
  <c r="U193" i="2"/>
  <c r="S193" i="2"/>
  <c r="T193" i="2" s="1"/>
  <c r="U192" i="2"/>
  <c r="S192" i="2"/>
  <c r="T192" i="2" s="1"/>
  <c r="U191" i="2"/>
  <c r="S191" i="2"/>
  <c r="T191" i="2" s="1"/>
  <c r="U190" i="2"/>
  <c r="S190" i="2"/>
  <c r="T190" i="2" s="1"/>
  <c r="S189" i="2"/>
  <c r="U188" i="2"/>
  <c r="S188" i="2"/>
  <c r="T188" i="2" s="1"/>
  <c r="S187" i="2"/>
  <c r="U186" i="2"/>
  <c r="S186" i="2"/>
  <c r="T186" i="2" s="1"/>
  <c r="U185" i="2"/>
  <c r="S185" i="2"/>
  <c r="T185" i="2" s="1"/>
  <c r="S184" i="2"/>
  <c r="S183" i="2"/>
  <c r="S182" i="2"/>
  <c r="U181" i="2"/>
  <c r="S181" i="2"/>
  <c r="T181" i="2" s="1"/>
  <c r="S180" i="2"/>
  <c r="U179" i="2"/>
  <c r="S179" i="2"/>
  <c r="T179" i="2" s="1"/>
  <c r="U178" i="2"/>
  <c r="S178" i="2"/>
  <c r="T178" i="2" s="1"/>
  <c r="U177" i="2"/>
  <c r="S177" i="2"/>
  <c r="T177" i="2" s="1"/>
  <c r="U176" i="2"/>
  <c r="S176" i="2"/>
  <c r="T176" i="2" s="1"/>
  <c r="U175" i="2"/>
  <c r="S175" i="2"/>
  <c r="T175" i="2" s="1"/>
  <c r="S174" i="2"/>
  <c r="U173" i="2"/>
  <c r="S173" i="2"/>
  <c r="T173" i="2" s="1"/>
  <c r="S172" i="2"/>
  <c r="U171" i="2"/>
  <c r="S171" i="2"/>
  <c r="T171" i="2" s="1"/>
  <c r="S170" i="2"/>
  <c r="S169" i="2"/>
  <c r="S168" i="2"/>
  <c r="S167" i="2"/>
  <c r="U166" i="2"/>
  <c r="S166" i="2"/>
  <c r="T166" i="2" s="1"/>
  <c r="U165" i="2"/>
  <c r="S165" i="2"/>
  <c r="T165" i="2" s="1"/>
  <c r="S164" i="2"/>
  <c r="U163" i="2"/>
  <c r="S163" i="2"/>
  <c r="T163" i="2" s="1"/>
  <c r="U162" i="2"/>
  <c r="S162" i="2"/>
  <c r="T162" i="2" s="1"/>
  <c r="S161" i="2"/>
  <c r="S160" i="2"/>
  <c r="S159" i="2"/>
  <c r="S158" i="2"/>
  <c r="S157" i="2"/>
  <c r="U156" i="2"/>
  <c r="S156" i="2"/>
  <c r="T156" i="2" s="1"/>
  <c r="S155" i="2"/>
  <c r="S154" i="2"/>
  <c r="U153" i="2"/>
  <c r="S153" i="2"/>
  <c r="T153" i="2" s="1"/>
  <c r="U152" i="2"/>
  <c r="S152" i="2"/>
  <c r="T152" i="2" s="1"/>
  <c r="U151" i="2"/>
  <c r="S151" i="2"/>
  <c r="T151" i="2" s="1"/>
  <c r="U150" i="2"/>
  <c r="S150" i="2"/>
  <c r="T150" i="2" s="1"/>
  <c r="U149" i="2"/>
  <c r="S149" i="2"/>
  <c r="T149" i="2" s="1"/>
  <c r="U148" i="2"/>
  <c r="S148" i="2"/>
  <c r="T148" i="2" s="1"/>
  <c r="S147" i="2"/>
  <c r="S146" i="2"/>
  <c r="U145" i="2"/>
  <c r="S145" i="2"/>
  <c r="T145" i="2" s="1"/>
  <c r="U144" i="2"/>
  <c r="S144" i="2"/>
  <c r="T144" i="2" s="1"/>
  <c r="U143" i="2"/>
  <c r="S143" i="2"/>
  <c r="T143" i="2" s="1"/>
  <c r="U142" i="2"/>
  <c r="S142" i="2"/>
  <c r="T142" i="2" s="1"/>
  <c r="U141" i="2"/>
  <c r="S141" i="2"/>
  <c r="T141" i="2" s="1"/>
  <c r="S140" i="2"/>
  <c r="S139" i="2"/>
  <c r="S138" i="2"/>
  <c r="S137" i="2"/>
  <c r="U136" i="2"/>
  <c r="S136" i="2"/>
  <c r="T136" i="2" s="1"/>
  <c r="S135" i="2"/>
  <c r="S134" i="2"/>
  <c r="U133" i="2"/>
  <c r="S133" i="2"/>
  <c r="T133" i="2" s="1"/>
  <c r="S132" i="2"/>
  <c r="S131" i="2"/>
  <c r="U130" i="2"/>
  <c r="S130" i="2"/>
  <c r="T130" i="2" s="1"/>
  <c r="U129" i="2"/>
  <c r="S129" i="2"/>
  <c r="T129" i="2" s="1"/>
  <c r="S128" i="2"/>
  <c r="S127" i="2"/>
  <c r="U126" i="2"/>
  <c r="S126" i="2"/>
  <c r="T126" i="2" s="1"/>
  <c r="U125" i="2"/>
  <c r="S125" i="2"/>
  <c r="T125" i="2" s="1"/>
  <c r="S124" i="2"/>
  <c r="S123" i="2"/>
  <c r="S122" i="2"/>
  <c r="U121" i="2"/>
  <c r="S121" i="2"/>
  <c r="T121" i="2" s="1"/>
  <c r="U120" i="2"/>
  <c r="S120" i="2"/>
  <c r="T120" i="2" s="1"/>
  <c r="U119" i="2"/>
  <c r="S119" i="2"/>
  <c r="T119" i="2" s="1"/>
  <c r="S118" i="2"/>
  <c r="S117" i="2"/>
  <c r="S116" i="2"/>
  <c r="U115" i="2"/>
  <c r="S115" i="2"/>
  <c r="T115" i="2" s="1"/>
  <c r="U114" i="2"/>
  <c r="S114" i="2"/>
  <c r="T114" i="2" s="1"/>
  <c r="U113" i="2"/>
  <c r="S113" i="2"/>
  <c r="T113" i="2" s="1"/>
  <c r="S112" i="2"/>
  <c r="U111" i="2"/>
  <c r="S111" i="2"/>
  <c r="T111" i="2" s="1"/>
  <c r="U110" i="2"/>
  <c r="S110" i="2"/>
  <c r="T110" i="2" s="1"/>
  <c r="U109" i="2"/>
  <c r="S109" i="2"/>
  <c r="T109" i="2" s="1"/>
  <c r="U108" i="2"/>
  <c r="S108" i="2"/>
  <c r="T108" i="2" s="1"/>
  <c r="S107" i="2"/>
  <c r="U106" i="2"/>
  <c r="S106" i="2"/>
  <c r="T106" i="2" s="1"/>
  <c r="U105" i="2"/>
  <c r="S105" i="2"/>
  <c r="T105" i="2" s="1"/>
  <c r="U104" i="2"/>
  <c r="S104" i="2"/>
  <c r="T104" i="2" s="1"/>
  <c r="U103" i="2"/>
  <c r="S103" i="2"/>
  <c r="T103" i="2" s="1"/>
  <c r="S102" i="2"/>
  <c r="U101" i="2"/>
  <c r="S101" i="2"/>
  <c r="T101" i="2" s="1"/>
  <c r="U100" i="2"/>
  <c r="S100" i="2"/>
  <c r="T100" i="2" s="1"/>
  <c r="U99" i="2"/>
  <c r="S99" i="2"/>
  <c r="T99" i="2" s="1"/>
  <c r="U98" i="2"/>
  <c r="S98" i="2"/>
  <c r="T98" i="2" s="1"/>
  <c r="U97" i="2"/>
  <c r="S97" i="2"/>
  <c r="T97" i="2" s="1"/>
  <c r="U96" i="2"/>
  <c r="S96" i="2"/>
  <c r="T96" i="2" s="1"/>
  <c r="S95" i="2"/>
  <c r="U94" i="2"/>
  <c r="S94" i="2"/>
  <c r="T94" i="2" s="1"/>
  <c r="U93" i="2"/>
  <c r="S93" i="2"/>
  <c r="T93" i="2" s="1"/>
  <c r="S92" i="2"/>
  <c r="U91" i="2"/>
  <c r="S91" i="2"/>
  <c r="T91" i="2" s="1"/>
  <c r="S90" i="2"/>
  <c r="S89" i="2"/>
  <c r="S88" i="2"/>
  <c r="U87" i="2"/>
  <c r="S87" i="2"/>
  <c r="T87" i="2" s="1"/>
  <c r="S86" i="2"/>
  <c r="U85" i="2"/>
  <c r="S85" i="2"/>
  <c r="T85" i="2" s="1"/>
  <c r="S84" i="2"/>
  <c r="S83" i="2"/>
  <c r="S82" i="2"/>
  <c r="U81" i="2"/>
  <c r="S81" i="2"/>
  <c r="T81" i="2" s="1"/>
  <c r="U80" i="2"/>
  <c r="S80" i="2"/>
  <c r="T80" i="2" s="1"/>
  <c r="S79" i="2"/>
  <c r="S78" i="2"/>
  <c r="U77" i="2"/>
  <c r="S77" i="2"/>
  <c r="T77" i="2" s="1"/>
  <c r="S76" i="2"/>
  <c r="U75" i="2"/>
  <c r="S75" i="2"/>
  <c r="T75" i="2" s="1"/>
  <c r="S74" i="2"/>
  <c r="U73" i="2"/>
  <c r="S73" i="2"/>
  <c r="T73" i="2" s="1"/>
  <c r="U72" i="2"/>
  <c r="S72" i="2"/>
  <c r="T72" i="2" s="1"/>
  <c r="S71" i="2"/>
  <c r="U70" i="2"/>
  <c r="S70" i="2"/>
  <c r="T70" i="2" s="1"/>
  <c r="U69" i="2"/>
  <c r="S69" i="2"/>
  <c r="T69" i="2" s="1"/>
  <c r="S68" i="2"/>
  <c r="U67" i="2"/>
  <c r="S67" i="2"/>
  <c r="T67" i="2" s="1"/>
  <c r="S66" i="2"/>
  <c r="U65" i="2"/>
  <c r="S65" i="2"/>
  <c r="T65" i="2" s="1"/>
  <c r="U64" i="2"/>
  <c r="S64" i="2"/>
  <c r="T64" i="2" s="1"/>
  <c r="S63" i="2"/>
  <c r="U62" i="2"/>
  <c r="S62" i="2"/>
  <c r="T62" i="2" s="1"/>
  <c r="S61" i="2"/>
  <c r="U60" i="2"/>
  <c r="S60" i="2"/>
  <c r="T60" i="2" s="1"/>
  <c r="S59" i="2"/>
  <c r="U58" i="2"/>
  <c r="S58" i="2"/>
  <c r="T58" i="2" s="1"/>
  <c r="S57" i="2"/>
  <c r="S56" i="2"/>
  <c r="U55" i="2"/>
  <c r="S55" i="2"/>
  <c r="T55" i="2" s="1"/>
  <c r="U54" i="2"/>
  <c r="S54" i="2"/>
  <c r="T54" i="2" s="1"/>
  <c r="S53" i="2"/>
  <c r="U52" i="2"/>
  <c r="S52" i="2"/>
  <c r="T52" i="2" s="1"/>
  <c r="U51" i="2"/>
  <c r="S51" i="2"/>
  <c r="T51" i="2" s="1"/>
  <c r="S50" i="2"/>
  <c r="U49" i="2"/>
  <c r="S49" i="2"/>
  <c r="T49" i="2" s="1"/>
  <c r="U48" i="2"/>
  <c r="S48" i="2"/>
  <c r="T48" i="2" s="1"/>
  <c r="U47" i="2"/>
  <c r="S47" i="2"/>
  <c r="T47" i="2" s="1"/>
  <c r="U46" i="2"/>
  <c r="S46" i="2"/>
  <c r="T46" i="2" s="1"/>
  <c r="U45" i="2"/>
  <c r="S45" i="2"/>
  <c r="T45" i="2" s="1"/>
  <c r="U44" i="2"/>
  <c r="S44" i="2"/>
  <c r="T44" i="2" s="1"/>
  <c r="U43" i="2"/>
  <c r="S43" i="2"/>
  <c r="T43" i="2" s="1"/>
  <c r="U42" i="2"/>
  <c r="S42" i="2"/>
  <c r="T42" i="2" s="1"/>
  <c r="U41" i="2"/>
  <c r="S41" i="2"/>
  <c r="T41" i="2" s="1"/>
  <c r="U40" i="2"/>
  <c r="S40" i="2"/>
  <c r="T40" i="2" s="1"/>
  <c r="U39" i="2"/>
  <c r="S39" i="2"/>
  <c r="T39" i="2" s="1"/>
  <c r="U38" i="2"/>
  <c r="S38" i="2"/>
  <c r="T38" i="2" s="1"/>
  <c r="U37" i="2"/>
  <c r="S37" i="2"/>
  <c r="T37" i="2" s="1"/>
  <c r="U36" i="2"/>
  <c r="S36" i="2"/>
  <c r="T36" i="2" s="1"/>
  <c r="U35" i="2"/>
  <c r="S35" i="2"/>
  <c r="T35" i="2" s="1"/>
  <c r="S34" i="2"/>
  <c r="U33" i="2"/>
  <c r="S33" i="2"/>
  <c r="T33" i="2" s="1"/>
  <c r="U32" i="2"/>
  <c r="S32" i="2"/>
  <c r="T32" i="2" s="1"/>
  <c r="U31" i="2"/>
  <c r="S31" i="2"/>
  <c r="T31" i="2" s="1"/>
  <c r="U30" i="2"/>
  <c r="S30" i="2"/>
  <c r="T30" i="2" s="1"/>
  <c r="U29" i="2"/>
  <c r="S29" i="2"/>
  <c r="T29" i="2" s="1"/>
  <c r="U28" i="2"/>
  <c r="S28" i="2"/>
  <c r="T28" i="2" s="1"/>
  <c r="U27" i="2"/>
  <c r="S27" i="2"/>
  <c r="T27" i="2" s="1"/>
  <c r="S26" i="2"/>
  <c r="S25" i="2"/>
  <c r="U24" i="2"/>
  <c r="S24" i="2"/>
  <c r="T24" i="2" s="1"/>
  <c r="S23" i="2"/>
  <c r="S22" i="2"/>
  <c r="S21" i="2"/>
  <c r="U20" i="2"/>
  <c r="S20" i="2"/>
  <c r="T20" i="2" s="1"/>
  <c r="U19" i="2"/>
  <c r="S19" i="2"/>
  <c r="T19" i="2" s="1"/>
  <c r="U18" i="2"/>
  <c r="S18" i="2"/>
  <c r="T18" i="2" s="1"/>
  <c r="S17" i="2"/>
  <c r="U16" i="2"/>
  <c r="S16" i="2"/>
  <c r="T16" i="2" s="1"/>
  <c r="S15" i="2"/>
  <c r="S14" i="2"/>
  <c r="S13" i="2"/>
  <c r="S12" i="2"/>
  <c r="S11" i="2"/>
  <c r="S10" i="2"/>
  <c r="S9" i="2"/>
  <c r="S8" i="2"/>
  <c r="D5" i="2"/>
  <c r="C5" i="2"/>
  <c r="D25" i="1"/>
  <c r="D24" i="1"/>
  <c r="D27" i="1" s="1"/>
  <c r="D22" i="1"/>
  <c r="A22" i="1"/>
  <c r="D15" i="1"/>
  <c r="A15" i="1"/>
  <c r="B13" i="1"/>
  <c r="D36" i="1" s="1"/>
  <c r="AC4" i="1"/>
  <c r="A23" i="1" s="1"/>
  <c r="AC3" i="1"/>
  <c r="A16" i="1" s="1"/>
  <c r="K2006" i="3" l="1"/>
  <c r="L2006" i="3"/>
  <c r="L2004" i="3"/>
  <c r="K2004" i="3"/>
  <c r="K1980" i="3"/>
  <c r="L1980" i="3"/>
  <c r="L1970" i="3"/>
  <c r="K1970" i="3"/>
  <c r="K1968" i="3"/>
  <c r="L1968" i="3"/>
  <c r="L1956" i="3"/>
  <c r="K1956" i="3"/>
  <c r="K1935" i="3"/>
  <c r="L1935" i="3"/>
  <c r="K1929" i="3"/>
  <c r="L1929" i="3"/>
  <c r="L1912" i="3"/>
  <c r="K1912" i="3"/>
  <c r="K1907" i="3"/>
  <c r="L1907" i="3"/>
  <c r="K1897" i="3"/>
  <c r="L1897" i="3"/>
  <c r="K1877" i="3"/>
  <c r="L1877" i="3"/>
  <c r="L1870" i="3"/>
  <c r="K1870" i="3"/>
  <c r="L1868" i="3"/>
  <c r="K1868" i="3"/>
  <c r="K1852" i="3"/>
  <c r="L1852" i="3"/>
  <c r="K1842" i="3"/>
  <c r="L1842" i="3"/>
  <c r="K1824" i="3"/>
  <c r="L1824" i="3"/>
  <c r="L1794" i="3"/>
  <c r="K1794" i="3"/>
  <c r="L1781" i="3"/>
  <c r="K1781" i="3"/>
  <c r="K1731" i="3"/>
  <c r="L1731" i="3"/>
  <c r="K1715" i="3"/>
  <c r="L1715" i="3"/>
  <c r="K1712" i="3"/>
  <c r="L1712" i="3"/>
  <c r="L1709" i="3"/>
  <c r="K1709" i="3"/>
  <c r="K1700" i="3"/>
  <c r="L1700" i="3"/>
  <c r="L1696" i="3"/>
  <c r="K1696" i="3"/>
  <c r="L1687" i="3"/>
  <c r="K1687" i="3"/>
  <c r="L1680" i="3"/>
  <c r="K1680" i="3"/>
  <c r="K1675" i="3"/>
  <c r="L1675" i="3"/>
  <c r="L1673" i="3"/>
  <c r="K1673" i="3"/>
  <c r="L1665" i="3"/>
  <c r="K1665" i="3"/>
  <c r="L1661" i="3"/>
  <c r="K1661" i="3"/>
  <c r="L1660" i="3"/>
  <c r="K1660" i="3"/>
  <c r="L1657" i="3"/>
  <c r="K1657" i="3"/>
  <c r="L1654" i="3"/>
  <c r="K1654" i="3"/>
  <c r="L1653" i="3"/>
  <c r="K1653" i="3"/>
  <c r="K1652" i="3"/>
  <c r="L1652" i="3"/>
  <c r="K1651" i="3"/>
  <c r="L1651" i="3"/>
  <c r="K1649" i="3"/>
  <c r="L1649" i="3"/>
  <c r="K1648" i="3"/>
  <c r="L1648" i="3"/>
  <c r="L1645" i="3"/>
  <c r="K1645" i="3"/>
  <c r="L1644" i="3"/>
  <c r="K1644" i="3"/>
  <c r="K1643" i="3"/>
  <c r="L1643" i="3"/>
  <c r="L1642" i="3"/>
  <c r="K1642" i="3"/>
  <c r="K1641" i="3"/>
  <c r="L1641" i="3"/>
  <c r="L1638" i="3"/>
  <c r="K1638" i="3"/>
  <c r="K1636" i="3"/>
  <c r="L1636" i="3"/>
  <c r="K1635" i="3"/>
  <c r="L1635" i="3"/>
  <c r="L1634" i="3"/>
  <c r="K1634" i="3"/>
  <c r="L1631" i="3"/>
  <c r="K1631" i="3"/>
  <c r="K1630" i="3"/>
  <c r="L1630" i="3"/>
  <c r="L1629" i="3"/>
  <c r="K1629" i="3"/>
  <c r="L1628" i="3"/>
  <c r="K1628" i="3"/>
  <c r="L1627" i="3"/>
  <c r="K1627" i="3"/>
  <c r="L1626" i="3"/>
  <c r="K1626" i="3"/>
  <c r="L1625" i="3"/>
  <c r="K1625" i="3"/>
  <c r="K1623" i="3"/>
  <c r="L1623" i="3"/>
  <c r="K1621" i="3"/>
  <c r="L1621" i="3"/>
  <c r="L1620" i="3"/>
  <c r="K1620" i="3"/>
  <c r="L1617" i="3"/>
  <c r="K1617" i="3"/>
  <c r="K1616" i="3"/>
  <c r="L1616" i="3"/>
  <c r="L1615" i="3"/>
  <c r="K1615" i="3"/>
  <c r="L1613" i="3"/>
  <c r="K1613" i="3"/>
  <c r="L1611" i="3"/>
  <c r="K1611" i="3"/>
  <c r="K1608" i="3"/>
  <c r="L1608" i="3"/>
  <c r="K1607" i="3"/>
  <c r="L1607" i="3"/>
  <c r="K1606" i="3"/>
  <c r="L1606" i="3"/>
  <c r="K1605" i="3"/>
  <c r="L1605" i="3"/>
  <c r="K1603" i="3"/>
  <c r="L1603" i="3"/>
  <c r="K1597" i="3"/>
  <c r="L1597" i="3"/>
  <c r="L1596" i="3"/>
  <c r="K1596" i="3"/>
  <c r="L1591" i="3"/>
  <c r="K1591" i="3"/>
  <c r="L1589" i="3"/>
  <c r="K1589" i="3"/>
  <c r="K1588" i="3"/>
  <c r="L1588" i="3"/>
  <c r="L1587" i="3"/>
  <c r="K1587" i="3"/>
  <c r="K1586" i="3"/>
  <c r="L1586" i="3"/>
  <c r="K1585" i="3"/>
  <c r="L1585" i="3"/>
  <c r="L1583" i="3"/>
  <c r="K1583" i="3"/>
  <c r="K1581" i="3"/>
  <c r="L1581" i="3"/>
  <c r="L1579" i="3"/>
  <c r="K1579" i="3"/>
  <c r="L1578" i="3"/>
  <c r="K1578" i="3"/>
  <c r="K1577" i="3"/>
  <c r="L1577" i="3"/>
  <c r="L1576" i="3"/>
  <c r="K1576" i="3"/>
  <c r="K1574" i="3"/>
  <c r="L1574" i="3"/>
  <c r="K1573" i="3"/>
  <c r="L1573" i="3"/>
  <c r="L1572" i="3"/>
  <c r="K1572" i="3"/>
  <c r="K1570" i="3"/>
  <c r="L1570" i="3"/>
  <c r="K1569" i="3"/>
  <c r="L1569" i="3"/>
  <c r="K1567" i="3"/>
  <c r="L1567" i="3"/>
  <c r="L1566" i="3"/>
  <c r="K1566" i="3"/>
  <c r="K1565" i="3"/>
  <c r="L1565" i="3"/>
  <c r="L1562" i="3"/>
  <c r="K1562" i="3"/>
  <c r="K1560" i="3"/>
  <c r="L1560" i="3"/>
  <c r="L1559" i="3"/>
  <c r="K1559" i="3"/>
  <c r="K1557" i="3"/>
  <c r="L1557" i="3"/>
  <c r="K1556" i="3"/>
  <c r="L1556" i="3"/>
  <c r="K1555" i="3"/>
  <c r="L1555" i="3"/>
  <c r="K1554" i="3"/>
  <c r="L1554" i="3"/>
  <c r="L1553" i="3"/>
  <c r="K1553" i="3"/>
  <c r="L1551" i="3"/>
  <c r="K1551" i="3"/>
  <c r="L1549" i="3"/>
  <c r="K1549" i="3"/>
  <c r="K1548" i="3"/>
  <c r="L1548" i="3"/>
  <c r="L1546" i="3"/>
  <c r="K1546" i="3"/>
  <c r="K1543" i="3"/>
  <c r="L1543" i="3"/>
  <c r="L1542" i="3"/>
  <c r="K1542" i="3"/>
  <c r="K1541" i="3"/>
  <c r="L1541" i="3"/>
  <c r="K1540" i="3"/>
  <c r="L1540" i="3"/>
  <c r="K1539" i="3"/>
  <c r="L1539" i="3"/>
  <c r="L1536" i="3"/>
  <c r="K1536" i="3"/>
  <c r="K1534" i="3"/>
  <c r="L1534" i="3"/>
  <c r="K1533" i="3"/>
  <c r="L1533" i="3"/>
  <c r="L1530" i="3"/>
  <c r="K1530" i="3"/>
  <c r="L1529" i="3"/>
  <c r="K1529" i="3"/>
  <c r="L1527" i="3"/>
  <c r="K1527" i="3"/>
  <c r="K1526" i="3"/>
  <c r="L1526" i="3"/>
  <c r="L1524" i="3"/>
  <c r="K1524" i="3"/>
  <c r="K1523" i="3"/>
  <c r="L1523" i="3"/>
  <c r="K1522" i="3"/>
  <c r="L1522" i="3"/>
  <c r="K1521" i="3"/>
  <c r="L1521" i="3"/>
  <c r="K1520" i="3"/>
  <c r="L1520" i="3"/>
  <c r="L1519" i="3"/>
  <c r="K1519" i="3"/>
  <c r="L1518" i="3"/>
  <c r="K1518" i="3"/>
  <c r="L1517" i="3"/>
  <c r="K1517" i="3"/>
  <c r="L1516" i="3"/>
  <c r="K1516" i="3"/>
  <c r="L1515" i="3"/>
  <c r="K1515" i="3"/>
  <c r="L1513" i="3"/>
  <c r="K1513" i="3"/>
  <c r="K1512" i="3"/>
  <c r="L1512" i="3"/>
  <c r="L1509" i="3"/>
  <c r="K1509" i="3"/>
  <c r="K1507" i="3"/>
  <c r="L1507" i="3"/>
  <c r="K1506" i="3"/>
  <c r="L1506" i="3"/>
  <c r="K1504" i="3"/>
  <c r="L1504" i="3"/>
  <c r="L1499" i="3"/>
  <c r="K1499" i="3"/>
  <c r="L1498" i="3"/>
  <c r="K1498" i="3"/>
  <c r="K1497" i="3"/>
  <c r="L1497" i="3"/>
  <c r="L1494" i="3"/>
  <c r="K1494" i="3"/>
  <c r="L1492" i="3"/>
  <c r="K1492" i="3"/>
  <c r="L1491" i="3"/>
  <c r="K1491" i="3"/>
  <c r="L1490" i="3"/>
  <c r="K1490" i="3"/>
  <c r="L1489" i="3"/>
  <c r="K1489" i="3"/>
  <c r="L1488" i="3"/>
  <c r="K1488" i="3"/>
  <c r="K1486" i="3"/>
  <c r="L1486" i="3"/>
  <c r="K1485" i="3"/>
  <c r="L1485" i="3"/>
  <c r="L1484" i="3"/>
  <c r="K1484" i="3"/>
  <c r="L1482" i="3"/>
  <c r="K1482" i="3"/>
  <c r="J2431" i="3"/>
  <c r="K2431" i="3" s="1"/>
  <c r="J2417" i="3"/>
  <c r="K2417" i="3" s="1"/>
  <c r="J2416" i="3"/>
  <c r="J2406" i="3"/>
  <c r="K2406" i="3" s="1"/>
  <c r="J2393" i="3"/>
  <c r="K2393" i="3" s="1"/>
  <c r="J2378" i="3"/>
  <c r="K2378" i="3" s="1"/>
  <c r="J2376" i="3"/>
  <c r="K2376" i="3" s="1"/>
  <c r="J2367" i="3"/>
  <c r="K2367" i="3" s="1"/>
  <c r="J2352" i="3"/>
  <c r="K2352" i="3" s="1"/>
  <c r="J2349" i="3"/>
  <c r="K2349" i="3" s="1"/>
  <c r="J2348" i="3"/>
  <c r="K2348" i="3" s="1"/>
  <c r="J2341" i="3"/>
  <c r="K2341" i="3" s="1"/>
  <c r="J2335" i="3"/>
  <c r="K2335" i="3" s="1"/>
  <c r="J2314" i="3"/>
  <c r="K2314" i="3" s="1"/>
  <c r="J2305" i="3"/>
  <c r="K2305" i="3" s="1"/>
  <c r="J2300" i="3"/>
  <c r="K2300" i="3" s="1"/>
  <c r="J2298" i="3"/>
  <c r="K2298" i="3" s="1"/>
  <c r="J2278" i="3"/>
  <c r="K2278" i="3" s="1"/>
  <c r="J2262" i="3"/>
  <c r="K2262" i="3" s="1"/>
  <c r="J2261" i="3"/>
  <c r="K2261" i="3" s="1"/>
  <c r="J2251" i="3"/>
  <c r="K2251" i="3" s="1"/>
  <c r="J2248" i="3"/>
  <c r="J2244" i="3"/>
  <c r="K2244" i="3" s="1"/>
  <c r="J2239" i="3"/>
  <c r="K2239" i="3" s="1"/>
  <c r="J2232" i="3"/>
  <c r="K2232" i="3" s="1"/>
  <c r="J2227" i="3"/>
  <c r="K2227" i="3" s="1"/>
  <c r="J2226" i="3"/>
  <c r="K2226" i="3" s="1"/>
  <c r="J2218" i="3"/>
  <c r="K2218" i="3" s="1"/>
  <c r="J2214" i="3"/>
  <c r="K2214" i="3" s="1"/>
  <c r="J2212" i="3"/>
  <c r="K2212" i="3" s="1"/>
  <c r="J2192" i="3"/>
  <c r="K2192" i="3" s="1"/>
  <c r="J2187" i="3"/>
  <c r="K2187" i="3" s="1"/>
  <c r="J2182" i="3"/>
  <c r="K2182" i="3" s="1"/>
  <c r="J2180" i="3"/>
  <c r="K2180" i="3" s="1"/>
  <c r="J2165" i="3"/>
  <c r="K2165" i="3" s="1"/>
  <c r="J2161" i="3"/>
  <c r="K2161" i="3" s="1"/>
  <c r="J2156" i="3"/>
  <c r="K2156" i="3" s="1"/>
  <c r="J2153" i="3"/>
  <c r="K2153" i="3" s="1"/>
  <c r="J2147" i="3"/>
  <c r="K2147" i="3" s="1"/>
  <c r="J2121" i="3"/>
  <c r="K2121" i="3" s="1"/>
  <c r="J2120" i="3"/>
  <c r="K2120" i="3" s="1"/>
  <c r="J2107" i="3"/>
  <c r="K2107" i="3" s="1"/>
  <c r="J2103" i="3"/>
  <c r="K2103" i="3" s="1"/>
  <c r="J2091" i="3"/>
  <c r="K2091" i="3" s="1"/>
  <c r="J2087" i="3"/>
  <c r="K2087" i="3" s="1"/>
  <c r="J2081" i="3"/>
  <c r="K2081" i="3" s="1"/>
  <c r="J2080" i="3"/>
  <c r="K2080" i="3" s="1"/>
  <c r="J2072" i="3"/>
  <c r="K2072" i="3" s="1"/>
  <c r="J2056" i="3"/>
  <c r="K2056" i="3" s="1"/>
  <c r="J2051" i="3"/>
  <c r="K2051" i="3" s="1"/>
  <c r="J2048" i="3"/>
  <c r="K2048" i="3" s="1"/>
  <c r="J2044" i="3"/>
  <c r="J2039" i="3"/>
  <c r="K2039" i="3" s="1"/>
  <c r="J2037" i="3"/>
  <c r="K2037" i="3" s="1"/>
  <c r="J236" i="3"/>
  <c r="K236" i="3" s="1"/>
  <c r="J235" i="3"/>
  <c r="K235" i="3" s="1"/>
  <c r="J234" i="3"/>
  <c r="J233" i="3"/>
  <c r="K233" i="3" s="1"/>
  <c r="J232" i="3"/>
  <c r="J231" i="3"/>
  <c r="K231" i="3" s="1"/>
  <c r="J230" i="3"/>
  <c r="K230" i="3" s="1"/>
  <c r="J229" i="3"/>
  <c r="K229" i="3" s="1"/>
  <c r="J228" i="3"/>
  <c r="J227" i="3"/>
  <c r="K227" i="3" s="1"/>
  <c r="J226" i="3"/>
  <c r="K226" i="3" s="1"/>
  <c r="J225" i="3"/>
  <c r="K225" i="3" s="1"/>
  <c r="J224" i="3"/>
  <c r="K224" i="3" s="1"/>
  <c r="J223" i="3"/>
  <c r="K223" i="3" s="1"/>
  <c r="J222" i="3"/>
  <c r="J221" i="3"/>
  <c r="K221" i="3" s="1"/>
  <c r="J220" i="3"/>
  <c r="K220" i="3" s="1"/>
  <c r="J219" i="3"/>
  <c r="K219" i="3" s="1"/>
  <c r="J218" i="3"/>
  <c r="K218" i="3" s="1"/>
  <c r="J217" i="3"/>
  <c r="J216" i="3"/>
  <c r="J215" i="3"/>
  <c r="J214" i="3"/>
  <c r="J213" i="3"/>
  <c r="K213" i="3" s="1"/>
  <c r="J212" i="3"/>
  <c r="K212" i="3" s="1"/>
  <c r="J211" i="3"/>
  <c r="J210" i="3"/>
  <c r="J209" i="3"/>
  <c r="K209" i="3" s="1"/>
  <c r="J208" i="3"/>
  <c r="K208" i="3" s="1"/>
  <c r="J207" i="3"/>
  <c r="K207" i="3" s="1"/>
  <c r="J206" i="3"/>
  <c r="K206" i="3" s="1"/>
  <c r="J205" i="3"/>
  <c r="K205" i="3" s="1"/>
  <c r="J204" i="3"/>
  <c r="K204" i="3" s="1"/>
  <c r="J203" i="3"/>
  <c r="K203" i="3" s="1"/>
  <c r="J202" i="3"/>
  <c r="K202" i="3" s="1"/>
  <c r="J201" i="3"/>
  <c r="J200" i="3"/>
  <c r="K200" i="3" s="1"/>
  <c r="J199" i="3"/>
  <c r="K199" i="3" s="1"/>
  <c r="J198" i="3"/>
  <c r="J197" i="3"/>
  <c r="K197" i="3" s="1"/>
  <c r="J196" i="3"/>
  <c r="K196" i="3" s="1"/>
  <c r="J195" i="3"/>
  <c r="K195" i="3" s="1"/>
  <c r="J194" i="3"/>
  <c r="K194" i="3" s="1"/>
  <c r="J193" i="3"/>
  <c r="K193" i="3" s="1"/>
  <c r="J192" i="3"/>
  <c r="J191" i="3"/>
  <c r="K191" i="3" s="1"/>
  <c r="J190" i="3"/>
  <c r="J189" i="3"/>
  <c r="K189" i="3" s="1"/>
  <c r="J188" i="3"/>
  <c r="K188" i="3" s="1"/>
  <c r="J187" i="3"/>
  <c r="J186" i="3"/>
  <c r="K186" i="3" s="1"/>
  <c r="J185" i="3"/>
  <c r="K185" i="3" s="1"/>
  <c r="J184" i="3"/>
  <c r="K184" i="3" s="1"/>
  <c r="J183" i="3"/>
  <c r="K183" i="3" s="1"/>
  <c r="J182" i="3"/>
  <c r="K182" i="3" s="1"/>
  <c r="J181" i="3"/>
  <c r="K181" i="3" s="1"/>
  <c r="J180" i="3"/>
  <c r="J179" i="3"/>
  <c r="K179" i="3" s="1"/>
  <c r="J178" i="3"/>
  <c r="K178" i="3" s="1"/>
  <c r="J177" i="3"/>
  <c r="J176" i="3"/>
  <c r="K176" i="3" s="1"/>
  <c r="J175" i="3"/>
  <c r="K175" i="3" s="1"/>
  <c r="J174" i="3"/>
  <c r="K174" i="3" s="1"/>
  <c r="J173" i="3"/>
  <c r="K173" i="3" s="1"/>
  <c r="J172" i="3"/>
  <c r="K172" i="3" s="1"/>
  <c r="J171" i="3"/>
  <c r="J170" i="3"/>
  <c r="K170" i="3" s="1"/>
  <c r="J169" i="3"/>
  <c r="K169" i="3" s="1"/>
  <c r="J168" i="3"/>
  <c r="K168" i="3" s="1"/>
  <c r="J167" i="3"/>
  <c r="K167" i="3" s="1"/>
  <c r="J166" i="3"/>
  <c r="J165" i="3"/>
  <c r="J164" i="3"/>
  <c r="J163" i="3"/>
  <c r="K163" i="3" s="1"/>
  <c r="J162" i="3"/>
  <c r="K162" i="3" s="1"/>
  <c r="J161" i="3"/>
  <c r="K161" i="3" s="1"/>
  <c r="J160" i="3"/>
  <c r="K160" i="3" s="1"/>
  <c r="J159" i="3"/>
  <c r="K159" i="3" s="1"/>
  <c r="J158" i="3"/>
  <c r="K158" i="3" s="1"/>
  <c r="J157" i="3"/>
  <c r="K157" i="3" s="1"/>
  <c r="J156" i="3"/>
  <c r="K156" i="3" s="1"/>
  <c r="J155" i="3"/>
  <c r="K155" i="3" s="1"/>
  <c r="J154" i="3"/>
  <c r="K154" i="3" s="1"/>
  <c r="J153" i="3"/>
  <c r="K153" i="3" s="1"/>
  <c r="J152" i="3"/>
  <c r="K152" i="3" s="1"/>
  <c r="J151" i="3"/>
  <c r="K151" i="3" s="1"/>
  <c r="J150" i="3"/>
  <c r="K150" i="3" s="1"/>
  <c r="J149" i="3"/>
  <c r="K149" i="3" s="1"/>
  <c r="J148" i="3"/>
  <c r="K148" i="3" s="1"/>
  <c r="J147" i="3"/>
  <c r="K147" i="3" s="1"/>
  <c r="J146" i="3"/>
  <c r="K146" i="3" s="1"/>
  <c r="J145" i="3"/>
  <c r="K145" i="3" s="1"/>
  <c r="J144" i="3"/>
  <c r="K144" i="3" s="1"/>
  <c r="J143" i="3"/>
  <c r="K143" i="3" s="1"/>
  <c r="J142" i="3"/>
  <c r="K142" i="3" s="1"/>
  <c r="J141" i="3"/>
  <c r="K141" i="3" s="1"/>
  <c r="J140" i="3"/>
  <c r="K140" i="3" s="1"/>
  <c r="J139" i="3"/>
  <c r="K139" i="3" s="1"/>
  <c r="J138" i="3"/>
  <c r="K138" i="3" s="1"/>
  <c r="J137" i="3"/>
  <c r="J136" i="3"/>
  <c r="K136" i="3" s="1"/>
  <c r="J135" i="3"/>
  <c r="K135" i="3" s="1"/>
  <c r="J134" i="3"/>
  <c r="J133" i="3"/>
  <c r="K133" i="3" s="1"/>
  <c r="J132" i="3"/>
  <c r="K132" i="3" s="1"/>
  <c r="J131" i="3"/>
  <c r="K131" i="3" s="1"/>
  <c r="J130" i="3"/>
  <c r="K130" i="3" s="1"/>
  <c r="J129" i="3"/>
  <c r="K129" i="3" s="1"/>
  <c r="J128" i="3"/>
  <c r="K128" i="3" s="1"/>
  <c r="J127" i="3"/>
  <c r="K127" i="3" s="1"/>
  <c r="J126" i="3"/>
  <c r="K126" i="3" s="1"/>
  <c r="J125" i="3"/>
  <c r="J124" i="3"/>
  <c r="K124" i="3" s="1"/>
  <c r="J123" i="3"/>
  <c r="K123" i="3" s="1"/>
  <c r="J122" i="3"/>
  <c r="K122" i="3" s="1"/>
  <c r="J121" i="3"/>
  <c r="K121" i="3" s="1"/>
  <c r="J120" i="3"/>
  <c r="K120" i="3" s="1"/>
  <c r="J119" i="3"/>
  <c r="K119" i="3" s="1"/>
  <c r="J118" i="3"/>
  <c r="K118" i="3" s="1"/>
  <c r="J117" i="3"/>
  <c r="K117" i="3" s="1"/>
  <c r="J116" i="3"/>
  <c r="K116" i="3" s="1"/>
  <c r="J115" i="3"/>
  <c r="K115" i="3" s="1"/>
  <c r="J114" i="3"/>
  <c r="K114" i="3" s="1"/>
  <c r="J113" i="3"/>
  <c r="K113" i="3" s="1"/>
  <c r="J112" i="3"/>
  <c r="K112" i="3" s="1"/>
  <c r="J111" i="3"/>
  <c r="K111" i="3" s="1"/>
  <c r="J2943" i="3"/>
  <c r="K2943" i="3" s="1"/>
  <c r="J3453" i="3"/>
  <c r="K3453" i="3" s="1"/>
  <c r="J3452" i="3"/>
  <c r="J3451" i="3"/>
  <c r="J3450" i="3"/>
  <c r="K3450" i="3" s="1"/>
  <c r="J3449" i="3"/>
  <c r="J3448" i="3"/>
  <c r="J3447" i="3"/>
  <c r="K3447" i="3" s="1"/>
  <c r="J3446" i="3"/>
  <c r="K3446" i="3" s="1"/>
  <c r="J3445" i="3"/>
  <c r="K3445" i="3" s="1"/>
  <c r="J3444" i="3"/>
  <c r="J3443" i="3"/>
  <c r="K3443" i="3" s="1"/>
  <c r="J3442" i="3"/>
  <c r="K3442" i="3" s="1"/>
  <c r="J3441" i="3"/>
  <c r="K3441" i="3" s="1"/>
  <c r="J3440" i="3"/>
  <c r="K3440" i="3" s="1"/>
  <c r="J3439" i="3"/>
  <c r="K3439" i="3" s="1"/>
  <c r="J3438" i="3"/>
  <c r="K3438" i="3" s="1"/>
  <c r="J3437" i="3"/>
  <c r="K3437" i="3" s="1"/>
  <c r="J3436" i="3"/>
  <c r="K3436" i="3" s="1"/>
  <c r="J3435" i="3"/>
  <c r="K3435" i="3" s="1"/>
  <c r="J3434" i="3"/>
  <c r="K3434" i="3" s="1"/>
  <c r="J3433" i="3"/>
  <c r="K3433" i="3" s="1"/>
  <c r="J3432" i="3"/>
  <c r="K3432" i="3" s="1"/>
  <c r="J3431" i="3"/>
  <c r="K3431" i="3" s="1"/>
  <c r="J3430" i="3"/>
  <c r="J3429" i="3"/>
  <c r="K3429" i="3" s="1"/>
  <c r="J3428" i="3"/>
  <c r="J3427" i="3"/>
  <c r="K3427" i="3" s="1"/>
  <c r="J3426" i="3"/>
  <c r="K3426" i="3" s="1"/>
  <c r="J3425" i="3"/>
  <c r="J3424" i="3"/>
  <c r="K3424" i="3" s="1"/>
  <c r="J3423" i="3"/>
  <c r="J3422" i="3"/>
  <c r="J3421" i="3"/>
  <c r="J3420" i="3"/>
  <c r="K3420" i="3" s="1"/>
  <c r="J3419" i="3"/>
  <c r="K3419" i="3" s="1"/>
  <c r="J3418" i="3"/>
  <c r="K3418" i="3" s="1"/>
  <c r="J3417" i="3"/>
  <c r="J3416" i="3"/>
  <c r="K3416" i="3" s="1"/>
  <c r="J3415" i="3"/>
  <c r="K3415" i="3" s="1"/>
  <c r="J3414" i="3"/>
  <c r="K3414" i="3" s="1"/>
  <c r="J3413" i="3"/>
  <c r="K3413" i="3" s="1"/>
  <c r="J3412" i="3"/>
  <c r="K3412" i="3" s="1"/>
  <c r="J3411" i="3"/>
  <c r="J3410" i="3"/>
  <c r="K3410" i="3" s="1"/>
  <c r="J3409" i="3"/>
  <c r="K3409" i="3" s="1"/>
  <c r="J3408" i="3"/>
  <c r="J3407" i="3"/>
  <c r="K3407" i="3" s="1"/>
  <c r="J3406" i="3"/>
  <c r="K3406" i="3" s="1"/>
  <c r="J3405" i="3"/>
  <c r="J3404" i="3"/>
  <c r="K3404" i="3" s="1"/>
  <c r="J3403" i="3"/>
  <c r="J3402" i="3"/>
  <c r="K3402" i="3" s="1"/>
  <c r="J3401" i="3"/>
  <c r="J3400" i="3"/>
  <c r="K3400" i="3" s="1"/>
  <c r="J3399" i="3"/>
  <c r="J3398" i="3"/>
  <c r="K3398" i="3" s="1"/>
  <c r="J3397" i="3"/>
  <c r="J3396" i="3"/>
  <c r="K3396" i="3" s="1"/>
  <c r="J3395" i="3"/>
  <c r="K3395" i="3" s="1"/>
  <c r="J3394" i="3"/>
  <c r="J3393" i="3"/>
  <c r="K3393" i="3" s="1"/>
  <c r="J3392" i="3"/>
  <c r="K3392" i="3" s="1"/>
  <c r="J3391" i="3"/>
  <c r="K3391" i="3" s="1"/>
  <c r="J3390" i="3"/>
  <c r="K3390" i="3" s="1"/>
  <c r="J3389" i="3"/>
  <c r="K3389" i="3" s="1"/>
  <c r="J3388" i="3"/>
  <c r="K3388" i="3" s="1"/>
  <c r="J3387" i="3"/>
  <c r="K3387" i="3" s="1"/>
  <c r="J3386" i="3"/>
  <c r="K3386" i="3" s="1"/>
  <c r="J3385" i="3"/>
  <c r="J3384" i="3"/>
  <c r="K3384" i="3" s="1"/>
  <c r="J3383" i="3"/>
  <c r="K3383" i="3" s="1"/>
  <c r="J3382" i="3"/>
  <c r="J3381" i="3"/>
  <c r="J3380" i="3"/>
  <c r="K3380" i="3" s="1"/>
  <c r="J3379" i="3"/>
  <c r="K3379" i="3" s="1"/>
  <c r="J3378" i="3"/>
  <c r="K3378" i="3" s="1"/>
  <c r="J3377" i="3"/>
  <c r="K3377" i="3" s="1"/>
  <c r="J3376" i="3"/>
  <c r="K3376" i="3" s="1"/>
  <c r="J3375" i="3"/>
  <c r="J3374" i="3"/>
  <c r="K3374" i="3" s="1"/>
  <c r="J3373" i="3"/>
  <c r="J3372" i="3"/>
  <c r="K3372" i="3" s="1"/>
  <c r="J3371" i="3"/>
  <c r="K3371" i="3" s="1"/>
  <c r="J3370" i="3"/>
  <c r="K3370" i="3" s="1"/>
  <c r="J3369" i="3"/>
  <c r="K3369" i="3" s="1"/>
  <c r="J3368" i="3"/>
  <c r="K3368" i="3" s="1"/>
  <c r="J3367" i="3"/>
  <c r="K3367" i="3" s="1"/>
  <c r="J3366" i="3"/>
  <c r="K3366" i="3" s="1"/>
  <c r="J3365" i="3"/>
  <c r="J3364" i="3"/>
  <c r="K3364" i="3" s="1"/>
  <c r="J3363" i="3"/>
  <c r="K3363" i="3" s="1"/>
  <c r="J3362" i="3"/>
  <c r="K3362" i="3" s="1"/>
  <c r="J3361" i="3"/>
  <c r="J3360" i="3"/>
  <c r="J3359" i="3"/>
  <c r="J3358" i="3"/>
  <c r="K3358" i="3" s="1"/>
  <c r="J3357" i="3"/>
  <c r="J3356" i="3"/>
  <c r="K3356" i="3" s="1"/>
  <c r="J3355" i="3"/>
  <c r="K3355" i="3" s="1"/>
  <c r="J3354" i="3"/>
  <c r="J3353" i="3"/>
  <c r="K3353" i="3" s="1"/>
  <c r="J3352" i="3"/>
  <c r="K3352" i="3" s="1"/>
  <c r="J3351" i="3"/>
  <c r="K3351" i="3" s="1"/>
  <c r="J3350" i="3"/>
  <c r="K3350" i="3" s="1"/>
  <c r="J3349" i="3"/>
  <c r="K3349" i="3" s="1"/>
  <c r="J3348" i="3"/>
  <c r="K3348" i="3" s="1"/>
  <c r="J3347" i="3"/>
  <c r="K3347" i="3" s="1"/>
  <c r="J3346" i="3"/>
  <c r="J3345" i="3"/>
  <c r="J3344" i="3"/>
  <c r="K3344" i="3" s="1"/>
  <c r="J3343" i="3"/>
  <c r="K3343" i="3" s="1"/>
  <c r="J3342" i="3"/>
  <c r="J3341" i="3"/>
  <c r="J3340" i="3"/>
  <c r="J3339" i="3"/>
  <c r="J3338" i="3"/>
  <c r="K3338" i="3" s="1"/>
  <c r="J3337" i="3"/>
  <c r="K3337" i="3" s="1"/>
  <c r="J3336" i="3"/>
  <c r="K3336" i="3" s="1"/>
  <c r="J3335" i="3"/>
  <c r="J3334" i="3"/>
  <c r="J3333" i="3"/>
  <c r="J3332" i="3"/>
  <c r="K3332" i="3" s="1"/>
  <c r="J3331" i="3"/>
  <c r="K3331" i="3" s="1"/>
  <c r="J3330" i="3"/>
  <c r="J3329" i="3"/>
  <c r="J3328" i="3"/>
  <c r="J3327" i="3"/>
  <c r="K3327" i="3" s="1"/>
  <c r="J3326" i="3"/>
  <c r="K3326" i="3" s="1"/>
  <c r="J3325" i="3"/>
  <c r="K3325" i="3" s="1"/>
  <c r="J3324" i="3"/>
  <c r="K3324" i="3" s="1"/>
  <c r="J3323" i="3"/>
  <c r="K3323" i="3" s="1"/>
  <c r="J3322" i="3"/>
  <c r="J3321" i="3"/>
  <c r="K3321" i="3" s="1"/>
  <c r="J3320" i="3"/>
  <c r="K3320" i="3" s="1"/>
  <c r="J3319" i="3"/>
  <c r="K3319" i="3" s="1"/>
  <c r="J3318" i="3"/>
  <c r="K3318" i="3" s="1"/>
  <c r="J3317" i="3"/>
  <c r="K3317" i="3" s="1"/>
  <c r="J3316" i="3"/>
  <c r="K3316" i="3" s="1"/>
  <c r="J3315" i="3"/>
  <c r="K3315" i="3" s="1"/>
  <c r="J3314" i="3"/>
  <c r="K3314" i="3" s="1"/>
  <c r="J3313" i="3"/>
  <c r="K3313" i="3" s="1"/>
  <c r="J3312" i="3"/>
  <c r="J3311" i="3"/>
  <c r="K3311" i="3" s="1"/>
  <c r="J3310" i="3"/>
  <c r="K3310" i="3" s="1"/>
  <c r="J3309" i="3"/>
  <c r="K3309" i="3" s="1"/>
  <c r="J3308" i="3"/>
  <c r="K3308" i="3" s="1"/>
  <c r="J3307" i="3"/>
  <c r="K3307" i="3" s="1"/>
  <c r="J3306" i="3"/>
  <c r="K3306" i="3" s="1"/>
  <c r="J3305" i="3"/>
  <c r="K3305" i="3" s="1"/>
  <c r="J3304" i="3"/>
  <c r="K3304" i="3" s="1"/>
  <c r="J3303" i="3"/>
  <c r="K3303" i="3" s="1"/>
  <c r="J3302" i="3"/>
  <c r="J3301" i="3"/>
  <c r="K3301" i="3" s="1"/>
  <c r="J3300" i="3"/>
  <c r="K3300" i="3" s="1"/>
  <c r="J3299" i="3"/>
  <c r="K3299" i="3" s="1"/>
  <c r="J3298" i="3"/>
  <c r="J3297" i="3"/>
  <c r="K3297" i="3" s="1"/>
  <c r="J3296" i="3"/>
  <c r="J3295" i="3"/>
  <c r="K3295" i="3" s="1"/>
  <c r="J3294" i="3"/>
  <c r="K3294" i="3" s="1"/>
  <c r="J3293" i="3"/>
  <c r="J3292" i="3"/>
  <c r="K3292" i="3" s="1"/>
  <c r="J3291" i="3"/>
  <c r="K3291" i="3" s="1"/>
  <c r="J3290" i="3"/>
  <c r="K3290" i="3" s="1"/>
  <c r="J3289" i="3"/>
  <c r="J3288" i="3"/>
  <c r="K3288" i="3" s="1"/>
  <c r="J3287" i="3"/>
  <c r="K3287" i="3" s="1"/>
  <c r="J3286" i="3"/>
  <c r="K3286" i="3" s="1"/>
  <c r="J3285" i="3"/>
  <c r="J3284" i="3"/>
  <c r="K3284" i="3" s="1"/>
  <c r="J3283" i="3"/>
  <c r="K3283" i="3" s="1"/>
  <c r="J3282" i="3"/>
  <c r="J3281" i="3"/>
  <c r="K3281" i="3" s="1"/>
  <c r="J3280" i="3"/>
  <c r="K3280" i="3" s="1"/>
  <c r="J3279" i="3"/>
  <c r="K3279" i="3" s="1"/>
  <c r="J3278" i="3"/>
  <c r="J3277" i="3"/>
  <c r="K3277" i="3" s="1"/>
  <c r="J3276" i="3"/>
  <c r="K3276" i="3" s="1"/>
  <c r="J3275" i="3"/>
  <c r="K3275" i="3" s="1"/>
  <c r="J3274" i="3"/>
  <c r="K3274" i="3" s="1"/>
  <c r="J3273" i="3"/>
  <c r="K3273" i="3" s="1"/>
  <c r="J3272" i="3"/>
  <c r="J3271" i="3"/>
  <c r="J3270" i="3"/>
  <c r="K3270" i="3" s="1"/>
  <c r="J3269" i="3"/>
  <c r="K3269" i="3" s="1"/>
  <c r="J3268" i="3"/>
  <c r="J3267" i="3"/>
  <c r="K3267" i="3" s="1"/>
  <c r="J3266" i="3"/>
  <c r="K3266" i="3" s="1"/>
  <c r="J3265" i="3"/>
  <c r="K3265" i="3" s="1"/>
  <c r="J3264" i="3"/>
  <c r="K3264" i="3" s="1"/>
  <c r="J3263" i="3"/>
  <c r="K3263" i="3" s="1"/>
  <c r="J3262" i="3"/>
  <c r="K3262" i="3" s="1"/>
  <c r="J3261" i="3"/>
  <c r="K3261" i="3" s="1"/>
  <c r="J3260" i="3"/>
  <c r="K3260" i="3" s="1"/>
  <c r="J3259" i="3"/>
  <c r="K3259" i="3" s="1"/>
  <c r="J3258" i="3"/>
  <c r="K3258" i="3" s="1"/>
  <c r="J3257" i="3"/>
  <c r="K3257" i="3" s="1"/>
  <c r="J3256" i="3"/>
  <c r="K3256" i="3" s="1"/>
  <c r="J3255" i="3"/>
  <c r="K3255" i="3" s="1"/>
  <c r="J3254" i="3"/>
  <c r="K3254" i="3" s="1"/>
  <c r="J3253" i="3"/>
  <c r="K3253" i="3" s="1"/>
  <c r="J3252" i="3"/>
  <c r="K3252" i="3" s="1"/>
  <c r="J3251" i="3"/>
  <c r="J3250" i="3"/>
  <c r="J3249" i="3"/>
  <c r="K3249" i="3" s="1"/>
  <c r="J3248" i="3"/>
  <c r="K3248" i="3" s="1"/>
  <c r="J3247" i="3"/>
  <c r="K3247" i="3" s="1"/>
  <c r="J3246" i="3"/>
  <c r="K3246" i="3" s="1"/>
  <c r="J3245" i="3"/>
  <c r="K3245" i="3" s="1"/>
  <c r="J3244" i="3"/>
  <c r="K3244" i="3" s="1"/>
  <c r="J3243" i="3"/>
  <c r="K3243" i="3" s="1"/>
  <c r="J3242" i="3"/>
  <c r="K3242" i="3" s="1"/>
  <c r="J3241" i="3"/>
  <c r="K3241" i="3" s="1"/>
  <c r="J3240" i="3"/>
  <c r="K3240" i="3" s="1"/>
  <c r="J3239" i="3"/>
  <c r="K3239" i="3" s="1"/>
  <c r="J3238" i="3"/>
  <c r="K3238" i="3" s="1"/>
  <c r="J3237" i="3"/>
  <c r="K3237" i="3" s="1"/>
  <c r="J3236" i="3"/>
  <c r="J3235" i="3"/>
  <c r="J3234" i="3"/>
  <c r="K3234" i="3" s="1"/>
  <c r="J3233" i="3"/>
  <c r="K3233" i="3" s="1"/>
  <c r="J3232" i="3"/>
  <c r="K3232" i="3" s="1"/>
  <c r="J3231" i="3"/>
  <c r="K3231" i="3" s="1"/>
  <c r="J3230" i="3"/>
  <c r="K3230" i="3" s="1"/>
  <c r="J3229" i="3"/>
  <c r="J3228" i="3"/>
  <c r="K3228" i="3" s="1"/>
  <c r="J3227" i="3"/>
  <c r="K3227" i="3" s="1"/>
  <c r="J3226" i="3"/>
  <c r="J3225" i="3"/>
  <c r="K3225" i="3" s="1"/>
  <c r="J3224" i="3"/>
  <c r="K3224" i="3" s="1"/>
  <c r="J3223" i="3"/>
  <c r="K3223" i="3" s="1"/>
  <c r="J3222" i="3"/>
  <c r="K3222" i="3" s="1"/>
  <c r="J3221" i="3"/>
  <c r="K3221" i="3" s="1"/>
  <c r="J3220" i="3"/>
  <c r="J3219" i="3"/>
  <c r="K3219" i="3" s="1"/>
  <c r="J3218" i="3"/>
  <c r="J3217" i="3"/>
  <c r="K3217" i="3" s="1"/>
  <c r="J3216" i="3"/>
  <c r="K3216" i="3" s="1"/>
  <c r="J3215" i="3"/>
  <c r="K3215" i="3" s="1"/>
  <c r="J3214" i="3"/>
  <c r="K3214" i="3" s="1"/>
  <c r="J3213" i="3"/>
  <c r="K3213" i="3" s="1"/>
  <c r="J3212" i="3"/>
  <c r="K3212" i="3" s="1"/>
  <c r="J3211" i="3"/>
  <c r="K3211" i="3" s="1"/>
  <c r="J3210" i="3"/>
  <c r="K3210" i="3" s="1"/>
  <c r="J3209" i="3"/>
  <c r="K3209" i="3" s="1"/>
  <c r="J3208" i="3"/>
  <c r="K3208" i="3" s="1"/>
  <c r="J3207" i="3"/>
  <c r="K3207" i="3" s="1"/>
  <c r="J3206" i="3"/>
  <c r="K3206" i="3" s="1"/>
  <c r="J3205" i="3"/>
  <c r="K3205" i="3" s="1"/>
  <c r="J3204" i="3"/>
  <c r="K3204" i="3" s="1"/>
  <c r="J3203" i="3"/>
  <c r="K3203" i="3" s="1"/>
  <c r="J3202" i="3"/>
  <c r="K3202" i="3" s="1"/>
  <c r="J3201" i="3"/>
  <c r="K3201" i="3" s="1"/>
  <c r="J3200" i="3"/>
  <c r="K3200" i="3" s="1"/>
  <c r="J3199" i="3"/>
  <c r="K3199" i="3" s="1"/>
  <c r="J3198" i="3"/>
  <c r="K3198" i="3" s="1"/>
  <c r="J3197" i="3"/>
  <c r="K3197" i="3" s="1"/>
  <c r="J3196" i="3"/>
  <c r="K3196" i="3" s="1"/>
  <c r="J3195" i="3"/>
  <c r="K3195" i="3" s="1"/>
  <c r="J3194" i="3"/>
  <c r="K3194" i="3" s="1"/>
  <c r="J3193" i="3"/>
  <c r="K3193" i="3" s="1"/>
  <c r="J3192" i="3"/>
  <c r="K3192" i="3" s="1"/>
  <c r="J3191" i="3"/>
  <c r="K3191" i="3" s="1"/>
  <c r="J3190" i="3"/>
  <c r="K3190" i="3" s="1"/>
  <c r="J3189" i="3"/>
  <c r="K3189" i="3" s="1"/>
  <c r="J3188" i="3"/>
  <c r="K3188" i="3" s="1"/>
  <c r="J3187" i="3"/>
  <c r="K3187" i="3" s="1"/>
  <c r="J3186" i="3"/>
  <c r="K3186" i="3" s="1"/>
  <c r="J3185" i="3"/>
  <c r="K3185" i="3" s="1"/>
  <c r="J3184" i="3"/>
  <c r="K3184" i="3" s="1"/>
  <c r="J3183" i="3"/>
  <c r="K3183" i="3" s="1"/>
  <c r="J3182" i="3"/>
  <c r="K3182" i="3" s="1"/>
  <c r="J3181" i="3"/>
  <c r="K3181" i="3" s="1"/>
  <c r="J3180" i="3"/>
  <c r="K3180" i="3" s="1"/>
  <c r="J3179" i="3"/>
  <c r="J3178" i="3"/>
  <c r="K3178" i="3" s="1"/>
  <c r="J3177" i="3"/>
  <c r="K3177" i="3" s="1"/>
  <c r="J3176" i="3"/>
  <c r="K3176" i="3" s="1"/>
  <c r="J3175" i="3"/>
  <c r="K3175" i="3" s="1"/>
  <c r="J3174" i="3"/>
  <c r="K3174" i="3" s="1"/>
  <c r="J3173" i="3"/>
  <c r="K3173" i="3" s="1"/>
  <c r="J3172" i="3"/>
  <c r="K3172" i="3" s="1"/>
  <c r="J3171" i="3"/>
  <c r="K3171" i="3" s="1"/>
  <c r="J3170" i="3"/>
  <c r="K3170" i="3" s="1"/>
  <c r="J3169" i="3"/>
  <c r="K3169" i="3" s="1"/>
  <c r="J3168" i="3"/>
  <c r="K3168" i="3" s="1"/>
  <c r="J3167" i="3"/>
  <c r="K3167" i="3" s="1"/>
  <c r="J3166" i="3"/>
  <c r="K3166" i="3" s="1"/>
  <c r="J3165" i="3"/>
  <c r="K3165" i="3" s="1"/>
  <c r="J3164" i="3"/>
  <c r="K3164" i="3" s="1"/>
  <c r="J3163" i="3"/>
  <c r="K3163" i="3" s="1"/>
  <c r="J3162" i="3"/>
  <c r="K3162" i="3" s="1"/>
  <c r="J3161" i="3"/>
  <c r="K3161" i="3" s="1"/>
  <c r="J3160" i="3"/>
  <c r="K3160" i="3" s="1"/>
  <c r="J3159" i="3"/>
  <c r="J3158" i="3"/>
  <c r="K3158" i="3" s="1"/>
  <c r="J3157" i="3"/>
  <c r="K3157" i="3" s="1"/>
  <c r="J3156" i="3"/>
  <c r="K3156" i="3" s="1"/>
  <c r="J3155" i="3"/>
  <c r="K3155" i="3" s="1"/>
  <c r="J3154" i="3"/>
  <c r="K3154" i="3" s="1"/>
  <c r="J3153" i="3"/>
  <c r="K3153" i="3" s="1"/>
  <c r="J3152" i="3"/>
  <c r="K3152" i="3" s="1"/>
  <c r="J3151" i="3"/>
  <c r="K3151" i="3" s="1"/>
  <c r="J3150" i="3"/>
  <c r="K3150" i="3" s="1"/>
  <c r="J3149" i="3"/>
  <c r="K3149" i="3" s="1"/>
  <c r="J3148" i="3"/>
  <c r="K3148" i="3" s="1"/>
  <c r="J3147" i="3"/>
  <c r="K3147" i="3" s="1"/>
  <c r="J3146" i="3"/>
  <c r="J3145" i="3"/>
  <c r="J3144" i="3"/>
  <c r="K3144" i="3" s="1"/>
  <c r="J3143" i="3"/>
  <c r="K3143" i="3" s="1"/>
  <c r="J3142" i="3"/>
  <c r="J3141" i="3"/>
  <c r="J3140" i="3"/>
  <c r="K3140" i="3" s="1"/>
  <c r="J3139" i="3"/>
  <c r="K3139" i="3" s="1"/>
  <c r="J3138" i="3"/>
  <c r="K3138" i="3" s="1"/>
  <c r="J3137" i="3"/>
  <c r="K3137" i="3" s="1"/>
  <c r="J3136" i="3"/>
  <c r="K3136" i="3" s="1"/>
  <c r="J3135" i="3"/>
  <c r="K3135" i="3" s="1"/>
  <c r="J3134" i="3"/>
  <c r="K3134" i="3" s="1"/>
  <c r="J3133" i="3"/>
  <c r="K3133" i="3" s="1"/>
  <c r="J3132" i="3"/>
  <c r="J3131" i="3"/>
  <c r="K3131" i="3" s="1"/>
  <c r="J3130" i="3"/>
  <c r="K3130" i="3" s="1"/>
  <c r="J3129" i="3"/>
  <c r="K3129" i="3" s="1"/>
  <c r="J3128" i="3"/>
  <c r="K3128" i="3" s="1"/>
  <c r="J3127" i="3"/>
  <c r="K3127" i="3" s="1"/>
  <c r="J3126" i="3"/>
  <c r="K3126" i="3" s="1"/>
  <c r="J3125" i="3"/>
  <c r="K3125" i="3" s="1"/>
  <c r="J3124" i="3"/>
  <c r="K3124" i="3" s="1"/>
  <c r="J3123" i="3"/>
  <c r="K3123" i="3" s="1"/>
  <c r="J3122" i="3"/>
  <c r="J3121" i="3"/>
  <c r="K3121" i="3" s="1"/>
  <c r="J3120" i="3"/>
  <c r="K3120" i="3" s="1"/>
  <c r="J3119" i="3"/>
  <c r="K3119" i="3" s="1"/>
  <c r="J3118" i="3"/>
  <c r="K3118" i="3" s="1"/>
  <c r="J3117" i="3"/>
  <c r="K3117" i="3" s="1"/>
  <c r="J3116" i="3"/>
  <c r="K3116" i="3" s="1"/>
  <c r="J3115" i="3"/>
  <c r="K3115" i="3" s="1"/>
  <c r="J3114" i="3"/>
  <c r="K3114" i="3" s="1"/>
  <c r="J3113" i="3"/>
  <c r="K3113" i="3" s="1"/>
  <c r="J3112" i="3"/>
  <c r="K3112" i="3" s="1"/>
  <c r="J3111" i="3"/>
  <c r="K3111" i="3" s="1"/>
  <c r="J3110" i="3"/>
  <c r="K3110" i="3" s="1"/>
  <c r="J3109" i="3"/>
  <c r="K3109" i="3" s="1"/>
  <c r="J3108" i="3"/>
  <c r="K3108" i="3" s="1"/>
  <c r="J3107" i="3"/>
  <c r="K3107" i="3" s="1"/>
  <c r="J3106" i="3"/>
  <c r="J3105" i="3"/>
  <c r="J3104" i="3"/>
  <c r="K3104" i="3" s="1"/>
  <c r="J3103" i="3"/>
  <c r="K3103" i="3" s="1"/>
  <c r="J3102" i="3"/>
  <c r="K3102" i="3" s="1"/>
  <c r="J3101" i="3"/>
  <c r="K3101" i="3" s="1"/>
  <c r="J3100" i="3"/>
  <c r="K3100" i="3" s="1"/>
  <c r="J3099" i="3"/>
  <c r="K3099" i="3" s="1"/>
  <c r="J3098" i="3"/>
  <c r="K3098" i="3" s="1"/>
  <c r="J3097" i="3"/>
  <c r="K3097" i="3" s="1"/>
  <c r="J3096" i="3"/>
  <c r="K3096" i="3" s="1"/>
  <c r="J3095" i="3"/>
  <c r="K3095" i="3" s="1"/>
  <c r="J3094" i="3"/>
  <c r="K3094" i="3" s="1"/>
  <c r="J3093" i="3"/>
  <c r="K3093" i="3" s="1"/>
  <c r="J3092" i="3"/>
  <c r="J3091" i="3"/>
  <c r="K3091" i="3" s="1"/>
  <c r="J3090" i="3"/>
  <c r="K3090" i="3" s="1"/>
  <c r="J3089" i="3"/>
  <c r="K3089" i="3" s="1"/>
  <c r="J3088" i="3"/>
  <c r="J3087" i="3"/>
  <c r="K3087" i="3" s="1"/>
  <c r="J3086" i="3"/>
  <c r="J3085" i="3"/>
  <c r="K3085" i="3" s="1"/>
  <c r="J3084" i="3"/>
  <c r="K3084" i="3" s="1"/>
  <c r="J3083" i="3"/>
  <c r="J3082" i="3"/>
  <c r="J3081" i="3"/>
  <c r="K3081" i="3" s="1"/>
  <c r="J3080" i="3"/>
  <c r="K3080" i="3" s="1"/>
  <c r="J3079" i="3"/>
  <c r="K3079" i="3" s="1"/>
  <c r="J3078" i="3"/>
  <c r="K3078" i="3" s="1"/>
  <c r="J3077" i="3"/>
  <c r="J3076" i="3"/>
  <c r="K3076" i="3" s="1"/>
  <c r="J3075" i="3"/>
  <c r="K3075" i="3" s="1"/>
  <c r="J3074" i="3"/>
  <c r="K3074" i="3" s="1"/>
  <c r="J3073" i="3"/>
  <c r="K3073" i="3" s="1"/>
  <c r="J3072" i="3"/>
  <c r="K3072" i="3" s="1"/>
  <c r="J3071" i="3"/>
  <c r="K3071" i="3" s="1"/>
  <c r="J3070" i="3"/>
  <c r="K3070" i="3" s="1"/>
  <c r="J3069" i="3"/>
  <c r="K3069" i="3" s="1"/>
  <c r="J3068" i="3"/>
  <c r="K3068" i="3" s="1"/>
  <c r="J3067" i="3"/>
  <c r="K3067" i="3" s="1"/>
  <c r="J3066" i="3"/>
  <c r="K3066" i="3" s="1"/>
  <c r="J3065" i="3"/>
  <c r="K3065" i="3" s="1"/>
  <c r="J3064" i="3"/>
  <c r="K3064" i="3" s="1"/>
  <c r="J3063" i="3"/>
  <c r="K3063" i="3" s="1"/>
  <c r="J3062" i="3"/>
  <c r="J3061" i="3"/>
  <c r="K3061" i="3" s="1"/>
  <c r="J3060" i="3"/>
  <c r="K3060" i="3" s="1"/>
  <c r="J3059" i="3"/>
  <c r="K3059" i="3" s="1"/>
  <c r="J3058" i="3"/>
  <c r="K3058" i="3" s="1"/>
  <c r="J3057" i="3"/>
  <c r="K3057" i="3" s="1"/>
  <c r="J3056" i="3"/>
  <c r="K3056" i="3" s="1"/>
  <c r="J3055" i="3"/>
  <c r="K3055" i="3" s="1"/>
  <c r="J3054" i="3"/>
  <c r="K3054" i="3" s="1"/>
  <c r="J3053" i="3"/>
  <c r="K3053" i="3" s="1"/>
  <c r="J3052" i="3"/>
  <c r="K3052" i="3" s="1"/>
  <c r="J3051" i="3"/>
  <c r="K3051" i="3" s="1"/>
  <c r="J3050" i="3"/>
  <c r="K3050" i="3" s="1"/>
  <c r="J3049" i="3"/>
  <c r="K3049" i="3" s="1"/>
  <c r="J3048" i="3"/>
  <c r="K3048" i="3" s="1"/>
  <c r="J3047" i="3"/>
  <c r="K3047" i="3" s="1"/>
  <c r="J3046" i="3"/>
  <c r="K3046" i="3" s="1"/>
  <c r="J3045" i="3"/>
  <c r="K3045" i="3" s="1"/>
  <c r="J3044" i="3"/>
  <c r="K3044" i="3" s="1"/>
  <c r="J3043" i="3"/>
  <c r="K3043" i="3" s="1"/>
  <c r="J3042" i="3"/>
  <c r="K3042" i="3" s="1"/>
  <c r="J3041" i="3"/>
  <c r="K3041" i="3" s="1"/>
  <c r="J3040" i="3"/>
  <c r="K3040" i="3" s="1"/>
  <c r="J3039" i="3"/>
  <c r="J3038" i="3"/>
  <c r="K3038" i="3" s="1"/>
  <c r="J3037" i="3"/>
  <c r="K3037" i="3" s="1"/>
  <c r="J3036" i="3"/>
  <c r="K3036" i="3" s="1"/>
  <c r="J3035" i="3"/>
  <c r="K3035" i="3" s="1"/>
  <c r="J3034" i="3"/>
  <c r="K3034" i="3" s="1"/>
  <c r="J3033" i="3"/>
  <c r="K3033" i="3" s="1"/>
  <c r="J3032" i="3"/>
  <c r="K3032" i="3" s="1"/>
  <c r="J3031" i="3"/>
  <c r="K3031" i="3" s="1"/>
  <c r="J3030" i="3"/>
  <c r="K3030" i="3" s="1"/>
  <c r="J3029" i="3"/>
  <c r="K3029" i="3" s="1"/>
  <c r="J3028" i="3"/>
  <c r="K3028" i="3" s="1"/>
  <c r="J3027" i="3"/>
  <c r="K3027" i="3" s="1"/>
  <c r="J3026" i="3"/>
  <c r="K3026" i="3" s="1"/>
  <c r="J3025" i="3"/>
  <c r="K3025" i="3" s="1"/>
  <c r="J3024" i="3"/>
  <c r="K3024" i="3" s="1"/>
  <c r="J3023" i="3"/>
  <c r="K3023" i="3" s="1"/>
  <c r="J3022" i="3"/>
  <c r="K3022" i="3" s="1"/>
  <c r="J3021" i="3"/>
  <c r="K3021" i="3" s="1"/>
  <c r="J3020" i="3"/>
  <c r="K3020" i="3" s="1"/>
  <c r="J3019" i="3"/>
  <c r="K3019" i="3" s="1"/>
  <c r="J3018" i="3"/>
  <c r="K3018" i="3" s="1"/>
  <c r="J3017" i="3"/>
  <c r="K3017" i="3" s="1"/>
  <c r="J3016" i="3"/>
  <c r="K3016" i="3" s="1"/>
  <c r="J3015" i="3"/>
  <c r="K3015" i="3" s="1"/>
  <c r="J3014" i="3"/>
  <c r="K3014" i="3" s="1"/>
  <c r="J3013" i="3"/>
  <c r="K3013" i="3" s="1"/>
  <c r="J3012" i="3"/>
  <c r="K3012" i="3" s="1"/>
  <c r="J3011" i="3"/>
  <c r="K3011" i="3" s="1"/>
  <c r="J3010" i="3"/>
  <c r="K3010" i="3" s="1"/>
  <c r="J3009" i="3"/>
  <c r="K3009" i="3" s="1"/>
  <c r="J3008" i="3"/>
  <c r="K3008" i="3" s="1"/>
  <c r="J3007" i="3"/>
  <c r="K3007" i="3" s="1"/>
  <c r="J3006" i="3"/>
  <c r="K3006" i="3" s="1"/>
  <c r="J3005" i="3"/>
  <c r="K3005" i="3" s="1"/>
  <c r="J3004" i="3"/>
  <c r="K3004" i="3" s="1"/>
  <c r="J3003" i="3"/>
  <c r="J3002" i="3"/>
  <c r="K3002" i="3" s="1"/>
  <c r="J3001" i="3"/>
  <c r="J3000" i="3"/>
  <c r="K3000" i="3" s="1"/>
  <c r="J2999" i="3"/>
  <c r="J2998" i="3"/>
  <c r="K2998" i="3" s="1"/>
  <c r="J2997" i="3"/>
  <c r="K2997" i="3" s="1"/>
  <c r="J2996" i="3"/>
  <c r="J2995" i="3"/>
  <c r="K2995" i="3" s="1"/>
  <c r="J2994" i="3"/>
  <c r="K2994" i="3" s="1"/>
  <c r="J2993" i="3"/>
  <c r="K2993" i="3" s="1"/>
  <c r="J2992" i="3"/>
  <c r="K2992" i="3" s="1"/>
  <c r="J2991" i="3"/>
  <c r="K2991" i="3" s="1"/>
  <c r="J2990" i="3"/>
  <c r="K2990" i="3" s="1"/>
  <c r="J2989" i="3"/>
  <c r="K2989" i="3" s="1"/>
  <c r="J2988" i="3"/>
  <c r="J2987" i="3"/>
  <c r="K2987" i="3" s="1"/>
  <c r="J2986" i="3"/>
  <c r="K2986" i="3" s="1"/>
  <c r="J2985" i="3"/>
  <c r="K2985" i="3" s="1"/>
  <c r="J2984" i="3"/>
  <c r="K2984" i="3" s="1"/>
  <c r="J2983" i="3"/>
  <c r="K2983" i="3" s="1"/>
  <c r="J2982" i="3"/>
  <c r="K2982" i="3" s="1"/>
  <c r="J2981" i="3"/>
  <c r="K2981" i="3" s="1"/>
  <c r="J2980" i="3"/>
  <c r="K2980" i="3" s="1"/>
  <c r="J2979" i="3"/>
  <c r="K2979" i="3" s="1"/>
  <c r="J2978" i="3"/>
  <c r="K2978" i="3" s="1"/>
  <c r="J2977" i="3"/>
  <c r="J2976" i="3"/>
  <c r="K2976" i="3" s="1"/>
  <c r="J2975" i="3"/>
  <c r="K2975" i="3" s="1"/>
  <c r="J2974" i="3"/>
  <c r="K2974" i="3" s="1"/>
  <c r="J2973" i="3"/>
  <c r="K2973" i="3" s="1"/>
  <c r="J2972" i="3"/>
  <c r="K2972" i="3" s="1"/>
  <c r="J2971" i="3"/>
  <c r="K2971" i="3" s="1"/>
  <c r="J2970" i="3"/>
  <c r="J2969" i="3"/>
  <c r="K2969" i="3" s="1"/>
  <c r="J2968" i="3"/>
  <c r="K2968" i="3" s="1"/>
  <c r="J2967" i="3"/>
  <c r="J2966" i="3"/>
  <c r="J2965" i="3"/>
  <c r="K2965" i="3" s="1"/>
  <c r="J2964" i="3"/>
  <c r="J2963" i="3"/>
  <c r="K2963" i="3" s="1"/>
  <c r="J2962" i="3"/>
  <c r="K2962" i="3" s="1"/>
  <c r="J2961" i="3"/>
  <c r="K2961" i="3" s="1"/>
  <c r="J2960" i="3"/>
  <c r="K2960" i="3" s="1"/>
  <c r="J2959" i="3"/>
  <c r="K2959" i="3" s="1"/>
  <c r="J2958" i="3"/>
  <c r="K2958" i="3" s="1"/>
  <c r="J2955" i="3"/>
  <c r="K2955" i="3" s="1"/>
  <c r="J2952" i="3"/>
  <c r="J2951" i="3"/>
  <c r="K2951" i="3" s="1"/>
  <c r="J2949" i="3"/>
  <c r="K2949" i="3" s="1"/>
  <c r="J2942" i="3"/>
  <c r="K2942" i="3" s="1"/>
  <c r="J2923" i="3"/>
  <c r="K2923" i="3" s="1"/>
  <c r="J2914" i="3"/>
  <c r="J2906" i="3"/>
  <c r="K2906" i="3" s="1"/>
  <c r="J2899" i="3"/>
  <c r="K2899" i="3" s="1"/>
  <c r="J2893" i="3"/>
  <c r="K2893" i="3" s="1"/>
  <c r="J2879" i="3"/>
  <c r="K2879" i="3" s="1"/>
  <c r="J2873" i="3"/>
  <c r="K2873" i="3" s="1"/>
  <c r="J2872" i="3"/>
  <c r="K2872" i="3" s="1"/>
  <c r="J2863" i="3"/>
  <c r="K2863" i="3" s="1"/>
  <c r="J2854" i="3"/>
  <c r="K2854" i="3" s="1"/>
  <c r="J2850" i="3"/>
  <c r="K2850" i="3" s="1"/>
  <c r="J2846" i="3"/>
  <c r="K2846" i="3" s="1"/>
  <c r="J2837" i="3"/>
  <c r="K2837" i="3" s="1"/>
  <c r="J2830" i="3"/>
  <c r="K2830" i="3" s="1"/>
  <c r="J2827" i="3"/>
  <c r="K2827" i="3" s="1"/>
  <c r="J2825" i="3"/>
  <c r="K2825" i="3" s="1"/>
  <c r="J2822" i="3"/>
  <c r="J2814" i="3"/>
  <c r="K2814" i="3" s="1"/>
  <c r="J2804" i="3"/>
  <c r="K2804" i="3" s="1"/>
  <c r="J2796" i="3"/>
  <c r="K2796" i="3" s="1"/>
  <c r="J2794" i="3"/>
  <c r="K2794" i="3" s="1"/>
  <c r="J2792" i="3"/>
  <c r="K2792" i="3" s="1"/>
  <c r="J2791" i="3"/>
  <c r="K2791" i="3" s="1"/>
  <c r="J2784" i="3"/>
  <c r="K2784" i="3" s="1"/>
  <c r="J2778" i="3"/>
  <c r="K2778" i="3" s="1"/>
  <c r="J2774" i="3"/>
  <c r="K2774" i="3" s="1"/>
  <c r="J2769" i="3"/>
  <c r="K2769" i="3" s="1"/>
  <c r="J2766" i="3"/>
  <c r="J2761" i="3"/>
  <c r="K2761" i="3" s="1"/>
  <c r="J2751" i="3"/>
  <c r="K2751" i="3" s="1"/>
  <c r="J2744" i="3"/>
  <c r="K2744" i="3" s="1"/>
  <c r="J2739" i="3"/>
  <c r="J2737" i="3"/>
  <c r="K2737" i="3" s="1"/>
  <c r="J2730" i="3"/>
  <c r="K2730" i="3" s="1"/>
  <c r="J2719" i="3"/>
  <c r="K2719" i="3" s="1"/>
  <c r="J2716" i="3"/>
  <c r="K2716" i="3" s="1"/>
  <c r="J2693" i="3"/>
  <c r="K2693" i="3" s="1"/>
  <c r="J2692" i="3"/>
  <c r="J2690" i="3"/>
  <c r="K2690" i="3" s="1"/>
  <c r="J2688" i="3"/>
  <c r="J2686" i="3"/>
  <c r="K2686" i="3" s="1"/>
  <c r="J2681" i="3"/>
  <c r="K2681" i="3" s="1"/>
  <c r="J2679" i="3"/>
  <c r="K2679" i="3" s="1"/>
  <c r="J2672" i="3"/>
  <c r="K2672" i="3" s="1"/>
  <c r="J2664" i="3"/>
  <c r="J2645" i="3"/>
  <c r="J2632" i="3"/>
  <c r="K2632" i="3" s="1"/>
  <c r="J2588" i="3"/>
  <c r="K2588" i="3" s="1"/>
  <c r="J2571" i="3"/>
  <c r="K2571" i="3" s="1"/>
  <c r="J2568" i="3"/>
  <c r="K2568" i="3" s="1"/>
  <c r="J2566" i="3"/>
  <c r="K2566" i="3" s="1"/>
  <c r="J2564" i="3"/>
  <c r="K2564" i="3" s="1"/>
  <c r="J2562" i="3"/>
  <c r="K2562" i="3" s="1"/>
  <c r="J2559" i="3"/>
  <c r="K2559" i="3" s="1"/>
  <c r="J2555" i="3"/>
  <c r="K2555" i="3" s="1"/>
  <c r="J2527" i="3"/>
  <c r="K2527" i="3" s="1"/>
  <c r="J2525" i="3"/>
  <c r="K2525" i="3" s="1"/>
  <c r="J2517" i="3"/>
  <c r="K2517" i="3" s="1"/>
  <c r="J2426" i="3"/>
  <c r="K2426" i="3" s="1"/>
  <c r="J2420" i="3"/>
  <c r="K2420" i="3" s="1"/>
  <c r="J2414" i="3"/>
  <c r="K2414" i="3" s="1"/>
  <c r="J2396" i="3"/>
  <c r="K2396" i="3" s="1"/>
  <c r="J2392" i="3"/>
  <c r="K2392" i="3" s="1"/>
  <c r="J2386" i="3"/>
  <c r="K2386" i="3" s="1"/>
  <c r="J2382" i="3"/>
  <c r="K2382" i="3" s="1"/>
  <c r="J2374" i="3"/>
  <c r="K2374" i="3" s="1"/>
  <c r="J2364" i="3"/>
  <c r="K2364" i="3" s="1"/>
  <c r="J2344" i="3"/>
  <c r="K2344" i="3" s="1"/>
  <c r="J2334" i="3"/>
  <c r="K2334" i="3" s="1"/>
  <c r="J2331" i="3"/>
  <c r="K2331" i="3" s="1"/>
  <c r="J2328" i="3"/>
  <c r="K2328" i="3" s="1"/>
  <c r="J2322" i="3"/>
  <c r="K2322" i="3" s="1"/>
  <c r="J2317" i="3"/>
  <c r="K2317" i="3" s="1"/>
  <c r="J2297" i="3"/>
  <c r="K2297" i="3" s="1"/>
  <c r="J2289" i="3"/>
  <c r="K2289" i="3" s="1"/>
  <c r="J2282" i="3"/>
  <c r="K2282" i="3" s="1"/>
  <c r="J2280" i="3"/>
  <c r="K2280" i="3" s="1"/>
  <c r="J2273" i="3"/>
  <c r="K2273" i="3" s="1"/>
  <c r="J2265" i="3"/>
  <c r="J2230" i="3"/>
  <c r="K2230" i="3" s="1"/>
  <c r="J2213" i="3"/>
  <c r="K2213" i="3" s="1"/>
  <c r="J2206" i="3"/>
  <c r="K2206" i="3" s="1"/>
  <c r="J2202" i="3"/>
  <c r="K2202" i="3" s="1"/>
  <c r="J2198" i="3"/>
  <c r="K2198" i="3" s="1"/>
  <c r="J2183" i="3"/>
  <c r="K2183" i="3" s="1"/>
  <c r="J2177" i="3"/>
  <c r="K2177" i="3" s="1"/>
  <c r="J2170" i="3"/>
  <c r="K2170" i="3" s="1"/>
  <c r="J2160" i="3"/>
  <c r="K2160" i="3" s="1"/>
  <c r="J2159" i="3"/>
  <c r="K2159" i="3" s="1"/>
  <c r="J2141" i="3"/>
  <c r="K2141" i="3" s="1"/>
  <c r="J2139" i="3"/>
  <c r="K2139" i="3" s="1"/>
  <c r="J2135" i="3"/>
  <c r="K2135" i="3" s="1"/>
  <c r="J2119" i="3"/>
  <c r="K2119" i="3" s="1"/>
  <c r="J2110" i="3"/>
  <c r="K2110" i="3" s="1"/>
  <c r="J2108" i="3"/>
  <c r="K2108" i="3" s="1"/>
  <c r="J2101" i="3"/>
  <c r="K2101" i="3" s="1"/>
  <c r="J2099" i="3"/>
  <c r="K2099" i="3" s="1"/>
  <c r="J2094" i="3"/>
  <c r="K2094" i="3" s="1"/>
  <c r="J2075" i="3"/>
  <c r="K2075" i="3" s="1"/>
  <c r="J2068" i="3"/>
  <c r="K2068" i="3" s="1"/>
  <c r="J2054" i="3"/>
  <c r="K2054" i="3" s="1"/>
  <c r="J2027" i="3"/>
  <c r="K2027" i="3" s="1"/>
  <c r="J2024" i="3"/>
  <c r="K2024" i="3" s="1"/>
  <c r="J2035" i="3"/>
  <c r="K2035" i="3" s="1"/>
  <c r="J2038" i="3"/>
  <c r="K2038" i="3" s="1"/>
  <c r="J2069" i="3"/>
  <c r="K2069" i="3" s="1"/>
  <c r="J2070" i="3"/>
  <c r="K2070" i="3" s="1"/>
  <c r="J2077" i="3"/>
  <c r="K2077" i="3" s="1"/>
  <c r="J2084" i="3"/>
  <c r="K2084" i="3" s="1"/>
  <c r="J2090" i="3"/>
  <c r="K2090" i="3" s="1"/>
  <c r="J2092" i="3"/>
  <c r="K2092" i="3" s="1"/>
  <c r="J2098" i="3"/>
  <c r="K2098" i="3" s="1"/>
  <c r="J2102" i="3"/>
  <c r="K2102" i="3" s="1"/>
  <c r="J2105" i="3"/>
  <c r="K2105" i="3" s="1"/>
  <c r="J2112" i="3"/>
  <c r="K2112" i="3" s="1"/>
  <c r="J2114" i="3"/>
  <c r="K2114" i="3" s="1"/>
  <c r="J2116" i="3"/>
  <c r="K2116" i="3" s="1"/>
  <c r="J2151" i="3"/>
  <c r="K2151" i="3" s="1"/>
  <c r="J2163" i="3"/>
  <c r="K2163" i="3" s="1"/>
  <c r="J2167" i="3"/>
  <c r="K2167" i="3" s="1"/>
  <c r="J2172" i="3"/>
  <c r="K2172" i="3" s="1"/>
  <c r="J2178" i="3"/>
  <c r="K2178" i="3" s="1"/>
  <c r="J2189" i="3"/>
  <c r="K2189" i="3" s="1"/>
  <c r="J2208" i="3"/>
  <c r="K2208" i="3" s="1"/>
  <c r="J2210" i="3"/>
  <c r="K2210" i="3" s="1"/>
  <c r="J2217" i="3"/>
  <c r="K2217" i="3" s="1"/>
  <c r="J2219" i="3"/>
  <c r="K2219" i="3" s="1"/>
  <c r="J2220" i="3"/>
  <c r="K2220" i="3" s="1"/>
  <c r="J2223" i="3"/>
  <c r="K2223" i="3" s="1"/>
  <c r="J2225" i="3"/>
  <c r="K2225" i="3" s="1"/>
  <c r="J2233" i="3"/>
  <c r="K2233" i="3" s="1"/>
  <c r="J2242" i="3"/>
  <c r="K2242" i="3" s="1"/>
  <c r="J2246" i="3"/>
  <c r="K2246" i="3" s="1"/>
  <c r="J2258" i="3"/>
  <c r="K2258" i="3" s="1"/>
  <c r="J2267" i="3"/>
  <c r="K2267" i="3" s="1"/>
  <c r="J2288" i="3"/>
  <c r="K2288" i="3" s="1"/>
  <c r="J2306" i="3"/>
  <c r="K2306" i="3" s="1"/>
  <c r="J2320" i="3"/>
  <c r="K2320" i="3" s="1"/>
  <c r="J2325" i="3"/>
  <c r="K2325" i="3" s="1"/>
  <c r="J2353" i="3"/>
  <c r="K2353" i="3" s="1"/>
  <c r="J2359" i="3"/>
  <c r="K2359" i="3" s="1"/>
  <c r="J2362" i="3"/>
  <c r="K2362" i="3" s="1"/>
  <c r="J2373" i="3"/>
  <c r="K2373" i="3" s="1"/>
  <c r="J2389" i="3"/>
  <c r="K2389" i="3" s="1"/>
  <c r="J2398" i="3"/>
  <c r="K2398" i="3" s="1"/>
  <c r="J2405" i="3"/>
  <c r="K2405" i="3" s="1"/>
  <c r="J2410" i="3"/>
  <c r="J2422" i="3"/>
  <c r="K2422" i="3" s="1"/>
  <c r="J2453" i="3"/>
  <c r="K2453" i="3" s="1"/>
  <c r="J2460" i="3"/>
  <c r="K2460" i="3" s="1"/>
  <c r="J2461" i="3"/>
  <c r="K2461" i="3" s="1"/>
  <c r="J2462" i="3"/>
  <c r="K2462" i="3" s="1"/>
  <c r="J2467" i="3"/>
  <c r="K2467" i="3" s="1"/>
  <c r="J2470" i="3"/>
  <c r="K2470" i="3" s="1"/>
  <c r="J2476" i="3"/>
  <c r="J2482" i="3"/>
  <c r="K2482" i="3" s="1"/>
  <c r="J2498" i="3"/>
  <c r="K2498" i="3" s="1"/>
  <c r="J2499" i="3"/>
  <c r="K2499" i="3" s="1"/>
  <c r="J2503" i="3"/>
  <c r="K2503" i="3" s="1"/>
  <c r="J2505" i="3"/>
  <c r="K2505" i="3" s="1"/>
  <c r="J2516" i="3"/>
  <c r="K2516" i="3" s="1"/>
  <c r="J2520" i="3"/>
  <c r="K2520" i="3" s="1"/>
  <c r="J2521" i="3"/>
  <c r="K2521" i="3" s="1"/>
  <c r="J2529" i="3"/>
  <c r="K2529" i="3" s="1"/>
  <c r="J2530" i="3"/>
  <c r="J2536" i="3"/>
  <c r="J2540" i="3"/>
  <c r="K2540" i="3" s="1"/>
  <c r="J2550" i="3"/>
  <c r="K2550" i="3" s="1"/>
  <c r="J2572" i="3"/>
  <c r="K2572" i="3" s="1"/>
  <c r="J2583" i="3"/>
  <c r="K2583" i="3" s="1"/>
  <c r="J2589" i="3"/>
  <c r="K2589" i="3" s="1"/>
  <c r="J2610" i="3"/>
  <c r="K2610" i="3" s="1"/>
  <c r="J2620" i="3"/>
  <c r="K2620" i="3" s="1"/>
  <c r="J2624" i="3"/>
  <c r="K2624" i="3" s="1"/>
  <c r="J2631" i="3"/>
  <c r="K2631" i="3" s="1"/>
  <c r="J2662" i="3"/>
  <c r="K2662" i="3" s="1"/>
  <c r="J2666" i="3"/>
  <c r="K2666" i="3" s="1"/>
  <c r="J2676" i="3"/>
  <c r="K2676" i="3" s="1"/>
  <c r="J2677" i="3"/>
  <c r="K2677" i="3" s="1"/>
  <c r="J2689" i="3"/>
  <c r="K2689" i="3" s="1"/>
  <c r="J2722" i="3"/>
  <c r="K2722" i="3" s="1"/>
  <c r="J2725" i="3"/>
  <c r="K2725" i="3" s="1"/>
  <c r="J2726" i="3"/>
  <c r="K2726" i="3" s="1"/>
  <c r="J2746" i="3"/>
  <c r="K2746" i="3" s="1"/>
  <c r="J2748" i="3"/>
  <c r="K2748" i="3" s="1"/>
  <c r="J2760" i="3"/>
  <c r="K2760" i="3" s="1"/>
  <c r="J2765" i="3"/>
  <c r="K2765" i="3" s="1"/>
  <c r="J2767" i="3"/>
  <c r="K2767" i="3" s="1"/>
  <c r="J2770" i="3"/>
  <c r="K2770" i="3" s="1"/>
  <c r="J2772" i="3"/>
  <c r="J2777" i="3"/>
  <c r="K2777" i="3" s="1"/>
  <c r="J2779" i="3"/>
  <c r="J2781" i="3"/>
  <c r="J2785" i="3"/>
  <c r="K2785" i="3" s="1"/>
  <c r="J2795" i="3"/>
  <c r="K2795" i="3" s="1"/>
  <c r="J2802" i="3"/>
  <c r="K2802" i="3" s="1"/>
  <c r="J2806" i="3"/>
  <c r="K2806" i="3" s="1"/>
  <c r="J2818" i="3"/>
  <c r="K2818" i="3" s="1"/>
  <c r="J2838" i="3"/>
  <c r="K2838" i="3" s="1"/>
  <c r="J2847" i="3"/>
  <c r="K2847" i="3" s="1"/>
  <c r="J2866" i="3"/>
  <c r="K2866" i="3" s="1"/>
  <c r="J2869" i="3"/>
  <c r="K2869" i="3" s="1"/>
  <c r="J2878" i="3"/>
  <c r="J2892" i="3"/>
  <c r="K2892" i="3" s="1"/>
  <c r="J2903" i="3"/>
  <c r="K2903" i="3" s="1"/>
  <c r="J2915" i="3"/>
  <c r="K2915" i="3" s="1"/>
  <c r="J2918" i="3"/>
  <c r="K2918" i="3" s="1"/>
  <c r="J2933" i="3"/>
  <c r="K2933" i="3" s="1"/>
  <c r="J2935" i="3"/>
  <c r="K2935" i="3" s="1"/>
  <c r="J2938" i="3"/>
  <c r="K2938" i="3" s="1"/>
  <c r="J2944" i="3"/>
  <c r="K2944" i="3" s="1"/>
  <c r="J2950" i="3"/>
  <c r="K2950" i="3" s="1"/>
  <c r="J110" i="3"/>
  <c r="K110" i="3" s="1"/>
  <c r="J109" i="3"/>
  <c r="K109" i="3" s="1"/>
  <c r="J108" i="3"/>
  <c r="K108" i="3" s="1"/>
  <c r="J107" i="3"/>
  <c r="K107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J98" i="3"/>
  <c r="K98" i="3" s="1"/>
  <c r="J97" i="3"/>
  <c r="K97" i="3" s="1"/>
  <c r="J96" i="3"/>
  <c r="K96" i="3" s="1"/>
  <c r="J95" i="3"/>
  <c r="K95" i="3" s="1"/>
  <c r="J94" i="3"/>
  <c r="K94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J86" i="3"/>
  <c r="K86" i="3" s="1"/>
  <c r="J85" i="3"/>
  <c r="K85" i="3" s="1"/>
  <c r="J84" i="3"/>
  <c r="K84" i="3" s="1"/>
  <c r="J83" i="3"/>
  <c r="K83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J74" i="3"/>
  <c r="K74" i="3" s="1"/>
  <c r="J73" i="3"/>
  <c r="K73" i="3" s="1"/>
  <c r="J72" i="3"/>
  <c r="K72" i="3" s="1"/>
  <c r="J71" i="3"/>
  <c r="K71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J62" i="3"/>
  <c r="K62" i="3" s="1"/>
  <c r="J61" i="3"/>
  <c r="K61" i="3" s="1"/>
  <c r="J60" i="3"/>
  <c r="K60" i="3" s="1"/>
  <c r="J59" i="3"/>
  <c r="K5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50" i="3"/>
  <c r="K50" i="3" s="1"/>
  <c r="J49" i="3"/>
  <c r="K49" i="3" s="1"/>
  <c r="J48" i="3"/>
  <c r="K48" i="3" s="1"/>
  <c r="J47" i="3"/>
  <c r="K47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J38" i="3"/>
  <c r="K38" i="3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2023" i="3"/>
  <c r="K2023" i="3" s="1"/>
  <c r="J2026" i="3"/>
  <c r="K2026" i="3" s="1"/>
  <c r="J2034" i="3"/>
  <c r="K2034" i="3" s="1"/>
  <c r="J2043" i="3"/>
  <c r="K2043" i="3" s="1"/>
  <c r="J2046" i="3"/>
  <c r="J2050" i="3"/>
  <c r="K2050" i="3" s="1"/>
  <c r="J2053" i="3"/>
  <c r="K2053" i="3" s="1"/>
  <c r="J2057" i="3"/>
  <c r="K2057" i="3" s="1"/>
  <c r="J2059" i="3"/>
  <c r="K2059" i="3" s="1"/>
  <c r="J2064" i="3"/>
  <c r="K2064" i="3" s="1"/>
  <c r="J2082" i="3"/>
  <c r="K2082" i="3" s="1"/>
  <c r="J2093" i="3"/>
  <c r="K2093" i="3" s="1"/>
  <c r="J2104" i="3"/>
  <c r="J2122" i="3"/>
  <c r="K2122" i="3" s="1"/>
  <c r="J2127" i="3"/>
  <c r="K2127" i="3" s="1"/>
  <c r="J2131" i="3"/>
  <c r="K2131" i="3" s="1"/>
  <c r="J2136" i="3"/>
  <c r="J2138" i="3"/>
  <c r="K2138" i="3" s="1"/>
  <c r="J2142" i="3"/>
  <c r="K2142" i="3" s="1"/>
  <c r="J2164" i="3"/>
  <c r="K2164" i="3" s="1"/>
  <c r="J2166" i="3"/>
  <c r="K2166" i="3" s="1"/>
  <c r="J2184" i="3"/>
  <c r="K2184" i="3" s="1"/>
  <c r="J2188" i="3"/>
  <c r="K2188" i="3" s="1"/>
  <c r="J2190" i="3"/>
  <c r="K2190" i="3" s="1"/>
  <c r="J2193" i="3"/>
  <c r="K2193" i="3" s="1"/>
  <c r="J2204" i="3"/>
  <c r="J2231" i="3"/>
  <c r="K2231" i="3" s="1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K1470" i="3" s="1"/>
  <c r="J1469" i="3"/>
  <c r="K1469" i="3" s="1"/>
  <c r="J1468" i="3"/>
  <c r="K1468" i="3" s="1"/>
  <c r="J1467" i="3"/>
  <c r="J1466" i="3"/>
  <c r="K1466" i="3" s="1"/>
  <c r="J1465" i="3"/>
  <c r="K1465" i="3" s="1"/>
  <c r="J1464" i="3"/>
  <c r="K1464" i="3" s="1"/>
  <c r="J1463" i="3"/>
  <c r="K1463" i="3" s="1"/>
  <c r="J1462" i="3"/>
  <c r="K1462" i="3" s="1"/>
  <c r="J1461" i="3"/>
  <c r="K1461" i="3" s="1"/>
  <c r="J1460" i="3"/>
  <c r="J1459" i="3"/>
  <c r="J1458" i="3"/>
  <c r="K1458" i="3" s="1"/>
  <c r="J1457" i="3"/>
  <c r="K1457" i="3" s="1"/>
  <c r="J1456" i="3"/>
  <c r="K1456" i="3" s="1"/>
  <c r="J1455" i="3"/>
  <c r="K1455" i="3" s="1"/>
  <c r="J1454" i="3"/>
  <c r="K1454" i="3" s="1"/>
  <c r="J1453" i="3"/>
  <c r="K1453" i="3" s="1"/>
  <c r="J1452" i="3"/>
  <c r="J1451" i="3"/>
  <c r="K1451" i="3" s="1"/>
  <c r="J1450" i="3"/>
  <c r="K1450" i="3" s="1"/>
  <c r="J1449" i="3"/>
  <c r="K1449" i="3" s="1"/>
  <c r="J1448" i="3"/>
  <c r="K1448" i="3" s="1"/>
  <c r="J1447" i="3"/>
  <c r="K1447" i="3" s="1"/>
  <c r="J1446" i="3"/>
  <c r="K1446" i="3" s="1"/>
  <c r="J1445" i="3"/>
  <c r="K1445" i="3" s="1"/>
  <c r="J1444" i="3"/>
  <c r="K1444" i="3" s="1"/>
  <c r="J1443" i="3"/>
  <c r="K1443" i="3" s="1"/>
  <c r="J1442" i="3"/>
  <c r="J1441" i="3"/>
  <c r="K1441" i="3" s="1"/>
  <c r="J1440" i="3"/>
  <c r="K1440" i="3" s="1"/>
  <c r="J1439" i="3"/>
  <c r="K1439" i="3" s="1"/>
  <c r="J1438" i="3"/>
  <c r="K1438" i="3" s="1"/>
  <c r="J1437" i="3"/>
  <c r="J1436" i="3"/>
  <c r="K1436" i="3" s="1"/>
  <c r="J1435" i="3"/>
  <c r="K1435" i="3" s="1"/>
  <c r="J1434" i="3"/>
  <c r="K1434" i="3" s="1"/>
  <c r="J1433" i="3"/>
  <c r="K1433" i="3" s="1"/>
  <c r="J1432" i="3"/>
  <c r="J1431" i="3"/>
  <c r="J1430" i="3"/>
  <c r="K1430" i="3" s="1"/>
  <c r="J1429" i="3"/>
  <c r="K1429" i="3" s="1"/>
  <c r="J1428" i="3"/>
  <c r="K1428" i="3" s="1"/>
  <c r="J1427" i="3"/>
  <c r="K1427" i="3" s="1"/>
  <c r="J1426" i="3"/>
  <c r="K1426" i="3" s="1"/>
  <c r="J1425" i="3"/>
  <c r="K1425" i="3" s="1"/>
  <c r="J1424" i="3"/>
  <c r="K1424" i="3" s="1"/>
  <c r="J1423" i="3"/>
  <c r="K1423" i="3" s="1"/>
  <c r="J1422" i="3"/>
  <c r="K1422" i="3" s="1"/>
  <c r="J1421" i="3"/>
  <c r="K1421" i="3" s="1"/>
  <c r="J1420" i="3"/>
  <c r="K1420" i="3" s="1"/>
  <c r="J1419" i="3"/>
  <c r="K1419" i="3" s="1"/>
  <c r="J1418" i="3"/>
  <c r="K1418" i="3" s="1"/>
  <c r="J1417" i="3"/>
  <c r="J1416" i="3"/>
  <c r="K1416" i="3" s="1"/>
  <c r="J1415" i="3"/>
  <c r="K1415" i="3" s="1"/>
  <c r="J1414" i="3"/>
  <c r="K1414" i="3" s="1"/>
  <c r="J1413" i="3"/>
  <c r="K1413" i="3" s="1"/>
  <c r="J1412" i="3"/>
  <c r="J1411" i="3"/>
  <c r="K1411" i="3" s="1"/>
  <c r="J1410" i="3"/>
  <c r="J1409" i="3"/>
  <c r="J1408" i="3"/>
  <c r="K1408" i="3" s="1"/>
  <c r="J1407" i="3"/>
  <c r="J1406" i="3"/>
  <c r="J1405" i="3"/>
  <c r="K1405" i="3" s="1"/>
  <c r="J1404" i="3"/>
  <c r="K1404" i="3" s="1"/>
  <c r="J1403" i="3"/>
  <c r="K1403" i="3" s="1"/>
  <c r="J1402" i="3"/>
  <c r="K1402" i="3" s="1"/>
  <c r="J1401" i="3"/>
  <c r="K1401" i="3" s="1"/>
  <c r="J1400" i="3"/>
  <c r="K1400" i="3" s="1"/>
  <c r="J1399" i="3"/>
  <c r="K1399" i="3" s="1"/>
  <c r="J1398" i="3"/>
  <c r="K1398" i="3" s="1"/>
  <c r="J1397" i="3"/>
  <c r="K1397" i="3" s="1"/>
  <c r="J1396" i="3"/>
  <c r="K1396" i="3" s="1"/>
  <c r="J1395" i="3"/>
  <c r="K1395" i="3" s="1"/>
  <c r="J1394" i="3"/>
  <c r="K1394" i="3" s="1"/>
  <c r="J1393" i="3"/>
  <c r="K1393" i="3" s="1"/>
  <c r="J1392" i="3"/>
  <c r="K1392" i="3" s="1"/>
  <c r="J1391" i="3"/>
  <c r="K1391" i="3" s="1"/>
  <c r="J1390" i="3"/>
  <c r="K1390" i="3" s="1"/>
  <c r="J1389" i="3"/>
  <c r="K1389" i="3" s="1"/>
  <c r="J1388" i="3"/>
  <c r="J1387" i="3"/>
  <c r="J1386" i="3"/>
  <c r="K1386" i="3" s="1"/>
  <c r="J1385" i="3"/>
  <c r="K1385" i="3" s="1"/>
  <c r="J1384" i="3"/>
  <c r="K1384" i="3" s="1"/>
  <c r="J1383" i="3"/>
  <c r="K1383" i="3" s="1"/>
  <c r="J1382" i="3"/>
  <c r="K1382" i="3" s="1"/>
  <c r="J1381" i="3"/>
  <c r="K1381" i="3" s="1"/>
  <c r="J1380" i="3"/>
  <c r="K1380" i="3" s="1"/>
  <c r="J1379" i="3"/>
  <c r="K1379" i="3" s="1"/>
  <c r="J1378" i="3"/>
  <c r="J1377" i="3"/>
  <c r="K1377" i="3" s="1"/>
  <c r="J1376" i="3"/>
  <c r="K1376" i="3" s="1"/>
  <c r="J1375" i="3"/>
  <c r="K1375" i="3" s="1"/>
  <c r="J1374" i="3"/>
  <c r="K1374" i="3" s="1"/>
  <c r="J1373" i="3"/>
  <c r="K1373" i="3" s="1"/>
  <c r="J1372" i="3"/>
  <c r="K1372" i="3" s="1"/>
  <c r="J1371" i="3"/>
  <c r="K1371" i="3" s="1"/>
  <c r="J1370" i="3"/>
  <c r="K1370" i="3" s="1"/>
  <c r="J1369" i="3"/>
  <c r="K1369" i="3" s="1"/>
  <c r="J1368" i="3"/>
  <c r="K1368" i="3" s="1"/>
  <c r="J1367" i="3"/>
  <c r="K1367" i="3" s="1"/>
  <c r="J1366" i="3"/>
  <c r="K1366" i="3" s="1"/>
  <c r="J1365" i="3"/>
  <c r="K1365" i="3" s="1"/>
  <c r="J1364" i="3"/>
  <c r="K1364" i="3" s="1"/>
  <c r="J1363" i="3"/>
  <c r="K1363" i="3" s="1"/>
  <c r="J1362" i="3"/>
  <c r="K1362" i="3" s="1"/>
  <c r="J1361" i="3"/>
  <c r="K1361" i="3" s="1"/>
  <c r="J1360" i="3"/>
  <c r="K1360" i="3" s="1"/>
  <c r="J1359" i="3"/>
  <c r="K1359" i="3" s="1"/>
  <c r="J1358" i="3"/>
  <c r="K1358" i="3" s="1"/>
  <c r="J1357" i="3"/>
  <c r="K1357" i="3" s="1"/>
  <c r="J1356" i="3"/>
  <c r="K1356" i="3" s="1"/>
  <c r="J1355" i="3"/>
  <c r="K1355" i="3" s="1"/>
  <c r="J1354" i="3"/>
  <c r="K1354" i="3" s="1"/>
  <c r="J1353" i="3"/>
  <c r="K1353" i="3" s="1"/>
  <c r="J1352" i="3"/>
  <c r="K1352" i="3" s="1"/>
  <c r="J1351" i="3"/>
  <c r="K1351" i="3" s="1"/>
  <c r="J1350" i="3"/>
  <c r="K1350" i="3" s="1"/>
  <c r="J1349" i="3"/>
  <c r="K1349" i="3" s="1"/>
  <c r="J1348" i="3"/>
  <c r="J1347" i="3"/>
  <c r="K1347" i="3" s="1"/>
  <c r="J1346" i="3"/>
  <c r="K1346" i="3" s="1"/>
  <c r="J1345" i="3"/>
  <c r="K1345" i="3" s="1"/>
  <c r="J1344" i="3"/>
  <c r="K1344" i="3" s="1"/>
  <c r="J1343" i="3"/>
  <c r="K1343" i="3" s="1"/>
  <c r="J1342" i="3"/>
  <c r="K1342" i="3" s="1"/>
  <c r="J1341" i="3"/>
  <c r="K1341" i="3" s="1"/>
  <c r="J1340" i="3"/>
  <c r="K1340" i="3" s="1"/>
  <c r="J1339" i="3"/>
  <c r="K1339" i="3" s="1"/>
  <c r="J1338" i="3"/>
  <c r="K1338" i="3" s="1"/>
  <c r="J1337" i="3"/>
  <c r="K1337" i="3" s="1"/>
  <c r="J1336" i="3"/>
  <c r="K1336" i="3" s="1"/>
  <c r="J1335" i="3"/>
  <c r="K1335" i="3" s="1"/>
  <c r="J1334" i="3"/>
  <c r="K1334" i="3" s="1"/>
  <c r="J1333" i="3"/>
  <c r="K1333" i="3" s="1"/>
  <c r="J1332" i="3"/>
  <c r="K1332" i="3" s="1"/>
  <c r="J1331" i="3"/>
  <c r="K1331" i="3" s="1"/>
  <c r="J1330" i="3"/>
  <c r="K1330" i="3" s="1"/>
  <c r="J1329" i="3"/>
  <c r="K1329" i="3" s="1"/>
  <c r="J1328" i="3"/>
  <c r="K1328" i="3" s="1"/>
  <c r="J1327" i="3"/>
  <c r="K1327" i="3" s="1"/>
  <c r="J1326" i="3"/>
  <c r="K1326" i="3" s="1"/>
  <c r="J1325" i="3"/>
  <c r="K1325" i="3" s="1"/>
  <c r="J1324" i="3"/>
  <c r="K1324" i="3" s="1"/>
  <c r="J1323" i="3"/>
  <c r="K1323" i="3" s="1"/>
  <c r="J1322" i="3"/>
  <c r="K1322" i="3" s="1"/>
  <c r="J1321" i="3"/>
  <c r="K1321" i="3" s="1"/>
  <c r="J1320" i="3"/>
  <c r="K1320" i="3" s="1"/>
  <c r="J1319" i="3"/>
  <c r="K1319" i="3" s="1"/>
  <c r="J1318" i="3"/>
  <c r="K1318" i="3" s="1"/>
  <c r="J1317" i="3"/>
  <c r="K1317" i="3" s="1"/>
  <c r="J1316" i="3"/>
  <c r="K1316" i="3" s="1"/>
  <c r="J1315" i="3"/>
  <c r="K1315" i="3" s="1"/>
  <c r="J1314" i="3"/>
  <c r="K1314" i="3" s="1"/>
  <c r="J1313" i="3"/>
  <c r="K1313" i="3" s="1"/>
  <c r="J1312" i="3"/>
  <c r="K1312" i="3" s="1"/>
  <c r="J1311" i="3"/>
  <c r="K1311" i="3" s="1"/>
  <c r="J1310" i="3"/>
  <c r="K1310" i="3" s="1"/>
  <c r="J1309" i="3"/>
  <c r="K1309" i="3" s="1"/>
  <c r="J1308" i="3"/>
  <c r="K1308" i="3" s="1"/>
  <c r="J1307" i="3"/>
  <c r="K1307" i="3" s="1"/>
  <c r="J1306" i="3"/>
  <c r="K1306" i="3" s="1"/>
  <c r="J1305" i="3"/>
  <c r="K1305" i="3" s="1"/>
  <c r="J1304" i="3"/>
  <c r="K1304" i="3" s="1"/>
  <c r="J1303" i="3"/>
  <c r="K1303" i="3" s="1"/>
  <c r="J1302" i="3"/>
  <c r="J1301" i="3"/>
  <c r="K1301" i="3" s="1"/>
  <c r="J1300" i="3"/>
  <c r="K1300" i="3" s="1"/>
  <c r="J1299" i="3"/>
  <c r="K1299" i="3" s="1"/>
  <c r="J1298" i="3"/>
  <c r="K1298" i="3" s="1"/>
  <c r="J1297" i="3"/>
  <c r="K1297" i="3" s="1"/>
  <c r="J1296" i="3"/>
  <c r="K1296" i="3" s="1"/>
  <c r="J1295" i="3"/>
  <c r="K1295" i="3" s="1"/>
  <c r="J1294" i="3"/>
  <c r="K1294" i="3" s="1"/>
  <c r="J1293" i="3"/>
  <c r="K1293" i="3" s="1"/>
  <c r="J1292" i="3"/>
  <c r="K1292" i="3" s="1"/>
  <c r="J1291" i="3"/>
  <c r="K1291" i="3" s="1"/>
  <c r="J1290" i="3"/>
  <c r="K1290" i="3" s="1"/>
  <c r="J1289" i="3"/>
  <c r="K1289" i="3" s="1"/>
  <c r="J1288" i="3"/>
  <c r="K1288" i="3" s="1"/>
  <c r="J1287" i="3"/>
  <c r="K1287" i="3" s="1"/>
  <c r="J1286" i="3"/>
  <c r="K1286" i="3" s="1"/>
  <c r="J1285" i="3"/>
  <c r="K1285" i="3" s="1"/>
  <c r="J1284" i="3"/>
  <c r="K1284" i="3" s="1"/>
  <c r="J1283" i="3"/>
  <c r="K1283" i="3" s="1"/>
  <c r="J1282" i="3"/>
  <c r="K1282" i="3" s="1"/>
  <c r="J1281" i="3"/>
  <c r="K1281" i="3" s="1"/>
  <c r="J1280" i="3"/>
  <c r="K1280" i="3" s="1"/>
  <c r="J1279" i="3"/>
  <c r="K1279" i="3" s="1"/>
  <c r="J1278" i="3"/>
  <c r="K1278" i="3" s="1"/>
  <c r="J1277" i="3"/>
  <c r="K1277" i="3" s="1"/>
  <c r="J1276" i="3"/>
  <c r="K1276" i="3" s="1"/>
  <c r="J1275" i="3"/>
  <c r="K1275" i="3" s="1"/>
  <c r="J1274" i="3"/>
  <c r="K1274" i="3" s="1"/>
  <c r="J1273" i="3"/>
  <c r="J1272" i="3"/>
  <c r="J1271" i="3"/>
  <c r="K1271" i="3" s="1"/>
  <c r="J1270" i="3"/>
  <c r="K1270" i="3" s="1"/>
  <c r="J1269" i="3"/>
  <c r="K1269" i="3" s="1"/>
  <c r="J1268" i="3"/>
  <c r="K1268" i="3" s="1"/>
  <c r="J1267" i="3"/>
  <c r="K1267" i="3" s="1"/>
  <c r="J1266" i="3"/>
  <c r="K1266" i="3" s="1"/>
  <c r="J1265" i="3"/>
  <c r="K1265" i="3" s="1"/>
  <c r="J1264" i="3"/>
  <c r="K1264" i="3" s="1"/>
  <c r="J1263" i="3"/>
  <c r="K1263" i="3" s="1"/>
  <c r="J1262" i="3"/>
  <c r="K1262" i="3" s="1"/>
  <c r="J1261" i="3"/>
  <c r="K1261" i="3" s="1"/>
  <c r="J1260" i="3"/>
  <c r="K1260" i="3" s="1"/>
  <c r="J1259" i="3"/>
  <c r="K1259" i="3" s="1"/>
  <c r="J1258" i="3"/>
  <c r="K1258" i="3" s="1"/>
  <c r="J1257" i="3"/>
  <c r="K1257" i="3" s="1"/>
  <c r="J1256" i="3"/>
  <c r="K1256" i="3" s="1"/>
  <c r="J1255" i="3"/>
  <c r="K1255" i="3" s="1"/>
  <c r="J1254" i="3"/>
  <c r="K1254" i="3" s="1"/>
  <c r="J1253" i="3"/>
  <c r="K1253" i="3" s="1"/>
  <c r="J1252" i="3"/>
  <c r="J1251" i="3"/>
  <c r="K1251" i="3" s="1"/>
  <c r="J1250" i="3"/>
  <c r="K1250" i="3" s="1"/>
  <c r="J1249" i="3"/>
  <c r="J1248" i="3"/>
  <c r="K1248" i="3" s="1"/>
  <c r="J1247" i="3"/>
  <c r="K1247" i="3" s="1"/>
  <c r="J1246" i="3"/>
  <c r="K1246" i="3" s="1"/>
  <c r="J1245" i="3"/>
  <c r="K1245" i="3" s="1"/>
  <c r="J1244" i="3"/>
  <c r="K1244" i="3" s="1"/>
  <c r="J1243" i="3"/>
  <c r="K1243" i="3" s="1"/>
  <c r="J1242" i="3"/>
  <c r="K1242" i="3" s="1"/>
  <c r="J1241" i="3"/>
  <c r="K1241" i="3" s="1"/>
  <c r="J1240" i="3"/>
  <c r="K1240" i="3" s="1"/>
  <c r="J1239" i="3"/>
  <c r="K1239" i="3" s="1"/>
  <c r="J1238" i="3"/>
  <c r="K1238" i="3" s="1"/>
  <c r="J1237" i="3"/>
  <c r="K1237" i="3" s="1"/>
  <c r="J1236" i="3"/>
  <c r="K1236" i="3" s="1"/>
  <c r="J1235" i="3"/>
  <c r="K1235" i="3" s="1"/>
  <c r="J1234" i="3"/>
  <c r="K1234" i="3" s="1"/>
  <c r="J1233" i="3"/>
  <c r="K1233" i="3" s="1"/>
  <c r="J1232" i="3"/>
  <c r="K1232" i="3" s="1"/>
  <c r="J1231" i="3"/>
  <c r="K1231" i="3" s="1"/>
  <c r="J1230" i="3"/>
  <c r="K1230" i="3" s="1"/>
  <c r="J1229" i="3"/>
  <c r="K1229" i="3" s="1"/>
  <c r="J1228" i="3"/>
  <c r="K1228" i="3" s="1"/>
  <c r="J1227" i="3"/>
  <c r="K1227" i="3" s="1"/>
  <c r="J1226" i="3"/>
  <c r="K1226" i="3" s="1"/>
  <c r="J1225" i="3"/>
  <c r="J1224" i="3"/>
  <c r="K1224" i="3" s="1"/>
  <c r="J1223" i="3"/>
  <c r="K1223" i="3" s="1"/>
  <c r="J1222" i="3"/>
  <c r="K1222" i="3" s="1"/>
  <c r="J1221" i="3"/>
  <c r="K1221" i="3" s="1"/>
  <c r="J1220" i="3"/>
  <c r="K1220" i="3" s="1"/>
  <c r="J1219" i="3"/>
  <c r="J1218" i="3"/>
  <c r="K1218" i="3" s="1"/>
  <c r="J1217" i="3"/>
  <c r="J1216" i="3"/>
  <c r="K1216" i="3" s="1"/>
  <c r="J1215" i="3"/>
  <c r="K1215" i="3" s="1"/>
  <c r="J1214" i="3"/>
  <c r="J1213" i="3"/>
  <c r="K1213" i="3" s="1"/>
  <c r="J1212" i="3"/>
  <c r="K1212" i="3" s="1"/>
  <c r="J1211" i="3"/>
  <c r="K1211" i="3" s="1"/>
  <c r="J1210" i="3"/>
  <c r="K1210" i="3" s="1"/>
  <c r="J1209" i="3"/>
  <c r="K1209" i="3" s="1"/>
  <c r="J1208" i="3"/>
  <c r="K1208" i="3" s="1"/>
  <c r="J1207" i="3"/>
  <c r="K1207" i="3" s="1"/>
  <c r="J1206" i="3"/>
  <c r="K1206" i="3" s="1"/>
  <c r="J1205" i="3"/>
  <c r="K1205" i="3" s="1"/>
  <c r="J1204" i="3"/>
  <c r="K1204" i="3" s="1"/>
  <c r="J1203" i="3"/>
  <c r="K1203" i="3" s="1"/>
  <c r="J1202" i="3"/>
  <c r="J1201" i="3"/>
  <c r="K1201" i="3" s="1"/>
  <c r="J1200" i="3"/>
  <c r="K1200" i="3" s="1"/>
  <c r="J1199" i="3"/>
  <c r="K1199" i="3" s="1"/>
  <c r="J1198" i="3"/>
  <c r="K1198" i="3" s="1"/>
  <c r="J1197" i="3"/>
  <c r="K1197" i="3" s="1"/>
  <c r="J1196" i="3"/>
  <c r="K1196" i="3" s="1"/>
  <c r="J1195" i="3"/>
  <c r="K1195" i="3" s="1"/>
  <c r="J1194" i="3"/>
  <c r="K1194" i="3" s="1"/>
  <c r="J1193" i="3"/>
  <c r="K1193" i="3" s="1"/>
  <c r="J1192" i="3"/>
  <c r="K1192" i="3" s="1"/>
  <c r="J1191" i="3"/>
  <c r="K1191" i="3" s="1"/>
  <c r="J1190" i="3"/>
  <c r="K1190" i="3" s="1"/>
  <c r="J1189" i="3"/>
  <c r="K1189" i="3" s="1"/>
  <c r="J1188" i="3"/>
  <c r="K1188" i="3" s="1"/>
  <c r="J1187" i="3"/>
  <c r="K1187" i="3" s="1"/>
  <c r="J1186" i="3"/>
  <c r="K1186" i="3" s="1"/>
  <c r="J1185" i="3"/>
  <c r="K1185" i="3" s="1"/>
  <c r="J1184" i="3"/>
  <c r="K1184" i="3" s="1"/>
  <c r="J1183" i="3"/>
  <c r="K1183" i="3" s="1"/>
  <c r="J1182" i="3"/>
  <c r="K1182" i="3" s="1"/>
  <c r="J1181" i="3"/>
  <c r="K1181" i="3" s="1"/>
  <c r="J1180" i="3"/>
  <c r="K1180" i="3" s="1"/>
  <c r="J1179" i="3"/>
  <c r="K1179" i="3" s="1"/>
  <c r="J1178" i="3"/>
  <c r="K1178" i="3" s="1"/>
  <c r="J1177" i="3"/>
  <c r="K1177" i="3" s="1"/>
  <c r="J1176" i="3"/>
  <c r="K1176" i="3" s="1"/>
  <c r="J1175" i="3"/>
  <c r="K1175" i="3" s="1"/>
  <c r="J1174" i="3"/>
  <c r="K1174" i="3" s="1"/>
  <c r="J1173" i="3"/>
  <c r="K1173" i="3" s="1"/>
  <c r="J1172" i="3"/>
  <c r="K1172" i="3" s="1"/>
  <c r="J1171" i="3"/>
  <c r="J1170" i="3"/>
  <c r="K1170" i="3" s="1"/>
  <c r="J1169" i="3"/>
  <c r="K1169" i="3" s="1"/>
  <c r="J1168" i="3"/>
  <c r="K1168" i="3" s="1"/>
  <c r="J1167" i="3"/>
  <c r="K1167" i="3" s="1"/>
  <c r="J1166" i="3"/>
  <c r="K1166" i="3" s="1"/>
  <c r="J1165" i="3"/>
  <c r="K1165" i="3" s="1"/>
  <c r="J1164" i="3"/>
  <c r="K1164" i="3" s="1"/>
  <c r="J1163" i="3"/>
  <c r="K1163" i="3" s="1"/>
  <c r="J1162" i="3"/>
  <c r="K1162" i="3" s="1"/>
  <c r="J1161" i="3"/>
  <c r="K1161" i="3" s="1"/>
  <c r="J1160" i="3"/>
  <c r="K1160" i="3" s="1"/>
  <c r="J1159" i="3"/>
  <c r="K1159" i="3" s="1"/>
  <c r="J1158" i="3"/>
  <c r="K1158" i="3" s="1"/>
  <c r="J1157" i="3"/>
  <c r="K1157" i="3" s="1"/>
  <c r="J1156" i="3"/>
  <c r="K1156" i="3" s="1"/>
  <c r="J1155" i="3"/>
  <c r="K1155" i="3" s="1"/>
  <c r="J1154" i="3"/>
  <c r="K1154" i="3" s="1"/>
  <c r="J1153" i="3"/>
  <c r="K1153" i="3" s="1"/>
  <c r="J1152" i="3"/>
  <c r="K1152" i="3" s="1"/>
  <c r="J1151" i="3"/>
  <c r="K1151" i="3" s="1"/>
  <c r="J1150" i="3"/>
  <c r="K1150" i="3" s="1"/>
  <c r="J1149" i="3"/>
  <c r="K1149" i="3" s="1"/>
  <c r="J1148" i="3"/>
  <c r="K1148" i="3" s="1"/>
  <c r="J1147" i="3"/>
  <c r="K1147" i="3" s="1"/>
  <c r="J1146" i="3"/>
  <c r="K1146" i="3" s="1"/>
  <c r="J1145" i="3"/>
  <c r="K1145" i="3" s="1"/>
  <c r="J1144" i="3"/>
  <c r="K1144" i="3" s="1"/>
  <c r="J1143" i="3"/>
  <c r="K1143" i="3" s="1"/>
  <c r="J1142" i="3"/>
  <c r="K1142" i="3" s="1"/>
  <c r="J1141" i="3"/>
  <c r="K1141" i="3" s="1"/>
  <c r="J1140" i="3"/>
  <c r="K1140" i="3" s="1"/>
  <c r="J1139" i="3"/>
  <c r="K1139" i="3" s="1"/>
  <c r="J1138" i="3"/>
  <c r="J1137" i="3"/>
  <c r="K1137" i="3" s="1"/>
  <c r="J1136" i="3"/>
  <c r="K1136" i="3" s="1"/>
  <c r="J1135" i="3"/>
  <c r="K1135" i="3" s="1"/>
  <c r="J1134" i="3"/>
  <c r="K1134" i="3" s="1"/>
  <c r="J1133" i="3"/>
  <c r="K1133" i="3" s="1"/>
  <c r="J1132" i="3"/>
  <c r="K1132" i="3" s="1"/>
  <c r="J1131" i="3"/>
  <c r="K1131" i="3" s="1"/>
  <c r="J1130" i="3"/>
  <c r="J1129" i="3"/>
  <c r="J1128" i="3"/>
  <c r="K1128" i="3" s="1"/>
  <c r="J1127" i="3"/>
  <c r="K1127" i="3" s="1"/>
  <c r="J1126" i="3"/>
  <c r="K1126" i="3" s="1"/>
  <c r="J1125" i="3"/>
  <c r="K1125" i="3" s="1"/>
  <c r="J1124" i="3"/>
  <c r="K1124" i="3" s="1"/>
  <c r="J1123" i="3"/>
  <c r="K1123" i="3" s="1"/>
  <c r="J1122" i="3"/>
  <c r="K1122" i="3" s="1"/>
  <c r="J1121" i="3"/>
  <c r="K1121" i="3" s="1"/>
  <c r="J1120" i="3"/>
  <c r="K1120" i="3" s="1"/>
  <c r="J1119" i="3"/>
  <c r="J1118" i="3"/>
  <c r="J1117" i="3"/>
  <c r="K1117" i="3" s="1"/>
  <c r="J1116" i="3"/>
  <c r="K1116" i="3" s="1"/>
  <c r="J1115" i="3"/>
  <c r="K1115" i="3" s="1"/>
  <c r="J1114" i="3"/>
  <c r="K1114" i="3" s="1"/>
  <c r="J1113" i="3"/>
  <c r="J1112" i="3"/>
  <c r="K1112" i="3" s="1"/>
  <c r="J1111" i="3"/>
  <c r="K1111" i="3" s="1"/>
  <c r="J1110" i="3"/>
  <c r="K1110" i="3" s="1"/>
  <c r="J1109" i="3"/>
  <c r="J1108" i="3"/>
  <c r="K1108" i="3" s="1"/>
  <c r="J1107" i="3"/>
  <c r="K1107" i="3" s="1"/>
  <c r="J1106" i="3"/>
  <c r="J1105" i="3"/>
  <c r="K1105" i="3" s="1"/>
  <c r="J1104" i="3"/>
  <c r="K1104" i="3" s="1"/>
  <c r="J1103" i="3"/>
  <c r="K1103" i="3" s="1"/>
  <c r="J1102" i="3"/>
  <c r="K1102" i="3" s="1"/>
  <c r="J1101" i="3"/>
  <c r="K1101" i="3" s="1"/>
  <c r="J1100" i="3"/>
  <c r="J1099" i="3"/>
  <c r="K1099" i="3" s="1"/>
  <c r="J1098" i="3"/>
  <c r="K1098" i="3" s="1"/>
  <c r="J1097" i="3"/>
  <c r="K1097" i="3" s="1"/>
  <c r="J1096" i="3"/>
  <c r="K1096" i="3" s="1"/>
  <c r="J1095" i="3"/>
  <c r="K1095" i="3" s="1"/>
  <c r="J1094" i="3"/>
  <c r="K1094" i="3" s="1"/>
  <c r="J1093" i="3"/>
  <c r="K1093" i="3" s="1"/>
  <c r="J1092" i="3"/>
  <c r="K1092" i="3" s="1"/>
  <c r="J1091" i="3"/>
  <c r="K1091" i="3" s="1"/>
  <c r="J1090" i="3"/>
  <c r="K1090" i="3" s="1"/>
  <c r="J1089" i="3"/>
  <c r="K1089" i="3" s="1"/>
  <c r="J1088" i="3"/>
  <c r="K1088" i="3" s="1"/>
  <c r="J1087" i="3"/>
  <c r="K1087" i="3" s="1"/>
  <c r="J1086" i="3"/>
  <c r="J1085" i="3"/>
  <c r="K1085" i="3" s="1"/>
  <c r="J1084" i="3"/>
  <c r="K1084" i="3" s="1"/>
  <c r="J1083" i="3"/>
  <c r="K1083" i="3" s="1"/>
  <c r="J1082" i="3"/>
  <c r="K1082" i="3" s="1"/>
  <c r="J1081" i="3"/>
  <c r="K1081" i="3" s="1"/>
  <c r="J1080" i="3"/>
  <c r="K1080" i="3" s="1"/>
  <c r="J1079" i="3"/>
  <c r="K1079" i="3" s="1"/>
  <c r="J1078" i="3"/>
  <c r="K1078" i="3" s="1"/>
  <c r="J1077" i="3"/>
  <c r="K1077" i="3" s="1"/>
  <c r="J1076" i="3"/>
  <c r="K1076" i="3" s="1"/>
  <c r="J1075" i="3"/>
  <c r="K1075" i="3" s="1"/>
  <c r="J1074" i="3"/>
  <c r="K1074" i="3" s="1"/>
  <c r="J1073" i="3"/>
  <c r="K1073" i="3" s="1"/>
  <c r="J1072" i="3"/>
  <c r="K1072" i="3" s="1"/>
  <c r="J1071" i="3"/>
  <c r="J1070" i="3"/>
  <c r="K1070" i="3" s="1"/>
  <c r="J1069" i="3"/>
  <c r="K1069" i="3" s="1"/>
  <c r="J1068" i="3"/>
  <c r="K1068" i="3" s="1"/>
  <c r="J1067" i="3"/>
  <c r="K1067" i="3" s="1"/>
  <c r="J1066" i="3"/>
  <c r="K1066" i="3" s="1"/>
  <c r="J1065" i="3"/>
  <c r="K1065" i="3" s="1"/>
  <c r="J1064" i="3"/>
  <c r="K1064" i="3" s="1"/>
  <c r="J1063" i="3"/>
  <c r="K1063" i="3" s="1"/>
  <c r="J1062" i="3"/>
  <c r="K1062" i="3" s="1"/>
  <c r="J1061" i="3"/>
  <c r="K1061" i="3" s="1"/>
  <c r="J1060" i="3"/>
  <c r="K1060" i="3" s="1"/>
  <c r="J1059" i="3"/>
  <c r="K1059" i="3" s="1"/>
  <c r="J1058" i="3"/>
  <c r="K1058" i="3" s="1"/>
  <c r="J1057" i="3"/>
  <c r="K1057" i="3" s="1"/>
  <c r="J1056" i="3"/>
  <c r="K1056" i="3" s="1"/>
  <c r="J1055" i="3"/>
  <c r="K1055" i="3" s="1"/>
  <c r="J1054" i="3"/>
  <c r="K1054" i="3" s="1"/>
  <c r="J1053" i="3"/>
  <c r="K1053" i="3" s="1"/>
  <c r="J1052" i="3"/>
  <c r="K1052" i="3" s="1"/>
  <c r="J1051" i="3"/>
  <c r="K1051" i="3" s="1"/>
  <c r="J1050" i="3"/>
  <c r="K1050" i="3" s="1"/>
  <c r="J1049" i="3"/>
  <c r="K1049" i="3" s="1"/>
  <c r="J1048" i="3"/>
  <c r="K1048" i="3" s="1"/>
  <c r="J1047" i="3"/>
  <c r="J1046" i="3"/>
  <c r="K1046" i="3" s="1"/>
  <c r="J1045" i="3"/>
  <c r="K1045" i="3" s="1"/>
  <c r="J1044" i="3"/>
  <c r="J1043" i="3"/>
  <c r="K1043" i="3" s="1"/>
  <c r="J1042" i="3"/>
  <c r="K1042" i="3" s="1"/>
  <c r="J1041" i="3"/>
  <c r="K1041" i="3" s="1"/>
  <c r="J1040" i="3"/>
  <c r="K1040" i="3" s="1"/>
  <c r="J1039" i="3"/>
  <c r="K1039" i="3" s="1"/>
  <c r="J1038" i="3"/>
  <c r="K1038" i="3" s="1"/>
  <c r="J1037" i="3"/>
  <c r="K1037" i="3" s="1"/>
  <c r="J1036" i="3"/>
  <c r="K1036" i="3" s="1"/>
  <c r="J1035" i="3"/>
  <c r="K1035" i="3" s="1"/>
  <c r="J1034" i="3"/>
  <c r="J1033" i="3"/>
  <c r="K1033" i="3" s="1"/>
  <c r="J1032" i="3"/>
  <c r="K1032" i="3" s="1"/>
  <c r="J1031" i="3"/>
  <c r="K1031" i="3" s="1"/>
  <c r="J1030" i="3"/>
  <c r="K1030" i="3" s="1"/>
  <c r="J1029" i="3"/>
  <c r="K1029" i="3" s="1"/>
  <c r="J1028" i="3"/>
  <c r="K1028" i="3" s="1"/>
  <c r="J1027" i="3"/>
  <c r="K1027" i="3" s="1"/>
  <c r="J1026" i="3"/>
  <c r="K1026" i="3" s="1"/>
  <c r="J1025" i="3"/>
  <c r="K1025" i="3" s="1"/>
  <c r="J1024" i="3"/>
  <c r="K1024" i="3" s="1"/>
  <c r="J1023" i="3"/>
  <c r="K1023" i="3" s="1"/>
  <c r="J1022" i="3"/>
  <c r="J1021" i="3"/>
  <c r="K1021" i="3" s="1"/>
  <c r="J1020" i="3"/>
  <c r="K1020" i="3" s="1"/>
  <c r="J1019" i="3"/>
  <c r="K1019" i="3" s="1"/>
  <c r="J1018" i="3"/>
  <c r="K1018" i="3" s="1"/>
  <c r="J1017" i="3"/>
  <c r="K1017" i="3" s="1"/>
  <c r="J1016" i="3"/>
  <c r="K1016" i="3" s="1"/>
  <c r="J1015" i="3"/>
  <c r="K1015" i="3" s="1"/>
  <c r="J1014" i="3"/>
  <c r="K1014" i="3" s="1"/>
  <c r="J1013" i="3"/>
  <c r="K1013" i="3" s="1"/>
  <c r="J1012" i="3"/>
  <c r="K1012" i="3" s="1"/>
  <c r="J1011" i="3"/>
  <c r="K1011" i="3" s="1"/>
  <c r="J1010" i="3"/>
  <c r="K1010" i="3" s="1"/>
  <c r="J1009" i="3"/>
  <c r="K1009" i="3" s="1"/>
  <c r="J1008" i="3"/>
  <c r="K1008" i="3" s="1"/>
  <c r="J1007" i="3"/>
  <c r="K1007" i="3" s="1"/>
  <c r="J1006" i="3"/>
  <c r="K1006" i="3" s="1"/>
  <c r="J1005" i="3"/>
  <c r="K1005" i="3" s="1"/>
  <c r="J1004" i="3"/>
  <c r="K1004" i="3" s="1"/>
  <c r="J1003" i="3"/>
  <c r="J1002" i="3"/>
  <c r="K1002" i="3" s="1"/>
  <c r="J1001" i="3"/>
  <c r="K1001" i="3" s="1"/>
  <c r="J1000" i="3"/>
  <c r="K1000" i="3" s="1"/>
  <c r="J999" i="3"/>
  <c r="K999" i="3" s="1"/>
  <c r="J998" i="3"/>
  <c r="K998" i="3" s="1"/>
  <c r="J997" i="3"/>
  <c r="K997" i="3" s="1"/>
  <c r="J996" i="3"/>
  <c r="K996" i="3" s="1"/>
  <c r="J995" i="3"/>
  <c r="K995" i="3" s="1"/>
  <c r="J994" i="3"/>
  <c r="K994" i="3" s="1"/>
  <c r="J993" i="3"/>
  <c r="K993" i="3" s="1"/>
  <c r="J992" i="3"/>
  <c r="K992" i="3" s="1"/>
  <c r="J991" i="3"/>
  <c r="K991" i="3" s="1"/>
  <c r="J990" i="3"/>
  <c r="K990" i="3" s="1"/>
  <c r="J989" i="3"/>
  <c r="K989" i="3" s="1"/>
  <c r="J988" i="3"/>
  <c r="K988" i="3" s="1"/>
  <c r="J987" i="3"/>
  <c r="K987" i="3" s="1"/>
  <c r="J986" i="3"/>
  <c r="K986" i="3" s="1"/>
  <c r="J985" i="3"/>
  <c r="K985" i="3" s="1"/>
  <c r="J984" i="3"/>
  <c r="K984" i="3" s="1"/>
  <c r="J983" i="3"/>
  <c r="K983" i="3" s="1"/>
  <c r="J982" i="3"/>
  <c r="K982" i="3" s="1"/>
  <c r="J981" i="3"/>
  <c r="K981" i="3" s="1"/>
  <c r="J980" i="3"/>
  <c r="J979" i="3"/>
  <c r="K979" i="3" s="1"/>
  <c r="J978" i="3"/>
  <c r="K978" i="3" s="1"/>
  <c r="J977" i="3"/>
  <c r="K977" i="3" s="1"/>
  <c r="J976" i="3"/>
  <c r="K976" i="3" s="1"/>
  <c r="J975" i="3"/>
  <c r="K975" i="3" s="1"/>
  <c r="J974" i="3"/>
  <c r="K974" i="3" s="1"/>
  <c r="J973" i="3"/>
  <c r="K973" i="3" s="1"/>
  <c r="J972" i="3"/>
  <c r="K972" i="3" s="1"/>
  <c r="J971" i="3"/>
  <c r="K971" i="3" s="1"/>
  <c r="J970" i="3"/>
  <c r="K970" i="3" s="1"/>
  <c r="J969" i="3"/>
  <c r="K969" i="3" s="1"/>
  <c r="J968" i="3"/>
  <c r="K968" i="3" s="1"/>
  <c r="J967" i="3"/>
  <c r="K967" i="3" s="1"/>
  <c r="J966" i="3"/>
  <c r="K966" i="3" s="1"/>
  <c r="J965" i="3"/>
  <c r="K965" i="3" s="1"/>
  <c r="J964" i="3"/>
  <c r="K964" i="3" s="1"/>
  <c r="J963" i="3"/>
  <c r="K963" i="3" s="1"/>
  <c r="J962" i="3"/>
  <c r="K962" i="3" s="1"/>
  <c r="J961" i="3"/>
  <c r="K961" i="3" s="1"/>
  <c r="J960" i="3"/>
  <c r="K960" i="3" s="1"/>
  <c r="J959" i="3"/>
  <c r="K959" i="3" s="1"/>
  <c r="J958" i="3"/>
  <c r="K958" i="3" s="1"/>
  <c r="J957" i="3"/>
  <c r="K957" i="3" s="1"/>
  <c r="J956" i="3"/>
  <c r="K956" i="3" s="1"/>
  <c r="J955" i="3"/>
  <c r="K955" i="3" s="1"/>
  <c r="J954" i="3"/>
  <c r="K954" i="3" s="1"/>
  <c r="J953" i="3"/>
  <c r="K953" i="3" s="1"/>
  <c r="J952" i="3"/>
  <c r="K952" i="3" s="1"/>
  <c r="J951" i="3"/>
  <c r="K951" i="3" s="1"/>
  <c r="J950" i="3"/>
  <c r="K950" i="3" s="1"/>
  <c r="J949" i="3"/>
  <c r="K949" i="3" s="1"/>
  <c r="J948" i="3"/>
  <c r="K948" i="3" s="1"/>
  <c r="J947" i="3"/>
  <c r="K947" i="3" s="1"/>
  <c r="J946" i="3"/>
  <c r="K946" i="3" s="1"/>
  <c r="J945" i="3"/>
  <c r="K945" i="3" s="1"/>
  <c r="J944" i="3"/>
  <c r="K944" i="3" s="1"/>
  <c r="J943" i="3"/>
  <c r="K943" i="3" s="1"/>
  <c r="J942" i="3"/>
  <c r="K942" i="3" s="1"/>
  <c r="J941" i="3"/>
  <c r="K941" i="3" s="1"/>
  <c r="J940" i="3"/>
  <c r="K940" i="3" s="1"/>
  <c r="J939" i="3"/>
  <c r="K939" i="3" s="1"/>
  <c r="J938" i="3"/>
  <c r="K938" i="3" s="1"/>
  <c r="J937" i="3"/>
  <c r="K937" i="3" s="1"/>
  <c r="J936" i="3"/>
  <c r="K936" i="3" s="1"/>
  <c r="J935" i="3"/>
  <c r="K935" i="3" s="1"/>
  <c r="J934" i="3"/>
  <c r="K934" i="3" s="1"/>
  <c r="J933" i="3"/>
  <c r="K933" i="3" s="1"/>
  <c r="J932" i="3"/>
  <c r="K932" i="3" s="1"/>
  <c r="J931" i="3"/>
  <c r="K931" i="3" s="1"/>
  <c r="J930" i="3"/>
  <c r="K930" i="3" s="1"/>
  <c r="J929" i="3"/>
  <c r="K929" i="3" s="1"/>
  <c r="J928" i="3"/>
  <c r="K928" i="3" s="1"/>
  <c r="J927" i="3"/>
  <c r="K927" i="3" s="1"/>
  <c r="J926" i="3"/>
  <c r="K926" i="3" s="1"/>
  <c r="J925" i="3"/>
  <c r="K925" i="3" s="1"/>
  <c r="J924" i="3"/>
  <c r="K924" i="3" s="1"/>
  <c r="J923" i="3"/>
  <c r="K923" i="3" s="1"/>
  <c r="J922" i="3"/>
  <c r="K922" i="3" s="1"/>
  <c r="J921" i="3"/>
  <c r="K921" i="3" s="1"/>
  <c r="J920" i="3"/>
  <c r="K920" i="3" s="1"/>
  <c r="J919" i="3"/>
  <c r="K919" i="3" s="1"/>
  <c r="J918" i="3"/>
  <c r="K918" i="3" s="1"/>
  <c r="J917" i="3"/>
  <c r="K917" i="3" s="1"/>
  <c r="J916" i="3"/>
  <c r="K916" i="3" s="1"/>
  <c r="J915" i="3"/>
  <c r="K915" i="3" s="1"/>
  <c r="J914" i="3"/>
  <c r="K914" i="3" s="1"/>
  <c r="J913" i="3"/>
  <c r="K913" i="3" s="1"/>
  <c r="J912" i="3"/>
  <c r="K912" i="3" s="1"/>
  <c r="J911" i="3"/>
  <c r="K911" i="3" s="1"/>
  <c r="J910" i="3"/>
  <c r="K910" i="3" s="1"/>
  <c r="J909" i="3"/>
  <c r="J908" i="3"/>
  <c r="J907" i="3"/>
  <c r="J906" i="3"/>
  <c r="K906" i="3" s="1"/>
  <c r="J905" i="3"/>
  <c r="K905" i="3" s="1"/>
  <c r="J904" i="3"/>
  <c r="J903" i="3"/>
  <c r="K903" i="3" s="1"/>
  <c r="J902" i="3"/>
  <c r="J901" i="3"/>
  <c r="K901" i="3" s="1"/>
  <c r="J900" i="3"/>
  <c r="K900" i="3" s="1"/>
  <c r="J899" i="3"/>
  <c r="J898" i="3"/>
  <c r="K898" i="3" s="1"/>
  <c r="J897" i="3"/>
  <c r="J896" i="3"/>
  <c r="J895" i="3"/>
  <c r="K895" i="3" s="1"/>
  <c r="J894" i="3"/>
  <c r="K894" i="3" s="1"/>
  <c r="J893" i="3"/>
  <c r="J892" i="3"/>
  <c r="K892" i="3" s="1"/>
  <c r="J891" i="3"/>
  <c r="K891" i="3" s="1"/>
  <c r="J890" i="3"/>
  <c r="K890" i="3" s="1"/>
  <c r="J889" i="3"/>
  <c r="K889" i="3" s="1"/>
  <c r="J888" i="3"/>
  <c r="K888" i="3" s="1"/>
  <c r="J887" i="3"/>
  <c r="K887" i="3" s="1"/>
  <c r="J886" i="3"/>
  <c r="K886" i="3" s="1"/>
  <c r="J885" i="3"/>
  <c r="K885" i="3" s="1"/>
  <c r="J884" i="3"/>
  <c r="J883" i="3"/>
  <c r="J882" i="3"/>
  <c r="K882" i="3" s="1"/>
  <c r="J881" i="3"/>
  <c r="K881" i="3" s="1"/>
  <c r="J880" i="3"/>
  <c r="J879" i="3"/>
  <c r="K879" i="3" s="1"/>
  <c r="J878" i="3"/>
  <c r="K878" i="3" s="1"/>
  <c r="J877" i="3"/>
  <c r="K877" i="3" s="1"/>
  <c r="J876" i="3"/>
  <c r="K876" i="3" s="1"/>
  <c r="J875" i="3"/>
  <c r="K875" i="3" s="1"/>
  <c r="J874" i="3"/>
  <c r="K874" i="3" s="1"/>
  <c r="J873" i="3"/>
  <c r="K873" i="3" s="1"/>
  <c r="J872" i="3"/>
  <c r="K872" i="3" s="1"/>
  <c r="J871" i="3"/>
  <c r="K871" i="3" s="1"/>
  <c r="J870" i="3"/>
  <c r="K870" i="3" s="1"/>
  <c r="J869" i="3"/>
  <c r="J868" i="3"/>
  <c r="K868" i="3" s="1"/>
  <c r="J867" i="3"/>
  <c r="J866" i="3"/>
  <c r="J865" i="3"/>
  <c r="K865" i="3" s="1"/>
  <c r="J864" i="3"/>
  <c r="J863" i="3"/>
  <c r="J862" i="3"/>
  <c r="K862" i="3" s="1"/>
  <c r="J861" i="3"/>
  <c r="K861" i="3" s="1"/>
  <c r="J860" i="3"/>
  <c r="K860" i="3" s="1"/>
  <c r="J859" i="3"/>
  <c r="K859" i="3" s="1"/>
  <c r="J858" i="3"/>
  <c r="K858" i="3" s="1"/>
  <c r="J857" i="3"/>
  <c r="K857" i="3" s="1"/>
  <c r="J856" i="3"/>
  <c r="K856" i="3" s="1"/>
  <c r="J855" i="3"/>
  <c r="K855" i="3" s="1"/>
  <c r="J854" i="3"/>
  <c r="K854" i="3" s="1"/>
  <c r="J853" i="3"/>
  <c r="K853" i="3" s="1"/>
  <c r="J852" i="3"/>
  <c r="K852" i="3" s="1"/>
  <c r="J851" i="3"/>
  <c r="K851" i="3" s="1"/>
  <c r="J850" i="3"/>
  <c r="K850" i="3" s="1"/>
  <c r="J849" i="3"/>
  <c r="K849" i="3" s="1"/>
  <c r="J848" i="3"/>
  <c r="K848" i="3" s="1"/>
  <c r="J847" i="3"/>
  <c r="K847" i="3" s="1"/>
  <c r="J846" i="3"/>
  <c r="K846" i="3" s="1"/>
  <c r="J845" i="3"/>
  <c r="K845" i="3" s="1"/>
  <c r="J844" i="3"/>
  <c r="K844" i="3" s="1"/>
  <c r="J843" i="3"/>
  <c r="K843" i="3" s="1"/>
  <c r="J842" i="3"/>
  <c r="K842" i="3" s="1"/>
  <c r="J841" i="3"/>
  <c r="K841" i="3" s="1"/>
  <c r="J840" i="3"/>
  <c r="K840" i="3" s="1"/>
  <c r="J839" i="3"/>
  <c r="K839" i="3" s="1"/>
  <c r="J838" i="3"/>
  <c r="K838" i="3" s="1"/>
  <c r="J837" i="3"/>
  <c r="K837" i="3" s="1"/>
  <c r="J836" i="3"/>
  <c r="K836" i="3" s="1"/>
  <c r="J835" i="3"/>
  <c r="K835" i="3" s="1"/>
  <c r="J834" i="3"/>
  <c r="K834" i="3" s="1"/>
  <c r="J833" i="3"/>
  <c r="K833" i="3" s="1"/>
  <c r="J832" i="3"/>
  <c r="K832" i="3" s="1"/>
  <c r="J831" i="3"/>
  <c r="K831" i="3" s="1"/>
  <c r="J830" i="3"/>
  <c r="K830" i="3" s="1"/>
  <c r="J829" i="3"/>
  <c r="K829" i="3" s="1"/>
  <c r="J828" i="3"/>
  <c r="K828" i="3" s="1"/>
  <c r="J827" i="3"/>
  <c r="K827" i="3" s="1"/>
  <c r="J826" i="3"/>
  <c r="K826" i="3" s="1"/>
  <c r="J825" i="3"/>
  <c r="K825" i="3" s="1"/>
  <c r="J824" i="3"/>
  <c r="K824" i="3" s="1"/>
  <c r="J823" i="3"/>
  <c r="K823" i="3" s="1"/>
  <c r="J822" i="3"/>
  <c r="K822" i="3" s="1"/>
  <c r="J821" i="3"/>
  <c r="J820" i="3"/>
  <c r="J819" i="3"/>
  <c r="K819" i="3" s="1"/>
  <c r="J818" i="3"/>
  <c r="K818" i="3" s="1"/>
  <c r="J817" i="3"/>
  <c r="K817" i="3" s="1"/>
  <c r="J816" i="3"/>
  <c r="K816" i="3" s="1"/>
  <c r="J815" i="3"/>
  <c r="K815" i="3" s="1"/>
  <c r="J814" i="3"/>
  <c r="K814" i="3" s="1"/>
  <c r="J813" i="3"/>
  <c r="K813" i="3" s="1"/>
  <c r="J812" i="3"/>
  <c r="K812" i="3" s="1"/>
  <c r="J811" i="3"/>
  <c r="K811" i="3" s="1"/>
  <c r="J810" i="3"/>
  <c r="K810" i="3" s="1"/>
  <c r="J809" i="3"/>
  <c r="K809" i="3" s="1"/>
  <c r="J808" i="3"/>
  <c r="K808" i="3" s="1"/>
  <c r="J807" i="3"/>
  <c r="K807" i="3" s="1"/>
  <c r="J806" i="3"/>
  <c r="K806" i="3" s="1"/>
  <c r="J805" i="3"/>
  <c r="K805" i="3" s="1"/>
  <c r="J804" i="3"/>
  <c r="K804" i="3" s="1"/>
  <c r="J803" i="3"/>
  <c r="K803" i="3" s="1"/>
  <c r="J802" i="3"/>
  <c r="K802" i="3" s="1"/>
  <c r="J801" i="3"/>
  <c r="K801" i="3" s="1"/>
  <c r="J800" i="3"/>
  <c r="K800" i="3" s="1"/>
  <c r="J799" i="3"/>
  <c r="K799" i="3" s="1"/>
  <c r="J798" i="3"/>
  <c r="K798" i="3" s="1"/>
  <c r="J797" i="3"/>
  <c r="K797" i="3" s="1"/>
  <c r="J796" i="3"/>
  <c r="K796" i="3" s="1"/>
  <c r="J795" i="3"/>
  <c r="K795" i="3" s="1"/>
  <c r="J794" i="3"/>
  <c r="K794" i="3" s="1"/>
  <c r="J793" i="3"/>
  <c r="J792" i="3"/>
  <c r="K792" i="3" s="1"/>
  <c r="J791" i="3"/>
  <c r="K791" i="3" s="1"/>
  <c r="J790" i="3"/>
  <c r="K790" i="3" s="1"/>
  <c r="J789" i="3"/>
  <c r="K789" i="3" s="1"/>
  <c r="J788" i="3"/>
  <c r="J787" i="3"/>
  <c r="K787" i="3" s="1"/>
  <c r="J786" i="3"/>
  <c r="K786" i="3" s="1"/>
  <c r="J785" i="3"/>
  <c r="K785" i="3" s="1"/>
  <c r="J784" i="3"/>
  <c r="K784" i="3" s="1"/>
  <c r="J783" i="3"/>
  <c r="K783" i="3" s="1"/>
  <c r="J782" i="3"/>
  <c r="K782" i="3" s="1"/>
  <c r="J781" i="3"/>
  <c r="J780" i="3"/>
  <c r="J779" i="3"/>
  <c r="K779" i="3" s="1"/>
  <c r="J778" i="3"/>
  <c r="J777" i="3"/>
  <c r="K777" i="3" s="1"/>
  <c r="J776" i="3"/>
  <c r="K776" i="3" s="1"/>
  <c r="J775" i="3"/>
  <c r="K775" i="3" s="1"/>
  <c r="J774" i="3"/>
  <c r="K774" i="3" s="1"/>
  <c r="J773" i="3"/>
  <c r="J772" i="3"/>
  <c r="K772" i="3" s="1"/>
  <c r="J771" i="3"/>
  <c r="J770" i="3"/>
  <c r="K770" i="3" s="1"/>
  <c r="J769" i="3"/>
  <c r="J768" i="3"/>
  <c r="K768" i="3" s="1"/>
  <c r="J767" i="3"/>
  <c r="K767" i="3" s="1"/>
  <c r="J766" i="3"/>
  <c r="J765" i="3"/>
  <c r="J764" i="3"/>
  <c r="K764" i="3" s="1"/>
  <c r="J763" i="3"/>
  <c r="K763" i="3" s="1"/>
  <c r="J762" i="3"/>
  <c r="K762" i="3" s="1"/>
  <c r="J761" i="3"/>
  <c r="K761" i="3" s="1"/>
  <c r="J760" i="3"/>
  <c r="K760" i="3" s="1"/>
  <c r="J759" i="3"/>
  <c r="K759" i="3" s="1"/>
  <c r="J758" i="3"/>
  <c r="K758" i="3" s="1"/>
  <c r="J757" i="3"/>
  <c r="K757" i="3" s="1"/>
  <c r="J756" i="3"/>
  <c r="K756" i="3" s="1"/>
  <c r="J755" i="3"/>
  <c r="K755" i="3" s="1"/>
  <c r="J754" i="3"/>
  <c r="K754" i="3" s="1"/>
  <c r="J753" i="3"/>
  <c r="J752" i="3"/>
  <c r="K752" i="3" s="1"/>
  <c r="J751" i="3"/>
  <c r="J750" i="3"/>
  <c r="K750" i="3" s="1"/>
  <c r="J749" i="3"/>
  <c r="K749" i="3" s="1"/>
  <c r="J748" i="3"/>
  <c r="K748" i="3" s="1"/>
  <c r="J747" i="3"/>
  <c r="K747" i="3" s="1"/>
  <c r="J746" i="3"/>
  <c r="K746" i="3" s="1"/>
  <c r="J745" i="3"/>
  <c r="K745" i="3" s="1"/>
  <c r="J744" i="3"/>
  <c r="K744" i="3" s="1"/>
  <c r="J743" i="3"/>
  <c r="K743" i="3" s="1"/>
  <c r="J742" i="3"/>
  <c r="J741" i="3"/>
  <c r="K741" i="3" s="1"/>
  <c r="J740" i="3"/>
  <c r="K740" i="3" s="1"/>
  <c r="J739" i="3"/>
  <c r="J738" i="3"/>
  <c r="K738" i="3" s="1"/>
  <c r="J737" i="3"/>
  <c r="K737" i="3" s="1"/>
  <c r="J736" i="3"/>
  <c r="K736" i="3" s="1"/>
  <c r="J735" i="3"/>
  <c r="K735" i="3" s="1"/>
  <c r="J734" i="3"/>
  <c r="K734" i="3" s="1"/>
  <c r="J733" i="3"/>
  <c r="K733" i="3" s="1"/>
  <c r="J732" i="3"/>
  <c r="K732" i="3" s="1"/>
  <c r="J731" i="3"/>
  <c r="K731" i="3" s="1"/>
  <c r="J730" i="3"/>
  <c r="K730" i="3" s="1"/>
  <c r="J729" i="3"/>
  <c r="K729" i="3" s="1"/>
  <c r="J728" i="3"/>
  <c r="K728" i="3" s="1"/>
  <c r="J727" i="3"/>
  <c r="K727" i="3" s="1"/>
  <c r="J726" i="3"/>
  <c r="K726" i="3" s="1"/>
  <c r="J725" i="3"/>
  <c r="K725" i="3" s="1"/>
  <c r="J724" i="3"/>
  <c r="K724" i="3" s="1"/>
  <c r="J723" i="3"/>
  <c r="K723" i="3" s="1"/>
  <c r="J722" i="3"/>
  <c r="K722" i="3" s="1"/>
  <c r="J721" i="3"/>
  <c r="K721" i="3" s="1"/>
  <c r="J720" i="3"/>
  <c r="K720" i="3" s="1"/>
  <c r="J719" i="3"/>
  <c r="K719" i="3" s="1"/>
  <c r="J718" i="3"/>
  <c r="K718" i="3" s="1"/>
  <c r="J717" i="3"/>
  <c r="J716" i="3"/>
  <c r="K716" i="3" s="1"/>
  <c r="J715" i="3"/>
  <c r="K715" i="3" s="1"/>
  <c r="J714" i="3"/>
  <c r="K714" i="3" s="1"/>
  <c r="J713" i="3"/>
  <c r="K713" i="3" s="1"/>
  <c r="J712" i="3"/>
  <c r="K712" i="3" s="1"/>
  <c r="J711" i="3"/>
  <c r="K711" i="3" s="1"/>
  <c r="J710" i="3"/>
  <c r="K710" i="3" s="1"/>
  <c r="J709" i="3"/>
  <c r="K709" i="3" s="1"/>
  <c r="J708" i="3"/>
  <c r="K708" i="3" s="1"/>
  <c r="J707" i="3"/>
  <c r="K707" i="3" s="1"/>
  <c r="J706" i="3"/>
  <c r="K706" i="3" s="1"/>
  <c r="J705" i="3"/>
  <c r="K705" i="3" s="1"/>
  <c r="J704" i="3"/>
  <c r="K704" i="3" s="1"/>
  <c r="J703" i="3"/>
  <c r="K703" i="3" s="1"/>
  <c r="J702" i="3"/>
  <c r="K702" i="3" s="1"/>
  <c r="J701" i="3"/>
  <c r="K701" i="3" s="1"/>
  <c r="J700" i="3"/>
  <c r="K700" i="3" s="1"/>
  <c r="J699" i="3"/>
  <c r="K699" i="3" s="1"/>
  <c r="J698" i="3"/>
  <c r="K698" i="3" s="1"/>
  <c r="J697" i="3"/>
  <c r="K697" i="3" s="1"/>
  <c r="J696" i="3"/>
  <c r="K696" i="3" s="1"/>
  <c r="J695" i="3"/>
  <c r="K695" i="3" s="1"/>
  <c r="J694" i="3"/>
  <c r="K694" i="3" s="1"/>
  <c r="J693" i="3"/>
  <c r="K693" i="3" s="1"/>
  <c r="J692" i="3"/>
  <c r="K692" i="3" s="1"/>
  <c r="J691" i="3"/>
  <c r="K691" i="3" s="1"/>
  <c r="J690" i="3"/>
  <c r="K690" i="3" s="1"/>
  <c r="J689" i="3"/>
  <c r="K689" i="3" s="1"/>
  <c r="J688" i="3"/>
  <c r="K688" i="3" s="1"/>
  <c r="J687" i="3"/>
  <c r="J686" i="3"/>
  <c r="J685" i="3"/>
  <c r="K685" i="3" s="1"/>
  <c r="J684" i="3"/>
  <c r="K684" i="3" s="1"/>
  <c r="J683" i="3"/>
  <c r="K683" i="3" s="1"/>
  <c r="J682" i="3"/>
  <c r="K682" i="3" s="1"/>
  <c r="J681" i="3"/>
  <c r="K681" i="3" s="1"/>
  <c r="J680" i="3"/>
  <c r="J679" i="3"/>
  <c r="K679" i="3" s="1"/>
  <c r="J678" i="3"/>
  <c r="K678" i="3" s="1"/>
  <c r="J677" i="3"/>
  <c r="K677" i="3" s="1"/>
  <c r="J676" i="3"/>
  <c r="K676" i="3" s="1"/>
  <c r="J675" i="3"/>
  <c r="J674" i="3"/>
  <c r="J673" i="3"/>
  <c r="J672" i="3"/>
  <c r="J671" i="3"/>
  <c r="J670" i="3"/>
  <c r="J669" i="3"/>
  <c r="K669" i="3" s="1"/>
  <c r="J668" i="3"/>
  <c r="K668" i="3" s="1"/>
  <c r="J667" i="3"/>
  <c r="K667" i="3" s="1"/>
  <c r="J666" i="3"/>
  <c r="J665" i="3"/>
  <c r="K665" i="3" s="1"/>
  <c r="J664" i="3"/>
  <c r="K664" i="3" s="1"/>
  <c r="J663" i="3"/>
  <c r="K663" i="3" s="1"/>
  <c r="J662" i="3"/>
  <c r="K662" i="3" s="1"/>
  <c r="J661" i="3"/>
  <c r="K661" i="3" s="1"/>
  <c r="J660" i="3"/>
  <c r="K660" i="3" s="1"/>
  <c r="J659" i="3"/>
  <c r="K659" i="3" s="1"/>
  <c r="J658" i="3"/>
  <c r="J657" i="3"/>
  <c r="K657" i="3" s="1"/>
  <c r="J656" i="3"/>
  <c r="K656" i="3" s="1"/>
  <c r="J655" i="3"/>
  <c r="K655" i="3" s="1"/>
  <c r="J654" i="3"/>
  <c r="K654" i="3" s="1"/>
  <c r="J653" i="3"/>
  <c r="K653" i="3" s="1"/>
  <c r="J652" i="3"/>
  <c r="K652" i="3" s="1"/>
  <c r="J651" i="3"/>
  <c r="J650" i="3"/>
  <c r="K650" i="3" s="1"/>
  <c r="J649" i="3"/>
  <c r="K649" i="3" s="1"/>
  <c r="J648" i="3"/>
  <c r="K648" i="3" s="1"/>
  <c r="J647" i="3"/>
  <c r="K647" i="3" s="1"/>
  <c r="J646" i="3"/>
  <c r="K646" i="3" s="1"/>
  <c r="J645" i="3"/>
  <c r="K645" i="3" s="1"/>
  <c r="J644" i="3"/>
  <c r="K644" i="3" s="1"/>
  <c r="J643" i="3"/>
  <c r="K643" i="3" s="1"/>
  <c r="J642" i="3"/>
  <c r="J641" i="3"/>
  <c r="K641" i="3" s="1"/>
  <c r="J640" i="3"/>
  <c r="K640" i="3" s="1"/>
  <c r="J639" i="3"/>
  <c r="K639" i="3" s="1"/>
  <c r="J638" i="3"/>
  <c r="K638" i="3" s="1"/>
  <c r="J637" i="3"/>
  <c r="K637" i="3" s="1"/>
  <c r="J636" i="3"/>
  <c r="K636" i="3" s="1"/>
  <c r="J635" i="3"/>
  <c r="K635" i="3" s="1"/>
  <c r="J634" i="3"/>
  <c r="K634" i="3" s="1"/>
  <c r="J633" i="3"/>
  <c r="J632" i="3"/>
  <c r="K632" i="3" s="1"/>
  <c r="J631" i="3"/>
  <c r="K631" i="3" s="1"/>
  <c r="J630" i="3"/>
  <c r="K630" i="3" s="1"/>
  <c r="J629" i="3"/>
  <c r="K629" i="3" s="1"/>
  <c r="J628" i="3"/>
  <c r="K628" i="3" s="1"/>
  <c r="J627" i="3"/>
  <c r="K627" i="3" s="1"/>
  <c r="J626" i="3"/>
  <c r="K626" i="3" s="1"/>
  <c r="J625" i="3"/>
  <c r="K625" i="3" s="1"/>
  <c r="J624" i="3"/>
  <c r="K624" i="3" s="1"/>
  <c r="J623" i="3"/>
  <c r="K623" i="3" s="1"/>
  <c r="J622" i="3"/>
  <c r="K622" i="3" s="1"/>
  <c r="J621" i="3"/>
  <c r="K621" i="3" s="1"/>
  <c r="J620" i="3"/>
  <c r="K620" i="3" s="1"/>
  <c r="J619" i="3"/>
  <c r="K619" i="3" s="1"/>
  <c r="J618" i="3"/>
  <c r="K618" i="3" s="1"/>
  <c r="J617" i="3"/>
  <c r="K617" i="3" s="1"/>
  <c r="J616" i="3"/>
  <c r="J615" i="3"/>
  <c r="K615" i="3" s="1"/>
  <c r="J614" i="3"/>
  <c r="K614" i="3" s="1"/>
  <c r="J613" i="3"/>
  <c r="K613" i="3" s="1"/>
  <c r="J612" i="3"/>
  <c r="K612" i="3" s="1"/>
  <c r="J611" i="3"/>
  <c r="K611" i="3" s="1"/>
  <c r="J610" i="3"/>
  <c r="K610" i="3" s="1"/>
  <c r="J609" i="3"/>
  <c r="K609" i="3" s="1"/>
  <c r="J608" i="3"/>
  <c r="K608" i="3" s="1"/>
  <c r="J607" i="3"/>
  <c r="K607" i="3" s="1"/>
  <c r="J606" i="3"/>
  <c r="K606" i="3" s="1"/>
  <c r="J605" i="3"/>
  <c r="K605" i="3" s="1"/>
  <c r="J604" i="3"/>
  <c r="K604" i="3" s="1"/>
  <c r="J603" i="3"/>
  <c r="K603" i="3" s="1"/>
  <c r="J602" i="3"/>
  <c r="K602" i="3" s="1"/>
  <c r="J601" i="3"/>
  <c r="K601" i="3" s="1"/>
  <c r="J600" i="3"/>
  <c r="K600" i="3" s="1"/>
  <c r="J599" i="3"/>
  <c r="K599" i="3" s="1"/>
  <c r="J598" i="3"/>
  <c r="K598" i="3" s="1"/>
  <c r="J597" i="3"/>
  <c r="K597" i="3" s="1"/>
  <c r="J596" i="3"/>
  <c r="J595" i="3"/>
  <c r="K595" i="3" s="1"/>
  <c r="J594" i="3"/>
  <c r="J593" i="3"/>
  <c r="K593" i="3" s="1"/>
  <c r="J592" i="3"/>
  <c r="K592" i="3" s="1"/>
  <c r="J591" i="3"/>
  <c r="K591" i="3" s="1"/>
  <c r="J590" i="3"/>
  <c r="K590" i="3" s="1"/>
  <c r="J589" i="3"/>
  <c r="K589" i="3" s="1"/>
  <c r="J588" i="3"/>
  <c r="K588" i="3" s="1"/>
  <c r="J587" i="3"/>
  <c r="J586" i="3"/>
  <c r="K586" i="3" s="1"/>
  <c r="J585" i="3"/>
  <c r="K585" i="3" s="1"/>
  <c r="J584" i="3"/>
  <c r="K584" i="3" s="1"/>
  <c r="J583" i="3"/>
  <c r="K583" i="3" s="1"/>
  <c r="J582" i="3"/>
  <c r="K582" i="3" s="1"/>
  <c r="J581" i="3"/>
  <c r="K581" i="3" s="1"/>
  <c r="J580" i="3"/>
  <c r="K580" i="3" s="1"/>
  <c r="J579" i="3"/>
  <c r="J578" i="3"/>
  <c r="K578" i="3" s="1"/>
  <c r="J577" i="3"/>
  <c r="J576" i="3"/>
  <c r="J575" i="3"/>
  <c r="J574" i="3"/>
  <c r="K574" i="3" s="1"/>
  <c r="J573" i="3"/>
  <c r="K573" i="3" s="1"/>
  <c r="J572" i="3"/>
  <c r="K572" i="3" s="1"/>
  <c r="J571" i="3"/>
  <c r="J570" i="3"/>
  <c r="K570" i="3" s="1"/>
  <c r="J569" i="3"/>
  <c r="J568" i="3"/>
  <c r="J567" i="3"/>
  <c r="K567" i="3" s="1"/>
  <c r="J566" i="3"/>
  <c r="J565" i="3"/>
  <c r="J564" i="3"/>
  <c r="K564" i="3" s="1"/>
  <c r="J563" i="3"/>
  <c r="J562" i="3"/>
  <c r="K562" i="3" s="1"/>
  <c r="J561" i="3"/>
  <c r="K561" i="3" s="1"/>
  <c r="J560" i="3"/>
  <c r="K560" i="3" s="1"/>
  <c r="J559" i="3"/>
  <c r="K559" i="3" s="1"/>
  <c r="J558" i="3"/>
  <c r="K558" i="3" s="1"/>
  <c r="J557" i="3"/>
  <c r="K557" i="3" s="1"/>
  <c r="J556" i="3"/>
  <c r="J555" i="3"/>
  <c r="K555" i="3" s="1"/>
  <c r="J554" i="3"/>
  <c r="K554" i="3" s="1"/>
  <c r="J553" i="3"/>
  <c r="K553" i="3" s="1"/>
  <c r="J552" i="3"/>
  <c r="J551" i="3"/>
  <c r="K551" i="3" s="1"/>
  <c r="J550" i="3"/>
  <c r="K550" i="3" s="1"/>
  <c r="J549" i="3"/>
  <c r="K549" i="3" s="1"/>
  <c r="J548" i="3"/>
  <c r="K548" i="3" s="1"/>
  <c r="J547" i="3"/>
  <c r="J546" i="3"/>
  <c r="K546" i="3" s="1"/>
  <c r="J545" i="3"/>
  <c r="K545" i="3" s="1"/>
  <c r="J544" i="3"/>
  <c r="J543" i="3"/>
  <c r="K543" i="3" s="1"/>
  <c r="J542" i="3"/>
  <c r="J541" i="3"/>
  <c r="K541" i="3" s="1"/>
  <c r="J540" i="3"/>
  <c r="K540" i="3" s="1"/>
  <c r="J539" i="3"/>
  <c r="J538" i="3"/>
  <c r="K538" i="3" s="1"/>
  <c r="J537" i="3"/>
  <c r="J536" i="3"/>
  <c r="J535" i="3"/>
  <c r="K535" i="3" s="1"/>
  <c r="J534" i="3"/>
  <c r="K534" i="3" s="1"/>
  <c r="J533" i="3"/>
  <c r="K533" i="3" s="1"/>
  <c r="J532" i="3"/>
  <c r="K532" i="3" s="1"/>
  <c r="J531" i="3"/>
  <c r="J530" i="3"/>
  <c r="K530" i="3" s="1"/>
  <c r="J529" i="3"/>
  <c r="J528" i="3"/>
  <c r="K528" i="3" s="1"/>
  <c r="J527" i="3"/>
  <c r="K527" i="3" s="1"/>
  <c r="J526" i="3"/>
  <c r="J525" i="3"/>
  <c r="K525" i="3" s="1"/>
  <c r="J524" i="3"/>
  <c r="J523" i="3"/>
  <c r="K523" i="3" s="1"/>
  <c r="J522" i="3"/>
  <c r="K522" i="3" s="1"/>
  <c r="J521" i="3"/>
  <c r="J520" i="3"/>
  <c r="K520" i="3" s="1"/>
  <c r="J519" i="3"/>
  <c r="K519" i="3" s="1"/>
  <c r="J518" i="3"/>
  <c r="K518" i="3" s="1"/>
  <c r="J517" i="3"/>
  <c r="K517" i="3" s="1"/>
  <c r="J516" i="3"/>
  <c r="J515" i="3"/>
  <c r="K515" i="3" s="1"/>
  <c r="J514" i="3"/>
  <c r="K514" i="3" s="1"/>
  <c r="J513" i="3"/>
  <c r="J512" i="3"/>
  <c r="K512" i="3" s="1"/>
  <c r="J511" i="3"/>
  <c r="J510" i="3"/>
  <c r="K510" i="3" s="1"/>
  <c r="J509" i="3"/>
  <c r="J508" i="3"/>
  <c r="K508" i="3" s="1"/>
  <c r="J507" i="3"/>
  <c r="J506" i="3"/>
  <c r="K506" i="3" s="1"/>
  <c r="J505" i="3"/>
  <c r="J504" i="3"/>
  <c r="K504" i="3" s="1"/>
  <c r="J503" i="3"/>
  <c r="K503" i="3" s="1"/>
  <c r="J502" i="3"/>
  <c r="K502" i="3" s="1"/>
  <c r="J501" i="3"/>
  <c r="K501" i="3" s="1"/>
  <c r="J500" i="3"/>
  <c r="K500" i="3" s="1"/>
  <c r="J499" i="3"/>
  <c r="K499" i="3" s="1"/>
  <c r="J498" i="3"/>
  <c r="K498" i="3" s="1"/>
  <c r="J497" i="3"/>
  <c r="J496" i="3"/>
  <c r="K496" i="3" s="1"/>
  <c r="J495" i="3"/>
  <c r="J494" i="3"/>
  <c r="K494" i="3" s="1"/>
  <c r="J493" i="3"/>
  <c r="K493" i="3" s="1"/>
  <c r="J492" i="3"/>
  <c r="J491" i="3"/>
  <c r="K491" i="3" s="1"/>
  <c r="J490" i="3"/>
  <c r="K490" i="3" s="1"/>
  <c r="J489" i="3"/>
  <c r="J488" i="3"/>
  <c r="K488" i="3" s="1"/>
  <c r="J487" i="3"/>
  <c r="K487" i="3" s="1"/>
  <c r="J486" i="3"/>
  <c r="K486" i="3" s="1"/>
  <c r="J485" i="3"/>
  <c r="K485" i="3" s="1"/>
  <c r="J484" i="3"/>
  <c r="K484" i="3" s="1"/>
  <c r="J483" i="3"/>
  <c r="J482" i="3"/>
  <c r="K482" i="3" s="1"/>
  <c r="J481" i="3"/>
  <c r="J480" i="3"/>
  <c r="K480" i="3" s="1"/>
  <c r="J479" i="3"/>
  <c r="J478" i="3"/>
  <c r="K478" i="3" s="1"/>
  <c r="J477" i="3"/>
  <c r="K477" i="3" s="1"/>
  <c r="J476" i="3"/>
  <c r="K476" i="3" s="1"/>
  <c r="J475" i="3"/>
  <c r="J474" i="3"/>
  <c r="K474" i="3" s="1"/>
  <c r="J473" i="3"/>
  <c r="K473" i="3" s="1"/>
  <c r="J472" i="3"/>
  <c r="J471" i="3"/>
  <c r="J470" i="3"/>
  <c r="K470" i="3" s="1"/>
  <c r="J469" i="3"/>
  <c r="J468" i="3"/>
  <c r="K468" i="3" s="1"/>
  <c r="J467" i="3"/>
  <c r="K467" i="3" s="1"/>
  <c r="J466" i="3"/>
  <c r="K466" i="3" s="1"/>
  <c r="J465" i="3"/>
  <c r="K465" i="3" s="1"/>
  <c r="J464" i="3"/>
  <c r="K464" i="3" s="1"/>
  <c r="J463" i="3"/>
  <c r="K463" i="3" s="1"/>
  <c r="J462" i="3"/>
  <c r="K462" i="3" s="1"/>
  <c r="J461" i="3"/>
  <c r="K461" i="3" s="1"/>
  <c r="J460" i="3"/>
  <c r="K460" i="3" s="1"/>
  <c r="J459" i="3"/>
  <c r="K459" i="3" s="1"/>
  <c r="J458" i="3"/>
  <c r="J457" i="3"/>
  <c r="K457" i="3" s="1"/>
  <c r="J456" i="3"/>
  <c r="K456" i="3" s="1"/>
  <c r="J455" i="3"/>
  <c r="J454" i="3"/>
  <c r="K454" i="3" s="1"/>
  <c r="J453" i="3"/>
  <c r="K453" i="3" s="1"/>
  <c r="J452" i="3"/>
  <c r="K452" i="3" s="1"/>
  <c r="J451" i="3"/>
  <c r="K451" i="3" s="1"/>
  <c r="J450" i="3"/>
  <c r="J449" i="3"/>
  <c r="J448" i="3"/>
  <c r="K448" i="3" s="1"/>
  <c r="J447" i="3"/>
  <c r="K447" i="3" s="1"/>
  <c r="J446" i="3"/>
  <c r="K446" i="3" s="1"/>
  <c r="J445" i="3"/>
  <c r="J444" i="3"/>
  <c r="K444" i="3" s="1"/>
  <c r="J443" i="3"/>
  <c r="K443" i="3" s="1"/>
  <c r="J442" i="3"/>
  <c r="K442" i="3" s="1"/>
  <c r="J441" i="3"/>
  <c r="K441" i="3" s="1"/>
  <c r="J440" i="3"/>
  <c r="J439" i="3"/>
  <c r="J438" i="3"/>
  <c r="K438" i="3" s="1"/>
  <c r="J437" i="3"/>
  <c r="K437" i="3" s="1"/>
  <c r="J436" i="3"/>
  <c r="K436" i="3" s="1"/>
  <c r="J435" i="3"/>
  <c r="K435" i="3" s="1"/>
  <c r="J434" i="3"/>
  <c r="K434" i="3" s="1"/>
  <c r="J433" i="3"/>
  <c r="K433" i="3" s="1"/>
  <c r="J432" i="3"/>
  <c r="K432" i="3" s="1"/>
  <c r="J431" i="3"/>
  <c r="K431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1" i="3"/>
  <c r="K21" i="3" s="1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22" i="3"/>
  <c r="K22" i="3" s="1"/>
  <c r="J2028" i="3"/>
  <c r="K2028" i="3" s="1"/>
  <c r="J2040" i="3"/>
  <c r="K2040" i="3" s="1"/>
  <c r="J2041" i="3"/>
  <c r="K2041" i="3" s="1"/>
  <c r="J2042" i="3"/>
  <c r="K2042" i="3" s="1"/>
  <c r="J2047" i="3"/>
  <c r="K2047" i="3" s="1"/>
  <c r="J2055" i="3"/>
  <c r="K2055" i="3" s="1"/>
  <c r="J2060" i="3"/>
  <c r="J2065" i="3"/>
  <c r="K2065" i="3" s="1"/>
  <c r="J2073" i="3"/>
  <c r="K2073" i="3" s="1"/>
  <c r="J2074" i="3"/>
  <c r="K2074" i="3" s="1"/>
  <c r="J2083" i="3"/>
  <c r="J2085" i="3"/>
  <c r="K2085" i="3" s="1"/>
  <c r="J2089" i="3"/>
  <c r="K2089" i="3" s="1"/>
  <c r="J2097" i="3"/>
  <c r="K2097" i="3" s="1"/>
  <c r="J2106" i="3"/>
  <c r="K2106" i="3" s="1"/>
  <c r="J2113" i="3"/>
  <c r="K2113" i="3" s="1"/>
  <c r="J2115" i="3"/>
  <c r="K2115" i="3" s="1"/>
  <c r="J2124" i="3"/>
  <c r="K2124" i="3" s="1"/>
  <c r="J2126" i="3"/>
  <c r="J2129" i="3"/>
  <c r="K2129" i="3" s="1"/>
  <c r="J2133" i="3"/>
  <c r="K2133" i="3" s="1"/>
  <c r="J2134" i="3"/>
  <c r="K2134" i="3" s="1"/>
  <c r="J2140" i="3"/>
  <c r="K2140" i="3" s="1"/>
  <c r="J2149" i="3"/>
  <c r="K2149" i="3" s="1"/>
  <c r="J2150" i="3"/>
  <c r="K2150" i="3" s="1"/>
  <c r="J2152" i="3"/>
  <c r="K2152" i="3" s="1"/>
  <c r="J2154" i="3"/>
  <c r="K2154" i="3" s="1"/>
  <c r="J2155" i="3"/>
  <c r="K2155" i="3" s="1"/>
  <c r="J2169" i="3"/>
  <c r="K2169" i="3" s="1"/>
  <c r="J2171" i="3"/>
  <c r="K2171" i="3" s="1"/>
  <c r="J2174" i="3"/>
  <c r="K2174" i="3" s="1"/>
  <c r="J2186" i="3"/>
  <c r="K2186" i="3" s="1"/>
  <c r="J2191" i="3"/>
  <c r="K2191" i="3" s="1"/>
  <c r="J2196" i="3"/>
  <c r="K2196" i="3" s="1"/>
  <c r="J2207" i="3"/>
  <c r="K2207" i="3" s="1"/>
  <c r="J2209" i="3"/>
  <c r="K2209" i="3" s="1"/>
  <c r="J2215" i="3"/>
  <c r="K2215" i="3" s="1"/>
  <c r="J2216" i="3"/>
  <c r="J2240" i="3"/>
  <c r="K2240" i="3" s="1"/>
  <c r="J2249" i="3"/>
  <c r="K2249" i="3" s="1"/>
  <c r="J2250" i="3"/>
  <c r="K2250" i="3" s="1"/>
  <c r="J2255" i="3"/>
  <c r="K2255" i="3" s="1"/>
  <c r="J2257" i="3"/>
  <c r="K2257" i="3" s="1"/>
  <c r="J2260" i="3"/>
  <c r="K2260" i="3" s="1"/>
  <c r="J2270" i="3"/>
  <c r="K2270" i="3" s="1"/>
  <c r="J2271" i="3"/>
  <c r="K2271" i="3" s="1"/>
  <c r="J2277" i="3"/>
  <c r="K2277" i="3" s="1"/>
  <c r="J2281" i="3"/>
  <c r="K2281" i="3" s="1"/>
  <c r="J2285" i="3"/>
  <c r="K2285" i="3" s="1"/>
  <c r="J2286" i="3"/>
  <c r="K2286" i="3" s="1"/>
  <c r="J2291" i="3"/>
  <c r="K2291" i="3" s="1"/>
  <c r="J2292" i="3"/>
  <c r="K2292" i="3" s="1"/>
  <c r="J2296" i="3"/>
  <c r="K2296" i="3" s="1"/>
  <c r="J2299" i="3"/>
  <c r="K2299" i="3" s="1"/>
  <c r="J2303" i="3"/>
  <c r="K2303" i="3" s="1"/>
  <c r="J2310" i="3"/>
  <c r="K2310" i="3" s="1"/>
  <c r="J2313" i="3"/>
  <c r="K2313" i="3" s="1"/>
  <c r="J2319" i="3"/>
  <c r="K2319" i="3" s="1"/>
  <c r="J2324" i="3"/>
  <c r="K2324" i="3" s="1"/>
  <c r="J2326" i="3"/>
  <c r="K2326" i="3" s="1"/>
  <c r="J2327" i="3"/>
  <c r="K2327" i="3" s="1"/>
  <c r="J2329" i="3"/>
  <c r="K2329" i="3" s="1"/>
  <c r="J2330" i="3"/>
  <c r="K2330" i="3" s="1"/>
  <c r="J2332" i="3"/>
  <c r="K2332" i="3" s="1"/>
  <c r="J2333" i="3"/>
  <c r="K2333" i="3" s="1"/>
  <c r="J2337" i="3"/>
  <c r="K2337" i="3" s="1"/>
  <c r="J2346" i="3"/>
  <c r="K2346" i="3" s="1"/>
  <c r="J2347" i="3"/>
  <c r="K2347" i="3" s="1"/>
  <c r="J2355" i="3"/>
  <c r="K2355" i="3" s="1"/>
  <c r="J2358" i="3"/>
  <c r="K2358" i="3" s="1"/>
  <c r="J2369" i="3"/>
  <c r="K2369" i="3" s="1"/>
  <c r="J2372" i="3"/>
  <c r="K2372" i="3" s="1"/>
  <c r="J2377" i="3"/>
  <c r="K2377" i="3" s="1"/>
  <c r="J2380" i="3"/>
  <c r="K2380" i="3" s="1"/>
  <c r="J2384" i="3"/>
  <c r="K2384" i="3" s="1"/>
  <c r="J2387" i="3"/>
  <c r="J2391" i="3"/>
  <c r="K2391" i="3" s="1"/>
  <c r="J2399" i="3"/>
  <c r="K2399" i="3" s="1"/>
  <c r="J2409" i="3"/>
  <c r="K2409" i="3" s="1"/>
  <c r="J2413" i="3"/>
  <c r="K2413" i="3" s="1"/>
  <c r="J2415" i="3"/>
  <c r="K2415" i="3" s="1"/>
  <c r="J2419" i="3"/>
  <c r="K2419" i="3" s="1"/>
  <c r="J2424" i="3"/>
  <c r="K2424" i="3" s="1"/>
  <c r="J2425" i="3"/>
  <c r="J2428" i="3"/>
  <c r="K2428" i="3" s="1"/>
  <c r="J2429" i="3"/>
  <c r="J2430" i="3"/>
  <c r="K2430" i="3" s="1"/>
  <c r="J2433" i="3"/>
  <c r="K2433" i="3" s="1"/>
  <c r="J2436" i="3"/>
  <c r="K2436" i="3" s="1"/>
  <c r="J2438" i="3"/>
  <c r="K2438" i="3" s="1"/>
  <c r="J2441" i="3"/>
  <c r="K2441" i="3" s="1"/>
  <c r="J2452" i="3"/>
  <c r="K2452" i="3" s="1"/>
  <c r="J2456" i="3"/>
  <c r="K2456" i="3" s="1"/>
  <c r="J2468" i="3"/>
  <c r="K2468" i="3" s="1"/>
  <c r="J2487" i="3"/>
  <c r="J2489" i="3"/>
  <c r="K2489" i="3" s="1"/>
  <c r="J2496" i="3"/>
  <c r="K2496" i="3" s="1"/>
  <c r="J2497" i="3"/>
  <c r="K2497" i="3" s="1"/>
  <c r="J2501" i="3"/>
  <c r="K2501" i="3" s="1"/>
  <c r="J2508" i="3"/>
  <c r="K2508" i="3" s="1"/>
  <c r="J2513" i="3"/>
  <c r="K2513" i="3" s="1"/>
  <c r="J2514" i="3"/>
  <c r="K2514" i="3" s="1"/>
  <c r="J2528" i="3"/>
  <c r="K2528" i="3" s="1"/>
  <c r="J2535" i="3"/>
  <c r="K2535" i="3" s="1"/>
  <c r="J2537" i="3"/>
  <c r="K2537" i="3" s="1"/>
  <c r="J2539" i="3"/>
  <c r="K2539" i="3" s="1"/>
  <c r="J2541" i="3"/>
  <c r="K2541" i="3" s="1"/>
  <c r="J2545" i="3"/>
  <c r="K2545" i="3" s="1"/>
  <c r="J2547" i="3"/>
  <c r="K2547" i="3" s="1"/>
  <c r="J2554" i="3"/>
  <c r="K2554" i="3" s="1"/>
  <c r="J2556" i="3"/>
  <c r="K2556" i="3" s="1"/>
  <c r="J2560" i="3"/>
  <c r="K2560" i="3" s="1"/>
  <c r="J2584" i="3"/>
  <c r="K2584" i="3" s="1"/>
  <c r="J2591" i="3"/>
  <c r="K2591" i="3" s="1"/>
  <c r="J2599" i="3"/>
  <c r="K2599" i="3" s="1"/>
  <c r="J2600" i="3"/>
  <c r="K2600" i="3" s="1"/>
  <c r="J2601" i="3"/>
  <c r="K2601" i="3" s="1"/>
  <c r="J2614" i="3"/>
  <c r="K2614" i="3" s="1"/>
  <c r="J2627" i="3"/>
  <c r="K2627" i="3" s="1"/>
  <c r="J2630" i="3"/>
  <c r="K2630" i="3" s="1"/>
  <c r="J2638" i="3"/>
  <c r="J2646" i="3"/>
  <c r="K2646" i="3" s="1"/>
  <c r="J2651" i="3"/>
  <c r="K2651" i="3" s="1"/>
  <c r="J2653" i="3"/>
  <c r="K2653" i="3" s="1"/>
  <c r="J2656" i="3"/>
  <c r="K2656" i="3" s="1"/>
  <c r="J2657" i="3"/>
  <c r="K2657" i="3" s="1"/>
  <c r="J2659" i="3"/>
  <c r="K2659" i="3" s="1"/>
  <c r="J2663" i="3"/>
  <c r="K2663" i="3" s="1"/>
  <c r="J2669" i="3"/>
  <c r="K2669" i="3" s="1"/>
  <c r="J2670" i="3"/>
  <c r="K2670" i="3" s="1"/>
  <c r="J2673" i="3"/>
  <c r="K2673" i="3" s="1"/>
  <c r="J2674" i="3"/>
  <c r="K2674" i="3" s="1"/>
  <c r="J2675" i="3"/>
  <c r="K2675" i="3" s="1"/>
  <c r="J2684" i="3"/>
  <c r="K2684" i="3" s="1"/>
  <c r="J2687" i="3"/>
  <c r="K2687" i="3" s="1"/>
  <c r="J2700" i="3"/>
  <c r="K2700" i="3" s="1"/>
  <c r="J2701" i="3"/>
  <c r="K2701" i="3" s="1"/>
  <c r="J2712" i="3"/>
  <c r="J2713" i="3"/>
  <c r="K2713" i="3" s="1"/>
  <c r="J2714" i="3"/>
  <c r="K2714" i="3" s="1"/>
  <c r="J2720" i="3"/>
  <c r="K2720" i="3" s="1"/>
  <c r="J2721" i="3"/>
  <c r="K2721" i="3" s="1"/>
  <c r="J2728" i="3"/>
  <c r="K2728" i="3" s="1"/>
  <c r="J2733" i="3"/>
  <c r="K2733" i="3" s="1"/>
  <c r="J2736" i="3"/>
  <c r="J2741" i="3"/>
  <c r="K2741" i="3" s="1"/>
  <c r="J2743" i="3"/>
  <c r="K2743" i="3" s="1"/>
  <c r="J2749" i="3"/>
  <c r="K2749" i="3" s="1"/>
  <c r="J2757" i="3"/>
  <c r="J2762" i="3"/>
  <c r="K2762" i="3" s="1"/>
  <c r="J2776" i="3"/>
  <c r="K2776" i="3" s="1"/>
  <c r="J2782" i="3"/>
  <c r="K2782" i="3" s="1"/>
  <c r="J2783" i="3"/>
  <c r="K2783" i="3" s="1"/>
  <c r="J2793" i="3"/>
  <c r="K2793" i="3" s="1"/>
  <c r="J2797" i="3"/>
  <c r="K2797" i="3" s="1"/>
  <c r="J2803" i="3"/>
  <c r="K2803" i="3" s="1"/>
  <c r="J2805" i="3"/>
  <c r="K2805" i="3" s="1"/>
  <c r="J2815" i="3"/>
  <c r="K2815" i="3" s="1"/>
  <c r="J2816" i="3"/>
  <c r="K2816" i="3" s="1"/>
  <c r="J2817" i="3"/>
  <c r="K2817" i="3" s="1"/>
  <c r="J2821" i="3"/>
  <c r="K2821" i="3" s="1"/>
  <c r="J2842" i="3"/>
  <c r="K2842" i="3" s="1"/>
  <c r="J2845" i="3"/>
  <c r="K2845" i="3" s="1"/>
  <c r="J2853" i="3"/>
  <c r="K2853" i="3" s="1"/>
  <c r="J2857" i="3"/>
  <c r="K2857" i="3" s="1"/>
  <c r="J2868" i="3"/>
  <c r="K2868" i="3" s="1"/>
  <c r="J2874" i="3"/>
  <c r="K2874" i="3" s="1"/>
  <c r="J2880" i="3"/>
  <c r="K2880" i="3" s="1"/>
  <c r="J2888" i="3"/>
  <c r="K2888" i="3" s="1"/>
  <c r="J2898" i="3"/>
  <c r="K2898" i="3" s="1"/>
  <c r="J2904" i="3"/>
  <c r="K2904" i="3" s="1"/>
  <c r="J2911" i="3"/>
  <c r="K2911" i="3" s="1"/>
  <c r="J2916" i="3"/>
  <c r="K2916" i="3" s="1"/>
  <c r="J2928" i="3"/>
  <c r="K2928" i="3" s="1"/>
  <c r="J2930" i="3"/>
  <c r="K2930" i="3" s="1"/>
  <c r="J2945" i="3"/>
  <c r="K2945" i="3" s="1"/>
  <c r="J2954" i="3"/>
  <c r="K2954" i="3" s="1"/>
  <c r="J2957" i="3"/>
  <c r="K2957" i="3" s="1"/>
  <c r="J2241" i="3"/>
  <c r="K2241" i="3" s="1"/>
  <c r="J2243" i="3"/>
  <c r="K2243" i="3" s="1"/>
  <c r="J2247" i="3"/>
  <c r="K2247" i="3" s="1"/>
  <c r="J2256" i="3"/>
  <c r="K2256" i="3" s="1"/>
  <c r="J2259" i="3"/>
  <c r="K2259" i="3" s="1"/>
  <c r="J2269" i="3"/>
  <c r="K2269" i="3" s="1"/>
  <c r="J2274" i="3"/>
  <c r="K2274" i="3" s="1"/>
  <c r="J2284" i="3"/>
  <c r="K2284" i="3" s="1"/>
  <c r="J2293" i="3"/>
  <c r="K2293" i="3" s="1"/>
  <c r="J2301" i="3"/>
  <c r="K2301" i="3" s="1"/>
  <c r="J2302" i="3"/>
  <c r="K2302" i="3" s="1"/>
  <c r="J2304" i="3"/>
  <c r="K2304" i="3" s="1"/>
  <c r="J2309" i="3"/>
  <c r="K2309" i="3" s="1"/>
  <c r="J2321" i="3"/>
  <c r="K2321" i="3" s="1"/>
  <c r="J2338" i="3"/>
  <c r="K2338" i="3" s="1"/>
  <c r="J2343" i="3"/>
  <c r="K2343" i="3" s="1"/>
  <c r="J2345" i="3"/>
  <c r="K2345" i="3" s="1"/>
  <c r="J2354" i="3"/>
  <c r="K2354" i="3" s="1"/>
  <c r="J2356" i="3"/>
  <c r="K2356" i="3" s="1"/>
  <c r="J2361" i="3"/>
  <c r="K2361" i="3" s="1"/>
  <c r="J2366" i="3"/>
  <c r="K2366" i="3" s="1"/>
  <c r="J2368" i="3"/>
  <c r="K2368" i="3" s="1"/>
  <c r="J2385" i="3"/>
  <c r="K2385" i="3" s="1"/>
  <c r="J2397" i="3"/>
  <c r="K2397" i="3" s="1"/>
  <c r="J2402" i="3"/>
  <c r="K2402" i="3" s="1"/>
  <c r="J2404" i="3"/>
  <c r="K2404" i="3" s="1"/>
  <c r="J2411" i="3"/>
  <c r="K2411" i="3" s="1"/>
  <c r="J2418" i="3"/>
  <c r="J2427" i="3"/>
  <c r="K2427" i="3" s="1"/>
  <c r="J2437" i="3"/>
  <c r="K2437" i="3" s="1"/>
  <c r="J2444" i="3"/>
  <c r="K2444" i="3" s="1"/>
  <c r="J2455" i="3"/>
  <c r="K2455" i="3" s="1"/>
  <c r="J2457" i="3"/>
  <c r="K2457" i="3" s="1"/>
  <c r="J2458" i="3"/>
  <c r="K2458" i="3" s="1"/>
  <c r="J2472" i="3"/>
  <c r="K2472" i="3" s="1"/>
  <c r="J2479" i="3"/>
  <c r="K2479" i="3" s="1"/>
  <c r="J2481" i="3"/>
  <c r="J2486" i="3"/>
  <c r="K2486" i="3" s="1"/>
  <c r="J2488" i="3"/>
  <c r="K2488" i="3" s="1"/>
  <c r="J2494" i="3"/>
  <c r="K2494" i="3" s="1"/>
  <c r="J2500" i="3"/>
  <c r="K2500" i="3" s="1"/>
  <c r="J2502" i="3"/>
  <c r="K2502" i="3" s="1"/>
  <c r="J2507" i="3"/>
  <c r="K2507" i="3" s="1"/>
  <c r="J2512" i="3"/>
  <c r="K2512" i="3" s="1"/>
  <c r="J2522" i="3"/>
  <c r="K2522" i="3" s="1"/>
  <c r="J2524" i="3"/>
  <c r="K2524" i="3" s="1"/>
  <c r="J2534" i="3"/>
  <c r="K2534" i="3" s="1"/>
  <c r="J2544" i="3"/>
  <c r="K2544" i="3" s="1"/>
  <c r="J2546" i="3"/>
  <c r="K2546" i="3" s="1"/>
  <c r="J2551" i="3"/>
  <c r="J2557" i="3"/>
  <c r="K2557" i="3" s="1"/>
  <c r="J2563" i="3"/>
  <c r="K2563" i="3" s="1"/>
  <c r="J2569" i="3"/>
  <c r="K2569" i="3" s="1"/>
  <c r="J2574" i="3"/>
  <c r="K2574" i="3" s="1"/>
  <c r="J2576" i="3"/>
  <c r="K2576" i="3" s="1"/>
  <c r="J2580" i="3"/>
  <c r="K2580" i="3" s="1"/>
  <c r="J2590" i="3"/>
  <c r="K2590" i="3" s="1"/>
  <c r="J2596" i="3"/>
  <c r="K2596" i="3" s="1"/>
  <c r="J2597" i="3"/>
  <c r="K2597" i="3" s="1"/>
  <c r="J2605" i="3"/>
  <c r="J2606" i="3"/>
  <c r="K2606" i="3" s="1"/>
  <c r="J2612" i="3"/>
  <c r="K2612" i="3" s="1"/>
  <c r="J2615" i="3"/>
  <c r="K2615" i="3" s="1"/>
  <c r="J2618" i="3"/>
  <c r="K2618" i="3" s="1"/>
  <c r="J2621" i="3"/>
  <c r="K2621" i="3" s="1"/>
  <c r="J2635" i="3"/>
  <c r="K2635" i="3" s="1"/>
  <c r="J2644" i="3"/>
  <c r="K2644" i="3" s="1"/>
  <c r="J2648" i="3"/>
  <c r="K2648" i="3" s="1"/>
  <c r="J2650" i="3"/>
  <c r="K2650" i="3" s="1"/>
  <c r="J2652" i="3"/>
  <c r="K2652" i="3" s="1"/>
  <c r="J2655" i="3"/>
  <c r="K2655" i="3" s="1"/>
  <c r="J2658" i="3"/>
  <c r="K2658" i="3" s="1"/>
  <c r="J2661" i="3"/>
  <c r="K2661" i="3" s="1"/>
  <c r="J2665" i="3"/>
  <c r="K2665" i="3" s="1"/>
  <c r="J2025" i="3"/>
  <c r="K2025" i="3" s="1"/>
  <c r="J2029" i="3"/>
  <c r="K2029" i="3" s="1"/>
  <c r="J2030" i="3"/>
  <c r="K2030" i="3" s="1"/>
  <c r="J2031" i="3"/>
  <c r="K2031" i="3" s="1"/>
  <c r="J2032" i="3"/>
  <c r="K2032" i="3" s="1"/>
  <c r="J2033" i="3"/>
  <c r="K2033" i="3" s="1"/>
  <c r="J2036" i="3"/>
  <c r="K2036" i="3" s="1"/>
  <c r="J2045" i="3"/>
  <c r="K2045" i="3" s="1"/>
  <c r="J2049" i="3"/>
  <c r="K2049" i="3" s="1"/>
  <c r="J2052" i="3"/>
  <c r="K2052" i="3" s="1"/>
  <c r="J2061" i="3"/>
  <c r="K2061" i="3" s="1"/>
  <c r="J2062" i="3"/>
  <c r="K2062" i="3" s="1"/>
  <c r="J2063" i="3"/>
  <c r="K2063" i="3" s="1"/>
  <c r="J2066" i="3"/>
  <c r="K2066" i="3" s="1"/>
  <c r="J2067" i="3"/>
  <c r="K2067" i="3" s="1"/>
  <c r="J2071" i="3"/>
  <c r="K2071" i="3" s="1"/>
  <c r="J2076" i="3"/>
  <c r="K2076" i="3" s="1"/>
  <c r="J2078" i="3"/>
  <c r="K2078" i="3" s="1"/>
  <c r="J2079" i="3"/>
  <c r="K2079" i="3" s="1"/>
  <c r="J2086" i="3"/>
  <c r="K2086" i="3" s="1"/>
  <c r="J2096" i="3"/>
  <c r="K2096" i="3" s="1"/>
  <c r="J2118" i="3"/>
  <c r="K2118" i="3" s="1"/>
  <c r="J2128" i="3"/>
  <c r="K2128" i="3" s="1"/>
  <c r="J2132" i="3"/>
  <c r="K2132" i="3" s="1"/>
  <c r="J2137" i="3"/>
  <c r="K2137" i="3" s="1"/>
  <c r="J2143" i="3"/>
  <c r="K2143" i="3" s="1"/>
  <c r="J2144" i="3"/>
  <c r="K2144" i="3" s="1"/>
  <c r="J2145" i="3"/>
  <c r="K2145" i="3" s="1"/>
  <c r="J2146" i="3"/>
  <c r="K2146" i="3" s="1"/>
  <c r="J2148" i="3"/>
  <c r="K2148" i="3" s="1"/>
  <c r="J2157" i="3"/>
  <c r="K2157" i="3" s="1"/>
  <c r="J2175" i="3"/>
  <c r="K2175" i="3" s="1"/>
  <c r="J2176" i="3"/>
  <c r="J2179" i="3"/>
  <c r="K2179" i="3" s="1"/>
  <c r="J2185" i="3"/>
  <c r="K2185" i="3" s="1"/>
  <c r="J2194" i="3"/>
  <c r="K2194" i="3" s="1"/>
  <c r="J2195" i="3"/>
  <c r="K2195" i="3" s="1"/>
  <c r="J2197" i="3"/>
  <c r="K2197" i="3" s="1"/>
  <c r="J2199" i="3"/>
  <c r="K2199" i="3" s="1"/>
  <c r="J2200" i="3"/>
  <c r="K2200" i="3" s="1"/>
  <c r="J2201" i="3"/>
  <c r="J2205" i="3"/>
  <c r="K2205" i="3" s="1"/>
  <c r="J2211" i="3"/>
  <c r="K2211" i="3" s="1"/>
  <c r="J2222" i="3"/>
  <c r="K2222" i="3" s="1"/>
  <c r="J2224" i="3"/>
  <c r="K2224" i="3" s="1"/>
  <c r="J2228" i="3"/>
  <c r="K2228" i="3" s="1"/>
  <c r="J2229" i="3"/>
  <c r="K2229" i="3" s="1"/>
  <c r="J2234" i="3"/>
  <c r="K2234" i="3" s="1"/>
  <c r="J2236" i="3"/>
  <c r="K2236" i="3" s="1"/>
  <c r="J2237" i="3"/>
  <c r="K2237" i="3" s="1"/>
  <c r="J2245" i="3"/>
  <c r="K2245" i="3" s="1"/>
  <c r="J2252" i="3"/>
  <c r="K2252" i="3" s="1"/>
  <c r="J2253" i="3"/>
  <c r="K2253" i="3" s="1"/>
  <c r="J2263" i="3"/>
  <c r="J2268" i="3"/>
  <c r="K2268" i="3" s="1"/>
  <c r="J2272" i="3"/>
  <c r="K2272" i="3" s="1"/>
  <c r="J2275" i="3"/>
  <c r="K2275" i="3" s="1"/>
  <c r="J2276" i="3"/>
  <c r="K2276" i="3" s="1"/>
  <c r="J2279" i="3"/>
  <c r="K2279" i="3" s="1"/>
  <c r="J2283" i="3"/>
  <c r="K2283" i="3" s="1"/>
  <c r="J2287" i="3"/>
  <c r="K2287" i="3" s="1"/>
  <c r="J2295" i="3"/>
  <c r="K2295" i="3" s="1"/>
  <c r="J2308" i="3"/>
  <c r="K2308" i="3" s="1"/>
  <c r="J2312" i="3"/>
  <c r="K2312" i="3" s="1"/>
  <c r="J2315" i="3"/>
  <c r="J2316" i="3"/>
  <c r="J2318" i="3"/>
  <c r="K2318" i="3" s="1"/>
  <c r="J2336" i="3"/>
  <c r="K2336" i="3" s="1"/>
  <c r="J2340" i="3"/>
  <c r="K2340" i="3" s="1"/>
  <c r="J2342" i="3"/>
  <c r="K2342" i="3" s="1"/>
  <c r="J2350" i="3"/>
  <c r="K2350" i="3" s="1"/>
  <c r="J2351" i="3"/>
  <c r="K2351" i="3" s="1"/>
  <c r="J2360" i="3"/>
  <c r="K2360" i="3" s="1"/>
  <c r="J2365" i="3"/>
  <c r="K2365" i="3" s="1"/>
  <c r="J2370" i="3"/>
  <c r="K2370" i="3" s="1"/>
  <c r="J2371" i="3"/>
  <c r="K2371" i="3" s="1"/>
  <c r="J2379" i="3"/>
  <c r="K2379" i="3" s="1"/>
  <c r="J2381" i="3"/>
  <c r="K2381" i="3" s="1"/>
  <c r="J2383" i="3"/>
  <c r="J2388" i="3"/>
  <c r="K2388" i="3" s="1"/>
  <c r="J2394" i="3"/>
  <c r="J2395" i="3"/>
  <c r="K2395" i="3" s="1"/>
  <c r="J2400" i="3"/>
  <c r="K2400" i="3" s="1"/>
  <c r="J2403" i="3"/>
  <c r="J2408" i="3"/>
  <c r="K2408" i="3" s="1"/>
  <c r="J2412" i="3"/>
  <c r="K2412" i="3" s="1"/>
  <c r="J2421" i="3"/>
  <c r="K2421" i="3" s="1"/>
  <c r="J2432" i="3"/>
  <c r="K2432" i="3" s="1"/>
  <c r="J2434" i="3"/>
  <c r="K2434" i="3" s="1"/>
  <c r="J2435" i="3"/>
  <c r="J2442" i="3"/>
  <c r="K2442" i="3" s="1"/>
  <c r="J2443" i="3"/>
  <c r="K2443" i="3" s="1"/>
  <c r="J2459" i="3"/>
  <c r="J2464" i="3"/>
  <c r="K2464" i="3" s="1"/>
  <c r="J2465" i="3"/>
  <c r="K2465" i="3" s="1"/>
  <c r="J2466" i="3"/>
  <c r="K2466" i="3" s="1"/>
  <c r="J2469" i="3"/>
  <c r="K2469" i="3" s="1"/>
  <c r="J2471" i="3"/>
  <c r="K2471" i="3" s="1"/>
  <c r="J2473" i="3"/>
  <c r="K2473" i="3" s="1"/>
  <c r="J2475" i="3"/>
  <c r="K2475" i="3" s="1"/>
  <c r="J2485" i="3"/>
  <c r="K2485" i="3" s="1"/>
  <c r="J2491" i="3"/>
  <c r="K2491" i="3" s="1"/>
  <c r="J2492" i="3"/>
  <c r="K2492" i="3" s="1"/>
  <c r="J2493" i="3"/>
  <c r="K2493" i="3" s="1"/>
  <c r="J2504" i="3"/>
  <c r="K2504" i="3" s="1"/>
  <c r="J2509" i="3"/>
  <c r="K2509" i="3" s="1"/>
  <c r="J2510" i="3"/>
  <c r="J2523" i="3"/>
  <c r="K2523" i="3" s="1"/>
  <c r="J2531" i="3"/>
  <c r="K2531" i="3" s="1"/>
  <c r="J2532" i="3"/>
  <c r="K2532" i="3" s="1"/>
  <c r="J2542" i="3"/>
  <c r="K2542" i="3" s="1"/>
  <c r="J2543" i="3"/>
  <c r="K2543" i="3" s="1"/>
  <c r="J2548" i="3"/>
  <c r="J2552" i="3"/>
  <c r="K2552" i="3" s="1"/>
  <c r="J2558" i="3"/>
  <c r="K2558" i="3" s="1"/>
  <c r="J2565" i="3"/>
  <c r="K2565" i="3" s="1"/>
  <c r="J2581" i="3"/>
  <c r="K2581" i="3" s="1"/>
  <c r="J2585" i="3"/>
  <c r="K2585" i="3" s="1"/>
  <c r="J2586" i="3"/>
  <c r="K2586" i="3" s="1"/>
  <c r="J2594" i="3"/>
  <c r="K2594" i="3" s="1"/>
  <c r="J2595" i="3"/>
  <c r="K2595" i="3" s="1"/>
  <c r="J2598" i="3"/>
  <c r="K2598" i="3" s="1"/>
  <c r="J2607" i="3"/>
  <c r="K2607" i="3" s="1"/>
  <c r="J2608" i="3"/>
  <c r="K2608" i="3" s="1"/>
  <c r="J2613" i="3"/>
  <c r="K2613" i="3" s="1"/>
  <c r="J2628" i="3"/>
  <c r="K2628" i="3" s="1"/>
  <c r="J2636" i="3"/>
  <c r="K2636" i="3" s="1"/>
  <c r="J2641" i="3"/>
  <c r="J2642" i="3"/>
  <c r="J2649" i="3"/>
  <c r="K2649" i="3" s="1"/>
  <c r="J2660" i="3"/>
  <c r="K2660" i="3" s="1"/>
  <c r="J2667" i="3"/>
  <c r="J2668" i="3"/>
  <c r="K2668" i="3" s="1"/>
  <c r="J2685" i="3"/>
  <c r="K2685" i="3" s="1"/>
  <c r="J2691" i="3"/>
  <c r="K2691" i="3" s="1"/>
  <c r="J2694" i="3"/>
  <c r="K2694" i="3" s="1"/>
  <c r="J2695" i="3"/>
  <c r="K2695" i="3" s="1"/>
  <c r="J2697" i="3"/>
  <c r="K2697" i="3" s="1"/>
  <c r="J2698" i="3"/>
  <c r="K2698" i="3" s="1"/>
  <c r="J2702" i="3"/>
  <c r="K2702" i="3" s="1"/>
  <c r="J2703" i="3"/>
  <c r="K2703" i="3" s="1"/>
  <c r="J2704" i="3"/>
  <c r="K2704" i="3" s="1"/>
  <c r="J2705" i="3"/>
  <c r="K2705" i="3" s="1"/>
  <c r="J2707" i="3"/>
  <c r="K2707" i="3" s="1"/>
  <c r="J2708" i="3"/>
  <c r="K2708" i="3" s="1"/>
  <c r="J2717" i="3"/>
  <c r="K2717" i="3" s="1"/>
  <c r="J2723" i="3"/>
  <c r="J2724" i="3"/>
  <c r="K2724" i="3" s="1"/>
  <c r="J2732" i="3"/>
  <c r="K2732" i="3" s="1"/>
  <c r="J2734" i="3"/>
  <c r="K2734" i="3" s="1"/>
  <c r="J2787" i="3"/>
  <c r="K2787" i="3" s="1"/>
  <c r="J2788" i="3"/>
  <c r="J2798" i="3"/>
  <c r="K2798" i="3" s="1"/>
  <c r="J2808" i="3"/>
  <c r="K2808" i="3" s="1"/>
  <c r="J2809" i="3"/>
  <c r="K2809" i="3" s="1"/>
  <c r="J2810" i="3"/>
  <c r="K2810" i="3" s="1"/>
  <c r="J2811" i="3"/>
  <c r="K2811" i="3" s="1"/>
  <c r="J2812" i="3"/>
  <c r="K2812" i="3" s="1"/>
  <c r="J2819" i="3"/>
  <c r="K2819" i="3" s="1"/>
  <c r="J2823" i="3"/>
  <c r="K2823" i="3" s="1"/>
  <c r="J2828" i="3"/>
  <c r="K2828" i="3" s="1"/>
  <c r="J2835" i="3"/>
  <c r="K2835" i="3" s="1"/>
  <c r="J2843" i="3"/>
  <c r="K2843" i="3" s="1"/>
  <c r="J2844" i="3"/>
  <c r="K2844" i="3" s="1"/>
  <c r="J2852" i="3"/>
  <c r="K2852" i="3" s="1"/>
  <c r="J2856" i="3"/>
  <c r="K2856" i="3" s="1"/>
  <c r="J2859" i="3"/>
  <c r="K2859" i="3" s="1"/>
  <c r="J2860" i="3"/>
  <c r="K2860" i="3" s="1"/>
  <c r="J2861" i="3"/>
  <c r="K2861" i="3" s="1"/>
  <c r="J2867" i="3"/>
  <c r="K2867" i="3" s="1"/>
  <c r="J2871" i="3"/>
  <c r="K2871" i="3" s="1"/>
  <c r="J2876" i="3"/>
  <c r="K2876" i="3" s="1"/>
  <c r="J2884" i="3"/>
  <c r="K2884" i="3" s="1"/>
  <c r="J2887" i="3"/>
  <c r="K2887" i="3" s="1"/>
  <c r="J2889" i="3"/>
  <c r="K2889" i="3" s="1"/>
  <c r="J2890" i="3"/>
  <c r="K2890" i="3" s="1"/>
  <c r="J2894" i="3"/>
  <c r="K2894" i="3" s="1"/>
  <c r="J2905" i="3"/>
  <c r="K2905" i="3" s="1"/>
  <c r="J2913" i="3"/>
  <c r="K2913" i="3" s="1"/>
  <c r="J2920" i="3"/>
  <c r="K2920" i="3" s="1"/>
  <c r="J2922" i="3"/>
  <c r="K2922" i="3" s="1"/>
  <c r="J2924" i="3"/>
  <c r="K2924" i="3" s="1"/>
  <c r="J2927" i="3"/>
  <c r="K2927" i="3" s="1"/>
  <c r="J2931" i="3"/>
  <c r="K2931" i="3" s="1"/>
  <c r="J2936" i="3"/>
  <c r="K2936" i="3" s="1"/>
  <c r="J2941" i="3"/>
  <c r="J2946" i="3"/>
  <c r="K2946" i="3" s="1"/>
  <c r="J2947" i="3"/>
  <c r="K2947" i="3" s="1"/>
  <c r="J2948" i="3"/>
  <c r="J2953" i="3"/>
  <c r="K2953" i="3" s="1"/>
  <c r="J2956" i="3"/>
  <c r="K2956" i="3" s="1"/>
  <c r="J237" i="3"/>
  <c r="J238" i="3"/>
  <c r="J239" i="3"/>
  <c r="K239" i="3" s="1"/>
  <c r="J240" i="3"/>
  <c r="K240" i="3" s="1"/>
  <c r="J241" i="3"/>
  <c r="J242" i="3"/>
  <c r="K242" i="3" s="1"/>
  <c r="J243" i="3"/>
  <c r="K243" i="3" s="1"/>
  <c r="J244" i="3"/>
  <c r="K244" i="3" s="1"/>
  <c r="J245" i="3"/>
  <c r="K245" i="3" s="1"/>
  <c r="J246" i="3"/>
  <c r="K246" i="3" s="1"/>
  <c r="J247" i="3"/>
  <c r="K247" i="3" s="1"/>
  <c r="J248" i="3"/>
  <c r="K248" i="3" s="1"/>
  <c r="J249" i="3"/>
  <c r="K249" i="3" s="1"/>
  <c r="J250" i="3"/>
  <c r="K250" i="3" s="1"/>
  <c r="J251" i="3"/>
  <c r="K251" i="3" s="1"/>
  <c r="J252" i="3"/>
  <c r="K252" i="3" s="1"/>
  <c r="J253" i="3"/>
  <c r="K253" i="3" s="1"/>
  <c r="J254" i="3"/>
  <c r="J255" i="3"/>
  <c r="K255" i="3" s="1"/>
  <c r="J256" i="3"/>
  <c r="K256" i="3" s="1"/>
  <c r="J257" i="3"/>
  <c r="J258" i="3"/>
  <c r="K258" i="3" s="1"/>
  <c r="J259" i="3"/>
  <c r="K259" i="3" s="1"/>
  <c r="J260" i="3"/>
  <c r="K260" i="3" s="1"/>
  <c r="J261" i="3"/>
  <c r="K261" i="3" s="1"/>
  <c r="J262" i="3"/>
  <c r="K262" i="3" s="1"/>
  <c r="J263" i="3"/>
  <c r="K263" i="3" s="1"/>
  <c r="J264" i="3"/>
  <c r="K264" i="3" s="1"/>
  <c r="J265" i="3"/>
  <c r="K265" i="3" s="1"/>
  <c r="J266" i="3"/>
  <c r="K266" i="3" s="1"/>
  <c r="J267" i="3"/>
  <c r="K267" i="3" s="1"/>
  <c r="J268" i="3"/>
  <c r="K268" i="3" s="1"/>
  <c r="J269" i="3"/>
  <c r="J270" i="3"/>
  <c r="K270" i="3" s="1"/>
  <c r="J271" i="3"/>
  <c r="K271" i="3" s="1"/>
  <c r="J272" i="3"/>
  <c r="K272" i="3" s="1"/>
  <c r="J273" i="3"/>
  <c r="K273" i="3" s="1"/>
  <c r="J274" i="3"/>
  <c r="K274" i="3" s="1"/>
  <c r="J275" i="3"/>
  <c r="K275" i="3" s="1"/>
  <c r="J276" i="3"/>
  <c r="K276" i="3" s="1"/>
  <c r="J277" i="3"/>
  <c r="K277" i="3" s="1"/>
  <c r="J278" i="3"/>
  <c r="K278" i="3" s="1"/>
  <c r="J279" i="3"/>
  <c r="J280" i="3"/>
  <c r="K280" i="3" s="1"/>
  <c r="J281" i="3"/>
  <c r="K281" i="3" s="1"/>
  <c r="J282" i="3"/>
  <c r="J283" i="3"/>
  <c r="K283" i="3" s="1"/>
  <c r="J284" i="3"/>
  <c r="J285" i="3"/>
  <c r="K285" i="3" s="1"/>
  <c r="J286" i="3"/>
  <c r="K286" i="3" s="1"/>
  <c r="J287" i="3"/>
  <c r="K287" i="3" s="1"/>
  <c r="J288" i="3"/>
  <c r="K288" i="3" s="1"/>
  <c r="J289" i="3"/>
  <c r="K289" i="3" s="1"/>
  <c r="J290" i="3"/>
  <c r="K290" i="3" s="1"/>
  <c r="J291" i="3"/>
  <c r="K291" i="3" s="1"/>
  <c r="J292" i="3"/>
  <c r="K292" i="3" s="1"/>
  <c r="J293" i="3"/>
  <c r="K293" i="3" s="1"/>
  <c r="J294" i="3"/>
  <c r="K294" i="3" s="1"/>
  <c r="J295" i="3"/>
  <c r="K295" i="3" s="1"/>
  <c r="J296" i="3"/>
  <c r="K296" i="3" s="1"/>
  <c r="J297" i="3"/>
  <c r="J298" i="3"/>
  <c r="K298" i="3" s="1"/>
  <c r="J299" i="3"/>
  <c r="K299" i="3" s="1"/>
  <c r="J300" i="3"/>
  <c r="K300" i="3" s="1"/>
  <c r="J301" i="3"/>
  <c r="K301" i="3" s="1"/>
  <c r="J302" i="3"/>
  <c r="J303" i="3"/>
  <c r="K303" i="3" s="1"/>
  <c r="J304" i="3"/>
  <c r="K304" i="3" s="1"/>
  <c r="J305" i="3"/>
  <c r="K305" i="3" s="1"/>
  <c r="J306" i="3"/>
  <c r="K306" i="3" s="1"/>
  <c r="J307" i="3"/>
  <c r="K307" i="3" s="1"/>
  <c r="J308" i="3"/>
  <c r="K308" i="3" s="1"/>
  <c r="J309" i="3"/>
  <c r="K309" i="3" s="1"/>
  <c r="J310" i="3"/>
  <c r="K310" i="3" s="1"/>
  <c r="J311" i="3"/>
  <c r="K311" i="3" s="1"/>
  <c r="J312" i="3"/>
  <c r="J313" i="3"/>
  <c r="J314" i="3"/>
  <c r="K314" i="3" s="1"/>
  <c r="J315" i="3"/>
  <c r="K315" i="3" s="1"/>
  <c r="J316" i="3"/>
  <c r="K316" i="3" s="1"/>
  <c r="J317" i="3"/>
  <c r="K317" i="3" s="1"/>
  <c r="J318" i="3"/>
  <c r="K318" i="3" s="1"/>
  <c r="J319" i="3"/>
  <c r="K319" i="3" s="1"/>
  <c r="J320" i="3"/>
  <c r="J321" i="3"/>
  <c r="J322" i="3"/>
  <c r="J323" i="3"/>
  <c r="K323" i="3" s="1"/>
  <c r="J324" i="3"/>
  <c r="K324" i="3" s="1"/>
  <c r="J325" i="3"/>
  <c r="K325" i="3" s="1"/>
  <c r="J326" i="3"/>
  <c r="K326" i="3" s="1"/>
  <c r="J327" i="3"/>
  <c r="K327" i="3" s="1"/>
  <c r="J328" i="3"/>
  <c r="K328" i="3" s="1"/>
  <c r="J329" i="3"/>
  <c r="K329" i="3" s="1"/>
  <c r="J330" i="3"/>
  <c r="K330" i="3" s="1"/>
  <c r="J331" i="3"/>
  <c r="K331" i="3" s="1"/>
  <c r="J332" i="3"/>
  <c r="K332" i="3" s="1"/>
  <c r="J333" i="3"/>
  <c r="K333" i="3" s="1"/>
  <c r="J334" i="3"/>
  <c r="K334" i="3" s="1"/>
  <c r="J335" i="3"/>
  <c r="K335" i="3" s="1"/>
  <c r="J336" i="3"/>
  <c r="K336" i="3" s="1"/>
  <c r="J337" i="3"/>
  <c r="J338" i="3"/>
  <c r="K338" i="3" s="1"/>
  <c r="J339" i="3"/>
  <c r="K339" i="3" s="1"/>
  <c r="J340" i="3"/>
  <c r="K340" i="3" s="1"/>
  <c r="J341" i="3"/>
  <c r="K341" i="3" s="1"/>
  <c r="J342" i="3"/>
  <c r="K342" i="3" s="1"/>
  <c r="J343" i="3"/>
  <c r="K343" i="3" s="1"/>
  <c r="J344" i="3"/>
  <c r="K344" i="3" s="1"/>
  <c r="J345" i="3"/>
  <c r="K345" i="3" s="1"/>
  <c r="J346" i="3"/>
  <c r="J347" i="3"/>
  <c r="K347" i="3" s="1"/>
  <c r="J348" i="3"/>
  <c r="K348" i="3" s="1"/>
  <c r="J349" i="3"/>
  <c r="K349" i="3" s="1"/>
  <c r="J350" i="3"/>
  <c r="K350" i="3" s="1"/>
  <c r="J351" i="3"/>
  <c r="K351" i="3" s="1"/>
  <c r="J352" i="3"/>
  <c r="K352" i="3" s="1"/>
  <c r="J353" i="3"/>
  <c r="K353" i="3" s="1"/>
  <c r="J354" i="3"/>
  <c r="K354" i="3" s="1"/>
  <c r="J355" i="3"/>
  <c r="K355" i="3" s="1"/>
  <c r="J356" i="3"/>
  <c r="K356" i="3" s="1"/>
  <c r="J357" i="3"/>
  <c r="K357" i="3" s="1"/>
  <c r="J358" i="3"/>
  <c r="K358" i="3" s="1"/>
  <c r="J359" i="3"/>
  <c r="K359" i="3" s="1"/>
  <c r="J360" i="3"/>
  <c r="K360" i="3" s="1"/>
  <c r="J361" i="3"/>
  <c r="K361" i="3" s="1"/>
  <c r="J362" i="3"/>
  <c r="K362" i="3" s="1"/>
  <c r="J363" i="3"/>
  <c r="K363" i="3" s="1"/>
  <c r="J364" i="3"/>
  <c r="K364" i="3" s="1"/>
  <c r="J365" i="3"/>
  <c r="K365" i="3" s="1"/>
  <c r="J366" i="3"/>
  <c r="K366" i="3" s="1"/>
  <c r="J367" i="3"/>
  <c r="K367" i="3" s="1"/>
  <c r="J368" i="3"/>
  <c r="K368" i="3" s="1"/>
  <c r="J369" i="3"/>
  <c r="K369" i="3" s="1"/>
  <c r="J370" i="3"/>
  <c r="K370" i="3" s="1"/>
  <c r="J371" i="3"/>
  <c r="K371" i="3" s="1"/>
  <c r="J372" i="3"/>
  <c r="K372" i="3" s="1"/>
  <c r="J373" i="3"/>
  <c r="K373" i="3" s="1"/>
  <c r="J374" i="3"/>
  <c r="K374" i="3" s="1"/>
  <c r="J375" i="3"/>
  <c r="K375" i="3" s="1"/>
  <c r="J376" i="3"/>
  <c r="K376" i="3" s="1"/>
  <c r="J377" i="3"/>
  <c r="K377" i="3" s="1"/>
  <c r="J378" i="3"/>
  <c r="K378" i="3" s="1"/>
  <c r="J379" i="3"/>
  <c r="K379" i="3" s="1"/>
  <c r="J380" i="3"/>
  <c r="K380" i="3" s="1"/>
  <c r="J381" i="3"/>
  <c r="K381" i="3" s="1"/>
  <c r="J382" i="3"/>
  <c r="K382" i="3" s="1"/>
  <c r="J383" i="3"/>
  <c r="K383" i="3" s="1"/>
  <c r="J384" i="3"/>
  <c r="K384" i="3" s="1"/>
  <c r="J385" i="3"/>
  <c r="J386" i="3"/>
  <c r="K386" i="3" s="1"/>
  <c r="J387" i="3"/>
  <c r="K387" i="3" s="1"/>
  <c r="J388" i="3"/>
  <c r="K388" i="3" s="1"/>
  <c r="J389" i="3"/>
  <c r="K389" i="3" s="1"/>
  <c r="J390" i="3"/>
  <c r="K390" i="3" s="1"/>
  <c r="J391" i="3"/>
  <c r="K391" i="3" s="1"/>
  <c r="J392" i="3"/>
  <c r="K392" i="3" s="1"/>
  <c r="J393" i="3"/>
  <c r="K393" i="3" s="1"/>
  <c r="J394" i="3"/>
  <c r="K394" i="3" s="1"/>
  <c r="J395" i="3"/>
  <c r="K395" i="3" s="1"/>
  <c r="J396" i="3"/>
  <c r="K396" i="3" s="1"/>
  <c r="J397" i="3"/>
  <c r="K397" i="3" s="1"/>
  <c r="J398" i="3"/>
  <c r="K398" i="3" s="1"/>
  <c r="J399" i="3"/>
  <c r="K399" i="3" s="1"/>
  <c r="J400" i="3"/>
  <c r="K400" i="3" s="1"/>
  <c r="J401" i="3"/>
  <c r="K401" i="3" s="1"/>
  <c r="J402" i="3"/>
  <c r="K402" i="3" s="1"/>
  <c r="J403" i="3"/>
  <c r="K403" i="3" s="1"/>
  <c r="J404" i="3"/>
  <c r="K404" i="3" s="1"/>
  <c r="J405" i="3"/>
  <c r="K405" i="3" s="1"/>
  <c r="J406" i="3"/>
  <c r="K406" i="3" s="1"/>
  <c r="J407" i="3"/>
  <c r="K407" i="3" s="1"/>
  <c r="J408" i="3"/>
  <c r="K408" i="3" s="1"/>
  <c r="J409" i="3"/>
  <c r="K409" i="3" s="1"/>
  <c r="J410" i="3"/>
  <c r="K410" i="3" s="1"/>
  <c r="J411" i="3"/>
  <c r="K411" i="3" s="1"/>
  <c r="J412" i="3"/>
  <c r="K412" i="3" s="1"/>
  <c r="J413" i="3"/>
  <c r="K413" i="3" s="1"/>
  <c r="J414" i="3"/>
  <c r="K414" i="3" s="1"/>
  <c r="J415" i="3"/>
  <c r="K415" i="3" s="1"/>
  <c r="J416" i="3"/>
  <c r="K416" i="3" s="1"/>
  <c r="J417" i="3"/>
  <c r="K417" i="3" s="1"/>
  <c r="J418" i="3"/>
  <c r="K418" i="3" s="1"/>
  <c r="J419" i="3"/>
  <c r="J420" i="3"/>
  <c r="K420" i="3" s="1"/>
  <c r="J421" i="3"/>
  <c r="K421" i="3" s="1"/>
  <c r="J422" i="3"/>
  <c r="K422" i="3" s="1"/>
  <c r="J423" i="3"/>
  <c r="K423" i="3" s="1"/>
  <c r="J424" i="3"/>
  <c r="K424" i="3" s="1"/>
  <c r="J425" i="3"/>
  <c r="K425" i="3" s="1"/>
  <c r="J426" i="3"/>
  <c r="K426" i="3" s="1"/>
  <c r="J427" i="3"/>
  <c r="K427" i="3" s="1"/>
  <c r="J428" i="3"/>
  <c r="K428" i="3" s="1"/>
  <c r="J429" i="3"/>
  <c r="K429" i="3" s="1"/>
  <c r="J430" i="3"/>
  <c r="K430" i="3" s="1"/>
  <c r="J2940" i="3"/>
  <c r="J2937" i="3"/>
  <c r="K2937" i="3" s="1"/>
  <c r="J2934" i="3"/>
  <c r="K2934" i="3" s="1"/>
  <c r="J2932" i="3"/>
  <c r="K2932" i="3" s="1"/>
  <c r="J2917" i="3"/>
  <c r="K2917" i="3" s="1"/>
  <c r="J2912" i="3"/>
  <c r="J2910" i="3"/>
  <c r="K2910" i="3" s="1"/>
  <c r="J2902" i="3"/>
  <c r="K2902" i="3" s="1"/>
  <c r="J2900" i="3"/>
  <c r="K2900" i="3" s="1"/>
  <c r="J2896" i="3"/>
  <c r="K2896" i="3" s="1"/>
  <c r="J2895" i="3"/>
  <c r="K2895" i="3" s="1"/>
  <c r="J2885" i="3"/>
  <c r="K2885" i="3" s="1"/>
  <c r="J2882" i="3"/>
  <c r="K2882" i="3" s="1"/>
  <c r="J2865" i="3"/>
  <c r="K2865" i="3" s="1"/>
  <c r="J2864" i="3"/>
  <c r="K2864" i="3" s="1"/>
  <c r="J2862" i="3"/>
  <c r="K2862" i="3" s="1"/>
  <c r="J2851" i="3"/>
  <c r="K2851" i="3" s="1"/>
  <c r="J2840" i="3"/>
  <c r="K2840" i="3" s="1"/>
  <c r="J2834" i="3"/>
  <c r="K2834" i="3" s="1"/>
  <c r="J2831" i="3"/>
  <c r="K2831" i="3" s="1"/>
  <c r="J2826" i="3"/>
  <c r="K2826" i="3" s="1"/>
  <c r="J2813" i="3"/>
  <c r="K2813" i="3" s="1"/>
  <c r="J2799" i="3"/>
  <c r="K2799" i="3" s="1"/>
  <c r="J2790" i="3"/>
  <c r="K2790" i="3" s="1"/>
  <c r="J2786" i="3"/>
  <c r="K2786" i="3" s="1"/>
  <c r="J2775" i="3"/>
  <c r="K2775" i="3" s="1"/>
  <c r="J2773" i="3"/>
  <c r="K2773" i="3" s="1"/>
  <c r="J2768" i="3"/>
  <c r="K2768" i="3" s="1"/>
  <c r="J2763" i="3"/>
  <c r="K2763" i="3" s="1"/>
  <c r="J2756" i="3"/>
  <c r="K2756" i="3" s="1"/>
  <c r="J2754" i="3"/>
  <c r="K2754" i="3" s="1"/>
  <c r="J2753" i="3"/>
  <c r="J2750" i="3"/>
  <c r="K2750" i="3" s="1"/>
  <c r="J2747" i="3"/>
  <c r="K2747" i="3" s="1"/>
  <c r="J2742" i="3"/>
  <c r="K2742" i="3" s="1"/>
  <c r="J2738" i="3"/>
  <c r="K2738" i="3" s="1"/>
  <c r="J2729" i="3"/>
  <c r="K2729" i="3" s="1"/>
  <c r="J2715" i="3"/>
  <c r="K2715" i="3" s="1"/>
  <c r="J2710" i="3"/>
  <c r="K2710" i="3" s="1"/>
  <c r="J2682" i="3"/>
  <c r="K2682" i="3" s="1"/>
  <c r="J2678" i="3"/>
  <c r="K2678" i="3" s="1"/>
  <c r="J2640" i="3"/>
  <c r="K2640" i="3" s="1"/>
  <c r="J2637" i="3"/>
  <c r="K2637" i="3" s="1"/>
  <c r="J2633" i="3"/>
  <c r="K2633" i="3" s="1"/>
  <c r="J2626" i="3"/>
  <c r="K2626" i="3" s="1"/>
  <c r="J2623" i="3"/>
  <c r="K2623" i="3" s="1"/>
  <c r="J2622" i="3"/>
  <c r="K2622" i="3" s="1"/>
  <c r="J2616" i="3"/>
  <c r="K2616" i="3" s="1"/>
  <c r="J2611" i="3"/>
  <c r="K2611" i="3" s="1"/>
  <c r="J2609" i="3"/>
  <c r="K2609" i="3" s="1"/>
  <c r="J2603" i="3"/>
  <c r="K2603" i="3" s="1"/>
  <c r="J2587" i="3"/>
  <c r="K2587" i="3" s="1"/>
  <c r="J2582" i="3"/>
  <c r="K2582" i="3" s="1"/>
  <c r="J2579" i="3"/>
  <c r="J2577" i="3"/>
  <c r="K2577" i="3" s="1"/>
  <c r="J2575" i="3"/>
  <c r="K2575" i="3" s="1"/>
  <c r="J2570" i="3"/>
  <c r="K2570" i="3" s="1"/>
  <c r="J2567" i="3"/>
  <c r="K2567" i="3" s="1"/>
  <c r="J2553" i="3"/>
  <c r="K2553" i="3" s="1"/>
  <c r="J2538" i="3"/>
  <c r="K2538" i="3" s="1"/>
  <c r="J2533" i="3"/>
  <c r="K2533" i="3" s="1"/>
  <c r="J2515" i="3"/>
  <c r="K2515" i="3" s="1"/>
  <c r="J2511" i="3"/>
  <c r="K2511" i="3" s="1"/>
  <c r="J2506" i="3"/>
  <c r="K2506" i="3" s="1"/>
  <c r="J2490" i="3"/>
  <c r="K2490" i="3" s="1"/>
  <c r="J2480" i="3"/>
  <c r="K2480" i="3" s="1"/>
  <c r="J2478" i="3"/>
  <c r="K2478" i="3" s="1"/>
  <c r="J2474" i="3"/>
  <c r="K2474" i="3" s="1"/>
  <c r="J2463" i="3"/>
  <c r="K2463" i="3" s="1"/>
  <c r="J2454" i="3"/>
  <c r="J2446" i="3"/>
  <c r="K2446" i="3" s="1"/>
  <c r="J2439" i="3"/>
  <c r="K2439" i="3" s="1"/>
  <c r="J2423" i="3"/>
  <c r="K2423" i="3" s="1"/>
  <c r="J2407" i="3"/>
  <c r="K2407" i="3" s="1"/>
  <c r="J2401" i="3"/>
  <c r="K2401" i="3" s="1"/>
  <c r="J2390" i="3"/>
  <c r="K2390" i="3" s="1"/>
  <c r="J2375" i="3"/>
  <c r="K2375" i="3" s="1"/>
  <c r="J2363" i="3"/>
  <c r="K2363" i="3" s="1"/>
  <c r="J2357" i="3"/>
  <c r="K2357" i="3" s="1"/>
  <c r="J2339" i="3"/>
  <c r="K2339" i="3" s="1"/>
  <c r="J2323" i="3"/>
  <c r="J2311" i="3"/>
  <c r="K2311" i="3" s="1"/>
  <c r="J2307" i="3"/>
  <c r="K2307" i="3" s="1"/>
  <c r="J2294" i="3"/>
  <c r="J2290" i="3"/>
  <c r="K2290" i="3" s="1"/>
  <c r="J2266" i="3"/>
  <c r="K2266" i="3" s="1"/>
  <c r="J2264" i="3"/>
  <c r="J2254" i="3"/>
  <c r="K2254" i="3" s="1"/>
  <c r="J2238" i="3"/>
  <c r="K2238" i="3" s="1"/>
  <c r="J2235" i="3"/>
  <c r="K2235" i="3" s="1"/>
  <c r="J2221" i="3"/>
  <c r="K2221" i="3" s="1"/>
  <c r="J2203" i="3"/>
  <c r="K2203" i="3" s="1"/>
  <c r="J2181" i="3"/>
  <c r="K2181" i="3" s="1"/>
  <c r="J2173" i="3"/>
  <c r="J2168" i="3"/>
  <c r="K2168" i="3" s="1"/>
  <c r="J2162" i="3"/>
  <c r="K2162" i="3" s="1"/>
  <c r="J2158" i="3"/>
  <c r="K2158" i="3" s="1"/>
  <c r="J2130" i="3"/>
  <c r="K2130" i="3" s="1"/>
  <c r="J2125" i="3"/>
  <c r="K2125" i="3" s="1"/>
  <c r="J2123" i="3"/>
  <c r="K2123" i="3" s="1"/>
  <c r="J2117" i="3"/>
  <c r="K2117" i="3" s="1"/>
  <c r="J2111" i="3"/>
  <c r="K2111" i="3" s="1"/>
  <c r="J2109" i="3"/>
  <c r="K2109" i="3" s="1"/>
  <c r="J2100" i="3"/>
  <c r="K2100" i="3" s="1"/>
  <c r="J2095" i="3"/>
  <c r="K2095" i="3" s="1"/>
  <c r="J2088" i="3"/>
  <c r="K2088" i="3" s="1"/>
  <c r="J2058" i="3"/>
  <c r="K2058" i="3" s="1"/>
  <c r="J2022" i="3"/>
  <c r="K2022" i="3" s="1"/>
  <c r="J2939" i="3"/>
  <c r="K2939" i="3" s="1"/>
  <c r="J2929" i="3"/>
  <c r="K2929" i="3" s="1"/>
  <c r="J2926" i="3"/>
  <c r="K2926" i="3" s="1"/>
  <c r="J2925" i="3"/>
  <c r="K2925" i="3" s="1"/>
  <c r="J2921" i="3"/>
  <c r="K2921" i="3" s="1"/>
  <c r="J2919" i="3"/>
  <c r="J2909" i="3"/>
  <c r="J2908" i="3"/>
  <c r="K2908" i="3" s="1"/>
  <c r="J2907" i="3"/>
  <c r="K2907" i="3" s="1"/>
  <c r="J2901" i="3"/>
  <c r="K2901" i="3" s="1"/>
  <c r="J2897" i="3"/>
  <c r="K2897" i="3" s="1"/>
  <c r="J2891" i="3"/>
  <c r="K2891" i="3" s="1"/>
  <c r="J2886" i="3"/>
  <c r="K2886" i="3" s="1"/>
  <c r="J2883" i="3"/>
  <c r="K2883" i="3" s="1"/>
  <c r="J2881" i="3"/>
  <c r="K2881" i="3" s="1"/>
  <c r="J2877" i="3"/>
  <c r="K2877" i="3" s="1"/>
  <c r="J2875" i="3"/>
  <c r="K2875" i="3" s="1"/>
  <c r="J2870" i="3"/>
  <c r="K2870" i="3" s="1"/>
  <c r="J2858" i="3"/>
  <c r="K2858" i="3" s="1"/>
  <c r="J2855" i="3"/>
  <c r="K2855" i="3" s="1"/>
  <c r="J2849" i="3"/>
  <c r="K2849" i="3" s="1"/>
  <c r="J2848" i="3"/>
  <c r="K2848" i="3" s="1"/>
  <c r="J2841" i="3"/>
  <c r="K2841" i="3" s="1"/>
  <c r="J2839" i="3"/>
  <c r="K2839" i="3" s="1"/>
  <c r="J2836" i="3"/>
  <c r="K2836" i="3" s="1"/>
  <c r="J2833" i="3"/>
  <c r="K2833" i="3" s="1"/>
  <c r="J2832" i="3"/>
  <c r="K2832" i="3" s="1"/>
  <c r="J2829" i="3"/>
  <c r="K2829" i="3" s="1"/>
  <c r="J2824" i="3"/>
  <c r="K2824" i="3" s="1"/>
  <c r="J2820" i="3"/>
  <c r="K2820" i="3" s="1"/>
  <c r="J2807" i="3"/>
  <c r="J2801" i="3"/>
  <c r="K2801" i="3" s="1"/>
  <c r="J2800" i="3"/>
  <c r="K2800" i="3" s="1"/>
  <c r="J2789" i="3"/>
  <c r="K2789" i="3" s="1"/>
  <c r="J2780" i="3"/>
  <c r="J2771" i="3"/>
  <c r="K2771" i="3" s="1"/>
  <c r="J2764" i="3"/>
  <c r="K2764" i="3" s="1"/>
  <c r="J2759" i="3"/>
  <c r="K2759" i="3" s="1"/>
  <c r="J2758" i="3"/>
  <c r="K2758" i="3" s="1"/>
  <c r="J2755" i="3"/>
  <c r="K2755" i="3" s="1"/>
  <c r="J2752" i="3"/>
  <c r="K2752" i="3" s="1"/>
  <c r="J2745" i="3"/>
  <c r="K2745" i="3" s="1"/>
  <c r="J2740" i="3"/>
  <c r="K2740" i="3" s="1"/>
  <c r="J2735" i="3"/>
  <c r="K2735" i="3" s="1"/>
  <c r="J2731" i="3"/>
  <c r="K2731" i="3" s="1"/>
  <c r="J2727" i="3"/>
  <c r="K2727" i="3" s="1"/>
  <c r="J2718" i="3"/>
  <c r="K2718" i="3" s="1"/>
  <c r="J2711" i="3"/>
  <c r="K2711" i="3" s="1"/>
  <c r="J2709" i="3"/>
  <c r="K2709" i="3" s="1"/>
  <c r="J2706" i="3"/>
  <c r="K2706" i="3" s="1"/>
  <c r="J2699" i="3"/>
  <c r="J2696" i="3"/>
  <c r="K2696" i="3" s="1"/>
  <c r="J2683" i="3"/>
  <c r="K2683" i="3" s="1"/>
  <c r="J2680" i="3"/>
  <c r="K2680" i="3" s="1"/>
  <c r="J2671" i="3"/>
  <c r="K2671" i="3" s="1"/>
  <c r="J2654" i="3"/>
  <c r="K2654" i="3" s="1"/>
  <c r="J2647" i="3"/>
  <c r="K2647" i="3" s="1"/>
  <c r="J2643" i="3"/>
  <c r="K2643" i="3" s="1"/>
  <c r="J2639" i="3"/>
  <c r="K2639" i="3" s="1"/>
  <c r="J2634" i="3"/>
  <c r="K2634" i="3" s="1"/>
  <c r="J2629" i="3"/>
  <c r="J2625" i="3"/>
  <c r="K2625" i="3" s="1"/>
  <c r="J2619" i="3"/>
  <c r="K2619" i="3" s="1"/>
  <c r="J2617" i="3"/>
  <c r="K2617" i="3" s="1"/>
  <c r="J2604" i="3"/>
  <c r="K2604" i="3" s="1"/>
  <c r="J2602" i="3"/>
  <c r="K2602" i="3" s="1"/>
  <c r="J2593" i="3"/>
  <c r="K2593" i="3" s="1"/>
  <c r="J2592" i="3"/>
  <c r="K2592" i="3" s="1"/>
  <c r="J2578" i="3"/>
  <c r="K2578" i="3" s="1"/>
  <c r="J2573" i="3"/>
  <c r="K2573" i="3" s="1"/>
  <c r="J2561" i="3"/>
  <c r="K2561" i="3" s="1"/>
  <c r="J2549" i="3"/>
  <c r="K2549" i="3" s="1"/>
  <c r="J2526" i="3"/>
  <c r="K2526" i="3" s="1"/>
  <c r="J2519" i="3"/>
  <c r="K2519" i="3" s="1"/>
  <c r="J2518" i="3"/>
  <c r="J2495" i="3"/>
  <c r="K2495" i="3" s="1"/>
  <c r="J2484" i="3"/>
  <c r="K2484" i="3" s="1"/>
  <c r="J2483" i="3"/>
  <c r="K2483" i="3" s="1"/>
  <c r="J2477" i="3"/>
  <c r="K2477" i="3" s="1"/>
  <c r="J2451" i="3"/>
  <c r="K2451" i="3" s="1"/>
  <c r="J2450" i="3"/>
  <c r="K2450" i="3" s="1"/>
  <c r="J2449" i="3"/>
  <c r="K2449" i="3" s="1"/>
  <c r="J2448" i="3"/>
  <c r="K2448" i="3" s="1"/>
  <c r="J2447" i="3"/>
  <c r="K2447" i="3" s="1"/>
  <c r="J2445" i="3"/>
  <c r="K2445" i="3" s="1"/>
  <c r="J2440" i="3"/>
  <c r="U1503" i="2"/>
  <c r="T1503" i="2"/>
  <c r="U1502" i="2"/>
  <c r="T1502" i="2"/>
  <c r="U1501" i="2"/>
  <c r="T1501" i="2"/>
  <c r="T1500" i="2"/>
  <c r="U1500" i="2"/>
  <c r="T1499" i="2"/>
  <c r="U1499" i="2"/>
  <c r="U1498" i="2"/>
  <c r="T1498" i="2"/>
  <c r="U1497" i="2"/>
  <c r="T1497" i="2"/>
  <c r="U1496" i="2"/>
  <c r="T1496" i="2"/>
  <c r="U1495" i="2"/>
  <c r="T1495" i="2"/>
  <c r="U1494" i="2"/>
  <c r="T1494" i="2"/>
  <c r="T1493" i="2"/>
  <c r="U1493" i="2"/>
  <c r="U1492" i="2"/>
  <c r="T1492" i="2"/>
  <c r="U1491" i="2"/>
  <c r="T1491" i="2"/>
  <c r="U1488" i="2"/>
  <c r="T1488" i="2"/>
  <c r="U1487" i="2"/>
  <c r="T1487" i="2"/>
  <c r="T1486" i="2"/>
  <c r="U1486" i="2"/>
  <c r="T1485" i="2"/>
  <c r="U1485" i="2"/>
  <c r="T1484" i="2"/>
  <c r="U1484" i="2"/>
  <c r="U1483" i="2"/>
  <c r="T1483" i="2"/>
  <c r="T1482" i="2"/>
  <c r="U1482" i="2"/>
  <c r="T1481" i="2"/>
  <c r="U1481" i="2"/>
  <c r="T1480" i="2"/>
  <c r="U1480" i="2"/>
  <c r="U1479" i="2"/>
  <c r="T1479" i="2"/>
  <c r="U1478" i="2"/>
  <c r="T1478" i="2"/>
  <c r="T1477" i="2"/>
  <c r="U1477" i="2"/>
  <c r="U1476" i="2"/>
  <c r="T1476" i="2"/>
  <c r="U1475" i="2"/>
  <c r="T1475" i="2"/>
  <c r="T1474" i="2"/>
  <c r="U1474" i="2"/>
  <c r="T1473" i="2"/>
  <c r="U1473" i="2"/>
  <c r="U1471" i="2"/>
  <c r="T1471" i="2"/>
  <c r="U1470" i="2"/>
  <c r="T1470" i="2"/>
  <c r="T1469" i="2"/>
  <c r="U1469" i="2"/>
  <c r="T1468" i="2"/>
  <c r="U1468" i="2"/>
  <c r="T1467" i="2"/>
  <c r="U1467" i="2"/>
  <c r="U1466" i="2"/>
  <c r="T1466" i="2"/>
  <c r="U1465" i="2"/>
  <c r="T1465" i="2"/>
  <c r="U1464" i="2"/>
  <c r="T1464" i="2"/>
  <c r="T1463" i="2"/>
  <c r="U1463" i="2"/>
  <c r="U1462" i="2"/>
  <c r="T1462" i="2"/>
  <c r="U1461" i="2"/>
  <c r="T1461" i="2"/>
  <c r="T1460" i="2"/>
  <c r="U1460" i="2"/>
  <c r="U1459" i="2"/>
  <c r="T1459" i="2"/>
  <c r="U1458" i="2"/>
  <c r="T1458" i="2"/>
  <c r="T1456" i="2"/>
  <c r="U1456" i="2"/>
  <c r="U1455" i="2"/>
  <c r="T1455" i="2"/>
  <c r="U1454" i="2"/>
  <c r="T1454" i="2"/>
  <c r="U1453" i="2"/>
  <c r="T1453" i="2"/>
  <c r="U1452" i="2"/>
  <c r="T1452" i="2"/>
  <c r="U1451" i="2"/>
  <c r="T1451" i="2"/>
  <c r="T1450" i="2"/>
  <c r="U1450" i="2"/>
  <c r="T1448" i="2"/>
  <c r="U1448" i="2"/>
  <c r="U1447" i="2"/>
  <c r="T1447" i="2"/>
  <c r="T1445" i="2"/>
  <c r="U1445" i="2"/>
  <c r="U1444" i="2"/>
  <c r="T1444" i="2"/>
  <c r="U1443" i="2"/>
  <c r="T1443" i="2"/>
  <c r="U1442" i="2"/>
  <c r="T1442" i="2"/>
  <c r="T1441" i="2"/>
  <c r="U1441" i="2"/>
  <c r="U1440" i="2"/>
  <c r="T1440" i="2"/>
  <c r="U1439" i="2"/>
  <c r="T1439" i="2"/>
  <c r="U1438" i="2"/>
  <c r="T1438" i="2"/>
  <c r="U1437" i="2"/>
  <c r="T1437" i="2"/>
  <c r="U1436" i="2"/>
  <c r="T1436" i="2"/>
  <c r="U1434" i="2"/>
  <c r="T1434" i="2"/>
  <c r="U1433" i="2"/>
  <c r="T1433" i="2"/>
  <c r="U1432" i="2"/>
  <c r="T1432" i="2"/>
  <c r="U1431" i="2"/>
  <c r="T1431" i="2"/>
  <c r="U1430" i="2"/>
  <c r="T1430" i="2"/>
  <c r="T1429" i="2"/>
  <c r="U1429" i="2"/>
  <c r="U1428" i="2"/>
  <c r="T1428" i="2"/>
  <c r="U1427" i="2"/>
  <c r="T1427" i="2"/>
  <c r="U1426" i="2"/>
  <c r="T1426" i="2"/>
  <c r="U1425" i="2"/>
  <c r="T1425" i="2"/>
  <c r="U1424" i="2"/>
  <c r="T1424" i="2"/>
  <c r="U1423" i="2"/>
  <c r="T1423" i="2"/>
  <c r="U1422" i="2"/>
  <c r="T1422" i="2"/>
  <c r="T1421" i="2"/>
  <c r="U1421" i="2"/>
  <c r="T1420" i="2"/>
  <c r="U1420" i="2"/>
  <c r="U1419" i="2"/>
  <c r="T1419" i="2"/>
  <c r="T1418" i="2"/>
  <c r="U1418" i="2"/>
  <c r="T1417" i="2"/>
  <c r="U1417" i="2"/>
  <c r="T1416" i="2"/>
  <c r="U1416" i="2"/>
  <c r="U1415" i="2"/>
  <c r="T1415" i="2"/>
  <c r="U1414" i="2"/>
  <c r="T1414" i="2"/>
  <c r="U1413" i="2"/>
  <c r="T1413" i="2"/>
  <c r="U1411" i="2"/>
  <c r="T1411" i="2"/>
  <c r="U1410" i="2"/>
  <c r="T1410" i="2"/>
  <c r="U1409" i="2"/>
  <c r="T1409" i="2"/>
  <c r="U1408" i="2"/>
  <c r="T1408" i="2"/>
  <c r="U1407" i="2"/>
  <c r="T1407" i="2"/>
  <c r="T1406" i="2"/>
  <c r="U1406" i="2"/>
  <c r="U1405" i="2"/>
  <c r="T1405" i="2"/>
  <c r="U1404" i="2"/>
  <c r="T1404" i="2"/>
  <c r="T1402" i="2"/>
  <c r="U1402" i="2"/>
  <c r="U1401" i="2"/>
  <c r="T1401" i="2"/>
  <c r="T1399" i="2"/>
  <c r="U1399" i="2"/>
  <c r="T1398" i="2"/>
  <c r="U1398" i="2"/>
  <c r="T1397" i="2"/>
  <c r="U1397" i="2"/>
  <c r="T1396" i="2"/>
  <c r="U1396" i="2"/>
  <c r="T1393" i="2"/>
  <c r="U1393" i="2"/>
  <c r="T1392" i="2"/>
  <c r="U1392" i="2"/>
  <c r="U1391" i="2"/>
  <c r="T1391" i="2"/>
  <c r="U1390" i="2"/>
  <c r="T1390" i="2"/>
  <c r="T1389" i="2"/>
  <c r="U1389" i="2"/>
  <c r="T1388" i="2"/>
  <c r="U1388" i="2"/>
  <c r="T1387" i="2"/>
  <c r="U1387" i="2"/>
  <c r="T1386" i="2"/>
  <c r="U1386" i="2"/>
  <c r="T1385" i="2"/>
  <c r="U1385" i="2"/>
  <c r="T1384" i="2"/>
  <c r="U1384" i="2"/>
  <c r="T1383" i="2"/>
  <c r="U1383" i="2"/>
  <c r="T1382" i="2"/>
  <c r="U1382" i="2"/>
  <c r="T1381" i="2"/>
  <c r="U1381" i="2"/>
  <c r="U1380" i="2"/>
  <c r="T1380" i="2"/>
  <c r="U1379" i="2"/>
  <c r="T1379" i="2"/>
  <c r="U1378" i="2"/>
  <c r="T1378" i="2"/>
  <c r="U1376" i="2"/>
  <c r="T1376" i="2"/>
  <c r="U1375" i="2"/>
  <c r="T1375" i="2"/>
  <c r="U1374" i="2"/>
  <c r="T1374" i="2"/>
  <c r="U1373" i="2"/>
  <c r="T1373" i="2"/>
  <c r="T1372" i="2"/>
  <c r="U1372" i="2"/>
  <c r="U1371" i="2"/>
  <c r="T1371" i="2"/>
  <c r="U1370" i="2"/>
  <c r="T1370" i="2"/>
  <c r="T1368" i="2"/>
  <c r="U1368" i="2"/>
  <c r="U1367" i="2"/>
  <c r="T1367" i="2"/>
  <c r="T1366" i="2"/>
  <c r="U1366" i="2"/>
  <c r="T1363" i="2"/>
  <c r="U1363" i="2"/>
  <c r="T1362" i="2"/>
  <c r="U1362" i="2"/>
  <c r="T1361" i="2"/>
  <c r="U1361" i="2"/>
  <c r="U1360" i="2"/>
  <c r="T1360" i="2"/>
  <c r="T1359" i="2"/>
  <c r="U1359" i="2"/>
  <c r="U1358" i="2"/>
  <c r="T1358" i="2"/>
  <c r="T1357" i="2"/>
  <c r="U1357" i="2"/>
  <c r="U1356" i="2"/>
  <c r="T1356" i="2"/>
  <c r="U1355" i="2"/>
  <c r="T1355" i="2"/>
  <c r="U1354" i="2"/>
  <c r="T1354" i="2"/>
  <c r="U1352" i="2"/>
  <c r="T1352" i="2"/>
  <c r="U1351" i="2"/>
  <c r="T1351" i="2"/>
  <c r="U1350" i="2"/>
  <c r="T1350" i="2"/>
  <c r="U1349" i="2"/>
  <c r="T1349" i="2"/>
  <c r="U1348" i="2"/>
  <c r="T1348" i="2"/>
  <c r="U1346" i="2"/>
  <c r="T1346" i="2"/>
  <c r="U1345" i="2"/>
  <c r="T1345" i="2"/>
  <c r="U1344" i="2"/>
  <c r="T1344" i="2"/>
  <c r="U1342" i="2"/>
  <c r="T1342" i="2"/>
  <c r="U1341" i="2"/>
  <c r="T1341" i="2"/>
  <c r="T1340" i="2"/>
  <c r="U1340" i="2"/>
  <c r="T1339" i="2"/>
  <c r="U1339" i="2"/>
  <c r="T1338" i="2"/>
  <c r="U1338" i="2"/>
  <c r="T1337" i="2"/>
  <c r="U1337" i="2"/>
  <c r="T1336" i="2"/>
  <c r="U1336" i="2"/>
  <c r="U1335" i="2"/>
  <c r="T1335" i="2"/>
  <c r="U1334" i="2"/>
  <c r="T1334" i="2"/>
  <c r="T1333" i="2"/>
  <c r="U1333" i="2"/>
  <c r="T1332" i="2"/>
  <c r="U1332" i="2"/>
  <c r="U1331" i="2"/>
  <c r="T1331" i="2"/>
  <c r="T1330" i="2"/>
  <c r="U1330" i="2"/>
  <c r="U1329" i="2"/>
  <c r="T1329" i="2"/>
  <c r="T1328" i="2"/>
  <c r="U1328" i="2"/>
  <c r="U1327" i="2"/>
  <c r="T1327" i="2"/>
  <c r="U1326" i="2"/>
  <c r="T1326" i="2"/>
  <c r="U1325" i="2"/>
  <c r="T1325" i="2"/>
  <c r="U1324" i="2"/>
  <c r="T1324" i="2"/>
  <c r="U1323" i="2"/>
  <c r="T1323" i="2"/>
  <c r="U1322" i="2"/>
  <c r="T1322" i="2"/>
  <c r="T1321" i="2"/>
  <c r="U1321" i="2"/>
  <c r="T1320" i="2"/>
  <c r="U1320" i="2"/>
  <c r="U1319" i="2"/>
  <c r="T1319" i="2"/>
  <c r="U1318" i="2"/>
  <c r="T1318" i="2"/>
  <c r="T1317" i="2"/>
  <c r="U1317" i="2"/>
  <c r="U1316" i="2"/>
  <c r="T1316" i="2"/>
  <c r="U1315" i="2"/>
  <c r="T1315" i="2"/>
  <c r="T1314" i="2"/>
  <c r="U1314" i="2"/>
  <c r="T1313" i="2"/>
  <c r="U1313" i="2"/>
  <c r="T1312" i="2"/>
  <c r="U1312" i="2"/>
  <c r="T1311" i="2"/>
  <c r="U1311" i="2"/>
  <c r="T1310" i="2"/>
  <c r="U1310" i="2"/>
  <c r="T1309" i="2"/>
  <c r="U1309" i="2"/>
  <c r="T1308" i="2"/>
  <c r="U1308" i="2"/>
  <c r="U1306" i="2"/>
  <c r="T1306" i="2"/>
  <c r="U1305" i="2"/>
  <c r="T1305" i="2"/>
  <c r="T1304" i="2"/>
  <c r="U1304" i="2"/>
  <c r="U1303" i="2"/>
  <c r="T1303" i="2"/>
  <c r="U1302" i="2"/>
  <c r="T1302" i="2"/>
  <c r="U1301" i="2"/>
  <c r="T1301" i="2"/>
  <c r="T1300" i="2"/>
  <c r="U1300" i="2"/>
  <c r="T1298" i="2"/>
  <c r="U1298" i="2"/>
  <c r="U1297" i="2"/>
  <c r="T1297" i="2"/>
  <c r="U1296" i="2"/>
  <c r="T1296" i="2"/>
  <c r="T1295" i="2"/>
  <c r="U1295" i="2"/>
  <c r="T1294" i="2"/>
  <c r="U1294" i="2"/>
  <c r="T1293" i="2"/>
  <c r="U1293" i="2"/>
  <c r="T1292" i="2"/>
  <c r="U1292" i="2"/>
  <c r="U1290" i="2"/>
  <c r="T1290" i="2"/>
  <c r="U1289" i="2"/>
  <c r="T1289" i="2"/>
  <c r="U1288" i="2"/>
  <c r="T1288" i="2"/>
  <c r="T1287" i="2"/>
  <c r="U1287" i="2"/>
  <c r="U1285" i="2"/>
  <c r="T1285" i="2"/>
  <c r="U1284" i="2"/>
  <c r="T1284" i="2"/>
  <c r="U1282" i="2"/>
  <c r="T1282" i="2"/>
  <c r="U1281" i="2"/>
  <c r="T1281" i="2"/>
  <c r="T1280" i="2"/>
  <c r="U1280" i="2"/>
  <c r="T1279" i="2"/>
  <c r="U1279" i="2"/>
  <c r="U1278" i="2"/>
  <c r="T1278" i="2"/>
  <c r="U1277" i="2"/>
  <c r="T1277" i="2"/>
  <c r="U1276" i="2"/>
  <c r="T1276" i="2"/>
  <c r="U1274" i="2"/>
  <c r="T1274" i="2"/>
  <c r="U1272" i="2"/>
  <c r="T1272" i="2"/>
  <c r="T1270" i="2"/>
  <c r="U1270" i="2"/>
  <c r="U1269" i="2"/>
  <c r="T1269" i="2"/>
  <c r="T1268" i="2"/>
  <c r="U1268" i="2"/>
  <c r="T1267" i="2"/>
  <c r="U1267" i="2"/>
  <c r="T1266" i="2"/>
  <c r="U1266" i="2"/>
  <c r="T1265" i="2"/>
  <c r="U1265" i="2"/>
  <c r="T1264" i="2"/>
  <c r="U1264" i="2"/>
  <c r="U1263" i="2"/>
  <c r="T1263" i="2"/>
  <c r="U1262" i="2"/>
  <c r="T1262" i="2"/>
  <c r="U1261" i="2"/>
  <c r="T1261" i="2"/>
  <c r="U1260" i="2"/>
  <c r="T1260" i="2"/>
  <c r="U1258" i="2"/>
  <c r="T1258" i="2"/>
  <c r="U1257" i="2"/>
  <c r="T1257" i="2"/>
  <c r="U1256" i="2"/>
  <c r="T1256" i="2"/>
  <c r="U1255" i="2"/>
  <c r="T1255" i="2"/>
  <c r="U1254" i="2"/>
  <c r="T1254" i="2"/>
  <c r="U1253" i="2"/>
  <c r="T1253" i="2"/>
  <c r="U1252" i="2"/>
  <c r="T1252" i="2"/>
  <c r="U1251" i="2"/>
  <c r="T1251" i="2"/>
  <c r="U1250" i="2"/>
  <c r="T1250" i="2"/>
  <c r="U1249" i="2"/>
  <c r="T1249" i="2"/>
  <c r="U1248" i="2"/>
  <c r="T1248" i="2"/>
  <c r="U1247" i="2"/>
  <c r="T1247" i="2"/>
  <c r="U1246" i="2"/>
  <c r="T1246" i="2"/>
  <c r="U1245" i="2"/>
  <c r="T1245" i="2"/>
  <c r="U1244" i="2"/>
  <c r="T1244" i="2"/>
  <c r="U1243" i="2"/>
  <c r="T1243" i="2"/>
  <c r="U1242" i="2"/>
  <c r="T1242" i="2"/>
  <c r="T1241" i="2"/>
  <c r="U1241" i="2"/>
  <c r="T1240" i="2"/>
  <c r="U1240" i="2"/>
  <c r="T1239" i="2"/>
  <c r="U1239" i="2"/>
  <c r="T1238" i="2"/>
  <c r="U1238" i="2"/>
  <c r="T1237" i="2"/>
  <c r="U1237" i="2"/>
  <c r="T1236" i="2"/>
  <c r="U1236" i="2"/>
  <c r="T1235" i="2"/>
  <c r="U1235" i="2"/>
  <c r="U1234" i="2"/>
  <c r="T1234" i="2"/>
  <c r="U1233" i="2"/>
  <c r="T1233" i="2"/>
  <c r="U1231" i="2"/>
  <c r="T1231" i="2"/>
  <c r="T1230" i="2"/>
  <c r="U1230" i="2"/>
  <c r="T1229" i="2"/>
  <c r="U1229" i="2"/>
  <c r="T1228" i="2"/>
  <c r="U1228" i="2"/>
  <c r="T1227" i="2"/>
  <c r="U1227" i="2"/>
  <c r="T1226" i="2"/>
  <c r="U1226" i="2"/>
  <c r="U1224" i="2"/>
  <c r="T1224" i="2"/>
  <c r="U1223" i="2"/>
  <c r="T1223" i="2"/>
  <c r="T1222" i="2"/>
  <c r="U1222" i="2"/>
  <c r="U1220" i="2"/>
  <c r="T1220" i="2"/>
  <c r="U1219" i="2"/>
  <c r="T1219" i="2"/>
  <c r="U1218" i="2"/>
  <c r="T1218" i="2"/>
  <c r="U1217" i="2"/>
  <c r="T1217" i="2"/>
  <c r="U1216" i="2"/>
  <c r="T1216" i="2"/>
  <c r="U1215" i="2"/>
  <c r="T1215" i="2"/>
  <c r="U1213" i="2"/>
  <c r="T1213" i="2"/>
  <c r="T1212" i="2"/>
  <c r="U1212" i="2"/>
  <c r="U1210" i="2"/>
  <c r="T1210" i="2"/>
  <c r="U1209" i="2"/>
  <c r="T1209" i="2"/>
  <c r="U1208" i="2"/>
  <c r="T1208" i="2"/>
  <c r="U1207" i="2"/>
  <c r="T1207" i="2"/>
  <c r="U1206" i="2"/>
  <c r="T1206" i="2"/>
  <c r="U1205" i="2"/>
  <c r="T1205" i="2"/>
  <c r="U1204" i="2"/>
  <c r="T1204" i="2"/>
  <c r="U1203" i="2"/>
  <c r="T1203" i="2"/>
  <c r="U1202" i="2"/>
  <c r="T1202" i="2"/>
  <c r="U1201" i="2"/>
  <c r="T1201" i="2"/>
  <c r="U1200" i="2"/>
  <c r="T1200" i="2"/>
  <c r="U1199" i="2"/>
  <c r="T1199" i="2"/>
  <c r="U1198" i="2"/>
  <c r="T1198" i="2"/>
  <c r="U1197" i="2"/>
  <c r="T1197" i="2"/>
  <c r="U1196" i="2"/>
  <c r="T1196" i="2"/>
  <c r="T1195" i="2"/>
  <c r="U1195" i="2"/>
  <c r="T1194" i="2"/>
  <c r="U1194" i="2"/>
  <c r="U1192" i="2"/>
  <c r="T1192" i="2"/>
  <c r="U1191" i="2"/>
  <c r="T1191" i="2"/>
  <c r="U1190" i="2"/>
  <c r="T1190" i="2"/>
  <c r="T1189" i="2"/>
  <c r="U1189" i="2"/>
  <c r="U1188" i="2"/>
  <c r="T1188" i="2"/>
  <c r="T1187" i="2"/>
  <c r="U1187" i="2"/>
  <c r="T1186" i="2"/>
  <c r="U1186" i="2"/>
  <c r="U1185" i="2"/>
  <c r="T1185" i="2"/>
  <c r="U1183" i="2"/>
  <c r="T1183" i="2"/>
  <c r="U1182" i="2"/>
  <c r="T1182" i="2"/>
  <c r="U1181" i="2"/>
  <c r="T1181" i="2"/>
  <c r="U1180" i="2"/>
  <c r="T1180" i="2"/>
  <c r="U1179" i="2"/>
  <c r="T1179" i="2"/>
  <c r="T1178" i="2"/>
  <c r="U1178" i="2"/>
  <c r="T1177" i="2"/>
  <c r="U1177" i="2"/>
  <c r="T1176" i="2"/>
  <c r="U1176" i="2"/>
  <c r="U1175" i="2"/>
  <c r="T1175" i="2"/>
  <c r="T1174" i="2"/>
  <c r="U1174" i="2"/>
  <c r="T1173" i="2"/>
  <c r="U1173" i="2"/>
  <c r="T1171" i="2"/>
  <c r="U1171" i="2"/>
  <c r="T1170" i="2"/>
  <c r="U1170" i="2"/>
  <c r="U1169" i="2"/>
  <c r="T1169" i="2"/>
  <c r="U1168" i="2"/>
  <c r="T1168" i="2"/>
  <c r="T1167" i="2"/>
  <c r="U1167" i="2"/>
  <c r="T1166" i="2"/>
  <c r="U1166" i="2"/>
  <c r="U1165" i="2"/>
  <c r="T1165" i="2"/>
  <c r="U1163" i="2"/>
  <c r="T1163" i="2"/>
  <c r="U1162" i="2"/>
  <c r="T1162" i="2"/>
  <c r="U1160" i="2"/>
  <c r="T1160" i="2"/>
  <c r="T1159" i="2"/>
  <c r="U1159" i="2"/>
  <c r="U1158" i="2"/>
  <c r="T1158" i="2"/>
  <c r="T1157" i="2"/>
  <c r="U1157" i="2"/>
  <c r="T1156" i="2"/>
  <c r="U1156" i="2"/>
  <c r="U1155" i="2"/>
  <c r="T1155" i="2"/>
  <c r="U1154" i="2"/>
  <c r="T1154" i="2"/>
  <c r="T1153" i="2"/>
  <c r="U1153" i="2"/>
  <c r="T1152" i="2"/>
  <c r="U1152" i="2"/>
  <c r="T1151" i="2"/>
  <c r="U1151" i="2"/>
  <c r="U1150" i="2"/>
  <c r="T1150" i="2"/>
  <c r="U1149" i="2"/>
  <c r="T1149" i="2"/>
  <c r="U1148" i="2"/>
  <c r="T1148" i="2"/>
  <c r="U1147" i="2"/>
  <c r="T1147" i="2"/>
  <c r="U1146" i="2"/>
  <c r="T1146" i="2"/>
  <c r="U1145" i="2"/>
  <c r="T1145" i="2"/>
  <c r="U1144" i="2"/>
  <c r="T1144" i="2"/>
  <c r="U1143" i="2"/>
  <c r="T1143" i="2"/>
  <c r="U1142" i="2"/>
  <c r="T1142" i="2"/>
  <c r="U1140" i="2"/>
  <c r="T1140" i="2"/>
  <c r="U1139" i="2"/>
  <c r="T1139" i="2"/>
  <c r="U1138" i="2"/>
  <c r="T1138" i="2"/>
  <c r="U1137" i="2"/>
  <c r="T1137" i="2"/>
  <c r="T1136" i="2"/>
  <c r="U1136" i="2"/>
  <c r="U1135" i="2"/>
  <c r="T1135" i="2"/>
  <c r="T1133" i="2"/>
  <c r="U1133" i="2"/>
  <c r="U1132" i="2"/>
  <c r="T1132" i="2"/>
  <c r="U1131" i="2"/>
  <c r="T1131" i="2"/>
  <c r="U1130" i="2"/>
  <c r="T1130" i="2"/>
  <c r="U1127" i="2"/>
  <c r="T1127" i="2"/>
  <c r="U1126" i="2"/>
  <c r="T1126" i="2"/>
  <c r="U1125" i="2"/>
  <c r="T1125" i="2"/>
  <c r="U1124" i="2"/>
  <c r="T1124" i="2"/>
  <c r="U1123" i="2"/>
  <c r="T1123" i="2"/>
  <c r="U1122" i="2"/>
  <c r="T1122" i="2"/>
  <c r="T1121" i="2"/>
  <c r="U1121" i="2"/>
  <c r="T1120" i="2"/>
  <c r="U1120" i="2"/>
  <c r="T1119" i="2"/>
  <c r="U1119" i="2"/>
  <c r="U1118" i="2"/>
  <c r="T1118" i="2"/>
  <c r="U1117" i="2"/>
  <c r="T1117" i="2"/>
  <c r="U1116" i="2"/>
  <c r="T1116" i="2"/>
  <c r="T1115" i="2"/>
  <c r="U1115" i="2"/>
  <c r="U1114" i="2"/>
  <c r="T1114" i="2"/>
  <c r="T1113" i="2"/>
  <c r="U1113" i="2"/>
  <c r="T1112" i="2"/>
  <c r="U1112" i="2"/>
  <c r="T1111" i="2"/>
  <c r="U1111" i="2"/>
  <c r="U1110" i="2"/>
  <c r="T1110" i="2"/>
  <c r="U1109" i="2"/>
  <c r="T1109" i="2"/>
  <c r="U1108" i="2"/>
  <c r="T1108" i="2"/>
  <c r="U1106" i="2"/>
  <c r="T1106" i="2"/>
  <c r="T1105" i="2"/>
  <c r="U1105" i="2"/>
  <c r="T1104" i="2"/>
  <c r="U1104" i="2"/>
  <c r="U1103" i="2"/>
  <c r="T1103" i="2"/>
  <c r="U1101" i="2"/>
  <c r="T1101" i="2"/>
  <c r="U1100" i="2"/>
  <c r="T1100" i="2"/>
  <c r="U1099" i="2"/>
  <c r="T1099" i="2"/>
  <c r="U1098" i="2"/>
  <c r="T1098" i="2"/>
  <c r="U1097" i="2"/>
  <c r="T1097" i="2"/>
  <c r="T1095" i="2"/>
  <c r="U1095" i="2"/>
  <c r="U1094" i="2"/>
  <c r="T1094" i="2"/>
  <c r="U1093" i="2"/>
  <c r="T1093" i="2"/>
  <c r="T1092" i="2"/>
  <c r="U1092" i="2"/>
  <c r="T1091" i="2"/>
  <c r="U1091" i="2"/>
  <c r="T1090" i="2"/>
  <c r="U1090" i="2"/>
  <c r="T1088" i="2"/>
  <c r="U1088" i="2"/>
  <c r="T1087" i="2"/>
  <c r="U1087" i="2"/>
  <c r="T1086" i="2"/>
  <c r="U1086" i="2"/>
  <c r="T1085" i="2"/>
  <c r="U1085" i="2"/>
  <c r="U1084" i="2"/>
  <c r="T1084" i="2"/>
  <c r="U1083" i="2"/>
  <c r="T1083" i="2"/>
  <c r="U1082" i="2"/>
  <c r="T1082" i="2"/>
  <c r="U1081" i="2"/>
  <c r="T1081" i="2"/>
  <c r="U1080" i="2"/>
  <c r="T1080" i="2"/>
  <c r="U1079" i="2"/>
  <c r="T1079" i="2"/>
  <c r="U1078" i="2"/>
  <c r="T1078" i="2"/>
  <c r="U1077" i="2"/>
  <c r="T1077" i="2"/>
  <c r="U1076" i="2"/>
  <c r="T1076" i="2"/>
  <c r="U1075" i="2"/>
  <c r="T1075" i="2"/>
  <c r="T1074" i="2"/>
  <c r="U1074" i="2"/>
  <c r="T1073" i="2"/>
  <c r="U1073" i="2"/>
  <c r="U1072" i="2"/>
  <c r="T1072" i="2"/>
  <c r="U1071" i="2"/>
  <c r="T1071" i="2"/>
  <c r="U1070" i="2"/>
  <c r="T1070" i="2"/>
  <c r="U1069" i="2"/>
  <c r="T1069" i="2"/>
  <c r="U1068" i="2"/>
  <c r="T1068" i="2"/>
  <c r="U1067" i="2"/>
  <c r="T1067" i="2"/>
  <c r="T1066" i="2"/>
  <c r="U1066" i="2"/>
  <c r="T1065" i="2"/>
  <c r="U1065" i="2"/>
  <c r="U1064" i="2"/>
  <c r="T1064" i="2"/>
  <c r="U1063" i="2"/>
  <c r="T1063" i="2"/>
  <c r="T1062" i="2"/>
  <c r="U1062" i="2"/>
  <c r="T1061" i="2"/>
  <c r="U1061" i="2"/>
  <c r="U1060" i="2"/>
  <c r="T1060" i="2"/>
  <c r="U1058" i="2"/>
  <c r="T1058" i="2"/>
  <c r="T1057" i="2"/>
  <c r="U1057" i="2"/>
  <c r="T1056" i="2"/>
  <c r="U1056" i="2"/>
  <c r="U1055" i="2"/>
  <c r="T1055" i="2"/>
  <c r="U1054" i="2"/>
  <c r="T1054" i="2"/>
  <c r="U1053" i="2"/>
  <c r="T1053" i="2"/>
  <c r="T1052" i="2"/>
  <c r="U1052" i="2"/>
  <c r="U1051" i="2"/>
  <c r="T1051" i="2"/>
  <c r="U1050" i="2"/>
  <c r="T1050" i="2"/>
  <c r="U1049" i="2"/>
  <c r="T1049" i="2"/>
  <c r="U1048" i="2"/>
  <c r="T1048" i="2"/>
  <c r="T1047" i="2"/>
  <c r="U1047" i="2"/>
  <c r="U1046" i="2"/>
  <c r="T1046" i="2"/>
  <c r="T1045" i="2"/>
  <c r="U1045" i="2"/>
  <c r="T1044" i="2"/>
  <c r="U1044" i="2"/>
  <c r="T1043" i="2"/>
  <c r="U1043" i="2"/>
  <c r="T1042" i="2"/>
  <c r="U1042" i="2"/>
  <c r="T1041" i="2"/>
  <c r="U1041" i="2"/>
  <c r="U1040" i="2"/>
  <c r="T1040" i="2"/>
  <c r="U1039" i="2"/>
  <c r="T1039" i="2"/>
  <c r="U1038" i="2"/>
  <c r="T1038" i="2"/>
  <c r="U1037" i="2"/>
  <c r="T1037" i="2"/>
  <c r="U1036" i="2"/>
  <c r="T1036" i="2"/>
  <c r="T1035" i="2"/>
  <c r="U1035" i="2"/>
  <c r="U1034" i="2"/>
  <c r="T1034" i="2"/>
  <c r="T1033" i="2"/>
  <c r="U1033" i="2"/>
  <c r="T1032" i="2"/>
  <c r="U1032" i="2"/>
  <c r="T1031" i="2"/>
  <c r="U1031" i="2"/>
  <c r="T1030" i="2"/>
  <c r="U1030" i="2"/>
  <c r="U1028" i="2"/>
  <c r="T1028" i="2"/>
  <c r="U1027" i="2"/>
  <c r="T1027" i="2"/>
  <c r="T1026" i="2"/>
  <c r="U1026" i="2"/>
  <c r="U1025" i="2"/>
  <c r="T1025" i="2"/>
  <c r="U1023" i="2"/>
  <c r="T1023" i="2"/>
  <c r="U1022" i="2"/>
  <c r="T1022" i="2"/>
  <c r="U1021" i="2"/>
  <c r="T1021" i="2"/>
  <c r="T1020" i="2"/>
  <c r="U1020" i="2"/>
  <c r="U1019" i="2"/>
  <c r="T1019" i="2"/>
  <c r="U1018" i="2"/>
  <c r="T1018" i="2"/>
  <c r="U1017" i="2"/>
  <c r="T1017" i="2"/>
  <c r="U1016" i="2"/>
  <c r="T1016" i="2"/>
  <c r="U1015" i="2"/>
  <c r="T1015" i="2"/>
  <c r="U1014" i="2"/>
  <c r="T1014" i="2"/>
  <c r="U1013" i="2"/>
  <c r="T1013" i="2"/>
  <c r="U1012" i="2"/>
  <c r="T1012" i="2"/>
  <c r="T1011" i="2"/>
  <c r="U1011" i="2"/>
  <c r="U1010" i="2"/>
  <c r="T1010" i="2"/>
  <c r="T1009" i="2"/>
  <c r="U1009" i="2"/>
  <c r="T1008" i="2"/>
  <c r="U1008" i="2"/>
  <c r="T1007" i="2"/>
  <c r="U1007" i="2"/>
  <c r="T1006" i="2"/>
  <c r="U1006" i="2"/>
  <c r="T1005" i="2"/>
  <c r="U1005" i="2"/>
  <c r="T1003" i="2"/>
  <c r="U1003" i="2"/>
  <c r="U1002" i="2"/>
  <c r="T1002" i="2"/>
  <c r="U1001" i="2"/>
  <c r="T1001" i="2"/>
  <c r="U1000" i="2"/>
  <c r="T1000" i="2"/>
  <c r="T998" i="2"/>
  <c r="U998" i="2"/>
  <c r="T997" i="2"/>
  <c r="U997" i="2"/>
  <c r="U996" i="2"/>
  <c r="T996" i="2"/>
  <c r="U994" i="2"/>
  <c r="T994" i="2"/>
  <c r="U993" i="2"/>
  <c r="T993" i="2"/>
  <c r="U992" i="2"/>
  <c r="T992" i="2"/>
  <c r="U991" i="2"/>
  <c r="T991" i="2"/>
  <c r="T990" i="2"/>
  <c r="U990" i="2"/>
  <c r="T989" i="2"/>
  <c r="U989" i="2"/>
  <c r="U988" i="2"/>
  <c r="T988" i="2"/>
  <c r="U987" i="2"/>
  <c r="T987" i="2"/>
  <c r="T986" i="2"/>
  <c r="U986" i="2"/>
  <c r="T985" i="2"/>
  <c r="U985" i="2"/>
  <c r="T984" i="2"/>
  <c r="U984" i="2"/>
  <c r="U983" i="2"/>
  <c r="T983" i="2"/>
  <c r="U982" i="2"/>
  <c r="T982" i="2"/>
  <c r="T981" i="2"/>
  <c r="U981" i="2"/>
  <c r="U980" i="2"/>
  <c r="T980" i="2"/>
  <c r="U979" i="2"/>
  <c r="T979" i="2"/>
  <c r="U978" i="2"/>
  <c r="T978" i="2"/>
  <c r="U977" i="2"/>
  <c r="T977" i="2"/>
  <c r="T976" i="2"/>
  <c r="U976" i="2"/>
  <c r="U975" i="2"/>
  <c r="T975" i="2"/>
  <c r="U974" i="2"/>
  <c r="T974" i="2"/>
  <c r="T973" i="2"/>
  <c r="U973" i="2"/>
  <c r="T972" i="2"/>
  <c r="U972" i="2"/>
  <c r="U971" i="2"/>
  <c r="T971" i="2"/>
  <c r="U970" i="2"/>
  <c r="T970" i="2"/>
  <c r="U969" i="2"/>
  <c r="T969" i="2"/>
  <c r="T968" i="2"/>
  <c r="U968" i="2"/>
  <c r="U967" i="2"/>
  <c r="T967" i="2"/>
  <c r="U966" i="2"/>
  <c r="T966" i="2"/>
  <c r="T965" i="2"/>
  <c r="U965" i="2"/>
  <c r="U964" i="2"/>
  <c r="T964" i="2"/>
  <c r="T963" i="2"/>
  <c r="U963" i="2"/>
  <c r="U962" i="2"/>
  <c r="T962" i="2"/>
  <c r="U961" i="2"/>
  <c r="T961" i="2"/>
  <c r="U960" i="2"/>
  <c r="T960" i="2"/>
  <c r="T959" i="2"/>
  <c r="U959" i="2"/>
  <c r="U958" i="2"/>
  <c r="T958" i="2"/>
  <c r="T957" i="2"/>
  <c r="U957" i="2"/>
  <c r="U956" i="2"/>
  <c r="T956" i="2"/>
  <c r="U955" i="2"/>
  <c r="T955" i="2"/>
  <c r="U954" i="2"/>
  <c r="T954" i="2"/>
  <c r="U953" i="2"/>
  <c r="T953" i="2"/>
  <c r="U952" i="2"/>
  <c r="T952" i="2"/>
  <c r="T951" i="2"/>
  <c r="U951" i="2"/>
  <c r="U949" i="2"/>
  <c r="T949" i="2"/>
  <c r="T948" i="2"/>
  <c r="U948" i="2"/>
  <c r="T947" i="2"/>
  <c r="U947" i="2"/>
  <c r="U946" i="2"/>
  <c r="T946" i="2"/>
  <c r="U945" i="2"/>
  <c r="T945" i="2"/>
  <c r="T944" i="2"/>
  <c r="U944" i="2"/>
  <c r="U943" i="2"/>
  <c r="T943" i="2"/>
  <c r="U942" i="2"/>
  <c r="T942" i="2"/>
  <c r="U941" i="2"/>
  <c r="T941" i="2"/>
  <c r="U940" i="2"/>
  <c r="T940" i="2"/>
  <c r="U939" i="2"/>
  <c r="T939" i="2"/>
  <c r="T938" i="2"/>
  <c r="U938" i="2"/>
  <c r="T937" i="2"/>
  <c r="U937" i="2"/>
  <c r="T936" i="2"/>
  <c r="U936" i="2"/>
  <c r="U935" i="2"/>
  <c r="T935" i="2"/>
  <c r="T934" i="2"/>
  <c r="U934" i="2"/>
  <c r="U933" i="2"/>
  <c r="T933" i="2"/>
  <c r="U932" i="2"/>
  <c r="T932" i="2"/>
  <c r="U931" i="2"/>
  <c r="T931" i="2"/>
  <c r="U930" i="2"/>
  <c r="T930" i="2"/>
  <c r="U929" i="2"/>
  <c r="T929" i="2"/>
  <c r="T928" i="2"/>
  <c r="U928" i="2"/>
  <c r="U927" i="2"/>
  <c r="T927" i="2"/>
  <c r="T925" i="2"/>
  <c r="U925" i="2"/>
  <c r="U922" i="2"/>
  <c r="T922" i="2"/>
  <c r="U921" i="2"/>
  <c r="T921" i="2"/>
  <c r="U920" i="2"/>
  <c r="T920" i="2"/>
  <c r="T919" i="2"/>
  <c r="U919" i="2"/>
  <c r="T918" i="2"/>
  <c r="U918" i="2"/>
  <c r="U917" i="2"/>
  <c r="T917" i="2"/>
  <c r="T915" i="2"/>
  <c r="U915" i="2"/>
  <c r="T914" i="2"/>
  <c r="U914" i="2"/>
  <c r="U906" i="2"/>
  <c r="T906" i="2"/>
  <c r="U899" i="2"/>
  <c r="T899" i="2"/>
  <c r="T898" i="2"/>
  <c r="U898" i="2"/>
  <c r="T889" i="2"/>
  <c r="U889" i="2"/>
  <c r="U888" i="2"/>
  <c r="T888" i="2"/>
  <c r="U885" i="2"/>
  <c r="T885" i="2"/>
  <c r="U878" i="2"/>
  <c r="T878" i="2"/>
  <c r="U874" i="2"/>
  <c r="T874" i="2"/>
  <c r="U872" i="2"/>
  <c r="T872" i="2"/>
  <c r="U868" i="2"/>
  <c r="T868" i="2"/>
  <c r="T865" i="2"/>
  <c r="U865" i="2"/>
  <c r="T863" i="2"/>
  <c r="U863" i="2"/>
  <c r="T857" i="2"/>
  <c r="U857" i="2"/>
  <c r="U856" i="2"/>
  <c r="T856" i="2"/>
  <c r="T855" i="2"/>
  <c r="U855" i="2"/>
  <c r="T853" i="2"/>
  <c r="U853" i="2"/>
  <c r="U851" i="2"/>
  <c r="T851" i="2"/>
  <c r="T846" i="2"/>
  <c r="U846" i="2"/>
  <c r="U843" i="2"/>
  <c r="T843" i="2"/>
  <c r="U841" i="2"/>
  <c r="T841" i="2"/>
  <c r="U829" i="2"/>
  <c r="T829" i="2"/>
  <c r="U827" i="2"/>
  <c r="T827" i="2"/>
  <c r="T824" i="2"/>
  <c r="U824" i="2"/>
  <c r="U822" i="2"/>
  <c r="T822" i="2"/>
  <c r="U820" i="2"/>
  <c r="T820" i="2"/>
  <c r="T818" i="2"/>
  <c r="U818" i="2"/>
  <c r="T816" i="2"/>
  <c r="U816" i="2"/>
  <c r="T812" i="2"/>
  <c r="U812" i="2"/>
  <c r="T809" i="2"/>
  <c r="U809" i="2"/>
  <c r="U802" i="2"/>
  <c r="T802" i="2"/>
  <c r="U801" i="2"/>
  <c r="T801" i="2"/>
  <c r="U792" i="2"/>
  <c r="T792" i="2"/>
  <c r="U791" i="2"/>
  <c r="T791" i="2"/>
  <c r="U790" i="2"/>
  <c r="T790" i="2"/>
  <c r="U788" i="2"/>
  <c r="T788" i="2"/>
  <c r="U784" i="2"/>
  <c r="T784" i="2"/>
  <c r="U781" i="2"/>
  <c r="T781" i="2"/>
  <c r="U779" i="2"/>
  <c r="T779" i="2"/>
  <c r="U773" i="2"/>
  <c r="T773" i="2"/>
  <c r="U772" i="2"/>
  <c r="T772" i="2"/>
  <c r="U770" i="2"/>
  <c r="T770" i="2"/>
  <c r="T768" i="2"/>
  <c r="U768" i="2"/>
  <c r="T767" i="2"/>
  <c r="U767" i="2"/>
  <c r="U765" i="2"/>
  <c r="T765" i="2"/>
  <c r="U760" i="2"/>
  <c r="T760" i="2"/>
  <c r="U758" i="2"/>
  <c r="T758" i="2"/>
  <c r="U756" i="2"/>
  <c r="T756" i="2"/>
  <c r="T753" i="2"/>
  <c r="U753" i="2"/>
  <c r="T749" i="2"/>
  <c r="U749" i="2"/>
  <c r="T748" i="2"/>
  <c r="U748" i="2"/>
  <c r="T746" i="2"/>
  <c r="U746" i="2"/>
  <c r="T744" i="2"/>
  <c r="U744" i="2"/>
  <c r="T743" i="2"/>
  <c r="U743" i="2"/>
  <c r="T742" i="2"/>
  <c r="U742" i="2"/>
  <c r="T741" i="2"/>
  <c r="U741" i="2"/>
  <c r="T738" i="2"/>
  <c r="U738" i="2"/>
  <c r="T735" i="2"/>
  <c r="U735" i="2"/>
  <c r="T734" i="2"/>
  <c r="U734" i="2"/>
  <c r="T730" i="2"/>
  <c r="U730" i="2"/>
  <c r="T729" i="2"/>
  <c r="U729" i="2"/>
  <c r="T727" i="2"/>
  <c r="U727" i="2"/>
  <c r="T726" i="2"/>
  <c r="U726" i="2"/>
  <c r="T724" i="2"/>
  <c r="U724" i="2"/>
  <c r="T723" i="2"/>
  <c r="U723" i="2"/>
  <c r="U721" i="2"/>
  <c r="T721" i="2"/>
  <c r="U720" i="2"/>
  <c r="T720" i="2"/>
  <c r="T719" i="2"/>
  <c r="U719" i="2"/>
  <c r="U718" i="2"/>
  <c r="T718" i="2"/>
  <c r="T717" i="2"/>
  <c r="U717" i="2"/>
  <c r="T716" i="2"/>
  <c r="U716" i="2"/>
  <c r="T714" i="2"/>
  <c r="U714" i="2"/>
  <c r="T713" i="2"/>
  <c r="U713" i="2"/>
  <c r="U712" i="2"/>
  <c r="T712" i="2"/>
  <c r="U711" i="2"/>
  <c r="T711" i="2"/>
  <c r="T708" i="2"/>
  <c r="U708" i="2"/>
  <c r="T701" i="2"/>
  <c r="U701" i="2"/>
  <c r="U700" i="2"/>
  <c r="T700" i="2"/>
  <c r="U699" i="2"/>
  <c r="T699" i="2"/>
  <c r="T697" i="2"/>
  <c r="U697" i="2"/>
  <c r="T696" i="2"/>
  <c r="U696" i="2"/>
  <c r="T695" i="2"/>
  <c r="U695" i="2"/>
  <c r="T694" i="2"/>
  <c r="U694" i="2"/>
  <c r="T691" i="2"/>
  <c r="U691" i="2"/>
  <c r="U689" i="2"/>
  <c r="T689" i="2"/>
  <c r="U687" i="2"/>
  <c r="T687" i="2"/>
  <c r="U686" i="2"/>
  <c r="T686" i="2"/>
  <c r="U683" i="2"/>
  <c r="T683" i="2"/>
  <c r="U682" i="2"/>
  <c r="T682" i="2"/>
  <c r="U678" i="2"/>
  <c r="T678" i="2"/>
  <c r="U676" i="2"/>
  <c r="T676" i="2"/>
  <c r="T675" i="2"/>
  <c r="U675" i="2"/>
  <c r="U674" i="2"/>
  <c r="T674" i="2"/>
  <c r="T673" i="2"/>
  <c r="U673" i="2"/>
  <c r="T671" i="2"/>
  <c r="U671" i="2"/>
  <c r="T669" i="2"/>
  <c r="U669" i="2"/>
  <c r="T667" i="2"/>
  <c r="U667" i="2"/>
  <c r="U666" i="2"/>
  <c r="T666" i="2"/>
  <c r="U665" i="2"/>
  <c r="T665" i="2"/>
  <c r="U664" i="2"/>
  <c r="T664" i="2"/>
  <c r="U663" i="2"/>
  <c r="T663" i="2"/>
  <c r="U661" i="2"/>
  <c r="T661" i="2"/>
  <c r="U660" i="2"/>
  <c r="T660" i="2"/>
  <c r="U659" i="2"/>
  <c r="T659" i="2"/>
  <c r="U658" i="2"/>
  <c r="T658" i="2"/>
  <c r="U657" i="2"/>
  <c r="T657" i="2"/>
  <c r="U656" i="2"/>
  <c r="T656" i="2"/>
  <c r="U651" i="2"/>
  <c r="T651" i="2"/>
  <c r="T649" i="2"/>
  <c r="U649" i="2"/>
  <c r="T648" i="2"/>
  <c r="U648" i="2"/>
  <c r="T644" i="2"/>
  <c r="U644" i="2"/>
  <c r="U643" i="2"/>
  <c r="T643" i="2"/>
  <c r="U639" i="2"/>
  <c r="T639" i="2"/>
  <c r="U636" i="2"/>
  <c r="T636" i="2"/>
  <c r="U634" i="2"/>
  <c r="T634" i="2"/>
  <c r="U632" i="2"/>
  <c r="T632" i="2"/>
  <c r="T630" i="2"/>
  <c r="U630" i="2"/>
  <c r="T625" i="2"/>
  <c r="U625" i="2"/>
  <c r="T623" i="2"/>
  <c r="U623" i="2"/>
  <c r="U618" i="2"/>
  <c r="T618" i="2"/>
  <c r="T612" i="2"/>
  <c r="U612" i="2"/>
  <c r="T607" i="2"/>
  <c r="U607" i="2"/>
  <c r="U605" i="2"/>
  <c r="T605" i="2"/>
  <c r="U604" i="2"/>
  <c r="T604" i="2"/>
  <c r="T603" i="2"/>
  <c r="U603" i="2"/>
  <c r="U602" i="2"/>
  <c r="T602" i="2"/>
  <c r="T601" i="2"/>
  <c r="U601" i="2"/>
  <c r="T600" i="2"/>
  <c r="U600" i="2"/>
  <c r="U599" i="2"/>
  <c r="T599" i="2"/>
  <c r="U598" i="2"/>
  <c r="T598" i="2"/>
  <c r="U596" i="2"/>
  <c r="T596" i="2"/>
  <c r="U591" i="2"/>
  <c r="T591" i="2"/>
  <c r="U589" i="2"/>
  <c r="T589" i="2"/>
  <c r="U588" i="2"/>
  <c r="T588" i="2"/>
  <c r="T587" i="2"/>
  <c r="U587" i="2"/>
  <c r="U586" i="2"/>
  <c r="T586" i="2"/>
  <c r="U583" i="2"/>
  <c r="T583" i="2"/>
  <c r="U582" i="2"/>
  <c r="T582" i="2"/>
  <c r="T581" i="2"/>
  <c r="U581" i="2"/>
  <c r="T580" i="2"/>
  <c r="U580" i="2"/>
  <c r="U578" i="2"/>
  <c r="T578" i="2"/>
  <c r="U577" i="2"/>
  <c r="T577" i="2"/>
  <c r="U576" i="2"/>
  <c r="T576" i="2"/>
  <c r="T575" i="2"/>
  <c r="U575" i="2"/>
  <c r="T574" i="2"/>
  <c r="U574" i="2"/>
  <c r="U573" i="2"/>
  <c r="T573" i="2"/>
  <c r="T572" i="2"/>
  <c r="U572" i="2"/>
  <c r="U571" i="2"/>
  <c r="T571" i="2"/>
  <c r="U567" i="2"/>
  <c r="T567" i="2"/>
  <c r="T565" i="2"/>
  <c r="U565" i="2"/>
  <c r="U564" i="2"/>
  <c r="T564" i="2"/>
  <c r="U563" i="2"/>
  <c r="T563" i="2"/>
  <c r="T562" i="2"/>
  <c r="U562" i="2"/>
  <c r="U561" i="2"/>
  <c r="T561" i="2"/>
  <c r="U559" i="2"/>
  <c r="T559" i="2"/>
  <c r="T558" i="2"/>
  <c r="U558" i="2"/>
  <c r="U557" i="2"/>
  <c r="T557" i="2"/>
  <c r="T554" i="2"/>
  <c r="U554" i="2"/>
  <c r="T551" i="2"/>
  <c r="U551" i="2"/>
  <c r="T550" i="2"/>
  <c r="U550" i="2"/>
  <c r="T546" i="2"/>
  <c r="U546" i="2"/>
  <c r="U545" i="2"/>
  <c r="T545" i="2"/>
  <c r="T543" i="2"/>
  <c r="U543" i="2"/>
  <c r="T542" i="2"/>
  <c r="U542" i="2"/>
  <c r="T539" i="2"/>
  <c r="U539" i="2"/>
  <c r="T538" i="2"/>
  <c r="U538" i="2"/>
  <c r="T532" i="2"/>
  <c r="U532" i="2"/>
  <c r="U527" i="2"/>
  <c r="T527" i="2"/>
  <c r="U524" i="2"/>
  <c r="T524" i="2"/>
  <c r="U523" i="2"/>
  <c r="T523" i="2"/>
  <c r="U519" i="2"/>
  <c r="T519" i="2"/>
  <c r="T518" i="2"/>
  <c r="U518" i="2"/>
  <c r="U516" i="2"/>
  <c r="T516" i="2"/>
  <c r="T515" i="2"/>
  <c r="U515" i="2"/>
  <c r="T514" i="2"/>
  <c r="U514" i="2"/>
  <c r="U513" i="2"/>
  <c r="T513" i="2"/>
  <c r="U510" i="2"/>
  <c r="T510" i="2"/>
  <c r="T508" i="2"/>
  <c r="U508" i="2"/>
  <c r="T507" i="2"/>
  <c r="U507" i="2"/>
  <c r="U506" i="2"/>
  <c r="T506" i="2"/>
  <c r="T504" i="2"/>
  <c r="U504" i="2"/>
  <c r="U502" i="2"/>
  <c r="T502" i="2"/>
  <c r="U499" i="2"/>
  <c r="T499" i="2"/>
  <c r="T496" i="2"/>
  <c r="U496" i="2"/>
  <c r="T492" i="2"/>
  <c r="U492" i="2"/>
  <c r="U489" i="2"/>
  <c r="T489" i="2"/>
  <c r="U488" i="2"/>
  <c r="T488" i="2"/>
  <c r="T487" i="2"/>
  <c r="U487" i="2"/>
  <c r="U486" i="2"/>
  <c r="T486" i="2"/>
  <c r="U485" i="2"/>
  <c r="T485" i="2"/>
  <c r="U484" i="2"/>
  <c r="T484" i="2"/>
  <c r="T483" i="2"/>
  <c r="U483" i="2"/>
  <c r="U482" i="2"/>
  <c r="T482" i="2"/>
  <c r="U481" i="2"/>
  <c r="T481" i="2"/>
  <c r="T480" i="2"/>
  <c r="U480" i="2"/>
  <c r="T479" i="2"/>
  <c r="U479" i="2"/>
  <c r="U478" i="2"/>
  <c r="T478" i="2"/>
  <c r="T477" i="2"/>
  <c r="U477" i="2"/>
  <c r="T473" i="2"/>
  <c r="U473" i="2"/>
  <c r="T472" i="2"/>
  <c r="U472" i="2"/>
  <c r="U471" i="2"/>
  <c r="T471" i="2"/>
  <c r="U470" i="2"/>
  <c r="T470" i="2"/>
  <c r="U469" i="2"/>
  <c r="T469" i="2"/>
  <c r="T468" i="2"/>
  <c r="U468" i="2"/>
  <c r="U467" i="2"/>
  <c r="T467" i="2"/>
  <c r="T466" i="2"/>
  <c r="U466" i="2"/>
  <c r="T464" i="2"/>
  <c r="U464" i="2"/>
  <c r="U463" i="2"/>
  <c r="T463" i="2"/>
  <c r="U462" i="2"/>
  <c r="T462" i="2"/>
  <c r="U461" i="2"/>
  <c r="T461" i="2"/>
  <c r="U460" i="2"/>
  <c r="T460" i="2"/>
  <c r="T458" i="2"/>
  <c r="U458" i="2"/>
  <c r="T457" i="2"/>
  <c r="U457" i="2"/>
  <c r="T456" i="2"/>
  <c r="U456" i="2"/>
  <c r="T455" i="2"/>
  <c r="U455" i="2"/>
  <c r="U454" i="2"/>
  <c r="T454" i="2"/>
  <c r="T453" i="2"/>
  <c r="U453" i="2"/>
  <c r="U452" i="2"/>
  <c r="T452" i="2"/>
  <c r="T451" i="2"/>
  <c r="U451" i="2"/>
  <c r="U450" i="2"/>
  <c r="T450" i="2"/>
  <c r="U449" i="2"/>
  <c r="T449" i="2"/>
  <c r="T448" i="2"/>
  <c r="U448" i="2"/>
  <c r="U446" i="2"/>
  <c r="T446" i="2"/>
  <c r="U445" i="2"/>
  <c r="T445" i="2"/>
  <c r="T444" i="2"/>
  <c r="U444" i="2"/>
  <c r="U443" i="2"/>
  <c r="T443" i="2"/>
  <c r="U442" i="2"/>
  <c r="T442" i="2"/>
  <c r="T441" i="2"/>
  <c r="U441" i="2"/>
  <c r="T440" i="2"/>
  <c r="U440" i="2"/>
  <c r="T439" i="2"/>
  <c r="U439" i="2"/>
  <c r="U438" i="2"/>
  <c r="T438" i="2"/>
  <c r="T437" i="2"/>
  <c r="U437" i="2"/>
  <c r="U436" i="2"/>
  <c r="T436" i="2"/>
  <c r="U435" i="2"/>
  <c r="T435" i="2"/>
  <c r="T434" i="2"/>
  <c r="U434" i="2"/>
  <c r="T433" i="2"/>
  <c r="U433" i="2"/>
  <c r="T432" i="2"/>
  <c r="U432" i="2"/>
  <c r="T431" i="2"/>
  <c r="U431" i="2"/>
  <c r="U430" i="2"/>
  <c r="T430" i="2"/>
  <c r="U429" i="2"/>
  <c r="T429" i="2"/>
  <c r="U428" i="2"/>
  <c r="T428" i="2"/>
  <c r="U427" i="2"/>
  <c r="T427" i="2"/>
  <c r="T426" i="2"/>
  <c r="U426" i="2"/>
  <c r="U425" i="2"/>
  <c r="T425" i="2"/>
  <c r="T424" i="2"/>
  <c r="U424" i="2"/>
  <c r="U423" i="2"/>
  <c r="T423" i="2"/>
  <c r="T422" i="2"/>
  <c r="U422" i="2"/>
  <c r="U421" i="2"/>
  <c r="T421" i="2"/>
  <c r="U420" i="2"/>
  <c r="T420" i="2"/>
  <c r="T419" i="2"/>
  <c r="U419" i="2"/>
  <c r="T418" i="2"/>
  <c r="U418" i="2"/>
  <c r="U417" i="2"/>
  <c r="T417" i="2"/>
  <c r="U416" i="2"/>
  <c r="T416" i="2"/>
  <c r="U415" i="2"/>
  <c r="T415" i="2"/>
  <c r="U414" i="2"/>
  <c r="T414" i="2"/>
  <c r="U412" i="2"/>
  <c r="T412" i="2"/>
  <c r="T411" i="2"/>
  <c r="U411" i="2"/>
  <c r="U410" i="2"/>
  <c r="T410" i="2"/>
  <c r="U409" i="2"/>
  <c r="T409" i="2"/>
  <c r="U408" i="2"/>
  <c r="T408" i="2"/>
  <c r="T407" i="2"/>
  <c r="U407" i="2"/>
  <c r="U406" i="2"/>
  <c r="T406" i="2"/>
  <c r="U405" i="2"/>
  <c r="T405" i="2"/>
  <c r="T404" i="2"/>
  <c r="U404" i="2"/>
  <c r="T403" i="2"/>
  <c r="U403" i="2"/>
  <c r="U402" i="2"/>
  <c r="T402" i="2"/>
  <c r="U401" i="2"/>
  <c r="T401" i="2"/>
  <c r="U400" i="2"/>
  <c r="T400" i="2"/>
  <c r="T399" i="2"/>
  <c r="U399" i="2"/>
  <c r="U398" i="2"/>
  <c r="T398" i="2"/>
  <c r="T397" i="2"/>
  <c r="U397" i="2"/>
  <c r="U396" i="2"/>
  <c r="T396" i="2"/>
  <c r="U395" i="2"/>
  <c r="T395" i="2"/>
  <c r="U394" i="2"/>
  <c r="T394" i="2"/>
  <c r="U393" i="2"/>
  <c r="T393" i="2"/>
  <c r="T391" i="2"/>
  <c r="U391" i="2"/>
  <c r="T390" i="2"/>
  <c r="U390" i="2"/>
  <c r="T389" i="2"/>
  <c r="U389" i="2"/>
  <c r="T388" i="2"/>
  <c r="U388" i="2"/>
  <c r="T387" i="2"/>
  <c r="U387" i="2"/>
  <c r="T386" i="2"/>
  <c r="U386" i="2"/>
  <c r="U385" i="2"/>
  <c r="T385" i="2"/>
  <c r="U384" i="2"/>
  <c r="T384" i="2"/>
  <c r="U382" i="2"/>
  <c r="T382" i="2"/>
  <c r="U380" i="2"/>
  <c r="T380" i="2"/>
  <c r="T379" i="2"/>
  <c r="U379" i="2"/>
  <c r="U378" i="2"/>
  <c r="T378" i="2"/>
  <c r="T377" i="2"/>
  <c r="U377" i="2"/>
  <c r="T376" i="2"/>
  <c r="U376" i="2"/>
  <c r="T375" i="2"/>
  <c r="U375" i="2"/>
  <c r="U374" i="2"/>
  <c r="T374" i="2"/>
  <c r="T373" i="2"/>
  <c r="U373" i="2"/>
  <c r="U372" i="2"/>
  <c r="T372" i="2"/>
  <c r="T370" i="2"/>
  <c r="U370" i="2"/>
  <c r="U369" i="2"/>
  <c r="T369" i="2"/>
  <c r="U368" i="2"/>
  <c r="T368" i="2"/>
  <c r="U367" i="2"/>
  <c r="T367" i="2"/>
  <c r="U366" i="2"/>
  <c r="T366" i="2"/>
  <c r="U364" i="2"/>
  <c r="T364" i="2"/>
  <c r="T363" i="2"/>
  <c r="U363" i="2"/>
  <c r="U362" i="2"/>
  <c r="T362" i="2"/>
  <c r="T360" i="2"/>
  <c r="U360" i="2"/>
  <c r="T359" i="2"/>
  <c r="U359" i="2"/>
  <c r="U358" i="2"/>
  <c r="T358" i="2"/>
  <c r="U356" i="2"/>
  <c r="T356" i="2"/>
  <c r="T351" i="2"/>
  <c r="U351" i="2"/>
  <c r="U349" i="2"/>
  <c r="T349" i="2"/>
  <c r="U338" i="2"/>
  <c r="T338" i="2"/>
  <c r="T335" i="2"/>
  <c r="U335" i="2"/>
  <c r="U334" i="2"/>
  <c r="T334" i="2"/>
  <c r="T333" i="2"/>
  <c r="U333" i="2"/>
  <c r="U332" i="2"/>
  <c r="T332" i="2"/>
  <c r="U331" i="2"/>
  <c r="T331" i="2"/>
  <c r="T329" i="2"/>
  <c r="U329" i="2"/>
  <c r="U328" i="2"/>
  <c r="T328" i="2"/>
  <c r="U325" i="2"/>
  <c r="T325" i="2"/>
  <c r="U320" i="2"/>
  <c r="T320" i="2"/>
  <c r="T318" i="2"/>
  <c r="U318" i="2"/>
  <c r="U315" i="2"/>
  <c r="T315" i="2"/>
  <c r="T314" i="2"/>
  <c r="U314" i="2"/>
  <c r="U312" i="2"/>
  <c r="T312" i="2"/>
  <c r="U311" i="2"/>
  <c r="T311" i="2"/>
  <c r="U310" i="2"/>
  <c r="T310" i="2"/>
  <c r="T307" i="2"/>
  <c r="U307" i="2"/>
  <c r="T306" i="2"/>
  <c r="U306" i="2"/>
  <c r="U305" i="2"/>
  <c r="T305" i="2"/>
  <c r="U304" i="2"/>
  <c r="T304" i="2"/>
  <c r="U300" i="2"/>
  <c r="T300" i="2"/>
  <c r="U298" i="2"/>
  <c r="T298" i="2"/>
  <c r="U297" i="2"/>
  <c r="T297" i="2"/>
  <c r="U296" i="2"/>
  <c r="T296" i="2"/>
  <c r="T295" i="2"/>
  <c r="U295" i="2"/>
  <c r="T294" i="2"/>
  <c r="U294" i="2"/>
  <c r="U292" i="2"/>
  <c r="T292" i="2"/>
  <c r="T289" i="2"/>
  <c r="U289" i="2"/>
  <c r="U286" i="2"/>
  <c r="T286" i="2"/>
  <c r="T284" i="2"/>
  <c r="U284" i="2"/>
  <c r="T282" i="2"/>
  <c r="U282" i="2"/>
  <c r="U281" i="2"/>
  <c r="T281" i="2"/>
  <c r="U280" i="2"/>
  <c r="T280" i="2"/>
  <c r="T277" i="2"/>
  <c r="U277" i="2"/>
  <c r="U276" i="2"/>
  <c r="T276" i="2"/>
  <c r="T275" i="2"/>
  <c r="U275" i="2"/>
  <c r="U272" i="2"/>
  <c r="T272" i="2"/>
  <c r="T270" i="2"/>
  <c r="U270" i="2"/>
  <c r="T269" i="2"/>
  <c r="U269" i="2"/>
  <c r="T261" i="2"/>
  <c r="U261" i="2"/>
  <c r="U259" i="2"/>
  <c r="T259" i="2"/>
  <c r="U257" i="2"/>
  <c r="T257" i="2"/>
  <c r="T255" i="2"/>
  <c r="U255" i="2"/>
  <c r="U254" i="2"/>
  <c r="T254" i="2"/>
  <c r="U250" i="2"/>
  <c r="T250" i="2"/>
  <c r="T247" i="2"/>
  <c r="U247" i="2"/>
  <c r="U244" i="2"/>
  <c r="T244" i="2"/>
  <c r="U243" i="2"/>
  <c r="T243" i="2"/>
  <c r="T242" i="2"/>
  <c r="U242" i="2"/>
  <c r="T240" i="2"/>
  <c r="U240" i="2"/>
  <c r="T239" i="2"/>
  <c r="U239" i="2"/>
  <c r="T234" i="2"/>
  <c r="U234" i="2"/>
  <c r="T231" i="2"/>
  <c r="U231" i="2"/>
  <c r="T225" i="2"/>
  <c r="U225" i="2"/>
  <c r="T223" i="2"/>
  <c r="U223" i="2"/>
  <c r="U222" i="2"/>
  <c r="T222" i="2"/>
  <c r="T219" i="2"/>
  <c r="U219" i="2"/>
  <c r="T215" i="2"/>
  <c r="U215" i="2"/>
  <c r="T214" i="2"/>
  <c r="U214" i="2"/>
  <c r="T212" i="2"/>
  <c r="U212" i="2"/>
  <c r="T210" i="2"/>
  <c r="U210" i="2"/>
  <c r="U208" i="2"/>
  <c r="T208" i="2"/>
  <c r="T205" i="2"/>
  <c r="U205" i="2"/>
  <c r="T203" i="2"/>
  <c r="U203" i="2"/>
  <c r="T201" i="2"/>
  <c r="U201" i="2"/>
  <c r="T197" i="2"/>
  <c r="U197" i="2"/>
  <c r="T196" i="2"/>
  <c r="U196" i="2"/>
  <c r="T195" i="2"/>
  <c r="U195" i="2"/>
  <c r="U189" i="2"/>
  <c r="T189" i="2"/>
  <c r="U187" i="2"/>
  <c r="T187" i="2"/>
  <c r="U184" i="2"/>
  <c r="T184" i="2"/>
  <c r="T183" i="2"/>
  <c r="U183" i="2"/>
  <c r="T182" i="2"/>
  <c r="U182" i="2"/>
  <c r="U180" i="2"/>
  <c r="T180" i="2"/>
  <c r="T174" i="2"/>
  <c r="U174" i="2"/>
  <c r="T172" i="2"/>
  <c r="U172" i="2"/>
  <c r="U170" i="2"/>
  <c r="T170" i="2"/>
  <c r="U169" i="2"/>
  <c r="T169" i="2"/>
  <c r="T168" i="2"/>
  <c r="U168" i="2"/>
  <c r="U167" i="2"/>
  <c r="T167" i="2"/>
  <c r="T164" i="2"/>
  <c r="U164" i="2"/>
  <c r="U161" i="2"/>
  <c r="T161" i="2"/>
  <c r="U160" i="2"/>
  <c r="T160" i="2"/>
  <c r="T159" i="2"/>
  <c r="U159" i="2"/>
  <c r="U158" i="2"/>
  <c r="T158" i="2"/>
  <c r="T157" i="2"/>
  <c r="U157" i="2"/>
  <c r="T155" i="2"/>
  <c r="U155" i="2"/>
  <c r="T154" i="2"/>
  <c r="U154" i="2"/>
  <c r="T147" i="2"/>
  <c r="U147" i="2"/>
  <c r="T146" i="2"/>
  <c r="U146" i="2"/>
  <c r="T140" i="2"/>
  <c r="U140" i="2"/>
  <c r="T139" i="2"/>
  <c r="U139" i="2"/>
  <c r="U138" i="2"/>
  <c r="T138" i="2"/>
  <c r="T137" i="2"/>
  <c r="U137" i="2"/>
  <c r="U135" i="2"/>
  <c r="T135" i="2"/>
  <c r="U134" i="2"/>
  <c r="T134" i="2"/>
  <c r="U132" i="2"/>
  <c r="T132" i="2"/>
  <c r="U131" i="2"/>
  <c r="T131" i="2"/>
  <c r="T128" i="2"/>
  <c r="U128" i="2"/>
  <c r="U127" i="2"/>
  <c r="T127" i="2"/>
  <c r="T124" i="2"/>
  <c r="U124" i="2"/>
  <c r="T123" i="2"/>
  <c r="U123" i="2"/>
  <c r="T122" i="2"/>
  <c r="U122" i="2"/>
  <c r="U118" i="2"/>
  <c r="T118" i="2"/>
  <c r="T117" i="2"/>
  <c r="U117" i="2"/>
  <c r="T116" i="2"/>
  <c r="U116" i="2"/>
  <c r="U112" i="2"/>
  <c r="T112" i="2"/>
  <c r="T107" i="2"/>
  <c r="U107" i="2"/>
  <c r="T102" i="2"/>
  <c r="U102" i="2"/>
  <c r="T95" i="2"/>
  <c r="U95" i="2"/>
  <c r="U92" i="2"/>
  <c r="T92" i="2"/>
  <c r="U90" i="2"/>
  <c r="T90" i="2"/>
  <c r="T89" i="2"/>
  <c r="U89" i="2"/>
  <c r="T88" i="2"/>
  <c r="U88" i="2"/>
  <c r="T86" i="2"/>
  <c r="U86" i="2"/>
  <c r="U84" i="2"/>
  <c r="T84" i="2"/>
  <c r="U83" i="2"/>
  <c r="T83" i="2"/>
  <c r="T82" i="2"/>
  <c r="U82" i="2"/>
  <c r="U79" i="2"/>
  <c r="T79" i="2"/>
  <c r="T78" i="2"/>
  <c r="U78" i="2"/>
  <c r="U76" i="2"/>
  <c r="T76" i="2"/>
  <c r="T74" i="2"/>
  <c r="U74" i="2"/>
  <c r="T71" i="2"/>
  <c r="U71" i="2"/>
  <c r="U68" i="2"/>
  <c r="T68" i="2"/>
  <c r="T66" i="2"/>
  <c r="U66" i="2"/>
  <c r="T63" i="2"/>
  <c r="U63" i="2"/>
  <c r="T61" i="2"/>
  <c r="U61" i="2"/>
  <c r="U59" i="2"/>
  <c r="T59" i="2"/>
  <c r="T57" i="2"/>
  <c r="U57" i="2"/>
  <c r="T56" i="2"/>
  <c r="U56" i="2"/>
  <c r="T53" i="2"/>
  <c r="U53" i="2"/>
  <c r="T50" i="2"/>
  <c r="U50" i="2"/>
  <c r="U34" i="2"/>
  <c r="T34" i="2"/>
  <c r="T26" i="2"/>
  <c r="U26" i="2"/>
  <c r="T25" i="2"/>
  <c r="U25" i="2"/>
  <c r="T23" i="2"/>
  <c r="U23" i="2"/>
  <c r="U22" i="2"/>
  <c r="T22" i="2"/>
  <c r="T21" i="2"/>
  <c r="U21" i="2"/>
  <c r="T17" i="2"/>
  <c r="U17" i="2"/>
  <c r="T15" i="2"/>
  <c r="U15" i="2"/>
  <c r="T14" i="2"/>
  <c r="U14" i="2"/>
  <c r="T13" i="2"/>
  <c r="U13" i="2"/>
  <c r="T12" i="2"/>
  <c r="U12" i="2"/>
  <c r="U11" i="2"/>
  <c r="T11" i="2"/>
  <c r="T10" i="2"/>
  <c r="U10" i="2"/>
  <c r="U9" i="2"/>
  <c r="T9" i="2"/>
  <c r="U8" i="2"/>
  <c r="T8" i="2"/>
  <c r="D40" i="1"/>
  <c r="D48" i="1" s="1"/>
  <c r="D44" i="1"/>
  <c r="D30" i="1"/>
  <c r="L2416" i="3" l="1"/>
  <c r="K2416" i="3"/>
  <c r="K2248" i="3"/>
  <c r="L2248" i="3"/>
  <c r="L2044" i="3"/>
  <c r="K2044" i="3"/>
  <c r="K234" i="3"/>
  <c r="L234" i="3"/>
  <c r="K232" i="3"/>
  <c r="L232" i="3"/>
  <c r="K228" i="3"/>
  <c r="L228" i="3"/>
  <c r="K222" i="3"/>
  <c r="L222" i="3"/>
  <c r="K217" i="3"/>
  <c r="L217" i="3"/>
  <c r="K216" i="3"/>
  <c r="L216" i="3"/>
  <c r="K215" i="3"/>
  <c r="L215" i="3"/>
  <c r="K214" i="3"/>
  <c r="L214" i="3"/>
  <c r="K211" i="3"/>
  <c r="L211" i="3"/>
  <c r="K210" i="3"/>
  <c r="L210" i="3"/>
  <c r="K201" i="3"/>
  <c r="L201" i="3"/>
  <c r="K198" i="3"/>
  <c r="L198" i="3"/>
  <c r="K192" i="3"/>
  <c r="L192" i="3"/>
  <c r="K190" i="3"/>
  <c r="L190" i="3"/>
  <c r="K187" i="3"/>
  <c r="L187" i="3"/>
  <c r="K180" i="3"/>
  <c r="L180" i="3"/>
  <c r="K177" i="3"/>
  <c r="L177" i="3"/>
  <c r="K171" i="3"/>
  <c r="L171" i="3"/>
  <c r="K166" i="3"/>
  <c r="L166" i="3"/>
  <c r="K165" i="3"/>
  <c r="L165" i="3"/>
  <c r="K164" i="3"/>
  <c r="L164" i="3"/>
  <c r="K137" i="3"/>
  <c r="L137" i="3"/>
  <c r="K134" i="3"/>
  <c r="L134" i="3"/>
  <c r="K125" i="3"/>
  <c r="L125" i="3"/>
  <c r="K3452" i="3"/>
  <c r="L3452" i="3"/>
  <c r="K3451" i="3"/>
  <c r="L3451" i="3"/>
  <c r="K3449" i="3"/>
  <c r="L3449" i="3"/>
  <c r="K3448" i="3"/>
  <c r="L3448" i="3"/>
  <c r="K3444" i="3"/>
  <c r="L3444" i="3"/>
  <c r="K3430" i="3"/>
  <c r="L3430" i="3"/>
  <c r="K3428" i="3"/>
  <c r="L3428" i="3"/>
  <c r="K3425" i="3"/>
  <c r="L3425" i="3"/>
  <c r="K3423" i="3"/>
  <c r="L3423" i="3"/>
  <c r="K3422" i="3"/>
  <c r="L3422" i="3"/>
  <c r="K3421" i="3"/>
  <c r="L3421" i="3"/>
  <c r="K3417" i="3"/>
  <c r="L3417" i="3"/>
  <c r="K3411" i="3"/>
  <c r="L3411" i="3"/>
  <c r="K3408" i="3"/>
  <c r="L3408" i="3"/>
  <c r="K3405" i="3"/>
  <c r="L3405" i="3"/>
  <c r="K3403" i="3"/>
  <c r="L3403" i="3"/>
  <c r="K3401" i="3"/>
  <c r="L3401" i="3"/>
  <c r="K3399" i="3"/>
  <c r="L3399" i="3"/>
  <c r="K3397" i="3"/>
  <c r="L3397" i="3"/>
  <c r="K3394" i="3"/>
  <c r="L3394" i="3"/>
  <c r="K3385" i="3"/>
  <c r="L3385" i="3"/>
  <c r="K3382" i="3"/>
  <c r="L3382" i="3"/>
  <c r="K3381" i="3"/>
  <c r="L3381" i="3"/>
  <c r="K3375" i="3"/>
  <c r="L3375" i="3"/>
  <c r="K3373" i="3"/>
  <c r="L3373" i="3"/>
  <c r="K3365" i="3"/>
  <c r="L3365" i="3"/>
  <c r="K3361" i="3"/>
  <c r="L3361" i="3"/>
  <c r="K3360" i="3"/>
  <c r="L3360" i="3"/>
  <c r="K3359" i="3"/>
  <c r="L3359" i="3"/>
  <c r="K3357" i="3"/>
  <c r="L3357" i="3"/>
  <c r="K3354" i="3"/>
  <c r="L3354" i="3"/>
  <c r="K3346" i="3"/>
  <c r="L3346" i="3"/>
  <c r="K3345" i="3"/>
  <c r="L3345" i="3"/>
  <c r="K3342" i="3"/>
  <c r="L3342" i="3"/>
  <c r="K3341" i="3"/>
  <c r="L3341" i="3"/>
  <c r="K3340" i="3"/>
  <c r="L3340" i="3"/>
  <c r="K3339" i="3"/>
  <c r="L3339" i="3"/>
  <c r="K3335" i="3"/>
  <c r="L3335" i="3"/>
  <c r="K3334" i="3"/>
  <c r="L3334" i="3"/>
  <c r="K3333" i="3"/>
  <c r="L3333" i="3"/>
  <c r="K3330" i="3"/>
  <c r="L3330" i="3"/>
  <c r="K3329" i="3"/>
  <c r="L3329" i="3"/>
  <c r="K3328" i="3"/>
  <c r="L3328" i="3"/>
  <c r="K3322" i="3"/>
  <c r="L3322" i="3"/>
  <c r="K3312" i="3"/>
  <c r="L3312" i="3"/>
  <c r="K3302" i="3"/>
  <c r="L3302" i="3"/>
  <c r="K3298" i="3"/>
  <c r="L3298" i="3"/>
  <c r="K3296" i="3"/>
  <c r="L3296" i="3"/>
  <c r="K3293" i="3"/>
  <c r="L3293" i="3"/>
  <c r="K3289" i="3"/>
  <c r="L3289" i="3"/>
  <c r="K3285" i="3"/>
  <c r="L3285" i="3"/>
  <c r="K3282" i="3"/>
  <c r="L3282" i="3"/>
  <c r="K3278" i="3"/>
  <c r="L3278" i="3"/>
  <c r="K3272" i="3"/>
  <c r="L3272" i="3"/>
  <c r="K3271" i="3"/>
  <c r="L3271" i="3"/>
  <c r="K3268" i="3"/>
  <c r="L3268" i="3"/>
  <c r="K3251" i="3"/>
  <c r="L3251" i="3"/>
  <c r="K3250" i="3"/>
  <c r="L3250" i="3"/>
  <c r="K3236" i="3"/>
  <c r="L3236" i="3"/>
  <c r="K3235" i="3"/>
  <c r="L3235" i="3"/>
  <c r="K3229" i="3"/>
  <c r="L3229" i="3"/>
  <c r="K3226" i="3"/>
  <c r="L3226" i="3"/>
  <c r="K3220" i="3"/>
  <c r="L3220" i="3"/>
  <c r="K3218" i="3"/>
  <c r="L3218" i="3"/>
  <c r="K3179" i="3"/>
  <c r="L3179" i="3"/>
  <c r="K3159" i="3"/>
  <c r="L3159" i="3"/>
  <c r="K3146" i="3"/>
  <c r="L3146" i="3"/>
  <c r="K3145" i="3"/>
  <c r="L3145" i="3"/>
  <c r="K3142" i="3"/>
  <c r="L3142" i="3"/>
  <c r="K3141" i="3"/>
  <c r="L3141" i="3"/>
  <c r="K3132" i="3"/>
  <c r="L3132" i="3"/>
  <c r="K3122" i="3"/>
  <c r="L3122" i="3"/>
  <c r="K3106" i="3"/>
  <c r="L3106" i="3"/>
  <c r="K3105" i="3"/>
  <c r="L3105" i="3"/>
  <c r="K3092" i="3"/>
  <c r="L3092" i="3"/>
  <c r="K3088" i="3"/>
  <c r="L3088" i="3"/>
  <c r="K3086" i="3"/>
  <c r="L3086" i="3"/>
  <c r="K3083" i="3"/>
  <c r="L3083" i="3"/>
  <c r="K3082" i="3"/>
  <c r="L3082" i="3"/>
  <c r="K3077" i="3"/>
  <c r="L3077" i="3"/>
  <c r="K3062" i="3"/>
  <c r="L3062" i="3"/>
  <c r="K3039" i="3"/>
  <c r="L3039" i="3"/>
  <c r="K3003" i="3"/>
  <c r="L3003" i="3"/>
  <c r="K3001" i="3"/>
  <c r="L3001" i="3"/>
  <c r="K2999" i="3"/>
  <c r="L2999" i="3"/>
  <c r="K2996" i="3"/>
  <c r="L2996" i="3"/>
  <c r="K2988" i="3"/>
  <c r="L2988" i="3"/>
  <c r="K2977" i="3"/>
  <c r="L2977" i="3"/>
  <c r="K2970" i="3"/>
  <c r="L2970" i="3"/>
  <c r="K2967" i="3"/>
  <c r="L2967" i="3"/>
  <c r="K2966" i="3"/>
  <c r="L2966" i="3"/>
  <c r="K2964" i="3"/>
  <c r="L2964" i="3"/>
  <c r="K2952" i="3"/>
  <c r="L2952" i="3"/>
  <c r="K2914" i="3"/>
  <c r="L2914" i="3"/>
  <c r="K2822" i="3"/>
  <c r="L2822" i="3"/>
  <c r="L2766" i="3"/>
  <c r="K2766" i="3"/>
  <c r="L2739" i="3"/>
  <c r="K2739" i="3"/>
  <c r="L2692" i="3"/>
  <c r="K2692" i="3"/>
  <c r="L2688" i="3"/>
  <c r="K2688" i="3"/>
  <c r="K2664" i="3"/>
  <c r="L2664" i="3"/>
  <c r="L2645" i="3"/>
  <c r="K2645" i="3"/>
  <c r="K2265" i="3"/>
  <c r="L2265" i="3"/>
  <c r="L2410" i="3"/>
  <c r="K2410" i="3"/>
  <c r="K2476" i="3"/>
  <c r="L2476" i="3"/>
  <c r="K2530" i="3"/>
  <c r="L2530" i="3"/>
  <c r="K2536" i="3"/>
  <c r="L2536" i="3"/>
  <c r="K2772" i="3"/>
  <c r="L2772" i="3"/>
  <c r="L2779" i="3"/>
  <c r="K2779" i="3"/>
  <c r="L2781" i="3"/>
  <c r="K2781" i="3"/>
  <c r="L2878" i="3"/>
  <c r="K2878" i="3"/>
  <c r="K2046" i="3"/>
  <c r="L2046" i="3"/>
  <c r="K2104" i="3"/>
  <c r="L2104" i="3"/>
  <c r="L2136" i="3"/>
  <c r="K2136" i="3"/>
  <c r="L2204" i="3"/>
  <c r="K2204" i="3"/>
  <c r="K1481" i="3"/>
  <c r="L1481" i="3"/>
  <c r="K1480" i="3"/>
  <c r="L1480" i="3"/>
  <c r="K1479" i="3"/>
  <c r="L1479" i="3"/>
  <c r="K1478" i="3"/>
  <c r="L1478" i="3"/>
  <c r="K1477" i="3"/>
  <c r="L1477" i="3"/>
  <c r="K1476" i="3"/>
  <c r="L1476" i="3"/>
  <c r="K1475" i="3"/>
  <c r="L1475" i="3"/>
  <c r="K1474" i="3"/>
  <c r="L1474" i="3"/>
  <c r="K1473" i="3"/>
  <c r="L1473" i="3"/>
  <c r="K1472" i="3"/>
  <c r="L1472" i="3"/>
  <c r="K1471" i="3"/>
  <c r="L1471" i="3"/>
  <c r="K1467" i="3"/>
  <c r="L1467" i="3"/>
  <c r="K1460" i="3"/>
  <c r="L1460" i="3"/>
  <c r="K1459" i="3"/>
  <c r="L1459" i="3"/>
  <c r="K1452" i="3"/>
  <c r="L1452" i="3"/>
  <c r="K1442" i="3"/>
  <c r="L1442" i="3"/>
  <c r="K1437" i="3"/>
  <c r="L1437" i="3"/>
  <c r="K1432" i="3"/>
  <c r="L1432" i="3"/>
  <c r="K1431" i="3"/>
  <c r="L1431" i="3"/>
  <c r="K1417" i="3"/>
  <c r="L1417" i="3"/>
  <c r="K1412" i="3"/>
  <c r="L1412" i="3"/>
  <c r="K1410" i="3"/>
  <c r="L1410" i="3"/>
  <c r="K1409" i="3"/>
  <c r="L1409" i="3"/>
  <c r="K1407" i="3"/>
  <c r="L1407" i="3"/>
  <c r="K1406" i="3"/>
  <c r="L1406" i="3"/>
  <c r="K1388" i="3"/>
  <c r="L1388" i="3"/>
  <c r="K1387" i="3"/>
  <c r="L1387" i="3"/>
  <c r="K1378" i="3"/>
  <c r="L1378" i="3"/>
  <c r="K1348" i="3"/>
  <c r="L1348" i="3"/>
  <c r="K1302" i="3"/>
  <c r="L1302" i="3"/>
  <c r="K1273" i="3"/>
  <c r="L1273" i="3"/>
  <c r="K1272" i="3"/>
  <c r="L1272" i="3"/>
  <c r="K1252" i="3"/>
  <c r="L1252" i="3"/>
  <c r="K1249" i="3"/>
  <c r="L1249" i="3"/>
  <c r="K1225" i="3"/>
  <c r="L1225" i="3"/>
  <c r="K1219" i="3"/>
  <c r="L1219" i="3"/>
  <c r="K1217" i="3"/>
  <c r="L1217" i="3"/>
  <c r="K1214" i="3"/>
  <c r="L1214" i="3"/>
  <c r="K1202" i="3"/>
  <c r="L1202" i="3"/>
  <c r="K1171" i="3"/>
  <c r="L1171" i="3"/>
  <c r="K1138" i="3"/>
  <c r="L1138" i="3"/>
  <c r="K1130" i="3"/>
  <c r="L1130" i="3"/>
  <c r="K1129" i="3"/>
  <c r="L1129" i="3"/>
  <c r="K1119" i="3"/>
  <c r="L1119" i="3"/>
  <c r="K1118" i="3"/>
  <c r="L1118" i="3"/>
  <c r="K1113" i="3"/>
  <c r="L1113" i="3"/>
  <c r="K1109" i="3"/>
  <c r="L1109" i="3"/>
  <c r="K1106" i="3"/>
  <c r="L1106" i="3"/>
  <c r="K1100" i="3"/>
  <c r="L1100" i="3"/>
  <c r="K1086" i="3"/>
  <c r="L1086" i="3"/>
  <c r="K1071" i="3"/>
  <c r="L1071" i="3"/>
  <c r="K1047" i="3"/>
  <c r="L1047" i="3"/>
  <c r="K1044" i="3"/>
  <c r="L1044" i="3"/>
  <c r="K1034" i="3"/>
  <c r="L1034" i="3"/>
  <c r="K1022" i="3"/>
  <c r="L1022" i="3"/>
  <c r="K1003" i="3"/>
  <c r="L1003" i="3"/>
  <c r="K980" i="3"/>
  <c r="L980" i="3"/>
  <c r="K909" i="3"/>
  <c r="L909" i="3"/>
  <c r="K908" i="3"/>
  <c r="L908" i="3"/>
  <c r="K907" i="3"/>
  <c r="L907" i="3"/>
  <c r="K904" i="3"/>
  <c r="L904" i="3"/>
  <c r="K902" i="3"/>
  <c r="L902" i="3"/>
  <c r="K899" i="3"/>
  <c r="L899" i="3"/>
  <c r="K897" i="3"/>
  <c r="L897" i="3"/>
  <c r="K896" i="3"/>
  <c r="L896" i="3"/>
  <c r="K893" i="3"/>
  <c r="L893" i="3"/>
  <c r="K884" i="3"/>
  <c r="L884" i="3"/>
  <c r="K883" i="3"/>
  <c r="L883" i="3"/>
  <c r="K880" i="3"/>
  <c r="L880" i="3"/>
  <c r="K869" i="3"/>
  <c r="L869" i="3"/>
  <c r="K867" i="3"/>
  <c r="L867" i="3"/>
  <c r="K866" i="3"/>
  <c r="L866" i="3"/>
  <c r="K864" i="3"/>
  <c r="L864" i="3"/>
  <c r="K863" i="3"/>
  <c r="L863" i="3"/>
  <c r="K821" i="3"/>
  <c r="L821" i="3"/>
  <c r="K820" i="3"/>
  <c r="L820" i="3"/>
  <c r="K793" i="3"/>
  <c r="L793" i="3"/>
  <c r="K788" i="3"/>
  <c r="L788" i="3"/>
  <c r="K781" i="3"/>
  <c r="L781" i="3"/>
  <c r="K780" i="3"/>
  <c r="L780" i="3"/>
  <c r="K778" i="3"/>
  <c r="L778" i="3"/>
  <c r="K773" i="3"/>
  <c r="L773" i="3"/>
  <c r="K771" i="3"/>
  <c r="L771" i="3"/>
  <c r="K769" i="3"/>
  <c r="L769" i="3"/>
  <c r="K766" i="3"/>
  <c r="L766" i="3"/>
  <c r="K765" i="3"/>
  <c r="L765" i="3"/>
  <c r="K753" i="3"/>
  <c r="L753" i="3"/>
  <c r="K751" i="3"/>
  <c r="L751" i="3"/>
  <c r="K742" i="3"/>
  <c r="L742" i="3"/>
  <c r="K739" i="3"/>
  <c r="L739" i="3"/>
  <c r="K717" i="3"/>
  <c r="L717" i="3"/>
  <c r="K687" i="3"/>
  <c r="L687" i="3"/>
  <c r="K686" i="3"/>
  <c r="L686" i="3"/>
  <c r="K680" i="3"/>
  <c r="L680" i="3"/>
  <c r="K675" i="3"/>
  <c r="L675" i="3"/>
  <c r="K674" i="3"/>
  <c r="L674" i="3"/>
  <c r="K673" i="3"/>
  <c r="L673" i="3"/>
  <c r="K672" i="3"/>
  <c r="L672" i="3"/>
  <c r="K671" i="3"/>
  <c r="L671" i="3"/>
  <c r="K670" i="3"/>
  <c r="L670" i="3"/>
  <c r="K666" i="3"/>
  <c r="L666" i="3"/>
  <c r="K658" i="3"/>
  <c r="L658" i="3"/>
  <c r="K651" i="3"/>
  <c r="L651" i="3"/>
  <c r="K642" i="3"/>
  <c r="L642" i="3"/>
  <c r="K633" i="3"/>
  <c r="L633" i="3"/>
  <c r="K616" i="3"/>
  <c r="L616" i="3"/>
  <c r="K596" i="3"/>
  <c r="L596" i="3"/>
  <c r="K594" i="3"/>
  <c r="L594" i="3"/>
  <c r="K587" i="3"/>
  <c r="L587" i="3"/>
  <c r="K579" i="3"/>
  <c r="L579" i="3"/>
  <c r="K577" i="3"/>
  <c r="L577" i="3"/>
  <c r="K576" i="3"/>
  <c r="L576" i="3"/>
  <c r="K575" i="3"/>
  <c r="L575" i="3"/>
  <c r="K571" i="3"/>
  <c r="L571" i="3"/>
  <c r="K569" i="3"/>
  <c r="L569" i="3"/>
  <c r="K568" i="3"/>
  <c r="L568" i="3"/>
  <c r="K566" i="3"/>
  <c r="L566" i="3"/>
  <c r="K565" i="3"/>
  <c r="L565" i="3"/>
  <c r="K563" i="3"/>
  <c r="L563" i="3"/>
  <c r="K556" i="3"/>
  <c r="L556" i="3"/>
  <c r="K552" i="3"/>
  <c r="L552" i="3"/>
  <c r="K547" i="3"/>
  <c r="L547" i="3"/>
  <c r="K544" i="3"/>
  <c r="L544" i="3"/>
  <c r="K542" i="3"/>
  <c r="L542" i="3"/>
  <c r="K539" i="3"/>
  <c r="L539" i="3"/>
  <c r="K537" i="3"/>
  <c r="L537" i="3"/>
  <c r="K536" i="3"/>
  <c r="L536" i="3"/>
  <c r="K531" i="3"/>
  <c r="L531" i="3"/>
  <c r="K529" i="3"/>
  <c r="L529" i="3"/>
  <c r="K526" i="3"/>
  <c r="L526" i="3"/>
  <c r="K524" i="3"/>
  <c r="L524" i="3"/>
  <c r="K521" i="3"/>
  <c r="L521" i="3"/>
  <c r="K516" i="3"/>
  <c r="L516" i="3"/>
  <c r="K513" i="3"/>
  <c r="L513" i="3"/>
  <c r="K511" i="3"/>
  <c r="L511" i="3"/>
  <c r="K509" i="3"/>
  <c r="L509" i="3"/>
  <c r="K507" i="3"/>
  <c r="L507" i="3"/>
  <c r="K505" i="3"/>
  <c r="L505" i="3"/>
  <c r="K497" i="3"/>
  <c r="L497" i="3"/>
  <c r="K495" i="3"/>
  <c r="L495" i="3"/>
  <c r="K492" i="3"/>
  <c r="L492" i="3"/>
  <c r="K489" i="3"/>
  <c r="L489" i="3"/>
  <c r="K483" i="3"/>
  <c r="L483" i="3"/>
  <c r="K481" i="3"/>
  <c r="L481" i="3"/>
  <c r="K479" i="3"/>
  <c r="L479" i="3"/>
  <c r="K475" i="3"/>
  <c r="L475" i="3"/>
  <c r="K472" i="3"/>
  <c r="L472" i="3"/>
  <c r="K471" i="3"/>
  <c r="L471" i="3"/>
  <c r="K469" i="3"/>
  <c r="L469" i="3"/>
  <c r="K458" i="3"/>
  <c r="L458" i="3"/>
  <c r="K455" i="3"/>
  <c r="L455" i="3"/>
  <c r="K450" i="3"/>
  <c r="L450" i="3"/>
  <c r="K449" i="3"/>
  <c r="L449" i="3"/>
  <c r="K445" i="3"/>
  <c r="L445" i="3"/>
  <c r="K440" i="3"/>
  <c r="L440" i="3"/>
  <c r="K439" i="3"/>
  <c r="L439" i="3"/>
  <c r="K20" i="3"/>
  <c r="L20" i="3"/>
  <c r="K19" i="3"/>
  <c r="L19" i="3"/>
  <c r="K18" i="3"/>
  <c r="L18" i="3"/>
  <c r="K17" i="3"/>
  <c r="L17" i="3"/>
  <c r="K16" i="3"/>
  <c r="L16" i="3"/>
  <c r="K15" i="3"/>
  <c r="L15" i="3"/>
  <c r="K14" i="3"/>
  <c r="L14" i="3"/>
  <c r="K13" i="3"/>
  <c r="L13" i="3"/>
  <c r="K12" i="3"/>
  <c r="L12" i="3"/>
  <c r="K11" i="3"/>
  <c r="L11" i="3"/>
  <c r="K10" i="3"/>
  <c r="L10" i="3"/>
  <c r="K9" i="3"/>
  <c r="L9" i="3"/>
  <c r="K8" i="3"/>
  <c r="L8" i="3"/>
  <c r="K2060" i="3"/>
  <c r="L2060" i="3"/>
  <c r="K2083" i="3"/>
  <c r="L2083" i="3"/>
  <c r="K2126" i="3"/>
  <c r="L2126" i="3"/>
  <c r="L2216" i="3"/>
  <c r="K2216" i="3"/>
  <c r="L2387" i="3"/>
  <c r="K2387" i="3"/>
  <c r="L2425" i="3"/>
  <c r="K2425" i="3"/>
  <c r="L2429" i="3"/>
  <c r="K2429" i="3"/>
  <c r="K2487" i="3"/>
  <c r="L2487" i="3"/>
  <c r="L2638" i="3"/>
  <c r="K2638" i="3"/>
  <c r="K2712" i="3"/>
  <c r="L2712" i="3"/>
  <c r="L2736" i="3"/>
  <c r="K2736" i="3"/>
  <c r="L2757" i="3"/>
  <c r="K2757" i="3"/>
  <c r="K2418" i="3"/>
  <c r="L2418" i="3"/>
  <c r="L2481" i="3"/>
  <c r="K2481" i="3"/>
  <c r="L2551" i="3"/>
  <c r="K2551" i="3"/>
  <c r="L2605" i="3"/>
  <c r="K2605" i="3"/>
  <c r="K2176" i="3"/>
  <c r="L2176" i="3"/>
  <c r="L2201" i="3"/>
  <c r="K2201" i="3"/>
  <c r="L2263" i="3"/>
  <c r="K2263" i="3"/>
  <c r="K2315" i="3"/>
  <c r="L2315" i="3"/>
  <c r="K2316" i="3"/>
  <c r="L2316" i="3"/>
  <c r="K2383" i="3"/>
  <c r="L2383" i="3"/>
  <c r="K2394" i="3"/>
  <c r="L2394" i="3"/>
  <c r="L2403" i="3"/>
  <c r="K2403" i="3"/>
  <c r="L2435" i="3"/>
  <c r="K2435" i="3"/>
  <c r="K2459" i="3"/>
  <c r="L2459" i="3"/>
  <c r="K2510" i="3"/>
  <c r="L2510" i="3"/>
  <c r="L2548" i="3"/>
  <c r="K2548" i="3"/>
  <c r="L2641" i="3"/>
  <c r="K2641" i="3"/>
  <c r="K2642" i="3"/>
  <c r="L2642" i="3"/>
  <c r="K2667" i="3"/>
  <c r="L2667" i="3"/>
  <c r="L2723" i="3"/>
  <c r="K2723" i="3"/>
  <c r="L2788" i="3"/>
  <c r="K2788" i="3"/>
  <c r="K2941" i="3"/>
  <c r="L2941" i="3"/>
  <c r="K2948" i="3"/>
  <c r="L2948" i="3"/>
  <c r="K237" i="3"/>
  <c r="L237" i="3"/>
  <c r="K238" i="3"/>
  <c r="L238" i="3"/>
  <c r="K241" i="3"/>
  <c r="L241" i="3"/>
  <c r="K254" i="3"/>
  <c r="L254" i="3"/>
  <c r="K257" i="3"/>
  <c r="L257" i="3"/>
  <c r="K269" i="3"/>
  <c r="L269" i="3"/>
  <c r="K279" i="3"/>
  <c r="L279" i="3"/>
  <c r="K282" i="3"/>
  <c r="L282" i="3"/>
  <c r="K284" i="3"/>
  <c r="L284" i="3"/>
  <c r="K297" i="3"/>
  <c r="L297" i="3"/>
  <c r="K302" i="3"/>
  <c r="L302" i="3"/>
  <c r="K312" i="3"/>
  <c r="L312" i="3"/>
  <c r="K313" i="3"/>
  <c r="L313" i="3"/>
  <c r="K320" i="3"/>
  <c r="L320" i="3"/>
  <c r="K321" i="3"/>
  <c r="L321" i="3"/>
  <c r="K322" i="3"/>
  <c r="L322" i="3"/>
  <c r="K337" i="3"/>
  <c r="L337" i="3"/>
  <c r="K346" i="3"/>
  <c r="L346" i="3"/>
  <c r="K385" i="3"/>
  <c r="L385" i="3"/>
  <c r="K419" i="3"/>
  <c r="L419" i="3"/>
  <c r="L2940" i="3"/>
  <c r="K2940" i="3"/>
  <c r="L2912" i="3"/>
  <c r="K2912" i="3"/>
  <c r="L2753" i="3"/>
  <c r="K2753" i="3"/>
  <c r="L2579" i="3"/>
  <c r="K2579" i="3"/>
  <c r="L2454" i="3"/>
  <c r="K2454" i="3"/>
  <c r="K2323" i="3"/>
  <c r="L2323" i="3"/>
  <c r="L2294" i="3"/>
  <c r="K2294" i="3"/>
  <c r="L2264" i="3"/>
  <c r="K2264" i="3"/>
  <c r="L2173" i="3"/>
  <c r="K2173" i="3"/>
  <c r="L2919" i="3"/>
  <c r="K2919" i="3"/>
  <c r="K2909" i="3"/>
  <c r="L2909" i="3"/>
  <c r="K2807" i="3"/>
  <c r="L2807" i="3"/>
  <c r="K2780" i="3"/>
  <c r="L2780" i="3"/>
  <c r="L2699" i="3"/>
  <c r="K2699" i="3"/>
  <c r="K2629" i="3"/>
  <c r="L2629" i="3"/>
  <c r="K2518" i="3"/>
  <c r="L2518" i="3"/>
  <c r="K2440" i="3"/>
  <c r="L244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Moshi</author>
    <author>Charles Kahungu</author>
  </authors>
  <commentList>
    <comment ref="C5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Anthony Moshi:</t>
        </r>
        <r>
          <rPr>
            <sz val="9"/>
            <color indexed="81"/>
            <rFont val="Tahoma"/>
            <family val="2"/>
          </rPr>
          <t xml:space="preserve">
WRONGLY DEBITED TWICE DURING FILE UPLOAD</t>
        </r>
      </text>
    </comment>
    <comment ref="C5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Anthony Moshi:</t>
        </r>
        <r>
          <rPr>
            <sz val="9"/>
            <color indexed="81"/>
            <rFont val="Tahoma"/>
            <family val="2"/>
          </rPr>
          <t xml:space="preserve">
WRONGLY CREDITED TO BENEFICIARY'S ACCOUNT ON 14/09/2022 WHILE ALREAD RETURNED TO BANK OF TANZANIA ON 13/09/2022</t>
        </r>
      </text>
    </comment>
    <comment ref="C61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Charles Kahungu:</t>
        </r>
        <r>
          <rPr>
            <sz val="9"/>
            <color indexed="81"/>
            <rFont val="Tahoma"/>
            <family val="2"/>
          </rPr>
          <t xml:space="preserve">
duplicate reference number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Moshi</author>
    <author>Charles Kahungu</author>
  </authors>
  <commentList>
    <comment ref="C5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Anthony Moshi:</t>
        </r>
        <r>
          <rPr>
            <sz val="9"/>
            <color indexed="81"/>
            <rFont val="Tahoma"/>
            <family val="2"/>
          </rPr>
          <t xml:space="preserve">
WRONGLY DEBITED TWICE DURING FILE UPLOAD</t>
        </r>
      </text>
    </comment>
    <comment ref="C5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Anthony Moshi:</t>
        </r>
        <r>
          <rPr>
            <sz val="9"/>
            <color indexed="81"/>
            <rFont val="Tahoma"/>
            <family val="2"/>
          </rPr>
          <t xml:space="preserve">
WRONGLY CREDITED TO BENEFICIARY'S ACCOUNT ON 14/09/2022 WHILE ALREAD RETURNED TO BANK OF TANZANIA ON 13/09/2022</t>
        </r>
      </text>
    </comment>
    <comment ref="C6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Charles Kahungu:</t>
        </r>
        <r>
          <rPr>
            <sz val="9"/>
            <color indexed="81"/>
            <rFont val="Tahoma"/>
            <family val="2"/>
          </rPr>
          <t xml:space="preserve">
duplicate reference number</t>
        </r>
      </text>
    </comment>
  </commentList>
</comments>
</file>

<file path=xl/sharedStrings.xml><?xml version="1.0" encoding="utf-8"?>
<sst xmlns="http://schemas.openxmlformats.org/spreadsheetml/2006/main" count="33189" uniqueCount="10613">
  <si>
    <t>NATIONAL MICROFINANCE BANK PLC</t>
  </si>
  <si>
    <t>FINANCE AND CONTROL DEPARTMENT</t>
  </si>
  <si>
    <t>RECONCILIATION UNIT</t>
  </si>
  <si>
    <t>RECONCILIATION OF:-</t>
  </si>
  <si>
    <t>Currency:-</t>
  </si>
  <si>
    <t>Reconciliation Date:-</t>
  </si>
  <si>
    <t>Add. Outstanding credit in the statement</t>
  </si>
  <si>
    <t>Less. Outstanding debit in the statement</t>
  </si>
  <si>
    <t xml:space="preserve"> </t>
  </si>
  <si>
    <t>Corrected ledger balance</t>
  </si>
  <si>
    <t>Add:Outstanding debit in the ledger</t>
  </si>
  <si>
    <t xml:space="preserve">  </t>
  </si>
  <si>
    <t>Less. Outstanding credit in the ledger</t>
  </si>
  <si>
    <t>Corrected statement balance</t>
  </si>
  <si>
    <t>Check_Balance</t>
  </si>
  <si>
    <r>
      <rPr>
        <b/>
        <sz val="14"/>
        <color indexed="8"/>
        <rFont val="Calibri"/>
        <family val="2"/>
      </rPr>
      <t>PREPARED   BY</t>
    </r>
    <r>
      <rPr>
        <sz val="14"/>
        <color indexed="8"/>
        <rFont val="Calibri"/>
        <family val="2"/>
      </rPr>
      <t xml:space="preserve">  - CHARLES KAHUNGU</t>
    </r>
  </si>
  <si>
    <r>
      <rPr>
        <b/>
        <sz val="14"/>
        <color indexed="8"/>
        <rFont val="Calibri"/>
        <family val="2"/>
      </rPr>
      <t>CHECKED    BY</t>
    </r>
    <r>
      <rPr>
        <sz val="14"/>
        <color indexed="8"/>
        <rFont val="Calibri"/>
        <family val="2"/>
      </rPr>
      <t xml:space="preserve"> - ATHUMANI KATETA</t>
    </r>
  </si>
  <si>
    <r>
      <t xml:space="preserve">1.MANAGER,CARD RECONCILIATION  -   </t>
    </r>
    <r>
      <rPr>
        <sz val="14"/>
        <color indexed="8"/>
        <rFont val="Calibri"/>
        <family val="2"/>
      </rPr>
      <t>SAID SUNGURA</t>
    </r>
  </si>
  <si>
    <r>
      <t xml:space="preserve">3.SENIOR MANAGER;RECONCILIATIONS - </t>
    </r>
    <r>
      <rPr>
        <sz val="14"/>
        <color indexed="8"/>
        <rFont val="Calibri"/>
        <family val="2"/>
      </rPr>
      <t xml:space="preserve">FRED SAMWEL                      </t>
    </r>
  </si>
  <si>
    <t xml:space="preserve">              </t>
  </si>
  <si>
    <t>OUTSTANDING  ITEMS  IN  THE G/LEDGER</t>
  </si>
  <si>
    <t>TOTAL</t>
  </si>
  <si>
    <t>TRN Date</t>
  </si>
  <si>
    <t>Value Date</t>
  </si>
  <si>
    <t>DR</t>
  </si>
  <si>
    <t>CR</t>
  </si>
  <si>
    <t>TRN Reference</t>
  </si>
  <si>
    <t>Source Reference</t>
  </si>
  <si>
    <t>Narrative</t>
  </si>
  <si>
    <t>Aging</t>
  </si>
  <si>
    <t>AGING GROUP</t>
  </si>
  <si>
    <t>BOT Classification</t>
  </si>
  <si>
    <t>Duplicate Mark</t>
  </si>
  <si>
    <t>OUTSTANDING  ITEMS  IN  THE STATEMENT</t>
  </si>
  <si>
    <t>Internal Date</t>
  </si>
  <si>
    <t>Calc_Date</t>
  </si>
  <si>
    <t>stmnt_bal_Dt</t>
  </si>
  <si>
    <t>ledgr_bal_Dt</t>
  </si>
  <si>
    <t>Transaction Type</t>
  </si>
  <si>
    <t>UETR No</t>
  </si>
  <si>
    <t>TXN_ID</t>
  </si>
  <si>
    <t>END_TO_END_ID</t>
  </si>
  <si>
    <t>MESSAGE_ID</t>
  </si>
  <si>
    <t>INSTRIUCTION_ID</t>
  </si>
  <si>
    <t>OBPM_REFERENCE</t>
  </si>
  <si>
    <t>BIZ_MSG_ID</t>
  </si>
  <si>
    <t>GWX_REFERENCE</t>
  </si>
  <si>
    <t>GWX_UETR</t>
  </si>
  <si>
    <t>DCN</t>
  </si>
  <si>
    <t>EXTERNAL_REF_NO</t>
  </si>
  <si>
    <t>BOT</t>
  </si>
  <si>
    <t>USD</t>
  </si>
  <si>
    <t>10109000006</t>
  </si>
  <si>
    <t>2025/09/07</t>
  </si>
  <si>
    <t>2025/09/05</t>
  </si>
  <si>
    <t>101FTIN252500024</t>
  </si>
  <si>
    <t>S807039ICP090525</t>
  </si>
  <si>
    <t/>
  </si>
  <si>
    <t>Sender's Ref: S807039I...</t>
  </si>
  <si>
    <t>2025/11/05</t>
  </si>
  <si>
    <t>2025/11/03</t>
  </si>
  <si>
    <t>101FTIN253091182</t>
  </si>
  <si>
    <t>2112926307JS</t>
  </si>
  <si>
    <t>Sender's Ref: 2112926307JS =&gt; Ordering Customer: /9130005036570 * 1/RAKBURY ENTERPRISES LIMITED * 2/PLOT NO 3792 KWACHA ROAD OLYMPI P * 3/ZM/LUSAKA =&gt; Remittance Info: /ROC/OT25307ZM0180542///URI/TS03</t>
  </si>
  <si>
    <t>2025/12/01</t>
  </si>
  <si>
    <t>101FTIN253350501</t>
  </si>
  <si>
    <t>Sender's Ref: 101FTIN253350501 =&gt; Ordering Customer: /10110000001 * TANZTZTXXXX =&gt; Remittance Info: //C0153325660501   WACNY2532421441 * //ISN 0057261 OS N 0156605 SSN * //01029858</t>
  </si>
  <si>
    <t>2025/12/22</t>
  </si>
  <si>
    <t>101FTIT253561734</t>
  </si>
  <si>
    <t>HZ1JCJLOO6QEB8A2</t>
  </si>
  <si>
    <t>Sender's Ref: HZ1JCJLOO6QEB8A2 =&gt; Ordering Customer: /250285777701 * 61701 =&gt; Remittance Info: T31052025120406</t>
  </si>
  <si>
    <t>101FTIT253561730</t>
  </si>
  <si>
    <t>HZ1JCJLREQ9B48EE</t>
  </si>
  <si>
    <t>Sender's Ref: HZ1JCJLREQ9B48EE =&gt; Ordering Customer: /250285777701 * 61701 =&gt; Remittance Info: T31052025120404</t>
  </si>
  <si>
    <t>2026/01/28</t>
  </si>
  <si>
    <t>2026/01/26</t>
  </si>
  <si>
    <t>101FTIT260281950</t>
  </si>
  <si>
    <t>HZ1JFSJVFN0D7B36</t>
  </si>
  <si>
    <t>Sender's Ref: HZ1JFSJVFN0D7B36 =&gt; Ordering Customer: 10121880593 * SERENE SAFARI BUREAU DE =&gt; Remittance Info: Fx Deal</t>
  </si>
  <si>
    <t>2026/02/03</t>
  </si>
  <si>
    <t>101joj9260340003</t>
  </si>
  <si>
    <t>611FTFV253370001</t>
  </si>
  <si>
    <t>RTN 611FTFV253370001    dd03122025   Rsn Invalid Bene details</t>
  </si>
  <si>
    <t>2026/04/22</t>
  </si>
  <si>
    <t>101FTIT261126670</t>
  </si>
  <si>
    <t>OT26111TZ0193487</t>
  </si>
  <si>
    <t>Sender's Ref: OT26111TZ0193487 =&gt; Ordering Customer: /9120003165904 =&gt; Remittance Info: SEQ 203615</t>
  </si>
  <si>
    <t>2026/07/08</t>
  </si>
  <si>
    <t>428IBOT261891008</t>
  </si>
  <si>
    <t>YUAKGC61R9</t>
  </si>
  <si>
    <t>Sender's Ref: YUAKGC61R9 =&gt; Ultimate Beneficiary: /9120001520529 * :CMA CGM (TANZANIA) LIMITED =&gt; Remittance Info: BL: ISB1881268</t>
  </si>
  <si>
    <t>2026/07/25</t>
  </si>
  <si>
    <t>2026/07/24</t>
  </si>
  <si>
    <t>101FTIN262060032</t>
  </si>
  <si>
    <t>2020739205JS</t>
  </si>
  <si>
    <t>Sender's Ref: 2020739205JS =&gt; Ordering Customer: 8911205569 * MAITRI INTERNATIONAL =&gt; Remittance Info: /ROC/0642AIR261671028///URI/TWDS IN * V NO HAL26TZ0050</t>
  </si>
  <si>
    <t>2026/07/29</t>
  </si>
  <si>
    <t>201IBOT262100039</t>
  </si>
  <si>
    <t>RMWHYUDFIU</t>
  </si>
  <si>
    <t>Sender's Ref: RMWHYUDFIU =&gt; Ultimate Beneficiary: /0250299823700 * SHARAF SHIPPING AGENCY (T) LTD =&gt; Remittance Info: SHIPPING FEE ESTIM 1931</t>
  </si>
  <si>
    <t>801IBOT262100002</t>
  </si>
  <si>
    <t>E8NN1M4RMW</t>
  </si>
  <si>
    <t>Sender's Ref: E8NN1M4RMW =&gt; Ultimate Beneficiary: /10412630063 * SALIM HASSAN SHAHA =&gt; Remittance Info: Transportation</t>
  </si>
  <si>
    <t>432IBOT262100011</t>
  </si>
  <si>
    <t>Z2QFEQR132</t>
  </si>
  <si>
    <t>Sender's Ref: Z2QFEQR132 =&gt; Ultimate Beneficiary: /0150027720 * Northern Management Beach =&gt; Remittance Info: Africa Safari Karatu</t>
  </si>
  <si>
    <t>2026/08/05</t>
  </si>
  <si>
    <t>2026/08/01</t>
  </si>
  <si>
    <t>428ZEXA26217009W</t>
  </si>
  <si>
    <t>TAPBTZTZ20260801094413724</t>
  </si>
  <si>
    <t>Incoming Funds Transfer on 05 AUG 26 05.52.09.817515 PM from AMSHAR SERENGETI ADVENTURE COMPANY LIMITED at .  Remarks:  Payment for Pierre Cusano</t>
  </si>
  <si>
    <t>403ZEXA2621700AP</t>
  </si>
  <si>
    <t>TAPBTZTZ20260801112553154</t>
  </si>
  <si>
    <t>Incoming Funds Transfer on 05 AUG 26 05.52.08.176415 PM from AMSHAR SERENGETI ADVENTURE COMPANY LIMITED at .  Remarks:  Giuseppe</t>
  </si>
  <si>
    <t>2026/08/03</t>
  </si>
  <si>
    <t>206ZEXA2621704NU</t>
  </si>
  <si>
    <t>GPS-20260803BKIDTZTZP000115</t>
  </si>
  <si>
    <t>Incoming Funds Transfer on 05 AUG 26 06.09.01.049428 PM from SREE KRISHNA CARGO LIMITED at .  Remarks:  TRANSPORT CHARGES FOR 21C CONTOF 500 MT TONS INV NO CIL094 26</t>
  </si>
  <si>
    <t>101o094262150001</t>
  </si>
  <si>
    <t>03 AUG 26 09.59.27.701335 PM =&gt; 10109000006   BOT CLEARING   USD via OPICS 1081116    ECOBANK      USD   TZS   2668.00000000    300000.0000</t>
  </si>
  <si>
    <t>2026/08/11</t>
  </si>
  <si>
    <t>2026/08/04</t>
  </si>
  <si>
    <t>223ZEXA2622300UY</t>
  </si>
  <si>
    <t>2608042608000114</t>
  </si>
  <si>
    <t>Incoming Funds Transfer on 11 AUG 26 02.49.33.263674 PM from DIAMOND SHIPPING SERVICES LIMI at .  Remarks:  TRANSFER TO DSS NMB USD AC</t>
  </si>
  <si>
    <t>2026/08/06</t>
  </si>
  <si>
    <t>223ZEXA2621800UT</t>
  </si>
  <si>
    <t>TAPBTZTZ20260804140509662</t>
  </si>
  <si>
    <t>Incoming Funds Transfer on 06 AUG 26 07.42.38.767996 PM from GREATLAKES FREIGHT LTD at .  Remarks:  DEMURRAGE BL GOSUGZH0713334 null</t>
  </si>
  <si>
    <t>403ZEXA26217009V</t>
  </si>
  <si>
    <t>2621712038465000</t>
  </si>
  <si>
    <t>Outgoing Funds Transfer   05 AUG 26 04.43.05.618888 PM   OBDX from ECO LODGE AFRICA LIMITED  to Tourism and Public Relations Services Limited  8000421. Remark: Ref email 01072026</t>
  </si>
  <si>
    <t>428ZEXA26217007D</t>
  </si>
  <si>
    <t>2621723056548000</t>
  </si>
  <si>
    <t>Outgoing Funds Transfer   05 AUG 26 03.42.31.418997 PM   OBDX from DAMONA TANZANIA SAFARIS LTD  to Auric Air Services Ltd  0740425020. Remark: Fam. VdPutten Pnr Ref. 88B96A</t>
  </si>
  <si>
    <t>248ZEXA2621700T7</t>
  </si>
  <si>
    <t>2621707058138000</t>
  </si>
  <si>
    <t>Outgoing Funds Transfer   05 AUG 26 04.09.02.183224 PM   OBDX from APLUS GLOBAL LIMITED  to CMA CGM TANZANIA LTD  7045002837. Remark: PORCHARGEGES FOR  ZSN0848658A</t>
  </si>
  <si>
    <t>408ZEXA26217006V</t>
  </si>
  <si>
    <t>2621706047682000</t>
  </si>
  <si>
    <t xml:space="preserve">Outgoing Funds Transfer   05 AUG 26 04.13.16.025253 PM   OBDX from SERENGETI WAKANDA TOURS AND SAFARIS  to SANNA ECO LODGE  0026010187. Remark: </t>
  </si>
  <si>
    <t>602SBRN262170008</t>
  </si>
  <si>
    <t>CM3C2A7BCB7779</t>
  </si>
  <si>
    <t>Outgoing Funds Transfer   05 AUG 26 03.49.35.868493 PM   SYBRIN from SUNSHINE (T) COMPANY LTD  to OLK LEMISHAM TRADERS LTD  025083144300. Remark: /BUSINESS</t>
  </si>
  <si>
    <t>428ZEXA2621700XJ</t>
  </si>
  <si>
    <t>2621714031020000</t>
  </si>
  <si>
    <t xml:space="preserve">Outgoing Funds Transfer   05 AUG 26 04.53.05.150861 PM   OBDX from AUGUSTINE'S ADVENTURE AFRICA LTD  to Tourism and Public Relations Services Ltd  8000421. Remark: </t>
  </si>
  <si>
    <t>428ZEXA2621700Z7</t>
  </si>
  <si>
    <t>2621708063738000</t>
  </si>
  <si>
    <t xml:space="preserve">Outgoing Funds Transfer   05 AUG 26 05.42.22.679724 PM   OBDX from BIG TIME ADVENTURES LIMITED  to HERITAGE TENTED CAMPS  0250440170300. Remark: vik Veera accommodation </t>
  </si>
  <si>
    <t>241ZEXA262170041</t>
  </si>
  <si>
    <t>TAPBTZTZ20260805123713345</t>
  </si>
  <si>
    <t>Incoming Funds Transfer on 05 AUG 26 12.50.07.035676 PM from Chen Jianshun Fujian at .  Remarks:  Laan from shareholder</t>
  </si>
  <si>
    <t>241ZEXA2621700VG</t>
  </si>
  <si>
    <t>2621705036362000</t>
  </si>
  <si>
    <t xml:space="preserve">Outgoing Funds Transfer   05 AUG 26 04.03.39.219027 PM   OBDX from SWIN LOGISTICS TANZANIA LIMITED  to KORRIDOR TANZANIA LIMITED  025C791250000. Remark: </t>
  </si>
  <si>
    <t>403ZEXA2621800UM</t>
  </si>
  <si>
    <t>2621802056580000</t>
  </si>
  <si>
    <t xml:space="preserve">Outgoing Funds Transfer   06 AUG 26 03.43.03.186929 PM   OBDX from MAKASA LIMITED  to AURIC AIR SERVICES LTD  0740425020. Remark: </t>
  </si>
  <si>
    <t>226ZEXA2621801KJ</t>
  </si>
  <si>
    <t>2621820065612000</t>
  </si>
  <si>
    <t>Outgoing Funds Transfer   06 AUG 26 06.13.36.019443 PM   OBDX from TCF LIMITED  to (USD) GULF BADR GROUP ( TANZANIA) LIMITED COLLECTION  30003396004. Remark: BL NO 145699833580</t>
  </si>
  <si>
    <t>234ZEXA26218000X</t>
  </si>
  <si>
    <t>2621818065432000</t>
  </si>
  <si>
    <t>Outgoing Funds Transfer   06 AUG 26 06.10.41.016964 PM   OBDX from BUHAIRAN LIMITED  to CORDELIA TOURS(SMC PRIVATE) LIMTED  0987729002. Remark: Cordelia Tours Invoice Payment</t>
  </si>
  <si>
    <t>101o037262180001</t>
  </si>
  <si>
    <t>06 AUG 26 07.03.54.373621 PM =&gt; 10109000006   BOT CLEARING   USD via OPICS 2011854    AZANIA</t>
  </si>
  <si>
    <t>231ZEXA26218000F</t>
  </si>
  <si>
    <t>2621817038744000</t>
  </si>
  <si>
    <t>Outgoing Funds Transfer   06 AUG 26 10.45.47.729701 AM   OBDX from OLD EXPLORER LTD  to TYCHELIMITED  0250214303500. Remark: WB4373</t>
  </si>
  <si>
    <t>248ZEXA2621800SV</t>
  </si>
  <si>
    <t>CMACC3796D106B</t>
  </si>
  <si>
    <t>Outgoing Funds Transfer   06 AUG 26 03.10.38.831712 PM   OBDX from TEAM PARTNER COMPANY LIMITED  to NUFAST DELIVERIES  0250379705500. Remark: Fuel payment</t>
  </si>
  <si>
    <t>408ZEXA262180053</t>
  </si>
  <si>
    <t>CM2219D2D1FD12</t>
  </si>
  <si>
    <t>Outgoing Funds Transfer   06 AUG 26 12.54.12.133188 PM   OBDX from EXTRA PASSION SAFARIS LIMITED  to MIGS BUREAU DE CHANGE  02500000U5TB00. Remark: exchange park fee</t>
  </si>
  <si>
    <t>229ZEXA2621800SL</t>
  </si>
  <si>
    <t>2621803039538000</t>
  </si>
  <si>
    <t>Outgoing Funds Transfer   06 AUG 26 10.59.01.991577 AM   OBDX from TROPICAL TOURS SMC PRIVATE LTD  to OCEAN GROUP HOTELS MARKET  0250223524500. Remark: ARR 01 to 08 AUG</t>
  </si>
  <si>
    <t>206ZEXA26218002L</t>
  </si>
  <si>
    <t>2621823055774000</t>
  </si>
  <si>
    <t xml:space="preserve">Outgoing Funds Transfer   06 AUG 26 03.29.37.457466 PM   OBDX from SWIFTEX BUREAU DE CHANGE LIMITED  to CITIZEN IMPORTEX LIMITED  0400237001. Remark: </t>
  </si>
  <si>
    <t>248ZEXA2621800S2</t>
  </si>
  <si>
    <t>000008365959</t>
  </si>
  <si>
    <t xml:space="preserve">Outgoing Funds Transfer   06 AUG 26 10.15.51.879133 AM   OBDX from BEST OCEANAIR (T) LTD  to GENUINE FREIGHT SERVICES LIMITED  0100000441467. Remark: </t>
  </si>
  <si>
    <t>229ZEXA2621801JP</t>
  </si>
  <si>
    <t>2621805053513000</t>
  </si>
  <si>
    <t>Outgoing Funds Transfer   06 AUG 26 02.51.56.170208 PM   OBDX from MONSOON LTD  to Matemwe Bungalows Zaswi Ltd  8000284. Remark: Commission July</t>
  </si>
  <si>
    <t>417ZEXA262180009</t>
  </si>
  <si>
    <t>2621808040542000</t>
  </si>
  <si>
    <t>Outgoing Funds Transfer   06 AUG 26 11.15.45.539528 AM   OBDX from SHAIMAK COMPANY LIMITED  to SHAIMAK COMPANY LIMITED  10121724354. Remark: FROM NMB</t>
  </si>
  <si>
    <t>226ZEXA2621800S6</t>
  </si>
  <si>
    <t>2621813035932000</t>
  </si>
  <si>
    <t>Outgoing Funds Transfer   06 AUG 26 09.58.55.316871 AM   OBDX from BTD SAFARI LIMITED  to AMREF FLYING DOCTORS LIMITED   0018013010. Remark:  FLYING DOCTORS</t>
  </si>
  <si>
    <t>435ZEXA26218000G</t>
  </si>
  <si>
    <t>2621802049679000</t>
  </si>
  <si>
    <t xml:space="preserve">Outgoing Funds Transfer   06 AUG 26 01.48.02.361130 PM   OBDX from WEST WILD LIMITED  to Conserve Safari Asset Management Limited  450428000065. Remark: </t>
  </si>
  <si>
    <t>101cbs3262180741</t>
  </si>
  <si>
    <t>06 AUG 26 02.27.01.702282 PM =&gt; 10109000006   BOT CLEARING   USD via FLEXCUBE BEING INCOMING TISS MANUALLY POSTED REF NO TZ2OL26080602571</t>
  </si>
  <si>
    <t>225ZEXA2621800S3</t>
  </si>
  <si>
    <t>2621815038234000</t>
  </si>
  <si>
    <t xml:space="preserve">Outgoing Funds Transfer   06 AUG 26 10.37.17.358833 AM   OBDX from SAVANNAH TRADING LIMITED  to DS STEEL AND GENERAL SUPPLIES  10386005066. Remark: </t>
  </si>
  <si>
    <t>201ZEXA2621801NJ</t>
  </si>
  <si>
    <t>2621812065432001</t>
  </si>
  <si>
    <t>Outgoing Funds Transfer   06 AUG 26 06.10.35.768412 PM   OBDX from TOPMAX TANZANIA LIMITED  to TRY AGAIN LOGISTICS LTD  0250755639800. Remark: TRANSPORT COST ALPHA727 NIKA 11</t>
  </si>
  <si>
    <t>428ZEXA26218008J</t>
  </si>
  <si>
    <t>TAPBTZTZ20260806135428362</t>
  </si>
  <si>
    <t>Incoming Funds Transfer on 06 AUG 26 01.55.06.600248 PM from AMSHAR SERENGETI ADVENTURE COMPANY LIMITED at .  Remarks:  Payment for DEMI WATSON</t>
  </si>
  <si>
    <t>428ZEXA262180068</t>
  </si>
  <si>
    <t>2621805047184000</t>
  </si>
  <si>
    <t>Outgoing Funds Transfer   06 AUG 26 01.06.27.315254 PM   OBDX from KARANI EXPEDITIONS ( TZ ) LIMITED  to WERUWERU RIVER LODGE LIMITED  017105004001. Remark: Salma harignordoguy</t>
  </si>
  <si>
    <t>428ZEXA2621800U9</t>
  </si>
  <si>
    <t>2621811044672000</t>
  </si>
  <si>
    <t>Outgoing Funds Transfer   06 AUG 26 12.24.35.881534 PM   OBDX from TANZANIA CHOICE SAFARIS LTD  to SERENGETI SIMBA TANZANIA LTD  0070012149. Remark: 0227 THOMPSON DEPOSIT WB36007</t>
  </si>
  <si>
    <t>101cbs3262180674</t>
  </si>
  <si>
    <t>06 AUG 26 02.27.01.160585 PM =&gt; 10109000006   BOT CLEARING   USD via FLEXCUBE BEING INCOMING TISS MANUALLY POSTED REF NO 1.78558E 13</t>
  </si>
  <si>
    <t>101cbs3262180717</t>
  </si>
  <si>
    <t>06 AUG 26 02.27.01.525773 PM =&gt; 10109000006   BOT CLEARING   USD via FLEXCUBE BEING INCOMING TISS MANUALLY POSTED REF NO TZAAO21326HB325</t>
  </si>
  <si>
    <t>435ZEXA26218000P</t>
  </si>
  <si>
    <t>2621822055690000</t>
  </si>
  <si>
    <t xml:space="preserve">Outgoing Funds Transfer   06 AUG 26 03.28.18.950284 PM   OBDX from WEST WILD LIMITED  to UNTAMED MIGRATION CAMPS  0309786001. Remark: </t>
  </si>
  <si>
    <t>101cbs3262180677</t>
  </si>
  <si>
    <t>06 AUG 26 02.27.01.191741 PM =&gt; 10109000006   BOT CLEARING   USD via FLEXCUBE BEING INCOMING TISS MANUALLY POSTED REF NO TZ1OL2608030255Y</t>
  </si>
  <si>
    <t>243ZEXA2621801JO</t>
  </si>
  <si>
    <t>2621823059458000</t>
  </si>
  <si>
    <t xml:space="preserve">Outgoing Funds Transfer   06 AUG 26 04.31.01.636319 PM   OBDX from SPRINT CARGO LIMITED  to Chinese Tanzanian Joint Shipping  0370000152. Remark: </t>
  </si>
  <si>
    <t>101cbs3262180685</t>
  </si>
  <si>
    <t>06 AUG 26 02.27.01.264786 PM =&gt; 10109000006   BOT CLEARING   USD via FLEXCUBE BEING INCOMING TISS MANUALLY POSTED REF NO 005COUS030826002</t>
  </si>
  <si>
    <t>408ZEXA26218001A</t>
  </si>
  <si>
    <t>CMD1225EA42915</t>
  </si>
  <si>
    <t>Outgoing Funds Transfer   06 AUG 26 09.23.26.999358 AM   OBDX from SERENGETI CLARITY  to  KON TIKI AFRICA CO LTD  025C73139850. Remark: Michelle   Ethan x4</t>
  </si>
  <si>
    <t>101cbs3262180670</t>
  </si>
  <si>
    <t>06 AUG 26 02.27.01.115303 PM =&gt; 10109000006   BOT CLEARING   USD via FLEXCUBE BEING INCOMING TISS MANUALLY POSTED REF NO 011COUS030826008</t>
  </si>
  <si>
    <t>403ZEXA2621800RV</t>
  </si>
  <si>
    <t>2621810028147000</t>
  </si>
  <si>
    <t xml:space="preserve">Outgoing Funds Transfer   06 AUG 26 07.49.11.302016 AM   OBDX from MAKASA LIMITED  to ONE BIKE TANZANIA LIMITED  30034666003. Remark: </t>
  </si>
  <si>
    <t>2026/08/10</t>
  </si>
  <si>
    <t>2026/08/07</t>
  </si>
  <si>
    <t>239ZEXA262190017</t>
  </si>
  <si>
    <t>Outgoing Funds Transfer   10 AUG 26 12.23.04.854414 PM   FLEXCUBE from KARAN PETROLEUM LIMITED  to Sagar Paudel  5342109001. Remark: Salary Advance</t>
  </si>
  <si>
    <t>101ref2262190682</t>
  </si>
  <si>
    <t>07 AUG 26 11.30.58.079890 AM =&gt; 10109000006   BOT CLEARING   USD via FLEXCUBE INCOMING FUND TRANSFER REF NO17858303616637</t>
  </si>
  <si>
    <t>421ZEXA26219000I</t>
  </si>
  <si>
    <t>CMD213166A88D3</t>
  </si>
  <si>
    <t>Outgoing Funds Transfer   07 AUG 26 10.58.01.731922 AM   OBDX from MAGIC OF WILD LIMITED  to SERVAL WILDLIFE LIMITED  025066718110. Remark: day trip shyma</t>
  </si>
  <si>
    <t>101ref2262190366</t>
  </si>
  <si>
    <t>07 AUG 26 11.30.57.048937 AM =&gt; 10109000006   BOT CLEARING   USD via FLEXCUBE INCOMING FUND TRANSFER REF NO17854121336867</t>
  </si>
  <si>
    <t>428ZEXA26219001M</t>
  </si>
  <si>
    <t>ACTZ5023563752</t>
  </si>
  <si>
    <t>Outgoing Funds Transfer   07 AUG 26 10.37.14.557559 AM   OBDX from SAKATA SAFARIS AFRICA CO LTD  to Zawadi Luxury Camps Limited  7036385522. Remark: FASANA X5</t>
  </si>
  <si>
    <t>428ZEXA262190031</t>
  </si>
  <si>
    <t>CM224D36DBFC71</t>
  </si>
  <si>
    <t xml:space="preserve">Outgoing Funds Transfer   07 AUG 26 12.13.21.593005 PM   OBDX from AFRICA JOY TOURS AND SAFARIS LTD  to MOTTO COTTAGES LTD   02C595582500. Remark: </t>
  </si>
  <si>
    <t>101ref2262190686</t>
  </si>
  <si>
    <t>07 AUG 26 11.30.58.101482 AM =&gt; 10109000006   BOT CLEARING   USD via FLEXCUBE INCOMING FUND TRANSFER REF NO17858305330460</t>
  </si>
  <si>
    <t>229ZEXA2621900SI</t>
  </si>
  <si>
    <t>RETN08070134968</t>
  </si>
  <si>
    <t>Outgoing Funds Transfer   07 AUG 26 12.06.39.553618 PM   OBDX from TAKE A TRIP TRAVEL AND TOURS LIMITED  to IBRAHIM MASHAKA KASSARA  300711156797. Remark: MNEMBA TOUR PAYMENT</t>
  </si>
  <si>
    <t>428ZEXA2621900SP</t>
  </si>
  <si>
    <t>CTZ00026219NGL2</t>
  </si>
  <si>
    <t xml:space="preserve">Outgoing Funds Transfer   07 AUG 26 10.10.32.280383 AM   OBDX from GET TOGETHER ADVENTURES LTD  to The Royal Zanzibar Beach Resort LTD  0880824002. Remark: </t>
  </si>
  <si>
    <t>101ref2262190689</t>
  </si>
  <si>
    <t>07 AUG 26 11.31.11.205799 AM =&gt; 10109000006   BOT CLEARING   USD via FLEXCUBE INCOMING FUND TRANSFER REF NO17858315711954</t>
  </si>
  <si>
    <t>239ZEXA2621900WR</t>
  </si>
  <si>
    <t>CM255A7401484B</t>
  </si>
  <si>
    <t>Outgoing Funds Transfer   07 AUG 26 05.13.59.298426 PM   OBDX from JAKAYA MRISHO KIKWETE FOUNDATION  to Medard Edward Ngaiza  01J248818000. Remark: pv 3305</t>
  </si>
  <si>
    <t>101ref2262190669</t>
  </si>
  <si>
    <t>07 AUG 26 11.31.02.662012 AM =&gt; 10109000006   BOT CLEARING   USD via FLEXCUBE INCOMING FUND TRANSFER REF NO17858299583615</t>
  </si>
  <si>
    <t>239ZEXA2621900WS</t>
  </si>
  <si>
    <t>CM9C23383CD39B</t>
  </si>
  <si>
    <t>Outgoing Funds Transfer   07 AUG 26 05.14.00.557393 PM   OBDX from JAKAYA MRISHO KIKWETE FOUNDATION  to Merdad Edward Ngaiza   01J248818000. Remark: pv 3404</t>
  </si>
  <si>
    <t>101ref2262190690</t>
  </si>
  <si>
    <t>07 AUG 26 11.31.02.707801 AM =&gt; 10109000006   BOT CLEARING   USD via FLEXCUBE INCOMING FUND TRANSFER REF NOTZAAO21626HQA5X</t>
  </si>
  <si>
    <t>101ref2262190679</t>
  </si>
  <si>
    <t>07 AUG 26 11.30.58.057959 AM =&gt; 10109000006   BOT CLEARING   USD via FLEXCUBE INCOMING FUND TRANSFER REF NO17858300021427</t>
  </si>
  <si>
    <t>421ZEXA262190005</t>
  </si>
  <si>
    <t>ACTZ9696705778</t>
  </si>
  <si>
    <t xml:space="preserve">Outgoing Funds Transfer   07 AUG 26 08.38.35.468310 AM   OBDX from OLASITI VENTURES LIMITED  to ACCESS BANK TANZANIA LIMITED  1010203125. Remark: </t>
  </si>
  <si>
    <t>2026/08/08</t>
  </si>
  <si>
    <t>225SBRN262200001</t>
  </si>
  <si>
    <t>CM7DB8751FFC0D</t>
  </si>
  <si>
    <t>Outgoing Funds Transfer   08 AUG 26 11.00.22.119955 AM   SYBRIN from TANZANIA TOOKU GARMENTS CO. LTD  to PMM ESTATE 2001 LIMITED  2J1020582600. Remark: /TRANSFER FOR AGENT</t>
  </si>
  <si>
    <t>2026/08/09</t>
  </si>
  <si>
    <t>101inc5262210304</t>
  </si>
  <si>
    <t>09 AUG 26 02.59.48.472323 PM =&gt; 10109000006   BOT CLEARING   USD via FLEXCUBE 014TOUS040826007</t>
  </si>
  <si>
    <t>101inc5262210257</t>
  </si>
  <si>
    <t>09 AUG 26 02.59.48.169546 PM =&gt; 10109000006   BOT CLEARING   USD via FLEXCUBE HZ1JUT0GHVB21B8C</t>
  </si>
  <si>
    <t>101inc5262210252</t>
  </si>
  <si>
    <t>09 AUG 26 02.59.48.138827 PM =&gt; 10109000006   BOT CLEARING   USD via FLEXCUBE CMRTG26217000847</t>
  </si>
  <si>
    <t>408ZEXA26222013Z</t>
  </si>
  <si>
    <t>CM43209BCAC1B6</t>
  </si>
  <si>
    <t xml:space="preserve">Outgoing Funds Transfer   10 AUG 26 05.19.26.001392 PM   OBDX from MOUNT MERU MILLERS LTD  to Nyota Tanzania Limited  100269056. Remark: </t>
  </si>
  <si>
    <t>101tane262220001</t>
  </si>
  <si>
    <t>10 AUG 26 09.03.22.214784 PM =&gt; 10109000006   BOT CLEARING   USD via FLEXCUBE 223LC02233180501</t>
  </si>
  <si>
    <t>439SBRN262230002</t>
  </si>
  <si>
    <t>GWX103374136368</t>
  </si>
  <si>
    <t>Outgoing Funds Transfer   11 AUG 26 06.25.11.484563 PM   SYBRIN from BINTI WA AFRIKA COLLECTION  to SIMPLY CLASSIC LIMITED  00800796221211. Remark: /BEADED DOG COLLARS</t>
  </si>
  <si>
    <t>VAT Payable on Comm and Fees   11 AUG 26 06.25.11.483314 PM   SYBRIN from BINTI WA AFRIKA COLLECTION  to SIMPLY CLASSIC LIMITED  00800796221211. Remark: /BEADED DOG COLLARS</t>
  </si>
  <si>
    <t>Commission on Funds Transfer   11 AUG 26 06.25.11.480919 PM   SYBRIN from BINTI WA AFRIKA COLLECTION  to SIMPLY CLASSIC LIMITED  00800796221211. Remark: /BEADED DOG COLLARS</t>
  </si>
  <si>
    <t>101103g262230009</t>
  </si>
  <si>
    <t>11 AUG 26 05.59.43.640432 PM =&gt; 10109000006   BOT CLEARING   USD via FLEXCUBE RTN 26086T000566388 625IBOT262120001 dd260731 Rsn Posted wrongly to us</t>
  </si>
  <si>
    <t>408ZEXA26223007I</t>
  </si>
  <si>
    <t>000008372241</t>
  </si>
  <si>
    <t>Outgoing Funds Transfer   11 AUG 26 02.38.24.903856 PM   OBDX from MAULY TOURS AND SAFARIS LTD  to THE MANAGER IATA BSP HINGE ACCOUNT  8708020341500. Remark: IATA BILL NO 83201064</t>
  </si>
  <si>
    <t>2026/08/13</t>
  </si>
  <si>
    <t>219ZEXA262250007</t>
  </si>
  <si>
    <t>2608132608000054</t>
  </si>
  <si>
    <t>Incoming Funds Transfer on 13 AUG 26 02.16.17.997907 PM from A CLASS MARBLE TANZANIA PRIVAT at .  Remarks:  SELF ACCOUNT TRANSFER</t>
  </si>
  <si>
    <t>2026/08/14</t>
  </si>
  <si>
    <t>403ZEXA2622500UQ</t>
  </si>
  <si>
    <t>ACTZ9114620133</t>
  </si>
  <si>
    <t xml:space="preserve">Outgoing Funds Transfer   14 AUG 26 05.07.28.638680 AM   OBDX from MAKASA LIMITED  to Zawadi Luxury Camps Limited  7036385522. Remark: </t>
  </si>
  <si>
    <t>225ZEXA262250025</t>
  </si>
  <si>
    <t>CMC6038DC58D8B</t>
  </si>
  <si>
    <t xml:space="preserve">Outgoing Funds Transfer   13 AUG 26 01.52.55.929182 PM   OBDX from JEREMIAH STANFORD LYIMO  to Rhino Premium Auto parts  025959467200. Remark: </t>
  </si>
  <si>
    <t>101o038262250001</t>
  </si>
  <si>
    <t>13 AUG 26 10.18.33.248401 PM =&gt; 10109000006   BOT CLEARING   USD via OPICS 2011854    AZANIA</t>
  </si>
  <si>
    <t>204ZEXA26225000O</t>
  </si>
  <si>
    <t>CM7F8ABE0287FE</t>
  </si>
  <si>
    <t>Outgoing Funds Transfer   13 AUG 26 12.03.09.653912 PM   OBDX from ZANZIBAR MILLING CORPORATION  to ZANZIBAR MILLING CORPORATION LIMITED  8704005472900. Remark: NMB TO SCB</t>
  </si>
  <si>
    <t>2026/08/15</t>
  </si>
  <si>
    <t>408ZEXA262260151</t>
  </si>
  <si>
    <t>Outgoing Funds Transfer      FLEXCUBE from ELOTOTO TANZANIA LIMITED  to VENTURE HARMONY SAFARIS LTD  022010001498. Remark: Long Lease car hire Q2</t>
  </si>
  <si>
    <t>408ZEXA26226006Z</t>
  </si>
  <si>
    <t>Outgoing Funds Transfer      FLEXCUBE from ELOTOTO TANZANIA LIMITED  to ETERNAL SERENGETI ADVENTURES LIMITED  10385085066. Remark: Long lease car hire T816 CET Q2</t>
  </si>
  <si>
    <t>408ZEXA262260158</t>
  </si>
  <si>
    <t>Outgoing Funds Transfer      FLEXCUBE from SERENGETI CLARITY  to MVULI HOTEL  3301316662. Remark: Vatslya x3</t>
  </si>
  <si>
    <t>101o038262260001</t>
  </si>
  <si>
    <t>14 AUG 26 08.34.07.694070 PM =&gt; 10109000006   BOT CLEARING   USD via OPICS 2011898    AZANIA</t>
  </si>
  <si>
    <t>408ZEXA262260157</t>
  </si>
  <si>
    <t>Outgoing Funds Transfer      FLEXCUBE from SERENGETI CLARITY  to SERENGETI CLASSIC VIEW CA  0250000P94B00. Remark:  Vatslya x3</t>
  </si>
  <si>
    <t>241ZEXA2622600U6</t>
  </si>
  <si>
    <t>TAPBTZTZ20260814122151657</t>
  </si>
  <si>
    <t>Incoming Funds Transfer on 14 AUG 26 01.29.39.068292 PM from Chen Jianshun Fujian at .  Remarks:  laan from shareholder</t>
  </si>
  <si>
    <t>428ZEXA2622600X6</t>
  </si>
  <si>
    <t xml:space="preserve">Outgoing Funds Transfer      FLEXCUBE from UTOPIA SAFARIS LIMITED  to HERITAGE TENTED CAMPS  0250440170300. Remark: </t>
  </si>
  <si>
    <t>101o069262260001</t>
  </si>
  <si>
    <t>14 AUG 26 08.34.21.447978 PM =&gt; 10109000006   BOT CLEARING   USD via OPICS 2011900    AZANIA</t>
  </si>
  <si>
    <t>408ZEXA262260071</t>
  </si>
  <si>
    <t>Outgoing Funds Transfer      FLEXCUBE from KILIMANJARO SKY LIMITED  to KANKARI LODGE KARATU  045105001316. Remark: ELISABETTA 4 KILI SKY</t>
  </si>
  <si>
    <t>408ZEXA262260156</t>
  </si>
  <si>
    <t>Outgoing Funds Transfer      FLEXCUBE from SERENGETI CLARITY  to KON TIKI  AFRICA  COMPANY  LIMITED  9120002501064. Remark: Michael x8</t>
  </si>
  <si>
    <t>101o068262260001</t>
  </si>
  <si>
    <t>14 AUG 26 08.34.20.912833 PM =&gt; 10109000006   BOT CLEARING   USD via OPICS 1081347    DORMANTANZ   USD   TZS   2658.00000000   150000.0000</t>
  </si>
  <si>
    <t>428ZEXA26226003S</t>
  </si>
  <si>
    <t>CTZ00026226QWFP</t>
  </si>
  <si>
    <t>Outgoing Funds Transfer   14 AUG 26 01.14.04.022113 PM   OBDX from GATO NERO SAFARIS LIMITED  to MOIVARO INVESTMENT AND TRADING LTD  9120003358680. Remark: ANTONINO</t>
  </si>
  <si>
    <t>408ZEXA2622700SD</t>
  </si>
  <si>
    <t>CTZ00026227QX8N</t>
  </si>
  <si>
    <t>Outgoing Funds Transfer   15 AUG 26 09.34.14.936013 AM   OBDX from TAKE ME TO TANZANIA ADVENTURE AND SAFARIS LTD  to JP MORGAN CHASE BANK   826214244. Remark: Richard meals payment</t>
  </si>
  <si>
    <t>2026/08/17</t>
  </si>
  <si>
    <t>101u9eo262290001</t>
  </si>
  <si>
    <t>17 AUG 26 01.50.02.584449 PM =&gt; 10109000006   BOT CLEARING   USD via FLEXCUBE USD NET SETTLEMENT DD 04.08.2026</t>
  </si>
  <si>
    <t>249SBRN262290001</t>
  </si>
  <si>
    <t>GWX103386479339</t>
  </si>
  <si>
    <t>Outgoing Funds Transfer   17 AUG 26 11.34.24.538102 AM   SYBRIN from STEPHEN DAVID BGOYA  to SANLUM USD FIXED INCOME FUND COLLECTION ACCOUNT  0250913225001. Remark: 000021 002 1</t>
  </si>
  <si>
    <t>2011937262290014</t>
  </si>
  <si>
    <t xml:space="preserve">17 AUG 26 07.05.42.873273 PM =&gt; 10109000006   BOT CLEARING   USD via FLEXCUBE amount transfer as to pay control number 991099173333 ifo jimy usengimana due to the unsuccessful payments </t>
  </si>
  <si>
    <t>101uftd262290001</t>
  </si>
  <si>
    <t>17 AUG 26 01.50.02.595389 PM =&gt; 10109000006   BOT CLEARING   USD via FLEXCUBE NET SETTLEMENT  DD 06.08.2026</t>
  </si>
  <si>
    <t>428ZEXA26229000X</t>
  </si>
  <si>
    <t>CMD08B91BF096E</t>
  </si>
  <si>
    <t>Outgoing Funds Transfer   17 AUG 26 09.43.02.704950 AM   OBDX from KIWOITO AFRICA SAFARIS  to HERITAGE CAMPS AND LODGES   025044170300. Remark: OFER X6 Bal Aug 2026</t>
  </si>
  <si>
    <t>606SBRN262290001</t>
  </si>
  <si>
    <t>GWX103386547764</t>
  </si>
  <si>
    <t>Outgoing Funds Transfer   17 AUG 26 12.00.36.308756 PM   SYBRIN from VENANT GODFREY MAPUNDA  to ENHANCE AUTO(T) LTD  014 6005136. Remark: CAR  PURCHASE  UNITY 1  INVOICE NO.</t>
  </si>
  <si>
    <t>2026/08/18</t>
  </si>
  <si>
    <t>428ZEXA262300019</t>
  </si>
  <si>
    <t>TAPBTZTZ20260818090450787</t>
  </si>
  <si>
    <t>Incoming Funds Transfer on 18 AUG 26 10.19.09.604794 AM from CONSERVE IKOMA LIMITED at .  Remarks:  Flight</t>
  </si>
  <si>
    <t>248ZEXA2623000SC</t>
  </si>
  <si>
    <t>TAPBTZTZ20260818090428131</t>
  </si>
  <si>
    <t>Incoming Funds Transfer on 18 AUG 26 10.51.53.803923 AM from NOVA ESPERANCA SERVICES LTD at .  Remarks:  INTERNAL TRANSFER</t>
  </si>
  <si>
    <t>428ZEXA2623000XK</t>
  </si>
  <si>
    <t>TAPBTZTZ20260818163422046</t>
  </si>
  <si>
    <t>Incoming Funds Transfer on 18 AUG 26 04.35.18.469286 PM from AMSHAR SERENGETI ADVENTURE COMPANY LIMITED at .  Remarks:  Payment for Fabrizio</t>
  </si>
  <si>
    <t>428SBRN262300009</t>
  </si>
  <si>
    <t>000008382300</t>
  </si>
  <si>
    <t>Outgoing Funds Transfer   18 AUG 26 06.29.14.508746 PM   SYBRIN from SEEDLAND LIMITED  to QUALIBASIC SEED COMPANY LTD  9130001189283. Remark: PAYMENT FOR IMPORTED PARENT SEED T4</t>
  </si>
  <si>
    <t>225ZEXA26230001E</t>
  </si>
  <si>
    <t>ACTZ4039233597</t>
  </si>
  <si>
    <t>Outgoing Funds Transfer   18 AUG 26 11.04.26.711152 AM   OBDX from SEDACO AGRO TANZANIA LIMITED  to Access Bank Tanzania Limited  1010203125. Remark: FOREX DEAL</t>
  </si>
  <si>
    <t>101bos1262300002</t>
  </si>
  <si>
    <t>18 AUG 26 03.01.15.273810 PM =&gt; 10109000006   BOT CLEARING   USD via FLEXCUBE REVERSAL OF TRN  000008336826 dd260718 Rsn As per recall from stanbic</t>
  </si>
  <si>
    <t>403ZEXA26230002N</t>
  </si>
  <si>
    <t>TAPBTZTZ20260818163439779</t>
  </si>
  <si>
    <t>Incoming Funds Transfer on 18 AUG 26 04.35.20.818705 PM from AMSHAR SERENGETI ADVENTURE COMPANY LIMITED at .  Remarks:  Payment for Eldar</t>
  </si>
  <si>
    <t>408ZEXA2623000UL</t>
  </si>
  <si>
    <t>TAPBTZTZ20260818120027596</t>
  </si>
  <si>
    <t>Incoming Funds Transfer on 18 AUG 26 12.12.05.250718 PM from MASAI GIRAFFE SAFARIS LIMITED at .  Remarks:  operations</t>
  </si>
  <si>
    <t>248ZEXA2623000SR</t>
  </si>
  <si>
    <t>TAPBTZTZ20260818120117990</t>
  </si>
  <si>
    <t>Incoming Funds Transfer on 18 AUG 26 12.38.49.528796 PM from WESLEY WERASIMBO LEMA at .  Remarks:  refund to Bill</t>
  </si>
  <si>
    <t>403ZEXA2623000V9</t>
  </si>
  <si>
    <t>ACTZ6102430537</t>
  </si>
  <si>
    <t>Outgoing Funds Transfer   18 AUG 26 07.31.32.669205 PM   OBDX from ALTEZZA TRAVELLING LIMITED  to Zawadi Luxury Camps Limited  7036385522. Remark: Minal Kalola</t>
  </si>
  <si>
    <t>432ZEXA26230000H</t>
  </si>
  <si>
    <t>RETN08181201569</t>
  </si>
  <si>
    <t xml:space="preserve">Outgoing Funds Transfer   18 AUG 26 11.36.43.590586 AM   OBDX from WILD PRIDE SAFARIS COMPANY LIMITED  to STARFISH TOURS   TRAVEL LIMITED  3014211722487. Remark: TZWG LUCY AND GRAHAM </t>
  </si>
  <si>
    <t>101vb6t262300002</t>
  </si>
  <si>
    <t>18 AUG 26 01.24.20.970276 PM =&gt; 10109000006   BOT CLEARING   USD via UPLOAD net settlement from 7 th AUG to 17 th Aug 2026</t>
  </si>
  <si>
    <t>428ZEXA2623000XL</t>
  </si>
  <si>
    <t>TAPBTZTZ20260818163526435</t>
  </si>
  <si>
    <t>Incoming Funds Transfer on 18 AUG 26 04.35.51.968034 PM from AMSHAR SERENGETI ADVENTURE COMPANY LIMITED at .  Remarks:  Payment for Alisa Dunaeva</t>
  </si>
  <si>
    <t>101sett262300005</t>
  </si>
  <si>
    <t>18 AUG 26 12.46.49.680725 PM =&gt; 10109000006   BOT CLEARING   USD via FLEXCUBE 239BCIU262160001</t>
  </si>
  <si>
    <t>235SBRN262300002</t>
  </si>
  <si>
    <t>GWX103389158764</t>
  </si>
  <si>
    <t>Outgoing Funds Transfer   18 AUG 26 02.46.20.642337 PM   SYBRIN from MARKCELIN JOSEPH GAMA  to REHEMA ELIEZA MLAWA  3391538554. Remark: PESA ZAKUVUSHA GARI</t>
  </si>
  <si>
    <t>428ZEXA26230006L</t>
  </si>
  <si>
    <t>TAPBTZTZ20260818163554939</t>
  </si>
  <si>
    <t>Incoming Funds Transfer on 18 AUG 26 04.36.13.253359 PM from AMSHAR SERENGETI ADVENTURE COMPANY LIMITED at .  Remarks:  Payment for Kerry</t>
  </si>
  <si>
    <t>2026/08/19</t>
  </si>
  <si>
    <t>101tre1262310122</t>
  </si>
  <si>
    <t>19 AUG 26 05.27.39.436436 PM =&gt; 10109000006   BOT CLEARING   USD via FLEXCUBE DEAL NO 0120118260152022</t>
  </si>
  <si>
    <t>101upe1262310006</t>
  </si>
  <si>
    <t>19 AUG 26 02.21.26.395920 PM =&gt; 10109000006   BOT CLEARING   USD via FLEXCUBE lRevesal of transaction  HZ1JUS67RARA08F2  dd31072026 RSN as per recall</t>
  </si>
  <si>
    <t>101o084262310001</t>
  </si>
  <si>
    <t>19 AUG 26 07.27.21.348981 PM =&gt; 10109000006   BOT CLEARING   USD via OPICS 1081408    JIANGXI      USD   TZS   2656.00000000   100000.0000</t>
  </si>
  <si>
    <t>101upe1262310009</t>
  </si>
  <si>
    <t xml:space="preserve">19 AUG 26 02.21.26.349816 PM =&gt; 10109000006   BOT CLEARING   USD via FLEXCUBE RTN  260806T000566385 625IBOT262120501    dd31072026 RSN Intenal policy </t>
  </si>
  <si>
    <t>2026/08/20</t>
  </si>
  <si>
    <t>101o021262320001</t>
  </si>
  <si>
    <t>20 AUG 26 07.03.21.978845 PM =&gt; 10109000006   BOT CLEARING   USD via OPICS 2011937    AZANIA</t>
  </si>
  <si>
    <t>101o106262320001</t>
  </si>
  <si>
    <t>20 AUG 26 07.04.09.437822 PM =&gt; 10109000006   BOT CLEARING   USD via OPICS 2011898    AZANIA</t>
  </si>
  <si>
    <t>101nas5262320004</t>
  </si>
  <si>
    <t>20 AUG 26 09.02.49.002296 PM =&gt; 10109000006   BOT CLEARING   USD via FLEXCUBE 2622639357420000</t>
  </si>
  <si>
    <t>2026/08/21</t>
  </si>
  <si>
    <t>101o073262330001</t>
  </si>
  <si>
    <t>21 AUG 26 06.19.33.609547 PM =&gt; 10109000006   BOT CLEARING   USD via OPICS 2011900    AZANIA</t>
  </si>
  <si>
    <t>249ZEXA2623300S9</t>
  </si>
  <si>
    <t>16082179C56F</t>
  </si>
  <si>
    <t xml:space="preserve">Return of Inbound Payment   21 AUG 26 05.04.55.929322 PM   DUPLICATE ENTRY   TISS/RTN/26/1110 </t>
  </si>
  <si>
    <t>2026/08/23</t>
  </si>
  <si>
    <t>2026/08/22</t>
  </si>
  <si>
    <t>408ZEXA26234004K</t>
  </si>
  <si>
    <t>230822E2CCF1</t>
  </si>
  <si>
    <t>54e2406d-48fa-49a6-bae4-be30a5f6480c</t>
  </si>
  <si>
    <t>Outgoing Funds Transfer   23 AUG 26 06.58.09.069039 AM   OBDX from KILIMANJARO SKY LIMITED  to TWIGA LODGE AND CAMPSITES  0250229602700. Remark: DOMENICO 4 KILI SKY</t>
  </si>
  <si>
    <t>403ZEXA26234003E</t>
  </si>
  <si>
    <t>2308E2E12E5B</t>
  </si>
  <si>
    <t>e9cdf530-34d9-4555-89b4-ed8a24124dcc</t>
  </si>
  <si>
    <t xml:space="preserve">Outgoing Funds Transfer   23 AUG 26 04.33.39.408200 AM   OBDX from MILES TO SMILE COMPANY LTD  to MAWE LODGES T LIMITED  0250401740600. Remark: </t>
  </si>
  <si>
    <t>403ZEXA2623400UZ</t>
  </si>
  <si>
    <t>2308DF69610A</t>
  </si>
  <si>
    <t>921d3297-826c-459b-a2dd-adfdbf067fbb</t>
  </si>
  <si>
    <t xml:space="preserve">Outgoing Funds Transfer   23 AUG 26 04.51.47.541776 AM   OBDX from MILES TO SMILE COMPANY LTD  to MRIMBA PALM HOTEL  0252395470000. Remark: </t>
  </si>
  <si>
    <t>2026/08/24</t>
  </si>
  <si>
    <t>201ZEXA26233015X</t>
  </si>
  <si>
    <t>201BCIS262330001</t>
  </si>
  <si>
    <t>101ZEXA2623600SR</t>
  </si>
  <si>
    <t>2623631335144000</t>
  </si>
  <si>
    <t>1e78f064-6809-4888-a01a-7a3e4436192c</t>
  </si>
  <si>
    <t>Outgoing Funds Transfer   24 AUG 26 10.18.06.570370 AM   MANL from AIR TANZANIA COMPANY LIMITED  to AIR TANZANIA COMPANY LTD  9925262331. Remark: //ROC/TRANSFER TO BOT</t>
  </si>
  <si>
    <t>101vtlw262360002</t>
  </si>
  <si>
    <t>24 AUG 26 06.18.20.568316 PM =&gt; 10109000006   BOT CLEARING   USD via UPLOAD NET SETTLEMENT DD 24.08.2026</t>
  </si>
  <si>
    <t>101o017262360001</t>
  </si>
  <si>
    <t>24 AUG 26 06.52.21.035988 PM =&gt; 10109000006   BOT CLEARING   USD via OPICS 2011914    NBCTZ</t>
  </si>
  <si>
    <t>101o105262360001</t>
  </si>
  <si>
    <t>24 AUG 26 06.53.08.784786 PM =&gt; 10109000006   BOT CLEARING   USD via OPICS 1081498    F020983385   USD   TZS   2658.00000000    950000.0000</t>
  </si>
  <si>
    <t>101o106262360001</t>
  </si>
  <si>
    <t>24 AUG 26 06.53.09.253192 PM =&gt; 10109000006   BOT CLEARING   USD via OPICS 2011955    NBCTZ</t>
  </si>
  <si>
    <t>2026/08/26</t>
  </si>
  <si>
    <t>101o047262380001</t>
  </si>
  <si>
    <t>26 AUG 26 07.47.33.070272 PM =&gt; 10109000006   BOT CLEARING   USD via OPICS 1081527    LAKEOIL      USD   TZS   2659.00000000    1000000.0000</t>
  </si>
  <si>
    <t>101o060262380001</t>
  </si>
  <si>
    <t>26 AUG 26 07.47.38.646993 PM =&gt; 10109000006   BOT CLEARING   USD via OPICS 1081514    F004886165   USD   TZS   2656.00000000    300000.0000</t>
  </si>
  <si>
    <t>101o033262380001</t>
  </si>
  <si>
    <t>26 AUG 26 07.47.25.848508 PM =&gt; 10109000006   BOT CLEARING   USD via OPICS 1081511    F006296259   USD   TZS   2658.00000000    110000.0000</t>
  </si>
  <si>
    <t>101upe1262380002</t>
  </si>
  <si>
    <t>26 AUG 26 11.13.57.827660 AM =&gt; 10109000006   BOT CLEARING   USD via FLEXCUBE SETTLEMENT DD 20.08.2026</t>
  </si>
  <si>
    <t>101olm4262380003</t>
  </si>
  <si>
    <t>26 AUG 26 12.03.24.927607 PM =&gt; 10109000006   BOT CLEARING   USD via FLEXCUBE 311BCIU262170001</t>
  </si>
  <si>
    <t>101vyhh262380002</t>
  </si>
  <si>
    <t>26 AUG 26 04.16.20.496831 PM =&gt; 10109000006   BOT CLEARING   USD via UPLOAD NET SETTLEMENT DD  26.08.2026</t>
  </si>
  <si>
    <t>101olm4262380006</t>
  </si>
  <si>
    <t>26 AUG 26 12.03.24.930947 PM =&gt; 10109000006   BOT CLEARING   USD via FLEXCUBE PAYMENT FOR LC NO.311LC04261670001</t>
  </si>
  <si>
    <t>101o075262380001</t>
  </si>
  <si>
    <t>26 AUG 26 07.47.45.480567 PM =&gt; 10109000006   BOT CLEARING   USD via OPICS 1081526    F345967991   USD   TZS   2648.00000000   3340000.0000</t>
  </si>
  <si>
    <t>101olm4262380001</t>
  </si>
  <si>
    <t>26 AUG 26 12.03.24.915794 PM =&gt; 10109000006   BOT CLEARING   USD via FLEXCUBE 311BCIU262190501</t>
  </si>
  <si>
    <t>2026/08/27</t>
  </si>
  <si>
    <t>101o048262390001</t>
  </si>
  <si>
    <t>27 AUG 26 06.14.58.784700 PM =&gt; 10109000006   BOT CLEARING   USD via OPICS 2011955    NBCTZ</t>
  </si>
  <si>
    <t>101nku0262390003</t>
  </si>
  <si>
    <t>27 AUG 26 06.03.03.172919 PM =&gt; 10109000006   BOT CLEARING   USD via FLEXCUBE RTN  GWX103388580696  2623005739579000 dd260818  Rsn Invalid account</t>
  </si>
  <si>
    <t>248ZEXA2623900TN</t>
  </si>
  <si>
    <t>TAPBTZTZ20260827174021562</t>
  </si>
  <si>
    <t>Incoming Funds Transfer on 27 AUG 26 05.41.23.913108 PM Sender's Ref: 490IBT2608270109OCKU6U  NOVA ESPERANCA SERVICES LTD  490428000004  Remarks: INTERNAL TRANSFER</t>
  </si>
  <si>
    <t>101o019262390001</t>
  </si>
  <si>
    <t>27 AUG 26 06.14.46.250342 PM =&gt; 10109000006   BOT CLEARING   USD via OPICS 1081543    LAKEOIL      USD   TZS   2658.00000000    2000000.0000</t>
  </si>
  <si>
    <t>101o060262390001</t>
  </si>
  <si>
    <t>27 AUG 26 06.15.04.541457 PM =&gt; 10109000006   BOT CLEARING   USD via OPICS 1081533    F006296259   USD   TZS   2658.00000000    110000.0000</t>
  </si>
  <si>
    <t>101w3fn262390002</t>
  </si>
  <si>
    <t>27 AUG 26 07.54.19.252071 PM =&gt; 10109000006   BOT CLEARING   USD via UPLOAD NET SETTLEMENT DD 27.08.2026</t>
  </si>
  <si>
    <t>101o061262390001</t>
  </si>
  <si>
    <t>27 AUG 26 06.15.04.975828 PM =&gt; 10109000006   BOT CLEARING   USD via OPICS 2011976    NBCTZ</t>
  </si>
  <si>
    <t>101o047262390001</t>
  </si>
  <si>
    <t>27 AUG 26 06.14.58.329229 PM =&gt; 10109000006   BOT CLEARING   USD via OPICS 1081546    MTIBWASUGA   USD   TZS   2659.00000000    127000.0000</t>
  </si>
  <si>
    <t>101ewq2262390005</t>
  </si>
  <si>
    <t>27 AUG 26 01.35.56.599692 PM =&gt; 10109000006   BOT CLEARING   USD via FLEXCUBE COMMISSION FOR GUARANTEE REF NO. CQ002LG000029000/CQ002LG000028900/CQ002LG000033500/CQ002LG000034600 OUR REF NO. 101GUFC253350001/101GUFC253360001/101GUFC261420001/101GUFC261420501 CHONGQING</t>
  </si>
  <si>
    <t>101nku0262390005</t>
  </si>
  <si>
    <t>27 AUG 26 06.03.03.209495 PM =&gt; 10109000006   BOT CLEARING   USD via FLEXCUBE RTN  000008338395  206IBOT262010501 dd260720  Rsn Wrong account</t>
  </si>
  <si>
    <t>101o020262390001</t>
  </si>
  <si>
    <t>27 AUG 26 06.14.46.686793 PM =&gt; 10109000006   BOT CLEARING   USD via OPICS 2011937    AZANIA</t>
  </si>
  <si>
    <t>2026/08/28</t>
  </si>
  <si>
    <t>101o030262400001</t>
  </si>
  <si>
    <t>28 AUG 26 06.14.15.953156 PM =&gt; 10109000006   BOT CLEARING   USD via OPICS 1081550    F008337233   USD   TZS   2654.17000000   1450000.0000</t>
  </si>
  <si>
    <t>101SEN2262400008</t>
  </si>
  <si>
    <t>28 AUG 26 07.18.01.854217 PM =&gt; 10109000006   BOT CLEARING   USD via FLEXCUBE 201BCIU262300502</t>
  </si>
  <si>
    <t>101o060262400001</t>
  </si>
  <si>
    <t>28 AUG 26 06.14.30.577734 PM =&gt; 10109000006   BOT CLEARING   USD via OPICS 1081568    F006438813   USD   TZS   2660.00000000   1219399.0000</t>
  </si>
  <si>
    <t>101SEN1262400002</t>
  </si>
  <si>
    <t>28 AUG 26 07.03.32.118847 PM =&gt; 10109000006   BOT CLEARING   USD via FLEXCUBE 311BCIU262300001</t>
  </si>
  <si>
    <t>101o029262400001</t>
  </si>
  <si>
    <t>28 AUG 26 06.14.15.481169 PM =&gt; 10109000006   BOT CLEARING   USD via OPICS 1081567    F006438813   USD   TZS   2655.00000000   220000.0000</t>
  </si>
  <si>
    <t>101o028262400001</t>
  </si>
  <si>
    <t>28 AUG 26 06.14.15.011290 PM =&gt; 10109000006   BOT CLEARING   USD via OPICS 1081569    F006438813   USD   TZS   2600.00000000    220000.0000</t>
  </si>
  <si>
    <t>101SEN2262400002</t>
  </si>
  <si>
    <t>28 AUG 26 07.18.01.850729 PM =&gt; 10109000006   BOT CLEARING   USD via FLEXCUBE 311BCIU262300002</t>
  </si>
  <si>
    <t>101o076262400001</t>
  </si>
  <si>
    <t>28 AUG 26 06.14.38.312419 PM =&gt; 10109000006   BOT CLEARING   USD via OPICS 1081570    F006438813   USD   TZS   2600.00000000    1219399.0000</t>
  </si>
  <si>
    <t>101SEN2262400006</t>
  </si>
  <si>
    <t>28 AUG 26 07.18.01.848478 PM =&gt; 10109000006   BOT CLEARING   USD via FLEXCUBE 311BCIU262300501</t>
  </si>
  <si>
    <t>222SBRN2624000RU</t>
  </si>
  <si>
    <t>GWX103420471437</t>
  </si>
  <si>
    <t xml:space="preserve">Outgoing Funds Transfer   28 AUG 26 06.38.18.947463 PM   SYBRIN from DAR ES SALAAM GLASS WORKS LTD  to DARESSALAAM GLASS WORK LTD  22510052003. Remark: BANK TO BANK </t>
  </si>
  <si>
    <t>1011qaz262400001</t>
  </si>
  <si>
    <t>28 AUG 26 06.27.02.301679 PM =&gt; 10109000006   BOT CLEARING   USD via FLEXCUBE COMMISSION FOR GUARANTEE REF NO. LGC0110202400143 OUR REF NO. 101GUFC240810502</t>
  </si>
  <si>
    <t>101SEN2262400004</t>
  </si>
  <si>
    <t>28 AUG 26 07.18.01.855977 PM =&gt; 10109000006   BOT CLEARING   USD via FLEXCUBE 311BCIU262300003</t>
  </si>
  <si>
    <t>1011qaz262400005</t>
  </si>
  <si>
    <t>28 AUG 26 06.27.02.281816 PM =&gt; 10109000006   BOT CLEARING   USD via FLEXCUBE COMMISSION FOR GUARANTEE REF NO. LGC0110202400144 OUR REF NO. 101GUFC240810001</t>
  </si>
  <si>
    <t>101w7bg262400002</t>
  </si>
  <si>
    <t>28 AUG 26 07.48.19.791408 PM =&gt; 10109000006   BOT CLEARING   USD via UPLOAD NET SETTLEMENT DD 28.08.2026</t>
  </si>
  <si>
    <t>1011qaz262400003</t>
  </si>
  <si>
    <t>28 AUG 26 06.27.02.296478 PM =&gt; 10109000006   BOT CLEARING   USD via FLEXCUBE COMMISSION FOR GUARANTEE REF NO. LGC0110202400141 OUR REF NO. 101GUFC240810501</t>
  </si>
  <si>
    <t>101o043262400001</t>
  </si>
  <si>
    <t>28 AUG 26 06.14.22.419464 PM =&gt; 10109000006   BOT CLEARING   USD via OPICS 1081549    AIRTEL       USD   TZS   2658.00000000    1000000.0000</t>
  </si>
  <si>
    <t>2026/08/29</t>
  </si>
  <si>
    <t>311ZEXA2621901JL</t>
  </si>
  <si>
    <t>311BCIU262190004</t>
  </si>
  <si>
    <t>101w9t2262410002</t>
  </si>
  <si>
    <t>29 AUG 26 02.48.19.400128 PM =&gt; 10109000006   BOT CLEARING   USD via UPLOAD NET SETTELEMENT  DD 29.08.2026</t>
  </si>
  <si>
    <t>2026/08/31</t>
  </si>
  <si>
    <t>101o064262430001</t>
  </si>
  <si>
    <t>31 AUG 26 07.21.53.313105 PM =&gt; 10109000006   BOT CLEARING   USD via OPICS 1081602    MTIBWASUGA   USD   TZS   2657.00000000    88500.0000</t>
  </si>
  <si>
    <t>101wfo5262430002</t>
  </si>
  <si>
    <t>31 AUG 26 05.34.19.413933 PM =&gt; 10109000006   BOT CLEARING   USD via UPLOAD USD NET SETTLEMENT AS AT 31.08.2026</t>
  </si>
  <si>
    <t>101o065262430001</t>
  </si>
  <si>
    <t>31 AUG 26 07.21.53.752184 PM =&gt; 10109000006   BOT CLEARING   USD via OPICS 1081590    LAKEOIL      USD   TZS   2657.00000000    1500000.0000</t>
  </si>
  <si>
    <t>250SBRN2624300RT</t>
  </si>
  <si>
    <t>GWX103427553075</t>
  </si>
  <si>
    <t>Outgoing Funds Transfer   31 AUG 26 12.36.20.581131 PM   SYBRIN from HUNAN CONSTRUCTION ENGINEERING GROUP COMPANY LIMITED  to HUNAN CON ENGINEERING CO LTD  24110002695. Remark: INTERNAL</t>
  </si>
  <si>
    <t>101o050262430001</t>
  </si>
  <si>
    <t>31 AUG 26 07.11.00.821634 PM =&gt; 10109000006   BOT CLEARING   USD via OPICS 1081601    MTIBWASUGA   USD   TZS   2657.00000000    24300.0000</t>
  </si>
  <si>
    <t>201ZEXA26230002F</t>
  </si>
  <si>
    <t>201BCIU262300001</t>
  </si>
  <si>
    <t>101o051262430001</t>
  </si>
  <si>
    <t>31 AUG 26 07.11.01.311918 PM =&gt; 10109000006   BOT CLEARING   USD via OPICS 1081581    F058120070   USD   TZS   2655.00000000    1500000.0000</t>
  </si>
  <si>
    <t>2026/09/01</t>
  </si>
  <si>
    <t>101o041262440001</t>
  </si>
  <si>
    <t>01 SEP 26 05.47.17.737270 PM =&gt; 10109000006   BOT CLEARING   USD via OPICS 1081612    SELCOM       USD   TZS   2647.00000000   300000.0000</t>
  </si>
  <si>
    <t>101wips262440002</t>
  </si>
  <si>
    <t>01 SEP 26 04.00.19.215051 PM =&gt; 10109000006   BOT CLEARING   USD via UPLOAD USD NET SETTLEMENT AS AT 01.09.2026</t>
  </si>
  <si>
    <t>201ZEXA2624400SE</t>
  </si>
  <si>
    <t>TAPBTZTZ20260901085036385</t>
  </si>
  <si>
    <t>Incoming Funds Transfer on 01 SEP 26 08.50.53.536405 AM Sender's Ref: 171IBT2608312802LTZXBA  ELIZABETH JOHN MBOMBO  171225000003  Remarks: transport</t>
  </si>
  <si>
    <t>201ZEXA2623600VR</t>
  </si>
  <si>
    <t>201BCIU262360501</t>
  </si>
  <si>
    <t>2026/09/02</t>
  </si>
  <si>
    <t>101o076262450001</t>
  </si>
  <si>
    <t>02 SEP 26 07.13.45.200954 PM =&gt; 10109000006   BOT CLEARING   USD via OPICS 1081619    F006030502   USD   TZS   2655.00000000    200000.0000</t>
  </si>
  <si>
    <t>408ZEXA26245008O</t>
  </si>
  <si>
    <t>0209234DE799</t>
  </si>
  <si>
    <t>Outgoing Funds Transfer   02 SEP 26 05.11.05.658710 PM   OBDX from AFRICA TRAVEL BUREAU LTD  to ZENITH TOURS AND TRAVEL LTD  0038000381. Remark: KNODLER</t>
  </si>
  <si>
    <t>432ZEXA2624500RZ</t>
  </si>
  <si>
    <t>TAPBTZTZ20260902082646042</t>
  </si>
  <si>
    <t>Incoming Funds Transfer on 02 SEP 26 08.27.30.002304 AM Sender's Ref: 213IBT26090241237QVJJD  ENDUIMET ADVENTURE SAFARIS LIMITED  213428000006  Remarks: CAR HIRE</t>
  </si>
  <si>
    <t>101o064262450001</t>
  </si>
  <si>
    <t>02 SEP 26 07.13.39.230126 PM =&gt; 10109000006   BOT CLEARING   USD via OPICS 1081621    LAKEOIL      USD   TZS   2655.00000000    1000000.0000</t>
  </si>
  <si>
    <t>241ZEXA2624500S7</t>
  </si>
  <si>
    <t>TAPBTZTZ20260902082258069</t>
  </si>
  <si>
    <t>Incoming Funds Transfer on 02 SEP 26 08.23.30.425532 AM Sender's Ref: 130IBT2609012544ZNE3FJ  SILVER INTERTRADE LIMITED  130428000015  Remarks: Container Loss and Damage</t>
  </si>
  <si>
    <t>201ZEXA2624300XB</t>
  </si>
  <si>
    <t>201BCIS262430003</t>
  </si>
  <si>
    <t>2026/09/03</t>
  </si>
  <si>
    <t>101wquj262460002</t>
  </si>
  <si>
    <t>03 SEP 26 06.58.20.850115 PM =&gt; 10109000006   BOT CLEARING   USD via UPLOAD NET SETTLEMENT FOR USD DD 03.09.2026</t>
  </si>
  <si>
    <t>101103k262460071</t>
  </si>
  <si>
    <t>03 SEP 26 05.29.58.265630 PM =&gt; 10109000006   BOT CLEARING   USD via FLEXCUBE NMBFUN0109026/01</t>
  </si>
  <si>
    <t>101o047262460001</t>
  </si>
  <si>
    <t>03 SEP 26 06.10.40.680294 PM =&gt; 10109000006   BOT CLEARING   USD via OPICS 1081654    PANAFRICAN   USD   TZS   2653.00000000    3000000.0000</t>
  </si>
  <si>
    <t>101gon2262460011</t>
  </si>
  <si>
    <t>03 SEP 26 06.01.39.404362 PM =&gt; 10109000006   BOT CLEARING   USD via FLEXCUBE RTN P260831C00001755 2624321753038000 dd260831  Rsn Restricted forex application</t>
  </si>
  <si>
    <t>101SES8262460002</t>
  </si>
  <si>
    <t xml:space="preserve">03 SEP 26 07.52.50.331517 PM =&gt; 10109000006   BOT CLEARING   USD via FLEXCUBE 223LC02253110001/223BCIU262120001 </t>
  </si>
  <si>
    <t>101o018262460001</t>
  </si>
  <si>
    <t>03 SEP 26 06.10.21.471914 PM =&gt; 10109000006   BOT CLEARING   USD via OPICS 1081665    F006784076   USD   TZS   2630.00000000   3000000.0000</t>
  </si>
  <si>
    <t>101o017262460001</t>
  </si>
  <si>
    <t>03 SEP 26 06.10.20.869549 PM =&gt; 10109000006   BOT CLEARING   USD via OPICS 1081651    LAKEOIL      USD   TZS   2653.00000000    1000000.0000</t>
  </si>
  <si>
    <t>428ZEXA26246002Q</t>
  </si>
  <si>
    <t>TAPBTZTZ20260903111208921</t>
  </si>
  <si>
    <t>Incoming Funds Transfer on 03 SEP 26 11.13.51.648861 AM Sender's Ref: 213IBT2609035231HDVWYH  AMSHAR SERENGETI ADVENTURE COMPANY LIMITED  213428000005  Remarks: Payment for Outstanding</t>
  </si>
  <si>
    <t>101jos1262460006</t>
  </si>
  <si>
    <t xml:space="preserve">03 SEP 26 10.53.17.027582 AM =&gt; 10109000006   BOT CLEARING   USD via FLEXCUBE REVESAL OF ENTITY  R90FXSP262400003  dd260828  Rsn AS per customer request </t>
  </si>
  <si>
    <t>101wou2262460002</t>
  </si>
  <si>
    <t>03 SEP 26 11.18.20.570132 AM =&gt; 10109000006   BOT CLEARING   USD via UPLOAD USD NET SETTLEMENT AS AT 02.09.2026</t>
  </si>
  <si>
    <t>2026/09/04</t>
  </si>
  <si>
    <t>428ZEXA2624700XI</t>
  </si>
  <si>
    <t>TAPBTZTZ20260904152727110</t>
  </si>
  <si>
    <t>Incoming Funds Transfer on 04 SEP 26 03.28.19.155694 PM Sender's Ref: 213IBT2609044528JVRVV8  AMSHAR SERENGETI ADVENTURE COMPANY LIMITED  213428000005  Remarks: Payment for Dennis</t>
  </si>
  <si>
    <t>530SBRN262470001</t>
  </si>
  <si>
    <t>CTZ000262471714</t>
  </si>
  <si>
    <t>Outgoing Funds Transfer   04 SEP 26 02.28.25.586436 PM   SYBRIN from SUZAN THOMPSON BUFFET FOUNDATION  to AOSIS PTY LTD  9206073585. Remark: AUTHORS FEES JAHIA FULL APC SUPPORT</t>
  </si>
  <si>
    <t>101um01262470002</t>
  </si>
  <si>
    <t>04 SEP 26 05.30.02.220373 PM =&gt; 10109000006   BOT CLEARING   USD via FLEXCUBE Reversal of duplicate payment dd 05.08.26 and 09.08.26 Ref. CMRTG26217000847</t>
  </si>
  <si>
    <t>101o034262470001</t>
  </si>
  <si>
    <t>04 SEP 26 06.15.28.072879 PM =&gt; 10109000006   BOT CLEARING   USD via OPICS 1081681    OCPTANZAN    USD   TZS   2655.00000000    500000.0000</t>
  </si>
  <si>
    <t>101wsxa262470002</t>
  </si>
  <si>
    <t>04 SEP 26 03.24.19.946470 PM =&gt; 10109000006   BOT CLEARING   USD via UPLOAD NET SETTLEMENT FOR USD DD 04.09.2026</t>
  </si>
  <si>
    <t>201ZEXA2624606YI</t>
  </si>
  <si>
    <t>201BCIS262461001</t>
  </si>
  <si>
    <t>101o074262470001</t>
  </si>
  <si>
    <t>04 SEP 26 06.15.53.509749 PM =&gt; 10109000006   BOT CLEARING   USD via OPICS 1081678    LAKEOIL      USD   TZS   2653.00000000    1000000.0000</t>
  </si>
  <si>
    <t>241ZEXA2624602C5</t>
  </si>
  <si>
    <t>TAPBTZTZ20260904082315048</t>
  </si>
  <si>
    <t>Incoming Funds Transfer on 04 SEP 26 08.23.41.549456 AM Sender's Ref: 130IBT260902385275MXBV  SILVER INTERTRADE LIMITED  130428000015  Remarks: Container loss and damage</t>
  </si>
  <si>
    <t>101o063262470001</t>
  </si>
  <si>
    <t>04 SEP 26 06.15.46.933829 PM =&gt; 10109000006   BOT CLEARING   USD via OPICS 1081687    F381302952   USD   TZS   2645.00000000   134990.0000</t>
  </si>
  <si>
    <t>226ZEXA2624702FB</t>
  </si>
  <si>
    <t>04091B1A2481</t>
  </si>
  <si>
    <t>Outgoing Funds Transfer   04 SEP 26 04.10.51.419720 PM   OBDX from IBEX LOGISTICS LIMITED  to NYOTA TANZANIA LIMITED  100269056. Remark: BL 274475451   INV 7626323933.</t>
  </si>
  <si>
    <t>530SBRN262470002</t>
  </si>
  <si>
    <t>GWX103439456349</t>
  </si>
  <si>
    <t xml:space="preserve">Return of Inbound Payment   04 SEP 26 05.29.29.988655 PM      4CTZ000262471714 </t>
  </si>
  <si>
    <t>101o046262470001</t>
  </si>
  <si>
    <t>04 SEP 26 06.15.36.533216 PM =&gt; 10109000006   BOT CLEARING   USD via OPICS 1081688    F381302952   USD   TZS   2600.00000000    134990.0000</t>
  </si>
  <si>
    <t>2026/09/05</t>
  </si>
  <si>
    <t>101ZEXA2624801NJ</t>
  </si>
  <si>
    <t>2621301947590077</t>
  </si>
  <si>
    <t>Outgoing Funds Transfer   05 SEP 26 11.14.28.090493 AM   SI from KAZI VIJANA NA WATU WENYE ULEMAVU  to KATIBU MKUU KAZI  VIJANA  AJIRA NA  9932447051. Remark: /ROC/TRANSFER</t>
  </si>
  <si>
    <t>101ZEXA2624801GL</t>
  </si>
  <si>
    <t>2621301947590250</t>
  </si>
  <si>
    <t>Outgoing Funds Transfer   05 SEP 26 11.25.58.604999 AM   SI from UHAMIAJI ZANZIBAR  to KATIBU MKUU WIZARA YA FEDHA  0400762000. Remark: /ROC/TRANSFER</t>
  </si>
  <si>
    <t>101ZEXA2624800GP</t>
  </si>
  <si>
    <t>2621301947590044</t>
  </si>
  <si>
    <t>Outgoing Funds Transfer   05 SEP 26 10.08.20.231354 AM   SI from IMMIGRATION REVENUE COLLECTION ACCO  to IMMIGRATION RECURRENT REVENUE  9932447751. Remark: /ROC/TRANSFER</t>
  </si>
  <si>
    <t>101ZEXA26248014M</t>
  </si>
  <si>
    <t>Outgoing Funds Transfer   05 SEP 26 10.13.38.943131 AM   SI from IMMIGRATION REVENUE COLLECTION ACCO  to IMMIGRATION RECURRENT REVENUE  9932447751. Remark: /ROC/TRANSFER</t>
  </si>
  <si>
    <t>101x0i1262480002</t>
  </si>
  <si>
    <t>05 SEP 26 01.56.19.743242 PM =&gt; 10109000006   BOT CLEARING   USD via UPLOAD NET SETTLEMENT FOR USD DD 05.09.2026</t>
  </si>
  <si>
    <t>101ZEXA2624801G1</t>
  </si>
  <si>
    <t>Outgoing Funds Transfer   05 SEP 26 11.24.33.805578 AM   SI from UHAMIAJI ZANZIBAR  to KATIBU MKUU WIZARA YA FEDHA  0400762000. Remark: /ROC/TRANSFER</t>
  </si>
  <si>
    <t>101ZEXA26248014L</t>
  </si>
  <si>
    <t>Outgoing Funds Transfer   05 SEP 26 10.13.38.261458 AM   SI from IMMIGRATION REVENUE COLLECTION ACCO  to IMMIGRATION RECURRENT REVENUE  9932447751. Remark: /ROC/TRANSFER</t>
  </si>
  <si>
    <t>241ZEXA26248000I</t>
  </si>
  <si>
    <t>TAPBTZTZ20260905104040785</t>
  </si>
  <si>
    <t>Incoming Funds Transfer on 05 SEP 26 10.41.31.288307 AM Sender's Ref: 130IBT2609032942TZYQGN  SILVER INTERTRADE LIMITED  130428000015  Remarks: Container loss and damage</t>
  </si>
  <si>
    <t>101ZEXA2624801PQ</t>
  </si>
  <si>
    <t>Outgoing Funds Transfer   05 SEP 26 11.20.14.658027 AM   SI from KAZI VIJANA NA WATU WENYE ULEMAVU  to KATIBU MKUU KAZI  VIJANA  AJIRA NA  9932447051. Remark: /ROC/TRANSFER</t>
  </si>
  <si>
    <t>101ZEXA262480101</t>
  </si>
  <si>
    <t>Outgoing Funds Transfer   05 SEP 26 10.04.15.081743 AM   SI from IMMIGRATION REVENUE COLLECTION ACCO  to IMMIGRATION RECURRENT REVENUE  9932447751. Remark: /ROC/TRANSFER</t>
  </si>
  <si>
    <t>101jos2262480018</t>
  </si>
  <si>
    <t>05 SEP 26 12.27.10.157135 PM =&gt; 10109000006   BOT CLEARING   USD via FLEXCUBE REVERSAL OF ENTRY S486814/02 dd 260831 Rn as per recall</t>
  </si>
  <si>
    <t>101ZEXA2624801LZ</t>
  </si>
  <si>
    <t>Outgoing Funds Transfer   05 SEP 26 11.11.16.341360 AM   SI from KAZI VIJANA NA WATU WENYE ULEMAVU  to KATIBU MKUU KAZI  VIJANA  AJIRA NA  9932447051. Remark: /ROC/TRANSFER</t>
  </si>
  <si>
    <t>2026/09/07</t>
  </si>
  <si>
    <t>101ian3262500005</t>
  </si>
  <si>
    <t xml:space="preserve">07 SEP 26 04.39.51.113030 PM =&gt; 10109000006   BOT CLEARING   USD via FLEXCUBE RTN  P260813C00000503  2622011044128000   dd260808  Restricted forex application </t>
  </si>
  <si>
    <t>101FTIN262500023</t>
  </si>
  <si>
    <t>Account to Account Transfer  Incomming SWIFT   RTGSMX 07 SEP 26 08.01.17.048264 PM  101FTIN262500023   NSB  FINAL CAR NIGEL</t>
  </si>
  <si>
    <t>101o065262500001</t>
  </si>
  <si>
    <t>07 SEP 26 05.26.33.206391 PM =&gt; 10109000006   BOT CLEARING   USD via OPICS 1081720    F058120070   USD   TZS   2648.00000000    2000000.0000</t>
  </si>
  <si>
    <t>223ZEXA26250001H</t>
  </si>
  <si>
    <t>HABL20260907112956779</t>
  </si>
  <si>
    <t>Incoming Funds Transfer on 07 SEP 26 12.30.00.613293 PM Sender's Ref: AGB/TT/191/26  PALM SWIFT T LIMITED  000200011200011  Remarks: SHIPPING LINE AKKNVA26042219</t>
  </si>
  <si>
    <t>219ZEXA262500001</t>
  </si>
  <si>
    <t>2609072609000011</t>
  </si>
  <si>
    <t>Incoming Funds Transfer on 07 SEP 26 10.33.20.564383 AM Sender's Ref: T0107092697013  A CLASS MARBLE TANZANIA PRIVAT  96010200001463  Remarks: FUND TRANSFER TO NMB ACCOUNT</t>
  </si>
  <si>
    <t>208ZEXA2625001JR</t>
  </si>
  <si>
    <t>GPS-20260907BKIDTZTZP000463</t>
  </si>
  <si>
    <t>Incoming Funds Transfer on 07 SEP 26 05.48.54.832986 PM Sender's Ref: 3602ITT11/06660  SREE KRISHNA CARGO LIMITED  36022020000354  Remarks: TRANSPORT CHRGS FOR SOLICOMANGANESE6 TRUCKS 166 M TONS</t>
  </si>
  <si>
    <t>101o079262500001</t>
  </si>
  <si>
    <t>07 SEP 26 05.26.41.428081 PM =&gt; 10109000006   BOT CLEARING   USD via OPICS 1081697    FINCA        USD   TZS   2665.00000000    259028.3400</t>
  </si>
  <si>
    <t>101o034262500001</t>
  </si>
  <si>
    <t>07 SEP 26 05.26.14.359137 PM =&gt; 10109000006   BOT CLEARING   USD via OPICS 1081721    LAKEOIL      USD   TZS   2650.00000000    1000000.0000</t>
  </si>
  <si>
    <t>101x5kz262500002</t>
  </si>
  <si>
    <t>07 SEP 26 06.18.19.691660 PM =&gt; 10109000006   BOT CLEARING   USD via UPLOAD USD NET SETTLEMENT AS AT 07092026</t>
  </si>
  <si>
    <t>2026/09/08</t>
  </si>
  <si>
    <t>101gc01262510006</t>
  </si>
  <si>
    <t>08 SEP 26 07.35.14.946390 PM =&gt; 10109000006   BOT CLEARING   USD via FLEXCUBE SETTLEMENT LC REF 201LC02261740501</t>
  </si>
  <si>
    <t>101ano8262510003</t>
  </si>
  <si>
    <t>08 SEP 26 05.07.50.725787 PM =&gt; 10109000006   BOT CLEARING   USD via FLEXCUBE RTN  P260811C00002449  1108BD2437E2   dd260811  Rns Restricted forex application</t>
  </si>
  <si>
    <t>101ano8262510001</t>
  </si>
  <si>
    <t>08 SEP 26 05.07.50.723076 PM =&gt; 10109000006   BOT CLEARING   USD via FLEXCUBE RTN  DTB/1477/2026  2622624071787000   dd260815  Rns ACCOUNT NUMBER Invalid</t>
  </si>
  <si>
    <t>428ZEXA26251011X</t>
  </si>
  <si>
    <t>0809AC117A48</t>
  </si>
  <si>
    <t>Outgoing Funds Transfer   08 SEP 26 10.56.41.566828 PM   OBDX from THE WANDERER TANZANIA LIMITED  to Foresight Eco Lodge   Safari Ltd  045116000225. Remark: Daniel Allen</t>
  </si>
  <si>
    <t>101103v262510020</t>
  </si>
  <si>
    <t>08 SEP 26 05.42.38.901461 PM =&gt; 10109000006   BOT CLEARING   USD via FLEXCUBE TRE/070926/HR2</t>
  </si>
  <si>
    <t>408ZEXA2625102BI</t>
  </si>
  <si>
    <t>0809FBF9B7F4</t>
  </si>
  <si>
    <t xml:space="preserve">Outgoing Funds Transfer   08 SEP 26 11.03.11.327931 PM   OBDX from KEY2AFRICA TOURS AND SAFARIS LIMITED  to MIZINGANI SEA FRONT HOTEL LIMITED  0150013429. Remark: </t>
  </si>
  <si>
    <t>101FTIN262511318</t>
  </si>
  <si>
    <t>Account to Account Transfer  Incomming SWIFT   RTGSMX 08 SEP 26 10.13.48.424702 AM  101FTIN262511318   NSB  /Internet Banking /P01 /CTIS262511317966:Being final depos</t>
  </si>
  <si>
    <t>101ano8262510011</t>
  </si>
  <si>
    <t>08 SEP 26 05.07.50.675078 PM =&gt; 10109000006   BOT CLEARING   USD via FLEXCUBE RTN    801IBOT262100002   dd260729  Rns Unable to apply</t>
  </si>
  <si>
    <t>101asd2262510004</t>
  </si>
  <si>
    <t>08 SEP 26 04.48.14.505998 PM =&gt; 10109000006   BOT CLEARING   USD via FLEXCUBE LOAN NO. 201WT10262510001 TO LIQUIDATED LC NO. 201LC02261890502</t>
  </si>
  <si>
    <t>101asd2262510005</t>
  </si>
  <si>
    <t>08 SEP 26 04.48.14.566702 PM =&gt; 10109000006   BOT CLEARING   USD via FLEXCUBE PAYMENT OF LC  223LC02250650001</t>
  </si>
  <si>
    <t>428ZEXA26251011W</t>
  </si>
  <si>
    <t>080986906048</t>
  </si>
  <si>
    <t>Outgoing Funds Transfer   08 SEP 26 10.55.30.773668 PM   OBDX from THE WANDERER TANZANIA LIMITED  to Rhotia Valley Limited  045105000919. Remark: Daniel Allen</t>
  </si>
  <si>
    <t>101o026262510001</t>
  </si>
  <si>
    <t>08 SEP 26 06.26.43.894554 PM =&gt; 10109000006   BOT CLEARING   USD via OPICS 2012030    CRDB</t>
  </si>
  <si>
    <t>428ZEXA26251004B</t>
  </si>
  <si>
    <t>0809EB745389</t>
  </si>
  <si>
    <t>Outgoing Funds Transfer   08 SEP 26 11.01.53.481977 PM   OBDX from THE WANDERER TANZANIA LIMITED  to SUENOS DE AFRICA LUXURY CAMP  0250000AU0G00. Remark: Tina Roth</t>
  </si>
  <si>
    <t>101x7p6262510002</t>
  </si>
  <si>
    <t>08 SEP 26 02.52.19.389052 PM =&gt; 10109000006   BOT CLEARING   USD via UPLOAD NET SETTLEMENT FOR USD DD 08.09.2026</t>
  </si>
  <si>
    <t>101103v262510002</t>
  </si>
  <si>
    <t>08 SEP 26 05.42.38.833068 PM =&gt; 10109000006   BOT CLEARING   USD via FLEXCUBE REF 260805T000565920</t>
  </si>
  <si>
    <t>101103v262510006</t>
  </si>
  <si>
    <t>08 SEP 26 05.42.38.903891 PM =&gt; 10109000006   BOT CLEARING   USD via FLEXCUBE INTEREST DEAL NO 2011898</t>
  </si>
  <si>
    <t>101103v262510016</t>
  </si>
  <si>
    <t>08 SEP 26 05.42.38.906055 PM =&gt; 10109000006   BOT CLEARING   USD via FLEXCUBE TRE/070926/HR1</t>
  </si>
  <si>
    <t>101103v262510008</t>
  </si>
  <si>
    <t>08 SEP 26 05.42.38.896195 PM =&gt; 10109000006   BOT CLEARING   USD via FLEXCUBE INTEREST DEAL NO 2011937</t>
  </si>
  <si>
    <t>101103v262510004</t>
  </si>
  <si>
    <t>08 SEP 26 05.42.38.881640 PM =&gt; 10109000006   BOT CLEARING   USD via FLEXCUBE INTEREST DEAL NO 2011854</t>
  </si>
  <si>
    <t>101103v262510012</t>
  </si>
  <si>
    <t>08 SEP 26 05.42.38.911966 PM =&gt; 10109000006   BOT CLEARING   USD via FLEXCUBE INTEREST DEAL NO 2011900</t>
  </si>
  <si>
    <t>101o041262510001</t>
  </si>
  <si>
    <t>08 SEP 26 06.26.56.133171 PM =&gt; 10109000006   BOT CLEARING   USD via OPICS 1081731    F006296259   USD   TZS   2655.00000000    110000.0000</t>
  </si>
  <si>
    <t>101FTIN262513626</t>
  </si>
  <si>
    <t>Account to Account Transfer  Incomming SWIFT   RTGSMX 08 SEP 26 05.42.05.748360 PM  101FTIN262513626   NSB  inter bank transferOFFICE EXPENSES</t>
  </si>
  <si>
    <t>101upe2262510003</t>
  </si>
  <si>
    <t>08 SEP 26 05.58.28.945581 PM =&gt; 10109000006   BOT CLEARING   USD via FLEXCUBE REF: TZ1OL260818025A8 FDR</t>
  </si>
  <si>
    <t>101103v262510018</t>
  </si>
  <si>
    <t>08 SEP 26 05.42.38.892936 PM =&gt; 10109000006   BOT CLEARING   USD via FLEXCUBE TRE/070926/HR3</t>
  </si>
  <si>
    <t>2026/09/09</t>
  </si>
  <si>
    <t>101FTIN262520716</t>
  </si>
  <si>
    <t>Account to Account Transfer  Incomming SWIFT   RTGSMX 09 SEP 26 12.23.56.533376 PM  101FTIN262520716   NSB  MALAZI YA MGENI MR AND MRS.ADAM ROSENBERG</t>
  </si>
  <si>
    <t>101o020262520001</t>
  </si>
  <si>
    <t>09 SEP 26 05.15.31.936684 PM =&gt; 10109000006   BOT CLEARING   USD via OPICS 1081703    DCB          USD   TZS   2650.00000000    100000.0000</t>
  </si>
  <si>
    <t>101o146262520001</t>
  </si>
  <si>
    <t>09 SEP 26 05.17.12.876676 PM =&gt; 10109000006   BOT CLEARING   USD via OPICS 2012030    CRDB</t>
  </si>
  <si>
    <t>239ZEXA2624301LF</t>
  </si>
  <si>
    <t xml:space="preserve">Liquidation of Bill   09 SEP 26 03.10.24.829267 PM   10109000006  LIQD  FLEXCUBE </t>
  </si>
  <si>
    <t>241SBRN2625200RU</t>
  </si>
  <si>
    <t>GWX103451350185</t>
  </si>
  <si>
    <t xml:space="preserve">Return of Inbound Payment   09 SEP 26 11.44.27.307340 AM      4CTZ000262523NV4 </t>
  </si>
  <si>
    <t>101FTIN262523910</t>
  </si>
  <si>
    <t>Account to Account Transfer  Incomming SWIFT   RTGSMX 09 SEP 26 07.16.43.825954 PM  101FTIN262523910   NSB  HOTEL</t>
  </si>
  <si>
    <t>241SBRN262520002</t>
  </si>
  <si>
    <t>CTZ000262523NV4</t>
  </si>
  <si>
    <t>Outgoing Funds Transfer   09 SEP 26 09.44.24.452152 AM   SYBRIN from CAROLINE SYLVESTER BARAZA  to THE PURPOSE CENTRE CHURCH   204917346. Remark: TRANSFER FROM NMB TO ABSA BANK</t>
  </si>
  <si>
    <t>239BCIU262430001</t>
  </si>
  <si>
    <t>101xbo3262520002</t>
  </si>
  <si>
    <t>09 SEP 26 05.40.21.025191 PM =&gt; 10109000006   BOT CLEARING   USD via UPLOAD NET SETTLEMENT DD 09.09.2026 USD</t>
  </si>
  <si>
    <t>2026/09/10</t>
  </si>
  <si>
    <t>101o046262530001</t>
  </si>
  <si>
    <t>10 SEP 26 05.29.45.108338 PM =&gt; 10109000006   BOT CLEARING   USD via OPICS 1081747    F000490728   USD   TZS   2650.00000000   1000000.0000</t>
  </si>
  <si>
    <t>101o047262530001</t>
  </si>
  <si>
    <t>10 SEP 26 05.29.45.618318 PM =&gt; 10109000006   BOT CLEARING   USD via OPICS 1081755    F345967991   USD   TZS   2645.00000000   490000.0000</t>
  </si>
  <si>
    <t>101o017262530001</t>
  </si>
  <si>
    <t>10 SEP 26 05.29.27.625495 PM =&gt; 10109000006   BOT CLEARING   USD via OPICS 1081751    AIRTEL       USD   TZS   2650.00000000    1000000.0000</t>
  </si>
  <si>
    <t>101o032262530001</t>
  </si>
  <si>
    <t>10 SEP 26 05.29.36.786732 PM =&gt; 10109000006   BOT CLEARING   USD via OPICS 1081750    DORMANTANZ   USD   TZS   2648.00000000   400000.0000</t>
  </si>
  <si>
    <t>2026/09/11</t>
  </si>
  <si>
    <t>241SBRN262540004</t>
  </si>
  <si>
    <t>GWX103458428033</t>
  </si>
  <si>
    <t>Outgoing Funds Transfer   11 SEP 26 09.44.23.297105 PM   SYBRIN from SHAPHYSON LIMITED  to ALUMINIUM TRAILERS LIMITED  3391096675. Remark: PURCHASE OF ONE UNIT OF FLATBED TRA</t>
  </si>
  <si>
    <t>101FTIN262540274</t>
  </si>
  <si>
    <t>Incoming Funds Transfer  Incomming SWIFT   RTGSMX 11 SEP 26 09.32.49.035373 AM  101FTIN262540274   NSB  Accommodation Payment for GEORGIA</t>
  </si>
  <si>
    <t>101o029262540001</t>
  </si>
  <si>
    <t>OPICS 11 SEP 26 06.55.33.232804 PM =&gt; 10109000006   BOT CLEARING   USD via OPICS 2012053    AZANIA</t>
  </si>
  <si>
    <t>101o030262540001</t>
  </si>
  <si>
    <t>OPICS 11 SEP 26 06.55.33.822796 PM =&gt; 10109000006   BOT CLEARING   USD via OPICS 2012065    AZANIA</t>
  </si>
  <si>
    <t>101o053262540001</t>
  </si>
  <si>
    <t>OPICS 11 SEP 26 06.55.50.122062 PM =&gt; 10109000006   BOT CLEARING   USD via OPICS 1081779    F008337233   USD   TZS   2651.00000000   2500000.0000</t>
  </si>
  <si>
    <t>201ZEXA2625301TF</t>
  </si>
  <si>
    <t xml:space="preserve">Liquidation of Bill   11 SEP 26 06.29.44.662862 PM   10109000006  LIQD  FLEXCUBE </t>
  </si>
  <si>
    <t>206SBRN262540004</t>
  </si>
  <si>
    <t>GWX103458193637</t>
  </si>
  <si>
    <t>Outgoing Funds Transfer   11 SEP 26 07.58.37.941045 PM   SYBRIN from RUSH MOTORS  to BEFOWARD TZ CO LTD  0250390566402. Remark: CAR PURCHASE CC552406</t>
  </si>
  <si>
    <t>101FTIN262541369</t>
  </si>
  <si>
    <t>Incoming Funds Transfer  Incomming SWIFT   RTGSMX 11 SEP 26 10.39.23.484110 AM  101FTIN262541369   NSB  PERSONAL TRAVEL</t>
  </si>
  <si>
    <t>101o013262540001</t>
  </si>
  <si>
    <t>OPICS 11 SEP 26 06.55.20.491719 PM =&gt; 10109000006   BOT CLEARING   USD via OPICS 1081789    F058120070   USD   TZS   2652.00000000    1000000.0000</t>
  </si>
  <si>
    <t>2026/09/12</t>
  </si>
  <si>
    <t>101FTIN262552234</t>
  </si>
  <si>
    <t>Incoming Funds Transfer  Incomming SWIFT   RTGSMX 12 SEP 26 12.22.12.621365 PM  101FTIN262552234   NSB  ACCOMMODATION</t>
  </si>
  <si>
    <t>101FTIN262551097</t>
  </si>
  <si>
    <t>Incoming Funds Transfer  Incomming SWIFT   RTGSMX 12 SEP 26 09.46.27.362720 AM  101FTIN262551097   NSB  ELIASLEMA</t>
  </si>
  <si>
    <t>101FTIN262552111</t>
  </si>
  <si>
    <t>Incoming Funds Transfer  Incomming SWIFT   RTGSMX 12 SEP 26 11.32.36.178859 AM  101FTIN262552111   NSB  Transfer from iM to NMB TRAVEL EXP  ENSES</t>
  </si>
  <si>
    <t>101FTIN262552242</t>
  </si>
  <si>
    <t>Incoming Funds Transfer  Incomming SWIFT   RTGSMX 12 SEP 26 12.24.38.680409 PM  101FTIN262552242   NSB  TEST A</t>
  </si>
  <si>
    <t>101FTIN262552093</t>
  </si>
  <si>
    <t>Incoming Funds Transfer  Incomming SWIFT   RTGSMX 12 SEP 26 11.25.52.857498 AM  101FTIN262552093   NSB  Purchasing TZS</t>
  </si>
  <si>
    <t>101ZEXA2625508R9</t>
  </si>
  <si>
    <t>Outgoing Funds Transfer   12 SEP 26 11.35.48.307682 AM   SI from UHAMIAJI ZANZIBAR  to KATIBU MKUU WIZARA YA FEDHA  0400762000. Remark: /ROC/TRANSFER</t>
  </si>
  <si>
    <t>101FTIN262552785</t>
  </si>
  <si>
    <t>Incoming Funds Transfer  Incomming SWIFT   RTGSMX 12 SEP 26 07.14.33.600168 PM  101FTIN262552785   NSB  ASAT</t>
  </si>
  <si>
    <t>101ZEXA2625508N6</t>
  </si>
  <si>
    <t>Outgoing Funds Transfer   12 SEP 26 11.23.28.030328 AM   SI from UHAMIAJI ZANZIBAR  to KATIBU MKUU WIZARA YA FEDHA  0400762000. Remark: /ROC/TRANSFER</t>
  </si>
  <si>
    <t>101ZEXA2625509FP</t>
  </si>
  <si>
    <t>Outgoing Funds Transfer   12 SEP 26 11.33.09.388036 AM   SI from UHAMIAJI ZANZIBAR  to KATIBU MKUU WIZARA YA FEDHA  0400762000. Remark: /ROC/TRANSFER</t>
  </si>
  <si>
    <t>101ZEXA2625509GY</t>
  </si>
  <si>
    <t>Outgoing Funds Transfer   12 SEP 26 11.37.06.199493 AM   SI from UHAMIAJI ZANZIBAR  to KATIBU MKUU WIZARA YA FEDHA  0400762000. Remark: /ROC/TRANSFER</t>
  </si>
  <si>
    <t>101FTIN262552232</t>
  </si>
  <si>
    <t>Incoming Funds Transfer  Incomming SWIFT   RTGSMX 12 SEP 26 12.22.11.403622 PM  101FTIN262552232   NSB  SAFARI ACTIVITY</t>
  </si>
  <si>
    <t>101FTIN262552222</t>
  </si>
  <si>
    <t>Incoming Funds Transfer  Incomming SWIFT   RTGSMX 12 SEP 26 12.21.35.798233 PM  101FTIN262552222   NSB  Test A</t>
  </si>
  <si>
    <t>101FTIN262551174</t>
  </si>
  <si>
    <t>Incoming Funds Transfer  Incomming SWIFT   RTGSMX 12 SEP 26 10.54.44.568388 AM  101FTIN262551174   NSB  INV 08/26/60 NORTHERN BRIDGE</t>
  </si>
  <si>
    <t>101FTIN262552231</t>
  </si>
  <si>
    <t>Incoming Funds Transfer  Incomming SWIFT   RTGSMX 12 SEP 26 12.22.10.815821 PM  101FTIN262552231   NSB  /RFB/STOCK ID AP2640</t>
  </si>
  <si>
    <t>101ZEXA2625508PH</t>
  </si>
  <si>
    <t>Outgoing Funds Transfer   12 SEP 26 11.27.57.518665 AM   SI from UHAMIAJI ZANZIBAR  to KATIBU MKUU WIZARA YA FEDHA  0400762000. Remark: /ROC/TRANSFER</t>
  </si>
  <si>
    <t>101ZEXA2625508Q4</t>
  </si>
  <si>
    <t>Outgoing Funds Transfer   12 SEP 26 11.29.21.126220 AM   SI from UHAMIAJI ZANZIBAR  to KATIBU MKUU WIZARA YA FEDHA  0400762000. Remark: /ROC/TRANSFER</t>
  </si>
  <si>
    <t>101FTIN262552224</t>
  </si>
  <si>
    <t>Incoming Funds Transfer  Incomming SWIFT   RTGSMX 12 SEP 26 12.22.03.191030 PM  101FTIN262552224   NSB  TRANSPORTATION SERVICES FROM KITAITO MTWARA AS PER INV NO 001216</t>
  </si>
  <si>
    <t>101xkyg262550002</t>
  </si>
  <si>
    <t>Funds Transfer  12 SEP 26 02.04.20.061141 PM =&gt; 10109000006   BOT CLEARING   USD via UPLOAD NET SETTLEMENT BALANCE DD 12.09.2026 USD</t>
  </si>
  <si>
    <t>2026/09/14</t>
  </si>
  <si>
    <t>101ian3262570003</t>
  </si>
  <si>
    <t>Journal Posting Miscellaneous  14 SEP 26 04.56.10.355650 PM =&gt; 10109000006   BOT CLEARING   USD via FLEXCUBE RTN 262400806709700 DD 260828 RSN UNVALID CREDIT INSTRUCTION</t>
  </si>
  <si>
    <t>101o027262570001</t>
  </si>
  <si>
    <t>OPICS 14 SEP 26 06.38.03.322108 PM =&gt; 10109000006   BOT CLEARING   USD via OPICS 1081810    F020983385   USD   TZS   2653.00000000    770000.0000</t>
  </si>
  <si>
    <t>101upe6262570001</t>
  </si>
  <si>
    <t>Journal Posting Miscellaneous  14 SEP 26 04.40.42.832399 PM =&gt; 10109000006   BOT CLEARING   USD via FLEXCUBE P260812C00000969  PAYMENT FOR GROUND HANDLING SERVIC /ES INVOICE NO SACL 13135</t>
  </si>
  <si>
    <t>101ZEXA262570106</t>
  </si>
  <si>
    <t>2621301947590067</t>
  </si>
  <si>
    <t xml:space="preserve">Return of Inbound Payment   14 SEP 26 03.48.35.260057 PM   UNAPPLIED OTH UNABLE TO APPLY LACK OF CNTRL NUMBER   260914T000592011 </t>
  </si>
  <si>
    <t>101o055262570001</t>
  </si>
  <si>
    <t>OPICS 14 SEP 26 06.38.20.689511 PM =&gt; 10109000006   BOT CLEARING   USD via OPICS 1081800    F003965310   USD   TZS   2655.00000000    80000.0000</t>
  </si>
  <si>
    <t>101upe8262570001</t>
  </si>
  <si>
    <t>Journal Posting Miscellaneous  14 SEP 26 05.02.55.198243 PM =&gt; 10109000006   BOT CLEARING   USD via FLEXCUBE DEAL NO 1081801 OPICS MISMATCH</t>
  </si>
  <si>
    <t>101jos3262570005</t>
  </si>
  <si>
    <t>Journal Posting Miscellaneous  14 SEP 26 04.51.23.394146 PM =&gt; 10109000006   BOT CLEARING   USD via FLEXCUBE REF: HZ1JV70DV0FA8893NARRATION  099 INVFMT</t>
  </si>
  <si>
    <t>229SBRN2625700RV</t>
  </si>
  <si>
    <t>CTZ000262575HR5</t>
  </si>
  <si>
    <t>9c9bbbd6-b8f3-46a5-a151-69784d4a1df0</t>
  </si>
  <si>
    <t>Outgoing Funds Transfer   14 SEP 26 08.56.20.511356 PM   SYBRIN from UNITY AIR ZANZIBAR LTD  to MOHAMMED HAMZA MOHAMMED  00370023213. Remark: INVOICE NO.7 GOOD YEAR MAIN TIRES</t>
  </si>
  <si>
    <t>101xqf9262570002</t>
  </si>
  <si>
    <t>Funds Transfer  14 SEP 26 05.18.19.412299 PM =&gt; 10109000006   BOT CLEARING   USD via UPLOAD NET SETTLEMENT DD 14.09.2026</t>
  </si>
  <si>
    <t>101o041262570001</t>
  </si>
  <si>
    <t>OPICS 14 SEP 26 06.38.12.527922 PM =&gt; 10109000006   BOT CLEARING   USD via OPICS 1081809    VODACOM      USD   TZS   2653.00000000    250000.0000</t>
  </si>
  <si>
    <t>101o056262570001</t>
  </si>
  <si>
    <t>OPICS 14 SEP 26 06.38.21.193060 PM =&gt; 10109000006   BOT CLEARING   USD via OPICS 1081815    LAKEOIL      USD   TZS   2656.00000000    1000000.0000</t>
  </si>
  <si>
    <t>2026/09/15</t>
  </si>
  <si>
    <t>101o036262580001</t>
  </si>
  <si>
    <t>OPICS 15 SEP 26 06.30.14.578424 PM =&gt; 10109000006   BOT CLEARING   USD via OPICS 1081846    LAKEOIL      USD   TZS   2655.00000000    1000000.0000</t>
  </si>
  <si>
    <t>101o052262580001</t>
  </si>
  <si>
    <t>OPICS 15 SEP 26 06.30.23.660670 PM =&gt; 10109000006   BOT CLEARING   USD via OPICS 1081823    AIRTEL       USD   TZS   2654.00000000    2000000.0000</t>
  </si>
  <si>
    <t>101xta8262580002</t>
  </si>
  <si>
    <t>Funds Transfer  15 SEP 26 03.06.21.382578 PM =&gt; 10109000006   BOT CLEARING   USD via UPLOAD USD NET SETTLEMENT AS AT 15.09.2026</t>
  </si>
  <si>
    <t>101o022262580001</t>
  </si>
  <si>
    <t>OPICS 15 SEP 26 06.30.04.731708 PM =&gt; 10109000006   BOT CLEARING   USD via OPICS 1081786    DCB          USD   TZS   2653.00000000    100000.0000</t>
  </si>
  <si>
    <t>10100xa262580002</t>
  </si>
  <si>
    <t>Trade Finance Single Journal Posting 15 SEP 26 08.23.21.223558 PM =&gt; 10109000006   BOT CLEARING   USD via FLEXCUBE SETTLEMENT FOR LC REF NO. 223LC02250650001 PAID ON 26/08/2026</t>
  </si>
  <si>
    <t>201ZEXA2624702KC</t>
  </si>
  <si>
    <t>201BCIU262470004</t>
  </si>
  <si>
    <t>229SBRN262580001</t>
  </si>
  <si>
    <t>GWX103464988797</t>
  </si>
  <si>
    <t xml:space="preserve">Return of Inbound Payment   15 SEP 26 11.02.39.698820 AM      4CTZ000262575HR5 </t>
  </si>
  <si>
    <t>101o053262580001</t>
  </si>
  <si>
    <t>OPICS 15 SEP 26 06.30.24.232012 PM =&gt; 10109000006   BOT CLEARING   USD via OPICS 2012074    MWANGA</t>
  </si>
  <si>
    <t>201ZEXA2624500D2</t>
  </si>
  <si>
    <t>201BCIU262450501</t>
  </si>
  <si>
    <t>201ZEXA2624702GJ</t>
  </si>
  <si>
    <t>201BCIU262470003</t>
  </si>
  <si>
    <t>207ZEXA26247000I</t>
  </si>
  <si>
    <t>207BCIU262470001</t>
  </si>
  <si>
    <t>10100da262580001</t>
  </si>
  <si>
    <t>Trade Finance Single Journal Posting 15 SEP 26 08.19.22.920201 PM =&gt; 10109000006   BOT CLEARING   USD via FLEXCUBE SETTLEMENT FOR LC REF NO. 223LC02250650001 PAID ON 26/08/2026</t>
  </si>
  <si>
    <t>201ZEXA2624500D4</t>
  </si>
  <si>
    <t xml:space="preserve">Liquidation of Bill   15 SEP 26 08.58.03.441458 PM   10109000006  LIQD  FLEXCUBE </t>
  </si>
  <si>
    <t>2026/09/16</t>
  </si>
  <si>
    <t>408ZEXA262590010</t>
  </si>
  <si>
    <t>160904E344E3</t>
  </si>
  <si>
    <t>111780b5-01c4-4d1d-b0e0-145bcc4cdaa5</t>
  </si>
  <si>
    <t>Outgoing Funds Transfer   16 SEP 26 10.14.18.090750 AM   OBDX from KILIMANJARO SKY LIMITED  to PERFECT TRAVEL AGENT LIMITED  56080030001427. Remark: KILI SKY PNR27605EB7</t>
  </si>
  <si>
    <t>101ale2262590002</t>
  </si>
  <si>
    <t>Trade Finance Single Journal Posting 16 SEP 26 06.18.46.692762 PM =&gt; 10109000006   BOT CLEARING   USD via FLEXCUBE PAYMENT TO SETTLE BC NO 311BCIU262400003</t>
  </si>
  <si>
    <t>101o047262590001</t>
  </si>
  <si>
    <t>OPICS 16 SEP 26 06.39.51.137180 PM =&gt; 10109000006   BOT CLEARING   USD via OPICS 1081872    BULYANHULU   USD   TZS   2635.00000000   4000000.0000</t>
  </si>
  <si>
    <t>101ale2262590006</t>
  </si>
  <si>
    <t>Trade Finance Single Journal Posting 16 SEP 26 06.18.46.715197 PM =&gt; 10109000006   BOT CLEARING   USD via FLEXCUBE PAYMENT TO SETTLE BC NO 311BCIU262200502</t>
  </si>
  <si>
    <t>403ZEXA26259002D</t>
  </si>
  <si>
    <t>160936AA2505</t>
  </si>
  <si>
    <t>bc6cfeac-5e69-4cab-b546-7b6769abcba4</t>
  </si>
  <si>
    <t>Outgoing Funds Transfer   16 SEP 26 04.03.30.007083 PM   OBDX from ALTEZZA TRAVELLING LIMITED  to TANGANYIKA WILDERNESS CAMPS LTD  014105008045. Remark: Payment for invoices</t>
  </si>
  <si>
    <t>428ZEXA2625900TH</t>
  </si>
  <si>
    <t>16090F8BE0CC</t>
  </si>
  <si>
    <t>7d1546c7-a57e-4c44-992e-4b1365e2383f</t>
  </si>
  <si>
    <t>Outgoing Funds Transfer   16 SEP 26 12.05.50.073443 PM   OBDX from LIONS PAW TOURS AND SAFARI  to FARM OF DREAMS LODGE LIMITED  0001167234. Remark: Jocelyn X5 Accommodation Payments</t>
  </si>
  <si>
    <t>201ZEXA2625900UF</t>
  </si>
  <si>
    <t>1609EB2ECC1B</t>
  </si>
  <si>
    <t>380c692f-68dc-4f99-ad99-da1c67f90876</t>
  </si>
  <si>
    <t>Outgoing Funds Transfer   16 SEP 26 11.17.43.550912 AM   OBDX from TOPMAX TANZANIA LIMITED  to NYOTA TANZANIA LIMITED  100269056. Remark: DEMURAGE CARGOTIS 04</t>
  </si>
  <si>
    <t>2026/09/17</t>
  </si>
  <si>
    <t>101al12262600004</t>
  </si>
  <si>
    <t>Trade Finance Single Journal Posting 17 SEP 26 08.31.02.568985 PM =&gt; 10109000006   BOT CLEARING   USD via FLEXCUBE SETTLEMENT OF MATURED BILL REF 207BCIU262470001</t>
  </si>
  <si>
    <t>101al17262600002</t>
  </si>
  <si>
    <t>Trade Finance Single Journal Posting 17 SEP 26 09.19.36.490328 PM =&gt; 10109000006   BOT CLEARING   USD via FLEXCUBE SETTLEMENT FOR MATURED BC REF 201BCIU262470004</t>
  </si>
  <si>
    <t>101o048262600001</t>
  </si>
  <si>
    <t>OPICS 17 SEP 26 06.43.25.546527 PM =&gt; 10109000006   BOT CLEARING   USD via OPICS 2012095    AZANIA</t>
  </si>
  <si>
    <t>617SBRN262600001</t>
  </si>
  <si>
    <t>GWX103470530526</t>
  </si>
  <si>
    <t>26ae6288-e6e3-4e72-a166-114e43c50521</t>
  </si>
  <si>
    <t>Outgoing Funds Transfer   17 SEP 26 08.04.30.268711 AM   SYBRIN from ASSEGID MENGISTIE YESHIWAS  to YOHANNES T. WOLDEMIKAEL  00057738001. Remark: FOR BUSINESS</t>
  </si>
  <si>
    <t>101al13262600002</t>
  </si>
  <si>
    <t>Trade Finance Single Journal Posting 17 SEP 26 08.42.59.578246 PM =&gt; 10109000006   BOT CLEARING   USD via FLEXCUBE SETTLEMENT OF MATURED BC REF 201BCIU262450501</t>
  </si>
  <si>
    <t>101al14262600002</t>
  </si>
  <si>
    <t>Trade Finance Single Journal Posting 17 SEP 26 08.45.59.590551 PM =&gt; 10109000006   BOT CLEARING   USD via FLEXCUBE SETTLEMENT FOR MATURED BC REF 201BCIU262470003</t>
  </si>
  <si>
    <t>101y00c262600002</t>
  </si>
  <si>
    <t>Funds Transfer  17 SEP 26 02.28.19.825009 PM =&gt; 10109000006   BOT CLEARING   USD via UPLOAD NET SETTLEMENT FOR USD DD 17.09.2026</t>
  </si>
  <si>
    <t>101al11262600002</t>
  </si>
  <si>
    <t>Trade Finance Single Journal Posting 17 SEP 26 08.37.48.357619 PM =&gt; 10109000006   BOT CLEARING   USD via FLEXCUBE SETTLEMENT OF MATURED BC REF 201BCIU262300502</t>
  </si>
  <si>
    <t>101o047262600001</t>
  </si>
  <si>
    <t>OPICS 17 SEP 26 06.43.25.005721 PM =&gt; 10109000006   BOT CLEARING   USD via OPICS 2012053    AZANIA</t>
  </si>
  <si>
    <t>101xz5x262600002</t>
  </si>
  <si>
    <t>Funds Transfer  17 SEP 26 10.42.19.783159 AM =&gt; 10109000006   BOT CLEARING   USD via UPLOAD net settlement balance dd 16.09.2026 USD</t>
  </si>
  <si>
    <t>101o034262600001</t>
  </si>
  <si>
    <t>OPICS 17 SEP 26 06.43.16.324230 PM =&gt; 10109000006   BOT CLEARING   USD via OPICS 2012093    AZANIA</t>
  </si>
  <si>
    <t>101o017262600001</t>
  </si>
  <si>
    <t>OPICS 17 SEP 26 06.43.01.535218 PM =&gt; 10109000006   BOT CLEARING   USD via OPICS 1081895    F058120070   USD   TZS   2656.00000000    1000000.0000</t>
  </si>
  <si>
    <t>101al07262600002</t>
  </si>
  <si>
    <t>Trade Finance Single Journal Posting 17 SEP 26 06.13.51.730669 PM =&gt; 10109000006   BOT CLEARING   USD via FLEXCUBE PAYMENT TO SETTLE LC NO 201LC02261960001</t>
  </si>
  <si>
    <t>408ZEXA26260007A</t>
  </si>
  <si>
    <t>1409ECBCC6B2</t>
  </si>
  <si>
    <t xml:space="preserve">Return of Inbound Payment   17 SEP 26 04.47.55.791777 PM   INVALID BENEFICIARY ACCOUNT    2625719756433000 </t>
  </si>
  <si>
    <t>2026/09/18</t>
  </si>
  <si>
    <t>101ZEXA26261016B</t>
  </si>
  <si>
    <t>2626114365488000</t>
  </si>
  <si>
    <t>9eb8bb3d-cba9-4525-a497-320e45b4f503</t>
  </si>
  <si>
    <t xml:space="preserve">Outgoing Funds Transfer   18 SEP 26 06.27.56.170943 PM   MANL from Cash Cover   Letter of Credit  to African Trade Insurance Agency  400895012. Remark: </t>
  </si>
  <si>
    <t>101o074262610001</t>
  </si>
  <si>
    <t>OPICS 18 SEP 26 07.31.05.224010 PM =&gt; 10109000006   BOT CLEARING   USD via OPICS 2012065    AZANIA</t>
  </si>
  <si>
    <t>101y3go262610002</t>
  </si>
  <si>
    <t>Funds Transfer  18 SEP 26 02.28.21.263760 PM =&gt; 10109000006   BOT CLEARING   USD via UPLOAD NET SETTLEMENT DD 18.09.2026</t>
  </si>
  <si>
    <t>2026/09/19</t>
  </si>
  <si>
    <t>101nku1262620011</t>
  </si>
  <si>
    <t>Journal Posting Miscellaneous  19 SEP 26 02.34.02.971068 PM =&gt; 10109000006   BOT CLEARING   USD via FLEXCUBE RTN GWX103427553075   dd260831  Rns Wrong product code</t>
  </si>
  <si>
    <t>2026/09/21</t>
  </si>
  <si>
    <t>101um01262640014</t>
  </si>
  <si>
    <t>Journal Posting Miscellaneous  21 SEP 26 08.17.29.724998 PM =&gt; 10109000006   BOT CLEARING   USD via FLEXCUBE 17858303616637 rev of wrong posted twice transaction 0n 07.08.2026 and 12.08.2026</t>
  </si>
  <si>
    <t>101bos1262640105</t>
  </si>
  <si>
    <t>Journal Posting Miscellaneous  21 SEP 26 05.30.52.745634 PM =&gt; 10109000006   BOT CLEARING   USD via FLEXCUBE TZAAO22326H6T2E</t>
  </si>
  <si>
    <t>101bos1262640091</t>
  </si>
  <si>
    <t>Journal Posting Miscellaneous  21 SEP 26 05.30.52.657286 PM =&gt; 10109000006   BOT CLEARING   USD via FLEXCUBE OT26250TZ0130028</t>
  </si>
  <si>
    <t>101bos1262640017</t>
  </si>
  <si>
    <t>Journal Posting Miscellaneous  21 SEP 26 05.30.52.221897 PM =&gt; 10109000006   BOT CLEARING   USD via FLEXCUBE RTOMICC01084723</t>
  </si>
  <si>
    <t>101um01262640018</t>
  </si>
  <si>
    <t>Journal Posting Miscellaneous  21 SEP 26 08.17.29.732159 PM =&gt; 10109000006   BOT CLEARING   USD via FLEXCUBE 17858300021427 rev of wrong posted twice transaction 0n 07.08.2026 and 12.08.2026</t>
  </si>
  <si>
    <t>101bos1262640067</t>
  </si>
  <si>
    <t>Journal Posting Miscellaneous  21 SEP 26 05.30.52.525692 PM =&gt; 10109000006   BOT CLEARING   USD via FLEXCUBE TZ1OL260819025AZ</t>
  </si>
  <si>
    <t>101nk51262640001</t>
  </si>
  <si>
    <t>Journal Posting Miscellaneous  21 SEP 26 05.50.14.933146 PM =&gt; 10109000006   BOT CLEARING   USD via FLEXCUBE RTN P260730C00002473 428FTOU262110004 dd260730  Rns Restricted forex application</t>
  </si>
  <si>
    <t>101bos1262640099</t>
  </si>
  <si>
    <t>Journal Posting Miscellaneous  21 SEP 26 05.30.52.703394 PM =&gt; 10109000006   BOT CLEARING   USD via FLEXCUBE TZAAO25026HWBYU</t>
  </si>
  <si>
    <t>101al13262640001</t>
  </si>
  <si>
    <t>Trade Finance Single Journal Posting 21 SEP 26 07.08.53.568965 PM =&gt; 10109000006   BOT CLEARING   USD via FLEXCUBE PUMA ENERGY TANZANIA LIMITED via FLEXCUBE LOAN NO. 201WT10262510001 TO LIQUIDATED LC NO. 201LC02261890502</t>
  </si>
  <si>
    <t>101bos1262640086</t>
  </si>
  <si>
    <t>Journal Posting Miscellaneous  21 SEP 26 05.30.52.630672 PM =&gt; 10109000006   BOT CLEARING   USD via FLEXCUBE OT26250TZ0130029</t>
  </si>
  <si>
    <t>101um01262640012</t>
  </si>
  <si>
    <t>Journal Posting Miscellaneous  21 SEP 26 08.17.29.721390 PM =&gt; 10109000006   BOT CLEARING   USD via FLEXCUBE TZ1OL260806027S1 rev of wrong posted twice transaction 0n 07.08.2026 and 12.08.2026</t>
  </si>
  <si>
    <t>101bos1262640110</t>
  </si>
  <si>
    <t>Journal Posting Miscellaneous  21 SEP 26 05.30.52.781104 PM =&gt; 10109000006   BOT CLEARING   USD via FLEXCUBE OT26215TZ0120890</t>
  </si>
  <si>
    <t>101bos1262640098</t>
  </si>
  <si>
    <t>Journal Posting Miscellaneous  21 SEP 26 05.30.52.697632 PM =&gt; 10109000006   BOT CLEARING   USD via FLEXCUBE TZAAO25126HO26H</t>
  </si>
  <si>
    <t>101bos1262640024</t>
  </si>
  <si>
    <t>Journal Posting Miscellaneous  21 SEP 26 05.30.52.265056 PM =&gt; 10109000006   BOT CLEARING   USD via FLEXCUBE RTOMICC01088488</t>
  </si>
  <si>
    <t>101bos1262640009</t>
  </si>
  <si>
    <t>Journal Posting Miscellaneous  21 SEP 26 05.30.52.176271 PM =&gt; 10109000006   BOT CLEARING   USD via FLEXCUBE OT26225TZ0123424</t>
  </si>
  <si>
    <t>101ybu3262640002</t>
  </si>
  <si>
    <t>Funds Transfer  21 SEP 26 02.54.19.442341 PM =&gt; 10109000006   BOT CLEARING   USD via UPLOAD NET SETTLEMENT DD 21.09.2026</t>
  </si>
  <si>
    <t>101bos1262640146</t>
  </si>
  <si>
    <t>Journal Posting Miscellaneous  21 SEP 26 05.30.53.022523 PM =&gt; 10109000006   BOT CLEARING   USD via FLEXCUBE TZAAO21826H572U</t>
  </si>
  <si>
    <t>101bos1262640085</t>
  </si>
  <si>
    <t>Journal Posting Miscellaneous  21 SEP 26 05.30.52.625647 PM =&gt; 10109000006   BOT CLEARING   USD via FLEXCUBE TZAAO24626HCKOX</t>
  </si>
  <si>
    <t>101bos1262640063</t>
  </si>
  <si>
    <t>Journal Posting Miscellaneous  21 SEP 26 05.30.52.501217 PM =&gt; 10109000006   BOT CLEARING   USD via FLEXCUBE TZAAO25226HN7CF</t>
  </si>
  <si>
    <t>101bos1262640078</t>
  </si>
  <si>
    <t>Journal Posting Miscellaneous  21 SEP 26 05.30.52.589275 PM =&gt; 10109000006   BOT CLEARING   USD via FLEXCUBE TZAAO22526HSO6O</t>
  </si>
  <si>
    <t>311ZEXA2624600U8</t>
  </si>
  <si>
    <t xml:space="preserve">Liquidation of Bill   21 SEP 26 06.02.11.915581 PM   10109000006  LIQD  FLEXCUBE </t>
  </si>
  <si>
    <t>101yaep262640002</t>
  </si>
  <si>
    <t>Funds Transfer  21 SEP 26 08.54.19.626521 AM =&gt; 10109000006   BOT CLEARING   USD via UPLOAD USD NET SETTLEMENT DD 19.09.2026</t>
  </si>
  <si>
    <t>510ZEXA2626400S5</t>
  </si>
  <si>
    <t>GWX103480840087</t>
  </si>
  <si>
    <t>fb80cbcf-524a-4178-93ed-6315bdc4eca2</t>
  </si>
  <si>
    <t>Outgoing Funds Transfer   21 SEP 26 01.05.49.921629 PM   ETELLER from Suspense Account  E   Teller  to Tanzania Tobacco Board  9932444961. Remark: ROC/991590009444</t>
  </si>
  <si>
    <t>101bos1262640005</t>
  </si>
  <si>
    <t>Journal Posting Miscellaneous  21 SEP 26 05.30.52.153467 PM =&gt; 10109000006   BOT CLEARING   USD via FLEXCUBE TZAAO24526HN6OY</t>
  </si>
  <si>
    <t>101bos1262640014</t>
  </si>
  <si>
    <t>Journal Posting Miscellaneous  21 SEP 26 05.30.52.204044 PM =&gt; 10109000006   BOT CLEARING   USD via FLEXCUBE TZAAO24726H51BP</t>
  </si>
  <si>
    <t>101bos1262640006</t>
  </si>
  <si>
    <t>Journal Posting Miscellaneous  21 SEP 26 05.30.52.159166 PM =&gt; 10109000006   BOT CLEARING   USD via FLEXCUBE TZAAO21826H7S1W</t>
  </si>
  <si>
    <t>101bos1262640012</t>
  </si>
  <si>
    <t>Journal Posting Miscellaneous  21 SEP 26 05.30.52.192186 PM =&gt; 10109000006   BOT CLEARING   USD via FLEXCUBE GT2058748505</t>
  </si>
  <si>
    <t>101bos1262640090</t>
  </si>
  <si>
    <t>Journal Posting Miscellaneous  21 SEP 26 05.30.52.651603 PM =&gt; 10109000006   BOT CLEARING   USD via FLEXCUBE OT26239TZ0127052</t>
  </si>
  <si>
    <t>101bos1262640114</t>
  </si>
  <si>
    <t>Journal Posting Miscellaneous  21 SEP 26 05.30.52.808220 PM =&gt; 10109000006   BOT CLEARING   USD via FLEXCUBE TZAAO22226HD4YC</t>
  </si>
  <si>
    <t>101bos1262640142</t>
  </si>
  <si>
    <t>Journal Posting Miscellaneous  21 SEP 26 05.30.52.998026 PM =&gt; 10109000006   BOT CLEARING   USD via FLEXCUBE TZAAO24526HEXJZ</t>
  </si>
  <si>
    <t>101bos1262640054</t>
  </si>
  <si>
    <t>Journal Posting Miscellaneous  21 SEP 26 05.30.52.450242 PM =&gt; 10109000006   BOT CLEARING   USD via FLEXCUBE TZAAO21726HAWG5</t>
  </si>
  <si>
    <t>101um01262640013</t>
  </si>
  <si>
    <t>Journal Posting Miscellaneous  21 SEP 26 08.17.29.772106 PM =&gt; 10109000006   BOT CLEARING   USD via FLEXCUBE TZ1OL260806027S6 rev of wrong posted twice transaction 0n 07.08.2026 and 12.08.2026</t>
  </si>
  <si>
    <t>101bos1262640119</t>
  </si>
  <si>
    <t>Journal Posting Miscellaneous  21 SEP 26 05.30.52.842857 PM =&gt; 10109000006   BOT CLEARING   USD via FLEXCUBE TZAAO22926HC311</t>
  </si>
  <si>
    <t>101bos1262640046</t>
  </si>
  <si>
    <t>Journal Posting Miscellaneous  21 SEP 26 05.30.52.403436 PM =&gt; 10109000006   BOT CLEARING   USD via FLEXCUBE TZAAO24526HRJ3H</t>
  </si>
  <si>
    <t>101bos1262640051</t>
  </si>
  <si>
    <t>Journal Posting Miscellaneous  21 SEP 26 05.30.52.432139 PM =&gt; 10109000006   BOT CLEARING   USD via FLEXCUBE TZAAO24026HC4YR</t>
  </si>
  <si>
    <t>101bos1262640115</t>
  </si>
  <si>
    <t>Journal Posting Miscellaneous  21 SEP 26 05.30.52.815460 PM =&gt; 10109000006   BOT CLEARING   USD via FLEXCUBE TZAAO21826HV07R</t>
  </si>
  <si>
    <t>101nk51262640011</t>
  </si>
  <si>
    <t>Journal Posting Miscellaneous  21 SEP 26 05.50.15.035189 PM =&gt; 10109000006   BOT CLEARING   USD via FLEXCUBE RTN 1008FDA4B32E 2622214066022000 dd260810  Rns Invalid account</t>
  </si>
  <si>
    <t>101bos1262640122</t>
  </si>
  <si>
    <t>Journal Posting Miscellaneous  21 SEP 26 05.30.52.865190 PM =&gt; 10109000006   BOT CLEARING   USD via FLEXCUBE TZAAO23326H2WBA</t>
  </si>
  <si>
    <t>101bos1262640081</t>
  </si>
  <si>
    <t>Journal Posting Miscellaneous  21 SEP 26 05.30.52.605506 PM =&gt; 10109000006   BOT CLEARING   USD via FLEXCUBE OT26219TZ0122021</t>
  </si>
  <si>
    <t>101bos1262640112</t>
  </si>
  <si>
    <t>Journal Posting Miscellaneous  21 SEP 26 05.30.52.794510 PM =&gt; 10109000006   BOT CLEARING   USD via FLEXCUBE TZAAO24326HM5I1</t>
  </si>
  <si>
    <t>101bos1262640083</t>
  </si>
  <si>
    <t>Journal Posting Miscellaneous  21 SEP 26 05.30.52.615685 PM =&gt; 10109000006   BOT CLEARING   USD via FLEXCUBE OT26215TZ0120720</t>
  </si>
  <si>
    <t>101bos1262640097</t>
  </si>
  <si>
    <t>Journal Posting Miscellaneous  21 SEP 26 05.30.52.691730 PM =&gt; 10109000006   BOT CLEARING   USD via FLEXCUBE TZAAO25126HZ0EW</t>
  </si>
  <si>
    <t>101bos1262640144</t>
  </si>
  <si>
    <t>Journal Posting Miscellaneous  21 SEP 26 05.30.53.010179 PM =&gt; 10109000006   BOT CLEARING   USD via FLEXCUBE TZAAO24526H0CXM</t>
  </si>
  <si>
    <t>101bos1262640037</t>
  </si>
  <si>
    <t>Journal Posting Miscellaneous  21 SEP 26 05.30.52.350624 PM =&gt; 10109000006   BOT CLEARING   USD via FLEXCUBE TZAAO21826HVZDV</t>
  </si>
  <si>
    <t>101bos1262640149</t>
  </si>
  <si>
    <t>Journal Posting Miscellaneous  21 SEP 26 05.30.53.042423 PM =&gt; 10109000006   BOT CLEARING   USD via FLEXCUBE TZAAO22926HF3TO</t>
  </si>
  <si>
    <t>101ZEXA2626401N0</t>
  </si>
  <si>
    <t>2621301947590067-20260919-A1</t>
  </si>
  <si>
    <t xml:space="preserve">Return of Inbound Payment   21 SEP 26 10.21.41.189261 PM   UNAPPLIED OTH UNABLE TO APPLY LACK OF CNTRL NUMBER   260921T000595764 </t>
  </si>
  <si>
    <t>101bos1262640031</t>
  </si>
  <si>
    <t>Journal Posting Miscellaneous  21 SEP 26 05.30.52.311731 PM =&gt; 10109000006   BOT CLEARING   USD via FLEXCUBE OT26239TZ0126974</t>
  </si>
  <si>
    <t>101bos1262640089</t>
  </si>
  <si>
    <t>Journal Posting Miscellaneous  21 SEP 26 05.30.52.646216 PM =&gt; 10109000006   BOT CLEARING   USD via FLEXCUBE OT26250TZ0130044</t>
  </si>
  <si>
    <t>101bos1262640032</t>
  </si>
  <si>
    <t>Journal Posting Miscellaneous  21 SEP 26 05.30.52.318139 PM =&gt; 10109000006   BOT CLEARING   USD via FLEXCUBE TZAAO22926HOHI6</t>
  </si>
  <si>
    <t>101bos1262640040</t>
  </si>
  <si>
    <t>Journal Posting Miscellaneous  21 SEP 26 05.30.52.368868 PM =&gt; 10109000006   BOT CLEARING   USD via FLEXCUBE 0088Tr9363063875</t>
  </si>
  <si>
    <t>101bos1262640020</t>
  </si>
  <si>
    <t>Journal Posting Miscellaneous  21 SEP 26 05.30.52.241163 PM =&gt; 10109000006   BOT CLEARING   USD via FLEXCUBE OT26218TZ0121670</t>
  </si>
  <si>
    <t>101bos1262640074</t>
  </si>
  <si>
    <t>Journal Posting Miscellaneous  21 SEP 26 05.30.52.566881 PM =&gt; 10109000006   BOT CLEARING   USD via FLEXCUBE TZAAO24526HPSLT</t>
  </si>
  <si>
    <t>311ZEXA26246001W</t>
  </si>
  <si>
    <t xml:space="preserve">Liquidation of Bill   21 SEP 26 06.46.36.883493 PM   10109000006  LIQD  FLEXCUBE </t>
  </si>
  <si>
    <t>101bos1262640035</t>
  </si>
  <si>
    <t>Journal Posting Miscellaneous  21 SEP 26 05.30.52.337796 PM =&gt; 10109000006   BOT CLEARING   USD via FLEXCUBE TZAAO21826HL7Q6</t>
  </si>
  <si>
    <t>101bos1262640143</t>
  </si>
  <si>
    <t>Journal Posting Miscellaneous  21 SEP 26 05.30.53.003789 PM =&gt; 10109000006   BOT CLEARING   USD via FLEXCUBE TZAAO24626H8LM4</t>
  </si>
  <si>
    <t>101bos1262640128</t>
  </si>
  <si>
    <t>Journal Posting Miscellaneous  21 SEP 26 05.30.52.908769 PM =&gt; 10109000006   BOT CLEARING   USD via FLEXCUBE TZAAO24526HK549</t>
  </si>
  <si>
    <t>101bos1262640045</t>
  </si>
  <si>
    <t>Journal Posting Miscellaneous  21 SEP 26 05.30.52.398132 PM =&gt; 10109000006   BOT CLEARING   USD via FLEXCUBE TZAAO24626HRMXG</t>
  </si>
  <si>
    <t>101bos1262640015</t>
  </si>
  <si>
    <t>Journal Posting Miscellaneous  21 SEP 26 05.30.52.209764 PM =&gt; 10109000006   BOT CLEARING   USD via FLEXCUBE TZAAO24526HYJ0A</t>
  </si>
  <si>
    <t>101bos1262640018</t>
  </si>
  <si>
    <t>Journal Posting Miscellaneous  21 SEP 26 05.30.52.228640 PM =&gt; 10109000006   BOT CLEARING   USD via FLEXCUBE TZAAO22226HPG9P</t>
  </si>
  <si>
    <t>101bos1262640043</t>
  </si>
  <si>
    <t>Journal Posting Miscellaneous  21 SEP 26 05.30.52.386906 PM =&gt; 10109000006   BOT CLEARING   USD via FLEXCUBE OT26232TZ0125140</t>
  </si>
  <si>
    <t>101bos1262640092</t>
  </si>
  <si>
    <t>Journal Posting Miscellaneous  21 SEP 26 05.30.52.662890 PM =&gt; 10109000006   BOT CLEARING   USD via FLEXCUBE TZAAO24626HKUB4</t>
  </si>
  <si>
    <t>101bos1262640108</t>
  </si>
  <si>
    <t>Journal Posting Miscellaneous  21 SEP 26 05.30.52.765940 PM =&gt; 10109000006   BOT CLEARING   USD via FLEXCUBE TZAAO21726HMQ7F</t>
  </si>
  <si>
    <t>101bos1262640080</t>
  </si>
  <si>
    <t>Journal Posting Miscellaneous  21 SEP 26 05.30.52.600448 PM =&gt; 10109000006   BOT CLEARING   USD via FLEXCUBE OT26226TZ0123852</t>
  </si>
  <si>
    <t>101bos1262640042</t>
  </si>
  <si>
    <t>Journal Posting Miscellaneous  21 SEP 26 05.30.52.380767 PM =&gt; 10109000006   BOT CLEARING   USD via FLEXCUBE R90RTGO262380403</t>
  </si>
  <si>
    <t>101bos1262640154</t>
  </si>
  <si>
    <t>Journal Posting Miscellaneous  21 SEP 26 05.30.53.077199 PM =&gt; 10109000006   BOT CLEARING   USD via FLEXCUBE TZAAO24526H8LKV</t>
  </si>
  <si>
    <t>101bos1262640019</t>
  </si>
  <si>
    <t>Journal Posting Miscellaneous  21 SEP 26 05.30.52.234744 PM =&gt; 10109000006   BOT CLEARING   USD via FLEXCUBE OT26233TZ0125514</t>
  </si>
  <si>
    <t>101bos1262640139</t>
  </si>
  <si>
    <t>Journal Posting Miscellaneous  21 SEP 26 05.30.52.979804 PM =&gt; 10109000006   BOT CLEARING   USD via FLEXCUBE TZAAO24526H2DMS</t>
  </si>
  <si>
    <t>101bos1262640033</t>
  </si>
  <si>
    <t>Journal Posting Miscellaneous  21 SEP 26 05.30.52.324647 PM =&gt; 10109000006   BOT CLEARING   USD via FLEXCUBE TZAAO22926H3JVA</t>
  </si>
  <si>
    <t>101bos1262640151</t>
  </si>
  <si>
    <t>Journal Posting Miscellaneous  21 SEP 26 05.30.53.055692 PM =&gt; 10109000006   BOT CLEARING   USD via FLEXCUBE TZAAO24526HKQAL</t>
  </si>
  <si>
    <t>101bos1262640064</t>
  </si>
  <si>
    <t>Journal Posting Miscellaneous  21 SEP 26 05.30.52.507747 PM =&gt; 10109000006   BOT CLEARING   USD via FLEXCUBE OT26243TZ0128085</t>
  </si>
  <si>
    <t>101bos1262640106</t>
  </si>
  <si>
    <t>Journal Posting Miscellaneous  21 SEP 26 05.30.52.752421 PM =&gt; 10109000006   BOT CLEARING   USD via FLEXCUBE TZAAO24026HPKB9</t>
  </si>
  <si>
    <t>101bos1262640100</t>
  </si>
  <si>
    <t>Journal Posting Miscellaneous  21 SEP 26 05.30.52.709370 PM =&gt; 10109000006   BOT CLEARING   USD via FLEXCUBE TZAAO24726HBQGJ</t>
  </si>
  <si>
    <t>101bos1262640048</t>
  </si>
  <si>
    <t>Journal Posting Miscellaneous  21 SEP 26 05.30.52.414270 PM =&gt; 10109000006   BOT CLEARING   USD via FLEXCUBE TZAAO24626HB97M</t>
  </si>
  <si>
    <t>101bos1262640145</t>
  </si>
  <si>
    <t>Journal Posting Miscellaneous  21 SEP 26 05.30.53.016314 PM =&gt; 10109000006   BOT CLEARING   USD via FLEXCUBE TZAAO24526HMRZS</t>
  </si>
  <si>
    <t>101bos1262640075</t>
  </si>
  <si>
    <t>Journal Posting Miscellaneous  21 SEP 26 05.30.52.572488 PM =&gt; 10109000006   BOT CLEARING   USD via FLEXCUBE P260907C00001673</t>
  </si>
  <si>
    <t>101bos1262640104</t>
  </si>
  <si>
    <t>Journal Posting Miscellaneous  21 SEP 26 05.30.52.738019 PM =&gt; 10109000006   BOT CLEARING   USD via FLEXCUBE TZAAO22326HKAL1</t>
  </si>
  <si>
    <t>101bos1262640065</t>
  </si>
  <si>
    <t>Journal Posting Miscellaneous  21 SEP 26 05.30.52.514118 PM =&gt; 10109000006   BOT CLEARING   USD via FLEXCUBE TZAAO23426HUN8A</t>
  </si>
  <si>
    <t>101bos1262640076</t>
  </si>
  <si>
    <t>Journal Posting Miscellaneous  21 SEP 26 05.30.52.578056 PM =&gt; 10109000006   BOT CLEARING   USD via FLEXCUBE TZAAO25126HSRH4</t>
  </si>
  <si>
    <t>101bos1262640073</t>
  </si>
  <si>
    <t>Journal Posting Miscellaneous  21 SEP 26 05.30.52.561039 PM =&gt; 10109000006   BOT CLEARING   USD via FLEXCUBE RTOMICC01088236</t>
  </si>
  <si>
    <t>101bos1262640094</t>
  </si>
  <si>
    <t>Journal Posting Miscellaneous  21 SEP 26 05.30.52.673673 PM =&gt; 10109000006   BOT CLEARING   USD via FLEXCUBE TZAAO24626HFB5D</t>
  </si>
  <si>
    <t>101bos1262640013</t>
  </si>
  <si>
    <t>Journal Posting Miscellaneous  21 SEP 26 05.30.52.197643 PM =&gt; 10109000006   BOT CLEARING   USD via FLEXCUBE TZ1OL260819025B1</t>
  </si>
  <si>
    <t>101bos1262640124</t>
  </si>
  <si>
    <t>Journal Posting Miscellaneous  21 SEP 26 05.30.52.880295 PM =&gt; 10109000006   BOT CLEARING   USD via FLEXCUBE TZAAO24526HADYA</t>
  </si>
  <si>
    <t>101bos1262640123</t>
  </si>
  <si>
    <t>Journal Posting Miscellaneous  21 SEP 26 05.30.52.872023 PM =&gt; 10109000006   BOT CLEARING   USD via FLEXCUBE TZAAO24326HM9A8</t>
  </si>
  <si>
    <t>101bos1262640044</t>
  </si>
  <si>
    <t>Journal Posting Miscellaneous  21 SEP 26 05.30.52.392890 PM =&gt; 10109000006   BOT CLEARING   USD via FLEXCUBE TZAAO22926HUO3O</t>
  </si>
  <si>
    <t>101bos1262640095</t>
  </si>
  <si>
    <t>Journal Posting Miscellaneous  21 SEP 26 05.30.52.679440 PM =&gt; 10109000006   BOT CLEARING   USD via FLEXCUBE OT26238TZ0126510</t>
  </si>
  <si>
    <t>101bos1262640004</t>
  </si>
  <si>
    <t>Journal Posting Miscellaneous  21 SEP 26 05.30.52.147593 PM =&gt; 10109000006   BOT CLEARING   USD via FLEXCUBE P260910C00001527</t>
  </si>
  <si>
    <t>101um01262640015</t>
  </si>
  <si>
    <t>Journal Posting Miscellaneous  21 SEP 26 08.17.29.775437 PM =&gt; 10109000006   BOT CLEARING   USD via FLEXCUBE 17858305330460 rev of wrong posted twice transaction 0n 07.08.2026 and 12.08.2026</t>
  </si>
  <si>
    <t>101bos1262640010</t>
  </si>
  <si>
    <t>Journal Posting Miscellaneous  21 SEP 26 05.30.52.182046 PM =&gt; 10109000006   BOT CLEARING   USD via FLEXCUBE OT26233TZ0125515</t>
  </si>
  <si>
    <t>101bos1262640093</t>
  </si>
  <si>
    <t>Journal Posting Miscellaneous  21 SEP 26 05.30.52.668271 PM =&gt; 10109000006   BOT CLEARING   USD via FLEXCUBE TZAAO25226H8OWA</t>
  </si>
  <si>
    <t>101bos1262640034</t>
  </si>
  <si>
    <t>Journal Posting Miscellaneous  21 SEP 26 05.30.52.331485 PM =&gt; 10109000006   BOT CLEARING   USD via FLEXCUBE OT26239TZ0127005</t>
  </si>
  <si>
    <t>101bos1262640008</t>
  </si>
  <si>
    <t>Journal Posting Miscellaneous  21 SEP 26 05.30.52.170578 PM =&gt; 10109000006   BOT CLEARING   USD via FLEXCUBE OT26219TZ0122357</t>
  </si>
  <si>
    <t>101bos1262640007</t>
  </si>
  <si>
    <t>Journal Posting Miscellaneous  21 SEP 26 05.30.52.164978 PM =&gt; 10109000006   BOT CLEARING   USD via FLEXCUBE TZAAO21826HB2F3</t>
  </si>
  <si>
    <t>101bos1262640088</t>
  </si>
  <si>
    <t>Journal Posting Miscellaneous  21 SEP 26 05.30.52.640944 PM =&gt; 10109000006   BOT CLEARING   USD via FLEXCUBE OT26250TZ0130043</t>
  </si>
  <si>
    <t>101bos1262640120</t>
  </si>
  <si>
    <t>Journal Posting Miscellaneous  21 SEP 26 05.30.52.850190 PM =&gt; 10109000006   BOT CLEARING   USD via FLEXCUBE TZAAO22926H1256</t>
  </si>
  <si>
    <t>101bos1262640150</t>
  </si>
  <si>
    <t>Journal Posting Miscellaneous  21 SEP 26 05.30.53.048967 PM =&gt; 10109000006   BOT CLEARING   USD via FLEXCUBE TZAAO23226HN5KN</t>
  </si>
  <si>
    <t>101bos1262640001</t>
  </si>
  <si>
    <t>Journal Posting Miscellaneous  21 SEP 26 05.30.52.126150 PM =&gt; 10109000006   BOT CLEARING   USD via FLEXCUBE OT26243TZ0128303</t>
  </si>
  <si>
    <t>101bos1262640011</t>
  </si>
  <si>
    <t>Journal Posting Miscellaneous  21 SEP 26 05.30.52.187129 PM =&gt; 10109000006   BOT CLEARING   USD via FLEXCUBE TZAAO21826H893K</t>
  </si>
  <si>
    <t>101bos1262640148</t>
  </si>
  <si>
    <t>Journal Posting Miscellaneous  21 SEP 26 05.30.53.035407 PM =&gt; 10109000006   BOT CLEARING   USD via FLEXCUBE TZAAO22926HD0XG</t>
  </si>
  <si>
    <t>101um01262640011</t>
  </si>
  <si>
    <t>Journal Posting Miscellaneous  21 SEP 26 08.17.29.778643 PM =&gt; 10109000006   BOT CLEARING   USD via FLEXCUBE TZ1OL260806027S3 rev of wrong posted twice transaction 0n 07.08.2026 and 12.08.2026</t>
  </si>
  <si>
    <t>101bos1262640116</t>
  </si>
  <si>
    <t>Journal Posting Miscellaneous  21 SEP 26 05.30.52.822140 PM =&gt; 10109000006   BOT CLEARING   USD via FLEXCUBE TZAAO22326HTCI2</t>
  </si>
  <si>
    <t>101bos1262640066</t>
  </si>
  <si>
    <t>Journal Posting Miscellaneous  21 SEP 26 05.30.52.519803 PM =&gt; 10109000006   BOT CLEARING   USD via FLEXCUBE OT26225TZ0123471</t>
  </si>
  <si>
    <t>101bos1262640103</t>
  </si>
  <si>
    <t>Journal Posting Miscellaneous  21 SEP 26 05.30.52.731058 PM =&gt; 10109000006   BOT CLEARING   USD via FLEXCUBE OT26238TZ0126513</t>
  </si>
  <si>
    <t>101bos1262640109</t>
  </si>
  <si>
    <t>Journal Posting Miscellaneous  21 SEP 26 05.30.52.773109 PM =&gt; 10109000006   BOT CLEARING   USD via FLEXCUBE TZAAO24626H5K62</t>
  </si>
  <si>
    <t>101fk05262640003</t>
  </si>
  <si>
    <t xml:space="preserve">Trade Finance Single Journal Posting 21 SEP 26 09.01.18.719808 PM =&gt; 10109000006   BOT CLEARING   USD via FLEXCUBE R/E WRONGLY POSTED REF  201BCIU262300502 </t>
  </si>
  <si>
    <t>101um01262640016</t>
  </si>
  <si>
    <t>Journal Posting Miscellaneous  21 SEP 26 08.17.29.728474 PM =&gt; 10109000006   BOT CLEARING   USD via FLEXCUBE 17858299583615 rev of wrong posted twice transaction 0n 07.08.2026 and 12.08.2026</t>
  </si>
  <si>
    <t>101bos1262640141</t>
  </si>
  <si>
    <t>Journal Posting Miscellaneous  21 SEP 26 05.30.52.992200 PM =&gt; 10109000006   BOT CLEARING   USD via FLEXCUBE TZAAO21826HG0IG</t>
  </si>
  <si>
    <t>101bos1262640130</t>
  </si>
  <si>
    <t>Journal Posting Miscellaneous  21 SEP 26 05.30.52.922088 PM =&gt; 10109000006   BOT CLEARING   USD via FLEXCUBE TZAAO23326H9TI1</t>
  </si>
  <si>
    <t>101bos1262640087</t>
  </si>
  <si>
    <t>Journal Posting Miscellaneous  21 SEP 26 05.30.52.635687 PM =&gt; 10109000006   BOT CLEARING   USD via FLEXCUBE OT26248TZ0129932</t>
  </si>
  <si>
    <t>101bos1262640041</t>
  </si>
  <si>
    <t>Journal Posting Miscellaneous  21 SEP 26 05.30.52.374699 PM =&gt; 10109000006   BOT CLEARING   USD via FLEXCUBE OT26219TZ0122052</t>
  </si>
  <si>
    <t>101bos1262640038</t>
  </si>
  <si>
    <t>Journal Posting Miscellaneous  21 SEP 26 05.30.52.356703 PM =&gt; 10109000006   BOT CLEARING   USD via FLEXCUBE RTOMICC01088275</t>
  </si>
  <si>
    <t>101bos1262640039</t>
  </si>
  <si>
    <t>Journal Posting Miscellaneous  21 SEP 26 05.30.52.362853 PM =&gt; 10109000006   BOT CLEARING   USD via FLEXCUBE TZAAO21826HVO4R</t>
  </si>
  <si>
    <t>101bos1262640121</t>
  </si>
  <si>
    <t>Journal Posting Miscellaneous  21 SEP 26 05.30.52.858378 PM =&gt; 10109000006   BOT CLEARING   USD via FLEXCUBE TZAAO23026HKZEV</t>
  </si>
  <si>
    <t>101bos1262640147</t>
  </si>
  <si>
    <t>Journal Posting Miscellaneous  21 SEP 26 05.30.53.028692 PM =&gt; 10109000006   BOT CLEARING   USD via FLEXCUBE TZAAO21926HO5KY</t>
  </si>
  <si>
    <t>101al16262640002</t>
  </si>
  <si>
    <t>Trade Finance Single Journal Posting 21 SEP 26 07.12.12.127538 PM =&gt; 10109000006   BOT CLEARING   USD via FLEXCUBE PUMA ENERGY TANZANIA LIMITED via FLEXCUBE LOAN NO. 201WT10262510001 TO LIQUIDATED LC NO. 201LC02261890502</t>
  </si>
  <si>
    <t>101um01262640017</t>
  </si>
  <si>
    <t>Journal Posting Miscellaneous  21 SEP 26 08.17.29.742882 PM =&gt; 10109000006   BOT CLEARING   USD via FLEXCUBE TZAAO21626HQA5X rev of wrong posted twice transaction 0n 07.08.2026 and 12.08.2026</t>
  </si>
  <si>
    <t>101um01262640010</t>
  </si>
  <si>
    <t>Journal Posting Miscellaneous  21 SEP 26 08.17.29.717915 PM =&gt; 10109000006   BOT CLEARING   USD via FLEXCUBE TZ2OL26080602571 rev of wrong posted twice transaction 0n 07.08.2026 and 12.08.2026</t>
  </si>
  <si>
    <t>101bos1262640028</t>
  </si>
  <si>
    <t>Journal Posting Miscellaneous  21 SEP 26 05.30.52.288615 PM =&gt; 10109000006   BOT CLEARING   USD via FLEXCUBE RTOMICC01084722</t>
  </si>
  <si>
    <t>101bos1262640117</t>
  </si>
  <si>
    <t>Journal Posting Miscellaneous  21 SEP 26 05.30.52.828694 PM =&gt; 10109000006   BOT CLEARING   USD via FLEXCUBE TZAAO23326H4U8E</t>
  </si>
  <si>
    <t>101bos1262640016</t>
  </si>
  <si>
    <t>Journal Posting Miscellaneous  21 SEP 26 05.30.52.216064 PM =&gt; 10109000006   BOT CLEARING   USD via FLEXCUBE TZAAO22226HQ0A0</t>
  </si>
  <si>
    <t>101bos1262640153</t>
  </si>
  <si>
    <t>Journal Posting Miscellaneous  21 SEP 26 05.30.53.070626 PM =&gt; 10109000006   BOT CLEARING   USD via FLEXCUBE TZAAO24526HXS6Q</t>
  </si>
  <si>
    <t>101bos1262640059</t>
  </si>
  <si>
    <t>Journal Posting Miscellaneous  21 SEP 26 05.30.52.478951 PM =&gt; 10109000006   BOT CLEARING   USD via FLEXCUBE TZAAO24026HUXOO</t>
  </si>
  <si>
    <t>101bos1262640129</t>
  </si>
  <si>
    <t>Journal Posting Miscellaneous  21 SEP 26 05.30.52.915513 PM =&gt; 10109000006   BOT CLEARING   USD via FLEXCUBE TZAAO23026HT41Z</t>
  </si>
  <si>
    <t>101bos1262640069</t>
  </si>
  <si>
    <t>Journal Posting Miscellaneous  21 SEP 26 05.30.52.537659 PM =&gt; 10109000006   BOT CLEARING   USD via FLEXCUBE TZAAO25326HX5RX</t>
  </si>
  <si>
    <t>101bos1262640047</t>
  </si>
  <si>
    <t>Journal Posting Miscellaneous  21 SEP 26 05.30.52.408792 PM =&gt; 10109000006   BOT CLEARING   USD via FLEXCUBE P260814C00003057</t>
  </si>
  <si>
    <t>101bos1262640029</t>
  </si>
  <si>
    <t>Journal Posting Miscellaneous  21 SEP 26 05.30.52.295451 PM =&gt; 10109000006   BOT CLEARING   USD via FLEXCUBE OT26231TZ0124855</t>
  </si>
  <si>
    <t>101bos1262640138</t>
  </si>
  <si>
    <t>Journal Posting Miscellaneous  21 SEP 26 05.30.52.973923 PM =&gt; 10109000006   BOT CLEARING   USD via FLEXCUBE TZAAO24526HI3SM</t>
  </si>
  <si>
    <t>101bos1262640036</t>
  </si>
  <si>
    <t>Journal Posting Miscellaneous  21 SEP 26 05.30.52.344094 PM =&gt; 10109000006   BOT CLEARING   USD via FLEXCUBE P260814C00003059</t>
  </si>
  <si>
    <t>101bos1262640062</t>
  </si>
  <si>
    <t>Journal Posting Miscellaneous  21 SEP 26 05.30.52.495915 PM =&gt; 10109000006   BOT CLEARING   USD via FLEXCUBE OT26239TZ0127146</t>
  </si>
  <si>
    <t>2026/09/22</t>
  </si>
  <si>
    <t>101ian2262650014</t>
  </si>
  <si>
    <t>Journal Posting Miscellaneous  22 SEP 26 06.40.41.313117 PM =&gt; 10109000006   BOT CLEARING   USD via FLEXCUBE REF: TZ1OL260918025IJ NARRATION  FDR</t>
  </si>
  <si>
    <t>101o148262650001</t>
  </si>
  <si>
    <t>OPICS 22 SEP 26 06.58.58.857611 PM =&gt; 10109000006   BOT CLEARING   USD via OPICS 1081938    LAKEOIL      USD   TZS   2658.00000000    1000000.0000</t>
  </si>
  <si>
    <t>101yf8r262650001</t>
  </si>
  <si>
    <t>Funds Transfer  22 SEP 26 05.36.20.461427 PM =&gt; 10109000006   BOT CLEARING   USD via UPLOAD USD NET SETTLEMENT AS AT 22.09.2026</t>
  </si>
  <si>
    <t>253SBRN2626500RV</t>
  </si>
  <si>
    <t>GWX103483122779</t>
  </si>
  <si>
    <t xml:space="preserve">Return of Inbound Payment   22 SEP 26 04.46.39.100017 PM      4CTZ000262657S9F </t>
  </si>
  <si>
    <t>311ZEXA26246001U</t>
  </si>
  <si>
    <t xml:space="preserve">Liquidation of Bill   22 SEP 26 08.53.59.157385 PM   10109000006  LIQD  FLEXCUBE </t>
  </si>
  <si>
    <t>311ZEXA2624600U1</t>
  </si>
  <si>
    <t xml:space="preserve">Liquidation of Bill   22 SEP 26 06.51.19.138905 PM   10109000006  LIQD  FLEXCUBE </t>
  </si>
  <si>
    <t>253SBRN262650001</t>
  </si>
  <si>
    <t>CTZ000262657S9F</t>
  </si>
  <si>
    <t>da612ca7-736f-471f-9f31-d3a99c30ab6e</t>
  </si>
  <si>
    <t>Outgoing Funds Transfer   22 SEP 26 11.22.14.766581 AM   SYBRIN from SEBASTIAN ANGELLO NYAMLE  to 0146005136  0146005136. Remark: MANUNUZI YA GARI</t>
  </si>
  <si>
    <t>101o147262650001</t>
  </si>
  <si>
    <t>OPICS 22 SEP 26 06.58.58.248224 PM =&gt; 10109000006   BOT CLEARING   USD via OPICS 2012074    MWANGA</t>
  </si>
  <si>
    <t>101o056262650001</t>
  </si>
  <si>
    <t>OPICS 22 SEP 26 06.58.10.737102 PM =&gt; 10109000006   BOT CLEARING   USD via OPICS 2012117    MWANGA</t>
  </si>
  <si>
    <t>311ZEXA26246001V</t>
  </si>
  <si>
    <t xml:space="preserve">Liquidation of Bill   22 SEP 26 07.16.19.132718 PM   10109000006  LIQD  FLEXCUBE </t>
  </si>
  <si>
    <t>101o057262650001</t>
  </si>
  <si>
    <t>OPICS 22 SEP 26 06.58.11.207331 PM =&gt; 10109000006   BOT CLEARING   USD via OPICS 1081939    TADB         USD   TZS   2655.00000000   1217817.6000</t>
  </si>
  <si>
    <t>2026/09/23</t>
  </si>
  <si>
    <t>408ZEXA2626600WT</t>
  </si>
  <si>
    <t>2309BB33C978</t>
  </si>
  <si>
    <t>268f3842-b9fb-41fd-a0c1-b7165accd501</t>
  </si>
  <si>
    <t xml:space="preserve">Outgoing Funds Transfer   23 SEP 26 02.21.41.062379 PM   OBDX from NDONYA TRAVEL LIMITED  to KILIMANJARO LUXURY TENTED CAMPS  086105000310. Remark: </t>
  </si>
  <si>
    <t>408ZEXA2626600WS</t>
  </si>
  <si>
    <t>230947E184E9</t>
  </si>
  <si>
    <t>b09e6666-cc5f-45f5-9f58-545f40fcabfc</t>
  </si>
  <si>
    <t xml:space="preserve">Outgoing Funds Transfer   23 SEP 26 02.21.30.966883 PM   OBDX from SERENGETI WAKANDA TOURS AND SAFARIS  to KARIBU CAMPS AND LODGES LIMITEDOPERATIONS  0260000817. Remark: </t>
  </si>
  <si>
    <t>101yiia262660002</t>
  </si>
  <si>
    <t>Funds Transfer  23 SEP 26 04.10.20.082729 PM =&gt; 10109000006   BOT CLEARING   USD via UPLOAD NET SETTLEMENT DD 23.09.2026</t>
  </si>
  <si>
    <t>101o076262660001</t>
  </si>
  <si>
    <t>OPICS 23 SEP 26 05.38.48.598614 PM =&gt; 10109000006   BOT CLEARING   USD via OPICS 1081944    AIRTEL       USD   TZS   2660.00000000    2000000.0000</t>
  </si>
  <si>
    <t>101DPWD262660001</t>
  </si>
  <si>
    <t>DPWDARE1000001911</t>
  </si>
  <si>
    <t>Utility Payment   23 SEP 26 02.32.55.068479 PM    Sender's Ref: TZAAO26626HLJJL  Sender Account: 6009304  Sender Name: NISOMAR MARITIME AND LOGISTICS LTD  Remittance Info: DPWDARE1000001911</t>
  </si>
  <si>
    <t>408ZEXA2626600WR</t>
  </si>
  <si>
    <t>2309764D5C9E</t>
  </si>
  <si>
    <t>3a1f17ac-1b29-4158-a877-1ea40b335186</t>
  </si>
  <si>
    <t>Outgoing Funds Transfer   23 SEP 26 02.21.30.597020 PM   OBDX from AFRICA TRAVEL BUREAU LTD  to MELIA ZANZIBAR  0038000799. Remark: VAN DEN BROEK</t>
  </si>
  <si>
    <t>2026/09/24</t>
  </si>
  <si>
    <t>101o023262670001</t>
  </si>
  <si>
    <t>OPICS 24 SEP 26 06.42.36.882804 PM =&gt; 10109000006   BOT CLEARING   USD via OPICS 2012093    AZANIA</t>
  </si>
  <si>
    <t>101ylxh262670002</t>
  </si>
  <si>
    <t>Funds Transfer  24 SEP 26 03.48.19.869195 PM =&gt; 10109000006   BOT CLEARING   USD via UPLOAD NET SETTLEMENT DD 24.09.2026</t>
  </si>
  <si>
    <t>101103y262670178</t>
  </si>
  <si>
    <t>Journal Posting Miscellaneous  24 SEP 26 05.37.24.714790 PM =&gt; 10109000006   BOT CLEARING   USD via FLEXCUBE REF 260805T000565920</t>
  </si>
  <si>
    <t>101jos6262670002</t>
  </si>
  <si>
    <t>Journal Posting Miscellaneous  24 SEP 26 06.13.02.051719 PM =&gt; 10109000006   BOT CLEARING   USD via FLEXCUBE REVESAL OF ENTITY    P260917C00001937    dd260917  Rns AS PER RECALL</t>
  </si>
  <si>
    <t>101o037262670001</t>
  </si>
  <si>
    <t>OPICS 24 SEP 26 06.42.44.922487 PM =&gt; 10109000006   BOT CLEARING   USD via OPICS 2012095    AZANIA</t>
  </si>
  <si>
    <t>311ZEXA2626501KW</t>
  </si>
  <si>
    <t xml:space="preserve">Liquidation of Bill   24 SEP 26 06.26.23.289941 PM   10109000006  LIQD  FLEXCUBE </t>
  </si>
  <si>
    <t>2026/09/25</t>
  </si>
  <si>
    <t>101103o262680054</t>
  </si>
  <si>
    <t>Journal Posting Miscellaneous  25 SEP 26 01.30.51.005604 PM =&gt; 10109000006   BOT CLEARING   USD via FLEXCUBE NMBFUN2808026</t>
  </si>
  <si>
    <t>101FTIN262687056</t>
  </si>
  <si>
    <t>3bb48f21-161f-4dec-9c60-789ba959eb9f</t>
  </si>
  <si>
    <t>Incoming Funds Transfer  Incomming SWIFT   RTGSMX 25 SEP 26 02.44.54.120702 PM  101FTIN262687056   NSB  Sender's Ref: P260922C00000071  Sender Account: 0100011096  Sender Name: MEDITERRANEAN SHIPPING COMPANY (TAN  Remittance Info: /Internet Banking /P01 /CTIS262651353173:MEDUWZ569617</t>
  </si>
  <si>
    <t>101ian1262680009</t>
  </si>
  <si>
    <t>Journal Posting Miscellaneous  25 SEP 26 01.19.22.104255 PM =&gt; 10109000006   BOT CLEARING   USD via FLEXCUBE RTN RTN443148.78  0309A5598362  dd20260923 rsn AS PER RECALL</t>
  </si>
  <si>
    <t>101nk22262680019</t>
  </si>
  <si>
    <t>Journal Posting Miscellaneous  25 SEP 26 10.47.34.138330 AM =&gt; 10109000006   BOT CLEARING   USD via FLEXCUBE RTN P260908C00001425  0809D6F18FD0  dd260908  Rns Restricted forex application</t>
  </si>
  <si>
    <t>101tz7p262680014</t>
  </si>
  <si>
    <t xml:space="preserve">Journal Posting Miscellaneous  25 SEP 26 03.47.23.799139 PM =&gt; 10109000006   BOT CLEARING   USD via FLEXCUBE RTN     CM4CE789B1CDC4 237IBOT262090003   dd260828  Rns BILLER PAYMENT VALIDATION </t>
  </si>
  <si>
    <t>101tz7p262680004</t>
  </si>
  <si>
    <t>Journal Posting Miscellaneous  25 SEP 26 03.47.24.040803 PM =&gt; 10109000006   BOT CLEARING   USD via FLEXCUBE REVESAL OF ENTRY 17876929940763  dd26020826  Rsn AS PER RECALL</t>
  </si>
  <si>
    <t>101ypcp262680002</t>
  </si>
  <si>
    <t>Funds Transfer  25 SEP 26 04.06.20.322724 PM =&gt; 10109000006   BOT CLEARING   USD via UPLOAD net settlement dd 25.09.2026</t>
  </si>
  <si>
    <t>101nk22262680007</t>
  </si>
  <si>
    <t>Journal Posting Miscellaneous  25 SEP 26 10.47.33.688640 AM =&gt; 10109000006   BOT CLEARING   USD via FLEXCUBE RTN  DTB/1684/2026  1709C3FDA490   dd260917  Rns Unable to apply</t>
  </si>
  <si>
    <t>101al38262680002</t>
  </si>
  <si>
    <t>Trade Finance Single Journal Posting 25 SEP 26 06.41.52.338283 PM =&gt; 10109000006   BOT CLEARING   USD via FLEXCUBE SETTLEMENT FOR MATURED LC NO. 201LC02261830001</t>
  </si>
  <si>
    <t>101103o262680056</t>
  </si>
  <si>
    <t>Journal Posting Miscellaneous  25 SEP 26 01.30.51.070916 PM =&gt; 10109000006   BOT CLEARING   USD via FLEXCUBE NMBFUN2808026</t>
  </si>
  <si>
    <t>408ZEXA26268008P</t>
  </si>
  <si>
    <t>2409470815AF</t>
  </si>
  <si>
    <t xml:space="preserve">Return of Inbound Payment   25 SEP 26 04.44.21.305761 PM      4CTZ000262689BVD </t>
  </si>
  <si>
    <t>2026/09/26</t>
  </si>
  <si>
    <t>101yst1262690002</t>
  </si>
  <si>
    <t>Funds Transfer  26 SEP 26 02.06.19.653338 PM =&gt; 10109000006   BOT CLEARING   USD via UPLOAD NET SETTLEMENT DD 26.09.2026</t>
  </si>
  <si>
    <t>101jos2262690005</t>
  </si>
  <si>
    <t xml:space="preserve">Journal Posting Miscellaneous  26 SEP 26 01.02.02.386055 PM =&gt; 10109000006   BOT CLEARING   USD via FLEXCUBE RTN  428IBOT261891008 dd20260708 rsn Unable to apply </t>
  </si>
  <si>
    <t>2026/09/28</t>
  </si>
  <si>
    <t>311ZEXA2626400RZ</t>
  </si>
  <si>
    <t xml:space="preserve">Liquidation of Bill   28 SEP 26 01.41.35.923383 PM   10109000006  LIQD  FLEXCUBE </t>
  </si>
  <si>
    <t>311ZEXA262640009</t>
  </si>
  <si>
    <t xml:space="preserve">Liquidation of Bill   28 SEP 26 01.45.35.948454 PM   10109000006  LIQD  FLEXCUBE </t>
  </si>
  <si>
    <t>101bos2262710003</t>
  </si>
  <si>
    <t>Journal Posting Miscellaneous  28 SEP 26 05.04.27.883843 PM =&gt; 10109000006   BOT CLEARING   USD via FLEXCUBE RTN RTN 18645 52 USD 04099ED43FB1  dd260904  RnsAs per recall</t>
  </si>
  <si>
    <t>228ZEXA2627100SD</t>
  </si>
  <si>
    <t>28090C10A0B9</t>
  </si>
  <si>
    <t>7be39bef-db49-46e4-bae0-1927f6467b69</t>
  </si>
  <si>
    <t>Outgoing Funds Transfer   28 SEP 26 04.11.30.422398 PM   OBDX from JUMA INTERNATIONAL PLASTICS LIMITED  to USD GULF BADR GROUP  TANZANIA LIMITEDCOLLECTION  30003396004. Remark: Ctn Dep of  143664337997</t>
  </si>
  <si>
    <t>311ZEXA2626400RY</t>
  </si>
  <si>
    <t xml:space="preserve">Liquidation of Bill   28 SEP 26 01.38.55.946352 PM   10109000006  LIQD  FLEXCUBE </t>
  </si>
  <si>
    <t>101o024262710001</t>
  </si>
  <si>
    <t>OPICS 28 SEP 26 05.52.44.463263 PM =&gt; 10109000006   BOT CLEARING   USD via OPICS 1081989    DCB          USD   TZS   2659.00000000    200000.0000</t>
  </si>
  <si>
    <t>226ZEXA2627100T3</t>
  </si>
  <si>
    <t>2809714B1E22</t>
  </si>
  <si>
    <t>1d81345e-6625-4fdc-a653-26c5250104c1</t>
  </si>
  <si>
    <t>Outgoing Funds Transfer   28 SEP 26 04.12.01.323960 PM   OBDX from BTD SAFARI LIMITED  to THE MANAGER IATA BSP HINGE ACCOUNT  8708020341500. Remark: 83201274</t>
  </si>
  <si>
    <t>101ZEXA262710155</t>
  </si>
  <si>
    <t>2621301947590067-20260926-A1</t>
  </si>
  <si>
    <t xml:space="preserve">Return of Inbound Payment   28 SEP 26 05.31.01.804848 PM   UNAPPLIED DC04 MISSING BENEFICIARY REFERENCE OR CONTROL NUMBER   260928T000599205 </t>
  </si>
  <si>
    <t>101o065262710001</t>
  </si>
  <si>
    <t>OPICS 29 SEP 26 02.41.27.692478 AM =&gt; 10109000006   BOT CLEARING   USD via FLEXCUBE 1081984    DCB          USD   TZS   2659.00000000    500000.0000</t>
  </si>
  <si>
    <t>311ZEXA2626501KX</t>
  </si>
  <si>
    <t xml:space="preserve">Liquidation of Bill   28 SEP 26 02.32.15.944210 PM   10109000006  LIQD  FLEXCUBE </t>
  </si>
  <si>
    <t>311ZEXA262640008</t>
  </si>
  <si>
    <t xml:space="preserve">Liquidation of Bill   28 SEP 26 01.47.55.940548 PM   10109000006  LIQD  FLEXCUBE </t>
  </si>
  <si>
    <t>101al42262710002</t>
  </si>
  <si>
    <t>Trade Finance Single Journal Posting 28 SEP 26 07.51.02.270725 PM =&gt; 10109000006   BOT CLEARING   USD via FLEXCUBE SETTLEMENT FOR MATURED LC REF 201LC02262100001</t>
  </si>
  <si>
    <t>101ian1262710002</t>
  </si>
  <si>
    <t>Journal Posting Miscellaneous  28 SEP 26 09.26.48.936751 AM =&gt; 10109000006   BOT CLEARING   USD via FLEXCUBE REVESAL OF ENTITY    HZ1JVNUJ6M1439D9   dd260811  Rns as per recall</t>
  </si>
  <si>
    <t>101DPWD262712002</t>
  </si>
  <si>
    <t>DPWDARE0000124579</t>
  </si>
  <si>
    <t>Utility Payment   28 SEP 26 04.35.52.106133 PM    Sender's Ref: OT26271TZ0135851  Sender Account: 9120003041407  Sender Name: MEDITERRANEAN SHIPPING COMPANY  Remittance Info: DPWDARE0000124579</t>
  </si>
  <si>
    <t>101yxkl262710002</t>
  </si>
  <si>
    <t>Funds Transfer  28 SEP 26 04.58.25.340562 PM =&gt; 10109000006   BOT CLEARING   USD via UPLOAD USD NET SETTLEMENT AS AT 28.09.2026</t>
  </si>
  <si>
    <t>OPICS 28 SEP 26 06.28.49.577535 PM =&gt; 10109000006   BOT CLEARING   USD via OPICS 1081984    DCB          USD   TZS   2659.00000000    500000.0000</t>
  </si>
  <si>
    <t>228ZEXA2627100SC</t>
  </si>
  <si>
    <t>28097AAF2747</t>
  </si>
  <si>
    <t>37511845-d427-4b37-8704-746feb2dc80a</t>
  </si>
  <si>
    <t>Outgoing Funds Transfer   28 SEP 26 04.11.29.058538 PM   OBDX from JUMA INTERNATIONAL PLASTICS LIMITED  to AFRICAN SHIPPING LIMITED  0250390550100. Remark: Ctn Dep of TRTNTAO260000967</t>
  </si>
  <si>
    <t>2026/09/29</t>
  </si>
  <si>
    <t>101joy5262720007</t>
  </si>
  <si>
    <t>Journal Posting Miscellaneous  29 SEP 26 04.44.37.154591 PM =&gt; 10109000006   BOT CLEARING   USD via FLEXCUBE TZ1OL260806027S3 Incoming FT from TBEA CO LTD (T) LIMITED (wrongly reversed on 21/09/2026)</t>
  </si>
  <si>
    <t>101o082262720001</t>
  </si>
  <si>
    <t>OPICS 29 SEP 26 05.25.04.562710 PM =&gt; 10109000006   BOT CLEARING   USD via OPICS 2012117    MWANGA</t>
  </si>
  <si>
    <t>204ZEXA2627200SL</t>
  </si>
  <si>
    <t>2909EDF9CB61</t>
  </si>
  <si>
    <t>0e838359-2606-4631-9974-34217a34d653</t>
  </si>
  <si>
    <t>Outgoing Funds Transfer   29 SEP 26 12.10.22.241255 PM   OBDX from WEST FREIGHT AGENCIES CO LTD  to MAERSK TANZANIA  100269056. Remark: 275066800</t>
  </si>
  <si>
    <t>101tou2262720139</t>
  </si>
  <si>
    <t>Journal Posting Miscellaneous  29 SEP 26 06.06.57.209944 PM =&gt; 10109000006   BOT CLEARING   USD via FLEXCUBE NMBFUN0109026 01</t>
  </si>
  <si>
    <t>101al43262720003</t>
  </si>
  <si>
    <t>Trade Finance Single Journal Posting 29 SEP 26 01.58.32.925290 PM =&gt; 10109000006   BOT CLEARING   USD via FLEXCUBE Liquidation of Bill   311BCIU262650002</t>
  </si>
  <si>
    <t>439SBRN2627200RU</t>
  </si>
  <si>
    <t>GWX103510241084</t>
  </si>
  <si>
    <t>b26c648c-ff12-4083-af6b-f56d540f5299</t>
  </si>
  <si>
    <t>Outgoing Funds Transfer   29 SEP 26 05.10.17.030986 PM   SYBRIN from FRANK  to MALKIA TREES  9120002349602. Remark: PAYMENT FOR LODGE</t>
  </si>
  <si>
    <t>101o083262720001</t>
  </si>
  <si>
    <t>OPICS 29 SEP 26 05.25.05.383199 PM =&gt; 10109000006   BOT CLEARING   USD via OPICS 2012171    MWANGA</t>
  </si>
  <si>
    <t>201ZEXA26272002N</t>
  </si>
  <si>
    <t>2909CA2B60F1</t>
  </si>
  <si>
    <t>0401ee82-295a-44bd-8eaf-de277c0a383c</t>
  </si>
  <si>
    <t>Outgoing Funds Transfer   29 SEP 26 12.10.12.288258 PM   OBDX from SKYLINK TRAVEL AND TOUR LTD  to SKYLINK TRAVEL AND TOURS LTD  0301838336. Remark: STTL EXIM USD</t>
  </si>
  <si>
    <t>10100qx262720005</t>
  </si>
  <si>
    <t>Trade Finance Single Journal Posting 29 SEP 26 07.32.32.356578 PM =&gt; 10109000006   BOT CLEARING   USD via FLEXCUBE SETTLEMENT FOR MATURED BC REF 201BCIU262160001</t>
  </si>
  <si>
    <t>101al43262720001</t>
  </si>
  <si>
    <t>Trade Finance Single Journal Posting 29 SEP 26 01.58.32.968314 PM =&gt; 10109000006   BOT CLEARING   USD via FLEXCUBE Liquidation of Bill   311BCIU262650002</t>
  </si>
  <si>
    <t>101o096262720001</t>
  </si>
  <si>
    <t>OPICS 29 SEP 26 05.25.16.622389 PM =&gt; 10109000006   BOT CLEARING   USD via OPICS 1082038    AIRTEL       USD   TZS   2660.00000000    1500000.0000</t>
  </si>
  <si>
    <t>204ZEXA26272000U</t>
  </si>
  <si>
    <t>2909CE6C82B1</t>
  </si>
  <si>
    <t>7ce0cb74-23b4-414b-9681-faae5e892b3f</t>
  </si>
  <si>
    <t xml:space="preserve">Outgoing Funds Transfer   29 SEP 26 12.10.20.876488 PM   OBDX from OPPO AGENCIES COMPANY LIMITED  to MAERSK  100269056. Remark: </t>
  </si>
  <si>
    <t>101joy5262720011</t>
  </si>
  <si>
    <t>Journal Posting Miscellaneous  29 SEP 26 04.44.37.161125 PM =&gt; 10109000006   BOT CLEARING   USD via FLEXCUBE TZ1OL260806027S6 Incoming FT from TBEA CO LTD (T) LIMITED (wrongly reversed on 21/09/2026)</t>
  </si>
  <si>
    <t>10100qx262720004</t>
  </si>
  <si>
    <t>Trade Finance Single Journal Posting 29 SEP 26 07.32.32.266181 PM =&gt; 10109000006   BOT CLEARING   USD via FLEXCUBE SETTLEMENT FOR MATURED BC REF 201BCIU262160001</t>
  </si>
  <si>
    <t>101al44262720002</t>
  </si>
  <si>
    <t>Trade Finance Single Journal Posting 29 SEP 26 02.03.19.760019 PM =&gt; 10109000006   BOT CLEARING   USD via FLEXCUBE SETTLEMENT OF LC NO 311LISC262120014 BILL REF 311BCIU262650002</t>
  </si>
  <si>
    <t>101joy5262720009</t>
  </si>
  <si>
    <t>Journal Posting Miscellaneous  29 SEP 26 04.44.37.203941 PM =&gt; 10109000006   BOT CLEARING   USD via FLEXCUBE TZ1OL260806027S1 Incoming FT from TBEA CO LTD (T) LIMITED (wrongly reversed on 21/09/2026)</t>
  </si>
  <si>
    <t>101tou2262720141</t>
  </si>
  <si>
    <t>Journal Posting Miscellaneous  29 SEP 26 06.06.57.230242 PM =&gt; 10109000006   BOT CLEARING   USD via FLEXCUBE NMBFUN0109026 01</t>
  </si>
  <si>
    <t>2026/09/30</t>
  </si>
  <si>
    <t>101wm46262730015</t>
  </si>
  <si>
    <t>Journal Posting Miscellaneous  30 SEP 26 05.32.18.201067 PM =&gt; 10109000006   BOT CLEARING   USD via FLEXCUBE RTN ECOCTZTZCGM0 18093F5051D3 dd260918 Rsn Invalid Account Number</t>
  </si>
  <si>
    <t>206ZEXA26273002E</t>
  </si>
  <si>
    <t>2909CF185092</t>
  </si>
  <si>
    <t>98802e38-e6d6-463d-9841-47d06d328ba3</t>
  </si>
  <si>
    <t>Outgoing Funds Transfer   30 SEP 26 12.08.54.064157 PM   OBDX from AIR TANZANIA COMPANY LIMITED  to AHMAD EBRAHIM ALI  0354691001. Remark: PV3335 Ahmad Ebrahim Ali Visa refund</t>
  </si>
  <si>
    <t>101ian3262730007</t>
  </si>
  <si>
    <t>Journal Posting Miscellaneous  30 SEP 26 05.58.05.974261 PM =&gt; 10109000006   BOT CLEARING   USD via FLEXCUBE RTN ECOCTZTZAFRIG 2809F540FED8  dd260929  Rns Invalid account</t>
  </si>
  <si>
    <t>101wm46262730011</t>
  </si>
  <si>
    <t>Journal Posting Miscellaneous  30 SEP 26 05.32.18.015830 PM =&gt; 10109000006   BOT CLEARING   USD via FLEXCUBE RTN ECOCTZTZCGM1 180954540C69 dd260918 Rsn Invalid Account Number</t>
  </si>
  <si>
    <t>101wm46262730009</t>
  </si>
  <si>
    <t>Journal Posting Miscellaneous  30 SEP 26 05.32.17.916317 PM =&gt; 10109000006   BOT CLEARING   USD via FLEXCUBE RTN ECOCTZTZCGM4 18099B188406 dd260922 Rsn Invalid Account Number</t>
  </si>
  <si>
    <t>101wm46262730013</t>
  </si>
  <si>
    <t>Journal Posting Miscellaneous  30 SEP 26 05.32.18.108888 PM =&gt; 10109000006   BOT CLEARING   USD via FLEXCUBE RTN ECOCTZTZCGM3 180987433851 dd260918 Rsn Invalid Account Number</t>
  </si>
  <si>
    <t>421ZEXA2627300SR</t>
  </si>
  <si>
    <t>3009563B6BDB</t>
  </si>
  <si>
    <t xml:space="preserve">Return of Inbound Payment   30 SEP 26 04.10.22.820372 PM      4CTZ00026273CT6N </t>
  </si>
  <si>
    <t>421ZEXA2627300SQ</t>
  </si>
  <si>
    <t>CTZ00026273CT6N</t>
  </si>
  <si>
    <t>4f844e91-bd3b-45ad-aeb9-56f4f4540dff</t>
  </si>
  <si>
    <t>Outgoing Funds Transfer   30 SEP 26 03.47.30.078951 PM   OBDX from SENTIO SAFARI  to Ngorongoro Serena  8000383. Remark: From Sentio Safari   Andrew and Maria booking 30  deposit</t>
  </si>
  <si>
    <t>101wm46262730005</t>
  </si>
  <si>
    <t>Journal Posting Miscellaneous  30 SEP 26 05.32.17.702813 PM =&gt; 10109000006   BOT CLEARING   USD via FLEXCUBE RTN P260923C00001253 2309DF7381E3 dd260923 Rsn Restricted forex application</t>
  </si>
  <si>
    <t>408ZEXA2627300ZP</t>
  </si>
  <si>
    <t>300981915633</t>
  </si>
  <si>
    <t>91eda2bb-eb5d-4983-8359-64f27f247cba</t>
  </si>
  <si>
    <t xml:space="preserve">Outgoing Funds Transfer   30 SEP 26 05.21.09.541305 PM   OBDX from ELOTOTO TANZANIA LIMITED  to MOIVARO INVESTMENT  TRADING COMPANY LIMITED  9120003358680. Remark: </t>
  </si>
  <si>
    <t>101o078262730001</t>
  </si>
  <si>
    <t>OPICS 30 SEP 26 04.59.29.800548 PM =&gt; 10109000006   BOT CLEARING   USD via OPICS 2012187    EXIM</t>
  </si>
  <si>
    <t>101o059262730001</t>
  </si>
  <si>
    <t>OPICS 30 SEP 26 04.59.16.649465 PM =&gt; 10109000006   BOT CLEARING   USD via OPICS 2012189    EXIM</t>
  </si>
  <si>
    <t>101ian3262730009</t>
  </si>
  <si>
    <t>Journal Posting Miscellaneous  30 SEP 26 05.58.06.301809 PM =&gt; 10109000006   BOT CLEARING   USD via FLEXCUBE RTN RTN 687 USD  050895B8E49F  dd260929  Rns As per recall</t>
  </si>
  <si>
    <t>101ian3262730005</t>
  </si>
  <si>
    <t>Journal Posting Miscellaneous  30 SEP 26 05.58.06.236766 PM =&gt; 10109000006   BOT CLEARING   USD via FLEXCUBE RTN DTB/1754/2026  GWX103507120179  dd260929  Rns Invalid account</t>
  </si>
  <si>
    <t>101wm46262730001</t>
  </si>
  <si>
    <t>Journal Posting Miscellaneous  30 SEP 26 05.32.17.459319 PM =&gt; 10109000006   BOT CLEARING   USD via FLEXCUBE RTN  DTB/1715/2026 2309896C27D1 dd260923 Rsn Currency Mismatch</t>
  </si>
  <si>
    <t>101wm46262730017</t>
  </si>
  <si>
    <t>Journal Posting Miscellaneous  30 SEP 26 05.32.18.296753 PM =&gt; 10109000006   BOT CLEARING   USD via FLEXCUBE RTN ECOCTZTZCGM2 1809592120A0 dd260918 Rsn Invalid Account Number</t>
  </si>
  <si>
    <t>101wm46262730007</t>
  </si>
  <si>
    <t>Journal Posting Miscellaneous  30 SEP 26 05.32.17.800493 PM =&gt; 10109000006   BOT CLEARING   USD via FLEXCUBE RTN P260923C00000529 2309BB195E16 dd260923 Rsn Restricted forex application</t>
  </si>
  <si>
    <t>101z4dv262730002</t>
  </si>
  <si>
    <t>Funds Transfer  30 SEP 26 04.34.21.009617 PM =&gt; 10109000006   BOT CLEARING   USD via UPLOAD USD NET SETTLEMENT AS AT 30.09.2026</t>
  </si>
  <si>
    <t>101ian3262730001</t>
  </si>
  <si>
    <t>Journal Posting Miscellaneous  30 SEP 26 05.58.06.267537 PM =&gt; 10109000006   BOT CLEARING   USD via FLEXCUBE RTN P260929C00003525  29097926B31C  dd260929  Rns Restricted forex application</t>
  </si>
  <si>
    <t>2026/10/01</t>
  </si>
  <si>
    <t>101tane262740001</t>
  </si>
  <si>
    <t>Trade Finance Single Journal Posting 01 OCT 26 03.52.20.981369 PM =&gt; 10109000006   BOT CLEARING   USD via FLEXCUBE PYT OF LC NO. 223LC02252030001  AND 223LC02252020001</t>
  </si>
  <si>
    <t>101o023262740001</t>
  </si>
  <si>
    <t>OPICS 01 OCT 26 06.07.47.444620 PM =&gt; 10109000006   BOT CLEARING   USD via OPICS 1082036    DCB          USD   TZS   2655.00000000    200000.0000</t>
  </si>
  <si>
    <t>101z87w262740002</t>
  </si>
  <si>
    <t>Funds Transfer  01 OCT 26 05.04.20.420117 PM =&gt; 10109000006   BOT CLEARING   USD via UPLOAD USD NET SETTLEMENT AS AT 01.10.2026</t>
  </si>
  <si>
    <t>101ank3262740001</t>
  </si>
  <si>
    <t>Journal Posting Miscellaneous  01 OCT 26 04.41.09.813401 PM =&gt; 10109000006   BOT CLEARING   USD via FLEXCUBE RTN  ECOCTZTZCMA2000 170913C65B27 dd170923 Rsn Invalid Account Number</t>
  </si>
  <si>
    <t>1010005262740001</t>
  </si>
  <si>
    <t>Trade Finance Single Journal Posting 01 OCT 26 02.29.29.894691 PM =&gt; 10109000006   BOT CLEARING   USD via FLEXCUBE COMMISSION FOR GUARANTEE REF NO.  GC1753326000996/GC1753326000999/GC1753326001006/GC1753326001006 OUR REF NO. 101GUFC261940001/101GUFC261940002/101GUFC261970502/101GUFC261970002 CHONGQING</t>
  </si>
  <si>
    <t>254ZEXA2627400RZ</t>
  </si>
  <si>
    <t>3009D5519309</t>
  </si>
  <si>
    <t xml:space="preserve">Return of Inbound Payment   01 OCT 26 11.25.05.635055 AM      4CTZ00026273CZ8B </t>
  </si>
  <si>
    <t>101sam2262740002</t>
  </si>
  <si>
    <t>Trade Finance Single Journal Posting 01 OCT 26 06.10.07.224585 PM =&gt; 10109000006   BOT CLEARING   USD via FLEXCUBE LESS AMOUNT USD 3 192 571.99 DR. TO SETTLEMENT LC REF 201LC02261890002 INSTEAD OF USD 3 410 977.49</t>
  </si>
  <si>
    <t>101o035262740001</t>
  </si>
  <si>
    <t>OPICS 01 OCT 26 06.07.56.311969 PM =&gt; 10109000006   BOT CLEARING   USD via OPICS 1082073    VODACOM      USD   TZS   2657.00000000    300000.0000</t>
  </si>
  <si>
    <t>2026/10/02</t>
  </si>
  <si>
    <t>101unk3262750001</t>
  </si>
  <si>
    <t>Journal Posting Miscellaneous  02 OCT 26 02.14.10.780580 PM =&gt; 10109000006   BOT CLEARING   USD via FLEXCUBE RTN TCB/QUERY/354/25  408IBOT252600105 dd260928 Rsn Incorrect account number</t>
  </si>
  <si>
    <t>101unk1262750003</t>
  </si>
  <si>
    <t>Journal Posting Miscellaneous  02 OCT 26 02.16.49.893660 PM =&gt; 10109000006   BOT CLEARING   USD via FLEXCUBE RTN DTB/1757/2026 2809BAC0118E dd280926 Rsn Restricted forex application</t>
  </si>
  <si>
    <t>101ght7262750003</t>
  </si>
  <si>
    <t>Journal Posting Miscellaneous  02 OCT 26 04.51.52.968494 PM =&gt; 10109000006   BOT CLEARING   USD via FLEXCUBE REF: TZAAO25226HS2KK NARRATION: Rocket Tanzania Ltd   07 2026</t>
  </si>
  <si>
    <t>101unk1262750007</t>
  </si>
  <si>
    <t>Journal Posting Miscellaneous  02 OCT 26 02.16.50.045132 PM =&gt; 10109000006   BOT CLEARING   USD via FLEXCUBE RTN 06081B26EA18 262190305435000  dd09082026 Rsn unable to apply</t>
  </si>
  <si>
    <t>101o063262750001</t>
  </si>
  <si>
    <t>OPICS 02 OCT 26 05.30.15.448675 PM =&gt; 10109000006   BOT CLEARING   USD via OPICS 1082104    MTIBWASUGA   USD   TZS   2660.00000000    62200.0000</t>
  </si>
  <si>
    <t>101zao3262750002</t>
  </si>
  <si>
    <t>Funds Transfer  02 OCT 26 02.34.19.737082 PM =&gt; 10109000006   BOT CLEARING   USD via UPLOAD TZS NET SETTLEMENT AS AT 02102026</t>
  </si>
  <si>
    <t>2026/10/05</t>
  </si>
  <si>
    <t>101zk0m262780001</t>
  </si>
  <si>
    <t>Funds Transfer  05 OCT 26 06.48.20.514548 PM =&gt; 10109000006   BOT CLEARING   USD via UPLOAD USD NET SETTLEMENT AS AT 05.10.2026</t>
  </si>
  <si>
    <t>408ZEXA26278001R</t>
  </si>
  <si>
    <t>0510F44F2444</t>
  </si>
  <si>
    <t>b9b9b9ca-1bcf-41a3-96a6-bcd1888af3bb</t>
  </si>
  <si>
    <t xml:space="preserve">Outgoing Funds Transfer   05 OCT 26 02.20.26.015961 PM   OBDX from CHELETE ADVENTURES LIMITED  to KENYA TOURISM BOARD  1101660066. Remark: </t>
  </si>
  <si>
    <t>201SBRN262780003</t>
  </si>
  <si>
    <t>0011310264213306</t>
  </si>
  <si>
    <t>a92855cc-fab1-4852-81c9-8f1dcb6d7041</t>
  </si>
  <si>
    <t>Outgoing Funds Transfer   05 OCT 26 11.01.06.693666 AM   SYBRIN from TISEZA REVENUE ACCOUNT  to TISEZA REVENUE COLLECTION ACCOUNT  993201001401. Remark: TRANSFER OF FUNDS</t>
  </si>
  <si>
    <t>239ZEXA262780017</t>
  </si>
  <si>
    <t>ACTZ8428925071</t>
  </si>
  <si>
    <t>b6090472-3f44-4725-add1-f3e8b0e52ab7</t>
  </si>
  <si>
    <t xml:space="preserve">Outgoing Funds Transfer   05 OCT 26 10.17.18.722358 AM   OBDX from KARAN PETROLEUM LIMITED  to KARAN PETROLEUM LIMITED  8607472046. Remark: </t>
  </si>
  <si>
    <t>101wm81262780011</t>
  </si>
  <si>
    <t>Journal Posting Miscellaneous  05 OCT 26 04.32.25.188784 PM =&gt; 10109000006   BOT CLEARING   USD via FLEXCUBE RTN  ECOCTZTZCMA7  170989D0F737 dd20250918 Rsn Invalid Account</t>
  </si>
  <si>
    <t>408ZEXA26278010E</t>
  </si>
  <si>
    <t>051028A23D24</t>
  </si>
  <si>
    <t>ba58619e-ac43-448d-871c-2ff3ee37bc52</t>
  </si>
  <si>
    <t xml:space="preserve">Outgoing Funds Transfer   05 OCT 26 03.34.55.318476 PM   OBDX from SERENGETI WAKANDA TOURS AND SAFARIS  to WILDERNESS DESTINATIONS LIMITED  9120002753705. Remark: </t>
  </si>
  <si>
    <t>201SBRN262780005</t>
  </si>
  <si>
    <t>GWX103530718560</t>
  </si>
  <si>
    <t xml:space="preserve">Return of Inbound Payment   05 OCT 26 11.10.53.024937 AM   RTN 2627802039660000 DD 05OCT26 FAILED GEPG ACCT VALIDATION FAILURE   0011310264213306 </t>
  </si>
  <si>
    <t>101zi2s262780002</t>
  </si>
  <si>
    <t>Funds Transfer  05 OCT 26 09.34.22.383655 AM =&gt; 10109000006   BOT CLEARING   USD via UPLOAD USD NET SETTLEMENT AS AT 03.10.2026</t>
  </si>
  <si>
    <t>101wm81262780005</t>
  </si>
  <si>
    <t>Journal Posting Miscellaneous  05 OCT 26 04.32.24.993925 PM =&gt; 10109000006   BOT CLEARING   USD via FLEXCUBE RTN  P260921C00000555  2109DED5E72D dd20250921 Rsn Restricted forex application</t>
  </si>
  <si>
    <t>239ZEXA26278001D</t>
  </si>
  <si>
    <t>0510A10140F9</t>
  </si>
  <si>
    <t xml:space="preserve">Return of Inbound Payment   05 OCT 26 10.55.14.824656 AM   /AC01/Transfer Rejected   ACTZ8428925071 </t>
  </si>
  <si>
    <t>2026/10/06</t>
  </si>
  <si>
    <t>101zm3q262790002</t>
  </si>
  <si>
    <t>Funds Transfer  06 OCT 26 02.40.19.550825 PM =&gt; 10109000006   BOT CLEARING   USD via UPLOAD NET SETTLEMENT FOR USD DD 06.10.2026</t>
  </si>
  <si>
    <t>101tou1262790075</t>
  </si>
  <si>
    <t>Journal Posting Miscellaneous  06 OCT 26 03.43.38.929803 PM =&gt; 10109000006   BOT CLEARING   USD via FLEXCUBE NMBFUN0501026/05</t>
  </si>
  <si>
    <t>239ZEXA26279001Q</t>
  </si>
  <si>
    <t>06106F68E68C</t>
  </si>
  <si>
    <t xml:space="preserve">Return of Inbound Payment   06 OCT 26 11.12.53.413762 AM   /AC01/Transfer Rejected   ACTZ6424344208 </t>
  </si>
  <si>
    <t>101no23262790001</t>
  </si>
  <si>
    <t xml:space="preserve">Trade Finance Single Journal Posting 06 OCT 26 12.45.16.305369 PM =&gt; 10109000006   BOT CLEARING   USD via FLEXCUBE PAYMENT FOR BC NO.311BCIU262190004 </t>
  </si>
  <si>
    <t>254ZEXA2627900S1</t>
  </si>
  <si>
    <t>CTZ00026279F7T3</t>
  </si>
  <si>
    <t>7a522aa5-93ba-45a6-89d1-c4a0928ba677</t>
  </si>
  <si>
    <t>Outgoing Funds Transfer   06 OCT 26 02.31.05.913490 PM   OBDX from IDC INTERNATIONAL DEVELOPERS SMC PRIVATE CO LTD  to Resort Manager Salary for September 2026  7015350. Remark: Resort Manager Salary for September 2026</t>
  </si>
  <si>
    <t>101o030262790001</t>
  </si>
  <si>
    <t>OPICS 06 OCT 26 05.39.01.055214 PM =&gt; 10109000006   BOT CLEARING   USD via OPICS 2012171    MWANGA</t>
  </si>
  <si>
    <t>101o052262790001</t>
  </si>
  <si>
    <t>OPICS 06 OCT 26 05.58.28.112076 PM =&gt; 10109000006   BOT CLEARING   USD via OPICS 1082119    F10123052    USD   TZS   2658.00000000    1000000.0000</t>
  </si>
  <si>
    <t>239ZEXA26279001K</t>
  </si>
  <si>
    <t>ACTZ6424344208</t>
  </si>
  <si>
    <t>c846711d-ae73-4282-a095-0d2bb08181ee</t>
  </si>
  <si>
    <t>Outgoing Funds Transfer   06 OCT 26 10.39.25.118552 AM   OBDX from KARAN PETROLEUM LIMITED  to KARAN PETROLEUM LIMITED  8607472046. Remark: Interbank Transfer</t>
  </si>
  <si>
    <t>101o029262790001</t>
  </si>
  <si>
    <t>OPICS 06 OCT 26 05.38.59.983209 PM =&gt; 10109000006   BOT CLEARING   USD via OPICS 1082121    F019700980   USD   TZS   2652.00000000    480000.0000</t>
  </si>
  <si>
    <t>101o082262790001</t>
  </si>
  <si>
    <t>OPICS 06 OCT 26 05.58.59.180413 PM =&gt; 10109000006   BOT CLEARING   USD via OPICS 2012221    MWANGA</t>
  </si>
  <si>
    <t>254ZEXA26279000X</t>
  </si>
  <si>
    <t>061021264D9F</t>
  </si>
  <si>
    <t xml:space="preserve">Return of Inbound Payment   06 OCT 26 05.08.50.941483 PM      4CTZ00026279F7T3 </t>
  </si>
  <si>
    <t>101o053262790001</t>
  </si>
  <si>
    <t>OPICS 06 OCT 26 05.58.32.713493 PM =&gt; 10109000006   BOT CLEARING   USD via OPICS 1082125    F004678361   USD   TZS   2652.00000000    700000.0000</t>
  </si>
  <si>
    <t>2026/10/07</t>
  </si>
  <si>
    <t>101o048262800001</t>
  </si>
  <si>
    <t>OPICS 07 OCT 26 06.06.29.111027 PM =&gt; 10109000006   BOT CLEARING   USD via OPICS 2012225    MAENDELEO</t>
  </si>
  <si>
    <t>311ZEXA26275000B</t>
  </si>
  <si>
    <t xml:space="preserve">Liquidation of Bill   07 OCT 26 01.44.14.061983 PM   311BCIU262750001   MANSOOR INDUSTRIES LTD.   TANZANIA PETROLEUM DEVELOPMENT </t>
  </si>
  <si>
    <t>311ZEXA26274000L</t>
  </si>
  <si>
    <t xml:space="preserve">Liquidation of Bill   07 OCT 26 01.47.14.043828 PM   311BCIU262740003   MANSOOR INDUSTRIES LTD.   TANZANIA PETROLEUM DEVELOPMENT </t>
  </si>
  <si>
    <t>311ZEXA26274000M</t>
  </si>
  <si>
    <t xml:space="preserve">Liquidation of Bill   07 OCT 26 02.03.34.102479 PM   311BCIU262740001   OLYMPIC PETROLEUM T LTD EAST   TANZANIA PETROLEUM DEVELOPMENT  </t>
  </si>
  <si>
    <t>101o081262800001</t>
  </si>
  <si>
    <t>OPICS 07 OCT 26 06.06.54.053237 PM =&gt; 10109000006   BOT CLEARING   USD via OPICS 2012187    EXIM</t>
  </si>
  <si>
    <t>101o082262800001</t>
  </si>
  <si>
    <t>OPICS 07 OCT 26 06.06.54.616898 PM =&gt; 10109000006   BOT CLEARING   USD via OPICS 2012228    EXIM</t>
  </si>
  <si>
    <t>428ZEXA26280010A</t>
  </si>
  <si>
    <t>0710A56BC66D</t>
  </si>
  <si>
    <t>cb7b369a-9d13-4228-89fc-6dcd785bd1ef</t>
  </si>
  <si>
    <t>Outgoing Funds Transfer   07 OCT 26 09.08.23.690364 PM   OBDX from SERENGETI PRECIOUS SAFARIS  to DOVE SERENGETI CAMP  025C0009SEK00. Remark: Kamil Gaska x6</t>
  </si>
  <si>
    <t>201ZEXA262740061</t>
  </si>
  <si>
    <t xml:space="preserve">Liquidation of Bill   07 OCT 26 11.26.14.095494 AM   201BCIU262740001   GAPCO TANZANIA LIMITED   TANZANIA PETROLEUM DEVELOPMENT </t>
  </si>
  <si>
    <t>101o061262800001</t>
  </si>
  <si>
    <t>OPICS 07 OCT 26 06.06.38.168145 PM =&gt; 10109000006   BOT CLEARING   USD via OPICS 2012227    EXIM</t>
  </si>
  <si>
    <t>101zp1s262800002</t>
  </si>
  <si>
    <t>Funds Transfer  07 OCT 26 01.54.21.157135 PM =&gt; 10109000006   BOT CLEARING   USD via UPLOAD NET SETTLEMENT FOR USD DD 07.10.2026</t>
  </si>
  <si>
    <t>311ZEXA2627400SD</t>
  </si>
  <si>
    <t xml:space="preserve">Liquidation of Bill   07 OCT 26 01.45.34.070909 PM   311BCIU262740005   MANSOOR INDUSTRIES LTD.   TANZANIA PETROLEUM DEVELOPMENT </t>
  </si>
  <si>
    <t>101o060262800001</t>
  </si>
  <si>
    <t>OPICS 07 OCT 26 06.06.37.560656 PM =&gt; 10109000006   BOT CLEARING   USD via OPICS 2012189    EXIM</t>
  </si>
  <si>
    <t>2026/10/08</t>
  </si>
  <si>
    <t>428ZEXA262810066</t>
  </si>
  <si>
    <t>08108A1AFD88</t>
  </si>
  <si>
    <t>4cd06c28-bff5-496c-94f9-bafc087508fd</t>
  </si>
  <si>
    <t>Outgoing Funds Transfer   08 OCT 26 11.55.35.028117 PM   OBDX from THE WANDERER TANZANIA LIMITED  to Rhotia Valley Limited  045105000919. Remark: Katharina Gnther</t>
  </si>
  <si>
    <t>311ZEXA262600014</t>
  </si>
  <si>
    <t xml:space="preserve">Liquidation of Bill   08 OCT 26 05.30.25.398910 PM   311BCIU262600001   OLYMPIC PETROLEUM T LTD EAST   TANZANIA PETROLEUM DEVELOPMENT  </t>
  </si>
  <si>
    <t>101o055262810001</t>
  </si>
  <si>
    <t>OPICS 08 OCT 26 05.16.58.243142 PM =&gt; 10109000006   BOT CLEARING   USD via OPICS 2012249    EXIM</t>
  </si>
  <si>
    <t>428ZEXA2628100YB</t>
  </si>
  <si>
    <t>0810BA581094</t>
  </si>
  <si>
    <t>edc2613b-b8bc-4831-90d2-781f9a6752fe</t>
  </si>
  <si>
    <t>Outgoing Funds Transfer   08 OCT 26 11.53.50.540148 PM   OBDX from THE WANDERER TANZANIA LIMITED  to SHADOWS OF AFRICA LIMITED  3002211914380. Remark: Katharina Gnther</t>
  </si>
  <si>
    <t>408ZEXA2628100V2</t>
  </si>
  <si>
    <t>0710BCD6FD1B</t>
  </si>
  <si>
    <t xml:space="preserve">Return of Inbound Payment   08 OCT 26 02.10.53.024658 PM      4CTZ00026281G3NG </t>
  </si>
  <si>
    <t>311ZEXA2625900RX</t>
  </si>
  <si>
    <t xml:space="preserve">Liquidation of Bill   08 OCT 26 04.10.45.157743 PM   311BCIU262590501   MANSOOR INDUSTRIES LTD.   TANZANIA PETROLEUM DEVELOPMENT  </t>
  </si>
  <si>
    <t>101o015262810001</t>
  </si>
  <si>
    <t>OPICS 08 OCT 26 05.16.28.410375 PM =&gt; 10109000006   BOT CLEARING   USD via OPICS 1082141    F345967991   USD   TZS   2645.00000000   1870000.0000</t>
  </si>
  <si>
    <t>311ZEXA2625800SF</t>
  </si>
  <si>
    <t xml:space="preserve">Liquidation of Bill   08 OCT 26 06.01.25.384742 PM   311BCIU262580001   OLYMPIC PETROLEUM T LTD EAST   TANZANIA PETROLEUM DEVELOPMENT  </t>
  </si>
  <si>
    <t>101o028262810001</t>
  </si>
  <si>
    <t>OPICS 08 OCT 26 05.16.37.964456 PM =&gt; 10109000006   BOT CLEARING   USD via OPICS 1082151    F000450728   USD   TZS   2646.55000000   1000000.0000</t>
  </si>
  <si>
    <t>311ZEXA262590009</t>
  </si>
  <si>
    <t xml:space="preserve">Liquidation of Bill   08 OCT 26 03.58.05.239500 PM   311BCIU262590001   MANSOOR INDUSTRIES LTD.   TANZANIA PETROLEUM DEVELOPMENT  </t>
  </si>
  <si>
    <t>408ZEXA2628100TG</t>
  </si>
  <si>
    <t>07102518D31E</t>
  </si>
  <si>
    <t xml:space="preserve">Return of Inbound Payment   08 OCT 26 11.03.42.876789 AM      4CTZ00026280GR81 </t>
  </si>
  <si>
    <t>311ZEXA262590008</t>
  </si>
  <si>
    <t xml:space="preserve">Liquidation of Bill   08 OCT 26 04.34.25.298665 PM   311BCIU262590502   OLYMPIC PETROLEUM T LTD EAST   TANZANIA PETROLEUM DEVELOPMENT  </t>
  </si>
  <si>
    <t>201ZEXA26259008U</t>
  </si>
  <si>
    <t xml:space="preserve">Liquidation of Bill   08 OCT 26 05.20.25.205342 PM   201BCIU262590501   GBP TANZANIA LIMITED   TANZANIA PETROLEUM DEVELOPMENT </t>
  </si>
  <si>
    <t>101zshz262810002</t>
  </si>
  <si>
    <t>Funds Transfer  08 OCT 26 02.34.19.862007 PM =&gt; 10109000006   BOT CLEARING   USD via UPLOAD NET SETTLEMENT FOR USD DD 08.10.2026</t>
  </si>
  <si>
    <t>408ZEXA26281001Q</t>
  </si>
  <si>
    <t>CTZ00026281G3NG</t>
  </si>
  <si>
    <t>69c41cd5-166f-4135-85eb-6483b6c909c8</t>
  </si>
  <si>
    <t xml:space="preserve">Outgoing Funds Transfer   08 OCT 26 12.31.23.604418 PM   OBDX from ROY SAFARIS LIMITED  to KIBO PALACE LTD  0024004929. Remark: </t>
  </si>
  <si>
    <t>2026/10/09</t>
  </si>
  <si>
    <t>408ZEXA26282000L</t>
  </si>
  <si>
    <t>CTZ00026282HFQV</t>
  </si>
  <si>
    <t>50e017fc-f5f4-408e-b049-0e6c7259f436</t>
  </si>
  <si>
    <t xml:space="preserve">Outgoing Funds Transfer   09 OCT 26 09.45.32.077260 AM   OBDX from MIGSAM SAFARIS LIMITED  to Simon Samwel Maguga  0027031575. Remark: </t>
  </si>
  <si>
    <t>311ZEXA26280000D</t>
  </si>
  <si>
    <t xml:space="preserve">Liquidation of Bill   09 OCT 26 01.54.20.306585 PM   311BCIS262800001   MANSOOR INDUSTRIES LTD.   TANZANIA PETROLEUM DEVELOPMENT </t>
  </si>
  <si>
    <t>408ZEXA2628200TX</t>
  </si>
  <si>
    <t>091014A5D5C5</t>
  </si>
  <si>
    <t xml:space="preserve">Return of Inbound Payment   09 OCT 26 12.01.39.002822 PM      4CTZ00026282HFQV </t>
  </si>
  <si>
    <t>101DPWD262820001</t>
  </si>
  <si>
    <t>DPWDARQ000115997</t>
  </si>
  <si>
    <t>Utility Payment   09 OCT 26 04.55.35.011198 PM    Sender's Ref: HZ1K4GF49AV6281B  Sender Account: 0250464087700  Sender Name: SEAFORTH GENERAL AG LTD  Remittance Info: DPWDARQ000115997</t>
  </si>
  <si>
    <t>311ZEXA26280000B</t>
  </si>
  <si>
    <t xml:space="preserve">Liquidation of Bill   09 OCT 26 08.35.25.154421 PM   311BCIS262800501   MANSOOR INDUSTRIES LTD.   TANZANIA PETROLEUM DEVELOPMENT </t>
  </si>
  <si>
    <t>201ZEXA26259002U</t>
  </si>
  <si>
    <t xml:space="preserve">Liquidation of Bill   09 OCT 26 09.33.40.304209 PM   201BCIU262590001   ACER PETROLEUM ( T ) LTD   TANZANIA PETROLEUM DEVELOPMENT </t>
  </si>
  <si>
    <t>311ZEXA26281000M</t>
  </si>
  <si>
    <t xml:space="preserve">Liquidation of Bill   09 OCT 26 01.54.00.164014 PM   311BCIS262810001   OLYMPIC PETROLEUM T LTD EAST   TANZANIA PETROLEUM DEVELOPMENT  </t>
  </si>
  <si>
    <t>101zvzj262820002</t>
  </si>
  <si>
    <t>Funds Transfer  09 OCT 26 03.28.19.924099 PM =&gt; 10109000006   BOT CLEARING   USD via UPLOAD NET SETTLEMENT FOR USD DD 09.10.2026</t>
  </si>
  <si>
    <t>2026/10/10</t>
  </si>
  <si>
    <t>101103y262830011</t>
  </si>
  <si>
    <t>Journal Posting Miscellaneous  10 OCT 26 11.48.06.756399 AM =&gt; 10109000006   BOT CLEARING   USD via FLEXCUBE RTN TZ5IL2610060003N 2627903039643000  dd260610 Rsn INVALID CREDITOR  ACCOUNT NUMBER</t>
  </si>
  <si>
    <t>201ZEXA2627800TB</t>
  </si>
  <si>
    <t xml:space="preserve">Liquidation of Bill   10 OCT 26 02.45.00.298364 PM   201BCIU262780002   PUMA ENERGY TANZANIA LIMITED   TANZANIA PETROLEUM DEVELOPMENT </t>
  </si>
  <si>
    <t>101103y262830013</t>
  </si>
  <si>
    <t>Journal Posting Miscellaneous  10 OCT 26 11.48.06.490635 AM =&gt; 10109000006   BOT CLEARING   USD via FLEXCUBE RTN 3601ITT11/18165 0510D20006DA   dd261006 Rsn Account closed</t>
  </si>
  <si>
    <t>2026/10/12</t>
  </si>
  <si>
    <t>230SBRN2628501JZ</t>
  </si>
  <si>
    <t>CMCB5A77DA4398</t>
  </si>
  <si>
    <t>5c906dca-5d06-4a68-86b7-9e0d74475059</t>
  </si>
  <si>
    <t>Outgoing Funds Transfer   12 OCT 26 05.47.28.857460 PM   SYBRIN from KAGERA SUGAR LIMITED  to RAJESH SINGH KUMAR  10431051888. Remark: SEPT SALARY 2026</t>
  </si>
  <si>
    <t>201SBRN26285000I</t>
  </si>
  <si>
    <t>GWX103556303152</t>
  </si>
  <si>
    <t>6eb525e6-600a-418d-917a-bd861c849225</t>
  </si>
  <si>
    <t xml:space="preserve">Outgoing Funds Transfer   12 OCT 26 09.02.43.275346 PM   SYBRIN from TPDC BPS  to TPDC REVENUE  COLLECTION ACCOUNT  9932444721. Remark: TO COVER DEVELOPMENT AND RECURRENT </t>
  </si>
  <si>
    <t>206SBRN262850007</t>
  </si>
  <si>
    <t>GWX103556309302</t>
  </si>
  <si>
    <t>c3115323-b499-4c28-8349-bd46a5a93568</t>
  </si>
  <si>
    <t>Outgoing Funds Transfer   12 OCT 26 09.04.58.754000 PM   SYBRIN from WILMAAR LOGISTICS (T) LIMITED  to WILMAAR LOGISTICS (T) LIMITED  01813400030. Remark: TRANSFER TO OWN ACCOUNT</t>
  </si>
  <si>
    <t>101j42i262850001</t>
  </si>
  <si>
    <t>Funds Transfer  12 OCT 26 03.04.19.236462 PM =&gt; 10109000006   BOT CLEARING   USD via UPLOAD NET SETTLEMENT DD 12.10.2026 USD</t>
  </si>
  <si>
    <t>101DPWD262851001</t>
  </si>
  <si>
    <t>DPWDARE0000126995</t>
  </si>
  <si>
    <t>Utility Payment   12 OCT 26 03.49.24.850354 PM    Sender's Ref: OT26285TZ0139476  Sender Account: 9120003165904  Sender Name: CEVA INTERFREIGHT TANZANIA LIMITE  Remittance Info: DPWDARE0000126995</t>
  </si>
  <si>
    <t>101al51262850001</t>
  </si>
  <si>
    <t>Trade Finance Single Journal Posting 12 OCT 26 02.54.48.034446 PM =&gt; 10109000006   BOT CLEARING   USD via FLEXCUBE PAYMENT TO SETTLE BC NO 311BCIU262200502</t>
  </si>
  <si>
    <t>101ZEXA26285011A</t>
  </si>
  <si>
    <t>2621301947590067-20261010-A1</t>
  </si>
  <si>
    <t xml:space="preserve">Return of Inbound Payment   12 OCT 26 03.51.40.400266 PM   UNAPPLIED DC04 MISSING BENEFICIARY REFERENCE OR CONTROL NUMBER   261012T000608365 </t>
  </si>
  <si>
    <t>101j2px262850002</t>
  </si>
  <si>
    <t>Funds Transfer  12 OCT 26 07.54.26.863128 AM =&gt; 10109000006   BOT CLEARING   USD via UPLOAD NET SETTLEMENT FOR USD DD 10.10.2026</t>
  </si>
  <si>
    <t>230SBRN2628502BG</t>
  </si>
  <si>
    <t>GWX103555691479</t>
  </si>
  <si>
    <t xml:space="preserve">Return of Inbound Payment   12 OCT 26 05.53.33.713872 PM   /BE01/BENEFICIARY TITLE DIFFER   CMCB5A77DA4398 </t>
  </si>
  <si>
    <t>2026/10/13</t>
  </si>
  <si>
    <t>101j713262860002</t>
  </si>
  <si>
    <t>Funds Transfer  13 OCT 26 03.18.19.468541 PM =&gt; 10109000006   BOT CLEARING   USD via UPLOAD NET SETTLEMENT BALANCE DD 13.10.2026 USD</t>
  </si>
  <si>
    <t>311ZEXA2628500S9</t>
  </si>
  <si>
    <t xml:space="preserve">Liquidation of Bill   13 OCT 26 12.09.56.648856 PM   311BCIS262850001   MANSOOR INDUSTRIES LTD.   TANZANIA PETROLEUM DEVELOPMENT </t>
  </si>
  <si>
    <t>403ZEXA26286002R</t>
  </si>
  <si>
    <t>1310063035F0</t>
  </si>
  <si>
    <t xml:space="preserve">Return of Inbound Payment   13 OCT 26 04.15.32.949845 PM   /AC01/Transfer Rejected   ACTZ3207786604 </t>
  </si>
  <si>
    <t>101o027262860001</t>
  </si>
  <si>
    <t>OPICS 13 OCT 26 06.32.40.396525 PM =&gt; 10109000006   BOT CLEARING   USD via OPICS 2012221    MWANGA</t>
  </si>
  <si>
    <t>206SBRN2628600RT</t>
  </si>
  <si>
    <t xml:space="preserve">Return of Inbound Payment   13 OCT 26 09.39.10.845259 AM   LORTN OF pacs008 DD 261013 Invali d ben account   SPEA27XL </t>
  </si>
  <si>
    <t>421ZEXA2628600T4</t>
  </si>
  <si>
    <t>13101337602D</t>
  </si>
  <si>
    <t xml:space="preserve">Return of Inbound Payment   13 OCT 26 04.18.34.470462 PM   /AC01/ACCOUNT DOES NOT EXISTS   CM2088E4780232 </t>
  </si>
  <si>
    <t>230SBRN26286000A</t>
  </si>
  <si>
    <t>GWX103543224113</t>
  </si>
  <si>
    <t xml:space="preserve">Return of Inbound Payment   13 OCT 26 04.21.34.910306 PM   /ROC/UTA INVALID ACCOUNT NUMBER //BNF HAPPIFANIA WILIBADI MOSHI TZ/ //REF 2628216028351000   RETN10130337046 </t>
  </si>
  <si>
    <t>101o053262860001</t>
  </si>
  <si>
    <t>OPICS 13 OCT 26 06.32.57.842428 PM =&gt; 10109000006   BOT CLEARING   USD via OPICS 2012283    MWANGA</t>
  </si>
  <si>
    <t>206SBRN262860002</t>
  </si>
  <si>
    <t>GWX103554190453</t>
  </si>
  <si>
    <t xml:space="preserve">Return of Inbound Payment   13 OCT 26 09.39.13.566821 AM   LORTN OF pacs008 DD 261013 Invali d ben account   SPE02RK0 </t>
  </si>
  <si>
    <t>408ZEXA262780025</t>
  </si>
  <si>
    <t xml:space="preserve">Liquidation of Bill   13 OCT 26 12.35.16.554033 PM   408BCIU262780001   MOUNT MERU PETROLEUM LTD   TANZANIA PETROLEUM DEVELOPMENT </t>
  </si>
  <si>
    <t>201SBRN262860003</t>
  </si>
  <si>
    <t xml:space="preserve">Return of Inbound Payment   13 OCT 26 08.20.10.744587 AM   RTN 2628523075756000 DD 13OCT26 FAILED GEPG ACCT VALIDATION FAILURE   0010110264529973 </t>
  </si>
  <si>
    <t>421ZEXA26286000W</t>
  </si>
  <si>
    <t>CM2088E4780232</t>
  </si>
  <si>
    <t>f8bbfcfc-be3a-4e15-acb2-a683d4d066db</t>
  </si>
  <si>
    <t>Outgoing Funds Transfer   13 OCT 26 02.32.31.067158 PM   OBDX from EBN HUNTING SAFARIS LTD  to WAYNE HENDRY  9120003609330. Remark: Flight Changes extra Costs</t>
  </si>
  <si>
    <t>408ZEXA262860073</t>
  </si>
  <si>
    <t>131050437F2C</t>
  </si>
  <si>
    <t xml:space="preserve">Return of Inbound Payment   13 OCT 26 05.24.12.920776 PM   RETURN OF TRANSFER   DD 2026 10 13   REF.131050437F2C   RSN INVALID ACCOUNT   131050437F2C </t>
  </si>
  <si>
    <t>101o040262860001</t>
  </si>
  <si>
    <t>OPICS 13 OCT 26 06.32.48.990469 PM =&gt; 10109000006   BOT CLEARING   USD via OPICS 2012228    EXIM</t>
  </si>
  <si>
    <t>229SBRN2628600RT</t>
  </si>
  <si>
    <t>GWX103417333234</t>
  </si>
  <si>
    <t xml:space="preserve">Return of Inbound Payment   13 OCT 26 04.14.54.911704 PM   /AC01/ACCOUNT DOES NOT EXISTS   CMBBB96D7D0164 </t>
  </si>
  <si>
    <t>101o026262860001</t>
  </si>
  <si>
    <t>OPICS 13 OCT 26 06.32.39.764461 PM =&gt; 10109000006   BOT CLEARING   USD via OPICS 2012225    MAENDELEO</t>
  </si>
  <si>
    <t>428ZEXA262860021</t>
  </si>
  <si>
    <t>CM86894529547C</t>
  </si>
  <si>
    <t>04eb06d9-c45f-4e87-b285-0b3bfda1a282</t>
  </si>
  <si>
    <t xml:space="preserve">Outgoing Funds Transfer   13 OCT 26 11.24.25.610513 AM   OBDX from KIWOITO AFRICA SAFARIS  to kiwoito Africa Safaris   1022334126. Remark: Transfer to CRDB account </t>
  </si>
  <si>
    <t>101bos1262860007</t>
  </si>
  <si>
    <t>Journal Posting Miscellaneous  13 OCT 26 03.33.01.705269 PM =&gt; 10109000006   BOT CLEARING   USD via FLEXCUBE RTN S0662822EA4601  2628217039744000  dd261009 Rsn Incorrect IBAN</t>
  </si>
  <si>
    <t>206SBRN262860001</t>
  </si>
  <si>
    <t>SPE02RK0</t>
  </si>
  <si>
    <t>8a56cb8e-25c1-47ac-9ccd-0b2a2d9ef6c3</t>
  </si>
  <si>
    <t>Outgoing Funds Transfer   13 OCT 26 06.56.13.879080 AM   SYBRIN from WILMAAR LOGISTICS (T) LIMITED  to WILMAAR LOGISTICS (T) LIMITED  01813400030. Remark: TRANSFER TO OWN ACCOUNT</t>
  </si>
  <si>
    <t>428ZEXA2628600VL</t>
  </si>
  <si>
    <t>RETN10130135459</t>
  </si>
  <si>
    <t>21095ac5-ab1f-40fb-a301-3ee4b406f7d1</t>
  </si>
  <si>
    <t>Outgoing Funds Transfer   13 OCT 26 12.07.03.495757 PM   OBDX from KIWOITO AFRICA SAFARIS  to GLIMPSE OF AFRICA TENTED CAMPS  300211876680. Remark: ANWAAR X2 Oct 2026</t>
  </si>
  <si>
    <t>403ZEXA26286002C</t>
  </si>
  <si>
    <t>ACTZ3207786604</t>
  </si>
  <si>
    <t>74e8804c-bd7f-482f-83f3-7e6d5b933960</t>
  </si>
  <si>
    <t xml:space="preserve">Outgoing Funds Transfer   13 OCT 26 02.46.34.761887 PM   OBDX from MAKASA LIMITED  to Zawadi Luxury Camps Limited  7036385522. Remark: </t>
  </si>
  <si>
    <t>101o051262860001</t>
  </si>
  <si>
    <t>OPICS 13 OCT 26 06.32.56.499353 PM =&gt; 10109000006   BOT CLEARING   USD via OPICS 2012227    EXIM</t>
  </si>
  <si>
    <t>428ZEXA2628601KI</t>
  </si>
  <si>
    <t>1310CFBE210C</t>
  </si>
  <si>
    <t xml:space="preserve">Return of Inbound Payment   13 OCT 26 03.12.53.719027 PM   /ROC/UTA INVALID ACCOUNT NUMBER //BNF GLIMPSE OF AFRICA TENTED CAMP // REF 1310CFBE210C   RETN10130135459 </t>
  </si>
  <si>
    <t>101o052262860001</t>
  </si>
  <si>
    <t>OPICS 13 OCT 26 06.32.57.193728 PM =&gt; 10109000006   BOT CLEARING   USD via OPICS 2012284    MAENDELEO</t>
  </si>
  <si>
    <t>408ZEXA26286003U</t>
  </si>
  <si>
    <t>f0fb3037-8df9-483a-8921-9143658831b0</t>
  </si>
  <si>
    <t xml:space="preserve">Outgoing Funds Transfer   13 OCT 26 01.46.02.559438 PM   OBDX from ACTIVE TANZANIA ADVENTURES LTD  to SEYYIDA CO. LTD   040052700. Remark: Clients payments </t>
  </si>
  <si>
    <t>428ZEXA2628601JL</t>
  </si>
  <si>
    <t>13102AEC2252</t>
  </si>
  <si>
    <t xml:space="preserve">Return of Inbound Payment   13 OCT 26 01.07.42.574712 PM   /AC01/ACCOUNT DOES NOT EXISTS   CM86894529547C </t>
  </si>
  <si>
    <t>2026/10/15</t>
  </si>
  <si>
    <t>427ZEXA2628800UW</t>
  </si>
  <si>
    <t>3009F8A118A4</t>
  </si>
  <si>
    <t xml:space="preserve">Return of Inbound Payment   15 OCT 26 05.35.29.156380 PM   INVALID AC NO.   TFRTN/0456/2026 </t>
  </si>
  <si>
    <t>311ZEXA2628000RU</t>
  </si>
  <si>
    <t xml:space="preserve">Liquidation of Bill   15 OCT 26 11.39.16.558478 AM   311BCIU262800501   MANSOOR INDUSTRIES LTD.   TANZANIA PETROLEUM DEVELOPMENT </t>
  </si>
  <si>
    <t>206ZEXA262880015</t>
  </si>
  <si>
    <t>1410BF0D7060</t>
  </si>
  <si>
    <t xml:space="preserve">Return of Inbound Payment   15 OCT 26 12.15.44.347748 PM      4CTZ00026287JZQT </t>
  </si>
  <si>
    <t>428ZEXA26288034E</t>
  </si>
  <si>
    <t>CTZ00026288J8FW</t>
  </si>
  <si>
    <t>20ab6efd-b0ef-4a6e-91ff-ea239bb1e523</t>
  </si>
  <si>
    <t xml:space="preserve">Outgoing Funds Transfer   15 OCT 26 01.21.13.190830 PM   OBDX from SIRI MAASAI SAFARIS LIMITED  to ZAWADI LUXURY CAMPS LIMITED  7036385522. Remark: </t>
  </si>
  <si>
    <t>428ZEXA26288000F</t>
  </si>
  <si>
    <t>GWX103554349423</t>
  </si>
  <si>
    <t xml:space="preserve">Return of Inbound Payment   15 OCT 26 08.39.25.847904 AM   /BE01/Bill does not exist   CM335E7851C77D </t>
  </si>
  <si>
    <t>241ZEXA26288001F</t>
  </si>
  <si>
    <t>15106E01CD96</t>
  </si>
  <si>
    <t>ddd1f405-8724-409b-925d-c12c0b28cb73</t>
  </si>
  <si>
    <t>Outgoing Funds Transfer   15 OCT 26 11.38.19.405764 AM   OBDX from TANZOL COMPANY LIMITED  to Y  M EXPRESS LIMITED  3006211474793. Remark: TRANSPORT</t>
  </si>
  <si>
    <t>311ZEXA26280000A</t>
  </si>
  <si>
    <t xml:space="preserve">Liquidation of Bill   15 OCT 26 11.24.56.599495 AM   311BCIU262800502   MANSOOR INDUSTRIES LTD.   TANZANIA PETROLEUM DEVELOPMENT </t>
  </si>
  <si>
    <t>101o036262880001</t>
  </si>
  <si>
    <t>OPICS 15 OCT 26 05.36.16.057170 PM =&gt; 10109000006   BOT CLEARING   USD via OPICS 2012249    EXIM</t>
  </si>
  <si>
    <t>101fas1262880001</t>
  </si>
  <si>
    <t>Journal Posting Miscellaneous  15 OCT 26 03.46.01.473785 PM =&gt; 10109000006   BOT CLEARING   USD via FLEXCUBE NMBFUN151026/1</t>
  </si>
  <si>
    <t>428ZEXA26288000D</t>
  </si>
  <si>
    <t>GWX103554337858</t>
  </si>
  <si>
    <t xml:space="preserve">Return of Inbound Payment   15 OCT 26 08.38.53.523292 AM   /BE01/Bill does not exist   CM6A251B5C4F93 </t>
  </si>
  <si>
    <t>428ZEXA2628800W6</t>
  </si>
  <si>
    <t>151089E69AB8</t>
  </si>
  <si>
    <t xml:space="preserve">Return of Inbound Payment   15 OCT 26 05.59.14.254442 PM      4CTZ00026288J8FW </t>
  </si>
  <si>
    <t>201ZEXA262800039</t>
  </si>
  <si>
    <t xml:space="preserve">Liquidation of Bill   15 OCT 26 01.58.05.512213 PM   201BCIU262800002   GBP TANZANIA LIMITED   TANZANIA PETROLEUM DEVELOPMENT </t>
  </si>
  <si>
    <t>101o111262880001</t>
  </si>
  <si>
    <t>OPICS 15 OCT 26 05.37.20.976956 PM =&gt; 10109000006   BOT CLEARING   USD via OPICS 1082223    BULYANHULU   USD   TZS   2630.00000000   4000000.0000</t>
  </si>
  <si>
    <t>428ZEXA2628800RZ</t>
  </si>
  <si>
    <t>GWX103554362744</t>
  </si>
  <si>
    <t xml:space="preserve">Return of Inbound Payment   15 OCT 26 08.39.21.790352 AM   /BE01/Bill does not exist   CM9F9B64B6E0BC </t>
  </si>
  <si>
    <t>428ZEXA2628800UN</t>
  </si>
  <si>
    <t>151087AB3D7B</t>
  </si>
  <si>
    <t xml:space="preserve">Return of Inbound Payment   15 OCT 26 04.00.25.611877 PM   LORTN OF pacs008 DD 261015 Invali d ben account   SPEXNCB9 </t>
  </si>
  <si>
    <t>311ZEXA26280000C</t>
  </si>
  <si>
    <t xml:space="preserve">Liquidation of Bill   15 OCT 26 11.38.36.615138 AM   311BCIU262800002   MANSOOR INDUSTRIES LTD.   TANZANIA PETROLEUM DEVELOPMENT </t>
  </si>
  <si>
    <t>201ZEXA26212002U</t>
  </si>
  <si>
    <t xml:space="preserve">Liquidation of Bill   15 OCT 26 05.29.05.426966 PM   201BCIU262121502       </t>
  </si>
  <si>
    <t>428ZEXA26288034C</t>
  </si>
  <si>
    <t>SPEXNCB9</t>
  </si>
  <si>
    <t>374ba509-7191-4c83-ab1c-34e43c65113c</t>
  </si>
  <si>
    <t xml:space="preserve">Outgoing Funds Transfer   15 OCT 26 01.17.35.956542 PM   OBDX from AFRICA JOY TOURS AND SAFARIS LTD  to heart and soul limited   045115000183. Remark: </t>
  </si>
  <si>
    <t>311ZEXA26285000Y</t>
  </si>
  <si>
    <t xml:space="preserve">Liquidation of Bill   15 OCT 26 11.19.36.606535 AM   311BCIU262850003   MANSOOR INDUSTRIES LTD.   TANZANIA PETROLEUM DEVELOPMENT </t>
  </si>
  <si>
    <t>101o033262880001</t>
  </si>
  <si>
    <t>OPICS 15 OCT 26 05.36.13.257838 PM =&gt; 10109000006   BOT CLEARING   USD via OPICS 2012292    EXIM</t>
  </si>
  <si>
    <t>2026/10/16</t>
  </si>
  <si>
    <t>201ZEXA2628900AV</t>
  </si>
  <si>
    <t xml:space="preserve">Liquidation of Bill   16 OCT 26 06.44.08.988249 PM   201DCIU262880001   STAR OIL TANZANIA LIMITED   TPDC </t>
  </si>
  <si>
    <t>101bos1262890001</t>
  </si>
  <si>
    <t>Journal Posting Miscellaneous  16 OCT 26 04.24.19.060229 PM =&gt; 10109000006   BOT CLEARING   USD via FLEXCUBE RTN REF. RTN 29662.92USD  2626823034705000  DD 260925  Rsn AS PER RECALL</t>
  </si>
  <si>
    <t>101103x262890012</t>
  </si>
  <si>
    <t>Journal Posting Miscellaneous  16 OCT 26 04.50.53.148209 PM =&gt; 10109000006   BOT CLEARING   USD via FLEXCUBE REVESAL OF ENTITY 000000597453 DD 25092026 Rsn AS PER RECALL</t>
  </si>
  <si>
    <t>201ZEXA26280003A</t>
  </si>
  <si>
    <t xml:space="preserve">Liquidation of Bill   16 OCT 26 12.41.09.581245 PM   201BCIU262800001   ACER PETROLEUM ( T ) LTD   TANZANIA PETROLEUM DEVELOPMENT </t>
  </si>
  <si>
    <t>101jetx262890002</t>
  </si>
  <si>
    <t>Funds Transfer  16 OCT 26 10.28.20.918693 AM =&gt; 10109000006   BOT CLEARING   USD via UPLOAD net settelemnt balance dd 15.10.2026 usd</t>
  </si>
  <si>
    <t>101jfth262890002</t>
  </si>
  <si>
    <t>Funds Transfer  16 OCT 26 02.46.20.501853 PM =&gt; 10109000006   BOT CLEARING   USD via UPLOAD NET SETTELEMENT BALANCE DD 16.10.2026 USD</t>
  </si>
  <si>
    <t>101o042262890001</t>
  </si>
  <si>
    <t>OPICS 16 OCT 26 05.41.13.516560 PM =&gt; 10109000006   BOT CLEARING   USD via OPICS 1082234    F008337233   USD   TZS   2642.15000000   3700000.0000</t>
  </si>
  <si>
    <t>101ian1262890013</t>
  </si>
  <si>
    <t>Journal Posting Miscellaneous  16 OCT 26 04.54.30.815059 PM =&gt; 10109000006   BOT CLEARING   USD via FLEXCUBE RTN DTB/1852/2026  1210C9F9F753  DD261013  Rsn INVALID ACCOUNT NUMBER</t>
  </si>
  <si>
    <t>201ZEXA26285006J</t>
  </si>
  <si>
    <t xml:space="preserve">Liquidation of Bill   16 OCT 26 01.26.28.961584 PM   201BCIU262850501   STAR OIL TANZANIA LIMITED   TANZANIA PETROLEUM DEVELOPMENT </t>
  </si>
  <si>
    <t>101ian1262890010</t>
  </si>
  <si>
    <t>Journal Posting Miscellaneous  16 OCT 26 04.54.30.771552 PM =&gt; 10109000006   BOT CLEARING   USD via FLEXCUBE RTN P261015C00001421  15109F861817  DD261015  Rsn RESTRICTED FOREX APPLICATION</t>
  </si>
  <si>
    <t>101ian1262890015</t>
  </si>
  <si>
    <t>Journal Posting Miscellaneous  16 OCT 26 04.54.30.830158 PM =&gt; 10109000006   BOT CLEARING   USD via FLEXCUBE RTN DTB/1851/2026  131025EAF17C  DD261013  Rsn  DORMANT ACCOUNT</t>
  </si>
  <si>
    <t>2026/10/17</t>
  </si>
  <si>
    <t>101ian1262900009</t>
  </si>
  <si>
    <t>Journal Posting Miscellaneous  17 OCT 26 01.28.56.770118 PM =&gt; 10109000006   BOT CLEARING   USD via FLEXCUBE RTN P261016C00001499 1610B79011FB  DD261016  Rsn  RESTRICTED FOREX APPLICATION</t>
  </si>
  <si>
    <t>403ZEXA2629000S5</t>
  </si>
  <si>
    <t>1710C5A23A18</t>
  </si>
  <si>
    <t xml:space="preserve">Return of Inbound Payment   17 OCT 26 12.07.32.805917 PM   /AC01/Transfer Rejected   ACTZ1577476074 </t>
  </si>
  <si>
    <t>101DPWD262900001</t>
  </si>
  <si>
    <t>DPWDARE1000001783</t>
  </si>
  <si>
    <t>Utility Payment   17 OCT 26 11.03.15.296610 AM    Sender's Ref: HZ1K54E4OUI01B18  Sender Account: 0250464087700  Sender Name: SEAFORTH GENERAL AG LTD  Remittance Info: DPWDARE1000001783</t>
  </si>
  <si>
    <t>101jed1262900007</t>
  </si>
  <si>
    <t>Journal Posting Miscellaneous  17 OCT 26 12.32.18.124832 PM =&gt; 10109000006   BOT CLEARING   USD via FLEXCUBE RTN REF. RTN 22555.36USD 0610E62EAD6E  DD261006  Rsn AS PER RECALL</t>
  </si>
  <si>
    <t>403ZEXA2629000S0</t>
  </si>
  <si>
    <t>ACTZ1577476074</t>
  </si>
  <si>
    <t>03563873-5a79-4022-9c7b-c56735a0d5f7</t>
  </si>
  <si>
    <t xml:space="preserve">Outgoing Funds Transfer   17 OCT 26 11.33.36.968057 AM   OBDX from MAKASA LIMITED  to Zawadi Luxury Camps Limited  7036385522. Remark: </t>
  </si>
  <si>
    <t>101DPWD262901001</t>
  </si>
  <si>
    <t>DPWDARE1000001812</t>
  </si>
  <si>
    <t>Utility Payment   17 OCT 26 11.07.15.017600 AM    Sender's Ref: HZ1K54E4J8S5BBA3  Sender Account: 0250464087700  Sender Name: SEAFORTH GENERAL AG LTD  Remittance Info: DPWDARE1000001812</t>
  </si>
  <si>
    <t>101jed1262900005</t>
  </si>
  <si>
    <t>Journal Posting Miscellaneous  17 OCT 26 12.32.17.885536 PM =&gt; 10109000006   BOT CLEARING   USD via FLEXCUBE RTN P261016C00002991 1610DA4B0ADB  DD261016  Rsn RESTRICTED FOREX APPLICATION</t>
  </si>
  <si>
    <t>2026/10/18</t>
  </si>
  <si>
    <t>421ZEXA2629100RU</t>
  </si>
  <si>
    <t>CM667B14CA6D66</t>
  </si>
  <si>
    <t>c83d902f-0734-445d-962e-33cd0fc11360</t>
  </si>
  <si>
    <t>Outgoing Funds Transfer   18 OCT 26 10.16.02.816386 AM   OBDX from ROKO SAFARIS LIMITED  to Dust y Roads Adventures and tours Limited  250217091300. Remark: Osero/ 00341 rokosafaris</t>
  </si>
  <si>
    <t>421ZEXA262910002</t>
  </si>
  <si>
    <t>18106D92381E</t>
  </si>
  <si>
    <t xml:space="preserve">Return of Inbound Payment   18 OCT 26 10.18.44.878123 AM   /AC01/ACCOUNT DOES NOT EXISTS   CM667B14CA6D66 </t>
  </si>
  <si>
    <t>2026/10/19</t>
  </si>
  <si>
    <t>101ZEXA26292001P</t>
  </si>
  <si>
    <t>2621301947590067-20261017-A1</t>
  </si>
  <si>
    <t xml:space="preserve">Return of Inbound Payment   19 OCT 26 02.30.23.396877 PM   UNAPPLIED BP04 GEPG VALIDATION FAILURE   261019T000610839 </t>
  </si>
  <si>
    <t>223ZEXA26292000A</t>
  </si>
  <si>
    <t>RETN10191239098</t>
  </si>
  <si>
    <t>a18ccff2-f425-4c6a-a0e9-0ee4d66aab2a</t>
  </si>
  <si>
    <t>Outgoing Funds Transfer   19 OCT 26 12.10.36.406001 PM   OBDX from DIAMOND SHIPPING SERVICE LTD  to LYNBERT LOGISTICS CUSTOMS AGENT LIMITED  3004211966107. Remark: REFUND BL NO GOSUGZH0765241</t>
  </si>
  <si>
    <t>101upe2262920017</t>
  </si>
  <si>
    <t xml:space="preserve">Journal Posting Miscellaneous  19 OCT 26 04.48.46.062444 PM =&gt; 10109000006   BOT CLEARING   USD via FLEXCUBE RTN  T0119102600892  2628307047107000  DD261010  Rsn  ACCOUNT DOES NOT EXIST </t>
  </si>
  <si>
    <t>BK1jo62262920002</t>
  </si>
  <si>
    <t>Funds Transfer  19 OCT 26 02.18.19.666291 PM =&gt; 10109000006   BOT CLEARING   USD via UPLOAD NET SETTLENT BALANCE DD 19.OCT 2026 USD</t>
  </si>
  <si>
    <t>101o037262920001</t>
  </si>
  <si>
    <t>OPICS 19 OCT 26 06.44.42.240078 PM =&gt; 10109000006   BOT CLEARING   USD via OPICS 1082224    DCB          USD   TZS   2647.00000000    100000.0000</t>
  </si>
  <si>
    <t>101o051262920001</t>
  </si>
  <si>
    <t>OPICS 19 OCT 26 06.44.52.818518 PM =&gt; 10109000006   BOT CLEARING   USD via OPICS 2012323    EXIM</t>
  </si>
  <si>
    <t>237SBRN2629200RW</t>
  </si>
  <si>
    <t>CMD50471FEC75B</t>
  </si>
  <si>
    <t>acc56a95-6c08-4a23-9f6f-2500eaf4558b</t>
  </si>
  <si>
    <t>Outgoing Funds Transfer   19 OCT 26 05.16.20.734380 PM   SYBRIN from MINING AND ENGINEERING TECHNICAL SERVICES LIMITED  to CMC AUTOMOBILES LIMITED  01520002291. Remark: THIRD INSTALLMENT FOR FORD RANGER P</t>
  </si>
  <si>
    <t>237SBRN2629200RX</t>
  </si>
  <si>
    <t>GWX103574969072</t>
  </si>
  <si>
    <t xml:space="preserve">Return of Inbound Payment   19 OCT 26 05.17.42.507709 PM   /AC01/ACCOUNT DOES NOT EXISTS   CMD50471FEC75B </t>
  </si>
  <si>
    <t>101ZEXA2629200U1</t>
  </si>
  <si>
    <t>2621301947590249-20261017-A1</t>
  </si>
  <si>
    <t xml:space="preserve">Return of Inbound Payment   19 OCT 26 03.54.03.562045 PM   UNAPPLIED BP04 GEPG VALIDATION FAILURE   261019T000611045 </t>
  </si>
  <si>
    <t>201ZEXA262860119</t>
  </si>
  <si>
    <t xml:space="preserve">Liquidation of Bill   19 OCT 26 02.35.22.991860 PM   201BCIU262860502   GBP TANZANIA LIMITED   TANZANIA PETROLEUM DEVELOPMENT </t>
  </si>
  <si>
    <t>207ZEXA2628200S9</t>
  </si>
  <si>
    <t xml:space="preserve">Liquidation of Bill   19 OCT 26 02.38.19.136448 PM   207BCIU262820001   CAMEL OIL (T) LTD   TANZANIA PETROLEUM DEVELOPMENT </t>
  </si>
  <si>
    <t>BK1jni1262920002</t>
  </si>
  <si>
    <t>Funds Transfer  19 OCT 26 10.42.20.495735 AM =&gt; 10109000006   BOT CLEARING   USD via UPLOAD NET SETTLEMENT BALANCE DD 17.10.2026 USD</t>
  </si>
  <si>
    <t>201ZEXA2628600BK</t>
  </si>
  <si>
    <t xml:space="preserve">Liquidation of Bill   19 OCT 26 05.33.39.127218 PM   201BCIU262860503   ACER PETROLEUM ( T ) LTD   TANZANIA PETROLEUM DEVELOPMENT </t>
  </si>
  <si>
    <t>101o022262920001</t>
  </si>
  <si>
    <t>OPICS 19 OCT 26 06.44.30.321245 PM =&gt; 10109000006   BOT CLEARING   USD via OPICS 2012322    EXIM</t>
  </si>
  <si>
    <t>223ZEXA2629204MT</t>
  </si>
  <si>
    <t>161072ABE791</t>
  </si>
  <si>
    <t xml:space="preserve">Return of Inbound Payment   19 OCT 26 01.25.07.117437 PM   /ROC/UTA BNF NAME DIFFERS //BNF LYNBERT LOGISTICS CUSTOMS AGE //REF 161072ABE791   RETN10191239098 </t>
  </si>
  <si>
    <t>231ZEXA2629200ST</t>
  </si>
  <si>
    <t>13108CD395F4</t>
  </si>
  <si>
    <t xml:space="preserve">Return of Inbound Payment   19 OCT 26 03.47.32.771230 PM   /AC04/DORMANT ACCOUNT   CMD452D280F96C </t>
  </si>
  <si>
    <t>101upe2262920015</t>
  </si>
  <si>
    <t xml:space="preserve">Journal Posting Miscellaneous  19 OCT 26 04.48.45.754335 PM =&gt; 10109000006   BOT CLEARING   USD via FLEXCUBE RTN TZ1RTGS262890302  1510F0E6B6C7  DD261015  Rsn INVALID CREDITOR ACCOUNT NUMBER </t>
  </si>
  <si>
    <t>101tou2262920100</t>
  </si>
  <si>
    <t>Journal Posting Miscellaneous  19 OCT 26 05.47.08.236490 PM =&gt; 10109000006   BOT CLEARING   USD via FLEXCUBE R/E NMBFUN2808026</t>
  </si>
  <si>
    <t>408ZEXA2629202BN</t>
  </si>
  <si>
    <t>1910235E2F3F</t>
  </si>
  <si>
    <t>36058f4c-1d36-4dc5-8793-4891bb017e4d</t>
  </si>
  <si>
    <t>Outgoing Funds Transfer   19 OCT 26 10.37.51.761689 AM   OBDX from ACTIVE TANZANIA ADVENTURES LTD  to SEYYIDA CO .LTD   040052700. Remark: Theology oct Group</t>
  </si>
  <si>
    <t>101upe2262920013</t>
  </si>
  <si>
    <t xml:space="preserve">Journal Posting Miscellaneous  19 OCT 26 04.48.45.578335 PM =&gt; 10109000006   BOT CLEARING   USD via FLEXCUBE RTN  TZ1RTS262920438  1610710A81CE  DD261012  Rsn  INVALID ACCOUNT NUMBER </t>
  </si>
  <si>
    <t>101o021262920001</t>
  </si>
  <si>
    <t>OPICS 19 OCT 26 06.44.29.439940 PM =&gt; 10109000006   BOT CLEARING   USD via OPICS 1082287    F001761791   USD   TZS   2647.00000000    700000.0000</t>
  </si>
  <si>
    <t>2026/10/20</t>
  </si>
  <si>
    <t>101ian4262930001</t>
  </si>
  <si>
    <t>Journal Posting Miscellaneous  20 OCT 26 06.31.36.918747 PM =&gt; 10109000006   BOT CLEARING   USD via FLEXCUBE RTN  P260905C00001449  0509E0E728B6 dd260509 Rsn Retricted forex application</t>
  </si>
  <si>
    <t>241ZEXA2629300SM</t>
  </si>
  <si>
    <t>1210381B86EA</t>
  </si>
  <si>
    <t xml:space="preserve">Return of Inbound Payment   20 OCT 26 09.35.02.584483 AM      4CTZ00026293LGNB </t>
  </si>
  <si>
    <t>207ZEXA2628600SU</t>
  </si>
  <si>
    <t xml:space="preserve">Liquidation of Bill   20 OCT 26 12.10.59.114621 PM   207BCIU262860001   CAMEL OIL (T) LTD   TANZANIA PETROLEUM DEVELOPMENT </t>
  </si>
  <si>
    <t>403ZEXA262930011</t>
  </si>
  <si>
    <t>2010301911BC</t>
  </si>
  <si>
    <t>6c38b5b7-18dd-4fce-8395-75dc9c41c2cd</t>
  </si>
  <si>
    <t xml:space="preserve">Outgoing Funds Transfer   20 OCT 26 03.31.43.272070 PM   OBDX from MAUA MAZURI TISSUE CULTURE PRD LTD  to Allianz Worldwide Care SA  9809023. Remark: CEO INSURANCE </t>
  </si>
  <si>
    <t>101o043262930001</t>
  </si>
  <si>
    <t>OPICS 20 OCT 26 05.36.59.136469 PM =&gt; 10109000006   BOT CLEARING   USD via OPICS 2012332    MAENDELEO</t>
  </si>
  <si>
    <t>230SBRN2629300S8</t>
  </si>
  <si>
    <t>GWX103578539057</t>
  </si>
  <si>
    <t xml:space="preserve">Return of Inbound Payment   20 OCT 26 07.43.27.708951 PM   /AC01/ACCOUNT DOES NOT EXISTS   CMFF866C7CAAB8 </t>
  </si>
  <si>
    <t>201ZEXA2628600EL</t>
  </si>
  <si>
    <t xml:space="preserve">Liquidation of Bill   20 OCT 26 11.38.59.179232 AM   201BCIU262860003   ACER PETROLEUM ( T ) LTD   TANZANIA PETROLEUM DEVELOPMENT </t>
  </si>
  <si>
    <t>230SBRN2629300S7</t>
  </si>
  <si>
    <t>CMFF866C7CAAB8</t>
  </si>
  <si>
    <t>975fb29f-cce5-4a50-8704-e3e6bd495f11</t>
  </si>
  <si>
    <t>Outgoing Funds Transfer   20 OCT 26 07.42.22.553247 PM   SYBRIN from SUPER COMMODITY SOLUTIONS CO.LIMITED  to SUPERDOLL TRAILER MANUFACTURE CO LTD  02J1026587001. Remark: PAYMENT OF TRAILER</t>
  </si>
  <si>
    <t>225ZEXA2629300TL</t>
  </si>
  <si>
    <t>0110E5D77D5B</t>
  </si>
  <si>
    <t xml:space="preserve">Return of Inbound Payment   20 OCT 26 04.14.26.626470 PM   INVALID AC NUMBER    TFRTN/0465/2026 </t>
  </si>
  <si>
    <t>101o058262930001</t>
  </si>
  <si>
    <t>OPICS 20 OCT 26 05.37.11.935869 PM =&gt; 10109000006   BOT CLEARING   USD via OPICS 2012325    MWANGA</t>
  </si>
  <si>
    <t>101o018262930001</t>
  </si>
  <si>
    <t>OPICS 20 OCT 26 05.35.41.607003 PM =&gt; 10109000006   BOT CLEARING   USD via OPICS 2012283    MWANGA</t>
  </si>
  <si>
    <t>311ZEXA2628601JM</t>
  </si>
  <si>
    <t xml:space="preserve">Liquidation of Bill   20 OCT 26 01.45.39.149133 PM   311BCIU262860001   OLYMPIC PETROLEUM T LTD EAST   TANZANIA PETROLEUM DEVELOPMENT  </t>
  </si>
  <si>
    <t>BK1jr5j262930002</t>
  </si>
  <si>
    <t>Funds Transfer  20 OCT 26 02.00.20.761281 PM =&gt; 10109000006   BOT CLEARING   USD via UPLOAD NET SETTLEMENT DD 20.10.2026</t>
  </si>
  <si>
    <t>230SBRN2629300S5</t>
  </si>
  <si>
    <t>CM578D3A719A28</t>
  </si>
  <si>
    <t>cd0500b3-00b5-412d-bdb6-87b3e51a7f44</t>
  </si>
  <si>
    <t>Outgoing Funds Transfer   20 OCT 26 06.52.20.992462 PM   SYBRIN from SUPER COMMODITY SOLUTIONS CO.LIMITED  to SUPERDOLL TRAILER MANUFACTURE CO LTD  02J1026587001. Remark: PAYMENT OF TRAILER</t>
  </si>
  <si>
    <t>101jpm1262930095</t>
  </si>
  <si>
    <t>Journal Posting Miscellaneous  20 OCT 26 04.46.20.751701 PM =&gt; 10109000006   BOT CLEARING   USD via FLEXCUBE 101ao78262120006</t>
  </si>
  <si>
    <t>101o002262930002</t>
  </si>
  <si>
    <t>OPICS 20 OCT 26 07.47.01.547301 PM =&gt; 10109000006   BOT CLEARING   USD via OPICS 1082256    DCB          USD   TZS   2647.00000000    100000.0000</t>
  </si>
  <si>
    <t>101o042262930001</t>
  </si>
  <si>
    <t>OPICS 20 OCT 26 05.36.58.497252 PM =&gt; 10109000006   BOT CLEARING   USD via OPICS 1082252    DCB          USD   TZS   2647.00000000    300000.0000</t>
  </si>
  <si>
    <t>101ian4262930005</t>
  </si>
  <si>
    <t>Journal Posting Miscellaneous  20 OCT 26 06.31.37.192776 PM =&gt; 10109000006   BOT CLEARING   USD via FLEXCUBE RTN  TZ5IL2608110007V  1108D8871489 dd260811 Rsn Invalid account number</t>
  </si>
  <si>
    <t>101tou1262930007</t>
  </si>
  <si>
    <t>Journal Posting Miscellaneous  20 OCT 26 05.52.34.444241 PM =&gt; 10109000006   BOT CLEARING   USD via FLEXCUBE NMBFUN2010026/3</t>
  </si>
  <si>
    <t>435SBRN262930001</t>
  </si>
  <si>
    <t>GWX103575195767</t>
  </si>
  <si>
    <t xml:space="preserve">Return of Inbound Payment   20 OCT 26 01.02.05.609331 PM   INVALID ACCOUNT   TISS/RTN/26/1456 </t>
  </si>
  <si>
    <t>101o017262930001</t>
  </si>
  <si>
    <t>OPICS 20 OCT 26 05.35.40.919787 PM =&gt; 10109000006   BOT CLEARING   USD via OPICS 2012284    MAENDELEO</t>
  </si>
  <si>
    <t>241ZEXA262930003</t>
  </si>
  <si>
    <t>CTZ00026293LGNB</t>
  </si>
  <si>
    <t>21a0ea5b-85ae-4d2c-bbda-5d012fe3b1ec</t>
  </si>
  <si>
    <t>Outgoing Funds Transfer   20 OCT 26 07.58.53.845636 AM   OBDX from VIASERVICE LIMITED  to VIASERVICE LIMITED  601087. Remark: Transfer of USD 90000</t>
  </si>
  <si>
    <t>230SBRN2629300S6</t>
  </si>
  <si>
    <t>GWX103578363783</t>
  </si>
  <si>
    <t xml:space="preserve">Return of Inbound Payment   20 OCT 26 06.53.26.465836 PM   /AC01/ACCOUNT DOES NOT EXISTS   CM578D3A719A28 </t>
  </si>
  <si>
    <t>201ZEXA262860087</t>
  </si>
  <si>
    <t xml:space="preserve">Liquidation of Bill   20 OCT 26 01.43.59.186613 PM   201BCIU262860002   GBP TANZANIA LIMITED   TANZANIA PETROLEUM DEVELOPMENT </t>
  </si>
  <si>
    <t>2026/10/21</t>
  </si>
  <si>
    <t>101w58m262940124</t>
  </si>
  <si>
    <t>Journal Posting Miscellaneous  21 OCT 26 05.38.10.456195 PM =&gt; 10109000006   BOT CLEARING   USD via FLEXCUBE P260814C00000899</t>
  </si>
  <si>
    <t>101w58m262940103</t>
  </si>
  <si>
    <t>Journal Posting Miscellaneous  21 OCT 26 05.38.22.127033 PM =&gt; 10109000006   BOT CLEARING   USD via FLEXCUBE 009GEPL262240007</t>
  </si>
  <si>
    <t>101w58m262940137</t>
  </si>
  <si>
    <t>Journal Posting Miscellaneous  21 OCT 26 05.38.10.728105 PM =&gt; 10109000006   BOT CLEARING   USD via FLEXCUBE TOW26219LLC0JCDH</t>
  </si>
  <si>
    <t>101w58m262940191</t>
  </si>
  <si>
    <t>Journal Posting Miscellaneous  21 OCT 26 05.38.26.474434 PM =&gt; 10109000006   BOT CLEARING   USD via FLEXCUBE TZ1OL260810025E2</t>
  </si>
  <si>
    <t>101w58m262940159</t>
  </si>
  <si>
    <t>Journal Posting Miscellaneous  21 OCT 26 05.38.13.555215 PM =&gt; 10109000006   BOT CLEARING   USD via FLEXCUBE RTO3004262330788</t>
  </si>
  <si>
    <t>101w58m262940166</t>
  </si>
  <si>
    <t>Journal Posting Miscellaneous  21 OCT 26 05.38.26.057478 PM =&gt; 10109000006   BOT CLEARING   USD via FLEXCUBE OT26222TZ0122479</t>
  </si>
  <si>
    <t>101w58m262940147</t>
  </si>
  <si>
    <t>Journal Posting Miscellaneous  21 OCT 26 05.38.10.906703 PM =&gt; 10109000006   BOT CLEARING   USD via FLEXCUBE OT26219TZ0122090</t>
  </si>
  <si>
    <t>101w58m262940102</t>
  </si>
  <si>
    <t>Journal Posting Miscellaneous  21 OCT 26 05.38.19.131769 PM =&gt; 10109000006   BOT CLEARING   USD via FLEXCUBE P260808C00000359</t>
  </si>
  <si>
    <t>101w58m262940136</t>
  </si>
  <si>
    <t>Journal Posting Miscellaneous  21 OCT 26 05.38.07.444915 PM =&gt; 10109000006   BOT CLEARING   USD via FLEXCUBE OT26216TZ0121130</t>
  </si>
  <si>
    <t>101w58m262940112</t>
  </si>
  <si>
    <t>Journal Posting Miscellaneous  21 OCT 26 05.38.19.297530 PM =&gt; 10109000006   BOT CLEARING   USD via FLEXCUBE TZAAO22426H2AZC</t>
  </si>
  <si>
    <t>101w58m262940181</t>
  </si>
  <si>
    <t>Journal Posting Miscellaneous  21 OCT 26 05.38.11.335082 PM =&gt; 10109000006   BOT CLEARING   USD via FLEXCUBE OT26222TZ0122475</t>
  </si>
  <si>
    <t>101w58m262940214</t>
  </si>
  <si>
    <t>Journal Posting Miscellaneous  21 OCT 26 05.38.16.364372 PM =&gt; 10109000006   BOT CLEARING   USD via FLEXCUBE OT26223TZ0122716</t>
  </si>
  <si>
    <t>101w58m262940128</t>
  </si>
  <si>
    <t>Journal Posting Miscellaneous  21 OCT 26 05.38.22.474122 PM =&gt; 10109000006   BOT CLEARING   USD via FLEXCUBE P260814C00000353</t>
  </si>
  <si>
    <t>101w58m262940203</t>
  </si>
  <si>
    <t>Journal Posting Miscellaneous  21 OCT 26 05.38.26.600355 PM =&gt; 10109000006   BOT CLEARING   USD via FLEXCUBE OT26222TZ0122553</t>
  </si>
  <si>
    <t>101w58m262940209</t>
  </si>
  <si>
    <t>Journal Posting Miscellaneous  21 OCT 26 05.38.16.174282 PM =&gt; 10109000006   BOT CLEARING   USD via FLEXCUBE MWZ26223BLJMG0DC</t>
  </si>
  <si>
    <t>101w58m262940198</t>
  </si>
  <si>
    <t>Journal Posting Miscellaneous  21 OCT 26 05.38.11.571812 PM =&gt; 10109000006   BOT CLEARING   USD via FLEXCUBE RTO3004262330796</t>
  </si>
  <si>
    <t>101w58m262940107</t>
  </si>
  <si>
    <t>Journal Posting Miscellaneous  21 OCT 26 05.38.25.447654 PM =&gt; 10109000006   BOT CLEARING   USD via FLEXCUBE CMRTG26224001040</t>
  </si>
  <si>
    <t>101w58m262940218</t>
  </si>
  <si>
    <t>Journal Posting Miscellaneous  21 OCT 26 05.38.08.909416 PM =&gt; 10109000006   BOT CLEARING   USD via FLEXCUBE TZAAO21926HHYV4</t>
  </si>
  <si>
    <t>101DPWD262940001</t>
  </si>
  <si>
    <t>DPWDARQ000118033</t>
  </si>
  <si>
    <t>Utility Payment   21 OCT 26 04.55.43.621870 PM    Sender's Ref: HZ1K5FBTAFOEBA8C  Sender Account: 0250464087700  Sender Name: SEAFORTH GENERAL AG LTD  Remittance Info: DPWDARQ000118033</t>
  </si>
  <si>
    <t>101w58m262940130</t>
  </si>
  <si>
    <t>Journal Posting Miscellaneous  21 OCT 26 05.38.22.558303 PM =&gt; 10109000006   BOT CLEARING   USD via FLEXCUBE P260814C00002855</t>
  </si>
  <si>
    <t>101w58m262940132</t>
  </si>
  <si>
    <t>Journal Posting Miscellaneous  21 OCT 26 05.38.19.552925 PM =&gt; 10109000006   BOT CLEARING   USD via FLEXCUBE TRX2608051061029</t>
  </si>
  <si>
    <t>101w58m262940183</t>
  </si>
  <si>
    <t>Journal Posting Miscellaneous  21 OCT 26 05.38.05.163313 PM =&gt; 10109000006   BOT CLEARING   USD via FLEXCUBE OT26222TZ0122474</t>
  </si>
  <si>
    <t>101w58m262940221</t>
  </si>
  <si>
    <t>Journal Posting Miscellaneous  21 OCT 26 05.38.16.617145 PM =&gt; 10109000006   BOT CLEARING   USD via FLEXCUBE OT26223TZ0122859</t>
  </si>
  <si>
    <t>311ZEXA2629300ST</t>
  </si>
  <si>
    <t xml:space="preserve">Liquidation of Bill   21 OCT 26 11.53.35.288323 AM   311BCIS262931001   OLYMPIC PETROLEUM T LTD EAST   TANZANIA PETROLEUM DEVELOPMENT  </t>
  </si>
  <si>
    <t>101w58m262940205</t>
  </si>
  <si>
    <t>Journal Posting Miscellaneous  21 OCT 26 05.38.08.813669 PM =&gt; 10109000006   BOT CLEARING   USD via FLEXCUBE 021DTOL262230012</t>
  </si>
  <si>
    <t>101w58m262940133</t>
  </si>
  <si>
    <t>Journal Posting Miscellaneous  21 OCT 26 05.38.04.482664 PM =&gt; 10109000006   BOT CLEARING   USD via FLEXCUBE OT26219TZ0122098</t>
  </si>
  <si>
    <t>101w58m262940180</t>
  </si>
  <si>
    <t>Journal Posting Miscellaneous  21 OCT 26 05.38.08.446995 PM =&gt; 10109000006   BOT CLEARING   USD via FLEXCUBE TZAAO22226H3PDP</t>
  </si>
  <si>
    <t>101w58m262940206</t>
  </si>
  <si>
    <t>Journal Posting Miscellaneous  21 OCT 26 05.38.23.611867 PM =&gt; 10109000006   BOT CLEARING   USD via FLEXCUBE CMRTG26223002946</t>
  </si>
  <si>
    <t>101w58m262940169</t>
  </si>
  <si>
    <t>Journal Posting Miscellaneous  21 OCT 26 05.38.13.712209 PM =&gt; 10109000006   BOT CLEARING   USD via FLEXCUBE OT26219TZ0122358</t>
  </si>
  <si>
    <t>101w58m262940117</t>
  </si>
  <si>
    <t>Journal Posting Miscellaneous  21 OCT 26 05.38.19.381107 PM =&gt; 10109000006   BOT CLEARING   USD via FLEXCUBE OT26225TZ0123386</t>
  </si>
  <si>
    <t>101w58m262940105</t>
  </si>
  <si>
    <t>Journal Posting Miscellaneous  21 OCT 26 05.38.25.365376 PM =&gt; 10109000006   BOT CLEARING   USD via FLEXCUBE OT26224TZ0123238</t>
  </si>
  <si>
    <t>101w58m262940140</t>
  </si>
  <si>
    <t>Journal Posting Miscellaneous  21 OCT 26 05.38.04.565462 PM =&gt; 10109000006   BOT CLEARING   USD via FLEXCUBE OT26219TZ0122110</t>
  </si>
  <si>
    <t>101w58m262940135</t>
  </si>
  <si>
    <t>Journal Posting Miscellaneous  21 OCT 26 05.38.13.398505 PM =&gt; 10109000006   BOT CLEARING   USD via FLEXCUBE OT26219TZ0122360</t>
  </si>
  <si>
    <t>101w58m262940143</t>
  </si>
  <si>
    <t>Journal Posting Miscellaneous  21 OCT 26 05.38.22.728327 PM =&gt; 10109000006   BOT CLEARING   USD via FLEXCUBE OT26219TZ0121963</t>
  </si>
  <si>
    <t>101w58m262940189</t>
  </si>
  <si>
    <t>Journal Posting Miscellaneous  21 OCT 26 05.38.11.414230 PM =&gt; 10109000006   BOT CLEARING   USD via FLEXCUBE TZAAO22226HHJ6A</t>
  </si>
  <si>
    <t>101w58m262940165</t>
  </si>
  <si>
    <t>Journal Posting Miscellaneous  21 OCT 26 05.38.08.138940 PM =&gt; 10109000006   BOT CLEARING   USD via FLEXCUBE TZAAO21726HFR7F</t>
  </si>
  <si>
    <t>101w58m262940207</t>
  </si>
  <si>
    <t>Journal Posting Miscellaneous  21 OCT 26 05.38.26.707458 PM =&gt; 10109000006   BOT CLEARING   USD via FLEXCUBE P260801C00001859</t>
  </si>
  <si>
    <t>101w58m262940115</t>
  </si>
  <si>
    <t>Journal Posting Miscellaneous  21 OCT 26 05.38.22.304799 PM =&gt; 10109000006   BOT CLEARING   USD via FLEXCUBE P260812C00002275</t>
  </si>
  <si>
    <t>101w58m262940224</t>
  </si>
  <si>
    <t>Journal Posting Miscellaneous  21 OCT 26 05.38.11.890181 PM =&gt; 10109000006   BOT CLEARING   USD via FLEXCUBE TZAAO22426HEZQQ</t>
  </si>
  <si>
    <t>101w58m262940202</t>
  </si>
  <si>
    <t>Journal Posting Miscellaneous  21 OCT 26 05.38.16.011914 PM =&gt; 10109000006   BOT CLEARING   USD via FLEXCUBE TZAAO22226H72DJ</t>
  </si>
  <si>
    <t>101upe1262940013</t>
  </si>
  <si>
    <t xml:space="preserve">Journal Posting Miscellaneous  21 OCT 26 10.01.19.100543 AM =&gt; 10109000006   BOT CLEARING   USD via FLEXCUBE RTN   FT26292GQXPV FT26292GQXPV  DD261016  Rsn INVALID ACCOUNT  </t>
  </si>
  <si>
    <t>101w58m262940230</t>
  </si>
  <si>
    <t>Journal Posting Miscellaneous  21 OCT 26 05.38.20.072079 PM =&gt; 10109000006   BOT CLEARING   USD via FLEXCUBE OT26224TZ0123308</t>
  </si>
  <si>
    <t>101w58m262940178</t>
  </si>
  <si>
    <t>Journal Posting Miscellaneous  21 OCT 26 05.38.26.154593 PM =&gt; 10109000006   BOT CLEARING   USD via FLEXCUBE TZAAO22226HDKPA</t>
  </si>
  <si>
    <t>101w58m262940152</t>
  </si>
  <si>
    <t>Journal Posting Miscellaneous  21 OCT 26 05.38.15.479336 PM =&gt; 10109000006   BOT CLEARING   USD via FLEXCUBE TZ1OL260810025C6</t>
  </si>
  <si>
    <t>101w58m262940126</t>
  </si>
  <si>
    <t>Journal Posting Miscellaneous  21 OCT 26 05.38.25.890825 PM =&gt; 10109000006   BOT CLEARING   USD via FLEXCUBE R90RTGO262260225</t>
  </si>
  <si>
    <t>101w58m262940192</t>
  </si>
  <si>
    <t>Journal Posting Miscellaneous  21 OCT 26 05.38.08.546369 PM =&gt; 10109000006   BOT CLEARING   USD via FLEXCUBE TZ1OL260810025E5</t>
  </si>
  <si>
    <t>101w58m262940095</t>
  </si>
  <si>
    <t>Journal Posting Miscellaneous  21 OCT 26 05.38.15.024151 PM =&gt; 10109000006   BOT CLEARING   USD via FLEXCUBE 8373492</t>
  </si>
  <si>
    <t>101w58m262940211</t>
  </si>
  <si>
    <t>Journal Posting Miscellaneous  21 OCT 26 05.38.11.810333 PM =&gt; 10109000006   BOT CLEARING   USD via FLEXCUBE OT26223TZ0122943</t>
  </si>
  <si>
    <t>101w58m262940121</t>
  </si>
  <si>
    <t>Journal Posting Miscellaneous  21 OCT 26 05.38.25.796275 PM =&gt; 10109000006   BOT CLEARING   USD via FLEXCUBE GT852858</t>
  </si>
  <si>
    <t>101w58m262940138</t>
  </si>
  <si>
    <t>Journal Posting Miscellaneous  21 OCT 26 05.38.07.556666 PM =&gt; 10109000006   BOT CLEARING   USD via FLEXCUBE RTO3004262330425</t>
  </si>
  <si>
    <t>101w58m262940129</t>
  </si>
  <si>
    <t>Journal Posting Miscellaneous  21 OCT 26 05.38.25.975448 PM =&gt; 10109000006   BOT CLEARING   USD via FLEXCUBE GEPGTR 7190431</t>
  </si>
  <si>
    <t>101w58m262940172</t>
  </si>
  <si>
    <t>Journal Posting Miscellaneous  21 OCT 26 05.38.11.073147 PM =&gt; 10109000006   BOT CLEARING   USD via FLEXCUBE FT26213RG17N1</t>
  </si>
  <si>
    <t>101103r262940207</t>
  </si>
  <si>
    <t>Journal Posting Miscellaneous  21 OCT 26 02.13.59.935704 PM =&gt; 10109000006   BOT CLEARING   USD via FLEXCUBE NMBFUN1601026/05</t>
  </si>
  <si>
    <t>101w58m262940182</t>
  </si>
  <si>
    <t>Journal Posting Miscellaneous  21 OCT 26 05.38.23.248832 PM =&gt; 10109000006   BOT CLEARING   USD via FLEXCUBE RTO3004262330780</t>
  </si>
  <si>
    <t>101w58m262940162</t>
  </si>
  <si>
    <t>Journal Posting Miscellaneous  21 OCT 26 05.38.04.896562 PM =&gt; 10109000006   BOT CLEARING   USD via FLEXCUBE RTO3004262332442</t>
  </si>
  <si>
    <t>403ZEXA2629401JO</t>
  </si>
  <si>
    <t>0510391AFC9E</t>
  </si>
  <si>
    <t xml:space="preserve">Return of Inbound Payment   21 OCT 26 05.36.57.479369 PM   BEN ACCOUNT CLOSED    TFRTN/0476/2026 </t>
  </si>
  <si>
    <t>101w58m262940154</t>
  </si>
  <si>
    <t>Journal Posting Miscellaneous  21 OCT 26 05.38.19.720381 PM =&gt; 10109000006   BOT CLEARING   USD via FLEXCUBE TZ1OL260810025MI</t>
  </si>
  <si>
    <t>101w58m262940111</t>
  </si>
  <si>
    <t>Journal Posting Miscellaneous  21 OCT 26 05.38.13.320055 PM =&gt; 10109000006   BOT CLEARING   USD via FLEXCUBE TZAAO22426H6OOY</t>
  </si>
  <si>
    <t>101w58m262940194</t>
  </si>
  <si>
    <t>Journal Posting Miscellaneous  21 OCT 26 05.38.15.751137 PM =&gt; 10109000006   BOT CLEARING   USD via FLEXCUBE HZ1JVL9602A8FA09</t>
  </si>
  <si>
    <t>101w58m262940199</t>
  </si>
  <si>
    <t>Journal Posting Miscellaneous  21 OCT 26 05.38.08.713207 PM =&gt; 10109000006   BOT CLEARING   USD via FLEXCUBE OT26222TZ0122472</t>
  </si>
  <si>
    <t>101w58m262940220</t>
  </si>
  <si>
    <t>Journal Posting Miscellaneous  21 OCT 26 05.38.23.699240 PM =&gt; 10109000006   BOT CLEARING   USD via FLEXCUBE TZ1OL260804025K5</t>
  </si>
  <si>
    <t>101w58m262940217</t>
  </si>
  <si>
    <t>Journal Posting Miscellaneous  21 OCT 26 05.38.16.447725 PM =&gt; 10109000006   BOT CLEARING   USD via FLEXCUBE TZAAO21326HCCSP</t>
  </si>
  <si>
    <t>101w58m262940232</t>
  </si>
  <si>
    <t>Journal Posting Miscellaneous  21 OCT 26 05.38.26.895338 PM =&gt; 10109000006   BOT CLEARING   USD via FLEXCUBE RTO3002262338278</t>
  </si>
  <si>
    <t>101w58m262940149</t>
  </si>
  <si>
    <t>Journal Posting Miscellaneous  21 OCT 26 05.38.15.387928 PM =&gt; 10109000006   BOT CLEARING   USD via FLEXCUBE P260731C00005363</t>
  </si>
  <si>
    <t>101w58m262940144</t>
  </si>
  <si>
    <t>Journal Posting Miscellaneous  21 OCT 26 05.38.22.817677 PM =&gt; 10109000006   BOT CLEARING   USD via FLEXCUBE R90RTGO262190243</t>
  </si>
  <si>
    <t>311ZEXA2629300SK</t>
  </si>
  <si>
    <t xml:space="preserve">Liquidation of Bill   21 OCT 26 11.46.55.316574 AM   311BCIS262930002   OLYMPIC PETROLEUM T LTD EAST   TANZANIA PETROLEUM DEVELOPMENT  </t>
  </si>
  <si>
    <t>101w58m262940170</t>
  </si>
  <si>
    <t>Journal Posting Miscellaneous  21 OCT 26 05.38.13.789583 PM =&gt; 10109000006   BOT CLEARING   USD via FLEXCUBE OT26216TZ0121018</t>
  </si>
  <si>
    <t>101w58m262940146</t>
  </si>
  <si>
    <t>Journal Posting Miscellaneous  21 OCT 26 05.38.07.750367 PM =&gt; 10109000006   BOT CLEARING   USD via FLEXCUBE CMRTG26219001701</t>
  </si>
  <si>
    <t>101w58m262940139</t>
  </si>
  <si>
    <t>Journal Posting Miscellaneous  21 OCT 26 05.38.22.643720 PM =&gt; 10109000006   BOT CLEARING   USD via FLEXCUBE OT26219TZ0121987</t>
  </si>
  <si>
    <t>101w58m262940119</t>
  </si>
  <si>
    <t>Journal Posting Miscellaneous  21 OCT 26 05.38.25.711520 PM =&gt; 10109000006   BOT CLEARING   USD via FLEXCUBE TZAAO22526H6V68</t>
  </si>
  <si>
    <t>101w58m262940168</t>
  </si>
  <si>
    <t>Journal Posting Miscellaneous  21 OCT 26 05.38.05.081287 PM =&gt; 10109000006   BOT CLEARING   USD via FLEXCUBE TZAAO21626HQMXV</t>
  </si>
  <si>
    <t>101w58m262940108</t>
  </si>
  <si>
    <t>Journal Posting Miscellaneous  21 OCT 26 05.38.15.216228 PM =&gt; 10109000006   BOT CLEARING   USD via FLEXCUBE P260812C00001599</t>
  </si>
  <si>
    <t>101w58m262940228</t>
  </si>
  <si>
    <t>Journal Posting Miscellaneous  21 OCT 26 05.38.16.779956 PM =&gt; 10109000006   BOT CLEARING   USD via FLEXCUBE TZAAO22426HDE85</t>
  </si>
  <si>
    <t>101w58m262940201</t>
  </si>
  <si>
    <t>Journal Posting Miscellaneous  21 OCT 26 05.38.11.650016 PM =&gt; 10109000006   BOT CLEARING   USD via FLEXCUBE TZ1OL260810025BZ</t>
  </si>
  <si>
    <t>101w58m262940110</t>
  </si>
  <si>
    <t>Journal Posting Miscellaneous  21 OCT 26 05.38.13.240743 PM =&gt; 10109000006   BOT CLEARING   USD via FLEXCUBE TZ1OL2608120258E</t>
  </si>
  <si>
    <t>101w58m262940226</t>
  </si>
  <si>
    <t>Journal Posting Miscellaneous  21 OCT 26 05.38.09.006842 PM =&gt; 10109000006   BOT CLEARING   USD via FLEXCUBE CMRTG26224001526</t>
  </si>
  <si>
    <t>101w58m262940155</t>
  </si>
  <si>
    <t>Journal Posting Miscellaneous  21 OCT 26 05.38.13.477410 PM =&gt; 10109000006   BOT CLEARING   USD via FLEXCUBE TAPBTZTZ20260810091027533</t>
  </si>
  <si>
    <t>101w58m262940196</t>
  </si>
  <si>
    <t>Journal Posting Miscellaneous  21 OCT 26 05.38.23.420139 PM =&gt; 10109000006   BOT CLEARING   USD via FLEXCUBE TZAAO22226HFTRJ</t>
  </si>
  <si>
    <t>101w58m262940185</t>
  </si>
  <si>
    <t>Journal Posting Miscellaneous  21 OCT 26 05.38.19.802236 PM =&gt; 10109000006   BOT CLEARING   USD via FLEXCUBE OT26222TZ0122470</t>
  </si>
  <si>
    <t>101w58m262940104</t>
  </si>
  <si>
    <t>Journal Posting Miscellaneous  21 OCT 26 05.38.19.213241 PM =&gt; 10109000006   BOT CLEARING   USD via FLEXCUBE 8371551</t>
  </si>
  <si>
    <t>101w58m262940176</t>
  </si>
  <si>
    <t>Journal Posting Miscellaneous  21 OCT 26 05.38.11.153810 PM =&gt; 10109000006   BOT CLEARING   USD via FLEXCUBE TZ1OL260810025E4</t>
  </si>
  <si>
    <t>101w58m262940116</t>
  </si>
  <si>
    <t>Journal Posting Miscellaneous  21 OCT 26 05.38.25.539229 PM =&gt; 10109000006   BOT CLEARING   USD via FLEXCUBE CMRTG26225002232</t>
  </si>
  <si>
    <t>101w58m262940134</t>
  </si>
  <si>
    <t>Journal Posting Miscellaneous  21 OCT 26 05.38.10.635175 PM =&gt; 10109000006   BOT CLEARING   USD via FLEXCUBE OT26219TZ0122097</t>
  </si>
  <si>
    <t>101w58m262940131</t>
  </si>
  <si>
    <t>Journal Posting Miscellaneous  21 OCT 26 05.38.15.306473 PM =&gt; 10109000006   BOT CLEARING   USD via FLEXCUBE TZ1OL260813025KZ</t>
  </si>
  <si>
    <t>101ian2262940001</t>
  </si>
  <si>
    <t>Journal Posting Miscellaneous  21 OCT 26 06.42.57.192150 PM =&gt; 10109000006   BOT CLEARING   USD via FLEXCUBE  FT REF   FT26217XKNDH UETR 08b7afb7 bc94 44af 9603 7b65134a6dc7   OFFICE FURNITURES</t>
  </si>
  <si>
    <t>101w58m262940101</t>
  </si>
  <si>
    <t>Journal Posting Miscellaneous  21 OCT 26 05.38.07.036788 PM =&gt; 10109000006   BOT CLEARING   USD via FLEXCUBE OT26224TZ0123243</t>
  </si>
  <si>
    <t>101w58m262940227</t>
  </si>
  <si>
    <t>Journal Posting Miscellaneous  21 OCT 26 05.38.05.373861 PM =&gt; 10109000006   BOT CLEARING   USD via FLEXCUBE 8373492</t>
  </si>
  <si>
    <t>101w58m262940171</t>
  </si>
  <si>
    <t>Journal Posting Miscellaneous  21 OCT 26 05.38.10.989811 PM =&gt; 10109000006   BOT CLEARING   USD via FLEXCUBE R90RTGO262190242</t>
  </si>
  <si>
    <t>101w58m262940153</t>
  </si>
  <si>
    <t>Journal Posting Miscellaneous  21 OCT 26 05.38.19.637661 PM =&gt; 10109000006   BOT CLEARING   USD via FLEXCUBE TZ1OL260810025BB</t>
  </si>
  <si>
    <t>101w58m262940215</t>
  </si>
  <si>
    <t>Journal Posting Miscellaneous  21 OCT 26 05.38.05.253900 PM =&gt; 10109000006   BOT CLEARING   USD via FLEXCUBE TZAAO21826HTK5X</t>
  </si>
  <si>
    <t>101w58m262940229</t>
  </si>
  <si>
    <t>Journal Posting Miscellaneous  21 OCT 26 05.38.09.101761 PM =&gt; 10109000006   BOT CLEARING   USD via FLEXCUBE TZAAO22426H3192</t>
  </si>
  <si>
    <t>101w58m262940125</t>
  </si>
  <si>
    <t>Journal Posting Miscellaneous  21 OCT 26 05.38.07.335273 PM =&gt; 10109000006   BOT CLEARING   USD via FLEXCUBE CMRTG26226002968</t>
  </si>
  <si>
    <t>101w58m262940200</t>
  </si>
  <si>
    <t>Journal Posting Miscellaneous  21 OCT 26 05.38.15.929852 PM =&gt; 10109000006   BOT CLEARING   USD via FLEXCUBE OT26222TZ0122478</t>
  </si>
  <si>
    <t>101w58m262940118</t>
  </si>
  <si>
    <t>Journal Posting Miscellaneous  21 OCT 26 05.38.25.626037 PM =&gt; 10109000006   BOT CLEARING   USD via FLEXCUBE OT26225TZ0123701</t>
  </si>
  <si>
    <t>101w58m262940157</t>
  </si>
  <si>
    <t>Journal Posting Miscellaneous  21 OCT 26 05.38.07.939685 PM =&gt; 10109000006   BOT CLEARING   USD via FLEXCUBE TZAAO22226H0JSY</t>
  </si>
  <si>
    <t>101w58m262940195</t>
  </si>
  <si>
    <t>Journal Posting Miscellaneous  21 OCT 26 05.38.08.630955 PM =&gt; 10109000006   BOT CLEARING   USD via FLEXCUBE TZ1OL260810025E6</t>
  </si>
  <si>
    <t>101ian2262940010</t>
  </si>
  <si>
    <t xml:space="preserve">Journal Posting Miscellaneous  21 OCT 26 06.42.58.174890 PM =&gt; 10109000006   BOT CLEARING   USD via FLEXCUBE RTN  T0117092697844  160933E2A656  DD260917  Rsn BENEFICIARY ACCOUNT NOT FOUND   </t>
  </si>
  <si>
    <t>101w58m262940163</t>
  </si>
  <si>
    <t>Journal Posting Miscellaneous  21 OCT 26 05.38.13.633940 PM =&gt; 10109000006   BOT CLEARING   USD via FLEXCUBE TZAAO22226HV7GP</t>
  </si>
  <si>
    <t>101w58m262940161</t>
  </si>
  <si>
    <t>Journal Posting Miscellaneous  21 OCT 26 05.38.15.576073 PM =&gt; 10109000006   BOT CLEARING   USD via FLEXCUBE TZAAO22226HRQBH</t>
  </si>
  <si>
    <t>101w58m262940184</t>
  </si>
  <si>
    <t>Journal Posting Miscellaneous  21 OCT 26 05.38.26.259654 PM =&gt; 10109000006   BOT CLEARING   USD via FLEXCUBE 009GEPL262220011</t>
  </si>
  <si>
    <t>101w58m262940114</t>
  </si>
  <si>
    <t>Journal Posting Miscellaneous  21 OCT 26 05.38.07.238616 PM =&gt; 10109000006   BOT CLEARING   USD via FLEXCUBE 8374682</t>
  </si>
  <si>
    <t>101w58m262940222</t>
  </si>
  <si>
    <t>Journal Posting Miscellaneous  21 OCT 26 05.38.23.781967 PM =&gt; 10109000006   BOT CLEARING   USD via FLEXCUBE TZ1OL260811025I8</t>
  </si>
  <si>
    <t>101w58m262940120</t>
  </si>
  <si>
    <t>Journal Posting Miscellaneous  21 OCT 26 05.38.19.460851 PM =&gt; 10109000006   BOT CLEARING   USD via FLEXCUBE OT26225TZ0123398</t>
  </si>
  <si>
    <t>101w58m262940212</t>
  </si>
  <si>
    <t>Journal Posting Miscellaneous  21 OCT 26 05.38.26.798926 PM =&gt; 10109000006   BOT CLEARING   USD via FLEXCUBE TZAAO21926HFKIE</t>
  </si>
  <si>
    <t>101w58m262940193</t>
  </si>
  <si>
    <t>Journal Posting Miscellaneous  21 OCT 26 05.38.13.946170 PM =&gt; 10109000006   BOT CLEARING   USD via FLEXCUBE OT26222TZ0122652</t>
  </si>
  <si>
    <t>101w58m262940174</t>
  </si>
  <si>
    <t>Journal Posting Miscellaneous  21 OCT 26 05.38.23.163464 PM =&gt; 10109000006   BOT CLEARING   USD via FLEXCUBE TZ1OL260810025DY</t>
  </si>
  <si>
    <t>101w58m262940109</t>
  </si>
  <si>
    <t>Journal Posting Miscellaneous  21 OCT 26 05.38.07.142713 PM =&gt; 10109000006   BOT CLEARING   USD via FLEXCUBE TZAAO22426HJ9FT</t>
  </si>
  <si>
    <t>101w58m262940167</t>
  </si>
  <si>
    <t>Journal Posting Miscellaneous  21 OCT 26 05.38.04.993417 PM =&gt; 10109000006   BOT CLEARING   USD via FLEXCUBE R90RTGO262180207</t>
  </si>
  <si>
    <t>101w58m262940175</t>
  </si>
  <si>
    <t>Journal Posting Miscellaneous  21 OCT 26 05.38.15.657337 PM =&gt; 10109000006   BOT CLEARING   USD via FLEXCUBE TZ1OL260810025KA</t>
  </si>
  <si>
    <t>101w58m262940173</t>
  </si>
  <si>
    <t>Journal Posting Miscellaneous  21 OCT 26 05.38.08.243237 PM =&gt; 10109000006   BOT CLEARING   USD via FLEXCUBE S419839</t>
  </si>
  <si>
    <t>101w58m262940177</t>
  </si>
  <si>
    <t>Journal Posting Miscellaneous  21 OCT 26 05.38.11.249670 PM =&gt; 10109000006   BOT CLEARING   USD via FLEXCUBE OT26222TZ0122477</t>
  </si>
  <si>
    <t>101w58m262940190</t>
  </si>
  <si>
    <t>Journal Posting Miscellaneous  21 OCT 26 05.38.11.492977 PM =&gt; 10109000006   BOT CLEARING   USD via FLEXCUBE TZAAO22226HXCWB</t>
  </si>
  <si>
    <t>101w58m262940160</t>
  </si>
  <si>
    <t>Journal Posting Miscellaneous  21 OCT 26 05.38.23.081533 PM =&gt; 10109000006   BOT CLEARING   USD via FLEXCUBE TZ1OL260810025MK</t>
  </si>
  <si>
    <t>101w58m262940123</t>
  </si>
  <si>
    <t>Journal Posting Miscellaneous  21 OCT 26 05.38.04.398111 PM =&gt; 10109000006   BOT CLEARING   USD via FLEXCUBE CMRTG26225002235</t>
  </si>
  <si>
    <t>101w58m262940210</t>
  </si>
  <si>
    <t>Journal Posting Miscellaneous  21 OCT 26 05.38.11.730943 PM =&gt; 10109000006   BOT CLEARING   USD via FLEXCUBE TZAAO21326HU4H0</t>
  </si>
  <si>
    <t>101w58m262940150</t>
  </si>
  <si>
    <t>Journal Posting Miscellaneous  21 OCT 26 05.38.07.849497 PM =&gt; 10109000006   BOT CLEARING   USD via FLEXCUBE TZAAO21726H6KD9</t>
  </si>
  <si>
    <t>101w58m262940122</t>
  </si>
  <si>
    <t>Journal Posting Miscellaneous  21 OCT 26 05.38.22.389620 PM =&gt; 10109000006   BOT CLEARING   USD via FLEXCUBE 8375177</t>
  </si>
  <si>
    <t>101w58m262940106</t>
  </si>
  <si>
    <t>Journal Posting Miscellaneous  21 OCT 26 05.38.04.311964 PM =&gt; 10109000006   BOT CLEARING   USD via FLEXCUBE TZ1OL260812025O5</t>
  </si>
  <si>
    <t>101w58m262940223</t>
  </si>
  <si>
    <t>Journal Posting Miscellaneous  21 OCT 26 05.38.16.699580 PM =&gt; 10109000006   BOT CLEARING   USD via FLEXCUBE TZ1OL260812025HI</t>
  </si>
  <si>
    <t>101w58m262940145</t>
  </si>
  <si>
    <t>Journal Posting Miscellaneous  21 OCT 26 05.38.07.655880 PM =&gt; 10109000006   BOT CLEARING   USD via FLEXCUBE OT26219TZ0121919</t>
  </si>
  <si>
    <t>101w58m262940188</t>
  </si>
  <si>
    <t>Journal Posting Miscellaneous  21 OCT 26 05.38.23.332948 PM =&gt; 10109000006   BOT CLEARING   USD via FLEXCUBE OT26222TZ0122482</t>
  </si>
  <si>
    <t>101w58m262940197</t>
  </si>
  <si>
    <t>Journal Posting Miscellaneous  21 OCT 26 05.38.15.831516 PM =&gt; 10109000006   BOT CLEARING   USD via FLEXCUBE P260810C00001209</t>
  </si>
  <si>
    <t>101w58m262940148</t>
  </si>
  <si>
    <t>Journal Posting Miscellaneous  21 OCT 26 05.38.04.731823 PM =&gt; 10109000006   BOT CLEARING   USD via FLEXCUBE P260731C00005367</t>
  </si>
  <si>
    <t>101w58m262940158</t>
  </si>
  <si>
    <t>Journal Posting Miscellaneous  21 OCT 26 05.38.22.987329 PM =&gt; 10109000006   BOT CLEARING   USD via FLEXCUBE TZAAO22226HXE9A</t>
  </si>
  <si>
    <t>101w58m262940231</t>
  </si>
  <si>
    <t>Journal Posting Miscellaneous  21 OCT 26 05.38.11.967550 PM =&gt; 10109000006   BOT CLEARING   USD via FLEXCUBE TZAAO22426HRQNP</t>
  </si>
  <si>
    <t>101w58m262940225</t>
  </si>
  <si>
    <t>Journal Posting Miscellaneous  21 OCT 26 05.38.19.977231 PM =&gt; 10109000006   BOT CLEARING   USD via FLEXCUBE 8373887</t>
  </si>
  <si>
    <t>101w58m262940127</t>
  </si>
  <si>
    <t>Journal Posting Miscellaneous  21 OCT 26 05.38.10.537146 PM =&gt; 10109000006   BOT CLEARING   USD via FLEXCUBE P260814C00002455</t>
  </si>
  <si>
    <t>BK1juoa262940002</t>
  </si>
  <si>
    <t>Funds Transfer  21 OCT 26 01.54.19.538115 PM =&gt; 10109000006   BOT CLEARING   USD via UPLOAD NET SETTLEMENT DD 21.10.2026</t>
  </si>
  <si>
    <t>101w58m262940142</t>
  </si>
  <si>
    <t>Journal Posting Miscellaneous  21 OCT 26 05.38.04.650504 PM =&gt; 10109000006   BOT CLEARING   USD via FLEXCUBE 024COUS040826002</t>
  </si>
  <si>
    <t>101w58m262940156</t>
  </si>
  <si>
    <t>Journal Posting Miscellaneous  21 OCT 26 05.38.22.906925 PM =&gt; 10109000006   BOT CLEARING   USD via FLEXCUBE OT26222TZ0122473</t>
  </si>
  <si>
    <t>101w58m262940151</t>
  </si>
  <si>
    <t>Journal Posting Miscellaneous  21 OCT 26 05.38.04.815061 PM =&gt; 10109000006   BOT CLEARING   USD via FLEXCUBE TZAAO22226HRLF0</t>
  </si>
  <si>
    <t>101w58m262940179</t>
  </si>
  <si>
    <t>Journal Posting Miscellaneous  21 OCT 26 05.38.08.345518 PM =&gt; 10109000006   BOT CLEARING   USD via FLEXCUBE TZAAO21726HFAEJ</t>
  </si>
  <si>
    <t>101w58m262940219</t>
  </si>
  <si>
    <t>Journal Posting Miscellaneous  21 OCT 26 05.38.16.533848 PM =&gt; 10109000006   BOT CLEARING   USD via FLEXCUBE RTOMICC01081277</t>
  </si>
  <si>
    <t>101w58m262940164</t>
  </si>
  <si>
    <t>Journal Posting Miscellaneous  21 OCT 26 05.38.08.035082 PM =&gt; 10109000006   BOT CLEARING   USD via FLEXCUBE TZ1OL260810025KD</t>
  </si>
  <si>
    <t>101w58m262940113</t>
  </si>
  <si>
    <t>Journal Posting Miscellaneous  21 OCT 26 05.38.22.214365 PM =&gt; 10109000006   BOT CLEARING   USD via FLEXCUBE TZAAO22426H94O6</t>
  </si>
  <si>
    <t>101w58m262940204</t>
  </si>
  <si>
    <t>Journal Posting Miscellaneous  21 OCT 26 05.38.23.528241 PM =&gt; 10109000006   BOT CLEARING   USD via FLEXCUBE MHB0000000117467</t>
  </si>
  <si>
    <t>101w58m262940187</t>
  </si>
  <si>
    <t>Journal Posting Miscellaneous  21 OCT 26 05.38.26.375559 PM =&gt; 10109000006   BOT CLEARING   USD via FLEXCUBE OT26222TZ0122471</t>
  </si>
  <si>
    <t>101w58m262940186</t>
  </si>
  <si>
    <t>Journal Posting Miscellaneous  21 OCT 26 05.38.13.868655 PM =&gt; 10109000006   BOT CLEARING   USD via FLEXCUBE S419840</t>
  </si>
  <si>
    <t>101w58m262940213</t>
  </si>
  <si>
    <t>Journal Posting Miscellaneous  21 OCT 26 05.38.16.265482 PM =&gt; 10109000006   BOT CLEARING   USD via FLEXCUBE GEPGTR 7190245</t>
  </si>
  <si>
    <t>101w58m262940208</t>
  </si>
  <si>
    <t>Journal Posting Miscellaneous  21 OCT 26 05.38.16.091519 PM =&gt; 10109000006   BOT CLEARING   USD via FLEXCUBE TZAAO21726HDM8I</t>
  </si>
  <si>
    <t>101w58m262940141</t>
  </si>
  <si>
    <t>Journal Posting Miscellaneous  21 OCT 26 05.38.10.821654 PM =&gt; 10109000006   BOT CLEARING   USD via FLEXCUBE VIV262180DLGKKJL</t>
  </si>
  <si>
    <t>101w58m262940216</t>
  </si>
  <si>
    <t>Journal Posting Miscellaneous  21 OCT 26 05.38.19.886905 PM =&gt; 10109000006   BOT CLEARING   USD via FLEXCUBE 8371617</t>
  </si>
  <si>
    <t>2026/10/22</t>
  </si>
  <si>
    <t>101bos4262950001</t>
  </si>
  <si>
    <t>Journal Posting Miscellaneous  22 OCT 26 04.40.43.754181 PM =&gt; 10109000006   BOT CLEARING   USD via FLEXCUBE RTN CMAUSD47302   2629212747134000  DD261019  Rsn INCORRECT ACCOUNT NUMBER</t>
  </si>
  <si>
    <t>101upe5262950006</t>
  </si>
  <si>
    <t>Journal Posting Miscellaneous  22 OCT 26 05.45.47.591715 PM =&gt; 10109000006   BOT CLEARING   USD via FLEXCUBE FT REF   P261016C00003187 UETR 9854dbb5 8167 4a6e aa22 2e0eddd1e20c  100246678</t>
  </si>
  <si>
    <t>101o030262950001</t>
  </si>
  <si>
    <t>OPICS 22 OCT 26 05.18.05.193709 PM =&gt; 10109000006   BOT CLEARING   USD via OPICS 1082308    DCB          USD   TZS   2650.00000000    100000.0000</t>
  </si>
  <si>
    <t>101bos4262950013</t>
  </si>
  <si>
    <t>Journal Posting Miscellaneous  22 OCT 26 04.40.43.464497 PM =&gt; 10109000006   BOT CLEARING   USD via FLEXCUBE RTN  P261020C00002945  2010217F107E  DD261020 Rsn  RESTRICTED FOREX APPLICATION</t>
  </si>
  <si>
    <t>101upe5262950008</t>
  </si>
  <si>
    <t>Journal Posting Miscellaneous  22 OCT 26 05.45.47.602297 PM =&gt; 10109000006   BOT CLEARING   USD via FLEXCUBE  FT REF   P261016C00003221 UETR 41fb4254 a27c 4c9e 9787 d93d54a4ae30  100246678</t>
  </si>
  <si>
    <t>101o044262950001</t>
  </si>
  <si>
    <t>OPICS 22 OCT 26 05.18.20.263644 PM =&gt; 10109000006   BOT CLEARING   USD via OPICS 1082353    F345967991   USD   TZS   2648.00000000   3330000.0000</t>
  </si>
  <si>
    <t>101bos4262950017</t>
  </si>
  <si>
    <t>Journal Posting Miscellaneous  22 OCT 26 04.40.43.710798 PM =&gt; 10109000006   BOT CLEARING   USD via FLEXCUBE RTN  RTN200/10/26  1210D8503645  DD261012  Rsn INVALID ACCOUNT NUMBER</t>
  </si>
  <si>
    <t>101upe5262950010</t>
  </si>
  <si>
    <t>Journal Posting Miscellaneous  22 OCT 26 05.45.47.600736 PM =&gt; 10109000006   BOT CLEARING   USD via FLEXCUBE FT REF   P261019C00001617 UETR a72080ff 1764 45d3 b4be 8f208ef5364e  /Internet Banking /P01 /CTIS262921427725:MV NATAL</t>
  </si>
  <si>
    <t>101upe5262950003</t>
  </si>
  <si>
    <t>Journal Posting Miscellaneous  22 OCT 26 05.45.47.611573 PM =&gt; 10109000006   BOT CLEARING   USD via FLEXCUBE  FT REF   OT26288TZ0140045 UETR ba9fb8a8 14e2 402b a001 0c600236f10e  243371</t>
  </si>
  <si>
    <t>101o058262950001</t>
  </si>
  <si>
    <t>OPICS 22 OCT 26 05.18.30.287953 PM =&gt; 10109000006   BOT CLEARING   USD via OPICS 2012344    EXIM</t>
  </si>
  <si>
    <t>323SBRN262950004</t>
  </si>
  <si>
    <t>GWX103584653101</t>
  </si>
  <si>
    <t>d6b5dc6d-5ceb-43ce-9027-a3f600f147b8</t>
  </si>
  <si>
    <t>Outgoing Funds Transfer   22 OCT 26 04.16.17.297937 PM   SYBRIN from VICTORIA PERCH LIMITED  to VICTORIA PERCH LIMITED  02771220011. Remark: TRANSFER TO BOA VPL A/C</t>
  </si>
  <si>
    <t>2629524058575000</t>
  </si>
  <si>
    <t>2629524758575000</t>
  </si>
  <si>
    <t>101upe5262950004</t>
  </si>
  <si>
    <t>Journal Posting Miscellaneous  22 OCT 26 05.45.47.590204 PM =&gt; 10109000006   BOT CLEARING   USD via FLEXCUBE FT REF   OT26288TZ0140252 UETR 6dce2277 2bcd 4625 aa47 a923cb78914d  243669</t>
  </si>
  <si>
    <t>101w63m262950002</t>
  </si>
  <si>
    <t>Journal Posting Miscellaneous  22 OCT 26 05.42.30.144662 PM =&gt; 10109000006   BOT CLEARING   USD via FLEXCUBE NMBFUN221026/1</t>
  </si>
  <si>
    <t>101bos4262950005</t>
  </si>
  <si>
    <t>Journal Posting Miscellaneous  22 OCT 26 04.40.43.426491 PM =&gt; 10109000006   BOT CLEARING   USD via FLEXCUBE RTN  FT262798GRD1  06100BDA432A  DD261006  Rsn  INVALID ACCOUNT NUMBER</t>
  </si>
  <si>
    <t>101o031262950001</t>
  </si>
  <si>
    <t>OPICS 22 OCT 26 05.18.09.041825 PM =&gt; 10109000006   BOT CLEARING   USD via OPICS 2012292    EXIM</t>
  </si>
  <si>
    <t>BK1jyax262950002</t>
  </si>
  <si>
    <t>Funds Transfer  22 OCT 26 02.34.20.502097 PM =&gt; 10109000006   BOT CLEARING   USD via UPLOAD NET SETTLEMENT DD 22.10.2026</t>
  </si>
  <si>
    <t>2026/10/23</t>
  </si>
  <si>
    <t>101w66m262960113</t>
  </si>
  <si>
    <t>Journal Posting Miscellaneous  23 OCT 26 04.08.54.883758 PM =&gt; 10109000006   BOT CLEARING   USD via FLEXCUBE TZ1OL260818025OC</t>
  </si>
  <si>
    <t>101rev1262960151</t>
  </si>
  <si>
    <t>Journal Posting Miscellaneous  23 OCT 26 12.48.15.197644 PM =&gt; 10109000006   BOT CLEARING   USD via FLEXCUBE TZAAO22226HRLF0</t>
  </si>
  <si>
    <t>101rev1262960221</t>
  </si>
  <si>
    <t>Journal Posting Miscellaneous  23 OCT 26 12.48.15.598076 PM =&gt; 10109000006   BOT CLEARING   USD via FLEXCUBE OT26223TZ0122859</t>
  </si>
  <si>
    <t>101rem3262960059</t>
  </si>
  <si>
    <t>Journal Posting Miscellaneous  23 OCT 26 12.46.50.354196 PM =&gt; 10109000006   BOT CLEARING   USD via FLEXCUBE TZ1OL260810025E2</t>
  </si>
  <si>
    <t>101rem3262960057</t>
  </si>
  <si>
    <t>Journal Posting Miscellaneous  23 OCT 26 12.46.50.341776 PM =&gt; 10109000006   BOT CLEARING   USD via FLEXCUBE TZAAO22226HHJ6A</t>
  </si>
  <si>
    <t>101rev1262960154</t>
  </si>
  <si>
    <t>Journal Posting Miscellaneous  23 OCT 26 12.48.15.212657 PM =&gt; 10109000006   BOT CLEARING   USD via FLEXCUBE TZ1OL260810025MI</t>
  </si>
  <si>
    <t>101rev1262960224</t>
  </si>
  <si>
    <t>Journal Posting Miscellaneous  23 OCT 26 12.48.15.617341 PM =&gt; 10109000006   BOT CLEARING   USD via FLEXCUBE TZAAO22426HEZQQ</t>
  </si>
  <si>
    <t>101w66m262960097</t>
  </si>
  <si>
    <t>Journal Posting Miscellaneous  23 OCT 26 04.08.54.776022 PM =&gt; 10109000006   BOT CLEARING   USD via FLEXCUBE TZ1OL260818025OD</t>
  </si>
  <si>
    <t>101rev1262960189</t>
  </si>
  <si>
    <t>Journal Posting Miscellaneous  23 OCT 26 12.48.15.400712 PM =&gt; 10109000006   BOT CLEARING   USD via FLEXCUBE TZAAO22226HHJ6A</t>
  </si>
  <si>
    <t>101rem3262960023</t>
  </si>
  <si>
    <t>Journal Posting Miscellaneous  23 OCT 26 12.46.50.122054 PM =&gt; 10109000006   BOT CLEARING   USD via FLEXCUBE TAPBTZTZ20260810091027533</t>
  </si>
  <si>
    <t>101rem3262960086</t>
  </si>
  <si>
    <t>Journal Posting Miscellaneous  23 OCT 26 12.46.50.551503 PM =&gt; 10109000006   BOT CLEARING   USD via FLEXCUBE TZAAO21926HHYV4</t>
  </si>
  <si>
    <t>101rev1262960159</t>
  </si>
  <si>
    <t>Journal Posting Miscellaneous  23 OCT 26 12.48.15.238090 PM =&gt; 10109000006   BOT CLEARING   USD via FLEXCUBE RTO3004262330788</t>
  </si>
  <si>
    <t>101rem3262960005</t>
  </si>
  <si>
    <t>Journal Posting Miscellaneous  23 OCT 26 12.46.50.015920 PM =&gt; 10109000006   BOT CLEARING   USD via FLEXCUBE TOW26219LLC0JCDH</t>
  </si>
  <si>
    <t>101rem3262960099</t>
  </si>
  <si>
    <t>Journal Posting Miscellaneous  23 OCT 26 12.46.50.634371 PM =&gt; 10109000006   BOT CLEARING   USD via FLEXCUBE TZAAO22426HRQNP</t>
  </si>
  <si>
    <t>101rev1262960192</t>
  </si>
  <si>
    <t>Journal Posting Miscellaneous  23 OCT 26 12.48.15.420571 PM =&gt; 10109000006   BOT CLEARING   USD via FLEXCUBE TZ1OL260810025E5</t>
  </si>
  <si>
    <t>101rev1262960163</t>
  </si>
  <si>
    <t>Journal Posting Miscellaneous  23 OCT 26 12.48.15.257660 PM =&gt; 10109000006   BOT CLEARING   USD via FLEXCUBE TZAAO22226HV7GP</t>
  </si>
  <si>
    <t>101rem3262960003</t>
  </si>
  <si>
    <t>Journal Posting Miscellaneous  23 OCT 26 12.46.50.004143 PM =&gt; 10109000006   BOT CLEARING   USD via FLEXCUBE OT26219TZ0122360</t>
  </si>
  <si>
    <t>101rev1262960166</t>
  </si>
  <si>
    <t>Journal Posting Miscellaneous  23 OCT 26 12.48.15.271783 PM =&gt; 10109000006   BOT CLEARING   USD via FLEXCUBE OT26222TZ0122479</t>
  </si>
  <si>
    <t>101w66m262960072</t>
  </si>
  <si>
    <t>Journal Posting Miscellaneous  23 OCT 26 04.08.54.639278 PM =&gt; 10109000006   BOT CLEARING   USD via FLEXCUBE TZAAO22926HA54F</t>
  </si>
  <si>
    <t>101w66m262960013</t>
  </si>
  <si>
    <t>Journal Posting Miscellaneous  23 OCT 26 04.08.54.285426 PM =&gt; 10109000006   BOT CLEARING   USD via FLEXCUBE OT26226TZ0123726</t>
  </si>
  <si>
    <t>101rev1262960113</t>
  </si>
  <si>
    <t>Journal Posting Miscellaneous  23 OCT 26 12.48.14.980475 PM =&gt; 10109000006   BOT CLEARING   USD via FLEXCUBE TZAAO22426H94O6</t>
  </si>
  <si>
    <t>101w66m262960066</t>
  </si>
  <si>
    <t>Journal Posting Miscellaneous  23 OCT 26 04.08.54.604344 PM =&gt; 10109000006   BOT CLEARING   USD via FLEXCUBE TZAAO22926HKEHW</t>
  </si>
  <si>
    <t>101w66m262960070</t>
  </si>
  <si>
    <t>Journal Posting Miscellaneous  23 OCT 26 04.08.54.624932 PM =&gt; 10109000006   BOT CLEARING   USD via FLEXCUBE P260817C00002247</t>
  </si>
  <si>
    <t>101rem3262960104</t>
  </si>
  <si>
    <t>Journal Posting Miscellaneous  23 OCT 26 12.46.50.675756 PM =&gt; 10109000006   BOT CLEARING   USD via FLEXCUBE 8371551</t>
  </si>
  <si>
    <t>101rev1262960133</t>
  </si>
  <si>
    <t>Journal Posting Miscellaneous  23 OCT 26 12.48.15.095262 PM =&gt; 10109000006   BOT CLEARING   USD via FLEXCUBE OT26219TZ0122098</t>
  </si>
  <si>
    <t>101rev1262960196</t>
  </si>
  <si>
    <t>Journal Posting Miscellaneous  23 OCT 26 12.48.15.446091 PM =&gt; 10109000006   BOT CLEARING   USD via FLEXCUBE TZAAO22226HFTRJ</t>
  </si>
  <si>
    <t>101w66m262960065</t>
  </si>
  <si>
    <t>Journal Posting Miscellaneous  23 OCT 26 04.08.54.599368 PM =&gt; 10109000006   BOT CLEARING   USD via FLEXCUBE TZAAO22926HEQ83</t>
  </si>
  <si>
    <t>BK1k2zv262960002</t>
  </si>
  <si>
    <t>Funds Transfer  23 OCT 26 05.56.21.121722 PM =&gt; 10109000006   BOT CLEARING   USD via UPLOAD NET SETTLEMENT DD 23.10.2026</t>
  </si>
  <si>
    <t>101rem3262960047</t>
  </si>
  <si>
    <t>Journal Posting Miscellaneous  23 OCT 26 12.46.50.273841 PM =&gt; 10109000006   BOT CLEARING   USD via FLEXCUBE TZAAO21726HFAEJ</t>
  </si>
  <si>
    <t>101w66m262960003</t>
  </si>
  <si>
    <t>Journal Posting Miscellaneous  23 OCT 26 04.08.54.228296 PM =&gt; 10109000006   BOT CLEARING   USD via FLEXCUBE TZ1OL260814025JP</t>
  </si>
  <si>
    <t>101w66m262960131</t>
  </si>
  <si>
    <t>Journal Posting Miscellaneous  23 OCT 26 04.08.55.026515 PM =&gt; 10109000006   BOT CLEARING   USD via FLEXCUBE FT26231CZ3NR</t>
  </si>
  <si>
    <t>101rem3262960065</t>
  </si>
  <si>
    <t>Journal Posting Miscellaneous  23 OCT 26 12.46.50.399999 PM =&gt; 10109000006   BOT CLEARING   USD via FLEXCUBE P260810C00001209</t>
  </si>
  <si>
    <t>101w66m262960033</t>
  </si>
  <si>
    <t>Journal Posting Miscellaneous  23 OCT 26 04.08.54.410202 PM =&gt; 10109000006   BOT CLEARING   USD via FLEXCUBE TZ1OL260814025ZD</t>
  </si>
  <si>
    <t>101w66m262960100</t>
  </si>
  <si>
    <t>Journal Posting Miscellaneous  23 OCT 26 04.08.54.793307 PM =&gt; 10109000006   BOT CLEARING   USD via FLEXCUBE OT26230TZ0124528</t>
  </si>
  <si>
    <t>101rev1262960142</t>
  </si>
  <si>
    <t>Journal Posting Miscellaneous  23 OCT 26 12.48.15.150495 PM =&gt; 10109000006   BOT CLEARING   USD via FLEXCUBE 024COUS040826002</t>
  </si>
  <si>
    <t>101rev1262960172</t>
  </si>
  <si>
    <t>Journal Posting Miscellaneous  23 OCT 26 12.48.15.305990 PM =&gt; 10109000006   BOT CLEARING   USD via FLEXCUBE FT26213RG17N1</t>
  </si>
  <si>
    <t>101rev1262960208</t>
  </si>
  <si>
    <t>Journal Posting Miscellaneous  23 OCT 26 12.48.15.516185 PM =&gt; 10109000006   BOT CLEARING   USD via FLEXCUBE TZAAO21726HDM8I</t>
  </si>
  <si>
    <t>101rem3262960033</t>
  </si>
  <si>
    <t>Journal Posting Miscellaneous  23 OCT 26 12.46.50.184870 PM =&gt; 10109000006   BOT CLEARING   USD via FLEXCUBE TZAAO21726HFR7F</t>
  </si>
  <si>
    <t>101rem3262960082</t>
  </si>
  <si>
    <t>Journal Posting Miscellaneous  23 OCT 26 12.46.50.528190 PM =&gt; 10109000006   BOT CLEARING   USD via FLEXCUBE OT26223TZ0122716</t>
  </si>
  <si>
    <t>101rem3262960058</t>
  </si>
  <si>
    <t>Journal Posting Miscellaneous  23 OCT 26 12.46.50.348114 PM =&gt; 10109000006   BOT CLEARING   USD via FLEXCUBE TZAAO22226HXCWB</t>
  </si>
  <si>
    <t>101rem3262960100</t>
  </si>
  <si>
    <t>Journal Posting Miscellaneous  23 OCT 26 12.46.50.643037 PM =&gt; 10109000006   BOT CLEARING   USD via FLEXCUBE RTO3002262338278</t>
  </si>
  <si>
    <t>101w66m262960018</t>
  </si>
  <si>
    <t>Journal Posting Miscellaneous  23 OCT 26 04.08.54.314602 PM =&gt; 10109000006   BOT CLEARING   USD via FLEXCUBE OT26226TZ0123746</t>
  </si>
  <si>
    <t>101rem3262960009</t>
  </si>
  <si>
    <t>Journal Posting Miscellaneous  23 OCT 26 12.46.50.038279 PM =&gt; 10109000006   BOT CLEARING   USD via FLEXCUBE VIV262180DLGKKJL</t>
  </si>
  <si>
    <t>101rev1262960158</t>
  </si>
  <si>
    <t>Journal Posting Miscellaneous  23 OCT 26 12.48.15.233539 PM =&gt; 10109000006   BOT CLEARING   USD via FLEXCUBE TZAAO22226HXE9A</t>
  </si>
  <si>
    <t>101rem3262960091</t>
  </si>
  <si>
    <t>Journal Posting Miscellaneous  23 OCT 26 12.46.50.581613 PM =&gt; 10109000006   BOT CLEARING   USD via FLEXCUBE TZ1OL260812025HI</t>
  </si>
  <si>
    <t>101rem3262960119</t>
  </si>
  <si>
    <t>Journal Posting Miscellaneous  23 OCT 26 12.46.50.808912 PM =&gt; 10109000006   BOT CLEARING   USD via FLEXCUBE TZAAO22526H6V68</t>
  </si>
  <si>
    <t>101rem3262960079</t>
  </si>
  <si>
    <t>Journal Posting Miscellaneous  23 OCT 26 12.46.50.507468 PM =&gt; 10109000006   BOT CLEARING   USD via FLEXCUBE OT26223TZ0122943</t>
  </si>
  <si>
    <t>101rev1262960167</t>
  </si>
  <si>
    <t>Journal Posting Miscellaneous  23 OCT 26 12.48.15.278042 PM =&gt; 10109000006   BOT CLEARING   USD via FLEXCUBE R90RTGO262180207</t>
  </si>
  <si>
    <t>101w66m262960128</t>
  </si>
  <si>
    <t>Journal Posting Miscellaneous  23 OCT 26 04.08.55.002757 PM =&gt; 10109000006   BOT CLEARING   USD via FLEXCUBE TZ1OL260819025BX</t>
  </si>
  <si>
    <t>101rev1262960230</t>
  </si>
  <si>
    <t>Journal Posting Miscellaneous  23 OCT 26 12.48.15.661561 PM =&gt; 10109000006   BOT CLEARING   USD via FLEXCUBE OT26224TZ0123308</t>
  </si>
  <si>
    <t>101w66m262960041</t>
  </si>
  <si>
    <t>Journal Posting Miscellaneous  23 OCT 26 04.08.54.455570 PM =&gt; 10109000006   BOT CLEARING   USD via FLEXCUBE TZAAO22626HARUL</t>
  </si>
  <si>
    <t>101rem3262960010</t>
  </si>
  <si>
    <t>Journal Posting Miscellaneous  23 OCT 26 12.46.50.043988 PM =&gt; 10109000006   BOT CLEARING   USD via FLEXCUBE 024COUS040826002</t>
  </si>
  <si>
    <t>101w66m262960007</t>
  </si>
  <si>
    <t>Journal Posting Miscellaneous  23 OCT 26 04.08.54.250744 PM =&gt; 10109000006   BOT CLEARING   USD via FLEXCUBE OT26226TZ0123950</t>
  </si>
  <si>
    <t>101rev1262960203</t>
  </si>
  <si>
    <t>Journal Posting Miscellaneous  23 OCT 26 12.48.15.484234 PM =&gt; 10109000006   BOT CLEARING   USD via FLEXCUBE OT26222TZ0122553</t>
  </si>
  <si>
    <t>101rev1262960231</t>
  </si>
  <si>
    <t>Journal Posting Miscellaneous  23 OCT 26 12.48.15.672013 PM =&gt; 10109000006   BOT CLEARING   USD via FLEXCUBE TZAAO22426HRQNP</t>
  </si>
  <si>
    <t>101w66m262960112</t>
  </si>
  <si>
    <t>Journal Posting Miscellaneous  23 OCT 26 04.08.54.876880 PM =&gt; 10109000006   BOT CLEARING   USD via FLEXCUBE OT26230TZ0124518</t>
  </si>
  <si>
    <t>101w66m262960125</t>
  </si>
  <si>
    <t>Journal Posting Miscellaneous  23 OCT 26 04.08.54.983751 PM =&gt; 10109000006   BOT CLEARING   USD via FLEXCUBE GEPGTR 7190506</t>
  </si>
  <si>
    <t>101rev1262960134</t>
  </si>
  <si>
    <t>Journal Posting Miscellaneous  23 OCT 26 12.48.15.101297 PM =&gt; 10109000006   BOT CLEARING   USD via FLEXCUBE OT26219TZ0122097</t>
  </si>
  <si>
    <t>101rem3262960128</t>
  </si>
  <si>
    <t>Journal Posting Miscellaneous  23 OCT 26 12.46.50.870575 PM =&gt; 10109000006   BOT CLEARING   USD via FLEXCUBE P260814C00000353</t>
  </si>
  <si>
    <t>101rem3262960084</t>
  </si>
  <si>
    <t>Journal Posting Miscellaneous  23 OCT 26 12.46.50.539770 PM =&gt; 10109000006   BOT CLEARING   USD via FLEXCUBE 8371617</t>
  </si>
  <si>
    <t>101rem3262960007</t>
  </si>
  <si>
    <t>Journal Posting Miscellaneous  23 OCT 26 12.46.50.026244 PM =&gt; 10109000006   BOT CLEARING   USD via FLEXCUBE OT26219TZ0121987</t>
  </si>
  <si>
    <t>101rev1262960197</t>
  </si>
  <si>
    <t>Journal Posting Miscellaneous  23 OCT 26 12.48.15.451771 PM =&gt; 10109000006   BOT CLEARING   USD via FLEXCUBE P260810C00001209</t>
  </si>
  <si>
    <t>101rem3262960121</t>
  </si>
  <si>
    <t>Journal Posting Miscellaneous  23 OCT 26 12.46.50.824723 PM =&gt; 10109000006   BOT CLEARING   USD via FLEXCUBE GT852858</t>
  </si>
  <si>
    <t>101w66m262960133</t>
  </si>
  <si>
    <t>Journal Posting Miscellaneous  23 OCT 26 04.08.55.040794 PM =&gt; 10109000006   BOT CLEARING   USD via FLEXCUBE TZAAO23126HYOAG</t>
  </si>
  <si>
    <t>101w66m262960147</t>
  </si>
  <si>
    <t>Journal Posting Miscellaneous  23 OCT 26 04.08.55.116130 PM =&gt; 10109000006   BOT CLEARING   USD via FLEXCUBE GEPGTR 7190499</t>
  </si>
  <si>
    <t>101rev1262960130</t>
  </si>
  <si>
    <t>Journal Posting Miscellaneous  23 OCT 26 12.48.15.077182 PM =&gt; 10109000006   BOT CLEARING   USD via FLEXCUBE P260814C00002855</t>
  </si>
  <si>
    <t>101w66m262960009</t>
  </si>
  <si>
    <t>Journal Posting Miscellaneous  23 OCT 26 04.08.54.261584 PM =&gt; 10109000006   BOT CLEARING   USD via FLEXCUBE OT26226TZ0123745</t>
  </si>
  <si>
    <t>101w66m262960098</t>
  </si>
  <si>
    <t>Journal Posting Miscellaneous  23 OCT 26 04.08.54.781902 PM =&gt; 10109000006   BOT CLEARING   USD via FLEXCUBE FT262300GVNR</t>
  </si>
  <si>
    <t>101w66m262960040</t>
  </si>
  <si>
    <t>Journal Posting Miscellaneous  23 OCT 26 04.08.54.450081 PM =&gt; 10109000006   BOT CLEARING   USD via FLEXCUBE TZ1RTGF262260856</t>
  </si>
  <si>
    <t>101rev1262960121</t>
  </si>
  <si>
    <t>Journal Posting Miscellaneous  23 OCT 26 12.48.15.022511 PM =&gt; 10109000006   BOT CLEARING   USD via FLEXCUBE GT852858</t>
  </si>
  <si>
    <t>101w66m262960139</t>
  </si>
  <si>
    <t>Journal Posting Miscellaneous  23 OCT 26 04.08.55.073423 PM =&gt; 10109000006   BOT CLEARING   USD via FLEXCUBE GEPGTR 7190505</t>
  </si>
  <si>
    <t>101rem3262960098</t>
  </si>
  <si>
    <t>Journal Posting Miscellaneous  23 OCT 26 12.46.50.626653 PM =&gt; 10109000006   BOT CLEARING   USD via FLEXCUBE OT26224TZ0123308</t>
  </si>
  <si>
    <t>101w66m262960037</t>
  </si>
  <si>
    <t>Journal Posting Miscellaneous  23 OCT 26 04.08.54.431915 PM =&gt; 10109000006   BOT CLEARING   USD via FLEXCUBE OT26226TZ0123747</t>
  </si>
  <si>
    <t>101rev1262960214</t>
  </si>
  <si>
    <t>Journal Posting Miscellaneous  23 OCT 26 12.48.15.552230 PM =&gt; 10109000006   BOT CLEARING   USD via FLEXCUBE OT26223TZ0122716</t>
  </si>
  <si>
    <t>311ZEXA2628900SF</t>
  </si>
  <si>
    <t xml:space="preserve">Liquidation of Bill   23 OCT 26 05.40.34.500073 PM   311BCIU262891001   MANSOOR INDUSTRIES LIMITED.   TANZANIA PETROLEUM DEVELOPMENT </t>
  </si>
  <si>
    <t>101rem3262960081</t>
  </si>
  <si>
    <t>Journal Posting Miscellaneous  23 OCT 26 12.46.50.521144 PM =&gt; 10109000006   BOT CLEARING   USD via FLEXCUBE GEPGTR 7190245</t>
  </si>
  <si>
    <t>101rem3262960101</t>
  </si>
  <si>
    <t>Journal Posting Miscellaneous  23 OCT 26 12.46.50.651500 PM =&gt; 10109000006   BOT CLEARING   USD via FLEXCUBE OT26224TZ0123243</t>
  </si>
  <si>
    <t>101rev1262960146</t>
  </si>
  <si>
    <t>Journal Posting Miscellaneous  23 OCT 26 12.48.15.170375 PM =&gt; 10109000006   BOT CLEARING   USD via FLEXCUBE CMRTG26219001701</t>
  </si>
  <si>
    <t>101rem3262960097</t>
  </si>
  <si>
    <t>Journal Posting Miscellaneous  23 OCT 26 12.46.50.619432 PM =&gt; 10109000006   BOT CLEARING   USD via FLEXCUBE TZAAO22426H3192</t>
  </si>
  <si>
    <t>101rem3262960067</t>
  </si>
  <si>
    <t>Journal Posting Miscellaneous  23 OCT 26 12.46.50.414009 PM =&gt; 10109000006   BOT CLEARING   USD via FLEXCUBE OT26222TZ0122472</t>
  </si>
  <si>
    <t>101w66m262960044</t>
  </si>
  <si>
    <t>Journal Posting Miscellaneous  23 OCT 26 04.08.54.473895 PM =&gt; 10109000006   BOT CLEARING   USD via FLEXCUBE P260814C00002461</t>
  </si>
  <si>
    <t>101rem3262960063</t>
  </si>
  <si>
    <t>Journal Posting Miscellaneous  23 OCT 26 12.46.50.383963 PM =&gt; 10109000006   BOT CLEARING   USD via FLEXCUBE TZ1OL260810025E6</t>
  </si>
  <si>
    <t>101rev1262960226</t>
  </si>
  <si>
    <t>Journal Posting Miscellaneous  23 OCT 26 12.48.15.630904 PM =&gt; 10109000006   BOT CLEARING   USD via FLEXCUBE CMRTG26224001526</t>
  </si>
  <si>
    <t>101rev1262960218</t>
  </si>
  <si>
    <t>Journal Posting Miscellaneous  23 OCT 26 12.48.15.580706 PM =&gt; 10109000006   BOT CLEARING   USD via FLEXCUBE TZAAO21926HHYV4</t>
  </si>
  <si>
    <t>101w66m262960081</t>
  </si>
  <si>
    <t>Journal Posting Miscellaneous  23 OCT 26 04.08.54.690850 PM =&gt; 10109000006   BOT CLEARING   USD via FLEXCUBE OT26217TZ0121370</t>
  </si>
  <si>
    <t>101rem3262960031</t>
  </si>
  <si>
    <t>Journal Posting Miscellaneous  23 OCT 26 12.46.50.171870 PM =&gt; 10109000006   BOT CLEARING   USD via FLEXCUBE TZAAO22226HV7GP</t>
  </si>
  <si>
    <t>101w66m262960124</t>
  </si>
  <si>
    <t>Journal Posting Miscellaneous  23 OCT 26 04.08.54.976963 PM =&gt; 10109000006   BOT CLEARING   USD via FLEXCUBE GEPGTR 7190510</t>
  </si>
  <si>
    <t>101w66m262960141</t>
  </si>
  <si>
    <t>Journal Posting Miscellaneous  23 OCT 26 04.08.55.083864 PM =&gt; 10109000006   BOT CLEARING   USD via FLEXCUBE TZ1RTGF262310231</t>
  </si>
  <si>
    <t>101w66m262960088</t>
  </si>
  <si>
    <t>Journal Posting Miscellaneous  23 OCT 26 04.08.54.727773 PM =&gt; 10109000006   BOT CLEARING   USD via FLEXCUBE 011COUS170826010</t>
  </si>
  <si>
    <t>101w66m262960020</t>
  </si>
  <si>
    <t>Journal Posting Miscellaneous  23 OCT 26 04.08.54.329699 PM =&gt; 10109000006   BOT CLEARING   USD via FLEXCUBE P260814C00003053</t>
  </si>
  <si>
    <t>101rev1262960175</t>
  </si>
  <si>
    <t>Journal Posting Miscellaneous  23 OCT 26 12.48.15.322955 PM =&gt; 10109000006   BOT CLEARING   USD via FLEXCUBE TZ1OL260810025KA</t>
  </si>
  <si>
    <t>101w66m262960110</t>
  </si>
  <si>
    <t>Journal Posting Miscellaneous  23 OCT 26 04.08.54.858922 PM =&gt; 10109000006   BOT CLEARING   USD via FLEXCUBE OT26230TZ0124527</t>
  </si>
  <si>
    <t>101rev1262960227</t>
  </si>
  <si>
    <t>Journal Posting Miscellaneous  23 OCT 26 12.48.15.636572 PM =&gt; 10109000006   BOT CLEARING   USD via FLEXCUBE 8373492</t>
  </si>
  <si>
    <t>101w66m262960111</t>
  </si>
  <si>
    <t>Journal Posting Miscellaneous  23 OCT 26 04.08.54.869426 PM =&gt; 10109000006   BOT CLEARING   USD via FLEXCUBE 576868</t>
  </si>
  <si>
    <t>101rev1262960102</t>
  </si>
  <si>
    <t>Journal Posting Miscellaneous  23 OCT 26 12.48.14.922680 PM =&gt; 10109000006   BOT CLEARING   USD via FLEXCUBE P260808C00000359</t>
  </si>
  <si>
    <t>101rem3262960092</t>
  </si>
  <si>
    <t>Journal Posting Miscellaneous  23 OCT 26 12.46.50.587689 PM =&gt; 10109000006   BOT CLEARING   USD via FLEXCUBE TZAAO22426HEZQQ</t>
  </si>
  <si>
    <t>101rem3262960055</t>
  </si>
  <si>
    <t>Journal Posting Miscellaneous  23 OCT 26 12.46.50.328101 PM =&gt; 10109000006   BOT CLEARING   USD via FLEXCUBE OT26222TZ0122471</t>
  </si>
  <si>
    <t>101rev1262960155</t>
  </si>
  <si>
    <t>Journal Posting Miscellaneous  23 OCT 26 12.48.15.217569 PM =&gt; 10109000006   BOT CLEARING   USD via FLEXCUBE TAPBTZTZ20260810091027533</t>
  </si>
  <si>
    <t>101rem3262960017</t>
  </si>
  <si>
    <t>Journal Posting Miscellaneous  23 OCT 26 12.46.50.085078 PM =&gt; 10109000006   BOT CLEARING   USD via FLEXCUBE P260731C00005363</t>
  </si>
  <si>
    <t>101rev1262960124</t>
  </si>
  <si>
    <t>Journal Posting Miscellaneous  23 OCT 26 12.48.15.040268 PM =&gt; 10109000006   BOT CLEARING   USD via FLEXCUBE P260814C00000899</t>
  </si>
  <si>
    <t>101w66m262960055</t>
  </si>
  <si>
    <t>Journal Posting Miscellaneous  23 OCT 26 04.08.54.542948 PM =&gt; 10109000006   BOT CLEARING   USD via FLEXCUBE TZAAO22926HK5QW</t>
  </si>
  <si>
    <t>101rem3262960008</t>
  </si>
  <si>
    <t>Journal Posting Miscellaneous  23 OCT 26 12.46.50.031887 PM =&gt; 10109000006   BOT CLEARING   USD via FLEXCUBE OT26219TZ0122110</t>
  </si>
  <si>
    <t>101rev1262960138</t>
  </si>
  <si>
    <t>Journal Posting Miscellaneous  23 OCT 26 12.48.15.126475 PM =&gt; 10109000006   BOT CLEARING   USD via FLEXCUBE RTO3004262330425</t>
  </si>
  <si>
    <t>101w66m262960039</t>
  </si>
  <si>
    <t>Journal Posting Miscellaneous  23 OCT 26 04.08.54.443941 PM =&gt; 10109000006   BOT CLEARING   USD via FLEXCUBE TZ1OL260814025Z8</t>
  </si>
  <si>
    <t>101w66m262960035</t>
  </si>
  <si>
    <t>Journal Posting Miscellaneous  23 OCT 26 04.08.54.421366 PM =&gt; 10109000006   BOT CLEARING   USD via FLEXCUBE OT26226TZ0124087</t>
  </si>
  <si>
    <t>101rev1262960161</t>
  </si>
  <si>
    <t>Journal Posting Miscellaneous  23 OCT 26 12.48.15.247676 PM =&gt; 10109000006   BOT CLEARING   USD via FLEXCUBE TZAAO22226HRQBH</t>
  </si>
  <si>
    <t>101w66m262960134</t>
  </si>
  <si>
    <t>Journal Posting Miscellaneous  23 OCT 26 04.08.55.045880 PM =&gt; 10109000006   BOT CLEARING   USD via FLEXCUBE GEPGTR 7190487</t>
  </si>
  <si>
    <t>101w66m262960016</t>
  </si>
  <si>
    <t>Journal Posting Miscellaneous  23 OCT 26 04.08.54.302355 PM =&gt; 10109000006   BOT CLEARING   USD via FLEXCUBE TZ1OL260814025ZI</t>
  </si>
  <si>
    <t>101w66m262960135</t>
  </si>
  <si>
    <t>Journal Posting Miscellaneous  23 OCT 26 04.08.55.052075 PM =&gt; 10109000006   BOT CLEARING   USD via FLEXCUBE TZ1OL260819025B0</t>
  </si>
  <si>
    <t>101rev1262960200</t>
  </si>
  <si>
    <t>Journal Posting Miscellaneous  23 OCT 26 12.48.15.467879 PM =&gt; 10109000006   BOT CLEARING   USD via FLEXCUBE OT26222TZ0122478</t>
  </si>
  <si>
    <t>101ian5262960001</t>
  </si>
  <si>
    <t>Journal Posting Miscellaneous  23 OCT 26 05.08.34.777284 PM =&gt; 10109000006   BOT CLEARING   USD via FLEXCUBE RTN 0810BA581094  0810D793282E 26281180860290000  dd261008  Rsn UNABLE TO APPLY</t>
  </si>
  <si>
    <t>101rem3262960039</t>
  </si>
  <si>
    <t>Journal Posting Miscellaneous  23 OCT 26 12.46.50.223975 PM =&gt; 10109000006   BOT CLEARING   USD via FLEXCUBE R90RTGO262190242</t>
  </si>
  <si>
    <t>101w66m262960142</t>
  </si>
  <si>
    <t>Journal Posting Miscellaneous  23 OCT 26 04.08.55.089024 PM =&gt; 10109000006   BOT CLEARING   USD via FLEXCUBE TZ1OL260819025AR</t>
  </si>
  <si>
    <t>101w66m262960029</t>
  </si>
  <si>
    <t>Journal Posting Miscellaneous  23 OCT 26 04.08.54.386318 PM =&gt; 10109000006   BOT CLEARING   USD via FLEXCUBE TRX2608141397452</t>
  </si>
  <si>
    <t>101rev1262960171</t>
  </si>
  <si>
    <t>Journal Posting Miscellaneous  23 OCT 26 12.48.15.300287 PM =&gt; 10109000006   BOT CLEARING   USD via FLEXCUBE R90RTGO262190242</t>
  </si>
  <si>
    <t>101w66m262960027</t>
  </si>
  <si>
    <t>Journal Posting Miscellaneous  23 OCT 26 04.08.54.371362 PM =&gt; 10109000006   BOT CLEARING   USD via FLEXCUBE P260814C00001169</t>
  </si>
  <si>
    <t>101rev1262960183</t>
  </si>
  <si>
    <t>Journal Posting Miscellaneous  23 OCT 26 12.48.15.366614 PM =&gt; 10109000006   BOT CLEARING   USD via FLEXCUBE OT26222TZ0122474</t>
  </si>
  <si>
    <t>101rem3262960122</t>
  </si>
  <si>
    <t>Journal Posting Miscellaneous  23 OCT 26 12.46.50.833066 PM =&gt; 10109000006   BOT CLEARING   USD via FLEXCUBE 8375177</t>
  </si>
  <si>
    <t>101w66m262960107</t>
  </si>
  <si>
    <t>Journal Posting Miscellaneous  23 OCT 26 04.08.54.836164 PM =&gt; 10109000006   BOT CLEARING   USD via FLEXCUBE OT26230TZ0124521</t>
  </si>
  <si>
    <t>101w66m262960059</t>
  </si>
  <si>
    <t>Journal Posting Miscellaneous  23 OCT 26 04.08.54.565707 PM =&gt; 10109000006   BOT CLEARING   USD via FLEXCUBE CMRTG26229001460</t>
  </si>
  <si>
    <t>101rem3262960011</t>
  </si>
  <si>
    <t>Journal Posting Miscellaneous  23 OCT 26 12.46.50.049290 PM =&gt; 10109000006   BOT CLEARING   USD via FLEXCUBE OT26219TZ0121963</t>
  </si>
  <si>
    <t>101rem3262960018</t>
  </si>
  <si>
    <t>Journal Posting Miscellaneous  23 OCT 26 12.46.50.091416 PM =&gt; 10109000006   BOT CLEARING   USD via FLEXCUBE TZAAO21726H6KD9</t>
  </si>
  <si>
    <t>101w66m262960031</t>
  </si>
  <si>
    <t>Journal Posting Miscellaneous  23 OCT 26 04.08.54.399445 PM =&gt; 10109000006   BOT CLEARING   USD via FLEXCUBE R90RTGO262260223</t>
  </si>
  <si>
    <t>101rem3262960095</t>
  </si>
  <si>
    <t>Journal Posting Miscellaneous  23 OCT 26 12.46.50.607329 PM =&gt; 10109000006   BOT CLEARING   USD via FLEXCUBE 8373492</t>
  </si>
  <si>
    <t>101rev1262960168</t>
  </si>
  <si>
    <t>Journal Posting Miscellaneous  23 OCT 26 12.48.15.283534 PM =&gt; 10109000006   BOT CLEARING   USD via FLEXCUBE TZAAO21626HQMXV</t>
  </si>
  <si>
    <t>101rem3262960090</t>
  </si>
  <si>
    <t>Journal Posting Miscellaneous  23 OCT 26 12.46.50.575528 PM =&gt; 10109000006   BOT CLEARING   USD via FLEXCUBE TZ1OL260811025I8</t>
  </si>
  <si>
    <t>101rem3262960103</t>
  </si>
  <si>
    <t>Journal Posting Miscellaneous  23 OCT 26 12.46.50.667469 PM =&gt; 10109000006   BOT CLEARING   USD via FLEXCUBE 009GEPL262240007</t>
  </si>
  <si>
    <t>101rem3262960022</t>
  </si>
  <si>
    <t>Journal Posting Miscellaneous  23 OCT 26 12.46.50.115996 PM =&gt; 10109000006   BOT CLEARING   USD via FLEXCUBE TZ1OL260810025MI</t>
  </si>
  <si>
    <t>101rev1262960145</t>
  </si>
  <si>
    <t>Journal Posting Miscellaneous  23 OCT 26 12.48.15.165587 PM =&gt; 10109000006   BOT CLEARING   USD via FLEXCUBE OT26219TZ0121919</t>
  </si>
  <si>
    <t>101rev1262960119</t>
  </si>
  <si>
    <t>Journal Posting Miscellaneous  23 OCT 26 12.48.15.011413 PM =&gt; 10109000006   BOT CLEARING   USD via FLEXCUBE TZAAO22526H6V68</t>
  </si>
  <si>
    <t>101w66m262960084</t>
  </si>
  <si>
    <t>Journal Posting Miscellaneous  23 OCT 26 04.08.54.706840 PM =&gt; 10109000006   BOT CLEARING   USD via FLEXCUBE 8381470</t>
  </si>
  <si>
    <t>101w66m262960046</t>
  </si>
  <si>
    <t>Journal Posting Miscellaneous  23 OCT 26 04.08.54.487292 PM =&gt; 10109000006   BOT CLEARING   USD via FLEXCUBE TZAAO22526HXKXR</t>
  </si>
  <si>
    <t>101rem3262960066</t>
  </si>
  <si>
    <t>Journal Posting Miscellaneous  23 OCT 26 12.46.50.406638 PM =&gt; 10109000006   BOT CLEARING   USD via FLEXCUBE RTO3004262330796</t>
  </si>
  <si>
    <t>101rev1262960223</t>
  </si>
  <si>
    <t>Journal Posting Miscellaneous  23 OCT 26 12.48.15.610192 PM =&gt; 10109000006   BOT CLEARING   USD via FLEXCUBE TZ1OL260812025HI</t>
  </si>
  <si>
    <t>101rem3262960094</t>
  </si>
  <si>
    <t>Journal Posting Miscellaneous  23 OCT 26 12.46.50.600689 PM =&gt; 10109000006   BOT CLEARING   USD via FLEXCUBE CMRTG26224001526</t>
  </si>
  <si>
    <t>101rem3262960056</t>
  </si>
  <si>
    <t>Journal Posting Miscellaneous  23 OCT 26 12.46.50.335134 PM =&gt; 10109000006   BOT CLEARING   USD via FLEXCUBE OT26222TZ0122482</t>
  </si>
  <si>
    <t>101rem3262960077</t>
  </si>
  <si>
    <t>Journal Posting Miscellaneous  23 OCT 26 12.46.50.492066 PM =&gt; 10109000006   BOT CLEARING   USD via FLEXCUBE MWZ26223BLJMG0DC</t>
  </si>
  <si>
    <t>101rev1262960173</t>
  </si>
  <si>
    <t>Journal Posting Miscellaneous  23 OCT 26 12.48.15.311980 PM =&gt; 10109000006   BOT CLEARING   USD via FLEXCUBE S419839</t>
  </si>
  <si>
    <t>101rev1262960141</t>
  </si>
  <si>
    <t>Journal Posting Miscellaneous  23 OCT 26 12.48.15.143951 PM =&gt; 10109000006   BOT CLEARING   USD via FLEXCUBE VIV262180DLGKKJL</t>
  </si>
  <si>
    <t>101w66m262960108</t>
  </si>
  <si>
    <t>Journal Posting Miscellaneous  23 OCT 26 04.08.54.842504 PM =&gt; 10109000006   BOT CLEARING   USD via FLEXCUBE OT26217TZ0121525</t>
  </si>
  <si>
    <t>101rev1262960150</t>
  </si>
  <si>
    <t>Journal Posting Miscellaneous  23 OCT 26 12.48.15.192799 PM =&gt; 10109000006   BOT CLEARING   USD via FLEXCUBE TZAAO21726H6KD9</t>
  </si>
  <si>
    <t>101w66m262960032</t>
  </si>
  <si>
    <t>Journal Posting Miscellaneous  23 OCT 26 04.08.54.404863 PM =&gt; 10109000006   BOT CLEARING   USD via FLEXCUBE TZ1OL260814025HH</t>
  </si>
  <si>
    <t>101w66m262960137</t>
  </si>
  <si>
    <t>Journal Posting Miscellaneous  23 OCT 26 04.08.55.062930 PM =&gt; 10109000006   BOT CLEARING   USD via FLEXCUBE TZ1OL260819025TX</t>
  </si>
  <si>
    <t>101rev1262960232</t>
  </si>
  <si>
    <t>Journal Posting Miscellaneous  23 OCT 26 12.48.15.682879 PM =&gt; 10109000006   BOT CLEARING   USD via FLEXCUBE RTO3002262338278</t>
  </si>
  <si>
    <t>101rev1262960157</t>
  </si>
  <si>
    <t>Journal Posting Miscellaneous  23 OCT 26 12.48.15.228127 PM =&gt; 10109000006   BOT CLEARING   USD via FLEXCUBE TZAAO22226H0JSY</t>
  </si>
  <si>
    <t>101rev1262960217</t>
  </si>
  <si>
    <t>Journal Posting Miscellaneous  23 OCT 26 12.48.15.572688 PM =&gt; 10109000006   BOT CLEARING   USD via FLEXCUBE TZAAO21326HCCSP</t>
  </si>
  <si>
    <t>101rev1262960210</t>
  </si>
  <si>
    <t>Journal Posting Miscellaneous  23 OCT 26 12.48.15.527980 PM =&gt; 10109000006   BOT CLEARING   USD via FLEXCUBE TZAAO21326HU4H0</t>
  </si>
  <si>
    <t>101w66m262960144</t>
  </si>
  <si>
    <t>Journal Posting Miscellaneous  23 OCT 26 04.08.55.099651 PM =&gt; 10109000006   BOT CLEARING   USD via FLEXCUBE GEPGTR 7190504</t>
  </si>
  <si>
    <t>101w66m262960146</t>
  </si>
  <si>
    <t>Journal Posting Miscellaneous  23 OCT 26 04.08.55.110842 PM =&gt; 10109000006   BOT CLEARING   USD via FLEXCUBE OT26215TZ0120805</t>
  </si>
  <si>
    <t>101w66m262960047</t>
  </si>
  <si>
    <t>Journal Posting Miscellaneous  23 OCT 26 04.08.54.493301 PM =&gt; 10109000006   BOT CLEARING   USD via FLEXCUBE GEPGTR 7190419</t>
  </si>
  <si>
    <t>101w66m262960114</t>
  </si>
  <si>
    <t>Journal Posting Miscellaneous  23 OCT 26 04.08.54.890473 PM =&gt; 10109000006   BOT CLEARING   USD via FLEXCUBE TZ1OL260818025IU</t>
  </si>
  <si>
    <t>101rev1262960228</t>
  </si>
  <si>
    <t>Journal Posting Miscellaneous  23 OCT 26 12.48.15.642263 PM =&gt; 10109000006   BOT CLEARING   USD via FLEXCUBE TZAAO22426HDE85</t>
  </si>
  <si>
    <t>101rev1262960190</t>
  </si>
  <si>
    <t>Journal Posting Miscellaneous  23 OCT 26 12.48.15.407434 PM =&gt; 10109000006   BOT CLEARING   USD via FLEXCUBE TZAAO22226HXCWB</t>
  </si>
  <si>
    <t>101rev1262960191</t>
  </si>
  <si>
    <t>Journal Posting Miscellaneous  23 OCT 26 12.48.15.414203 PM =&gt; 10109000006   BOT CLEARING   USD via FLEXCUBE TZ1OL260810025E2</t>
  </si>
  <si>
    <t>101rev1262960136</t>
  </si>
  <si>
    <t>Journal Posting Miscellaneous  23 OCT 26 12.48.15.114393 PM =&gt; 10109000006   BOT CLEARING   USD via FLEXCUBE OT26216TZ0121130</t>
  </si>
  <si>
    <t>101rev1262960202</t>
  </si>
  <si>
    <t>Journal Posting Miscellaneous  23 OCT 26 12.48.15.478673 PM =&gt; 10109000006   BOT CLEARING   USD via FLEXCUBE TZAAO22226H72DJ</t>
  </si>
  <si>
    <t>101w66m262960085</t>
  </si>
  <si>
    <t>Journal Posting Miscellaneous  23 OCT 26 04.08.54.711878 PM =&gt; 10109000006   BOT CLEARING   USD via FLEXCUBE RTO3004262346666</t>
  </si>
  <si>
    <t>101w66m262960052</t>
  </si>
  <si>
    <t>Journal Posting Miscellaneous  23 OCT 26 04.08.54.525451 PM =&gt; 10109000006   BOT CLEARING   USD via FLEXCUBE 8379530</t>
  </si>
  <si>
    <t>101rem3262960020</t>
  </si>
  <si>
    <t>Journal Posting Miscellaneous  23 OCT 26 12.46.50.103758 PM =&gt; 10109000006   BOT CLEARING   USD via FLEXCUBE TZ1OL260810025C6</t>
  </si>
  <si>
    <t>101rev1262960108</t>
  </si>
  <si>
    <t>Journal Posting Miscellaneous  23 OCT 26 12.48.14.954892 PM =&gt; 10109000006   BOT CLEARING   USD via FLEXCUBE P260812C00001599</t>
  </si>
  <si>
    <t>101rem3262960109</t>
  </si>
  <si>
    <t>Journal Posting Miscellaneous  23 OCT 26 12.46.50.720625 PM =&gt; 10109000006   BOT CLEARING   USD via FLEXCUBE TZAAO22426HJ9FT</t>
  </si>
  <si>
    <t>101rem3262960096</t>
  </si>
  <si>
    <t>Journal Posting Miscellaneous  23 OCT 26 12.46.50.613496 PM =&gt; 10109000006   BOT CLEARING   USD via FLEXCUBE TZAAO22426HDE85</t>
  </si>
  <si>
    <t>101w66m262960056</t>
  </si>
  <si>
    <t>Journal Posting Miscellaneous  23 OCT 26 04.08.54.548497 PM =&gt; 10109000006   BOT CLEARING   USD via FLEXCUBE TZAAO22926HN5U2</t>
  </si>
  <si>
    <t>101rem3262960042</t>
  </si>
  <si>
    <t>Journal Posting Miscellaneous  23 OCT 26 12.46.50.241952 PM =&gt; 10109000006   BOT CLEARING   USD via FLEXCUBE TZ1OL260810025DY</t>
  </si>
  <si>
    <t>101w66m262960120</t>
  </si>
  <si>
    <t>Journal Posting Miscellaneous  23 OCT 26 04.08.54.944407 PM =&gt; 10109000006   BOT CLEARING   USD via FLEXCUBE GEPGTR 7190503</t>
  </si>
  <si>
    <t>101rem3262960014</t>
  </si>
  <si>
    <t>Journal Posting Miscellaneous  23 OCT 26 12.46.50.066319 PM =&gt; 10109000006   BOT CLEARING   USD via FLEXCUBE CMRTG26219001701</t>
  </si>
  <si>
    <t>101rev1262960117</t>
  </si>
  <si>
    <t>Journal Posting Miscellaneous  23 OCT 26 12.48.15.000600 PM =&gt; 10109000006   BOT CLEARING   USD via FLEXCUBE OT26225TZ0123386</t>
  </si>
  <si>
    <t>101DPWD262960002</t>
  </si>
  <si>
    <t>DPWDARQ000118331</t>
  </si>
  <si>
    <t>Utility Payment   23 OCT 26 11.07.03.526198 AM    Sender's Ref: TZAAO29626H1QJI  Sender Account: 6009304  Sender Name: NISOMAR MARITIME AND LOGISTICS LTD  Remittance Info: DPWDARQ000118331</t>
  </si>
  <si>
    <t>TZAAO29626H1QJI</t>
  </si>
  <si>
    <t>F/TZA/DRT/AAO/20261023/00039187497</t>
  </si>
  <si>
    <t>ce8eccba-f354-4e90-80a8-3b6354d8c5f2</t>
  </si>
  <si>
    <t>101w66m262960045</t>
  </si>
  <si>
    <t>Journal Posting Miscellaneous  23 OCT 26 04.08.54.481241 PM =&gt; 10109000006   BOT CLEARING   USD via FLEXCUBE GT190974</t>
  </si>
  <si>
    <t>101w66m262960023</t>
  </si>
  <si>
    <t>Journal Posting Miscellaneous  23 OCT 26 04.08.54.346389 PM =&gt; 10109000006   BOT CLEARING   USD via FLEXCUBE TZ1OL260814025ZJ</t>
  </si>
  <si>
    <t>101rem3262960087</t>
  </si>
  <si>
    <t>Journal Posting Miscellaneous  23 OCT 26 12.46.50.556857 PM =&gt; 10109000006   BOT CLEARING   USD via FLEXCUBE RTOMICC01081277</t>
  </si>
  <si>
    <t>101rem3262960107</t>
  </si>
  <si>
    <t>Journal Posting Miscellaneous  23 OCT 26 12.46.50.703431 PM =&gt; 10109000006   BOT CLEARING   USD via FLEXCUBE CMRTG26224001040</t>
  </si>
  <si>
    <t>311ZEXA2628900SE</t>
  </si>
  <si>
    <t xml:space="preserve">Liquidation of Bill   23 OCT 26 05.39.54.502006 PM   311BCIU262890004   MANSOOR INDUSTRIES LIMITED.   TANZANIA PETROLEUM DEVELOPMENT </t>
  </si>
  <si>
    <t>101w66m262960024</t>
  </si>
  <si>
    <t>Journal Posting Miscellaneous  23 OCT 26 04.08.54.352121 PM =&gt; 10109000006   BOT CLEARING   USD via FLEXCUBE TZAAO22626HRFTE</t>
  </si>
  <si>
    <t>101w66m262960019</t>
  </si>
  <si>
    <t>Journal Posting Miscellaneous  23 OCT 26 04.08.54.323766 PM =&gt; 10109000006   BOT CLEARING   USD via FLEXCUBE TZAAO22626HEV7P</t>
  </si>
  <si>
    <t>101rem3262960126</t>
  </si>
  <si>
    <t>Journal Posting Miscellaneous  23 OCT 26 12.46.50.858659 PM =&gt; 10109000006   BOT CLEARING   USD via FLEXCUBE R90RTGO262260225</t>
  </si>
  <si>
    <t>101rem3262960001</t>
  </si>
  <si>
    <t>Journal Posting Miscellaneous  23 OCT 26 12.46.49.989809 PM =&gt; 10109000006   BOT CLEARING   USD via FLEXCUBE OT26219TZ0122098</t>
  </si>
  <si>
    <t>101rev1262960122</t>
  </si>
  <si>
    <t>Journal Posting Miscellaneous  23 OCT 26 12.48.15.027845 PM =&gt; 10109000006   BOT CLEARING   USD via FLEXCUBE 8375177</t>
  </si>
  <si>
    <t>101w66m262960078</t>
  </si>
  <si>
    <t>Journal Posting Miscellaneous  23 OCT 26 04.08.54.674772 PM =&gt; 10109000006   BOT CLEARING   USD via FLEXCUBE TZAAO22926H9PK3</t>
  </si>
  <si>
    <t>101w66m262960063</t>
  </si>
  <si>
    <t>Journal Posting Miscellaneous  23 OCT 26 04.08.54.588756 PM =&gt; 10109000006   BOT CLEARING   USD via FLEXCUBE OT26229TZ0124327</t>
  </si>
  <si>
    <t>101rev1262960195</t>
  </si>
  <si>
    <t>Journal Posting Miscellaneous  23 OCT 26 12.48.15.439767 PM =&gt; 10109000006   BOT CLEARING   USD via FLEXCUBE TZ1OL260810025E6</t>
  </si>
  <si>
    <t>101w66m262960093</t>
  </si>
  <si>
    <t>Journal Posting Miscellaneous  23 OCT 26 04.08.54.753233 PM =&gt; 10109000006   BOT CLEARING   USD via FLEXCUBE P260818C00001939</t>
  </si>
  <si>
    <t>101rev1262960135</t>
  </si>
  <si>
    <t>Journal Posting Miscellaneous  23 OCT 26 12.48.15.106773 PM =&gt; 10109000006   BOT CLEARING   USD via FLEXCUBE OT26219TZ0122360</t>
  </si>
  <si>
    <t>101w66m262960028</t>
  </si>
  <si>
    <t>Journal Posting Miscellaneous  23 OCT 26 04.08.54.380001 PM =&gt; 10109000006   BOT CLEARING   USD via FLEXCUBE CMRTG26226002970</t>
  </si>
  <si>
    <t>101w66m262960094</t>
  </si>
  <si>
    <t>Journal Posting Miscellaneous  23 OCT 26 04.08.54.758981 PM =&gt; 10109000006   BOT CLEARING   USD via FLEXCUBE TZ1OL260805025AS</t>
  </si>
  <si>
    <t>101rem3262960045</t>
  </si>
  <si>
    <t>Journal Posting Miscellaneous  23 OCT 26 12.46.50.261726 PM =&gt; 10109000006   BOT CLEARING   USD via FLEXCUBE OT26222TZ0122477</t>
  </si>
  <si>
    <t>101rev1262960169</t>
  </si>
  <si>
    <t>Journal Posting Miscellaneous  23 OCT 26 12.48.15.289744 PM =&gt; 10109000006   BOT CLEARING   USD via FLEXCUBE OT26219TZ0122358</t>
  </si>
  <si>
    <t>101w66m262960090</t>
  </si>
  <si>
    <t>Journal Posting Miscellaneous  23 OCT 26 04.08.54.737831 PM =&gt; 10109000006   BOT CLEARING   USD via FLEXCUBE CMRTG26215002149</t>
  </si>
  <si>
    <t>101w66m262960042</t>
  </si>
  <si>
    <t>Journal Posting Miscellaneous  23 OCT 26 04.08.54.461144 PM =&gt; 10109000006   BOT CLEARING   USD via FLEXCUBE OT26226TZ0123723</t>
  </si>
  <si>
    <t>101rev1262960147</t>
  </si>
  <si>
    <t>Journal Posting Miscellaneous  23 OCT 26 12.48.15.176807 PM =&gt; 10109000006   BOT CLEARING   USD via FLEXCUBE OT26219TZ0122090</t>
  </si>
  <si>
    <t>101w66m262960010</t>
  </si>
  <si>
    <t>Journal Posting Miscellaneous  23 OCT 26 04.08.54.267699 PM =&gt; 10109000006   BOT CLEARING   USD via FLEXCUBE OT26226TZ0123782</t>
  </si>
  <si>
    <t>101rev1262960199</t>
  </si>
  <si>
    <t>Journal Posting Miscellaneous  23 OCT 26 12.48.15.462839 PM =&gt; 10109000006   BOT CLEARING   USD via FLEXCUBE OT26222TZ0122472</t>
  </si>
  <si>
    <t>101w66m262960086</t>
  </si>
  <si>
    <t>Journal Posting Miscellaneous  23 OCT 26 04.08.54.716879 PM =&gt; 10109000006   BOT CLEARING   USD via FLEXCUBE 8381695</t>
  </si>
  <si>
    <t>101rem3262960080</t>
  </si>
  <si>
    <t>Journal Posting Miscellaneous  23 OCT 26 12.46.50.514380 PM =&gt; 10109000006   BOT CLEARING   USD via FLEXCUBE TZAAO21926HFKIE</t>
  </si>
  <si>
    <t>101rem3262960054</t>
  </si>
  <si>
    <t>Journal Posting Miscellaneous  23 OCT 26 12.46.50.320665 PM =&gt; 10109000006   BOT CLEARING   USD via FLEXCUBE S419840</t>
  </si>
  <si>
    <t>101rem3262960040</t>
  </si>
  <si>
    <t>Journal Posting Miscellaneous  23 OCT 26 12.46.50.230492 PM =&gt; 10109000006   BOT CLEARING   USD via FLEXCUBE FT26213RG17N1</t>
  </si>
  <si>
    <t>101rev1262960139</t>
  </si>
  <si>
    <t>Journal Posting Miscellaneous  23 OCT 26 12.48.15.131805 PM =&gt; 10109000006   BOT CLEARING   USD via FLEXCUBE OT26219TZ0121987</t>
  </si>
  <si>
    <t>101rem3262960006</t>
  </si>
  <si>
    <t>Journal Posting Miscellaneous  23 OCT 26 12.46.50.021083 PM =&gt; 10109000006   BOT CLEARING   USD via FLEXCUBE RTO3004262330425</t>
  </si>
  <si>
    <t>101rev1262960131</t>
  </si>
  <si>
    <t>Journal Posting Miscellaneous  23 OCT 26 12.48.15.083181 PM =&gt; 10109000006   BOT CLEARING   USD via FLEXCUBE TZ1OL260813025KZ</t>
  </si>
  <si>
    <t>101rev1262960101</t>
  </si>
  <si>
    <t>Journal Posting Miscellaneous  23 OCT 26 12.48.14.917496 PM =&gt; 10109000006   BOT CLEARING   USD via FLEXCUBE OT26224TZ0123243</t>
  </si>
  <si>
    <t>101rem3262960129</t>
  </si>
  <si>
    <t>Journal Posting Miscellaneous  23 OCT 26 12.46.50.877168 PM =&gt; 10109000006   BOT CLEARING   USD via FLEXCUBE GEPGTR 7190431</t>
  </si>
  <si>
    <t>101w66m262960074</t>
  </si>
  <si>
    <t>Journal Posting Miscellaneous  23 OCT 26 04.08.54.651216 PM =&gt; 10109000006   BOT CLEARING   USD via FLEXCUBE TZAAO22926HMC37</t>
  </si>
  <si>
    <t>101rem3262960060</t>
  </si>
  <si>
    <t>Journal Posting Miscellaneous  23 OCT 26 12.46.50.360341 PM =&gt; 10109000006   BOT CLEARING   USD via FLEXCUBE TZ1OL260810025E5</t>
  </si>
  <si>
    <t>101rem3262960088</t>
  </si>
  <si>
    <t>Journal Posting Miscellaneous  23 OCT 26 12.46.50.563537 PM =&gt; 10109000006   BOT CLEARING   USD via FLEXCUBE TZ1OL260804025K5</t>
  </si>
  <si>
    <t>101rev1262960107</t>
  </si>
  <si>
    <t>Journal Posting Miscellaneous  23 OCT 26 12.48.14.950032 PM =&gt; 10109000006   BOT CLEARING   USD via FLEXCUBE CMRTG26224001040</t>
  </si>
  <si>
    <t>101w66m262960082</t>
  </si>
  <si>
    <t>Journal Posting Miscellaneous  23 OCT 26 04.08.54.696290 PM =&gt; 10109000006   BOT CLEARING   USD via FLEXCUBE CMRTG26216002335</t>
  </si>
  <si>
    <t>101rev1262960176</t>
  </si>
  <si>
    <t>Journal Posting Miscellaneous  23 OCT 26 12.48.15.329850 PM =&gt; 10109000006   BOT CLEARING   USD via FLEXCUBE TZ1OL260810025E4</t>
  </si>
  <si>
    <t>101w66m262960102</t>
  </si>
  <si>
    <t>Journal Posting Miscellaneous  23 OCT 26 04.08.54.804612 PM =&gt; 10109000006   BOT CLEARING   USD via FLEXCUBE P260818C00001977</t>
  </si>
  <si>
    <t>101rev1262960205</t>
  </si>
  <si>
    <t>Journal Posting Miscellaneous  23 OCT 26 12.48.15.496726 PM =&gt; 10109000006   BOT CLEARING   USD via FLEXCUBE 021DTOL262230012</t>
  </si>
  <si>
    <t>101rev1262960187</t>
  </si>
  <si>
    <t>Journal Posting Miscellaneous  23 OCT 26 12.48.15.388642 PM =&gt; 10109000006   BOT CLEARING   USD via FLEXCUBE OT26222TZ0122471</t>
  </si>
  <si>
    <t>101w66m262960096</t>
  </si>
  <si>
    <t>Journal Posting Miscellaneous  23 OCT 26 04.08.54.770023 PM =&gt; 10109000006   BOT CLEARING   USD via FLEXCUBE OT26230TZ0124516</t>
  </si>
  <si>
    <t>101rev1262960104</t>
  </si>
  <si>
    <t>Journal Posting Miscellaneous  23 OCT 26 12.48.14.932577 PM =&gt; 10109000006   BOT CLEARING   USD via FLEXCUBE 8371551</t>
  </si>
  <si>
    <t>101w66m262960092</t>
  </si>
  <si>
    <t>Journal Posting Miscellaneous  23 OCT 26 04.08.54.748178 PM =&gt; 10109000006   BOT CLEARING   USD via FLEXCUBE OT26230TZ0124537</t>
  </si>
  <si>
    <t>101rem3262960015</t>
  </si>
  <si>
    <t>Journal Posting Miscellaneous  23 OCT 26 12.46.50.072921 PM =&gt; 10109000006   BOT CLEARING   USD via FLEXCUBE OT26219TZ0122090</t>
  </si>
  <si>
    <t>101rev1262960225</t>
  </si>
  <si>
    <t>Journal Posting Miscellaneous  23 OCT 26 12.48.15.624293 PM =&gt; 10109000006   BOT CLEARING   USD via FLEXCUBE 8373887</t>
  </si>
  <si>
    <t>101ian6262960011</t>
  </si>
  <si>
    <t>Journal Posting Miscellaneous  23 OCT 26 05.12.32.557455 PM =&gt; 10109000006   BOT CLEARING   USD via FLEXCUBE RTN  P261022C00000687  22100E661897  DD261022  Rsn  RESTRICTED FOREX APPLICATION</t>
  </si>
  <si>
    <t>239ZEXA26296006O</t>
  </si>
  <si>
    <t>2010FB573982</t>
  </si>
  <si>
    <t xml:space="preserve">Return of Inbound Payment   23 OCT 26 05.26.18.417880 PM   /AC04/DORMANT ACCOUNT   CMF51874F6B413 </t>
  </si>
  <si>
    <t>101w66m262960129</t>
  </si>
  <si>
    <t>Journal Posting Miscellaneous  23 OCT 26 04.08.55.011369 PM =&gt; 10109000006   BOT CLEARING   USD via FLEXCUBE GEPGTR 7190498</t>
  </si>
  <si>
    <t>101rev1262960152</t>
  </si>
  <si>
    <t>Journal Posting Miscellaneous  23 OCT 26 12.48.15.202262 PM =&gt; 10109000006   BOT CLEARING   USD via FLEXCUBE TZ1OL260810025C6</t>
  </si>
  <si>
    <t>101rev1262960148</t>
  </si>
  <si>
    <t>Journal Posting Miscellaneous  23 OCT 26 12.48.15.181972 PM =&gt; 10109000006   BOT CLEARING   USD via FLEXCUBE P260731C00005367</t>
  </si>
  <si>
    <t>101w66m262960075</t>
  </si>
  <si>
    <t>Journal Posting Miscellaneous  23 OCT 26 04.08.54.658161 PM =&gt; 10109000006   BOT CLEARING   USD via FLEXCUBE P260817C00000215</t>
  </si>
  <si>
    <t>101rev1262960153</t>
  </si>
  <si>
    <t>Journal Posting Miscellaneous  23 OCT 26 12.48.15.207332 PM =&gt; 10109000006   BOT CLEARING   USD via FLEXCUBE TZ1OL260810025BB</t>
  </si>
  <si>
    <t>101w66m262960119</t>
  </si>
  <si>
    <t>Journal Posting Miscellaneous  23 OCT 26 04.08.54.935058 PM =&gt; 10109000006   BOT CLEARING   USD via FLEXCUBE OT26231TZ0124830</t>
  </si>
  <si>
    <t>101w66m262960073</t>
  </si>
  <si>
    <t>Journal Posting Miscellaneous  23 OCT 26 04.08.54.645556 PM =&gt; 10109000006   BOT CLEARING   USD via FLEXCUBE TZ1OL260813025KW</t>
  </si>
  <si>
    <t>101rem3262960034</t>
  </si>
  <si>
    <t>Journal Posting Miscellaneous  23 OCT 26 12.46.50.190908 PM =&gt; 10109000006   BOT CLEARING   USD via FLEXCUBE OT26222TZ0122479</t>
  </si>
  <si>
    <t>101w66m262960064</t>
  </si>
  <si>
    <t>Journal Posting Miscellaneous  23 OCT 26 04.08.54.594289 PM =&gt; 10109000006   BOT CLEARING   USD via FLEXCUBE GEPGTR 7190464</t>
  </si>
  <si>
    <t>101w66m262960103</t>
  </si>
  <si>
    <t>Journal Posting Miscellaneous  23 OCT 26 04.08.54.810813 PM =&gt; 10109000006   BOT CLEARING   USD via FLEXCUBE TZ1OL260805025EJ</t>
  </si>
  <si>
    <t>101w66m262960062</t>
  </si>
  <si>
    <t>Journal Posting Miscellaneous  23 OCT 26 04.08.54.581985 PM =&gt; 10109000006   BOT CLEARING   USD via FLEXCUBE TZAAO22926H2DPQ</t>
  </si>
  <si>
    <t>101w66m262960080</t>
  </si>
  <si>
    <t>Journal Posting Miscellaneous  23 OCT 26 04.08.54.685225 PM =&gt; 10109000006   BOT CLEARING   USD via FLEXCUBE OT26215TZ0120806</t>
  </si>
  <si>
    <t>101rem3262960002</t>
  </si>
  <si>
    <t>Journal Posting Miscellaneous  23 OCT 26 12.46.49.998192 PM =&gt; 10109000006   BOT CLEARING   USD via FLEXCUBE OT26219TZ0122097</t>
  </si>
  <si>
    <t>101rem3262960004</t>
  </si>
  <si>
    <t>Journal Posting Miscellaneous  23 OCT 26 12.46.50.009520 PM =&gt; 10109000006   BOT CLEARING   USD via FLEXCUBE OT26216TZ0121130</t>
  </si>
  <si>
    <t>101rev1262960106</t>
  </si>
  <si>
    <t>Journal Posting Miscellaneous  23 OCT 26 12.48.14.944393 PM =&gt; 10109000006   BOT CLEARING   USD via FLEXCUBE TZ1OL260812025O5</t>
  </si>
  <si>
    <t>101rev1262960170</t>
  </si>
  <si>
    <t>Journal Posting Miscellaneous  23 OCT 26 12.48.15.294827 PM =&gt; 10109000006   BOT CLEARING   USD via FLEXCUBE OT26216TZ0121018</t>
  </si>
  <si>
    <t>101w66m262960017</t>
  </si>
  <si>
    <t>Journal Posting Miscellaneous  23 OCT 26 04.08.54.307699 PM =&gt; 10109000006   BOT CLEARING   USD via FLEXCUBE OT26226TZ0123739</t>
  </si>
  <si>
    <t>101rev1262960128</t>
  </si>
  <si>
    <t>Journal Posting Miscellaneous  23 OCT 26 12.48.15.064661 PM =&gt; 10109000006   BOT CLEARING   USD via FLEXCUBE P260814C00000353</t>
  </si>
  <si>
    <t>101w66m262960015</t>
  </si>
  <si>
    <t>Journal Posting Miscellaneous  23 OCT 26 04.08.54.296714 PM =&gt; 10109000006   BOT CLEARING   USD via FLEXCUBE TZ1OL260813025L1</t>
  </si>
  <si>
    <t>101rev1262960165</t>
  </si>
  <si>
    <t>Journal Posting Miscellaneous  23 OCT 26 12.48.15.266818 PM =&gt; 10109000006   BOT CLEARING   USD via FLEXCUBE TZAAO21726HFR7F</t>
  </si>
  <si>
    <t>101w66m262960118</t>
  </si>
  <si>
    <t>Journal Posting Miscellaneous  23 OCT 26 04.08.54.925690 PM =&gt; 10109000006   BOT CLEARING   USD via FLEXCUBE GEPGTR 7190512</t>
  </si>
  <si>
    <t>101w66m262960026</t>
  </si>
  <si>
    <t>Journal Posting Miscellaneous  23 OCT 26 04.08.54.363868 PM =&gt; 10109000006   BOT CLEARING   USD via FLEXCUBE R90RTGO262260228</t>
  </si>
  <si>
    <t>101w66m262960127</t>
  </si>
  <si>
    <t>Journal Posting Miscellaneous  23 OCT 26 04.08.54.996390 PM =&gt; 10109000006   BOT CLEARING   USD via FLEXCUBE GEPGTR 7190497</t>
  </si>
  <si>
    <t>101rev1262960229</t>
  </si>
  <si>
    <t>Journal Posting Miscellaneous  23 OCT 26 12.48.15.649884 PM =&gt; 10109000006   BOT CLEARING   USD via FLEXCUBE TZAAO22426H3192</t>
  </si>
  <si>
    <t>101w66m262960061</t>
  </si>
  <si>
    <t>Journal Posting Miscellaneous  23 OCT 26 04.08.54.576537 PM =&gt; 10109000006   BOT CLEARING   USD via FLEXCUBE GEPGTR 7190452</t>
  </si>
  <si>
    <t>101rev1262960111</t>
  </si>
  <si>
    <t>Journal Posting Miscellaneous  23 OCT 26 12.48.14.970310 PM =&gt; 10109000006   BOT CLEARING   USD via FLEXCUBE TZAAO22426H6OOY</t>
  </si>
  <si>
    <t>101rev1262960193</t>
  </si>
  <si>
    <t>Journal Posting Miscellaneous  23 OCT 26 12.48.15.426745 PM =&gt; 10109000006   BOT CLEARING   USD via FLEXCUBE OT26222TZ0122652</t>
  </si>
  <si>
    <t>101rem3262960073</t>
  </si>
  <si>
    <t>Journal Posting Miscellaneous  23 OCT 26 12.46.50.461121 PM =&gt; 10109000006   BOT CLEARING   USD via FLEXCUBE 021DTOL262230012</t>
  </si>
  <si>
    <t>101w66m262960105</t>
  </si>
  <si>
    <t>Journal Posting Miscellaneous  23 OCT 26 04.08.54.823333 PM =&gt; 10109000006   BOT CLEARING   USD via FLEXCUBE OT26217TZ0121573</t>
  </si>
  <si>
    <t>101rev1262960140</t>
  </si>
  <si>
    <t>Journal Posting Miscellaneous  23 OCT 26 12.48.15.137631 PM =&gt; 10109000006   BOT CLEARING   USD via FLEXCUBE OT26219TZ0122110</t>
  </si>
  <si>
    <t>101w66m262960006</t>
  </si>
  <si>
    <t>Journal Posting Miscellaneous  23 OCT 26 04.08.54.245283 PM =&gt; 10109000006   BOT CLEARING   USD via FLEXCUBE P260814C00002839</t>
  </si>
  <si>
    <t>101w66m262960014</t>
  </si>
  <si>
    <t>Journal Posting Miscellaneous  23 OCT 26 04.08.54.291147 PM =&gt; 10109000006   BOT CLEARING   USD via FLEXCUBE TZRTG 26 002564</t>
  </si>
  <si>
    <t>101rev1262960178</t>
  </si>
  <si>
    <t>Journal Posting Miscellaneous  23 OCT 26 12.48.15.340774 PM =&gt; 10109000006   BOT CLEARING   USD via FLEXCUBE TZAAO22226HDKPA</t>
  </si>
  <si>
    <t>101rev1262960180</t>
  </si>
  <si>
    <t>Journal Posting Miscellaneous  23 OCT 26 12.48.15.350808 PM =&gt; 10109000006   BOT CLEARING   USD via FLEXCUBE TZAAO22226H3PDP</t>
  </si>
  <si>
    <t>101rem3262960043</t>
  </si>
  <si>
    <t>Journal Posting Miscellaneous  23 OCT 26 12.46.50.248891 PM =&gt; 10109000006   BOT CLEARING   USD via FLEXCUBE TZ1OL260810025KA</t>
  </si>
  <si>
    <t>101w66m262960002</t>
  </si>
  <si>
    <t>Journal Posting Miscellaneous  23 OCT 26 04.08.54.222839 PM =&gt; 10109000006   BOT CLEARING   USD via FLEXCUBE TZAAO22626HDK0O</t>
  </si>
  <si>
    <t>101rev1262960212</t>
  </si>
  <si>
    <t>Journal Posting Miscellaneous  23 OCT 26 12.48.15.539740 PM =&gt; 10109000006   BOT CLEARING   USD via FLEXCUBE TZAAO21926HFKIE</t>
  </si>
  <si>
    <t>101rev1262960120</t>
  </si>
  <si>
    <t>Journal Posting Miscellaneous  23 OCT 26 12.48.15.016945 PM =&gt; 10109000006   BOT CLEARING   USD via FLEXCUBE OT26225TZ0123398</t>
  </si>
  <si>
    <t>101w66m262960034</t>
  </si>
  <si>
    <t>Journal Posting Miscellaneous  23 OCT 26 04.08.54.415973 PM =&gt; 10109000006   BOT CLEARING   USD via FLEXCUBE R90RTGO262260226</t>
  </si>
  <si>
    <t>101rev1262960204</t>
  </si>
  <si>
    <t>Journal Posting Miscellaneous  23 OCT 26 12.48.15.490913 PM =&gt; 10109000006   BOT CLEARING   USD via FLEXCUBE MHB0000000117467</t>
  </si>
  <si>
    <t>101rev1262960177</t>
  </si>
  <si>
    <t>Journal Posting Miscellaneous  23 OCT 26 12.48.15.335857 PM =&gt; 10109000006   BOT CLEARING   USD via FLEXCUBE OT26222TZ0122477</t>
  </si>
  <si>
    <t>101rem3262960120</t>
  </si>
  <si>
    <t>Journal Posting Miscellaneous  23 OCT 26 12.46.50.817043 PM =&gt; 10109000006   BOT CLEARING   USD via FLEXCUBE OT26225TZ0123398</t>
  </si>
  <si>
    <t>101rev1262960143</t>
  </si>
  <si>
    <t>Journal Posting Miscellaneous  23 OCT 26 12.48.15.155352 PM =&gt; 10109000006   BOT CLEARING   USD via FLEXCUBE OT26219TZ0121963</t>
  </si>
  <si>
    <t>101rev1262960220</t>
  </si>
  <si>
    <t>Journal Posting Miscellaneous  23 OCT 26 12.48.15.592197 PM =&gt; 10109000006   BOT CLEARING   USD via FLEXCUBE TZ1OL260804025K5</t>
  </si>
  <si>
    <t>101rem3262960132</t>
  </si>
  <si>
    <t>Journal Posting Miscellaneous  23 OCT 26 12.46.50.898570 PM =&gt; 10109000006   BOT CLEARING   USD via FLEXCUBE TRX2608051061029</t>
  </si>
  <si>
    <t>101w66m262960115</t>
  </si>
  <si>
    <t>Journal Posting Miscellaneous  23 OCT 26 04.08.54.898122 PM =&gt; 10109000006   BOT CLEARING   USD via FLEXCUBE TZAAO23026HEWHP</t>
  </si>
  <si>
    <t>101rev1262960125</t>
  </si>
  <si>
    <t>Journal Posting Miscellaneous  23 OCT 26 12.48.15.046627 PM =&gt; 10109000006   BOT CLEARING   USD via FLEXCUBE CMRTG26226002968</t>
  </si>
  <si>
    <t>101w66m262960089</t>
  </si>
  <si>
    <t>Journal Posting Miscellaneous  23 OCT 26 04.08.54.732881 PM =&gt; 10109000006   BOT CLEARING   USD via FLEXCUBE OT26217TZ0121403</t>
  </si>
  <si>
    <t>101rem3262960117</t>
  </si>
  <si>
    <t>Journal Posting Miscellaneous  23 OCT 26 12.46.50.787899 PM =&gt; 10109000006   BOT CLEARING   USD via FLEXCUBE OT26225TZ0123386</t>
  </si>
  <si>
    <t>101rev1262960182</t>
  </si>
  <si>
    <t>Journal Posting Miscellaneous  23 OCT 26 12.48.15.360567 PM =&gt; 10109000006   BOT CLEARING   USD via FLEXCUBE RTO3004262330780</t>
  </si>
  <si>
    <t>101rev1262960201</t>
  </si>
  <si>
    <t>Journal Posting Miscellaneous  23 OCT 26 12.48.15.473165 PM =&gt; 10109000006   BOT CLEARING   USD via FLEXCUBE TZ1OL260810025BZ</t>
  </si>
  <si>
    <t>101w66m262960121</t>
  </si>
  <si>
    <t>Journal Posting Miscellaneous  23 OCT 26 04.08.54.952951 PM =&gt; 10109000006   BOT CLEARING   USD via FLEXCUBE OT26231TZ0124829</t>
  </si>
  <si>
    <t>101rev1262960179</t>
  </si>
  <si>
    <t>Journal Posting Miscellaneous  23 OCT 26 12.48.15.345791 PM =&gt; 10109000006   BOT CLEARING   USD via FLEXCUBE TZAAO21726HFAEJ</t>
  </si>
  <si>
    <t>101rem3262960102</t>
  </si>
  <si>
    <t>Journal Posting Miscellaneous  23 OCT 26 12.46.50.659472 PM =&gt; 10109000006   BOT CLEARING   USD via FLEXCUBE P260808C00000359</t>
  </si>
  <si>
    <t>101rev1262960160</t>
  </si>
  <si>
    <t>Journal Posting Miscellaneous  23 OCT 26 12.48.15.242892 PM =&gt; 10109000006   BOT CLEARING   USD via FLEXCUBE TZ1OL260810025MK</t>
  </si>
  <si>
    <t>101rem3262960029</t>
  </si>
  <si>
    <t>Journal Posting Miscellaneous  23 OCT 26 12.46.50.158319 PM =&gt; 10109000006   BOT CLEARING   USD via FLEXCUBE TZAAO22226HRQBH</t>
  </si>
  <si>
    <t>101rem3262960070</t>
  </si>
  <si>
    <t>Journal Posting Miscellaneous  23 OCT 26 12.46.50.436247 PM =&gt; 10109000006   BOT CLEARING   USD via FLEXCUBE TZAAO22226H72DJ</t>
  </si>
  <si>
    <t>101rem3262960125</t>
  </si>
  <si>
    <t>Journal Posting Miscellaneous  23 OCT 26 12.46.50.852831 PM =&gt; 10109000006   BOT CLEARING   USD via FLEXCUBE CMRTG26226002968</t>
  </si>
  <si>
    <t>101rev1262960207</t>
  </si>
  <si>
    <t>Journal Posting Miscellaneous  23 OCT 26 12.48.15.509536 PM =&gt; 10109000006   BOT CLEARING   USD via FLEXCUBE P260801C00001859</t>
  </si>
  <si>
    <t>101rem3262960124</t>
  </si>
  <si>
    <t>Journal Posting Miscellaneous  23 OCT 26 12.46.50.847143 PM =&gt; 10109000006   BOT CLEARING   USD via FLEXCUBE P260814C00000899</t>
  </si>
  <si>
    <t>101rem3262960111</t>
  </si>
  <si>
    <t>Journal Posting Miscellaneous  23 OCT 26 12.46.50.735842 PM =&gt; 10109000006   BOT CLEARING   USD via FLEXCUBE TZAAO22426H6OOY</t>
  </si>
  <si>
    <t>101w66m262960077</t>
  </si>
  <si>
    <t>Journal Posting Miscellaneous  23 OCT 26 04.08.54.669360 PM =&gt; 10109000006   BOT CLEARING   USD via FLEXCUBE TZAAO22926HWB5I</t>
  </si>
  <si>
    <t>101w66m262960122</t>
  </si>
  <si>
    <t>Journal Posting Miscellaneous  23 OCT 26 04.08.54.962156 PM =&gt; 10109000006   BOT CLEARING   USD via FLEXCUBE OT26231TZ0124846</t>
  </si>
  <si>
    <t>101w66m262960079</t>
  </si>
  <si>
    <t>Journal Posting Miscellaneous  23 OCT 26 04.08.54.679889 PM =&gt; 10109000006   BOT CLEARING   USD via FLEXCUBE TZAAO23026HJ7ZE</t>
  </si>
  <si>
    <t>101rev1262960095</t>
  </si>
  <si>
    <t>Journal Posting Miscellaneous  23 OCT 26 12.48.14.880224 PM =&gt; 10109000006   BOT CLEARING   USD via FLEXCUBE 8373492</t>
  </si>
  <si>
    <t>101rev1262960215</t>
  </si>
  <si>
    <t>Journal Posting Miscellaneous  23 OCT 26 12.48.15.559116 PM =&gt; 10109000006   BOT CLEARING   USD via FLEXCUBE TZAAO21826HTK5X</t>
  </si>
  <si>
    <t>101w66m262960069</t>
  </si>
  <si>
    <t>Journal Posting Miscellaneous  23 OCT 26 04.08.54.619483 PM =&gt; 10109000006   BOT CLEARING   USD via FLEXCUBE TZAAO22926HBJM7</t>
  </si>
  <si>
    <t>101rev1262960112</t>
  </si>
  <si>
    <t>Journal Posting Miscellaneous  23 OCT 26 12.48.14.975531 PM =&gt; 10109000006   BOT CLEARING   USD via FLEXCUBE TZAAO22426H2AZC</t>
  </si>
  <si>
    <t>101rev1262960198</t>
  </si>
  <si>
    <t>Journal Posting Miscellaneous  23 OCT 26 12.48.15.457690 PM =&gt; 10109000006   BOT CLEARING   USD via FLEXCUBE RTO3004262330796</t>
  </si>
  <si>
    <t>101rem3262960052</t>
  </si>
  <si>
    <t>Journal Posting Miscellaneous  23 OCT 26 12.46.50.306918 PM =&gt; 10109000006   BOT CLEARING   USD via FLEXCUBE 009GEPL262220011</t>
  </si>
  <si>
    <t>101rev1262960186</t>
  </si>
  <si>
    <t>Journal Posting Miscellaneous  23 OCT 26 12.48.15.383828 PM =&gt; 10109000006   BOT CLEARING   USD via FLEXCUBE S419840</t>
  </si>
  <si>
    <t>101w66m262960132</t>
  </si>
  <si>
    <t>Journal Posting Miscellaneous  23 OCT 26 04.08.55.034114 PM =&gt; 10109000006   BOT CLEARING   USD via FLEXCUBE TZ1OL260819025AL</t>
  </si>
  <si>
    <t>101w66m262960021</t>
  </si>
  <si>
    <t>Journal Posting Miscellaneous  23 OCT 26 04.08.54.334934 PM =&gt; 10109000006   BOT CLEARING   USD via FLEXCUBE P260814C00003047</t>
  </si>
  <si>
    <t>101w66m262960051</t>
  </si>
  <si>
    <t>Journal Posting Miscellaneous  23 OCT 26 04.08.54.519488 PM =&gt; 10109000006   BOT CLEARING   USD via FLEXCUBE P260817C00002159</t>
  </si>
  <si>
    <t>101rev1262960110</t>
  </si>
  <si>
    <t>Journal Posting Miscellaneous  23 OCT 26 12.48.14.965088 PM =&gt; 10109000006   BOT CLEARING   USD via FLEXCUBE TZ1OL2608120258E</t>
  </si>
  <si>
    <t>101w66m262960109</t>
  </si>
  <si>
    <t>Journal Posting Miscellaneous  23 OCT 26 04.08.54.849936 PM =&gt; 10109000006   BOT CLEARING   USD via FLEXCUBE TZ1OL260818025IW</t>
  </si>
  <si>
    <t>101w66m262960123</t>
  </si>
  <si>
    <t>Journal Posting Miscellaneous  23 OCT 26 04.08.54.969772 PM =&gt; 10109000006   BOT CLEARING   USD via FLEXCUBE TZ1OL260819025BW</t>
  </si>
  <si>
    <t>101w66m262960136</t>
  </si>
  <si>
    <t>Journal Posting Miscellaneous  23 OCT 26 04.08.55.057700 PM =&gt; 10109000006   BOT CLEARING   USD via FLEXCUBE TZ1OL260819025AN</t>
  </si>
  <si>
    <t>101rev1262960129</t>
  </si>
  <si>
    <t>Journal Posting Miscellaneous  23 OCT 26 12.48.15.071166 PM =&gt; 10109000006   BOT CLEARING   USD via FLEXCUBE GEPGTR 7190431</t>
  </si>
  <si>
    <t>101rem3262960049</t>
  </si>
  <si>
    <t>Journal Posting Miscellaneous  23 OCT 26 12.46.50.286705 PM =&gt; 10109000006   BOT CLEARING   USD via FLEXCUBE OT26222TZ0122475</t>
  </si>
  <si>
    <t>101rem3262960068</t>
  </si>
  <si>
    <t>Journal Posting Miscellaneous  23 OCT 26 12.46.50.421239 PM =&gt; 10109000006   BOT CLEARING   USD via FLEXCUBE OT26222TZ0122478</t>
  </si>
  <si>
    <t>101rev1262960181</t>
  </si>
  <si>
    <t>Journal Posting Miscellaneous  23 OCT 26 12.48.15.355669 PM =&gt; 10109000006   BOT CLEARING   USD via FLEXCUBE OT26222TZ0122475</t>
  </si>
  <si>
    <t>101w66m262960140</t>
  </si>
  <si>
    <t>Journal Posting Miscellaneous  23 OCT 26 04.08.55.078619 PM =&gt; 10109000006   BOT CLEARING   USD via FLEXCUBE GEPGTR 7190486</t>
  </si>
  <si>
    <t>101rem3262960113</t>
  </si>
  <si>
    <t>Journal Posting Miscellaneous  23 OCT 26 12.46.50.751599 PM =&gt; 10109000006   BOT CLEARING   USD via FLEXCUBE TZAAO22426H94O6</t>
  </si>
  <si>
    <t>101w66m262960022</t>
  </si>
  <si>
    <t>Journal Posting Miscellaneous  23 OCT 26 04.08.54.340477 PM =&gt; 10109000006   BOT CLEARING   USD via FLEXCUBE OT26226TZ0123750</t>
  </si>
  <si>
    <t>101rev1262960127</t>
  </si>
  <si>
    <t>Journal Posting Miscellaneous  23 OCT 26 12.48.15.058342 PM =&gt; 10109000006   BOT CLEARING   USD via FLEXCUBE P260814C00002455</t>
  </si>
  <si>
    <t>101w66m262960095</t>
  </si>
  <si>
    <t>Journal Posting Miscellaneous  23 OCT 26 04.08.54.764430 PM =&gt; 10109000006   BOT CLEARING   USD via FLEXCUBE 001COUS180826001</t>
  </si>
  <si>
    <t>101rev1262960156</t>
  </si>
  <si>
    <t>Journal Posting Miscellaneous  23 OCT 26 12.48.15.223061 PM =&gt; 10109000006   BOT CLEARING   USD via FLEXCUBE OT26222TZ0122473</t>
  </si>
  <si>
    <t>101w66m262960099</t>
  </si>
  <si>
    <t>Journal Posting Miscellaneous  23 OCT 26 04.08.54.787602 PM =&gt; 10109000006   BOT CLEARING   USD via FLEXCUBE OT26230TZ0124823</t>
  </si>
  <si>
    <t>101w66m262960050</t>
  </si>
  <si>
    <t>Journal Posting Miscellaneous  23 OCT 26 04.08.54.513801 PM =&gt; 10109000006   BOT CLEARING   USD via FLEXCUBE OT26227TZ0124141</t>
  </si>
  <si>
    <t>101w66m262960068</t>
  </si>
  <si>
    <t>Journal Posting Miscellaneous  23 OCT 26 04.08.54.614320 PM =&gt; 10109000006   BOT CLEARING   USD via FLEXCUBE GEPGTR 7190455</t>
  </si>
  <si>
    <t>101rem3262960127</t>
  </si>
  <si>
    <t>Journal Posting Miscellaneous  23 OCT 26 12.46.50.864300 PM =&gt; 10109000006   BOT CLEARING   USD via FLEXCUBE P260814C00002455</t>
  </si>
  <si>
    <t>101w66m262960030</t>
  </si>
  <si>
    <t>Journal Posting Miscellaneous  23 OCT 26 04.08.54.392898 PM =&gt; 10109000006   BOT CLEARING   USD via FLEXCUBE R90RTGO262260224</t>
  </si>
  <si>
    <t>101rem3262960085</t>
  </si>
  <si>
    <t>Journal Posting Miscellaneous  23 OCT 26 12.46.50.546122 PM =&gt; 10109000006   BOT CLEARING   USD via FLEXCUBE TZAAO21326HCCSP</t>
  </si>
  <si>
    <t>101w66m262960049</t>
  </si>
  <si>
    <t>Journal Posting Miscellaneous  23 OCT 26 04.08.54.507163 PM =&gt; 10109000006   BOT CLEARING   USD via FLEXCUBE CMRTG26227003525</t>
  </si>
  <si>
    <t>101w66m262960043</t>
  </si>
  <si>
    <t>Journal Posting Miscellaneous  23 OCT 26 04.08.54.466834 PM =&gt; 10109000006   BOT CLEARING   USD via FLEXCUBE GT7509762363</t>
  </si>
  <si>
    <t>101rem3262960110</t>
  </si>
  <si>
    <t>Journal Posting Miscellaneous  23 OCT 26 12.46.50.728136 PM =&gt; 10109000006   BOT CLEARING   USD via FLEXCUBE TZ1OL2608120258E</t>
  </si>
  <si>
    <t>101rev1262960149</t>
  </si>
  <si>
    <t>Journal Posting Miscellaneous  23 OCT 26 12.48.15.187245 PM =&gt; 10109000006   BOT CLEARING   USD via FLEXCUBE P260731C00005363</t>
  </si>
  <si>
    <t>101rev1262960188</t>
  </si>
  <si>
    <t>Journal Posting Miscellaneous  23 OCT 26 12.48.15.394320 PM =&gt; 10109000006   BOT CLEARING   USD via FLEXCUBE OT26222TZ0122482</t>
  </si>
  <si>
    <t>101rem3262960075</t>
  </si>
  <si>
    <t>Journal Posting Miscellaneous  23 OCT 26 12.46.50.476517 PM =&gt; 10109000006   BOT CLEARING   USD via FLEXCUBE P260801C00001859</t>
  </si>
  <si>
    <t>101rem3262960076</t>
  </si>
  <si>
    <t>Journal Posting Miscellaneous  23 OCT 26 12.46.50.484084 PM =&gt; 10109000006   BOT CLEARING   USD via FLEXCUBE TZAAO21726HDM8I</t>
  </si>
  <si>
    <t>101w66m262960012</t>
  </si>
  <si>
    <t>Journal Posting Miscellaneous  23 OCT 26 04.08.54.279553 PM =&gt; 10109000006   BOT CLEARING   USD via FLEXCUBE TZ1OL260814025ZH</t>
  </si>
  <si>
    <t>101rem3262960046</t>
  </si>
  <si>
    <t>Journal Posting Miscellaneous  23 OCT 26 12.46.50.267728 PM =&gt; 10109000006   BOT CLEARING   USD via FLEXCUBE TZAAO22226HDKPA</t>
  </si>
  <si>
    <t>101rem3262960115</t>
  </si>
  <si>
    <t>Journal Posting Miscellaneous  23 OCT 26 12.46.50.769186 PM =&gt; 10109000006   BOT CLEARING   USD via FLEXCUBE P260812C00002275</t>
  </si>
  <si>
    <t>101rem3262960108</t>
  </si>
  <si>
    <t>Journal Posting Miscellaneous  23 OCT 26 12.46.50.712766 PM =&gt; 10109000006   BOT CLEARING   USD via FLEXCUBE P260812C00001599</t>
  </si>
  <si>
    <t>101rem3262960130</t>
  </si>
  <si>
    <t>Journal Posting Miscellaneous  23 OCT 26 12.46.50.884599 PM =&gt; 10109000006   BOT CLEARING   USD via FLEXCUBE P260814C00002855</t>
  </si>
  <si>
    <t>101w66m262960053</t>
  </si>
  <si>
    <t>Journal Posting Miscellaneous  23 OCT 26 04.08.54.531048 PM =&gt; 10109000006   BOT CLEARING   USD via FLEXCUBE TZAAO22926HBTSV</t>
  </si>
  <si>
    <t>101rem3262960024</t>
  </si>
  <si>
    <t>Journal Posting Miscellaneous  23 OCT 26 12.46.50.127883 PM =&gt; 10109000006   BOT CLEARING   USD via FLEXCUBE OT26222TZ0122473</t>
  </si>
  <si>
    <t>101rem3262960036</t>
  </si>
  <si>
    <t>Journal Posting Miscellaneous  23 OCT 26 12.46.50.203853 PM =&gt; 10109000006   BOT CLEARING   USD via FLEXCUBE TZAAO21626HQMXV</t>
  </si>
  <si>
    <t>101w66m262960091</t>
  </si>
  <si>
    <t>Journal Posting Miscellaneous  23 OCT 26 04.08.54.743122 PM =&gt; 10109000006   BOT CLEARING   USD via FLEXCUBE CMRTG26230001500</t>
  </si>
  <si>
    <t>101rem3262960032</t>
  </si>
  <si>
    <t>Journal Posting Miscellaneous  23 OCT 26 12.46.50.178643 PM =&gt; 10109000006   BOT CLEARING   USD via FLEXCUBE TZ1OL260810025KD</t>
  </si>
  <si>
    <t>101w66m262960138</t>
  </si>
  <si>
    <t>Journal Posting Miscellaneous  23 OCT 26 04.08.55.068136 PM =&gt; 10109000006   BOT CLEARING   USD via FLEXCUBE GEPGTR 7190507</t>
  </si>
  <si>
    <t>101rev1262960132</t>
  </si>
  <si>
    <t>Journal Posting Miscellaneous  23 OCT 26 12.48.15.089442 PM =&gt; 10109000006   BOT CLEARING   USD via FLEXCUBE TRX2608051061029</t>
  </si>
  <si>
    <t>101rem3262960061</t>
  </si>
  <si>
    <t>Journal Posting Miscellaneous  23 OCT 26 12.46.50.366872 PM =&gt; 10109000006   BOT CLEARING   USD via FLEXCUBE OT26222TZ0122652</t>
  </si>
  <si>
    <t>101w66m262960145</t>
  </si>
  <si>
    <t>Journal Posting Miscellaneous  23 OCT 26 04.08.55.105209 PM =&gt; 10109000006   BOT CLEARING   USD via FLEXCUBE TZ1OL260819025AS</t>
  </si>
  <si>
    <t>101rem3262960106</t>
  </si>
  <si>
    <t>Journal Posting Miscellaneous  23 OCT 26 12.46.50.694267 PM =&gt; 10109000006   BOT CLEARING   USD via FLEXCUBE TZ1OL260812025O5</t>
  </si>
  <si>
    <t>101rem3262960027</t>
  </si>
  <si>
    <t>Journal Posting Miscellaneous  23 OCT 26 12.46.50.145651 PM =&gt; 10109000006   BOT CLEARING   USD via FLEXCUBE RTO3004262330788</t>
  </si>
  <si>
    <t>101rem3262960062</t>
  </si>
  <si>
    <t>Journal Posting Miscellaneous  23 OCT 26 12.46.50.374958 PM =&gt; 10109000006   BOT CLEARING   USD via FLEXCUBE HZ1JVL9602A8FA09</t>
  </si>
  <si>
    <t>101w66m262960117</t>
  </si>
  <si>
    <t>Journal Posting Miscellaneous  23 OCT 26 04.08.54.916331 PM =&gt; 10109000006   BOT CLEARING   USD via FLEXCUBE 8383612</t>
  </si>
  <si>
    <t>101rem3262960013</t>
  </si>
  <si>
    <t>Journal Posting Miscellaneous  23 OCT 26 12.46.50.060444 PM =&gt; 10109000006   BOT CLEARING   USD via FLEXCUBE OT26219TZ0121919</t>
  </si>
  <si>
    <t>101w66m262960060</t>
  </si>
  <si>
    <t>Journal Posting Miscellaneous  23 OCT 26 04.08.54.571391 PM =&gt; 10109000006   BOT CLEARING   USD via FLEXCUBE TZAAO22926HP071</t>
  </si>
  <si>
    <t>101rev1262960216</t>
  </si>
  <si>
    <t>Journal Posting Miscellaneous  23 OCT 26 12.48.15.565757 PM =&gt; 10109000006   BOT CLEARING   USD via FLEXCUBE 8371617</t>
  </si>
  <si>
    <t>101rev1262960194</t>
  </si>
  <si>
    <t>Journal Posting Miscellaneous  23 OCT 26 12.48.15.433500 PM =&gt; 10109000006   BOT CLEARING   USD via FLEXCUBE HZ1JVL9602A8FA09</t>
  </si>
  <si>
    <t>101rem3262960072</t>
  </si>
  <si>
    <t>Journal Posting Miscellaneous  23 OCT 26 12.46.50.452633 PM =&gt; 10109000006   BOT CLEARING   USD via FLEXCUBE MHB0000000117467</t>
  </si>
  <si>
    <t>101rev1262960105</t>
  </si>
  <si>
    <t>Journal Posting Miscellaneous  23 OCT 26 12.48.14.938897 PM =&gt; 10109000006   BOT CLEARING   USD via FLEXCUBE OT26224TZ0123238</t>
  </si>
  <si>
    <t>101rev1262960184</t>
  </si>
  <si>
    <t>Journal Posting Miscellaneous  23 OCT 26 12.48.15.373560 PM =&gt; 10109000006   BOT CLEARING   USD via FLEXCUBE 009GEPL262220011</t>
  </si>
  <si>
    <t>311ZEXA26289001D</t>
  </si>
  <si>
    <t xml:space="preserve">Liquidation of Bill   23 OCT 26 05.39.34.703412 PM   311BCIU262890006   MANSOOR INDUSTRIES LIMITED.   TANZANIA PETROLEUM DEVELOPMENT </t>
  </si>
  <si>
    <t>101rev1262960219</t>
  </si>
  <si>
    <t>Journal Posting Miscellaneous  23 OCT 26 12.48.15.586407 PM =&gt; 10109000006   BOT CLEARING   USD via FLEXCUBE RTOMICC01081277</t>
  </si>
  <si>
    <t>101rev1262960109</t>
  </si>
  <si>
    <t>Journal Posting Miscellaneous  23 OCT 26 12.48.14.960016 PM =&gt; 10109000006   BOT CLEARING   USD via FLEXCUBE TZAAO22426HJ9FT</t>
  </si>
  <si>
    <t>101rem3262960025</t>
  </si>
  <si>
    <t>Journal Posting Miscellaneous  23 OCT 26 12.46.50.133898 PM =&gt; 10109000006   BOT CLEARING   USD via FLEXCUBE TZAAO22226H0JSY</t>
  </si>
  <si>
    <t>101rem3262960118</t>
  </si>
  <si>
    <t>Journal Posting Miscellaneous  23 OCT 26 12.46.50.797449 PM =&gt; 10109000006   BOT CLEARING   USD via FLEXCUBE OT26225TZ0123701</t>
  </si>
  <si>
    <t>101rev1262960222</t>
  </si>
  <si>
    <t>Journal Posting Miscellaneous  23 OCT 26 12.48.15.604081 PM =&gt; 10109000006   BOT CLEARING   USD via FLEXCUBE TZ1OL260811025I8</t>
  </si>
  <si>
    <t>101rem3262960048</t>
  </si>
  <si>
    <t>Journal Posting Miscellaneous  23 OCT 26 12.46.50.280699 PM =&gt; 10109000006   BOT CLEARING   USD via FLEXCUBE TZAAO22226H3PDP</t>
  </si>
  <si>
    <t>101w66m262960005</t>
  </si>
  <si>
    <t>Journal Posting Miscellaneous  23 OCT 26 04.08.54.239756 PM =&gt; 10109000006   BOT CLEARING   USD via FLEXCUBE OT26226TZ0123805</t>
  </si>
  <si>
    <t>101rem3262960078</t>
  </si>
  <si>
    <t>Journal Posting Miscellaneous  23 OCT 26 12.46.50.499877 PM =&gt; 10109000006   BOT CLEARING   USD via FLEXCUBE TZAAO21326HU4H0</t>
  </si>
  <si>
    <t>101w66m262960025</t>
  </si>
  <si>
    <t>Journal Posting Miscellaneous  23 OCT 26 04.08.54.357595 PM =&gt; 10109000006   BOT CLEARING   USD via FLEXCUBE R90RTGO262260227</t>
  </si>
  <si>
    <t>101rev1262960116</t>
  </si>
  <si>
    <t>Journal Posting Miscellaneous  23 OCT 26 12.48.14.995678 PM =&gt; 10109000006   BOT CLEARING   USD via FLEXCUBE CMRTG26225002232</t>
  </si>
  <si>
    <t>101rem3262960038</t>
  </si>
  <si>
    <t>Journal Posting Miscellaneous  23 OCT 26 12.46.50.217424 PM =&gt; 10109000006   BOT CLEARING   USD via FLEXCUBE OT26216TZ0121018</t>
  </si>
  <si>
    <t>101rem3262960016</t>
  </si>
  <si>
    <t>Journal Posting Miscellaneous  23 OCT 26 12.46.50.078879 PM =&gt; 10109000006   BOT CLEARING   USD via FLEXCUBE P260731C00005367</t>
  </si>
  <si>
    <t>101rev1262960114</t>
  </si>
  <si>
    <t>Journal Posting Miscellaneous  23 OCT 26 12.48.14.985630 PM =&gt; 10109000006   BOT CLEARING   USD via FLEXCUBE 8374682</t>
  </si>
  <si>
    <t>101rem3262960112</t>
  </si>
  <si>
    <t>Journal Posting Miscellaneous  23 OCT 26 12.46.50.743754 PM =&gt; 10109000006   BOT CLEARING   USD via FLEXCUBE TZAAO22426H2AZC</t>
  </si>
  <si>
    <t>101rev1262960164</t>
  </si>
  <si>
    <t>Journal Posting Miscellaneous  23 OCT 26 12.48.15.262042 PM =&gt; 10109000006   BOT CLEARING   USD via FLEXCUBE TZ1OL260810025KD</t>
  </si>
  <si>
    <t>101rev1262960137</t>
  </si>
  <si>
    <t>Journal Posting Miscellaneous  23 OCT 26 12.48.15.120690 PM =&gt; 10109000006   BOT CLEARING   USD via FLEXCUBE TOW26219LLC0JCDH</t>
  </si>
  <si>
    <t>101rem3262960030</t>
  </si>
  <si>
    <t>Journal Posting Miscellaneous  23 OCT 26 12.46.50.165111 PM =&gt; 10109000006   BOT CLEARING   USD via FLEXCUBE RTO3004262332442</t>
  </si>
  <si>
    <t>101rev1262960118</t>
  </si>
  <si>
    <t>Journal Posting Miscellaneous  23 OCT 26 12.48.15.005751 PM =&gt; 10109000006   BOT CLEARING   USD via FLEXCUBE OT26225TZ0123701</t>
  </si>
  <si>
    <t>101rem3262960037</t>
  </si>
  <si>
    <t>Journal Posting Miscellaneous  23 OCT 26 12.46.50.210783 PM =&gt; 10109000006   BOT CLEARING   USD via FLEXCUBE OT26219TZ0122358</t>
  </si>
  <si>
    <t>101w66m262960104</t>
  </si>
  <si>
    <t>Journal Posting Miscellaneous  23 OCT 26 04.08.54.816973 PM =&gt; 10109000006   BOT CLEARING   USD via FLEXCUBE OT26230TZ0124523</t>
  </si>
  <si>
    <t>101rem3262960012</t>
  </si>
  <si>
    <t>Journal Posting Miscellaneous  23 OCT 26 12.46.50.054652 PM =&gt; 10109000006   BOT CLEARING   USD via FLEXCUBE R90RTGO262190243</t>
  </si>
  <si>
    <t>101w66m262960048</t>
  </si>
  <si>
    <t>Journal Posting Miscellaneous  23 OCT 26 04.08.54.499759 PM =&gt; 10109000006   BOT CLEARING   USD via FLEXCUBE P260813C00000669</t>
  </si>
  <si>
    <t>101rev1262960213</t>
  </si>
  <si>
    <t>Journal Posting Miscellaneous  23 OCT 26 12.48.15.545590 PM =&gt; 10109000006   BOT CLEARING   USD via FLEXCUBE GEPGTR 7190245</t>
  </si>
  <si>
    <t>101rem3262960050</t>
  </si>
  <si>
    <t>Journal Posting Miscellaneous  23 OCT 26 12.46.50.292839 PM =&gt; 10109000006   BOT CLEARING   USD via FLEXCUBE RTO3004262330780</t>
  </si>
  <si>
    <t>101rem3262960093</t>
  </si>
  <si>
    <t>Journal Posting Miscellaneous  23 OCT 26 12.46.50.594143 PM =&gt; 10109000006   BOT CLEARING   USD via FLEXCUBE 8373887</t>
  </si>
  <si>
    <t>101rev1262960115</t>
  </si>
  <si>
    <t>Journal Posting Miscellaneous  23 OCT 26 12.48.14.990768 PM =&gt; 10109000006   BOT CLEARING   USD via FLEXCUBE P260812C00002275</t>
  </si>
  <si>
    <t>101rem3262960028</t>
  </si>
  <si>
    <t>Journal Posting Miscellaneous  23 OCT 26 12.46.50.151826 PM =&gt; 10109000006   BOT CLEARING   USD via FLEXCUBE TZ1OL260810025MK</t>
  </si>
  <si>
    <t>101rem3262960131</t>
  </si>
  <si>
    <t>Journal Posting Miscellaneous  23 OCT 26 12.46.50.891485 PM =&gt; 10109000006   BOT CLEARING   USD via FLEXCUBE TZ1OL260813025KZ</t>
  </si>
  <si>
    <t>101rem3262960069</t>
  </si>
  <si>
    <t>Journal Posting Miscellaneous  23 OCT 26 12.46.50.428286 PM =&gt; 10109000006   BOT CLEARING   USD via FLEXCUBE TZ1OL260810025BZ</t>
  </si>
  <si>
    <t>101rem3262960074</t>
  </si>
  <si>
    <t>Journal Posting Miscellaneous  23 OCT 26 12.46.50.468972 PM =&gt; 10109000006   BOT CLEARING   USD via FLEXCUBE CMRTG26223002946</t>
  </si>
  <si>
    <t>101w66m262960058</t>
  </si>
  <si>
    <t>Journal Posting Miscellaneous  23 OCT 26 04.08.54.559898 PM =&gt; 10109000006   BOT CLEARING   USD via FLEXCUBE TZAAO22926HF72V</t>
  </si>
  <si>
    <t>101rev1262960144</t>
  </si>
  <si>
    <t>Journal Posting Miscellaneous  23 OCT 26 12.48.15.160669 PM =&gt; 10109000006   BOT CLEARING   USD via FLEXCUBE R90RTGO262190243</t>
  </si>
  <si>
    <t>101w66m262960071</t>
  </si>
  <si>
    <t>Journal Posting Miscellaneous  23 OCT 26 04.08.54.631424 PM =&gt; 10109000006   BOT CLEARING   USD via FLEXCUBE TZAAO22926H6R97</t>
  </si>
  <si>
    <t>101rev1262960103</t>
  </si>
  <si>
    <t>Journal Posting Miscellaneous  23 OCT 26 12.48.14.927768 PM =&gt; 10109000006   BOT CLEARING   USD via FLEXCUBE 009GEPL262240007</t>
  </si>
  <si>
    <t>101w66m262960067</t>
  </si>
  <si>
    <t>Journal Posting Miscellaneous  23 OCT 26 04.08.54.609313 PM =&gt; 10109000006   BOT CLEARING   USD via FLEXCUBE TZAAO22926HW5RW</t>
  </si>
  <si>
    <t>101rev1262960206</t>
  </si>
  <si>
    <t>Journal Posting Miscellaneous  23 OCT 26 12.48.15.502802 PM =&gt; 10109000006   BOT CLEARING   USD via FLEXCUBE CMRTG26223002946</t>
  </si>
  <si>
    <t>101w66m262960126</t>
  </si>
  <si>
    <t>Journal Posting Miscellaneous  23 OCT 26 04.08.54.990000 PM =&gt; 10109000006   BOT CLEARING   USD via FLEXCUBE TZAAO23126HIT9E</t>
  </si>
  <si>
    <t>101w66m262960106</t>
  </si>
  <si>
    <t>Journal Posting Miscellaneous  23 OCT 26 04.08.54.829361 PM =&gt; 10109000006   BOT CLEARING   USD via FLEXCUBE OT26230TZ0124520</t>
  </si>
  <si>
    <t>101w66m262960130</t>
  </si>
  <si>
    <t>Journal Posting Miscellaneous  23 OCT 26 04.08.55.019036 PM =&gt; 10109000006   BOT CLEARING   USD via FLEXCUBE TZ1OL260819025AM</t>
  </si>
  <si>
    <t>101w66m262960001</t>
  </si>
  <si>
    <t>Journal Posting Miscellaneous  23 OCT 26 04.08.54.215975 PM =&gt; 10109000006   BOT CLEARING   USD via FLEXCUBE VIV26226KCGGFKBL</t>
  </si>
  <si>
    <t>101rev1262960174</t>
  </si>
  <si>
    <t>Journal Posting Miscellaneous  23 OCT 26 12.48.15.317566 PM =&gt; 10109000006   BOT CLEARING   USD via FLEXCUBE TZ1OL260810025DY</t>
  </si>
  <si>
    <t>101w66m262960087</t>
  </si>
  <si>
    <t>Journal Posting Miscellaneous  23 OCT 26 04.08.54.722323 PM =&gt; 10109000006   BOT CLEARING   USD via FLEXCUBE P260818C00001085</t>
  </si>
  <si>
    <t>101w66m262960116</t>
  </si>
  <si>
    <t>Journal Posting Miscellaneous  23 OCT 26 04.08.54.906857 PM =&gt; 10109000006   BOT CLEARING   USD via FLEXCUBE P260818C00002583</t>
  </si>
  <si>
    <t>101rem3262960021</t>
  </si>
  <si>
    <t>Journal Posting Miscellaneous  23 OCT 26 12.46.50.109759 PM =&gt; 10109000006   BOT CLEARING   USD via FLEXCUBE TZ1OL260810025BB</t>
  </si>
  <si>
    <t>101rem3262960105</t>
  </si>
  <si>
    <t>Journal Posting Miscellaneous  23 OCT 26 12.46.50.685003 PM =&gt; 10109000006   BOT CLEARING   USD via FLEXCUBE OT26224TZ0123238</t>
  </si>
  <si>
    <t>101rem3262960051</t>
  </si>
  <si>
    <t>Journal Posting Miscellaneous  23 OCT 26 12.46.50.300118 PM =&gt; 10109000006   BOT CLEARING   USD via FLEXCUBE OT26222TZ0122474</t>
  </si>
  <si>
    <t>101w66m262960038</t>
  </si>
  <si>
    <t>Journal Posting Miscellaneous  23 OCT 26 04.08.54.437613 PM =&gt; 10109000006   BOT CLEARING   USD via FLEXCUBE P260814C00002847</t>
  </si>
  <si>
    <t>101rem3262960035</t>
  </si>
  <si>
    <t>Journal Posting Miscellaneous  23 OCT 26 12.46.50.197974 PM =&gt; 10109000006   BOT CLEARING   USD via FLEXCUBE R90RTGO262180207</t>
  </si>
  <si>
    <t>101w66m262960057</t>
  </si>
  <si>
    <t>Journal Posting Miscellaneous  23 OCT 26 04.08.54.554170 PM =&gt; 10109000006   BOT CLEARING   USD via FLEXCUBE TZ1OL260813025L0</t>
  </si>
  <si>
    <t>101rem3262960123</t>
  </si>
  <si>
    <t>Journal Posting Miscellaneous  23 OCT 26 12.46.50.841041 PM =&gt; 10109000006   BOT CLEARING   USD via FLEXCUBE CMRTG26225002235</t>
  </si>
  <si>
    <t>101w66m262960004</t>
  </si>
  <si>
    <t>Journal Posting Miscellaneous  23 OCT 26 04.08.54.234040 PM =&gt; 10109000006   BOT CLEARING   USD via FLEXCUBE TZ1OL260814025ZB</t>
  </si>
  <si>
    <t>101DPWD262961001</t>
  </si>
  <si>
    <t>DPWDARQ000118332</t>
  </si>
  <si>
    <t>Utility Payment   23 OCT 26 11.06.53.156556 AM    Sender's Ref: TZAAO29626HNDSE  Sender Account: 6009304  Sender Name: NISOMAR MARITIME AND LOGISTICS LTD  Remittance Info: DPWDARQ000118332</t>
  </si>
  <si>
    <t>TZAAO29626HNDSE</t>
  </si>
  <si>
    <t>F/TZA/DRT/AAO/20261023/00039187496</t>
  </si>
  <si>
    <t>8eee1704-ca06-4f43-8c5b-a8ce19aca556</t>
  </si>
  <si>
    <t>101w66m262960054</t>
  </si>
  <si>
    <t>Journal Posting Miscellaneous  23 OCT 26 04.08.54.537147 PM =&gt; 10109000006   BOT CLEARING   USD via FLEXCUBE TZAAO22926HIBX9</t>
  </si>
  <si>
    <t>101rem3262960089</t>
  </si>
  <si>
    <t>Journal Posting Miscellaneous  23 OCT 26 12.46.50.569459 PM =&gt; 10109000006   BOT CLEARING   USD via FLEXCUBE OT26223TZ0122859</t>
  </si>
  <si>
    <t>101rem3262960064</t>
  </si>
  <si>
    <t>Journal Posting Miscellaneous  23 OCT 26 12.46.50.393203 PM =&gt; 10109000006   BOT CLEARING   USD via FLEXCUBE TZAAO22226HFTRJ</t>
  </si>
  <si>
    <t>101w66m262960083</t>
  </si>
  <si>
    <t>Journal Posting Miscellaneous  23 OCT 26 04.08.54.701543 PM =&gt; 10109000006   BOT CLEARING   USD via FLEXCUBE TZ1OL260818025IX</t>
  </si>
  <si>
    <t>101rev1262960211</t>
  </si>
  <si>
    <t>Journal Posting Miscellaneous  23 OCT 26 12.48.15.534086 PM =&gt; 10109000006   BOT CLEARING   USD via FLEXCUBE OT26223TZ0122943</t>
  </si>
  <si>
    <t>101rem3262960026</t>
  </si>
  <si>
    <t>Journal Posting Miscellaneous  23 OCT 26 12.46.50.139533 PM =&gt; 10109000006   BOT CLEARING   USD via FLEXCUBE TZAAO22226HXE9A</t>
  </si>
  <si>
    <t>101rem3262960041</t>
  </si>
  <si>
    <t>Journal Posting Miscellaneous  23 OCT 26 12.46.50.235848 PM =&gt; 10109000006   BOT CLEARING   USD via FLEXCUBE S419839</t>
  </si>
  <si>
    <t>101w66m262960011</t>
  </si>
  <si>
    <t>Journal Posting Miscellaneous  23 OCT 26 04.08.54.273876 PM =&gt; 10109000006   BOT CLEARING   USD via FLEXCUBE TZ1OL260813025KX</t>
  </si>
  <si>
    <t>101rem3262960019</t>
  </si>
  <si>
    <t>Journal Posting Miscellaneous  23 OCT 26 12.46.50.097954 PM =&gt; 10109000006   BOT CLEARING   USD via FLEXCUBE TZAAO22226HRLF0</t>
  </si>
  <si>
    <t>101rem3262960116</t>
  </si>
  <si>
    <t>Journal Posting Miscellaneous  23 OCT 26 12.46.50.778542 PM =&gt; 10109000006   BOT CLEARING   USD via FLEXCUBE CMRTG26225002232</t>
  </si>
  <si>
    <t>101rem3262960053</t>
  </si>
  <si>
    <t>Journal Posting Miscellaneous  23 OCT 26 12.46.50.313756 PM =&gt; 10109000006   BOT CLEARING   USD via FLEXCUBE OT26222TZ0122470</t>
  </si>
  <si>
    <t>101rem3262960083</t>
  </si>
  <si>
    <t>Journal Posting Miscellaneous  23 OCT 26 12.46.50.534575 PM =&gt; 10109000006   BOT CLEARING   USD via FLEXCUBE TZAAO21826HTK5X</t>
  </si>
  <si>
    <t>101w66m262960101</t>
  </si>
  <si>
    <t>Journal Posting Miscellaneous  23 OCT 26 04.08.54.798728 PM =&gt; 10109000006   BOT CLEARING   USD via FLEXCUBE TZ1OL260805025L8</t>
  </si>
  <si>
    <t>101rev1262960209</t>
  </si>
  <si>
    <t>Journal Posting Miscellaneous  23 OCT 26 12.48.15.522245 PM =&gt; 10109000006   BOT CLEARING   USD via FLEXCUBE MWZ26223BLJMG0DC</t>
  </si>
  <si>
    <t>101rem3262960114</t>
  </si>
  <si>
    <t>Journal Posting Miscellaneous  23 OCT 26 12.46.50.759643 PM =&gt; 10109000006   BOT CLEARING   USD via FLEXCUBE 8374682</t>
  </si>
  <si>
    <t>101w66m262960076</t>
  </si>
  <si>
    <t>Journal Posting Miscellaneous  23 OCT 26 04.08.54.664036 PM =&gt; 10109000006   BOT CLEARING   USD via FLEXCUBE TZAAO22926HHV49</t>
  </si>
  <si>
    <t>101w66m262960143</t>
  </si>
  <si>
    <t>Journal Posting Miscellaneous  23 OCT 26 04.08.55.094278 PM =&gt; 10109000006   BOT CLEARING   USD via FLEXCUBE 8383606</t>
  </si>
  <si>
    <t>101rev1262960123</t>
  </si>
  <si>
    <t>Journal Posting Miscellaneous  23 OCT 26 12.48.15.034241 PM =&gt; 10109000006   BOT CLEARING   USD via FLEXCUBE CMRTG26225002235</t>
  </si>
  <si>
    <t>101w66m262960036</t>
  </si>
  <si>
    <t>Journal Posting Miscellaneous  23 OCT 26 04.08.54.426532 PM =&gt; 10109000006   BOT CLEARING   USD via FLEXCUBE CMRTG26226001400</t>
  </si>
  <si>
    <t>101rem3262960071</t>
  </si>
  <si>
    <t>Journal Posting Miscellaneous  23 OCT 26 12.46.50.444005 PM =&gt; 10109000006   BOT CLEARING   USD via FLEXCUBE OT26222TZ0122553</t>
  </si>
  <si>
    <t>101rev1262960185</t>
  </si>
  <si>
    <t>Journal Posting Miscellaneous  23 OCT 26 12.48.15.378805 PM =&gt; 10109000006   BOT CLEARING   USD via FLEXCUBE OT26222TZ0122470</t>
  </si>
  <si>
    <t>101rev1262960126</t>
  </si>
  <si>
    <t>Journal Posting Miscellaneous  23 OCT 26 12.48.15.052356 PM =&gt; 10109000006   BOT CLEARING   USD via FLEXCUBE R90RTGO262260225</t>
  </si>
  <si>
    <t>101w66m262960008</t>
  </si>
  <si>
    <t>Journal Posting Miscellaneous  23 OCT 26 04.08.54.256105 PM =&gt; 10109000006   BOT CLEARING   USD via FLEXCUBE GEPGTR 7190430</t>
  </si>
  <si>
    <t>101rem3262960044</t>
  </si>
  <si>
    <t>Journal Posting Miscellaneous  23 OCT 26 12.46.50.255515 PM =&gt; 10109000006   BOT CLEARING   USD via FLEXCUBE TZ1OL260810025E4</t>
  </si>
  <si>
    <t>101rev1262960162</t>
  </si>
  <si>
    <t>Journal Posting Miscellaneous  23 OCT 26 12.48.15.253190 PM =&gt; 10109000006   BOT CLEARING   USD via FLEXCUBE RTO3004262332442</t>
  </si>
  <si>
    <t>2026/10/24</t>
  </si>
  <si>
    <t>BK1k5qf262970002</t>
  </si>
  <si>
    <t>Funds Transfer  24 OCT 26 01.48.20.084478 PM =&gt; 10109000006   BOT CLEARING   USD via UPLOAD NET SETTLEMENT FOR USD DD 24.10.2026</t>
  </si>
  <si>
    <t>259SBRN262970002</t>
  </si>
  <si>
    <t>GWX103593642382</t>
  </si>
  <si>
    <t xml:space="preserve">Return of Inbound Payment   24 OCT 26 04.12.02.556585 PM   LORTN OF pacs008 DD 261024 Accoun t name differ   SPEE6A52 </t>
  </si>
  <si>
    <t>259SBRN262970001</t>
  </si>
  <si>
    <t>SPEE6A52</t>
  </si>
  <si>
    <t>ffa7ef7b-35ab-4697-9b47-0e03ae6f41f1</t>
  </si>
  <si>
    <t>Outgoing Funds Transfer   24 OCT 26 01.04.18.121517 PM   SYBRIN from MECHANIZED MINERALS SUPREME MINING CO LTD  to 52910001850  012105031358. Remark: BUSINESS</t>
  </si>
  <si>
    <t>2629710747056000</t>
  </si>
  <si>
    <t>2026/10/26</t>
  </si>
  <si>
    <t>101w77m262990085</t>
  </si>
  <si>
    <t>Journal Posting Miscellaneous  26 OCT 26 04.45.48.765192 PM =&gt; 10109000006   BOT CLEARING   USD via FLEXCUBE TZ1OL260824027XW</t>
  </si>
  <si>
    <t>101tz1j262990011</t>
  </si>
  <si>
    <t>Journal Posting Miscellaneous  26 OCT 26 06.16.41.531811 PM =&gt; 10109000006   BOT CLEARING   USD via FLEXCUBE RTN  2410E53E1C9D   24103D178497  2629719058472000 dd261024  Rsn UNABLE TO APPLY</t>
  </si>
  <si>
    <t>101w77m262990010</t>
  </si>
  <si>
    <t>Journal Posting Miscellaneous  26 OCT 26 04.45.48.285429 PM =&gt; 10109000006   BOT CLEARING   USD via FLEXCUBE TZAAO23226HDQ1M</t>
  </si>
  <si>
    <t>101w77m262990070</t>
  </si>
  <si>
    <t>Journal Posting Miscellaneous  26 OCT 26 04.45.48.695544 PM =&gt; 10109000006   BOT CLEARING   USD via FLEXCUBE OT26236TZ0126229</t>
  </si>
  <si>
    <t>101w77m262990066</t>
  </si>
  <si>
    <t>Journal Posting Miscellaneous  26 OCT 26 04.45.48.675707 PM =&gt; 10109000006   BOT CLEARING   USD via FLEXCUBE OT26236TZ0126228</t>
  </si>
  <si>
    <t>101w77m262990006</t>
  </si>
  <si>
    <t>Journal Posting Miscellaneous  26 OCT 26 04.45.48.253200 PM =&gt; 10109000006   BOT CLEARING   USD via FLEXCUBE TZ1OL260820025CN</t>
  </si>
  <si>
    <t>101w77m262990086</t>
  </si>
  <si>
    <t>Journal Posting Miscellaneous  26 OCT 26 04.45.48.769766 PM =&gt; 10109000006   BOT CLEARING   USD via FLEXCUBE TZ1OL260824028SB</t>
  </si>
  <si>
    <t>101w77m262990101</t>
  </si>
  <si>
    <t>Journal Posting Miscellaneous  26 OCT 26 04.45.48.860287 PM =&gt; 10109000006   BOT CLEARING   USD via FLEXCUBE 2.02608E 15</t>
  </si>
  <si>
    <t>101w77m262990078</t>
  </si>
  <si>
    <t>Journal Posting Miscellaneous  26 OCT 26 04.45.48.732959 PM =&gt; 10109000006   BOT CLEARING   USD via FLEXCUBE OT26236TZ0126338</t>
  </si>
  <si>
    <t>101w77m262990076</t>
  </si>
  <si>
    <t>Journal Posting Miscellaneous  26 OCT 26 04.45.48.723696 PM =&gt; 10109000006   BOT CLEARING   USD via FLEXCUBE HZ1K0PQLAH73D92A</t>
  </si>
  <si>
    <t>311ZEXA2629400RX</t>
  </si>
  <si>
    <t xml:space="preserve">Liquidation of Bill   26 OCT 26 02.03.35.517856 PM   311BCIU262940003   OLYMPIC PETROLEUM T LTD EAST   TANZANIA PETROLEUM DEVELOPMENT  </t>
  </si>
  <si>
    <t>101tou1262990034</t>
  </si>
  <si>
    <t>Journal Posting Miscellaneous  26 OCT 26 04.26.27.678785 PM =&gt; 10109000006   BOT CLEARING   USD via FLEXCUBE DEAL OPICS 2012292</t>
  </si>
  <si>
    <t>101w77m262990122</t>
  </si>
  <si>
    <t>Journal Posting Miscellaneous  26 OCT 26 04.45.49.050741 PM =&gt; 10109000006   BOT CLEARING   USD via FLEXCUBE OT26238TZ0126494</t>
  </si>
  <si>
    <t>101w77m262990054</t>
  </si>
  <si>
    <t>Journal Posting Miscellaneous  26 OCT 26 04.45.48.620659 PM =&gt; 10109000006   BOT CLEARING   USD via FLEXCUBE OT26233TZ0125779</t>
  </si>
  <si>
    <t>101w77m262990089</t>
  </si>
  <si>
    <t>Journal Posting Miscellaneous  26 OCT 26 04.45.48.784807 PM =&gt; 10109000006   BOT CLEARING   USD via FLEXCUBE TZAAO23626HIWUC</t>
  </si>
  <si>
    <t>427ZEXA26299000W</t>
  </si>
  <si>
    <t>CMBFA67DF12A7C</t>
  </si>
  <si>
    <t>525c3e63-c162-4e8d-8ba7-d7bb01cb8bf7</t>
  </si>
  <si>
    <t>Outgoing Funds Transfer   26 OCT 26 11.29.24.174201 AM   OBDX from BIG LIFE SAFARIS LIMITED  to SOLO ADVENTURES  025C717795000. Remark: Loan repayment</t>
  </si>
  <si>
    <t>261049F91B06</t>
  </si>
  <si>
    <t>2629918741362000</t>
  </si>
  <si>
    <t>26104E06E61C</t>
  </si>
  <si>
    <t>101w77m262990038</t>
  </si>
  <si>
    <t>Journal Posting Miscellaneous  26 OCT 26 04.45.48.537653 PM =&gt; 10109000006   BOT CLEARING   USD via FLEXCUBE TZAAO23326HMR9Q</t>
  </si>
  <si>
    <t>101w77m262990082</t>
  </si>
  <si>
    <t>Journal Posting Miscellaneous  26 OCT 26 04.45.48.751144 PM =&gt; 10109000006   BOT CLEARING   USD via FLEXCUBE RTOMICC01085992</t>
  </si>
  <si>
    <t>101w77m262990030</t>
  </si>
  <si>
    <t>Journal Posting Miscellaneous  26 OCT 26 04.45.48.457642 PM =&gt; 10109000006   BOT CLEARING   USD via FLEXCUBE TZ1OL260820025CM</t>
  </si>
  <si>
    <t>101w77m262990118</t>
  </si>
  <si>
    <t>Journal Posting Miscellaneous  26 OCT 26 04.45.49.023417 PM =&gt; 10109000006   BOT CLEARING   USD via FLEXCUBE OT26238TZ0126631</t>
  </si>
  <si>
    <t>101tz1j262990015</t>
  </si>
  <si>
    <t>Journal Posting Miscellaneous  26 OCT 26 06.16.41.624126 PM =&gt; 10109000006   BOT CLEARING   USD via FLEXCUBE RTN   DTB/1887/2026  22100FCA83C9 dd261022  Rsn INVALID ACC NO</t>
  </si>
  <si>
    <t>101w77m262990123</t>
  </si>
  <si>
    <t>Journal Posting Miscellaneous  26 OCT 26 04.45.49.057222 PM =&gt; 10109000006   BOT CLEARING   USD via FLEXCUBE TZAAO23826H0AFX</t>
  </si>
  <si>
    <t>101w77m262990007</t>
  </si>
  <si>
    <t>Journal Posting Miscellaneous  26 OCT 26 04.45.48.258288 PM =&gt; 10109000006   BOT CLEARING   USD via FLEXCUBE NJO26232CDDLJMJH</t>
  </si>
  <si>
    <t>311ZEXA26294000D</t>
  </si>
  <si>
    <t xml:space="preserve">Liquidation of Bill   26 OCT 26 02.19.15.600811 PM   311BCIU262940502   OLYMPIC PETROLEUM T LTD EAST   TANZANIA PETROLEUM DEVELOPMENT  </t>
  </si>
  <si>
    <t>101al57262990001</t>
  </si>
  <si>
    <t>Trade Finance Single Journal Posting 26 OCT 26 02.51.53.244563 PM =&gt; 10109000006   BOT CLEARING   USD via FLEXCUBE R/E FUND WRONGLY DEBITED TWICE TO SETTLE LC NO. 201LC02261050001 BILL NO. CRDBTZ26ELCR771H</t>
  </si>
  <si>
    <t>101w77m262990033</t>
  </si>
  <si>
    <t>Journal Posting Miscellaneous  26 OCT 26 04.45.48.492701 PM =&gt; 10109000006   BOT CLEARING   USD via FLEXCUBE P260821C00001907</t>
  </si>
  <si>
    <t>101w77m262990079</t>
  </si>
  <si>
    <t>Journal Posting Miscellaneous  26 OCT 26 04.45.48.737524 PM =&gt; 10109000006   BOT CLEARING   USD via FLEXCUBE GEPGTR 7190580</t>
  </si>
  <si>
    <t>101w77m262990050</t>
  </si>
  <si>
    <t>Journal Posting Miscellaneous  26 OCT 26 04.45.48.600443 PM =&gt; 10109000006   BOT CLEARING   USD via FLEXCUBE TZ1OL260821025AA</t>
  </si>
  <si>
    <t>101w77m262990003</t>
  </si>
  <si>
    <t>Journal Posting Miscellaneous  26 OCT 26 04.45.48.238105 PM =&gt; 10109000006   BOT CLEARING   USD via FLEXCUBE TZAAO23226HREUF</t>
  </si>
  <si>
    <t>101w77m262990043</t>
  </si>
  <si>
    <t>Journal Posting Miscellaneous  26 OCT 26 04.45.48.568106 PM =&gt; 10109000006   BOT CLEARING   USD via FLEXCUBE TZAAO23326HWMT3</t>
  </si>
  <si>
    <t>101w77m262990029</t>
  </si>
  <si>
    <t>Journal Posting Miscellaneous  26 OCT 26 04.45.48.447296 PM =&gt; 10109000006   BOT CLEARING   USD via FLEXCUBE CMRTG26232002271</t>
  </si>
  <si>
    <t>101w77m262990113</t>
  </si>
  <si>
    <t>Journal Posting Miscellaneous  26 OCT 26 04.45.48.985085 PM =&gt; 10109000006   BOT CLEARING   USD via FLEXCUBE OT26236TZ0126297</t>
  </si>
  <si>
    <t>101w77m262990099</t>
  </si>
  <si>
    <t>Journal Posting Miscellaneous  26 OCT 26 04.45.48.847311 PM =&gt; 10109000006   BOT CLEARING   USD via FLEXCUBE TZ1OL260824028PY</t>
  </si>
  <si>
    <t>101w77m262990055</t>
  </si>
  <si>
    <t>Journal Posting Miscellaneous  26 OCT 26 04.45.48.625840 PM =&gt; 10109000006   BOT CLEARING   USD via FLEXCUBE OT26233TZ0125505</t>
  </si>
  <si>
    <t>101w77m262990077</t>
  </si>
  <si>
    <t>Journal Posting Miscellaneous  26 OCT 26 04.45.48.728253 PM =&gt; 10109000006   BOT CLEARING   USD via FLEXCUBE TZ1OL260824028M0</t>
  </si>
  <si>
    <t>101w77m262990102</t>
  </si>
  <si>
    <t>Journal Posting Miscellaneous  26 OCT 26 04.45.48.867870 PM =&gt; 10109000006   BOT CLEARING   USD via FLEXCUBE TZ1OL260824028SA</t>
  </si>
  <si>
    <t>101w77m262990068</t>
  </si>
  <si>
    <t>Journal Posting Miscellaneous  26 OCT 26 04.45.48.686281 PM =&gt; 10109000006   BOT CLEARING   USD via FLEXCUBE TZAAO23626HZ9J4</t>
  </si>
  <si>
    <t>101w77m262990012</t>
  </si>
  <si>
    <t>Journal Posting Miscellaneous  26 OCT 26 04.45.48.302112 PM =&gt; 10109000006   BOT CLEARING   USD via FLEXCUBE OT26232TZ0125314</t>
  </si>
  <si>
    <t>101w77m262990037</t>
  </si>
  <si>
    <t>Journal Posting Miscellaneous  26 OCT 26 04.45.48.531106 PM =&gt; 10109000006   BOT CLEARING   USD via FLEXCUBE P260821C00002573</t>
  </si>
  <si>
    <t>101w77m262990065</t>
  </si>
  <si>
    <t>Journal Posting Miscellaneous  26 OCT 26 04.45.48.671254 PM =&gt; 10109000006   BOT CLEARING   USD via FLEXCUBE OT26236TZ0126231</t>
  </si>
  <si>
    <t>201ZEXA2628900U5</t>
  </si>
  <si>
    <t xml:space="preserve">Liquidation of Bill   26 OCT 26 01.02.15.575570 PM   201BCIU262890001   STAR OIL TANZANIA LIMITED   TANZANIA PETROLEUM DEVELOPMENT </t>
  </si>
  <si>
    <t>101tou1262990039</t>
  </si>
  <si>
    <t>Journal Posting Miscellaneous  26 OCT 26 04.26.27.884276 PM =&gt; 10109000006   BOT CLEARING   USD via FLEXCUBE DEAL NO OPICS 2012249</t>
  </si>
  <si>
    <t>101w77m262990053</t>
  </si>
  <si>
    <t>Journal Posting Miscellaneous  26 OCT 26 04.45.48.616123 PM =&gt; 10109000006   BOT CLEARING   USD via FLEXCUBE OT26233TZ0125570</t>
  </si>
  <si>
    <t>101w77m262990100</t>
  </si>
  <si>
    <t>Journal Posting Miscellaneous  26 OCT 26 04.45.48.853709 PM =&gt; 10109000006   BOT CLEARING   USD via FLEXCUBE TZAAO23626HMQD3</t>
  </si>
  <si>
    <t>101w77m262990005</t>
  </si>
  <si>
    <t>Journal Posting Miscellaneous  26 OCT 26 04.45.48.248330 PM =&gt; 10109000006   BOT CLEARING   USD via FLEXCUBE GT9374165041</t>
  </si>
  <si>
    <t>101w77m262990024</t>
  </si>
  <si>
    <t>Journal Posting Miscellaneous  26 OCT 26 04.45.48.399532 PM =&gt; 10109000006   BOT CLEARING   USD via FLEXCUBE TZ1OL260820025B1</t>
  </si>
  <si>
    <t>201ZEXA262890043</t>
  </si>
  <si>
    <t xml:space="preserve">Liquidation of Bill   26 OCT 26 01.21.35.509615 PM   201BCIU262890501   GBP TANZANIA LIMITED   TANZANIA PETROLEUM DEVELOPMENT </t>
  </si>
  <si>
    <t>101w77m262990084</t>
  </si>
  <si>
    <t>Journal Posting Miscellaneous  26 OCT 26 04.45.48.760251 PM =&gt; 10109000006   BOT CLEARING   USD via FLEXCUBE FT26236SL0LL</t>
  </si>
  <si>
    <t>101w77m262990013</t>
  </si>
  <si>
    <t>Journal Posting Miscellaneous  26 OCT 26 04.45.48.310691 PM =&gt; 10109000006   BOT CLEARING   USD via FLEXCUBE 8385213</t>
  </si>
  <si>
    <t>311ZEXA2629500SE</t>
  </si>
  <si>
    <t xml:space="preserve">Liquidation of Bill   26 OCT 26 02.28.25.278181 PM   311BCIU262950001   OLYMPIC PETROLEUM T LTD EAST   TANZANIA PETROLEUM DEVELOPMENT  </t>
  </si>
  <si>
    <t>101w77m262990097</t>
  </si>
  <si>
    <t>Journal Posting Miscellaneous  26 OCT 26 04.45.48.833150 PM =&gt; 10109000006   BOT CLEARING   USD via FLEXCUBE TZAAO23426H3DAH</t>
  </si>
  <si>
    <t>101w77m262990074</t>
  </si>
  <si>
    <t>Journal Posting Miscellaneous  26 OCT 26 04.45.48.714280 PM =&gt; 10109000006   BOT CLEARING   USD via FLEXCUBE TZ1RTGF262362643</t>
  </si>
  <si>
    <t>101w77m262990121</t>
  </si>
  <si>
    <t>Journal Posting Miscellaneous  26 OCT 26 04.45.49.044391 PM =&gt; 10109000006   BOT CLEARING   USD via FLEXCUBE TZ1OL260824028U9</t>
  </si>
  <si>
    <t>101w77m262990044</t>
  </si>
  <si>
    <t>Journal Posting Miscellaneous  26 OCT 26 04.45.48.572708 PM =&gt; 10109000006   BOT CLEARING   USD via FLEXCUBE TZAAO23326H6SEM</t>
  </si>
  <si>
    <t>101w77m262990027</t>
  </si>
  <si>
    <t>Journal Posting Miscellaneous  26 OCT 26 04.45.48.428440 PM =&gt; 10109000006   BOT CLEARING   USD via FLEXCUBE TZAAO23226HTC2I</t>
  </si>
  <si>
    <t>101w77m262990045</t>
  </si>
  <si>
    <t>Journal Posting Miscellaneous  26 OCT 26 04.45.48.577613 PM =&gt; 10109000006   BOT CLEARING   USD via FLEXCUBE TZ1OL260821025GR</t>
  </si>
  <si>
    <t>101w77m262990116</t>
  </si>
  <si>
    <t>Journal Posting Miscellaneous  26 OCT 26 04.45.49.009076 PM =&gt; 10109000006   BOT CLEARING   USD via FLEXCUBE OT26238TZ0126501</t>
  </si>
  <si>
    <t>101w77m262990008</t>
  </si>
  <si>
    <t>Journal Posting Miscellaneous  26 OCT 26 04.45.48.265124 PM =&gt; 10109000006   BOT CLEARING   USD via FLEXCUBE OT26232TZ0125188</t>
  </si>
  <si>
    <t>201ZEXA2628800VO</t>
  </si>
  <si>
    <t xml:space="preserve">Liquidation of Bill   26 OCT 26 04.34.24.831753 PM   201BCIU262880001   ACER PETROLEUM ( T ) LTD   TANZANIA PETROLEUM DEVELOPMENT </t>
  </si>
  <si>
    <t>101w77m262990090</t>
  </si>
  <si>
    <t>Journal Posting Miscellaneous  26 OCT 26 04.45.48.790698 PM =&gt; 10109000006   BOT CLEARING   USD via FLEXCUBE TZ1OL2608240284P</t>
  </si>
  <si>
    <t>101w77m262990111</t>
  </si>
  <si>
    <t>Journal Posting Miscellaneous  26 OCT 26 04.45.48.957446 PM =&gt; 10109000006   BOT CLEARING   USD via FLEXCUBE OT26238TZ0126498</t>
  </si>
  <si>
    <t>101w77m262990060</t>
  </si>
  <si>
    <t>Journal Posting Miscellaneous  26 OCT 26 04.45.48.648807 PM =&gt; 10109000006   BOT CLEARING   USD via FLEXCUBE CMRTG26234001550</t>
  </si>
  <si>
    <t>101w77m262990064</t>
  </si>
  <si>
    <t>Journal Posting Miscellaneous  26 OCT 26 04.45.48.666717 PM =&gt; 10109000006   BOT CLEARING   USD via FLEXCUBE TZ1OL260824027WM</t>
  </si>
  <si>
    <t>101w77m262990087</t>
  </si>
  <si>
    <t>Journal Posting Miscellaneous  26 OCT 26 04.45.48.774484 PM =&gt; 10109000006   BOT CLEARING   USD via FLEXCUBE TZ1OL260824028LX</t>
  </si>
  <si>
    <t>101w77m262990014</t>
  </si>
  <si>
    <t>Journal Posting Miscellaneous  26 OCT 26 04.45.48.318780 PM =&gt; 10109000006   BOT CLEARING   USD via FLEXCUBE P260820C00000779</t>
  </si>
  <si>
    <t>101w77m262990016</t>
  </si>
  <si>
    <t>Journal Posting Miscellaneous  26 OCT 26 04.45.48.333951 PM =&gt; 10109000006   BOT CLEARING   USD via FLEXCUBE CMRTG26232000338</t>
  </si>
  <si>
    <t>101w77m262990098</t>
  </si>
  <si>
    <t>Journal Posting Miscellaneous  26 OCT 26 04.45.48.840584 PM =&gt; 10109000006   BOT CLEARING   USD via FLEXCUBE TZAAO23626HIW5G</t>
  </si>
  <si>
    <t>BK1kbfn262990002</t>
  </si>
  <si>
    <t>Funds Transfer  26 OCT 26 04.42.20.039135 PM =&gt; 10109000006   BOT CLEARING   USD via UPLOAD NET SETTLEMENT FOR USD DD 26.10.2026</t>
  </si>
  <si>
    <t>101w77m262990025</t>
  </si>
  <si>
    <t>Journal Posting Miscellaneous  26 OCT 26 04.45.48.410299 PM =&gt; 10109000006   BOT CLEARING   USD via FLEXCUBE 583223</t>
  </si>
  <si>
    <t>101w77m262990009</t>
  </si>
  <si>
    <t>Journal Posting Miscellaneous  26 OCT 26 04.45.48.276051 PM =&gt; 10109000006   BOT CLEARING   USD via FLEXCUBE TZ1OL260820025CL</t>
  </si>
  <si>
    <t>101w77m262990120</t>
  </si>
  <si>
    <t>Journal Posting Miscellaneous  26 OCT 26 04.45.49.037433 PM =&gt; 10109000006   BOT CLEARING   USD via FLEXCUBE CMRTG26238002011</t>
  </si>
  <si>
    <t>101w77m262990052</t>
  </si>
  <si>
    <t>Journal Posting Miscellaneous  26 OCT 26 04.45.48.611386 PM =&gt; 10109000006   BOT CLEARING   USD via FLEXCUBE OT26233TZ0125554</t>
  </si>
  <si>
    <t>101w77m262990032</t>
  </si>
  <si>
    <t>Journal Posting Miscellaneous  26 OCT 26 04.45.48.479264 PM =&gt; 10109000006   BOT CLEARING   USD via FLEXCUBE OT26233TZ0125809</t>
  </si>
  <si>
    <t>101w77m262990048</t>
  </si>
  <si>
    <t>Journal Posting Miscellaneous  26 OCT 26 04.45.48.591202 PM =&gt; 10109000006   BOT CLEARING   USD via FLEXCUBE OT26233TZ0125592</t>
  </si>
  <si>
    <t>101w77m262990040</t>
  </si>
  <si>
    <t>Journal Posting Miscellaneous  26 OCT 26 04.45.48.550499 PM =&gt; 10109000006   BOT CLEARING   USD via FLEXCUBE TZAAO23326H01UD</t>
  </si>
  <si>
    <t>101w77m262990057</t>
  </si>
  <si>
    <t>Journal Posting Miscellaneous  26 OCT 26 04.45.48.635038 PM =&gt; 10109000006   BOT CLEARING   USD via FLEXCUBE OT26233TZ0125513</t>
  </si>
  <si>
    <t>101w77m262990107</t>
  </si>
  <si>
    <t>Journal Posting Miscellaneous  26 OCT 26 04.45.48.922392 PM =&gt; 10109000006   BOT CLEARING   USD via FLEXCUBE P260826C00001949</t>
  </si>
  <si>
    <t>101w77m262990020</t>
  </si>
  <si>
    <t>Journal Posting Miscellaneous  26 OCT 26 04.45.48.364008 PM =&gt; 10109000006   BOT CLEARING   USD via FLEXCUBE OT26232TZ0125411</t>
  </si>
  <si>
    <t>101w77m262990002</t>
  </si>
  <si>
    <t>Journal Posting Miscellaneous  26 OCT 26 04.45.48.233096 PM =&gt; 10109000006   BOT CLEARING   USD via FLEXCUBE 173IBT2608114238JEMDMF</t>
  </si>
  <si>
    <t>101w77m262990069</t>
  </si>
  <si>
    <t>Journal Posting Miscellaneous  26 OCT 26 04.45.48.691062 PM =&gt; 10109000006   BOT CLEARING   USD via FLEXCUBE TZAAO23626HZ9J4</t>
  </si>
  <si>
    <t>101w77m262990061</t>
  </si>
  <si>
    <t>Journal Posting Miscellaneous  26 OCT 26 04.45.48.653321 PM =&gt; 10109000006   BOT CLEARING   USD via FLEXCUBE TZ1OL2608220259D</t>
  </si>
  <si>
    <t>311ZEXA2629400RZ</t>
  </si>
  <si>
    <t xml:space="preserve">Liquidation of Bill   26 OCT 26 02.14.15.616187 PM   311BCIU262940004   OLYMPIC PETROLEUM T LTD EAST   TANZANIA PETROLEUM DEVELOPMENT  </t>
  </si>
  <si>
    <t>101w77m262990031</t>
  </si>
  <si>
    <t>Journal Posting Miscellaneous  26 OCT 26 04.45.48.467537 PM =&gt; 10109000006   BOT CLEARING   USD via FLEXCUBE OT26233TZ0125510</t>
  </si>
  <si>
    <t>101w77m262990056</t>
  </si>
  <si>
    <t>Journal Posting Miscellaneous  26 OCT 26 04.45.48.630540 PM =&gt; 10109000006   BOT CLEARING   USD via FLEXCUBE P260821C00000935</t>
  </si>
  <si>
    <t>101w77m262990106</t>
  </si>
  <si>
    <t>Journal Posting Miscellaneous  26 OCT 26 04.45.48.911486 PM =&gt; 10109000006   BOT CLEARING   USD via FLEXCUBE TZAAO23826H6NOR</t>
  </si>
  <si>
    <t>101w77m262990046</t>
  </si>
  <si>
    <t>Journal Posting Miscellaneous  26 OCT 26 04.45.48.582260 PM =&gt; 10109000006   BOT CLEARING   USD via FLEXCUBE P260821C00000603</t>
  </si>
  <si>
    <t>101w77m262990021</t>
  </si>
  <si>
    <t>Journal Posting Miscellaneous  26 OCT 26 04.45.48.373058 PM =&gt; 10109000006   BOT CLEARING   USD via FLEXCUBE OT26232TZ0125139</t>
  </si>
  <si>
    <t>101w77m262990124</t>
  </si>
  <si>
    <t>Journal Posting Miscellaneous  26 OCT 26 04.45.49.064014 PM =&gt; 10109000006   BOT CLEARING   USD via FLEXCUBE S470059</t>
  </si>
  <si>
    <t>101ZEXA2629903WC</t>
  </si>
  <si>
    <t>2621301947590067-20261024-A1</t>
  </si>
  <si>
    <t xml:space="preserve">Return of Inbound Payment   26 OCT 26 04.48.12.038292 PM   UNAPPLIED DC04 MISSING BENEFICIARY REFERENCE OR CONTROL NUMBER   261026T000614664 </t>
  </si>
  <si>
    <t>101w77m262990093</t>
  </si>
  <si>
    <t>Journal Posting Miscellaneous  26 OCT 26 04.45.48.808246 PM =&gt; 10109000006   BOT CLEARING   USD via FLEXCUBE OT26234TZ0125913</t>
  </si>
  <si>
    <t>101w77m262990051</t>
  </si>
  <si>
    <t>Journal Posting Miscellaneous  26 OCT 26 04.45.48.605842 PM =&gt; 10109000006   BOT CLEARING   USD via FLEXCUBE OT26233TZ0125593</t>
  </si>
  <si>
    <t>101w77m262990049</t>
  </si>
  <si>
    <t>Journal Posting Miscellaneous  26 OCT 26 04.45.48.595614 PM =&gt; 10109000006   BOT CLEARING   USD via FLEXCUBE TZ1OL260821025A4</t>
  </si>
  <si>
    <t>516SBRN2629900RT</t>
  </si>
  <si>
    <t>GWX103602364611</t>
  </si>
  <si>
    <t>3020def2-f4f4-47aa-9673-7f509f8a59ad</t>
  </si>
  <si>
    <t>Outgoing Funds Transfer   26 OCT 26 12.24.24.025403 PM   SYBRIN from MKUYUS MAWESE AND FISHERY EXPORT  to AIRLINES DIRECT LIMITED  30020722002. Remark: MALIPO YA CARGO</t>
  </si>
  <si>
    <t>2629915044662000</t>
  </si>
  <si>
    <t>2629915744662000</t>
  </si>
  <si>
    <t>101w77m262990115</t>
  </si>
  <si>
    <t>Journal Posting Miscellaneous  26 OCT 26 04.45.49.001584 PM =&gt; 10109000006   BOT CLEARING   USD via FLEXCUBE TZAAO23826HLDWB</t>
  </si>
  <si>
    <t>101w77m262990073</t>
  </si>
  <si>
    <t>Journal Posting Miscellaneous  26 OCT 26 04.45.48.709559 PM =&gt; 10109000006   BOT CLEARING   USD via FLEXCUBE FT26236HRT97</t>
  </si>
  <si>
    <t>239ZEXA26288000O</t>
  </si>
  <si>
    <t xml:space="preserve">Liquidation of Bill   26 OCT 26 12.51.35.553223 PM   239BCIU262880001   TOTALENERGIES MARKETING TANZANIA LIMITED   TANZANIA PETROLEUM DEVELOPMENT  </t>
  </si>
  <si>
    <t>101w77m262990081</t>
  </si>
  <si>
    <t>Journal Posting Miscellaneous  26 OCT 26 04.45.48.746618 PM =&gt; 10109000006   BOT CLEARING   USD via FLEXCUBE TZ1OL260824028PZ</t>
  </si>
  <si>
    <t>101w77m262990001</t>
  </si>
  <si>
    <t>Journal Posting Miscellaneous  26 OCT 26 04.45.48.225157 PM =&gt; 10109000006   BOT CLEARING   USD via FLEXCUBE TZAAO22926HAG4C</t>
  </si>
  <si>
    <t>101tz1j262990013</t>
  </si>
  <si>
    <t>Journal Posting Miscellaneous  26 OCT 26 06.16.42.006173 PM =&gt; 10109000006   BOT CLEARING   USD via FLEXCUBE RTN   GWX103587167828  2629608038153000 dd261024  Rsn INVALID ACC NO</t>
  </si>
  <si>
    <t>101w77m262990096</t>
  </si>
  <si>
    <t>Journal Posting Miscellaneous  26 OCT 26 04.45.48.824306 PM =&gt; 10109000006   BOT CLEARING   USD via FLEXCUBE TZAAO23626H3FIX</t>
  </si>
  <si>
    <t>101tou1262990001</t>
  </si>
  <si>
    <t>Journal Posting Miscellaneous  26 OCT 26 04.26.26.462398 PM =&gt; 10109000006   BOT CLEARING   USD via FLEXCUBE REF FXDEAL18082026NT</t>
  </si>
  <si>
    <t>101w77m262990019</t>
  </si>
  <si>
    <t>Journal Posting Miscellaneous  26 OCT 26 04.45.48.355671 PM =&gt; 10109000006   BOT CLEARING   USD via FLEXCUBE P260820C00001929</t>
  </si>
  <si>
    <t>101w77m262990058</t>
  </si>
  <si>
    <t>Journal Posting Miscellaneous  26 OCT 26 04.45.48.639756 PM =&gt; 10109000006   BOT CLEARING   USD via FLEXCUBE OT26233TZ0125594</t>
  </si>
  <si>
    <t>101tou1262990030</t>
  </si>
  <si>
    <t>Journal Posting Miscellaneous  26 OCT 26 04.26.27.518542 PM =&gt; 10109000006   BOT CLEARING   USD via FLEXCUBE DEAL OPICS 2012227</t>
  </si>
  <si>
    <t>101w77m262990067</t>
  </si>
  <si>
    <t>Journal Posting Miscellaneous  26 OCT 26 04.45.48.680309 PM =&gt; 10109000006   BOT CLEARING   USD via FLEXCUBE TZAAO23626HJ0TF</t>
  </si>
  <si>
    <t>101w77m262990109</t>
  </si>
  <si>
    <t>Journal Posting Miscellaneous  26 OCT 26 04.45.48.938976 PM =&gt; 10109000006   BOT CLEARING   USD via FLEXCUBE OT26238TZ0126541</t>
  </si>
  <si>
    <t>101w77m262990015</t>
  </si>
  <si>
    <t>Journal Posting Miscellaneous  26 OCT 26 04.45.48.326419 PM =&gt; 10109000006   BOT CLEARING   USD via FLEXCUBE P260820C00001691</t>
  </si>
  <si>
    <t>101w77m262990028</t>
  </si>
  <si>
    <t>Journal Posting Miscellaneous  26 OCT 26 04.45.48.437007 PM =&gt; 10109000006   BOT CLEARING   USD via FLEXCUBE OT26232TZ0125410</t>
  </si>
  <si>
    <t>101w77m262990004</t>
  </si>
  <si>
    <t>Journal Posting Miscellaneous  26 OCT 26 04.45.48.243352 PM =&gt; 10109000006   BOT CLEARING   USD via FLEXCUBE P260820C00000553</t>
  </si>
  <si>
    <t>101w77m262990092</t>
  </si>
  <si>
    <t>Journal Posting Miscellaneous  26 OCT 26 04.45.48.802089 PM =&gt; 10109000006   BOT CLEARING   USD via FLEXCUBE TZAAO23626HNIH8</t>
  </si>
  <si>
    <t>101w77m262990117</t>
  </si>
  <si>
    <t>Journal Posting Miscellaneous  26 OCT 26 04.45.49.016232 PM =&gt; 10109000006   BOT CLEARING   USD via FLEXCUBE OT26238TZ0126637</t>
  </si>
  <si>
    <t>101w77m262990088</t>
  </si>
  <si>
    <t>Journal Posting Miscellaneous  26 OCT 26 04.45.48.779448 PM =&gt; 10109000006   BOT CLEARING   USD via FLEXCUBE TZ1OL260824028PV</t>
  </si>
  <si>
    <t>101w77m262990023</t>
  </si>
  <si>
    <t>Journal Posting Miscellaneous  26 OCT 26 04.45.48.390197 PM =&gt; 10109000006   BOT CLEARING   USD via FLEXCUBE Reverse 0093529225FC</t>
  </si>
  <si>
    <t>101w77m262990018</t>
  </si>
  <si>
    <t>Journal Posting Miscellaneous  26 OCT 26 04.45.48.347649 PM =&gt; 10109000006   BOT CLEARING   USD via FLEXCUBE P260820C00000843</t>
  </si>
  <si>
    <t>101w77m262990011</t>
  </si>
  <si>
    <t>Journal Posting Miscellaneous  26 OCT 26 04.45.48.294795 PM =&gt; 10109000006   BOT CLEARING   USD via FLEXCUBE TZAAO23226HZG5G</t>
  </si>
  <si>
    <t>101w77m262990036</t>
  </si>
  <si>
    <t>Journal Posting Miscellaneous  26 OCT 26 04.45.48.524048 PM =&gt; 10109000006   BOT CLEARING   USD via FLEXCUBE TZ1OL260821025A9</t>
  </si>
  <si>
    <t>427ZEXA2629900S8</t>
  </si>
  <si>
    <t xml:space="preserve">Return of Inbound Payment   26 OCT 26 11.32.32.758552 AM   /AC01/ACCOUNT DOES NOT EXISTS   CMBFA67DF12A7C </t>
  </si>
  <si>
    <t>101w77m262990042</t>
  </si>
  <si>
    <t>Journal Posting Miscellaneous  26 OCT 26 04.45.48.562874 PM =&gt; 10109000006   BOT CLEARING   USD via FLEXCUBE OT26233TZ0125807</t>
  </si>
  <si>
    <t>311ZEXA2629300SS</t>
  </si>
  <si>
    <t xml:space="preserve">Liquidation of Bill   26 OCT 26 10.44.15.793439 AM   311BCIS262931002   OLYMPIC PETROLEUM T LTD EAST   TANZANIA PETROLEUM DEVELOPMENT  </t>
  </si>
  <si>
    <t>101w77m262990017</t>
  </si>
  <si>
    <t>Journal Posting Miscellaneous  26 OCT 26 04.45.48.341202 PM =&gt; 10109000006   BOT CLEARING   USD via FLEXCUBE TZ1OL260820025UH</t>
  </si>
  <si>
    <t>101w77m262990119</t>
  </si>
  <si>
    <t>Journal Posting Miscellaneous  26 OCT 26 04.45.49.030392 PM =&gt; 10109000006   BOT CLEARING   USD via FLEXCUBE OT26238TZ0126496</t>
  </si>
  <si>
    <t>101w77m262990095</t>
  </si>
  <si>
    <t>Journal Posting Miscellaneous  26 OCT 26 04.45.48.819123 PM =&gt; 10109000006   BOT CLEARING   USD via FLEXCUBE TZAAO23626H6UK1</t>
  </si>
  <si>
    <t>101w77m262990103</t>
  </si>
  <si>
    <t>Journal Posting Miscellaneous  26 OCT 26 04.45.48.875659 PM =&gt; 10109000006   BOT CLEARING   USD via FLEXCUBE CMRTG26238002141</t>
  </si>
  <si>
    <t>101w77m262990108</t>
  </si>
  <si>
    <t>Journal Posting Miscellaneous  26 OCT 26 04.45.48.930683 PM =&gt; 10109000006   BOT CLEARING   USD via FLEXCUBE TZAAO23826H9RYA</t>
  </si>
  <si>
    <t>101w77m262990026</t>
  </si>
  <si>
    <t>Journal Posting Miscellaneous  26 OCT 26 04.45.48.420317 PM =&gt; 10109000006   BOT CLEARING   USD via FLEXCUBE P260820C00001693</t>
  </si>
  <si>
    <t>101w77m262990104</t>
  </si>
  <si>
    <t>Journal Posting Miscellaneous  26 OCT 26 04.45.48.883204 PM =&gt; 10109000006   BOT CLEARING   USD via FLEXCUBE TZ1OL260826025R1</t>
  </si>
  <si>
    <t>101w77m262990080</t>
  </si>
  <si>
    <t>Journal Posting Miscellaneous  26 OCT 26 04.45.48.742135 PM =&gt; 10109000006   BOT CLEARING   USD via FLEXCUBE TZ1OL260824028QL</t>
  </si>
  <si>
    <t>101o047262990001</t>
  </si>
  <si>
    <t>OPICS 26 OCT 26 05.29.54.302533 PM =&gt; 10109000006   BOT CLEARING   USD via OPICS 2012322    EXIM</t>
  </si>
  <si>
    <t>101w77m262990094</t>
  </si>
  <si>
    <t>Journal Posting Miscellaneous  26 OCT 26 04.45.48.814030 PM =&gt; 10109000006   BOT CLEARING   USD via FLEXCUBE TZ1OL260824028SH</t>
  </si>
  <si>
    <t>101w77m262990034</t>
  </si>
  <si>
    <t>Journal Posting Miscellaneous  26 OCT 26 04.45.48.503041 PM =&gt; 10109000006   BOT CLEARING   USD via FLEXCUBE TZAAO23326HIOFI</t>
  </si>
  <si>
    <t>101w77m262990071</t>
  </si>
  <si>
    <t>Journal Posting Miscellaneous  26 OCT 26 04.45.48.700363 PM =&gt; 10109000006   BOT CLEARING   USD via FLEXCUBE HZ1K0PQIGE0EFBAF</t>
  </si>
  <si>
    <t>101w77m262990035</t>
  </si>
  <si>
    <t>Journal Posting Miscellaneous  26 OCT 26 04.45.48.515295 PM =&gt; 10109000006   BOT CLEARING   USD via FLEXCUBE OT26233TZ0125808</t>
  </si>
  <si>
    <t>101w77m262990105</t>
  </si>
  <si>
    <t>Journal Posting Miscellaneous  26 OCT 26 04.45.48.901462 PM =&gt; 10109000006   BOT CLEARING   USD via FLEXCUBE OT26238TZ0126393</t>
  </si>
  <si>
    <t>101w77m262990110</t>
  </si>
  <si>
    <t>Journal Posting Miscellaneous  26 OCT 26 04.45.48.949115 PM =&gt; 10109000006   BOT CLEARING   USD via FLEXCUBE OT26238TZ0126495</t>
  </si>
  <si>
    <t>101w77m262990041</t>
  </si>
  <si>
    <t>Journal Posting Miscellaneous  26 OCT 26 04.45.48.556755 PM =&gt; 10109000006   BOT CLEARING   USD via FLEXCUBE TZ1OL260821025A2</t>
  </si>
  <si>
    <t>101tou1262990028</t>
  </si>
  <si>
    <t>Journal Posting Miscellaneous  26 OCT 26 04.26.27.440213 PM =&gt; 10109000006   BOT CLEARING   USD via FLEXCUBE DEAL OPICS 2012228</t>
  </si>
  <si>
    <t>201ZEXA26288001M</t>
  </si>
  <si>
    <t xml:space="preserve">Liquidation of Bill   26 OCT 26 04.35.44.799560 PM   201BCIU262880002   GAPCO TANZANIA LIMITED   TANZANIA PETROLEUM DEVELOPMENT </t>
  </si>
  <si>
    <t>101w77m262990075</t>
  </si>
  <si>
    <t>Journal Posting Miscellaneous  26 OCT 26 04.45.48.719144 PM =&gt; 10109000006   BOT CLEARING   USD via FLEXCUBE TZAAO23626H5I19</t>
  </si>
  <si>
    <t>101w77m262990063</t>
  </si>
  <si>
    <t>Journal Posting Miscellaneous  26 OCT 26 04.45.48.662302 PM =&gt; 10109000006   BOT CLEARING   USD via FLEXCUBE TZAAO23626HWTCD</t>
  </si>
  <si>
    <t>101w77m262990112</t>
  </si>
  <si>
    <t>Journal Posting Miscellaneous  26 OCT 26 04.45.48.964748 PM =&gt; 10109000006   BOT CLEARING   USD via FLEXCUBE OT26238TZ0126499</t>
  </si>
  <si>
    <t>101w77m262990047</t>
  </si>
  <si>
    <t>Journal Posting Miscellaneous  26 OCT 26 04.45.48.586760 PM =&gt; 10109000006   BOT CLEARING   USD via FLEXCUBE TZAAO23326HY4UQ</t>
  </si>
  <si>
    <t>101w77m262990039</t>
  </si>
  <si>
    <t>Journal Posting Miscellaneous  26 OCT 26 04.45.48.544032 PM =&gt; 10109000006   BOT CLEARING   USD via FLEXCUBE OT26233TZ0125873</t>
  </si>
  <si>
    <t>101w77m262990072</t>
  </si>
  <si>
    <t>Journal Posting Miscellaneous  26 OCT 26 04.45.48.705048 PM =&gt; 10109000006   BOT CLEARING   USD via FLEXCUBE RTOMICC01086063</t>
  </si>
  <si>
    <t>101w77m262990059</t>
  </si>
  <si>
    <t>Journal Posting Miscellaneous  26 OCT 26 04.45.48.644302 PM =&gt; 10109000006   BOT CLEARING   USD via FLEXCUBE TRX2608220899007</t>
  </si>
  <si>
    <t>101w77m262990091</t>
  </si>
  <si>
    <t>Journal Posting Miscellaneous  26 OCT 26 04.45.48.796311 PM =&gt; 10109000006   BOT CLEARING   USD via FLEXCUBE OT26236TZ0126357</t>
  </si>
  <si>
    <t>101w77m262990062</t>
  </si>
  <si>
    <t>Journal Posting Miscellaneous  26 OCT 26 04.45.48.657780 PM =&gt; 10109000006   BOT CLEARING   USD via FLEXCUBE P260822C00000713</t>
  </si>
  <si>
    <t>101w77m262990114</t>
  </si>
  <si>
    <t>Journal Posting Miscellaneous  26 OCT 26 04.45.48.994156 PM =&gt; 10109000006   BOT CLEARING   USD via FLEXCUBE GEPGTR 7190604</t>
  </si>
  <si>
    <t>101w77m262990083</t>
  </si>
  <si>
    <t>Journal Posting Miscellaneous  26 OCT 26 04.45.48.755674 PM =&gt; 10109000006   BOT CLEARING   USD via FLEXCUBE TZAAO23626HVADS</t>
  </si>
  <si>
    <t>101o033262990001</t>
  </si>
  <si>
    <t>OPICS 26 OCT 26 05.29.45.162078 PM =&gt; 10109000006   BOT CLEARING   USD via OPICS 2012323    EXIM</t>
  </si>
  <si>
    <t>101w77m262990022</t>
  </si>
  <si>
    <t>Journal Posting Miscellaneous  26 OCT 26 04.45.48.381513 PM =&gt; 10109000006   BOT CLEARING   USD via FLEXCUBE P260820C00000775</t>
  </si>
  <si>
    <t>2026/10/27</t>
  </si>
  <si>
    <t>231ZEXA2629907PU</t>
  </si>
  <si>
    <t>2710A458025D</t>
  </si>
  <si>
    <t>fdf042ca-9c60-4666-93ec-8d83d0dbe365</t>
  </si>
  <si>
    <t>Outgoing Funds Transfer   27 OCT 26 12.23.45.414221 AM   OBDX from OLD EXPLORER LTD  to TANGANYIKA WILDERNESS CAMPS LTD  014105008045. Remark: WB169905 and WB169740</t>
  </si>
  <si>
    <t>231ZEXA2629906YF</t>
  </si>
  <si>
    <t>27108476016D</t>
  </si>
  <si>
    <t>cfe0199c-cd1f-46b3-8c53-dee1d047dc73</t>
  </si>
  <si>
    <t>Outgoing Funds Transfer   27 OCT 26 12.42.15.781526 AM   OBDX from OLD EXPLORER LTD  to FOXTREKS LTD  0250460378900. Remark: WB12873</t>
  </si>
  <si>
    <t>231ZEXA2629907PT</t>
  </si>
  <si>
    <t>2710A5721ECF</t>
  </si>
  <si>
    <t>1620721b-98ac-405b-9d27-a4b1d0fdf33d</t>
  </si>
  <si>
    <t>Outgoing Funds Transfer   27 OCT 26 12.18.31.870963 AM   OBDX from OLD EXPLORER LTD  to FLIGHTLINK LTD  0146445002. Remark: tickets purchase</t>
  </si>
  <si>
    <t>2025/11/18</t>
  </si>
  <si>
    <t>225IBOT253200007</t>
  </si>
  <si>
    <t>NMIBTZTZ EQBLTZTZ</t>
  </si>
  <si>
    <t>2026/01/18</t>
  </si>
  <si>
    <t>E0PC7UK8</t>
  </si>
  <si>
    <t>NMIBTZTZ CORUTZTZXXX</t>
  </si>
  <si>
    <t>2026/01/21</t>
  </si>
  <si>
    <t>MNRPES5J</t>
  </si>
  <si>
    <t>NMIBTZTZ SBICTZTXXXX</t>
  </si>
  <si>
    <t>2026/02/04</t>
  </si>
  <si>
    <t>505FTOC2534200A3</t>
  </si>
  <si>
    <t>2026/04/13</t>
  </si>
  <si>
    <t>K66COFUV</t>
  </si>
  <si>
    <t>OT26099TZ0190617</t>
  </si>
  <si>
    <t>8FGM3TM7</t>
  </si>
  <si>
    <t>CMRTG26100000115</t>
  </si>
  <si>
    <t>NMIBTZTZ DTKETZTZXXX</t>
  </si>
  <si>
    <t>IBJORDLF</t>
  </si>
  <si>
    <t>OT26103TZ0191198</t>
  </si>
  <si>
    <t>H8LKA2IL</t>
  </si>
  <si>
    <t>R90RTGO260990211</t>
  </si>
  <si>
    <t>NMIBTZTZ ECOCTZTZXXX</t>
  </si>
  <si>
    <t>DILD1VL4</t>
  </si>
  <si>
    <t>CMRTG26100000116</t>
  </si>
  <si>
    <t>IAAIHCPK</t>
  </si>
  <si>
    <t>GEPGTR-7188187</t>
  </si>
  <si>
    <t>NMIBTZTZ BARCTZTZXXX</t>
  </si>
  <si>
    <t>2026/04/14</t>
  </si>
  <si>
    <t>FC340UK1</t>
  </si>
  <si>
    <t>TZAAO09926HN1O4</t>
  </si>
  <si>
    <t>G9AAR3TQ</t>
  </si>
  <si>
    <t>GEPGTR-7188219</t>
  </si>
  <si>
    <t>2026/06/17</t>
  </si>
  <si>
    <t>USJD1CFK</t>
  </si>
  <si>
    <t>P260422C00000761</t>
  </si>
  <si>
    <t>NMIBTZTZ EXTNTZTZXXX</t>
  </si>
  <si>
    <t>202 FIT</t>
  </si>
  <si>
    <t>2026/07/09</t>
  </si>
  <si>
    <t>FT261916Q5GP</t>
  </si>
  <si>
    <t>NMIBTZTZXXX NMIBTZTZ</t>
  </si>
  <si>
    <t>103 SCCT</t>
  </si>
  <si>
    <t>2026/07/15</t>
  </si>
  <si>
    <t>000000569202</t>
  </si>
  <si>
    <t>bf322df7-d45d-4fe7-8ca0-c5764d23895</t>
  </si>
  <si>
    <t>IMBLTZTZ NMIBTZTZ</t>
  </si>
  <si>
    <t>2026/07/16</t>
  </si>
  <si>
    <t>HZ1JTLLJKT7C7B27</t>
  </si>
  <si>
    <t>2026/07/17</t>
  </si>
  <si>
    <t>CMRTG26198000138</t>
  </si>
  <si>
    <t>Notprovided</t>
  </si>
  <si>
    <t>2026/07/23</t>
  </si>
  <si>
    <t>CMRTG26203003580</t>
  </si>
  <si>
    <t>R90RTGO262050285</t>
  </si>
  <si>
    <t>2026/07/27</t>
  </si>
  <si>
    <t>P260727C00000503</t>
  </si>
  <si>
    <t>248IBOT262080518</t>
  </si>
  <si>
    <t>TISS/RTN/26/949</t>
  </si>
  <si>
    <t>506 RETURN</t>
  </si>
  <si>
    <t>TISS/RTN/26/953</t>
  </si>
  <si>
    <t>2026/07/28</t>
  </si>
  <si>
    <t>CMBE07671F06A1</t>
  </si>
  <si>
    <t>P260728C00002987</t>
  </si>
  <si>
    <t>428IBOT262090588</t>
  </si>
  <si>
    <t>2026/07/30</t>
  </si>
  <si>
    <t>P260730C00002473</t>
  </si>
  <si>
    <t>428FTOU262110004</t>
  </si>
  <si>
    <t>HZ1JUPFNIT7E487F</t>
  </si>
  <si>
    <t>HZ1JUPFNH5M1DA88</t>
  </si>
  <si>
    <t>2026/07/31</t>
  </si>
  <si>
    <t>P260731C00005171</t>
  </si>
  <si>
    <t>STPT00731110109</t>
  </si>
  <si>
    <t>TAPBTZTZ NMIBTZTZ</t>
  </si>
  <si>
    <t>P260731C00005367</t>
  </si>
  <si>
    <t>P260730C00003081</t>
  </si>
  <si>
    <t>P260730C00003069</t>
  </si>
  <si>
    <t>P260731C00005105</t>
  </si>
  <si>
    <t>P260730C00003083</t>
  </si>
  <si>
    <t>P260731C00005363</t>
  </si>
  <si>
    <t>P260730C00003079</t>
  </si>
  <si>
    <t>213IBT2608014653UTKFON</t>
  </si>
  <si>
    <t>TZAAO21326HCCSP</t>
  </si>
  <si>
    <t>9d7da900-3c56-48e0-a806-40abd4eb72a</t>
  </si>
  <si>
    <t>BARCTZTZXXX NMIBTZTZ</t>
  </si>
  <si>
    <t>HZ1JUUKIGHK4BA67</t>
  </si>
  <si>
    <t>GEPGTR-7190200</t>
  </si>
  <si>
    <t>P260801C00001859</t>
  </si>
  <si>
    <t>HZ1JUU0DDVIB1A05</t>
  </si>
  <si>
    <t>R90RTGO262150008</t>
  </si>
  <si>
    <t>213IBT2608012319SNDEDA</t>
  </si>
  <si>
    <t>HZ1JUU3Q6EV1CA5E</t>
  </si>
  <si>
    <t>HZ1JUUKDBLH9FAAA</t>
  </si>
  <si>
    <t>TZAAO21326HU4H0</t>
  </si>
  <si>
    <t>8e4ca4bb-050d-4e05-821a-97c077ed036</t>
  </si>
  <si>
    <t>2026/08/02</t>
  </si>
  <si>
    <t>HZ1JV1EAJ8TAF97E</t>
  </si>
  <si>
    <t>DTB3054473617</t>
  </si>
  <si>
    <t>000000576868</t>
  </si>
  <si>
    <t>07f256ec-2474-4f89-afa6-41443741400</t>
  </si>
  <si>
    <t>260803T000562797</t>
  </si>
  <si>
    <t>17857715292495</t>
  </si>
  <si>
    <t>TZAAO21526H7GP3</t>
  </si>
  <si>
    <t>F/TZA/DRT/AAO/20260803/00036807970</t>
  </si>
  <si>
    <t>OT26215TZ0120890</t>
  </si>
  <si>
    <t>CMRTG26215002149</t>
  </si>
  <si>
    <t>TZAAO21526HDQQ4</t>
  </si>
  <si>
    <t>F/TZA/DRT/AAO/20260803/00036807964</t>
  </si>
  <si>
    <t>OT26215TZ0120938</t>
  </si>
  <si>
    <t>P260803C00001637</t>
  </si>
  <si>
    <t>S397149</t>
  </si>
  <si>
    <t>205RTG260803011</t>
  </si>
  <si>
    <t>3602ITT11/06437</t>
  </si>
  <si>
    <t>NOT PROVIDED</t>
  </si>
  <si>
    <t>BKIDTZTZ NMIBTZTZ</t>
  </si>
  <si>
    <t>TZAAO21526HD9LE</t>
  </si>
  <si>
    <t>F/TZA/DRT/AAO/20260803/00036807991</t>
  </si>
  <si>
    <t>S389900</t>
  </si>
  <si>
    <t>S397147</t>
  </si>
  <si>
    <t>010DTOL262150509</t>
  </si>
  <si>
    <t>TZAAO21526HI54N</t>
  </si>
  <si>
    <t>F/TZA/DRT/AAO/20260803/00036807990</t>
  </si>
  <si>
    <t>010DTOL262150508</t>
  </si>
  <si>
    <t>OT26215TZ0120805</t>
  </si>
  <si>
    <t>FT26215DJZK3</t>
  </si>
  <si>
    <t>TZ1RTGF262150339</t>
  </si>
  <si>
    <t>NOTPROVIDED</t>
  </si>
  <si>
    <t>OT26215TZ0120806</t>
  </si>
  <si>
    <t>TZAAO21526H96QV</t>
  </si>
  <si>
    <t>F/TZA/DRT/AAO/20260803/00036807993</t>
  </si>
  <si>
    <t>TZAAO21526HSSVK</t>
  </si>
  <si>
    <t>F/TZA/DRT/AAO/20260803/00036807960</t>
  </si>
  <si>
    <t>TZAAO21526H3O3I</t>
  </si>
  <si>
    <t>F/TZA/DRT/AAO/20260803/00036807959</t>
  </si>
  <si>
    <t>TZAAO21526HDW28</t>
  </si>
  <si>
    <t>88901a1b-c1a2-47a4-a111-e6d0f42f693</t>
  </si>
  <si>
    <t>TZ1FTRT262150023</t>
  </si>
  <si>
    <t>S397148</t>
  </si>
  <si>
    <t>OT26215TZ0120720</t>
  </si>
  <si>
    <t>OT26215TZ0120807</t>
  </si>
  <si>
    <t>OT26215TZ0120804</t>
  </si>
  <si>
    <t>OT26215TZ0120920</t>
  </si>
  <si>
    <t>001CBPL262160026</t>
  </si>
  <si>
    <t>FT26216TL07F</t>
  </si>
  <si>
    <t>TZAAO21626HYLFD</t>
  </si>
  <si>
    <t>20fb1bde-eaba-42e4-8b67-300f62f79fb</t>
  </si>
  <si>
    <t>TZAAO21626HBWQ4</t>
  </si>
  <si>
    <t>F/TZA/DRT/AAO/20260804/00036834093</t>
  </si>
  <si>
    <t>TZAAO21626HNQY7</t>
  </si>
  <si>
    <t>b2d04c3a-f59b-4e68-83ce-34bddef6328</t>
  </si>
  <si>
    <t>001CBPL262160025</t>
  </si>
  <si>
    <t>GEPGTR-7190234</t>
  </si>
  <si>
    <t>001CBPL262160024</t>
  </si>
  <si>
    <t>TZAAO21626HIHI6</t>
  </si>
  <si>
    <t>467b1240-74f6-4342-bcfa-ed3f137bf97</t>
  </si>
  <si>
    <t>TZAAO21626H5ELU</t>
  </si>
  <si>
    <t>F/TZA/DRT/AAO/20260804/00036834089</t>
  </si>
  <si>
    <t>TZ1OL260804025K5</t>
  </si>
  <si>
    <t>PICRJETZ01A42460</t>
  </si>
  <si>
    <t>GEPGTR-7190233</t>
  </si>
  <si>
    <t>GEPGTR-7190240</t>
  </si>
  <si>
    <t>TZAAO21626HV2S8</t>
  </si>
  <si>
    <t>f42b8528-7d35-4ac9-9207-719165edc4f</t>
  </si>
  <si>
    <t>CM4CE789B1CDC4</t>
  </si>
  <si>
    <t>OT26216TZ0121129</t>
  </si>
  <si>
    <t>OT26216TZ0121247</t>
  </si>
  <si>
    <t>TZAAO21626H5WCN</t>
  </si>
  <si>
    <t>2c8d57d5-c420-49d4-8827-06e5862b9ea</t>
  </si>
  <si>
    <t>014TOUS040826005</t>
  </si>
  <si>
    <t>TZAAO21626HH5TE</t>
  </si>
  <si>
    <t>F/TZA/DRT/AAO/20260804/00036832711</t>
  </si>
  <si>
    <t>024COUS040826002</t>
  </si>
  <si>
    <t>001FTOL262160508</t>
  </si>
  <si>
    <t>P260804C00001545</t>
  </si>
  <si>
    <t>P260804C00001625</t>
  </si>
  <si>
    <t>TZAAO21626HRCS6</t>
  </si>
  <si>
    <t>4b6b5285-fb20-483d-afdb-2ff0488f27e</t>
  </si>
  <si>
    <t>OT26216TZ0121033</t>
  </si>
  <si>
    <t>490T260804135227</t>
  </si>
  <si>
    <t>TZAAO21626HF9UQ</t>
  </si>
  <si>
    <t>F/TZA/DRT/AAO/20260804/00036834086</t>
  </si>
  <si>
    <t>TZAAO21626HM1U3</t>
  </si>
  <si>
    <t>038dee92-af56-4510-8093-dc05d879ea0</t>
  </si>
  <si>
    <t>TZAAO21626H0B6W</t>
  </si>
  <si>
    <t>4461d7be-d7f6-423e-a15a-96e3b69a05b</t>
  </si>
  <si>
    <t>TZAAO21626H8A8Q</t>
  </si>
  <si>
    <t>F/TZA/DRT/AAO/20260804/00036834088</t>
  </si>
  <si>
    <t>P260804C00001973</t>
  </si>
  <si>
    <t>P260804C00001589</t>
  </si>
  <si>
    <t>T0104082694393</t>
  </si>
  <si>
    <t>BARBTZTZ NMIBTZTZ</t>
  </si>
  <si>
    <t>HZ1JV70DV0FA8893</t>
  </si>
  <si>
    <t>OT26216TZ0121018</t>
  </si>
  <si>
    <t>260804TA039536</t>
  </si>
  <si>
    <t>NMIBTZTZ TACHTZTZ</t>
  </si>
  <si>
    <t>701 NSI</t>
  </si>
  <si>
    <t>P260804C00002267</t>
  </si>
  <si>
    <t>TZAAO21626HQMXV</t>
  </si>
  <si>
    <t>4bf74728-5a8a-4d90-a5fe-5cda228267d</t>
  </si>
  <si>
    <t>CMRTG26216002335</t>
  </si>
  <si>
    <t>FT26213RG17N1</t>
  </si>
  <si>
    <t>CM2FF0761C2F5D</t>
  </si>
  <si>
    <t>OT26216TZ0121105</t>
  </si>
  <si>
    <t>OT26216TZ0121130</t>
  </si>
  <si>
    <t>TZAAO21726HJ218</t>
  </si>
  <si>
    <t>F/TZA/DRT/AAO/20260805/00036853959</t>
  </si>
  <si>
    <t>050871487640</t>
  </si>
  <si>
    <t>0508AEF89405</t>
  </si>
  <si>
    <t>FT26217XKNDH</t>
  </si>
  <si>
    <t>TZ1OL260805025L8</t>
  </si>
  <si>
    <t>PIMUCHZA01G76343</t>
  </si>
  <si>
    <t>050874407044</t>
  </si>
  <si>
    <t>05082D49FFAF</t>
  </si>
  <si>
    <t>TZAAO21726HAWG5</t>
  </si>
  <si>
    <t>9e12c709-1ce8-458e-b187-332b5d2606f</t>
  </si>
  <si>
    <t>173IBT2608050636VK6ZOQ</t>
  </si>
  <si>
    <t>TZ1OL260805025EJ</t>
  </si>
  <si>
    <t>PISTECTZN1A10140</t>
  </si>
  <si>
    <t>OT26217TZ0121450</t>
  </si>
  <si>
    <t>TZAAO21726H6KD9</t>
  </si>
  <si>
    <t>fadf1f4a-2355-4ba9-b57f-60a64e3b11a</t>
  </si>
  <si>
    <t>OT26217TZ0121446</t>
  </si>
  <si>
    <t>GT6644734398</t>
  </si>
  <si>
    <t>P260805C00001705</t>
  </si>
  <si>
    <t>TZAAO21726HZPWB</t>
  </si>
  <si>
    <t>45002d4a-84dd-4927-8175-8814e23878c</t>
  </si>
  <si>
    <t>OT26217TZ0121573</t>
  </si>
  <si>
    <t>TZAAO21726HDM8I</t>
  </si>
  <si>
    <t>7479197a-cd06-4372-901c-00f20f53d15</t>
  </si>
  <si>
    <t>OT26217TZ0121409</t>
  </si>
  <si>
    <t>HZ1JV908QP71FA47</t>
  </si>
  <si>
    <t>TZ1OL260805025EF</t>
  </si>
  <si>
    <t>PISTECTZN1A10142</t>
  </si>
  <si>
    <t>001CBPL262120210</t>
  </si>
  <si>
    <t>GEPGTR-7190245</t>
  </si>
  <si>
    <t>P260805C00003209</t>
  </si>
  <si>
    <t>0508BE6FD0B5</t>
  </si>
  <si>
    <t>OT26217TZ0121346</t>
  </si>
  <si>
    <t>TZAAO21726HU36Z</t>
  </si>
  <si>
    <t>F/TZA/DRT/AAO/20260805/00036854078</t>
  </si>
  <si>
    <t>P260805C00002519</t>
  </si>
  <si>
    <t>TZAAO21726HLWT0</t>
  </si>
  <si>
    <t>a61ea519-32c9-479f-903a-16ab104e625</t>
  </si>
  <si>
    <t>OT26217TZ0121408</t>
  </si>
  <si>
    <t>173IBT2608053353LAD8MY</t>
  </si>
  <si>
    <t>OT26217TZ0121525</t>
  </si>
  <si>
    <t>CMRTG26217000347</t>
  </si>
  <si>
    <t>TZAAO21726HFS9X</t>
  </si>
  <si>
    <t>F/TZA/DRT/AAO/20260805/00036852584</t>
  </si>
  <si>
    <t>050886028371</t>
  </si>
  <si>
    <t>0508173B3CC6</t>
  </si>
  <si>
    <t>050810222788</t>
  </si>
  <si>
    <t>050853AD372A</t>
  </si>
  <si>
    <t>2621615085561000</t>
  </si>
  <si>
    <t>GWX102360072566</t>
  </si>
  <si>
    <t>TRX2608051061029</t>
  </si>
  <si>
    <t>E2E2608051055156</t>
  </si>
  <si>
    <t>HZ1JV8RF7CMA5A93</t>
  </si>
  <si>
    <t>CPU/RTN/321</t>
  </si>
  <si>
    <t>OT26217TZ0121370</t>
  </si>
  <si>
    <t>050870371210</t>
  </si>
  <si>
    <t>0508B713B505</t>
  </si>
  <si>
    <t>OT26217TZ0121403</t>
  </si>
  <si>
    <t>TZAAO21726HYGM1</t>
  </si>
  <si>
    <t>F/TZA/DRT/AAO/20260805/00036852571</t>
  </si>
  <si>
    <t>TZAAO21726HFR7F</t>
  </si>
  <si>
    <t>fd41f3af-949f-4b2a-9a21-8953f213e9c</t>
  </si>
  <si>
    <t>TZ1OL260805025AS</t>
  </si>
  <si>
    <t>PINEELTZ01A31677</t>
  </si>
  <si>
    <t>TZAAO21726HFAEJ</t>
  </si>
  <si>
    <t>8bef2760-627d-4d52-84b9-a7fb8f90b66</t>
  </si>
  <si>
    <t>050847809009</t>
  </si>
  <si>
    <t>050856FC4A96</t>
  </si>
  <si>
    <t>P260805C00001519</t>
  </si>
  <si>
    <t>TZAAO21726HMQ7F</t>
  </si>
  <si>
    <t>607aecda-7382-4e5c-986f-a07470a4fbb</t>
  </si>
  <si>
    <t>260806TA039564</t>
  </si>
  <si>
    <t>TZAAO21826H7S1W</t>
  </si>
  <si>
    <t>cd676968-7c70-428a-9c00-ceeaaf5703d</t>
  </si>
  <si>
    <t>TZAAO21826H1ICG</t>
  </si>
  <si>
    <t>b752f8c3-3270-4725-a2ac-a496372f859</t>
  </si>
  <si>
    <t>P260806C00000083</t>
  </si>
  <si>
    <t>OT26218TZ0121707</t>
  </si>
  <si>
    <t>TZAAO21826HB2G6</t>
  </si>
  <si>
    <t>F/TZA/DRT/AAO/20260806/00036886816</t>
  </si>
  <si>
    <t>P260806C00000107</t>
  </si>
  <si>
    <t>060892176397</t>
  </si>
  <si>
    <t>0608DD57EC7C</t>
  </si>
  <si>
    <t>023COUS060826003</t>
  </si>
  <si>
    <t>000008366594</t>
  </si>
  <si>
    <t>0608311503E6</t>
  </si>
  <si>
    <t>060897E21394</t>
  </si>
  <si>
    <t>TZAAO21826HZW8L</t>
  </si>
  <si>
    <t>F/TZA/DRT/AAO/20260806/00036886821</t>
  </si>
  <si>
    <t>060885112781</t>
  </si>
  <si>
    <t>0608BFD46389</t>
  </si>
  <si>
    <t>NMIBTZTZ IMBLTZTZXXX</t>
  </si>
  <si>
    <t>OT26218TZ0121706</t>
  </si>
  <si>
    <t>GT5045475410</t>
  </si>
  <si>
    <t>TZAAO21826HVO4R</t>
  </si>
  <si>
    <t>ab29c12a-4eef-4e06-9cf3-3d78a837463</t>
  </si>
  <si>
    <t>OT26218TZ0121670</t>
  </si>
  <si>
    <t>TZAAO21826HTK5X</t>
  </si>
  <si>
    <t>F/TZA/DRT/AAO/20260806/00036886817</t>
  </si>
  <si>
    <t>0608770918EC</t>
  </si>
  <si>
    <t>0608E7C866CD</t>
  </si>
  <si>
    <t>TZAAO21826HN9XF</t>
  </si>
  <si>
    <t>F/TZA/DRT/AAO/20260806/00036894524</t>
  </si>
  <si>
    <t>GT2237441127</t>
  </si>
  <si>
    <t>0608D3459E19</t>
  </si>
  <si>
    <t>0608F2022B2A</t>
  </si>
  <si>
    <t>TZ1OL260806027RD</t>
  </si>
  <si>
    <t>PITBEATZ01A23164</t>
  </si>
  <si>
    <t>RTO3004262327569</t>
  </si>
  <si>
    <t>GT4434113112</t>
  </si>
  <si>
    <t>TZAAO21826HV07R</t>
  </si>
  <si>
    <t>0bf711fd-8464-467a-9a55-4404b5d468e</t>
  </si>
  <si>
    <t>OT26218TZ0121672</t>
  </si>
  <si>
    <t>FT26218XLFTN</t>
  </si>
  <si>
    <t>TZAAO21826HB2F3</t>
  </si>
  <si>
    <t>6298edcc-b59e-4e13-b90f-4665db87422</t>
  </si>
  <si>
    <t>213IBT2608062811CKVHZE</t>
  </si>
  <si>
    <t>060818265390</t>
  </si>
  <si>
    <t>06081D169430</t>
  </si>
  <si>
    <t>06085C66960F</t>
  </si>
  <si>
    <t>0608031DD4D0</t>
  </si>
  <si>
    <t>TZAAO21826HNIBU</t>
  </si>
  <si>
    <t>c8062554-9d91-47f6-b06c-422985a3f14</t>
  </si>
  <si>
    <t>TZAAO21826HEHOF</t>
  </si>
  <si>
    <t>F/TZA/DRT/AAO/20260806/00036886818</t>
  </si>
  <si>
    <t>060828348452</t>
  </si>
  <si>
    <t>06081CCF0191</t>
  </si>
  <si>
    <t>060864628283</t>
  </si>
  <si>
    <t>0608129FDE73</t>
  </si>
  <si>
    <t>NMIBTZTZ TAPBTZTZXXX</t>
  </si>
  <si>
    <t>060848831597</t>
  </si>
  <si>
    <t>0608A6AAAEAD</t>
  </si>
  <si>
    <t>0608286938E6</t>
  </si>
  <si>
    <t>0608C0D2062C</t>
  </si>
  <si>
    <t>TZAAO21826HSHGQ</t>
  </si>
  <si>
    <t>F/TZA/DRT/AAO/20260806/00036886819</t>
  </si>
  <si>
    <t>TZAAO21826HYW3A</t>
  </si>
  <si>
    <t>70f834ae-a8db-4bb1-bbb5-46580c2e37c</t>
  </si>
  <si>
    <t>OT26218TZ0121619</t>
  </si>
  <si>
    <t>TZAAO21826HG0IG</t>
  </si>
  <si>
    <t>12d56299-1997-49bb-9e96-a0e58ee1efe</t>
  </si>
  <si>
    <t>060863056295</t>
  </si>
  <si>
    <t>060882852FBF</t>
  </si>
  <si>
    <t>GT6867713621</t>
  </si>
  <si>
    <t>011COUS060826001</t>
  </si>
  <si>
    <t>000008366854</t>
  </si>
  <si>
    <t>TZAAO21826HVZDV</t>
  </si>
  <si>
    <t>8b5ff039-2bed-44ab-ba3a-52dc5783621</t>
  </si>
  <si>
    <t>TZ1OL2608060280I</t>
  </si>
  <si>
    <t>PICASPTZ01A43736</t>
  </si>
  <si>
    <t>060818990133</t>
  </si>
  <si>
    <t>060863F8F0E8</t>
  </si>
  <si>
    <t>NMIBTZTZ NLCBTZTXXXX</t>
  </si>
  <si>
    <t>OT26218TZ0121654</t>
  </si>
  <si>
    <t>000008366659</t>
  </si>
  <si>
    <t>OT26218TZ0121656</t>
  </si>
  <si>
    <t>260805T000565920</t>
  </si>
  <si>
    <t>NMIBTZTZ TANZTZTX</t>
  </si>
  <si>
    <t>204 FID</t>
  </si>
  <si>
    <t>OT26218TZ0121803</t>
  </si>
  <si>
    <t>060812905499</t>
  </si>
  <si>
    <t>06081E444909</t>
  </si>
  <si>
    <t>TZAAO21826H572U</t>
  </si>
  <si>
    <t>ec605661-c4e0-4ab8-ad34-442f9ff698b</t>
  </si>
  <si>
    <t>VIV262180DMJBMMC</t>
  </si>
  <si>
    <t>060880921223</t>
  </si>
  <si>
    <t>06082D439B59</t>
  </si>
  <si>
    <t>060853605364</t>
  </si>
  <si>
    <t>060820D6A58A</t>
  </si>
  <si>
    <t>TZAAO21826H3JRM</t>
  </si>
  <si>
    <t>d57cc31d-ae33-4847-9763-d63f7ed3d72</t>
  </si>
  <si>
    <t>TZ1OL260806027RE</t>
  </si>
  <si>
    <t>PITBEATZ01A23165</t>
  </si>
  <si>
    <t>060890478E74</t>
  </si>
  <si>
    <t>06082A2E6D66</t>
  </si>
  <si>
    <t>GT3199112592</t>
  </si>
  <si>
    <t>TZAAO21826H893K</t>
  </si>
  <si>
    <t>f47ba057-ee09-4cfc-a9c1-fd5f872fbe3</t>
  </si>
  <si>
    <t>OT26218TZ0121708</t>
  </si>
  <si>
    <t>TZAAO21826HK65O</t>
  </si>
  <si>
    <t>F/TZA/DRT/AAO/20260806/00036886815</t>
  </si>
  <si>
    <t>GT8234816271</t>
  </si>
  <si>
    <t>000TOUT262180007</t>
  </si>
  <si>
    <t>TZ1OL2608060280H</t>
  </si>
  <si>
    <t>PICASPTZ01A43732</t>
  </si>
  <si>
    <t>TZAAO21826HL7Q6</t>
  </si>
  <si>
    <t>f748c46d-52d5-4ba9-9df8-5e8f5ca4081</t>
  </si>
  <si>
    <t>P260806C00000581</t>
  </si>
  <si>
    <t>000008366765</t>
  </si>
  <si>
    <t>P260806C00000081</t>
  </si>
  <si>
    <t>260806T000566388</t>
  </si>
  <si>
    <t>HB.4/460/02F1231</t>
  </si>
  <si>
    <t>0608008D44D6</t>
  </si>
  <si>
    <t>0608217DAF3D</t>
  </si>
  <si>
    <t>260806T000566385</t>
  </si>
  <si>
    <t>TZAAO21826HYWSA</t>
  </si>
  <si>
    <t>a75a8527-163f-4ee0-9589-e09875619eb</t>
  </si>
  <si>
    <t>060851695560</t>
  </si>
  <si>
    <t>06087345FE66</t>
  </si>
  <si>
    <t>R90RTGO262180207</t>
  </si>
  <si>
    <t>TZ1OL260806027RH</t>
  </si>
  <si>
    <t>PITBEATZ01A23163</t>
  </si>
  <si>
    <t>OT26219TZ0122359</t>
  </si>
  <si>
    <t>005COUS070826005</t>
  </si>
  <si>
    <t>OT26219TZ0122360</t>
  </si>
  <si>
    <t>TZAAO21926HGFZX</t>
  </si>
  <si>
    <t>F/TZA/DRT/AAO/20260807/00036909769</t>
  </si>
  <si>
    <t>OT26219TZ0121963</t>
  </si>
  <si>
    <t>RTO3004262330802</t>
  </si>
  <si>
    <t>000008368820</t>
  </si>
  <si>
    <t>OT26219TZ0122059</t>
  </si>
  <si>
    <t>OT26219TZ0122110</t>
  </si>
  <si>
    <t>0708A1F13E4F</t>
  </si>
  <si>
    <t>0708E42E5FFB</t>
  </si>
  <si>
    <t>001FTOL262190384</t>
  </si>
  <si>
    <t>OT26219TZ0121987</t>
  </si>
  <si>
    <t>R90RTGO262190193</t>
  </si>
  <si>
    <t>024FTOD262190506</t>
  </si>
  <si>
    <t>P260807C00003641</t>
  </si>
  <si>
    <t>TOW26219LLC0JCDH</t>
  </si>
  <si>
    <t>000008368218</t>
  </si>
  <si>
    <t>OT26219TZ0122109</t>
  </si>
  <si>
    <t>VIV262180DLGKKJL</t>
  </si>
  <si>
    <t>070846707A20</t>
  </si>
  <si>
    <t>0708A77E678C</t>
  </si>
  <si>
    <t>NMIBTZTZ EQBLTZTZXXX</t>
  </si>
  <si>
    <t>R90RTGO262190243</t>
  </si>
  <si>
    <t>TZRTG-26-149001</t>
  </si>
  <si>
    <t>050821474315</t>
  </si>
  <si>
    <t>05089A39C720</t>
  </si>
  <si>
    <t>OT26219TZ0122371</t>
  </si>
  <si>
    <t>0608A946461F</t>
  </si>
  <si>
    <t>0608EDC7EC0E</t>
  </si>
  <si>
    <t>NMIBTZTZ ACTZTZTZXXX</t>
  </si>
  <si>
    <t>OT26219TZ0122357</t>
  </si>
  <si>
    <t>OT26219TZ0122052</t>
  </si>
  <si>
    <t>P260807C00002771</t>
  </si>
  <si>
    <t>FT26219B1GN1</t>
  </si>
  <si>
    <t>TZAAO21926HWOOB</t>
  </si>
  <si>
    <t>a98a96a2-2e85-43bc-8c95-fafa714a587</t>
  </si>
  <si>
    <t>TZ1RTGF262190317</t>
  </si>
  <si>
    <t>HZ1JVDDGAKM90BB4</t>
  </si>
  <si>
    <t>OT26219TZ0122108</t>
  </si>
  <si>
    <t>OT26219TZ0122111</t>
  </si>
  <si>
    <t>P260807C00001715</t>
  </si>
  <si>
    <t>P260807C00000221</t>
  </si>
  <si>
    <t>P260807C00002775</t>
  </si>
  <si>
    <t>060802458731</t>
  </si>
  <si>
    <t>0608C7AAAD5E</t>
  </si>
  <si>
    <t>OT26219TZ0121914</t>
  </si>
  <si>
    <t>TZAAO21926HO5KY</t>
  </si>
  <si>
    <t>377d0273-91dd-4618-91d6-1beff552624</t>
  </si>
  <si>
    <t>OT26219TZ0122112</t>
  </si>
  <si>
    <t>R90RTGO262190192</t>
  </si>
  <si>
    <t>070823E0F8DD</t>
  </si>
  <si>
    <t>0708B4C87739</t>
  </si>
  <si>
    <t>P260806C00003275</t>
  </si>
  <si>
    <t>R90RTGO262190242</t>
  </si>
  <si>
    <t>RTO3004262330425</t>
  </si>
  <si>
    <t>P260807C00001575</t>
  </si>
  <si>
    <t>260807TA039578</t>
  </si>
  <si>
    <t>TACHTZTZ NMIBTZTZ</t>
  </si>
  <si>
    <t>OT26219TZ0121919</t>
  </si>
  <si>
    <t>024FTOD262190502</t>
  </si>
  <si>
    <t>TZ1RTGF262190316</t>
  </si>
  <si>
    <t>OT26219TZ0122358</t>
  </si>
  <si>
    <t>0608020480E3</t>
  </si>
  <si>
    <t>06082062CD95</t>
  </si>
  <si>
    <t>NMIBTZTZ PBZATZTZXXX</t>
  </si>
  <si>
    <t>07086520CCF2</t>
  </si>
  <si>
    <t>0708BF53AEB7</t>
  </si>
  <si>
    <t>P260807C00001957</t>
  </si>
  <si>
    <t>CMRTG26219001701</t>
  </si>
  <si>
    <t>OT26219TZ0122097</t>
  </si>
  <si>
    <t>TZAAO21926HHYV4</t>
  </si>
  <si>
    <t>F/TZA/DRT/AAO/20260807/00036903926</t>
  </si>
  <si>
    <t>OT26219TZ0122021</t>
  </si>
  <si>
    <t>OT26219TZ0122090</t>
  </si>
  <si>
    <t>0708374D5258</t>
  </si>
  <si>
    <t>07087DCBFABC</t>
  </si>
  <si>
    <t>0708EFE161FE</t>
  </si>
  <si>
    <t>07085514BF7A</t>
  </si>
  <si>
    <t>07080F40E433</t>
  </si>
  <si>
    <t>0708ED94A721</t>
  </si>
  <si>
    <t>TZAAO21926H7GPD</t>
  </si>
  <si>
    <t>F/TZA/DRT/AAO/20260807/00036917669</t>
  </si>
  <si>
    <t>TZ1OL260806027RN</t>
  </si>
  <si>
    <t>PITBEATZ01A23162</t>
  </si>
  <si>
    <t>TZAAO21926HFKIE</t>
  </si>
  <si>
    <t>F/TZA/DRT/AAO/20260807/00036903925</t>
  </si>
  <si>
    <t>TZAAO21926HN3FG</t>
  </si>
  <si>
    <t>ad6932d8-6baf-4bd1-9ada-c33f197ab0f</t>
  </si>
  <si>
    <t>OT26219TZ0122096</t>
  </si>
  <si>
    <t>TZAAO21926HJAGE</t>
  </si>
  <si>
    <t>6cd9aa9d-3a58-46db-b4ba-b95049b757d</t>
  </si>
  <si>
    <t>CMRTG26219001464</t>
  </si>
  <si>
    <t>OT26219TZ0122350</t>
  </si>
  <si>
    <t>OT26219TZ0122098</t>
  </si>
  <si>
    <t>OT26219TZ0122113</t>
  </si>
  <si>
    <t>P260808C00000301</t>
  </si>
  <si>
    <t>TZAAO22026HWNKK</t>
  </si>
  <si>
    <t>09b2dfca-b512-47b1-b64a-446d57806a9</t>
  </si>
  <si>
    <t>P260808C00000359</t>
  </si>
  <si>
    <t>P260808C00000277</t>
  </si>
  <si>
    <t>260808T000569690</t>
  </si>
  <si>
    <t>HZ1JVGEQMH83CBA8</t>
  </si>
  <si>
    <t>TZ1OL260810025E4</t>
  </si>
  <si>
    <t>PIURHOTZ01A10407</t>
  </si>
  <si>
    <t>TZ1OL260810025DY</t>
  </si>
  <si>
    <t>PIURHOTZ01A10404</t>
  </si>
  <si>
    <t>OT26222TZ0122637</t>
  </si>
  <si>
    <t>RTO3004262330788</t>
  </si>
  <si>
    <t>173IBT2608085401J8M6PB</t>
  </si>
  <si>
    <t>OT26222TZ0122471</t>
  </si>
  <si>
    <t>OT26222TZ0122479</t>
  </si>
  <si>
    <t>10087345E828</t>
  </si>
  <si>
    <t>1008F01E4627</t>
  </si>
  <si>
    <t>TZ1OL260810025BB</t>
  </si>
  <si>
    <t>PICATITZ01A09928</t>
  </si>
  <si>
    <t>TZ1OL260810025BZ</t>
  </si>
  <si>
    <t>PICATITZ01A09929</t>
  </si>
  <si>
    <t>OT26222TZ0122478</t>
  </si>
  <si>
    <t>FT262228SSCX</t>
  </si>
  <si>
    <t>TZAAO22226HRQBH</t>
  </si>
  <si>
    <t>F/TZA/DRT/AAO/20260810/00036961892</t>
  </si>
  <si>
    <t>009GEPL262220012</t>
  </si>
  <si>
    <t>P260810C00001209</t>
  </si>
  <si>
    <t>TZ1OL260810025KA</t>
  </si>
  <si>
    <t>PIPITCTZ01A07267</t>
  </si>
  <si>
    <t>TZ1OL260810025MK</t>
  </si>
  <si>
    <t>991330192687</t>
  </si>
  <si>
    <t>TZAAO22226HV7GP</t>
  </si>
  <si>
    <t>c8a6d2fe-6f8c-42fa-9b94-517813dba04</t>
  </si>
  <si>
    <t>TZ1OL260810025E5</t>
  </si>
  <si>
    <t>PIURHOTZ01A10406</t>
  </si>
  <si>
    <t>TZ1OL260810025E7</t>
  </si>
  <si>
    <t>PIURHOTZ01A10405</t>
  </si>
  <si>
    <t>OT26222TZ0122472</t>
  </si>
  <si>
    <t>TZ1OL260810025MS</t>
  </si>
  <si>
    <t>991330192682</t>
  </si>
  <si>
    <t>TZAAO22226HDKPA</t>
  </si>
  <si>
    <t>ef25b23c-d0e8-4756-8876-c5d2799563d</t>
  </si>
  <si>
    <t>TZAAO22226HQ0A0</t>
  </si>
  <si>
    <t>6e909578-2111-4970-87c4-48932d498fc</t>
  </si>
  <si>
    <t>RTO3004262332442</t>
  </si>
  <si>
    <t>260810TA039594</t>
  </si>
  <si>
    <t>OT26222TZ0122473</t>
  </si>
  <si>
    <t>OT26222TZ0122481</t>
  </si>
  <si>
    <t>OT26222TZ0122469</t>
  </si>
  <si>
    <t>P260810C00001705</t>
  </si>
  <si>
    <t>OT26222TZ0122480</t>
  </si>
  <si>
    <t>OT26222TZ0122475</t>
  </si>
  <si>
    <t>TZ1OL260810025MB</t>
  </si>
  <si>
    <t>991330192753</t>
  </si>
  <si>
    <t>TZ1OL260810025ME</t>
  </si>
  <si>
    <t>991330191857</t>
  </si>
  <si>
    <t>RTO3004262330796</t>
  </si>
  <si>
    <t>TZAAO22226H3PDP</t>
  </si>
  <si>
    <t>b4c820c4-2883-40a6-9fb6-3ee096fa473</t>
  </si>
  <si>
    <t>TZ1OL26081002573</t>
  </si>
  <si>
    <t>PICATITZ01A09932</t>
  </si>
  <si>
    <t>TZ1OL260810025MI</t>
  </si>
  <si>
    <t>991330192680</t>
  </si>
  <si>
    <t>TZ1OL260810025E6</t>
  </si>
  <si>
    <t>PIURHOTZ01A10401</t>
  </si>
  <si>
    <t>TZ1OL260810025AR</t>
  </si>
  <si>
    <t>PICATITZ01A09927</t>
  </si>
  <si>
    <t>OT26222TZ0122482</t>
  </si>
  <si>
    <t>OT26222TZ0122652</t>
  </si>
  <si>
    <t>TZAAO22226HPG9P</t>
  </si>
  <si>
    <t>8a39787c-bcbf-4935-81e1-b9fc1f1dab0</t>
  </si>
  <si>
    <t>TZAAO22226H0JSY</t>
  </si>
  <si>
    <t>9597b11e-fc3e-4700-abad-dc12846d14d</t>
  </si>
  <si>
    <t>TZAAO22226HD4YC</t>
  </si>
  <si>
    <t>2705e11b-d5eb-4ab1-8a5d-3492e3ce84b</t>
  </si>
  <si>
    <t>TZ1OL260810025E2</t>
  </si>
  <si>
    <t>PIURHOTZ01A10403</t>
  </si>
  <si>
    <t>260809T000569753</t>
  </si>
  <si>
    <t>TZAAO22226HXCWB</t>
  </si>
  <si>
    <t>37bb347a-49bb-40ed-8321-f94ecdb9cff</t>
  </si>
  <si>
    <t>009GEPL262220011</t>
  </si>
  <si>
    <t>TZAAO22226HRLF0</t>
  </si>
  <si>
    <t>ab5e8e07-b1f9-4c25-8fd9-2989f991fa2</t>
  </si>
  <si>
    <t>TZAAO22226HFTRJ</t>
  </si>
  <si>
    <t>2d8554a7-7140-4826-a65f-38f96aa8e66</t>
  </si>
  <si>
    <t>HZ1JVL9602A8FA09</t>
  </si>
  <si>
    <t>TZ1OL260810025KD</t>
  </si>
  <si>
    <t>PIPITCTZ01A07266</t>
  </si>
  <si>
    <t>OT26222TZ0122483</t>
  </si>
  <si>
    <t>TZ1OL260810025E9</t>
  </si>
  <si>
    <t>PIURHOTZ01A10402</t>
  </si>
  <si>
    <t>TZ1OL260810025C6</t>
  </si>
  <si>
    <t>PICATITZ01A09930</t>
  </si>
  <si>
    <t>OT26222TZ0122474</t>
  </si>
  <si>
    <t>TZ1OL260810025MR</t>
  </si>
  <si>
    <t>991330192681</t>
  </si>
  <si>
    <t>TZAAO22226HXE9A</t>
  </si>
  <si>
    <t>8b7057ca-4b67-4453-a873-63a568c1a53</t>
  </si>
  <si>
    <t>OT26222TZ0122553</t>
  </si>
  <si>
    <t>OT26222TZ0122470</t>
  </si>
  <si>
    <t>RTOMICC01081160</t>
  </si>
  <si>
    <t>S419839</t>
  </si>
  <si>
    <t>S419840</t>
  </si>
  <si>
    <t>TZAAO22226H72DJ</t>
  </si>
  <si>
    <t>911f34b2-9240-410a-a075-27fdb7ecd32</t>
  </si>
  <si>
    <t>RTO3004262330780</t>
  </si>
  <si>
    <t>R90RTGO262220433</t>
  </si>
  <si>
    <t>TZ5IL2608100004D</t>
  </si>
  <si>
    <t>100890820385</t>
  </si>
  <si>
    <t>TZAAO22226HHJ6A</t>
  </si>
  <si>
    <t>1b0e71a9-a6ec-468c-8a7c-2d56e7b27aa</t>
  </si>
  <si>
    <t>OT26222TZ0122477</t>
  </si>
  <si>
    <t>021DTOL262230012</t>
  </si>
  <si>
    <t>RTO3012262334744</t>
  </si>
  <si>
    <t>TZ1OL260811025I8</t>
  </si>
  <si>
    <t>2000027487</t>
  </si>
  <si>
    <t>TZ5IL2608110007V</t>
  </si>
  <si>
    <t>1108D8871489</t>
  </si>
  <si>
    <t>RTOMICC01081635</t>
  </si>
  <si>
    <t>TZAAO22326HKAL1</t>
  </si>
  <si>
    <t>bf66f4ec-9255-4ec4-bffe-c0fc47997d0</t>
  </si>
  <si>
    <t>TZAAO22326HTCI2</t>
  </si>
  <si>
    <t>0d0a77c9-5e76-45a5-a514-f6d5276cf8b</t>
  </si>
  <si>
    <t>173IBT2608114238JEMDMF</t>
  </si>
  <si>
    <t>RTOMICC01081277</t>
  </si>
  <si>
    <t>TZAAO22326H6T2E</t>
  </si>
  <si>
    <t>d6fe79df-3051-4536-a102-37866c8af04</t>
  </si>
  <si>
    <t>1108390269FD</t>
  </si>
  <si>
    <t>11084E3B2C57</t>
  </si>
  <si>
    <t>OT26223TZ0122943</t>
  </si>
  <si>
    <t>CMRTG26223002946</t>
  </si>
  <si>
    <t>RTOMICC01081605</t>
  </si>
  <si>
    <t>HZ1JVOMDFKM46932</t>
  </si>
  <si>
    <t>FT262239KF24</t>
  </si>
  <si>
    <t>OT26223TZ0122716</t>
  </si>
  <si>
    <t>MWZ26223BLJMG0DC</t>
  </si>
  <si>
    <t>TZAAO22326HITXK</t>
  </si>
  <si>
    <t>91255bf6-1221-41ba-9e68-25d2b6f85be</t>
  </si>
  <si>
    <t>000008371617</t>
  </si>
  <si>
    <t>260811TA039608</t>
  </si>
  <si>
    <t>MHB0000000117467</t>
  </si>
  <si>
    <t>1008FDA4B32E</t>
  </si>
  <si>
    <t>TZ1RTGF262230698</t>
  </si>
  <si>
    <t>994840052984 SECURITY TAX M4</t>
  </si>
  <si>
    <t>TZ1RTGF262190448</t>
  </si>
  <si>
    <t>P260811C00002449</t>
  </si>
  <si>
    <t>1108BD2437E2</t>
  </si>
  <si>
    <t>HZ1JVO47EVG18BE5</t>
  </si>
  <si>
    <t>OT26223TZ0122859</t>
  </si>
  <si>
    <t>024FTOD262230008</t>
  </si>
  <si>
    <t>000008371551</t>
  </si>
  <si>
    <t>2026/08/12</t>
  </si>
  <si>
    <t>FO6J1G8</t>
  </si>
  <si>
    <t>PCT06C5C</t>
  </si>
  <si>
    <t>OT26224TZ0123196</t>
  </si>
  <si>
    <t>009GEPL262240007</t>
  </si>
  <si>
    <t>OT26224TZ0123103</t>
  </si>
  <si>
    <t>000008373038</t>
  </si>
  <si>
    <t>U04AQJ5U</t>
  </si>
  <si>
    <t>000008373492</t>
  </si>
  <si>
    <t>RTO3002262338278</t>
  </si>
  <si>
    <t>HZ1JVQ9FLEPEAA0B</t>
  </si>
  <si>
    <t>6TV4V36H</t>
  </si>
  <si>
    <t>H5F8KVI6</t>
  </si>
  <si>
    <t>260812TA039622</t>
  </si>
  <si>
    <t>OT26224TZ0123195</t>
  </si>
  <si>
    <t>TZAAO22426H3192</t>
  </si>
  <si>
    <t>F/TZA/DRT/AAO/20260812/00037027539</t>
  </si>
  <si>
    <t>CMRTG26224001526</t>
  </si>
  <si>
    <t>JEJ0FHME</t>
  </si>
  <si>
    <t>RTO3004262336818</t>
  </si>
  <si>
    <t>OT26224TZ0123201</t>
  </si>
  <si>
    <t>6OE0ESQ6</t>
  </si>
  <si>
    <t>HZ1JVQSSAB18F8B8</t>
  </si>
  <si>
    <t>P260812C00000969</t>
  </si>
  <si>
    <t>TZAAO22426HDE85</t>
  </si>
  <si>
    <t>4f099051-f5a6-41be-83a6-651096191b2</t>
  </si>
  <si>
    <t>OT26224TZ0123308</t>
  </si>
  <si>
    <t>OT26224TZ0123108</t>
  </si>
  <si>
    <t>OT26224TZ0123243</t>
  </si>
  <si>
    <t>TZAAO22426H6OOY</t>
  </si>
  <si>
    <t>0aac4bd6-d1a7-4d9c-acd8-8bcf0f12b70</t>
  </si>
  <si>
    <t>TISS/RTN/26/1054</t>
  </si>
  <si>
    <t>CMRTG26224002089</t>
  </si>
  <si>
    <t>P260812C00002189</t>
  </si>
  <si>
    <t>5B7NKNBG</t>
  </si>
  <si>
    <t>000008373887</t>
  </si>
  <si>
    <t>SJVJ2899</t>
  </si>
  <si>
    <t>MI09IF4Q</t>
  </si>
  <si>
    <t>OT26224TZ0123238</t>
  </si>
  <si>
    <t>TZAAO22426HJ9FT</t>
  </si>
  <si>
    <t>2128c44e-3d3c-438a-afad-0145e291ecc</t>
  </si>
  <si>
    <t>7M1H0C25</t>
  </si>
  <si>
    <t>P260812C00000317</t>
  </si>
  <si>
    <t>OT26224TZ0123109</t>
  </si>
  <si>
    <t>TZ1OL260812025HI</t>
  </si>
  <si>
    <t>P(U)26/08-002</t>
  </si>
  <si>
    <t>HKULSE4F</t>
  </si>
  <si>
    <t>TZAAO22426H94O6</t>
  </si>
  <si>
    <t>27175fa4-0db4-4f83-a476-0044bfc4256</t>
  </si>
  <si>
    <t>3EO81560</t>
  </si>
  <si>
    <t>TZ1OL260812025O5</t>
  </si>
  <si>
    <t>PITBEATZ01A23375</t>
  </si>
  <si>
    <t>6T438ANO</t>
  </si>
  <si>
    <t>TZAAO22426H2AZC</t>
  </si>
  <si>
    <t>b51c7eb0-9556-4e19-aa6a-9ee063d8464</t>
  </si>
  <si>
    <t>TZAAO22426HEZQQ</t>
  </si>
  <si>
    <t>519bd940-5c2c-4231-a4e2-b82d60de8a7</t>
  </si>
  <si>
    <t>OT26224TZ0123107</t>
  </si>
  <si>
    <t>CMRTG26224000069</t>
  </si>
  <si>
    <t>P260812C00001599</t>
  </si>
  <si>
    <t>NBPD3FKL</t>
  </si>
  <si>
    <t>TZ1OL2608120258E</t>
  </si>
  <si>
    <t>PICASPTZ01A43740</t>
  </si>
  <si>
    <t>P260812C00002275</t>
  </si>
  <si>
    <t>MJSBMO44</t>
  </si>
  <si>
    <t>TZAAO22426HRQNP</t>
  </si>
  <si>
    <t>9ae8dae7-6048-41d2-bfec-a391f28b857</t>
  </si>
  <si>
    <t>HZ1JVR2AU82F7816</t>
  </si>
  <si>
    <t>NJN0O2OK</t>
  </si>
  <si>
    <t>OT26224TZ0123199</t>
  </si>
  <si>
    <t>3M2CDAQ8</t>
  </si>
  <si>
    <t>GEPGTR-7190399</t>
  </si>
  <si>
    <t>CMRTG26224001040</t>
  </si>
  <si>
    <t>TZAAO22426HWOI0</t>
  </si>
  <si>
    <t>2ef790df-4668-44df-9c79-e9955c064df</t>
  </si>
  <si>
    <t>P260812C00000967</t>
  </si>
  <si>
    <t>TZ1OL260812025O7</t>
  </si>
  <si>
    <t>PITBEATZ01A23376</t>
  </si>
  <si>
    <t>HZ1JVTG8NSOBBAF4</t>
  </si>
  <si>
    <t>TZ1OL260813025KX</t>
  </si>
  <si>
    <t>PICHINTZ01A00828</t>
  </si>
  <si>
    <t>D37PE4V3</t>
  </si>
  <si>
    <t>TZAAO22526H6V68</t>
  </si>
  <si>
    <t>F/TZA/DRT/AAO/20260813/00037044467</t>
  </si>
  <si>
    <t>HJ1374L6</t>
  </si>
  <si>
    <t>HZ1JVU7BEO6ADB14</t>
  </si>
  <si>
    <t>5EIUOF2H</t>
  </si>
  <si>
    <t>TZAAO22526HA0TY</t>
  </si>
  <si>
    <t>89548a62-8021-4278-ae47-8d504c533a4</t>
  </si>
  <si>
    <t>VTTLQEQC</t>
  </si>
  <si>
    <t>HZ1JVTDVPOA74B94</t>
  </si>
  <si>
    <t>PA1F8T5N</t>
  </si>
  <si>
    <t>NMIBTZTZ SCBLTZTXXXX</t>
  </si>
  <si>
    <t>TZ1OL260813025L0</t>
  </si>
  <si>
    <t>PICHINTZ01A00822</t>
  </si>
  <si>
    <t>CMRTG26225002234</t>
  </si>
  <si>
    <t>GKLHTB76</t>
  </si>
  <si>
    <t>TZAAO22526HSO6O</t>
  </si>
  <si>
    <t>ecedd2bc-d13d-4cfe-8786-f1e29eb5d4f</t>
  </si>
  <si>
    <t>OT26225TZ0123424</t>
  </si>
  <si>
    <t>OT26225TZ0123398</t>
  </si>
  <si>
    <t>TZ1OL260813025KY</t>
  </si>
  <si>
    <t>PICHINTZ01A00826</t>
  </si>
  <si>
    <t>2TILN2JP</t>
  </si>
  <si>
    <t>GT852858</t>
  </si>
  <si>
    <t>RTN/NMB/130826</t>
  </si>
  <si>
    <t>2622206057086000</t>
  </si>
  <si>
    <t>FVMI8MSC</t>
  </si>
  <si>
    <t>GT190974</t>
  </si>
  <si>
    <t>FE2A2CRD</t>
  </si>
  <si>
    <t>000008375177</t>
  </si>
  <si>
    <t>201BRTG260813089</t>
  </si>
  <si>
    <t>URSUS4JI</t>
  </si>
  <si>
    <t>TZ1OL260813025KW</t>
  </si>
  <si>
    <t>PICHINTZ01A00827</t>
  </si>
  <si>
    <t>13089C9616B3</t>
  </si>
  <si>
    <t>130836983E21</t>
  </si>
  <si>
    <t>TZAAO22526HC7Y0</t>
  </si>
  <si>
    <t>F/TZA/DRT/AAO/20260813/00037054744</t>
  </si>
  <si>
    <t>CMRTG26225002235</t>
  </si>
  <si>
    <t>OT26225TZ0123471</t>
  </si>
  <si>
    <t>OT26225TZ0123416</t>
  </si>
  <si>
    <t>68M8MNBP</t>
  </si>
  <si>
    <t>AOIC09BA</t>
  </si>
  <si>
    <t>CMRTG26225002232</t>
  </si>
  <si>
    <t>520MGMI1</t>
  </si>
  <si>
    <t>000622026VD00070</t>
  </si>
  <si>
    <t>GEPGTR-7190419</t>
  </si>
  <si>
    <t>CKB6C9TS</t>
  </si>
  <si>
    <t>P260813C00000503</t>
  </si>
  <si>
    <t>08088D0D223E</t>
  </si>
  <si>
    <t>KRID82DV</t>
  </si>
  <si>
    <t>TZAAO22526HXKXR</t>
  </si>
  <si>
    <t>adf40a61-2d35-46aa-aa85-6bd356961c7</t>
  </si>
  <si>
    <t>T0113082695126</t>
  </si>
  <si>
    <t>UAJ5KA5</t>
  </si>
  <si>
    <t>CMRTG26225000360</t>
  </si>
  <si>
    <t>CMRTG26225002233</t>
  </si>
  <si>
    <t>OT26225TZ0123701</t>
  </si>
  <si>
    <t>P260813C00001255</t>
  </si>
  <si>
    <t>OF6HO3F9</t>
  </si>
  <si>
    <t>GT736479</t>
  </si>
  <si>
    <t>P260813C00002451</t>
  </si>
  <si>
    <t>P260813C00000669</t>
  </si>
  <si>
    <t>3HFUOKG2</t>
  </si>
  <si>
    <t>TZ1OL260813025KZ</t>
  </si>
  <si>
    <t>PICHINTZ01A00824</t>
  </si>
  <si>
    <t>RTN/NMB/130826A</t>
  </si>
  <si>
    <t>2622416050418000</t>
  </si>
  <si>
    <t>015TOUS130826004</t>
  </si>
  <si>
    <t>GT692085</t>
  </si>
  <si>
    <t>201BRTG260813091</t>
  </si>
  <si>
    <t>GT410408</t>
  </si>
  <si>
    <t>24RTQDTA</t>
  </si>
  <si>
    <t>OT26225TZ0123386</t>
  </si>
  <si>
    <t>13082ABC80B5</t>
  </si>
  <si>
    <t>13083E8DE9C0</t>
  </si>
  <si>
    <t>DH1KUG44</t>
  </si>
  <si>
    <t>NMIBTZTZ TANZTZTXXXX</t>
  </si>
  <si>
    <t>260813TA039636</t>
  </si>
  <si>
    <t>6K2QC9JB</t>
  </si>
  <si>
    <t>N7TFA4I5</t>
  </si>
  <si>
    <t>GT498364</t>
  </si>
  <si>
    <t>1JK8LITE</t>
  </si>
  <si>
    <t>000008374682</t>
  </si>
  <si>
    <t>TZ1OL260813025L1</t>
  </si>
  <si>
    <t>PICHINTZ01A00823</t>
  </si>
  <si>
    <t>TZAAO22526H2H62</t>
  </si>
  <si>
    <t>b6b0ac47-db45-473a-a7f1-bc979a43e44</t>
  </si>
  <si>
    <t>L5UHE1BM</t>
  </si>
  <si>
    <t>D2O880H4</t>
  </si>
  <si>
    <t>T49Q7395</t>
  </si>
  <si>
    <t>RTOBZNN01082696</t>
  </si>
  <si>
    <t>J8V8IALO</t>
  </si>
  <si>
    <t>CMRTG26226001400</t>
  </si>
  <si>
    <t>HZ1JVVKM29BBE808</t>
  </si>
  <si>
    <t>OT26226TZ0124046</t>
  </si>
  <si>
    <t>OT26226TZ0123778</t>
  </si>
  <si>
    <t>R90RTGO262260225</t>
  </si>
  <si>
    <t>OT26226TZ0123745</t>
  </si>
  <si>
    <t>TZRTG-26-002564</t>
  </si>
  <si>
    <t>991330193157</t>
  </si>
  <si>
    <t>140856E8535D</t>
  </si>
  <si>
    <t>1408BDCA10FERP</t>
  </si>
  <si>
    <t>TZ1OL260814025ZI</t>
  </si>
  <si>
    <t>PISTECTZN1A10240</t>
  </si>
  <si>
    <t>GT7509762363</t>
  </si>
  <si>
    <t>TZ1OL260814025JP</t>
  </si>
  <si>
    <t>PIPITCTZ01A07291</t>
  </si>
  <si>
    <t>TZ1RTGF262260856</t>
  </si>
  <si>
    <t>R90RTGO262260223</t>
  </si>
  <si>
    <t>000008377562</t>
  </si>
  <si>
    <t>1408C2938566</t>
  </si>
  <si>
    <t>14088CB25F40</t>
  </si>
  <si>
    <t>P260814C00002839</t>
  </si>
  <si>
    <t>B2M8C6A2</t>
  </si>
  <si>
    <t>TZ1OL260814025ZJ</t>
  </si>
  <si>
    <t>PISTECTZN1A10236</t>
  </si>
  <si>
    <t>P260814C00002461</t>
  </si>
  <si>
    <t>TZ1OL260814025ZB</t>
  </si>
  <si>
    <t>PISTECTZN1A10235</t>
  </si>
  <si>
    <t>OT26226TZ0123805</t>
  </si>
  <si>
    <t>VIV26226KCGGFKBL</t>
  </si>
  <si>
    <t>P260814C00002855</t>
  </si>
  <si>
    <t>TZAAO22626HEV7P</t>
  </si>
  <si>
    <t>172c44cc-b5c0-4520-8f88-06cc22846e3</t>
  </si>
  <si>
    <t>OT26226TZ0123950</t>
  </si>
  <si>
    <t>OT26226TZ0123781</t>
  </si>
  <si>
    <t>OT26226TZ0123747</t>
  </si>
  <si>
    <t>RTOMICC01083238</t>
  </si>
  <si>
    <t>GEPGTR-7190430</t>
  </si>
  <si>
    <t>P260814C00003147</t>
  </si>
  <si>
    <t>OT26226TZ0123782</t>
  </si>
  <si>
    <t>OT26226TZ0124087</t>
  </si>
  <si>
    <t>015FTOD262250004</t>
  </si>
  <si>
    <t>P260814C00001893</t>
  </si>
  <si>
    <t>140843F3F856</t>
  </si>
  <si>
    <t>TRX2608141397452</t>
  </si>
  <si>
    <t>E2E2608141399212</t>
  </si>
  <si>
    <t>OT26226TZ0123852</t>
  </si>
  <si>
    <t>KJ0OKATQ</t>
  </si>
  <si>
    <t>P260814C00001169</t>
  </si>
  <si>
    <t>P260814C00003059</t>
  </si>
  <si>
    <t>OT26226TZ0123746</t>
  </si>
  <si>
    <t>TZ1RTGF262260857</t>
  </si>
  <si>
    <t>OT26226TZ0123726</t>
  </si>
  <si>
    <t>TZ1OL260814025ZH</t>
  </si>
  <si>
    <t>PISTECTZN1A10237</t>
  </si>
  <si>
    <t>OT26226TZ0123777</t>
  </si>
  <si>
    <t>TZAAO22626HDK0O</t>
  </si>
  <si>
    <t>061b321c-7d70-4658-88a1-0f9232ee0ea</t>
  </si>
  <si>
    <t>P260814C00000899</t>
  </si>
  <si>
    <t>OT26226TZ0123780</t>
  </si>
  <si>
    <t>OT26226TZ0123776</t>
  </si>
  <si>
    <t>P260814C00003047</t>
  </si>
  <si>
    <t>260814TA039651</t>
  </si>
  <si>
    <t>OT26226TZ0123739</t>
  </si>
  <si>
    <t>TZ1RTGF262260183</t>
  </si>
  <si>
    <t>P260814C00002455</t>
  </si>
  <si>
    <t>63LVQCBU</t>
  </si>
  <si>
    <t>TZAAO22626HRFTE</t>
  </si>
  <si>
    <t>26dada0a-c193-4f43-8741-409553f3709</t>
  </si>
  <si>
    <t>R90RTGO262260228</t>
  </si>
  <si>
    <t>GEPGTR-7190433</t>
  </si>
  <si>
    <t>R90RTGO262260117</t>
  </si>
  <si>
    <t>TZAAO22626H75HO</t>
  </si>
  <si>
    <t>0db2c6c1-29ba-4284-8bb6-b5025681b5a</t>
  </si>
  <si>
    <t>CMRTG26226002970</t>
  </si>
  <si>
    <t>P260814C00003057</t>
  </si>
  <si>
    <t>TZAAO22626HARUL</t>
  </si>
  <si>
    <t>bd450a7d-5bac-4904-a322-9c8654c0cab</t>
  </si>
  <si>
    <t>MOQA11R3</t>
  </si>
  <si>
    <t>CMRTG26226002968</t>
  </si>
  <si>
    <t>TZ1OL260814025ZD</t>
  </si>
  <si>
    <t>PISTECTZN1A10241</t>
  </si>
  <si>
    <t>OT26226TZ0123779</t>
  </si>
  <si>
    <t>OT26226TZ0123851</t>
  </si>
  <si>
    <t>OT26226TZ0124086</t>
  </si>
  <si>
    <t>P260814C00003053</t>
  </si>
  <si>
    <t>R90RTGO262260226</t>
  </si>
  <si>
    <t>HZ1K001SSND7BB2C</t>
  </si>
  <si>
    <t>BMOOD3A3</t>
  </si>
  <si>
    <t>P260814C00002847</t>
  </si>
  <si>
    <t>P260814C00000353</t>
  </si>
  <si>
    <t>P260814C00000903</t>
  </si>
  <si>
    <t>OT26226TZ0123985</t>
  </si>
  <si>
    <t>173IBT2608141618SREZHR</t>
  </si>
  <si>
    <t>TZ1OL260814025Z8</t>
  </si>
  <si>
    <t>PISTECTZN1A10238</t>
  </si>
  <si>
    <t>HU0BMP5U</t>
  </si>
  <si>
    <t>OT26226TZ0124123</t>
  </si>
  <si>
    <t>OT26226TZ0123750</t>
  </si>
  <si>
    <t>P260814C00000901</t>
  </si>
  <si>
    <t>OT26226TZ0123723</t>
  </si>
  <si>
    <t>TZAAO22626H635P</t>
  </si>
  <si>
    <t>F/TZA/DRT/AAO/20260814/00037086333</t>
  </si>
  <si>
    <t>TZ1OL260814025HH</t>
  </si>
  <si>
    <t>PINEELTZ01A31814</t>
  </si>
  <si>
    <t>GEPGTR-7190431</t>
  </si>
  <si>
    <t>1HJTMK9O</t>
  </si>
  <si>
    <t>OT26226TZ0123921</t>
  </si>
  <si>
    <t>R90RTGO262260227</t>
  </si>
  <si>
    <t>R90RTGO262260224</t>
  </si>
  <si>
    <t>DA1H1VCD</t>
  </si>
  <si>
    <t>150891FA4545</t>
  </si>
  <si>
    <t>1508103C3D8FRP</t>
  </si>
  <si>
    <t>5QR50BJ9</t>
  </si>
  <si>
    <t>1508D50ACB00</t>
  </si>
  <si>
    <t>150894D14E95</t>
  </si>
  <si>
    <t>L1IKJI1V</t>
  </si>
  <si>
    <t>NMIBTZTZ AZANTZTZXXX</t>
  </si>
  <si>
    <t>6P41H327</t>
  </si>
  <si>
    <t>DTB/1477/2026</t>
  </si>
  <si>
    <t>2622624071787000</t>
  </si>
  <si>
    <t>HZ1K02HV1II009F7</t>
  </si>
  <si>
    <t>260815TA039665</t>
  </si>
  <si>
    <t>CMRTG26227003525</t>
  </si>
  <si>
    <t>H1SL83A9</t>
  </si>
  <si>
    <t>TZAAO22926HUO3O</t>
  </si>
  <si>
    <t>24d0ad37-270a-45c9-8e06-e2504d157b5</t>
  </si>
  <si>
    <t>HZ1K07UD2DK38907</t>
  </si>
  <si>
    <t>TZAAO22926HRE4K</t>
  </si>
  <si>
    <t>5ef8586b-2d37-4d5d-8aed-6eb35550943</t>
  </si>
  <si>
    <t>TZAAO22926HAG4C</t>
  </si>
  <si>
    <t>284d9d57-f992-4b31-a7a5-22e21a8908e</t>
  </si>
  <si>
    <t>TZAAO22926HZY9T</t>
  </si>
  <si>
    <t>90885113-e924-423c-b1e1-27f3d8d3103</t>
  </si>
  <si>
    <t>311LC04261670001</t>
  </si>
  <si>
    <t>72EBCE4D</t>
  </si>
  <si>
    <t>CMRTG26229001460</t>
  </si>
  <si>
    <t>P260817C00002159</t>
  </si>
  <si>
    <t>P260817C00000215</t>
  </si>
  <si>
    <t>TZAAO22926HWB5I</t>
  </si>
  <si>
    <t>facd03b3-a380-4d00-ae9f-84e09bf8e90</t>
  </si>
  <si>
    <t>P260817C00002251</t>
  </si>
  <si>
    <t>TZAAO22926H9PK3</t>
  </si>
  <si>
    <t>2632984f-0e2c-463a-b2e6-3defdbc8ebd</t>
  </si>
  <si>
    <t>GEPGTR-7190455</t>
  </si>
  <si>
    <t>TZ1RTGF262290674</t>
  </si>
  <si>
    <t>P260817C00002247</t>
  </si>
  <si>
    <t>000008379530</t>
  </si>
  <si>
    <t>TZAAO22926HERO7</t>
  </si>
  <si>
    <t>1e3ca598-b4bc-4966-b443-01c97ebd9da</t>
  </si>
  <si>
    <t>P260817C00001637</t>
  </si>
  <si>
    <t>HZ1K070AIU3FCAF4</t>
  </si>
  <si>
    <t>TZAAO22926HC311</t>
  </si>
  <si>
    <t>33481a72-74d6-4f43-bd41-4c891be2a09</t>
  </si>
  <si>
    <t>TZAAO22926HMC37</t>
  </si>
  <si>
    <t>2a977c3a-0fb3-4d3c-a8f6-8a8880eabf2</t>
  </si>
  <si>
    <t>TZAAO22926HP071</t>
  </si>
  <si>
    <t>09787d06-6b55-4532-ad30-c83b0d7a6a3</t>
  </si>
  <si>
    <t>TZAAO22926HF72V</t>
  </si>
  <si>
    <t>f441f565-d250-4882-822b-700ec20774f</t>
  </si>
  <si>
    <t>TZ1RTGF262290412</t>
  </si>
  <si>
    <t>TZAAO22926HBTSV</t>
  </si>
  <si>
    <t>2ab33764-d9c9-4d31-878b-2b30f310a9a</t>
  </si>
  <si>
    <t>TZAAO22926HN5U2</t>
  </si>
  <si>
    <t>676ef5ad-2561-4cc8-8317-06743ebba5c</t>
  </si>
  <si>
    <t>OT26229TZ0124328</t>
  </si>
  <si>
    <t>TZAAO22926HBJM7</t>
  </si>
  <si>
    <t>95c8384f-37ee-4499-96cc-e12750f08e0</t>
  </si>
  <si>
    <t>GEPGTR-7190452</t>
  </si>
  <si>
    <t>TZAAO22926HD0XG</t>
  </si>
  <si>
    <t>0ecb3a0c-4bcd-492f-a8ac-3c96635739f</t>
  </si>
  <si>
    <t>TZAAO22926H6R97</t>
  </si>
  <si>
    <t>8d4398dd-2010-4ec8-92c9-8dde6d0c48c</t>
  </si>
  <si>
    <t>TZAAO22926HW5RW</t>
  </si>
  <si>
    <t>2999e902-d5a9-4d05-948d-f47f5de7301</t>
  </si>
  <si>
    <t>GEPGTR-7190456</t>
  </si>
  <si>
    <t>P260817C00001937</t>
  </si>
  <si>
    <t>TZAAO22926H2DPQ</t>
  </si>
  <si>
    <t>0be41134-aabd-4523-9a0e-69479828eb0</t>
  </si>
  <si>
    <t>1708B1010F7F</t>
  </si>
  <si>
    <t>1708C1782B01</t>
  </si>
  <si>
    <t>OT26229TZ0124282</t>
  </si>
  <si>
    <t>GEPGTR-7190454</t>
  </si>
  <si>
    <t>TZAAO22926H1256</t>
  </si>
  <si>
    <t>8065fc46-6407-4231-94b7-50b579ea08c</t>
  </si>
  <si>
    <t>TZAAO22926HIBX9</t>
  </si>
  <si>
    <t>44155334-49a2-4baf-9e5f-d3296f10857</t>
  </si>
  <si>
    <t>TZ1RTGF262290102</t>
  </si>
  <si>
    <t>GEPGTR-7190457</t>
  </si>
  <si>
    <t>TZAAO22926H3JVA</t>
  </si>
  <si>
    <t>a182b4e4-487c-4a25-b563-ce02ec68052</t>
  </si>
  <si>
    <t>GEPGTR-7190453</t>
  </si>
  <si>
    <t>OT26227TZ0124141</t>
  </si>
  <si>
    <t>TZAAO22926HA54F</t>
  </si>
  <si>
    <t>fb7c0314-eb61-4e7d-9996-96071614dab</t>
  </si>
  <si>
    <t>TZAAO22926HF3TO</t>
  </si>
  <si>
    <t>bfc9dd49-3443-477d-bc8b-531b2570ad1</t>
  </si>
  <si>
    <t>TZAAO22926HKEHW</t>
  </si>
  <si>
    <t>13287162-5951-414d-a2b5-8bba267949c</t>
  </si>
  <si>
    <t>GEPGTR-7190464</t>
  </si>
  <si>
    <t>TZAAO22926HHV49</t>
  </si>
  <si>
    <t>a5e019a6-9105-48b8-9b11-0dcef5fa0c9</t>
  </si>
  <si>
    <t>TZAAO22926HK5QW</t>
  </si>
  <si>
    <t>1f1386e6-1634-498f-ad66-1035981b70b</t>
  </si>
  <si>
    <t>RTO3012262345916</t>
  </si>
  <si>
    <t>TZAAO22926HOHI6</t>
  </si>
  <si>
    <t>80b3acde-aa1c-4563-8ec4-441874a02e7</t>
  </si>
  <si>
    <t>TZAAO22926HEQ83</t>
  </si>
  <si>
    <t>849d5aa3-250c-4721-9883-29118223b68</t>
  </si>
  <si>
    <t>260817TA039673</t>
  </si>
  <si>
    <t>OT26229TZ0124327</t>
  </si>
  <si>
    <t>OT26230TZ0124823</t>
  </si>
  <si>
    <t>2623004053179000</t>
  </si>
  <si>
    <t>GWX103389158764RP</t>
  </si>
  <si>
    <t>NMIBTZTZ KCBLTZTZXXX</t>
  </si>
  <si>
    <t>P260818C00001939</t>
  </si>
  <si>
    <t>P260818C00001103</t>
  </si>
  <si>
    <t>DM5DA1B2</t>
  </si>
  <si>
    <t>OT26230TZ0124523</t>
  </si>
  <si>
    <t>OT26230TZ0124520</t>
  </si>
  <si>
    <t>000008381470</t>
  </si>
  <si>
    <t>450IBT2608182852GQNTCL</t>
  </si>
  <si>
    <t>P260818C00001977</t>
  </si>
  <si>
    <t>TZAAO23026HT41Z</t>
  </si>
  <si>
    <t>e9afddd2-96d4-4f86-b871-6f71d4ac74f</t>
  </si>
  <si>
    <t>TZ1OL260818025OD</t>
  </si>
  <si>
    <t>PINEELTZ01A31836</t>
  </si>
  <si>
    <t>CMRTG26230001500</t>
  </si>
  <si>
    <t>5833F6SR</t>
  </si>
  <si>
    <t>NMIBTZTZ CITITZTZXXX</t>
  </si>
  <si>
    <t>TZ1OL260818025IW</t>
  </si>
  <si>
    <t>PIZHONTZ01A00640</t>
  </si>
  <si>
    <t>180824B712A5</t>
  </si>
  <si>
    <t>1808E931FCD8</t>
  </si>
  <si>
    <t>TZAAO23026HEWHP</t>
  </si>
  <si>
    <t>277f514b-98cb-40d6-b2c9-f8c3a6cf12a</t>
  </si>
  <si>
    <t>GEPGTR-7190476</t>
  </si>
  <si>
    <t>R90RTGO262290092</t>
  </si>
  <si>
    <t>213IBT2608185718ZQQNM6</t>
  </si>
  <si>
    <t>OT26230TZ0124515</t>
  </si>
  <si>
    <t>OT26230TZ0124527</t>
  </si>
  <si>
    <t>OT26230TZ0124524</t>
  </si>
  <si>
    <t>TZ1OL260818025A8</t>
  </si>
  <si>
    <t>NMB Bank</t>
  </si>
  <si>
    <t>P260818C00001971</t>
  </si>
  <si>
    <t>OT26230TZ0124519</t>
  </si>
  <si>
    <t>000008381695</t>
  </si>
  <si>
    <t>M36G5NN0</t>
  </si>
  <si>
    <t>TUCMP18L</t>
  </si>
  <si>
    <t>OT26230TZ0124517</t>
  </si>
  <si>
    <t>RTO3004262346666</t>
  </si>
  <si>
    <t>18089E00A1B8</t>
  </si>
  <si>
    <t>1808D708028D</t>
  </si>
  <si>
    <t>213IBT2608180451TLCE6M</t>
  </si>
  <si>
    <t>180827B468B8</t>
  </si>
  <si>
    <t>180898CE9CDD</t>
  </si>
  <si>
    <t>450IBT2608172403H3XVKD</t>
  </si>
  <si>
    <t>1S3EK2N6</t>
  </si>
  <si>
    <t>TZ1OL260818025IU</t>
  </si>
  <si>
    <t>PIZHONTZ01A00636</t>
  </si>
  <si>
    <t>001COUS180826001</t>
  </si>
  <si>
    <t>FT262300GVNR</t>
  </si>
  <si>
    <t>011COUS170826010</t>
  </si>
  <si>
    <t>2622913043235000</t>
  </si>
  <si>
    <t>GWX103386547764RP</t>
  </si>
  <si>
    <t>OT26230TZ0124537</t>
  </si>
  <si>
    <t>2622908041663000</t>
  </si>
  <si>
    <t>GWX103386479339RP</t>
  </si>
  <si>
    <t>HGNRPPTO</t>
  </si>
  <si>
    <t>P260818C00002973</t>
  </si>
  <si>
    <t>P260818C00002583</t>
  </si>
  <si>
    <t>R77RTGS262300004</t>
  </si>
  <si>
    <t>OT26230TZ0124518</t>
  </si>
  <si>
    <t>HZ1K0AMKU05A58D0</t>
  </si>
  <si>
    <t>OT26230TZ0124526</t>
  </si>
  <si>
    <t>LH8NDGRV</t>
  </si>
  <si>
    <t>OT26230TZ0124610</t>
  </si>
  <si>
    <t>OT26230TZ0124521</t>
  </si>
  <si>
    <t>490IBT2608183457ATUDKE</t>
  </si>
  <si>
    <t>OT26230TZ0124522</t>
  </si>
  <si>
    <t>2623003066553000</t>
  </si>
  <si>
    <t>GWX103389723795</t>
  </si>
  <si>
    <t>TZAAO23026HJ7ZE</t>
  </si>
  <si>
    <t>6e6e1120-6f79-4eb8-8829-3cec471cafd</t>
  </si>
  <si>
    <t>TZ1OL260818025IX</t>
  </si>
  <si>
    <t>PIZHONTZ01A00638</t>
  </si>
  <si>
    <t>TZ1OL260818025OC</t>
  </si>
  <si>
    <t>PINEELTZ01A31838</t>
  </si>
  <si>
    <t>OT26230TZ0124544</t>
  </si>
  <si>
    <t>OT26230TZ0124528</t>
  </si>
  <si>
    <t>P260818C00001085</t>
  </si>
  <si>
    <t>OT26230TZ0124516</t>
  </si>
  <si>
    <t>0708743CE995</t>
  </si>
  <si>
    <t>FT26230FYT5K</t>
  </si>
  <si>
    <t>213IBT2608185929ECM5D7</t>
  </si>
  <si>
    <t>213IBT26081817329YSYIW</t>
  </si>
  <si>
    <t>HZ1K0A3QALND6A4B</t>
  </si>
  <si>
    <t>OT26230TZ0124525</t>
  </si>
  <si>
    <t>TZAAO23026HKZEV</t>
  </si>
  <si>
    <t>e1553cc9-1e8b-4d83-827c-8cf51bfbdf6</t>
  </si>
  <si>
    <t>TZ1RTGS262300160</t>
  </si>
  <si>
    <t>NONREF</t>
  </si>
  <si>
    <t>171IBT2608184055AMSXWG</t>
  </si>
  <si>
    <t>2622404771129000</t>
  </si>
  <si>
    <t>TFRTN/0372/26</t>
  </si>
  <si>
    <t>GEPGTR-7190487</t>
  </si>
  <si>
    <t>ddfbc6d0-9115-4958-829e-3666c620b2d3</t>
  </si>
  <si>
    <t>000008383612</t>
  </si>
  <si>
    <t>b24258b1-9f15-4e31-bb98-b430b364cbde</t>
  </si>
  <si>
    <t>GEPGTR-7190498</t>
  </si>
  <si>
    <t>77765b88-0325-47ff-93c8-2cc661147d06</t>
  </si>
  <si>
    <t>TZ1OL260819025AZ</t>
  </si>
  <si>
    <t>PIKLMATZ01A01166</t>
  </si>
  <si>
    <t>2aa1ae46-834f-4df0-9038-9d001ee81940</t>
  </si>
  <si>
    <t>RTOMICC01084722</t>
  </si>
  <si>
    <t>33dce8a1-9f86-40c3-863a-803fef9bec55</t>
  </si>
  <si>
    <t>GEPGTR-7190486</t>
  </si>
  <si>
    <t>afda2e7f-907b-451b-b4a2-b47c8c913a88</t>
  </si>
  <si>
    <t>OT26231TZ0124855</t>
  </si>
  <si>
    <t>3e78d35a-8117-49e4-989f-7c5d01025267</t>
  </si>
  <si>
    <t>TZ1OL260819025AS</t>
  </si>
  <si>
    <t>PITBEATZ01A23538</t>
  </si>
  <si>
    <t>3e071772-ae6c-47b6-be50-560e1c12c4cd</t>
  </si>
  <si>
    <t>OT26231TZ0124838</t>
  </si>
  <si>
    <t>53ad187a-17b8-4515-abeb-d47625d78749</t>
  </si>
  <si>
    <t>C1GM09ET</t>
  </si>
  <si>
    <t>03fa66c4-a898-45cb-a855-01d5a97d054b</t>
  </si>
  <si>
    <t>GD7FU5HD</t>
  </si>
  <si>
    <t>5190718d-ed8f-4d64-8c33-b979d7685251</t>
  </si>
  <si>
    <t>GEPGTR-7190512</t>
  </si>
  <si>
    <t>ea5071ce-cc14-4877-897f-04186780cb70</t>
  </si>
  <si>
    <t>OT26231TZ0124840</t>
  </si>
  <si>
    <t>4cb70433-55ed-4659-afc6-0e30bfad3f67</t>
  </si>
  <si>
    <t>GEPGTR-7190497</t>
  </si>
  <si>
    <t>601eeb5c-61de-469e-ae07-a164038c053a</t>
  </si>
  <si>
    <t>TZ1OL260819025B0</t>
  </si>
  <si>
    <t>PIKLMATZ01A01164</t>
  </si>
  <si>
    <t>a01d0ce4-600d-4f9d-8f3a-a4482f1e654d</t>
  </si>
  <si>
    <t>FT26231CZ3NR</t>
  </si>
  <si>
    <t>abaa05c9-1f7f-49de-8ed0-357285630500</t>
  </si>
  <si>
    <t>GEPGTR-7190505</t>
  </si>
  <si>
    <t>98ad64eb-3afd-4da1-a593-e6c67e77e936</t>
  </si>
  <si>
    <t>OT26231TZ0124830</t>
  </si>
  <si>
    <t>61f1a8b2-fd6d-49ff-8808-093b32d46e43</t>
  </si>
  <si>
    <t>TZ1OL260819025BW</t>
  </si>
  <si>
    <t>PICRJETZ01A42869</t>
  </si>
  <si>
    <t>c23268f5-f0fe-437d-972a-a0192c0ed9f6</t>
  </si>
  <si>
    <t>GEPGTR-7190501</t>
  </si>
  <si>
    <t>a02ca05a-891e-482a-b079-5b68f507c2eb</t>
  </si>
  <si>
    <t>TZ1OL260819025AN</t>
  </si>
  <si>
    <t>PITBEATZ01A23536</t>
  </si>
  <si>
    <t>da2a343d-a8ba-411f-aa11-ab6d3e5524af</t>
  </si>
  <si>
    <t>TZ1RTGF262310231</t>
  </si>
  <si>
    <t>d216b196-234e-4daa-8bd7-0d49c28c79a5</t>
  </si>
  <si>
    <t>TZ1OL260819025BX</t>
  </si>
  <si>
    <t>PICRJETZ01A42870</t>
  </si>
  <si>
    <t>55a7b720-9b38-4400-a507-9115a9a7f85d</t>
  </si>
  <si>
    <t>RTOMICC01084723</t>
  </si>
  <si>
    <t>160faab7-4562-423d-8ebb-9a23aa1f7370</t>
  </si>
  <si>
    <t>OT26231TZ0124841</t>
  </si>
  <si>
    <t>cf3950aa-5388-4661-9b6a-742efca6b652</t>
  </si>
  <si>
    <t>OT26231TZ0124846</t>
  </si>
  <si>
    <t>99cd3cef-1cb8-4ee3-b9de-a4cf1f48f1f4</t>
  </si>
  <si>
    <t>GEPGTR-7190507</t>
  </si>
  <si>
    <t>ba5fd3e4-7da9-483d-99dc-cbb37691d7d5</t>
  </si>
  <si>
    <t>TZ1OL260819025B1</t>
  </si>
  <si>
    <t>PIKLMATZ01A01163</t>
  </si>
  <si>
    <t>9448b50c-9d99-403e-a0c2-39dcc4ee745b</t>
  </si>
  <si>
    <t>DTB/1490/2026</t>
  </si>
  <si>
    <t>1808A65FBA19</t>
  </si>
  <si>
    <t>d651ab5a-be41-4f3a-800f-95b3a3a36e5a</t>
  </si>
  <si>
    <t>GEPGTR-7190503</t>
  </si>
  <si>
    <t>27f9d00a-ee56-434d-a0fb-80212ba7f6fd</t>
  </si>
  <si>
    <t>GEPGTR-7190508</t>
  </si>
  <si>
    <t>1d6a2664-000e-4272-beec-4cbad1a575cc</t>
  </si>
  <si>
    <t>GEPGTR-7190510</t>
  </si>
  <si>
    <t>a1635efe-e13e-4c5c-aa27-27a8a32bb612</t>
  </si>
  <si>
    <t>P260819C00001799</t>
  </si>
  <si>
    <t>190844D596A9</t>
  </si>
  <si>
    <t>96afea34-9cc9-4dea-9c24-ea87c8955c56</t>
  </si>
  <si>
    <t>000008383606</t>
  </si>
  <si>
    <t>9783db77-1900-405c-b311-afc7b410a461</t>
  </si>
  <si>
    <t>GEPGTR-7190500</t>
  </si>
  <si>
    <t>e4a4ae9c-4cf2-42d8-b75c-f2f39cdc01cb</t>
  </si>
  <si>
    <t>OT26231TZ0124842</t>
  </si>
  <si>
    <t>fc89eb0d-dc14-480c-b781-95fc6c5f3d4a</t>
  </si>
  <si>
    <t>TZ1OL260819025AM</t>
  </si>
  <si>
    <t>PITBEATZ01A23535</t>
  </si>
  <si>
    <t>e5649009-aa3a-41a9-8daa-9df225537086</t>
  </si>
  <si>
    <t>000008383724</t>
  </si>
  <si>
    <t>0f230487-ea5d-4228-9541-ec75e0428797</t>
  </si>
  <si>
    <t>FXDEAL18082026NT</t>
  </si>
  <si>
    <t>0ca7ce6b-9735-40e8-9335-b3be54650440</t>
  </si>
  <si>
    <t>173IBT2608192601KKTBL2</t>
  </si>
  <si>
    <t>e69f3e7b-915b-42eb-9e39-e210d27da7da</t>
  </si>
  <si>
    <t>OT26231TZ0124829</t>
  </si>
  <si>
    <t>20c20694-2be3-45b7-a525-807f96277166</t>
  </si>
  <si>
    <t>TZ1OL260819025AR</t>
  </si>
  <si>
    <t>PITBEATZ01A23534</t>
  </si>
  <si>
    <t>2e67055d-2034-4228-afe9-e193f88923e8</t>
  </si>
  <si>
    <t>P260819C00000237</t>
  </si>
  <si>
    <t>607ce519-2290-4495-bafd-f56af8a7d26b</t>
  </si>
  <si>
    <t>GEPGTR-7190502</t>
  </si>
  <si>
    <t>bbec364d-ed71-43c9-8850-313495aed9cd</t>
  </si>
  <si>
    <t>GEPGTR-7190499</t>
  </si>
  <si>
    <t>476afe25-1d62-49db-ac5c-1c18ab5ab123</t>
  </si>
  <si>
    <t>GEPGTR-7190506</t>
  </si>
  <si>
    <t>7fa867d8-f599-4e02-b334-e336d5c37ded</t>
  </si>
  <si>
    <t>GEPGTR-7190504</t>
  </si>
  <si>
    <t>81822937-2fe7-4854-bf31-fd88ab9b08d6</t>
  </si>
  <si>
    <t>OT26231TZ0124827</t>
  </si>
  <si>
    <t>9ac4b93c-22a8-4b6e-a82f-80a6d027a285</t>
  </si>
  <si>
    <t>TZAAO23126HIT9E</t>
  </si>
  <si>
    <t>d40a30fa-d41c-4a5b-ab33-4860a32cdd7</t>
  </si>
  <si>
    <t>cd286c9b-5c87-4501-983c-6b1e5b2eb73f</t>
  </si>
  <si>
    <t>TZ1OL260819025TX</t>
  </si>
  <si>
    <t>Work permit John</t>
  </si>
  <si>
    <t>326b80a4-d2fa-4e42-9c24-2c64db987484</t>
  </si>
  <si>
    <t>TZAAO23126HYOAG</t>
  </si>
  <si>
    <t>6f53d458-8437-4555-b0cb-ddc46209b66</t>
  </si>
  <si>
    <t>d218d85d-6238-4d1e-9431-02cc76527123</t>
  </si>
  <si>
    <t>TZ1OL260819025AL</t>
  </si>
  <si>
    <t>PITBEATZ01A23537</t>
  </si>
  <si>
    <t>77124532-daf0-47ca-ad8e-d5849471640c</t>
  </si>
  <si>
    <t>1508CC13077B</t>
  </si>
  <si>
    <t>15085E06233A</t>
  </si>
  <si>
    <t>5e86b6a6-579f-4fa1-a746-64b88b048060</t>
  </si>
  <si>
    <t>10083AF2B86D</t>
  </si>
  <si>
    <t>10085F2DB264</t>
  </si>
  <si>
    <t>6d585e1d-6ca2-48f8-8b60-27d5cc59cb3f</t>
  </si>
  <si>
    <t>CMRTG26232002271</t>
  </si>
  <si>
    <t>b2aa89d8-e846-4772-ba47-25f10d22a024</t>
  </si>
  <si>
    <t>1508D00F4BDA</t>
  </si>
  <si>
    <t>150850EF3E9F</t>
  </si>
  <si>
    <t>34bb146e-b8ea-436d-bfc8-d2665d38bde2</t>
  </si>
  <si>
    <t>MISG9HNV</t>
  </si>
  <si>
    <t>f03747d8-0c44-4a3a-9e16-f15e32c67d94</t>
  </si>
  <si>
    <t>OT26232TZ0125139</t>
  </si>
  <si>
    <t>de22e4ed-9566-4fb5-a306-343154034a86</t>
  </si>
  <si>
    <t>IA5CTUU8</t>
  </si>
  <si>
    <t>2d384740-3f81-4c34-8663-95c9c6a28d9f</t>
  </si>
  <si>
    <t>TZ1OL260820025CM</t>
  </si>
  <si>
    <t>PISTECTZN1A10320</t>
  </si>
  <si>
    <t>662cc3f3-6dfc-4a1d-aebc-adeb9c507c15</t>
  </si>
  <si>
    <t>P260820C00000775</t>
  </si>
  <si>
    <t>8dc4ae05-1563-4ee0-ab75-7a802c3b9591</t>
  </si>
  <si>
    <t>DTB/1505/2026</t>
  </si>
  <si>
    <t>1908C366E239</t>
  </si>
  <si>
    <t>f7cd95fe-cc44-44e6-918f-013995918730</t>
  </si>
  <si>
    <t>000000583223</t>
  </si>
  <si>
    <t>031a7418-36f8-47d7-9929-d2d85f89b34</t>
  </si>
  <si>
    <t>22e6c069-a721-4827-869c-1a8412d66d72</t>
  </si>
  <si>
    <t>CMRTG26232000338</t>
  </si>
  <si>
    <t>7dda2106-07e7-4d1d-ba28-c2db59d0e5e8</t>
  </si>
  <si>
    <t>OT26232TZ0125111</t>
  </si>
  <si>
    <t>d490a22e-4339-4bc0-91c0-41a71aa1cf17</t>
  </si>
  <si>
    <t>000008385213</t>
  </si>
  <si>
    <t>f67cb5ee-5a3a-40a7-8a66-0fbb622b3e36</t>
  </si>
  <si>
    <t>P260820C00000843</t>
  </si>
  <si>
    <t>9971aff9-46f7-4188-8bd6-92316c93e4bd</t>
  </si>
  <si>
    <t>TZAAO23226HDQ1M</t>
  </si>
  <si>
    <t>a03895fb-9003-49c9-b8d1-3afc1ed4280</t>
  </si>
  <si>
    <t>8062b305-f0c5-4c42-9de0-0e324edae550</t>
  </si>
  <si>
    <t>TZ1OL260820025B1</t>
  </si>
  <si>
    <t>PINEELTZ01A31861</t>
  </si>
  <si>
    <t>cdbad21d-085a-4ab7-9c04-13b0b446889c</t>
  </si>
  <si>
    <t>1008C3AFF62D</t>
  </si>
  <si>
    <t>100845808936</t>
  </si>
  <si>
    <t>58dadd0d-6873-4d75-b8cf-e0455e72fcc6</t>
  </si>
  <si>
    <t>P260820C00001693</t>
  </si>
  <si>
    <t>93188b76-4704-4432-83ff-3da9c447d358</t>
  </si>
  <si>
    <t>P260820C00001691</t>
  </si>
  <si>
    <t>b22b06b8-1624-4a0b-92c0-d01dc40051dc</t>
  </si>
  <si>
    <t>RA9E8056</t>
  </si>
  <si>
    <t>49931a16-7d68-43df-8d74-0390758bdaec</t>
  </si>
  <si>
    <t>GNMM54GV</t>
  </si>
  <si>
    <t>85aef2b4-fde0-4191-90ff-a25d79cf69e3</t>
  </si>
  <si>
    <t>P260820C00002283</t>
  </si>
  <si>
    <t>20089B532FAE</t>
  </si>
  <si>
    <t>25d739cd-336d-4bd0-a0d9-ccb138619f56</t>
  </si>
  <si>
    <t>GT9374165041</t>
  </si>
  <si>
    <t>e60aae9d-4d6e-4f05-827e-24cadf69e3c6</t>
  </si>
  <si>
    <t>TZ1OL260820025UH</t>
  </si>
  <si>
    <t>LAB001</t>
  </si>
  <si>
    <t>0c714bfa-00e5-458b-9041-6ab8b5c04797</t>
  </si>
  <si>
    <t>TZAAO23226HREUF</t>
  </si>
  <si>
    <t>74833feb-1aeb-4197-a06c-b471a92428a</t>
  </si>
  <si>
    <t>2023a05c-8604-452e-852a-eed41c75e356</t>
  </si>
  <si>
    <t>TZ1OL260820025CN</t>
  </si>
  <si>
    <t>PISTECTZN1A10321</t>
  </si>
  <si>
    <t>d1086a3e-9f15-4a2c-9ade-be4b98670e22</t>
  </si>
  <si>
    <t>OT26232TZ0125140</t>
  </si>
  <si>
    <t>e3b1b726-3511-43ea-81d8-65f1bfc18df1</t>
  </si>
  <si>
    <t>OT26232TZ0125411</t>
  </si>
  <si>
    <t>d0bf2f87-9ce6-42bf-819b-8d1ff3752af6</t>
  </si>
  <si>
    <t>P260820C00000779</t>
  </si>
  <si>
    <t>7fef09e9-d652-4463-9b48-b7172a6a4ac9</t>
  </si>
  <si>
    <t>N5PT8PV</t>
  </si>
  <si>
    <t>9b691aa2-1ec2-4749-ae18-f6cc90e9f131</t>
  </si>
  <si>
    <t>TZAAO23226HN5KN</t>
  </si>
  <si>
    <t>aa0cd86c-442f-4d68-945d-01a317cea7a</t>
  </si>
  <si>
    <t>ae83dab6-bb9d-4bcc-8cde-018c96dbbbce</t>
  </si>
  <si>
    <t>P260820C00000553</t>
  </si>
  <si>
    <t>1520fd69-afff-445d-9415-9ed087443731</t>
  </si>
  <si>
    <t>2622639360512000</t>
  </si>
  <si>
    <t>2622639352438000RP2</t>
  </si>
  <si>
    <t>1c62a85b-8317-4e44-95b6-c549a69bb7db</t>
  </si>
  <si>
    <t>IUSCS9EC</t>
  </si>
  <si>
    <t>3d47f751-dc74-4477-9fb6-6ee8513473b7</t>
  </si>
  <si>
    <t>TZAAO23226HTC2I</t>
  </si>
  <si>
    <t>706aa99b-894f-45ee-a66b-1791b50ca4b</t>
  </si>
  <si>
    <t>44ff8d80-658d-4e4b-a099-ea8a7bd31996</t>
  </si>
  <si>
    <t>1508F37D3966</t>
  </si>
  <si>
    <t>1508C39A53FE</t>
  </si>
  <si>
    <t>f46e5305-0cdf-4213-9dfb-d20c5997983d</t>
  </si>
  <si>
    <t>P260820C00001929</t>
  </si>
  <si>
    <t>7699a247-cce3-408f-8792-e148255fd3b8</t>
  </si>
  <si>
    <t>NJO26232CDDLJMJH</t>
  </si>
  <si>
    <t>9925c90a-26c1-4eaa-bde9-6c61716515ae</t>
  </si>
  <si>
    <t>76SUF39E</t>
  </si>
  <si>
    <t>1172812e-c04d-472c-a04b-7439ca5f06b8</t>
  </si>
  <si>
    <t>OT26232TZ0125410</t>
  </si>
  <si>
    <t>f3b5949d-0221-4760-a52b-666e36dcc21e</t>
  </si>
  <si>
    <t>9P90MP31</t>
  </si>
  <si>
    <t>f3f9df3f-2094-47bb-a438-768280b255d7</t>
  </si>
  <si>
    <t>OT26232TZ0125314</t>
  </si>
  <si>
    <t>d93f11c7-0823-4210-9fd2-4d125f984a1c</t>
  </si>
  <si>
    <t>TZ1OL260820025CL</t>
  </si>
  <si>
    <t>PISTECTZN1A10322</t>
  </si>
  <si>
    <t>0628ad4a-6a88-4f0d-a925-bc61caa842fa</t>
  </si>
  <si>
    <t>K06SDQPB</t>
  </si>
  <si>
    <t>b56d804b-8113-494b-93ed-f7a3079e6377</t>
  </si>
  <si>
    <t>260820TA039720</t>
  </si>
  <si>
    <t>15083F9A092D</t>
  </si>
  <si>
    <t>1508EA7EEF0C</t>
  </si>
  <si>
    <t>4e7a5e53-4a78-42d0-862d-f138279a4dd4</t>
  </si>
  <si>
    <t>TZAAO23226HZG5G</t>
  </si>
  <si>
    <t>f3ff578d-20b8-44d3-80ea-24c4a0d7339</t>
  </si>
  <si>
    <t>350f3277-4e28-45a3-b328-0eb27107359b</t>
  </si>
  <si>
    <t>OT26232TZ0125188</t>
  </si>
  <si>
    <t>a85ef705-a723-4b59-87e5-302ae8cea7a2</t>
  </si>
  <si>
    <t>TZAAO23326H6SEM</t>
  </si>
  <si>
    <t>1b74ba16-b9aa-4a26-8c66-9b5a6d5d9c1</t>
  </si>
  <si>
    <t>57e66c89-d229-4fc7-855f-bbab1a34d062</t>
  </si>
  <si>
    <t>OT26233TZ0125505</t>
  </si>
  <si>
    <t>30875f40-f94b-4186-a014-de42ab1efb5d</t>
  </si>
  <si>
    <t>P260821C00001907</t>
  </si>
  <si>
    <t>da49e230-9573-409a-991d-107f0f54f90b</t>
  </si>
  <si>
    <t>OT26233TZ0125554</t>
  </si>
  <si>
    <t>4bdadcc1-31ea-413f-9105-1ea4739d28b1</t>
  </si>
  <si>
    <t>OT26233TZ0125515</t>
  </si>
  <si>
    <t>19f1e029-f749-4d8d-bc4d-0b9358828ea2</t>
  </si>
  <si>
    <t>TZAAO23326HXNVD</t>
  </si>
  <si>
    <t>F/TZA/DRT/AAO/20260821/00037249344</t>
  </si>
  <si>
    <t>21c9cb2d-b738-4a3a-8133-e6dee23f5c8c</t>
  </si>
  <si>
    <t>TZAAO23326H2WBA</t>
  </si>
  <si>
    <t>33b05b49-fc2b-4c0e-99c0-28ee48b1151</t>
  </si>
  <si>
    <t>5f869993-e636-47be-a169-e9ca1e5a8c93</t>
  </si>
  <si>
    <t>FT26233B34ZK</t>
  </si>
  <si>
    <t>05a01ebf-dc75-4023-9148-dfd76d8e4c1e</t>
  </si>
  <si>
    <t>OT26233TZ0125592</t>
  </si>
  <si>
    <t>fe283f58-7ebc-41c9-a6a7-b57de76ad519</t>
  </si>
  <si>
    <t>TZAAO23326H9TI1</t>
  </si>
  <si>
    <t>a9404f58-34ea-405d-a3ff-957be41cccf</t>
  </si>
  <si>
    <t>26a5a4dd-6566-456b-badc-9651a55bc795</t>
  </si>
  <si>
    <t>OT26233TZ0125808</t>
  </si>
  <si>
    <t>b28c2ab6-e2ad-423a-b331-178ead7753a5</t>
  </si>
  <si>
    <t>TZAAO23326H01UD</t>
  </si>
  <si>
    <t>a175acac-5b07-4c30-9a17-e26d7f4a6e6</t>
  </si>
  <si>
    <t>dc5a9c26-8523-4495-bffe-752f34c0cf9c</t>
  </si>
  <si>
    <t>P260821C00000603</t>
  </si>
  <si>
    <t>8b95f99b-2b38-44d9-9064-26e23d8df64f</t>
  </si>
  <si>
    <t>000008387221</t>
  </si>
  <si>
    <t>a8294328-0b0f-4c44-a421-d6ed8fc23c6a</t>
  </si>
  <si>
    <t>TZAAO23326H4U8E</t>
  </si>
  <si>
    <t>68e6206c-ba54-47ce-a712-e84292cc07f</t>
  </si>
  <si>
    <t>5f45e5fa-6360-46f2-80c5-2b6abecbdd50</t>
  </si>
  <si>
    <t>P260821C00002573</t>
  </si>
  <si>
    <t>c3ba3af1-f464-4484-aa7b-f8f35cd52d02</t>
  </si>
  <si>
    <t>OT26233TZ0125514</t>
  </si>
  <si>
    <t>dc3450de-0494-4d3f-bd5d-c83ea1f4e7b7</t>
  </si>
  <si>
    <t>OT26233TZ0125593</t>
  </si>
  <si>
    <t>babdf579-77c2-4342-b0df-356dda2785ab</t>
  </si>
  <si>
    <t>TZ1OL260821025A4</t>
  </si>
  <si>
    <t>PICRJETZ01A42937</t>
  </si>
  <si>
    <t>cb976686-ab37-483b-8d7f-ad324ee354db</t>
  </si>
  <si>
    <t>TZ1OL260821025AA</t>
  </si>
  <si>
    <t>PICRJETZ01A42935</t>
  </si>
  <si>
    <t>074450cf-bf95-4706-8565-1ebde4b3c0e6</t>
  </si>
  <si>
    <t>TZAAO23326HKMOE</t>
  </si>
  <si>
    <t>cfafff76-b83b-41f0-a6d1-103a811fe34</t>
  </si>
  <si>
    <t>fb50e086-f0d6-46e7-95d2-7f26839e447b</t>
  </si>
  <si>
    <t>OT26233TZ0125513</t>
  </si>
  <si>
    <t>f2a4ad8d-6484-4c10-ab10-2233222d1c2c</t>
  </si>
  <si>
    <t>TZAAO23326HMR9Q</t>
  </si>
  <si>
    <t>94a02dc3-5f88-4544-b00b-d9f1fc1d0f9</t>
  </si>
  <si>
    <t>1da2d308-31a4-42b9-bd9e-507609d1320b</t>
  </si>
  <si>
    <t>OT26233TZ0125570</t>
  </si>
  <si>
    <t>ef7189e4-8919-4a60-b514-072125668782</t>
  </si>
  <si>
    <t>OT26233TZ0125510</t>
  </si>
  <si>
    <t>0eb7f999-7622-412c-ada8-4891d8830d15</t>
  </si>
  <si>
    <t>P260821C00000619</t>
  </si>
  <si>
    <t>ec968499-6b3d-4d68-9029-5a8094c60b32</t>
  </si>
  <si>
    <t>OT26233TZ0125809</t>
  </si>
  <si>
    <t>036b8285-4dd7-4bc6-b458-2acb6360ba96</t>
  </si>
  <si>
    <t>TZAAO23326HIOFI</t>
  </si>
  <si>
    <t>f8c197f4-a389-4e18-a2af-d7f156f9f4e</t>
  </si>
  <si>
    <t>a8aa5273-3728-415a-b4d5-6ce9f761c9bb</t>
  </si>
  <si>
    <t>TZ1OL260821025GR</t>
  </si>
  <si>
    <t>PINEELTZ01A31894</t>
  </si>
  <si>
    <t>672d5958-5d2a-452e-864b-02dc30da44a6</t>
  </si>
  <si>
    <t>TZ1OL260821025A9</t>
  </si>
  <si>
    <t>PICRJETZ01A42934</t>
  </si>
  <si>
    <t>3a8c6a8b-d02f-4e2f-ac47-57df59da6c7e</t>
  </si>
  <si>
    <t>001FTOL262330985</t>
  </si>
  <si>
    <t>2f05c10b-344f-45cd-abeb-5dbb43591159</t>
  </si>
  <si>
    <t>OT26233TZ0125594</t>
  </si>
  <si>
    <t>2791cc7b-ca5b-4198-be0c-fd61bed61795</t>
  </si>
  <si>
    <t>TZAAO23326HWMT3</t>
  </si>
  <si>
    <t>61a8bc44-c464-48eb-a2c9-cc190ff4e77</t>
  </si>
  <si>
    <t>070e1f65-f147-407b-876e-6399f665c14e</t>
  </si>
  <si>
    <t>TZ1OL260821025A2</t>
  </si>
  <si>
    <t>PICRJETZ01A42936</t>
  </si>
  <si>
    <t>76616dfe-f435-4078-a965-2af7eb759337</t>
  </si>
  <si>
    <t>P260821C00000935</t>
  </si>
  <si>
    <t>5b52d9f8-99d7-4f2d-8c4c-5a9c8dd63567</t>
  </si>
  <si>
    <t>OT26233TZ0125807</t>
  </si>
  <si>
    <t>fb5aac31-89e7-42dc-8f6f-283be92a4186</t>
  </si>
  <si>
    <t>OT26233TZ0125873</t>
  </si>
  <si>
    <t>8844584d-4acf-45a5-af9a-b2b537cc1473</t>
  </si>
  <si>
    <t>OT26233TZ0125779</t>
  </si>
  <si>
    <t>043ce3a9-1de0-4b09-8db0-528f9402c709</t>
  </si>
  <si>
    <t>TZAAO23326HI7JN</t>
  </si>
  <si>
    <t>F/TZA/DRT/AAO/20260821/00037249345</t>
  </si>
  <si>
    <t>23d41cd5-b28e-4b9b-ab01-557a3b997cc5</t>
  </si>
  <si>
    <t>TZAAO23326HY4UQ</t>
  </si>
  <si>
    <t>83e86170-17c1-45c0-a6b3-2f214dde14e</t>
  </si>
  <si>
    <t>49bd7214-045f-45db-a7d2-00d7a11ace6d</t>
  </si>
  <si>
    <t>CMRTG26234001550</t>
  </si>
  <si>
    <t>e4814bae-1e8d-4f61-9429-b53b586f8809</t>
  </si>
  <si>
    <t>P260822C00000713</t>
  </si>
  <si>
    <t>3aeaf4c0-02f3-4f3a-865c-d13e3face2a7</t>
  </si>
  <si>
    <t>P260822C00000729</t>
  </si>
  <si>
    <t>22088144BADD</t>
  </si>
  <si>
    <t>d38a8d12-80e8-456e-b0a6-4e38d6c9a62c</t>
  </si>
  <si>
    <t>TZ1OL2608220259D</t>
  </si>
  <si>
    <t>PISTECTZN1A10362</t>
  </si>
  <si>
    <t>4dea10ba-752d-4071-bb2b-e42ed0e7c4ea</t>
  </si>
  <si>
    <t>TRX2608220899007</t>
  </si>
  <si>
    <t>E2E2608220895491</t>
  </si>
  <si>
    <t>2af9fbcd-fc28-41bc-a054-2175aac6be2f</t>
  </si>
  <si>
    <t>P260822C00000757</t>
  </si>
  <si>
    <t>2208708E892B</t>
  </si>
  <si>
    <t>7f95f343-dbcf-4d0d-828a-ebd1f6d2e16e</t>
  </si>
  <si>
    <t>001FTOL262350035</t>
  </si>
  <si>
    <t>c4275699-031e-4b15-93bb-5ce1ba812542</t>
  </si>
  <si>
    <t>TZAAO23626H6UK1</t>
  </si>
  <si>
    <t>10674b0f-fc53-434c-a933-e96f9370396</t>
  </si>
  <si>
    <t>c6362a5e-e981-4674-b2bf-a47deb628205</t>
  </si>
  <si>
    <t>RTOMICC01086063</t>
  </si>
  <si>
    <t>3d2b1e5e-37c0-46d9-bb84-e6c556fdc894</t>
  </si>
  <si>
    <t>RTOMICC01085992</t>
  </si>
  <si>
    <t>f81820a8-8f07-41f5-b01f-d336e8b2e2bf</t>
  </si>
  <si>
    <t>HZ1K0PQIGE0EFBAF</t>
  </si>
  <si>
    <t>fdb85217-7f9c-4558-9926-4cbcf714b64e</t>
  </si>
  <si>
    <t>TZ1OL260824028QL</t>
  </si>
  <si>
    <t>PINEELTZ01A31915</t>
  </si>
  <si>
    <t>7579d18b-3415-4331-8cee-3aded593123d</t>
  </si>
  <si>
    <t>TZ1OL260824028SH</t>
  </si>
  <si>
    <t>0813000100-3</t>
  </si>
  <si>
    <t>9f08a9ee-e5db-45e6-a3c6-44b9f46c2d48</t>
  </si>
  <si>
    <t>TZ1OL260824027XW</t>
  </si>
  <si>
    <t>PIBUHLTZ01A00492</t>
  </si>
  <si>
    <t>4a377288-7499-4849-9ac1-b914ae08afb6</t>
  </si>
  <si>
    <t>260821T000578746</t>
  </si>
  <si>
    <t>HB4/295/04/F1556</t>
  </si>
  <si>
    <t>59c7fe2f-eddc-47fd-8e06-2a0110ac6c9c</t>
  </si>
  <si>
    <t>TZ1OL260824027WM</t>
  </si>
  <si>
    <t>PISSBTTZ01A99257</t>
  </si>
  <si>
    <t>84491833-108e-4c7b-a128-8c4e58f147f3</t>
  </si>
  <si>
    <t>TZAAO23626HIW5G</t>
  </si>
  <si>
    <t>1cd01a77-a5d9-482c-ac02-49d21aa430d</t>
  </si>
  <si>
    <t>9a2f16b9-54ae-4e51-9282-2037a3a043d1</t>
  </si>
  <si>
    <t>OT26234TZ0125913</t>
  </si>
  <si>
    <t>60028a2b-13cc-46a8-a0be-39a4cb73af29</t>
  </si>
  <si>
    <t>TZAAO23426HUN8A</t>
  </si>
  <si>
    <t>F/TZA/DRT/AAO/20260822/00037263972</t>
  </si>
  <si>
    <t>52fba290-c995-46ff-ad02-574cb54be37b</t>
  </si>
  <si>
    <t>TZAAO23626H4PYD</t>
  </si>
  <si>
    <t>d3ea7f40-3f9a-4d0d-abcb-b6823bd3d61</t>
  </si>
  <si>
    <t>20b9f46e-5876-41ea-822e-2431681d5211</t>
  </si>
  <si>
    <t>TZAAO23626HNIH8</t>
  </si>
  <si>
    <t>d0c1e773-896f-4a4f-891b-c7c1a6adb5f</t>
  </si>
  <si>
    <t>d21b8ffd-4e96-4b16-8379-6faeeafee797</t>
  </si>
  <si>
    <t>TZAAO23626HWTCD</t>
  </si>
  <si>
    <t>950f2424-a405-478d-b041-c13165f2450</t>
  </si>
  <si>
    <t>1e9f6f56-6d5f-4cbd-9def-cd99660e6c09</t>
  </si>
  <si>
    <t>OT26236TZ0126228</t>
  </si>
  <si>
    <t>80793c9c-1cdd-46ca-b0d8-9c90f83bc3fa</t>
  </si>
  <si>
    <t>TZ1OL260824028LX</t>
  </si>
  <si>
    <t>PISINOTZ01A28829</t>
  </si>
  <si>
    <t>9bc4678e-3e88-4547-bc67-696fbd234582</t>
  </si>
  <si>
    <t>HZ1K0PMV9GA9592A</t>
  </si>
  <si>
    <t>f3b00f20-51e5-4d2f-b961-31e694b442ab</t>
  </si>
  <si>
    <t>TZAAO23626H5I19</t>
  </si>
  <si>
    <t>7b504223-c20d-47ac-8bc0-c30907edeb4</t>
  </si>
  <si>
    <t>e9b1a1d4-9aed-4828-af20-1e2e69015282</t>
  </si>
  <si>
    <t>TZAAO23626HJ0TF</t>
  </si>
  <si>
    <t>26b07de8-b825-42de-a678-15adbaf6893</t>
  </si>
  <si>
    <t>80a54f12-1133-4d72-86c7-cd583e787362</t>
  </si>
  <si>
    <t>TZAAO23426H3DAH</t>
  </si>
  <si>
    <t>F/TZA/DRT/AAO/20260822/00037263971</t>
  </si>
  <si>
    <t>bcd1dcd0-fa7b-42bc-8bda-7b92179519ce</t>
  </si>
  <si>
    <t>12HR3OO8</t>
  </si>
  <si>
    <t>855e2a5b-50e7-4acb-b9e7-41b63ad068c4</t>
  </si>
  <si>
    <t>FAS-14915606-3</t>
  </si>
  <si>
    <t>32456819</t>
  </si>
  <si>
    <t>436b4b2a-78a3-4cbb-9622-3c00879561f2</t>
  </si>
  <si>
    <t>P260824C00002579</t>
  </si>
  <si>
    <t>9fbd30ed-bc91-4964-8b6e-c981200640f3</t>
  </si>
  <si>
    <t>TZAAO23626HVADS</t>
  </si>
  <si>
    <t>85c9245a-8509-4073-befd-04f4ee3b270</t>
  </si>
  <si>
    <t>a06313e4-8d9c-4cb7-b698-f822e1723c09</t>
  </si>
  <si>
    <t>TZAAO23626H17SS</t>
  </si>
  <si>
    <t>24dd806c-7b35-49b1-9e80-9dc62f9be25</t>
  </si>
  <si>
    <t>b0c54078-3315-4860-af35-ce2c17d57e5b</t>
  </si>
  <si>
    <t>FT26236SL0LL</t>
  </si>
  <si>
    <t>19c609c2-f4ab-4610-8bec-f23b7609e0e1</t>
  </si>
  <si>
    <t>TZ1OL2608240284P</t>
  </si>
  <si>
    <t>PISSBTTZ01A99252</t>
  </si>
  <si>
    <t>d8173ffd-7f34-48ef-aed6-e193228597a1</t>
  </si>
  <si>
    <t>TZAAO23626H3FIX</t>
  </si>
  <si>
    <t>f0ac95e1-514a-4a30-a5e8-91f165d4494</t>
  </si>
  <si>
    <t>9f2b1999-6ab5-44f0-9cd5-fe3682494006</t>
  </si>
  <si>
    <t>260824TA039764</t>
  </si>
  <si>
    <t>TZAAO23626HMQD3</t>
  </si>
  <si>
    <t>3f23563d-53fb-4606-bdeb-68dba13c68c</t>
  </si>
  <si>
    <t>ae6d13b6-4c8f-4ff5-9d85-9a7b0a1ec9f4</t>
  </si>
  <si>
    <t>CMRTG26236000801</t>
  </si>
  <si>
    <t>dbc74902-7445-49d0-9a9b-044ad7d0a2c9</t>
  </si>
  <si>
    <t>TZ1RTGF262362643</t>
  </si>
  <si>
    <t>052dc2c9-5980-4fb1-bb2c-55b33339316c</t>
  </si>
  <si>
    <t>CME95BCE3F4691</t>
  </si>
  <si>
    <t>0cfd3d25-291d-4510-bd07-a442f4b7d6ec</t>
  </si>
  <si>
    <t>TZ1OL260824028M0</t>
  </si>
  <si>
    <t>PISINOTZ01A28828</t>
  </si>
  <si>
    <t>98aba7b2-d508-4827-8b7e-2452b49e02e0</t>
  </si>
  <si>
    <t>GEPGTR-7190580</t>
  </si>
  <si>
    <t>574c98e5-55ff-4a6e-9980-1587f426350d</t>
  </si>
  <si>
    <t>TZ1OL260824028PY</t>
  </si>
  <si>
    <t>PISINOTZ01A28833</t>
  </si>
  <si>
    <t>c0d71356-5950-4702-9137-896863602ac3</t>
  </si>
  <si>
    <t>DTB/1525/2026</t>
  </si>
  <si>
    <t>2408D20C0252</t>
  </si>
  <si>
    <t>d5accd43-407b-4daf-8344-1ccc3088f83c</t>
  </si>
  <si>
    <t>OT26236TZ0126338</t>
  </si>
  <si>
    <t>f23aa18b-6db0-4eb7-b36e-f96e312ff730</t>
  </si>
  <si>
    <t>OT26236TZ0126229</t>
  </si>
  <si>
    <t>ef179e7b-7ae3-43a7-a0fe-6d14c4c84e8d</t>
  </si>
  <si>
    <t>DTB/1520/2026</t>
  </si>
  <si>
    <t>2208EB4F3A25</t>
  </si>
  <si>
    <t>54e13e8f-6db2-4029-82ca-b75a115846ec</t>
  </si>
  <si>
    <t>TZ1OL260824028SB</t>
  </si>
  <si>
    <t>0813000100-2</t>
  </si>
  <si>
    <t>ea0109dd-af24-47d2-8a74-3b157a317929</t>
  </si>
  <si>
    <t>HZ1K0PJ217VC1BF9</t>
  </si>
  <si>
    <t>56c388c2-ee1c-43a7-b523-479d03089fdd</t>
  </si>
  <si>
    <t>TZAAO23626HIWUC</t>
  </si>
  <si>
    <t>39e159ea-7230-4cf7-b16c-f165e86802a</t>
  </si>
  <si>
    <t>61b9fb23-9dfa-4e9e-81b3-16fcab7e034a</t>
  </si>
  <si>
    <t>PIL3278H</t>
  </si>
  <si>
    <t>5fb71347-da18-45f2-870b-cf36c2e2d449</t>
  </si>
  <si>
    <t>OT26236TZ0126357</t>
  </si>
  <si>
    <t>9cb8164c-251d-47ce-b705-ab7318990d57</t>
  </si>
  <si>
    <t>260821T000578765</t>
  </si>
  <si>
    <t>NMBUSDHB.4/295/04/F1552</t>
  </si>
  <si>
    <t>59c8d4c0-dbea-43b7-8e06-2a0110ac001e</t>
  </si>
  <si>
    <t>HZ1K0PQLAH73D92A</t>
  </si>
  <si>
    <t>96c3dcf6-b76c-4019-ba55-f1c690765960</t>
  </si>
  <si>
    <t>CMBE1A8CED0C5A</t>
  </si>
  <si>
    <t>06c4cc96-5c35-44c5-8539-880a822f944b</t>
  </si>
  <si>
    <t>OT26236TZ0126358</t>
  </si>
  <si>
    <t>fd3b12e2-e37c-4039-b6ad-d07b867dc4c8</t>
  </si>
  <si>
    <t>TZAAO23626HZ9J4</t>
  </si>
  <si>
    <t>a20fbaec-4906-44d5-8c4b-ce294190eaa</t>
  </si>
  <si>
    <t>eef18de2-e924-4a42-a948-a7efc4af5ee4</t>
  </si>
  <si>
    <t>TZ1OL260824028PZ</t>
  </si>
  <si>
    <t>PISINOTZ01A28831</t>
  </si>
  <si>
    <t>d2dd2129-7923-4507-a4ca-ffd26b63e11d</t>
  </si>
  <si>
    <t>TZ1OL260824028PV</t>
  </si>
  <si>
    <t>PISINOTZ01A28830</t>
  </si>
  <si>
    <t>532ac3e2-e45d-4831-9096-134ea2e7ca16</t>
  </si>
  <si>
    <t>OT26236TZ0126231</t>
  </si>
  <si>
    <t>19489992-5757-42d0-a121-7b02b357fb1f</t>
  </si>
  <si>
    <t>TZ1OL260824028SA</t>
  </si>
  <si>
    <t>0813000100-1</t>
  </si>
  <si>
    <t>1749afc6-ad43-4339-9322-e2a59789499b</t>
  </si>
  <si>
    <t>OT26238TZ0126773</t>
  </si>
  <si>
    <t>528d627f-e1ee-419e-b10a-584afcb38e78</t>
  </si>
  <si>
    <t>OT26238TZ0126393</t>
  </si>
  <si>
    <t>dfeb15cd-c086-4443-8833-6ed1d68e29b6</t>
  </si>
  <si>
    <t>FT26236HRT97</t>
  </si>
  <si>
    <t>475011e0-dd77-4cd1-af14-9a877c029f11</t>
  </si>
  <si>
    <t>TZAAO23826H9RYA</t>
  </si>
  <si>
    <t>54e93781-fc31-41cf-b22d-397fff259f5</t>
  </si>
  <si>
    <t>3a10463f-948f-473d-9f5c-433c5af78350</t>
  </si>
  <si>
    <t>OT26238TZ0126495</t>
  </si>
  <si>
    <t>4f02bfb9-2515-42b9-9a50-9a663b6de747</t>
  </si>
  <si>
    <t>OT26238TZ0126510</t>
  </si>
  <si>
    <t>bbbef361-94f9-4190-b174-cbdc9b07d1a6</t>
  </si>
  <si>
    <t>S470059</t>
  </si>
  <si>
    <t>fcb8984e-875f-4927-b139-5700cd66c258</t>
  </si>
  <si>
    <t>CMRTG26238002011</t>
  </si>
  <si>
    <t>f5394c46-057e-4a00-b32e-ad41e8115e70</t>
  </si>
  <si>
    <t>1081527</t>
  </si>
  <si>
    <t>c070671b-6bbd-4832-94f1-0e644491c9c3</t>
  </si>
  <si>
    <t>260826TA039779</t>
  </si>
  <si>
    <t>OT26238TZ0126498</t>
  </si>
  <si>
    <t>372ee8e0-ae2c-42b3-a826-96e50c468fbe</t>
  </si>
  <si>
    <t>CMRTG26238002141</t>
  </si>
  <si>
    <t>c1333e6a-cf92-481c-9510-fcf85501ec52</t>
  </si>
  <si>
    <t>TZ5IL2608260005O</t>
  </si>
  <si>
    <t>2608FC287AC1</t>
  </si>
  <si>
    <t>6765a1c5-3307-41b8-bb37-4407634f64d7</t>
  </si>
  <si>
    <t>FT262383GLKS</t>
  </si>
  <si>
    <t>879d3253-4eb1-49bf-90e3-90234abff625</t>
  </si>
  <si>
    <t>HZ1K0UCL9AH75A92</t>
  </si>
  <si>
    <t>0874a9b8-1efc-4a37-bd5e-c102ddc02b87</t>
  </si>
  <si>
    <t>TZ1OL260826025R1</t>
  </si>
  <si>
    <t>PIGCN01979A10871</t>
  </si>
  <si>
    <t>8ac61ab9-edee-4edb-ab94-06a66756d68f</t>
  </si>
  <si>
    <t>OT26238TZ0126513</t>
  </si>
  <si>
    <t>42ba93be-2300-465e-87ec-7b3c37ac28ea</t>
  </si>
  <si>
    <t>TZ1OL260824028U9</t>
  </si>
  <si>
    <t>PIDHTLTZ01A09021</t>
  </si>
  <si>
    <t>4a8ac4ec-0140-44ba-a858-dcbd115cb1b5</t>
  </si>
  <si>
    <t>OT26238TZ0126501</t>
  </si>
  <si>
    <t>4a5dd2c9-e30c-47e9-b2a2-3c7804e632a2</t>
  </si>
  <si>
    <t>R90RTGO262380403</t>
  </si>
  <si>
    <t>59be6ae8-5273-4c71-9c89-9cb22d4aa1b5</t>
  </si>
  <si>
    <t>1081514</t>
  </si>
  <si>
    <t>8242eb52-767c-449a-b5e5-b6e5fe65227a</t>
  </si>
  <si>
    <t>OT26238TZ0126415</t>
  </si>
  <si>
    <t>2819388a-bdbc-47aa-ad92-c7207f9246f6</t>
  </si>
  <si>
    <t>OT26238TZ0126458</t>
  </si>
  <si>
    <t>328b6166-3852-450c-8d40-ff7f69666e9d</t>
  </si>
  <si>
    <t>OT26238TZ0126541</t>
  </si>
  <si>
    <t>a4602317-69a1-4dcd-8722-f9d8db1356de</t>
  </si>
  <si>
    <t>TZAAO23826H0AFX</t>
  </si>
  <si>
    <t>56b4d4ef-da92-44ff-ba23-e103090799d</t>
  </si>
  <si>
    <t>ab5b7ad2-6843-48f7-ac28-d16b217d7f2c</t>
  </si>
  <si>
    <t>P260826C00001949</t>
  </si>
  <si>
    <t>93e3defb-a915-4b90-9c9b-00eb99eeb44d</t>
  </si>
  <si>
    <t>TZAAO23826H6NOR</t>
  </si>
  <si>
    <t>ab2b42d0-16cf-4ae0-b6fc-97a2caec8b2</t>
  </si>
  <si>
    <t>26853ab1-8a00-4d67-9d2f-7508cb82107c</t>
  </si>
  <si>
    <t>OT26238TZ0126637</t>
  </si>
  <si>
    <t>56736fd9-9aec-43f7-a9a3-7ac90e92d8b9</t>
  </si>
  <si>
    <t>OT26238TZ0126497</t>
  </si>
  <si>
    <t>c97d45e9-049f-4f4b-89f1-93f2e86bab64</t>
  </si>
  <si>
    <t>OT26238TZ0126494</t>
  </si>
  <si>
    <t>b047f901-68a6-40e3-a4b6-cf6df9c9bb93</t>
  </si>
  <si>
    <t>1081511</t>
  </si>
  <si>
    <t>013bfe5e-8023-40e5-8229-193b547456f8</t>
  </si>
  <si>
    <t>OT26236TZ0126297</t>
  </si>
  <si>
    <t>f715dab8-cddd-45c2-9158-0f1391d24678</t>
  </si>
  <si>
    <t>P260826C00001947</t>
  </si>
  <si>
    <t>26089BECEE48</t>
  </si>
  <si>
    <t>e5c9fe9e-516d-46fe-8eca-edfed10605af</t>
  </si>
  <si>
    <t>223LC02253110001</t>
  </si>
  <si>
    <t>fe134eb1-e86f-468c-8afd-61825e795b28</t>
  </si>
  <si>
    <t>FT26238P8NR4</t>
  </si>
  <si>
    <t>dd056132-0aff-4026-ae96-719c6898056a</t>
  </si>
  <si>
    <t>TZAAO23826HLDWB</t>
  </si>
  <si>
    <t>8d7d81d7-f60b-4d84-adb5-9d253b5cbc7</t>
  </si>
  <si>
    <t>f66c3545-ea08-4451-806d-7ae296e7911a</t>
  </si>
  <si>
    <t>OT26238TZ0126499</t>
  </si>
  <si>
    <t>b63f5d1c-f9e7-4dc5-9e44-a9bd3ff807a2</t>
  </si>
  <si>
    <t>P260826C00000973</t>
  </si>
  <si>
    <t>26082A4C9F55</t>
  </si>
  <si>
    <t>90142bd6-24a9-4864-a1ab-c337d31b0b1a</t>
  </si>
  <si>
    <t>OT26238TZ0126456</t>
  </si>
  <si>
    <t>71238a0e-9321-442c-913c-597de2b6d48a</t>
  </si>
  <si>
    <t>GEPGTR-7190604</t>
  </si>
  <si>
    <t>b0e9647d-3755-4361-8262-36d5a17b9437</t>
  </si>
  <si>
    <t>P260826C00001913</t>
  </si>
  <si>
    <t>26082740DF37</t>
  </si>
  <si>
    <t>fdac6458-6c31-4e99-a423-06bc411dd10c</t>
  </si>
  <si>
    <t>CMRTG26238000268</t>
  </si>
  <si>
    <t>572c0bd1-e3f7-434a-8873-d6de0c58cb8f</t>
  </si>
  <si>
    <t>OT26238TZ0126496</t>
  </si>
  <si>
    <t>8088f071-2a94-4a02-98d0-82eb0717498b</t>
  </si>
  <si>
    <t>OT26238TZ0126631</t>
  </si>
  <si>
    <t>f9002580-34fd-473a-a5d9-d3866513fafe</t>
  </si>
  <si>
    <t>TZAAO23926HGXG9</t>
  </si>
  <si>
    <t>fdb97d86-9d17-4426-beaf-717dd74cdf0</t>
  </si>
  <si>
    <t>83a461b8-058f-43fa-8a70-0e4b02170a93</t>
  </si>
  <si>
    <t>TZAAO23926HDA1D</t>
  </si>
  <si>
    <t>aa80632e-bc89-4677-90fa-667029d0f5a</t>
  </si>
  <si>
    <t>ce60a6c9-c506-4c7e-b93f-7c3db6a45ebc</t>
  </si>
  <si>
    <t>TZAAO23926HODAE</t>
  </si>
  <si>
    <t>30962f3e-d59c-4eae-9fd1-f8037cfce11</t>
  </si>
  <si>
    <t>aaaadddb-a613-4586-9ad3-8c2cc89754a8</t>
  </si>
  <si>
    <t>TZAAO23926HS7ZP</t>
  </si>
  <si>
    <t>332d9741-7a04-4b99-900c-2814295be2d</t>
  </si>
  <si>
    <t>12e3ac4e-9b86-4b3c-9bca-84c5086eb87e</t>
  </si>
  <si>
    <t>OT26239TZ0127124</t>
  </si>
  <si>
    <t>a616042f-fe72-451a-bcd1-eb69c9a16d6a</t>
  </si>
  <si>
    <t>TZ1RTGF262390266</t>
  </si>
  <si>
    <t>3478f677-5511-4ae4-855d-a0f2fb0179ee</t>
  </si>
  <si>
    <t>TZAAO23926HGJ37</t>
  </si>
  <si>
    <t>153d6405-a116-4c0a-b36a-f8cc74c3073</t>
  </si>
  <si>
    <t>ff30506f-3043-4489-8bf9-7a2c6fe14a6a</t>
  </si>
  <si>
    <t>OT26239TZ0127099</t>
  </si>
  <si>
    <t>2fadef01-5f5d-4a57-9895-98ade14d0c6e</t>
  </si>
  <si>
    <t>TZAAO23926HBERV</t>
  </si>
  <si>
    <t>c16c16f6-dc5c-468b-ae92-bf6edaa61b2</t>
  </si>
  <si>
    <t>da19064a-f71e-4856-80b5-9277554042d9</t>
  </si>
  <si>
    <t>TZ1OL260827025IG</t>
  </si>
  <si>
    <t>PICHINTZ01A00839</t>
  </si>
  <si>
    <t>85f8f299-1ea7-4af5-b4be-468b63d2c381</t>
  </si>
  <si>
    <t>OT26239TZ0127098</t>
  </si>
  <si>
    <t>1ad61d3f-586c-458f-a724-d2aeef0465f5</t>
  </si>
  <si>
    <t>OT26239TZ0127120</t>
  </si>
  <si>
    <t>e149fb91-5cc9-45e4-8c4f-f4223f85495d</t>
  </si>
  <si>
    <t>TZAAO23926HZ0Z5</t>
  </si>
  <si>
    <t>b4c9a5e0-818f-45e3-bfff-d65458bc2b9</t>
  </si>
  <si>
    <t>a7f57ad7-eec5-4043-b6b4-a5f63a9c1f01</t>
  </si>
  <si>
    <t>311LC02261770001</t>
  </si>
  <si>
    <t>9dee2c15-4c19-4227-aee7-982b2d8de721</t>
  </si>
  <si>
    <t>TZ1RTGF262390568</t>
  </si>
  <si>
    <t>28e1e45a-5ce4-46c5-828f-5939439a3151</t>
  </si>
  <si>
    <t>OT26238TZ0126500</t>
  </si>
  <si>
    <t>ac859c51-72b5-4611-bc02-c2b9b00977de</t>
  </si>
  <si>
    <t>0088Tr9363063875</t>
  </si>
  <si>
    <t>fd7c5589-b952-4eea-a551-ea235218a79c</t>
  </si>
  <si>
    <t>000000585658</t>
  </si>
  <si>
    <t>74476779-444d-4607-b776-4c6a4f70f78</t>
  </si>
  <si>
    <t>d7288e4f-b3b0-4557-8a98-c57565f70525</t>
  </si>
  <si>
    <t>FAS-14941163-3</t>
  </si>
  <si>
    <t>32570189</t>
  </si>
  <si>
    <t>89491cf3-7086-48d6-9b45-38cdc1f2121b</t>
  </si>
  <si>
    <t>TZAAO23926HKE41</t>
  </si>
  <si>
    <t>0c18c3d2-fafd-48d8-9699-e1333e8d047</t>
  </si>
  <si>
    <t>6f8ec437-100a-4daa-bc61-45f2f8f76158</t>
  </si>
  <si>
    <t>OT26239TZ0127125</t>
  </si>
  <si>
    <t>6fe85884-3efc-49bf-8979-18b48893bb1f</t>
  </si>
  <si>
    <t>OT26239TZ0127005</t>
  </si>
  <si>
    <t>12cd6891-3671-43ba-bf3a-dcc8fe6c035f</t>
  </si>
  <si>
    <t>TZAAO23926H8GTG</t>
  </si>
  <si>
    <t>a5d05694-56ed-4a65-b997-59f3dcefb0b</t>
  </si>
  <si>
    <t>9d87e713-b2eb-488b-92aa-6048f9760554</t>
  </si>
  <si>
    <t>490IBT2608270109OCKU6U</t>
  </si>
  <si>
    <t>0f32cbd5-c1ee-423e-a42b-1d6fbfe1b060</t>
  </si>
  <si>
    <t>TZAAO23926HD06Y</t>
  </si>
  <si>
    <t>009f6cc8-a948-4a4c-bb51-95a24255a6a</t>
  </si>
  <si>
    <t>c26eeccb-ebb9-414a-a592-17da4e9d9c51</t>
  </si>
  <si>
    <t>TZAAO23926HIZTW</t>
  </si>
  <si>
    <t>63776c1a-b7d8-47ec-8e53-5ee4f87f7fb</t>
  </si>
  <si>
    <t>9edee78c-ba60-431f-a140-3f188b2eabd0</t>
  </si>
  <si>
    <t>OT26239TZ0127126</t>
  </si>
  <si>
    <t>9d9b63e3-2c22-415e-ab3a-e4cc4ee97059</t>
  </si>
  <si>
    <t>CMRTG26239000361</t>
  </si>
  <si>
    <t>31c23e74-ab70-46eb-949d-3e02316346bf</t>
  </si>
  <si>
    <t>1081498A</t>
  </si>
  <si>
    <t>be799ab1-f7d0-4b49-b894-1919303275bf</t>
  </si>
  <si>
    <t>NMIBTZTZ EUAFTZTZXXX</t>
  </si>
  <si>
    <t>GT2058748505</t>
  </si>
  <si>
    <t>3f1604ba-a54c-4aa5-baba-94bc1a70479e</t>
  </si>
  <si>
    <t>TZAAO23926H1G5N</t>
  </si>
  <si>
    <t>9a2cefbc-c345-4910-9203-cacdc13bd72</t>
  </si>
  <si>
    <t>5de8a0b6-3ef2-4cd0-b2a8-8fb6273fb06e</t>
  </si>
  <si>
    <t>TZAAO23926HTF09</t>
  </si>
  <si>
    <t>b6029502-bee1-4726-af40-1f5a4b6d12b</t>
  </si>
  <si>
    <t>1b676783-2b04-4836-99e4-3236fd537234</t>
  </si>
  <si>
    <t>TZAAO23926HFQJK</t>
  </si>
  <si>
    <t>40149a43-8ccc-4550-b93c-4751ea84bd0</t>
  </si>
  <si>
    <t>f41e7372-b0d6-437e-81c5-0f2d769b3805</t>
  </si>
  <si>
    <t>OT26239TZ0127146</t>
  </si>
  <si>
    <t>ea899d58-8991-4662-950f-d3f08e385751</t>
  </si>
  <si>
    <t>TZAAO23926H087B</t>
  </si>
  <si>
    <t>40bb499d-39e9-4c97-8347-603967c976d</t>
  </si>
  <si>
    <t>52b0d986-6a90-41ef-80d4-58bacc187451</t>
  </si>
  <si>
    <t>OT26239TZ0127123</t>
  </si>
  <si>
    <t>19c7792b-6d48-475a-8e80-1fae6df69235</t>
  </si>
  <si>
    <t>P260827C00003349</t>
  </si>
  <si>
    <t>c1bfdd5c-7589-4c7c-b702-d27d4b657c0c</t>
  </si>
  <si>
    <t>0010108262519529</t>
  </si>
  <si>
    <t>2e231788-977f-40f7-a479-02dcca59cea5</t>
  </si>
  <si>
    <t>TZAAO23926HA04J</t>
  </si>
  <si>
    <t>4af008b4-be8c-4dc8-9577-0e789874ee0</t>
  </si>
  <si>
    <t>93a31170-0de3-415b-ba2b-8a27593e5dfc</t>
  </si>
  <si>
    <t>TZAAO23926H2EV6</t>
  </si>
  <si>
    <t>cd7dc618-756a-4fe8-804f-bbbc2a2caf1</t>
  </si>
  <si>
    <t>e5ecf4c7-9f05-4836-a770-173bd14595f3</t>
  </si>
  <si>
    <t>TZAAO23926H9ZVK</t>
  </si>
  <si>
    <t>59b69d68-fc10-4b35-b562-0fe6d4f1853</t>
  </si>
  <si>
    <t>e66493fa-7266-49c7-8191-09db7010dcea</t>
  </si>
  <si>
    <t>450T260827151400</t>
  </si>
  <si>
    <t>0c495ef1-d1b0-4f2c-a10b-09c2b810346a</t>
  </si>
  <si>
    <t>1081543</t>
  </si>
  <si>
    <t>bb7ed808-2bb6-4965-bd2c-86e07ab3f055</t>
  </si>
  <si>
    <t>OT26238TZ0126763</t>
  </si>
  <si>
    <t>ebb88444-c485-430c-85d6-ff8d664f21cf</t>
  </si>
  <si>
    <t>005COUS270826017</t>
  </si>
  <si>
    <t>c86169ec-a562-4b0d-90f8-c20ad245bfd7</t>
  </si>
  <si>
    <t>TZAAO23926HZGGS</t>
  </si>
  <si>
    <t>31cb60ef-4522-4a36-931c-9976d4c0ab6</t>
  </si>
  <si>
    <t>c84c3e45-ae64-4512-b382-8a7ee262d437</t>
  </si>
  <si>
    <t>TZAAO23926H2SIE</t>
  </si>
  <si>
    <t>a8a2cea6-99c4-4851-848b-f656d5d8bf7</t>
  </si>
  <si>
    <t>4417743c-622c-4d1a-a90b-6d7384c46cdb</t>
  </si>
  <si>
    <t>OT26239TZ0127170</t>
  </si>
  <si>
    <t>03527249-8144-4aca-9a42-f1fc5212820a</t>
  </si>
  <si>
    <t>201LC02261810004</t>
  </si>
  <si>
    <t>6e3823e8-66e4-4d03-8c96-8f9a664a8a9d</t>
  </si>
  <si>
    <t>TZAAO23926HC8A1</t>
  </si>
  <si>
    <t>ad4ac240-5791-4087-894c-57632036cda</t>
  </si>
  <si>
    <t>15f1f860-a2d4-4186-aaa6-1c49fc5ccfa3</t>
  </si>
  <si>
    <t>OT26238TZ0126511</t>
  </si>
  <si>
    <t>8fc00eb8-cfd3-48b5-8c2b-7ccb580c3e2a</t>
  </si>
  <si>
    <t>201LC02261830502</t>
  </si>
  <si>
    <t>ce617998-a99a-4b2b-9c23-fac79536521a</t>
  </si>
  <si>
    <t>OT26239TZ0127122</t>
  </si>
  <si>
    <t>47f8dd0f-3636-4fe3-b697-5ce3b1592ab1</t>
  </si>
  <si>
    <t>OT26239TZ0126942</t>
  </si>
  <si>
    <t>fc5090c1-3cc6-4cb8-ab86-f82d7c92bf82</t>
  </si>
  <si>
    <t>HZ1K11DKIMSA0ADD</t>
  </si>
  <si>
    <t>eac37d2e-07f4-426b-831d-b76c29193a4b</t>
  </si>
  <si>
    <t>311LC02261770502</t>
  </si>
  <si>
    <t>da823a94-ee8d-432c-9b27-3c097ed1ebe5</t>
  </si>
  <si>
    <t>CMBBB96D7D0164</t>
  </si>
  <si>
    <t>31bc1f97-c000-4c59-98b5-e82a33a6e875</t>
  </si>
  <si>
    <t>TZ1RTGF262390271</t>
  </si>
  <si>
    <t>4a6b2641-abd0-43a2-9493-82a13ec94f65</t>
  </si>
  <si>
    <t>260827T000580681</t>
  </si>
  <si>
    <t>HB.53/565/01F4250</t>
  </si>
  <si>
    <t>5a09140f-f866-47b5-8e06-2a0110ac0fcf</t>
  </si>
  <si>
    <t>TZAAO23926HM7UL</t>
  </si>
  <si>
    <t>55c143d3-386f-4e45-b36b-5493322c165</t>
  </si>
  <si>
    <t>a28eebc7-863f-4c4b-bda0-28551e8151de</t>
  </si>
  <si>
    <t>311LC02261770501</t>
  </si>
  <si>
    <t>ee250421-f604-4040-acf2-a68797b73ceb</t>
  </si>
  <si>
    <t>1081546</t>
  </si>
  <si>
    <t>2cd768a3-4bea-4a7a-b259-86c5bcef1dea</t>
  </si>
  <si>
    <t>ACTZ0827PUWCK</t>
  </si>
  <si>
    <t>c8d2b6e6-aa94-422f-a11e-7db355f67a58</t>
  </si>
  <si>
    <t>ACTZTZTZ NMIBTZTZ</t>
  </si>
  <si>
    <t>OT26239TZ0127015</t>
  </si>
  <si>
    <t>68281316-4ebb-43de-8a51-7bf55f00c2ec</t>
  </si>
  <si>
    <t>OT26239TZ0126974</t>
  </si>
  <si>
    <t>f4502bde-72d2-4b8f-9c38-095936468c53</t>
  </si>
  <si>
    <t>TZAAO23926H2UG3</t>
  </si>
  <si>
    <t>6dc6b072-8392-4570-9b8d-0d2a2a185b4</t>
  </si>
  <si>
    <t>8fc66ce0-f1fc-4e67-9dfb-363478631d37</t>
  </si>
  <si>
    <t>TZAAO23926H1S75</t>
  </si>
  <si>
    <t>0d4e2c10-198f-4c1d-b1d7-e4a7edb3f3d</t>
  </si>
  <si>
    <t>663738a3-eacb-41da-b896-fd6b55a611c9</t>
  </si>
  <si>
    <t>OT26239TZ0127147</t>
  </si>
  <si>
    <t>8e13b755-d48b-4eca-8722-1b7f6d2863cd</t>
  </si>
  <si>
    <t>TZAAO23926HH8UE</t>
  </si>
  <si>
    <t>f623665a-6103-48c8-b5cc-fd1f1348fd9</t>
  </si>
  <si>
    <t>266ab2f9-7a7e-4305-99d6-d4f092671221</t>
  </si>
  <si>
    <t>260827TA039793</t>
  </si>
  <si>
    <t>TZAAO23926HYWGR</t>
  </si>
  <si>
    <t>c55d5a56-c583-490d-96ed-4723bf80219</t>
  </si>
  <si>
    <t>00414adf-7b28-4603-a13f-270b2173fbc7</t>
  </si>
  <si>
    <t>1081533</t>
  </si>
  <si>
    <t>caaf8d9d-7ee6-43f5-ac6b-bdbeb7a398a8</t>
  </si>
  <si>
    <t>311LC02261770002</t>
  </si>
  <si>
    <t>25b04e26-cc60-4866-bc2f-05286e8f73ba</t>
  </si>
  <si>
    <t>S486014</t>
  </si>
  <si>
    <t>dfc343e7-8cc3-4c5a-96d6-3668a45f7cea</t>
  </si>
  <si>
    <t>TZ1RTGF262400933</t>
  </si>
  <si>
    <t>0c5ffc40-e8a7-40ac-b3dd-fac21ad7960e</t>
  </si>
  <si>
    <t>TZ1RTGF262400666</t>
  </si>
  <si>
    <t>63855d29-ea20-4d1f-86fd-1ac934ab467a</t>
  </si>
  <si>
    <t>OT26240TZ0127413</t>
  </si>
  <si>
    <t>a7d2ecc8-54b2-4e1e-bf9c-53e8cb4f3c67</t>
  </si>
  <si>
    <t>P260828C00001341</t>
  </si>
  <si>
    <t>7df19e57-2d7c-4b9c-b6ab-e2ba47bc9dfb</t>
  </si>
  <si>
    <t>TZAAO24026HR9BL</t>
  </si>
  <si>
    <t>cf103140-b913-4b9c-9a3f-e72b91b9aaa</t>
  </si>
  <si>
    <t>defae1c6-dc2e-42eb-a316-07d30773f607</t>
  </si>
  <si>
    <t>OT26240TZ0127586</t>
  </si>
  <si>
    <t>3ac8a144-2bf9-447b-90ed-2166cd0b549b</t>
  </si>
  <si>
    <t>NMBFUN2808026/01</t>
  </si>
  <si>
    <t>94681744-40d0-4a60-a49c-4baa716d752f</t>
  </si>
  <si>
    <t>FT26238WVXZ81</t>
  </si>
  <si>
    <t>e967f6ef-01b9-4651-9cd9-40bef8d838eb</t>
  </si>
  <si>
    <t>DTB/1534/2026</t>
  </si>
  <si>
    <t>GWX103416081375</t>
  </si>
  <si>
    <t>1e3c682f-da10-4cd0-a01f-f84211a99952</t>
  </si>
  <si>
    <t>005COUS280826015</t>
  </si>
  <si>
    <t>d332c34d-8c16-4910-9061-b84e7efd5039</t>
  </si>
  <si>
    <t>TZAAO24026HUXOO</t>
  </si>
  <si>
    <t>F/TZA/DRT/AAO/20260828/00037577107</t>
  </si>
  <si>
    <t>a3e10903-bf03-42f6-bd3e-807d83cda1fc</t>
  </si>
  <si>
    <t>TZAAO24026HC4YR</t>
  </si>
  <si>
    <t>0b4236f6-8a13-4523-99ca-d7438947a18</t>
  </si>
  <si>
    <t>8721a4b2-f404-4ab1-9bfd-bf71cb18797a</t>
  </si>
  <si>
    <t>GEPGTR-7190660</t>
  </si>
  <si>
    <t>91e81f4d-7542-4bc2-abd1-aa77ba1f616f</t>
  </si>
  <si>
    <t>OT26240TZ0127446</t>
  </si>
  <si>
    <t>227364df-1351-4522-a2f8-360a159857ed</t>
  </si>
  <si>
    <t>TZ1OL260828026RG</t>
  </si>
  <si>
    <t>PIJIEFTZ01A21715</t>
  </si>
  <si>
    <t>61841345-f233-4373-b364-fdd58860b957</t>
  </si>
  <si>
    <t>OT26240TZ0127585</t>
  </si>
  <si>
    <t>a5a393c6-0f55-4671-92c2-68d79bd7ad5c</t>
  </si>
  <si>
    <t>P260828C00003063</t>
  </si>
  <si>
    <t>919ae0ba-4faa-4943-9f98-d8dac95dbf6d</t>
  </si>
  <si>
    <t>P260828C00001165</t>
  </si>
  <si>
    <t>e8313aff-ff35-4a68-a888-c666f5baa987</t>
  </si>
  <si>
    <t>GEPGTR-7190657</t>
  </si>
  <si>
    <t>33caad8e-aa49-44a0-8d8d-f14867df5fea</t>
  </si>
  <si>
    <t>TZ1OL260828026NZ</t>
  </si>
  <si>
    <t>PIJIEFTZ01A21700</t>
  </si>
  <si>
    <t>ef085cf8-db15-4ce2-972d-4b546de79350</t>
  </si>
  <si>
    <t>TZ1RTGF262400934</t>
  </si>
  <si>
    <t>8d73f59e-d833-40c6-a4ce-9bed88f386f0</t>
  </si>
  <si>
    <t>FT26240YN4QY</t>
  </si>
  <si>
    <t>146b04de-cab7-4d39-b0ae-82d415d03766</t>
  </si>
  <si>
    <t>GEPGTR-7190663</t>
  </si>
  <si>
    <t>49f6a385-d505-472c-8fe2-36303d3e8080</t>
  </si>
  <si>
    <t>RTOMICC01088236</t>
  </si>
  <si>
    <t>ef7c4d4e-e549-4153-8458-ec9a6473d600</t>
  </si>
  <si>
    <t>OT26239TZ0127052</t>
  </si>
  <si>
    <t>06a438c1-7da3-4e70-b8df-4da3a2d102b2</t>
  </si>
  <si>
    <t>TZ1OL260828026O1</t>
  </si>
  <si>
    <t>PIJIEFTZ01A21707</t>
  </si>
  <si>
    <t>caaac5d0-9d71-40cc-a362-f478a9ae6a8f</t>
  </si>
  <si>
    <t>GEPGTR-7190662</t>
  </si>
  <si>
    <t>25c686ee-4364-4f76-a60c-655d8f92fbd2</t>
  </si>
  <si>
    <t>OT26240TZ0127462</t>
  </si>
  <si>
    <t>95ee0d7b-c3b4-444e-8ca4-2e482e5757b7</t>
  </si>
  <si>
    <t>OT26240TZ0127458</t>
  </si>
  <si>
    <t>cff055d4-a882-4d2f-8220-84e8feffbcd3</t>
  </si>
  <si>
    <t>TZ1OL26082802624</t>
  </si>
  <si>
    <t>PINEELTZ01A31933</t>
  </si>
  <si>
    <t>aac5ee68-e886-4b1a-8b32-6c104610e6db</t>
  </si>
  <si>
    <t>CMRTG26240005031</t>
  </si>
  <si>
    <t>41f7e79d-de3e-4ef4-9071-0f3fcd016cb2</t>
  </si>
  <si>
    <t>GEPGTR-7190664</t>
  </si>
  <si>
    <t>7945ebee-92d3-4446-b178-9af59e9e9e9b</t>
  </si>
  <si>
    <t>OT26240TZ0127587</t>
  </si>
  <si>
    <t>9ec4a9f1-9448-4c11-ac4e-bcf96a88c0dc</t>
  </si>
  <si>
    <t>TZ1OL260828026NY</t>
  </si>
  <si>
    <t>PIJIEFTZ01A21705</t>
  </si>
  <si>
    <t>6ad65f20-4237-4ee3-9c8a-1dfd719dd815</t>
  </si>
  <si>
    <t>GEPGTR-7190661</t>
  </si>
  <si>
    <t>b10206d1-7307-4b09-aa9d-51a479195710</t>
  </si>
  <si>
    <t>GEPGTR-7190658</t>
  </si>
  <si>
    <t>c08f3c85-4543-419a-b133-55465943a8d9</t>
  </si>
  <si>
    <t>OT26240TZ0127466</t>
  </si>
  <si>
    <t>a62352c4-6918-438b-befd-04540ac16687</t>
  </si>
  <si>
    <t>GEPGTR-7190655</t>
  </si>
  <si>
    <t>36aec1d8-09fa-400a-ae6d-b04b0fac35ce</t>
  </si>
  <si>
    <t>RTOMICC01088275</t>
  </si>
  <si>
    <t>19c3c59a-862a-4341-a42f-9022c1ee767d</t>
  </si>
  <si>
    <t>1081549</t>
  </si>
  <si>
    <t>595d254f-079b-49af-9c7e-f806bf8e3701</t>
  </si>
  <si>
    <t>GEPGTR-7190659</t>
  </si>
  <si>
    <t>a7e589ef-cb01-4ece-a760-87d5a831da63</t>
  </si>
  <si>
    <t>TZ1OL260828026RH</t>
  </si>
  <si>
    <t>PIJIEFTZ01A21711</t>
  </si>
  <si>
    <t>62b6a10a-47b8-41a4-b3c3-f556b91edd4e</t>
  </si>
  <si>
    <t>TZ1OL260828026RK</t>
  </si>
  <si>
    <t>PIJIEFTZ01A21709</t>
  </si>
  <si>
    <t>4cd9f535-2b87-4c3d-a610-ded56b46586a</t>
  </si>
  <si>
    <t>GEPGTR-7190656</t>
  </si>
  <si>
    <t>3bf22a32-ac70-4bca-9bed-c3259fd1e031</t>
  </si>
  <si>
    <t>0010108262532736</t>
  </si>
  <si>
    <t>16172cab-1c08-40f1-b436-9a458e5dd050</t>
  </si>
  <si>
    <t>TZ1OL260828026RI</t>
  </si>
  <si>
    <t>PIJIEFTZ01A21717</t>
  </si>
  <si>
    <t>a69ec713-7f38-491b-a86a-331fc336643b</t>
  </si>
  <si>
    <t>TZ1RTGF262400838</t>
  </si>
  <si>
    <t>a9915217-d13f-4d7a-8580-49765a2fe2a9</t>
  </si>
  <si>
    <t>260828TA039807</t>
  </si>
  <si>
    <t>TZAAO24026HPKB9</t>
  </si>
  <si>
    <t>16b20c0b-2e56-417c-852e-1507e867eab</t>
  </si>
  <si>
    <t>7891e5d1-fc02-4b15-82de-b7f0a0857cce</t>
  </si>
  <si>
    <t>P260829C00001539</t>
  </si>
  <si>
    <t>27d11d46-9b73-4231-b4c6-4af377c58521</t>
  </si>
  <si>
    <t>GT6141647769</t>
  </si>
  <si>
    <t>6dc1e5ea-2213-45a3-a3a1-9c81d7a23695</t>
  </si>
  <si>
    <t>P260829C00002007</t>
  </si>
  <si>
    <t>f6e033e9-307a-4ffe-9da5-6239fa3dd457</t>
  </si>
  <si>
    <t>GEPGTR-7190668</t>
  </si>
  <si>
    <t>48bbc9c2-e945-4ee5-b675-02bf7fd08946</t>
  </si>
  <si>
    <t>T0129082696257</t>
  </si>
  <si>
    <t>e7dc379d-37d7-4599-9b35-88c2452cd948</t>
  </si>
  <si>
    <t>260829TA039823</t>
  </si>
  <si>
    <t>RTOMICC01088489</t>
  </si>
  <si>
    <t>b7db7551-8bf6-4e8b-95aa-520a4b23b288</t>
  </si>
  <si>
    <t>P260829C00001047</t>
  </si>
  <si>
    <t>bcbceff8-7c0e-4ff3-b0dc-1d2e2a87918c</t>
  </si>
  <si>
    <t>RTOMICC01088488</t>
  </si>
  <si>
    <t>4bc8a2fe-d4d6-494b-b350-a654d8e75548</t>
  </si>
  <si>
    <t>000000586927</t>
  </si>
  <si>
    <t>563d1ea5-86d5-4b0a-bfd0-b6f77e179a7</t>
  </si>
  <si>
    <t>657b23e4-a912-4744-8bc7-62eab8f98a42</t>
  </si>
  <si>
    <t>TZAAO24326HGBHD</t>
  </si>
  <si>
    <t>c77a5955-ff42-45de-a3de-e54ca8a07e7</t>
  </si>
  <si>
    <t>4172d360-193f-4696-82d8-1456c706d726</t>
  </si>
  <si>
    <t>OT26243TZ0128236</t>
  </si>
  <si>
    <t>002d7546-717a-415e-84a9-64a8161d0660</t>
  </si>
  <si>
    <t>TZ1RTGF262430574</t>
  </si>
  <si>
    <t>991330194817</t>
  </si>
  <si>
    <t>daf15f91-1590-4936-9b61-25f89188357b</t>
  </si>
  <si>
    <t>TZ1RTGF262430967</t>
  </si>
  <si>
    <t>75e67ccc-2990-42cb-81d0-59e0ea508e7b</t>
  </si>
  <si>
    <t>P260831C00001361</t>
  </si>
  <si>
    <t>e3026c14-29d2-4bd0-936b-73034cf72dc9</t>
  </si>
  <si>
    <t>TZAAO24326HI0D3</t>
  </si>
  <si>
    <t>f275c639-f45b-4c4e-95c6-c3a7838e406</t>
  </si>
  <si>
    <t>7fbfd265-4176-4c12-863e-65a942ad5f55</t>
  </si>
  <si>
    <t>TZ1RTGF262430969</t>
  </si>
  <si>
    <t>5971203e-9c98-4126-91c7-5a7624d113f3</t>
  </si>
  <si>
    <t>TZAAO24326HM5I1</t>
  </si>
  <si>
    <t>f07a3082-5ed2-471e-91a6-3604926b388</t>
  </si>
  <si>
    <t>9ef272cd-0b8a-47bc-ae93-10eb21308281</t>
  </si>
  <si>
    <t>P260831C00000365</t>
  </si>
  <si>
    <t>8363e5be-f9a7-482c-b741-71f4664a8b8f</t>
  </si>
  <si>
    <t>S497014</t>
  </si>
  <si>
    <t>de478ccf-23b9-42a5-97fc-9bb5fd5d9341</t>
  </si>
  <si>
    <t>P260831C00001355</t>
  </si>
  <si>
    <t>ebadee98-3e55-479e-b973-00d25b2a5c34</t>
  </si>
  <si>
    <t>RAVSIQ4C</t>
  </si>
  <si>
    <t>1f26304f-2c8f-4cc6-8277-85afb7cbc1fc</t>
  </si>
  <si>
    <t>P260831C00001353</t>
  </si>
  <si>
    <t>eeaf9a8c-06f1-4f5e-977c-0c8ecc1be50d</t>
  </si>
  <si>
    <t>TZ1RTGF262431001</t>
  </si>
  <si>
    <t>0ba88dc6-5340-4645-bd17-377d7fa70bde</t>
  </si>
  <si>
    <t>OT26243TZ0128085</t>
  </si>
  <si>
    <t>2a990617-f5f5-4857-8bdb-b61aa3143df9</t>
  </si>
  <si>
    <t>FT262435B9QV</t>
  </si>
  <si>
    <t>128cf089-6464-407b-b58a-9dfa03988166</t>
  </si>
  <si>
    <t>P260831C00001359</t>
  </si>
  <si>
    <t>57c7675d-f1dd-48b4-9276-fe7b37a69eae</t>
  </si>
  <si>
    <t>FT26243TD5ZP</t>
  </si>
  <si>
    <t>8d5127c5-55bf-43ed-a560-421afc327197</t>
  </si>
  <si>
    <t>TZAAO24326HM9A8</t>
  </si>
  <si>
    <t>df238065-1d51-4f95-81ba-e80083cd4a0</t>
  </si>
  <si>
    <t>e0784b38-d11d-4c1c-9917-90309e68b866</t>
  </si>
  <si>
    <t>TZ1OL260831025AO</t>
  </si>
  <si>
    <t>PICASPTZ01A43743</t>
  </si>
  <si>
    <t>84e31367-59f2-49c6-94ad-784b3ea2c223</t>
  </si>
  <si>
    <t>TZ1RTGF262430561</t>
  </si>
  <si>
    <t>991330194825</t>
  </si>
  <si>
    <t>6a4c0163-4b19-420b-8143-7f4899224994</t>
  </si>
  <si>
    <t>OT26243TZ0128303</t>
  </si>
  <si>
    <t>f9b9e6d1-fdf6-47cb-bd7e-f7867b2cb15a</t>
  </si>
  <si>
    <t>GEPGTR-7190686</t>
  </si>
  <si>
    <t>881a5dd7-53e3-4737-872d-185e32dad2c1</t>
  </si>
  <si>
    <t>1081581</t>
  </si>
  <si>
    <t>e9e1ae3f-0bb3-46c7-93c2-b0d93db8d738</t>
  </si>
  <si>
    <t>TZ1RTGF262430052</t>
  </si>
  <si>
    <t>2ae3e3f1-15d5-4c26-90b4-2538449b4534</t>
  </si>
  <si>
    <t>P260831C00003049</t>
  </si>
  <si>
    <t>cfdbd82a-c888-4d9c-83f9-a189bc8abd51</t>
  </si>
  <si>
    <t>1081590</t>
  </si>
  <si>
    <t>35b9b317-af75-429d-b29e-60bf3200b59c</t>
  </si>
  <si>
    <t>TZAAO24326HPKX2</t>
  </si>
  <si>
    <t>8f9e728e-93de-4be3-b631-8cfd71f3973</t>
  </si>
  <si>
    <t>ad40bbb4-2aef-450b-bcca-b6fc22f6ebf7</t>
  </si>
  <si>
    <t>1081601</t>
  </si>
  <si>
    <t>6833246f-3648-4681-8f52-29fcb2ea46d1</t>
  </si>
  <si>
    <t>P260831C00003093</t>
  </si>
  <si>
    <t>56815d33-7ab7-4ddf-b395-327c2c1adc91</t>
  </si>
  <si>
    <t>P260831C00001363</t>
  </si>
  <si>
    <t>fb318cc8-cf51-4004-8c53-333655fee041</t>
  </si>
  <si>
    <t>P260831C00001755</t>
  </si>
  <si>
    <t>3108A72E568B</t>
  </si>
  <si>
    <t>0e61fc65-4149-49f4-b1e5-fcb1b5305122</t>
  </si>
  <si>
    <t>260831TA039833</t>
  </si>
  <si>
    <t>CMRTG26243009176</t>
  </si>
  <si>
    <t>d0cf8c56-a3f3-446a-ae91-603955fe6ff6</t>
  </si>
  <si>
    <t>201LC02261820002</t>
  </si>
  <si>
    <t>7a546bb4-c2cd-46b6-8d54-ec6da52a91cc</t>
  </si>
  <si>
    <t>P260831C00001357</t>
  </si>
  <si>
    <t>6c52a4ac-f299-466a-8a87-daf509f394fc</t>
  </si>
  <si>
    <t>TZ1RTGF262430677</t>
  </si>
  <si>
    <t>2c356f6c-06ec-4ad5-afc0-f85eb3ca6399</t>
  </si>
  <si>
    <t>001FTOL262440170</t>
  </si>
  <si>
    <t>7163c31c-cd01-405c-9539-af797a3b5ff4</t>
  </si>
  <si>
    <t>TZAAO24426HPZVX</t>
  </si>
  <si>
    <t>2c9171fb-64de-4e56-a2a0-c0032a39bd9</t>
  </si>
  <si>
    <t>863c38bb-c5bc-47ef-b21c-67ef22ebcf32</t>
  </si>
  <si>
    <t>OT26244TZ0128679</t>
  </si>
  <si>
    <t>15db1ca4-4d4f-4498-944d-54d58f16732d</t>
  </si>
  <si>
    <t>CMRTG26244005803</t>
  </si>
  <si>
    <t>7ee1d632-fd5c-463b-b2a1-35c7248dd2ce</t>
  </si>
  <si>
    <t>OT26244TZ0128466</t>
  </si>
  <si>
    <t>f4879340-cd2b-4835-ad03-8c9879570254</t>
  </si>
  <si>
    <t>FT2624438Y6L</t>
  </si>
  <si>
    <t>a85b69a4-fac3-4b7f-8efa-077fa95aa5a6</t>
  </si>
  <si>
    <t>OT26244TZ0128476</t>
  </si>
  <si>
    <t>ed55c58e-9839-4e97-889a-a0dcdddef28e</t>
  </si>
  <si>
    <t>OT26244TZ0128465</t>
  </si>
  <si>
    <t>e0fbf80b-b1d7-4b38-b715-14188651457c</t>
  </si>
  <si>
    <t>TZ1OL260901025FK</t>
  </si>
  <si>
    <t>PIGSGHCDSPA20581</t>
  </si>
  <si>
    <t>60b7e430-cd7c-4a84-9182-e79b4cefcb3c</t>
  </si>
  <si>
    <t>OT26244TZ0128532</t>
  </si>
  <si>
    <t>e26d6b9b-2969-4cff-83bd-79e2f1699d66</t>
  </si>
  <si>
    <t>OT26244TZ0128463</t>
  </si>
  <si>
    <t>029a627c-3f53-4f09-944b-49237d982e98</t>
  </si>
  <si>
    <t>000008405422</t>
  </si>
  <si>
    <t>bee125c3-680d-46c2-8d78-4505e857deb5</t>
  </si>
  <si>
    <t>FT262445VSZ4</t>
  </si>
  <si>
    <t>28515b62-b799-4a60-b160-fa9019b4533f</t>
  </si>
  <si>
    <t>S260901HQ8725916</t>
  </si>
  <si>
    <t>5ba7d3c8-fe3c-47d7-af95-f6fe83da876f</t>
  </si>
  <si>
    <t>FT26244T7S5G</t>
  </si>
  <si>
    <t>13f91ca0-6234-4a60-8a58-ada2619ce56c</t>
  </si>
  <si>
    <t>GEPGTR-7190734</t>
  </si>
  <si>
    <t>cda3bc24-2c7d-4b8b-ba31-7a39da2df7a1</t>
  </si>
  <si>
    <t>OT26244TZ0128478</t>
  </si>
  <si>
    <t>809f18d3-9c28-4576-863f-df187d5abf21</t>
  </si>
  <si>
    <t>OT26244TZ0128469</t>
  </si>
  <si>
    <t>6795f291-d6a5-440e-b5ec-fede27fc5aa9</t>
  </si>
  <si>
    <t>OT26244TZ0128468</t>
  </si>
  <si>
    <t>cd14e3b6-1d6f-4e2a-8e6e-4eee83ac7b96</t>
  </si>
  <si>
    <t>260901TA039847</t>
  </si>
  <si>
    <t>OT26244TZ0128471</t>
  </si>
  <si>
    <t>8fca6b4b-417b-482f-b3da-8d0d7b8c9198</t>
  </si>
  <si>
    <t>1081602</t>
  </si>
  <si>
    <t>10852a64-69f4-4687-a45b-ceb0312082f2</t>
  </si>
  <si>
    <t>171IBT2608312802LTZXBA</t>
  </si>
  <si>
    <t>8abeaac5-d768-4249-967b-76966787f708</t>
  </si>
  <si>
    <t>OT26244TZ0128470</t>
  </si>
  <si>
    <t>39d4687f-6ca2-4f56-bfdc-09f92c22e3ff</t>
  </si>
  <si>
    <t>239LC02261800001</t>
  </si>
  <si>
    <t>e4cfed2b-554b-4228-ac03-5e6df4488c96</t>
  </si>
  <si>
    <t>CMRTG26244002630</t>
  </si>
  <si>
    <t>b977aa75-426e-4d19-b5ad-df3332e7801a</t>
  </si>
  <si>
    <t>OT26244TZ0128467</t>
  </si>
  <si>
    <t>a6c99e90-a862-41ea-a5d1-ee9cf5267dfe</t>
  </si>
  <si>
    <t>FT2624414HJH</t>
  </si>
  <si>
    <t>7beb518e-2728-4196-ab96-bd4514e0e4ee</t>
  </si>
  <si>
    <t>TZ1OL260901025FI</t>
  </si>
  <si>
    <t>PIGSGHCDSPA20583</t>
  </si>
  <si>
    <t>42cf3bb8-6aac-4e6b-8d2a-19ecff4a556c</t>
  </si>
  <si>
    <t>RTO3002262372238</t>
  </si>
  <si>
    <t>cc9d31bb-7f76-415e-986a-7614045139dc</t>
  </si>
  <si>
    <t>TZAAO24426HRAPQ</t>
  </si>
  <si>
    <t>081dc48d-3b0d-446f-8143-478b779e16f</t>
  </si>
  <si>
    <t>c2a45336-8d5a-488f-a484-c3a691edcf7a</t>
  </si>
  <si>
    <t>FT26244253QJ</t>
  </si>
  <si>
    <t>7a757c6b-7040-4cfd-b495-07ad0a399da1</t>
  </si>
  <si>
    <t>OT26244TZ0128550</t>
  </si>
  <si>
    <t>7869fe90-9dff-4aec-9e0f-5c0c6a5de379</t>
  </si>
  <si>
    <t>TZAAO24426HWV9Z</t>
  </si>
  <si>
    <t>F/TZA/DRT/AAO/20260901/00037703413</t>
  </si>
  <si>
    <t>d7bc53cf-0856-4807-9fbc-6ea4af980a2f</t>
  </si>
  <si>
    <t>OT26243TZ0128309</t>
  </si>
  <si>
    <t>a53c6a68-c0e6-47ff-94f0-afe69334cc9d</t>
  </si>
  <si>
    <t>OT26244TZ0128474</t>
  </si>
  <si>
    <t>83ced215-ecb4-4a6a-9318-b3e96ede4dd8</t>
  </si>
  <si>
    <t>OT26244TZ0128492</t>
  </si>
  <si>
    <t>532c50b6-7bfa-4deb-a2dc-736044e117bd</t>
  </si>
  <si>
    <t>OT26244TZ0128475</t>
  </si>
  <si>
    <t>f359c544-f188-4acf-a689-95ce5f3bea4c</t>
  </si>
  <si>
    <t>P260901C00002341</t>
  </si>
  <si>
    <t>b1f4a404-0ea6-41d3-b763-fd3dc4b4db12</t>
  </si>
  <si>
    <t>TZ1OL260901025FJ</t>
  </si>
  <si>
    <t>PIGSGHCDSPA20584</t>
  </si>
  <si>
    <t>a641a12d-077f-4539-8ba5-ce0946b194b6</t>
  </si>
  <si>
    <t>260901T000583204</t>
  </si>
  <si>
    <t>S06624417D7801</t>
  </si>
  <si>
    <t>5a682838-a86b-4f9a-8e06-2a0110ac2880</t>
  </si>
  <si>
    <t>OT26244TZ0128464</t>
  </si>
  <si>
    <t>262e5e7a-5eb2-4875-9cd2-219bb94ae725</t>
  </si>
  <si>
    <t>OT26244TZ0128472</t>
  </si>
  <si>
    <t>aa90ee6f-49a1-48f4-a436-d0e5ee4b10ac</t>
  </si>
  <si>
    <t>OT26244TZ0128578</t>
  </si>
  <si>
    <t>3418b4c9-3b55-41ee-b97c-1dcfd8fd6314</t>
  </si>
  <si>
    <t>SQ03PD7T</t>
  </si>
  <si>
    <t>221bcc4c-b26b-4409-8fd4-63c836d2aafd</t>
  </si>
  <si>
    <t>1081619</t>
  </si>
  <si>
    <t>72a6d27b-1efb-4822-899e-106c41965a2d</t>
  </si>
  <si>
    <t>TZAAO24526HI3SM</t>
  </si>
  <si>
    <t>F/TZA/DRT/AAO/20260902/00037741247</t>
  </si>
  <si>
    <t>88ceeb29-ffab-4acf-8399-62b2e679af80</t>
  </si>
  <si>
    <t>TZAAO24526H2CPD</t>
  </si>
  <si>
    <t>6e75763e-07b1-44df-b503-12743c8bea6</t>
  </si>
  <si>
    <t>c90cef65-33f8-4213-a925-4d11c5de886c</t>
  </si>
  <si>
    <t>TZ1OL260902025KD</t>
  </si>
  <si>
    <t>0822000011-2</t>
  </si>
  <si>
    <t>c0f95f90-c664-4e20-ad00-c21dd5e128bd</t>
  </si>
  <si>
    <t>TZ1OL260902025KB</t>
  </si>
  <si>
    <t>0822000011-1</t>
  </si>
  <si>
    <t>1de121c6-565d-449d-827c-8abe0686de7c</t>
  </si>
  <si>
    <t>GT4046347305</t>
  </si>
  <si>
    <t>5e3218dd-e16a-46e1-ab99-3c3c63e2194d</t>
  </si>
  <si>
    <t>TZAAO24526HYJ0A</t>
  </si>
  <si>
    <t>dd4047f2-eaac-4ce2-b977-1d6810cca6b</t>
  </si>
  <si>
    <t>4315bee7-824c-439e-816f-5499d39a0070</t>
  </si>
  <si>
    <t>OT26245TZ0129069</t>
  </si>
  <si>
    <t>6bd2bdb4-a41b-4313-80e5-b8e1a869fc9d</t>
  </si>
  <si>
    <t>TZ1OL260902025KC</t>
  </si>
  <si>
    <t>0822000011-3</t>
  </si>
  <si>
    <t>0aa079de-62f4-4efe-8bbb-bb899a743278</t>
  </si>
  <si>
    <t>TZAAO24526H8LKV</t>
  </si>
  <si>
    <t>F/TZA/DRT/AAO/20260902/00037741182</t>
  </si>
  <si>
    <t>d6ad435e-b8d3-45ad-a04f-a11cf8a2c045</t>
  </si>
  <si>
    <t>TZAAO24526H0CXM</t>
  </si>
  <si>
    <t>F/TZA/DRT/AAO/20260902/00037741181</t>
  </si>
  <si>
    <t>20ce4128-5ad0-4860-a31e-5cbeb4cf8587</t>
  </si>
  <si>
    <t>TZAAO24526HMRZS</t>
  </si>
  <si>
    <t>F/TZA/DRT/AAO/20260902/00037741185</t>
  </si>
  <si>
    <t>17ff1aab-09a8-4f7c-9022-028c672b98e8</t>
  </si>
  <si>
    <t>HZ1K1GOF30F6FBF0</t>
  </si>
  <si>
    <t>46be5c7f-0776-4a1e-addc-e07e9346f8da</t>
  </si>
  <si>
    <t>TZ1RTGF262450685</t>
  </si>
  <si>
    <t>6732a75e-5533-416a-9bac-09b2830cf893</t>
  </si>
  <si>
    <t>TZAAO24526H0057</t>
  </si>
  <si>
    <t>8e1864e5-9257-4bcd-a572-1dfc838f8c7</t>
  </si>
  <si>
    <t>2585ad18-8829-4ad6-9cb5-741b69b62657</t>
  </si>
  <si>
    <t>TZAAO24526HADYA</t>
  </si>
  <si>
    <t>F/TZA/DRT/AAO/20260902/00037741240</t>
  </si>
  <si>
    <t>948735a4-b7b1-4361-9678-dcc7e148fa39</t>
  </si>
  <si>
    <t>TZAAO24526HPG16</t>
  </si>
  <si>
    <t>F/TZA/DRT/AAO/20260902/00037739696</t>
  </si>
  <si>
    <t>2c889347-5100-4c80-83ae-96630e000c02</t>
  </si>
  <si>
    <t>TZAAO24526HU4FF</t>
  </si>
  <si>
    <t>2ba24ebb-791b-4574-aa45-512390c5b64</t>
  </si>
  <si>
    <t>e6427cce-e634-4ed5-8bc8-a9d63abdb3c7</t>
  </si>
  <si>
    <t>OT26245TZ0128822</t>
  </si>
  <si>
    <t>7a77a263-ccd5-49e8-ae24-f2ed84ca6530</t>
  </si>
  <si>
    <t>TZAAO24526H2DMS</t>
  </si>
  <si>
    <t>F/TZA/DRT/AAO/20260902/00037741243</t>
  </si>
  <si>
    <t>6a9dedab-2943-489b-abf0-7dae45464a47</t>
  </si>
  <si>
    <t>TZAAO24526HXS6Q</t>
  </si>
  <si>
    <t>F/TZA/DRT/AAO/20260902/00037741241</t>
  </si>
  <si>
    <t>69ec1cf5-315d-4eb0-af3b-c321dda862c5</t>
  </si>
  <si>
    <t>TZAAO24526HPSLT</t>
  </si>
  <si>
    <t>F/TZA/DRT/AAO/20260902/00037739699</t>
  </si>
  <si>
    <t>22cd13fc-9578-4a6a-a2cf-f39b473c70e1</t>
  </si>
  <si>
    <t>TZAAO24526HDILJ</t>
  </si>
  <si>
    <t>F/TZA/DRT/AAO/20260902/00037741248</t>
  </si>
  <si>
    <t>2f5a2b38-df42-48fe-8b6e-664e004ce92f</t>
  </si>
  <si>
    <t>TZAAO24526HRJ3H</t>
  </si>
  <si>
    <t>22865971-ba83-4329-9218-f8792a56cde</t>
  </si>
  <si>
    <t>e21cb828-ec59-4e96-8736-3da9dac80a5d</t>
  </si>
  <si>
    <t>TZ1OL260902025PU</t>
  </si>
  <si>
    <t>PICATITZ01A10603</t>
  </si>
  <si>
    <t>99329509-eb4f-4302-83e0-c1d254dddac9</t>
  </si>
  <si>
    <t>TZ1OL2609020259P</t>
  </si>
  <si>
    <t>PICASPTZ01A43748</t>
  </si>
  <si>
    <t>ae6aee08-030c-4a74-adef-e1349a6f534d</t>
  </si>
  <si>
    <t>OT26245TZ0128954</t>
  </si>
  <si>
    <t>ffd9958c-d4b9-4290-bd1f-fa23d9b9b62e</t>
  </si>
  <si>
    <t>213IBT26090241237QVJJD</t>
  </si>
  <si>
    <t>538b9b3b-b695-4f9a-b4e2-86711ac2d616</t>
  </si>
  <si>
    <t>TZAAO24526HEXJZ</t>
  </si>
  <si>
    <t>F/TZA/DRT/AAO/20260902/00037741191</t>
  </si>
  <si>
    <t>478ec021-811b-4389-b264-d0b041730b4b</t>
  </si>
  <si>
    <t>1081621</t>
  </si>
  <si>
    <t>17600423-7e67-498c-889b-e59f7de38b73</t>
  </si>
  <si>
    <t>TZAAO24526HK549</t>
  </si>
  <si>
    <t>F/TZA/DRT/AAO/20260902/00037741194</t>
  </si>
  <si>
    <t>eb91f1fb-8aea-4fa1-b269-8b4d9d4de36b</t>
  </si>
  <si>
    <t>TZ1OL260902025KE</t>
  </si>
  <si>
    <t>0822000011-4</t>
  </si>
  <si>
    <t>26bcece0-0081-4c2e-940b-668eb117498b</t>
  </si>
  <si>
    <t>TZAAO24526H1DCY</t>
  </si>
  <si>
    <t>F/TZA/DRT/AAO/20260902/00037739703</t>
  </si>
  <si>
    <t>8ee34bfb-e634-4da7-8ca2-a24f1d097db5</t>
  </si>
  <si>
    <t>TZAAO24526HN6OY</t>
  </si>
  <si>
    <t>F/TZA/DRT/AAO/20260902/00037739930</t>
  </si>
  <si>
    <t>cc47cd87-024d-4a47-804d-91ff50f00611</t>
  </si>
  <si>
    <t>P260902C00001537</t>
  </si>
  <si>
    <t>02095931D44E</t>
  </si>
  <si>
    <t>02ab64d6-0596-4ecd-b2b3-98a79c83d426</t>
  </si>
  <si>
    <t>LC260902Ho9bUJfk</t>
  </si>
  <si>
    <t>ddd29836-6bdf-4363-9ee1-8c69a09e7999</t>
  </si>
  <si>
    <t>260902T000584346</t>
  </si>
  <si>
    <t>S0662451717801</t>
  </si>
  <si>
    <t>5a7efbf1-4f54-46e5-8e06-2a0110acb1f2</t>
  </si>
  <si>
    <t>260902TA039861</t>
  </si>
  <si>
    <t>TZAAO24526HKQAL</t>
  </si>
  <si>
    <t>F/TZA/DRT/AAO/20260902/00037741242</t>
  </si>
  <si>
    <t>540318c5-d2a7-440f-9c4c-e236a9729227</t>
  </si>
  <si>
    <t>130IBT2609012544ZNE3FJ</t>
  </si>
  <si>
    <t>98609e69-f554-41af-936d-ce4a2fd31658</t>
  </si>
  <si>
    <t>TZAAO24526H6BL7</t>
  </si>
  <si>
    <t>F/TZA/DRT/AAO/20260902/00037741245</t>
  </si>
  <si>
    <t>690946b0-1512-4bf6-9521-ce93be70f365</t>
  </si>
  <si>
    <t>OT26246TZ0129316</t>
  </si>
  <si>
    <t>51360795-e06a-4bb7-9bbf-9263f0cbfee7</t>
  </si>
  <si>
    <t>RTOMICC01090671</t>
  </si>
  <si>
    <t>fc314658-9d96-4ac9-9b68-15d61151d8c3</t>
  </si>
  <si>
    <t>TZAAO24626HCKOX</t>
  </si>
  <si>
    <t>F/TZA/DRT/AAO/20260903/00037761320</t>
  </si>
  <si>
    <t>b723b913-3fa3-4334-9c5e-0693f549940d</t>
  </si>
  <si>
    <t>TZAAO24626HKPRA</t>
  </si>
  <si>
    <t>72e1cc45-0e33-4528-a9c1-64ac2ff2e91</t>
  </si>
  <si>
    <t>0c208d08-d4fc-4b43-ae6b-183359fc353e</t>
  </si>
  <si>
    <t>OT26246TZ0129313</t>
  </si>
  <si>
    <t>8f70ce03-71ad-4543-aac9-04ec4595c276</t>
  </si>
  <si>
    <t>FT26245T6MPW</t>
  </si>
  <si>
    <t>6e86109f-f48a-4530-bc7a-d266cc03760f</t>
  </si>
  <si>
    <t>OT26246TZ0129265</t>
  </si>
  <si>
    <t>479cab6b-5ae1-4840-8c2d-72897e2b37f3</t>
  </si>
  <si>
    <t>TZAAO24626HB97M</t>
  </si>
  <si>
    <t>F/TZA/DRT/AAO/20260903/00037767808</t>
  </si>
  <si>
    <t>df6e3473-deba-4cbd-8f6f-cc821dd56038</t>
  </si>
  <si>
    <t>HZ1K1JCIR3609A06</t>
  </si>
  <si>
    <t>484a4960-654c-4ce2-89bc-1ebab65b0b2b</t>
  </si>
  <si>
    <t>TZ1OL260903025L4</t>
  </si>
  <si>
    <t>Q9358</t>
  </si>
  <si>
    <t>29284ebf-3952-46de-be15-84bd4fb53cc4</t>
  </si>
  <si>
    <t>25081DBBB458RTN</t>
  </si>
  <si>
    <t xml:space="preserve">25081DBBB458 </t>
  </si>
  <si>
    <t>da03765f-e979-465b-87e0-3aa0879b2b89</t>
  </si>
  <si>
    <t>OT26246TZ0129159</t>
  </si>
  <si>
    <t>cab64bd8-c4bc-48e9-8497-b1f178f3d545</t>
  </si>
  <si>
    <t>OT26246TZ0129315</t>
  </si>
  <si>
    <t>898695bf-ec83-4a88-b060-e6fda431fc00</t>
  </si>
  <si>
    <t>OT26246TZ0129314</t>
  </si>
  <si>
    <t>fd949bea-557d-40ba-9a48-692b343886a5</t>
  </si>
  <si>
    <t>FT262452C75Q</t>
  </si>
  <si>
    <t>57243eae-3d0e-4542-b284-146f0447afea</t>
  </si>
  <si>
    <t>OT26246TZ0129158</t>
  </si>
  <si>
    <t>298c66da-1f30-4062-87a4-c1a5b4e3fbd6</t>
  </si>
  <si>
    <t>OT26246TZ0129392</t>
  </si>
  <si>
    <t>310c0d6c-3373-425c-9024-f1e8f785e4e1</t>
  </si>
  <si>
    <t>TZ1OL260903025L5</t>
  </si>
  <si>
    <t>Q9359</t>
  </si>
  <si>
    <t>1f230227-0dd8-483b-838c-2902c294d3da</t>
  </si>
  <si>
    <t>OT26246TZ0129309</t>
  </si>
  <si>
    <t>280ac241-d3d6-4209-be3e-a2a7e68d7563</t>
  </si>
  <si>
    <t>TZAAO24626H8LM4</t>
  </si>
  <si>
    <t>F/TZA/DRT/AAO/20260903/00037761312</t>
  </si>
  <si>
    <t>d9962f7e-fb78-4d85-90d4-78f4da0e2a9f</t>
  </si>
  <si>
    <t>OT26246TZ0129310</t>
  </si>
  <si>
    <t>96ebb2f6-34a1-4c93-8222-1b5aa05d996b</t>
  </si>
  <si>
    <t>TZAAO24626H9PGD</t>
  </si>
  <si>
    <t>97448685-8a3d-4d35-8dc8-38469be3c8d</t>
  </si>
  <si>
    <t>898a625a-c447-4a7e-8726-7fec13c6f361</t>
  </si>
  <si>
    <t>TZ1RTGF262460834</t>
  </si>
  <si>
    <t>908d87fd-76e9-4753-9b7b-cd9d03b558df</t>
  </si>
  <si>
    <t>OT26246TZ0129153</t>
  </si>
  <si>
    <t>01cde774-e952-46d1-aaa8-bd3e08b76436</t>
  </si>
  <si>
    <t>RTOMICC01090687</t>
  </si>
  <si>
    <t>9db42d48-7a73-4285-98b2-e52cacbb64b7</t>
  </si>
  <si>
    <t>TZAAO24626H5Z4A</t>
  </si>
  <si>
    <t>6e9d2e36-0274-4047-9568-ee2ff0d881f</t>
  </si>
  <si>
    <t>fad3c186-6799-4b45-af48-134d86aed0a1</t>
  </si>
  <si>
    <t>OT26246TZ0129266</t>
  </si>
  <si>
    <t>79f2a1e6-e596-4c2d-9da2-1b5e3b32c96a</t>
  </si>
  <si>
    <t>OT26246TZ0129155</t>
  </si>
  <si>
    <t>2e174313-1aee-4331-9445-436891c2e53e</t>
  </si>
  <si>
    <t>OT26246TZ0129267</t>
  </si>
  <si>
    <t>dbaaa53d-c9ae-4c74-b47c-351ffe4fb79d</t>
  </si>
  <si>
    <t>OT26246TZ0129268</t>
  </si>
  <si>
    <t>9ca041f4-aa12-43b1-8df3-83cb7a310777</t>
  </si>
  <si>
    <t>260903TA039875</t>
  </si>
  <si>
    <t>OT26246TZ0129263</t>
  </si>
  <si>
    <t>b686756e-b85b-4f07-9177-c8cf045055a1</t>
  </si>
  <si>
    <t>GEPGTR-7190760</t>
  </si>
  <si>
    <t>2dbecb5c-ca7e-478a-b0d5-13353043d338</t>
  </si>
  <si>
    <t>TZAAO24626HGDUX</t>
  </si>
  <si>
    <t>635ba066-ea70-450d-bce8-caa62f831ea</t>
  </si>
  <si>
    <t>ba1bb0e3-d1fc-40cd-9f0a-366484a74bf2</t>
  </si>
  <si>
    <t>1081651</t>
  </si>
  <si>
    <t>208875e7-0eaf-4b10-8364-8ae9e179c32f</t>
  </si>
  <si>
    <t>213IBT2609035231HDVWYH</t>
  </si>
  <si>
    <t>33673aaf-cccc-454e-ad35-a9146e11131d</t>
  </si>
  <si>
    <t>TZAAO24626HFB5D</t>
  </si>
  <si>
    <t>F/TZA/DRT/AAO/20260903/00037761316</t>
  </si>
  <si>
    <t>9db881a6-70b1-49ac-8489-c57b6aa49665</t>
  </si>
  <si>
    <t>TZAAO24626HRMXG</t>
  </si>
  <si>
    <t>92be51f3-f607-4b2e-b033-16627c5c06a</t>
  </si>
  <si>
    <t>18cdc6d9-13b4-412f-9a95-04784b9e191a</t>
  </si>
  <si>
    <t>HZ1K1JC3R9V3A88F</t>
  </si>
  <si>
    <t>d6f5d4b0-4cb1-4744-849f-f1c7e350b59b</t>
  </si>
  <si>
    <t>TZAAO24626H5XK3</t>
  </si>
  <si>
    <t>145b8d15-7f94-4be1-ae40-10d64c293fd</t>
  </si>
  <si>
    <t>e5afdf68-b289-4411-9853-c868f799e409</t>
  </si>
  <si>
    <t>TZAAO24626HHB2E</t>
  </si>
  <si>
    <t>5f7c1477-657d-49d0-9388-987083ec8b8</t>
  </si>
  <si>
    <t>8fdfab45-3b86-45a9-8425-39ab23850c2a</t>
  </si>
  <si>
    <t>TZAAO24626H5K62</t>
  </si>
  <si>
    <t>22c71e8b-bfe6-44ee-be48-c8374d53c32</t>
  </si>
  <si>
    <t>ba081689-47ff-4b94-8a1c-aaab7549ceef</t>
  </si>
  <si>
    <t>TZAAO24626HKUB4</t>
  </si>
  <si>
    <t>F/TZA/DRT/AAO/20260903/00037761319</t>
  </si>
  <si>
    <t>5112a7e0-9e20-4e92-9254-58c8339aca20</t>
  </si>
  <si>
    <t>TZAAO24626HS6CB</t>
  </si>
  <si>
    <t>F/TZA/DRT/AAO/20260903/00037761314</t>
  </si>
  <si>
    <t>2c414941-2881-4904-a030-daade2730839</t>
  </si>
  <si>
    <t>TZAAO24626HHA05</t>
  </si>
  <si>
    <t>37100b81-f69b-44cc-8c1f-316538f0ad9</t>
  </si>
  <si>
    <t>2a500ca8-1bbd-4c89-9522-157a2a4e6336</t>
  </si>
  <si>
    <t>TZAAO24626HLED5</t>
  </si>
  <si>
    <t>3b366204-b45a-4ede-b6d6-b6367b1b728</t>
  </si>
  <si>
    <t>e96bbaa9-745b-429c-960f-316906529998</t>
  </si>
  <si>
    <t>OT26246TZ0129312</t>
  </si>
  <si>
    <t>3ba84a83-5fbb-4513-867a-68c6c72d499e</t>
  </si>
  <si>
    <t>TZ1RTGF262460802</t>
  </si>
  <si>
    <t>7b605bb6-ccf4-4d6e-884a-83c766d4dfd4</t>
  </si>
  <si>
    <t>OT26246TZ0129311</t>
  </si>
  <si>
    <t>5a060f19-603c-4a06-8748-cd85b2dfe8fb</t>
  </si>
  <si>
    <t>OT26246TZ0129151</t>
  </si>
  <si>
    <t>053622b3-8a74-4870-a453-8cbcc31d22af</t>
  </si>
  <si>
    <t>FT26245ZGLSY</t>
  </si>
  <si>
    <t>72d89c67-c864-488c-8692-11bf28369613</t>
  </si>
  <si>
    <t>TZAAO24726HNPDY</t>
  </si>
  <si>
    <t>1a1b1be5-d12b-451f-835e-d95f41d3945</t>
  </si>
  <si>
    <t>5e8797b7-54be-45da-8501-8c1a7dad2613</t>
  </si>
  <si>
    <t>TZ1OL260904025W8</t>
  </si>
  <si>
    <t>PITPILTZN1A07953</t>
  </si>
  <si>
    <t>cb8f1ce9-716f-444f-97d3-b0522bb987e4</t>
  </si>
  <si>
    <t>TZAAO24726HA3DS</t>
  </si>
  <si>
    <t>ee58d266-4842-4b1e-8b02-bea08864190</t>
  </si>
  <si>
    <t>5098b3de-0df1-469c-96cd-44c5eebe30e7</t>
  </si>
  <si>
    <t>HZ1K1LNAKG77D8C9</t>
  </si>
  <si>
    <t>8a5df7e1-6a22-4198-97b8-751d66414a6f</t>
  </si>
  <si>
    <t>OT26247TZ0129884</t>
  </si>
  <si>
    <t>003aee25-2ec0-46e8-b241-1ed887ebb41d</t>
  </si>
  <si>
    <t>OT26247TZ0129455</t>
  </si>
  <si>
    <t>1b02a8ac-dca9-4d07-8243-8539475967e8</t>
  </si>
  <si>
    <t>TZ1OL260904025EI</t>
  </si>
  <si>
    <t>PICATITZ01A10740</t>
  </si>
  <si>
    <t>0d322694-8c90-4223-8cae-571e8aa67154</t>
  </si>
  <si>
    <t>005COUS040926007</t>
  </si>
  <si>
    <t>0799852b-d99f-40b4-87e7-54cbfa5797ed</t>
  </si>
  <si>
    <t>503TZOS262450007</t>
  </si>
  <si>
    <t>91a7b12c-2c73-4f7d-bf91-a198760408be</t>
  </si>
  <si>
    <t>OT26247TZ0129885</t>
  </si>
  <si>
    <t>c95897cb-cb36-41e4-923d-5ca164f9da50</t>
  </si>
  <si>
    <t>TZAAO24726HXEJ1</t>
  </si>
  <si>
    <t>293edb58-1336-424d-b6bc-87ed6f080ac</t>
  </si>
  <si>
    <t>34e9df7f-36e6-4654-8c99-d98e14114810</t>
  </si>
  <si>
    <t>OT26247TZ0129465</t>
  </si>
  <si>
    <t>002b64a6-9bff-43fe-9cd0-1702614da21e</t>
  </si>
  <si>
    <t>000008410566</t>
  </si>
  <si>
    <t>47cbe92c-391b-4486-9ce5-19cbd6590986</t>
  </si>
  <si>
    <t>QDRUU004</t>
  </si>
  <si>
    <t>9141f501-8509-4149-bc85-329efa056f4c</t>
  </si>
  <si>
    <t>OT26247TZ0129523</t>
  </si>
  <si>
    <t>92f10063-6c04-448f-acc3-1f32b181c099</t>
  </si>
  <si>
    <t>TZ1OL260904025EJ</t>
  </si>
  <si>
    <t>PICATITZ01A10741</t>
  </si>
  <si>
    <t>01ecd9e2-b51c-4d75-93e0-c2eb181c6657</t>
  </si>
  <si>
    <t>OT26247TZ0129458</t>
  </si>
  <si>
    <t>06a4b884-b74d-4d06-b38d-3226911db14c</t>
  </si>
  <si>
    <t>TZAAO24726H139E</t>
  </si>
  <si>
    <t>86908f9a-4fef-435e-b44d-85d009f4356</t>
  </si>
  <si>
    <t>d9ce9e94-43f7-4942-91a0-2c382947e4da</t>
  </si>
  <si>
    <t>213IBT2609044528JVRVV8</t>
  </si>
  <si>
    <t>49ff6315-1c75-4999-b391-2d6c7b0da169</t>
  </si>
  <si>
    <t>TZAAO24726HBQGJ</t>
  </si>
  <si>
    <t>ffb37330-6286-4f5a-b809-2ffdaca7a9c</t>
  </si>
  <si>
    <t>5c6d8c63-4963-4266-ab73-0d8e9b1dca2a</t>
  </si>
  <si>
    <t>GEPGTR-7190787</t>
  </si>
  <si>
    <t>f627c096-ecdd-4fda-b4c5-b308d0c75a7d</t>
  </si>
  <si>
    <t>130IBT260902385275MXBV</t>
  </si>
  <si>
    <t>b841b13d-4884-4f33-bd5b-a7fd253272ad</t>
  </si>
  <si>
    <t>201LC02261890002</t>
  </si>
  <si>
    <t>ea9a6a2d-d883-41a4-9132-8c2bc08b410f</t>
  </si>
  <si>
    <t>1081678</t>
  </si>
  <si>
    <t>906ebbf4-f3bb-423c-ab48-6b5062950bc1</t>
  </si>
  <si>
    <t>OT26247TZ0129730</t>
  </si>
  <si>
    <t>495a510c-ac52-46c6-8dc4-b042e7c22075</t>
  </si>
  <si>
    <t>000000589824</t>
  </si>
  <si>
    <t>f50c3ef8-810b-4665-8ac8-27955497cc0</t>
  </si>
  <si>
    <t>a7a937b2-56a4-41cd-a87a-2795e3bea36b</t>
  </si>
  <si>
    <t>P260904C00000983</t>
  </si>
  <si>
    <t>7c8af740-487f-4dd1-87b0-0c64ca1c102e</t>
  </si>
  <si>
    <t>OT26247TZ0129829</t>
  </si>
  <si>
    <t>c6c14ce4-2b2c-43e9-b9b3-04b0ccb56078</t>
  </si>
  <si>
    <t>TZAAO24726H1QGS</t>
  </si>
  <si>
    <t>1909ec42-4cbc-4b8b-9037-7040b23b37e</t>
  </si>
  <si>
    <t>3d47b7f0-60fc-449e-8183-7797b4d5881d</t>
  </si>
  <si>
    <t>TZAAO24726H51BP</t>
  </si>
  <si>
    <t>966214f6-1103-475b-ae28-18a0f3896ed</t>
  </si>
  <si>
    <t>4cfcf454-b305-4dc0-b324-010eee1c70a5</t>
  </si>
  <si>
    <t>OT26247TZ0129463</t>
  </si>
  <si>
    <t>fc5366a7-f4db-45d7-b0c8-5b5518d8c6ab</t>
  </si>
  <si>
    <t>TZAAO24726HXH01</t>
  </si>
  <si>
    <t>bd28bfa8-8ed9-4103-b683-600d36c3d76</t>
  </si>
  <si>
    <t>d29cd3cd-5d99-4274-b14a-a1b9cb2191e1</t>
  </si>
  <si>
    <t>P260904C00003937</t>
  </si>
  <si>
    <t>0409A3F0D08A</t>
  </si>
  <si>
    <t>96679fb2-df89-4baf-8dbd-9e9fe999165c</t>
  </si>
  <si>
    <t>OT26247TZ0129521</t>
  </si>
  <si>
    <t>7250d0fd-3b01-43fe-ad67-5795eebe7834</t>
  </si>
  <si>
    <t>P260904C00004163</t>
  </si>
  <si>
    <t>04097133C129</t>
  </si>
  <si>
    <t>9106f3cd-979b-4961-b3c0-af6a8c1a598c</t>
  </si>
  <si>
    <t>260904TA039889</t>
  </si>
  <si>
    <t>P260903C00002983</t>
  </si>
  <si>
    <t>553c6754-ab6f-49fa-b99a-49019326f18f</t>
  </si>
  <si>
    <t>OT26247TZ0129522</t>
  </si>
  <si>
    <t>f71900d0-a7a9-436a-b55b-cdb8793d3328</t>
  </si>
  <si>
    <t>CMRTG26247002512</t>
  </si>
  <si>
    <t>060d76ec-9201-45b9-af0e-98f644818b1d</t>
  </si>
  <si>
    <t>000008411074</t>
  </si>
  <si>
    <t>d476d4dd-ac76-4aa8-9520-a60c9c2171f4</t>
  </si>
  <si>
    <t>130IBT2609032942TZYQGN</t>
  </si>
  <si>
    <t>4e8d53a1-0d95-41bf-a6d4-458eeab7aaa0</t>
  </si>
  <si>
    <t>311LC04261940501</t>
  </si>
  <si>
    <t>7332cea6-1880-4451-9020-1204c16de467</t>
  </si>
  <si>
    <t>408LC02261910001</t>
  </si>
  <si>
    <t>f866ece7-5133-4c09-96bb-193488dde246</t>
  </si>
  <si>
    <t>260905TA039903</t>
  </si>
  <si>
    <t>201LIUF262230002</t>
  </si>
  <si>
    <t>0b98ace2-fd07-4927-99df-44c314eccbf6</t>
  </si>
  <si>
    <t>201LC02261900001</t>
  </si>
  <si>
    <t>652096cc-2c8a-46e2-918a-1d6abc9ef3d7</t>
  </si>
  <si>
    <t>MHB0000000121629</t>
  </si>
  <si>
    <t>2baf8043-4b84-4094-a2e5-de8a02eabb7a</t>
  </si>
  <si>
    <t>201LIUF262390501</t>
  </si>
  <si>
    <t>f8be2dd3-2f54-4a67-a6d0-61ffaa501a1d</t>
  </si>
  <si>
    <t>P260905C00001449</t>
  </si>
  <si>
    <t>0509E0E728B6</t>
  </si>
  <si>
    <t>3d521e8a-db26-47e6-b311-3b4f8c6c373c</t>
  </si>
  <si>
    <t>2026/09/06</t>
  </si>
  <si>
    <t>HZ1K1PLMMSL1AAA4</t>
  </si>
  <si>
    <t>ec45e4ce-d460-4075-9323-974dd00ab3d8</t>
  </si>
  <si>
    <t>OT26250TZ0130027</t>
  </si>
  <si>
    <t>dc81197a-f906-41fc-8ea0-70198bed2601</t>
  </si>
  <si>
    <t>OT26250TZ0130042</t>
  </si>
  <si>
    <t>6d7e243d-1c72-4afb-8c4b-4b6b3d82bfee</t>
  </si>
  <si>
    <t>201LC02261830001</t>
  </si>
  <si>
    <t>b77df57e-b58c-479d-89dd-46974ad33bde</t>
  </si>
  <si>
    <t>S529189</t>
  </si>
  <si>
    <t>62d12d9c-c71f-4fd0-9378-df7f5c126949</t>
  </si>
  <si>
    <t>CMRTG26250003260</t>
  </si>
  <si>
    <t>14d9326e-3f53-4fc5-aada-f85678208c40</t>
  </si>
  <si>
    <t>OT26250TZ0130039</t>
  </si>
  <si>
    <t>45cf5d32-d064-44c8-97a1-d4e36cc9d842</t>
  </si>
  <si>
    <t>TZAAO25026HG2SU</t>
  </si>
  <si>
    <t>F/TZA/DRT/AAO/20260907/00037845007</t>
  </si>
  <si>
    <t>04a9d05a-cc27-4838-9f7d-0acdfc8edbe2</t>
  </si>
  <si>
    <t>TZ1OL26090702597</t>
  </si>
  <si>
    <t>John Smith</t>
  </si>
  <si>
    <t>257c38cf-ce78-4cee-b3c1-6702d2be93d9</t>
  </si>
  <si>
    <t>OT26250TZ0130029</t>
  </si>
  <si>
    <t>2c85ba02-f38a-4fbd-8c12-7bbb7a655a2c</t>
  </si>
  <si>
    <t>S529204</t>
  </si>
  <si>
    <t>0e4db947-e8f0-440c-9c65-cd856debda9c</t>
  </si>
  <si>
    <t>3602ITT11/06660</t>
  </si>
  <si>
    <t>6c8920db-a1f2-4fc6-a94b-d60ccbe41c61</t>
  </si>
  <si>
    <t>TZAAO25026HWBYU</t>
  </si>
  <si>
    <t>dd98f443-4cd8-4e6e-ad01-1c51c7c1922</t>
  </si>
  <si>
    <t>e91959b9-8ab2-4fc0-b3d2-601b767718a2</t>
  </si>
  <si>
    <t>OT26250TZ0130266</t>
  </si>
  <si>
    <t>c6ce3f30-69a7-499b-a4e2-35ab3af0bdbf</t>
  </si>
  <si>
    <t>OT26250TZ0130010</t>
  </si>
  <si>
    <t>05186e62-48d4-4af2-b207-4f0fe7f3f635</t>
  </si>
  <si>
    <t>OT26250TZ0130028</t>
  </si>
  <si>
    <t>887e64c1-8af3-4021-89be-57c6a4806460</t>
  </si>
  <si>
    <t>TZAAO25026HJRCF</t>
  </si>
  <si>
    <t>d352a43b-6c6f-4d7c-b75a-229817fe3d1</t>
  </si>
  <si>
    <t>981c4eff-8b30-4ad3-ab56-dbae3c894599</t>
  </si>
  <si>
    <t>S504215/26/DE</t>
  </si>
  <si>
    <t>44353f6e-d83a-4316-8936-241b9b3e63da</t>
  </si>
  <si>
    <t>NMIBTZTZ EUAFTZTZ</t>
  </si>
  <si>
    <t>1081681</t>
  </si>
  <si>
    <t>6112132d-191b-4755-bc51-d4867e9c1fd6</t>
  </si>
  <si>
    <t>P260907C00001673</t>
  </si>
  <si>
    <t>b5075481-36c9-4359-bc31-43bf6a304aa5</t>
  </si>
  <si>
    <t>FT26247VDF91</t>
  </si>
  <si>
    <t>7b441f73-5a7c-4897-9e33-abc02755475f</t>
  </si>
  <si>
    <t>TZ1RTGF262501160</t>
  </si>
  <si>
    <t>69e53556-cf41-48f9-b445-6b3fa1a8e3e0</t>
  </si>
  <si>
    <t>OT26250TZ0129982</t>
  </si>
  <si>
    <t>472a65d2-c875-40e4-a004-a376041e955e</t>
  </si>
  <si>
    <t>TRE/0709026/HR3</t>
  </si>
  <si>
    <t>ff7323cc-8fb4-4d72-b2fb-b31f8480e954</t>
  </si>
  <si>
    <t>NMIBTZTZ FMBZTZTXXXX</t>
  </si>
  <si>
    <t>T0107092697013</t>
  </si>
  <si>
    <t>366513fb-9b34-4ce1-865d-3742905ee525</t>
  </si>
  <si>
    <t>TZAAO25026HXKFO</t>
  </si>
  <si>
    <t>98e8fcc9-0f51-40e7-ac89-c7e377cde14</t>
  </si>
  <si>
    <t>9ac2b6f4-d380-4dfa-957c-0f6f8cc8e06b</t>
  </si>
  <si>
    <t>S529193</t>
  </si>
  <si>
    <t>53f63caa-5bce-4c1d-87f1-66208c07fa89</t>
  </si>
  <si>
    <t>TZAAO25026HKZTM</t>
  </si>
  <si>
    <t>a053ef56-0fc8-4a36-9836-4b9a5b0ef06</t>
  </si>
  <si>
    <t>2b2142de-8fe0-42d0-8802-18efbd560992</t>
  </si>
  <si>
    <t>1081721</t>
  </si>
  <si>
    <t>f4bc05dd-a3e6-4b80-bdbc-34cc00541d2d</t>
  </si>
  <si>
    <t>TZAAO25026HI05T</t>
  </si>
  <si>
    <t>001f0071-99e1-4d16-a402-68dd9faaed1</t>
  </si>
  <si>
    <t>87d7b9d3-9aa8-4650-b11d-e5dc585e409f</t>
  </si>
  <si>
    <t>TZAAO25026HDAJM</t>
  </si>
  <si>
    <t>c26b1b6c-fc10-438c-9a1e-7282300e2b7</t>
  </si>
  <si>
    <t>92fde91d-b99e-4fbf-b909-c59b36356b3f</t>
  </si>
  <si>
    <t>HZ1K1T6VAAP3C921</t>
  </si>
  <si>
    <t>3d0cbf06-f3fb-4e81-af1f-f3d3e94738f1</t>
  </si>
  <si>
    <t>OT26250TZ0130032</t>
  </si>
  <si>
    <t>827bd2fa-b932-4243-9871-58f97a9f9385</t>
  </si>
  <si>
    <t>TZ1OL260907025A0</t>
  </si>
  <si>
    <t>PINEELTZ01A31992</t>
  </si>
  <si>
    <t>5337ec13-1398-4563-88b1-97e339bc60fd</t>
  </si>
  <si>
    <t>R90RTGO262500232</t>
  </si>
  <si>
    <t>605c6704-03bc-46b4-a8d6-7e68ca759410</t>
  </si>
  <si>
    <t>P260907C00002943</t>
  </si>
  <si>
    <t>509b0307-7b9e-414a-9755-8f9c5c489437</t>
  </si>
  <si>
    <t>TZAAO25026HCP6H</t>
  </si>
  <si>
    <t>02afd9e6-5bf2-4d12-b225-718d94e1a27</t>
  </si>
  <si>
    <t>87330bc8-d73f-4d07-b083-781648416fb1</t>
  </si>
  <si>
    <t>GEPGTR-7190836</t>
  </si>
  <si>
    <t>a8ba1ca1-e8d7-4d47-910c-f616932f9fa2</t>
  </si>
  <si>
    <t>201LC02261740501</t>
  </si>
  <si>
    <t>2d02d06f-dd3f-4c57-91e3-bdffa23c8b50</t>
  </si>
  <si>
    <t>OT26250TZ0130171</t>
  </si>
  <si>
    <t>52bd5564-c8b5-42c1-a50e-5cf197603133</t>
  </si>
  <si>
    <t>023COUS070926011</t>
  </si>
  <si>
    <t>990c99a7-bda2-4c04-a741-af654d9f48a9</t>
  </si>
  <si>
    <t>OT26250TZ0130237</t>
  </si>
  <si>
    <t>aca9ea1a-ace8-42b3-91f8-8337c3fc8009</t>
  </si>
  <si>
    <t>OT26250TZ0130045</t>
  </si>
  <si>
    <t>f7fef7cd-3cec-468f-9fb2-d5b486086d97</t>
  </si>
  <si>
    <t>HZ1K1TAP84V649DB</t>
  </si>
  <si>
    <t>db20d47f-29bc-48e5-a8d6-f30949ae9eff</t>
  </si>
  <si>
    <t>TZAAO25026H0KQA</t>
  </si>
  <si>
    <t>F/TZA/DRT/AAO/20260907/00037841955</t>
  </si>
  <si>
    <t>1441acde-7536-4ee3-b031-f08bac2ecd8c</t>
  </si>
  <si>
    <t>TRE/0709026/HR2</t>
  </si>
  <si>
    <t>b9f6e86f-2aa3-44cd-b9e0-25e10254b80d</t>
  </si>
  <si>
    <t>1081720</t>
  </si>
  <si>
    <t>a2757908-5d49-429b-beee-16fbf3c43daa</t>
  </si>
  <si>
    <t>AGB/TT/191/26</t>
  </si>
  <si>
    <t>f205f767-e8d9-4238-9873-f7a2df3a9810</t>
  </si>
  <si>
    <t>TZAAO25026H9XGE</t>
  </si>
  <si>
    <t>09c2bde9-0c7b-422a-ac9f-53acde27b1f</t>
  </si>
  <si>
    <t>e30855c2-57bf-410a-9dde-88de5aeb01b1</t>
  </si>
  <si>
    <t>TZAAO25026HEP2V</t>
  </si>
  <si>
    <t>26bff13f-6c41-4964-a8a9-1fca160eb28</t>
  </si>
  <si>
    <t>c78e8750-78ca-4890-9d7c-1a0adbea79f4</t>
  </si>
  <si>
    <t>HZ1K1T75673B5BA5</t>
  </si>
  <si>
    <t>9e4f8284-58f4-4a7f-8538-d6f0404dfbe1</t>
  </si>
  <si>
    <t>S529192</t>
  </si>
  <si>
    <t>32725742-7057-4bb5-bf49-cf5b1b6fcabd</t>
  </si>
  <si>
    <t>S529188</t>
  </si>
  <si>
    <t>c2103c62-2ec6-47ff-a173-95bfa51ef71d</t>
  </si>
  <si>
    <t>TRE/0709026/HR1</t>
  </si>
  <si>
    <t>f87fee4b-abdc-41c2-b504-7226a7e2e4ea</t>
  </si>
  <si>
    <t>S529191</t>
  </si>
  <si>
    <t>c4713ab8-03cd-4f8b-8a61-5eb6c332f82e</t>
  </si>
  <si>
    <t>260907TA039916</t>
  </si>
  <si>
    <t>OT26251TZ0130325</t>
  </si>
  <si>
    <t>904e5e1f-dd9f-41f3-9891-1ebea6edc942</t>
  </si>
  <si>
    <t>1108660AB35A</t>
  </si>
  <si>
    <t>1108BE7A55C9</t>
  </si>
  <si>
    <t>2ca332ee-a7f1-4241-925e-08ad39aba54f</t>
  </si>
  <si>
    <t>1008B6513FBA</t>
  </si>
  <si>
    <t>1008DE0BCB0C</t>
  </si>
  <si>
    <t>f391802d-0d99-4482-a0ab-590cbeed0c5a</t>
  </si>
  <si>
    <t>1008C798BE3F</t>
  </si>
  <si>
    <t>1008860B97A5</t>
  </si>
  <si>
    <t>427dae6e-433d-4d3b-86dd-23d9471bd317</t>
  </si>
  <si>
    <t>110870657699</t>
  </si>
  <si>
    <t>1108E526A782</t>
  </si>
  <si>
    <t>24d78c99-6ae3-469a-9c5d-89d60363efb0</t>
  </si>
  <si>
    <t>1008E7DFCE2A</t>
  </si>
  <si>
    <t>10082EE3934B</t>
  </si>
  <si>
    <t>a8f25578-4ecd-4853-9923-b16652629d3c</t>
  </si>
  <si>
    <t>12083D80F866</t>
  </si>
  <si>
    <t>12085B2A1C03</t>
  </si>
  <si>
    <t>dacb71c5-dd64-477b-bec4-ea25b617180a</t>
  </si>
  <si>
    <t>1008691FD7BB</t>
  </si>
  <si>
    <t>10080A1C81B4</t>
  </si>
  <si>
    <t>962ba0d2-1a2f-449f-9fca-a48da27f69ae</t>
  </si>
  <si>
    <t>201LC02261890502</t>
  </si>
  <si>
    <t>00b8e719-51c9-45f3-a0f4-c9ebf45aa31d</t>
  </si>
  <si>
    <t>10082E674A73</t>
  </si>
  <si>
    <t>100898A79C14</t>
  </si>
  <si>
    <t>74e1cfd6-7d3e-4163-9819-1c1bd04dd3ed</t>
  </si>
  <si>
    <t>1208B33D0A06</t>
  </si>
  <si>
    <t>12085AC522CF</t>
  </si>
  <si>
    <t>a7adf704-a21a-4b7e-a3b1-acd82299c805</t>
  </si>
  <si>
    <t>1008BA01AA37</t>
  </si>
  <si>
    <t>1008E8DBE908</t>
  </si>
  <si>
    <t>8b9f49e6-f0da-423e-a245-93631f1112d5</t>
  </si>
  <si>
    <t>1208BE6ACEB3</t>
  </si>
  <si>
    <t>1208F38786BC</t>
  </si>
  <si>
    <t>c89d11b6-82de-4ebc-878d-3a9efffd5f4c</t>
  </si>
  <si>
    <t>RTN0409FC585712</t>
  </si>
  <si>
    <t>0409FC585712</t>
  </si>
  <si>
    <t>6cc64452-b88a-4b27-b9cf-38215de0b60e</t>
  </si>
  <si>
    <t>100847892536</t>
  </si>
  <si>
    <t>10081118B2C0</t>
  </si>
  <si>
    <t>63871450-5e18-4f86-b489-52dd51e46168</t>
  </si>
  <si>
    <t>10080F541152</t>
  </si>
  <si>
    <t>100877683AB5</t>
  </si>
  <si>
    <t>4a9b949c-b9e0-4399-ab5b-52ad37b765b6</t>
  </si>
  <si>
    <t>1108F3CBED17</t>
  </si>
  <si>
    <t>110836DC17F3</t>
  </si>
  <si>
    <t>0c603f9d-784d-49e2-95e9-2eac49787031</t>
  </si>
  <si>
    <t>P260908C00002969</t>
  </si>
  <si>
    <t>08548588-b5ce-49ac-a4b1-a652f2e75bbb</t>
  </si>
  <si>
    <t>1108A695E37E</t>
  </si>
  <si>
    <t>110830495A27</t>
  </si>
  <si>
    <t>cc2e5022-9d44-4c0e-a0c1-69f7373b5c8a</t>
  </si>
  <si>
    <t>10080E1EFDA1</t>
  </si>
  <si>
    <t>1008EDA7773C</t>
  </si>
  <si>
    <t>f6016418-ea57-4a64-b62e-40807d462e2a</t>
  </si>
  <si>
    <t>1008C12520B3</t>
  </si>
  <si>
    <t>10084B5744E9</t>
  </si>
  <si>
    <t>37163ec4-847e-49b7-84fe-396a66ee4616</t>
  </si>
  <si>
    <t>NMIBTZTZ CBAFTZTZXXX</t>
  </si>
  <si>
    <t>1008E42D6BCB</t>
  </si>
  <si>
    <t>10086972360D</t>
  </si>
  <si>
    <t>0d3c8925-0798-4ef1-9d31-12d6d5764ca4</t>
  </si>
  <si>
    <t>NMIBTZTZ BARBTZTZXXX</t>
  </si>
  <si>
    <t>11087821DB2E</t>
  </si>
  <si>
    <t>1108CF7E7F43</t>
  </si>
  <si>
    <t>bd2bfbfa-5f71-4c3e-ae7b-04da469a883c</t>
  </si>
  <si>
    <t>RTN04098C9CFCF4</t>
  </si>
  <si>
    <t>04098C9CFCF4</t>
  </si>
  <si>
    <t>0c24aa9c-cc7f-42ea-9e83-743e44c82837</t>
  </si>
  <si>
    <t>10083F0310DB</t>
  </si>
  <si>
    <t>10080E9A433B</t>
  </si>
  <si>
    <t>05e80f27-1a85-4ca5-a3f3-fba3a83fd15f</t>
  </si>
  <si>
    <t>130T260908143841</t>
  </si>
  <si>
    <t>787aabde-e35b-4d6f-ba0f-a76d58d41c6e</t>
  </si>
  <si>
    <t>OT26251TZ0130332</t>
  </si>
  <si>
    <t>7d5103a3-affe-4de4-b27e-a5f95c1a7071</t>
  </si>
  <si>
    <t>11086B6A9D0D</t>
  </si>
  <si>
    <t>1108FE4C43E2</t>
  </si>
  <si>
    <t>25c32d40-bf25-4e6c-8b70-7959a5dac3d4</t>
  </si>
  <si>
    <t>2622301049234000</t>
  </si>
  <si>
    <t>GWX103373475605</t>
  </si>
  <si>
    <t>66d5755e-3429-4867-88e0-16a265379ee0</t>
  </si>
  <si>
    <t>0908F6A48E3D</t>
  </si>
  <si>
    <t>0908628A53D1</t>
  </si>
  <si>
    <t>2612e6ff-f6b1-425c-82f3-b2c582ffb8f1</t>
  </si>
  <si>
    <t>NMIBTZTZ UNAFTZTZXXX</t>
  </si>
  <si>
    <t>RTN0409319573FF</t>
  </si>
  <si>
    <t>0409319573FF</t>
  </si>
  <si>
    <t>63dd68e8-a7ae-440c-94ce-fcdccff0b555</t>
  </si>
  <si>
    <t>OT26250TZ0130043</t>
  </si>
  <si>
    <t>7844f485-02bb-4029-ad27-38cc8e97ebf8</t>
  </si>
  <si>
    <t>OT26251TZ0130465</t>
  </si>
  <si>
    <t>f2d5f30a-41b5-41b0-bbff-da77ad6bf414</t>
  </si>
  <si>
    <t>GEPGTR-7190879</t>
  </si>
  <si>
    <t>22ca6156-e59b-4eed-8df0-95b34540915a</t>
  </si>
  <si>
    <t>1108496B4538</t>
  </si>
  <si>
    <t>VOZTHO8BDB</t>
  </si>
  <si>
    <t>5b467bec-6f03-4d95-b7da-a3279fd2fc6c</t>
  </si>
  <si>
    <t>260908TA039930</t>
  </si>
  <si>
    <t>10083B9FB4D4</t>
  </si>
  <si>
    <t>1008367E8366</t>
  </si>
  <si>
    <t>bb5e495d-1437-4a2e-b7d4-23c9b39a8370</t>
  </si>
  <si>
    <t>NMIBTZTZ DASUTZTZXXX</t>
  </si>
  <si>
    <t>1008444CC849</t>
  </si>
  <si>
    <t>100881337B3E</t>
  </si>
  <si>
    <t>3ffd2cb5-90ae-4b9a-933c-c4c77844d0ee</t>
  </si>
  <si>
    <t>OT26251TZ0130328</t>
  </si>
  <si>
    <t>c6a33993-88c4-4623-8108-5807a8582659</t>
  </si>
  <si>
    <t>1208D382FAEC</t>
  </si>
  <si>
    <t>12080E7A1616</t>
  </si>
  <si>
    <t>127f27bf-e611-4212-a996-3177ef8d6216</t>
  </si>
  <si>
    <t>OT26251TZ0130326</t>
  </si>
  <si>
    <t>f02dd227-f37e-45f3-a3f2-51513e4d3ceb</t>
  </si>
  <si>
    <t>10087DFE0E0F</t>
  </si>
  <si>
    <t>10081E87925A</t>
  </si>
  <si>
    <t>0f5fca4d-b34c-4114-99fb-f33c673d6b7c</t>
  </si>
  <si>
    <t>0708E2EE3888</t>
  </si>
  <si>
    <t>07084E3613CD</t>
  </si>
  <si>
    <t>02617871-077d-4430-9547-1cf212fb3d06</t>
  </si>
  <si>
    <t>10084E1E6CDB</t>
  </si>
  <si>
    <t>1008DDF965B5</t>
  </si>
  <si>
    <t>6c891cc7-340d-4849-869d-9ba8613694e9</t>
  </si>
  <si>
    <t>TZ1OL260908025FP</t>
  </si>
  <si>
    <t>PITAHATZ01A00531</t>
  </si>
  <si>
    <t>6b61c71e-e2cf-4b6e-bbec-c4a4b3ed5ab9</t>
  </si>
  <si>
    <t>100826A7F7E2</t>
  </si>
  <si>
    <t>1008A93E77C5</t>
  </si>
  <si>
    <t>5ceff853-7e36-4637-8e90-ca9749d450c6</t>
  </si>
  <si>
    <t>1108C9D1C0D8</t>
  </si>
  <si>
    <t>1108EA2B43A3</t>
  </si>
  <si>
    <t>19b72f26-37ed-4f02-9607-b523a606a6dd</t>
  </si>
  <si>
    <t>1208F4B41C71</t>
  </si>
  <si>
    <t>12086F0B1D97</t>
  </si>
  <si>
    <t>a0a08c0b-eb58-41bf-9c89-1f641944865e</t>
  </si>
  <si>
    <t>2622323061215000</t>
  </si>
  <si>
    <t>GWX103373938480</t>
  </si>
  <si>
    <t>46e258a6-2470-46f8-97fe-5d37316e2191</t>
  </si>
  <si>
    <t>1108C7FAB8AD</t>
  </si>
  <si>
    <t>1108FB53A519</t>
  </si>
  <si>
    <t>57dd4edc-ed9e-4f3f-a9ef-13e538f93dfc</t>
  </si>
  <si>
    <t>1208CF5EA5DD</t>
  </si>
  <si>
    <t>1208C562FB87</t>
  </si>
  <si>
    <t>44e9ed52-07da-49ee-8e1a-a6cfbb1a9446</t>
  </si>
  <si>
    <t>11081DFC8FE8</t>
  </si>
  <si>
    <t>11084BF7951D</t>
  </si>
  <si>
    <t>53c1cbd0-3b65-41c0-a6d4-62c6541d161a</t>
  </si>
  <si>
    <t>1008BE3F507B</t>
  </si>
  <si>
    <t>100878C696B4</t>
  </si>
  <si>
    <t>74a81422-1c91-45da-b6c5-65c4b6b11e15</t>
  </si>
  <si>
    <t>100826DA81F8</t>
  </si>
  <si>
    <t>1008E6ECE025</t>
  </si>
  <si>
    <t>26a949b0-59dd-4e2b-855e-b56ba2313d24</t>
  </si>
  <si>
    <t>11083E2E8855</t>
  </si>
  <si>
    <t>11089A0974B0</t>
  </si>
  <si>
    <t>0c6b7760-f957-49c7-a1d9-030a6e716945</t>
  </si>
  <si>
    <t>OT26250TZ0130036</t>
  </si>
  <si>
    <t>fe4d92ab-59fb-4c99-a559-ef4416830a78</t>
  </si>
  <si>
    <t>110834539989</t>
  </si>
  <si>
    <t>110861A4B1C7</t>
  </si>
  <si>
    <t>be629b04-d627-4018-878e-323444ec027c</t>
  </si>
  <si>
    <t>100801659FEA</t>
  </si>
  <si>
    <t>1008228A6EFB</t>
  </si>
  <si>
    <t>49bc7ff3-f5bb-4201-bd94-718653a8d504</t>
  </si>
  <si>
    <t>OT26250TZ0130049</t>
  </si>
  <si>
    <t>d916b834-5bab-4ac2-aa08-a489e4a0cc6e</t>
  </si>
  <si>
    <t>1008E6D9B30E</t>
  </si>
  <si>
    <t>10087793C6C9</t>
  </si>
  <si>
    <t>9e7a61f3-0ef8-4f6a-88ad-4bdb46cb5819</t>
  </si>
  <si>
    <t>1008A61EF6B0</t>
  </si>
  <si>
    <t>1008C5A28809</t>
  </si>
  <si>
    <t>78c31ad8-92ac-48c2-8c48-9544e05e0e71</t>
  </si>
  <si>
    <t>OT26251TZ0130329</t>
  </si>
  <si>
    <t>5dfdda43-f5e2-4016-92bd-9c8831a682b7</t>
  </si>
  <si>
    <t>OT26250TZ0130047</t>
  </si>
  <si>
    <t>587c03ed-a7e3-4f54-8c4e-29d91a40a5e5</t>
  </si>
  <si>
    <t>110827448DF1</t>
  </si>
  <si>
    <t>11085A07D3B5</t>
  </si>
  <si>
    <t>f67b0842-20e1-4321-939b-6ac449843641</t>
  </si>
  <si>
    <t>1208DADB4BC3</t>
  </si>
  <si>
    <t>1208597B0C8E</t>
  </si>
  <si>
    <t>67c07d62-22ea-4857-b1d9-d25fde9e0cd3</t>
  </si>
  <si>
    <t>OT26251TZ0130338</t>
  </si>
  <si>
    <t>57e8e6ef-6f31-4507-8e6b-ce9dd58836e5</t>
  </si>
  <si>
    <t>110864439605</t>
  </si>
  <si>
    <t>1108AA2962DC</t>
  </si>
  <si>
    <t>8a00bf16-b2ea-4685-a733-989e24023972</t>
  </si>
  <si>
    <t>P260908C00000331</t>
  </si>
  <si>
    <t>50ee6dd4-449c-4d9a-a099-5351c7a1154b</t>
  </si>
  <si>
    <t>TZ1RTGF262510167</t>
  </si>
  <si>
    <t>27074171-983c-4e8c-bb1b-cd9e809d04ff</t>
  </si>
  <si>
    <t>1008B11F3A33</t>
  </si>
  <si>
    <t>10083BCF2A66</t>
  </si>
  <si>
    <t>bac58398-f4ba-46f4-8fec-a5f9825d73ad</t>
  </si>
  <si>
    <t>1208E12743C6</t>
  </si>
  <si>
    <t>1208CC33CB76</t>
  </si>
  <si>
    <t>7c6f5399-8992-4720-88ee-cca96da1be1b</t>
  </si>
  <si>
    <t>10084153B8C7</t>
  </si>
  <si>
    <t>1008215EC4E0</t>
  </si>
  <si>
    <t>b0f972de-2701-43bc-9213-18e7744b0480</t>
  </si>
  <si>
    <t>10089C174E90</t>
  </si>
  <si>
    <t>10084BF9749B</t>
  </si>
  <si>
    <t>b5ce5f2a-a49b-4a75-86a9-6f71680ca7f0</t>
  </si>
  <si>
    <t>1208E2865B53</t>
  </si>
  <si>
    <t>1208AC1DBCAF</t>
  </si>
  <si>
    <t>06cd9ac6-5e4c-4e6c-83d2-749462ae273a</t>
  </si>
  <si>
    <t>OT26251TZ0130396</t>
  </si>
  <si>
    <t>cdfadfdb-9056-4790-8ad3-4755ec54eb98</t>
  </si>
  <si>
    <t>OT26248TZ0129931</t>
  </si>
  <si>
    <t>ecf762f4-e00a-4166-9f3d-87c6d0d360c1</t>
  </si>
  <si>
    <t>100861971971</t>
  </si>
  <si>
    <t>1008C4EC7B2B</t>
  </si>
  <si>
    <t>0e6ab2f6-dd39-4a4e-b0a8-b49fa4cd0cdf</t>
  </si>
  <si>
    <t>TZAAO25126H6Z1J</t>
  </si>
  <si>
    <t>4cfe62ff-737d-4b2b-b87e-7708c378668</t>
  </si>
  <si>
    <t>6270f3eb-1789-409a-a55a-6fe7c36be2dd</t>
  </si>
  <si>
    <t>10088355258D</t>
  </si>
  <si>
    <t>1008C858D3BA</t>
  </si>
  <si>
    <t>1db0dbf9-47d4-4551-bf2a-0168a26e6def</t>
  </si>
  <si>
    <t>11089B8A3477</t>
  </si>
  <si>
    <t>110818CBCF31</t>
  </si>
  <si>
    <t>706c2427-883b-4d94-b3d9-746d2b9044f5</t>
  </si>
  <si>
    <t>OT26250TZ0130038</t>
  </si>
  <si>
    <t>9b1d09da-27d1-4c57-a8a1-7375a1b131ca</t>
  </si>
  <si>
    <t>06089441ADE9</t>
  </si>
  <si>
    <t>060829BBEDDD</t>
  </si>
  <si>
    <t>aba99941-8a5e-4bcc-b0fd-f4561d02ea5a</t>
  </si>
  <si>
    <t>OT26251TZ0130330</t>
  </si>
  <si>
    <t>502f6304-1356-45c7-a3f6-6f4cd8bc147a</t>
  </si>
  <si>
    <t>120819372C45</t>
  </si>
  <si>
    <t>12085C93B202</t>
  </si>
  <si>
    <t>3fd97128-29d4-4105-a30c-707084c82c85</t>
  </si>
  <si>
    <t>090899EE234B</t>
  </si>
  <si>
    <t>0908CDCD7289</t>
  </si>
  <si>
    <t>0f186a31-7adb-4bec-9f40-586aa127c029</t>
  </si>
  <si>
    <t>1008A02D872C</t>
  </si>
  <si>
    <t>1008D73F7427</t>
  </si>
  <si>
    <t>11e1148d-a008-40ca-a829-09b71d6a5d5d</t>
  </si>
  <si>
    <t>110860B9E0CB</t>
  </si>
  <si>
    <t>1108280A1894</t>
  </si>
  <si>
    <t>3e270c40-6d63-4bd1-ab6e-0abe3a368fba</t>
  </si>
  <si>
    <t>1008EA037BD9</t>
  </si>
  <si>
    <t>1008E8A50853</t>
  </si>
  <si>
    <t>9efd1a70-2598-49e8-afa2-972dc4527e4a</t>
  </si>
  <si>
    <t>OT26250TZ0130034</t>
  </si>
  <si>
    <t>6d5bffba-6129-49e0-b753-11270171a9b9</t>
  </si>
  <si>
    <t>1008519D6F56</t>
  </si>
  <si>
    <t>100804F67C24</t>
  </si>
  <si>
    <t>97f2bdef-2ca5-4a1d-b6b9-79bd140d298a</t>
  </si>
  <si>
    <t>100878AE3C86</t>
  </si>
  <si>
    <t>100852FFA2C1</t>
  </si>
  <si>
    <t>d83f671e-9228-42e8-9a8b-56087a823d50</t>
  </si>
  <si>
    <t>OT26250TZ0130035</t>
  </si>
  <si>
    <t>405fa020-9f96-44f2-9813-8e8bb7b4e878</t>
  </si>
  <si>
    <t>1008609D2B01</t>
  </si>
  <si>
    <t>10083204C604</t>
  </si>
  <si>
    <t>04a11105-1ee2-4f3a-a8c0-759207ce95b9</t>
  </si>
  <si>
    <t>OT26248TZ0129934</t>
  </si>
  <si>
    <t>20b25cbb-9a98-4111-b7ad-8469bddb791b</t>
  </si>
  <si>
    <t>OT26250TZ0130033</t>
  </si>
  <si>
    <t>a772424b-c532-4866-847a-47088262a8e2</t>
  </si>
  <si>
    <t>1208A507B2DC</t>
  </si>
  <si>
    <t>1208F14F0B23</t>
  </si>
  <si>
    <t>bf21f5ee-e5cb-4d18-8103-99b4cd0573e7</t>
  </si>
  <si>
    <t>120867CEAF38</t>
  </si>
  <si>
    <t>1208307341CB</t>
  </si>
  <si>
    <t>38cb734a-4169-4158-8dc5-44d184645a41</t>
  </si>
  <si>
    <t>100810641CC8</t>
  </si>
  <si>
    <t>1008353DE23B</t>
  </si>
  <si>
    <t>8b4777a8-90ca-41da-86d0-0848b6a98928</t>
  </si>
  <si>
    <t>TZAAO25126HZ0EW</t>
  </si>
  <si>
    <t>3211d77f-7480-4538-bb33-24a90654508</t>
  </si>
  <si>
    <t>d7c8be24-295a-4ab5-abef-c16fd07fe8e0</t>
  </si>
  <si>
    <t>120839B30FB0</t>
  </si>
  <si>
    <t>1208945FF129</t>
  </si>
  <si>
    <t>984e9158-a9fb-409e-b037-43e6cb38ba26</t>
  </si>
  <si>
    <t>120899D713B8</t>
  </si>
  <si>
    <t>1208E723AE27</t>
  </si>
  <si>
    <t>2c916b7b-15a0-4bcd-9ba7-9c7aeb3145ed</t>
  </si>
  <si>
    <t>OT26248TZ0129936</t>
  </si>
  <si>
    <t>4bb6737e-86b2-4c92-9802-a1b73cd91ab8</t>
  </si>
  <si>
    <t>100851D977C0</t>
  </si>
  <si>
    <t>100898E792F9</t>
  </si>
  <si>
    <t>b62da140-cb97-474d-be3a-2a887f4c36e5</t>
  </si>
  <si>
    <t>1108C109A312</t>
  </si>
  <si>
    <t>11088B27CC53</t>
  </si>
  <si>
    <t>06b843b1-c692-42d0-9d84-42e5331b29c4</t>
  </si>
  <si>
    <t>1208649A0019</t>
  </si>
  <si>
    <t>120807CA58F1</t>
  </si>
  <si>
    <t>fa007c1b-b1de-4593-9238-e651e33d7bbe</t>
  </si>
  <si>
    <t>OT26251TZ0130336</t>
  </si>
  <si>
    <t>331b847a-03d5-446d-a197-992c6f742c54</t>
  </si>
  <si>
    <t>100874B86370</t>
  </si>
  <si>
    <t>10085A328A9F</t>
  </si>
  <si>
    <t>34e45deb-700d-4501-98b1-33158ed66cae</t>
  </si>
  <si>
    <t>2622315057034000</t>
  </si>
  <si>
    <t>GWX103373770939</t>
  </si>
  <si>
    <t>6c70df79-971f-4036-ac6c-34df2a6b420b</t>
  </si>
  <si>
    <t>1008A2F85D1C</t>
  </si>
  <si>
    <t>10083BFD1D0B</t>
  </si>
  <si>
    <t>4698dd50-15fe-43e0-9274-2659083128b0</t>
  </si>
  <si>
    <t>1008FFA3C4F0</t>
  </si>
  <si>
    <t>1008E5ECBF16</t>
  </si>
  <si>
    <t>d816e5bc-d790-4443-9046-714255dfdbb4</t>
  </si>
  <si>
    <t>2623709</t>
  </si>
  <si>
    <t>769477</t>
  </si>
  <si>
    <t>43882671-ad25-4ea5-b714-4df401f5d9f4</t>
  </si>
  <si>
    <t>1108EE854B8E</t>
  </si>
  <si>
    <t>110842E48300</t>
  </si>
  <si>
    <t>92f82db4-78fe-4402-ac67-0f2f4d27854d</t>
  </si>
  <si>
    <t>OT26251TZ0130340</t>
  </si>
  <si>
    <t>c8c72354-a782-4723-9db5-97503e53b950</t>
  </si>
  <si>
    <t>11085505B2F6</t>
  </si>
  <si>
    <t>11081AC4AA3C</t>
  </si>
  <si>
    <t>e3cffa2a-f4ac-4f2c-aacc-21bca01e22e5</t>
  </si>
  <si>
    <t>OT26251TZ0130327</t>
  </si>
  <si>
    <t>3571fa05-6446-4169-b728-8cc2c6e4c5f3</t>
  </si>
  <si>
    <t>1108CC50B0FC</t>
  </si>
  <si>
    <t>11085CB95BE6</t>
  </si>
  <si>
    <t>87d561a6-67e7-4f58-b9ac-61492af57436</t>
  </si>
  <si>
    <t>11088632C319</t>
  </si>
  <si>
    <t>11083AE8B964</t>
  </si>
  <si>
    <t>45691f43-444a-4c0f-ae77-e7282a424a00</t>
  </si>
  <si>
    <t>110836623C3C</t>
  </si>
  <si>
    <t>1108BEDF2574</t>
  </si>
  <si>
    <t>1f9ee272-dfa6-4bc3-af14-40720b7d5f21</t>
  </si>
  <si>
    <t>NMIBTZTZ AKCOTZTZXXX</t>
  </si>
  <si>
    <t>1208A2670DA5</t>
  </si>
  <si>
    <t>120856C94831</t>
  </si>
  <si>
    <t>f56740fe-c3b8-4886-ab19-8585fb7ab267</t>
  </si>
  <si>
    <t>11089596E3A3</t>
  </si>
  <si>
    <t>110831ABA0A0</t>
  </si>
  <si>
    <t>6795bea9-3fff-460b-a827-9de69e98de12</t>
  </si>
  <si>
    <t>OT26250TZ0130069</t>
  </si>
  <si>
    <t>9502587c-914e-44b6-ae35-beb00fe24195</t>
  </si>
  <si>
    <t>1208238EDFCD</t>
  </si>
  <si>
    <t>120818092A5E</t>
  </si>
  <si>
    <t>02b98dcd-40b8-4a84-9eec-198bff304960</t>
  </si>
  <si>
    <t>CMRTG26251001081</t>
  </si>
  <si>
    <t>0b794335-663d-4fa9-9b86-b8eebbd814a1</t>
  </si>
  <si>
    <t>OT26250TZ0130040</t>
  </si>
  <si>
    <t>877e4b9e-c4ca-4376-8d74-b46bd34278c6</t>
  </si>
  <si>
    <t>TZAAO25126HO26H</t>
  </si>
  <si>
    <t>71447cbe-b493-44e6-8cc5-acf8d3d5bd0</t>
  </si>
  <si>
    <t>71963211-ce10-4516-ab99-8ce0e7fa1fe1</t>
  </si>
  <si>
    <t>OT26248TZ0129933</t>
  </si>
  <si>
    <t>039cad29-bed2-4ad4-9fae-e8df2f53a7ce</t>
  </si>
  <si>
    <t>11082B8F852E</t>
  </si>
  <si>
    <t>1108BA97DDB3</t>
  </si>
  <si>
    <t>fee5b520-41a1-43d2-9c20-404699299cdf</t>
  </si>
  <si>
    <t>100826AC83EA</t>
  </si>
  <si>
    <t>10087D81C6FD</t>
  </si>
  <si>
    <t>7ed667ed-dfd5-4cdf-a5d5-b2e02a93f324</t>
  </si>
  <si>
    <t>OT26248TZ0129939</t>
  </si>
  <si>
    <t>48c69574-698d-4ff5-9c86-e414dc76afe6</t>
  </si>
  <si>
    <t>OT26250TZ0130031</t>
  </si>
  <si>
    <t>b4a91b3d-cd00-4bf8-bb37-45fa5d687aca</t>
  </si>
  <si>
    <t>000000591222</t>
  </si>
  <si>
    <t>24af30b6-5de9-42f5-8d69-17107dd2a3a</t>
  </si>
  <si>
    <t>a928b1dd-ddc6-4ff1-b857-07814efc49d2</t>
  </si>
  <si>
    <t>VIV26251GGLHJCLM</t>
  </si>
  <si>
    <t>e75720e4-e37f-4685-83f6-ddacd0eaaf7e</t>
  </si>
  <si>
    <t>TZAAO25126HSRH4</t>
  </si>
  <si>
    <t>f7992b8f-134b-4a6f-8fff-391fecec889</t>
  </si>
  <si>
    <t>f2649f99-ed1c-491a-ad20-ed773d27d5f9</t>
  </si>
  <si>
    <t>100851D2E4FB</t>
  </si>
  <si>
    <t>100832E50B4D</t>
  </si>
  <si>
    <t>1043a686-96a1-4429-aa15-1a7ae6fe276c</t>
  </si>
  <si>
    <t>CMRTG26251001760</t>
  </si>
  <si>
    <t>60bfb23c-e5a6-40cd-95ef-2725679bde12</t>
  </si>
  <si>
    <t>1108C7BB9A9D</t>
  </si>
  <si>
    <t>11080CAC2C5C</t>
  </si>
  <si>
    <t>9e01982b-24a9-4b14-b34e-9574d743a57c</t>
  </si>
  <si>
    <t>1008C552C4F1</t>
  </si>
  <si>
    <t>100834FA13FD</t>
  </si>
  <si>
    <t>c1efcfc4-3ca8-4f75-8035-18bc1b5caba9</t>
  </si>
  <si>
    <t>1208C923AD39</t>
  </si>
  <si>
    <t>120857D68DE4</t>
  </si>
  <si>
    <t>0d17bda2-806e-4c84-bcfe-c1604d511d2e</t>
  </si>
  <si>
    <t>09089B400C3F</t>
  </si>
  <si>
    <t>09081DD7B592</t>
  </si>
  <si>
    <t>2beb3f20-2773-4d44-ad84-c91bbe9d92ca</t>
  </si>
  <si>
    <t>OT26248TZ0129935</t>
  </si>
  <si>
    <t>178fbb28-cb04-4561-bfb0-917983d67538</t>
  </si>
  <si>
    <t>OT26251TZ0130378</t>
  </si>
  <si>
    <t>8dd93e58-20d8-487a-adc2-ab84116dadcc</t>
  </si>
  <si>
    <t>110870E80104</t>
  </si>
  <si>
    <t>1108E70D477B</t>
  </si>
  <si>
    <t>2173b366-23f2-4694-b5e2-05621d3ce430</t>
  </si>
  <si>
    <t>OT26250TZ0130037</t>
  </si>
  <si>
    <t>cda7c3de-3b50-4998-ba9e-c8d314464ed9</t>
  </si>
  <si>
    <t>1081116B</t>
  </si>
  <si>
    <t>13ba3db1-709b-4209-9bc3-6713348e3eab</t>
  </si>
  <si>
    <t>OT26251TZ0130339</t>
  </si>
  <si>
    <t>16838ceb-cbdf-4416-adda-810ae7d07f7f</t>
  </si>
  <si>
    <t>10087A1A13CE</t>
  </si>
  <si>
    <t>1008CC589081</t>
  </si>
  <si>
    <t>1261a28c-56f0-452e-a8e2-56d92e52cdbd</t>
  </si>
  <si>
    <t>100845FA109C</t>
  </si>
  <si>
    <t>100820D9CBB1</t>
  </si>
  <si>
    <t>7e34f4dd-08e0-4731-916d-8531986d9265</t>
  </si>
  <si>
    <t>1108E2306824</t>
  </si>
  <si>
    <t>1108D17BE377</t>
  </si>
  <si>
    <t>4d58907c-2c1f-467d-bbd2-417b591eabc2</t>
  </si>
  <si>
    <t>OT26251TZ0130337</t>
  </si>
  <si>
    <t>36ab3383-33d2-4eb1-82b2-9f8e0695839e</t>
  </si>
  <si>
    <t>OT26250TZ0130044</t>
  </si>
  <si>
    <t>3cced017-276e-4461-a6e7-2440f5c8eca7</t>
  </si>
  <si>
    <t>120885B22F1D</t>
  </si>
  <si>
    <t>1208089C0E87</t>
  </si>
  <si>
    <t>747d63d0-fe3a-44b2-a51a-30dcad296089</t>
  </si>
  <si>
    <t>1008082A1907</t>
  </si>
  <si>
    <t>10087185DBCD</t>
  </si>
  <si>
    <t>7f3bc1fd-bcc7-4e63-a230-389828a2bf0a</t>
  </si>
  <si>
    <t>OT26250TZ0130048</t>
  </si>
  <si>
    <t>631146b1-3929-4049-886d-f8ccfe521f4c</t>
  </si>
  <si>
    <t>100804C851EE</t>
  </si>
  <si>
    <t>10088A742EE1</t>
  </si>
  <si>
    <t>7707b080-eead-4d7e-8760-484415ca3ded</t>
  </si>
  <si>
    <t>RTN0409C4447F7F</t>
  </si>
  <si>
    <t>0409C4447F7F</t>
  </si>
  <si>
    <t>4a68d59a-1e26-49d2-824f-d2dbdfa5a9c2</t>
  </si>
  <si>
    <t>1008C863FD7F</t>
  </si>
  <si>
    <t>1008C350361D</t>
  </si>
  <si>
    <t>a73b95d5-c0f3-441a-b434-21aede19de54</t>
  </si>
  <si>
    <t>110839455EB9</t>
  </si>
  <si>
    <t>11081AD043FD</t>
  </si>
  <si>
    <t>3a0c9bcd-edba-41ea-9a7f-6c497f31dfb6</t>
  </si>
  <si>
    <t>1208D0AD76A1</t>
  </si>
  <si>
    <t>1208AAA91665</t>
  </si>
  <si>
    <t>7b28114e-f561-4ef4-bab7-9e3f71b14e08</t>
  </si>
  <si>
    <t>10086E5A6D9E</t>
  </si>
  <si>
    <t>100865F79022</t>
  </si>
  <si>
    <t>006568b4-4316-4f09-9f9c-f39e1003530b</t>
  </si>
  <si>
    <t>1008990C360B</t>
  </si>
  <si>
    <t>10089C5B6FD5</t>
  </si>
  <si>
    <t>6846f672-1277-42e3-b785-7f46f4130885</t>
  </si>
  <si>
    <t>09085EEA2FFB</t>
  </si>
  <si>
    <t>09087119D1B9</t>
  </si>
  <si>
    <t>9725d092-5507-4ecc-91b5-274280182442</t>
  </si>
  <si>
    <t>1108EE35F563</t>
  </si>
  <si>
    <t>11085B429B17</t>
  </si>
  <si>
    <t>0b7911b8-f927-480c-aaa1-8a84802ddf58</t>
  </si>
  <si>
    <t>TZAAO25126HI9U4</t>
  </si>
  <si>
    <t>4fa95f02-7c93-4dfe-ba16-729a766be4d</t>
  </si>
  <si>
    <t>2363ffc3-2598-4157-a663-79b0a76a62b4</t>
  </si>
  <si>
    <t>RTN040946D886D6</t>
  </si>
  <si>
    <t>040946D886D6</t>
  </si>
  <si>
    <t>96808035-9e99-4184-8f94-676ddc7c41ef</t>
  </si>
  <si>
    <t>100808718DD5</t>
  </si>
  <si>
    <t>10084E94A723</t>
  </si>
  <si>
    <t>14312ca2-8a41-4a4d-9c5c-54f67aaf6e35</t>
  </si>
  <si>
    <t>10085644958B</t>
  </si>
  <si>
    <t>10086237CFFE</t>
  </si>
  <si>
    <t>00b71f88-45a2-41d2-9b94-fab765f387b8</t>
  </si>
  <si>
    <t>1208560CBB05</t>
  </si>
  <si>
    <t>1208C7F2558C</t>
  </si>
  <si>
    <t>fb594abe-f89c-4c15-854c-5fd114b2bfc4</t>
  </si>
  <si>
    <t>GEPGTR-7190892</t>
  </si>
  <si>
    <t>41e7a20b-7cdf-4555-b8e5-50b8d936e857</t>
  </si>
  <si>
    <t>2622302070506000</t>
  </si>
  <si>
    <t>GWX103374312603</t>
  </si>
  <si>
    <t>b14c8c4a-ea3f-42fd-a0b3-ac5abad9d470</t>
  </si>
  <si>
    <t>OT26251TZ0130331</t>
  </si>
  <si>
    <t>5c03cae7-5ca9-45d7-a706-50a5a1206ecd</t>
  </si>
  <si>
    <t>OT26251TZ0130335</t>
  </si>
  <si>
    <t>92ae6ee4-30f7-4365-b1ab-cebd9795f0c5</t>
  </si>
  <si>
    <t>1008FAA15ABF</t>
  </si>
  <si>
    <t>1008B29F52FE</t>
  </si>
  <si>
    <t>3abf9fdd-7392-4d00-b5e9-1bfd43e519fb</t>
  </si>
  <si>
    <t>11087915177B</t>
  </si>
  <si>
    <t>1108101586C4</t>
  </si>
  <si>
    <t>e79b0d9e-028a-467a-9db7-63ae860ae0da</t>
  </si>
  <si>
    <t>100818A5ABB2</t>
  </si>
  <si>
    <t>1008FC0C1B63</t>
  </si>
  <si>
    <t>c7042151-68ec-4667-a60b-615cd127487a</t>
  </si>
  <si>
    <t>100808065068</t>
  </si>
  <si>
    <t>1008511FD276</t>
  </si>
  <si>
    <t>8cd787f5-6e9b-4167-9c77-f9f4266963b2</t>
  </si>
  <si>
    <t>100891FA047E</t>
  </si>
  <si>
    <t>1008DBB22DC4</t>
  </si>
  <si>
    <t>ba72e3c4-57a1-4663-bf73-8ee65fcd3c6f</t>
  </si>
  <si>
    <t>OT26251TZ0130341</t>
  </si>
  <si>
    <t>10718a50-cda7-4523-bfef-7ca5e161ebfd</t>
  </si>
  <si>
    <t>OT26251TZ0130333</t>
  </si>
  <si>
    <t>24ee1d09-2904-4204-aa66-04047a0493e0</t>
  </si>
  <si>
    <t>120887A0406C</t>
  </si>
  <si>
    <t>12081B7AB527</t>
  </si>
  <si>
    <t>35a36c91-ae51-4709-8e98-542636002d7e</t>
  </si>
  <si>
    <t>1208EB6696B9</t>
  </si>
  <si>
    <t>12084FD963B2</t>
  </si>
  <si>
    <t>1b4dde97-8b06-4bfa-9da4-009d1000ba98</t>
  </si>
  <si>
    <t>OT26248TZ0129938</t>
  </si>
  <si>
    <t>014de629-23b7-44da-b906-355687c7f1d7</t>
  </si>
  <si>
    <t>10083CFDAACE</t>
  </si>
  <si>
    <t>1008082B1407</t>
  </si>
  <si>
    <t>13011c35-7fff-4d90-9ba6-b25781b87325</t>
  </si>
  <si>
    <t>120834BA9FEF</t>
  </si>
  <si>
    <t>120878768ED2</t>
  </si>
  <si>
    <t>21593dcc-9c57-4833-b28e-b7ddc720affe</t>
  </si>
  <si>
    <t>1108FFC2BEC6</t>
  </si>
  <si>
    <t>1108380FFD76</t>
  </si>
  <si>
    <t>15b669ee-b581-41da-8f29-7917febb2e32</t>
  </si>
  <si>
    <t>1008DE077A10</t>
  </si>
  <si>
    <t>10080E622C04</t>
  </si>
  <si>
    <t>fc28655a-d91a-41c5-8538-e0fc206a1166</t>
  </si>
  <si>
    <t>OT26248TZ0129932</t>
  </si>
  <si>
    <t>60df6a1a-efbc-4721-87b8-7b7e6517bbce</t>
  </si>
  <si>
    <t>P260908C00001425</t>
  </si>
  <si>
    <t>0809D6F18FD0</t>
  </si>
  <si>
    <t>65784578-cd12-4107-a3c8-5d62f3b45b01</t>
  </si>
  <si>
    <t>1208AEB75F19</t>
  </si>
  <si>
    <t>12087CBF8257</t>
  </si>
  <si>
    <t>8d5d4a00-ecc2-434a-9884-3afd81c6a6d3</t>
  </si>
  <si>
    <t>OT26250TZ0130050</t>
  </si>
  <si>
    <t>1388c861-25fa-424a-a1f6-3948050212c3</t>
  </si>
  <si>
    <t>R79RTGS262510502</t>
  </si>
  <si>
    <t>8ee31329-5d06-48cc-adec-f7d64e351762</t>
  </si>
  <si>
    <t>1008D707061A</t>
  </si>
  <si>
    <t>1008CAD98312</t>
  </si>
  <si>
    <t>ed73910a-0b06-46fc-9bb4-c09b9f878b03</t>
  </si>
  <si>
    <t>1008287761D0</t>
  </si>
  <si>
    <t>10085B2A1E0A</t>
  </si>
  <si>
    <t>52a39fba-6b50-436e-b2bd-4adfede4fc22</t>
  </si>
  <si>
    <t>TZAAO25226HN7CF</t>
  </si>
  <si>
    <t>F/TZA/DRT/AAO/20260909/00037888813</t>
  </si>
  <si>
    <t>1bd8bdf3-715b-4a0a-8844-3191f61f94f8</t>
  </si>
  <si>
    <t>TZAAO25226H9E79</t>
  </si>
  <si>
    <t>a7fd048d-4aa0-4a5b-b475-bf05f5170e0</t>
  </si>
  <si>
    <t>b7559d63-57f9-4463-925a-21f0105aac78</t>
  </si>
  <si>
    <t>OT26252TZ0130563</t>
  </si>
  <si>
    <t>609e6313-f63d-47b5-98e0-9bdd9f639b75</t>
  </si>
  <si>
    <t>12081C8D336D</t>
  </si>
  <si>
    <t>1208020114FD</t>
  </si>
  <si>
    <t>cf515188-19f1-41b4-98eb-a6e996563196</t>
  </si>
  <si>
    <t>TZ1OL260909025BC</t>
  </si>
  <si>
    <t>EFT 2000028097</t>
  </si>
  <si>
    <t>0f3a987c-186e-402d-8b12-3f622534f845</t>
  </si>
  <si>
    <t>TZ1OL260909025L0</t>
  </si>
  <si>
    <t>PIMWRMTZ01A21302</t>
  </si>
  <si>
    <t>4330680e-f5d5-4e7d-a981-8b57b3e665e4</t>
  </si>
  <si>
    <t>TZ1OL260909025BH</t>
  </si>
  <si>
    <t>EFT 2000028089</t>
  </si>
  <si>
    <t>d18f2b03-17d4-41e9-9799-e2860eef6a97</t>
  </si>
  <si>
    <t>001FTOL262521360</t>
  </si>
  <si>
    <t>b8dba29d-659c-4507-9705-0f7f2153a60d</t>
  </si>
  <si>
    <t>S537569</t>
  </si>
  <si>
    <t>1e62c457-d0c5-47ff-a9dc-f25f884d2082</t>
  </si>
  <si>
    <t>P260909C00001679</t>
  </si>
  <si>
    <t>88014611-a37c-4c3d-84c2-74ce72ba0322</t>
  </si>
  <si>
    <t>OT26252TZ0130806</t>
  </si>
  <si>
    <t>03efffe0-e8ad-48d4-83e9-dbf1ec6617ba</t>
  </si>
  <si>
    <t>10084C2CDF1D</t>
  </si>
  <si>
    <t>1008FE3C4A0E</t>
  </si>
  <si>
    <t>0920d165-3565-4c2f-a47b-5248a1b020f2</t>
  </si>
  <si>
    <t>P260909C00000653</t>
  </si>
  <si>
    <t>09097AADAD1C</t>
  </si>
  <si>
    <t>92559f4d-3d47-4ab6-b047-4a4550482ce6</t>
  </si>
  <si>
    <t>1081703</t>
  </si>
  <si>
    <t>e5009496-b5e9-4f1d-b11c-1f6d2cf91cf7</t>
  </si>
  <si>
    <t>TZAAO25226H8OWA</t>
  </si>
  <si>
    <t>F/TZA/DRT/AAO/20260909/00037888814</t>
  </si>
  <si>
    <t>44e9d6ab-ccb4-428c-97f3-1d1cecf58d5b</t>
  </si>
  <si>
    <t>GEPGTR-7190917</t>
  </si>
  <si>
    <t>b21ac122-0a16-4064-b193-21f83bbb7799</t>
  </si>
  <si>
    <t>015COUS090926008</t>
  </si>
  <si>
    <t>b04c7dea-84a2-471d-b516-5ae25cda0edb</t>
  </si>
  <si>
    <t>TZ1OL260909025B7</t>
  </si>
  <si>
    <t>EFT 2000028087</t>
  </si>
  <si>
    <t>558dee81-6f5a-438c-a0b4-dd60336be9f2</t>
  </si>
  <si>
    <t>0708564BF56B</t>
  </si>
  <si>
    <t>07088E4D8E90</t>
  </si>
  <si>
    <t>c788ff6d-3442-4e3b-98ec-5e3de16f56b2</t>
  </si>
  <si>
    <t>TZ1OL260909025NW</t>
  </si>
  <si>
    <t>PIBULYTZN1A20016</t>
  </si>
  <si>
    <t>da4c3669-b9a3-4ccd-9b96-547c02909c96</t>
  </si>
  <si>
    <t>OT26252TZ0130758</t>
  </si>
  <si>
    <t>888279c4-4cd5-49e1-b3be-815bdf42d56c</t>
  </si>
  <si>
    <t>OT26252TZ0130873</t>
  </si>
  <si>
    <t>7ade9dcb-dc59-4c73-a16f-96bc804afc50</t>
  </si>
  <si>
    <t>TZAAO25226HS9RD</t>
  </si>
  <si>
    <t>f9feae82-b8a1-4ad9-a43e-c7efa39b458</t>
  </si>
  <si>
    <t>5d342e06-fe19-422a-80c8-e64733bd4a05</t>
  </si>
  <si>
    <t>S537568</t>
  </si>
  <si>
    <t>5e94d9ea-1976-40ae-a9e1-e500defc9f46</t>
  </si>
  <si>
    <t>TZAAO25226HWFHH</t>
  </si>
  <si>
    <t>3e35bafe-d49e-4f64-a6b2-a89b90088eb</t>
  </si>
  <si>
    <t>f7b2824a-3d44-4713-a1e0-bc40eb09ce29</t>
  </si>
  <si>
    <t>1068f26f-f9da-4880-9c58-7dec4622ff4d</t>
  </si>
  <si>
    <t>P260909C00002849</t>
  </si>
  <si>
    <t>5b631571-e5f8-40de-8aa5-0df5270eef9c</t>
  </si>
  <si>
    <t>OT26252TZ0130602</t>
  </si>
  <si>
    <t>37f2a73a-e5cc-4e49-9832-5fa9e54607d4</t>
  </si>
  <si>
    <t>S537571</t>
  </si>
  <si>
    <t>b69ea57a-63fd-42db-bc00-50dad58eb359</t>
  </si>
  <si>
    <t>000008416178</t>
  </si>
  <si>
    <t>0b8386a8-6d0a-4521-ab15-31b2a0552c24</t>
  </si>
  <si>
    <t>OT26252TZ0130807</t>
  </si>
  <si>
    <t>6dd5ce6e-9fb4-4400-b5b3-75ebfcdf3693</t>
  </si>
  <si>
    <t>CMRTG26252003173</t>
  </si>
  <si>
    <t>d5e56783-d9e8-47f3-8f17-42b02e64b385</t>
  </si>
  <si>
    <t>RTO3004262385512</t>
  </si>
  <si>
    <t>5d8dd41e-cea0-4d37-984d-30cfa7bed575</t>
  </si>
  <si>
    <t>MRU26252MD0KDKLC</t>
  </si>
  <si>
    <t>db668044-ca48-4129-a5d2-35d553a2afbb</t>
  </si>
  <si>
    <t>2622310049524000</t>
  </si>
  <si>
    <t>GWX103373486293</t>
  </si>
  <si>
    <t>d64bccb9-fb7d-4b30-9459-c0c1dbf4a9af</t>
  </si>
  <si>
    <t>NMIBTZTZ HABLTZTZXXX</t>
  </si>
  <si>
    <t>P260909C00002323</t>
  </si>
  <si>
    <t>0909BD36E59E</t>
  </si>
  <si>
    <t>12fcbaa5-f5e5-41a2-a9b9-68a5b2cabb7f</t>
  </si>
  <si>
    <t>FT26252S7LT1</t>
  </si>
  <si>
    <t>e5fa2b1a-d6d0-45c4-9881-4a31b31c31be</t>
  </si>
  <si>
    <t>OT26252TZ0130551</t>
  </si>
  <si>
    <t>ce2d5d56-ca73-469a-af6c-575f3490f653</t>
  </si>
  <si>
    <t>1081731</t>
  </si>
  <si>
    <t>5812bf2a-c6f5-41c9-94a6-ca701ff1c4a5</t>
  </si>
  <si>
    <t>130T260909135205</t>
  </si>
  <si>
    <t>533396a7-bbe8-475b-aec6-f3be9b2c82ba</t>
  </si>
  <si>
    <t>TZAAO25226H43XE</t>
  </si>
  <si>
    <t>82a58350-15ea-4f04-8368-f7cfd06910d</t>
  </si>
  <si>
    <t>c773b3d1-338c-4bab-957f-fc6f36404c47</t>
  </si>
  <si>
    <t>000008414791</t>
  </si>
  <si>
    <t>cc65fadf-c26a-45e1-a0cb-b68a486b8bc8</t>
  </si>
  <si>
    <t>260909TA039944</t>
  </si>
  <si>
    <t>TZAAO25226HMU9J</t>
  </si>
  <si>
    <t>eb250fe7-277c-4427-b51a-92d36bd1fd9</t>
  </si>
  <si>
    <t>7fc8922b-e0c0-4366-bd77-3c1ee59d6652</t>
  </si>
  <si>
    <t>TZAAO25226HLAAM</t>
  </si>
  <si>
    <t>4e31ba80-f269-4935-9ef0-2e0d0aec338</t>
  </si>
  <si>
    <t>7b8db59f-8141-4e98-a168-d8a3da416987</t>
  </si>
  <si>
    <t>P260909C00002725</t>
  </si>
  <si>
    <t>87bd30a6-5ab5-4aee-b62a-a71ca102c0b7</t>
  </si>
  <si>
    <t>OT26252TZ0130603</t>
  </si>
  <si>
    <t>a46e5371-0948-42a0-9a6c-0e624fccd9ee</t>
  </si>
  <si>
    <t>101jos1262460005</t>
  </si>
  <si>
    <t>a0431b33-dc0e-473a-87a8-7fc85eecb5a0</t>
  </si>
  <si>
    <t>OT26252TZ0130869</t>
  </si>
  <si>
    <t>06cc4d12-2ea2-4fd4-833f-c7337cd7ec5b</t>
  </si>
  <si>
    <t>OT26252TZ0130553</t>
  </si>
  <si>
    <t>6de63b24-9ccb-4292-ae39-717cddcac8ce</t>
  </si>
  <si>
    <t>2012030A</t>
  </si>
  <si>
    <t>3e041dbf-7a3e-47fb-a9fa-f79381fa331b</t>
  </si>
  <si>
    <t>FT26252Z8J49</t>
  </si>
  <si>
    <t>e5427483-5ef4-4d45-90c8-80ad778c4c9a</t>
  </si>
  <si>
    <t>RTO3004262385509</t>
  </si>
  <si>
    <t>1d244cd9-8a72-4336-88e6-5f273730bfd1</t>
  </si>
  <si>
    <t>1108CFF48C13</t>
  </si>
  <si>
    <t>11086D9C160F</t>
  </si>
  <si>
    <t>f21a7b5c-6a72-49ca-a24a-4b569899417e</t>
  </si>
  <si>
    <t>OT26252TZ0130712</t>
  </si>
  <si>
    <t>f15d157e-a718-43a9-8060-3a335f457800</t>
  </si>
  <si>
    <t>OT26252TZ0130870</t>
  </si>
  <si>
    <t>251b12cf-67b7-4ff3-9862-219a1981967d</t>
  </si>
  <si>
    <t>RTO3004262385519</t>
  </si>
  <si>
    <t>e6510798-e557-458f-a8c1-e72209bdaccb</t>
  </si>
  <si>
    <t>FT26252CD9BP</t>
  </si>
  <si>
    <t>9da81dc7-7119-4472-bdc5-c3e98141e45c</t>
  </si>
  <si>
    <t>OT26252TZ0130868</t>
  </si>
  <si>
    <t>6f6cefeb-f5a0-4249-891d-64c932894d62</t>
  </si>
  <si>
    <t>R90RTGO262520132</t>
  </si>
  <si>
    <t>3605ba0c-3edb-4fce-a346-115d052f23bb</t>
  </si>
  <si>
    <t>S537570</t>
  </si>
  <si>
    <t>33bde402-0ac6-4cec-a738-6a02508b7d9c</t>
  </si>
  <si>
    <t>TZAAO25226HQHG7</t>
  </si>
  <si>
    <t>393d9544-8d7d-406b-96c3-d0b67935981</t>
  </si>
  <si>
    <t>dbcd6f41-bcca-409a-80d8-cd1ca38e8afb</t>
  </si>
  <si>
    <t>TZAAO25226H3GQX</t>
  </si>
  <si>
    <t>dea00a58-3d1d-4ad3-a11d-cf78cec6f5b</t>
  </si>
  <si>
    <t>69228365-dd7b-42a1-ba87-6c8b6a689d1b</t>
  </si>
  <si>
    <t>000000591921</t>
  </si>
  <si>
    <t>efd92433-66b6-4654-b5ef-94961d18000</t>
  </si>
  <si>
    <t>2630e35d-c12f-46b7-9f87-b3776a7b3bd1</t>
  </si>
  <si>
    <t>TZAAO25326HID8D</t>
  </si>
  <si>
    <t>dacae9ab-da06-4864-95a1-3677600ea9a</t>
  </si>
  <si>
    <t>f42d98a4-cd0a-468d-a1ec-87c9ed147cea</t>
  </si>
  <si>
    <t>TZAAO25326HYE58</t>
  </si>
  <si>
    <t>4456d9d3-bf94-405c-9e59-f896f6abbec</t>
  </si>
  <si>
    <t>38183145-3e2d-44f0-86bc-7e8943c78809</t>
  </si>
  <si>
    <t>TZAAO25326H8WWF</t>
  </si>
  <si>
    <t>de6fc6ab-7591-4771-9c3d-23e7a669391</t>
  </si>
  <si>
    <t>b7016293-91d3-486f-8407-bb7065279e45</t>
  </si>
  <si>
    <t>P260910C00000763</t>
  </si>
  <si>
    <t>930b355d-485b-43ca-9380-68232763be05</t>
  </si>
  <si>
    <t>HZ1K258N94GDB983</t>
  </si>
  <si>
    <t>3f7f1c97-4492-4b77-9a9a-b62cb33d11c3</t>
  </si>
  <si>
    <t>1081751</t>
  </si>
  <si>
    <t>10224e0b-d91a-4414-8fbf-489e782d0b9f</t>
  </si>
  <si>
    <t>P260910C00000793</t>
  </si>
  <si>
    <t>f72f39a0-e1a7-4f5f-9586-1f27df3e3e15</t>
  </si>
  <si>
    <t>TZ1RTGF262530315</t>
  </si>
  <si>
    <t>8542c4b5-dc76-40cf-998a-049a8225cdb9</t>
  </si>
  <si>
    <t>P260910C00000799</t>
  </si>
  <si>
    <t>8bbb950f-12df-4177-8380-43570bba7f79</t>
  </si>
  <si>
    <t>TZAAO25326HG954</t>
  </si>
  <si>
    <t>9380d629-6fc6-47ac-a1dd-9cdb60957c4</t>
  </si>
  <si>
    <t>fb4e1c84-16f9-48f1-84af-feb41b57a442</t>
  </si>
  <si>
    <t>OT26253TZ0131156</t>
  </si>
  <si>
    <t>bc0a1c79-f82b-410e-a68d-6056648389b8</t>
  </si>
  <si>
    <t>TZAAO25326HALBR</t>
  </si>
  <si>
    <t>de94c6fb-7621-47fe-b466-6e39357a2d9</t>
  </si>
  <si>
    <t>5787fbb8-7d6e-4996-aaf4-ca3594d0565c</t>
  </si>
  <si>
    <t>TRX2609101154750</t>
  </si>
  <si>
    <t>E2E2609101153353</t>
  </si>
  <si>
    <t>db1e22ea-b637-46e0-b549-8a7db6613847</t>
  </si>
  <si>
    <t>TZAAO25326HNLPP</t>
  </si>
  <si>
    <t>F/TZA/DRT/AAO/20260910/00037917393</t>
  </si>
  <si>
    <t>5165bb97-9ed1-4f9f-bab5-8a78107bca0c</t>
  </si>
  <si>
    <t>TZAAO25326HTTMC</t>
  </si>
  <si>
    <t>8c915af7-0a58-4c51-81e1-35951e950f1</t>
  </si>
  <si>
    <t>1d8f8099-6636-437d-8c96-134729dd7c7f</t>
  </si>
  <si>
    <t>P260910C00001527</t>
  </si>
  <si>
    <t>51551b95-c8d5-424e-bdab-744020756051</t>
  </si>
  <si>
    <t>OT26253TZ0131244</t>
  </si>
  <si>
    <t>40730c7b-e709-45a0-b4ec-da172c4eedb1</t>
  </si>
  <si>
    <t>TZAAO25326HX5RX</t>
  </si>
  <si>
    <t>a2ecca0d-2246-435c-814a-1171441e0d9</t>
  </si>
  <si>
    <t>cc6162e1-0378-4336-a9b6-04a7847400e3</t>
  </si>
  <si>
    <t>OT26253TZ0131155</t>
  </si>
  <si>
    <t>534b44f9-1da2-4f55-919c-11c0d2fdb809</t>
  </si>
  <si>
    <t>OT26253TZ0131154</t>
  </si>
  <si>
    <t>211a2be2-59cb-4707-a77d-d5f815616dec</t>
  </si>
  <si>
    <t>TZAAO25326HD18A</t>
  </si>
  <si>
    <t>6954f0d6-0f1e-4757-afa7-5bbfd0561ab</t>
  </si>
  <si>
    <t>3af3ef85-2c87-4c52-a160-6543ebd9e7c3</t>
  </si>
  <si>
    <t>R90RTGO262530067</t>
  </si>
  <si>
    <t>443d7b77-2537-4381-9b61-da3d7a67f417</t>
  </si>
  <si>
    <t>OT26253TZ0131132</t>
  </si>
  <si>
    <t>220255d0-442f-47fd-97a1-313de9758fd3</t>
  </si>
  <si>
    <t>TZAAO25326HE783</t>
  </si>
  <si>
    <t>31965669-eccb-4051-a1eb-89c872d1c3f</t>
  </si>
  <si>
    <t>9240cd5d-6146-486d-b606-bd05b15d1dfe</t>
  </si>
  <si>
    <t>TZRTG-26-002857</t>
  </si>
  <si>
    <t>991330195522</t>
  </si>
  <si>
    <t>e94384ec-5a3b-4ff4-9576-1076fafa078a</t>
  </si>
  <si>
    <t>TZAAO25326HHW5A</t>
  </si>
  <si>
    <t>e54e5259-a6f4-454f-8059-1987d85985b</t>
  </si>
  <si>
    <t>2ea07876-18c1-4076-9686-ee95974ae699</t>
  </si>
  <si>
    <t>TZAAO25326HL7N9</t>
  </si>
  <si>
    <t>994bad44-a2c8-44c7-ac59-407ffef15aa</t>
  </si>
  <si>
    <t>873d5992-1be2-42e9-8877-671f8500f7da</t>
  </si>
  <si>
    <t>TZAAO25326HVUGX</t>
  </si>
  <si>
    <t>70df98d8-3c16-4712-8b6f-14763b51069</t>
  </si>
  <si>
    <t>8467664f-df69-4664-8192-cfe1ee4b2f51</t>
  </si>
  <si>
    <t>TZAAO25326HAC7I</t>
  </si>
  <si>
    <t>9b26ec46-ebd0-4fe2-a04f-fddb5083afd</t>
  </si>
  <si>
    <t>4189e4ce-03c5-4fe2-88f1-46122ec1aa28</t>
  </si>
  <si>
    <t>OT26253TZ0131131</t>
  </si>
  <si>
    <t>42a14412-304d-4712-904f-652b6654268a</t>
  </si>
  <si>
    <t>TZAAO25326HR86D</t>
  </si>
  <si>
    <t>8f7e07ee-67a7-4322-b4ad-ebdea4f88e0</t>
  </si>
  <si>
    <t>1ac21391-53ad-452e-82b7-afadfd0963e9</t>
  </si>
  <si>
    <t>OT26253TZ0131007</t>
  </si>
  <si>
    <t>ae5163f6-a916-4c78-8e0f-ca089115ddcb</t>
  </si>
  <si>
    <t>OT26253TZ0131135</t>
  </si>
  <si>
    <t>0c4a0cc7-e2f8-40b6-af89-0327a0a57b9c</t>
  </si>
  <si>
    <t>TZAAO25326HFK7H</t>
  </si>
  <si>
    <t>d686d114-7d60-4606-9ff3-dd79429a9dd</t>
  </si>
  <si>
    <t>94a5d03f-b7df-4458-80e7-362badfda41a</t>
  </si>
  <si>
    <t>TZAAO25326HMDKD</t>
  </si>
  <si>
    <t>c27258c5-a0d0-47d3-8239-8e5188b172f</t>
  </si>
  <si>
    <t>17545d12-a9c9-470a-923d-6c393c730688</t>
  </si>
  <si>
    <t>000000591793</t>
  </si>
  <si>
    <t>dbda0461-b165-4f5d-9254-d3b4b02ce4f</t>
  </si>
  <si>
    <t>c721a0a0-b923-417c-a354-e28835940ffb</t>
  </si>
  <si>
    <t>TZAAO25326HDB7I</t>
  </si>
  <si>
    <t>f47b97cf-36fa-43ac-9c9a-c208397267e</t>
  </si>
  <si>
    <t>85d183de-3fd0-4636-a675-593baa3dc298</t>
  </si>
  <si>
    <t>P260910C00002503</t>
  </si>
  <si>
    <t>d962e044-e686-4c37-9dc3-43781cf702dc</t>
  </si>
  <si>
    <t>CMRTG26254000103</t>
  </si>
  <si>
    <t>0342d84b-1423-46c8-9711-848b0dd17208</t>
  </si>
  <si>
    <t>000008420714</t>
  </si>
  <si>
    <t>e723bd80-14c2-4c9c-82f5-e80c3e694329</t>
  </si>
  <si>
    <t>CMRTG26254000675</t>
  </si>
  <si>
    <t>0962dcfc-6076-4351-a721-3509a6a370ca</t>
  </si>
  <si>
    <t>TZAAO25426HMFYT</t>
  </si>
  <si>
    <t>d455f485-1a98-41d0-97e2-1c0ba0444de</t>
  </si>
  <si>
    <t>f956f715-0c99-4fb4-9716-d14e8f878435</t>
  </si>
  <si>
    <t>CMRTG26254000093</t>
  </si>
  <si>
    <t>9710fbe5-8a53-4aaf-9e01-5c13af780c87</t>
  </si>
  <si>
    <t>TZ1RTGF262540420</t>
  </si>
  <si>
    <t>614cde4d-1cf6-499f-bde8-0cfb223fcae0</t>
  </si>
  <si>
    <t>CMRTG26254000092</t>
  </si>
  <si>
    <t>d7d899d4-2031-47a4-bb18-fe4c8bacc3ae</t>
  </si>
  <si>
    <t>P260911C00001467</t>
  </si>
  <si>
    <t>a44625e7-541a-4f0f-8367-1a69b15ad722</t>
  </si>
  <si>
    <t>001FTOL262541178</t>
  </si>
  <si>
    <t>17795305-57e7-49cb-a83e-3e9605612ee1</t>
  </si>
  <si>
    <t>001FTOL262541141</t>
  </si>
  <si>
    <t>ca08308e-99c2-49cc-8f25-f94c89e3c921</t>
  </si>
  <si>
    <t>OT26254TZ0131649</t>
  </si>
  <si>
    <t>1e8b12e4-a093-408d-9c37-86d34fe2c946</t>
  </si>
  <si>
    <t>OT26254TZ0131592</t>
  </si>
  <si>
    <t>51afc4fa-49cd-4eaf-b0ed-d9fcec4b7d26</t>
  </si>
  <si>
    <t>TZAAO25426HX3DM</t>
  </si>
  <si>
    <t>bf8a0489-0f3f-4b31-bb06-5a0c6ce1fef</t>
  </si>
  <si>
    <t>edde7b91-370b-405d-9dca-8a39a3de759d</t>
  </si>
  <si>
    <t>R90RTGO262540117</t>
  </si>
  <si>
    <t>7c9a95ef-7bcc-4ffd-bf02-54f31c03c67c</t>
  </si>
  <si>
    <t>OT26254TZ0131484</t>
  </si>
  <si>
    <t>1c449475-12de-43ec-995a-6ad6f8cd8a38</t>
  </si>
  <si>
    <t>TZ1RTGF262540414</t>
  </si>
  <si>
    <t>7a8162ac-5e8b-4893-ac67-ab72ec8e211a</t>
  </si>
  <si>
    <t>OT26254TZ0131379</t>
  </si>
  <si>
    <t>6f7a545a-210e-46ac-8c55-6a63ab802a37</t>
  </si>
  <si>
    <t>1081789</t>
  </si>
  <si>
    <t>4c7f317d-bd20-410b-b88d-9962c18839bc</t>
  </si>
  <si>
    <t>TZ1RTGF262540361</t>
  </si>
  <si>
    <t>a1414637-e4db-4cc5-a156-33723b78829b</t>
  </si>
  <si>
    <t>TZ1RTGF262540410</t>
  </si>
  <si>
    <t>b78e3dc4-80ca-465b-a72e-1d3eeac60c99</t>
  </si>
  <si>
    <t>RTN135/09/26</t>
  </si>
  <si>
    <t>e1f06f09-f437-44f6-b15f-b68fff34fcdb</t>
  </si>
  <si>
    <t>HZ1K27ILHKAAB9AA</t>
  </si>
  <si>
    <t>0a0c10cd-0bed-4800-9856-4c1c6b0db72f</t>
  </si>
  <si>
    <t>P260911C00002629</t>
  </si>
  <si>
    <t>fdfcffbf-5f23-4ebf-8290-ae728a03211e</t>
  </si>
  <si>
    <t>GEPGTR-7190956</t>
  </si>
  <si>
    <t>644ef25f-4e7c-4c2b-b788-8789af593553</t>
  </si>
  <si>
    <t>OT26254TZ0131475</t>
  </si>
  <si>
    <t>e803c1d0-385a-468f-b9cd-b19ebcf1ed30</t>
  </si>
  <si>
    <t>GEPGTR-7190958</t>
  </si>
  <si>
    <t>bc36de64-28cd-4d98-af2a-5a1bc1650a65</t>
  </si>
  <si>
    <t>HZ1K28KD3IPFCABB</t>
  </si>
  <si>
    <t>107e2059-c949-46a3-ab59-14073664496e</t>
  </si>
  <si>
    <t>GEPGTR-7190947</t>
  </si>
  <si>
    <t>501aeba3-e32f-4dfe-b702-c8f2e3f69a0e</t>
  </si>
  <si>
    <t>GEPGTR-7190959</t>
  </si>
  <si>
    <t>aa6083f0-a910-47c3-abe0-3fbfcf39e029</t>
  </si>
  <si>
    <t>TZ1RTGF262540418</t>
  </si>
  <si>
    <t>478b0d19-df30-41ad-894b-f4ccbdf70356</t>
  </si>
  <si>
    <t>I5KGJV5LAA</t>
  </si>
  <si>
    <t>5a41f3d3-2806-4abf-9260-0d3f0e8d45df</t>
  </si>
  <si>
    <t>GEPGTR-7190949</t>
  </si>
  <si>
    <t>7cd61044-7ab3-47c1-bf7a-84f55437c8eb</t>
  </si>
  <si>
    <t>TZ1OL260911025I7</t>
  </si>
  <si>
    <t>PINEELTZ01A32067</t>
  </si>
  <si>
    <t>8809247d-db06-4e59-a350-75c9f3130b67</t>
  </si>
  <si>
    <t>OT26254TZ0131329</t>
  </si>
  <si>
    <t>b8a9aac0-0cf0-4243-807d-ba3fa57b6542</t>
  </si>
  <si>
    <t>011TOUS110926005</t>
  </si>
  <si>
    <t>0f7d83da-05b3-4f99-a2a8-fa7309fb0897</t>
  </si>
  <si>
    <t>HZ1K2AVVEUHA9A97</t>
  </si>
  <si>
    <t>f63310be-4b97-4992-ae56-9b3dbaf7dc66</t>
  </si>
  <si>
    <t>TZAAO25526HCLRV</t>
  </si>
  <si>
    <t>F/TZA/DRT/AAO/20260912/00037964384</t>
  </si>
  <si>
    <t>fbecb3cf-f9e9-48b7-86f7-dd969975028d</t>
  </si>
  <si>
    <t>TZ1OL2609120259I</t>
  </si>
  <si>
    <t>991330195621</t>
  </si>
  <si>
    <t>dd0d1b6f-be22-44f2-a110-1c3f9dfcebf6</t>
  </si>
  <si>
    <t>000008421461</t>
  </si>
  <si>
    <t>518b1851-e9c6-425a-b52b-00ed88fa8184</t>
  </si>
  <si>
    <t>000008421649</t>
  </si>
  <si>
    <t>3a22c339-6f61-4a64-b383-781dbba523b4</t>
  </si>
  <si>
    <t>260912TA039986</t>
  </si>
  <si>
    <t>DCB/FTT/817/26</t>
  </si>
  <si>
    <t>d21eb73c-5846-4d93-8ca3-5a389a2f8563</t>
  </si>
  <si>
    <t>DASUTZTZ NMIBTZTZ</t>
  </si>
  <si>
    <t>TZ1OL2609120257R</t>
  </si>
  <si>
    <t>991330195624</t>
  </si>
  <si>
    <t>222c6265-ff54-437e-ba5b-e74e3fb5de16</t>
  </si>
  <si>
    <t>GEPGTR-7190963</t>
  </si>
  <si>
    <t>d59e6a76-b927-4273-a89c-123a3102a8e2</t>
  </si>
  <si>
    <t>TZAAO25526HT5QX</t>
  </si>
  <si>
    <t>defacb78-f44f-4ba1-b2b7-4b2a44faa1c</t>
  </si>
  <si>
    <t>def60244-53a9-4084-943c-c1a3b1f99cf5</t>
  </si>
  <si>
    <t>000008421298</t>
  </si>
  <si>
    <t>5fe5fb50-6b02-48b9-8142-5a685c96b95a</t>
  </si>
  <si>
    <t>130T260912115259</t>
  </si>
  <si>
    <t>55ed2ca3-b66a-4655-84ce-591c55fb75ee</t>
  </si>
  <si>
    <t>P260912C00000917</t>
  </si>
  <si>
    <t>5d84ed9d-4c37-4662-b733-4aabba09a3a0</t>
  </si>
  <si>
    <t>000008421120</t>
  </si>
  <si>
    <t>0b75cfa2-6590-41c9-a010-2ff1591ac664</t>
  </si>
  <si>
    <t>1108CFF48C13E</t>
  </si>
  <si>
    <t>ebe8b732-3f8b-4186-8d6d-20a9dbb05a59</t>
  </si>
  <si>
    <t>TZAAO25526H2I3L</t>
  </si>
  <si>
    <t>F/TZA/DRT/AAO/20260912/00037964385</t>
  </si>
  <si>
    <t>c56371c6-a8d1-494c-8c74-c53c14e8ee06</t>
  </si>
  <si>
    <t>000008421428</t>
  </si>
  <si>
    <t>9403f27d-d470-4537-aeb6-294500136adc</t>
  </si>
  <si>
    <t>TRX2609120955433</t>
  </si>
  <si>
    <t>E2E2609120955676</t>
  </si>
  <si>
    <t>92cf0fbc-762f-4ee9-86f5-5e7d01d01448</t>
  </si>
  <si>
    <t>000008421480</t>
  </si>
  <si>
    <t>5e46decb-14ff-4566-bb30-67fdd20cd283</t>
  </si>
  <si>
    <t>000008421349</t>
  </si>
  <si>
    <t>9d0d162d-7274-4580-a6d1-da937109fa8e</t>
  </si>
  <si>
    <t>TZ1OL26091202598</t>
  </si>
  <si>
    <t>991330195625</t>
  </si>
  <si>
    <t>c2c4bd29-163f-4a86-be0e-0c6566a6e227</t>
  </si>
  <si>
    <t>TZ1OL2609120259H</t>
  </si>
  <si>
    <t>991330195620</t>
  </si>
  <si>
    <t>65bca18c-8465-403b-833f-8233f0cc986a</t>
  </si>
  <si>
    <t>TZ1OL2609120257P</t>
  </si>
  <si>
    <t>991330195622</t>
  </si>
  <si>
    <t>22f72e45-8dad-4856-ac21-d2058a4ee53d</t>
  </si>
  <si>
    <t>000000592750</t>
  </si>
  <si>
    <t>ca402a25-204c-424b-b272-66f95e321cd</t>
  </si>
  <si>
    <t>0faab469-8dbb-416c-8887-29edd71fc610</t>
  </si>
  <si>
    <t>P260912C00000913</t>
  </si>
  <si>
    <t>7d4dd19a-487d-45c8-b11d-6bd96fe7065c</t>
  </si>
  <si>
    <t>1081801</t>
  </si>
  <si>
    <t>72e210e4-22c8-48b2-aaab-d552e98bdc48</t>
  </si>
  <si>
    <t>TZ1RTGF262570435</t>
  </si>
  <si>
    <t>6e44cd1c-b183-4c70-a2c9-b727e2caac3d</t>
  </si>
  <si>
    <t>OT26257TZ0131953</t>
  </si>
  <si>
    <t>83154fc2-761d-4e8a-a233-2961f50c0a9d</t>
  </si>
  <si>
    <t>TZ1RTGF262570574</t>
  </si>
  <si>
    <t>c83f78f6-54c1-4161-8b74-9ca73dd3542b</t>
  </si>
  <si>
    <t>ACB/TR/508/2026</t>
  </si>
  <si>
    <t>9ea4fee4-e1d3-4779-a379-7017664f4036</t>
  </si>
  <si>
    <t>P260914C00001933</t>
  </si>
  <si>
    <t>5a14c13d-86f8-4b2f-aebd-5ac22a24f2e0</t>
  </si>
  <si>
    <t>FT262571HZ4L</t>
  </si>
  <si>
    <t>abaa05c9-1f7f-49de-8ed0-900375161900</t>
  </si>
  <si>
    <t>000008423071</t>
  </si>
  <si>
    <t>d327161a-b6d4-479c-a1a8-b15488d6cfe3</t>
  </si>
  <si>
    <t>FT262570CV02</t>
  </si>
  <si>
    <t>abaa05c9-1f7f-49de-8ed0-127605189400</t>
  </si>
  <si>
    <t>8869fe29-ae77-4a74-a4eb-c28a6b245777</t>
  </si>
  <si>
    <t>TZAAO25726HFU11</t>
  </si>
  <si>
    <t>F/TZA/DRT/AAO/20260914/00037989415</t>
  </si>
  <si>
    <t>be2959c9-7374-4f83-977b-d513beaee4a4</t>
  </si>
  <si>
    <t>TZAAO25726HWSRG</t>
  </si>
  <si>
    <t>dcd3cd8d-8783-4104-a829-6b1b29e783e</t>
  </si>
  <si>
    <t>09d8acf0-b936-479a-bcb0-77a093c69f65</t>
  </si>
  <si>
    <t>RTN/NMB/140926</t>
  </si>
  <si>
    <t>2625515054007000</t>
  </si>
  <si>
    <t>07bc2fb1-ed41-4d35-acd3-30d325231557</t>
  </si>
  <si>
    <t>OT26257TZ0131966</t>
  </si>
  <si>
    <t>30afc083-c129-4efa-b52f-c3aaeb86e3cd</t>
  </si>
  <si>
    <t>OT26257TZ0131923</t>
  </si>
  <si>
    <t>506a7892-18da-4ed5-9c77-832a1ccc2148</t>
  </si>
  <si>
    <t>RTO3002262393738</t>
  </si>
  <si>
    <t>e76eacd7-9355-4a4a-ac25-998f35c2de77</t>
  </si>
  <si>
    <t>OT26257TZ0131852</t>
  </si>
  <si>
    <t>84268519-17dd-4344-9a6f-155dba94da6d</t>
  </si>
  <si>
    <t>TZ1OL26091402598</t>
  </si>
  <si>
    <t>PICASPTZ01A43751</t>
  </si>
  <si>
    <t>f3adbcf4-b66d-4c74-8108-7266cc57da4d</t>
  </si>
  <si>
    <t>1081809</t>
  </si>
  <si>
    <t>f52ed5da-edb3-4369-a9c3-19958458a1ff</t>
  </si>
  <si>
    <t>TISS/RTN/26/1228</t>
  </si>
  <si>
    <t>0d5a3bc1-755a-4d1d-95c7-bb0adb2c0efa</t>
  </si>
  <si>
    <t>TZ1RTGF262570569</t>
  </si>
  <si>
    <t>26e55b4d-b845-4c1a-b46a-b239c00e4b71</t>
  </si>
  <si>
    <t>TISS/RTN/26/1227</t>
  </si>
  <si>
    <t>8b22ece6-45a7-4d02-b765-f2cb90eaefde</t>
  </si>
  <si>
    <t>OT26257TZ0131964</t>
  </si>
  <si>
    <t>c7cc1a97-4a9f-4bab-9388-8e1fcb19dd23</t>
  </si>
  <si>
    <t>DTB/1648/2026</t>
  </si>
  <si>
    <t>3f33574b-8a78-44a5-89fd-048fbfe83000</t>
  </si>
  <si>
    <t>TZAAO25726HI98A</t>
  </si>
  <si>
    <t>F/TZA/DRT/AAO/20260914/00037989418</t>
  </si>
  <si>
    <t>72130c6f-549c-4d55-b062-e6db255d3a93</t>
  </si>
  <si>
    <t>OT26257TZ0131853</t>
  </si>
  <si>
    <t>34a8572e-eee6-4090-8d78-229d4ebd5d00</t>
  </si>
  <si>
    <t>OT26257TZ0131963</t>
  </si>
  <si>
    <t>f75fca2f-63e5-4c57-9735-731b07b92116</t>
  </si>
  <si>
    <t>TZAAO25726H6U94</t>
  </si>
  <si>
    <t>F/TZA/DRT/AAO/20260914/00038001212</t>
  </si>
  <si>
    <t>93a405c5-d0fc-4d7c-bf0e-44bd95130b5a</t>
  </si>
  <si>
    <t>1081800</t>
  </si>
  <si>
    <t>7ec662d9-47bc-41b0-aef0-16313b441d17</t>
  </si>
  <si>
    <t>TZ1OL260914025ND</t>
  </si>
  <si>
    <t>PICRJETZ01A43899</t>
  </si>
  <si>
    <t>5c9dcfb3-5cfd-44b5-a03c-b0975baa70b0</t>
  </si>
  <si>
    <t>TZ1OL260914025GI</t>
  </si>
  <si>
    <t>PICATITZ01A10799</t>
  </si>
  <si>
    <t>bc25e166-c622-4a26-9012-63227ac73a32</t>
  </si>
  <si>
    <t>TZAAO25726HAO2Z</t>
  </si>
  <si>
    <t>F/TZA/DRT/AAO/20260914/00037989411</t>
  </si>
  <si>
    <t>00719a3c-c226-469a-8e8b-f92d88f9a9a5</t>
  </si>
  <si>
    <t>OT26257TZ0131764</t>
  </si>
  <si>
    <t>e3ef157b-f9c7-4261-8989-086a47a47bf3</t>
  </si>
  <si>
    <t>OT26257TZ0131850</t>
  </si>
  <si>
    <t>cfe0636a-2f12-44bd-ac45-539ca0b1f777</t>
  </si>
  <si>
    <t>OT26257TZ0131958</t>
  </si>
  <si>
    <t>2403b6dc-ad16-44a7-9c43-a9fe204628b7</t>
  </si>
  <si>
    <t>GEPGTR-7190977</t>
  </si>
  <si>
    <t>70b3aa41-848f-41fc-8549-430b98c2f381</t>
  </si>
  <si>
    <t>P260912C00001087</t>
  </si>
  <si>
    <t>5c3f9cef-0134-4822-94ab-1d2bff3ce7d3</t>
  </si>
  <si>
    <t>OT26257TZ0131960</t>
  </si>
  <si>
    <t>77d32188-b251-4391-bf94-4127623e7903</t>
  </si>
  <si>
    <t>OT26257TZ0131959</t>
  </si>
  <si>
    <t>17b37b93-db38-4689-91f1-c97d596e4375</t>
  </si>
  <si>
    <t>OT26257TZ0131851</t>
  </si>
  <si>
    <t>83daef56-7fb1-4990-929f-719319b449b8</t>
  </si>
  <si>
    <t>OT26257TZ0131956</t>
  </si>
  <si>
    <t>c3603091-a2f0-4e75-b975-aed018700415</t>
  </si>
  <si>
    <t>TZAAO25726HV0RB</t>
  </si>
  <si>
    <t>efb533aa-f563-47ed-a934-9ad7c2bbbd7</t>
  </si>
  <si>
    <t>896f2359-3a33-4280-a2a7-1d24051f6fcc</t>
  </si>
  <si>
    <t>OT26257TZ0131955</t>
  </si>
  <si>
    <t>99c285b7-e269-4a25-afee-145d0aa5f857</t>
  </si>
  <si>
    <t>OT26257TZ0131967</t>
  </si>
  <si>
    <t>3f165333-8e81-4c7a-b942-9a74b8e754c1</t>
  </si>
  <si>
    <t>1081815</t>
  </si>
  <si>
    <t>06d28929-9146-49ec-83a4-2f54c7095ff4</t>
  </si>
  <si>
    <t>TZAAO25726HU44L</t>
  </si>
  <si>
    <t>F/TZA/DRT/AAO/20260914/00037995364</t>
  </si>
  <si>
    <t>b8ab783e-2a3d-4d91-b31c-af074fb4a77e</t>
  </si>
  <si>
    <t>1081810</t>
  </si>
  <si>
    <t>b5d7d8aa-a8ac-4064-8f81-70a1be43b7d5</t>
  </si>
  <si>
    <t>RTN110971C43AA4</t>
  </si>
  <si>
    <t>110971C43AA4</t>
  </si>
  <si>
    <t>4a59fa2a-84a9-4c2a-a62f-3b436ed9a6dd</t>
  </si>
  <si>
    <t>TZAAO25726HT7J4</t>
  </si>
  <si>
    <t>F/TZA/DRT/AAO/20260914/00037989413</t>
  </si>
  <si>
    <t>9c0df6d2-e961-486c-b28a-2c8908facee9</t>
  </si>
  <si>
    <t>P260914C00001555</t>
  </si>
  <si>
    <t>88631dea-5da9-462b-aa87-7792f41ea085</t>
  </si>
  <si>
    <t>OT26257TZ0131919</t>
  </si>
  <si>
    <t>7975e6fe-713b-4691-b00d-0024e24bc28d</t>
  </si>
  <si>
    <t>af046fab-00f0-41f4-8818-e6c42423ef23</t>
  </si>
  <si>
    <t>FT262575R8MW</t>
  </si>
  <si>
    <t>abaa05c9-1f7f-49de-8ed0-482535216300</t>
  </si>
  <si>
    <t>1GVQCR7M</t>
  </si>
  <si>
    <t>b4e49f42-a724-440d-bf9a-eb6bca84dd08</t>
  </si>
  <si>
    <t>OT26257TZ0131961</t>
  </si>
  <si>
    <t>2df9cee8-6ee7-4270-b70c-f703f5cf1e53</t>
  </si>
  <si>
    <t>TZAAO25726HYUV5</t>
  </si>
  <si>
    <t>bac12bd9-2a07-45ea-b46f-83a9563761f</t>
  </si>
  <si>
    <t>81d5bc73-9fb3-42e7-9e2d-bcd8875e0d19</t>
  </si>
  <si>
    <t>TZAAO25726HKIZ3</t>
  </si>
  <si>
    <t>F/TZA/DRT/AAO/20260914/00037989419</t>
  </si>
  <si>
    <t>e79858f8-ae53-4b59-bfc4-e3a572f55103</t>
  </si>
  <si>
    <t>260914T000592011</t>
  </si>
  <si>
    <t>88511f35-a336-4047-8441-698b22f55294</t>
  </si>
  <si>
    <t>TZAAO25726HRTL3</t>
  </si>
  <si>
    <t>edf0f074-95cb-4481-8340-6dbc682e92c</t>
  </si>
  <si>
    <t>09f0a63e-68a2-404b-a6ae-1041d2636c6c</t>
  </si>
  <si>
    <t>260914TA039996</t>
  </si>
  <si>
    <t>FT262570R0XB</t>
  </si>
  <si>
    <t>abaa05c9-1f7f-49de-8ed0-315615243203</t>
  </si>
  <si>
    <t>OT26257TZ0131983</t>
  </si>
  <si>
    <t>98f70b52-95fe-49fd-86ed-2ba1f1956242</t>
  </si>
  <si>
    <t>OT26257TZ0131952</t>
  </si>
  <si>
    <t>1c411965-9abc-40f1-80f1-b16cdc5c3abf</t>
  </si>
  <si>
    <t>TZAAO25726HFLLX</t>
  </si>
  <si>
    <t>c1663868-801b-4503-8f0f-35a6a37ede4</t>
  </si>
  <si>
    <t>77ce4aa2-a56a-459b-9792-ec53fc3ce625</t>
  </si>
  <si>
    <t>OT26257TZ0131982</t>
  </si>
  <si>
    <t>0a767b82-c12a-4c3e-88d8-29ef5a5ec5ea</t>
  </si>
  <si>
    <t>OT26257TZ0131922</t>
  </si>
  <si>
    <t>6fffa5af-1309-4200-85f0-489a996a0fb1</t>
  </si>
  <si>
    <t>OT26257TZ0131962</t>
  </si>
  <si>
    <t>a01fc25a-9824-47c3-8734-c2b9ad366013</t>
  </si>
  <si>
    <t>OT26257TZ0131965</t>
  </si>
  <si>
    <t>6121287e-6501-41ec-abb1-0097e12e0491</t>
  </si>
  <si>
    <t>TISS/RTN/26/1266</t>
  </si>
  <si>
    <t>1217ba4b-2128-41d6-8182-6097bc832405</t>
  </si>
  <si>
    <t>P260915C00000477</t>
  </si>
  <si>
    <t>43556444-0ce8-48ee-b0f7-6481852418c3</t>
  </si>
  <si>
    <t>P260915C00000463</t>
  </si>
  <si>
    <t>c35e0d51-6ee3-4abb-9587-3feb3e44b534</t>
  </si>
  <si>
    <t>OT26258TZ0132131</t>
  </si>
  <si>
    <t>8399acbc-50d5-46c1-be52-cbdcfbdeb0fa</t>
  </si>
  <si>
    <t>TISS/RTN/26/1257</t>
  </si>
  <si>
    <t>19b18d94-c26f-45a0-89eb-03588ec66e68</t>
  </si>
  <si>
    <t>2012074</t>
  </si>
  <si>
    <t>dc83f51a-25c3-4c5a-861a-aa035ac2a03c</t>
  </si>
  <si>
    <t>NMIBTZTZ MWCBTZTZXXX</t>
  </si>
  <si>
    <t>TZAAO25826HKUND</t>
  </si>
  <si>
    <t>1f594f9e-5a5a-4cc1-831d-4d9676b6796</t>
  </si>
  <si>
    <t>ccdbc031-1afe-4159-84ee-11b0658b3d59</t>
  </si>
  <si>
    <t>TISS/RTN/26/1265</t>
  </si>
  <si>
    <t>7c409ef2-17c5-48e3-84fc-9fd4dac7030c</t>
  </si>
  <si>
    <t>OT26258TZ0132120</t>
  </si>
  <si>
    <t>2081a607-a35a-47b1-b6a0-da9f68ab94bc</t>
  </si>
  <si>
    <t>TZAAO25826HW7PW</t>
  </si>
  <si>
    <t>F/TZA/DRT/AAO/20260915/00038032068</t>
  </si>
  <si>
    <t>6eb79398-b435-45ba-a159-8f84dbb39978</t>
  </si>
  <si>
    <t>TZAAO25826HSK48</t>
  </si>
  <si>
    <t>9b21a971-db18-4942-a8da-17439065609</t>
  </si>
  <si>
    <t>9e59dc8c-fccd-414e-8951-f27c77dfe52d</t>
  </si>
  <si>
    <t>260915TA040010</t>
  </si>
  <si>
    <t>OT26258TZ0132201</t>
  </si>
  <si>
    <t>3757482f-5e79-4cf9-ac5f-fab4a10e40fa</t>
  </si>
  <si>
    <t>TISS/RTN/26/1270</t>
  </si>
  <si>
    <t>09e44a79-5489-401b-a26a-e54ca7d65a37</t>
  </si>
  <si>
    <t>TZAAO25826HCJ2O</t>
  </si>
  <si>
    <t>fe2fdaf1-bd4b-45b6-bdb1-565974bd443</t>
  </si>
  <si>
    <t>d3435caa-a611-455c-8b0b-460048a94a72</t>
  </si>
  <si>
    <t>2625408078262000</t>
  </si>
  <si>
    <t>GWX103458428033RP</t>
  </si>
  <si>
    <t>4c931290-facb-475e-b709-6c2d91af79f1</t>
  </si>
  <si>
    <t>P260915C00000467</t>
  </si>
  <si>
    <t>ed9a5ad3-3481-47c0-941d-d3f5731a9484</t>
  </si>
  <si>
    <t>000008424510</t>
  </si>
  <si>
    <t>e415030c-dfec-42ec-8bcc-a87d811deb52</t>
  </si>
  <si>
    <t>R90RTGO262580122</t>
  </si>
  <si>
    <t>2a095d08-d193-4f85-9002-fec8fc61c68c</t>
  </si>
  <si>
    <t>P260915C00000471</t>
  </si>
  <si>
    <t>7a0854a5-9bed-4a44-9700-be0a50a13487</t>
  </si>
  <si>
    <t>HHA0VVNG</t>
  </si>
  <si>
    <t>HHA0VVNGA</t>
  </si>
  <si>
    <t>d67bef7b-4667-46aa-974a-249c5b6209a8</t>
  </si>
  <si>
    <t>OT26258TZ0132118</t>
  </si>
  <si>
    <t>a1bfd10b-9c5c-4037-a02e-949be3937fbd</t>
  </si>
  <si>
    <t>P260915C00000461</t>
  </si>
  <si>
    <t>f30df05e-ece6-41d8-a8e9-e2cf9b5abeba</t>
  </si>
  <si>
    <t>TISS/RTN/26/1268</t>
  </si>
  <si>
    <t>6ad3a473-f403-4d39-8680-2620866c075d</t>
  </si>
  <si>
    <t>260915T000592974</t>
  </si>
  <si>
    <t>6855050e-e8b0-4b15-ae13-ab839dbf1291</t>
  </si>
  <si>
    <t>S556817</t>
  </si>
  <si>
    <t>0c78b926-559b-4366-ad53-daadabd901be</t>
  </si>
  <si>
    <t>RTN100826DA81F4</t>
  </si>
  <si>
    <t>decb87be-ae07-4cf6-ab2c-4c9c4999a2a7</t>
  </si>
  <si>
    <t>TISS/RTN/26/1264</t>
  </si>
  <si>
    <t>99f55318-7b93-4fd2-866a-ab00d2f445dc</t>
  </si>
  <si>
    <t>RTN100804C851EE1</t>
  </si>
  <si>
    <t>4bc1a56d-dee6-44f4-bec7-6eb6952f0f2b</t>
  </si>
  <si>
    <t>TISS/RTN/26/1272</t>
  </si>
  <si>
    <t>be90483c-f25d-4d4b-9344-dd1b24e992b8</t>
  </si>
  <si>
    <t>TISS/RTN/26/1267</t>
  </si>
  <si>
    <t>b3907f13-71d8-4559-983c-e4a6b240ae6f</t>
  </si>
  <si>
    <t>TISS/RTN/26/1271</t>
  </si>
  <si>
    <t>f8683371-1683-4523-8270-147bfd39ff83</t>
  </si>
  <si>
    <t>TISS/RTN/26/1260</t>
  </si>
  <si>
    <t>3d92980b-050d-4851-929c-001d7731e8c3</t>
  </si>
  <si>
    <t>TISS/RTN/26/1269</t>
  </si>
  <si>
    <t>ba24844d-623e-4071-b6e8-246724af6d05</t>
  </si>
  <si>
    <t>P260915C00000787</t>
  </si>
  <si>
    <t>1377b38b-cfe6-4299-b224-85dc9c3e1366</t>
  </si>
  <si>
    <t>OT26258TZ0132122</t>
  </si>
  <si>
    <t>67eb812a-8828-4e88-b4dc-ed40c923f4ac</t>
  </si>
  <si>
    <t>TISS/RTN/26/1263</t>
  </si>
  <si>
    <t>4c5d99d5-3cc4-445d-a869-ad95bfd89447</t>
  </si>
  <si>
    <t>CAEISDF2</t>
  </si>
  <si>
    <t>6bdcb753-d202-4c0c-94ba-0d4f9ac78010</t>
  </si>
  <si>
    <t>DTB/1658/2026</t>
  </si>
  <si>
    <t>6482e9d7-d777-401e-a3b9-19a63143ecbb</t>
  </si>
  <si>
    <t>RTN110839455EB5</t>
  </si>
  <si>
    <t>ef296f64-681a-4cf3-ac48-2a8657e3ce55</t>
  </si>
  <si>
    <t>TZ1RTGF262580389</t>
  </si>
  <si>
    <t>76298ef4-0664-46d6-bd6c-5a02d69865fa</t>
  </si>
  <si>
    <t>OT26258TZ0132200</t>
  </si>
  <si>
    <t>e9274dce-f8a4-48eb-ac88-55ac36a0177c</t>
  </si>
  <si>
    <t>OT26258TZ0132125</t>
  </si>
  <si>
    <t>bc67c9c5-2f19-4f29-aa5d-717555f68019</t>
  </si>
  <si>
    <t>2625422071916000</t>
  </si>
  <si>
    <t>GWX103458193637RP</t>
  </si>
  <si>
    <t>e32283f1-9a05-4bfa-a301-4736e2dc1ed3</t>
  </si>
  <si>
    <t>P260915C00000469</t>
  </si>
  <si>
    <t>75a382f5-6e0b-4fbc-9764-615e26f070c2</t>
  </si>
  <si>
    <t>OT26258TZ0132100</t>
  </si>
  <si>
    <t>ca98be5a-a178-454e-a5f7-917e4499977b</t>
  </si>
  <si>
    <t>OT26258TZ0132099</t>
  </si>
  <si>
    <t>107c308a-37ac-4f16-a385-f6cbe9e17d2b</t>
  </si>
  <si>
    <t>OT26258TZ0132181</t>
  </si>
  <si>
    <t>27986760-92c9-413b-8d3f-f919f9a97748</t>
  </si>
  <si>
    <t>TZ1RTGF262580393</t>
  </si>
  <si>
    <t>a9ed6302-85e6-466b-b252-a5e07e25fd79</t>
  </si>
  <si>
    <t>TISS/RTN/26/1256</t>
  </si>
  <si>
    <t>9c3f64b7-466c-416c-bd72-a1f93a8c1aa8</t>
  </si>
  <si>
    <t>OT26258TZ0132121</t>
  </si>
  <si>
    <t>8ed170bc-1a13-46e0-9753-4ec1e046b62e</t>
  </si>
  <si>
    <t>OT26258TZ0132135</t>
  </si>
  <si>
    <t>4966ee3c-5ccb-4d3c-a439-c42e8781c0cc</t>
  </si>
  <si>
    <t>P260915C00000113</t>
  </si>
  <si>
    <t>8d815e3e-e1e0-40b4-94e5-0b81d5b57817</t>
  </si>
  <si>
    <t>OT26258TZ0132126</t>
  </si>
  <si>
    <t>57a3d36f-a8be-4265-ae45-6f1d4ceb7073</t>
  </si>
  <si>
    <t>000008424106</t>
  </si>
  <si>
    <t>4220f94b-4f56-4469-af6f-eca42bf276cf</t>
  </si>
  <si>
    <t>P260915C00000109</t>
  </si>
  <si>
    <t>08494f35-0446-4c7b-9d4c-b63728eb9001</t>
  </si>
  <si>
    <t>TISS/RTN/26/1258</t>
  </si>
  <si>
    <t>63089bc7-69b0-4ca2-b2ec-1d5d84350984</t>
  </si>
  <si>
    <t>OT26258TZ0132127</t>
  </si>
  <si>
    <t>13142a85-2a02-44b2-8971-c23c83a551b1</t>
  </si>
  <si>
    <t>001FTOL262580631</t>
  </si>
  <si>
    <t>1c0c2f6a-c70e-473f-a3c6-7d7a2dd00ed3</t>
  </si>
  <si>
    <t>RTN09089B400C36</t>
  </si>
  <si>
    <t>3b1acb6c-2df9-4cb4-9d46-5c0b5ee226e0</t>
  </si>
  <si>
    <t>OT26258TZ0132137</t>
  </si>
  <si>
    <t>78a7898c-1b3c-4bdc-afc9-fea4d6334af1</t>
  </si>
  <si>
    <t>P260915C00000473</t>
  </si>
  <si>
    <t>e89ad0a4-ed1b-4ccf-af1f-b309c5b8d238</t>
  </si>
  <si>
    <t>OT26258TZ0132132</t>
  </si>
  <si>
    <t>655ca1bc-0958-4d56-a7e5-493775fba604</t>
  </si>
  <si>
    <t>TISS/RTN/26/1261</t>
  </si>
  <si>
    <t>a00c4609-05c9-4874-8242-a986e75b5910</t>
  </si>
  <si>
    <t>1081786</t>
  </si>
  <si>
    <t>281dd14e-ba1f-47a7-8c8b-8f8a3972dab8</t>
  </si>
  <si>
    <t>P260915C00000479</t>
  </si>
  <si>
    <t>f4bdef3d-eb9d-4e2b-a13e-8286ce75a7a5</t>
  </si>
  <si>
    <t>TISS/RTN/26/1262</t>
  </si>
  <si>
    <t>7155d338-33f8-4ffe-b4cb-63cc68da720b</t>
  </si>
  <si>
    <t>TZ1OL260915025KI</t>
  </si>
  <si>
    <t>PICATITZ01A10811</t>
  </si>
  <si>
    <t>a1671209-7ab1-4b8d-bae5-3fe4d6e3c494</t>
  </si>
  <si>
    <t>TISS/RTN/26/1273</t>
  </si>
  <si>
    <t>8099c236-49c0-428c-b58b-75d6fd6eaeb5</t>
  </si>
  <si>
    <t>OT26258TZ0132101</t>
  </si>
  <si>
    <t>eca36c3a-c3ad-48fb-9447-a0aebcd6d285</t>
  </si>
  <si>
    <t>OT26258TZ0132124</t>
  </si>
  <si>
    <t>e378563b-3dce-48d5-8846-9cf35c38da4b</t>
  </si>
  <si>
    <t>TZAAO25826H0C42</t>
  </si>
  <si>
    <t>d8e168a1-aa42-4daa-bd98-3526487d366</t>
  </si>
  <si>
    <t>e4c150d3-dcf1-4eaf-92e9-290e57fa6ccd</t>
  </si>
  <si>
    <t>OT26258TZ0132102</t>
  </si>
  <si>
    <t>70b99129-0eb7-4f50-8326-164c6cadb32e</t>
  </si>
  <si>
    <t>OT26258TZ0132119</t>
  </si>
  <si>
    <t>d6213a5a-4ddd-4d8e-8896-7a6a470cc88b</t>
  </si>
  <si>
    <t>OT26258TZ0132123</t>
  </si>
  <si>
    <t>bb190c6f-3eb9-4910-9db5-8dea06f1aaa9</t>
  </si>
  <si>
    <t>P260915C00000465</t>
  </si>
  <si>
    <t>3a8b36b6-bb45-4a6e-8216-a18cb58be64b</t>
  </si>
  <si>
    <t>1081823</t>
  </si>
  <si>
    <t>08e38d9e-0a94-4f70-b712-9a7fecd3d2a4</t>
  </si>
  <si>
    <t>OT26258TZ0132130</t>
  </si>
  <si>
    <t>d88e92dc-0de4-497a-93b6-74c4fe5d7c5f</t>
  </si>
  <si>
    <t>1081846</t>
  </si>
  <si>
    <t>e6cb8e6a-062c-4c88-be0b-eaa875790255</t>
  </si>
  <si>
    <t>RTN1008444CC843</t>
  </si>
  <si>
    <t>a64c4f8d-788d-4efd-8637-48ddbfd7f754</t>
  </si>
  <si>
    <t>TZAAO25826HUECT</t>
  </si>
  <si>
    <t>68ca3ce4-93a0-4cc7-9d63-54564c91efb</t>
  </si>
  <si>
    <t>03de9be1-eef1-45ec-8869-64566e0656d3</t>
  </si>
  <si>
    <t>TZAAO25826H8U5U</t>
  </si>
  <si>
    <t>F/TZA/DRT/AAO/20260915/00038019127</t>
  </si>
  <si>
    <t>995191ef-5919-4ebd-98f9-910ccf6f5adb</t>
  </si>
  <si>
    <t>TZAAO25826HPDOL</t>
  </si>
  <si>
    <t>F/TZA/DRT/AAO/20260915/00038029211</t>
  </si>
  <si>
    <t>8c5edb22-620d-48e2-b359-822daa78eb58</t>
  </si>
  <si>
    <t>OT26258TZ0132128</t>
  </si>
  <si>
    <t>4fe9dbdf-130e-450f-a4ff-81b2619778e6</t>
  </si>
  <si>
    <t>TZ1RTGF262580390</t>
  </si>
  <si>
    <t>c76c5fa6-3659-4463-874f-1be483615bcc</t>
  </si>
  <si>
    <t>OT26258TZ0132129</t>
  </si>
  <si>
    <t>583b0830-0124-473a-b764-2fb1ad6f3713</t>
  </si>
  <si>
    <t>TISS/RTN/26/1259</t>
  </si>
  <si>
    <t>de36b6b4-de7c-4e1c-bc09-394ca7332ca2</t>
  </si>
  <si>
    <t>TZAAO25826HGB0U</t>
  </si>
  <si>
    <t>b998c274-09ab-4c81-8f9c-13bfdc92934</t>
  </si>
  <si>
    <t>9095f558-0637-40f3-b7f0-83c45e6bdcf0</t>
  </si>
  <si>
    <t>79A0NUPM</t>
  </si>
  <si>
    <t>46ba5dbf-106b-4bb1-8dfa-4830cc254fea</t>
  </si>
  <si>
    <t>TZAAO25826HOIVS</t>
  </si>
  <si>
    <t>33273a09-74ed-461d-9105-d938663e8ad</t>
  </si>
  <si>
    <t>0dbdd1f2-9790-4cde-84ca-af36abda0205</t>
  </si>
  <si>
    <t>P260916C00001923</t>
  </si>
  <si>
    <t>e5d94dd7-0f43-4e20-92d1-c6d053a494fb</t>
  </si>
  <si>
    <t>TISS/RTN/26/1280</t>
  </si>
  <si>
    <t>77ef9715-3285-41f7-9f16-83ba314c4625</t>
  </si>
  <si>
    <t>TZ1RTGF262590319</t>
  </si>
  <si>
    <t>90100f23-2cc8-422d-a2b6-90a4d2ba47a9</t>
  </si>
  <si>
    <t>FT26259HY63H</t>
  </si>
  <si>
    <t>c51452e7-5641-4b1c-a2d0-9a9e60014847</t>
  </si>
  <si>
    <t>TZ1RTGF262590320</t>
  </si>
  <si>
    <t>3b848613-c938-4127-bc67-6b9a4f13aacf</t>
  </si>
  <si>
    <t>TZ1RTGF262590234</t>
  </si>
  <si>
    <t>bf3e92e2-93cd-47aa-96d7-d67c505bd4af</t>
  </si>
  <si>
    <t>P260916C00000339</t>
  </si>
  <si>
    <t>6cf4492a-6430-4ef4-89ce-c19ca20250f4</t>
  </si>
  <si>
    <t>RTO3004262398231</t>
  </si>
  <si>
    <t>7c620127-fc85-4514-a58c-ca243b3c184b</t>
  </si>
  <si>
    <t>TISS/RTN/26/1283</t>
  </si>
  <si>
    <t>75963f4e-b259-48c7-ba33-97b121156bcf</t>
  </si>
  <si>
    <t>TISS/RTN/26/1278</t>
  </si>
  <si>
    <t>b07f6106-a365-44f4-a0e6-56c151d65c3e</t>
  </si>
  <si>
    <t>P260916C00000649</t>
  </si>
  <si>
    <t>75a6b3eb-8cce-4dc6-b945-9952bfe05e5b</t>
  </si>
  <si>
    <t>TZAAO25926H5V5M</t>
  </si>
  <si>
    <t>06ca741d-ba79-42f6-b760-6bd34414343</t>
  </si>
  <si>
    <t>aa4dc383-f84b-40ea-9443-76b03f87ea26</t>
  </si>
  <si>
    <t>S558109</t>
  </si>
  <si>
    <t>e6cbd498-4783-4d6d-b6c1-2409a507e24d</t>
  </si>
  <si>
    <t>TZAAO25926HW2D6</t>
  </si>
  <si>
    <t>F/TZA/DRT/AAO/20260916/00038059390</t>
  </si>
  <si>
    <t>9986c328-232b-4c12-bafc-7205d91e3fa3</t>
  </si>
  <si>
    <t>TZ1RTGF262590321</t>
  </si>
  <si>
    <t>936fc9c5-ae68-45ec-986a-9c3e01100106</t>
  </si>
  <si>
    <t>TISS/RTN/26/1286</t>
  </si>
  <si>
    <t>91a4fa49-3497-49d5-ad75-300797b5b1e6</t>
  </si>
  <si>
    <t>TISS/RTN/26/1281</t>
  </si>
  <si>
    <t>d025ea92-c3d2-4e9c-a045-94242696c4dc</t>
  </si>
  <si>
    <t>TISS/RTN/26/1291</t>
  </si>
  <si>
    <t>7ab8987c-c208-4a41-8eb5-76bf4a392a60</t>
  </si>
  <si>
    <t>RTOMICC01094900</t>
  </si>
  <si>
    <t>db674ccc-d707-454f-a4f5-40bf49fbf59c</t>
  </si>
  <si>
    <t>TISS/RTN/26/1285</t>
  </si>
  <si>
    <t>d1f3142b-94cb-4865-80c2-082b7bd7ea50</t>
  </si>
  <si>
    <t>P260916C00000333</t>
  </si>
  <si>
    <t>a6112a95-4db9-4179-b896-ead353ef36a1</t>
  </si>
  <si>
    <t>P260916C00000473</t>
  </si>
  <si>
    <t>25796101-0099-42b6-9c82-13fb737048a6</t>
  </si>
  <si>
    <t>6f67e90c-b3c1-4847-ae42-1b9ad7a2cfec</t>
  </si>
  <si>
    <t>TISS/RTN/26/1290</t>
  </si>
  <si>
    <t>ca9f7ec0-72d2-4384-ad17-34909a3f94c6</t>
  </si>
  <si>
    <t>6835e8a1-47bd-4861-9f5f-a1d03a5e39f4</t>
  </si>
  <si>
    <t>TZ1OL260916025GL</t>
  </si>
  <si>
    <t>PIBULYTZN1A20135</t>
  </si>
  <si>
    <t>591232b5-a049-4b1e-988d-d3d31c8047ba</t>
  </si>
  <si>
    <t>260916TA040024</t>
  </si>
  <si>
    <t>TISS/RTN/26/1284</t>
  </si>
  <si>
    <t>42190c0f-670f-426d-a9b2-27a7578b730e</t>
  </si>
  <si>
    <t>TISS/RTN/26/1288</t>
  </si>
  <si>
    <t>d8210a6d-273a-43a2-8b69-8d2e022ed528</t>
  </si>
  <si>
    <t>OT26259TZ0132638</t>
  </si>
  <si>
    <t>51ee804d-567f-45a9-a574-5969757461ef</t>
  </si>
  <si>
    <t>TISS/RTN/26/1275</t>
  </si>
  <si>
    <t>7b58b507-0301-4ba7-9ce3-c1da0b1cdb97</t>
  </si>
  <si>
    <t>TZAAO25926HFEQR</t>
  </si>
  <si>
    <t>F/TZA/DRT/AAO/20260916/00038053303</t>
  </si>
  <si>
    <t>cdec9fdb-5ad7-46b7-b8ce-d441f1b5bc6a</t>
  </si>
  <si>
    <t>VIV26259LJGM0HJC</t>
  </si>
  <si>
    <t>0b927d28-fa02-4370-ad27-0c07896d9f9b</t>
  </si>
  <si>
    <t>TISS/RTN/26/1292</t>
  </si>
  <si>
    <t>8b29cc38-d536-4380-b880-47f992e1d754</t>
  </si>
  <si>
    <t>HZ1K2KJS93K278CA</t>
  </si>
  <si>
    <t>868e2d57-c29a-4fd9-8ed3-4de8bc959449</t>
  </si>
  <si>
    <t>TZ1OL260916025PA</t>
  </si>
  <si>
    <t>PINEELTZ01A32102</t>
  </si>
  <si>
    <t>fbdb0c9b-43e3-42ed-82d2-9130bbebef91</t>
  </si>
  <si>
    <t>TISS/RTN/26/1282</t>
  </si>
  <si>
    <t>faf344b7-0a80-4cfa-9689-deef4769753e</t>
  </si>
  <si>
    <t>011COUS160926006</t>
  </si>
  <si>
    <t>f10e0b8d-e537-4b96-ad40-d5a70c69c3cf</t>
  </si>
  <si>
    <t>TZ1OL260916025P9</t>
  </si>
  <si>
    <t>PINEELTZ01A32103</t>
  </si>
  <si>
    <t>dbd5f25e-0638-4cd6-9c1b-728b9a31811d</t>
  </si>
  <si>
    <t>TZAAO25926HB409</t>
  </si>
  <si>
    <t>ee8f3db5-d52d-4709-9f47-7208a78a6db</t>
  </si>
  <si>
    <t>a7222801-2a99-4d5e-93d7-3264756c4aaf</t>
  </si>
  <si>
    <t>TZAAO25926HEL9Z</t>
  </si>
  <si>
    <t>F/TZA/DRT/AAO/20260916/00038059398</t>
  </si>
  <si>
    <t>78d6f7ef-8515-482a-a3f2-398d1fa4ad95</t>
  </si>
  <si>
    <t>TISS/RTN/26/1277</t>
  </si>
  <si>
    <t>67c362ea-e32e-4c13-ae69-f8d8a8f5a5a8</t>
  </si>
  <si>
    <t>TISS/RTN/26/1289</t>
  </si>
  <si>
    <t>7b5a7e84-6687-425b-8ea7-728bfcbe7df6</t>
  </si>
  <si>
    <t>TZAAO25926H9IJG</t>
  </si>
  <si>
    <t>97eb9de4-e8db-470e-89cd-35e86315f15</t>
  </si>
  <si>
    <t>74392749-ca9e-4976-b397-e610d961faca</t>
  </si>
  <si>
    <t>TZAAO25926HVJWN</t>
  </si>
  <si>
    <t>F/TZA/DRT/AAO/20260916/00038059394</t>
  </si>
  <si>
    <t>9dfdda7c-747d-48aa-960f-5457893f3aad</t>
  </si>
  <si>
    <t>TISS/RTN/26/1276</t>
  </si>
  <si>
    <t>1dd94aa0-97ad-40cb-a68a-4a59b32c3b62</t>
  </si>
  <si>
    <t>000008425125</t>
  </si>
  <si>
    <t>c7469180-aa97-4d99-b2fc-44addcd39e52</t>
  </si>
  <si>
    <t>TISS/RTN/26/1279</t>
  </si>
  <si>
    <t>ed518ffb-22fb-4afb-b27d-146eede504eb</t>
  </si>
  <si>
    <t>P260916C00000281</t>
  </si>
  <si>
    <t>a87ecd70-1160-4fe8-acaa-8b4eabf5470a</t>
  </si>
  <si>
    <t>000008425130</t>
  </si>
  <si>
    <t>4a179d81-5f43-4cb6-80e2-8f6cae4a08d5</t>
  </si>
  <si>
    <t>R90RTGO262590090</t>
  </si>
  <si>
    <t>6db09ad0-acd7-4acf-95f1-b517778043d4</t>
  </si>
  <si>
    <t>TISS/RTN/26/1287</t>
  </si>
  <si>
    <t>562c5cd0-f17b-4ebc-b1e2-b57f9db0320b</t>
  </si>
  <si>
    <t>P260916C00000451</t>
  </si>
  <si>
    <t>af21219f-125d-4682-9a8e-f31c6a7b0472</t>
  </si>
  <si>
    <t>P260916C00000275</t>
  </si>
  <si>
    <t>c267b02a-d00a-46c2-9456-198977299eaa</t>
  </si>
  <si>
    <t>P260916C00000465</t>
  </si>
  <si>
    <t>ed7b89f6-b900-4dc6-9bc2-8538082c9b80</t>
  </si>
  <si>
    <t>OT26260TZ0132857</t>
  </si>
  <si>
    <t>7cfd5ece-6b42-494f-9ec2-0c06a6f83121</t>
  </si>
  <si>
    <t>TZAAO26026HWC2Z</t>
  </si>
  <si>
    <t>F/TZA/DRT/AAO/20260917/00038091104</t>
  </si>
  <si>
    <t>71d8cfee-484b-4b22-ada2-11d3778127be</t>
  </si>
  <si>
    <t>T0117092697844</t>
  </si>
  <si>
    <t>160933E2A656</t>
  </si>
  <si>
    <t>0fc28784-eedd-4fe2-8ed3-a62421243719</t>
  </si>
  <si>
    <t>FT262606JYVR</t>
  </si>
  <si>
    <t>abaa05c9-1f7f-49de-8ed0-987063640503</t>
  </si>
  <si>
    <t>TZAAO26026HN2UE</t>
  </si>
  <si>
    <t>548eda63-2815-4965-bc27-b183e7bd30a</t>
  </si>
  <si>
    <t>fac6f5c0-3779-4e40-a7b4-62def9c54b89</t>
  </si>
  <si>
    <t>P260917C00000355</t>
  </si>
  <si>
    <t>cc930b71-1fda-4e4e-80e1-2853588e97ad</t>
  </si>
  <si>
    <t>TZ1OL260917025HH</t>
  </si>
  <si>
    <t>PIKALPTZ01A24592</t>
  </si>
  <si>
    <t>93417b8e-06e6-4ac4-a652-998c15eeb0db</t>
  </si>
  <si>
    <t>1ac594c6-0352-445d-aabb-70d86fbc4496</t>
  </si>
  <si>
    <t>OT26257TZ0131970</t>
  </si>
  <si>
    <t>eca07715-9985-4f40-86d7-9f9b75267fc9</t>
  </si>
  <si>
    <t>2e3437cd-6089-4892-b87e-66ed1a4cf511</t>
  </si>
  <si>
    <t>TZAAO26026HOYIK</t>
  </si>
  <si>
    <t>F/TZA/DRT/AAO/20260917/00038091105</t>
  </si>
  <si>
    <t>0ca2cac2-da79-49e3-b64b-87432193cbc9</t>
  </si>
  <si>
    <t>TZAAO26026H7ZJS</t>
  </si>
  <si>
    <t>F/TZA/DRT/AAO/20260917/00038091106</t>
  </si>
  <si>
    <t>d4f7bb4e-d48a-43c0-b3ba-69e82b00c62c</t>
  </si>
  <si>
    <t>OT26257TZ0131969</t>
  </si>
  <si>
    <t>37b0bf37-d3ce-4914-87d5-ef8763d97a11</t>
  </si>
  <si>
    <t>GEPGTR-7191043</t>
  </si>
  <si>
    <t>2d267dec-14ff-4927-b0e2-64c57f03804f</t>
  </si>
  <si>
    <t>TZ1OL260917025HD</t>
  </si>
  <si>
    <t>PIKALPTZ01A24593</t>
  </si>
  <si>
    <t>d42e7168-5d9a-4a7b-9873-cef48ab2c79f</t>
  </si>
  <si>
    <t>HZ1K2NCE01L16A93</t>
  </si>
  <si>
    <t>ba77a3c9-9a9c-4866-94bb-16879307cad1</t>
  </si>
  <si>
    <t>TZ1RTGF262600806</t>
  </si>
  <si>
    <t>35892fb1-7ddb-48a5-96b5-1598b84945e2</t>
  </si>
  <si>
    <t>GEPGTR-7191051</t>
  </si>
  <si>
    <t>8d6fc91c-a3a8-4d96-906f-d7e7bff8c4ea</t>
  </si>
  <si>
    <t>260917TA040038</t>
  </si>
  <si>
    <t>GEPGTR-7191063</t>
  </si>
  <si>
    <t>2a23f711-b4fd-4d0e-a71d-0abdb4c4c9c1</t>
  </si>
  <si>
    <t>P260917C00001117</t>
  </si>
  <si>
    <t>eb47f2e4-00c2-4898-86a1-8bce68954126</t>
  </si>
  <si>
    <t>FT262605801D</t>
  </si>
  <si>
    <t>abaa05c9-1f7f-49de-8ed0-366763627206</t>
  </si>
  <si>
    <t>TZ1RTGF262590830</t>
  </si>
  <si>
    <t>41678a82-7eb2-42af-9331-523a97258ba4</t>
  </si>
  <si>
    <t>1081895</t>
  </si>
  <si>
    <t>c728b1dd-3e31-4c16-ba74-aca51a90471c</t>
  </si>
  <si>
    <t>TZ1RTGF262590831</t>
  </si>
  <si>
    <t>6d7ef9ce-f285-4f53-b0dd-97d5a5e4bb43</t>
  </si>
  <si>
    <t>TZAAO26026H3OR5</t>
  </si>
  <si>
    <t>F/TZA/DRT/AAO/20260917/00038091090</t>
  </si>
  <si>
    <t>cd0c7645-a19c-4292-b4bd-b792e603fb50</t>
  </si>
  <si>
    <t>FT262607NW92</t>
  </si>
  <si>
    <t>abaa05c9-1f7f-49de-8ed0-719593113403</t>
  </si>
  <si>
    <t>P260917C00001657</t>
  </si>
  <si>
    <t>12ab9feb-22c2-417a-94a0-df130a51d62d</t>
  </si>
  <si>
    <t>TZ1RTGF262600847</t>
  </si>
  <si>
    <t>994840053275 DEPARTURE SECURIT</t>
  </si>
  <si>
    <t>69880d01-ed5d-4219-8ee4-6209bc1c56bb</t>
  </si>
  <si>
    <t>260917T000593747</t>
  </si>
  <si>
    <t>HB.4/295/04/F.1567</t>
  </si>
  <si>
    <t>5baf05fb-6c22-43d8-8e06-2a0110acd601</t>
  </si>
  <si>
    <t>GEPGTR-7191052</t>
  </si>
  <si>
    <t>269ba438-ed51-428a-891b-cf39acb5a728</t>
  </si>
  <si>
    <t>MHB0000000123173</t>
  </si>
  <si>
    <t>a546ad82-04f2-42bd-b009-b6616ecee8b4</t>
  </si>
  <si>
    <t>TZ1OL260917025HF</t>
  </si>
  <si>
    <t>PIKALPTZ01A24591</t>
  </si>
  <si>
    <t>a9a9def2-9037-4199-b1ce-7b14eb2e58c3</t>
  </si>
  <si>
    <t>P260917C00002435</t>
  </si>
  <si>
    <t>db1330ab-ecd2-44db-bea3-7c13bb6fe90a</t>
  </si>
  <si>
    <t>GEPGTR-7191053</t>
  </si>
  <si>
    <t>54a24f2a-90e9-453c-b76d-bab2344b229a</t>
  </si>
  <si>
    <t>P260917C00002041</t>
  </si>
  <si>
    <t>e8df4bff-8d96-49bd-b9d8-8d78934f43f7</t>
  </si>
  <si>
    <t>FT26260YTCDK</t>
  </si>
  <si>
    <t>abaa05c9-1f7f-49de-8ed0-654025100106</t>
  </si>
  <si>
    <t>TZ1RTGF262600805</t>
  </si>
  <si>
    <t>e5b26e80-fb41-41e7-8e94-31c680ca2f28</t>
  </si>
  <si>
    <t>TZAAO26026HQKP2</t>
  </si>
  <si>
    <t>F/TZA/DRT/AAO/20260917/00038075598</t>
  </si>
  <si>
    <t>8fa976b0-7169-43c9-919a-2b80687d28b2</t>
  </si>
  <si>
    <t>P260917C00000307</t>
  </si>
  <si>
    <t>8119a0b0-41d3-44af-bdf1-8f5261edde5d</t>
  </si>
  <si>
    <t>R90RTGO262600104</t>
  </si>
  <si>
    <t>891d92b4-ac4d-4980-a54e-88e1f550585e</t>
  </si>
  <si>
    <t>000000594518</t>
  </si>
  <si>
    <t>440fdcbb-75e5-4778-9b4f-cf45a2d5a42</t>
  </si>
  <si>
    <t>0324a933-976a-4e1c-9678-bc9c42a5a8d5</t>
  </si>
  <si>
    <t>GEPGTR-7191062</t>
  </si>
  <si>
    <t>4865983a-96ad-4879-81bc-1c3ee001beae</t>
  </si>
  <si>
    <t>P260917C00001899</t>
  </si>
  <si>
    <t>299b26a8-8926-45ea-b965-53a19f7c9b99</t>
  </si>
  <si>
    <t>OT26257TZ0131968</t>
  </si>
  <si>
    <t>b440f82b-042d-48b6-a5ce-2fe9d3a9c2e9</t>
  </si>
  <si>
    <t>TZAAO26026HSEE1</t>
  </si>
  <si>
    <t>F/TZA/DRT/AAO/20260917/00038091129</t>
  </si>
  <si>
    <t>c006cf05-d89f-4729-aa16-e01b6159c49f</t>
  </si>
  <si>
    <t>2012095</t>
  </si>
  <si>
    <t>26400806-b66b-45b2-b630-cec5bdfd2014</t>
  </si>
  <si>
    <t>TZ1RTGF262600785</t>
  </si>
  <si>
    <t>e26366ca-bcba-492c-a14a-7a94ecd566ac</t>
  </si>
  <si>
    <t>8 SEPT DUP</t>
  </si>
  <si>
    <t>DUP/RECAL/HABIB</t>
  </si>
  <si>
    <t>e4279489-87cf-42fc-9694-c0f08600a4f1</t>
  </si>
  <si>
    <t>TZ1RTGF262600803</t>
  </si>
  <si>
    <t>0d60d6b6-1a5d-4bde-99a7-d49346dd1999</t>
  </si>
  <si>
    <t>FT26260FYTR2</t>
  </si>
  <si>
    <t>abaa05c9-1f7f-49de-8ed0-665825127003</t>
  </si>
  <si>
    <t>FT26260YY50M</t>
  </si>
  <si>
    <t>aefd834c-e82f-4426-b31e-370ddbda4f14</t>
  </si>
  <si>
    <t>2625719756433000</t>
  </si>
  <si>
    <t>6e7a46c6-9158-4436-9a86-d519e4191dfc</t>
  </si>
  <si>
    <t>GEPGTR-7191050</t>
  </si>
  <si>
    <t>ec3e775b-a767-4ae6-b5f9-b9af29cda712</t>
  </si>
  <si>
    <t>TZ1OL260918025VZ</t>
  </si>
  <si>
    <t>EFT 2000028263</t>
  </si>
  <si>
    <t>1954c9ab-495e-45c8-9939-3883e985c282</t>
  </si>
  <si>
    <t>OT26261TZ0133237</t>
  </si>
  <si>
    <t>bf35bfd8-9ab3-4678-9a40-686b41057646</t>
  </si>
  <si>
    <t>GT9733071335</t>
  </si>
  <si>
    <t>39700efa-566a-4366-b892-6686f7b404d3</t>
  </si>
  <si>
    <t>GEPGTR-7191086</t>
  </si>
  <si>
    <t>cbec3bc3-d218-4acb-a736-861a40c69078</t>
  </si>
  <si>
    <t>000008429635</t>
  </si>
  <si>
    <t>4918c79f-b4e8-49a2-9d7c-34a003c208d4</t>
  </si>
  <si>
    <t>000000594867</t>
  </si>
  <si>
    <t>d039582a-7e28-449d-8b52-af4bd4110a3</t>
  </si>
  <si>
    <t>17ca1e00-ab08-4713-9aa9-a2a95bcc9d69</t>
  </si>
  <si>
    <t>000008429675</t>
  </si>
  <si>
    <t>095c24a9-f81d-49b8-a809-6ed8a1ae68dc</t>
  </si>
  <si>
    <t>ECOCTZTZCMA7</t>
  </si>
  <si>
    <t>170989D0F737</t>
  </si>
  <si>
    <t>82081102-b28a-42be-a676-646a0b0f8c17</t>
  </si>
  <si>
    <t>P260918C00000931</t>
  </si>
  <si>
    <t>bd431f2f-66a9-48ae-9343-11f1f2bb9321</t>
  </si>
  <si>
    <t>OT26261TZ0133233</t>
  </si>
  <si>
    <t>dc8d63a6-8c36-4e1c-bd18-53344b20a8fe</t>
  </si>
  <si>
    <t>000008429637</t>
  </si>
  <si>
    <t>591e02c2-85c7-42d6-afdd-329e7a08b419</t>
  </si>
  <si>
    <t>TZAAO26126HT4G6</t>
  </si>
  <si>
    <t>d99edbf0-cebd-4b25-9098-cee5f3c28c2</t>
  </si>
  <si>
    <t>a25ed973-d28f-4898-9eae-c86771eeec23</t>
  </si>
  <si>
    <t>000008429676</t>
  </si>
  <si>
    <t>aff245f0-5422-4bb6-bcc0-47e70132bb5d</t>
  </si>
  <si>
    <t>291ad99b-2a41-4d45-bf40-bb5ed41f9c94</t>
  </si>
  <si>
    <t>DTB/1684/2026</t>
  </si>
  <si>
    <t>1709C3FDA490</t>
  </si>
  <si>
    <t>26d852ae-12d3-4b18-982b-30dc79fd978a</t>
  </si>
  <si>
    <t>OT26261TZ0133417</t>
  </si>
  <si>
    <t>46fdd08a-da29-4290-96c5-7af420ad45cb</t>
  </si>
  <si>
    <t>OT26261TZ0133234</t>
  </si>
  <si>
    <t>5beb4e40-c743-4b19-b9aa-6f67b46d154b</t>
  </si>
  <si>
    <t>S564834</t>
  </si>
  <si>
    <t>6d24d8d9-967f-4cfd-937a-ee02dab528d3</t>
  </si>
  <si>
    <t>CMRTG26261000672</t>
  </si>
  <si>
    <t>57fda5ae-52b6-4e00-b693-598e8146079d</t>
  </si>
  <si>
    <t>OT26261TZ0133315</t>
  </si>
  <si>
    <t>2109a55d-b30d-48f6-abb2-93805dd5f4fd</t>
  </si>
  <si>
    <t>TZ1OL260918025W0</t>
  </si>
  <si>
    <t>EFT 2000028261</t>
  </si>
  <si>
    <t>e9181a43-20f4-44c8-98e9-c85895621325</t>
  </si>
  <si>
    <t>TZAAO26126HWVIJ</t>
  </si>
  <si>
    <t>ed2e945e-dcfd-4c7c-8561-ebb52bb0458</t>
  </si>
  <si>
    <t>00140134-e313-457c-b08d-79a5921185b1</t>
  </si>
  <si>
    <t>000008429674</t>
  </si>
  <si>
    <t>539a23d2-1af8-46ef-a95e-52f965aeb91f</t>
  </si>
  <si>
    <t>000008429633</t>
  </si>
  <si>
    <t>33304f8a-534e-4307-80cc-4a178c25a988</t>
  </si>
  <si>
    <t>GEPGTR-7191091</t>
  </si>
  <si>
    <t>66b1a507-8621-435c-9565-25836bf1dbc1</t>
  </si>
  <si>
    <t>000008429631</t>
  </si>
  <si>
    <t>fa6c7ed3-fbe3-4853-a7c2-21987bb666a6</t>
  </si>
  <si>
    <t>OT26261TZ0133239</t>
  </si>
  <si>
    <t>e41b0056-3ade-4295-a6ab-3d9722685c04</t>
  </si>
  <si>
    <t>OT26261TZ0133365</t>
  </si>
  <si>
    <t>a16aff7e-98b7-4268-b1cc-aa679be064d6</t>
  </si>
  <si>
    <t>HZ1K2QBUSKD04B51</t>
  </si>
  <si>
    <t>f90e3ae6-682e-442b-8760-eeb2c6155639</t>
  </si>
  <si>
    <t>OT26261TZ0133316</t>
  </si>
  <si>
    <t>65262d89-9380-4c3d-a4dc-c462d3f14674</t>
  </si>
  <si>
    <t>TZ1OL260918025KF</t>
  </si>
  <si>
    <t>UPR22609023</t>
  </si>
  <si>
    <t>cbdae6bc-02ff-4734-a234-8347e294538c</t>
  </si>
  <si>
    <t>OT26261TZ0133235</t>
  </si>
  <si>
    <t>0b85a7c9-406b-411b-85f7-18a3146740ca</t>
  </si>
  <si>
    <t>000008429673</t>
  </si>
  <si>
    <t>b48ed59f-d597-4363-bd4a-bcd361810681</t>
  </si>
  <si>
    <t>OT26261TZ0133178</t>
  </si>
  <si>
    <t>701d5748-35df-4a6e-92d9-465c5344bac7</t>
  </si>
  <si>
    <t>OT26261TZ0133236</t>
  </si>
  <si>
    <t>4dfcab09-93bf-433d-a50b-2a73e9ab1807</t>
  </si>
  <si>
    <t>201LC02262080001</t>
  </si>
  <si>
    <t>14a89ed2-2825-4670-8bd3-2a8e3d31ee17</t>
  </si>
  <si>
    <t>TZ1OL260918025IJ</t>
  </si>
  <si>
    <t>b08f10d2-5b9b-407c-b0a4-72e306fb5bce</t>
  </si>
  <si>
    <t>OT26261TZ0133374</t>
  </si>
  <si>
    <t>ccadcc43-18ff-4c4c-9cb3-f671bb27a316</t>
  </si>
  <si>
    <t>TZ1OL260918025VX</t>
  </si>
  <si>
    <t>EFT 2000028260</t>
  </si>
  <si>
    <t>d065d722-8eff-49f9-a847-294d9e969793</t>
  </si>
  <si>
    <t>TZAAO26126HORCP</t>
  </si>
  <si>
    <t>F/TZA/DRT/AAO/20260918/00038105039</t>
  </si>
  <si>
    <t>1a09e03b-c259-4c49-b755-20b4250a9a17</t>
  </si>
  <si>
    <t>OT26261TZ0133317</t>
  </si>
  <si>
    <t>f4b613db-387c-49df-bedc-23d083aee4dc</t>
  </si>
  <si>
    <t>OT26261TZ0133238</t>
  </si>
  <si>
    <t>8d2aaf8b-9939-4c6f-9197-9172b1c9d69e</t>
  </si>
  <si>
    <t>P260918C00002589</t>
  </si>
  <si>
    <t>c75980a9-a46b-4dc3-83bb-857712db6e10</t>
  </si>
  <si>
    <t>TZAAO26126HR633</t>
  </si>
  <si>
    <t>63f0936a-bd05-4cc4-b56e-29337a91efe</t>
  </si>
  <si>
    <t>d43600df-5c58-46d7-b1b2-76086627ddab</t>
  </si>
  <si>
    <t>HZ1K2QBUU5G7A8D1</t>
  </si>
  <si>
    <t>68ce6a2f-7ace-4d5d-bb4a-dae617e0686d</t>
  </si>
  <si>
    <t>881c86f0-2734-4d84-ae1b-98ae0d13702b</t>
  </si>
  <si>
    <t>000008429672</t>
  </si>
  <si>
    <t>dc61a5fb-c356-4aa7-a310-680be9adc171</t>
  </si>
  <si>
    <t>TZAAO26126H8KM8</t>
  </si>
  <si>
    <t>16c78107-5fe8-4c1f-ab0e-54bf730f259</t>
  </si>
  <si>
    <t>c27b858b-53d2-4c82-a5c7-d1572e568b19</t>
  </si>
  <si>
    <t>TZAAO26126HRFNY</t>
  </si>
  <si>
    <t>79d6ee36-7955-4115-a9c2-63cef7c5871</t>
  </si>
  <si>
    <t>dd60407c-7042-40fa-8faf-680e3eca6914</t>
  </si>
  <si>
    <t>TZ1OL260918025W2</t>
  </si>
  <si>
    <t>EFT 2000028262</t>
  </si>
  <si>
    <t>60d0c313-2520-4df4-9fd9-8ce6e737b0df</t>
  </si>
  <si>
    <t>TISS/RTN/26/1311</t>
  </si>
  <si>
    <t>c5be0462-23a3-42c3-bba1-7a189083da06</t>
  </si>
  <si>
    <t>TZAAO26126HRKFZ</t>
  </si>
  <si>
    <t>7592f5f7-5186-4bd9-8c82-da2c7c9c8a8</t>
  </si>
  <si>
    <t>b72e5b91-f387-42c0-a449-f2c8bbb31b7f</t>
  </si>
  <si>
    <t>260918TA040052</t>
  </si>
  <si>
    <t>P260919C00000825</t>
  </si>
  <si>
    <t>ee619ef4-54ca-46e9-9750-ccb98cd30b95</t>
  </si>
  <si>
    <t>P260919C00000831</t>
  </si>
  <si>
    <t>2f5bfce9-8ca7-4238-918e-abf0ed6e8311</t>
  </si>
  <si>
    <t>P260919C00000635</t>
  </si>
  <si>
    <t>5d462ece-d0c7-4a21-9385-c59ed2abc4a0</t>
  </si>
  <si>
    <t>TZ1OL2609190259P</t>
  </si>
  <si>
    <t>PINEELTZ01A32140</t>
  </si>
  <si>
    <t>c4c9571f-50f7-400b-a5bc-20a1773ed40c</t>
  </si>
  <si>
    <t>P260919C00000399</t>
  </si>
  <si>
    <t>8ff8e006-b95d-4d80-8480-0e95344e10b8</t>
  </si>
  <si>
    <t>RTOMICC01095756</t>
  </si>
  <si>
    <t>5b9915cf-2eae-421f-8cb0-b6ebc41ce53c</t>
  </si>
  <si>
    <t>260919TA040066</t>
  </si>
  <si>
    <t>2026/09/20</t>
  </si>
  <si>
    <t>TZAAO26326H3SHQ</t>
  </si>
  <si>
    <t>db54f723-abae-48f2-8933-8978ba068c7</t>
  </si>
  <si>
    <t>f993af5c-0cde-495c-be2e-2c1570259f8e</t>
  </si>
  <si>
    <t>TZAAO26326H03PH</t>
  </si>
  <si>
    <t>F/TZA/DRT/AAO/20260920/00038143487</t>
  </si>
  <si>
    <t>90f9b1e2-b664-4d21-af76-b88a4459e55c</t>
  </si>
  <si>
    <t>TZAAO26326HK9V6</t>
  </si>
  <si>
    <t>F/TZA/DRT/AAO/20260920/00038143489</t>
  </si>
  <si>
    <t>14d4d299-3026-4aad-962c-dd3e31db0517</t>
  </si>
  <si>
    <t>TZAAO26326HHI2E</t>
  </si>
  <si>
    <t>F/TZA/DRT/AAO/20260920/00038143488</t>
  </si>
  <si>
    <t>d1d47fd2-da30-4efd-a1fe-08440dbdb1b1</t>
  </si>
  <si>
    <t>TZAAO26426HSCTU</t>
  </si>
  <si>
    <t>1bfeb0e0-2048-4b48-b69a-e9e1d2e141b</t>
  </si>
  <si>
    <t>54fe8226-dab3-40e5-bbc3-1d3fcb6df180</t>
  </si>
  <si>
    <t>TZAAO26426H8T38</t>
  </si>
  <si>
    <t>4c4e6631-9343-4e4a-a610-129cf3f7add</t>
  </si>
  <si>
    <t>3796f6b2-bdc4-46de-b4df-784234073fee</t>
  </si>
  <si>
    <t>OT26262TZ0133451</t>
  </si>
  <si>
    <t>37685fd6-3b62-4c79-b815-703597876384</t>
  </si>
  <si>
    <t>TZAAO26426HXZ9M</t>
  </si>
  <si>
    <t>4a5b0349-9a12-4490-962d-ea6e0f430d4</t>
  </si>
  <si>
    <t>931c93b9-d744-4aa6-a7b6-dcef45e7f304</t>
  </si>
  <si>
    <t>TZ1OL260921025KP</t>
  </si>
  <si>
    <t>PIBULYTZN1A20283</t>
  </si>
  <si>
    <t>b7be8c29-950f-4e1b-bc69-bb93c2c6db06</t>
  </si>
  <si>
    <t>TZAAO26426HCRWR</t>
  </si>
  <si>
    <t>811dfd6d-fd01-4cea-8f14-a364e7003af</t>
  </si>
  <si>
    <t>81191645-bf85-4304-aa6a-e9b2c428cca6</t>
  </si>
  <si>
    <t>260921TA040077</t>
  </si>
  <si>
    <t>OT26264TZ0133752</t>
  </si>
  <si>
    <t>ff778b8b-59b1-4906-877c-9d2eec3dd36a</t>
  </si>
  <si>
    <t>TZAAO26426H6WGK</t>
  </si>
  <si>
    <t>cc8f361c-7b42-4a93-b655-c3659ba1dab</t>
  </si>
  <si>
    <t>849d35c0-bcfd-4cfc-a6ce-1d85bc2eebb4</t>
  </si>
  <si>
    <t>TZAAO26426H3HLQ</t>
  </si>
  <si>
    <t>F/TZA/DRT/AAO/20260921/00038156630</t>
  </si>
  <si>
    <t>774aa91d-69fa-40cb-86ed-bcd660c5f5c3</t>
  </si>
  <si>
    <t>P260921C00000663</t>
  </si>
  <si>
    <t>8e9b79e2-2fa0-4733-9f0a-d1163f013ef8</t>
  </si>
  <si>
    <t>TZ1OL260921025CG</t>
  </si>
  <si>
    <t>991330196243</t>
  </si>
  <si>
    <t>d4dbecf6-35b4-4295-b445-8cf80a79f560</t>
  </si>
  <si>
    <t>OT26258TZ0132141</t>
  </si>
  <si>
    <t>533c0353-1b75-4996-8b09-43119437b896</t>
  </si>
  <si>
    <t>R90RTGO262640176</t>
  </si>
  <si>
    <t>75777fbd-99b3-43d3-bd4e-a76734167019</t>
  </si>
  <si>
    <t>R90RTGO262640175</t>
  </si>
  <si>
    <t>dcd4546a-b849-4948-aaca-1dfd7c17667a</t>
  </si>
  <si>
    <t>TZ1OL260921025KQ</t>
  </si>
  <si>
    <t>PIBULYTZN1A20284</t>
  </si>
  <si>
    <t>1ae6ae44-6daf-40b8-b8c1-75a11c2704be</t>
  </si>
  <si>
    <t>P260921C00000415</t>
  </si>
  <si>
    <t>fd69caa9-eb2c-431a-a5c4-d5054053c03a</t>
  </si>
  <si>
    <t>3601ITT11/18062</t>
  </si>
  <si>
    <t>c7b0fd78-72b2-4fd5-9817-3db37fb0649f</t>
  </si>
  <si>
    <t>ea9206a6-edc9-4f4c-ab42-9ddc06413183</t>
  </si>
  <si>
    <t>CMRTG26264000593</t>
  </si>
  <si>
    <t>8a19bdc5-2d96-4b86-a5e6-1c0cde8b1ece</t>
  </si>
  <si>
    <t>P260921C00000661</t>
  </si>
  <si>
    <t>11a01799-c685-461d-84a4-5fa5424ffc0b</t>
  </si>
  <si>
    <t>HZ1JUS67RARA08F2</t>
  </si>
  <si>
    <t>5e71fa26-975b-4ec7-b07a-9620aa77b0b7</t>
  </si>
  <si>
    <t>P260921C00001817</t>
  </si>
  <si>
    <t>66831a06-7cc3-4184-8914-f6b325ba4b2d</t>
  </si>
  <si>
    <t>TZ1OL260921025FN</t>
  </si>
  <si>
    <t>PIPITCTZ01A07407</t>
  </si>
  <si>
    <t>c39f9561-97ac-490b-b455-e80b32a9c96e</t>
  </si>
  <si>
    <t>TZAAO26426H4HDA</t>
  </si>
  <si>
    <t>ad5a5fcf-21c8-4c3d-aa6f-d77efb0a1d9</t>
  </si>
  <si>
    <t>6137b250-80a1-4774-9eb4-883f250268eb</t>
  </si>
  <si>
    <t>TZ1OL260921025CF</t>
  </si>
  <si>
    <t>991330196242</t>
  </si>
  <si>
    <t>604a32c6-ef85-42fc-9f88-92dd2fdb0460</t>
  </si>
  <si>
    <t>P260921C00000555</t>
  </si>
  <si>
    <t>2109DED5E72D</t>
  </si>
  <si>
    <t>61c9be69-8474-4c11-838e-5930a41a2969</t>
  </si>
  <si>
    <t>TZAAO26426H5KUL</t>
  </si>
  <si>
    <t>3b761685-301b-4a48-a42b-56f646c9589</t>
  </si>
  <si>
    <t>8f4c42b5-824e-459b-af90-60e53b791b00</t>
  </si>
  <si>
    <t>TZ1OL260921025CI</t>
  </si>
  <si>
    <t>991330196241</t>
  </si>
  <si>
    <t>8867d99c-6153-4a1f-9697-7ccd5d69c214</t>
  </si>
  <si>
    <t>TZ1OL2609180258Q</t>
  </si>
  <si>
    <t>PICRJETZ01A43986</t>
  </si>
  <si>
    <t>15446795-5dab-4319-9f26-ff6836217f72</t>
  </si>
  <si>
    <t>CMRTG26264000660</t>
  </si>
  <si>
    <t>968de88a-5f3c-41ab-a296-0a6c76a31c91</t>
  </si>
  <si>
    <t>TZ1OL260921025CJ</t>
  </si>
  <si>
    <t>991330195804</t>
  </si>
  <si>
    <t>67e2440c-a397-4a2f-9f5a-63c2b8919c6a</t>
  </si>
  <si>
    <t>OT26262TZ0133446</t>
  </si>
  <si>
    <t>2bf2cc78-b9d5-41c8-85cd-99671e1ab304</t>
  </si>
  <si>
    <t>OT26264TZ0133488</t>
  </si>
  <si>
    <t>70c32b98-f59f-4045-b434-015ed762eccf</t>
  </si>
  <si>
    <t>TZ1RTGF262641831</t>
  </si>
  <si>
    <t>994840053287 CUTE CHARGEJRO FOR AU+</t>
  </si>
  <si>
    <t>b96f7e9e-4113-42b4-9997-d9959e754fd7</t>
  </si>
  <si>
    <t>OT26262TZ0133453</t>
  </si>
  <si>
    <t>ab1696c5-c2d5-48a2-a94c-37a4406d1222</t>
  </si>
  <si>
    <t>OT26264TZ0133485</t>
  </si>
  <si>
    <t>20a3d6e0-bf3e-494b-ace0-0a856593e419</t>
  </si>
  <si>
    <t>CMRTG26264001583</t>
  </si>
  <si>
    <t>d1aed03b-3e0f-42c0-b362-eacc75ad1813</t>
  </si>
  <si>
    <t>260921T000595764</t>
  </si>
  <si>
    <t>c504e07e-28d5-469e-84bf-d8fdf3f5ca47</t>
  </si>
  <si>
    <t>GT2181589461</t>
  </si>
  <si>
    <t>3a8771e6-d97c-44c5-9413-ef0ba2842573</t>
  </si>
  <si>
    <t>TZAAO26526H5BH9</t>
  </si>
  <si>
    <t>F/TZA/DRT/AAO/20260922/00038182097</t>
  </si>
  <si>
    <t>34c56a97-28a2-493d-883f-bc54ba87bd45</t>
  </si>
  <si>
    <t>TZ1OL2609220259A</t>
  </si>
  <si>
    <t>EFT 2000028382</t>
  </si>
  <si>
    <t>7b84fb75-9d1b-457d-b9be-221a972a017f</t>
  </si>
  <si>
    <t>TZ1RTGF262651047</t>
  </si>
  <si>
    <t>fb4dd30f-aad2-4965-8de0-9d4d2e1e8952</t>
  </si>
  <si>
    <t>FT26265SDTH4</t>
  </si>
  <si>
    <t>45470f7f-f521-4727-a18d-a3c77aea9efe</t>
  </si>
  <si>
    <t>ECOCTZTZCGM0</t>
  </si>
  <si>
    <t>18093F5051D3</t>
  </si>
  <si>
    <t>05c10854-a2d8-4172-9470-67f28cd698b8</t>
  </si>
  <si>
    <t>TZ1RTGF262651043</t>
  </si>
  <si>
    <t>425c74a8-db82-421a-98cb-272b3ae6cde8</t>
  </si>
  <si>
    <t>fb901de3-4e68-4ff6-843d-6b47b754cc73</t>
  </si>
  <si>
    <t>TZ1RTGF262651046</t>
  </si>
  <si>
    <t>db2c37b4-7c03-4eab-92a2-293573e7b69f</t>
  </si>
  <si>
    <t>GEPGTR-7191145</t>
  </si>
  <si>
    <t>c6af77f0-389e-4cdf-be09-a50487fba109</t>
  </si>
  <si>
    <t>1081938</t>
  </si>
  <si>
    <t>72b2593b-cb10-49f2-a8af-e3f9d7616a04</t>
  </si>
  <si>
    <t>HZ1K33PPC26EB80A</t>
  </si>
  <si>
    <t>6b6e74d9-8385-42a1-bafc-2c7679bedf20</t>
  </si>
  <si>
    <t>ECOCTZTZCGM2</t>
  </si>
  <si>
    <t>1809592120A0</t>
  </si>
  <si>
    <t>5d7a27cc-c12a-4a70-a21d-ddf41ee6baed</t>
  </si>
  <si>
    <t>MBT0000000123773</t>
  </si>
  <si>
    <t>7cb516ea-41a3-4f84-b84e-5516e0aef413</t>
  </si>
  <si>
    <t>OT26265TZ0134053</t>
  </si>
  <si>
    <t>e381c959-168b-48d7-a48d-4223135cd6ee</t>
  </si>
  <si>
    <t>OT26258TZ0132144</t>
  </si>
  <si>
    <t>d8fb6483-02fc-4bae-a99a-cbda29cd658a</t>
  </si>
  <si>
    <t>DTB/1703/2026</t>
  </si>
  <si>
    <t>810f01b3-746a-4d57-8557-b1263af3e01d</t>
  </si>
  <si>
    <t>ECOCTZTZCGM1</t>
  </si>
  <si>
    <t>180954540C69</t>
  </si>
  <si>
    <t>8c829d18-f652-4e9d-a17e-003c27a7fd11</t>
  </si>
  <si>
    <t>TZ1RTGF262651042</t>
  </si>
  <si>
    <t>d62ddcd3-1363-4d07-93dc-3613bd4ac683</t>
  </si>
  <si>
    <t>000008432366</t>
  </si>
  <si>
    <t>b4ad4509-ac6c-4281-97bb-027996f6d742</t>
  </si>
  <si>
    <t>000000595324</t>
  </si>
  <si>
    <t>5083426f-f23a-4c8d-aac3-0b63618db4d</t>
  </si>
  <si>
    <t>5a345722-c1f1-4a5f-a443-c365f5dc4305</t>
  </si>
  <si>
    <t>ECOCTZTZCGM4</t>
  </si>
  <si>
    <t>18099B188406</t>
  </si>
  <si>
    <t>de0eafbb-c01e-47ed-a7d0-247e3b21b86f</t>
  </si>
  <si>
    <t>260922TA040091</t>
  </si>
  <si>
    <t>029COUS220926004</t>
  </si>
  <si>
    <t>39d605a2-d981-4d6d-95e2-18f7d2e23f31</t>
  </si>
  <si>
    <t>TZAAO26526HC81T</t>
  </si>
  <si>
    <t>F/TZA/DRT/AAO/20260922/00038182096</t>
  </si>
  <si>
    <t>ae0b906d-aed6-4e5d-b5a8-754ffc1bd409</t>
  </si>
  <si>
    <t>000008432320</t>
  </si>
  <si>
    <t>0b6e4097-4ea0-4008-bf17-81a14cf9bb72</t>
  </si>
  <si>
    <t>TZAAO26526HG6BM</t>
  </si>
  <si>
    <t>18aa5900-58f7-43e0-bc9f-ec7ac1f9b5d</t>
  </si>
  <si>
    <t>be97f24d-d437-478c-8dc3-166b1aa3a14e</t>
  </si>
  <si>
    <t>ECOCTZTZCMA2000</t>
  </si>
  <si>
    <t>170913C65B27</t>
  </si>
  <si>
    <t>89563427-4873-43db-bc1c-c99314534452</t>
  </si>
  <si>
    <t>TZAAO26526HVQ7Y</t>
  </si>
  <si>
    <t>0df19cb7-51fc-4ec2-a77f-9bccd0d2423</t>
  </si>
  <si>
    <t>7109a4c2-60bc-40ab-ba1c-778709b8eeb6</t>
  </si>
  <si>
    <t>TZAAO26526HE8OJ</t>
  </si>
  <si>
    <t>82c17a86-f909-4e74-8bd5-eb165df5839</t>
  </si>
  <si>
    <t>06d0d551-da74-4005-af30-00ca2218db10</t>
  </si>
  <si>
    <t>TZAAO26526H51UW</t>
  </si>
  <si>
    <t>9d4f5a03-6dc7-4505-8521-41a51993d62</t>
  </si>
  <si>
    <t>c53d8e12-5297-4f8a-919c-9d67dca6696c</t>
  </si>
  <si>
    <t>TZAAO26526HAIEU</t>
  </si>
  <si>
    <t>b4aaf9a0-70a0-4d05-9c69-a2b61f829bb</t>
  </si>
  <si>
    <t>50bbcf6e-7a21-46bf-92a2-ef581875649f</t>
  </si>
  <si>
    <t>TZ1RTGF262651052</t>
  </si>
  <si>
    <t>bd54942f-d66b-4304-b6e3-8b74b8596ec2</t>
  </si>
  <si>
    <t>ECOCTZTZCGM3</t>
  </si>
  <si>
    <t>180987433851</t>
  </si>
  <si>
    <t>b696a364-9289-43ba-ba75-f5aed3e669ec</t>
  </si>
  <si>
    <t>FT26265LHLV3</t>
  </si>
  <si>
    <t>dc7c8aa3-60c7-4c93-91fb-1031e1f7d3d7</t>
  </si>
  <si>
    <t>TZAAO26526H9GMP</t>
  </si>
  <si>
    <t>8db3222b-ed0b-467b-bc1d-18984660ea8</t>
  </si>
  <si>
    <t>550787c5-5ee7-4e63-b30a-f43c9c0a9ed7</t>
  </si>
  <si>
    <t>TZAAO26526HKPV7</t>
  </si>
  <si>
    <t>41780cbe-6237-4917-9b13-7743a5f1d6d</t>
  </si>
  <si>
    <t>dd573294-59f9-4fa8-b195-d60edaf91f3a</t>
  </si>
  <si>
    <t>TZAAO26526HWQHU</t>
  </si>
  <si>
    <t>6300f968-0036-4bfa-8b79-950e71b5a7f</t>
  </si>
  <si>
    <t>b77379ad-d6c3-4fc6-afb3-9979700b5d3e</t>
  </si>
  <si>
    <t>P260922C00001371</t>
  </si>
  <si>
    <t>e211a65c-773f-417c-8596-b79630eeac80</t>
  </si>
  <si>
    <t>TZ1RTGF262651053</t>
  </si>
  <si>
    <t>5406b1d7-35a4-4017-97d4-3684d128bbd7</t>
  </si>
  <si>
    <t>000000596308</t>
  </si>
  <si>
    <t>c7f0ad0e-5f10-4d46-8c3f-9f017489926</t>
  </si>
  <si>
    <t>b72a0d3e-49d9-4577-b384-e8811f25b1df</t>
  </si>
  <si>
    <t>OT26258TZ0132300</t>
  </si>
  <si>
    <t>4fe094cf-ee4b-4487-a401-4a351bee4dd1</t>
  </si>
  <si>
    <t>GEPGTR-7191157</t>
  </si>
  <si>
    <t>0675ea1d-7195-4757-9b47-d374f97a8dda</t>
  </si>
  <si>
    <t>OT26266TZ0134274</t>
  </si>
  <si>
    <t>7560fe74-e479-463c-b8e4-f67f9e687d06</t>
  </si>
  <si>
    <t>TZ1OL260923026DD</t>
  </si>
  <si>
    <t>Q0033068</t>
  </si>
  <si>
    <t>ec989200-dd0a-4eed-b7df-2aa3c8a0ce23</t>
  </si>
  <si>
    <t>000000595533</t>
  </si>
  <si>
    <t>39b8e59a-0694-41b5-9fcb-6e2961124c8</t>
  </si>
  <si>
    <t>c01e1fcf-c737-4432-a31e-67265ecb17ae</t>
  </si>
  <si>
    <t>TZAAO26626HLJJL</t>
  </si>
  <si>
    <t>F/TZA/DRT/AAO/20260923/00038226472</t>
  </si>
  <si>
    <t>68f51977-e087-41f8-9f14-b641df3392ea</t>
  </si>
  <si>
    <t>RTN 443148.78 USD</t>
  </si>
  <si>
    <t>0309A5598362</t>
  </si>
  <si>
    <t>11d471bc-04a1-4d26-bc9e-7d401cb19b42</t>
  </si>
  <si>
    <t>CORUTZTZ NMIBTZTZ</t>
  </si>
  <si>
    <t>GEPGTR-7191155</t>
  </si>
  <si>
    <t>458ce33d-96d9-45ff-b98d-e08a26f682ea</t>
  </si>
  <si>
    <t>260923TA040107</t>
  </si>
  <si>
    <t>026TOUS230926001</t>
  </si>
  <si>
    <t>27dbc646-9752-400b-af38-0152b851c104</t>
  </si>
  <si>
    <t>OT26258TZ0132139</t>
  </si>
  <si>
    <t>94b371e5-3e6e-4c8a-916f-9e41dc16db5d</t>
  </si>
  <si>
    <t>OT26261TZ0133245</t>
  </si>
  <si>
    <t>44df3889-159a-4a14-aa38-2cdbe8f5c8b2</t>
  </si>
  <si>
    <t>TZAAO26626H0X2Y</t>
  </si>
  <si>
    <t>1d69ba55-a987-4059-a23f-947dd918abc</t>
  </si>
  <si>
    <t>060b7a07-ab73-4457-a603-25b2f0bf41bb</t>
  </si>
  <si>
    <t>311BCIU262460502</t>
  </si>
  <si>
    <t>e717d10a-d35d-4c8b-810b-e44a16b82dd0</t>
  </si>
  <si>
    <t>TZAAO26626HQADW</t>
  </si>
  <si>
    <t>80ee4b67-0153-4e19-aa35-c469d088afa</t>
  </si>
  <si>
    <t>b83c686d-6762-4bda-b68a-a9d944aebc72</t>
  </si>
  <si>
    <t>TZAAO26626HAHKI</t>
  </si>
  <si>
    <t>F/TZA/DRT/AAO/20260923/00038226454</t>
  </si>
  <si>
    <t>4d0c4a04-2ac6-49fa-9e61-f2e8857debbe</t>
  </si>
  <si>
    <t>015COUS230926007</t>
  </si>
  <si>
    <t>07c25862-9977-4176-bd2e-86dcaff24c88</t>
  </si>
  <si>
    <t>TZAAO26626HB3X0</t>
  </si>
  <si>
    <t>F/TZA/DRT/AAO/20260923/00038206724</t>
  </si>
  <si>
    <t>8a8b2fb9-b988-4434-b1a8-a4a511b0e375</t>
  </si>
  <si>
    <t>GEPGTR-7191170</t>
  </si>
  <si>
    <t>93ff6f34-33f9-495b-b548-e5b9a3a6b10f</t>
  </si>
  <si>
    <t>TZAAO26626HXI12</t>
  </si>
  <si>
    <t>d382a059-69ab-4f13-b219-ccd74f7a386</t>
  </si>
  <si>
    <t>de32148f-fdb7-4f1c-ac1d-02b5bcab5d98</t>
  </si>
  <si>
    <t>OT26261TZ0133242</t>
  </si>
  <si>
    <t>c2da90cd-e32b-4858-8d45-a927149704cf</t>
  </si>
  <si>
    <t>OT26258TZ0132299</t>
  </si>
  <si>
    <t>4d8cbd94-b29c-4f44-855a-ccbd714655fe</t>
  </si>
  <si>
    <t>TZ1OL260923025DQ</t>
  </si>
  <si>
    <t>PIGEU00562D22107</t>
  </si>
  <si>
    <t>b5ec46d6-0131-44d9-920b-a246a8ea8717</t>
  </si>
  <si>
    <t>OT26266TZ0134315</t>
  </si>
  <si>
    <t>c5c1d8c6-9d4c-4989-9d99-799667b43b7b</t>
  </si>
  <si>
    <t>TZ1RTGF262660235</t>
  </si>
  <si>
    <t>2d4a6683-3952-4042-9130-1aa108071748</t>
  </si>
  <si>
    <t>OT26258TZ0132293</t>
  </si>
  <si>
    <t>5c8b6cef-6844-458d-8092-a5fdd2c0ea2d</t>
  </si>
  <si>
    <t>OT26266TZ0134325</t>
  </si>
  <si>
    <t>de0b7799-ec9c-4743-9b8f-1cc7c14527f3</t>
  </si>
  <si>
    <t>OT26266TZ0134310</t>
  </si>
  <si>
    <t>71770984-0c27-43d4-a101-23dc2637bba0</t>
  </si>
  <si>
    <t>5CL1I0EO</t>
  </si>
  <si>
    <t>c4dfcce3-f14a-4eb9-b9af-a022fd04dee6</t>
  </si>
  <si>
    <t>311BCIU262460504</t>
  </si>
  <si>
    <t>3159fd28-7b7f-48a8-a9f5-6f91cb0679b4</t>
  </si>
  <si>
    <t>311BCIU262460501</t>
  </si>
  <si>
    <t>616059bd-979d-4d80-87bd-d7f7015d5c7e</t>
  </si>
  <si>
    <t>OT26266TZ0134245</t>
  </si>
  <si>
    <t>9904b6b2-7ac9-4e61-9977-212db3f026e3</t>
  </si>
  <si>
    <t>OT26258TZ0132291</t>
  </si>
  <si>
    <t>d6d3691a-a613-403e-80b5-966decc2067d</t>
  </si>
  <si>
    <t>TZAAO26626H6KKZ</t>
  </si>
  <si>
    <t>cb8b16cc-e6b5-44ea-9540-4de819295ca</t>
  </si>
  <si>
    <t>cdc50593-848b-4af2-8ee4-e6d8ce925505</t>
  </si>
  <si>
    <t>P260923C00001827</t>
  </si>
  <si>
    <t>bf3a6c4d-2114-4809-acb7-ea4f636a6809</t>
  </si>
  <si>
    <t>OT26258TZ0132297</t>
  </si>
  <si>
    <t>99c4b881-72c3-4018-9a28-f39e442d0af8</t>
  </si>
  <si>
    <t>CMRTG26266001060</t>
  </si>
  <si>
    <t>e9fe3f2d-0b3d-4183-8d4a-cbef148cc2e7</t>
  </si>
  <si>
    <t>OT26258TZ0132140</t>
  </si>
  <si>
    <t>73503130-028a-4767-b660-b8edb574ee11</t>
  </si>
  <si>
    <t>R90RTGO262660012</t>
  </si>
  <si>
    <t>07018334-dda5-4832-9852-6103c7ae6766</t>
  </si>
  <si>
    <t>OT26266TZ0134498</t>
  </si>
  <si>
    <t>56c89ce3-28ec-489a-821f-b6546a1d2654</t>
  </si>
  <si>
    <t>TZAAO26626HRTTM</t>
  </si>
  <si>
    <t>084ae250-83d6-45a1-a917-a945fd3a098</t>
  </si>
  <si>
    <t>9017d848-96ec-42dd-9ef2-8a857d852029</t>
  </si>
  <si>
    <t>TZAAO26626H2LKH</t>
  </si>
  <si>
    <t>F/TZA/DRT/AAO/20260923/00038226456</t>
  </si>
  <si>
    <t>a1276e9a-0948-4240-85e7-b3e3e81aeb3b</t>
  </si>
  <si>
    <t>FT26266D9SKH</t>
  </si>
  <si>
    <t>8e466839-0754-44e8-aa5c-c5dcb9561716</t>
  </si>
  <si>
    <t>RTN 18645,52 USD</t>
  </si>
  <si>
    <t>04099ED43FB1</t>
  </si>
  <si>
    <t>a7d36c78-6ed3-4177-84be-b2db5bf3e6ec</t>
  </si>
  <si>
    <t>OT26261TZ0133241</t>
  </si>
  <si>
    <t>8e1dfe9e-51f7-435d-8e61-899f90af3310</t>
  </si>
  <si>
    <t>P260923C00000905</t>
  </si>
  <si>
    <t>0583cac9-67a4-4cff-a8fb-b43f78e83d34</t>
  </si>
  <si>
    <t>OT26258TZ0132295</t>
  </si>
  <si>
    <t>da9af4de-1c46-4022-9c90-deb919f73c42</t>
  </si>
  <si>
    <t>OT26258TZ0132292</t>
  </si>
  <si>
    <t>93e09e71-7188-4b29-94b8-d9182ef56a0b</t>
  </si>
  <si>
    <t>P260923C00000907</t>
  </si>
  <si>
    <t>3592014b-aa20-4e92-b1c7-e94004408b80</t>
  </si>
  <si>
    <t>OT26258TZ0132142</t>
  </si>
  <si>
    <t>e659de28-1497-4d1c-a36d-e3daa016bdd2</t>
  </si>
  <si>
    <t>OT26258TZ0132294</t>
  </si>
  <si>
    <t>ba604366-58d8-4874-8be5-853b875f5930</t>
  </si>
  <si>
    <t>OT26266TZ0134316</t>
  </si>
  <si>
    <t>824949e3-7a8d-4f22-9a03-b0494125f0a1</t>
  </si>
  <si>
    <t>OT26266TZ0134246</t>
  </si>
  <si>
    <t>4c11d864-fa33-4081-ae8e-075523a54f04</t>
  </si>
  <si>
    <t>OT26258TZ0132133</t>
  </si>
  <si>
    <t>c6d1b6ab-851f-4f9b-9ca5-311856186efa</t>
  </si>
  <si>
    <t>OT26258TZ0132298</t>
  </si>
  <si>
    <t>91304ef9-599b-417f-a675-54945a529e98</t>
  </si>
  <si>
    <t>OT26266TZ0134314</t>
  </si>
  <si>
    <t>ea47539d-6a0d-4d9f-af82-199a59c66ec7</t>
  </si>
  <si>
    <t>OT26266TZ0134326</t>
  </si>
  <si>
    <t>1645a227-118e-4d6c-acb4-8b644baafd55</t>
  </si>
  <si>
    <t>FT26266XRQFF</t>
  </si>
  <si>
    <t>abaa05c9-1f7f-49de-8ed0-617066342806</t>
  </si>
  <si>
    <t>S581747</t>
  </si>
  <si>
    <t>75ea788d-b7af-42b6-9754-07dc93384034</t>
  </si>
  <si>
    <t>1081944</t>
  </si>
  <si>
    <t>23d55578-06e8-43cb-a311-1ce90aea861e</t>
  </si>
  <si>
    <t>TZAAO26626HN1WP</t>
  </si>
  <si>
    <t>F/TZA/DRT/AAO/20260923/00038226459</t>
  </si>
  <si>
    <t>10de1633-0747-4d85-a0f2-6bd80272be69</t>
  </si>
  <si>
    <t>OT26261TZ0133243</t>
  </si>
  <si>
    <t>399e300f-61cb-4012-b273-7abc0fc96fbe</t>
  </si>
  <si>
    <t>OT26258TZ0132134</t>
  </si>
  <si>
    <t>4deaecc1-c291-43a5-be6c-4900c5456801</t>
  </si>
  <si>
    <t>FT26266RKJYC</t>
  </si>
  <si>
    <t>abaa05c9-1f7f-49de-8ed0-709486352602</t>
  </si>
  <si>
    <t>TZ1OL260923025DO</t>
  </si>
  <si>
    <t>PIGEU00562D22106</t>
  </si>
  <si>
    <t>a72cb8ec-047a-4681-a840-26eef710fbd3</t>
  </si>
  <si>
    <t>OT26261TZ0133240</t>
  </si>
  <si>
    <t>3cafe3ee-7c4e-4163-a811-32bb9da7782c</t>
  </si>
  <si>
    <t>LC260923ZgXt6bWP</t>
  </si>
  <si>
    <t>4d458c4a-2fac-420e-b238-135034a6b282</t>
  </si>
  <si>
    <t>260924TA040121</t>
  </si>
  <si>
    <t>P260924C00001491</t>
  </si>
  <si>
    <t>0aaa9942-2c77-400d-9754-8bcd68088cee</t>
  </si>
  <si>
    <t>OT26267TZ0134703</t>
  </si>
  <si>
    <t>d202085e-1f6c-4052-87ce-396da9b50599</t>
  </si>
  <si>
    <t>TZAAO26726H2FOW</t>
  </si>
  <si>
    <t>b5b0233d-8fc0-4ff7-8ae0-043f77ec369</t>
  </si>
  <si>
    <t>959037d7-e23c-469a-81d8-e01d6a90a9ac</t>
  </si>
  <si>
    <t>T0124092698391</t>
  </si>
  <si>
    <t>6af1f31f-1339-4b47-80aa-05dfdbb9f0fb</t>
  </si>
  <si>
    <t>OT26267TZ0134790</t>
  </si>
  <si>
    <t>d7651203-a455-43f7-8032-bd4786d01463</t>
  </si>
  <si>
    <t>CMRTG26267001656</t>
  </si>
  <si>
    <t>20699a21-a4a7-4c9a-b40f-6b3163e654c2</t>
  </si>
  <si>
    <t>TZ1OL260924025HE</t>
  </si>
  <si>
    <t>PISTECTZN1A10780</t>
  </si>
  <si>
    <t>d7b773fe-88be-4a2a-91c2-c7878ba88f09</t>
  </si>
  <si>
    <t>TZAAO26726HHCSF</t>
  </si>
  <si>
    <t>ffacb52c-7d09-4fb6-9486-61641ff58c4</t>
  </si>
  <si>
    <t>f0163056-b3dc-4ae7-83fe-d35eb06f86cc</t>
  </si>
  <si>
    <t>P260924C00001311</t>
  </si>
  <si>
    <t>f51e8d93-01f7-487b-94d9-76389b766a1f</t>
  </si>
  <si>
    <t>TZ1OL260924025HD</t>
  </si>
  <si>
    <t>PISTECTZN1A10781</t>
  </si>
  <si>
    <t>ba3e1190-346f-493e-a345-4b53b53684a1</t>
  </si>
  <si>
    <t>OT26267TZ0134702</t>
  </si>
  <si>
    <t>b763b556-8dbd-4bd1-9a07-443f1ff87e35</t>
  </si>
  <si>
    <t>TZAAO26726HVHGX</t>
  </si>
  <si>
    <t>96d1213c-80d8-4396-b795-a5fb116168d</t>
  </si>
  <si>
    <t>2b24f917-b8cd-49a9-8312-c54ed206401e</t>
  </si>
  <si>
    <t>17876929940763</t>
  </si>
  <si>
    <t>38afd85a-fdda-47ed-9954-916bf31e3f8c</t>
  </si>
  <si>
    <t>311BCIU262460503</t>
  </si>
  <si>
    <t>013ac0ca-2923-4152-b6e5-55686af168ef</t>
  </si>
  <si>
    <t>OT26258TZ0132143</t>
  </si>
  <si>
    <t>1bd6acd8-eb4d-4818-bcbd-7048efe6e842</t>
  </si>
  <si>
    <t>OT26267TZ0134665</t>
  </si>
  <si>
    <t>c7a9ad4e-7275-48d2-81ad-4a9d773d37f2</t>
  </si>
  <si>
    <t>P260924C00001797</t>
  </si>
  <si>
    <t>adadba2b-241a-4fa7-99c0-2dcccf9c136b</t>
  </si>
  <si>
    <t>DTB/1727/2026</t>
  </si>
  <si>
    <t>2a5fbdea-f281-47d1-9ca2-b968206beff2</t>
  </si>
  <si>
    <t>TZ1OL260924025HC</t>
  </si>
  <si>
    <t>PISTECTZN1A10782</t>
  </si>
  <si>
    <t>557c519a-5068-476e-a3f4-15f3c6ad5864</t>
  </si>
  <si>
    <t>GEPGTR-7191186</t>
  </si>
  <si>
    <t>72127fe8-7770-47dc-b9c2-bbda0c723f31</t>
  </si>
  <si>
    <t>311BCIU262460505</t>
  </si>
  <si>
    <t>92d7ea67-e7e4-43e6-9d22-e31cc038fa3d</t>
  </si>
  <si>
    <t>TZAAO26726HS6BC</t>
  </si>
  <si>
    <t>f98380cc-299b-4e23-af8a-ba643846abd</t>
  </si>
  <si>
    <t>0ec880d1-e27b-419c-9ab5-f220cd749ea6</t>
  </si>
  <si>
    <t>P260924C00001505</t>
  </si>
  <si>
    <t>f419f781-edea-4f2a-9655-255e4d62f7bb</t>
  </si>
  <si>
    <t>TZAAO26726H5XWS</t>
  </si>
  <si>
    <t>1e8a535b-814b-496c-ba83-c6b48bdc0f4</t>
  </si>
  <si>
    <t>3714a2c6-3fec-4a07-a29b-5f511dcd989f</t>
  </si>
  <si>
    <t>CMRTG26267001649</t>
  </si>
  <si>
    <t>1f6b9175-d0b8-489b-a421-1cefcb47f0ce</t>
  </si>
  <si>
    <t>TZAAO26726HK1X6</t>
  </si>
  <si>
    <t>f2886c69-b3b6-44da-a92d-29ac69729de</t>
  </si>
  <si>
    <t>4f94a3de-9b2d-4aeb-be43-e546e7f879f8</t>
  </si>
  <si>
    <t>FX216347</t>
  </si>
  <si>
    <t>0fc145ad-4c4b-4d8f-aacf-8e082f8897cf</t>
  </si>
  <si>
    <t>999FTRB262670503</t>
  </si>
  <si>
    <t>TISS/3361/26TR</t>
  </si>
  <si>
    <t>deea048f-babb-4b79-a0b2-b02e7684e539</t>
  </si>
  <si>
    <t>TZAAO26826HQELX</t>
  </si>
  <si>
    <t>ce2cd859-b0dd-4ac3-8515-5c35482b16b</t>
  </si>
  <si>
    <t>a1e91fc8-4f0d-4083-bd44-c610e8344234</t>
  </si>
  <si>
    <t>FT26268JB08L</t>
  </si>
  <si>
    <t>eddc2a97-ca9b-4ee5-b2e5-74e6bdb590d3</t>
  </si>
  <si>
    <t>260925TA040135</t>
  </si>
  <si>
    <t>260925001484275</t>
  </si>
  <si>
    <t>acaae5c9-f1b6-4e06-b9bb-8a09b78b2af7</t>
  </si>
  <si>
    <t>CDSHTZTZ NMIBTZTZ</t>
  </si>
  <si>
    <t>OT26268TZ0135180</t>
  </si>
  <si>
    <t>2ac7abd6-3ebd-487e-b0aa-a78a8b38df77</t>
  </si>
  <si>
    <t>000000597543</t>
  </si>
  <si>
    <t>b28b020b-64be-4dc4-8a0b-4eb13adaf66</t>
  </si>
  <si>
    <t>4e30fce5-8db4-4558-8237-0d0c936e5542</t>
  </si>
  <si>
    <t>260925001484274</t>
  </si>
  <si>
    <t>fc40b594-6e42-4550-aa3e-499a520a0dc6</t>
  </si>
  <si>
    <t>OT26268TZ0135202</t>
  </si>
  <si>
    <t>6eafc474-bd59-4a4e-89e2-079d65260d21</t>
  </si>
  <si>
    <t>R90RTGO262670322</t>
  </si>
  <si>
    <t>72da170e-14ff-40e9-ac21-1f7fa08af9a5</t>
  </si>
  <si>
    <t>P260925C00003491</t>
  </si>
  <si>
    <t>46e157c9-df4b-4d9c-986d-1861a3774251</t>
  </si>
  <si>
    <t>R90RTGO262670319</t>
  </si>
  <si>
    <t>9b1adce9-8d87-4e97-895d-74d6dbfa386e</t>
  </si>
  <si>
    <t>TZAAO26826HSQOZ</t>
  </si>
  <si>
    <t>c8b52e78-595c-4929-ace6-7edb359440e</t>
  </si>
  <si>
    <t>27268b9c-d7cf-481a-9ddc-a06d4cfc7816</t>
  </si>
  <si>
    <t>P260925C00002789</t>
  </si>
  <si>
    <t>1b0084b2-00c1-4ce1-8743-c8625d2e7bef</t>
  </si>
  <si>
    <t>P260925C00003483</t>
  </si>
  <si>
    <t>3ff9e174-b603-41b9-a924-86f9e2bfb706</t>
  </si>
  <si>
    <t>HZ1K3C8TBUTDCB39</t>
  </si>
  <si>
    <t>a9456de3-1e0c-474c-ac25-cf3e46ddca77</t>
  </si>
  <si>
    <t>P260925C00003479</t>
  </si>
  <si>
    <t>08197d60-ae92-4279-b881-2d458591547f</t>
  </si>
  <si>
    <t>TZ1OL260925025KE</t>
  </si>
  <si>
    <t>PISOTTTZ01A11573</t>
  </si>
  <si>
    <t>039629ea-82ea-4d3b-99ae-ecebe31b44a2</t>
  </si>
  <si>
    <t>R90RTGO262670323</t>
  </si>
  <si>
    <t>08959162-1d70-43f8-8ac1-956567a200af</t>
  </si>
  <si>
    <t>TZAAO26826HJH8Y</t>
  </si>
  <si>
    <t>5bee1555-8db6-4fb9-912a-fc8330d4873</t>
  </si>
  <si>
    <t>953680d0-f429-4950-bc50-16e56d204629</t>
  </si>
  <si>
    <t>TZAAO26826H8THS</t>
  </si>
  <si>
    <t>2a06da46-1934-4e5f-b5ec-8932fd52f77</t>
  </si>
  <si>
    <t>54275972-0b2d-48dc-b018-a453adace202</t>
  </si>
  <si>
    <t>TZAAO26826HZKN5</t>
  </si>
  <si>
    <t>695f0bfb-4855-4aa3-a0e8-299117651a2</t>
  </si>
  <si>
    <t>3ecdbb27-aa09-4d17-b104-9f63b2d75fb5</t>
  </si>
  <si>
    <t>R90RTGO262670324</t>
  </si>
  <si>
    <t>cc8bc7df-2f3c-456e-b826-15b21e0bf0f2</t>
  </si>
  <si>
    <t>TZ1OL260925025JT</t>
  </si>
  <si>
    <t>PISOTTTZ01A11574</t>
  </si>
  <si>
    <t>a10817bb-28b8-4df7-b97d-702ae018699e</t>
  </si>
  <si>
    <t>HZ1K3CA7UHF2C9CE</t>
  </si>
  <si>
    <t>ffb84a78-bd88-49d7-b6cf-3018f2544c63</t>
  </si>
  <si>
    <t>P260925C00003759</t>
  </si>
  <si>
    <t>bcce8901-c6f7-4ed1-966b-5f6dd4435c45</t>
  </si>
  <si>
    <t>TZ1OL260925025K3</t>
  </si>
  <si>
    <t>PISOTTTZ01A11571</t>
  </si>
  <si>
    <t>eb900b20-2834-4a90-ad36-8d9a12c128c2</t>
  </si>
  <si>
    <t>TZAAO26826H9MZ4</t>
  </si>
  <si>
    <t>a479ecf8-3a52-4a71-b0bd-524f740467b</t>
  </si>
  <si>
    <t>deddc53b-e330-4368-a49e-60cf42842c58</t>
  </si>
  <si>
    <t>P260925C00000715</t>
  </si>
  <si>
    <t>4dca9fc9-4137-44dd-8ffa-c2ffb92b10a6</t>
  </si>
  <si>
    <t>TZ1OL260925025JY</t>
  </si>
  <si>
    <t>PISOTTTZ01A11570</t>
  </si>
  <si>
    <t>da25c027-13ff-455a-9ae2-f6ab082e4909</t>
  </si>
  <si>
    <t>TZAAO26826HO4U0</t>
  </si>
  <si>
    <t>49c1e409-419c-43bf-9632-3ce3618e286</t>
  </si>
  <si>
    <t>14670102-de2d-4e5d-ac73-d3db040068a9</t>
  </si>
  <si>
    <t>R90RTGO262670321</t>
  </si>
  <si>
    <t>35a26235-8956-4b44-8705-15445b93643a</t>
  </si>
  <si>
    <t>R90RTGO262670320</t>
  </si>
  <si>
    <t>67fc1241-eba5-48e9-b6bc-2d5f4370c8e0</t>
  </si>
  <si>
    <t>TZAAO26826H8P9B</t>
  </si>
  <si>
    <t>F/TZA/DRT/AAO/20260925/00038363736</t>
  </si>
  <si>
    <t>f3642949-0631-436f-9126-3ca9991a4090</t>
  </si>
  <si>
    <t>TZAAO26826HBD1F</t>
  </si>
  <si>
    <t>fa2f1ecc-d3c9-44ba-bb16-2d23df2d3d3</t>
  </si>
  <si>
    <t>dcc82d60-c458-4758-b72c-a4b522258c41</t>
  </si>
  <si>
    <t>TZ1OL260925025JZ</t>
  </si>
  <si>
    <t>PISOTTTZ01A11572</t>
  </si>
  <si>
    <t>eed17ecf-f0b6-4e5b-9e06-d9c71552ce96</t>
  </si>
  <si>
    <t>FT2626846T15</t>
  </si>
  <si>
    <t>59a8a26f-13fa-4826-b042-b7ac3e0e0e1a</t>
  </si>
  <si>
    <t>FT262684LWFG</t>
  </si>
  <si>
    <t>815f3aa2-3c62-4856-928d-62f4a0e418ea</t>
  </si>
  <si>
    <t>R90RTGO262670326</t>
  </si>
  <si>
    <t>72da156b-fb98-4a4f-9242-d35b0b8d9109</t>
  </si>
  <si>
    <t>TZAAO26826HYZ49</t>
  </si>
  <si>
    <t>206e5ab5-621f-43b7-8036-393723eafda</t>
  </si>
  <si>
    <t>a7f14019-976f-4424-9298-bada115be14c</t>
  </si>
  <si>
    <t>4CTZ000262689BVD</t>
  </si>
  <si>
    <t>CTZ000262689BVD</t>
  </si>
  <si>
    <t>f1fcd864-33bc-4251-ade2-d1e6857084bb</t>
  </si>
  <si>
    <t>TZAAO26826HVJMU</t>
  </si>
  <si>
    <t>f3ef3882-4ae8-46d1-82e5-4c261bc595f</t>
  </si>
  <si>
    <t>bef00e3b-c12d-4d0b-a2fa-4dd9d92db634</t>
  </si>
  <si>
    <t>P260925C00003485</t>
  </si>
  <si>
    <t>32440e4d-8589-4527-9185-5e79add3de90</t>
  </si>
  <si>
    <t>P260925C00003481</t>
  </si>
  <si>
    <t>16615eb8-be60-4047-83bc-7508a2f3e36d</t>
  </si>
  <si>
    <t>TZAAO26826HE036</t>
  </si>
  <si>
    <t>39e8d40e-e3ac-4e38-b83c-7b617410933</t>
  </si>
  <si>
    <t>75863cd3-3855-4c5d-840b-9bf0ce90c37e</t>
  </si>
  <si>
    <t>260925001484276</t>
  </si>
  <si>
    <t>8741be30-9440-4b66-b9e7-14a491bced13</t>
  </si>
  <si>
    <t>260925001484277</t>
  </si>
  <si>
    <t>8e8b56bd-0184-49c2-b8f3-c8157cb0e9b2</t>
  </si>
  <si>
    <t>TZ1OL260926025FK</t>
  </si>
  <si>
    <t>EFT 2000028488</t>
  </si>
  <si>
    <t>be96037d-c45b-4c65-8bef-357be0a8e907</t>
  </si>
  <si>
    <t>260926TA040149</t>
  </si>
  <si>
    <t>TZAAO26926HYXS5</t>
  </si>
  <si>
    <t>F/TZA/DRT/AAO/20260926/00038414059</t>
  </si>
  <si>
    <t>f447e6e5-4b41-46e9-91f3-5fbc5639bc1b</t>
  </si>
  <si>
    <t>GEPGTR-7191224</t>
  </si>
  <si>
    <t>d7c5796d-0b2b-41d8-ab62-7a044c546f65</t>
  </si>
  <si>
    <t>GEPGTR-7191223</t>
  </si>
  <si>
    <t>cb1af86e-9cca-4198-a92b-fd07468b70fa</t>
  </si>
  <si>
    <t>TZAAO26926HX6ID</t>
  </si>
  <si>
    <t>89c6cf4a-9787-43b5-805a-4199f17b20b</t>
  </si>
  <si>
    <t>4dcd6315-6400-494b-9e62-617fd4f7ec38</t>
  </si>
  <si>
    <t>2626014029068000</t>
  </si>
  <si>
    <t>4a26dc52-98ab-482d-af32-a65d09980c7d</t>
  </si>
  <si>
    <t>NMIBTZTZ GTBITZTZXXX</t>
  </si>
  <si>
    <t>TZ1OL260926025FH</t>
  </si>
  <si>
    <t>EFT 2000028487</t>
  </si>
  <si>
    <t>9a6309be-4f4a-43f3-8437-6ff3bc5e9023</t>
  </si>
  <si>
    <t>CMRTG26269000636</t>
  </si>
  <si>
    <t>943077cc-1412-46c4-a8ab-1485047fa3a7</t>
  </si>
  <si>
    <t>P260928C00000917</t>
  </si>
  <si>
    <t>bdd4a68d-fe66-4829-8c18-9dd9f1abc9ea</t>
  </si>
  <si>
    <t>101jos6262670001</t>
  </si>
  <si>
    <t>P260917C00001937</t>
  </si>
  <si>
    <t>9e27b0cf-61ca-4f04-883f-663ccef32cb6</t>
  </si>
  <si>
    <t>OT26269TZ0135500</t>
  </si>
  <si>
    <t>7f60b133-fac8-4d6d-b1a0-8f2c95e5c0de</t>
  </si>
  <si>
    <t>TZAAO27126HXKYE</t>
  </si>
  <si>
    <t>286a70d5-6c75-4f01-bde1-71cf55cc14f</t>
  </si>
  <si>
    <t>a9129da2-2729-4ee6-b2ba-40f02ac8d053</t>
  </si>
  <si>
    <t>OT26269TZ0135498</t>
  </si>
  <si>
    <t>32d16ee5-3466-441a-845d-955487357252</t>
  </si>
  <si>
    <t>OT26269TZ0135505</t>
  </si>
  <si>
    <t>02540c45-6e4a-46d9-857d-e4d780da3033</t>
  </si>
  <si>
    <t>OT26269TZ0135493</t>
  </si>
  <si>
    <t>edc874e8-799f-4f84-9287-932b12dcdaef</t>
  </si>
  <si>
    <t>P260928C00000825</t>
  </si>
  <si>
    <t>a48ade65-b6f8-4a08-9748-54c44660dea5</t>
  </si>
  <si>
    <t>311LIUF262160509</t>
  </si>
  <si>
    <t>5143624f-ebc5-4de1-babf-0e55ef5f4fdb</t>
  </si>
  <si>
    <t>OT26271TZ0135727</t>
  </si>
  <si>
    <t>4bb1e1d2-6379-41bb-be0b-d8e2474367e8</t>
  </si>
  <si>
    <t>TZAAO27126H04OJ</t>
  </si>
  <si>
    <t>7467e7a7-f3e5-41da-81a1-31466248320</t>
  </si>
  <si>
    <t>c093ff96-bbe2-495a-bfe3-dbfefc75f9bd</t>
  </si>
  <si>
    <t>TZAAO27126HKLYF</t>
  </si>
  <si>
    <t>33b21b48-0498-4a30-812a-b65b1167258</t>
  </si>
  <si>
    <t>9c3aab4f-97ed-45d8-9d20-e73be8f08210</t>
  </si>
  <si>
    <t>S603806</t>
  </si>
  <si>
    <t>c642c431-568a-427f-a86f-2c2621f0e87c</t>
  </si>
  <si>
    <t>000008444601</t>
  </si>
  <si>
    <t>e8e1028d-a65a-426e-8822-19901baf8525</t>
  </si>
  <si>
    <t>OT26269TZ0135499</t>
  </si>
  <si>
    <t>12bd712a-a45d-42df-9b9f-11656e673f3c</t>
  </si>
  <si>
    <t>OT26269TZ0135504</t>
  </si>
  <si>
    <t>186aa514-f414-41ab-8095-8384c2cd1db3</t>
  </si>
  <si>
    <t>OT26269TZ0135488</t>
  </si>
  <si>
    <t>9126e948-3682-41f2-b82d-10a49836d1bf</t>
  </si>
  <si>
    <t>201LC02262100001</t>
  </si>
  <si>
    <t>9cba856b-44e3-4e8f-b549-f8fd10c56122</t>
  </si>
  <si>
    <t>OT26269TZ0135492</t>
  </si>
  <si>
    <t>f466563d-1bf9-47e1-a176-9c037c62d0ef</t>
  </si>
  <si>
    <t>TZ1OL260928025OF</t>
  </si>
  <si>
    <t>991330196420</t>
  </si>
  <si>
    <t>9115e127-a618-49fb-bd7a-7e6b24f6e67e</t>
  </si>
  <si>
    <t>OT26269TZ0135482</t>
  </si>
  <si>
    <t>7c455a8e-5c60-4d86-8ea6-10b7cf175557</t>
  </si>
  <si>
    <t>OT26269TZ0135485</t>
  </si>
  <si>
    <t>b1e5653d-c029-48ec-8086-b7996bc9c643</t>
  </si>
  <si>
    <t>OT26269TZ0135524</t>
  </si>
  <si>
    <t>9e2ef465-7827-4679-8946-9cff0e01c1e7</t>
  </si>
  <si>
    <t>OT26269TZ0135489</t>
  </si>
  <si>
    <t>400eedd6-fd56-4d3f-931b-dd1b0ef627cf</t>
  </si>
  <si>
    <t>311LIUF262160510</t>
  </si>
  <si>
    <t>7dbd2af5-54c2-4595-881c-b694e4b0606c</t>
  </si>
  <si>
    <t>OT26271TZ0135851</t>
  </si>
  <si>
    <t>7e6e2a2f-7996-44c1-be89-34b7036fc9dc</t>
  </si>
  <si>
    <t>TZAAO27126HOPBK</t>
  </si>
  <si>
    <t>870d5428-742f-4e5a-b903-b0bdeb138e1</t>
  </si>
  <si>
    <t>bb834239-b529-4091-9b5f-8d5e496a0887</t>
  </si>
  <si>
    <t>OT26269TZ0135506</t>
  </si>
  <si>
    <t>204adbf4-bf70-4824-8099-fb18002c1124</t>
  </si>
  <si>
    <t>GEPGTR-7191232</t>
  </si>
  <si>
    <t>7f18d4e4-404f-45bf-8944-eefb790ea5aa</t>
  </si>
  <si>
    <t>P260928C00002811</t>
  </si>
  <si>
    <t>4cae87df-0724-4418-8940-12ed96f206b0</t>
  </si>
  <si>
    <t>1081989</t>
  </si>
  <si>
    <t>9a863ade-00de-4250-bb9e-690ed34de3b4</t>
  </si>
  <si>
    <t>TZAAO27126HA1S8</t>
  </si>
  <si>
    <t>70db43cf-8eda-4730-9c8b-aff7569074f</t>
  </si>
  <si>
    <t>58cabccb-a0a5-4628-8ee5-e39d84a93eb1</t>
  </si>
  <si>
    <t>311LIUF262160002</t>
  </si>
  <si>
    <t>3208cd6e-1fd1-45a3-be52-7db71ff5ff42</t>
  </si>
  <si>
    <t>ECOCTZTZECOBANKTT</t>
  </si>
  <si>
    <t>fc8b491d-ecc8-47f7-aed9-4b0309a90109</t>
  </si>
  <si>
    <t>OT26266TZ0134320</t>
  </si>
  <si>
    <t>857fca3e-9a4f-41bc-8975-60e50d3300ed</t>
  </si>
  <si>
    <t>OT26266TZ0134321</t>
  </si>
  <si>
    <t>f290c0dd-a803-46ad-b4e4-b91ef3a9f652</t>
  </si>
  <si>
    <t>OT26269TZ0135495</t>
  </si>
  <si>
    <t>c45a0de2-44ec-4379-a6fe-9c8174f4c10d</t>
  </si>
  <si>
    <t>OT26269TZ0135501</t>
  </si>
  <si>
    <t>3810ca9c-8052-4489-9d71-963380838433</t>
  </si>
  <si>
    <t>OT26269TZ0135486</t>
  </si>
  <si>
    <t>17314899-5f4d-4e18-b47c-3e29f118017c</t>
  </si>
  <si>
    <t>311LIUF262160501</t>
  </si>
  <si>
    <t>ab668365-0bef-4e16-bb37-77e373ecb4c2</t>
  </si>
  <si>
    <t>P260928C00002827</t>
  </si>
  <si>
    <t>aeef0beb-61c3-439c-8c37-be4fa582875b</t>
  </si>
  <si>
    <t>260928T000599205</t>
  </si>
  <si>
    <t>52273ba3-2ccc-48bb-be6c-f7102de5a1bf</t>
  </si>
  <si>
    <t>OT26269TZ0135496</t>
  </si>
  <si>
    <t>715b39aa-b3e2-4aee-9188-1398af84ff7b</t>
  </si>
  <si>
    <t>311LIUF262160003</t>
  </si>
  <si>
    <t>941c24e2-34ad-42a6-ae57-0d1332bfc288</t>
  </si>
  <si>
    <t>OT26269TZ0135480</t>
  </si>
  <si>
    <t>1ca1863a-c505-4262-813d-b5d71f94bfbf</t>
  </si>
  <si>
    <t>OT26269TZ0135491</t>
  </si>
  <si>
    <t>81c1d637-54fe-4d95-ab70-ed6b0ad5c88b</t>
  </si>
  <si>
    <t>OT26269TZ0135497</t>
  </si>
  <si>
    <t>343daaf9-ab36-464d-aa23-6d2ff2f520bd</t>
  </si>
  <si>
    <t>OT26269TZ0135523</t>
  </si>
  <si>
    <t>fc9873d8-b9f5-4baa-92e8-9ac449335254</t>
  </si>
  <si>
    <t>OT26266TZ0134322</t>
  </si>
  <si>
    <t>f69e56dd-4144-4e30-9a9b-6aa55d1e43ed</t>
  </si>
  <si>
    <t>1081984</t>
  </si>
  <si>
    <t>bde6e3b7-0256-4c9c-8082-80b45e1c1f80</t>
  </si>
  <si>
    <t>OT26269TZ0135502</t>
  </si>
  <si>
    <t>a8b15e6b-e98a-461e-94d5-4f7e5871690a</t>
  </si>
  <si>
    <t>OT26271TZ0135572</t>
  </si>
  <si>
    <t>23e9ee57-aa81-40d8-8ee7-230aa11ba370</t>
  </si>
  <si>
    <t>FT262711S69Q</t>
  </si>
  <si>
    <t>f4504703-f11c-40d6-98b4-04e3917a384c</t>
  </si>
  <si>
    <t>OT26269TZ0135487</t>
  </si>
  <si>
    <t>990832d8-fc4e-4ff3-8d6c-e81f0f95dcb4</t>
  </si>
  <si>
    <t>311LC04262110002</t>
  </si>
  <si>
    <t>7a282501-5e32-441e-a417-14f7f651f5f1</t>
  </si>
  <si>
    <t>OT26269TZ0135490</t>
  </si>
  <si>
    <t>bc910620-eeaf-433e-b538-dc7d2e352a89</t>
  </si>
  <si>
    <t>DTB/1741/2026</t>
  </si>
  <si>
    <t>c44593d2-5248-47c8-82c4-83a97271508b</t>
  </si>
  <si>
    <t>260925T000598513</t>
  </si>
  <si>
    <t>NMBUSDHB.4/295/04/F1574</t>
  </si>
  <si>
    <t>5c852d83-abed-4ec6-8e06-2a0110ac615e</t>
  </si>
  <si>
    <t>OT26269TZ0135483</t>
  </si>
  <si>
    <t>6d8065e4-f1f4-4554-935e-2d66a7ea8d47</t>
  </si>
  <si>
    <t>OT26266TZ0134313</t>
  </si>
  <si>
    <t>723e82f7-5ae0-4bd2-a61d-010caa662c95</t>
  </si>
  <si>
    <t>TZAAO27226HN4TL</t>
  </si>
  <si>
    <t>ca2d2925-e147-4941-a677-cb2ae67dce5</t>
  </si>
  <si>
    <t>5ef723a3-b3c0-4b89-a3e4-9bf11a54002f</t>
  </si>
  <si>
    <t>MBT0000000125030</t>
  </si>
  <si>
    <t>NON REF</t>
  </si>
  <si>
    <t>60cba586-1ddf-482a-a950-74eedb587fc0</t>
  </si>
  <si>
    <t>OT26272TZ0136263</t>
  </si>
  <si>
    <t>ffc42854-038b-48a2-8c52-d1262c88ac11</t>
  </si>
  <si>
    <t>OT26272TZ0136114</t>
  </si>
  <si>
    <t>903a6c13-fc17-44c0-a275-828275e76326</t>
  </si>
  <si>
    <t>TZAAO27226HAS9Q</t>
  </si>
  <si>
    <t>3b838576-a14b-4988-b4bf-6ccb769e79f</t>
  </si>
  <si>
    <t>46f3e88a-6934-4400-a0d8-87b7a22f0e8f</t>
  </si>
  <si>
    <t>ECOCTZTZAFRIG</t>
  </si>
  <si>
    <t>2809F540FED8</t>
  </si>
  <si>
    <t>9a62b79f-23c4-4cad-be3a-eee54e701ada</t>
  </si>
  <si>
    <t>P260929C00001355</t>
  </si>
  <si>
    <t>a6775407-4b29-43c2-af8b-b73a80a00695</t>
  </si>
  <si>
    <t>CMRTG26272003553</t>
  </si>
  <si>
    <t>0d6cbd02-b904-4fa1-9a5f-5df62a5aac56</t>
  </si>
  <si>
    <t>2012171</t>
  </si>
  <si>
    <t>3f2d9e6a-20fb-443e-84d7-418878ecd2ac</t>
  </si>
  <si>
    <t>TZAAO27226HRU41</t>
  </si>
  <si>
    <t>88bbdc80-a594-443b-ab8c-75f2f43514f</t>
  </si>
  <si>
    <t>a509970f-fea7-4c12-8ab2-ad78f8b202f4</t>
  </si>
  <si>
    <t>GEPGTR-7191296</t>
  </si>
  <si>
    <t>c991bbf3-e3d8-4e71-933d-5fc84bf1742d</t>
  </si>
  <si>
    <t>TZAAO27226H26B7</t>
  </si>
  <si>
    <t>d6f3eea7-2540-4375-b278-5e7b4e14802</t>
  </si>
  <si>
    <t>32969f3b-b215-4ff6-8925-2fc07cf46f5e</t>
  </si>
  <si>
    <t>GEPGTR-7191294</t>
  </si>
  <si>
    <t>e379fe69-8774-4d68-8556-a13f6857f0c3</t>
  </si>
  <si>
    <t>1082038</t>
  </si>
  <si>
    <t>175f53a2-6a3d-4803-8595-8426d3bdc0f1</t>
  </si>
  <si>
    <t>HZ1K3M4N4C49AA81</t>
  </si>
  <si>
    <t>18fbe8ad-24ae-4f98-bfd9-8d993b2c3c77</t>
  </si>
  <si>
    <t>TZAAO27226HPVE7</t>
  </si>
  <si>
    <t>9d9f45d9-2e03-47ae-b8a3-b001dee0dcc</t>
  </si>
  <si>
    <t>c96ae968-a47f-43e7-9976-1d6b65002e0a</t>
  </si>
  <si>
    <t>TZAAO27226H43VH</t>
  </si>
  <si>
    <t>99ee9422-da9e-45f0-9460-7767314ebc0</t>
  </si>
  <si>
    <t>554c2edb-b9b5-41d5-aaf2-742266823ff5</t>
  </si>
  <si>
    <t>CHEQUE/USD/28SEP2028</t>
  </si>
  <si>
    <t>OT26272TZ0135896</t>
  </si>
  <si>
    <t>e21f26a9-c511-446c-9c4e-eb2d4a0d1623</t>
  </si>
  <si>
    <t>GEPGTR-7191293</t>
  </si>
  <si>
    <t>674a646a-2642-4cfe-a78c-4308ce04c37c</t>
  </si>
  <si>
    <t>TISS/RTN/26/1362</t>
  </si>
  <si>
    <t>88f4cc52-11f5-42e0-ad4d-3459a5844689</t>
  </si>
  <si>
    <t>P260929C00000909</t>
  </si>
  <si>
    <t>5530379d-e9cd-4fd5-8f17-585b801014a2</t>
  </si>
  <si>
    <t>OT26272TZ0136308</t>
  </si>
  <si>
    <t>bdce780c-c0bf-4ba7-8596-9964a89e05e9</t>
  </si>
  <si>
    <t>P260929C00003267</t>
  </si>
  <si>
    <t>8a2ae322-17c5-4475-92bf-44c01e1d8ea8</t>
  </si>
  <si>
    <t>GEPGTR-7191264</t>
  </si>
  <si>
    <t>1483c872-ba70-4957-b57f-eeff9bd22095</t>
  </si>
  <si>
    <t>TISS/RTN/26/1361</t>
  </si>
  <si>
    <t>e3f43fab-7e05-47f5-bb08-f95253277ce4</t>
  </si>
  <si>
    <t>P260929C00003525</t>
  </si>
  <si>
    <t>29097926B31C</t>
  </si>
  <si>
    <t>b1961d16-95b2-4b42-a193-f12cce8b43b6</t>
  </si>
  <si>
    <t>DTB/1754/2026</t>
  </si>
  <si>
    <t>GWX103507120179</t>
  </si>
  <si>
    <t>a2a54403-6a02-43ce-a524-0ccb49aaffae</t>
  </si>
  <si>
    <t>P260929C00000917</t>
  </si>
  <si>
    <t>06aeabb6-0367-47db-a1cd-2096fe05536f</t>
  </si>
  <si>
    <t>TISS/RTN/26/1360</t>
  </si>
  <si>
    <t>42c40182-c67a-4471-a1fe-c18ecf513bc2</t>
  </si>
  <si>
    <t>HZ1JVNUJ6M1439D9</t>
  </si>
  <si>
    <t>db82c7a8-4869-4cb1-8871-9f9dff31494a</t>
  </si>
  <si>
    <t>P260929C00003239</t>
  </si>
  <si>
    <t>2757ac95-9969-43f8-97c5-0f20e828d25a</t>
  </si>
  <si>
    <t>RTN 687 USD</t>
  </si>
  <si>
    <t>050895B8E49F</t>
  </si>
  <si>
    <t>1b6fd985-3eb0-467b-a283-4ff0282f7ee8</t>
  </si>
  <si>
    <t>DTB/1757/2026</t>
  </si>
  <si>
    <t>2809BAC0118E</t>
  </si>
  <si>
    <t>f290639a-1b61-4a8a-b4b0-87ec2b406bb7</t>
  </si>
  <si>
    <t>TZAAO27326HTEY7</t>
  </si>
  <si>
    <t>F/TZA/DRT/AAO/20260930/00038550064</t>
  </si>
  <si>
    <t>d0859eb3-13fa-49eb-b209-1d5cb3524321</t>
  </si>
  <si>
    <t>be4b6569-ddd4-49e0-ad48-31eaa0709cb7</t>
  </si>
  <si>
    <t>TZAAO27326HXFJZ</t>
  </si>
  <si>
    <t>F/TZA/DRT/AAO/20260930/00038550065</t>
  </si>
  <si>
    <t>e98cc253-d487-4d54-a34c-1b67def9e7fc</t>
  </si>
  <si>
    <t>023COUS300926011</t>
  </si>
  <si>
    <t>0ba5bef4-804f-4828-bf1c-afffda9d6493</t>
  </si>
  <si>
    <t>TZAAO27326HDFOI</t>
  </si>
  <si>
    <t>F/TZA/DRT/AAO/20260930/00038583984</t>
  </si>
  <si>
    <t>a6ef46ba-fe0e-42d4-844b-5cd301fae787</t>
  </si>
  <si>
    <t>OT26273TZ0136709</t>
  </si>
  <si>
    <t>5923e73c-93a6-48ee-8c46-2ac92dbe6713</t>
  </si>
  <si>
    <t>TZ1RTGF262730246</t>
  </si>
  <si>
    <t>0aa33d31-45f3-4997-a41a-7c958194c747</t>
  </si>
  <si>
    <t>2012187</t>
  </si>
  <si>
    <t>205c5c72-cba7-4c79-a4ad-47f9dc18d223</t>
  </si>
  <si>
    <t>FT262732TC5C</t>
  </si>
  <si>
    <t>6bdcf15b-48b4-4ea4-9aaa-2af018186fe8</t>
  </si>
  <si>
    <t>001FTOL262730920</t>
  </si>
  <si>
    <t>400a416f-51dc-4fe8-894b-a5028a7bfa85</t>
  </si>
  <si>
    <t>P260930C00000291</t>
  </si>
  <si>
    <t>05934ef5-d8ce-41cb-a708-611aae28c37e</t>
  </si>
  <si>
    <t>R90RTGO262730261</t>
  </si>
  <si>
    <t>efd28e8c-cc1a-4354-866f-0ae93fb832da</t>
  </si>
  <si>
    <t>P260930C00003215</t>
  </si>
  <si>
    <t>6bd1ef07-86d2-41af-a12e-5422a6d344dc</t>
  </si>
  <si>
    <t>OT26273TZ0136380</t>
  </si>
  <si>
    <t>24dec2ad-5dfd-449a-a57f-26577fed3fe3</t>
  </si>
  <si>
    <t>T0130092698989</t>
  </si>
  <si>
    <t>33f8ab03-b264-45f3-840b-033240738c1f</t>
  </si>
  <si>
    <t>P260930C00000831</t>
  </si>
  <si>
    <t>d733a405-352b-491d-b0e4-42475fa0d306</t>
  </si>
  <si>
    <t>OT26273TZ0136711</t>
  </si>
  <si>
    <t>f4bd3727-c049-4f72-9e91-875271e6563d</t>
  </si>
  <si>
    <t>OT26273TZ0136708</t>
  </si>
  <si>
    <t>37e02964-553d-4aa2-898c-e7af4094eca2</t>
  </si>
  <si>
    <t>OT26273TZ0136406</t>
  </si>
  <si>
    <t>2bff02e7-929c-4b38-b728-6619bec6c163</t>
  </si>
  <si>
    <t>R90RTGO262730256</t>
  </si>
  <si>
    <t>2de9eeb7-4a14-47d0-9e32-1cb474be11e5</t>
  </si>
  <si>
    <t>260930TA040189</t>
  </si>
  <si>
    <t>TZAAO27326HGI8G</t>
  </si>
  <si>
    <t>F/TZA/DRT/AAO/20260930/00038583988</t>
  </si>
  <si>
    <t>f18d4dc7-fd85-4c0b-a826-d706a5d24bc9</t>
  </si>
  <si>
    <t>TZAAO27326HHLDI</t>
  </si>
  <si>
    <t>7fc14941-2ffd-438e-b2c8-a1c6927f3b7</t>
  </si>
  <si>
    <t>da97bbae-8e5d-4984-b3e4-3029f22022f9</t>
  </si>
  <si>
    <t>FT262739LYRP</t>
  </si>
  <si>
    <t>c6abd22b-3a01-4871-b41e-0ac680b29464</t>
  </si>
  <si>
    <t>009GEPL262730501</t>
  </si>
  <si>
    <t>efaaf2b3-3547-4641-9760-391c7b148570</t>
  </si>
  <si>
    <t>P260930C00000927</t>
  </si>
  <si>
    <t>c99ad46d-009c-4f28-a37b-d05c9552b980</t>
  </si>
  <si>
    <t>R90RTGO262730029</t>
  </si>
  <si>
    <t>3edeedd6-3e3f-46a7-9732-b3eb57a1730f</t>
  </si>
  <si>
    <t>009GEPL262730502</t>
  </si>
  <si>
    <t>efaaf2b3-3547-4641-b760-391c7b14bdd5</t>
  </si>
  <si>
    <t>FT26273RNCYC</t>
  </si>
  <si>
    <t>5ee5624e-ce20-4a5c-ab68-6086c5a7f08b</t>
  </si>
  <si>
    <t>TZAAO27326HBKBG</t>
  </si>
  <si>
    <t>a7b0ad33-1251-4178-86d1-3cda84aba37</t>
  </si>
  <si>
    <t>bcc33f06-6b9b-48d2-95dc-c2406696b149</t>
  </si>
  <si>
    <t>2012189</t>
  </si>
  <si>
    <t>4027ccb9-436b-4553-889b-2bfba02e5889</t>
  </si>
  <si>
    <t>OT26273TZ0136710</t>
  </si>
  <si>
    <t>c4e386a4-8647-44ad-920e-88e32cd949a2</t>
  </si>
  <si>
    <t>R90RTGO262730260</t>
  </si>
  <si>
    <t>b08b5a18-232d-485c-a211-63e13b948d27</t>
  </si>
  <si>
    <t>TZRTG-26-003126</t>
  </si>
  <si>
    <t>991099459241</t>
  </si>
  <si>
    <t>8108584f-d3c3-40ff-a04e-137840809ef9</t>
  </si>
  <si>
    <t>OT26274TZ0137033</t>
  </si>
  <si>
    <t>2e9a5494-5011-4322-8889-e0b58613cd31</t>
  </si>
  <si>
    <t>CMRTG26274001092</t>
  </si>
  <si>
    <t>b8df079f-1d19-463e-878b-f400b88fdc1b</t>
  </si>
  <si>
    <t>OT26274TZ0136826</t>
  </si>
  <si>
    <t>a38f336f-bec5-4fcd-89d6-1c9f5fa47487</t>
  </si>
  <si>
    <t>P261001C00000667</t>
  </si>
  <si>
    <t>6e7098cb-b8f4-4910-946f-bd81903e7be8</t>
  </si>
  <si>
    <t>a3a80965-a840-401f-a67a-8d54271c768e</t>
  </si>
  <si>
    <t>CMRTG26274003101</t>
  </si>
  <si>
    <t>7b47cd04-e272-40a8-b5b1-f34a2e0ab396</t>
  </si>
  <si>
    <t>P261001C00002851</t>
  </si>
  <si>
    <t>8bda8f28-30b7-4142-91a2-f07945d9c54c</t>
  </si>
  <si>
    <t>OT26274TZ0136817</t>
  </si>
  <si>
    <t>47fa0843-c802-4e76-9165-cea84d69a50d</t>
  </si>
  <si>
    <t>OT26274TZ0136933</t>
  </si>
  <si>
    <t>24e43c3b-9597-43d0-bda0-80b0833da429</t>
  </si>
  <si>
    <t>261001TA040205</t>
  </si>
  <si>
    <t>4CTZ00026273CZ8B</t>
  </si>
  <si>
    <t>CTZ00026273CZ8B</t>
  </si>
  <si>
    <t>12c788a3-81f8-4ead-a403-341bd54aa9b9</t>
  </si>
  <si>
    <t>S621564</t>
  </si>
  <si>
    <t>4ae0ec8b-1cf5-43c3-8dbf-06797302829c</t>
  </si>
  <si>
    <t>GEPGTR-7191345</t>
  </si>
  <si>
    <t>29d13193-2b13-4323-9bd1-76908f98e7d1</t>
  </si>
  <si>
    <t>R90RTGO262740011</t>
  </si>
  <si>
    <t>e6b1341e-995a-45f1-bc44-990ad9bac0ac</t>
  </si>
  <si>
    <t>S621563</t>
  </si>
  <si>
    <t>b4a59d01-2a56-4089-8691-354c03c651e0</t>
  </si>
  <si>
    <t>OT26274TZ0136816</t>
  </si>
  <si>
    <t>ee76488f-6d56-4a4a-b418-de918a9b43ba</t>
  </si>
  <si>
    <t>1082036</t>
  </si>
  <si>
    <t>e84e06f0-853c-444c-897c-e18fd065e8d2</t>
  </si>
  <si>
    <t>FT2627469CW6</t>
  </si>
  <si>
    <t>8d71a36b-f6d8-426a-8729-55f68f93cadb</t>
  </si>
  <si>
    <t>CMRTG26274001065</t>
  </si>
  <si>
    <t>b45229e6-44fc-4eab-8cde-e6a5dfe90da1</t>
  </si>
  <si>
    <t>OT26274TZ0136818</t>
  </si>
  <si>
    <t>d291afee-539f-4911-9b63-0805bfce7236</t>
  </si>
  <si>
    <t>TZ1RTGF262740631</t>
  </si>
  <si>
    <t>168b5d73-c3e7-4c4f-9d6a-5f212b34d5c7</t>
  </si>
  <si>
    <t>TZAAO27426H8638</t>
  </si>
  <si>
    <t>bc6ad93b-4766-4c43-9e0e-67631dddaf1</t>
  </si>
  <si>
    <t>c356cf48-d2f8-4bea-b1d9-b3a30bf6e4ed</t>
  </si>
  <si>
    <t>3dc17111-5473-4407-9626-da30ff1ed87b</t>
  </si>
  <si>
    <t>TZRTG-26-003127</t>
  </si>
  <si>
    <t>991099459250</t>
  </si>
  <si>
    <t>f714968b-eb68-481b-bb05-7f2b98c7d118</t>
  </si>
  <si>
    <t>OT26274TZ0137108</t>
  </si>
  <si>
    <t>a2e2754c-f2c9-487e-9aa0-1cd8f451861e</t>
  </si>
  <si>
    <t>TZ1RTGF262740630</t>
  </si>
  <si>
    <t>1bd32fb0-e3ab-4abc-b906-5ea4078ddb99</t>
  </si>
  <si>
    <t>OT26274TZ0136934</t>
  </si>
  <si>
    <t>5ec4d1d7-1b2d-48d0-8e0a-09b79b65a7e7</t>
  </si>
  <si>
    <t>OT26274TZ0136784</t>
  </si>
  <si>
    <t>205bb933-992c-4b8c-8042-948362c8da98</t>
  </si>
  <si>
    <t>S621562</t>
  </si>
  <si>
    <t>9a38e937-88b4-4406-ba45-9af237ec0f85</t>
  </si>
  <si>
    <t>OT26274TZ0137021</t>
  </si>
  <si>
    <t>6640efd7-4f51-4a05-a569-4844420ebfb7</t>
  </si>
  <si>
    <t>CMRTG26274001248</t>
  </si>
  <si>
    <t>daacb78a-3d65-4c9b-93d0-1b7d529fc19a</t>
  </si>
  <si>
    <t>TZ1RTGF262740620</t>
  </si>
  <si>
    <t>d06e6de5-9028-40a7-96cd-f5119f83584e</t>
  </si>
  <si>
    <t>GEPGTR-7191367</t>
  </si>
  <si>
    <t>d074e2a9-fe2f-4cc8-be89-553ecd7a4bb3</t>
  </si>
  <si>
    <t>TZAAO27526HK3QM</t>
  </si>
  <si>
    <t>eb706f24-a080-4040-9be5-14d65d9bc43</t>
  </si>
  <si>
    <t>5295b8ae-1ba0-45b2-8b66-ba3c56a3e373</t>
  </si>
  <si>
    <t>1082080</t>
  </si>
  <si>
    <t>531598c7-d698-4973-9d7e-86b4c3ca36f0</t>
  </si>
  <si>
    <t>P261002C00001685</t>
  </si>
  <si>
    <t>60358cea-8934-4c17-9822-aa3a7bcc9218</t>
  </si>
  <si>
    <t>GEPGTR-7191378</t>
  </si>
  <si>
    <t>7919216b-deb1-4262-ad03-3cf348756972</t>
  </si>
  <si>
    <t>0f0cd875-647e-4580-bfb9-a671053b7a0c</t>
  </si>
  <si>
    <t>HZ1K3TS8IS6EF9DD</t>
  </si>
  <si>
    <t>71216295-4929-4e72-a189-8a917c495a4b</t>
  </si>
  <si>
    <t>TZAAO27526HM727</t>
  </si>
  <si>
    <t>22d8d098-ce28-4f31-aa0c-4f688565c15</t>
  </si>
  <si>
    <t>354d9689-d44f-494c-b508-3c49c92ca11f</t>
  </si>
  <si>
    <t>RTOMICC01100188</t>
  </si>
  <si>
    <t>7dc9db18-3576-4cf5-87da-c7244f33de4f</t>
  </si>
  <si>
    <t>OT26275TZ0137481</t>
  </si>
  <si>
    <t>4f6e16ce-cdfa-4982-999e-d88a1431d116</t>
  </si>
  <si>
    <t>TZAAO27526H1HPE</t>
  </si>
  <si>
    <t>0a66171a-423c-49a9-acee-e954e09562d</t>
  </si>
  <si>
    <t>e5b09b81-c7a3-4ecf-9365-45a4887fae88</t>
  </si>
  <si>
    <t>GEPGTR-7191360</t>
  </si>
  <si>
    <t>d119038f-b600-4e9b-b72a-0328c87ca8d0</t>
  </si>
  <si>
    <t>TZAAO27526HITW4</t>
  </si>
  <si>
    <t>40c91e84-da41-43c2-b8b6-dfccc6fcfd4</t>
  </si>
  <si>
    <t>686ab534-d9b9-477d-9809-8940214bd8bd</t>
  </si>
  <si>
    <t>OT26275TZ0137382</t>
  </si>
  <si>
    <t>9bbffeee-cef1-491b-bae0-ae52acd94341</t>
  </si>
  <si>
    <t>TZAAO27526H7974</t>
  </si>
  <si>
    <t>a56c7ff5-2c25-4971-82c3-4c5941001bb</t>
  </si>
  <si>
    <t>d34907ff-85d6-476e-9e76-bc8890d782bc</t>
  </si>
  <si>
    <t>TZAAO27526HHQHR</t>
  </si>
  <si>
    <t>22d696d5-29ba-4120-a58f-541c27275db</t>
  </si>
  <si>
    <t>eca3fa65-3a36-4f3b-a356-0f8c119ba5d8</t>
  </si>
  <si>
    <t>OT26275TZ0137483</t>
  </si>
  <si>
    <t>9366f181-12bd-44a8-84d5-5cc86a1d0b04</t>
  </si>
  <si>
    <t>OT26275TZ0137146</t>
  </si>
  <si>
    <t>07a4a5c9-2463-488a-92da-6693be7099ec</t>
  </si>
  <si>
    <t>CMRTG26275000493</t>
  </si>
  <si>
    <t>e51fb79b-354e-413c-9384-8aa8f3bc4012</t>
  </si>
  <si>
    <t>TZAAO27526HI0PK</t>
  </si>
  <si>
    <t>11396ae3-cdb3-4e04-a0aa-901621c81f4</t>
  </si>
  <si>
    <t>534f690c-71f0-42f6-a5a8-5a5116851665</t>
  </si>
  <si>
    <t>OT26275TZ0137148</t>
  </si>
  <si>
    <t>99b3f396-fb2e-441c-be6b-ced35f8cd7ea</t>
  </si>
  <si>
    <t>R90RTGO262750108</t>
  </si>
  <si>
    <t>3beb0b79-6126-4a48-9766-c6013de64a43</t>
  </si>
  <si>
    <t>P261002C00001691</t>
  </si>
  <si>
    <t>11451029-ffa6-4c9b-87f4-1cdbd4c33ace</t>
  </si>
  <si>
    <t>OT26275TZ0137212</t>
  </si>
  <si>
    <t>61fa7262-1efb-41af-b009-ea6c550394e2</t>
  </si>
  <si>
    <t>000008456024</t>
  </si>
  <si>
    <t>fda305b7-57d5-4b53-8630-994dbb514ecf</t>
  </si>
  <si>
    <t>TZAAO27526HXN4A</t>
  </si>
  <si>
    <t>F/TZA/DRT/AAO/20261002/00038674986</t>
  </si>
  <si>
    <t>6ad146b6-e7de-42ff-aba3-9deefb37c3ee</t>
  </si>
  <si>
    <t>OT26275TZ0137149</t>
  </si>
  <si>
    <t>ea02fd77-6359-42ca-b954-66a11cbeba45</t>
  </si>
  <si>
    <t>FT26275SPDNH</t>
  </si>
  <si>
    <t>abaa05c9-1f7f-49de-8ed0-504154381601</t>
  </si>
  <si>
    <t>TZAAO27526HM2XJ</t>
  </si>
  <si>
    <t>df51b594-f6d3-4a13-bbe3-8793a15e6e4</t>
  </si>
  <si>
    <t>8ad19133-6804-402b-b61b-4c86e5c94984</t>
  </si>
  <si>
    <t>261002TA040219</t>
  </si>
  <si>
    <t>TZ1RTGF262751058</t>
  </si>
  <si>
    <t>6b3b5b56-9747-42d7-9ceb-601d65d43546</t>
  </si>
  <si>
    <t>P261002C00001781</t>
  </si>
  <si>
    <t>c28889bc-7822-46cb-8001-4d73203bbd08</t>
  </si>
  <si>
    <t>TZAAO27526HSQBG</t>
  </si>
  <si>
    <t>2719e28b-5e44-49d4-8cf5-d7f8382d66d</t>
  </si>
  <si>
    <t>b99fcca1-cfe7-457e-93a6-4e132a9986c7</t>
  </si>
  <si>
    <t>1082073</t>
  </si>
  <si>
    <t>83ab1926-13f5-42f8-a820-70e121f89e43</t>
  </si>
  <si>
    <t>OT26275TZ0137380</t>
  </si>
  <si>
    <t>cdc7dc17-4329-4c26-b9c1-65964ae26280</t>
  </si>
  <si>
    <t>OT26275TZ0137480</t>
  </si>
  <si>
    <t>ed2938d3-0bca-4e30-ad55-ab58d97de2a6</t>
  </si>
  <si>
    <t>TZAAO27526HS3B3</t>
  </si>
  <si>
    <t>F/TZA/DRT/AAO/20261002/00038661038</t>
  </si>
  <si>
    <t>7cb8d91e-2336-4037-b73c-3c919cdcba1d</t>
  </si>
  <si>
    <t>P261002C00001793</t>
  </si>
  <si>
    <t>9fd8b316-7f02-4dda-b05b-e22c644d8d79</t>
  </si>
  <si>
    <t>OT26275TZ0137147</t>
  </si>
  <si>
    <t>ec07fae6-8c2a-4020-8376-d6d29b16c552</t>
  </si>
  <si>
    <t>2026/10/03</t>
  </si>
  <si>
    <t>285IBT2610032344QVVJKU</t>
  </si>
  <si>
    <t>ce964292-5f2d-4a99-beb1-d7f8f7fddeb2</t>
  </si>
  <si>
    <t>OYS26276KCFFFKJC</t>
  </si>
  <si>
    <t>f4def588-0754-45f7-8be8-5e035495a035</t>
  </si>
  <si>
    <t>490IBT2610034351XY45KR</t>
  </si>
  <si>
    <t>ffacb453-0a31-4b55-88c1-00841faedf77</t>
  </si>
  <si>
    <t>CMRTG26276002635</t>
  </si>
  <si>
    <t>4b2c6a9f-b301-4fb5-9f53-11e65e1d7318</t>
  </si>
  <si>
    <t>TZAAO27626HN8GF</t>
  </si>
  <si>
    <t>59711464-8ba0-4355-a899-68bbc50f39b</t>
  </si>
  <si>
    <t>f8f40074-e1f6-4908-af93-88f153c6f40b</t>
  </si>
  <si>
    <t>CMRTG26276000068</t>
  </si>
  <si>
    <t>4edf18f3-693d-4ec8-809f-8b01596aabc2</t>
  </si>
  <si>
    <t>261003TA040233</t>
  </si>
  <si>
    <t>2026/10/04</t>
  </si>
  <si>
    <t>P261004C00000057</t>
  </si>
  <si>
    <t>79d3fe12-5507-4c47-9ca1-4525cac8e28b</t>
  </si>
  <si>
    <t>HZ1K45V908A388B2</t>
  </si>
  <si>
    <t>eb31d828-8407-4e2b-95f1-5641ec0daa7c</t>
  </si>
  <si>
    <t>S634798</t>
  </si>
  <si>
    <t>fc6885fc-c1b6-45f3-bf58-e4ae5ecc8285</t>
  </si>
  <si>
    <t>TZAAO27826HXQ4R</t>
  </si>
  <si>
    <t>cb8f8d90-3c59-4cf7-be39-3b0d754af15</t>
  </si>
  <si>
    <t>4ca61061-e0c6-4905-b730-3b625c8c2009</t>
  </si>
  <si>
    <t>P261005C00000319</t>
  </si>
  <si>
    <t>dbea1a50-f098-48cf-8838-4f7c7d072642</t>
  </si>
  <si>
    <t>P261005C00000315</t>
  </si>
  <si>
    <t>1fd5e683-21de-4417-a8c8-4d4a4a8c1bc8</t>
  </si>
  <si>
    <t>TZAAO27826H00MU</t>
  </si>
  <si>
    <t>394149d7-5c32-482e-bfc5-8aba47626f0</t>
  </si>
  <si>
    <t>0d5cd337-b3a5-444c-8662-3f40f676ae63</t>
  </si>
  <si>
    <t>P261005C00001339</t>
  </si>
  <si>
    <t>1e77aa19-340d-4ae4-ae1f-7b6baa035769</t>
  </si>
  <si>
    <t>P261005C00000583</t>
  </si>
  <si>
    <t>e9325a2c-3169-4974-882c-29ee5e00b323</t>
  </si>
  <si>
    <t>TZAAO27826H8MZZ</t>
  </si>
  <si>
    <t>F/TZA/DRT/AAO/20261005/00038723323</t>
  </si>
  <si>
    <t>987b7e2b-efb7-41f0-b62d-bd0d32086410</t>
  </si>
  <si>
    <t>TZ1RTGF262780254</t>
  </si>
  <si>
    <t>bc30d3ac-6d2c-4217-aa05-2f23dd9c1343</t>
  </si>
  <si>
    <t>P261005C00000321</t>
  </si>
  <si>
    <t>1e37d56d-0730-4115-ab50-33635ed7c84e</t>
  </si>
  <si>
    <t>OT26278TZ0137596</t>
  </si>
  <si>
    <t>fae57253-1aa6-46c2-ba8d-74cce50a7603</t>
  </si>
  <si>
    <t>261005TA040243</t>
  </si>
  <si>
    <t>P261005C00000329</t>
  </si>
  <si>
    <t>8cb23352-ad04-46b6-b5bf-6febbf5a0422</t>
  </si>
  <si>
    <t>TZAAO27826HKRDE</t>
  </si>
  <si>
    <t>F/TZA/DRT/AAO/20261005/00038723327</t>
  </si>
  <si>
    <t>6a51265f-3561-4f98-80e0-0e81c994bf24</t>
  </si>
  <si>
    <t>OT26278TZ0137775</t>
  </si>
  <si>
    <t>38f67b62-564d-4777-bc64-0d27f9583b06</t>
  </si>
  <si>
    <t>GEPGTR-7191387</t>
  </si>
  <si>
    <t>34b18073-a61b-42c0-a239-4a92874d47b5</t>
  </si>
  <si>
    <t>CMRTG26278002097</t>
  </si>
  <si>
    <t>678e8fa0-7184-4410-b70b-e28bd33edd47</t>
  </si>
  <si>
    <t>P261005C00000873</t>
  </si>
  <si>
    <t>051007705DA4</t>
  </si>
  <si>
    <t>91501408-7a52-433e-9649-3dfede079814</t>
  </si>
  <si>
    <t>P261005C00000325</t>
  </si>
  <si>
    <t>dcfa952d-c85b-4e0d-bcd6-4390713360c9</t>
  </si>
  <si>
    <t>DTB/1796/2026</t>
  </si>
  <si>
    <t>0210EBA52068</t>
  </si>
  <si>
    <t>cba0708e-f94c-4140-b4ba-c66ad0de9132</t>
  </si>
  <si>
    <t>TZAAO27826HZD8G</t>
  </si>
  <si>
    <t>20978a21-2394-44ef-be69-dee07a8f41e</t>
  </si>
  <si>
    <t>503bf1bd-9da7-4c25-92ed-2b2ff77e76f8</t>
  </si>
  <si>
    <t>R79RTGS262780002</t>
  </si>
  <si>
    <t>77090903-dd1f-4a6d-9e9b-3613b9ca93be</t>
  </si>
  <si>
    <t>TZAAO27826HNB54</t>
  </si>
  <si>
    <t>574f86f1-22a6-4d5f-8c1b-90455f25f31</t>
  </si>
  <si>
    <t>77a56cd2-6750-4cce-b08e-961a37f88100</t>
  </si>
  <si>
    <t>TZAAO27826HKIFE</t>
  </si>
  <si>
    <t>a57ca054-426e-43d5-8e05-e762cdc7c01</t>
  </si>
  <si>
    <t>0395b1dc-7ff2-49f9-b075-87be4c6918e9</t>
  </si>
  <si>
    <t>TZAAO27826HSGS5</t>
  </si>
  <si>
    <t>F/TZA/DRT/AAO/20261005/00038716958</t>
  </si>
  <si>
    <t>0210c57e-0c6d-4e66-925f-eb09b176d2f2</t>
  </si>
  <si>
    <t>P261005C00000841</t>
  </si>
  <si>
    <t>11524aa1-a9e5-43d9-a2b8-03d87bfc30b7</t>
  </si>
  <si>
    <t>P261005C00000327</t>
  </si>
  <si>
    <t>378d0f11-cac2-45b1-8e35-36d9f56e70ea</t>
  </si>
  <si>
    <t>TZAAO27826H0X0E</t>
  </si>
  <si>
    <t>974e22ca-abe7-4824-b187-245356df404</t>
  </si>
  <si>
    <t>55b81d83-1e74-49b1-afb6-7c00d8f4bf5b</t>
  </si>
  <si>
    <t>P261005C00002173</t>
  </si>
  <si>
    <t>0510C14C672B</t>
  </si>
  <si>
    <t>38c40b0b-fc56-43a3-8ed1-70a2d0937855</t>
  </si>
  <si>
    <t>P261005C00000317</t>
  </si>
  <si>
    <t>ef310f8d-05da-40e5-a2f7-853827ee3953</t>
  </si>
  <si>
    <t>P261005C00000397</t>
  </si>
  <si>
    <t>0510A070F9B8</t>
  </si>
  <si>
    <t>06c680a0-aa28-4e68-b8f8-725854419941</t>
  </si>
  <si>
    <t>261005T000604498</t>
  </si>
  <si>
    <t>S06627829B9B01</t>
  </si>
  <si>
    <t>5d185d2d-b6ac-49b1-8e06-2a0110acb8a6</t>
  </si>
  <si>
    <t>P261005C00000323</t>
  </si>
  <si>
    <t>47f04e00-57f2-4814-bcd9-576069acf23d</t>
  </si>
  <si>
    <t>TZAAO27926HX7IX</t>
  </si>
  <si>
    <t>F/TZA/DRT/AAO/20261006/00038752562</t>
  </si>
  <si>
    <t>8128cff1-5556-4b60-a876-679d0cc92773</t>
  </si>
  <si>
    <t>OT26279TZ0138078</t>
  </si>
  <si>
    <t>937227b3-68fd-467e-8287-96a0bee0f28b</t>
  </si>
  <si>
    <t>1082104</t>
  </si>
  <si>
    <t>5d2e15e1-adc0-4f4d-a88a-508a4e64a8ee</t>
  </si>
  <si>
    <t>TZAAO27926H9JUA</t>
  </si>
  <si>
    <t>7c226358-223e-4b78-b33d-3fd13e054d0</t>
  </si>
  <si>
    <t>b7717c1b-dd7e-4177-8bfa-b5682327ccb3</t>
  </si>
  <si>
    <t>OT26279TZ0138044</t>
  </si>
  <si>
    <t>8c233bf6-e904-4c68-a2ad-9134d7265185</t>
  </si>
  <si>
    <t>OT26279TZ0138081</t>
  </si>
  <si>
    <t>82b90118-844c-401f-90eb-7593d6dd97c7</t>
  </si>
  <si>
    <t>000008464158</t>
  </si>
  <si>
    <t>c9db396d-54e5-4ef6-bce9-c8eda72800db</t>
  </si>
  <si>
    <t>CMRTG26279003217</t>
  </si>
  <si>
    <t>1266149f-1e77-408a-9aa0-60857fb4be84</t>
  </si>
  <si>
    <t>MBT0000000126456</t>
  </si>
  <si>
    <t>529fd45e-4248-43fa-8b0f-42c602f2a6dc</t>
  </si>
  <si>
    <t>001FTOL262790766</t>
  </si>
  <si>
    <t>164e739d-0fb8-4801-9eb4-fc73ff26d3ac</t>
  </si>
  <si>
    <t>OT26279TZ0138050</t>
  </si>
  <si>
    <t>544ae1d9-9c26-4e73-98b4-e21d0cb4b0f0</t>
  </si>
  <si>
    <t>0809B97B25A1</t>
  </si>
  <si>
    <t>dcfd7b49-00bd-4ff1-bfda-0faca77715de</t>
  </si>
  <si>
    <t>FT26279FRXPR</t>
  </si>
  <si>
    <t>abaa05c9-1f7f-49de-8ed0-256614200307</t>
  </si>
  <si>
    <t>261006TA040257</t>
  </si>
  <si>
    <t>1082119</t>
  </si>
  <si>
    <t>4a3df1f7-aae0-4b33-a4ed-48d5c8422b15</t>
  </si>
  <si>
    <t>1082125</t>
  </si>
  <si>
    <t>f4c35f14-985e-42c7-aade-7346e769c969</t>
  </si>
  <si>
    <t>TZAAO27926HOGYX</t>
  </si>
  <si>
    <t>87f64077-7546-4a5e-9112-7c808d63918</t>
  </si>
  <si>
    <t>6f91953b-84bc-49c1-a417-fdb6974bee38</t>
  </si>
  <si>
    <t>TZAAO27926H9YDF</t>
  </si>
  <si>
    <t>F/TZA/DRT/AAO/20261006/00038728589</t>
  </si>
  <si>
    <t>2848c292-bfee-45fd-a02f-1bad52bb066a</t>
  </si>
  <si>
    <t>1082121</t>
  </si>
  <si>
    <t>e24c6fb4-977e-4073-b1dc-4712669e232d</t>
  </si>
  <si>
    <t>TZAAO27926H3APJ</t>
  </si>
  <si>
    <t>F/TZA/DRT/AAO/20261006/00038739040</t>
  </si>
  <si>
    <t>dfafba8c-74a2-4426-9a9e-bc0d7926a5d6</t>
  </si>
  <si>
    <t>OT26279TZ0138051</t>
  </si>
  <si>
    <t>6977ace6-01fd-4da6-ac41-e6d16187d3af</t>
  </si>
  <si>
    <t>P261006C00004199</t>
  </si>
  <si>
    <t>1cdb4eb5-538f-477f-bffe-2597c0df6ae4</t>
  </si>
  <si>
    <t>OT26279TZ0138059</t>
  </si>
  <si>
    <t>968654af-3339-467b-bf9a-7ddea759916c</t>
  </si>
  <si>
    <t>TZAAO27926HGLKF</t>
  </si>
  <si>
    <t>c6e3cf99-7df8-4da8-ae15-2e2ccd28185</t>
  </si>
  <si>
    <t>51d1c98c-6c9b-4c5c-877f-0ed1a13eda72</t>
  </si>
  <si>
    <t>005COUS061026006</t>
  </si>
  <si>
    <t>e40ad1af-8076-4d60-ab23-c2997104f921</t>
  </si>
  <si>
    <t>OT26279TZ0138052</t>
  </si>
  <si>
    <t>db782dda-11bd-4809-9b58-d2f2031136f6</t>
  </si>
  <si>
    <t>3601ITT11/18165</t>
  </si>
  <si>
    <t>0510D20006DA</t>
  </si>
  <si>
    <t>cc890780-5ac7-4d5e-804b-473e99f10e60</t>
  </si>
  <si>
    <t>OT26279TZ0138103</t>
  </si>
  <si>
    <t>167b490d-8b71-4fc1-8975-cdbdaaccae5a</t>
  </si>
  <si>
    <t>TZAAO27926HK1WR</t>
  </si>
  <si>
    <t>dc09b058-5ab4-418f-a967-fb37595e94c</t>
  </si>
  <si>
    <t>120ef84a-386a-418c-b798-c0f1054598bd</t>
  </si>
  <si>
    <t>000008464358</t>
  </si>
  <si>
    <t>c4611be5-74d4-4531-be29-1f489e417425</t>
  </si>
  <si>
    <t>OT26279TZ0137993</t>
  </si>
  <si>
    <t>0f2d4748-1ff1-472c-8b94-0ac31b12b3fc</t>
  </si>
  <si>
    <t>TZ5IL2610060003N</t>
  </si>
  <si>
    <t>2627903039643000</t>
  </si>
  <si>
    <t>5a1bfb04-d62d-4733-98c4-5365e155aa41</t>
  </si>
  <si>
    <t>GEPGTR-7191448</t>
  </si>
  <si>
    <t>eb3dca2a-75a9-414b-ba70-91a6be90fa3c</t>
  </si>
  <si>
    <t>OT26279TZ0138086</t>
  </si>
  <si>
    <t>ad848491-9127-4313-9778-755f106c4eda</t>
  </si>
  <si>
    <t>P261006C00001875</t>
  </si>
  <si>
    <t>e884acbc-6520-4f4c-a7b6-9553dee95f5c</t>
  </si>
  <si>
    <t>450IBT2610061646YCXEA8</t>
  </si>
  <si>
    <t>f608c939-ac9e-40f7-8d63-35ffdce551db</t>
  </si>
  <si>
    <t>OT26279TZ0138053</t>
  </si>
  <si>
    <t>fce1dd3a-5448-459b-bdb3-527b0ff6dd9e</t>
  </si>
  <si>
    <t>2012225</t>
  </si>
  <si>
    <t>7d87849f-c4d2-4722-9869-5d66d0a6447d</t>
  </si>
  <si>
    <t>NMIBTZTZ MBTLTZTZXXX</t>
  </si>
  <si>
    <t>OT26280TZ0138172</t>
  </si>
  <si>
    <t>2a8b833d-b3d2-4e3c-a873-75688b903fc1</t>
  </si>
  <si>
    <t>OT26280TZ0138161</t>
  </si>
  <si>
    <t>6d12bca7-e69d-42c0-880c-9a09727a67c6</t>
  </si>
  <si>
    <t>311BCIU262740003</t>
  </si>
  <si>
    <t>a9bd4da1-a587-47f9-b598-c123df7643a5</t>
  </si>
  <si>
    <t>261007TA040271</t>
  </si>
  <si>
    <t>OT26280TZ0138174</t>
  </si>
  <si>
    <t>5fc5ed86-8c58-42bc-b16d-f067ec64424d</t>
  </si>
  <si>
    <t>OT26280TZ0138171</t>
  </si>
  <si>
    <t>892e0c80-f648-4a17-8822-eb48d003ec2b</t>
  </si>
  <si>
    <t>OT26280TZ0138167</t>
  </si>
  <si>
    <t>9256a041-260d-41a0-a69f-29f594ba36f8</t>
  </si>
  <si>
    <t>OT26280TZ0138157</t>
  </si>
  <si>
    <t>796d8a18-7a0b-4361-bbda-1db862f27734</t>
  </si>
  <si>
    <t>TZ1RTGF262800408</t>
  </si>
  <si>
    <t>c02de55c-124f-41cf-9e2a-ef312c3c9f94</t>
  </si>
  <si>
    <t>TZ1RTGF262800203</t>
  </si>
  <si>
    <t>005ef3b9-6ff9-422b-9357-7ca1feba4ea5</t>
  </si>
  <si>
    <t>TRY/26/3017346</t>
  </si>
  <si>
    <t>887ae9ca-0caa-4470-8ac6-a1c2b6c3e878</t>
  </si>
  <si>
    <t>TZ1OL261007025CS</t>
  </si>
  <si>
    <t>PIRDDLTZ01A09140</t>
  </si>
  <si>
    <t>7a857c50-f56c-4cd0-9e78-1ef7e719f214</t>
  </si>
  <si>
    <t>P261007C00004143</t>
  </si>
  <si>
    <t>3d4d3b9a-e84e-4817-ab74-b37014d531ac</t>
  </si>
  <si>
    <t>OT26280TZ0138321</t>
  </si>
  <si>
    <t>05785b52-7adb-41d0-ba5b-b808ecb500b8</t>
  </si>
  <si>
    <t>OT26280TZ0138169</t>
  </si>
  <si>
    <t>72a3e47e-9101-4fab-855c-843302d762ac</t>
  </si>
  <si>
    <t>HZ1K4BAL6VDC4A1D</t>
  </si>
  <si>
    <t>96b21827-2c3a-4785-b05b-2ca6719d59ac</t>
  </si>
  <si>
    <t>P261007C00001733</t>
  </si>
  <si>
    <t>32dc33ee-90a6-40fa-a63d-a1675fa0c38b</t>
  </si>
  <si>
    <t>OT26280TZ0138163</t>
  </si>
  <si>
    <t>067848e8-a89b-4531-8781-45c6efa735fd</t>
  </si>
  <si>
    <t>OT26280TZ0138338</t>
  </si>
  <si>
    <t>8933d70f-7539-4b69-a6e3-5afa0fda677c</t>
  </si>
  <si>
    <t>OT26280TZ0138159</t>
  </si>
  <si>
    <t>ac1c9496-4e21-43a7-8e3e-cffbc9c8c815</t>
  </si>
  <si>
    <t>OT26280TZ0138334</t>
  </si>
  <si>
    <t>5df68968-d005-4751-850f-5e3ff661ff5d</t>
  </si>
  <si>
    <t>TZ1RTGF262800204</t>
  </si>
  <si>
    <t>3e1b4ac2-d146-451d-a7ef-e8560475572b</t>
  </si>
  <si>
    <t>OT26280TZ0138339</t>
  </si>
  <si>
    <t>416290b5-0c0b-496d-8fce-ff62cbdde4d6</t>
  </si>
  <si>
    <t>311BCIU262740005</t>
  </si>
  <si>
    <t>7b22e92c-7ec3-4da7-ab0d-e64a0f48b642</t>
  </si>
  <si>
    <t>261007T000605921</t>
  </si>
  <si>
    <t>S06628015FA901</t>
  </si>
  <si>
    <t>5d3ef90e-3172-406b-8e06-2a0110acd8bd</t>
  </si>
  <si>
    <t>OT26280TZ0138341</t>
  </si>
  <si>
    <t>dc642acb-a8cf-41d9-b848-bb09c9e19500</t>
  </si>
  <si>
    <t>OT26280TZ0138175</t>
  </si>
  <si>
    <t>302af106-da65-4ef7-8733-ed82ae6d9005</t>
  </si>
  <si>
    <t>201BCIU262740001</t>
  </si>
  <si>
    <t>caab23cb-cb93-4e9f-9b40-420bcc11e5d4</t>
  </si>
  <si>
    <t>OT26280TZ0138168</t>
  </si>
  <si>
    <t>26bc68ab-9104-41a0-adae-6cce3e6fc0c3</t>
  </si>
  <si>
    <t>OT26280TZ0138162</t>
  </si>
  <si>
    <t>f4e6347c-eac9-47df-b6e4-6e494816400d</t>
  </si>
  <si>
    <t>TRY/26/3017347</t>
  </si>
  <si>
    <t>e97c0cf9-32de-41af-b23c-ad8efb26b090</t>
  </si>
  <si>
    <t>OT26280TZ0138418</t>
  </si>
  <si>
    <t>212d84af-4796-443d-b71e-f4f768bc97b2</t>
  </si>
  <si>
    <t>TZAAO28026HK4T9</t>
  </si>
  <si>
    <t>7b800eb6-a1f4-4e5b-a499-ed8d7def0a5</t>
  </si>
  <si>
    <t>7fec5015-b288-4592-b52f-d6790be40ec2</t>
  </si>
  <si>
    <t>OT26280TZ0138170</t>
  </si>
  <si>
    <t>10efe506-01d6-4395-80b4-7ae7d4a03808</t>
  </si>
  <si>
    <t>311BCIU262750001</t>
  </si>
  <si>
    <t>c2731af3-39f1-4c5e-a32e-f1dd93328033</t>
  </si>
  <si>
    <t>OT26280TZ0138337</t>
  </si>
  <si>
    <t>28310b45-3d6b-4848-997f-d9bf299e89b6</t>
  </si>
  <si>
    <t>OT26280TZ0138322</t>
  </si>
  <si>
    <t>7121f440-ef71-4310-aeed-2070cbf53ef6</t>
  </si>
  <si>
    <t>P261007C00002795</t>
  </si>
  <si>
    <t>c1aab888-58e0-4a55-8f41-e44b3d954032</t>
  </si>
  <si>
    <t>OT26280TZ0138160</t>
  </si>
  <si>
    <t>8525e891-b0d6-4b62-b277-df19ee3810c6</t>
  </si>
  <si>
    <t>OT26280TZ0138335</t>
  </si>
  <si>
    <t>f5a9fa10-5ec5-47c6-a1b3-f382a49daf86</t>
  </si>
  <si>
    <t>FT26280K39GC</t>
  </si>
  <si>
    <t>f8b2b966-7283-4a77-9e30-d53c55863116</t>
  </si>
  <si>
    <t>R90RTGO262800058</t>
  </si>
  <si>
    <t>a9adb8a0-16a1-4f7a-b171-38f8940a8548</t>
  </si>
  <si>
    <t>OT26280TZ0138158</t>
  </si>
  <si>
    <t>75a44ee0-125b-4dbb-9a33-2d9c40903cba</t>
  </si>
  <si>
    <t>P261007C00002801</t>
  </si>
  <si>
    <t>632ae54f-0f55-4e73-9baa-989a55a8414a</t>
  </si>
  <si>
    <t>TZAAO28026HBKBH</t>
  </si>
  <si>
    <t>F/TZA/DRT/AAO/20261007/00038780704</t>
  </si>
  <si>
    <t>5c3c2b99-d0e5-478d-9c85-deff3ab3085e</t>
  </si>
  <si>
    <t>025COUS071026003</t>
  </si>
  <si>
    <t>cec7c0fa-616e-4628-9cc4-5b113f65764a</t>
  </si>
  <si>
    <t>OT26280TZ0138164</t>
  </si>
  <si>
    <t>d352eb45-8c0a-4552-affd-5c900e8cd3c1</t>
  </si>
  <si>
    <t>311BCIU262740001</t>
  </si>
  <si>
    <t>3403edd2-87d0-4720-b3b3-817934dfd74d</t>
  </si>
  <si>
    <t>TZ1RTGF262800205</t>
  </si>
  <si>
    <t>0224034f-79ee-4de9-970e-057197925d4b</t>
  </si>
  <si>
    <t>OT26280TZ0138166</t>
  </si>
  <si>
    <t>c42c07f5-1838-4596-87c0-db4cdfee4175</t>
  </si>
  <si>
    <t>OT26280TZ0138340</t>
  </si>
  <si>
    <t>368390f1-3b8b-49a8-88ee-8aa152e676df</t>
  </si>
  <si>
    <t>R90RTGO262800057</t>
  </si>
  <si>
    <t>8fbf1566-bbeb-439e-99d1-457b0442b001</t>
  </si>
  <si>
    <t>OT26280TZ0138165</t>
  </si>
  <si>
    <t>79252f4a-6d85-43e4-9a1f-3d036014f67a</t>
  </si>
  <si>
    <t>RTO3018262434209</t>
  </si>
  <si>
    <t>a9e3061d-be1d-404a-ad52-f728f1c41dc9</t>
  </si>
  <si>
    <t>OT26281TZ0138562</t>
  </si>
  <si>
    <t>50600ca4-c18e-4a87-8663-9ae9683c021d</t>
  </si>
  <si>
    <t>000008468985</t>
  </si>
  <si>
    <t>e34bec19-b000-459a-84e2-a461597a19a3</t>
  </si>
  <si>
    <t>GEPGTR-7191517</t>
  </si>
  <si>
    <t>61afe5b3-b588-4895-9a93-5b2d552650e1</t>
  </si>
  <si>
    <t>GEPGTR-7191525</t>
  </si>
  <si>
    <t>b4a5c661-04d5-4f64-906b-ac7c6fe10f87</t>
  </si>
  <si>
    <t>311BCIU262590502</t>
  </si>
  <si>
    <t>ec661f2a-4f9c-47b1-9832-0b72d727045f</t>
  </si>
  <si>
    <t>CMRTG26281001954</t>
  </si>
  <si>
    <t>98e06ffa-7d90-4f47-9b94-1e1cac9c2424</t>
  </si>
  <si>
    <t>TZAAO28126HIIFA</t>
  </si>
  <si>
    <t>9cb3cade-39c3-4f5a-8cf5-b7476d516e9</t>
  </si>
  <si>
    <t>138f35b5-8b35-4d0e-8b5f-522f2877f651</t>
  </si>
  <si>
    <t>OT26281TZ0138667</t>
  </si>
  <si>
    <t>4c0ae3ec-6d37-45fb-aea6-641ec4729a50</t>
  </si>
  <si>
    <t>R90RTGO262810294</t>
  </si>
  <si>
    <t>25a22635-67a6-4f9d-b8c7-be77ad602c2b</t>
  </si>
  <si>
    <t>4CTZ00026280GR81</t>
  </si>
  <si>
    <t>CTZ00026280GR81</t>
  </si>
  <si>
    <t>d5c8b40d-595a-4a27-8e8f-1dbd90708409</t>
  </si>
  <si>
    <t>R90RTGO262810295</t>
  </si>
  <si>
    <t>832f0133-b781-4b06-8f64-01c7dd2e3015</t>
  </si>
  <si>
    <t>TZAAO28126H81M9</t>
  </si>
  <si>
    <t>ba3ffa45-d45d-4ace-a11a-4c0585c694d</t>
  </si>
  <si>
    <t>8034f652-7fe5-4ccc-930e-4375dbed745e</t>
  </si>
  <si>
    <t>TZ1OL261008025GS</t>
  </si>
  <si>
    <t>PITAHATZ01A00596</t>
  </si>
  <si>
    <t>b0b9a7fc-1b35-4ded-8668-201de18a6459</t>
  </si>
  <si>
    <t>P261008C00000457</t>
  </si>
  <si>
    <t>7fabe935-2864-4204-8003-3f976bf8964e</t>
  </si>
  <si>
    <t>OT26281TZ0138633</t>
  </si>
  <si>
    <t>b3a663a0-cc73-4c24-b80b-626160b0e85f</t>
  </si>
  <si>
    <t>TZ1OL261008025GP</t>
  </si>
  <si>
    <t>PITAHATZ01A00594</t>
  </si>
  <si>
    <t>826fe0ae-5f17-42d7-be63-c35b96438cd7</t>
  </si>
  <si>
    <t>P261008C00002087</t>
  </si>
  <si>
    <t>3cad47b1-e8e6-401c-9a9a-05d2433f296d</t>
  </si>
  <si>
    <t>311BCIU262590501</t>
  </si>
  <si>
    <t>ce523c5f-f91e-49bf-86a3-52ebabe7d066</t>
  </si>
  <si>
    <t>023COUS081026006</t>
  </si>
  <si>
    <t>a3fb1d16-26b1-4fd0-b766-72e0d3ee1635</t>
  </si>
  <si>
    <t>GEPGTR-7191521</t>
  </si>
  <si>
    <t>92d42bad-c13e-4f40-894a-b9eb0cef076d</t>
  </si>
  <si>
    <t>311BCIU262600001</t>
  </si>
  <si>
    <t>b15536f4-153b-4215-80aa-968237a4a15b</t>
  </si>
  <si>
    <t>TZAAO28126H2D6J</t>
  </si>
  <si>
    <t>89da8f32-4a7d-4957-8ffd-2c8d787a697</t>
  </si>
  <si>
    <t>fa325ec4-6851-44b9-bc43-eda4041bc359</t>
  </si>
  <si>
    <t>TZAAO28126HSLJ7</t>
  </si>
  <si>
    <t>2af43498-6457-4be2-a936-6f67ad3522a</t>
  </si>
  <si>
    <t>316b0eeb-42a7-441d-908f-aa9bc9b6e07b</t>
  </si>
  <si>
    <t>TZAAO28126HJAX5</t>
  </si>
  <si>
    <t>6b176646-56a1-449f-876a-bbadaea4648</t>
  </si>
  <si>
    <t>2bbb2ee9-7ed4-49be-81a2-079f9bb03c14</t>
  </si>
  <si>
    <t>GEPGTR-7191505</t>
  </si>
  <si>
    <t>37e15ad6-b34d-4c6f-8caf-2bee8b79c7c1</t>
  </si>
  <si>
    <t>P261008C00002417</t>
  </si>
  <si>
    <t>4035a846-78f2-42a9-9774-d01129619819</t>
  </si>
  <si>
    <t>GEPGTR-7191520</t>
  </si>
  <si>
    <t>c048c02c-d142-4f15-a30b-ef605e8db6d5</t>
  </si>
  <si>
    <t>261008TA040285</t>
  </si>
  <si>
    <t>P261008C00000831</t>
  </si>
  <si>
    <t>46a41baa-8f03-4d98-bc0c-df7014476cc1</t>
  </si>
  <si>
    <t>P261008C00001509</t>
  </si>
  <si>
    <t>9772ad3d-b43c-4a69-a408-c4eb618e332e</t>
  </si>
  <si>
    <t>P261008C00001863</t>
  </si>
  <si>
    <t>d9ec58d0-cb3b-4bf1-99bb-7abb2a816f20</t>
  </si>
  <si>
    <t>OT26281TZ0138716</t>
  </si>
  <si>
    <t>d7ce98b3-9346-415a-b4b1-2416694fb68f</t>
  </si>
  <si>
    <t>R90RTGO262810308</t>
  </si>
  <si>
    <t>76eba1de-146b-4f91-9f48-d70960c61910</t>
  </si>
  <si>
    <t>R90RTGO262810309</t>
  </si>
  <si>
    <t>6b1cd81f-f69e-45f8-8d76-f6f94ea93643</t>
  </si>
  <si>
    <t>201BCIU262590501</t>
  </si>
  <si>
    <t>94822013-5f17-4df4-83d2-23d392045e6e</t>
  </si>
  <si>
    <t>FT26281F7BV0</t>
  </si>
  <si>
    <t>abaa05c9-1f7f-49de-8ed0-543735611003</t>
  </si>
  <si>
    <t>P261008C00001745</t>
  </si>
  <si>
    <t>3a3a52bb-22cd-41a9-a891-88e40efe3a04</t>
  </si>
  <si>
    <t>FT26281STJN3</t>
  </si>
  <si>
    <t>abaa05c9-1f7f-49de-8ed0-374404934803</t>
  </si>
  <si>
    <t>311BCIU262580001</t>
  </si>
  <si>
    <t>55058476-52a1-4986-8b42-dd24f5b249f1</t>
  </si>
  <si>
    <t>P261008C00000553</t>
  </si>
  <si>
    <t>38a18d96-e0ff-4895-977b-0be288ed34bd</t>
  </si>
  <si>
    <t>TZAAO28126HBEEB</t>
  </si>
  <si>
    <t>F/TZA/DRT/AAO/20261008/00038810103</t>
  </si>
  <si>
    <t>7cb37366-6f5e-4401-b6ce-62637fb6723b</t>
  </si>
  <si>
    <t>TZ1RTGF262810221</t>
  </si>
  <si>
    <t>9ad8cd95-743b-40d2-be17-f67461871daa</t>
  </si>
  <si>
    <t>TZAAO28126HPO5U</t>
  </si>
  <si>
    <t>F/TZA/DRT/AAO/20261008/00038810100</t>
  </si>
  <si>
    <t>23e2747e-132f-464b-9537-a37de02f1a17</t>
  </si>
  <si>
    <t>OT26281TZ0138456</t>
  </si>
  <si>
    <t>a3649ecc-0549-4bcc-9abf-9da5f57aa34d</t>
  </si>
  <si>
    <t>P261008C00002409</t>
  </si>
  <si>
    <t>d38e182a-a7af-494c-b02a-8201a7ccb528</t>
  </si>
  <si>
    <t>OT26281TZ0138660</t>
  </si>
  <si>
    <t>c0f31972-2557-454a-b6af-bf38abce191e</t>
  </si>
  <si>
    <t>TZAAO28126HLKJ2</t>
  </si>
  <si>
    <t>F/TZA/DRT/AAO/20261008/00038816478</t>
  </si>
  <si>
    <t>41db8eb7-f47a-43ae-9c8c-f83a6b499679</t>
  </si>
  <si>
    <t>311BCIU262590001</t>
  </si>
  <si>
    <t>06b6d22d-35dc-425e-a87f-d717aab535bb</t>
  </si>
  <si>
    <t>TZAAO28126HJHSM</t>
  </si>
  <si>
    <t>55d1b4f1-6ce8-4a27-85d4-515d64a09c5</t>
  </si>
  <si>
    <t>c22bd6e6-34db-431c-91f6-6f457050009f</t>
  </si>
  <si>
    <t>TZAAO28226H84T4</t>
  </si>
  <si>
    <t>060bf281-1dc1-40cc-87a3-29ef96a3559</t>
  </si>
  <si>
    <t>3bdc4ca3-5537-40dd-802c-1a7413547d69</t>
  </si>
  <si>
    <t>TZ1RTGF262820310</t>
  </si>
  <si>
    <t>24c2e7c0-c0b6-4515-ae70-e1f004ecaa5b</t>
  </si>
  <si>
    <t>TZAAO28226HEXWK</t>
  </si>
  <si>
    <t>e29aa614-f422-43d3-9d84-74953309691</t>
  </si>
  <si>
    <t>cb6d15e2-afda-438c-8efc-a16f48abb45c</t>
  </si>
  <si>
    <t>OT26282TZ0138841</t>
  </si>
  <si>
    <t>58c25582-d0d4-453a-9fbb-28d8af42f6ca</t>
  </si>
  <si>
    <t>311BCIU262780002</t>
  </si>
  <si>
    <t>e59b11ff-8314-44d4-9279-a1bdbc208e82</t>
  </si>
  <si>
    <t>261009TA040299</t>
  </si>
  <si>
    <t>OT26282TZ0138983</t>
  </si>
  <si>
    <t>6d2db964-bc2f-4b6f-92a9-95ede233f692</t>
  </si>
  <si>
    <t>OT26282TZ0138837</t>
  </si>
  <si>
    <t>300903c7-5dc8-4573-8af1-9f2c834aeb2e</t>
  </si>
  <si>
    <t>CMRTG26282001125</t>
  </si>
  <si>
    <t>ca215e50-fe23-4e9c-bc0a-e6235e027113</t>
  </si>
  <si>
    <t>000008470629</t>
  </si>
  <si>
    <t>fca4ad01-1e2d-4376-ac62-b18bf58aac4b</t>
  </si>
  <si>
    <t>TZAAO28226HB23W</t>
  </si>
  <si>
    <t>ec450d90-442f-4725-9fd5-c143d2dd9a6</t>
  </si>
  <si>
    <t>d3e98bfe-3b91-42f2-8a06-442009e4d6b1</t>
  </si>
  <si>
    <t>201BCIU262590001</t>
  </si>
  <si>
    <t>121b3200-5cf4-4159-aa34-b9378b08c9df</t>
  </si>
  <si>
    <t>2a1c790c-a5f1-4924-bb0b-32686c66b492</t>
  </si>
  <si>
    <t>311BCIS262800001</t>
  </si>
  <si>
    <t>35efccb8-de7b-4aac-a782-607601a3e003</t>
  </si>
  <si>
    <t>OT26282TZ0138859</t>
  </si>
  <si>
    <t>5b63f6c6-7f27-43e9-b5c4-e6997093607b</t>
  </si>
  <si>
    <t>CMRTG26282001975</t>
  </si>
  <si>
    <t>7cc66b94-5095-4951-99e8-7311b1dc6349</t>
  </si>
  <si>
    <t>000008471466</t>
  </si>
  <si>
    <t>f9d0ba6c-ec64-49bf-9a9f-98f496c182a9</t>
  </si>
  <si>
    <t>OT26282TZ0138834</t>
  </si>
  <si>
    <t>0b112c69-f698-418d-89c3-48cf407797c8</t>
  </si>
  <si>
    <t>P261009C00001097</t>
  </si>
  <si>
    <t>4451985f-5edd-434d-8391-d650dba683f2</t>
  </si>
  <si>
    <t>OT26282TZ0138836</t>
  </si>
  <si>
    <t>90462f04-6260-4ce8-9d44-697df03d534c</t>
  </si>
  <si>
    <t>311BCIS262810001</t>
  </si>
  <si>
    <t>c8574aa0-8ed5-462c-adc1-7b835761533d</t>
  </si>
  <si>
    <t>P261009C00001019</t>
  </si>
  <si>
    <t>0fc05be7-6cb6-4ad8-9224-e78824b0d390</t>
  </si>
  <si>
    <t>OT26282TZ0138804</t>
  </si>
  <si>
    <t>db3b2334-e4e1-4ba7-a250-a40fdbaecac5</t>
  </si>
  <si>
    <t>MRG26282JJ0FHHK0</t>
  </si>
  <si>
    <t>f4fcd085-86da-4231-949c-8e346969cd1a</t>
  </si>
  <si>
    <t>OT26282TZ0138937</t>
  </si>
  <si>
    <t>f69c8297-796f-44b0-9514-226188fe5940</t>
  </si>
  <si>
    <t>TZAAO28226HWJMX</t>
  </si>
  <si>
    <t>F/TZA/DRT/AAO/20261009/00038823269</t>
  </si>
  <si>
    <t>4a36fdbf-6c91-46f6-9f83-c5c6c5994c17</t>
  </si>
  <si>
    <t>P261009C00002179</t>
  </si>
  <si>
    <t>86ba6fc5-de06-4538-953d-4a0c0ecf08b3</t>
  </si>
  <si>
    <t>OT26282TZ0138843</t>
  </si>
  <si>
    <t>228c1326-1ba1-4c5e-a618-092e5e380f63</t>
  </si>
  <si>
    <t>OT26282TZ0138839</t>
  </si>
  <si>
    <t>81d7847e-5f2f-435e-98e6-1bb589a42858</t>
  </si>
  <si>
    <t>CMRTG26282001550</t>
  </si>
  <si>
    <t>9192314f-3ab9-45ee-a3b0-ff18b14466a6</t>
  </si>
  <si>
    <t>OT26282TZ0138838</t>
  </si>
  <si>
    <t>1f76e5e8-144f-46d6-96c8-bad83cbc142e</t>
  </si>
  <si>
    <t>HZ1K4GF49AV6281B</t>
  </si>
  <si>
    <t>efaf5f24-844b-4ac1-a84f-98baf368535b</t>
  </si>
  <si>
    <t>OT26282TZ0138842</t>
  </si>
  <si>
    <t>14b81c97-add4-4505-8a2b-0fab73ce8315</t>
  </si>
  <si>
    <t>S649792</t>
  </si>
  <si>
    <t>2cbc3c79-970a-4c5d-ba00-1d190c550238</t>
  </si>
  <si>
    <t>TZ1RTGF262820312</t>
  </si>
  <si>
    <t>46bbf51e-092d-4c38-b3ea-bd05280054a6</t>
  </si>
  <si>
    <t>0610B7646CF8</t>
  </si>
  <si>
    <t>f05cdc57-9d6f-4a4c-b201-738561496a97</t>
  </si>
  <si>
    <t>BKMYTZTZ NMIBTZTZ</t>
  </si>
  <si>
    <t>GEPGTR-7191550</t>
  </si>
  <si>
    <t>b07035ec-a8fd-4ad9-9dae-d4db3b105d4b</t>
  </si>
  <si>
    <t>OT26282TZ0138835</t>
  </si>
  <si>
    <t>47d968c8-4694-4083-b528-665076709ea9</t>
  </si>
  <si>
    <t>GEPGTR-7191549</t>
  </si>
  <si>
    <t>c3193244-a7c4-4f9c-b4a8-32d164a9263d</t>
  </si>
  <si>
    <t>311BCIS262800501</t>
  </si>
  <si>
    <t>586c2106-8a07-452f-905b-6ba098f6e2cb</t>
  </si>
  <si>
    <t>OT26282TZ0138840</t>
  </si>
  <si>
    <t>60b25931-ad61-4de2-acdc-6d86eb3f083e</t>
  </si>
  <si>
    <t>GEPGTR-7191553</t>
  </si>
  <si>
    <t>3a29b1e9-94d6-4c1c-bda4-92be987f73cd</t>
  </si>
  <si>
    <t>CMRTG26282000270</t>
  </si>
  <si>
    <t>06a82992-62a9-4d9d-9191-ee94c33e3ecb</t>
  </si>
  <si>
    <t>FT26282N1WHQ</t>
  </si>
  <si>
    <t>abaa05c9-1f7f-49de-8ed0-127235852706</t>
  </si>
  <si>
    <t>OT26281TZ0138746</t>
  </si>
  <si>
    <t>7edb38f5-62ad-4fff-94e4-7e661a6a7432</t>
  </si>
  <si>
    <t>TZ1RTGF262820550</t>
  </si>
  <si>
    <t>766a1929-82be-48cb-b7f6-8a45cf9f7774</t>
  </si>
  <si>
    <t>TZAAO28326HKUXC</t>
  </si>
  <si>
    <t>473e9a6d-8a3f-4703-a3ba-149fdf6dc52</t>
  </si>
  <si>
    <t>53ff166f-3ed8-4611-8758-a902c0b3eb9c</t>
  </si>
  <si>
    <t>TZAAO28326H5RDI</t>
  </si>
  <si>
    <t>F/TZA/DRT/AAO/20261010/00038851354</t>
  </si>
  <si>
    <t>f37b1e5a-d6fb-482e-a601-6d25c185faa8</t>
  </si>
  <si>
    <t>261010TA040313</t>
  </si>
  <si>
    <t>TZAAO28326HBA7Y</t>
  </si>
  <si>
    <t>14edee0d-0304-42bb-a4ee-f55f9902379</t>
  </si>
  <si>
    <t>0b71d1b2-6b8d-4fc3-8172-6757ee20c503</t>
  </si>
  <si>
    <t>TZAAO28326HMBAZ</t>
  </si>
  <si>
    <t>c1bd7980-6297-473c-975a-c0d4120cedd</t>
  </si>
  <si>
    <t>4bf84db1-b1cf-43bd-8ccd-ffebe62a3365</t>
  </si>
  <si>
    <t>TZAAO28326HT8S3</t>
  </si>
  <si>
    <t>68ef174c-87ee-4900-ba7f-8b5809046f8</t>
  </si>
  <si>
    <t>81f6660d-afa7-4901-b98e-b097c26aa56d</t>
  </si>
  <si>
    <t>TZAAO28326HKJA5</t>
  </si>
  <si>
    <t>a295b8a3-c1e8-4106-8211-e24804cd01b</t>
  </si>
  <si>
    <t>dad70e5a-72bb-45e2-88ec-bf54b96ad627</t>
  </si>
  <si>
    <t>P261010C00000443</t>
  </si>
  <si>
    <t>cda9999d-a3e0-4349-b38a-49e7726d06eb</t>
  </si>
  <si>
    <t>7329db96-1f6c-405d-84aa-920623c3421d</t>
  </si>
  <si>
    <t>P261010C00001369</t>
  </si>
  <si>
    <t>9dd7b1be-3d9c-4e82-8957-46b9b1b88a82</t>
  </si>
  <si>
    <t>TZAAO28526HGUAK</t>
  </si>
  <si>
    <t>F/TZA/DRT/AAO/20261012/00038861583</t>
  </si>
  <si>
    <t>9de5ca3f-cbd6-41cb-a98c-7efe2b32b151</t>
  </si>
  <si>
    <t>HZ1K4N8IGE9F6867</t>
  </si>
  <si>
    <t>993b195d-d2ab-45a8-9f66-b2230af16997</t>
  </si>
  <si>
    <t>TZAAO28526HGQ8A</t>
  </si>
  <si>
    <t>e6e1b528-2ed6-4e02-a8df-2c88317a6f5</t>
  </si>
  <si>
    <t>8268145c-10f6-4781-b066-27de080e4194</t>
  </si>
  <si>
    <t>P261010C00000657</t>
  </si>
  <si>
    <t>2fba81b0-38a0-4f5b-bac6-3d6bb9943285</t>
  </si>
  <si>
    <t>TZAAO28526HUQIQ</t>
  </si>
  <si>
    <t>1128244b-bfe6-4f1c-ab9a-c22b77e166a</t>
  </si>
  <si>
    <t>0642e352-3387-400b-a965-82636b80ed0a</t>
  </si>
  <si>
    <t>173IBT26101022063M6KMC</t>
  </si>
  <si>
    <t>19d284bb-8e31-4214-ae22-eec1cb4919c3</t>
  </si>
  <si>
    <t>TZAAO28526H04ZM</t>
  </si>
  <si>
    <t>78c61a37-3b7c-4381-ab33-0b097978ee4</t>
  </si>
  <si>
    <t>8d4f199d-1805-45f1-bc6d-e2bd4cb3e1cd</t>
  </si>
  <si>
    <t>TZAAO28526H7CU3</t>
  </si>
  <si>
    <t>5535e433-2236-464a-b9a8-4c245154dda</t>
  </si>
  <si>
    <t>4c4c70eb-3c69-4755-bc5f-93d87eee0826</t>
  </si>
  <si>
    <t>TZAAO28526HFPSC</t>
  </si>
  <si>
    <t>bffc4442-edc4-4808-936d-2d5b0c83384</t>
  </si>
  <si>
    <t>6884dae0-111b-4743-a772-4d7cd7e2ad76</t>
  </si>
  <si>
    <t>TZ1RTGF262850720</t>
  </si>
  <si>
    <t>a196b6b4-73ef-4f53-a98b-a70412ec42ae</t>
  </si>
  <si>
    <t>261012000494314</t>
  </si>
  <si>
    <t>c8acf67a-da24-4b3b-aad3-4dffb84bbd98</t>
  </si>
  <si>
    <t>TZ1RTGF262850110</t>
  </si>
  <si>
    <t>0f00cc1e-5f12-4d86-8524-dc2354c1d8fa</t>
  </si>
  <si>
    <t>TZAAO28526H3G9J</t>
  </si>
  <si>
    <t>7d9d228c-9d50-46e0-8d4f-f2ecfa78b5b</t>
  </si>
  <si>
    <t>43eed852-c660-496b-b69c-a7290bf021aa</t>
  </si>
  <si>
    <t>TZAAO28526HPV7Z</t>
  </si>
  <si>
    <t>35d62a26-eed2-4c28-a590-d7cc4013d49</t>
  </si>
  <si>
    <t>8d3a21b3-0c2e-46e5-8c03-078378edf46f</t>
  </si>
  <si>
    <t>TZAAO28526HCZSS</t>
  </si>
  <si>
    <t>F/TZA/DRT/AAO/20261012/00038862287</t>
  </si>
  <si>
    <t>c699e45e-b829-41ae-a984-a6893239fc03</t>
  </si>
  <si>
    <t>OT26285TZ0139284</t>
  </si>
  <si>
    <t>41889205-f3f9-45fb-9478-18250cac6b34</t>
  </si>
  <si>
    <t>TZAAO28526HN1G5</t>
  </si>
  <si>
    <t>F/TZA/DRT/AAO/20261012/00038862282</t>
  </si>
  <si>
    <t>59524ac9-9578-48dd-b408-16a3dfe6b4f7</t>
  </si>
  <si>
    <t>261012T000608365</t>
  </si>
  <si>
    <t>c8ca2962-be05-4b93-867b-7f6358c304c4</t>
  </si>
  <si>
    <t>TZAAO28526H90A5</t>
  </si>
  <si>
    <t>F/TZA/DRT/AAO/20261012/00038862284</t>
  </si>
  <si>
    <t>830504a7-95a2-48ef-8aa1-7543be209a7d</t>
  </si>
  <si>
    <t>TZAAO28526HI8OO</t>
  </si>
  <si>
    <t>0ef9783e-5189-40bb-8e81-6a194fa19aa</t>
  </si>
  <si>
    <t>80d7e736-80cc-48cf-945c-d489ec74f554</t>
  </si>
  <si>
    <t>TZAAO28526HSGU8</t>
  </si>
  <si>
    <t>022aa57f-899b-4409-9e51-72daeddc603</t>
  </si>
  <si>
    <t>5a7c6b4c-cdf5-46c5-9060-7e88f471f94d</t>
  </si>
  <si>
    <t>TZAAO28526HFHFP</t>
  </si>
  <si>
    <t>96ffed23-297a-452b-94f4-4e245d2d33f</t>
  </si>
  <si>
    <t>3669fc7a-7318-409f-81d2-912cbf221faa</t>
  </si>
  <si>
    <t>TZAAO28526HB2H6</t>
  </si>
  <si>
    <t>4efd887e-0c56-48a0-920e-1e237a9d3b6</t>
  </si>
  <si>
    <t>e67fea07-4413-4e45-bfcf-796a1871b625</t>
  </si>
  <si>
    <t>TZAAO28526HFUDT</t>
  </si>
  <si>
    <t>F/TZA/DRT/AAO/20261012/00038861581</t>
  </si>
  <si>
    <t>f9f3e981-676c-46ac-81ac-2a167bc19108</t>
  </si>
  <si>
    <t>TZAAO28526HXP9H</t>
  </si>
  <si>
    <t>00b3d1aa-7a8c-4452-bfed-f9574b99475</t>
  </si>
  <si>
    <t>276c6738-1a3d-4bd9-a1d1-fc90a8e6add0</t>
  </si>
  <si>
    <t>TZAAO28526HI2BY</t>
  </si>
  <si>
    <t>7415578a-df7a-4f7e-b67c-6158807d71a</t>
  </si>
  <si>
    <t>37ad202d-314a-4eb8-9f58-5f6d1b1e09e0</t>
  </si>
  <si>
    <t>TZAAO28526HF29D</t>
  </si>
  <si>
    <t>00cf9767-9436-4027-999d-d59d58f5fa7</t>
  </si>
  <si>
    <t>e1573762-9c4a-42e1-ab19-9b659258d2fd</t>
  </si>
  <si>
    <t>HZ1K4N8IVBOC1852</t>
  </si>
  <si>
    <t>9d97f44b-2428-4242-88d7-180b4772ff6b</t>
  </si>
  <si>
    <t>TZAAO28526H8LXH</t>
  </si>
  <si>
    <t>97e3573f-1014-48ab-8f30-2ab63dd782b</t>
  </si>
  <si>
    <t>b7eb787b-1b59-4be7-a67b-e3cc2dc9e919</t>
  </si>
  <si>
    <t>TZAAO28526HNCOY</t>
  </si>
  <si>
    <t>F/TZA/DRT/AAO/20261012/00038862280</t>
  </si>
  <si>
    <t>baed9b84-5c1d-4f1b-bce5-bf6de8d8f851</t>
  </si>
  <si>
    <t>TZ1RTGF262850721</t>
  </si>
  <si>
    <t>81cd56ad-6c55-4d15-bc5a-1f88ce098c46</t>
  </si>
  <si>
    <t>HZ1K4N8IP679EA8C</t>
  </si>
  <si>
    <t>b4938fb8-10a4-42e6-af5a-a18871385376</t>
  </si>
  <si>
    <t>OT26285TZ0139476</t>
  </si>
  <si>
    <t>b9a40859-a0ee-417b-bac4-34890f166a07</t>
  </si>
  <si>
    <t>TZAAO28526HS9UA</t>
  </si>
  <si>
    <t>fae4b65f-39fc-4852-a1dd-d5d7ef473ca</t>
  </si>
  <si>
    <t>2727fb5b-4507-4d3a-98f1-4d471a75e195</t>
  </si>
  <si>
    <t>HZ1K4N8IHU3D4B83</t>
  </si>
  <si>
    <t>49b0413b-686b-451c-a0fe-29c54ac17b96</t>
  </si>
  <si>
    <t>OT26285TZ0139285</t>
  </si>
  <si>
    <t>cba62503-5c7f-40c8-9493-92bcf2680b3a</t>
  </si>
  <si>
    <t>TZAAO28526HS94R</t>
  </si>
  <si>
    <t>63823acc-4c57-40b9-934d-c98f1c6508e</t>
  </si>
  <si>
    <t>9164a292-020b-45fe-a69d-9cfc1f218f45</t>
  </si>
  <si>
    <t>001FTOL262850091</t>
  </si>
  <si>
    <t>2ba198fa-010b-4109-83eb-4245c2b8dd0d</t>
  </si>
  <si>
    <t>TZAAO28526HNCUE</t>
  </si>
  <si>
    <t>b4852f65-8a02-4404-b92c-66a08ef62ec</t>
  </si>
  <si>
    <t>c6dbb601-0e6f-429d-8a9a-087816f7d905</t>
  </si>
  <si>
    <t>261012000494313</t>
  </si>
  <si>
    <t>9b293529-6fa6-41c0-82cb-230793ad86cd</t>
  </si>
  <si>
    <t>TZAAO28526HVR6R</t>
  </si>
  <si>
    <t>37af7ac9-509c-4543-a901-38971afa56c</t>
  </si>
  <si>
    <t>95bb0842-baea-4007-b670-444bffb57146</t>
  </si>
  <si>
    <t>TZAAO28526HPFER</t>
  </si>
  <si>
    <t>cb8eeee3-62a3-458f-9a59-06b6966e079</t>
  </si>
  <si>
    <t>cc83ccc9-e1f6-44bd-8066-13e6ed5d8b95</t>
  </si>
  <si>
    <t>OT26285TZ0139371</t>
  </si>
  <si>
    <t>326d3611-4697-4137-a56c-5f132c6a99fc</t>
  </si>
  <si>
    <t>TZAAO28526H68UJ</t>
  </si>
  <si>
    <t>F/TZA/DRT/AAO/20261012/00038862286</t>
  </si>
  <si>
    <t>178dfab5-43f7-436c-84b1-cd2459c74426</t>
  </si>
  <si>
    <t>TZAAO28526H8FF8</t>
  </si>
  <si>
    <t>92d90647-b925-49bb-aef8-97b9e23cd8b</t>
  </si>
  <si>
    <t>b29de0f1-dbc9-4b46-bab0-e3c86fa17070</t>
  </si>
  <si>
    <t>TZAAO28526HXVXC</t>
  </si>
  <si>
    <t>F/TZA/DRT/AAO/20261012/00038862283</t>
  </si>
  <si>
    <t>cde0a605-c8f1-4516-a4dc-cab368e89089</t>
  </si>
  <si>
    <t>P261012C00000573</t>
  </si>
  <si>
    <t>da167663-526d-4219-88ad-b581c5430095</t>
  </si>
  <si>
    <t>TZ1OL261012025CQ</t>
  </si>
  <si>
    <t>PIPWHCTZ01B11624</t>
  </si>
  <si>
    <t>f6c37758-35c1-46b0-86d1-dc63d0be9915</t>
  </si>
  <si>
    <t>TZAAO28526H5LA2</t>
  </si>
  <si>
    <t>914d0b4f-80bc-45d8-b977-9f063c193f7</t>
  </si>
  <si>
    <t>a73455a5-00fc-44a6-a0b9-87c28581b0fe</t>
  </si>
  <si>
    <t>TZAAO28526HX48K</t>
  </si>
  <si>
    <t>895974db-3df4-4327-bcdc-3a629317214</t>
  </si>
  <si>
    <t>1efeceac-af97-45e8-811c-6f84430786d0</t>
  </si>
  <si>
    <t>TZAAO28526H90OL</t>
  </si>
  <si>
    <t>F/TZA/DRT/AAO/20261012/00038861585</t>
  </si>
  <si>
    <t>f47b47d5-bb81-4773-9dd1-0b1e72b81685</t>
  </si>
  <si>
    <t>342IBT2610120919QVEJQH</t>
  </si>
  <si>
    <t>28d6a5a1-f32f-413f-98f8-487c3bd51324</t>
  </si>
  <si>
    <t>RTOMICC01103860</t>
  </si>
  <si>
    <t>c1d9c55f-c444-4f6f-949a-e2040ed01842</t>
  </si>
  <si>
    <t>TZAAO28526HRYD2</t>
  </si>
  <si>
    <t>f25bd770-6087-46cd-a0bd-7cd686a6519</t>
  </si>
  <si>
    <t>f97af370-a020-43c7-92cf-432c0cfda2f5</t>
  </si>
  <si>
    <t>261012TA040323</t>
  </si>
  <si>
    <t>TZ1RTGF262850719</t>
  </si>
  <si>
    <t>c3d6d716-34b1-4a6e-8619-559001577452</t>
  </si>
  <si>
    <t>P261012C00001475</t>
  </si>
  <si>
    <t>27fd69ab-151e-47ff-93fe-9837ce16359f</t>
  </si>
  <si>
    <t>261012000494312</t>
  </si>
  <si>
    <t>ea4f4d96-956f-4e60-921d-bcf938ca2f0f</t>
  </si>
  <si>
    <t>TZAAO28526HNQ0P</t>
  </si>
  <si>
    <t>bcef1a28-c3dd-4c05-87e2-992903c1dcb</t>
  </si>
  <si>
    <t>dd0a8de7-0ac5-4bc6-b568-b7a069ce4a58</t>
  </si>
  <si>
    <t>TZAAO28526HPGHR</t>
  </si>
  <si>
    <t>ae255e23-ad9f-44dd-b542-7e9cc0f942e</t>
  </si>
  <si>
    <t>c44a29e3-c151-494e-a58d-a48ede6dbd3c</t>
  </si>
  <si>
    <t>TZAAO28526HWSV5</t>
  </si>
  <si>
    <t>292b9b09-c6c4-4ae7-b023-bee766f4001</t>
  </si>
  <si>
    <t>e2d16090-f393-4134-a295-251d947e8a35</t>
  </si>
  <si>
    <t>S662832</t>
  </si>
  <si>
    <t>9bf33def-029c-4030-842f-82570dfaaf01</t>
  </si>
  <si>
    <t>OT26286TZ0139587</t>
  </si>
  <si>
    <t>1c727924-61d1-4220-8c32-fa5be7de99b1</t>
  </si>
  <si>
    <t>009GEPL262860503</t>
  </si>
  <si>
    <t>efaaf2b3-3547-4641-9760-391c7f4462c6</t>
  </si>
  <si>
    <t>TZ1RTGF262860484</t>
  </si>
  <si>
    <t>2b227fd0-b16a-48ae-a8c4-a7ce03076d69</t>
  </si>
  <si>
    <t>TZ1OL261013025HR</t>
  </si>
  <si>
    <t>991330197476</t>
  </si>
  <si>
    <t>71c0608f-af6d-43ec-bfe6-bdf599d1fc5a</t>
  </si>
  <si>
    <t>S662835</t>
  </si>
  <si>
    <t>a1385109-d15d-4a54-91b4-9589f6e8f1d1</t>
  </si>
  <si>
    <t>TZ1OL261013025HP</t>
  </si>
  <si>
    <t>991330197473</t>
  </si>
  <si>
    <t>5f98ec59-aa59-4b81-bd47-077c5481842b</t>
  </si>
  <si>
    <t>RTO3018262444849</t>
  </si>
  <si>
    <t>dc988cee-d6fb-4fc8-8462-7456685e0281</t>
  </si>
  <si>
    <t>S662831</t>
  </si>
  <si>
    <t>89d855a4-687c-4d7e-b63e-248e00095321</t>
  </si>
  <si>
    <t>OT26283TZ0139227</t>
  </si>
  <si>
    <t>70aeea80-ef31-45b1-89cb-0f4fa3b38dc4</t>
  </si>
  <si>
    <t>TZAAO28626HPY4M</t>
  </si>
  <si>
    <t>712dfd21-2a85-48c4-9b95-4fee0793942</t>
  </si>
  <si>
    <t>05a32ff9-3d76-47e3-b4c8-7aaf20b3bfed</t>
  </si>
  <si>
    <t>P261013C00002625</t>
  </si>
  <si>
    <t>10c55864-ed06-4926-9e75-2479b8e618c3</t>
  </si>
  <si>
    <t>TZAAO28626HGCB5</t>
  </si>
  <si>
    <t>a39538bc-7ae1-4bcd-bd91-8d403a32bb4</t>
  </si>
  <si>
    <t>925bda39-89db-45cf-a419-b29e18fcb2af</t>
  </si>
  <si>
    <t>OT26286TZ0139872</t>
  </si>
  <si>
    <t>a0283309-7aec-4a40-8e94-fbb5f4d96da7</t>
  </si>
  <si>
    <t>S662834</t>
  </si>
  <si>
    <t>9b4670f6-ab08-40b1-a99b-27708879493d</t>
  </si>
  <si>
    <t>TZAAO28626HBW1Q</t>
  </si>
  <si>
    <t>f52a4bb3-f572-446a-bb5a-2d0483b20f5</t>
  </si>
  <si>
    <t>fb9cea89-a9af-437e-8c16-8f7c2a54e066</t>
  </si>
  <si>
    <t>P261013C00000833</t>
  </si>
  <si>
    <t>3e6bc406-3b1b-4442-8d37-644642b61c7f</t>
  </si>
  <si>
    <t>TZ1OL261013025DB</t>
  </si>
  <si>
    <t>PICHECTZN1A03455</t>
  </si>
  <si>
    <t>3336fd8f-f8df-4067-9546-cd947f2b9c6e</t>
  </si>
  <si>
    <t>TZ1RTGF262860487</t>
  </si>
  <si>
    <t>8ae1d6d6-74f1-4442-8a0c-b45be5e0faf2</t>
  </si>
  <si>
    <t>S662830</t>
  </si>
  <si>
    <t>16760a21-42e3-4f9b-b470-f4ec65965ea1</t>
  </si>
  <si>
    <t>TZAAO28626H7085</t>
  </si>
  <si>
    <t>3d05746f-dd44-4d78-88b7-181ec070a92</t>
  </si>
  <si>
    <t>44d93cc9-0ccc-4975-8a21-e397643495ec</t>
  </si>
  <si>
    <t>RETN10130337046</t>
  </si>
  <si>
    <t>c592d2d5-3644-4dc3-9d22-2207c684b3c6</t>
  </si>
  <si>
    <t>TZAAO28626HDSJU</t>
  </si>
  <si>
    <t>4a13c8d1-4ec1-4ce8-bb74-b947720caa6</t>
  </si>
  <si>
    <t>2e915bb7-34b5-419c-96d9-ec130314f215</t>
  </si>
  <si>
    <t>MBTLTISS26101687</t>
  </si>
  <si>
    <t>1fd7b08b-e71d-43f1-bf37-7d8274464e1f</t>
  </si>
  <si>
    <t>73HT0H5Q</t>
  </si>
  <si>
    <t>d08913b2-a5ba-4110-b544-210453281ab9</t>
  </si>
  <si>
    <t>OT26286TZ0139588</t>
  </si>
  <si>
    <t>20e593bc-132e-4889-b4f2-db7b6c79b123</t>
  </si>
  <si>
    <t>P261013C00000181</t>
  </si>
  <si>
    <t>67910e94-dd7e-42c3-8038-a09c3b98c482</t>
  </si>
  <si>
    <t>311BCIS262850001</t>
  </si>
  <si>
    <t>9e4d5123-36ef-4506-bd54-800939d11250</t>
  </si>
  <si>
    <t>TZ1RTGF262860264</t>
  </si>
  <si>
    <t>995030196528</t>
  </si>
  <si>
    <t>865961c3-3572-40bf-b153-0cdedd14adbf</t>
  </si>
  <si>
    <t>408BCIU262780001</t>
  </si>
  <si>
    <t>518e3074-f07b-4e6a-8200-e806f81da08f</t>
  </si>
  <si>
    <t>OT26286TZ0139584</t>
  </si>
  <si>
    <t>a3390210-7d58-489a-bf67-80ef369c2d5d</t>
  </si>
  <si>
    <t>CMRTG26286001146</t>
  </si>
  <si>
    <t>3d4c22cc-9e07-4dab-8a55-a7c25a30b0bd</t>
  </si>
  <si>
    <t>S662833</t>
  </si>
  <si>
    <t>6be63bd0-d857-45bd-964f-bd267225380e</t>
  </si>
  <si>
    <t>283IBT2610135219HG7KQC</t>
  </si>
  <si>
    <t>b7d03ac5-8387-4b3a-97b3-aba2dd50ed3a</t>
  </si>
  <si>
    <t>fccc4a96-6e55-4a3c-ae26-ea48f7990351</t>
  </si>
  <si>
    <t>OT26285TZ0139325</t>
  </si>
  <si>
    <t>8cf5b73f-d4f2-4cb3-bdd0-940e954e7bfc</t>
  </si>
  <si>
    <t>OT26283TZ0139238</t>
  </si>
  <si>
    <t>422f6806-0b56-46c0-a349-c1b443a0ed1a</t>
  </si>
  <si>
    <t>261013TA040337</t>
  </si>
  <si>
    <t>MBT0000000128008</t>
  </si>
  <si>
    <t>9bc5423e-1db6-4a39-aa71-320655d1325b</t>
  </si>
  <si>
    <t>CMRTG26286001426</t>
  </si>
  <si>
    <t>267e363e-919f-4779-a83e-90c6e2988ee4</t>
  </si>
  <si>
    <t>OT26286TZ0139649</t>
  </si>
  <si>
    <t>4c4f79bd-a1a8-4d4f-b580-508f7f335419</t>
  </si>
  <si>
    <t>005COUS131026013</t>
  </si>
  <si>
    <t>750f7fe5-1460-41e8-b6a5-6364df638f8a</t>
  </si>
  <si>
    <t>005COUS131026014</t>
  </si>
  <si>
    <t>24bba741-e37e-4e76-aac0-1b3166d33bb3</t>
  </si>
  <si>
    <t>OT26286TZ0139597</t>
  </si>
  <si>
    <t>5e0a49ed-a5c5-45d5-9bd7-3af8facfd1ed</t>
  </si>
  <si>
    <t>283IBT2610134224DTH5JX</t>
  </si>
  <si>
    <t>efed779b-9e9b-474f-ba8b-7f6c0d080ffd</t>
  </si>
  <si>
    <t>TZAAO28626H422L</t>
  </si>
  <si>
    <t>d081f76f-f7d8-4996-83a8-2a9d2cd80d4</t>
  </si>
  <si>
    <t>c03841b6-613c-4359-9a8e-81b539789628</t>
  </si>
  <si>
    <t>TZAAO28626H4AZD</t>
  </si>
  <si>
    <t>c86c21b1-2a10-4cc1-9cb2-e4434cabad5</t>
  </si>
  <si>
    <t>5e74c0fe-4b65-406e-adf0-4de7469e1c74</t>
  </si>
  <si>
    <t>TZ1OL261013025DR</t>
  </si>
  <si>
    <t>PISOTTTZ01A13114</t>
  </si>
  <si>
    <t>474ad9a1-6b3d-43f4-83ce-14816c76324d</t>
  </si>
  <si>
    <t>OT26283TZ0139224</t>
  </si>
  <si>
    <t>4cfd1b9d-36ae-45c1-821d-7bd72d931711</t>
  </si>
  <si>
    <t>2026/10/14</t>
  </si>
  <si>
    <t>P261014C00000447</t>
  </si>
  <si>
    <t>7cb858a1-5c1e-4e96-a20d-a2ec5e3c2fab</t>
  </si>
  <si>
    <t>261013000494324</t>
  </si>
  <si>
    <t>88a4425e-0d23-44bf-b7df-ad05558be223</t>
  </si>
  <si>
    <t>P261014C00000455</t>
  </si>
  <si>
    <t>cbda98ec-cda5-4446-9867-20cb8b006736</t>
  </si>
  <si>
    <t>TZAAO28826HIMMB</t>
  </si>
  <si>
    <t>2394774f-3e0b-4960-b100-bdba2d56ef9</t>
  </si>
  <si>
    <t>c13821c1-b88c-4fbc-8bb1-1b017afb817d</t>
  </si>
  <si>
    <t>CMRTG26288000549</t>
  </si>
  <si>
    <t>51b660b8-c6f4-402e-bc10-8c02e6d4fd9c</t>
  </si>
  <si>
    <t>HZ1K4VLJMO0B9916</t>
  </si>
  <si>
    <t>ed493733-193d-4644-8b9a-4501cd7c2686</t>
  </si>
  <si>
    <t>0809BBAEBD10</t>
  </si>
  <si>
    <t>be204938-81a9-46fc-ad69-9cb8dd17474a</t>
  </si>
  <si>
    <t>201BCIU262121502</t>
  </si>
  <si>
    <t>d430a940-f89f-4bb1-a42a-19e02f635393</t>
  </si>
  <si>
    <t>OT26288TZ0140137</t>
  </si>
  <si>
    <t>dcbf3cb1-997b-4794-9331-c70e38e1c7c8</t>
  </si>
  <si>
    <t>261015TA040351</t>
  </si>
  <si>
    <t>TZ1RTGF262880201</t>
  </si>
  <si>
    <t>d55e2791-fff3-40eb-9d90-157f118e5594</t>
  </si>
  <si>
    <t>TZAAO28826HG99I</t>
  </si>
  <si>
    <t>F/TZA/DRT/AAO/20261015/00038955420</t>
  </si>
  <si>
    <t>e802eb52-2829-466d-967d-9a18731f0536</t>
  </si>
  <si>
    <t>GEPGTR-7191600</t>
  </si>
  <si>
    <t>87d07a13-1b72-4c4b-9afe-d6d65a8cb6a3</t>
  </si>
  <si>
    <t>TZ1OL26101502594</t>
  </si>
  <si>
    <t>PICATITZ01A11871</t>
  </si>
  <si>
    <t>6965a20c-dd5f-4df4-b764-4a78186dc939</t>
  </si>
  <si>
    <t>0809B36C7C5C</t>
  </si>
  <si>
    <t>6215469b-ba63-4312-9513-8bfce35ee44f</t>
  </si>
  <si>
    <t>TZAAO28826HSF43</t>
  </si>
  <si>
    <t>6476c423-03c9-4ae0-93b8-da5f39ff290</t>
  </si>
  <si>
    <t>fa0d2571-8469-4d61-b0e1-840f2556b957</t>
  </si>
  <si>
    <t>OT26288TZ0140038</t>
  </si>
  <si>
    <t>7367b07a-35e8-4d40-b2b2-352cc29d786d</t>
  </si>
  <si>
    <t>TZAAO28826HL491</t>
  </si>
  <si>
    <t>396f1832-6fa8-4131-a5f2-a3d61facfbf</t>
  </si>
  <si>
    <t>7b8c29e2-3af8-47b7-8432-96229f115d06</t>
  </si>
  <si>
    <t>311BCIU262800502</t>
  </si>
  <si>
    <t>85bdf8d2-d5df-4b80-b61e-26792c864626</t>
  </si>
  <si>
    <t>P261015C00000197</t>
  </si>
  <si>
    <t>d47af318-ac28-474c-99c4-785c3d0c544f</t>
  </si>
  <si>
    <t>261015T000609926</t>
  </si>
  <si>
    <t>S0662882AC9C01</t>
  </si>
  <si>
    <t>5de4704a-ace5-4781-8e06-2a0110ac525f</t>
  </si>
  <si>
    <t>DTB/1851/2026</t>
  </si>
  <si>
    <t>131025EAF17C</t>
  </si>
  <si>
    <t>2e3b4b18-ac2e-433b-bb7a-1ad0a1a46e8f</t>
  </si>
  <si>
    <t>TZ1OL261015025HH</t>
  </si>
  <si>
    <t>TZS DEAL</t>
  </si>
  <si>
    <t>44868e55-7156-41e1-9f85-018ccb94083b</t>
  </si>
  <si>
    <t>OT26288TZ0140290</t>
  </si>
  <si>
    <t>8ea7df8f-7620-4e62-b0d1-e2bab7f6c5c0</t>
  </si>
  <si>
    <t>261015000494336</t>
  </si>
  <si>
    <t>44872ef4-ad81-44fc-9cd2-c06fa4d4f356</t>
  </si>
  <si>
    <t>OT26288TZ0140136</t>
  </si>
  <si>
    <t>d66aedf8-e543-4464-bab9-e7ce7450d0e0</t>
  </si>
  <si>
    <t>P261014C00000439</t>
  </si>
  <si>
    <t>dfff33c0-869c-4a8d-bb31-45ce69ba3ef8</t>
  </si>
  <si>
    <t>OT26288TZ0140112</t>
  </si>
  <si>
    <t>bfb8816e-22fd-4203-bb6b-357b435cfc0e</t>
  </si>
  <si>
    <t>P261014C00000443</t>
  </si>
  <si>
    <t>5706e110-b327-4280-aec2-6b7c8e21ff80</t>
  </si>
  <si>
    <t>TZAAO28826HXSUK</t>
  </si>
  <si>
    <t>6f813e06-ac28-4c31-bc3c-5d0a2e832bb</t>
  </si>
  <si>
    <t>5d957b1e-c5f1-4251-b2fd-6289b0a208f3</t>
  </si>
  <si>
    <t>0809BB03DA1D</t>
  </si>
  <si>
    <t>f0a6671a-f6e0-4433-8c32-331e0ca67dab</t>
  </si>
  <si>
    <t>HZ1K4VM1NDUDABAF</t>
  </si>
  <si>
    <t>b4604e13-e4a9-466a-a131-8cd197fcef86</t>
  </si>
  <si>
    <t>7de60111-cddd-43eb-8ea9-58e9d1951d4f</t>
  </si>
  <si>
    <t>201BCIU262800001</t>
  </si>
  <si>
    <t>3201BCIU262800001</t>
  </si>
  <si>
    <t>d5842cc4-48ae-4e1d-b758-2820814c89a9</t>
  </si>
  <si>
    <t>2626823034705000</t>
  </si>
  <si>
    <t>765deb16-33a7-4bea-bd3e-34c0509bb11e</t>
  </si>
  <si>
    <t>P261015C00001421</t>
  </si>
  <si>
    <t>15109F861817</t>
  </si>
  <si>
    <t>52047464-15f9-4478-bc9e-9f320afc1154</t>
  </si>
  <si>
    <t>e98133f2-e30b-468b-b3df-ca66aba3918b</t>
  </si>
  <si>
    <t>OT26288TZ0139945</t>
  </si>
  <si>
    <t>e754ae8c-8374-4998-a6e9-501cef233ae8</t>
  </si>
  <si>
    <t>P261014C00000437</t>
  </si>
  <si>
    <t>2df46dc0-a91b-434f-ad07-d21945798e77</t>
  </si>
  <si>
    <t>4CTZ00026287JZQT</t>
  </si>
  <si>
    <t>CTZ00026287JZQT</t>
  </si>
  <si>
    <t>def5eeed-685e-49ea-b89d-4d02711a17de</t>
  </si>
  <si>
    <t>OT26288TZ0140045</t>
  </si>
  <si>
    <t>ba9fb8a8-14e2-402b-a001-0c600236f10e</t>
  </si>
  <si>
    <t>TZAAO28826HK04B</t>
  </si>
  <si>
    <t>ab49d42c-c8c3-4319-8a6c-74138619920</t>
  </si>
  <si>
    <t>e5163caa-ef3e-4c7b-a9f8-b4acd3502ce0</t>
  </si>
  <si>
    <t>CMRTG26288001296</t>
  </si>
  <si>
    <t>aef20c1f-02ea-482f-a495-ab2a57c85955</t>
  </si>
  <si>
    <t>020935ACEC08</t>
  </si>
  <si>
    <t>0a807e64-a980-4c78-aa99-0972fd2ac937</t>
  </si>
  <si>
    <t>P261015C00002959</t>
  </si>
  <si>
    <t>29ec758c-14e2-4bf4-9aca-d0c083478906</t>
  </si>
  <si>
    <t>P261015C00001645</t>
  </si>
  <si>
    <t>184174b7-58c9-42fe-8b05-327e6f4ae4a3</t>
  </si>
  <si>
    <t>OT26288TZ0139947</t>
  </si>
  <si>
    <t>34672e93-e7aa-4547-a6b8-63b16809d27c</t>
  </si>
  <si>
    <t>OT26288TZ0140252</t>
  </si>
  <si>
    <t>6dce2277-2bcd-4625-aa47-a923cb78914d</t>
  </si>
  <si>
    <t>P261014C00000451</t>
  </si>
  <si>
    <t>936f5e3b-a888-41b8-9bb5-171ca581a033</t>
  </si>
  <si>
    <t>S668156</t>
  </si>
  <si>
    <t>2d252181-abab-483f-819c-c02ec8b59037</t>
  </si>
  <si>
    <t>TZ1OL2610150258V</t>
  </si>
  <si>
    <t>PICRJEINTZA05042</t>
  </si>
  <si>
    <t>7c5edce6-0d33-4596-bcaa-2ad0a65245d4</t>
  </si>
  <si>
    <t>P261014C00000441</t>
  </si>
  <si>
    <t>ca4277c4-78ba-413f-b976-5b48d3d361de</t>
  </si>
  <si>
    <t>CM9F9B64B6E0BC</t>
  </si>
  <si>
    <t>8a6e6148-94c5-44fd-b337-5f21a1fdee80</t>
  </si>
  <si>
    <t>OT26288TZ0139997</t>
  </si>
  <si>
    <t>ec37383a-1ab7-441c-9579-acb65bffedd7</t>
  </si>
  <si>
    <t>311BCIU262800501</t>
  </si>
  <si>
    <t>732b306a-8fe2-459a-a2c9-3a163a042217</t>
  </si>
  <si>
    <t>TZAAO28826HPA74</t>
  </si>
  <si>
    <t>F/TZA/DRT/AAO/20261015/00038955421</t>
  </si>
  <si>
    <t>8a611650-71c2-41d5-ba4d-68960cbbb6d6</t>
  </si>
  <si>
    <t>TZ1RTGF262880237</t>
  </si>
  <si>
    <t>6031208e-3144-4958-bce4-38da20be4d04</t>
  </si>
  <si>
    <t>HZ1K4VM6B7VD2837</t>
  </si>
  <si>
    <t>4d9b998c-03c3-41cb-b378-bad38522ab87</t>
  </si>
  <si>
    <t>HZ1K4VM48LTAC85A</t>
  </si>
  <si>
    <t>1c386f52-8d68-4b1b-9d52-c03104fcb99b</t>
  </si>
  <si>
    <t>HZ1K4VLTCOVA883B</t>
  </si>
  <si>
    <t>728281f3-ac17-4c55-9407-901340ffa029</t>
  </si>
  <si>
    <t>HZ1K4VLVQUG97919</t>
  </si>
  <si>
    <t>701d88c9-17b1-41e7-9036-5012cfa999d8</t>
  </si>
  <si>
    <t>TFRTN/0456/2026</t>
  </si>
  <si>
    <t>2627302757274000</t>
  </si>
  <si>
    <t>a1421a2a-ff52-48a7-af35-1d5647b18388</t>
  </si>
  <si>
    <t>04090325EE1D</t>
  </si>
  <si>
    <t>8dcabb70-e431-474f-9a4b-201b69b6c490</t>
  </si>
  <si>
    <t>TZAAO28826HL1WQ</t>
  </si>
  <si>
    <t>12aaa5ca-2cb6-4982-84bf-a0987646ca5</t>
  </si>
  <si>
    <t>b972216d-d352-4574-847e-467dfd55a3ac</t>
  </si>
  <si>
    <t>CM335E7851C77D</t>
  </si>
  <si>
    <t>ee4c9d35-6643-4e43-895f-7c6df10cad3c</t>
  </si>
  <si>
    <t>311BCIU262800002</t>
  </si>
  <si>
    <t>2e172931-ce93-4ee7-8dfa-7b365bd0e7c1</t>
  </si>
  <si>
    <t>DTB/1852/2026</t>
  </si>
  <si>
    <t>1210C9F9F753</t>
  </si>
  <si>
    <t>25d552c5-bafb-4854-8eb9-d442d1ac81a5</t>
  </si>
  <si>
    <t>201BCIU262800002</t>
  </si>
  <si>
    <t>bbcecdb5-708f-4723-8e15-76b90dd09ad4</t>
  </si>
  <si>
    <t>TZAAO28826HBXJ4</t>
  </si>
  <si>
    <t>b9482b17-f356-47ac-ad8a-88ec5beb7c4</t>
  </si>
  <si>
    <t>c9e91c01-28bd-4a3f-9160-e4f0b1c225ef</t>
  </si>
  <si>
    <t>311BCIU262850003</t>
  </si>
  <si>
    <t>4a2a1c3f-fdbc-4236-991a-481ee279e9e1</t>
  </si>
  <si>
    <t>173IBT2610155012MBOBC2</t>
  </si>
  <si>
    <t>66dff0d6-c6b9-4bab-baac-2c68d4a8546c</t>
  </si>
  <si>
    <t>P261015C00001443</t>
  </si>
  <si>
    <t>afdd1ff7-1c4e-40f6-8449-30f2f6665fbd</t>
  </si>
  <si>
    <t>OT26288TZ0140039</t>
  </si>
  <si>
    <t>dd8bc4b0-dea2-47ce-95e9-39c2034362e8</t>
  </si>
  <si>
    <t>OT26288TZ0139981</t>
  </si>
  <si>
    <t>1dce0fe0-4803-4a01-ae5d-7db7faa10e9b</t>
  </si>
  <si>
    <t>CM6A251B5C4F93</t>
  </si>
  <si>
    <t>a6fd6f95-3bc9-447d-b737-208ce50c3b9b</t>
  </si>
  <si>
    <t>TZAAO28826HLBM6</t>
  </si>
  <si>
    <t>1080f299-264e-4ac8-adfb-dd4c1266280</t>
  </si>
  <si>
    <t>5da387c5-9d9a-4923-9491-4e4c61378edd</t>
  </si>
  <si>
    <t>TZAAO28826H5BQI</t>
  </si>
  <si>
    <t>F/TZA/DRT/AAO/20261015/00038955422</t>
  </si>
  <si>
    <t>fca40bef-89df-4579-aeba-0d01f787a417</t>
  </si>
  <si>
    <t>TZAAO28826HTSCZ</t>
  </si>
  <si>
    <t>ccfb41d1-6110-499d-bcda-52666b22535</t>
  </si>
  <si>
    <t>7f505261-7546-45f2-8ffd-a95151b5bfe6</t>
  </si>
  <si>
    <t>450IBT2610155037DX3WFK</t>
  </si>
  <si>
    <t>cdad2dcd-0a89-47a9-b59a-9a1675c1f127</t>
  </si>
  <si>
    <t>TZ1RTGF262890782</t>
  </si>
  <si>
    <t>c9718381-fd10-477a-b08b-3218c29cb396</t>
  </si>
  <si>
    <t>GEPGTR-7191663</t>
  </si>
  <si>
    <t>3ebe6363-536f-4152-b385-6a310d4796fa</t>
  </si>
  <si>
    <t>GEPGTR-7191664</t>
  </si>
  <si>
    <t>5468604a-dd07-4c05-98ba-1909629c7f9a</t>
  </si>
  <si>
    <t>P261016C00003221</t>
  </si>
  <si>
    <t>41fb4254-a27c-4c9e-9787-d93d54a4ae30</t>
  </si>
  <si>
    <t>OT26289TZ0140507</t>
  </si>
  <si>
    <t>f5e70d7b-c281-4252-98b9-64db9cea34fd</t>
  </si>
  <si>
    <t>P261016C00001499</t>
  </si>
  <si>
    <t>1610B79011FB</t>
  </si>
  <si>
    <t>311cc3c5-d9d0-4239-a847-6f79f51d3379</t>
  </si>
  <si>
    <t>P261016C00002991</t>
  </si>
  <si>
    <t>1610DA4B0ADB</t>
  </si>
  <si>
    <t>a12f9d5d-f8c5-408a-b572-a2d70e37404f</t>
  </si>
  <si>
    <t>RTOMICC01105052</t>
  </si>
  <si>
    <t>3ec2e282-1501-47d8-834a-c10de43d2d6d</t>
  </si>
  <si>
    <t>OT26289TZ0140312</t>
  </si>
  <si>
    <t>e0b25b26-f135-4d6a-aa95-c59b4b874f50</t>
  </si>
  <si>
    <t>OT26289TZ0140315</t>
  </si>
  <si>
    <t>cbad6ac6-ebcb-41c6-8e9e-edd2c792d4ea</t>
  </si>
  <si>
    <t>OT26289TZ0140456</t>
  </si>
  <si>
    <t>414047a5-2c55-4ce1-ac34-9bf1c4b31ca3</t>
  </si>
  <si>
    <t>OT26289TZ0140298</t>
  </si>
  <si>
    <t>a4d6378f-c34f-4d3f-9566-4e62865165cb</t>
  </si>
  <si>
    <t>HZ1K522DHMMB5AA4</t>
  </si>
  <si>
    <t>79831b54-8b09-4dba-914a-cbd57020b25a</t>
  </si>
  <si>
    <t>FT26289007ZN</t>
  </si>
  <si>
    <t>abaa05c9-1f7f-49de-8ed0-730905290003</t>
  </si>
  <si>
    <t>TZ1RTGF262890789</t>
  </si>
  <si>
    <t>79ff1ce5-2199-430c-9c68-3dbc635532c6</t>
  </si>
  <si>
    <t>0610E62EAD6E/2627913052319000</t>
  </si>
  <si>
    <t>eb288455-4914-4df2-a65a-b6eeafed0556</t>
  </si>
  <si>
    <t>P261016C00000109</t>
  </si>
  <si>
    <t>b962cc03-0e19-4786-bea6-84445c4774b6</t>
  </si>
  <si>
    <t>261016T000610116</t>
  </si>
  <si>
    <t>S0662891630301</t>
  </si>
  <si>
    <t>5df2e156-3d19-407b-8e06-2a0110ac61fa</t>
  </si>
  <si>
    <t>OT26289TZ0140341</t>
  </si>
  <si>
    <t>d47ba023-5548-458f-aef9-2e3c43b6b633</t>
  </si>
  <si>
    <t>P261016C00001565</t>
  </si>
  <si>
    <t>26ddab1c-443b-494b-98f8-e3369117e8c7</t>
  </si>
  <si>
    <t>TZ1RTGF262890784</t>
  </si>
  <si>
    <t>8199119c-c601-4bc3-92f7-ae423b640195</t>
  </si>
  <si>
    <t>TZ1OL261016025A5</t>
  </si>
  <si>
    <t>PIGCN01979A11676</t>
  </si>
  <si>
    <t>49d1b144-7b97-4884-95d3-22bc9285bec7</t>
  </si>
  <si>
    <t>GEPGTR-7191665</t>
  </si>
  <si>
    <t>77c6373d-1cf3-45b8-91d1-06c6f398719f</t>
  </si>
  <si>
    <t>OT26289TZ0140316</t>
  </si>
  <si>
    <t>89a6325a-217a-43a8-9b41-01028b0a5146</t>
  </si>
  <si>
    <t>FT26289FJDZR</t>
  </si>
  <si>
    <t>abaa05c9-1f7f-49de-8ed0-973745283503</t>
  </si>
  <si>
    <t>261015T000609915</t>
  </si>
  <si>
    <t>NMBUSDHB.4/295/04/F1593</t>
  </si>
  <si>
    <t>5df05f04-6f35-4a50-8e06-2a0110acc6f0</t>
  </si>
  <si>
    <t xml:space="preserve">RTO3012262334744 </t>
  </si>
  <si>
    <t>1792c276-bddc-4db8-b33a-e27d2dcc530f</t>
  </si>
  <si>
    <t>GEPGTR-7191668</t>
  </si>
  <si>
    <t>b81d7ae5-572d-411f-8e31-91524e0be192</t>
  </si>
  <si>
    <t>RTO3003262452113</t>
  </si>
  <si>
    <t>a81cbd51-0593-4064-abbd-9da7a4cbdb9e</t>
  </si>
  <si>
    <t>261016TA040365</t>
  </si>
  <si>
    <t>OT26289TZ0140682</t>
  </si>
  <si>
    <t>87799621-9cc1-430c-a9fa-f963f2e9547a</t>
  </si>
  <si>
    <t>P261016C00003187</t>
  </si>
  <si>
    <t>9854dbb5-8167-4a6e-aa22-2e0eddd1e20c</t>
  </si>
  <si>
    <t>P261016C00001583</t>
  </si>
  <si>
    <t>48678701-d714-4204-959a-5665db19fa21</t>
  </si>
  <si>
    <t>TZAAO28926HMS2M</t>
  </si>
  <si>
    <t>ab6f3024-460e-44df-9e53-62941025928</t>
  </si>
  <si>
    <t>5d019a2b-4415-4c42-9569-c6c945603ffe</t>
  </si>
  <si>
    <t>P261016C00001575</t>
  </si>
  <si>
    <t>d0a27370-230a-42be-b4f6-57625045b384</t>
  </si>
  <si>
    <t>GEPGTR-7191667</t>
  </si>
  <si>
    <t>76e55b0d-d795-4203-977c-4bbcce9ef9a0</t>
  </si>
  <si>
    <t>P261016C00001569</t>
  </si>
  <si>
    <t>6316d0fd-4aa6-437f-9348-420f11fc6ea9</t>
  </si>
  <si>
    <t>P261016C00003273</t>
  </si>
  <si>
    <t>8a3b1812-3734-46e2-aa26-5b04d5fae649</t>
  </si>
  <si>
    <t>TZAAO28926HPCUY</t>
  </si>
  <si>
    <t>b1106a51-733f-4728-a530-a2aad4ca98b</t>
  </si>
  <si>
    <t>23f5f71c-5b02-45b8-8af6-a275c7038c0b</t>
  </si>
  <si>
    <t>TZAAO28926HOF0R</t>
  </si>
  <si>
    <t>f5522d7f-7fa7-42c3-9ac0-32cea913291</t>
  </si>
  <si>
    <t>2e345b05-819c-4456-95e3-098bdf88f40d</t>
  </si>
  <si>
    <t>GEPGTR-7191666</t>
  </si>
  <si>
    <t>df2fc388-c164-4d4f-8fc3-8801b1ffe26a</t>
  </si>
  <si>
    <t>TZRTG-26-153320</t>
  </si>
  <si>
    <t>991099628563</t>
  </si>
  <si>
    <t>14d35169-cfee-4be0-93aa-c7b9622edbe5</t>
  </si>
  <si>
    <t>P261016C00003275</t>
  </si>
  <si>
    <t>e52b0144-5668-43c6-ad02-69371cb8098c</t>
  </si>
  <si>
    <t>TZ1RTGS262890302</t>
  </si>
  <si>
    <t>cf86d517-36d9-44a3-8848-5745f105aea7</t>
  </si>
  <si>
    <t>OT26289TZ0140322</t>
  </si>
  <si>
    <t>baa2c0d4-6397-4df6-9944-feff3f436670</t>
  </si>
  <si>
    <t>P261016C00000317</t>
  </si>
  <si>
    <t>77e44226-d290-48d0-822a-e2f7b92e2162</t>
  </si>
  <si>
    <t>TZ1RTGF262890783</t>
  </si>
  <si>
    <t>dc851de1-8581-4dfd-846d-94e96e1c50ba</t>
  </si>
  <si>
    <t>HZ1K54E4J8S5BBA3</t>
  </si>
  <si>
    <t>6ebb57a0-df0b-4f63-bae9-dc3a2c57e755</t>
  </si>
  <si>
    <t>P261017C00000537</t>
  </si>
  <si>
    <t>3eb79924-a921-4401-a2fe-06e4f11289b2</t>
  </si>
  <si>
    <t>000000597453</t>
  </si>
  <si>
    <t>8b042ac7-bb2d-45d1-92df-d0b6d4faa715</t>
  </si>
  <si>
    <t>TZAAO29026HULOU</t>
  </si>
  <si>
    <t>a92e3f93-34da-45be-afc6-e3712a2f03e</t>
  </si>
  <si>
    <t>cace5dd8-618d-4f45-8a0a-8b8ace7d48eb</t>
  </si>
  <si>
    <t>261017TA040379</t>
  </si>
  <si>
    <t>FT2628926GMW</t>
  </si>
  <si>
    <t>89848ed3-9bad-4ebd-9a29-94e85cdc7487</t>
  </si>
  <si>
    <t>P261017C00000515</t>
  </si>
  <si>
    <t>2376b8b6-dd2b-44f7-96d1-c447bd7eac1e</t>
  </si>
  <si>
    <t>FT26290R598T</t>
  </si>
  <si>
    <t>b4976a0b-609f-429f-a9a4-f449eebae891</t>
  </si>
  <si>
    <t>HZ1K54E4OUI01B18</t>
  </si>
  <si>
    <t>507044c1-96eb-4446-acb3-481b5f787221</t>
  </si>
  <si>
    <t>TRX2610170804482</t>
  </si>
  <si>
    <t>E2E2610170807622</t>
  </si>
  <si>
    <t>7fc145e1-c633-4674-83f3-b89af3d24eb6</t>
  </si>
  <si>
    <t>TZAAO29026H2R18</t>
  </si>
  <si>
    <t>bf15c348-9785-49dd-9921-fd87b36d929</t>
  </si>
  <si>
    <t>6a2393df-c40d-4759-ad68-525176996152</t>
  </si>
  <si>
    <t>TZAAO29026HGJ9C</t>
  </si>
  <si>
    <t>F/TZA/DRT/AAO/20261017/00039010239</t>
  </si>
  <si>
    <t>7640f5bf-d9b4-4ff3-b028-711a5b2feb3d</t>
  </si>
  <si>
    <t>P261017C00001253</t>
  </si>
  <si>
    <t>ceae6f2b-c42e-415c-b5f5-eff744001c63</t>
  </si>
  <si>
    <t>OT26290TZ0140734</t>
  </si>
  <si>
    <t>3912d9dd-8134-4686-a45b-442d7c28d7c3</t>
  </si>
  <si>
    <t>OT26290TZ0140739</t>
  </si>
  <si>
    <t>f431ea44-e060-4bac-bf87-5b4b6bf6b9d6</t>
  </si>
  <si>
    <t>2629201355184000</t>
  </si>
  <si>
    <t>6e68e29f-36b5-4e65-8d5c-1dd24d964123</t>
  </si>
  <si>
    <t>TZAAO29226HOEQN</t>
  </si>
  <si>
    <t>F/TZA/DRT/AAO/20261019/00039033526</t>
  </si>
  <si>
    <t>499f1126-b453-4b5e-8176-4d21e3138b8a</t>
  </si>
  <si>
    <t>207LIUC262330002</t>
  </si>
  <si>
    <t>9ae5af76-267c-4e81-8f35-832c92cb25b6</t>
  </si>
  <si>
    <t>TZ1RTGF262920341</t>
  </si>
  <si>
    <t>4de9664f-ed33-4797-a099-28c18272b00a</t>
  </si>
  <si>
    <t>OT26290TZ0140735</t>
  </si>
  <si>
    <t>cc2fc4d2-45dd-44e1-9a2b-7f4e2e8026f5</t>
  </si>
  <si>
    <t>P261019C00002011</t>
  </si>
  <si>
    <t>1f52fe22-f3b5-4749-985f-0cf18cc8a24d</t>
  </si>
  <si>
    <t>TZAAO29226HGHD9</t>
  </si>
  <si>
    <t>F/TZA/DRT/AAO/20261019/00039033517</t>
  </si>
  <si>
    <t>966eb2b1-ada7-4cbc-a4dc-23395ecfb853</t>
  </si>
  <si>
    <t>207LIUC262330501</t>
  </si>
  <si>
    <t>3de77846-6e76-492c-b9a8-2c4c2daf44e5</t>
  </si>
  <si>
    <t>201LIUC262380001</t>
  </si>
  <si>
    <t>99bb8369-871a-465f-937c-9eb056c92ced</t>
  </si>
  <si>
    <t>TZAAO29226HULA2</t>
  </si>
  <si>
    <t>F/TZA/DRT/AAO/20261019/00039043965</t>
  </si>
  <si>
    <t>612d77f6-2f30-4384-b9e2-e923203f3b3b</t>
  </si>
  <si>
    <t>TZAAO29226H6BYQ</t>
  </si>
  <si>
    <t>062d1592-62bf-417a-89c3-4099560c72a</t>
  </si>
  <si>
    <t>55db161f-8af2-40fc-8041-0a743e01248a</t>
  </si>
  <si>
    <t>311LIUC262400002</t>
  </si>
  <si>
    <t>f7bd98ca-8d38-456f-95e1-2044970587c2</t>
  </si>
  <si>
    <t>TZ1RTGF262920783</t>
  </si>
  <si>
    <t>ac4f6165-d26f-443d-98a4-cf494217d3d7</t>
  </si>
  <si>
    <t>223LIUF262240001</t>
  </si>
  <si>
    <t>a65b5c3f-171a-4628-b088-cfc21189c788</t>
  </si>
  <si>
    <t>OT26292TZ0141001</t>
  </si>
  <si>
    <t>1cac640b-3232-4881-b3c4-7e4178bea1d4</t>
  </si>
  <si>
    <t>TRY/26/3017413</t>
  </si>
  <si>
    <t>1fb2c074-63c5-4a36-94a8-8f9d5229440d</t>
  </si>
  <si>
    <t>030TOUS191026002</t>
  </si>
  <si>
    <t>563541ec-eb82-4eed-9121-f51758681b2b</t>
  </si>
  <si>
    <t>201LIUF262290001</t>
  </si>
  <si>
    <t>19cf800d-b5b6-4724-9f7c-7bd67924afcb</t>
  </si>
  <si>
    <t>TRY/26/3017412</t>
  </si>
  <si>
    <t>282532c8-29c9-4a20-aba4-015b643e3436</t>
  </si>
  <si>
    <t>TZAAO29226HASA1</t>
  </si>
  <si>
    <t>93670289-bc70-4a99-aa51-b7c7e842886</t>
  </si>
  <si>
    <t>bd9b04ad-5f41-4d05-8dda-caec241d427d</t>
  </si>
  <si>
    <t>TZAAO29226HDWGA</t>
  </si>
  <si>
    <t>F/TZA/DRT/AAO/20261019/00039033522</t>
  </si>
  <si>
    <t>26289a84-6a31-4053-9c8a-fac800f2a7ea</t>
  </si>
  <si>
    <t>TZAAO29226HNH1Y</t>
  </si>
  <si>
    <t>fbeb57b5-12da-46d7-846f-9d79e82e21a</t>
  </si>
  <si>
    <t>8fbffaac-4b91-4642-aa6d-34e62edaef21</t>
  </si>
  <si>
    <t>R90RTGO262920160</t>
  </si>
  <si>
    <t>cc07d34f-3b17-4d6f-b676-58b2aafb6d44</t>
  </si>
  <si>
    <t>RTOMICC01105734</t>
  </si>
  <si>
    <t>72083873-485b-40a9-9232-b36ce6a99298</t>
  </si>
  <si>
    <t>OT26290TZ0140733</t>
  </si>
  <si>
    <t>54e1a71e-6dfd-4bde-87f9-d3c1f97034c2</t>
  </si>
  <si>
    <t>TZ1RTGF262920818</t>
  </si>
  <si>
    <t>994840053590 DEPARTURE SECURIT</t>
  </si>
  <si>
    <t>496a1d1e-7cf7-48fd-be33-72d3e7ec75f4</t>
  </si>
  <si>
    <t>OT26292TZ0141052</t>
  </si>
  <si>
    <t>9565720e-8991-4b6e-99b7-b27515d6145b</t>
  </si>
  <si>
    <t>T0119102600892</t>
  </si>
  <si>
    <t>2628307047107000</t>
  </si>
  <si>
    <t>7fc6e917-cf5c-4b95-ac2d-37d2dd129101</t>
  </si>
  <si>
    <t>FT26292FSWLD</t>
  </si>
  <si>
    <t>abaa05c9-1f7f-49de-8ed0-181085476506</t>
  </si>
  <si>
    <t>TZAAO29226H8GCT</t>
  </si>
  <si>
    <t>F/TZA/DRT/AAO/20261019/00039033509</t>
  </si>
  <si>
    <t>244515d8-047c-4990-8a4a-d1cc5b832e2f</t>
  </si>
  <si>
    <t>201LIUF262361003</t>
  </si>
  <si>
    <t>71008801-8852-4391-9da5-df385d5a6289</t>
  </si>
  <si>
    <t>1082224</t>
  </si>
  <si>
    <t>fbfd68b7-0814-4175-91a3-0f6c6339c411</t>
  </si>
  <si>
    <t>TZ1RTGF262920383</t>
  </si>
  <si>
    <t>994840053631</t>
  </si>
  <si>
    <t>061159d2-8681-413d-adab-441ca3eb6418</t>
  </si>
  <si>
    <t>OT26290TZ0140736</t>
  </si>
  <si>
    <t>6d4488e8-f69a-4a7e-885f-5796217fb02c</t>
  </si>
  <si>
    <t>T0119102600933</t>
  </si>
  <si>
    <t>7297a6a2-193e-48a0-83cd-3a73d1a825f0</t>
  </si>
  <si>
    <t>OT26290TZ0140737</t>
  </si>
  <si>
    <t>cc2bcb27-e223-4b15-8d73-db05ee9df4bd</t>
  </si>
  <si>
    <t>FT26292GQXPV</t>
  </si>
  <si>
    <t>abaa05c9-1f7f-49de-8ed0-055713667500</t>
  </si>
  <si>
    <t>261019T000611045</t>
  </si>
  <si>
    <t>8a2cb5c2-4671-4f9a-86de-08350cd4b289</t>
  </si>
  <si>
    <t>261019T000610839</t>
  </si>
  <si>
    <t>2495b288-ae58-45c7-bea6-b1a2d574843b</t>
  </si>
  <si>
    <t>CMD452D280F96C</t>
  </si>
  <si>
    <t>c465a4ba-722c-48a2-bc79-3451e3a10d64</t>
  </si>
  <si>
    <t>TZAAO29226HWKRL</t>
  </si>
  <si>
    <t>4416f859-f6d5-457a-9ca2-ccbcfc9694f</t>
  </si>
  <si>
    <t>3b043db7-08de-4b33-aeb9-be3d83e5aa88</t>
  </si>
  <si>
    <t>OT26290TZ0140738</t>
  </si>
  <si>
    <t>12c5e1e0-8c2d-4339-8736-6fb6d77e47bd</t>
  </si>
  <si>
    <t>OT26290TZ0140747</t>
  </si>
  <si>
    <t>61a55e6c-e213-4df5-87b1-b28c537fda79</t>
  </si>
  <si>
    <t>OT26290TZ0140740</t>
  </si>
  <si>
    <t>c047761c-3351-4084-9372-6c0760300722</t>
  </si>
  <si>
    <t>TZ1RTGS262920438</t>
  </si>
  <si>
    <t>a690008d-e676-47f7-986d-e23bc8072c3d</t>
  </si>
  <si>
    <t>261019TA040389</t>
  </si>
  <si>
    <t>2629201356301000</t>
  </si>
  <si>
    <t>884d9282-c512-42c3-a9a7-5f08158e6fa0</t>
  </si>
  <si>
    <t>201LIUF262430001</t>
  </si>
  <si>
    <t>7c4f2e77-800e-47f6-8585-eb62e08613eb</t>
  </si>
  <si>
    <t>TZ1RTGF262920782</t>
  </si>
  <si>
    <t>359a8276-9f8c-41de-bf5c-32848580571d</t>
  </si>
  <si>
    <t>TZAAO29226H78EZ</t>
  </si>
  <si>
    <t>00aced1c-7d54-45c2-ba6a-7a6bea17bb9</t>
  </si>
  <si>
    <t>067268e0-afc6-4703-80c6-948571633b3c</t>
  </si>
  <si>
    <t>TZ1RTGF262920784</t>
  </si>
  <si>
    <t>3072aeae-bc78-4026-be17-12af52c7cabb</t>
  </si>
  <si>
    <t>TZAAO29226HGK76</t>
  </si>
  <si>
    <t>F/TZA/DRT/AAO/20261019/00039033518</t>
  </si>
  <si>
    <t>bfc38fe6-f1a1-4a7e-8ca2-64064ebe9603</t>
  </si>
  <si>
    <t>OT26292TZ0141102</t>
  </si>
  <si>
    <t>9f51f956-8c01-4982-aa9f-d4bd614f47c4</t>
  </si>
  <si>
    <t>P261019C00001617</t>
  </si>
  <si>
    <t>a72080ff-1764-45d3-b4be-8f208ef5364e</t>
  </si>
  <si>
    <t>MBTLTISS26101730</t>
  </si>
  <si>
    <t>a6352f9a-2192-48ea-947d-c317a9ac5fca</t>
  </si>
  <si>
    <t>OT26293TZ0141409</t>
  </si>
  <si>
    <t>7b14b4ea-7b5c-4f6d-9b1a-811fd2b5e2cc</t>
  </si>
  <si>
    <t>000008482898</t>
  </si>
  <si>
    <t>9d9920ea-556b-4e94-ab2f-df8bdc4f2c45</t>
  </si>
  <si>
    <t>NMBFUN2010026/3</t>
  </si>
  <si>
    <t>1a33235b-683f-4a62-a672-04b8513e4161</t>
  </si>
  <si>
    <t>TZAAO29326HC9PD</t>
  </si>
  <si>
    <t>cf8b33ec-7ebb-471e-872c-50aae1d06bc</t>
  </si>
  <si>
    <t>4ea60d67-24a3-4436-acf1-f1e863e62f70</t>
  </si>
  <si>
    <t>OT26293TZ0141106</t>
  </si>
  <si>
    <t>8725fa50-3b6f-4af9-b784-319228052255</t>
  </si>
  <si>
    <t>TZAAO29326HJDLP</t>
  </si>
  <si>
    <t>11dff36f-28e8-4f03-bc51-675bc079dac</t>
  </si>
  <si>
    <t>a746a59a-1b38-4f61-ae06-845c3ef905fd</t>
  </si>
  <si>
    <t>TZAAO29326HRC6B</t>
  </si>
  <si>
    <t>85bbcebe-a984-402a-9aba-8d2c59010c6</t>
  </si>
  <si>
    <t>ba551366-1a8d-4d00-881c-b9132badddd4</t>
  </si>
  <si>
    <t>P261020C00000875</t>
  </si>
  <si>
    <t>5baea530-b700-44d0-84f7-5cea7fd25b56</t>
  </si>
  <si>
    <t>MBT0000000129234</t>
  </si>
  <si>
    <t>bbd9e1e9-cae1-45a6-973b-c7d4526795a4</t>
  </si>
  <si>
    <t>TZAAO29326HCNQC</t>
  </si>
  <si>
    <t>07253046-967e-4bb0-b6c6-7da645a8d9c</t>
  </si>
  <si>
    <t>34c0eca9-cb91-40a7-b669-5692bda1bbed</t>
  </si>
  <si>
    <t>OT26293TZ0141406</t>
  </si>
  <si>
    <t>003e7348-1739-499a-b83f-e5342c255b10</t>
  </si>
  <si>
    <t>201LIUF262330501</t>
  </si>
  <si>
    <t>8dde70ab-dd00-4bf3-b908-b695aaefd8cd</t>
  </si>
  <si>
    <t>1082252</t>
  </si>
  <si>
    <t>0b862d87-1ce6-4f27-9ddd-f862f111a014</t>
  </si>
  <si>
    <t>OT26293TZ0141408</t>
  </si>
  <si>
    <t>cfd6b86c-cd3a-41de-821f-1913a741c823</t>
  </si>
  <si>
    <t>OT26293TZ0141232</t>
  </si>
  <si>
    <t>f71fe0aa-1a59-4c46-bbf1-1938d5a8c7fd</t>
  </si>
  <si>
    <t>201LIUF262250001</t>
  </si>
  <si>
    <t>81494785-d9ea-46f2-ae71-35578f82fd29</t>
  </si>
  <si>
    <t>311LIUC262360501</t>
  </si>
  <si>
    <t>a0322144-ab89-49da-90b3-f63615c03866</t>
  </si>
  <si>
    <t>TFRTN/0465/2026</t>
  </si>
  <si>
    <t>2627412752157000</t>
  </si>
  <si>
    <t>53e537f2-95e8-4e81-86d4-50cda9669837</t>
  </si>
  <si>
    <t>GEPGTR-7191717</t>
  </si>
  <si>
    <t>911c9906-45ee-485a-bb44-7aaa72cba73a</t>
  </si>
  <si>
    <t>OT26293TZ0141402</t>
  </si>
  <si>
    <t>34c28331-502d-46cc-a29c-ec7b0cc139d6</t>
  </si>
  <si>
    <t>TZAAO29326HDBQE</t>
  </si>
  <si>
    <t>F/TZA/DRT/AAO/20261020/00039049336</t>
  </si>
  <si>
    <t>f625beea-ffc7-460c-a71a-417d47833759</t>
  </si>
  <si>
    <t>TZAAO29326HTOYS</t>
  </si>
  <si>
    <t>50827c43-c406-4254-a8ba-feeaee3204a</t>
  </si>
  <si>
    <t>245867e7-85b3-44bb-8506-a45579fb49be</t>
  </si>
  <si>
    <t>OT26293TZ0141366</t>
  </si>
  <si>
    <t>14d1bb51-49ce-447a-93d0-683842dc3dbb</t>
  </si>
  <si>
    <t>OT26293TZ0141501</t>
  </si>
  <si>
    <t>94fa60dc-73ee-4b68-b0d5-3d976849bc9f</t>
  </si>
  <si>
    <t>OT26293TZ0141231</t>
  </si>
  <si>
    <t>9940b882-c6c1-4a71-b324-f2ddb1fb2e88</t>
  </si>
  <si>
    <t>OT26293TZ0141407</t>
  </si>
  <si>
    <t>fba8b185-bd9c-4557-8e43-af53e5794c56</t>
  </si>
  <si>
    <t>OT26293TZ0141365</t>
  </si>
  <si>
    <t>5fbcd175-1cce-4b12-b1f7-f70317f33d1e</t>
  </si>
  <si>
    <t>TISS/RTN/26/1456</t>
  </si>
  <si>
    <t>981b86fe-5710-459b-9f82-d18ea08ad3e6</t>
  </si>
  <si>
    <t>TZAAO29326HPKJC</t>
  </si>
  <si>
    <t>2080c3bb-5ad2-48c9-bd54-1600ebe4376</t>
  </si>
  <si>
    <t>96357567-683b-45ad-9839-dc37c0fa0c8e</t>
  </si>
  <si>
    <t>1082256</t>
  </si>
  <si>
    <t>b6ad249b-c45d-4155-8fe4-2ef7e1084798</t>
  </si>
  <si>
    <t>CMRTG26293000490</t>
  </si>
  <si>
    <t>cf849f72-7cfb-4953-b4b1-ea5c61964da4</t>
  </si>
  <si>
    <t>OT26293TZ0141410</t>
  </si>
  <si>
    <t>3a48fc27-13da-44a5-a9a7-dc97b757deca</t>
  </si>
  <si>
    <t>OT26293TZ0141500</t>
  </si>
  <si>
    <t>f1a8c71d-3fa9-4087-99ff-c37f6254a90c</t>
  </si>
  <si>
    <t>000008482394</t>
  </si>
  <si>
    <t>773651b6-2792-4b3b-8f2f-1c9e3beaa10d</t>
  </si>
  <si>
    <t>OT26293TZ0141403</t>
  </si>
  <si>
    <t>f8fc487e-a2a7-4fde-986b-c5120667f7da</t>
  </si>
  <si>
    <t>FT26293TRZZD</t>
  </si>
  <si>
    <t>abaa05c9-1f7f-49de-8ed0-388993185406</t>
  </si>
  <si>
    <t>OT26293TZ0141405</t>
  </si>
  <si>
    <t>0a8aaa88-d1e3-4441-a03f-11ccddd980bd</t>
  </si>
  <si>
    <t>TZAAO29326H7DUH</t>
  </si>
  <si>
    <t>a6d34bc1-64a4-4f9f-9b4a-575a6354141</t>
  </si>
  <si>
    <t>2d8bacdf-33f3-4310-ba38-e0cc82025217</t>
  </si>
  <si>
    <t>RTN200/10/26</t>
  </si>
  <si>
    <t>1210D8503645</t>
  </si>
  <si>
    <t>30b1d703-ec12-4795-8574-3d5b9a2e1fd1</t>
  </si>
  <si>
    <t>TZAAO29326HCR0Z</t>
  </si>
  <si>
    <t>03ddb6a1-9780-49ca-9691-a9b0b5772c8</t>
  </si>
  <si>
    <t>c4017f43-14f5-40e9-bd7c-cdd77a44e480</t>
  </si>
  <si>
    <t>P261020C00002945</t>
  </si>
  <si>
    <t>2010217F107E</t>
  </si>
  <si>
    <t>c15586e1-28fc-404b-8364-3414f4676134</t>
  </si>
  <si>
    <t>TZAAO29326HXVJ3</t>
  </si>
  <si>
    <t>995b3ded-d903-4b31-b8a4-9e296973218</t>
  </si>
  <si>
    <t>ae9384df-77d3-4c9d-8f64-f891a015f52a</t>
  </si>
  <si>
    <t>261020TA040403</t>
  </si>
  <si>
    <t>OT26293TZ0141233</t>
  </si>
  <si>
    <t>2202eb0c-9c71-48a4-8337-10be068a8249</t>
  </si>
  <si>
    <t>P261020C00002367</t>
  </si>
  <si>
    <t>8c7d88e6-b341-4d9f-ba91-e89403e0ace8</t>
  </si>
  <si>
    <t>TZAAO29326HW8RQ</t>
  </si>
  <si>
    <t>1c43507d-c2fe-4d16-b5cc-1656d558a1c</t>
  </si>
  <si>
    <t>a7acae2b-e2e3-464d-82ae-8b447d22b21b</t>
  </si>
  <si>
    <t>TZAAO29326H4Z8J</t>
  </si>
  <si>
    <t>2e74ef8b-c8df-4815-96f5-425bcc0fe8d</t>
  </si>
  <si>
    <t>a8064a9e-5aa4-4b76-8165-e70dfe502022</t>
  </si>
  <si>
    <t>OT26293TZ0141404</t>
  </si>
  <si>
    <t>6f2c4bad-22e5-4fb1-8392-bf57e606f02b</t>
  </si>
  <si>
    <t>TZAAO29326HF4MK</t>
  </si>
  <si>
    <t>b5550ee8-b232-4732-af53-41f1ee56690</t>
  </si>
  <si>
    <t>42f2054d-e6fd-4861-aad2-be8e05271da3</t>
  </si>
  <si>
    <t>311LIUC262360002</t>
  </si>
  <si>
    <t>13ceb861-2112-4ae6-a648-d887b40f2e93</t>
  </si>
  <si>
    <t>CMRTG26294001365</t>
  </si>
  <si>
    <t>1b82cf41-f0df-44fe-912e-bd0e860b3c55</t>
  </si>
  <si>
    <t>GEPGTR-7191758</t>
  </si>
  <si>
    <t>1eb9597e-6f97-4f93-a127-14b82ea50f6f</t>
  </si>
  <si>
    <t>TZAAO29426HXDXO</t>
  </si>
  <si>
    <t>055cfabe-08f9-4fc2-b11e-8c68f1884f7</t>
  </si>
  <si>
    <t>446cad37-e7ec-48e1-8b43-3c08753bb23b</t>
  </si>
  <si>
    <t>OT26294TZ0141798</t>
  </si>
  <si>
    <t>0a0b85cf-b11e-447c-b9dc-d5e0c5908742</t>
  </si>
  <si>
    <t>RTOMICC01106441</t>
  </si>
  <si>
    <t>28f20041-b4a2-4abd-99af-31dd3a52c5b6</t>
  </si>
  <si>
    <t>TZAAO29426HHVVP</t>
  </si>
  <si>
    <t>F/TZA/DRT/AAO/20261021/00039100766</t>
  </si>
  <si>
    <t>aa1abfe6-219e-49a4-afdf-e8f8e3f6d4ea</t>
  </si>
  <si>
    <t>T0421102601288</t>
  </si>
  <si>
    <t>b59499df-a12b-477f-a7a8-6e55fab21778</t>
  </si>
  <si>
    <t>FT262940J119</t>
  </si>
  <si>
    <t>d21e9fdf-81d0-48cc-b1a3-afe4a7c1ca24</t>
  </si>
  <si>
    <t>000008484278</t>
  </si>
  <si>
    <t>ea6a9ec2-cbe8-497a-81bb-b2cd962dfbe9</t>
  </si>
  <si>
    <t>HZ1K5FTHM8QB1B95</t>
  </si>
  <si>
    <t>90b4c88c-180c-4ffc-9dbc-8e77b9a85fc9</t>
  </si>
  <si>
    <t>OT26294TZ0141799</t>
  </si>
  <si>
    <t>f28e7314-8a10-4f58-ae79-25f6103a5439</t>
  </si>
  <si>
    <t>GEPGTR-7191757</t>
  </si>
  <si>
    <t>083987d7-0439-483c-94c0-5354622cd8ee</t>
  </si>
  <si>
    <t>RTOMICC01106442</t>
  </si>
  <si>
    <t>5cf3c127-d9ea-44da-97a7-3e7db8b9b7ff</t>
  </si>
  <si>
    <t>CMRTG26294001364</t>
  </si>
  <si>
    <t>bfccd0e0-8561-4552-beae-b377d6f0d227</t>
  </si>
  <si>
    <t>P261021C00000643</t>
  </si>
  <si>
    <t>a3d60c5c-1eeb-489d-adab-faa87d6fda19</t>
  </si>
  <si>
    <t>HZ1K5FBTAFOEBA8C</t>
  </si>
  <si>
    <t>7d03d128-5732-4b21-9745-01c1f7f9e5ac</t>
  </si>
  <si>
    <t>TFRTN/0476/2026</t>
  </si>
  <si>
    <t>2627822718007000</t>
  </si>
  <si>
    <t>96f48794-5152-42d9-9bbb-640de2c48a46</t>
  </si>
  <si>
    <t>000008483933</t>
  </si>
  <si>
    <t>c3301d5f-0a2e-4f77-9a93-edd1b741f9ec</t>
  </si>
  <si>
    <t>CRDBTZ26ELCR771H</t>
  </si>
  <si>
    <t>201LC02261050001</t>
  </si>
  <si>
    <t>31a4bb0c-4bf4-49d2-93ee-f5a5d0876fce</t>
  </si>
  <si>
    <t>P261021C00000917</t>
  </si>
  <si>
    <t>456c5836-1277-45a4-bd72-188addc0f3da</t>
  </si>
  <si>
    <t>TZAAO29426H6E1S</t>
  </si>
  <si>
    <t>F/TZA/DRT/AAO/20261021/00039102100</t>
  </si>
  <si>
    <t>7fb0e19d-c4f6-4d7e-bb55-b519d639a3b3</t>
  </si>
  <si>
    <t>TZAAO29426HXRPQ</t>
  </si>
  <si>
    <t>F/TZA/DRT/AAO/20261021/00039100763</t>
  </si>
  <si>
    <t>9c2fa0ee-8639-4502-831f-822e9f304de3</t>
  </si>
  <si>
    <t>P261021C00001837</t>
  </si>
  <si>
    <t>d5ef0e38-fb45-4666-8c53-8a86d8d32163</t>
  </si>
  <si>
    <t>TZAAO29426H38B7</t>
  </si>
  <si>
    <t>F/TZA/DRT/AAO/20261021/00039102098</t>
  </si>
  <si>
    <t>1ce26ede-e0b9-4c7c-9dde-74da3f4b7ba3</t>
  </si>
  <si>
    <t>TZAAO29426HE397</t>
  </si>
  <si>
    <t>F/TZA/DRT/AAO/20261021/00039100758</t>
  </si>
  <si>
    <t>a1393630-cd79-4296-be08-2802ab35da64</t>
  </si>
  <si>
    <t>FT262798GRD1</t>
  </si>
  <si>
    <t>06100BDA432A</t>
  </si>
  <si>
    <t>f2688a41-ea94-4769-823d-c74b4fe2128f</t>
  </si>
  <si>
    <t>000008483911</t>
  </si>
  <si>
    <t>4ccd822b-9592-4615-9572-211b9b6cf54d</t>
  </si>
  <si>
    <t>TZAAO29426H8W1D</t>
  </si>
  <si>
    <t>1cce107e-236c-4660-80e1-a92b710db86</t>
  </si>
  <si>
    <t>497f7fc0-29f0-4b18-9c34-8d1b3b96e01f</t>
  </si>
  <si>
    <t>CMAUSD47302</t>
  </si>
  <si>
    <t>2629212747134000</t>
  </si>
  <si>
    <t>6abc239d-a907-40d0-8ec3-dd6234a745d1</t>
  </si>
  <si>
    <t>OT26294TZ0141763</t>
  </si>
  <si>
    <t>aceb77fc-56e2-4ce7-882e-d7c95f1f7d04</t>
  </si>
  <si>
    <t>OT26294TZ0141725</t>
  </si>
  <si>
    <t>32fc3e6e-a2f2-46f9-8643-dee631e0026e</t>
  </si>
  <si>
    <t>173IBT2610211546UQELM6</t>
  </si>
  <si>
    <t>47d230fe-626a-492f-baa1-6b1fb1100be2</t>
  </si>
  <si>
    <t>TZ1RTGF262940345</t>
  </si>
  <si>
    <t>8e6f1ed5-9f24-4d1e-a2bc-d8d738e9cb89</t>
  </si>
  <si>
    <t>OT26294TZ0141544</t>
  </si>
  <si>
    <t>aaf64680-981f-4fc3-98ab-83580acfe307</t>
  </si>
  <si>
    <t>OT26294TZ0141774</t>
  </si>
  <si>
    <t>762cfee3-d117-4da6-8b95-9433ba0fea36</t>
  </si>
  <si>
    <t>OT26294TZ0141773</t>
  </si>
  <si>
    <t>cfb0a524-5c71-4571-80fc-690e1c703dcd</t>
  </si>
  <si>
    <t>261021TA040417</t>
  </si>
  <si>
    <t>TZAAO29426HL06Q</t>
  </si>
  <si>
    <t>F/TZA/DRT/AAO/20261021/00039100762</t>
  </si>
  <si>
    <t>e223a80f-7b4f-4102-b6c9-1a0c12de3dcf</t>
  </si>
  <si>
    <t>HLDNESKH</t>
  </si>
  <si>
    <t>OT26295TZ0141813</t>
  </si>
  <si>
    <t>d5a1dd10-5461-4280-b03e-07bc6f30c406</t>
  </si>
  <si>
    <t>T0DLVN4G</t>
  </si>
  <si>
    <t>c1784e34-3fca-4351-9b20-9ceec3a4b665</t>
  </si>
  <si>
    <t>OT26295TZ0141988</t>
  </si>
  <si>
    <t>034c1ed4-9933-490f-9b00-e704997389e2</t>
  </si>
  <si>
    <t>261022TA040433</t>
  </si>
  <si>
    <t>HZ1K5HQ9UKA80B3E</t>
  </si>
  <si>
    <t>f126a6ed-4d7f-482f-a146-8e91c0e7df16</t>
  </si>
  <si>
    <t>000008486720</t>
  </si>
  <si>
    <t>829c9b22-af2b-47c2-8bc4-147a07c3b6a9</t>
  </si>
  <si>
    <t>OT26295TZ0141986</t>
  </si>
  <si>
    <t>a631e17b-ac2f-4c68-835f-b276874164a7</t>
  </si>
  <si>
    <t>16T3M1BN</t>
  </si>
  <si>
    <t>OT26295TZ0141993</t>
  </si>
  <si>
    <t>54b2cb29-3804-4ce4-a9a0-b6e36aeb014b</t>
  </si>
  <si>
    <t>OT26295TZ0141991</t>
  </si>
  <si>
    <t>800225fa-dc22-47fb-a6ae-56c53f0a26c6</t>
  </si>
  <si>
    <t>9OO33S5B</t>
  </si>
  <si>
    <t>7d9d0146-eb80-4d2f-a94d-7fde5ba0d9a2</t>
  </si>
  <si>
    <t>HZ1K5HQA1IP24A26</t>
  </si>
  <si>
    <t>CMRTG26295001956</t>
  </si>
  <si>
    <t>bdb2253b-66d1-410b-be66-f58bad0089e3</t>
  </si>
  <si>
    <t>TZAAO29526HNEPB</t>
  </si>
  <si>
    <t>c8bb9fe3-d882-4ac6-897b-65adfc11b73</t>
  </si>
  <si>
    <t>c2e344b1-6db7-482a-8428-dd75b311eb26</t>
  </si>
  <si>
    <t>P261022C00000687</t>
  </si>
  <si>
    <t>22100E661897</t>
  </si>
  <si>
    <t>9d372cba-4d0c-48ef-8434-e0d503401e62</t>
  </si>
  <si>
    <t>OT26295TZ0141996</t>
  </si>
  <si>
    <t>ab06b17c-bd09-41d9-af20-9ac4c22ba446</t>
  </si>
  <si>
    <t>6BC74MNI</t>
  </si>
  <si>
    <t>478f04d4-3905-4ca2-af72-706e99cb6799</t>
  </si>
  <si>
    <t>NMBFUN2210026/01</t>
  </si>
  <si>
    <t>e8017e0a-40ec-4676-810d-8906da47e5b2</t>
  </si>
  <si>
    <t>TZ1RTGF262950517</t>
  </si>
  <si>
    <t>3065d765-993e-47a8-b622-2f98ce0fa8bd</t>
  </si>
  <si>
    <t>TZAAO29526HXLBL</t>
  </si>
  <si>
    <t>fb267dae-c3f2-4676-a29a-b2aff0a87ed</t>
  </si>
  <si>
    <t>e7943dca-d530-4ef8-88db-1033b81b50fa</t>
  </si>
  <si>
    <t>HZ1K5H063BS738E3</t>
  </si>
  <si>
    <t>TZAAO29526HFPL2</t>
  </si>
  <si>
    <t>68519e8d-7f7b-4ce9-a01b-3726756c524</t>
  </si>
  <si>
    <t>537c6b46-d5a7-4924-aac8-a09da5d358a0</t>
  </si>
  <si>
    <t>TZ1RTGF262950513</t>
  </si>
  <si>
    <t>d6ef4083-96b5-4765-ad14-7c0a75612908</t>
  </si>
  <si>
    <t>TZAAO29526HNYGK</t>
  </si>
  <si>
    <t>f09f1918-06ca-47d3-9f1b-16ff226ea35</t>
  </si>
  <si>
    <t>cbe0dd2a-91dd-4eaf-90b7-d81199ee1970</t>
  </si>
  <si>
    <t>TZAAO29526H26Y0</t>
  </si>
  <si>
    <t>cfdc3c6c-8924-4c33-bfe3-5a922276005</t>
  </si>
  <si>
    <t>6acae539-d2ca-41f9-ad6d-7745efd98b34</t>
  </si>
  <si>
    <t>OT26295TZ0141997</t>
  </si>
  <si>
    <t>487e4f6c-cbc9-4e55-a689-8db0f69fe331</t>
  </si>
  <si>
    <t>TZAAO29526HDH7H</t>
  </si>
  <si>
    <t>0d8266aa-879a-4344-9684-43b801f06f1</t>
  </si>
  <si>
    <t>bfd26ee5-f7cc-4a28-9d38-0b8c9290e911</t>
  </si>
  <si>
    <t>TZ1OL261022025AG</t>
  </si>
  <si>
    <t>PICRJETZ01A44864</t>
  </si>
  <si>
    <t>8ed19de2-3c6b-4c0c-b80b-da7a56ac3023</t>
  </si>
  <si>
    <t>3601ITT11/18267</t>
  </si>
  <si>
    <t>2629422067330000</t>
  </si>
  <si>
    <t>3e37ccd7-db12-4da4-ae2c-50de41693414</t>
  </si>
  <si>
    <t>TZAAO29526HS4VG</t>
  </si>
  <si>
    <t>1d0f2661-01eb-4d2f-ab95-76ba1f4bba9</t>
  </si>
  <si>
    <t>150b1f2b-c4cc-4cff-a4bb-86e4bb9edb65</t>
  </si>
  <si>
    <t>TZ1OL261022025AI</t>
  </si>
  <si>
    <t>PICRJETZ01A44872</t>
  </si>
  <si>
    <t>ba8b8586-76fa-4aa8-9359-417b3ffd3794</t>
  </si>
  <si>
    <t>1082308</t>
  </si>
  <si>
    <t>08e6d207-0214-4e7e-96b2-975a99697a9e</t>
  </si>
  <si>
    <t>GTDOAM2T</t>
  </si>
  <si>
    <t>OT26295TZ0141994</t>
  </si>
  <si>
    <t>a37f3976-5a10-49dd-95e7-8ff28093b2d4</t>
  </si>
  <si>
    <t>HZ1K5HCNJMS83876</t>
  </si>
  <si>
    <t>TZAAO29526H66QI</t>
  </si>
  <si>
    <t>fd3e1a10-2539-40eb-8cf2-58d11556606</t>
  </si>
  <si>
    <t>ccfc2cb6-591a-45bd-b5e2-0cb71cb800ec</t>
  </si>
  <si>
    <t>FT26295CW5SM</t>
  </si>
  <si>
    <t>abaa05c9-1f7f-49de-8ed0-860854004801</t>
  </si>
  <si>
    <t>TZ1RTGF262950253</t>
  </si>
  <si>
    <t>104d5f93-8c01-4b8b-9e79-78b693e0c50f</t>
  </si>
  <si>
    <t>TRY/26/3017432</t>
  </si>
  <si>
    <t>3ce3c51f-54ab-4f5f-a0c3-78e5f109b999</t>
  </si>
  <si>
    <t>S690972</t>
  </si>
  <si>
    <t>bfc7f593-a65e-434d-8999-6379d0b6f53d</t>
  </si>
  <si>
    <t>OT26295TZ0141992</t>
  </si>
  <si>
    <t>85316235-cc50-4f9b-a158-33f8c9e62b30</t>
  </si>
  <si>
    <t>TZ1RTGF262950563</t>
  </si>
  <si>
    <t>33c45562-fb98-4ebe-a11e-ef09d5c5b519</t>
  </si>
  <si>
    <t>OT26295TZ0141990</t>
  </si>
  <si>
    <t>38caec3b-cd8b-48a6-8317-517fbc194f25</t>
  </si>
  <si>
    <t>P261022C00000629</t>
  </si>
  <si>
    <t>81a3b57c-be7f-46f9-95f9-5c97d1cb2d91</t>
  </si>
  <si>
    <t>GEPGTR-7191769</t>
  </si>
  <si>
    <t>5c87f44b-86f2-4704-9eb3-5138809b9513</t>
  </si>
  <si>
    <t>OT26295TZ0141995</t>
  </si>
  <si>
    <t>8ee52700-cfeb-45e4-833b-c13a4ad2f86e</t>
  </si>
  <si>
    <t>OT26295TZ0141987</t>
  </si>
  <si>
    <t>2d11db68-9d61-4c4e-a5ee-553413586716</t>
  </si>
  <si>
    <t>TZ1RTGF262950511</t>
  </si>
  <si>
    <t>339deabb-b847-4dc4-88ef-678ef93ecc3e</t>
  </si>
  <si>
    <t>R90RTGO262950135</t>
  </si>
  <si>
    <t>69eb95ce-5a83-48ae-ab6a-17776e6c2d7d</t>
  </si>
  <si>
    <t>311BCIS262931002</t>
  </si>
  <si>
    <t>ea0a3ebf-1beb-4df8-bc16-269dd764fae5</t>
  </si>
  <si>
    <t>R90RTGO262960074</t>
  </si>
  <si>
    <t>9e837448-8bde-4801-aacc-40544d7732a7</t>
  </si>
  <si>
    <t>TZ1RTGF262962174</t>
  </si>
  <si>
    <t>0fabfac2-b224-407c-b9d4-4080ca105cc0</t>
  </si>
  <si>
    <t>SQ45MPGK</t>
  </si>
  <si>
    <t>BNPSLO7K</t>
  </si>
  <si>
    <t>OT26296TZ0142394</t>
  </si>
  <si>
    <t>e59b03eb-5e35-4c3f-8871-b1c6e90371eb</t>
  </si>
  <si>
    <t>TZRTG-26-003397</t>
  </si>
  <si>
    <t>991099652958</t>
  </si>
  <si>
    <t>89f68277-4fac-4ae4-bb24-a292a9429071</t>
  </si>
  <si>
    <t>P261023C00001927</t>
  </si>
  <si>
    <t>b312bf54-e6a5-448e-9811-f55dc4405ca8</t>
  </si>
  <si>
    <t>P261023C00000367</t>
  </si>
  <si>
    <t>2bd5de57-2ec3-4c13-b683-f5d76acf16c2</t>
  </si>
  <si>
    <t>HZ1K5KB10IMCF94B</t>
  </si>
  <si>
    <t>47a2da65-3336-4ca2-b2e1-10b2179b21f3</t>
  </si>
  <si>
    <t>FSVRA4QI</t>
  </si>
  <si>
    <t>BOT/OTT/10382/26</t>
  </si>
  <si>
    <t>fce77587-a3dc-4e8b-b70d-e17c79cf07e0</t>
  </si>
  <si>
    <t>P261023C00001925</t>
  </si>
  <si>
    <t>2259a62e-e48a-4825-8465-c7144c7805c4</t>
  </si>
  <si>
    <t>P261023C00002553</t>
  </si>
  <si>
    <t>4e3ce828-b8e9-4bc7-9ba8-501f751e39b5</t>
  </si>
  <si>
    <t>MFPHG99P</t>
  </si>
  <si>
    <t>594e50c5-c028-4487-93af-f0b73591f00d</t>
  </si>
  <si>
    <t>P261023C00003091</t>
  </si>
  <si>
    <t>46d42b45-8401-440d-b279-ba1431ee7ac8</t>
  </si>
  <si>
    <t>CMRTG26296003174</t>
  </si>
  <si>
    <t>e5ce3501-2364-4b93-9e8b-bc694086770c</t>
  </si>
  <si>
    <t>SREGDG82</t>
  </si>
  <si>
    <t>HZ1K5KIQEKD299A7</t>
  </si>
  <si>
    <t>22a97860-d873-4237-a839-414be6248e3b</t>
  </si>
  <si>
    <t>HZ1K5JNNQ1RF58E3</t>
  </si>
  <si>
    <t>8f960cd5-6108-4f1c-8c83-7c79fd7e0bca</t>
  </si>
  <si>
    <t>OT26296TZ0142527</t>
  </si>
  <si>
    <t>4012ba68-2b24-4c38-9c5b-4a78dba76b1f</t>
  </si>
  <si>
    <t>AVFS0VJI</t>
  </si>
  <si>
    <t>208RTG261023022</t>
  </si>
  <si>
    <t>6d997c03-060e-48ee-bece-e8f3d9ebc2fd</t>
  </si>
  <si>
    <t>TZAAO29626HCKDT</t>
  </si>
  <si>
    <t>a7a631e9-88ea-4324-909d-c52e6c9fcfb</t>
  </si>
  <si>
    <t>a6d2c81a-38a0-497b-95af-c27d6ff534c8</t>
  </si>
  <si>
    <t>000000607939</t>
  </si>
  <si>
    <t>3a86d2fd-1faf-4266-a140-7c9aa1490d2</t>
  </si>
  <si>
    <t>bc8175d9-5d19-4876-a765-de4b5cb825ee</t>
  </si>
  <si>
    <t>P1C1M3N2</t>
  </si>
  <si>
    <t>DTB/1887/2026</t>
  </si>
  <si>
    <t>22100FCA83C9</t>
  </si>
  <si>
    <t>b0f3ce10-2438-4c5d-9a1c-b7e472584f21</t>
  </si>
  <si>
    <t>HZ1K5K7BIAU2AB78</t>
  </si>
  <si>
    <t>D5O231D3</t>
  </si>
  <si>
    <t>TZ1OL261023026S2</t>
  </si>
  <si>
    <t>PINEELTZ01A32525</t>
  </si>
  <si>
    <t>4da4193c-a2fa-4bb1-9319-6df0d134b89a</t>
  </si>
  <si>
    <t>IG2B7URJ</t>
  </si>
  <si>
    <t>T0323102601670</t>
  </si>
  <si>
    <t>b5b79d15-9edc-49a2-acb7-a825055a099a</t>
  </si>
  <si>
    <t>TZAAO29626HH4BM</t>
  </si>
  <si>
    <t>0a8295cf-1e9a-4371-aff8-be6fb452e3a</t>
  </si>
  <si>
    <t>0b525cd3-d2e2-4535-881e-a5301e936774</t>
  </si>
  <si>
    <t>HZ1K5JN1R2A80A14</t>
  </si>
  <si>
    <t>f4cf1206-3c18-4ed9-992a-e159dd00f246</t>
  </si>
  <si>
    <t>3P7B5J6F</t>
  </si>
  <si>
    <t>OT26296TZ0142130</t>
  </si>
  <si>
    <t>0ce033df-1786-47ae-bec9-e88df5d5a727</t>
  </si>
  <si>
    <t>TZ1OL261022025AH</t>
  </si>
  <si>
    <t>PICRJETZ01A44866</t>
  </si>
  <si>
    <t>79668d29-4e64-42d4-a674-34705d1e7a8f</t>
  </si>
  <si>
    <t>261023TA040447</t>
  </si>
  <si>
    <t>208RTG261023025</t>
  </si>
  <si>
    <t>c966e718-c6b9-469e-adb2-d477fad86b91</t>
  </si>
  <si>
    <t>HZ1K5JQGQTQ1B92D</t>
  </si>
  <si>
    <t>1c3c04ca-73be-4f14-b669-646dea48a98f</t>
  </si>
  <si>
    <t>OT26296TZ0142562</t>
  </si>
  <si>
    <t>7e692509-effa-483a-9239-ebe19087396b</t>
  </si>
  <si>
    <t>TZAAO29626HRW5Q</t>
  </si>
  <si>
    <t>5d1cecb7-b53b-4bc1-b012-5fdf2a89ffb</t>
  </si>
  <si>
    <t>5a5eb1da-b221-4a3a-ac4f-c4f4c33c3031</t>
  </si>
  <si>
    <t>CMRTG26296002549</t>
  </si>
  <si>
    <t>5a4297e7-2e26-4807-90a5-ddcb5fa3e802</t>
  </si>
  <si>
    <t>5RSBS1JH</t>
  </si>
  <si>
    <t>HZ1K5KD7AFEC28BC</t>
  </si>
  <si>
    <t>0405b732-6127-4e5b-bb4a-1c804370cd50</t>
  </si>
  <si>
    <t>TZ1RTGF262961612</t>
  </si>
  <si>
    <t>b1d973f6-f68c-42c6-bd98-c4ead4f6e8e1</t>
  </si>
  <si>
    <t>P261023C00003037</t>
  </si>
  <si>
    <t>a8ecc129-9396-4d3b-b99a-34fad96211c2</t>
  </si>
  <si>
    <t>P261023C00001619</t>
  </si>
  <si>
    <t>3b3f6267-6d45-48d9-8989-95bc97ea583e</t>
  </si>
  <si>
    <t>GEPGTR-7191778</t>
  </si>
  <si>
    <t>f41b8485-1bd8-4e7e-bbc5-9d9f807b598d</t>
  </si>
  <si>
    <t>CMF51874F6B413</t>
  </si>
  <si>
    <t>0e401d4d-32e8-45c3-a0c7-b03ceb31e277</t>
  </si>
  <si>
    <t>TZ1OL261023026RZ</t>
  </si>
  <si>
    <t>PINEELTZ01A32526</t>
  </si>
  <si>
    <t>d5993683-c4b4-492a-9b7c-fbaa9783d92e</t>
  </si>
  <si>
    <t>OT26296TZ0142456</t>
  </si>
  <si>
    <t>2972c6c6-2d5e-4c28-a7a2-d4ab067e6354</t>
  </si>
  <si>
    <t>SGGHQ1S2</t>
  </si>
  <si>
    <t>TZAAO29626H4996</t>
  </si>
  <si>
    <t>3dab949d-8904-4ee2-9d40-c4ce6910363</t>
  </si>
  <si>
    <t>2b13e9f5-5842-4b81-b947-cb1e9ac85905</t>
  </si>
  <si>
    <t>TZAAO29626H6BG5</t>
  </si>
  <si>
    <t>ed5899c5-10a4-48f5-bca4-a8ebe3106ba</t>
  </si>
  <si>
    <t>dc6c6fdc-0903-4b84-a82c-c5502cfd0ba4</t>
  </si>
  <si>
    <t>FT2629625TKT</t>
  </si>
  <si>
    <t>3f1de695-9e51-4023-835d-b45af2c05e24</t>
  </si>
  <si>
    <t>P261023C00002229</t>
  </si>
  <si>
    <t>0ede17b2-acd9-4969-a7cf-78042628d105</t>
  </si>
  <si>
    <t>CMRTG26296001549</t>
  </si>
  <si>
    <t>598931c1-5829-47a8-9472-3415899e0999</t>
  </si>
  <si>
    <t>BEDJ9LN2</t>
  </si>
  <si>
    <t>QFUQDTRG</t>
  </si>
  <si>
    <t>9OT58LL8</t>
  </si>
  <si>
    <t>TZ1RTGF262962142</t>
  </si>
  <si>
    <t>301b9ae1-ba3d-498f-98f7-a5c4f2b16f57</t>
  </si>
  <si>
    <t>P261023C00002129</t>
  </si>
  <si>
    <t>5b683783-0356-40dd-90ae-dddc9b042535</t>
  </si>
  <si>
    <t>HF08BJT</t>
  </si>
  <si>
    <t>L00175KU</t>
  </si>
  <si>
    <t>LEUMB6DH</t>
  </si>
  <si>
    <t>RTN212/10/26</t>
  </si>
  <si>
    <t>2629608038153000</t>
  </si>
  <si>
    <t>18382c41-9289-4c87-9196-e1bf5c4f870e</t>
  </si>
  <si>
    <t>HZ1K5MPTN1G908B2</t>
  </si>
  <si>
    <t>93669772-441e-4d26-a6a9-2fa55a1d4959</t>
  </si>
  <si>
    <t>P261024C00000763</t>
  </si>
  <si>
    <t>4eff63f8-667c-4ff7-84b2-9a5753bc9d31</t>
  </si>
  <si>
    <t>J18BJTKP</t>
  </si>
  <si>
    <t>94b10efa-ba89-4cf3-9cff-665e42eaf7f2</t>
  </si>
  <si>
    <t>TUDMQ60I</t>
  </si>
  <si>
    <t>TUUT7CG2</t>
  </si>
  <si>
    <t>6a3f2633-4079-45bb-91f7-f6b8f4147253</t>
  </si>
  <si>
    <t>6UTU53BI</t>
  </si>
  <si>
    <t>HZ1K5MAUNA36E99B</t>
  </si>
  <si>
    <t>R90RTGO262990026</t>
  </si>
  <si>
    <t>82a7c7de-fcdf-4d64-8198-558f64086491</t>
  </si>
  <si>
    <t>2629710047056000</t>
  </si>
  <si>
    <t>7O5CKPG1</t>
  </si>
  <si>
    <t>HZ1K5MIE25253812</t>
  </si>
  <si>
    <t>2c09029f-f608-4619-8239-1496d085aaac</t>
  </si>
  <si>
    <t>261024TA040461</t>
  </si>
  <si>
    <t>HZ1K5MEVOEF0E997</t>
  </si>
  <si>
    <t>P261024C00001163</t>
  </si>
  <si>
    <t>cb04e336-8a34-444e-8eb4-97d5c4549e0d</t>
  </si>
  <si>
    <t>P261024C00000289</t>
  </si>
  <si>
    <t>9996971d-2af7-46be-b94e-c05e9df2d395</t>
  </si>
  <si>
    <t>P261024C00001267</t>
  </si>
  <si>
    <t>2410E53E1C9D</t>
  </si>
  <si>
    <t>395786ce-5351-4712-a09b-ccee9baef5b3</t>
  </si>
  <si>
    <t>QT11OHSH</t>
  </si>
  <si>
    <t>HZ1K5M4IBPGC9801</t>
  </si>
  <si>
    <t>159974b8-f02a-405a-abc9-4c687d722f30</t>
  </si>
  <si>
    <t>OT26299TZ0142962</t>
  </si>
  <si>
    <t>c5ece244-821e-48f8-a87a-e7227bf9045f</t>
  </si>
  <si>
    <t>173cc6de-2085-41a3-89e4-40858f2107e1</t>
  </si>
  <si>
    <t>P261026C00002437</t>
  </si>
  <si>
    <t>1da6b5ce-d7dd-4b6e-8b45-95bf807b7597</t>
  </si>
  <si>
    <t>201BCIU262880001</t>
  </si>
  <si>
    <t>9ef55cda-ebd7-461e-929d-b08cea6a5276</t>
  </si>
  <si>
    <t>1DI9UGB0</t>
  </si>
  <si>
    <t>40b4d6d5-b239-4948-bcac-ad0c23b645f6</t>
  </si>
  <si>
    <t>239BCIU262880001</t>
  </si>
  <si>
    <t>76a8e638-f28c-408f-b8a2-19d27856beb5</t>
  </si>
  <si>
    <t>P261026C00000773</t>
  </si>
  <si>
    <t>ca3300b1-44cc-4efe-850a-1cd485392461</t>
  </si>
  <si>
    <t>TZ5IL26102600026</t>
  </si>
  <si>
    <t>2310BFFA6488</t>
  </si>
  <si>
    <t>5c94f910-ed71-45a3-807a-659a138e2581</t>
  </si>
  <si>
    <t>TZAAO29926HGAZR</t>
  </si>
  <si>
    <t>a5e471e3-d59a-488f-808f-09c37b0de9f</t>
  </si>
  <si>
    <t>4cc321ff-18b5-4d4a-9837-4dd4f12ecb34</t>
  </si>
  <si>
    <t>3Q2720GA</t>
  </si>
  <si>
    <t>1b13875a-eb37-4be5-9f78-1f04b3c1a121</t>
  </si>
  <si>
    <t>HZ1K5RHOS6T1FBCE</t>
  </si>
  <si>
    <t>5257a673-53a6-435b-98eb-6206430649a5</t>
  </si>
  <si>
    <t>OT26297TZ0142614</t>
  </si>
  <si>
    <t>265204d7-ffd8-4371-abaa-a9aa95645171</t>
  </si>
  <si>
    <t>TZ1OL261026025I7</t>
  </si>
  <si>
    <t>PIKALPTZ01A24822</t>
  </si>
  <si>
    <t>29117646-77eb-4901-bed4-e2c52915803a</t>
  </si>
  <si>
    <t>HZ1K5RR749CE7B9C</t>
  </si>
  <si>
    <t>12a83f2a-8948-484f-976d-f6265cdb92cf</t>
  </si>
  <si>
    <t>OT26299TZ0142730</t>
  </si>
  <si>
    <t>6a784f3a-1333-4c47-89c9-a62b4bb0bd75</t>
  </si>
  <si>
    <t>TRY/26/3017519</t>
  </si>
  <si>
    <t>54729592-add7-4153-b416-eb1aa4ebf8f0</t>
  </si>
  <si>
    <t>JLCIBCJK</t>
  </si>
  <si>
    <t>P261026C00002039</t>
  </si>
  <si>
    <t>0e4ac0d5-1eb0-4d78-929d-ea05eff8889a</t>
  </si>
  <si>
    <t>311BCIU262950001</t>
  </si>
  <si>
    <t>48e0d5ef-f534-4c6c-a023-eccab41ca1ea</t>
  </si>
  <si>
    <t>261026TA040471</t>
  </si>
  <si>
    <t>261026T000614664</t>
  </si>
  <si>
    <t>355c45b9-70af-442e-8e83-4578b59f1b58</t>
  </si>
  <si>
    <t>HZ1K5SSFMS2268FD</t>
  </si>
  <si>
    <t>a7ccc39f-6d12-4ed0-988e-02774a306588</t>
  </si>
  <si>
    <t>OT26299TZ0142727</t>
  </si>
  <si>
    <t>9af6f4dc-10fe-460a-9575-43201435c6be</t>
  </si>
  <si>
    <t>OT26299TZ0142928</t>
  </si>
  <si>
    <t>182e51eb-ad87-448c-b9f7-8cdddedbbf80</t>
  </si>
  <si>
    <t>201BCIU262890501</t>
  </si>
  <si>
    <t>097f9621-d2ee-4b02-afe7-37f3ffa9e953</t>
  </si>
  <si>
    <t>77SDO7VR</t>
  </si>
  <si>
    <t>GEPGTR-7191797</t>
  </si>
  <si>
    <t>cd2bf774-7c22-4bb1-99d9-00d06548fdcb</t>
  </si>
  <si>
    <t>261023T000614030</t>
  </si>
  <si>
    <t>HB.4/295/04/F.1606</t>
  </si>
  <si>
    <t>5ebd7eb9-8274-4446-8e06-2a0110ac6113</t>
  </si>
  <si>
    <t>406O7I8N</t>
  </si>
  <si>
    <t>3536f001-3a53-4a6c-9fe5-9497f4073e05</t>
  </si>
  <si>
    <t>000000608602</t>
  </si>
  <si>
    <t>9de82019-a991-4f24-b984-0d391c9d510</t>
  </si>
  <si>
    <t>7c0192e7-1b43-4dd8-b570-802400a8c88b</t>
  </si>
  <si>
    <t>TZ1OL261026025FY</t>
  </si>
  <si>
    <t>PISSBTTZ01C01187</t>
  </si>
  <si>
    <t>ca4dc765-2f63-44d5-88f9-3906016c7951</t>
  </si>
  <si>
    <t>TZ1OL261026025I9</t>
  </si>
  <si>
    <t>PIKALPTZ01A24825</t>
  </si>
  <si>
    <t>bc86b130-dde5-4a9f-b1e1-fc9dec343d7f</t>
  </si>
  <si>
    <t>FT26299RJ4ST</t>
  </si>
  <si>
    <t>6b66923a-8274-4610-9ed6-005e1d053549</t>
  </si>
  <si>
    <t>HZ1K5S27HJ1DD8E0</t>
  </si>
  <si>
    <t>TZAAO29926HO5KI</t>
  </si>
  <si>
    <t>15acf645-2c6d-491c-a983-5a7027691cf</t>
  </si>
  <si>
    <t>5433c3ca-9a28-4fe3-9154-8c76bd02cb7f</t>
  </si>
  <si>
    <t>TZ1OL261026025B9</t>
  </si>
  <si>
    <t>PIKALPTZ01A24821</t>
  </si>
  <si>
    <t>b0c2dc47-a758-4c99-ac6d-a712404b4008</t>
  </si>
  <si>
    <t>HZ1K5S5SPVV3694D</t>
  </si>
  <si>
    <t>4d95b83a-6ac6-454f-9c82-88141a1cd36d</t>
  </si>
  <si>
    <t>201BCIU262880002</t>
  </si>
  <si>
    <t>dff7d63e-c9c7-4edc-8c1a-645e9e7f1820</t>
  </si>
  <si>
    <t>TZ1OL261026025PM</t>
  </si>
  <si>
    <t>PIINDOTZ01A03730</t>
  </si>
  <si>
    <t>85e729c2-b65e-49f4-aeab-98c51d533523</t>
  </si>
  <si>
    <t>261026T000614513</t>
  </si>
  <si>
    <t>S066299212C101</t>
  </si>
  <si>
    <t>5ebe90e3-458e-4361-8e06-2a0110acf6e2</t>
  </si>
  <si>
    <t>FDNFODLR</t>
  </si>
  <si>
    <t>e98c62ed-658b-4a65-a00f-4214f8e3f0be</t>
  </si>
  <si>
    <t>TZAAO29926HHZ5G</t>
  </si>
  <si>
    <t>88411dec-fc95-40a1-bfd2-2faec01e1ba</t>
  </si>
  <si>
    <t>4ff1c095-29d1-42a6-ae34-0e2c437f81b1</t>
  </si>
  <si>
    <t>207BCIU262890001</t>
  </si>
  <si>
    <t>0c52875f-7450-4125-ab74-fbfb5031a65b</t>
  </si>
  <si>
    <t>TZ1OL261026025I8</t>
  </si>
  <si>
    <t>PIKALPTZ01A24823</t>
  </si>
  <si>
    <t>7498a01c-23fc-4d52-bc8d-1d62f7e3f0ad</t>
  </si>
  <si>
    <t>201LIUC262400001</t>
  </si>
  <si>
    <t>76d8c8b9-3170-4460-bab9-37ad7bf005d2</t>
  </si>
  <si>
    <t>S700169</t>
  </si>
  <si>
    <t>04132fc2-c375-4f8e-b63d-ea47b59c6ee1</t>
  </si>
  <si>
    <t>P261026C00002043</t>
  </si>
  <si>
    <t>0d6f0ba3-556e-4e10-a671-838c2b41e56d</t>
  </si>
  <si>
    <t>V1T0C295</t>
  </si>
  <si>
    <t>HZ1K5S9RDCE709C1</t>
  </si>
  <si>
    <t>65cbb6a5-ae40-4b75-bed4-9e0e87722612</t>
  </si>
  <si>
    <t>P261026C00000203</t>
  </si>
  <si>
    <t>d05675dd-4234-424f-b337-294cc1def0a6</t>
  </si>
  <si>
    <t>311BCIU262940502</t>
  </si>
  <si>
    <t>ac8c4fba-f918-4647-a3df-02a7998facfc</t>
  </si>
  <si>
    <t>P261026C00002439</t>
  </si>
  <si>
    <t>377071cf-533f-4615-a715-3badc83a28c8</t>
  </si>
  <si>
    <t>TZ1OL261026025CC</t>
  </si>
  <si>
    <t>PIWALKARTZA00722</t>
  </si>
  <si>
    <t>9a5e571e-4f3f-4ab5-a6d5-a173bad0bea4</t>
  </si>
  <si>
    <t>N5JSO2SM</t>
  </si>
  <si>
    <t>P261026C00000207</t>
  </si>
  <si>
    <t>0f337400-280d-4355-8353-b22b07ee3df8</t>
  </si>
  <si>
    <t>OT26299TZ0142726</t>
  </si>
  <si>
    <t>5ab824e2-1fd1-47a5-8b5e-f17404a261eb</t>
  </si>
  <si>
    <t>TZAAO29926HZMQ7</t>
  </si>
  <si>
    <t>f0980090-c9c0-4d1a-84bd-317967e76fe</t>
  </si>
  <si>
    <t>905083c5-722e-48c3-8af1-e5a573de641e</t>
  </si>
  <si>
    <t>GEPGTR-7191791</t>
  </si>
  <si>
    <t>f5022968-6e54-4423-96e1-986b6cfc5c14</t>
  </si>
  <si>
    <t>P261026C00000205</t>
  </si>
  <si>
    <t>669453aa-06e0-4ceb-97ed-d42a44e6c38d</t>
  </si>
  <si>
    <t>R6RT7NKI</t>
  </si>
  <si>
    <t>daa14844-2865-4ad2-99c5-91915bf9357b</t>
  </si>
  <si>
    <t>FT26299N7P3R</t>
  </si>
  <si>
    <t>a8d30510-4983-4730-a959-c028fbbfe98a</t>
  </si>
  <si>
    <t>OT26297TZ0142600</t>
  </si>
  <si>
    <t>15241ccd-e44e-451a-b643-d64de5a6bdf5</t>
  </si>
  <si>
    <t>TZ1OL261026025FZ</t>
  </si>
  <si>
    <t>PISSBTTZ01C01188</t>
  </si>
  <si>
    <t>b2e4a0d5-8f4c-4d69-a252-9c52910de108</t>
  </si>
  <si>
    <t>C0MNV75R</t>
  </si>
  <si>
    <t>311BCIU262890006</t>
  </si>
  <si>
    <t>e59f09a1-55a3-4f4b-b558-8a1745aa2502</t>
  </si>
  <si>
    <t>I60GSSJS</t>
  </si>
  <si>
    <t>4a478ebb-00a6-4188-9b33-fecc5899d7dd</t>
  </si>
  <si>
    <t>GEPGTR-7191792</t>
  </si>
  <si>
    <t>00940b21-9dc1-454b-b700-00abc8d6f26b</t>
  </si>
  <si>
    <t>1R7AODLF</t>
  </si>
  <si>
    <t>d22df488-8212-4687-9c45-92b74fcd183d</t>
  </si>
  <si>
    <t>OT26299TZ0142961</t>
  </si>
  <si>
    <t>affd3885-0781-446b-afbf-a5a9f597a5d0</t>
  </si>
  <si>
    <t>FT26299B8BR5</t>
  </si>
  <si>
    <t>311BCIU262940003</t>
  </si>
  <si>
    <t>93387549-af12-4ccb-87ea-d2cf9adb8df8</t>
  </si>
  <si>
    <t>CMRTG26299000180</t>
  </si>
  <si>
    <t>fee805ad-863e-4b12-9b5d-1c27d242cbe5</t>
  </si>
  <si>
    <t>201BCIS262940001</t>
  </si>
  <si>
    <t>55e6c9f6-7189-4177-84b0-e7a320da0e3a</t>
  </si>
  <si>
    <t>FT26299TPMH4</t>
  </si>
  <si>
    <t>S706862</t>
  </si>
  <si>
    <t>1a5eb823-3b8b-41b8-af23-5d8619bf04bb</t>
  </si>
  <si>
    <t>TRY/26/3017520</t>
  </si>
  <si>
    <t>35d2f7e0-cf37-4ab8-9259-5d9dfd89b8e8</t>
  </si>
  <si>
    <t>P261026C00003229</t>
  </si>
  <si>
    <t>12aa0794-6370-44dd-9b8e-363f34e57430</t>
  </si>
  <si>
    <t>R90RTGO262990363</t>
  </si>
  <si>
    <t>67c579e3-c2e5-4032-8763-f294533375fb</t>
  </si>
  <si>
    <t>GEPGTR-7191807</t>
  </si>
  <si>
    <t>6a24ba61-bd05-4065-9066-c1b4f54cb590</t>
  </si>
  <si>
    <t>TZ1OL261026025PJ</t>
  </si>
  <si>
    <t>PIINDOTZ01A03731</t>
  </si>
  <si>
    <t>a49f5e9c-2eed-4533-81a3-bfb01bbcb386</t>
  </si>
  <si>
    <t>S706861</t>
  </si>
  <si>
    <t>69933ed9-a16b-4796-a1bb-c4e94c3644d1</t>
  </si>
  <si>
    <t>GEPGTR-7191794</t>
  </si>
  <si>
    <t>b64adfad-b14c-417f-b1f5-0ecc834e2026</t>
  </si>
  <si>
    <t>3601ITT11/18290</t>
  </si>
  <si>
    <t>ca4b5606-7193-438d-96cf-a32efecc0ad6</t>
  </si>
  <si>
    <t>HZ1K5RI2M9SD59EA</t>
  </si>
  <si>
    <t>TZAAO29926H2YBT</t>
  </si>
  <si>
    <t>755d6c48-5b45-40de-8a53-26d1715841a</t>
  </si>
  <si>
    <t>f7aacfe9-e6c3-4e11-bf0c-47d63558bcee</t>
  </si>
  <si>
    <t>HZ1K5RTAB935697D</t>
  </si>
  <si>
    <t>P261026C00002045</t>
  </si>
  <si>
    <t>38c47b09-2ff1-426b-904c-9da2ca3e97df</t>
  </si>
  <si>
    <t>GEPGTR-7191789</t>
  </si>
  <si>
    <t>de050604-8e0c-4f1d-998c-5784c8625cee</t>
  </si>
  <si>
    <t>FT26299VTSD3</t>
  </si>
  <si>
    <t>311BCIU262940004</t>
  </si>
  <si>
    <t>0e6ee872-5ae4-49f3-9074-336269ecfdc5</t>
  </si>
  <si>
    <t>311BCIU262890004</t>
  </si>
  <si>
    <t>81503b33-3d2f-4164-b386-27a7c402eb37</t>
  </si>
  <si>
    <t>OT26299TZ0142927</t>
  </si>
  <si>
    <t>a4d0c838-bf5a-4f8c-a552-3222c90edaa9</t>
  </si>
  <si>
    <t>SRUILBVN</t>
  </si>
  <si>
    <t>201BCIU262890001</t>
  </si>
  <si>
    <t>6df1d92b-8025-4fa7-99ca-4016315814d5</t>
  </si>
  <si>
    <t>OT26299TZ0142728</t>
  </si>
  <si>
    <t>9e7dfb2d-475e-4db1-899d-32293f82b842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</si>
</sst>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 * #,##0.00_ ;_ * \-#,##0.00_ ;_ * &quot;-&quot;??_ ;_ @_ "/>
    <numFmt numFmtId="167" formatCode="dd/mm/yy"/>
    <numFmt numFmtId="168" formatCode="[$-409]d\-mmm\-yy;@"/>
    <numFmt numFmtId="169" formatCode="yyyy/mm/dd;@"/>
    <numFmt numFmtId="170" formatCode="0;[Red]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8"/>
      <color theme="3" tint="-0.499984740745262"/>
      <name val="Arial"/>
      <family val="2"/>
    </font>
    <font>
      <sz val="10"/>
      <name val="Arial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b/>
      <i/>
      <sz val="14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/>
    <xf numFmtId="0" fontId="9" fillId="0" borderId="0"/>
  </cellStyleXfs>
  <cellXfs count="86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167" fontId="8" fillId="2" borderId="1" xfId="0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3" borderId="1" xfId="0" applyFont="1" applyFill="1" applyBorder="1"/>
    <xf numFmtId="0" fontId="5" fillId="0" borderId="1" xfId="0" applyFont="1" applyBorder="1"/>
    <xf numFmtId="164" fontId="6" fillId="0" borderId="1" xfId="1" applyFont="1" applyBorder="1" applyAlignment="1">
      <alignment horizontal="center"/>
    </xf>
    <xf numFmtId="0" fontId="9" fillId="0" borderId="1" xfId="0" applyFont="1" applyBorder="1"/>
    <xf numFmtId="164" fontId="5" fillId="0" borderId="1" xfId="1" applyFont="1" applyBorder="1" applyAlignment="1"/>
    <xf numFmtId="164" fontId="5" fillId="0" borderId="1" xfId="1" applyFont="1" applyBorder="1"/>
    <xf numFmtId="164" fontId="6" fillId="0" borderId="1" xfId="1" applyFont="1" applyBorder="1"/>
    <xf numFmtId="0" fontId="6" fillId="4" borderId="1" xfId="0" applyFont="1" applyFill="1" applyBorder="1"/>
    <xf numFmtId="0" fontId="6" fillId="0" borderId="1" xfId="0" applyFont="1" applyBorder="1"/>
    <xf numFmtId="164" fontId="9" fillId="0" borderId="1" xfId="1" applyFont="1" applyFill="1" applyBorder="1"/>
    <xf numFmtId="164" fontId="5" fillId="0" borderId="0" xfId="1" applyFont="1" applyBorder="1"/>
    <xf numFmtId="0" fontId="10" fillId="0" borderId="0" xfId="2" applyFont="1"/>
    <xf numFmtId="0" fontId="12" fillId="0" borderId="0" xfId="2" applyFont="1"/>
    <xf numFmtId="168" fontId="12" fillId="0" borderId="0" xfId="2" applyNumberFormat="1" applyFont="1" applyAlignment="1">
      <alignment horizontal="left"/>
    </xf>
    <xf numFmtId="0" fontId="12" fillId="0" borderId="0" xfId="2" applyFont="1" applyAlignment="1">
      <alignment horizontal="left"/>
    </xf>
    <xf numFmtId="0" fontId="13" fillId="0" borderId="0" xfId="2" applyFont="1"/>
    <xf numFmtId="0" fontId="13" fillId="0" borderId="0" xfId="0" applyFont="1"/>
    <xf numFmtId="0" fontId="12" fillId="0" borderId="0" xfId="0" applyFont="1"/>
    <xf numFmtId="0" fontId="14" fillId="0" borderId="0" xfId="0" applyFont="1"/>
    <xf numFmtId="43" fontId="5" fillId="0" borderId="0" xfId="0" applyNumberFormat="1" applyFont="1"/>
    <xf numFmtId="0" fontId="5" fillId="0" borderId="3" xfId="0" applyFont="1" applyBorder="1"/>
    <xf numFmtId="169" fontId="16" fillId="0" borderId="0" xfId="0" applyNumberFormat="1" applyFont="1" applyAlignment="1">
      <alignment horizontal="right"/>
    </xf>
    <xf numFmtId="14" fontId="16" fillId="0" borderId="0" xfId="0" applyNumberFormat="1" applyFont="1" applyAlignment="1">
      <alignment horizontal="right"/>
    </xf>
    <xf numFmtId="164" fontId="17" fillId="0" borderId="0" xfId="1" applyFont="1" applyFill="1" applyBorder="1" applyAlignment="1">
      <alignment horizontal="left"/>
    </xf>
    <xf numFmtId="0" fontId="16" fillId="0" borderId="0" xfId="0" applyFont="1"/>
    <xf numFmtId="164" fontId="16" fillId="0" borderId="0" xfId="1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2" fillId="0" borderId="0" xfId="0" applyFont="1"/>
    <xf numFmtId="0" fontId="18" fillId="5" borderId="2" xfId="0" applyFont="1" applyFill="1" applyBorder="1" applyAlignment="1">
      <alignment horizontal="center" vertical="center"/>
    </xf>
    <xf numFmtId="164" fontId="18" fillId="5" borderId="1" xfId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70" fontId="6" fillId="5" borderId="2" xfId="0" applyNumberFormat="1" applyFont="1" applyFill="1" applyBorder="1" applyAlignment="1">
      <alignment horizontal="center" vertical="center"/>
    </xf>
    <xf numFmtId="170" fontId="6" fillId="5" borderId="1" xfId="0" applyNumberFormat="1" applyFont="1" applyFill="1" applyBorder="1" applyAlignment="1">
      <alignment horizontal="center" vertical="center"/>
    </xf>
    <xf numFmtId="170" fontId="6" fillId="5" borderId="1" xfId="0" applyNumberFormat="1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9" fontId="20" fillId="0" borderId="1" xfId="0" applyNumberFormat="1" applyFont="1" applyBorder="1" applyAlignment="1">
      <alignment horizontal="center" vertical="center"/>
    </xf>
    <xf numFmtId="164" fontId="1" fillId="0" borderId="1" xfId="1" applyFont="1" applyFill="1" applyBorder="1" applyAlignment="1"/>
    <xf numFmtId="164" fontId="1" fillId="0" borderId="1" xfId="1" quotePrefix="1" applyFont="1" applyFill="1" applyBorder="1" applyAlignment="1"/>
    <xf numFmtId="165" fontId="0" fillId="0" borderId="1" xfId="0" quotePrefix="1" applyNumberFormat="1" applyBorder="1"/>
    <xf numFmtId="43" fontId="0" fillId="0" borderId="1" xfId="0" quotePrefix="1" applyNumberFormat="1" applyBorder="1"/>
    <xf numFmtId="0" fontId="0" fillId="0" borderId="1" xfId="0" quotePrefix="1" applyBorder="1"/>
    <xf numFmtId="0" fontId="20" fillId="0" borderId="1" xfId="0" applyFont="1" applyBorder="1"/>
    <xf numFmtId="0" fontId="21" fillId="2" borderId="1" xfId="2" applyFont="1" applyFill="1" applyBorder="1" applyAlignment="1" applyProtection="1">
      <alignment horizontal="center" vertical="top"/>
      <protection locked="0"/>
    </xf>
    <xf numFmtId="0" fontId="0" fillId="0" borderId="1" xfId="0" applyBorder="1"/>
    <xf numFmtId="164" fontId="1" fillId="0" borderId="1" xfId="1" applyFont="1" applyBorder="1"/>
    <xf numFmtId="165" fontId="0" fillId="0" borderId="1" xfId="0" applyNumberFormat="1" applyBorder="1"/>
    <xf numFmtId="43" fontId="0" fillId="0" borderId="1" xfId="0" applyNumberFormat="1" applyBorder="1" applyAlignment="1">
      <alignment horizontal="left"/>
    </xf>
    <xf numFmtId="164" fontId="1" fillId="0" borderId="1" xfId="1" applyFont="1" applyBorder="1" applyAlignment="1">
      <alignment horizontal="left"/>
    </xf>
    <xf numFmtId="169" fontId="20" fillId="0" borderId="1" xfId="0" applyNumberFormat="1" applyFont="1" applyBorder="1" applyAlignment="1">
      <alignment horizontal="right"/>
    </xf>
    <xf numFmtId="0" fontId="20" fillId="0" borderId="0" xfId="0" applyFont="1"/>
    <xf numFmtId="0" fontId="16" fillId="0" borderId="0" xfId="0" applyFont="1" applyAlignment="1">
      <alignment horizontal="right"/>
    </xf>
    <xf numFmtId="164" fontId="18" fillId="5" borderId="2" xfId="1" applyFont="1" applyFill="1" applyBorder="1" applyAlignment="1">
      <alignment horizontal="center" vertical="center"/>
    </xf>
    <xf numFmtId="1" fontId="18" fillId="5" borderId="2" xfId="0" applyNumberFormat="1" applyFont="1" applyFill="1" applyBorder="1" applyAlignment="1">
      <alignment horizontal="center" vertical="center"/>
    </xf>
    <xf numFmtId="170" fontId="6" fillId="5" borderId="4" xfId="0" applyNumberFormat="1" applyFont="1" applyFill="1" applyBorder="1" applyAlignment="1">
      <alignment vertical="center"/>
    </xf>
    <xf numFmtId="164" fontId="20" fillId="0" borderId="1" xfId="1" applyFont="1" applyFill="1" applyBorder="1" applyAlignment="1"/>
    <xf numFmtId="164" fontId="20" fillId="0" borderId="1" xfId="1" quotePrefix="1" applyFont="1" applyFill="1" applyBorder="1" applyAlignment="1"/>
    <xf numFmtId="165" fontId="20" fillId="0" borderId="1" xfId="0" quotePrefix="1" applyNumberFormat="1" applyFont="1" applyBorder="1"/>
    <xf numFmtId="43" fontId="20" fillId="0" borderId="1" xfId="0" quotePrefix="1" applyNumberFormat="1" applyFont="1" applyBorder="1"/>
    <xf numFmtId="0" fontId="20" fillId="0" borderId="1" xfId="0" quotePrefix="1" applyFont="1" applyBorder="1"/>
    <xf numFmtId="0" fontId="24" fillId="2" borderId="1" xfId="2" applyFont="1" applyFill="1" applyBorder="1" applyAlignment="1" applyProtection="1">
      <alignment horizontal="center" vertical="top"/>
      <protection locked="0"/>
    </xf>
    <xf numFmtId="164" fontId="20" fillId="0" borderId="1" xfId="1" applyFont="1" applyBorder="1"/>
    <xf numFmtId="165" fontId="20" fillId="0" borderId="1" xfId="0" applyNumberFormat="1" applyFont="1" applyBorder="1"/>
    <xf numFmtId="43" fontId="20" fillId="0" borderId="1" xfId="0" applyNumberFormat="1" applyFont="1" applyBorder="1" applyAlignment="1">
      <alignment horizontal="left"/>
    </xf>
    <xf numFmtId="164" fontId="20" fillId="0" borderId="1" xfId="1" applyFont="1" applyBorder="1" applyAlignment="1">
      <alignment horizontal="left"/>
    </xf>
    <xf numFmtId="14" fontId="0" fillId="0" borderId="0" xfId="0" applyNumberFormat="1"/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5" fillId="0" borderId="3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4" fillId="0" borderId="0" xfId="3" applyFont="1" applyAlignment="1">
      <alignment horizontal="center" vertical="center"/>
    </xf>
  </cellXfs>
  <cellStyles count="4">
    <cellStyle name="Comma" xfId="1" builtinId="3"/>
    <cellStyle name="Normal" xfId="0" builtinId="0"/>
    <cellStyle name="Normal 14 2" xfId="3" xr:uid="{00000000-0005-0000-0000-000002000000}"/>
    <cellStyle name="Normal 2 2" xfId="2" xr:uid="{00000000-0005-0000-0000-000003000000}"/>
  </cellStyles>
  <dxfs count="4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0</xdr:row>
          <xdr:rowOff>165100</xdr:rowOff>
        </xdr:from>
        <xdr:to>
          <xdr:col>1</xdr:col>
          <xdr:colOff>781050</xdr:colOff>
          <xdr:row>5</xdr:row>
          <xdr:rowOff>88900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C61"/>
  <sheetViews>
    <sheetView topLeftCell="A23" zoomScale="90" zoomScaleNormal="90" workbookViewId="0">
      <selection activeCell="B13" sqref="B13"/>
    </sheetView>
  </sheetViews>
  <sheetFormatPr defaultRowHeight="14.5" x14ac:dyDescent="0.35"/>
  <cols>
    <col min="1" max="1" width="69.453125" customWidth="1"/>
    <col min="2" max="2" width="30.7265625" bestFit="1" customWidth="1"/>
    <col min="3" max="3" width="20.1796875" customWidth="1"/>
    <col min="4" max="4" width="29.453125" customWidth="1"/>
    <col min="27" max="27" width="12.54296875" hidden="1" customWidth="1"/>
    <col min="28" max="28" width="10.453125" style="79" hidden="1" customWidth="1"/>
    <col min="29" max="29" width="15.1796875" style="79" hidden="1" customWidth="1"/>
    <col min="30" max="30" width="9.1796875" customWidth="1"/>
  </cols>
  <sheetData>
    <row r="1" spans="1:29" x14ac:dyDescent="0.35">
      <c r="A1" s="80"/>
      <c r="B1" s="80"/>
      <c r="C1" s="80"/>
      <c r="D1" s="80"/>
      <c r="T1" t="s">
        <v>52</v>
      </c>
      <c r="AA1" s="79" t="s">
        <v>34</v>
      </c>
      <c r="AB1">
        <v>46322</v>
      </c>
      <c r="AC1">
        <v>46321</v>
      </c>
    </row>
    <row r="2" spans="1:29" x14ac:dyDescent="0.35">
      <c r="A2" s="80"/>
      <c r="B2" s="80"/>
      <c r="C2" s="80"/>
      <c r="D2" s="80"/>
      <c r="T2" t="s">
        <v>52</v>
      </c>
      <c r="AA2" t="s">
        <v>35</v>
      </c>
      <c r="AB2">
        <v>46322</v>
      </c>
    </row>
    <row r="3" spans="1:29" x14ac:dyDescent="0.35">
      <c r="A3" s="80"/>
      <c r="B3" s="80"/>
      <c r="C3" s="80"/>
      <c r="D3" s="80"/>
      <c r="AA3" t="s">
        <v>37</v>
      </c>
      <c r="AB3">
        <v>46321</v>
      </c>
      <c r="AC3" s="79">
        <f>IF(AB3="",AB2-1,AB3)</f>
        <v>46321</v>
      </c>
    </row>
    <row r="4" spans="1:29" x14ac:dyDescent="0.35">
      <c r="A4" s="80"/>
      <c r="B4" s="80"/>
      <c r="C4" s="80"/>
      <c r="D4" s="80"/>
      <c r="AA4" t="s">
        <v>36</v>
      </c>
      <c r="AC4" s="79">
        <f>IF(AB4="",AB2-1,AB4)</f>
        <v>46321</v>
      </c>
    </row>
    <row r="5" spans="1:29" x14ac:dyDescent="0.35">
      <c r="A5" s="80"/>
      <c r="B5" s="80"/>
      <c r="C5" s="80"/>
      <c r="D5" s="80"/>
    </row>
    <row r="6" spans="1:29" x14ac:dyDescent="0.35">
      <c r="A6" s="80"/>
      <c r="B6" s="80"/>
      <c r="C6" s="80"/>
      <c r="D6" s="80"/>
    </row>
    <row r="7" spans="1:29" ht="15.5" x14ac:dyDescent="0.35">
      <c r="A7" s="81" t="s">
        <v>0</v>
      </c>
      <c r="B7" s="81"/>
      <c r="C7" s="81"/>
      <c r="D7" s="81"/>
    </row>
    <row r="8" spans="1:29" ht="15.5" x14ac:dyDescent="0.35">
      <c r="A8" s="81" t="s">
        <v>1</v>
      </c>
      <c r="B8" s="81"/>
      <c r="C8" s="81"/>
      <c r="D8" s="81"/>
    </row>
    <row r="9" spans="1:29" ht="15.5" x14ac:dyDescent="0.35">
      <c r="A9" s="81" t="s">
        <v>2</v>
      </c>
      <c r="B9" s="81"/>
      <c r="C9" s="81"/>
      <c r="D9" s="81"/>
    </row>
    <row r="10" spans="1:29" ht="15.5" x14ac:dyDescent="0.35">
      <c r="A10" s="1"/>
      <c r="B10" s="2"/>
      <c r="C10" s="2"/>
      <c r="D10" s="3"/>
    </row>
    <row r="11" spans="1:29" ht="23" x14ac:dyDescent="0.5">
      <c r="A11" s="4" t="s">
        <v>3</v>
      </c>
      <c r="B11" s="5" t="s">
        <v>50</v>
      </c>
      <c r="C11" s="6"/>
      <c r="D11" s="6"/>
    </row>
    <row r="12" spans="1:29" ht="23" x14ac:dyDescent="0.5">
      <c r="A12" s="7" t="s">
        <v>4</v>
      </c>
      <c r="B12" s="8" t="s">
        <v>51</v>
      </c>
      <c r="C12" s="9"/>
      <c r="D12" s="9"/>
    </row>
    <row r="13" spans="1:29" ht="23" x14ac:dyDescent="0.5">
      <c r="A13" s="4" t="s">
        <v>5</v>
      </c>
      <c r="B13" s="10">
        <f>IF(AB1="",AB2,AB1)</f>
        <v>46322</v>
      </c>
      <c r="C13" s="6"/>
      <c r="D13" s="6"/>
    </row>
    <row r="14" spans="1:29" ht="23" x14ac:dyDescent="0.5">
      <c r="A14" s="11"/>
      <c r="B14" s="12"/>
      <c r="C14" s="12"/>
      <c r="D14" s="12"/>
    </row>
    <row r="15" spans="1:29" ht="15.5" x14ac:dyDescent="0.35">
      <c r="A15" s="13" t="str">
        <f>CONCATENATE("Outstanding Items in the Ledger SUMMARY :",T1)</f>
        <v>Outstanding Items in the Ledger SUMMARY :10109000006</v>
      </c>
      <c r="B15" s="14"/>
      <c r="C15" s="14"/>
      <c r="D15" s="15" t="str">
        <f>B12</f>
        <v>USD</v>
      </c>
    </row>
    <row r="16" spans="1:29" ht="15.5" x14ac:dyDescent="0.35">
      <c r="A16" s="14" t="str">
        <f>"Ledger balance as at : " &amp;TEXT(AC3,"dd mmm yyyy")</f>
        <v>Ledger balance as at : 26 Oct 2026</v>
      </c>
      <c r="B16" s="16"/>
      <c r="C16" s="14"/>
      <c r="D16" s="17">
        <v>-10491708.189999999</v>
      </c>
    </row>
    <row r="17" spans="1:4" ht="15.5" x14ac:dyDescent="0.35">
      <c r="A17" s="14" t="s">
        <v>6</v>
      </c>
      <c r="B17" s="14"/>
      <c r="C17" s="14"/>
      <c r="D17" s="17">
        <f>'External outstanding'!D5</f>
        <v>192486390.54000005</v>
      </c>
    </row>
    <row r="18" spans="1:4" ht="15.5" x14ac:dyDescent="0.35">
      <c r="A18" s="14" t="s">
        <v>7</v>
      </c>
      <c r="B18" s="14" t="s">
        <v>8</v>
      </c>
      <c r="C18" s="14"/>
      <c r="D18" s="18">
        <f>'External outstanding'!C5</f>
        <v>264224893.65999991</v>
      </c>
    </row>
    <row r="19" spans="1:4" ht="15.5" x14ac:dyDescent="0.35">
      <c r="A19" s="14"/>
      <c r="B19" s="14"/>
      <c r="C19" s="14"/>
      <c r="D19" s="18"/>
    </row>
    <row r="20" spans="1:4" ht="15.5" x14ac:dyDescent="0.35">
      <c r="A20" s="14"/>
      <c r="B20" s="14" t="s">
        <v>9</v>
      </c>
      <c r="C20" s="14"/>
      <c r="D20" s="19">
        <f>D16+D17-D18</f>
        <v>-82230211.309999853</v>
      </c>
    </row>
    <row r="21" spans="1:4" ht="15.5" x14ac:dyDescent="0.35">
      <c r="A21" s="14"/>
      <c r="B21" s="14"/>
      <c r="C21" s="14" t="s">
        <v>8</v>
      </c>
      <c r="D21" s="18" t="s">
        <v>8</v>
      </c>
    </row>
    <row r="22" spans="1:4" ht="15.5" x14ac:dyDescent="0.35">
      <c r="A22" s="20" t="str">
        <f>CONCATENATE("Outstanding Items in the Statement SUMMARY :",T2)</f>
        <v>Outstanding Items in the Statement SUMMARY :10109000006</v>
      </c>
      <c r="B22" s="14"/>
      <c r="C22" s="14"/>
      <c r="D22" s="15" t="str">
        <f>B12</f>
        <v>USD</v>
      </c>
    </row>
    <row r="23" spans="1:4" ht="15.5" x14ac:dyDescent="0.35">
      <c r="A23" s="14" t="str">
        <f>"Statement balance as at : " &amp;TEXT(AC4,"dd mmm yyyy")</f>
        <v>Statement balance as at : 26 Oct 2026</v>
      </c>
      <c r="B23" s="14"/>
      <c r="C23" s="14"/>
      <c r="D23" s="17">
        <v>34941113.200000003</v>
      </c>
    </row>
    <row r="24" spans="1:4" ht="15.5" x14ac:dyDescent="0.35">
      <c r="A24" s="14" t="s">
        <v>10</v>
      </c>
      <c r="B24" s="14"/>
      <c r="C24" s="14" t="s">
        <v>11</v>
      </c>
      <c r="D24" s="17">
        <f>'Internal outstanding'!C5</f>
        <v>258357644.66000009</v>
      </c>
    </row>
    <row r="25" spans="1:4" ht="15.5" x14ac:dyDescent="0.35">
      <c r="A25" s="14" t="s">
        <v>12</v>
      </c>
      <c r="B25" s="14"/>
      <c r="C25" s="14"/>
      <c r="D25" s="18">
        <f>'Internal outstanding'!D5</f>
        <v>375528969.16999996</v>
      </c>
    </row>
    <row r="26" spans="1:4" ht="15.5" x14ac:dyDescent="0.35">
      <c r="A26" s="14"/>
      <c r="B26" s="21"/>
      <c r="C26" s="14"/>
      <c r="D26" s="18"/>
    </row>
    <row r="27" spans="1:4" ht="15.5" x14ac:dyDescent="0.35">
      <c r="A27" s="14"/>
      <c r="B27" s="14" t="s">
        <v>13</v>
      </c>
      <c r="C27" s="14"/>
      <c r="D27" s="19">
        <f>D23+D24-D25</f>
        <v>-82230211.309999883</v>
      </c>
    </row>
    <row r="28" spans="1:4" ht="15.5" x14ac:dyDescent="0.35">
      <c r="A28" s="14"/>
      <c r="B28" s="14"/>
      <c r="C28" s="18"/>
      <c r="D28" s="22"/>
    </row>
    <row r="29" spans="1:4" ht="15.5" x14ac:dyDescent="0.35">
      <c r="A29" s="14"/>
      <c r="B29" s="14"/>
      <c r="C29" s="14"/>
      <c r="D29" s="18"/>
    </row>
    <row r="30" spans="1:4" ht="15.5" x14ac:dyDescent="0.35">
      <c r="A30" s="14"/>
      <c r="B30" s="14" t="s">
        <v>14</v>
      </c>
      <c r="C30" s="18"/>
      <c r="D30" s="18">
        <f>D20-D27</f>
        <v>0</v>
      </c>
    </row>
    <row r="31" spans="1:4" ht="15.5" x14ac:dyDescent="0.35">
      <c r="A31" s="14"/>
      <c r="B31" s="14"/>
      <c r="C31" s="14"/>
      <c r="D31" s="18"/>
    </row>
    <row r="32" spans="1:4" ht="15.5" x14ac:dyDescent="0.35">
      <c r="A32" s="14"/>
      <c r="B32" s="14"/>
      <c r="C32" s="14"/>
      <c r="D32" s="18"/>
    </row>
    <row r="33" spans="1:4" ht="15.5" x14ac:dyDescent="0.35">
      <c r="A33" s="14"/>
      <c r="B33" s="14"/>
      <c r="C33" s="14"/>
      <c r="D33" s="18"/>
    </row>
    <row r="34" spans="1:4" ht="15.5" x14ac:dyDescent="0.35">
      <c r="A34" s="1"/>
      <c r="B34" s="1"/>
      <c r="C34" s="1"/>
      <c r="D34" s="23"/>
    </row>
    <row r="35" spans="1:4" ht="15.5" x14ac:dyDescent="0.35">
      <c r="A35" s="1"/>
      <c r="B35" s="1"/>
      <c r="C35" s="23"/>
      <c r="D35" s="23"/>
    </row>
    <row r="36" spans="1:4" ht="18.5" x14ac:dyDescent="0.45">
      <c r="A36" s="24" t="s">
        <v>15</v>
      </c>
      <c r="B36" s="25"/>
      <c r="C36" s="25"/>
      <c r="D36" s="26">
        <f>B13</f>
        <v>46322</v>
      </c>
    </row>
    <row r="37" spans="1:4" ht="18.5" x14ac:dyDescent="0.45">
      <c r="A37" s="25"/>
      <c r="B37" s="25"/>
      <c r="C37" s="25"/>
      <c r="D37" s="27"/>
    </row>
    <row r="38" spans="1:4" ht="18.5" x14ac:dyDescent="0.45">
      <c r="A38" s="25"/>
      <c r="B38" s="25"/>
      <c r="C38" s="25"/>
      <c r="D38" s="27"/>
    </row>
    <row r="39" spans="1:4" ht="18.5" x14ac:dyDescent="0.45">
      <c r="A39" s="25"/>
      <c r="B39" s="25"/>
      <c r="C39" s="25"/>
      <c r="D39" s="27"/>
    </row>
    <row r="40" spans="1:4" ht="18.5" x14ac:dyDescent="0.45">
      <c r="A40" s="25" t="s">
        <v>16</v>
      </c>
      <c r="B40" s="25"/>
      <c r="C40" s="25"/>
      <c r="D40" s="26">
        <f>D36</f>
        <v>46322</v>
      </c>
    </row>
    <row r="41" spans="1:4" ht="18.5" x14ac:dyDescent="0.45">
      <c r="A41" s="25"/>
      <c r="B41" s="25"/>
      <c r="C41" s="25"/>
      <c r="D41" s="27"/>
    </row>
    <row r="42" spans="1:4" ht="18.5" x14ac:dyDescent="0.45">
      <c r="A42" s="25"/>
      <c r="B42" s="25"/>
      <c r="C42" s="25"/>
      <c r="D42" s="27"/>
    </row>
    <row r="43" spans="1:4" ht="18.5" x14ac:dyDescent="0.45">
      <c r="A43" s="28"/>
      <c r="B43" s="28"/>
      <c r="C43" s="25"/>
      <c r="D43" s="27"/>
    </row>
    <row r="44" spans="1:4" ht="18.5" x14ac:dyDescent="0.45">
      <c r="A44" s="28" t="s">
        <v>17</v>
      </c>
      <c r="B44" s="28"/>
      <c r="C44" s="25"/>
      <c r="D44" s="26">
        <f>D36</f>
        <v>46322</v>
      </c>
    </row>
    <row r="45" spans="1:4" ht="18.5" x14ac:dyDescent="0.45">
      <c r="A45" s="25"/>
      <c r="B45" s="25"/>
      <c r="C45" s="25"/>
      <c r="D45" s="25"/>
    </row>
    <row r="46" spans="1:4" ht="18.5" x14ac:dyDescent="0.45">
      <c r="A46" s="25"/>
      <c r="B46" s="25"/>
      <c r="C46" s="25"/>
      <c r="D46" s="25"/>
    </row>
    <row r="47" spans="1:4" ht="18.5" x14ac:dyDescent="0.45">
      <c r="A47" s="25"/>
      <c r="B47" s="25"/>
      <c r="C47" s="25"/>
      <c r="D47" s="25"/>
    </row>
    <row r="48" spans="1:4" ht="18.5" x14ac:dyDescent="0.45">
      <c r="A48" s="29" t="s">
        <v>18</v>
      </c>
      <c r="B48" s="29"/>
      <c r="C48" s="30"/>
      <c r="D48" s="26">
        <f>D40</f>
        <v>46322</v>
      </c>
    </row>
    <row r="49" spans="1:4" ht="17.5" x14ac:dyDescent="0.35">
      <c r="A49" s="31"/>
      <c r="B49" s="31"/>
      <c r="C49" s="1"/>
      <c r="D49" s="23"/>
    </row>
    <row r="50" spans="1:4" ht="17.5" x14ac:dyDescent="0.35">
      <c r="A50" s="31"/>
      <c r="B50" s="31"/>
      <c r="C50" s="1" t="s">
        <v>11</v>
      </c>
      <c r="D50" s="23"/>
    </row>
    <row r="51" spans="1:4" ht="17.5" x14ac:dyDescent="0.35">
      <c r="A51" s="31"/>
      <c r="B51" s="31"/>
      <c r="C51" s="1"/>
      <c r="D51" s="23"/>
    </row>
    <row r="52" spans="1:4" ht="17.5" x14ac:dyDescent="0.35">
      <c r="A52" s="31"/>
      <c r="B52" s="31"/>
      <c r="C52" s="1" t="s">
        <v>19</v>
      </c>
      <c r="D52" s="23"/>
    </row>
    <row r="53" spans="1:4" ht="17.5" x14ac:dyDescent="0.35">
      <c r="A53" s="31"/>
      <c r="B53" s="31"/>
      <c r="C53" s="23"/>
      <c r="D53" s="23"/>
    </row>
    <row r="54" spans="1:4" ht="17.5" x14ac:dyDescent="0.35">
      <c r="A54" s="31"/>
      <c r="B54" s="31"/>
      <c r="C54" s="23"/>
      <c r="D54" s="23"/>
    </row>
    <row r="55" spans="1:4" ht="17.5" x14ac:dyDescent="0.35">
      <c r="A55" s="31"/>
      <c r="B55" s="31"/>
      <c r="C55" s="23"/>
      <c r="D55" s="23"/>
    </row>
    <row r="56" spans="1:4" ht="15.5" x14ac:dyDescent="0.35">
      <c r="A56" s="1" t="s">
        <v>8</v>
      </c>
      <c r="B56" s="1"/>
      <c r="C56" s="23"/>
      <c r="D56" s="23"/>
    </row>
    <row r="57" spans="1:4" ht="15.5" x14ac:dyDescent="0.35">
      <c r="A57" s="1"/>
      <c r="B57" s="1"/>
      <c r="C57" s="23"/>
      <c r="D57" s="23"/>
    </row>
    <row r="58" spans="1:4" ht="15.5" x14ac:dyDescent="0.35">
      <c r="A58" s="1"/>
      <c r="B58" s="23"/>
      <c r="C58" s="23"/>
      <c r="D58" s="23"/>
    </row>
    <row r="59" spans="1:4" ht="15.5" x14ac:dyDescent="0.35">
      <c r="A59" s="1"/>
      <c r="B59" s="23"/>
      <c r="C59" s="23"/>
      <c r="D59" s="23"/>
    </row>
    <row r="60" spans="1:4" ht="15.5" x14ac:dyDescent="0.35">
      <c r="A60" s="1"/>
      <c r="B60" s="32"/>
      <c r="C60" s="23"/>
      <c r="D60" s="23"/>
    </row>
    <row r="61" spans="1:4" ht="15.5" x14ac:dyDescent="0.35">
      <c r="A61" s="1"/>
      <c r="B61" s="23"/>
      <c r="C61" s="23"/>
      <c r="D61" s="23"/>
    </row>
  </sheetData>
  <mergeCells count="4">
    <mergeCell ref="A1:D6"/>
    <mergeCell ref="A7:D7"/>
    <mergeCell ref="A8:D8"/>
    <mergeCell ref="A9:D9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1</xdr:col>
                <xdr:colOff>19050</xdr:colOff>
                <xdr:row>0</xdr:row>
                <xdr:rowOff>165100</xdr:rowOff>
              </from>
              <to>
                <xdr:col>1</xdr:col>
                <xdr:colOff>781050</xdr:colOff>
                <xdr:row>5</xdr:row>
                <xdr:rowOff>88900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V7591"/>
  <sheetViews>
    <sheetView tabSelected="1" topLeftCell="A8" zoomScale="70" zoomScaleNormal="70" workbookViewId="0">
      <selection activeCell="E8" sqref="E8:E1506"/>
    </sheetView>
  </sheetViews>
  <sheetFormatPr defaultColWidth="23.1796875" defaultRowHeight="15.5" x14ac:dyDescent="0.35"/>
  <cols>
    <col min="1" max="2" width="23.1796875" style="63"/>
    <col min="3" max="4" width="23.1796875" style="59"/>
    <col min="5" max="5" width="23.1796875" style="60"/>
    <col min="6" max="6" width="23.1796875" style="61"/>
    <col min="7" max="7" width="45.453125" style="61" customWidth="1"/>
    <col min="8" max="22" width="23.1796875" style="58"/>
  </cols>
  <sheetData>
    <row r="1" spans="1:22" s="33" customFormat="1" ht="23.25" customHeight="1" x14ac:dyDescent="0.35">
      <c r="A1" s="82" t="s">
        <v>20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</row>
    <row r="2" spans="1:22" s="1" customFormat="1" ht="23.25" customHeight="1" x14ac:dyDescent="0.35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</row>
    <row r="3" spans="1:22" s="1" customFormat="1" ht="23.25" customHeight="1" x14ac:dyDescent="0.3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4" spans="1:22" ht="23.25" customHeight="1" x14ac:dyDescent="0.35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/>
      <c r="V4"/>
    </row>
    <row r="5" spans="1:22" ht="23.25" customHeight="1" x14ac:dyDescent="0.35">
      <c r="A5" s="34">
        <v>46321</v>
      </c>
      <c r="B5" s="35" t="s">
        <v>21</v>
      </c>
      <c r="C5" s="36">
        <f>SUM(C8:C1048576)</f>
        <v>258357644.66000009</v>
      </c>
      <c r="D5" s="36">
        <f>SUM(D8:D1048576)</f>
        <v>375528969.16999996</v>
      </c>
      <c r="E5" s="37"/>
      <c r="F5" s="38"/>
      <c r="G5" s="38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40"/>
      <c r="T5" s="40"/>
      <c r="U5"/>
      <c r="V5"/>
    </row>
    <row r="6" spans="1:22" ht="23.25" customHeight="1" x14ac:dyDescent="0.35">
      <c r="A6" s="34"/>
      <c r="B6" s="35"/>
      <c r="C6" s="36"/>
      <c r="D6" s="36"/>
      <c r="E6" s="37"/>
      <c r="F6" s="38"/>
      <c r="G6" s="38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40"/>
      <c r="T6" s="40"/>
      <c r="U6"/>
      <c r="V6"/>
    </row>
    <row r="7" spans="1:22" s="49" customFormat="1" ht="23.25" customHeight="1" x14ac:dyDescent="0.35">
      <c r="A7" s="41" t="s">
        <v>22</v>
      </c>
      <c r="B7" s="42" t="s">
        <v>23</v>
      </c>
      <c r="C7" s="42" t="s">
        <v>24</v>
      </c>
      <c r="D7" s="42" t="s">
        <v>25</v>
      </c>
      <c r="E7" s="43" t="s">
        <v>26</v>
      </c>
      <c r="F7" s="43" t="s">
        <v>27</v>
      </c>
      <c r="G7" s="43" t="s">
        <v>39</v>
      </c>
      <c r="H7" s="44" t="s">
        <v>28</v>
      </c>
      <c r="I7" s="41" t="s">
        <v>40</v>
      </c>
      <c r="J7" s="41" t="s">
        <v>41</v>
      </c>
      <c r="K7" s="41" t="s">
        <v>42</v>
      </c>
      <c r="L7" s="41" t="s">
        <v>43</v>
      </c>
      <c r="M7" s="41" t="s">
        <v>44</v>
      </c>
      <c r="N7" s="41" t="s">
        <v>45</v>
      </c>
      <c r="O7" s="41" t="s">
        <v>46</v>
      </c>
      <c r="P7" s="41" t="s">
        <v>47</v>
      </c>
      <c r="Q7" s="41" t="s">
        <v>48</v>
      </c>
      <c r="R7" s="41" t="s">
        <v>49</v>
      </c>
      <c r="S7" s="45" t="s">
        <v>29</v>
      </c>
      <c r="T7" s="46" t="s">
        <v>30</v>
      </c>
      <c r="U7" s="47" t="s">
        <v>31</v>
      </c>
      <c r="V7" s="48" t="s">
        <v>32</v>
      </c>
    </row>
    <row r="8" spans="1:22" ht="23.25" customHeight="1" x14ac:dyDescent="0.35">
      <c r="A8" s="50" t="s">
        <v>53</v>
      </c>
      <c r="B8" s="50" t="s">
        <v>54</v>
      </c>
      <c r="C8" s="51">
        <v>90</v>
      </c>
      <c r="D8" s="52">
        <v>0</v>
      </c>
      <c r="E8" s="53" t="s">
        <v>55</v>
      </c>
      <c r="F8" s="54" t="s">
        <v>56</v>
      </c>
      <c r="G8" s="54" t="s">
        <v>57</v>
      </c>
      <c r="H8" s="55" t="s">
        <v>58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6">
        <f>IF(A8="","",A$5-A8)</f>
        <v>414</v>
      </c>
      <c r="T8" s="57" t="str">
        <f>IF(S8="","",IF(S8&lt;4,"0-3 Days",IF(S8&lt;31,"4-30 Days",IF(S8&lt;61,"31-60 Days",IF(S8&lt;=90,"61-90 Days",IF(S8&gt;90,"Above 90 Days","0"))))))</f>
        <v>Above 90 Days</v>
      </c>
      <c r="U8" s="58" t="str">
        <f>IF(C8="","",IF(C8&gt;0,IF(S8&lt;30,"Normal",IF(S8&lt;60,"Especially Mentioned",IF(S8&lt;90,"Substandard",IF(S8&lt;=180,"Doubtful",IF(S8&gt;180,"Loss","0"))))),"Not Applicable"))</f>
        <v>Loss</v>
      </c>
    </row>
    <row r="9" spans="1:22" ht="23.25" customHeight="1" x14ac:dyDescent="0.35">
      <c r="A9" s="50" t="s">
        <v>59</v>
      </c>
      <c r="B9" s="50" t="s">
        <v>60</v>
      </c>
      <c r="C9" s="51">
        <v>2993</v>
      </c>
      <c r="D9" s="52">
        <v>0</v>
      </c>
      <c r="E9" s="53" t="s">
        <v>61</v>
      </c>
      <c r="F9" s="54" t="s">
        <v>62</v>
      </c>
      <c r="G9" s="54" t="s">
        <v>57</v>
      </c>
      <c r="H9" s="55" t="s">
        <v>63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56">
        <f t="shared" ref="S9:S72" si="0">IF(A9="","",A$5-A9)</f>
        <v>355</v>
      </c>
      <c r="T9" s="57" t="str">
        <f t="shared" ref="T9:T72" si="1">IF(S9="","",IF(S9&lt;4,"0-3 Days",IF(S9&lt;31,"4-30 Days",IF(S9&lt;61,"31-60 Days",IF(S9&lt;=90,"61-90 Days",IF(S9&gt;90,"Above 90 Days","0"))))))</f>
        <v>Above 90 Days</v>
      </c>
      <c r="U9" s="58" t="str">
        <f t="shared" ref="U9:U72" si="2">IF(C9="","",IF(C9&gt;0,IF(S9&lt;30,"Normal",IF(S9&lt;60,"Especially Mentioned",IF(S9&lt;90,"Substandard",IF(S9&lt;=180,"Doubtful",IF(S9&gt;180,"Loss","0"))))),"Not Applicable"))</f>
        <v>Loss</v>
      </c>
    </row>
    <row r="10" spans="1:22" ht="23.25" customHeight="1" x14ac:dyDescent="0.35">
      <c r="A10" s="50" t="s">
        <v>64</v>
      </c>
      <c r="B10" s="50" t="s">
        <v>64</v>
      </c>
      <c r="C10" s="51">
        <v>2580</v>
      </c>
      <c r="D10" s="52">
        <v>0</v>
      </c>
      <c r="E10" s="53" t="s">
        <v>65</v>
      </c>
      <c r="F10" s="54" t="s">
        <v>65</v>
      </c>
      <c r="G10" s="54" t="s">
        <v>57</v>
      </c>
      <c r="H10" s="55" t="s">
        <v>66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6">
        <f t="shared" si="0"/>
        <v>329</v>
      </c>
      <c r="T10" s="57" t="str">
        <f t="shared" si="1"/>
        <v>Above 90 Days</v>
      </c>
      <c r="U10" s="58" t="str">
        <f t="shared" si="2"/>
        <v>Loss</v>
      </c>
    </row>
    <row r="11" spans="1:22" ht="23.25" customHeight="1" x14ac:dyDescent="0.35">
      <c r="A11" s="50" t="s">
        <v>67</v>
      </c>
      <c r="B11" s="50" t="s">
        <v>67</v>
      </c>
      <c r="C11" s="51">
        <v>93.22</v>
      </c>
      <c r="D11" s="52">
        <v>0</v>
      </c>
      <c r="E11" s="53" t="s">
        <v>68</v>
      </c>
      <c r="F11" s="54" t="s">
        <v>69</v>
      </c>
      <c r="G11" s="54" t="s">
        <v>57</v>
      </c>
      <c r="H11" s="55" t="s">
        <v>70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6">
        <f t="shared" si="0"/>
        <v>308</v>
      </c>
      <c r="T11" s="57" t="str">
        <f t="shared" si="1"/>
        <v>Above 90 Days</v>
      </c>
      <c r="U11" s="58" t="str">
        <f t="shared" si="2"/>
        <v>Loss</v>
      </c>
    </row>
    <row r="12" spans="1:22" ht="23.25" customHeight="1" x14ac:dyDescent="0.35">
      <c r="A12" s="50" t="s">
        <v>67</v>
      </c>
      <c r="B12" s="50" t="s">
        <v>67</v>
      </c>
      <c r="C12" s="51">
        <v>93.22</v>
      </c>
      <c r="D12" s="52">
        <v>0</v>
      </c>
      <c r="E12" s="53" t="s">
        <v>71</v>
      </c>
      <c r="F12" s="54" t="s">
        <v>72</v>
      </c>
      <c r="G12" s="54" t="s">
        <v>57</v>
      </c>
      <c r="H12" s="55" t="s">
        <v>73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6">
        <f t="shared" si="0"/>
        <v>308</v>
      </c>
      <c r="T12" s="57" t="str">
        <f t="shared" si="1"/>
        <v>Above 90 Days</v>
      </c>
      <c r="U12" s="58" t="str">
        <f t="shared" si="2"/>
        <v>Loss</v>
      </c>
    </row>
    <row r="13" spans="1:22" ht="23.25" customHeight="1" x14ac:dyDescent="0.35">
      <c r="A13" s="50" t="s">
        <v>74</v>
      </c>
      <c r="B13" s="50" t="s">
        <v>75</v>
      </c>
      <c r="C13" s="51">
        <v>46000</v>
      </c>
      <c r="D13" s="52">
        <v>0</v>
      </c>
      <c r="E13" s="53" t="s">
        <v>76</v>
      </c>
      <c r="F13" s="54" t="s">
        <v>77</v>
      </c>
      <c r="G13" s="54" t="s">
        <v>57</v>
      </c>
      <c r="H13" s="55" t="s">
        <v>78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6">
        <f t="shared" si="0"/>
        <v>271</v>
      </c>
      <c r="T13" s="57" t="str">
        <f t="shared" si="1"/>
        <v>Above 90 Days</v>
      </c>
      <c r="U13" s="58" t="str">
        <f t="shared" si="2"/>
        <v>Loss</v>
      </c>
    </row>
    <row r="14" spans="1:22" ht="23.25" customHeight="1" x14ac:dyDescent="0.35">
      <c r="A14" s="50" t="s">
        <v>79</v>
      </c>
      <c r="B14" s="50" t="s">
        <v>79</v>
      </c>
      <c r="C14" s="51">
        <v>1500</v>
      </c>
      <c r="D14" s="52">
        <v>0</v>
      </c>
      <c r="E14" s="53" t="s">
        <v>80</v>
      </c>
      <c r="F14" s="54" t="s">
        <v>81</v>
      </c>
      <c r="G14" s="54" t="s">
        <v>57</v>
      </c>
      <c r="H14" s="55" t="s">
        <v>82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6">
        <f t="shared" si="0"/>
        <v>265</v>
      </c>
      <c r="T14" s="57" t="str">
        <f t="shared" si="1"/>
        <v>Above 90 Days</v>
      </c>
      <c r="U14" s="58" t="str">
        <f t="shared" si="2"/>
        <v>Loss</v>
      </c>
    </row>
    <row r="15" spans="1:22" ht="23.25" customHeight="1" x14ac:dyDescent="0.35">
      <c r="A15" s="50" t="s">
        <v>83</v>
      </c>
      <c r="B15" s="50" t="s">
        <v>83</v>
      </c>
      <c r="C15" s="51">
        <v>318.60000000000002</v>
      </c>
      <c r="D15" s="52">
        <v>0</v>
      </c>
      <c r="E15" s="53" t="s">
        <v>84</v>
      </c>
      <c r="F15" s="54" t="s">
        <v>85</v>
      </c>
      <c r="G15" s="54" t="s">
        <v>57</v>
      </c>
      <c r="H15" s="55" t="s">
        <v>86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6">
        <f t="shared" si="0"/>
        <v>187</v>
      </c>
      <c r="T15" s="57" t="str">
        <f t="shared" si="1"/>
        <v>Above 90 Days</v>
      </c>
      <c r="U15" s="58" t="str">
        <f t="shared" si="2"/>
        <v>Loss</v>
      </c>
    </row>
    <row r="16" spans="1:22" ht="23.25" customHeight="1" x14ac:dyDescent="0.35">
      <c r="A16" s="50" t="s">
        <v>87</v>
      </c>
      <c r="B16" s="50" t="s">
        <v>87</v>
      </c>
      <c r="C16" s="51">
        <v>0</v>
      </c>
      <c r="D16" s="52">
        <v>20</v>
      </c>
      <c r="E16" s="53" t="s">
        <v>88</v>
      </c>
      <c r="F16" s="54" t="s">
        <v>89</v>
      </c>
      <c r="G16" s="54" t="s">
        <v>57</v>
      </c>
      <c r="H16" s="55" t="s">
        <v>90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6">
        <f t="shared" si="0"/>
        <v>110</v>
      </c>
      <c r="T16" s="57" t="str">
        <f t="shared" si="1"/>
        <v>Above 90 Days</v>
      </c>
      <c r="U16" s="58" t="str">
        <f t="shared" si="2"/>
        <v>Not Applicable</v>
      </c>
    </row>
    <row r="17" spans="1:21" ht="23.25" customHeight="1" x14ac:dyDescent="0.35">
      <c r="A17" s="50" t="s">
        <v>91</v>
      </c>
      <c r="B17" s="50" t="s">
        <v>92</v>
      </c>
      <c r="C17" s="51">
        <v>164500</v>
      </c>
      <c r="D17" s="52">
        <v>0</v>
      </c>
      <c r="E17" s="53" t="s">
        <v>93</v>
      </c>
      <c r="F17" s="54" t="s">
        <v>94</v>
      </c>
      <c r="G17" s="54" t="s">
        <v>57</v>
      </c>
      <c r="H17" s="55" t="s">
        <v>95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6">
        <f t="shared" si="0"/>
        <v>93</v>
      </c>
      <c r="T17" s="57" t="str">
        <f t="shared" si="1"/>
        <v>Above 90 Days</v>
      </c>
      <c r="U17" s="58" t="str">
        <f t="shared" si="2"/>
        <v>Doubtful</v>
      </c>
    </row>
    <row r="18" spans="1:21" ht="23.25" customHeight="1" x14ac:dyDescent="0.35">
      <c r="A18" s="50" t="s">
        <v>96</v>
      </c>
      <c r="B18" s="50" t="s">
        <v>96</v>
      </c>
      <c r="C18" s="51">
        <v>0</v>
      </c>
      <c r="D18" s="52">
        <v>119.76</v>
      </c>
      <c r="E18" s="53" t="s">
        <v>97</v>
      </c>
      <c r="F18" s="54" t="s">
        <v>98</v>
      </c>
      <c r="G18" s="54" t="s">
        <v>57</v>
      </c>
      <c r="H18" s="55" t="s">
        <v>99</v>
      </c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6">
        <f t="shared" si="0"/>
        <v>89</v>
      </c>
      <c r="T18" s="57" t="str">
        <f t="shared" si="1"/>
        <v>61-90 Days</v>
      </c>
      <c r="U18" s="58" t="str">
        <f t="shared" si="2"/>
        <v>Not Applicable</v>
      </c>
    </row>
    <row r="19" spans="1:21" ht="23.25" customHeight="1" x14ac:dyDescent="0.35">
      <c r="A19" s="50" t="s">
        <v>96</v>
      </c>
      <c r="B19" s="50" t="s">
        <v>96</v>
      </c>
      <c r="C19" s="51">
        <v>0</v>
      </c>
      <c r="D19" s="52">
        <v>8700</v>
      </c>
      <c r="E19" s="53" t="s">
        <v>100</v>
      </c>
      <c r="F19" s="54" t="s">
        <v>101</v>
      </c>
      <c r="G19" s="54" t="s">
        <v>57</v>
      </c>
      <c r="H19" s="55" t="s">
        <v>102</v>
      </c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6">
        <f t="shared" si="0"/>
        <v>89</v>
      </c>
      <c r="T19" s="57" t="str">
        <f t="shared" si="1"/>
        <v>61-90 Days</v>
      </c>
      <c r="U19" s="58" t="str">
        <f t="shared" si="2"/>
        <v>Not Applicable</v>
      </c>
    </row>
    <row r="20" spans="1:21" ht="23.25" customHeight="1" x14ac:dyDescent="0.35">
      <c r="A20" s="50" t="s">
        <v>96</v>
      </c>
      <c r="B20" s="50" t="s">
        <v>96</v>
      </c>
      <c r="C20" s="51">
        <v>0</v>
      </c>
      <c r="D20" s="52">
        <v>216.3</v>
      </c>
      <c r="E20" s="53" t="s">
        <v>103</v>
      </c>
      <c r="F20" s="54" t="s">
        <v>104</v>
      </c>
      <c r="G20" s="54" t="s">
        <v>57</v>
      </c>
      <c r="H20" s="55" t="s">
        <v>105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6">
        <f t="shared" si="0"/>
        <v>89</v>
      </c>
      <c r="T20" s="57" t="str">
        <f t="shared" si="1"/>
        <v>61-90 Days</v>
      </c>
      <c r="U20" s="58" t="str">
        <f t="shared" si="2"/>
        <v>Not Applicable</v>
      </c>
    </row>
    <row r="21" spans="1:21" ht="23.25" customHeight="1" x14ac:dyDescent="0.35">
      <c r="A21" s="50" t="s">
        <v>106</v>
      </c>
      <c r="B21" s="50" t="s">
        <v>107</v>
      </c>
      <c r="C21" s="51">
        <v>10</v>
      </c>
      <c r="D21" s="52">
        <v>0</v>
      </c>
      <c r="E21" s="53" t="s">
        <v>108</v>
      </c>
      <c r="F21" s="54" t="s">
        <v>109</v>
      </c>
      <c r="G21" s="54" t="s">
        <v>57</v>
      </c>
      <c r="H21" s="55" t="s">
        <v>110</v>
      </c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6">
        <f t="shared" si="0"/>
        <v>82</v>
      </c>
      <c r="T21" s="57" t="str">
        <f t="shared" si="1"/>
        <v>61-90 Days</v>
      </c>
      <c r="U21" s="58" t="str">
        <f t="shared" si="2"/>
        <v>Substandard</v>
      </c>
    </row>
    <row r="22" spans="1:21" ht="23.25" customHeight="1" x14ac:dyDescent="0.35">
      <c r="A22" s="50" t="s">
        <v>106</v>
      </c>
      <c r="B22" s="50" t="s">
        <v>107</v>
      </c>
      <c r="C22" s="51">
        <v>200</v>
      </c>
      <c r="D22" s="52">
        <v>0</v>
      </c>
      <c r="E22" s="53" t="s">
        <v>111</v>
      </c>
      <c r="F22" s="54" t="s">
        <v>112</v>
      </c>
      <c r="G22" s="54" t="s">
        <v>57</v>
      </c>
      <c r="H22" s="55" t="s">
        <v>113</v>
      </c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6">
        <f t="shared" si="0"/>
        <v>82</v>
      </c>
      <c r="T22" s="57" t="str">
        <f t="shared" si="1"/>
        <v>61-90 Days</v>
      </c>
      <c r="U22" s="58" t="str">
        <f t="shared" si="2"/>
        <v>Substandard</v>
      </c>
    </row>
    <row r="23" spans="1:21" ht="23.25" customHeight="1" x14ac:dyDescent="0.35">
      <c r="A23" s="50" t="s">
        <v>106</v>
      </c>
      <c r="B23" s="50" t="s">
        <v>114</v>
      </c>
      <c r="C23" s="51">
        <v>7500</v>
      </c>
      <c r="D23" s="52">
        <v>0</v>
      </c>
      <c r="E23" s="53" t="s">
        <v>115</v>
      </c>
      <c r="F23" s="54" t="s">
        <v>116</v>
      </c>
      <c r="G23" s="54" t="s">
        <v>57</v>
      </c>
      <c r="H23" s="55" t="s">
        <v>117</v>
      </c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6">
        <f t="shared" si="0"/>
        <v>82</v>
      </c>
      <c r="T23" s="57" t="str">
        <f t="shared" si="1"/>
        <v>61-90 Days</v>
      </c>
      <c r="U23" s="58" t="str">
        <f t="shared" si="2"/>
        <v>Substandard</v>
      </c>
    </row>
    <row r="24" spans="1:21" ht="23.25" customHeight="1" x14ac:dyDescent="0.35">
      <c r="A24" s="50" t="s">
        <v>114</v>
      </c>
      <c r="B24" s="50" t="s">
        <v>114</v>
      </c>
      <c r="C24" s="51">
        <v>0</v>
      </c>
      <c r="D24" s="52">
        <v>300000</v>
      </c>
      <c r="E24" s="53" t="s">
        <v>118</v>
      </c>
      <c r="F24" s="54" t="s">
        <v>57</v>
      </c>
      <c r="G24" s="54" t="s">
        <v>57</v>
      </c>
      <c r="H24" s="55" t="s">
        <v>119</v>
      </c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6">
        <f t="shared" si="0"/>
        <v>84</v>
      </c>
      <c r="T24" s="57" t="str">
        <f t="shared" si="1"/>
        <v>61-90 Days</v>
      </c>
      <c r="U24" s="58" t="str">
        <f t="shared" si="2"/>
        <v>Not Applicable</v>
      </c>
    </row>
    <row r="25" spans="1:21" ht="23.25" customHeight="1" x14ac:dyDescent="0.35">
      <c r="A25" s="50" t="s">
        <v>120</v>
      </c>
      <c r="B25" s="50" t="s">
        <v>121</v>
      </c>
      <c r="C25" s="51">
        <v>500000</v>
      </c>
      <c r="D25" s="52">
        <v>0</v>
      </c>
      <c r="E25" s="53" t="s">
        <v>122</v>
      </c>
      <c r="F25" s="54" t="s">
        <v>123</v>
      </c>
      <c r="G25" s="54" t="s">
        <v>57</v>
      </c>
      <c r="H25" s="55" t="s">
        <v>124</v>
      </c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6">
        <f t="shared" si="0"/>
        <v>76</v>
      </c>
      <c r="T25" s="57" t="str">
        <f t="shared" si="1"/>
        <v>61-90 Days</v>
      </c>
      <c r="U25" s="58" t="str">
        <f t="shared" si="2"/>
        <v>Substandard</v>
      </c>
    </row>
    <row r="26" spans="1:21" ht="23.25" customHeight="1" x14ac:dyDescent="0.35">
      <c r="A26" s="50" t="s">
        <v>125</v>
      </c>
      <c r="B26" s="50" t="s">
        <v>121</v>
      </c>
      <c r="C26" s="51">
        <v>140</v>
      </c>
      <c r="D26" s="52">
        <v>0</v>
      </c>
      <c r="E26" s="53" t="s">
        <v>126</v>
      </c>
      <c r="F26" s="54" t="s">
        <v>127</v>
      </c>
      <c r="G26" s="54" t="s">
        <v>57</v>
      </c>
      <c r="H26" s="55" t="s">
        <v>128</v>
      </c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6">
        <f t="shared" si="0"/>
        <v>81</v>
      </c>
      <c r="T26" s="57" t="str">
        <f t="shared" si="1"/>
        <v>61-90 Days</v>
      </c>
      <c r="U26" s="58" t="str">
        <f t="shared" si="2"/>
        <v>Substandard</v>
      </c>
    </row>
    <row r="27" spans="1:21" ht="23.25" customHeight="1" x14ac:dyDescent="0.35">
      <c r="A27" s="50" t="s">
        <v>106</v>
      </c>
      <c r="B27" s="50" t="s">
        <v>106</v>
      </c>
      <c r="C27" s="51">
        <v>0</v>
      </c>
      <c r="D27" s="52">
        <v>959.97</v>
      </c>
      <c r="E27" s="53" t="s">
        <v>129</v>
      </c>
      <c r="F27" s="54" t="s">
        <v>130</v>
      </c>
      <c r="G27" s="54" t="s">
        <v>57</v>
      </c>
      <c r="H27" s="55" t="s">
        <v>131</v>
      </c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6">
        <f t="shared" si="0"/>
        <v>82</v>
      </c>
      <c r="T27" s="57" t="str">
        <f t="shared" si="1"/>
        <v>61-90 Days</v>
      </c>
      <c r="U27" s="58" t="str">
        <f t="shared" si="2"/>
        <v>Not Applicable</v>
      </c>
    </row>
    <row r="28" spans="1:21" ht="23.25" customHeight="1" x14ac:dyDescent="0.35">
      <c r="A28" s="50" t="s">
        <v>106</v>
      </c>
      <c r="B28" s="50" t="s">
        <v>106</v>
      </c>
      <c r="C28" s="51">
        <v>0</v>
      </c>
      <c r="D28" s="52">
        <v>1348</v>
      </c>
      <c r="E28" s="53" t="s">
        <v>132</v>
      </c>
      <c r="F28" s="54" t="s">
        <v>133</v>
      </c>
      <c r="G28" s="54" t="s">
        <v>57</v>
      </c>
      <c r="H28" s="55" t="s">
        <v>134</v>
      </c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6">
        <f t="shared" si="0"/>
        <v>82</v>
      </c>
      <c r="T28" s="57" t="str">
        <f t="shared" si="1"/>
        <v>61-90 Days</v>
      </c>
      <c r="U28" s="58" t="str">
        <f t="shared" si="2"/>
        <v>Not Applicable</v>
      </c>
    </row>
    <row r="29" spans="1:21" ht="23.25" customHeight="1" x14ac:dyDescent="0.35">
      <c r="A29" s="50" t="s">
        <v>106</v>
      </c>
      <c r="B29" s="50" t="s">
        <v>106</v>
      </c>
      <c r="C29" s="51">
        <v>0</v>
      </c>
      <c r="D29" s="52">
        <v>699.37</v>
      </c>
      <c r="E29" s="53" t="s">
        <v>135</v>
      </c>
      <c r="F29" s="54" t="s">
        <v>136</v>
      </c>
      <c r="G29" s="54" t="s">
        <v>57</v>
      </c>
      <c r="H29" s="55" t="s">
        <v>137</v>
      </c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6">
        <f t="shared" si="0"/>
        <v>82</v>
      </c>
      <c r="T29" s="57" t="str">
        <f t="shared" si="1"/>
        <v>61-90 Days</v>
      </c>
      <c r="U29" s="58" t="str">
        <f t="shared" si="2"/>
        <v>Not Applicable</v>
      </c>
    </row>
    <row r="30" spans="1:21" ht="23.25" customHeight="1" x14ac:dyDescent="0.35">
      <c r="A30" s="50" t="s">
        <v>106</v>
      </c>
      <c r="B30" s="50" t="s">
        <v>106</v>
      </c>
      <c r="C30" s="51">
        <v>0</v>
      </c>
      <c r="D30" s="52">
        <v>85</v>
      </c>
      <c r="E30" s="53" t="s">
        <v>138</v>
      </c>
      <c r="F30" s="54" t="s">
        <v>139</v>
      </c>
      <c r="G30" s="54" t="s">
        <v>57</v>
      </c>
      <c r="H30" s="55" t="s">
        <v>140</v>
      </c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6">
        <f t="shared" si="0"/>
        <v>82</v>
      </c>
      <c r="T30" s="57" t="str">
        <f t="shared" si="1"/>
        <v>61-90 Days</v>
      </c>
      <c r="U30" s="58" t="str">
        <f t="shared" si="2"/>
        <v>Not Applicable</v>
      </c>
    </row>
    <row r="31" spans="1:21" ht="23.25" customHeight="1" x14ac:dyDescent="0.35">
      <c r="A31" s="50" t="s">
        <v>106</v>
      </c>
      <c r="B31" s="50" t="s">
        <v>106</v>
      </c>
      <c r="C31" s="51">
        <v>0</v>
      </c>
      <c r="D31" s="52">
        <v>23750</v>
      </c>
      <c r="E31" s="53" t="s">
        <v>141</v>
      </c>
      <c r="F31" s="54" t="s">
        <v>142</v>
      </c>
      <c r="G31" s="54" t="s">
        <v>57</v>
      </c>
      <c r="H31" s="55" t="s">
        <v>143</v>
      </c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6">
        <f t="shared" si="0"/>
        <v>82</v>
      </c>
      <c r="T31" s="57" t="str">
        <f t="shared" si="1"/>
        <v>61-90 Days</v>
      </c>
      <c r="U31" s="58" t="str">
        <f t="shared" si="2"/>
        <v>Not Applicable</v>
      </c>
    </row>
    <row r="32" spans="1:21" ht="23.25" customHeight="1" x14ac:dyDescent="0.35">
      <c r="A32" s="50" t="s">
        <v>106</v>
      </c>
      <c r="B32" s="50" t="s">
        <v>106</v>
      </c>
      <c r="C32" s="51">
        <v>0</v>
      </c>
      <c r="D32" s="52">
        <v>959.97</v>
      </c>
      <c r="E32" s="53" t="s">
        <v>144</v>
      </c>
      <c r="F32" s="54" t="s">
        <v>145</v>
      </c>
      <c r="G32" s="54" t="s">
        <v>57</v>
      </c>
      <c r="H32" s="55" t="s">
        <v>146</v>
      </c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6">
        <f t="shared" si="0"/>
        <v>82</v>
      </c>
      <c r="T32" s="57" t="str">
        <f t="shared" si="1"/>
        <v>61-90 Days</v>
      </c>
      <c r="U32" s="58" t="str">
        <f t="shared" si="2"/>
        <v>Not Applicable</v>
      </c>
    </row>
    <row r="33" spans="1:21" ht="23.25" customHeight="1" x14ac:dyDescent="0.35">
      <c r="A33" s="50" t="s">
        <v>106</v>
      </c>
      <c r="B33" s="50" t="s">
        <v>106</v>
      </c>
      <c r="C33" s="51">
        <v>0</v>
      </c>
      <c r="D33" s="52">
        <v>1718.5</v>
      </c>
      <c r="E33" s="53" t="s">
        <v>147</v>
      </c>
      <c r="F33" s="54" t="s">
        <v>148</v>
      </c>
      <c r="G33" s="54" t="s">
        <v>57</v>
      </c>
      <c r="H33" s="55" t="s">
        <v>149</v>
      </c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6">
        <f t="shared" si="0"/>
        <v>82</v>
      </c>
      <c r="T33" s="57" t="str">
        <f t="shared" si="1"/>
        <v>61-90 Days</v>
      </c>
      <c r="U33" s="58" t="str">
        <f t="shared" si="2"/>
        <v>Not Applicable</v>
      </c>
    </row>
    <row r="34" spans="1:21" ht="23.25" customHeight="1" x14ac:dyDescent="0.35">
      <c r="A34" s="50" t="s">
        <v>106</v>
      </c>
      <c r="B34" s="50" t="s">
        <v>106</v>
      </c>
      <c r="C34" s="51">
        <v>5000</v>
      </c>
      <c r="D34" s="52">
        <v>0</v>
      </c>
      <c r="E34" s="53" t="s">
        <v>150</v>
      </c>
      <c r="F34" s="54" t="s">
        <v>151</v>
      </c>
      <c r="G34" s="54" t="s">
        <v>57</v>
      </c>
      <c r="H34" s="55" t="s">
        <v>152</v>
      </c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6">
        <f t="shared" si="0"/>
        <v>82</v>
      </c>
      <c r="T34" s="57" t="str">
        <f t="shared" si="1"/>
        <v>61-90 Days</v>
      </c>
      <c r="U34" s="58" t="str">
        <f t="shared" si="2"/>
        <v>Substandard</v>
      </c>
    </row>
    <row r="35" spans="1:21" ht="23.25" customHeight="1" x14ac:dyDescent="0.35">
      <c r="A35" s="50" t="s">
        <v>106</v>
      </c>
      <c r="B35" s="50" t="s">
        <v>106</v>
      </c>
      <c r="C35" s="51">
        <v>0</v>
      </c>
      <c r="D35" s="52">
        <v>1600</v>
      </c>
      <c r="E35" s="53" t="s">
        <v>153</v>
      </c>
      <c r="F35" s="54" t="s">
        <v>154</v>
      </c>
      <c r="G35" s="54" t="s">
        <v>57</v>
      </c>
      <c r="H35" s="55" t="s">
        <v>155</v>
      </c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6">
        <f t="shared" si="0"/>
        <v>82</v>
      </c>
      <c r="T35" s="57" t="str">
        <f t="shared" si="1"/>
        <v>61-90 Days</v>
      </c>
      <c r="U35" s="58" t="str">
        <f t="shared" si="2"/>
        <v>Not Applicable</v>
      </c>
    </row>
    <row r="36" spans="1:21" ht="23.25" customHeight="1" x14ac:dyDescent="0.35">
      <c r="A36" s="50" t="s">
        <v>125</v>
      </c>
      <c r="B36" s="50" t="s">
        <v>125</v>
      </c>
      <c r="C36" s="51">
        <v>0</v>
      </c>
      <c r="D36" s="52">
        <v>925</v>
      </c>
      <c r="E36" s="53" t="s">
        <v>156</v>
      </c>
      <c r="F36" s="54" t="s">
        <v>157</v>
      </c>
      <c r="G36" s="54" t="s">
        <v>57</v>
      </c>
      <c r="H36" s="55" t="s">
        <v>158</v>
      </c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6">
        <f t="shared" si="0"/>
        <v>81</v>
      </c>
      <c r="T36" s="57" t="str">
        <f t="shared" si="1"/>
        <v>61-90 Days</v>
      </c>
      <c r="U36" s="58" t="str">
        <f t="shared" si="2"/>
        <v>Not Applicable</v>
      </c>
    </row>
    <row r="37" spans="1:21" ht="23.25" customHeight="1" x14ac:dyDescent="0.35">
      <c r="A37" s="50" t="s">
        <v>125</v>
      </c>
      <c r="B37" s="50" t="s">
        <v>125</v>
      </c>
      <c r="C37" s="51">
        <v>0</v>
      </c>
      <c r="D37" s="52">
        <v>500</v>
      </c>
      <c r="E37" s="53" t="s">
        <v>159</v>
      </c>
      <c r="F37" s="54" t="s">
        <v>160</v>
      </c>
      <c r="G37" s="54" t="s">
        <v>57</v>
      </c>
      <c r="H37" s="55" t="s">
        <v>161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6">
        <f t="shared" si="0"/>
        <v>81</v>
      </c>
      <c r="T37" s="57" t="str">
        <f t="shared" si="1"/>
        <v>61-90 Days</v>
      </c>
      <c r="U37" s="58" t="str">
        <f t="shared" si="2"/>
        <v>Not Applicable</v>
      </c>
    </row>
    <row r="38" spans="1:21" ht="23.25" customHeight="1" x14ac:dyDescent="0.35">
      <c r="A38" s="50" t="s">
        <v>125</v>
      </c>
      <c r="B38" s="50" t="s">
        <v>125</v>
      </c>
      <c r="C38" s="51">
        <v>0</v>
      </c>
      <c r="D38" s="52">
        <v>1278.8</v>
      </c>
      <c r="E38" s="53" t="s">
        <v>162</v>
      </c>
      <c r="F38" s="54" t="s">
        <v>163</v>
      </c>
      <c r="G38" s="54" t="s">
        <v>57</v>
      </c>
      <c r="H38" s="55" t="s">
        <v>164</v>
      </c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6">
        <f t="shared" si="0"/>
        <v>81</v>
      </c>
      <c r="T38" s="57" t="str">
        <f t="shared" si="1"/>
        <v>61-90 Days</v>
      </c>
      <c r="U38" s="58" t="str">
        <f t="shared" si="2"/>
        <v>Not Applicable</v>
      </c>
    </row>
    <row r="39" spans="1:21" ht="23.25" customHeight="1" x14ac:dyDescent="0.35">
      <c r="A39" s="50" t="s">
        <v>125</v>
      </c>
      <c r="B39" s="50" t="s">
        <v>125</v>
      </c>
      <c r="C39" s="51">
        <v>0</v>
      </c>
      <c r="D39" s="52">
        <v>600000</v>
      </c>
      <c r="E39" s="53" t="s">
        <v>165</v>
      </c>
      <c r="F39" s="54" t="s">
        <v>57</v>
      </c>
      <c r="G39" s="54" t="s">
        <v>57</v>
      </c>
      <c r="H39" s="55" t="s">
        <v>166</v>
      </c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6">
        <f t="shared" si="0"/>
        <v>81</v>
      </c>
      <c r="T39" s="57" t="str">
        <f t="shared" si="1"/>
        <v>61-90 Days</v>
      </c>
      <c r="U39" s="58" t="str">
        <f t="shared" si="2"/>
        <v>Not Applicable</v>
      </c>
    </row>
    <row r="40" spans="1:21" ht="23.25" customHeight="1" x14ac:dyDescent="0.35">
      <c r="A40" s="50" t="s">
        <v>125</v>
      </c>
      <c r="B40" s="50" t="s">
        <v>125</v>
      </c>
      <c r="C40" s="51">
        <v>0</v>
      </c>
      <c r="D40" s="52">
        <v>624.33000000000004</v>
      </c>
      <c r="E40" s="53" t="s">
        <v>167</v>
      </c>
      <c r="F40" s="54" t="s">
        <v>168</v>
      </c>
      <c r="G40" s="54" t="s">
        <v>57</v>
      </c>
      <c r="H40" s="55" t="s">
        <v>169</v>
      </c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6">
        <f t="shared" si="0"/>
        <v>81</v>
      </c>
      <c r="T40" s="57" t="str">
        <f t="shared" si="1"/>
        <v>61-90 Days</v>
      </c>
      <c r="U40" s="58" t="str">
        <f t="shared" si="2"/>
        <v>Not Applicable</v>
      </c>
    </row>
    <row r="41" spans="1:21" ht="23.25" customHeight="1" x14ac:dyDescent="0.35">
      <c r="A41" s="50" t="s">
        <v>125</v>
      </c>
      <c r="B41" s="50" t="s">
        <v>125</v>
      </c>
      <c r="C41" s="51">
        <v>0</v>
      </c>
      <c r="D41" s="52">
        <v>52000</v>
      </c>
      <c r="E41" s="53" t="s">
        <v>170</v>
      </c>
      <c r="F41" s="54" t="s">
        <v>171</v>
      </c>
      <c r="G41" s="54" t="s">
        <v>57</v>
      </c>
      <c r="H41" s="55" t="s">
        <v>172</v>
      </c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6">
        <f t="shared" si="0"/>
        <v>81</v>
      </c>
      <c r="T41" s="57" t="str">
        <f t="shared" si="1"/>
        <v>61-90 Days</v>
      </c>
      <c r="U41" s="58" t="str">
        <f t="shared" si="2"/>
        <v>Not Applicable</v>
      </c>
    </row>
    <row r="42" spans="1:21" ht="23.25" customHeight="1" x14ac:dyDescent="0.35">
      <c r="A42" s="50" t="s">
        <v>125</v>
      </c>
      <c r="B42" s="50" t="s">
        <v>125</v>
      </c>
      <c r="C42" s="51">
        <v>0</v>
      </c>
      <c r="D42" s="52">
        <v>6626</v>
      </c>
      <c r="E42" s="53" t="s">
        <v>173</v>
      </c>
      <c r="F42" s="54" t="s">
        <v>174</v>
      </c>
      <c r="G42" s="54" t="s">
        <v>57</v>
      </c>
      <c r="H42" s="55" t="s">
        <v>175</v>
      </c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6">
        <f t="shared" si="0"/>
        <v>81</v>
      </c>
      <c r="T42" s="57" t="str">
        <f t="shared" si="1"/>
        <v>61-90 Days</v>
      </c>
      <c r="U42" s="58" t="str">
        <f t="shared" si="2"/>
        <v>Not Applicable</v>
      </c>
    </row>
    <row r="43" spans="1:21" ht="23.25" customHeight="1" x14ac:dyDescent="0.35">
      <c r="A43" s="50" t="s">
        <v>125</v>
      </c>
      <c r="B43" s="50" t="s">
        <v>125</v>
      </c>
      <c r="C43" s="51">
        <v>0</v>
      </c>
      <c r="D43" s="52">
        <v>7535</v>
      </c>
      <c r="E43" s="53" t="s">
        <v>176</v>
      </c>
      <c r="F43" s="54" t="s">
        <v>177</v>
      </c>
      <c r="G43" s="54" t="s">
        <v>57</v>
      </c>
      <c r="H43" s="55" t="s">
        <v>178</v>
      </c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6">
        <f t="shared" si="0"/>
        <v>81</v>
      </c>
      <c r="T43" s="57" t="str">
        <f t="shared" si="1"/>
        <v>61-90 Days</v>
      </c>
      <c r="U43" s="58" t="str">
        <f t="shared" si="2"/>
        <v>Not Applicable</v>
      </c>
    </row>
    <row r="44" spans="1:21" ht="23.25" customHeight="1" x14ac:dyDescent="0.35">
      <c r="A44" s="50" t="s">
        <v>125</v>
      </c>
      <c r="B44" s="50" t="s">
        <v>125</v>
      </c>
      <c r="C44" s="51">
        <v>0</v>
      </c>
      <c r="D44" s="52">
        <v>20000</v>
      </c>
      <c r="E44" s="53" t="s">
        <v>179</v>
      </c>
      <c r="F44" s="54" t="s">
        <v>180</v>
      </c>
      <c r="G44" s="54" t="s">
        <v>57</v>
      </c>
      <c r="H44" s="55" t="s">
        <v>181</v>
      </c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6">
        <f t="shared" si="0"/>
        <v>81</v>
      </c>
      <c r="T44" s="57" t="str">
        <f t="shared" si="1"/>
        <v>61-90 Days</v>
      </c>
      <c r="U44" s="58" t="str">
        <f t="shared" si="2"/>
        <v>Not Applicable</v>
      </c>
    </row>
    <row r="45" spans="1:21" ht="23.25" customHeight="1" x14ac:dyDescent="0.35">
      <c r="A45" s="50" t="s">
        <v>125</v>
      </c>
      <c r="B45" s="50" t="s">
        <v>125</v>
      </c>
      <c r="C45" s="51">
        <v>0</v>
      </c>
      <c r="D45" s="52">
        <v>399.18</v>
      </c>
      <c r="E45" s="53" t="s">
        <v>182</v>
      </c>
      <c r="F45" s="54" t="s">
        <v>183</v>
      </c>
      <c r="G45" s="54" t="s">
        <v>57</v>
      </c>
      <c r="H45" s="55" t="s">
        <v>184</v>
      </c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6">
        <f t="shared" si="0"/>
        <v>81</v>
      </c>
      <c r="T45" s="57" t="str">
        <f t="shared" si="1"/>
        <v>61-90 Days</v>
      </c>
      <c r="U45" s="58" t="str">
        <f t="shared" si="2"/>
        <v>Not Applicable</v>
      </c>
    </row>
    <row r="46" spans="1:21" ht="23.25" customHeight="1" x14ac:dyDescent="0.35">
      <c r="A46" s="50" t="s">
        <v>125</v>
      </c>
      <c r="B46" s="50" t="s">
        <v>125</v>
      </c>
      <c r="C46" s="51">
        <v>0</v>
      </c>
      <c r="D46" s="52">
        <v>1277.5</v>
      </c>
      <c r="E46" s="53" t="s">
        <v>185</v>
      </c>
      <c r="F46" s="54" t="s">
        <v>186</v>
      </c>
      <c r="G46" s="54" t="s">
        <v>57</v>
      </c>
      <c r="H46" s="55" t="s">
        <v>187</v>
      </c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6">
        <f t="shared" si="0"/>
        <v>81</v>
      </c>
      <c r="T46" s="57" t="str">
        <f t="shared" si="1"/>
        <v>61-90 Days</v>
      </c>
      <c r="U46" s="58" t="str">
        <f t="shared" si="2"/>
        <v>Not Applicable</v>
      </c>
    </row>
    <row r="47" spans="1:21" ht="23.25" customHeight="1" x14ac:dyDescent="0.35">
      <c r="A47" s="50" t="s">
        <v>125</v>
      </c>
      <c r="B47" s="50" t="s">
        <v>125</v>
      </c>
      <c r="C47" s="51">
        <v>0</v>
      </c>
      <c r="D47" s="52">
        <v>4350</v>
      </c>
      <c r="E47" s="53" t="s">
        <v>188</v>
      </c>
      <c r="F47" s="54" t="s">
        <v>189</v>
      </c>
      <c r="G47" s="54" t="s">
        <v>57</v>
      </c>
      <c r="H47" s="55" t="s">
        <v>190</v>
      </c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6">
        <f t="shared" si="0"/>
        <v>81</v>
      </c>
      <c r="T47" s="57" t="str">
        <f t="shared" si="1"/>
        <v>61-90 Days</v>
      </c>
      <c r="U47" s="58" t="str">
        <f t="shared" si="2"/>
        <v>Not Applicable</v>
      </c>
    </row>
    <row r="48" spans="1:21" ht="23.25" customHeight="1" x14ac:dyDescent="0.35">
      <c r="A48" s="50" t="s">
        <v>125</v>
      </c>
      <c r="B48" s="50" t="s">
        <v>125</v>
      </c>
      <c r="C48" s="51">
        <v>0</v>
      </c>
      <c r="D48" s="52">
        <v>208</v>
      </c>
      <c r="E48" s="53" t="s">
        <v>191</v>
      </c>
      <c r="F48" s="54" t="s">
        <v>192</v>
      </c>
      <c r="G48" s="54" t="s">
        <v>57</v>
      </c>
      <c r="H48" s="55" t="s">
        <v>193</v>
      </c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6">
        <f t="shared" si="0"/>
        <v>81</v>
      </c>
      <c r="T48" s="57" t="str">
        <f t="shared" si="1"/>
        <v>61-90 Days</v>
      </c>
      <c r="U48" s="58" t="str">
        <f t="shared" si="2"/>
        <v>Not Applicable</v>
      </c>
    </row>
    <row r="49" spans="1:21" ht="23.25" customHeight="1" x14ac:dyDescent="0.35">
      <c r="A49" s="50" t="s">
        <v>125</v>
      </c>
      <c r="B49" s="50" t="s">
        <v>125</v>
      </c>
      <c r="C49" s="51">
        <v>0</v>
      </c>
      <c r="D49" s="52">
        <v>300</v>
      </c>
      <c r="E49" s="53" t="s">
        <v>194</v>
      </c>
      <c r="F49" s="54" t="s">
        <v>195</v>
      </c>
      <c r="G49" s="54" t="s">
        <v>57</v>
      </c>
      <c r="H49" s="55" t="s">
        <v>196</v>
      </c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6">
        <f t="shared" si="0"/>
        <v>81</v>
      </c>
      <c r="T49" s="57" t="str">
        <f t="shared" si="1"/>
        <v>61-90 Days</v>
      </c>
      <c r="U49" s="58" t="str">
        <f t="shared" si="2"/>
        <v>Not Applicable</v>
      </c>
    </row>
    <row r="50" spans="1:21" ht="23.25" customHeight="1" x14ac:dyDescent="0.35">
      <c r="A50" s="50" t="s">
        <v>125</v>
      </c>
      <c r="B50" s="50" t="s">
        <v>125</v>
      </c>
      <c r="C50" s="51">
        <v>13334</v>
      </c>
      <c r="D50" s="52">
        <v>0</v>
      </c>
      <c r="E50" s="53" t="s">
        <v>197</v>
      </c>
      <c r="F50" s="54" t="s">
        <v>57</v>
      </c>
      <c r="G50" s="54" t="s">
        <v>57</v>
      </c>
      <c r="H50" s="55" t="s">
        <v>198</v>
      </c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6">
        <f t="shared" si="0"/>
        <v>81</v>
      </c>
      <c r="T50" s="57" t="str">
        <f t="shared" si="1"/>
        <v>61-90 Days</v>
      </c>
      <c r="U50" s="58" t="str">
        <f t="shared" si="2"/>
        <v>Substandard</v>
      </c>
    </row>
    <row r="51" spans="1:21" ht="23.25" customHeight="1" x14ac:dyDescent="0.35">
      <c r="A51" s="50" t="s">
        <v>125</v>
      </c>
      <c r="B51" s="50" t="s">
        <v>125</v>
      </c>
      <c r="C51" s="51">
        <v>0</v>
      </c>
      <c r="D51" s="52">
        <v>11700</v>
      </c>
      <c r="E51" s="53" t="s">
        <v>199</v>
      </c>
      <c r="F51" s="54" t="s">
        <v>200</v>
      </c>
      <c r="G51" s="54" t="s">
        <v>57</v>
      </c>
      <c r="H51" s="55" t="s">
        <v>201</v>
      </c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6">
        <f t="shared" si="0"/>
        <v>81</v>
      </c>
      <c r="T51" s="57" t="str">
        <f t="shared" si="1"/>
        <v>61-90 Days</v>
      </c>
      <c r="U51" s="58" t="str">
        <f t="shared" si="2"/>
        <v>Not Applicable</v>
      </c>
    </row>
    <row r="52" spans="1:21" ht="23.25" customHeight="1" x14ac:dyDescent="0.35">
      <c r="A52" s="50" t="s">
        <v>125</v>
      </c>
      <c r="B52" s="50" t="s">
        <v>125</v>
      </c>
      <c r="C52" s="51">
        <v>0</v>
      </c>
      <c r="D52" s="52">
        <v>11200</v>
      </c>
      <c r="E52" s="53" t="s">
        <v>202</v>
      </c>
      <c r="F52" s="54" t="s">
        <v>203</v>
      </c>
      <c r="G52" s="54" t="s">
        <v>57</v>
      </c>
      <c r="H52" s="55" t="s">
        <v>204</v>
      </c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6">
        <f t="shared" si="0"/>
        <v>81</v>
      </c>
      <c r="T52" s="57" t="str">
        <f t="shared" si="1"/>
        <v>61-90 Days</v>
      </c>
      <c r="U52" s="58" t="str">
        <f t="shared" si="2"/>
        <v>Not Applicable</v>
      </c>
    </row>
    <row r="53" spans="1:21" ht="23.25" customHeight="1" x14ac:dyDescent="0.35">
      <c r="A53" s="50" t="s">
        <v>125</v>
      </c>
      <c r="B53" s="50" t="s">
        <v>125</v>
      </c>
      <c r="C53" s="51">
        <v>840</v>
      </c>
      <c r="D53" s="52">
        <v>0</v>
      </c>
      <c r="E53" s="53" t="s">
        <v>205</v>
      </c>
      <c r="F53" s="54" t="s">
        <v>206</v>
      </c>
      <c r="G53" s="54" t="s">
        <v>57</v>
      </c>
      <c r="H53" s="55" t="s">
        <v>207</v>
      </c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6">
        <f t="shared" si="0"/>
        <v>81</v>
      </c>
      <c r="T53" s="57" t="str">
        <f t="shared" si="1"/>
        <v>61-90 Days</v>
      </c>
      <c r="U53" s="58" t="str">
        <f t="shared" si="2"/>
        <v>Substandard</v>
      </c>
    </row>
    <row r="54" spans="1:21" ht="23.25" customHeight="1" x14ac:dyDescent="0.35">
      <c r="A54" s="50" t="s">
        <v>125</v>
      </c>
      <c r="B54" s="50" t="s">
        <v>125</v>
      </c>
      <c r="C54" s="51">
        <v>0</v>
      </c>
      <c r="D54" s="52">
        <v>240</v>
      </c>
      <c r="E54" s="53" t="s">
        <v>208</v>
      </c>
      <c r="F54" s="54" t="s">
        <v>209</v>
      </c>
      <c r="G54" s="54" t="s">
        <v>57</v>
      </c>
      <c r="H54" s="55" t="s">
        <v>210</v>
      </c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6">
        <f t="shared" si="0"/>
        <v>81</v>
      </c>
      <c r="T54" s="57" t="str">
        <f t="shared" si="1"/>
        <v>61-90 Days</v>
      </c>
      <c r="U54" s="58" t="str">
        <f t="shared" si="2"/>
        <v>Not Applicable</v>
      </c>
    </row>
    <row r="55" spans="1:21" ht="23.25" customHeight="1" x14ac:dyDescent="0.35">
      <c r="A55" s="50" t="s">
        <v>125</v>
      </c>
      <c r="B55" s="50" t="s">
        <v>125</v>
      </c>
      <c r="C55" s="51">
        <v>0</v>
      </c>
      <c r="D55" s="52">
        <v>500</v>
      </c>
      <c r="E55" s="53" t="s">
        <v>211</v>
      </c>
      <c r="F55" s="54" t="s">
        <v>212</v>
      </c>
      <c r="G55" s="54" t="s">
        <v>57</v>
      </c>
      <c r="H55" s="55" t="s">
        <v>213</v>
      </c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6">
        <f t="shared" si="0"/>
        <v>81</v>
      </c>
      <c r="T55" s="57" t="str">
        <f t="shared" si="1"/>
        <v>61-90 Days</v>
      </c>
      <c r="U55" s="58" t="str">
        <f t="shared" si="2"/>
        <v>Not Applicable</v>
      </c>
    </row>
    <row r="56" spans="1:21" ht="23.25" customHeight="1" x14ac:dyDescent="0.35">
      <c r="A56" s="50" t="s">
        <v>125</v>
      </c>
      <c r="B56" s="50" t="s">
        <v>125</v>
      </c>
      <c r="C56" s="51">
        <v>500</v>
      </c>
      <c r="D56" s="52">
        <v>0</v>
      </c>
      <c r="E56" s="53" t="s">
        <v>214</v>
      </c>
      <c r="F56" s="54" t="s">
        <v>57</v>
      </c>
      <c r="G56" s="54" t="s">
        <v>57</v>
      </c>
      <c r="H56" s="55" t="s">
        <v>215</v>
      </c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6">
        <f t="shared" si="0"/>
        <v>81</v>
      </c>
      <c r="T56" s="57" t="str">
        <f t="shared" si="1"/>
        <v>61-90 Days</v>
      </c>
      <c r="U56" s="58" t="str">
        <f t="shared" si="2"/>
        <v>Substandard</v>
      </c>
    </row>
    <row r="57" spans="1:21" ht="23.25" customHeight="1" x14ac:dyDescent="0.35">
      <c r="A57" s="50" t="s">
        <v>125</v>
      </c>
      <c r="B57" s="50" t="s">
        <v>125</v>
      </c>
      <c r="C57" s="51">
        <v>600</v>
      </c>
      <c r="D57" s="52">
        <v>0</v>
      </c>
      <c r="E57" s="53" t="s">
        <v>216</v>
      </c>
      <c r="F57" s="54" t="s">
        <v>57</v>
      </c>
      <c r="G57" s="54" t="s">
        <v>57</v>
      </c>
      <c r="H57" s="55" t="s">
        <v>217</v>
      </c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6">
        <f t="shared" si="0"/>
        <v>81</v>
      </c>
      <c r="T57" s="57" t="str">
        <f t="shared" si="1"/>
        <v>61-90 Days</v>
      </c>
      <c r="U57" s="58" t="str">
        <f t="shared" si="2"/>
        <v>Substandard</v>
      </c>
    </row>
    <row r="58" spans="1:21" ht="23.25" customHeight="1" x14ac:dyDescent="0.35">
      <c r="A58" s="50" t="s">
        <v>125</v>
      </c>
      <c r="B58" s="50" t="s">
        <v>125</v>
      </c>
      <c r="C58" s="51">
        <v>0</v>
      </c>
      <c r="D58" s="52">
        <v>1119</v>
      </c>
      <c r="E58" s="53" t="s">
        <v>218</v>
      </c>
      <c r="F58" s="54" t="s">
        <v>219</v>
      </c>
      <c r="G58" s="54" t="s">
        <v>57</v>
      </c>
      <c r="H58" s="55" t="s">
        <v>220</v>
      </c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6">
        <f t="shared" si="0"/>
        <v>81</v>
      </c>
      <c r="T58" s="57" t="str">
        <f t="shared" si="1"/>
        <v>61-90 Days</v>
      </c>
      <c r="U58" s="58" t="str">
        <f t="shared" si="2"/>
        <v>Not Applicable</v>
      </c>
    </row>
    <row r="59" spans="1:21" ht="23.25" customHeight="1" x14ac:dyDescent="0.35">
      <c r="A59" s="50" t="s">
        <v>125</v>
      </c>
      <c r="B59" s="50" t="s">
        <v>125</v>
      </c>
      <c r="C59" s="51">
        <v>70000</v>
      </c>
      <c r="D59" s="52">
        <v>0</v>
      </c>
      <c r="E59" s="53" t="s">
        <v>221</v>
      </c>
      <c r="F59" s="54" t="s">
        <v>57</v>
      </c>
      <c r="G59" s="54" t="s">
        <v>57</v>
      </c>
      <c r="H59" s="55" t="s">
        <v>222</v>
      </c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6">
        <f t="shared" si="0"/>
        <v>81</v>
      </c>
      <c r="T59" s="57" t="str">
        <f t="shared" si="1"/>
        <v>61-90 Days</v>
      </c>
      <c r="U59" s="58" t="str">
        <f t="shared" si="2"/>
        <v>Substandard</v>
      </c>
    </row>
    <row r="60" spans="1:21" ht="23.25" customHeight="1" x14ac:dyDescent="0.35">
      <c r="A60" s="50" t="s">
        <v>125</v>
      </c>
      <c r="B60" s="50" t="s">
        <v>125</v>
      </c>
      <c r="C60" s="51">
        <v>0</v>
      </c>
      <c r="D60" s="52">
        <v>38.14</v>
      </c>
      <c r="E60" s="53" t="s">
        <v>223</v>
      </c>
      <c r="F60" s="54" t="s">
        <v>224</v>
      </c>
      <c r="G60" s="54" t="s">
        <v>57</v>
      </c>
      <c r="H60" s="55" t="s">
        <v>225</v>
      </c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6">
        <f t="shared" si="0"/>
        <v>81</v>
      </c>
      <c r="T60" s="57" t="str">
        <f t="shared" si="1"/>
        <v>61-90 Days</v>
      </c>
      <c r="U60" s="58" t="str">
        <f t="shared" si="2"/>
        <v>Not Applicable</v>
      </c>
    </row>
    <row r="61" spans="1:21" ht="23.25" customHeight="1" x14ac:dyDescent="0.35">
      <c r="A61" s="50" t="s">
        <v>125</v>
      </c>
      <c r="B61" s="50" t="s">
        <v>125</v>
      </c>
      <c r="C61" s="51">
        <v>1294.7</v>
      </c>
      <c r="D61" s="52">
        <v>0</v>
      </c>
      <c r="E61" s="53" t="s">
        <v>226</v>
      </c>
      <c r="F61" s="54" t="s">
        <v>57</v>
      </c>
      <c r="G61" s="54" t="s">
        <v>57</v>
      </c>
      <c r="H61" s="55" t="s">
        <v>227</v>
      </c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6">
        <f t="shared" si="0"/>
        <v>81</v>
      </c>
      <c r="T61" s="57" t="str">
        <f t="shared" si="1"/>
        <v>61-90 Days</v>
      </c>
      <c r="U61" s="58" t="str">
        <f t="shared" si="2"/>
        <v>Substandard</v>
      </c>
    </row>
    <row r="62" spans="1:21" ht="23.25" customHeight="1" x14ac:dyDescent="0.35">
      <c r="A62" s="50" t="s">
        <v>125</v>
      </c>
      <c r="B62" s="50" t="s">
        <v>125</v>
      </c>
      <c r="C62" s="51">
        <v>0</v>
      </c>
      <c r="D62" s="52">
        <v>1333.2</v>
      </c>
      <c r="E62" s="53" t="s">
        <v>228</v>
      </c>
      <c r="F62" s="54" t="s">
        <v>229</v>
      </c>
      <c r="G62" s="54" t="s">
        <v>57</v>
      </c>
      <c r="H62" s="55" t="s">
        <v>230</v>
      </c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6">
        <f t="shared" si="0"/>
        <v>81</v>
      </c>
      <c r="T62" s="57" t="str">
        <f t="shared" si="1"/>
        <v>61-90 Days</v>
      </c>
      <c r="U62" s="58" t="str">
        <f t="shared" si="2"/>
        <v>Not Applicable</v>
      </c>
    </row>
    <row r="63" spans="1:21" ht="23.25" customHeight="1" x14ac:dyDescent="0.35">
      <c r="A63" s="50" t="s">
        <v>125</v>
      </c>
      <c r="B63" s="50" t="s">
        <v>125</v>
      </c>
      <c r="C63" s="51">
        <v>27300</v>
      </c>
      <c r="D63" s="52">
        <v>0</v>
      </c>
      <c r="E63" s="53" t="s">
        <v>231</v>
      </c>
      <c r="F63" s="54" t="s">
        <v>57</v>
      </c>
      <c r="G63" s="54" t="s">
        <v>57</v>
      </c>
      <c r="H63" s="55" t="s">
        <v>232</v>
      </c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6">
        <f t="shared" si="0"/>
        <v>81</v>
      </c>
      <c r="T63" s="57" t="str">
        <f t="shared" si="1"/>
        <v>61-90 Days</v>
      </c>
      <c r="U63" s="58" t="str">
        <f t="shared" si="2"/>
        <v>Substandard</v>
      </c>
    </row>
    <row r="64" spans="1:21" ht="23.25" customHeight="1" x14ac:dyDescent="0.35">
      <c r="A64" s="50" t="s">
        <v>125</v>
      </c>
      <c r="B64" s="50" t="s">
        <v>125</v>
      </c>
      <c r="C64" s="51">
        <v>0</v>
      </c>
      <c r="D64" s="52">
        <v>491</v>
      </c>
      <c r="E64" s="53" t="s">
        <v>233</v>
      </c>
      <c r="F64" s="54" t="s">
        <v>234</v>
      </c>
      <c r="G64" s="54" t="s">
        <v>57</v>
      </c>
      <c r="H64" s="55" t="s">
        <v>235</v>
      </c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6">
        <f t="shared" si="0"/>
        <v>81</v>
      </c>
      <c r="T64" s="57" t="str">
        <f t="shared" si="1"/>
        <v>61-90 Days</v>
      </c>
      <c r="U64" s="58" t="str">
        <f t="shared" si="2"/>
        <v>Not Applicable</v>
      </c>
    </row>
    <row r="65" spans="1:21" ht="23.25" customHeight="1" x14ac:dyDescent="0.35">
      <c r="A65" s="50" t="s">
        <v>236</v>
      </c>
      <c r="B65" s="50" t="s">
        <v>237</v>
      </c>
      <c r="C65" s="51">
        <v>0</v>
      </c>
      <c r="D65" s="52">
        <v>-1000</v>
      </c>
      <c r="E65" s="53" t="s">
        <v>238</v>
      </c>
      <c r="F65" s="54" t="s">
        <v>57</v>
      </c>
      <c r="G65" s="54" t="s">
        <v>57</v>
      </c>
      <c r="H65" s="55" t="s">
        <v>239</v>
      </c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6">
        <f t="shared" si="0"/>
        <v>77</v>
      </c>
      <c r="T65" s="57" t="str">
        <f t="shared" si="1"/>
        <v>61-90 Days</v>
      </c>
      <c r="U65" s="58" t="str">
        <f t="shared" si="2"/>
        <v>Not Applicable</v>
      </c>
    </row>
    <row r="66" spans="1:21" ht="23.25" customHeight="1" x14ac:dyDescent="0.35">
      <c r="A66" s="50" t="s">
        <v>237</v>
      </c>
      <c r="B66" s="50" t="s">
        <v>237</v>
      </c>
      <c r="C66" s="51">
        <v>680</v>
      </c>
      <c r="D66" s="52">
        <v>0</v>
      </c>
      <c r="E66" s="53" t="s">
        <v>240</v>
      </c>
      <c r="F66" s="54" t="s">
        <v>57</v>
      </c>
      <c r="G66" s="54" t="s">
        <v>57</v>
      </c>
      <c r="H66" s="55" t="s">
        <v>241</v>
      </c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6">
        <f t="shared" si="0"/>
        <v>80</v>
      </c>
      <c r="T66" s="57" t="str">
        <f t="shared" si="1"/>
        <v>61-90 Days</v>
      </c>
      <c r="U66" s="58" t="str">
        <f t="shared" si="2"/>
        <v>Substandard</v>
      </c>
    </row>
    <row r="67" spans="1:21" ht="23.25" customHeight="1" x14ac:dyDescent="0.35">
      <c r="A67" s="50" t="s">
        <v>237</v>
      </c>
      <c r="B67" s="50" t="s">
        <v>237</v>
      </c>
      <c r="C67" s="51">
        <v>0</v>
      </c>
      <c r="D67" s="52">
        <v>300</v>
      </c>
      <c r="E67" s="53" t="s">
        <v>242</v>
      </c>
      <c r="F67" s="54" t="s">
        <v>243</v>
      </c>
      <c r="G67" s="54" t="s">
        <v>57</v>
      </c>
      <c r="H67" s="55" t="s">
        <v>244</v>
      </c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6">
        <f t="shared" si="0"/>
        <v>80</v>
      </c>
      <c r="T67" s="57" t="str">
        <f t="shared" si="1"/>
        <v>61-90 Days</v>
      </c>
      <c r="U67" s="58" t="str">
        <f t="shared" si="2"/>
        <v>Not Applicable</v>
      </c>
    </row>
    <row r="68" spans="1:21" ht="23.25" customHeight="1" x14ac:dyDescent="0.35">
      <c r="A68" s="50" t="s">
        <v>237</v>
      </c>
      <c r="B68" s="50" t="s">
        <v>237</v>
      </c>
      <c r="C68" s="51">
        <v>1200</v>
      </c>
      <c r="D68" s="52">
        <v>0</v>
      </c>
      <c r="E68" s="53" t="s">
        <v>245</v>
      </c>
      <c r="F68" s="54" t="s">
        <v>57</v>
      </c>
      <c r="G68" s="54" t="s">
        <v>57</v>
      </c>
      <c r="H68" s="55" t="s">
        <v>246</v>
      </c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6">
        <f t="shared" si="0"/>
        <v>80</v>
      </c>
      <c r="T68" s="57" t="str">
        <f t="shared" si="1"/>
        <v>61-90 Days</v>
      </c>
      <c r="U68" s="58" t="str">
        <f t="shared" si="2"/>
        <v>Substandard</v>
      </c>
    </row>
    <row r="69" spans="1:21" ht="23.25" customHeight="1" x14ac:dyDescent="0.35">
      <c r="A69" s="50" t="s">
        <v>237</v>
      </c>
      <c r="B69" s="50" t="s">
        <v>237</v>
      </c>
      <c r="C69" s="51">
        <v>0</v>
      </c>
      <c r="D69" s="52">
        <v>725</v>
      </c>
      <c r="E69" s="53" t="s">
        <v>247</v>
      </c>
      <c r="F69" s="54" t="s">
        <v>248</v>
      </c>
      <c r="G69" s="54" t="s">
        <v>57</v>
      </c>
      <c r="H69" s="55" t="s">
        <v>249</v>
      </c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6">
        <f t="shared" si="0"/>
        <v>80</v>
      </c>
      <c r="T69" s="57" t="str">
        <f t="shared" si="1"/>
        <v>61-90 Days</v>
      </c>
      <c r="U69" s="58" t="str">
        <f t="shared" si="2"/>
        <v>Not Applicable</v>
      </c>
    </row>
    <row r="70" spans="1:21" ht="23.25" customHeight="1" x14ac:dyDescent="0.35">
      <c r="A70" s="50" t="s">
        <v>237</v>
      </c>
      <c r="B70" s="50" t="s">
        <v>237</v>
      </c>
      <c r="C70" s="51">
        <v>0</v>
      </c>
      <c r="D70" s="52">
        <v>2100</v>
      </c>
      <c r="E70" s="53" t="s">
        <v>250</v>
      </c>
      <c r="F70" s="54" t="s">
        <v>251</v>
      </c>
      <c r="G70" s="54" t="s">
        <v>57</v>
      </c>
      <c r="H70" s="55" t="s">
        <v>252</v>
      </c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6">
        <f t="shared" si="0"/>
        <v>80</v>
      </c>
      <c r="T70" s="57" t="str">
        <f t="shared" si="1"/>
        <v>61-90 Days</v>
      </c>
      <c r="U70" s="58" t="str">
        <f t="shared" si="2"/>
        <v>Not Applicable</v>
      </c>
    </row>
    <row r="71" spans="1:21" ht="23.25" customHeight="1" x14ac:dyDescent="0.35">
      <c r="A71" s="50" t="s">
        <v>237</v>
      </c>
      <c r="B71" s="50" t="s">
        <v>237</v>
      </c>
      <c r="C71" s="51">
        <v>1920</v>
      </c>
      <c r="D71" s="52">
        <v>0</v>
      </c>
      <c r="E71" s="53" t="s">
        <v>253</v>
      </c>
      <c r="F71" s="54" t="s">
        <v>57</v>
      </c>
      <c r="G71" s="54" t="s">
        <v>57</v>
      </c>
      <c r="H71" s="55" t="s">
        <v>254</v>
      </c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6">
        <f t="shared" si="0"/>
        <v>80</v>
      </c>
      <c r="T71" s="57" t="str">
        <f t="shared" si="1"/>
        <v>61-90 Days</v>
      </c>
      <c r="U71" s="58" t="str">
        <f t="shared" si="2"/>
        <v>Substandard</v>
      </c>
    </row>
    <row r="72" spans="1:21" ht="23.25" customHeight="1" x14ac:dyDescent="0.35">
      <c r="A72" s="50" t="s">
        <v>237</v>
      </c>
      <c r="B72" s="50" t="s">
        <v>237</v>
      </c>
      <c r="C72">
        <v>0</v>
      </c>
      <c r="D72">
        <v>430</v>
      </c>
      <c r="E72" t="s">
        <v>255</v>
      </c>
      <c r="F72" t="s">
        <v>256</v>
      </c>
      <c r="G72" t="s">
        <v>57</v>
      </c>
      <c r="H72" t="s">
        <v>257</v>
      </c>
      <c r="I72"/>
      <c r="J72"/>
      <c r="K72"/>
      <c r="L72"/>
      <c r="M72"/>
      <c r="N72"/>
      <c r="O72"/>
      <c r="P72"/>
      <c r="Q72"/>
      <c r="R72"/>
      <c r="S72" s="56">
        <f t="shared" si="0"/>
        <v>80</v>
      </c>
      <c r="T72" s="57" t="str">
        <f t="shared" si="1"/>
        <v>61-90 Days</v>
      </c>
      <c r="U72" s="58" t="str">
        <f t="shared" si="2"/>
        <v>Not Applicable</v>
      </c>
    </row>
    <row r="73" spans="1:21" ht="23.25" customHeight="1" x14ac:dyDescent="0.35">
      <c r="A73" s="50" t="s">
        <v>237</v>
      </c>
      <c r="B73" s="50" t="s">
        <v>237</v>
      </c>
      <c r="C73">
        <v>0</v>
      </c>
      <c r="D73">
        <v>3553.2</v>
      </c>
      <c r="E73" t="s">
        <v>258</v>
      </c>
      <c r="F73" t="s">
        <v>259</v>
      </c>
      <c r="G73" t="s">
        <v>57</v>
      </c>
      <c r="H73" t="s">
        <v>260</v>
      </c>
      <c r="I73"/>
      <c r="J73"/>
      <c r="K73"/>
      <c r="L73"/>
      <c r="M73"/>
      <c r="N73"/>
      <c r="O73"/>
      <c r="P73"/>
      <c r="Q73"/>
      <c r="R73"/>
      <c r="S73" s="56">
        <f t="shared" ref="S73:S136" si="3">IF(A73="","",A$5-A73)</f>
        <v>80</v>
      </c>
      <c r="T73" s="57" t="str">
        <f t="shared" ref="T73:T136" si="4">IF(S73="","",IF(S73&lt;4,"0-3 Days",IF(S73&lt;31,"4-30 Days",IF(S73&lt;61,"31-60 Days",IF(S73&lt;=90,"61-90 Days",IF(S73&gt;90,"Above 90 Days","0"))))))</f>
        <v>61-90 Days</v>
      </c>
      <c r="U73" s="58" t="str">
        <f t="shared" ref="U73:U136" si="5">IF(C73="","",IF(C73&gt;0,IF(S73&lt;30,"Normal",IF(S73&lt;60,"Especially Mentioned",IF(S73&lt;90,"Substandard",IF(S73&lt;=180,"Doubtful",IF(S73&gt;180,"Loss","0"))))),"Not Applicable"))</f>
        <v>Not Applicable</v>
      </c>
    </row>
    <row r="74" spans="1:21" ht="23.25" customHeight="1" x14ac:dyDescent="0.35">
      <c r="A74" s="50" t="s">
        <v>237</v>
      </c>
      <c r="B74" s="50" t="s">
        <v>237</v>
      </c>
      <c r="C74">
        <v>70</v>
      </c>
      <c r="D74">
        <v>0</v>
      </c>
      <c r="E74" t="s">
        <v>261</v>
      </c>
      <c r="F74" t="s">
        <v>57</v>
      </c>
      <c r="G74" t="s">
        <v>57</v>
      </c>
      <c r="H74" t="s">
        <v>262</v>
      </c>
      <c r="I74"/>
      <c r="J74"/>
      <c r="K74"/>
      <c r="L74"/>
      <c r="M74"/>
      <c r="N74"/>
      <c r="O74"/>
      <c r="P74"/>
      <c r="Q74"/>
      <c r="R74"/>
      <c r="S74" s="56">
        <f t="shared" si="3"/>
        <v>80</v>
      </c>
      <c r="T74" s="57" t="str">
        <f t="shared" si="4"/>
        <v>61-90 Days</v>
      </c>
      <c r="U74" s="58" t="str">
        <f t="shared" si="5"/>
        <v>Substandard</v>
      </c>
    </row>
    <row r="75" spans="1:21" ht="23.25" customHeight="1" x14ac:dyDescent="0.35">
      <c r="A75" s="50" t="s">
        <v>237</v>
      </c>
      <c r="B75" s="50" t="s">
        <v>237</v>
      </c>
      <c r="C75">
        <v>0</v>
      </c>
      <c r="D75">
        <v>365</v>
      </c>
      <c r="E75" t="s">
        <v>263</v>
      </c>
      <c r="F75" s="62" t="s">
        <v>264</v>
      </c>
      <c r="G75" s="62" t="s">
        <v>57</v>
      </c>
      <c r="H75" t="s">
        <v>265</v>
      </c>
      <c r="I75"/>
      <c r="J75"/>
      <c r="K75"/>
      <c r="L75"/>
      <c r="M75"/>
      <c r="N75"/>
      <c r="O75"/>
      <c r="P75"/>
      <c r="Q75"/>
      <c r="R75"/>
      <c r="S75" s="56">
        <f t="shared" si="3"/>
        <v>80</v>
      </c>
      <c r="T75" s="57" t="str">
        <f t="shared" si="4"/>
        <v>61-90 Days</v>
      </c>
      <c r="U75" s="58" t="str">
        <f t="shared" si="5"/>
        <v>Not Applicable</v>
      </c>
    </row>
    <row r="76" spans="1:21" ht="23.25" customHeight="1" x14ac:dyDescent="0.35">
      <c r="A76" s="50" t="s">
        <v>237</v>
      </c>
      <c r="B76" s="50" t="s">
        <v>237</v>
      </c>
      <c r="C76">
        <v>170</v>
      </c>
      <c r="D76">
        <v>0</v>
      </c>
      <c r="E76" t="s">
        <v>266</v>
      </c>
      <c r="F76" t="s">
        <v>57</v>
      </c>
      <c r="G76" t="s">
        <v>57</v>
      </c>
      <c r="H76" t="s">
        <v>267</v>
      </c>
      <c r="I76"/>
      <c r="J76"/>
      <c r="K76"/>
      <c r="L76"/>
      <c r="M76"/>
      <c r="N76"/>
      <c r="O76"/>
      <c r="P76"/>
      <c r="Q76"/>
      <c r="R76"/>
      <c r="S76" s="56">
        <f t="shared" si="3"/>
        <v>80</v>
      </c>
      <c r="T76" s="57" t="str">
        <f t="shared" si="4"/>
        <v>61-90 Days</v>
      </c>
      <c r="U76" s="58" t="str">
        <f t="shared" si="5"/>
        <v>Substandard</v>
      </c>
    </row>
    <row r="77" spans="1:21" ht="23.25" customHeight="1" x14ac:dyDescent="0.35">
      <c r="A77" s="50" t="s">
        <v>237</v>
      </c>
      <c r="B77" s="50" t="s">
        <v>237</v>
      </c>
      <c r="C77">
        <v>0</v>
      </c>
      <c r="D77">
        <v>500</v>
      </c>
      <c r="E77" t="s">
        <v>268</v>
      </c>
      <c r="F77" t="s">
        <v>269</v>
      </c>
      <c r="G77" t="s">
        <v>57</v>
      </c>
      <c r="H77" t="s">
        <v>270</v>
      </c>
      <c r="I77"/>
      <c r="J77"/>
      <c r="K77"/>
      <c r="L77"/>
      <c r="M77"/>
      <c r="N77"/>
      <c r="O77"/>
      <c r="P77"/>
      <c r="Q77"/>
      <c r="R77"/>
      <c r="S77" s="56">
        <f t="shared" si="3"/>
        <v>80</v>
      </c>
      <c r="T77" s="57" t="str">
        <f t="shared" si="4"/>
        <v>61-90 Days</v>
      </c>
      <c r="U77" s="58" t="str">
        <f t="shared" si="5"/>
        <v>Not Applicable</v>
      </c>
    </row>
    <row r="78" spans="1:21" ht="23.25" customHeight="1" x14ac:dyDescent="0.35">
      <c r="A78" s="50" t="s">
        <v>237</v>
      </c>
      <c r="B78" s="50" t="s">
        <v>237</v>
      </c>
      <c r="C78">
        <v>110</v>
      </c>
      <c r="D78">
        <v>0</v>
      </c>
      <c r="E78" t="s">
        <v>271</v>
      </c>
      <c r="F78" t="s">
        <v>57</v>
      </c>
      <c r="G78" t="s">
        <v>57</v>
      </c>
      <c r="H78" t="s">
        <v>272</v>
      </c>
      <c r="I78"/>
      <c r="J78"/>
      <c r="K78"/>
      <c r="L78"/>
      <c r="M78"/>
      <c r="N78"/>
      <c r="O78"/>
      <c r="P78"/>
      <c r="Q78"/>
      <c r="R78"/>
      <c r="S78" s="56">
        <f t="shared" si="3"/>
        <v>80</v>
      </c>
      <c r="T78" s="57" t="str">
        <f t="shared" si="4"/>
        <v>61-90 Days</v>
      </c>
      <c r="U78" s="58" t="str">
        <f t="shared" si="5"/>
        <v>Substandard</v>
      </c>
    </row>
    <row r="79" spans="1:21" ht="23.25" customHeight="1" x14ac:dyDescent="0.35">
      <c r="A79" s="50" t="s">
        <v>237</v>
      </c>
      <c r="B79" s="50" t="s">
        <v>237</v>
      </c>
      <c r="C79">
        <v>290</v>
      </c>
      <c r="D79">
        <v>0</v>
      </c>
      <c r="E79" t="s">
        <v>273</v>
      </c>
      <c r="F79" t="s">
        <v>57</v>
      </c>
      <c r="G79" t="s">
        <v>57</v>
      </c>
      <c r="H79" t="s">
        <v>274</v>
      </c>
      <c r="I79"/>
      <c r="J79"/>
      <c r="K79"/>
      <c r="L79"/>
      <c r="M79"/>
      <c r="N79"/>
      <c r="O79"/>
      <c r="P79"/>
      <c r="Q79"/>
      <c r="R79"/>
      <c r="S79" s="56">
        <f t="shared" si="3"/>
        <v>80</v>
      </c>
      <c r="T79" s="57" t="str">
        <f t="shared" si="4"/>
        <v>61-90 Days</v>
      </c>
      <c r="U79" s="58" t="str">
        <f t="shared" si="5"/>
        <v>Substandard</v>
      </c>
    </row>
    <row r="80" spans="1:21" ht="23.25" customHeight="1" x14ac:dyDescent="0.35">
      <c r="A80" s="50" t="s">
        <v>237</v>
      </c>
      <c r="B80" s="50" t="s">
        <v>237</v>
      </c>
      <c r="C80">
        <v>0</v>
      </c>
      <c r="D80">
        <v>50000</v>
      </c>
      <c r="E80" t="s">
        <v>275</v>
      </c>
      <c r="F80" t="s">
        <v>276</v>
      </c>
      <c r="G80" t="s">
        <v>57</v>
      </c>
      <c r="H80" t="s">
        <v>277</v>
      </c>
      <c r="I80"/>
      <c r="J80"/>
      <c r="K80"/>
      <c r="L80"/>
      <c r="M80"/>
      <c r="N80"/>
      <c r="O80"/>
      <c r="P80"/>
      <c r="Q80"/>
      <c r="R80"/>
      <c r="S80" s="56">
        <f t="shared" si="3"/>
        <v>80</v>
      </c>
      <c r="T80" s="57" t="str">
        <f t="shared" si="4"/>
        <v>61-90 Days</v>
      </c>
      <c r="U80" s="58" t="str">
        <f t="shared" si="5"/>
        <v>Not Applicable</v>
      </c>
    </row>
    <row r="81" spans="1:21" ht="23.25" customHeight="1" x14ac:dyDescent="0.35">
      <c r="A81" s="50" t="s">
        <v>278</v>
      </c>
      <c r="B81" s="50" t="s">
        <v>278</v>
      </c>
      <c r="C81">
        <v>0</v>
      </c>
      <c r="D81">
        <v>35815.360000000001</v>
      </c>
      <c r="E81" t="s">
        <v>279</v>
      </c>
      <c r="F81" t="s">
        <v>280</v>
      </c>
      <c r="G81" t="s">
        <v>57</v>
      </c>
      <c r="H81" t="s">
        <v>281</v>
      </c>
      <c r="I81"/>
      <c r="J81"/>
      <c r="K81"/>
      <c r="L81"/>
      <c r="M81"/>
      <c r="N81"/>
      <c r="O81"/>
      <c r="P81"/>
      <c r="Q81"/>
      <c r="R81"/>
      <c r="S81" s="56">
        <f t="shared" si="3"/>
        <v>79</v>
      </c>
      <c r="T81" s="57" t="str">
        <f t="shared" si="4"/>
        <v>61-90 Days</v>
      </c>
      <c r="U81" s="58" t="str">
        <f t="shared" si="5"/>
        <v>Not Applicable</v>
      </c>
    </row>
    <row r="82" spans="1:21" ht="23.25" customHeight="1" x14ac:dyDescent="0.35">
      <c r="A82" s="50" t="s">
        <v>282</v>
      </c>
      <c r="B82" s="50" t="s">
        <v>282</v>
      </c>
      <c r="C82">
        <v>3434.3</v>
      </c>
      <c r="D82">
        <v>0</v>
      </c>
      <c r="E82" t="s">
        <v>283</v>
      </c>
      <c r="F82" t="s">
        <v>57</v>
      </c>
      <c r="G82" t="s">
        <v>57</v>
      </c>
      <c r="H82" t="s">
        <v>284</v>
      </c>
      <c r="I82"/>
      <c r="J82"/>
      <c r="K82"/>
      <c r="L82"/>
      <c r="M82"/>
      <c r="N82"/>
      <c r="O82"/>
      <c r="P82"/>
      <c r="Q82"/>
      <c r="R82"/>
      <c r="S82" s="56">
        <f t="shared" si="3"/>
        <v>78</v>
      </c>
      <c r="T82" s="57" t="str">
        <f t="shared" si="4"/>
        <v>61-90 Days</v>
      </c>
      <c r="U82" s="58" t="str">
        <f t="shared" si="5"/>
        <v>Substandard</v>
      </c>
    </row>
    <row r="83" spans="1:21" ht="23.25" customHeight="1" x14ac:dyDescent="0.35">
      <c r="A83" s="50" t="s">
        <v>282</v>
      </c>
      <c r="B83" s="50" t="s">
        <v>282</v>
      </c>
      <c r="C83">
        <v>30000</v>
      </c>
      <c r="D83">
        <v>0</v>
      </c>
      <c r="E83" t="s">
        <v>285</v>
      </c>
      <c r="F83" t="s">
        <v>57</v>
      </c>
      <c r="G83" t="s">
        <v>57</v>
      </c>
      <c r="H83" t="s">
        <v>286</v>
      </c>
      <c r="I83"/>
      <c r="J83"/>
      <c r="K83"/>
      <c r="L83"/>
      <c r="M83"/>
      <c r="N83"/>
      <c r="O83"/>
      <c r="P83"/>
      <c r="Q83"/>
      <c r="R83"/>
      <c r="S83" s="56">
        <f t="shared" si="3"/>
        <v>78</v>
      </c>
      <c r="T83" s="57" t="str">
        <f t="shared" si="4"/>
        <v>61-90 Days</v>
      </c>
      <c r="U83" s="58" t="str">
        <f t="shared" si="5"/>
        <v>Substandard</v>
      </c>
    </row>
    <row r="84" spans="1:21" ht="23.25" customHeight="1" x14ac:dyDescent="0.35">
      <c r="A84" s="50" t="s">
        <v>282</v>
      </c>
      <c r="B84" s="50" t="s">
        <v>282</v>
      </c>
      <c r="C84">
        <v>50000</v>
      </c>
      <c r="D84">
        <v>0</v>
      </c>
      <c r="E84" t="s">
        <v>287</v>
      </c>
      <c r="F84" t="s">
        <v>57</v>
      </c>
      <c r="G84" t="s">
        <v>57</v>
      </c>
      <c r="H84" t="s">
        <v>288</v>
      </c>
      <c r="I84"/>
      <c r="J84"/>
      <c r="K84"/>
      <c r="L84"/>
      <c r="M84"/>
      <c r="N84"/>
      <c r="O84"/>
      <c r="P84"/>
      <c r="Q84"/>
      <c r="R84"/>
      <c r="S84" s="56">
        <f t="shared" si="3"/>
        <v>78</v>
      </c>
      <c r="T84" s="57" t="str">
        <f t="shared" si="4"/>
        <v>61-90 Days</v>
      </c>
      <c r="U84" s="58" t="str">
        <f t="shared" si="5"/>
        <v>Substandard</v>
      </c>
    </row>
    <row r="85" spans="1:21" ht="23.25" customHeight="1" x14ac:dyDescent="0.35">
      <c r="A85" s="50" t="s">
        <v>236</v>
      </c>
      <c r="B85" s="50" t="s">
        <v>236</v>
      </c>
      <c r="C85">
        <v>0</v>
      </c>
      <c r="D85">
        <v>50</v>
      </c>
      <c r="E85" t="s">
        <v>289</v>
      </c>
      <c r="F85" t="s">
        <v>290</v>
      </c>
      <c r="G85" t="s">
        <v>57</v>
      </c>
      <c r="H85" t="s">
        <v>291</v>
      </c>
      <c r="I85"/>
      <c r="J85"/>
      <c r="K85"/>
      <c r="L85"/>
      <c r="M85"/>
      <c r="N85"/>
      <c r="O85"/>
      <c r="P85"/>
      <c r="Q85"/>
      <c r="R85"/>
      <c r="S85" s="56">
        <f t="shared" si="3"/>
        <v>77</v>
      </c>
      <c r="T85" s="57" t="str">
        <f t="shared" si="4"/>
        <v>61-90 Days</v>
      </c>
      <c r="U85" s="58" t="str">
        <f t="shared" si="5"/>
        <v>Not Applicable</v>
      </c>
    </row>
    <row r="86" spans="1:21" ht="23.25" customHeight="1" x14ac:dyDescent="0.35">
      <c r="A86" s="50" t="s">
        <v>236</v>
      </c>
      <c r="B86" s="50" t="s">
        <v>236</v>
      </c>
      <c r="C86">
        <v>720169.65</v>
      </c>
      <c r="D86">
        <v>0</v>
      </c>
      <c r="E86" t="s">
        <v>292</v>
      </c>
      <c r="F86" t="s">
        <v>57</v>
      </c>
      <c r="G86" t="s">
        <v>57</v>
      </c>
      <c r="H86" t="s">
        <v>293</v>
      </c>
      <c r="I86"/>
      <c r="J86"/>
      <c r="K86"/>
      <c r="L86"/>
      <c r="M86"/>
      <c r="N86"/>
      <c r="O86"/>
      <c r="P86"/>
      <c r="Q86"/>
      <c r="R86"/>
      <c r="S86" s="56">
        <f t="shared" si="3"/>
        <v>77</v>
      </c>
      <c r="T86" s="57" t="str">
        <f t="shared" si="4"/>
        <v>61-90 Days</v>
      </c>
      <c r="U86" s="58" t="str">
        <f t="shared" si="5"/>
        <v>Substandard</v>
      </c>
    </row>
    <row r="87" spans="1:21" ht="23.25" customHeight="1" x14ac:dyDescent="0.35">
      <c r="A87" s="50" t="s">
        <v>120</v>
      </c>
      <c r="B87" s="50" t="s">
        <v>120</v>
      </c>
      <c r="C87">
        <v>0</v>
      </c>
      <c r="D87">
        <v>1774</v>
      </c>
      <c r="E87" t="s">
        <v>294</v>
      </c>
      <c r="F87" t="s">
        <v>295</v>
      </c>
      <c r="G87" t="s">
        <v>57</v>
      </c>
      <c r="H87" t="s">
        <v>296</v>
      </c>
      <c r="I87"/>
      <c r="J87"/>
      <c r="K87"/>
      <c r="L87"/>
      <c r="M87"/>
      <c r="N87"/>
      <c r="O87"/>
      <c r="P87"/>
      <c r="Q87"/>
      <c r="R87"/>
      <c r="S87" s="56">
        <f t="shared" si="3"/>
        <v>76</v>
      </c>
      <c r="T87" s="57" t="str">
        <f t="shared" si="4"/>
        <v>61-90 Days</v>
      </c>
      <c r="U87" s="58" t="str">
        <f t="shared" si="5"/>
        <v>Not Applicable</v>
      </c>
    </row>
    <row r="88" spans="1:21" ht="23.25" customHeight="1" x14ac:dyDescent="0.35">
      <c r="A88" s="50" t="s">
        <v>120</v>
      </c>
      <c r="B88" s="50" t="s">
        <v>120</v>
      </c>
      <c r="C88">
        <v>0.59</v>
      </c>
      <c r="D88">
        <v>0</v>
      </c>
      <c r="E88" t="s">
        <v>294</v>
      </c>
      <c r="F88" t="s">
        <v>295</v>
      </c>
      <c r="G88" t="s">
        <v>57</v>
      </c>
      <c r="H88" t="s">
        <v>297</v>
      </c>
      <c r="I88"/>
      <c r="J88"/>
      <c r="K88"/>
      <c r="L88"/>
      <c r="M88"/>
      <c r="N88"/>
      <c r="O88"/>
      <c r="P88"/>
      <c r="Q88"/>
      <c r="R88"/>
      <c r="S88" s="56">
        <f t="shared" si="3"/>
        <v>76</v>
      </c>
      <c r="T88" s="57" t="str">
        <f t="shared" si="4"/>
        <v>61-90 Days</v>
      </c>
      <c r="U88" s="58" t="str">
        <f t="shared" si="5"/>
        <v>Substandard</v>
      </c>
    </row>
    <row r="89" spans="1:21" ht="23.25" customHeight="1" x14ac:dyDescent="0.35">
      <c r="A89" s="50" t="s">
        <v>120</v>
      </c>
      <c r="B89" s="50" t="s">
        <v>120</v>
      </c>
      <c r="C89">
        <v>3.27</v>
      </c>
      <c r="D89">
        <v>0</v>
      </c>
      <c r="E89" t="s">
        <v>294</v>
      </c>
      <c r="F89" t="s">
        <v>295</v>
      </c>
      <c r="G89" t="s">
        <v>57</v>
      </c>
      <c r="H89" t="s">
        <v>298</v>
      </c>
      <c r="I89"/>
      <c r="J89"/>
      <c r="K89"/>
      <c r="L89"/>
      <c r="M89"/>
      <c r="N89"/>
      <c r="O89"/>
      <c r="P89"/>
      <c r="Q89"/>
      <c r="R89"/>
      <c r="S89" s="56">
        <f t="shared" si="3"/>
        <v>76</v>
      </c>
      <c r="T89" s="57" t="str">
        <f t="shared" si="4"/>
        <v>61-90 Days</v>
      </c>
      <c r="U89" s="58" t="str">
        <f t="shared" si="5"/>
        <v>Substandard</v>
      </c>
    </row>
    <row r="90" spans="1:21" ht="23.25" customHeight="1" x14ac:dyDescent="0.35">
      <c r="A90" s="50" t="s">
        <v>120</v>
      </c>
      <c r="B90" s="50" t="s">
        <v>120</v>
      </c>
      <c r="C90">
        <v>500</v>
      </c>
      <c r="D90">
        <v>0</v>
      </c>
      <c r="E90" t="s">
        <v>299</v>
      </c>
      <c r="F90" t="s">
        <v>57</v>
      </c>
      <c r="G90" t="s">
        <v>57</v>
      </c>
      <c r="H90" t="s">
        <v>300</v>
      </c>
      <c r="I90"/>
      <c r="J90"/>
      <c r="K90"/>
      <c r="L90"/>
      <c r="M90"/>
      <c r="N90"/>
      <c r="O90"/>
      <c r="P90"/>
      <c r="Q90"/>
      <c r="R90"/>
      <c r="S90" s="56">
        <f t="shared" si="3"/>
        <v>76</v>
      </c>
      <c r="T90" s="57" t="str">
        <f t="shared" si="4"/>
        <v>61-90 Days</v>
      </c>
      <c r="U90" s="58" t="str">
        <f t="shared" si="5"/>
        <v>Substandard</v>
      </c>
    </row>
    <row r="91" spans="1:21" ht="23.25" customHeight="1" x14ac:dyDescent="0.35">
      <c r="A91" s="50" t="s">
        <v>120</v>
      </c>
      <c r="B91" s="50" t="s">
        <v>120</v>
      </c>
      <c r="C91">
        <v>0</v>
      </c>
      <c r="D91">
        <v>5000</v>
      </c>
      <c r="E91" t="s">
        <v>301</v>
      </c>
      <c r="F91" t="s">
        <v>302</v>
      </c>
      <c r="G91" t="s">
        <v>57</v>
      </c>
      <c r="H91" t="s">
        <v>303</v>
      </c>
      <c r="I91"/>
      <c r="J91"/>
      <c r="K91"/>
      <c r="L91"/>
      <c r="M91"/>
      <c r="N91"/>
      <c r="O91"/>
      <c r="P91"/>
      <c r="Q91"/>
      <c r="R91"/>
      <c r="S91" s="56">
        <f t="shared" si="3"/>
        <v>76</v>
      </c>
      <c r="T91" s="57" t="str">
        <f t="shared" si="4"/>
        <v>61-90 Days</v>
      </c>
      <c r="U91" s="58" t="str">
        <f t="shared" si="5"/>
        <v>Not Applicable</v>
      </c>
    </row>
    <row r="92" spans="1:21" ht="23.25" customHeight="1" x14ac:dyDescent="0.35">
      <c r="A92" s="50" t="s">
        <v>304</v>
      </c>
      <c r="B92" s="50" t="s">
        <v>304</v>
      </c>
      <c r="C92">
        <v>15000</v>
      </c>
      <c r="D92">
        <v>0</v>
      </c>
      <c r="E92" t="s">
        <v>305</v>
      </c>
      <c r="F92" t="s">
        <v>306</v>
      </c>
      <c r="G92" t="s">
        <v>57</v>
      </c>
      <c r="H92" t="s">
        <v>307</v>
      </c>
      <c r="I92"/>
      <c r="J92"/>
      <c r="K92"/>
      <c r="L92"/>
      <c r="M92"/>
      <c r="N92"/>
      <c r="O92"/>
      <c r="P92"/>
      <c r="Q92"/>
      <c r="R92"/>
      <c r="S92" s="56">
        <f t="shared" si="3"/>
        <v>74</v>
      </c>
      <c r="T92" s="57" t="str">
        <f t="shared" si="4"/>
        <v>61-90 Days</v>
      </c>
      <c r="U92" s="58" t="str">
        <f t="shared" si="5"/>
        <v>Substandard</v>
      </c>
    </row>
    <row r="93" spans="1:21" ht="23.25" customHeight="1" x14ac:dyDescent="0.35">
      <c r="A93" s="50" t="s">
        <v>308</v>
      </c>
      <c r="B93" s="50" t="s">
        <v>304</v>
      </c>
      <c r="C93">
        <v>0</v>
      </c>
      <c r="D93">
        <v>1920</v>
      </c>
      <c r="E93" t="s">
        <v>309</v>
      </c>
      <c r="F93" t="s">
        <v>310</v>
      </c>
      <c r="G93" t="s">
        <v>57</v>
      </c>
      <c r="H93" t="s">
        <v>311</v>
      </c>
      <c r="I93"/>
      <c r="J93"/>
      <c r="K93"/>
      <c r="L93"/>
      <c r="M93"/>
      <c r="N93"/>
      <c r="O93"/>
      <c r="P93"/>
      <c r="Q93"/>
      <c r="R93"/>
      <c r="S93" s="56">
        <f t="shared" si="3"/>
        <v>73</v>
      </c>
      <c r="T93" s="57" t="str">
        <f t="shared" si="4"/>
        <v>61-90 Days</v>
      </c>
      <c r="U93" s="58" t="str">
        <f t="shared" si="5"/>
        <v>Not Applicable</v>
      </c>
    </row>
    <row r="94" spans="1:21" ht="23.25" customHeight="1" x14ac:dyDescent="0.35">
      <c r="A94" s="50" t="s">
        <v>304</v>
      </c>
      <c r="B94" s="50" t="s">
        <v>304</v>
      </c>
      <c r="C94">
        <v>0</v>
      </c>
      <c r="D94">
        <v>50</v>
      </c>
      <c r="E94" t="s">
        <v>312</v>
      </c>
      <c r="F94" t="s">
        <v>313</v>
      </c>
      <c r="G94" t="s">
        <v>57</v>
      </c>
      <c r="H94" t="s">
        <v>314</v>
      </c>
      <c r="I94"/>
      <c r="J94"/>
      <c r="K94"/>
      <c r="L94"/>
      <c r="M94"/>
      <c r="N94"/>
      <c r="O94"/>
      <c r="P94"/>
      <c r="Q94"/>
      <c r="R94"/>
      <c r="S94" s="56">
        <f t="shared" si="3"/>
        <v>74</v>
      </c>
      <c r="T94" s="57" t="str">
        <f t="shared" si="4"/>
        <v>61-90 Days</v>
      </c>
      <c r="U94" s="58" t="str">
        <f t="shared" si="5"/>
        <v>Not Applicable</v>
      </c>
    </row>
    <row r="95" spans="1:21" ht="23.25" customHeight="1" x14ac:dyDescent="0.35">
      <c r="A95" s="50" t="s">
        <v>304</v>
      </c>
      <c r="B95" s="50" t="s">
        <v>304</v>
      </c>
      <c r="C95">
        <v>600437.5</v>
      </c>
      <c r="D95">
        <v>0</v>
      </c>
      <c r="E95" t="s">
        <v>315</v>
      </c>
      <c r="F95" t="s">
        <v>57</v>
      </c>
      <c r="G95" t="s">
        <v>57</v>
      </c>
      <c r="H95" t="s">
        <v>316</v>
      </c>
      <c r="I95"/>
      <c r="J95"/>
      <c r="K95"/>
      <c r="L95"/>
      <c r="M95"/>
      <c r="N95"/>
      <c r="O95"/>
      <c r="P95"/>
      <c r="Q95"/>
      <c r="R95"/>
      <c r="S95" s="56">
        <f t="shared" si="3"/>
        <v>74</v>
      </c>
      <c r="T95" s="57" t="str">
        <f t="shared" si="4"/>
        <v>61-90 Days</v>
      </c>
      <c r="U95" s="58" t="str">
        <f t="shared" si="5"/>
        <v>Substandard</v>
      </c>
    </row>
    <row r="96" spans="1:21" ht="23.25" customHeight="1" x14ac:dyDescent="0.35">
      <c r="A96" s="50" t="s">
        <v>304</v>
      </c>
      <c r="B96" s="50" t="s">
        <v>304</v>
      </c>
      <c r="C96">
        <v>0</v>
      </c>
      <c r="D96">
        <v>100000</v>
      </c>
      <c r="E96" t="s">
        <v>317</v>
      </c>
      <c r="F96" t="s">
        <v>318</v>
      </c>
      <c r="G96" t="s">
        <v>57</v>
      </c>
      <c r="H96" t="s">
        <v>319</v>
      </c>
      <c r="I96"/>
      <c r="J96"/>
      <c r="K96"/>
      <c r="L96"/>
      <c r="M96"/>
      <c r="N96"/>
      <c r="O96"/>
      <c r="P96"/>
      <c r="Q96"/>
      <c r="R96"/>
      <c r="S96" s="56">
        <f t="shared" si="3"/>
        <v>74</v>
      </c>
      <c r="T96" s="57" t="str">
        <f t="shared" si="4"/>
        <v>61-90 Days</v>
      </c>
      <c r="U96" s="58" t="str">
        <f t="shared" si="5"/>
        <v>Not Applicable</v>
      </c>
    </row>
    <row r="97" spans="1:21" ht="23.25" customHeight="1" x14ac:dyDescent="0.35">
      <c r="A97" s="50" t="s">
        <v>320</v>
      </c>
      <c r="B97" s="50" t="s">
        <v>308</v>
      </c>
      <c r="C97">
        <v>0</v>
      </c>
      <c r="D97">
        <v>4400</v>
      </c>
      <c r="E97" t="s">
        <v>321</v>
      </c>
      <c r="F97" t="s">
        <v>57</v>
      </c>
      <c r="G97" t="s">
        <v>57</v>
      </c>
      <c r="H97" t="s">
        <v>322</v>
      </c>
      <c r="I97"/>
      <c r="J97"/>
      <c r="K97"/>
      <c r="L97"/>
      <c r="M97"/>
      <c r="N97"/>
      <c r="O97"/>
      <c r="P97"/>
      <c r="Q97"/>
      <c r="R97"/>
      <c r="S97" s="56">
        <f t="shared" si="3"/>
        <v>72</v>
      </c>
      <c r="T97" s="57" t="str">
        <f t="shared" si="4"/>
        <v>61-90 Days</v>
      </c>
      <c r="U97" s="58" t="str">
        <f t="shared" si="5"/>
        <v>Not Applicable</v>
      </c>
    </row>
    <row r="98" spans="1:21" ht="23.25" customHeight="1" x14ac:dyDescent="0.35">
      <c r="A98" s="50" t="s">
        <v>320</v>
      </c>
      <c r="B98" s="50" t="s">
        <v>308</v>
      </c>
      <c r="C98">
        <v>0</v>
      </c>
      <c r="D98">
        <v>3600</v>
      </c>
      <c r="E98" t="s">
        <v>323</v>
      </c>
      <c r="F98" t="s">
        <v>57</v>
      </c>
      <c r="G98" t="s">
        <v>57</v>
      </c>
      <c r="H98" t="s">
        <v>324</v>
      </c>
      <c r="I98"/>
      <c r="J98"/>
      <c r="K98"/>
      <c r="L98"/>
      <c r="M98"/>
      <c r="N98"/>
      <c r="O98"/>
      <c r="P98"/>
      <c r="Q98"/>
      <c r="R98"/>
      <c r="S98" s="56">
        <f t="shared" si="3"/>
        <v>72</v>
      </c>
      <c r="T98" s="57" t="str">
        <f t="shared" si="4"/>
        <v>61-90 Days</v>
      </c>
      <c r="U98" s="58" t="str">
        <f t="shared" si="5"/>
        <v>Not Applicable</v>
      </c>
    </row>
    <row r="99" spans="1:21" ht="23.25" customHeight="1" x14ac:dyDescent="0.35">
      <c r="A99" s="50" t="s">
        <v>320</v>
      </c>
      <c r="B99" s="50" t="s">
        <v>308</v>
      </c>
      <c r="C99">
        <v>0</v>
      </c>
      <c r="D99">
        <v>353.2</v>
      </c>
      <c r="E99" t="s">
        <v>325</v>
      </c>
      <c r="F99" t="s">
        <v>57</v>
      </c>
      <c r="G99" t="s">
        <v>57</v>
      </c>
      <c r="H99" t="s">
        <v>326</v>
      </c>
      <c r="I99"/>
      <c r="J99"/>
      <c r="K99"/>
      <c r="L99"/>
      <c r="M99"/>
      <c r="N99"/>
      <c r="O99"/>
      <c r="P99"/>
      <c r="Q99"/>
      <c r="R99"/>
      <c r="S99" s="56">
        <f t="shared" si="3"/>
        <v>72</v>
      </c>
      <c r="T99" s="57" t="str">
        <f t="shared" si="4"/>
        <v>61-90 Days</v>
      </c>
      <c r="U99" s="58" t="str">
        <f t="shared" si="5"/>
        <v>Not Applicable</v>
      </c>
    </row>
    <row r="100" spans="1:21" ht="23.25" customHeight="1" x14ac:dyDescent="0.35">
      <c r="A100" s="50" t="s">
        <v>308</v>
      </c>
      <c r="B100" s="50" t="s">
        <v>308</v>
      </c>
      <c r="C100">
        <v>0</v>
      </c>
      <c r="D100">
        <v>600000</v>
      </c>
      <c r="E100" t="s">
        <v>327</v>
      </c>
      <c r="F100" t="s">
        <v>57</v>
      </c>
      <c r="G100" t="s">
        <v>57</v>
      </c>
      <c r="H100" t="s">
        <v>328</v>
      </c>
      <c r="I100"/>
      <c r="J100"/>
      <c r="K100"/>
      <c r="L100"/>
      <c r="M100"/>
      <c r="N100"/>
      <c r="O100"/>
      <c r="P100"/>
      <c r="Q100"/>
      <c r="R100"/>
      <c r="S100" s="56">
        <f t="shared" si="3"/>
        <v>73</v>
      </c>
      <c r="T100" s="57" t="str">
        <f t="shared" si="4"/>
        <v>61-90 Days</v>
      </c>
      <c r="U100" s="58" t="str">
        <f t="shared" si="5"/>
        <v>Not Applicable</v>
      </c>
    </row>
    <row r="101" spans="1:21" ht="23.25" customHeight="1" x14ac:dyDescent="0.35">
      <c r="A101" s="50" t="s">
        <v>320</v>
      </c>
      <c r="B101" s="50" t="s">
        <v>308</v>
      </c>
      <c r="C101">
        <v>0</v>
      </c>
      <c r="D101">
        <v>1242.3</v>
      </c>
      <c r="E101" t="s">
        <v>329</v>
      </c>
      <c r="F101" t="s">
        <v>57</v>
      </c>
      <c r="G101" t="s">
        <v>57</v>
      </c>
      <c r="H101" t="s">
        <v>330</v>
      </c>
      <c r="I101"/>
      <c r="J101"/>
      <c r="K101"/>
      <c r="L101"/>
      <c r="M101"/>
      <c r="N101"/>
      <c r="O101"/>
      <c r="P101"/>
      <c r="Q101"/>
      <c r="R101"/>
      <c r="S101" s="56">
        <f t="shared" si="3"/>
        <v>72</v>
      </c>
      <c r="T101" s="57" t="str">
        <f t="shared" si="4"/>
        <v>61-90 Days</v>
      </c>
      <c r="U101" s="58" t="str">
        <f t="shared" si="5"/>
        <v>Not Applicable</v>
      </c>
    </row>
    <row r="102" spans="1:21" ht="23.25" customHeight="1" x14ac:dyDescent="0.35">
      <c r="A102" s="50" t="s">
        <v>308</v>
      </c>
      <c r="B102" s="50" t="s">
        <v>308</v>
      </c>
      <c r="C102">
        <v>14000</v>
      </c>
      <c r="D102">
        <v>0</v>
      </c>
      <c r="E102" t="s">
        <v>331</v>
      </c>
      <c r="F102" t="s">
        <v>332</v>
      </c>
      <c r="G102" t="s">
        <v>57</v>
      </c>
      <c r="H102" t="s">
        <v>333</v>
      </c>
      <c r="I102"/>
      <c r="J102"/>
      <c r="K102"/>
      <c r="L102"/>
      <c r="M102"/>
      <c r="N102"/>
      <c r="O102"/>
      <c r="P102"/>
      <c r="Q102"/>
      <c r="R102"/>
      <c r="S102" s="56">
        <f t="shared" si="3"/>
        <v>73</v>
      </c>
      <c r="T102" s="57" t="str">
        <f t="shared" si="4"/>
        <v>61-90 Days</v>
      </c>
      <c r="U102" s="58" t="str">
        <f t="shared" si="5"/>
        <v>Substandard</v>
      </c>
    </row>
    <row r="103" spans="1:21" ht="23.25" customHeight="1" x14ac:dyDescent="0.35">
      <c r="A103" s="50" t="s">
        <v>320</v>
      </c>
      <c r="B103" s="50" t="s">
        <v>308</v>
      </c>
      <c r="C103">
        <v>0</v>
      </c>
      <c r="D103">
        <v>330</v>
      </c>
      <c r="E103" t="s">
        <v>334</v>
      </c>
      <c r="F103" t="s">
        <v>57</v>
      </c>
      <c r="G103" t="s">
        <v>57</v>
      </c>
      <c r="H103" t="s">
        <v>335</v>
      </c>
      <c r="I103"/>
      <c r="J103"/>
      <c r="K103"/>
      <c r="L103"/>
      <c r="M103"/>
      <c r="N103"/>
      <c r="O103"/>
      <c r="P103"/>
      <c r="Q103"/>
      <c r="R103"/>
      <c r="S103" s="56">
        <f t="shared" si="3"/>
        <v>72</v>
      </c>
      <c r="T103" s="57" t="str">
        <f t="shared" si="4"/>
        <v>61-90 Days</v>
      </c>
      <c r="U103" s="58" t="str">
        <f t="shared" si="5"/>
        <v>Not Applicable</v>
      </c>
    </row>
    <row r="104" spans="1:21" ht="23.25" customHeight="1" x14ac:dyDescent="0.35">
      <c r="A104" s="50" t="s">
        <v>308</v>
      </c>
      <c r="B104" s="50" t="s">
        <v>308</v>
      </c>
      <c r="C104">
        <v>0</v>
      </c>
      <c r="D104">
        <v>1500000</v>
      </c>
      <c r="E104" t="s">
        <v>336</v>
      </c>
      <c r="F104" t="s">
        <v>57</v>
      </c>
      <c r="G104" t="s">
        <v>57</v>
      </c>
      <c r="H104" t="s">
        <v>337</v>
      </c>
      <c r="I104"/>
      <c r="J104"/>
      <c r="K104"/>
      <c r="L104"/>
      <c r="M104"/>
      <c r="N104"/>
      <c r="O104"/>
      <c r="P104"/>
      <c r="Q104"/>
      <c r="R104"/>
      <c r="S104" s="56">
        <f t="shared" si="3"/>
        <v>73</v>
      </c>
      <c r="T104" s="57" t="str">
        <f t="shared" si="4"/>
        <v>61-90 Days</v>
      </c>
      <c r="U104" s="58" t="str">
        <f t="shared" si="5"/>
        <v>Not Applicable</v>
      </c>
    </row>
    <row r="105" spans="1:21" ht="23.25" customHeight="1" x14ac:dyDescent="0.35">
      <c r="A105" s="50" t="s">
        <v>320</v>
      </c>
      <c r="B105" s="50" t="s">
        <v>308</v>
      </c>
      <c r="C105">
        <v>0</v>
      </c>
      <c r="D105">
        <v>360</v>
      </c>
      <c r="E105" t="s">
        <v>338</v>
      </c>
      <c r="F105" t="s">
        <v>57</v>
      </c>
      <c r="G105" t="s">
        <v>57</v>
      </c>
      <c r="H105" t="s">
        <v>339</v>
      </c>
      <c r="I105"/>
      <c r="J105"/>
      <c r="K105"/>
      <c r="L105"/>
      <c r="M105"/>
      <c r="N105"/>
      <c r="O105"/>
      <c r="P105"/>
      <c r="Q105"/>
      <c r="R105"/>
      <c r="S105" s="56">
        <f t="shared" si="3"/>
        <v>72</v>
      </c>
      <c r="T105" s="57" t="str">
        <f t="shared" si="4"/>
        <v>61-90 Days</v>
      </c>
      <c r="U105" s="58" t="str">
        <f t="shared" si="5"/>
        <v>Not Applicable</v>
      </c>
    </row>
    <row r="106" spans="1:21" ht="23.25" customHeight="1" x14ac:dyDescent="0.35">
      <c r="A106" s="50" t="s">
        <v>320</v>
      </c>
      <c r="B106" s="50" t="s">
        <v>308</v>
      </c>
      <c r="C106">
        <v>0</v>
      </c>
      <c r="D106">
        <v>4262.2</v>
      </c>
      <c r="E106" t="s">
        <v>340</v>
      </c>
      <c r="F106" t="s">
        <v>57</v>
      </c>
      <c r="G106" t="s">
        <v>57</v>
      </c>
      <c r="H106" t="s">
        <v>341</v>
      </c>
      <c r="I106"/>
      <c r="J106"/>
      <c r="K106"/>
      <c r="L106"/>
      <c r="M106"/>
      <c r="N106"/>
      <c r="O106"/>
      <c r="P106"/>
      <c r="Q106"/>
      <c r="R106"/>
      <c r="S106" s="56">
        <f t="shared" si="3"/>
        <v>72</v>
      </c>
      <c r="T106" s="57" t="str">
        <f t="shared" si="4"/>
        <v>61-90 Days</v>
      </c>
      <c r="U106" s="58" t="str">
        <f t="shared" si="5"/>
        <v>Not Applicable</v>
      </c>
    </row>
    <row r="107" spans="1:21" ht="23.25" customHeight="1" x14ac:dyDescent="0.35">
      <c r="A107" s="50" t="s">
        <v>308</v>
      </c>
      <c r="B107" s="50" t="s">
        <v>308</v>
      </c>
      <c r="C107">
        <v>150000</v>
      </c>
      <c r="D107">
        <v>0</v>
      </c>
      <c r="E107" t="s">
        <v>342</v>
      </c>
      <c r="F107" t="s">
        <v>57</v>
      </c>
      <c r="G107" t="s">
        <v>57</v>
      </c>
      <c r="H107" t="s">
        <v>343</v>
      </c>
      <c r="I107"/>
      <c r="J107"/>
      <c r="K107"/>
      <c r="L107"/>
      <c r="M107"/>
      <c r="N107"/>
      <c r="O107"/>
      <c r="P107"/>
      <c r="Q107"/>
      <c r="R107"/>
      <c r="S107" s="56">
        <f t="shared" si="3"/>
        <v>73</v>
      </c>
      <c r="T107" s="57" t="str">
        <f t="shared" si="4"/>
        <v>61-90 Days</v>
      </c>
      <c r="U107" s="58" t="str">
        <f t="shared" si="5"/>
        <v>Substandard</v>
      </c>
    </row>
    <row r="108" spans="1:21" ht="23.25" customHeight="1" x14ac:dyDescent="0.35">
      <c r="A108" s="50" t="s">
        <v>308</v>
      </c>
      <c r="B108" s="50" t="s">
        <v>308</v>
      </c>
      <c r="C108">
        <v>0</v>
      </c>
      <c r="D108">
        <v>560</v>
      </c>
      <c r="E108" t="s">
        <v>344</v>
      </c>
      <c r="F108" t="s">
        <v>345</v>
      </c>
      <c r="G108" t="s">
        <v>57</v>
      </c>
      <c r="H108" t="s">
        <v>346</v>
      </c>
      <c r="I108"/>
      <c r="J108"/>
      <c r="K108"/>
      <c r="L108"/>
      <c r="M108"/>
      <c r="N108"/>
      <c r="O108"/>
      <c r="P108"/>
      <c r="Q108"/>
      <c r="R108"/>
      <c r="S108" s="56">
        <f t="shared" si="3"/>
        <v>73</v>
      </c>
      <c r="T108" s="57" t="str">
        <f t="shared" si="4"/>
        <v>61-90 Days</v>
      </c>
      <c r="U108" s="58" t="str">
        <f t="shared" si="5"/>
        <v>Not Applicable</v>
      </c>
    </row>
    <row r="109" spans="1:21" ht="23.25" customHeight="1" x14ac:dyDescent="0.35">
      <c r="A109" s="50" t="s">
        <v>320</v>
      </c>
      <c r="B109" s="50" t="s">
        <v>320</v>
      </c>
      <c r="C109">
        <v>0</v>
      </c>
      <c r="D109">
        <v>100</v>
      </c>
      <c r="E109" t="s">
        <v>347</v>
      </c>
      <c r="F109" t="s">
        <v>348</v>
      </c>
      <c r="G109" t="s">
        <v>57</v>
      </c>
      <c r="H109" t="s">
        <v>349</v>
      </c>
      <c r="I109"/>
      <c r="J109"/>
      <c r="K109"/>
      <c r="L109"/>
      <c r="M109"/>
      <c r="N109"/>
      <c r="O109"/>
      <c r="P109"/>
      <c r="Q109"/>
      <c r="R109"/>
      <c r="S109" s="56">
        <f t="shared" si="3"/>
        <v>72</v>
      </c>
      <c r="T109" s="57" t="str">
        <f t="shared" si="4"/>
        <v>61-90 Days</v>
      </c>
      <c r="U109" s="58" t="str">
        <f t="shared" si="5"/>
        <v>Not Applicable</v>
      </c>
    </row>
    <row r="110" spans="1:21" ht="23.25" customHeight="1" x14ac:dyDescent="0.35">
      <c r="A110" s="50" t="s">
        <v>350</v>
      </c>
      <c r="B110" s="50" t="s">
        <v>350</v>
      </c>
      <c r="C110">
        <v>0</v>
      </c>
      <c r="D110">
        <v>3046.79</v>
      </c>
      <c r="E110" t="s">
        <v>351</v>
      </c>
      <c r="F110" t="s">
        <v>57</v>
      </c>
      <c r="G110" t="s">
        <v>57</v>
      </c>
      <c r="H110" t="s">
        <v>352</v>
      </c>
      <c r="I110"/>
      <c r="J110"/>
      <c r="K110"/>
      <c r="L110"/>
      <c r="M110"/>
      <c r="N110"/>
      <c r="O110"/>
      <c r="P110"/>
      <c r="Q110"/>
      <c r="R110"/>
      <c r="S110" s="56">
        <f t="shared" si="3"/>
        <v>70</v>
      </c>
      <c r="T110" s="57" t="str">
        <f t="shared" si="4"/>
        <v>61-90 Days</v>
      </c>
      <c r="U110" s="58" t="str">
        <f t="shared" si="5"/>
        <v>Not Applicable</v>
      </c>
    </row>
    <row r="111" spans="1:21" ht="23.25" customHeight="1" x14ac:dyDescent="0.35">
      <c r="A111" s="50" t="s">
        <v>350</v>
      </c>
      <c r="B111" s="50" t="s">
        <v>350</v>
      </c>
      <c r="C111">
        <v>0</v>
      </c>
      <c r="D111">
        <v>10000</v>
      </c>
      <c r="E111" t="s">
        <v>353</v>
      </c>
      <c r="F111" t="s">
        <v>354</v>
      </c>
      <c r="G111" t="s">
        <v>57</v>
      </c>
      <c r="H111" t="s">
        <v>355</v>
      </c>
      <c r="I111"/>
      <c r="J111"/>
      <c r="K111"/>
      <c r="L111"/>
      <c r="M111"/>
      <c r="N111"/>
      <c r="O111"/>
      <c r="P111"/>
      <c r="Q111"/>
      <c r="R111"/>
      <c r="S111" s="56">
        <f t="shared" si="3"/>
        <v>70</v>
      </c>
      <c r="T111" s="57" t="str">
        <f t="shared" si="4"/>
        <v>61-90 Days</v>
      </c>
      <c r="U111" s="58" t="str">
        <f t="shared" si="5"/>
        <v>Not Applicable</v>
      </c>
    </row>
    <row r="112" spans="1:21" ht="23.25" customHeight="1" x14ac:dyDescent="0.35">
      <c r="A112" s="50" t="s">
        <v>350</v>
      </c>
      <c r="B112" s="50" t="s">
        <v>350</v>
      </c>
      <c r="C112">
        <v>100</v>
      </c>
      <c r="D112">
        <v>0</v>
      </c>
      <c r="E112" t="s">
        <v>356</v>
      </c>
      <c r="F112" t="s">
        <v>57</v>
      </c>
      <c r="G112" t="s">
        <v>57</v>
      </c>
      <c r="H112" t="s">
        <v>357</v>
      </c>
      <c r="I112"/>
      <c r="J112"/>
      <c r="K112"/>
      <c r="L112"/>
      <c r="M112"/>
      <c r="N112"/>
      <c r="O112"/>
      <c r="P112"/>
      <c r="Q112"/>
      <c r="R112"/>
      <c r="S112" s="56">
        <f t="shared" si="3"/>
        <v>70</v>
      </c>
      <c r="T112" s="57" t="str">
        <f t="shared" si="4"/>
        <v>61-90 Days</v>
      </c>
      <c r="U112" s="58" t="str">
        <f t="shared" si="5"/>
        <v>Substandard</v>
      </c>
    </row>
    <row r="113" spans="1:21" ht="23.25" customHeight="1" x14ac:dyDescent="0.35">
      <c r="A113" s="50" t="s">
        <v>350</v>
      </c>
      <c r="B113" s="50" t="s">
        <v>350</v>
      </c>
      <c r="C113">
        <v>0</v>
      </c>
      <c r="D113">
        <v>5000</v>
      </c>
      <c r="E113" t="s">
        <v>358</v>
      </c>
      <c r="F113" t="s">
        <v>57</v>
      </c>
      <c r="G113" t="s">
        <v>57</v>
      </c>
      <c r="H113" t="s">
        <v>359</v>
      </c>
      <c r="I113"/>
      <c r="J113"/>
      <c r="K113"/>
      <c r="L113"/>
      <c r="M113"/>
      <c r="N113"/>
      <c r="O113"/>
      <c r="P113"/>
      <c r="Q113"/>
      <c r="R113"/>
      <c r="S113" s="56">
        <f t="shared" si="3"/>
        <v>70</v>
      </c>
      <c r="T113" s="57" t="str">
        <f t="shared" si="4"/>
        <v>61-90 Days</v>
      </c>
      <c r="U113" s="58" t="str">
        <f t="shared" si="5"/>
        <v>Not Applicable</v>
      </c>
    </row>
    <row r="114" spans="1:21" ht="23.25" customHeight="1" x14ac:dyDescent="0.35">
      <c r="A114" s="50" t="s">
        <v>350</v>
      </c>
      <c r="B114" s="50" t="s">
        <v>350</v>
      </c>
      <c r="C114">
        <v>0</v>
      </c>
      <c r="D114">
        <v>855.2</v>
      </c>
      <c r="E114" t="s">
        <v>360</v>
      </c>
      <c r="F114" t="s">
        <v>361</v>
      </c>
      <c r="G114" t="s">
        <v>57</v>
      </c>
      <c r="H114" t="s">
        <v>362</v>
      </c>
      <c r="I114"/>
      <c r="J114"/>
      <c r="K114"/>
      <c r="L114"/>
      <c r="M114"/>
      <c r="N114"/>
      <c r="O114"/>
      <c r="P114"/>
      <c r="Q114"/>
      <c r="R114"/>
      <c r="S114" s="56">
        <f t="shared" si="3"/>
        <v>70</v>
      </c>
      <c r="T114" s="57" t="str">
        <f t="shared" si="4"/>
        <v>61-90 Days</v>
      </c>
      <c r="U114" s="58" t="str">
        <f t="shared" si="5"/>
        <v>Not Applicable</v>
      </c>
    </row>
    <row r="115" spans="1:21" ht="23.25" customHeight="1" x14ac:dyDescent="0.35">
      <c r="A115" s="50" t="s">
        <v>350</v>
      </c>
      <c r="B115" s="50" t="s">
        <v>350</v>
      </c>
      <c r="C115">
        <v>0</v>
      </c>
      <c r="D115">
        <v>4718</v>
      </c>
      <c r="E115" t="s">
        <v>363</v>
      </c>
      <c r="F115" t="s">
        <v>364</v>
      </c>
      <c r="G115" t="s">
        <v>57</v>
      </c>
      <c r="H115" t="s">
        <v>365</v>
      </c>
      <c r="I115"/>
      <c r="J115"/>
      <c r="K115"/>
      <c r="L115"/>
      <c r="M115"/>
      <c r="N115"/>
      <c r="O115"/>
      <c r="P115"/>
      <c r="Q115"/>
      <c r="R115"/>
      <c r="S115" s="56">
        <f t="shared" si="3"/>
        <v>70</v>
      </c>
      <c r="T115" s="57" t="str">
        <f t="shared" si="4"/>
        <v>61-90 Days</v>
      </c>
      <c r="U115" s="58" t="str">
        <f t="shared" si="5"/>
        <v>Not Applicable</v>
      </c>
    </row>
    <row r="116" spans="1:21" ht="23.25" customHeight="1" x14ac:dyDescent="0.35">
      <c r="A116" s="50" t="s">
        <v>366</v>
      </c>
      <c r="B116" s="50" t="s">
        <v>366</v>
      </c>
      <c r="C116">
        <v>160</v>
      </c>
      <c r="D116">
        <v>0</v>
      </c>
      <c r="E116" t="s">
        <v>367</v>
      </c>
      <c r="F116" t="s">
        <v>368</v>
      </c>
      <c r="G116" t="s">
        <v>57</v>
      </c>
      <c r="H116" t="s">
        <v>369</v>
      </c>
      <c r="I116"/>
      <c r="J116"/>
      <c r="K116"/>
      <c r="L116"/>
      <c r="M116"/>
      <c r="N116"/>
      <c r="O116"/>
      <c r="P116"/>
      <c r="Q116"/>
      <c r="R116"/>
      <c r="S116" s="56">
        <f t="shared" si="3"/>
        <v>69</v>
      </c>
      <c r="T116" s="57" t="str">
        <f t="shared" si="4"/>
        <v>61-90 Days</v>
      </c>
      <c r="U116" s="58" t="str">
        <f t="shared" si="5"/>
        <v>Substandard</v>
      </c>
    </row>
    <row r="117" spans="1:21" ht="23.25" customHeight="1" x14ac:dyDescent="0.35">
      <c r="A117" s="50" t="s">
        <v>366</v>
      </c>
      <c r="B117" s="50" t="s">
        <v>366</v>
      </c>
      <c r="C117">
        <v>200000</v>
      </c>
      <c r="D117">
        <v>0</v>
      </c>
      <c r="E117" t="s">
        <v>370</v>
      </c>
      <c r="F117" t="s">
        <v>371</v>
      </c>
      <c r="G117" t="s">
        <v>57</v>
      </c>
      <c r="H117" t="s">
        <v>372</v>
      </c>
      <c r="I117"/>
      <c r="J117"/>
      <c r="K117"/>
      <c r="L117"/>
      <c r="M117"/>
      <c r="N117"/>
      <c r="O117"/>
      <c r="P117"/>
      <c r="Q117"/>
      <c r="R117"/>
      <c r="S117" s="56">
        <f t="shared" si="3"/>
        <v>69</v>
      </c>
      <c r="T117" s="57" t="str">
        <f t="shared" si="4"/>
        <v>61-90 Days</v>
      </c>
      <c r="U117" s="58" t="str">
        <f t="shared" si="5"/>
        <v>Substandard</v>
      </c>
    </row>
    <row r="118" spans="1:21" ht="23.25" customHeight="1" x14ac:dyDescent="0.35">
      <c r="A118" s="50" t="s">
        <v>366</v>
      </c>
      <c r="B118" s="50" t="s">
        <v>366</v>
      </c>
      <c r="C118">
        <v>660</v>
      </c>
      <c r="D118">
        <v>0</v>
      </c>
      <c r="E118" t="s">
        <v>373</v>
      </c>
      <c r="F118" t="s">
        <v>374</v>
      </c>
      <c r="G118" t="s">
        <v>57</v>
      </c>
      <c r="H118" t="s">
        <v>375</v>
      </c>
      <c r="I118"/>
      <c r="J118"/>
      <c r="K118"/>
      <c r="L118"/>
      <c r="M118"/>
      <c r="N118"/>
      <c r="O118"/>
      <c r="P118"/>
      <c r="Q118"/>
      <c r="R118"/>
      <c r="S118" s="56">
        <f t="shared" si="3"/>
        <v>69</v>
      </c>
      <c r="T118" s="57" t="str">
        <f t="shared" si="4"/>
        <v>61-90 Days</v>
      </c>
      <c r="U118" s="58" t="str">
        <f t="shared" si="5"/>
        <v>Substandard</v>
      </c>
    </row>
    <row r="119" spans="1:21" ht="23.25" customHeight="1" x14ac:dyDescent="0.35">
      <c r="A119" s="50" t="s">
        <v>366</v>
      </c>
      <c r="B119" s="50" t="s">
        <v>366</v>
      </c>
      <c r="C119">
        <v>0</v>
      </c>
      <c r="D119">
        <v>2100</v>
      </c>
      <c r="E119" t="s">
        <v>376</v>
      </c>
      <c r="F119" t="s">
        <v>377</v>
      </c>
      <c r="G119" t="s">
        <v>57</v>
      </c>
      <c r="H119" t="s">
        <v>378</v>
      </c>
      <c r="I119"/>
      <c r="J119"/>
      <c r="K119"/>
      <c r="L119"/>
      <c r="M119"/>
      <c r="N119"/>
      <c r="O119"/>
      <c r="P119"/>
      <c r="Q119"/>
      <c r="R119"/>
      <c r="S119" s="56">
        <f t="shared" si="3"/>
        <v>69</v>
      </c>
      <c r="T119" s="57" t="str">
        <f t="shared" si="4"/>
        <v>61-90 Days</v>
      </c>
      <c r="U119" s="58" t="str">
        <f t="shared" si="5"/>
        <v>Not Applicable</v>
      </c>
    </row>
    <row r="120" spans="1:21" ht="23.25" customHeight="1" x14ac:dyDescent="0.35">
      <c r="A120" s="50" t="s">
        <v>366</v>
      </c>
      <c r="B120" s="50" t="s">
        <v>366</v>
      </c>
      <c r="C120">
        <v>0</v>
      </c>
      <c r="D120">
        <v>70000</v>
      </c>
      <c r="E120" t="s">
        <v>379</v>
      </c>
      <c r="F120" t="s">
        <v>380</v>
      </c>
      <c r="G120" t="s">
        <v>57</v>
      </c>
      <c r="H120" t="s">
        <v>381</v>
      </c>
      <c r="I120"/>
      <c r="J120"/>
      <c r="K120"/>
      <c r="L120"/>
      <c r="M120"/>
      <c r="N120"/>
      <c r="O120"/>
      <c r="P120"/>
      <c r="Q120"/>
      <c r="R120"/>
      <c r="S120" s="56">
        <f t="shared" si="3"/>
        <v>69</v>
      </c>
      <c r="T120" s="57" t="str">
        <f t="shared" si="4"/>
        <v>61-90 Days</v>
      </c>
      <c r="U120" s="58" t="str">
        <f t="shared" si="5"/>
        <v>Not Applicable</v>
      </c>
    </row>
    <row r="121" spans="1:21" ht="23.25" customHeight="1" x14ac:dyDescent="0.35">
      <c r="A121" s="50" t="s">
        <v>366</v>
      </c>
      <c r="B121" s="50" t="s">
        <v>366</v>
      </c>
      <c r="C121">
        <v>0</v>
      </c>
      <c r="D121">
        <v>6829.8</v>
      </c>
      <c r="E121" t="s">
        <v>382</v>
      </c>
      <c r="F121" t="s">
        <v>57</v>
      </c>
      <c r="G121" t="s">
        <v>57</v>
      </c>
      <c r="H121" t="s">
        <v>383</v>
      </c>
      <c r="I121"/>
      <c r="J121"/>
      <c r="K121"/>
      <c r="L121"/>
      <c r="M121"/>
      <c r="N121"/>
      <c r="O121"/>
      <c r="P121"/>
      <c r="Q121"/>
      <c r="R121"/>
      <c r="S121" s="56">
        <f t="shared" si="3"/>
        <v>69</v>
      </c>
      <c r="T121" s="57" t="str">
        <f t="shared" si="4"/>
        <v>61-90 Days</v>
      </c>
      <c r="U121" s="58" t="str">
        <f t="shared" si="5"/>
        <v>Not Applicable</v>
      </c>
    </row>
    <row r="122" spans="1:21" ht="23.25" customHeight="1" x14ac:dyDescent="0.35">
      <c r="A122" s="50" t="s">
        <v>366</v>
      </c>
      <c r="B122" s="50" t="s">
        <v>366</v>
      </c>
      <c r="C122">
        <v>240</v>
      </c>
      <c r="D122">
        <v>0</v>
      </c>
      <c r="E122" t="s">
        <v>384</v>
      </c>
      <c r="F122" t="s">
        <v>385</v>
      </c>
      <c r="G122" t="s">
        <v>57</v>
      </c>
      <c r="H122" t="s">
        <v>386</v>
      </c>
      <c r="I122"/>
      <c r="J122"/>
      <c r="K122"/>
      <c r="L122"/>
      <c r="M122"/>
      <c r="N122"/>
      <c r="O122"/>
      <c r="P122"/>
      <c r="Q122"/>
      <c r="R122"/>
      <c r="S122" s="56">
        <f t="shared" si="3"/>
        <v>69</v>
      </c>
      <c r="T122" s="57" t="str">
        <f t="shared" si="4"/>
        <v>61-90 Days</v>
      </c>
      <c r="U122" s="58" t="str">
        <f t="shared" si="5"/>
        <v>Substandard</v>
      </c>
    </row>
    <row r="123" spans="1:21" ht="23.25" customHeight="1" x14ac:dyDescent="0.35">
      <c r="A123" s="50" t="s">
        <v>366</v>
      </c>
      <c r="B123" s="50" t="s">
        <v>366</v>
      </c>
      <c r="C123">
        <v>10000</v>
      </c>
      <c r="D123">
        <v>0</v>
      </c>
      <c r="E123" t="s">
        <v>387</v>
      </c>
      <c r="F123" t="s">
        <v>388</v>
      </c>
      <c r="G123" t="s">
        <v>57</v>
      </c>
      <c r="H123" t="s">
        <v>389</v>
      </c>
      <c r="I123"/>
      <c r="J123"/>
      <c r="K123"/>
      <c r="L123"/>
      <c r="M123"/>
      <c r="N123"/>
      <c r="O123"/>
      <c r="P123"/>
      <c r="Q123"/>
      <c r="R123"/>
      <c r="S123" s="56">
        <f t="shared" si="3"/>
        <v>69</v>
      </c>
      <c r="T123" s="57" t="str">
        <f t="shared" si="4"/>
        <v>61-90 Days</v>
      </c>
      <c r="U123" s="58" t="str">
        <f t="shared" si="5"/>
        <v>Substandard</v>
      </c>
    </row>
    <row r="124" spans="1:21" ht="23.25" customHeight="1" x14ac:dyDescent="0.35">
      <c r="A124" t="s">
        <v>366</v>
      </c>
      <c r="B124" t="s">
        <v>366</v>
      </c>
      <c r="C124">
        <v>2000</v>
      </c>
      <c r="D124">
        <v>0</v>
      </c>
      <c r="E124" t="s">
        <v>390</v>
      </c>
      <c r="F124" t="s">
        <v>391</v>
      </c>
      <c r="G124" t="s">
        <v>57</v>
      </c>
      <c r="H124" t="s">
        <v>392</v>
      </c>
      <c r="I124"/>
      <c r="J124"/>
      <c r="K124"/>
      <c r="L124"/>
      <c r="M124"/>
      <c r="N124"/>
      <c r="O124"/>
      <c r="P124"/>
      <c r="Q124"/>
      <c r="R124"/>
      <c r="S124" s="56">
        <f t="shared" si="3"/>
        <v>69</v>
      </c>
      <c r="T124" s="57" t="str">
        <f t="shared" si="4"/>
        <v>61-90 Days</v>
      </c>
      <c r="U124" s="58" t="str">
        <f t="shared" si="5"/>
        <v>Substandard</v>
      </c>
    </row>
    <row r="125" spans="1:21" ht="23.25" customHeight="1" x14ac:dyDescent="0.35">
      <c r="A125" t="s">
        <v>366</v>
      </c>
      <c r="B125" t="s">
        <v>366</v>
      </c>
      <c r="C125">
        <v>0</v>
      </c>
      <c r="D125">
        <v>512</v>
      </c>
      <c r="E125" t="s">
        <v>393</v>
      </c>
      <c r="F125" t="s">
        <v>394</v>
      </c>
      <c r="G125" t="s">
        <v>57</v>
      </c>
      <c r="H125" t="s">
        <v>395</v>
      </c>
      <c r="I125"/>
      <c r="J125"/>
      <c r="K125"/>
      <c r="L125"/>
      <c r="M125"/>
      <c r="N125"/>
      <c r="O125"/>
      <c r="P125"/>
      <c r="Q125"/>
      <c r="R125"/>
      <c r="S125" s="56">
        <f t="shared" si="3"/>
        <v>69</v>
      </c>
      <c r="T125" s="57" t="str">
        <f t="shared" si="4"/>
        <v>61-90 Days</v>
      </c>
      <c r="U125" s="58" t="str">
        <f t="shared" si="5"/>
        <v>Not Applicable</v>
      </c>
    </row>
    <row r="126" spans="1:21" ht="23.25" customHeight="1" x14ac:dyDescent="0.35">
      <c r="A126" t="s">
        <v>366</v>
      </c>
      <c r="B126" t="s">
        <v>366</v>
      </c>
      <c r="C126">
        <v>0</v>
      </c>
      <c r="D126">
        <v>1240</v>
      </c>
      <c r="E126" t="s">
        <v>396</v>
      </c>
      <c r="F126" t="s">
        <v>397</v>
      </c>
      <c r="G126" t="s">
        <v>57</v>
      </c>
      <c r="H126" t="s">
        <v>398</v>
      </c>
      <c r="I126"/>
      <c r="J126"/>
      <c r="K126"/>
      <c r="L126"/>
      <c r="M126"/>
      <c r="N126"/>
      <c r="O126"/>
      <c r="P126"/>
      <c r="Q126"/>
      <c r="R126"/>
      <c r="S126" s="56">
        <f t="shared" si="3"/>
        <v>69</v>
      </c>
      <c r="T126" s="57" t="str">
        <f t="shared" si="4"/>
        <v>61-90 Days</v>
      </c>
      <c r="U126" s="58" t="str">
        <f t="shared" si="5"/>
        <v>Not Applicable</v>
      </c>
    </row>
    <row r="127" spans="1:21" ht="23.25" customHeight="1" x14ac:dyDescent="0.35">
      <c r="A127" t="s">
        <v>366</v>
      </c>
      <c r="B127" t="s">
        <v>366</v>
      </c>
      <c r="C127">
        <v>285677.43</v>
      </c>
      <c r="D127">
        <v>0</v>
      </c>
      <c r="E127" t="s">
        <v>399</v>
      </c>
      <c r="F127" t="s">
        <v>57</v>
      </c>
      <c r="G127" t="s">
        <v>57</v>
      </c>
      <c r="H127" t="s">
        <v>400</v>
      </c>
      <c r="I127"/>
      <c r="J127"/>
      <c r="K127"/>
      <c r="L127"/>
      <c r="M127"/>
      <c r="N127"/>
      <c r="O127"/>
      <c r="P127"/>
      <c r="Q127"/>
      <c r="R127"/>
      <c r="S127" s="56">
        <f t="shared" si="3"/>
        <v>69</v>
      </c>
      <c r="T127" s="57" t="str">
        <f t="shared" si="4"/>
        <v>61-90 Days</v>
      </c>
      <c r="U127" s="58" t="str">
        <f t="shared" si="5"/>
        <v>Substandard</v>
      </c>
    </row>
    <row r="128" spans="1:21" ht="23.25" customHeight="1" x14ac:dyDescent="0.35">
      <c r="A128" t="s">
        <v>366</v>
      </c>
      <c r="B128" t="s">
        <v>366</v>
      </c>
      <c r="C128">
        <v>318.08</v>
      </c>
      <c r="D128">
        <v>0</v>
      </c>
      <c r="E128" t="s">
        <v>401</v>
      </c>
      <c r="F128" t="s">
        <v>402</v>
      </c>
      <c r="G128" t="s">
        <v>57</v>
      </c>
      <c r="H128" t="s">
        <v>403</v>
      </c>
      <c r="I128"/>
      <c r="J128"/>
      <c r="K128"/>
      <c r="L128"/>
      <c r="M128"/>
      <c r="N128"/>
      <c r="O128"/>
      <c r="P128"/>
      <c r="Q128"/>
      <c r="R128"/>
      <c r="S128" s="56">
        <f t="shared" si="3"/>
        <v>69</v>
      </c>
      <c r="T128" s="57" t="str">
        <f t="shared" si="4"/>
        <v>61-90 Days</v>
      </c>
      <c r="U128" s="58" t="str">
        <f t="shared" si="5"/>
        <v>Substandard</v>
      </c>
    </row>
    <row r="129" spans="1:21" ht="23.25" customHeight="1" x14ac:dyDescent="0.35">
      <c r="A129" t="s">
        <v>366</v>
      </c>
      <c r="B129" t="s">
        <v>366</v>
      </c>
      <c r="C129">
        <v>0</v>
      </c>
      <c r="D129">
        <v>1545798.83</v>
      </c>
      <c r="E129" t="s">
        <v>404</v>
      </c>
      <c r="F129" t="s">
        <v>57</v>
      </c>
      <c r="G129" t="s">
        <v>57</v>
      </c>
      <c r="H129" t="s">
        <v>405</v>
      </c>
      <c r="I129"/>
      <c r="J129"/>
      <c r="K129"/>
      <c r="L129"/>
      <c r="M129"/>
      <c r="N129"/>
      <c r="O129"/>
      <c r="P129"/>
      <c r="Q129"/>
      <c r="R129"/>
      <c r="S129" s="56">
        <f t="shared" si="3"/>
        <v>69</v>
      </c>
      <c r="T129" s="57" t="str">
        <f t="shared" si="4"/>
        <v>61-90 Days</v>
      </c>
      <c r="U129" s="58" t="str">
        <f t="shared" si="5"/>
        <v>Not Applicable</v>
      </c>
    </row>
    <row r="130" spans="1:21" ht="23.25" customHeight="1" x14ac:dyDescent="0.35">
      <c r="A130" t="s">
        <v>366</v>
      </c>
      <c r="B130" t="s">
        <v>366</v>
      </c>
      <c r="C130">
        <v>0</v>
      </c>
      <c r="D130">
        <v>1800</v>
      </c>
      <c r="E130" t="s">
        <v>406</v>
      </c>
      <c r="F130" t="s">
        <v>407</v>
      </c>
      <c r="G130" t="s">
        <v>57</v>
      </c>
      <c r="H130" t="s">
        <v>408</v>
      </c>
      <c r="I130"/>
      <c r="J130"/>
      <c r="K130"/>
      <c r="L130"/>
      <c r="M130"/>
      <c r="N130"/>
      <c r="O130"/>
      <c r="P130"/>
      <c r="Q130"/>
      <c r="R130"/>
      <c r="S130" s="56">
        <f t="shared" si="3"/>
        <v>69</v>
      </c>
      <c r="T130" s="57" t="str">
        <f t="shared" si="4"/>
        <v>61-90 Days</v>
      </c>
      <c r="U130" s="58" t="str">
        <f t="shared" si="5"/>
        <v>Not Applicable</v>
      </c>
    </row>
    <row r="131" spans="1:21" ht="23.25" customHeight="1" x14ac:dyDescent="0.35">
      <c r="A131" t="s">
        <v>366</v>
      </c>
      <c r="B131" t="s">
        <v>366</v>
      </c>
      <c r="C131">
        <v>440</v>
      </c>
      <c r="D131">
        <v>0</v>
      </c>
      <c r="E131" t="s">
        <v>409</v>
      </c>
      <c r="F131" t="s">
        <v>410</v>
      </c>
      <c r="G131" t="s">
        <v>57</v>
      </c>
      <c r="H131" t="s">
        <v>411</v>
      </c>
      <c r="I131"/>
      <c r="J131"/>
      <c r="K131"/>
      <c r="L131"/>
      <c r="M131"/>
      <c r="N131"/>
      <c r="O131"/>
      <c r="P131"/>
      <c r="Q131"/>
      <c r="R131"/>
      <c r="S131" s="56">
        <f t="shared" si="3"/>
        <v>69</v>
      </c>
      <c r="T131" s="57" t="str">
        <f t="shared" si="4"/>
        <v>61-90 Days</v>
      </c>
      <c r="U131" s="58" t="str">
        <f t="shared" si="5"/>
        <v>Substandard</v>
      </c>
    </row>
    <row r="132" spans="1:21" ht="23.25" customHeight="1" x14ac:dyDescent="0.35">
      <c r="A132" t="s">
        <v>412</v>
      </c>
      <c r="B132" t="s">
        <v>412</v>
      </c>
      <c r="C132">
        <v>600000</v>
      </c>
      <c r="D132">
        <v>0</v>
      </c>
      <c r="E132" t="s">
        <v>413</v>
      </c>
      <c r="F132" t="s">
        <v>57</v>
      </c>
      <c r="G132" t="s">
        <v>57</v>
      </c>
      <c r="H132" t="s">
        <v>414</v>
      </c>
      <c r="I132"/>
      <c r="J132"/>
      <c r="K132"/>
      <c r="L132"/>
      <c r="M132"/>
      <c r="N132"/>
      <c r="O132"/>
      <c r="P132"/>
      <c r="Q132"/>
      <c r="R132"/>
      <c r="S132" s="56">
        <f t="shared" si="3"/>
        <v>68</v>
      </c>
      <c r="T132" s="57" t="str">
        <f t="shared" si="4"/>
        <v>61-90 Days</v>
      </c>
      <c r="U132" s="58" t="str">
        <f t="shared" si="5"/>
        <v>Substandard</v>
      </c>
    </row>
    <row r="133" spans="1:21" ht="23.25" customHeight="1" x14ac:dyDescent="0.35">
      <c r="A133" t="s">
        <v>412</v>
      </c>
      <c r="B133" t="s">
        <v>412</v>
      </c>
      <c r="C133">
        <v>0</v>
      </c>
      <c r="D133">
        <v>9793.23</v>
      </c>
      <c r="E133" t="s">
        <v>415</v>
      </c>
      <c r="F133" t="s">
        <v>57</v>
      </c>
      <c r="G133" t="s">
        <v>57</v>
      </c>
      <c r="H133" t="s">
        <v>416</v>
      </c>
      <c r="I133"/>
      <c r="J133"/>
      <c r="K133"/>
      <c r="L133"/>
      <c r="M133"/>
      <c r="N133"/>
      <c r="O133"/>
      <c r="P133"/>
      <c r="Q133"/>
      <c r="R133"/>
      <c r="S133" s="56">
        <f t="shared" si="3"/>
        <v>68</v>
      </c>
      <c r="T133" s="57" t="str">
        <f t="shared" si="4"/>
        <v>61-90 Days</v>
      </c>
      <c r="U133" s="58" t="str">
        <f t="shared" si="5"/>
        <v>Not Applicable</v>
      </c>
    </row>
    <row r="134" spans="1:21" ht="23.25" customHeight="1" x14ac:dyDescent="0.35">
      <c r="A134" t="s">
        <v>412</v>
      </c>
      <c r="B134" t="s">
        <v>412</v>
      </c>
      <c r="C134">
        <v>100000</v>
      </c>
      <c r="D134">
        <v>0</v>
      </c>
      <c r="E134" t="s">
        <v>417</v>
      </c>
      <c r="F134" t="s">
        <v>57</v>
      </c>
      <c r="G134" t="s">
        <v>57</v>
      </c>
      <c r="H134" t="s">
        <v>418</v>
      </c>
      <c r="I134"/>
      <c r="J134"/>
      <c r="K134"/>
      <c r="L134"/>
      <c r="M134"/>
      <c r="N134"/>
      <c r="O134"/>
      <c r="P134"/>
      <c r="Q134"/>
      <c r="R134"/>
      <c r="S134" s="56">
        <f t="shared" si="3"/>
        <v>68</v>
      </c>
      <c r="T134" s="57" t="str">
        <f t="shared" si="4"/>
        <v>61-90 Days</v>
      </c>
      <c r="U134" s="58" t="str">
        <f t="shared" si="5"/>
        <v>Substandard</v>
      </c>
    </row>
    <row r="135" spans="1:21" ht="23.25" customHeight="1" x14ac:dyDescent="0.35">
      <c r="A135" t="s">
        <v>412</v>
      </c>
      <c r="B135" t="s">
        <v>412</v>
      </c>
      <c r="C135">
        <v>4500</v>
      </c>
      <c r="D135">
        <v>0</v>
      </c>
      <c r="E135" t="s">
        <v>419</v>
      </c>
      <c r="F135" t="s">
        <v>57</v>
      </c>
      <c r="G135" t="s">
        <v>57</v>
      </c>
      <c r="H135" t="s">
        <v>420</v>
      </c>
      <c r="I135"/>
      <c r="J135"/>
      <c r="K135"/>
      <c r="L135"/>
      <c r="M135"/>
      <c r="N135"/>
      <c r="O135"/>
      <c r="P135"/>
      <c r="Q135"/>
      <c r="R135"/>
      <c r="S135" s="56">
        <f t="shared" si="3"/>
        <v>68</v>
      </c>
      <c r="T135" s="57" t="str">
        <f t="shared" si="4"/>
        <v>61-90 Days</v>
      </c>
      <c r="U135" s="58" t="str">
        <f t="shared" si="5"/>
        <v>Substandard</v>
      </c>
    </row>
    <row r="136" spans="1:21" ht="23.25" customHeight="1" x14ac:dyDescent="0.35">
      <c r="A136" t="s">
        <v>421</v>
      </c>
      <c r="B136" t="s">
        <v>421</v>
      </c>
      <c r="C136">
        <v>0</v>
      </c>
      <c r="D136">
        <v>600000</v>
      </c>
      <c r="E136" t="s">
        <v>422</v>
      </c>
      <c r="F136" t="s">
        <v>57</v>
      </c>
      <c r="G136" t="s">
        <v>57</v>
      </c>
      <c r="H136" t="s">
        <v>423</v>
      </c>
      <c r="I136"/>
      <c r="J136"/>
      <c r="K136"/>
      <c r="L136"/>
      <c r="M136"/>
      <c r="N136"/>
      <c r="O136"/>
      <c r="P136"/>
      <c r="Q136"/>
      <c r="R136"/>
      <c r="S136" s="56">
        <f t="shared" si="3"/>
        <v>67</v>
      </c>
      <c r="T136" s="57" t="str">
        <f t="shared" si="4"/>
        <v>61-90 Days</v>
      </c>
      <c r="U136" s="58" t="str">
        <f t="shared" si="5"/>
        <v>Not Applicable</v>
      </c>
    </row>
    <row r="137" spans="1:21" ht="23.25" customHeight="1" x14ac:dyDescent="0.35">
      <c r="A137" t="s">
        <v>421</v>
      </c>
      <c r="B137" t="s">
        <v>421</v>
      </c>
      <c r="C137">
        <v>600437.5</v>
      </c>
      <c r="D137">
        <v>0</v>
      </c>
      <c r="E137" t="s">
        <v>424</v>
      </c>
      <c r="F137" t="s">
        <v>57</v>
      </c>
      <c r="G137" t="s">
        <v>57</v>
      </c>
      <c r="H137" t="s">
        <v>425</v>
      </c>
      <c r="I137"/>
      <c r="J137"/>
      <c r="K137"/>
      <c r="L137"/>
      <c r="M137"/>
      <c r="N137"/>
      <c r="O137"/>
      <c r="P137"/>
      <c r="Q137"/>
      <c r="R137"/>
      <c r="S137" s="56">
        <f t="shared" ref="S137:S200" si="6">IF(A137="","",A$5-A137)</f>
        <v>67</v>
      </c>
      <c r="T137" s="57" t="str">
        <f t="shared" ref="T137:T200" si="7">IF(S137="","",IF(S137&lt;4,"0-3 Days",IF(S137&lt;31,"4-30 Days",IF(S137&lt;61,"31-60 Days",IF(S137&lt;=90,"61-90 Days",IF(S137&gt;90,"Above 90 Days","0"))))))</f>
        <v>61-90 Days</v>
      </c>
      <c r="U137" s="58" t="str">
        <f t="shared" ref="U137:U200" si="8">IF(C137="","",IF(C137&gt;0,IF(S137&lt;30,"Normal",IF(S137&lt;60,"Especially Mentioned",IF(S137&lt;90,"Substandard",IF(S137&lt;=180,"Doubtful",IF(S137&gt;180,"Loss","0"))))),"Not Applicable"))</f>
        <v>Substandard</v>
      </c>
    </row>
    <row r="138" spans="1:21" ht="23.25" customHeight="1" x14ac:dyDescent="0.35">
      <c r="A138" t="s">
        <v>421</v>
      </c>
      <c r="B138" t="s">
        <v>421</v>
      </c>
      <c r="C138">
        <v>267023.40000000002</v>
      </c>
      <c r="D138">
        <v>0</v>
      </c>
      <c r="E138" t="s">
        <v>426</v>
      </c>
      <c r="F138" t="s">
        <v>57</v>
      </c>
      <c r="G138" t="s">
        <v>57</v>
      </c>
      <c r="H138" t="s">
        <v>427</v>
      </c>
      <c r="I138"/>
      <c r="J138"/>
      <c r="K138"/>
      <c r="L138"/>
      <c r="M138"/>
      <c r="N138"/>
      <c r="O138"/>
      <c r="P138"/>
      <c r="Q138"/>
      <c r="R138"/>
      <c r="S138" s="56">
        <f t="shared" si="6"/>
        <v>67</v>
      </c>
      <c r="T138" s="57" t="str">
        <f t="shared" si="7"/>
        <v>61-90 Days</v>
      </c>
      <c r="U138" s="58" t="str">
        <f t="shared" si="8"/>
        <v>Substandard</v>
      </c>
    </row>
    <row r="139" spans="1:21" ht="23.25" customHeight="1" x14ac:dyDescent="0.35">
      <c r="A139" t="s">
        <v>428</v>
      </c>
      <c r="B139" t="s">
        <v>428</v>
      </c>
      <c r="C139">
        <v>1501093.75</v>
      </c>
      <c r="D139">
        <v>0</v>
      </c>
      <c r="E139" t="s">
        <v>429</v>
      </c>
      <c r="F139" t="s">
        <v>57</v>
      </c>
      <c r="G139" t="s">
        <v>57</v>
      </c>
      <c r="H139" t="s">
        <v>430</v>
      </c>
      <c r="I139"/>
      <c r="J139"/>
      <c r="K139"/>
      <c r="L139"/>
      <c r="M139"/>
      <c r="N139"/>
      <c r="O139"/>
      <c r="P139"/>
      <c r="Q139"/>
      <c r="R139"/>
      <c r="S139" s="56">
        <f t="shared" si="6"/>
        <v>66</v>
      </c>
      <c r="T139" s="57" t="str">
        <f t="shared" si="7"/>
        <v>61-90 Days</v>
      </c>
      <c r="U139" s="58" t="str">
        <f t="shared" si="8"/>
        <v>Substandard</v>
      </c>
    </row>
    <row r="140" spans="1:21" ht="23.25" customHeight="1" x14ac:dyDescent="0.35">
      <c r="A140" t="s">
        <v>428</v>
      </c>
      <c r="B140" t="s">
        <v>428</v>
      </c>
      <c r="C140">
        <v>378</v>
      </c>
      <c r="D140">
        <v>0</v>
      </c>
      <c r="E140" t="s">
        <v>431</v>
      </c>
      <c r="F140" t="s">
        <v>432</v>
      </c>
      <c r="G140" t="s">
        <v>57</v>
      </c>
      <c r="H140" t="s">
        <v>433</v>
      </c>
      <c r="I140"/>
      <c r="J140"/>
      <c r="K140"/>
      <c r="L140"/>
      <c r="M140"/>
      <c r="N140"/>
      <c r="O140"/>
      <c r="P140"/>
      <c r="Q140"/>
      <c r="R140"/>
      <c r="S140" s="56">
        <f t="shared" si="6"/>
        <v>66</v>
      </c>
      <c r="T140" s="57" t="str">
        <f t="shared" si="7"/>
        <v>61-90 Days</v>
      </c>
      <c r="U140" s="58" t="str">
        <f t="shared" si="8"/>
        <v>Substandard</v>
      </c>
    </row>
    <row r="141" spans="1:21" ht="23.25" customHeight="1" x14ac:dyDescent="0.35">
      <c r="A141" t="s">
        <v>434</v>
      </c>
      <c r="B141" t="s">
        <v>435</v>
      </c>
      <c r="C141">
        <v>0</v>
      </c>
      <c r="D141">
        <v>310</v>
      </c>
      <c r="E141" t="s">
        <v>436</v>
      </c>
      <c r="F141" t="s">
        <v>437</v>
      </c>
      <c r="G141" t="s">
        <v>438</v>
      </c>
      <c r="H141" t="s">
        <v>439</v>
      </c>
      <c r="I141"/>
      <c r="J141"/>
      <c r="K141"/>
      <c r="L141"/>
      <c r="M141"/>
      <c r="N141"/>
      <c r="O141"/>
      <c r="P141"/>
      <c r="Q141"/>
      <c r="R141"/>
      <c r="S141" s="56">
        <f t="shared" si="6"/>
        <v>64</v>
      </c>
      <c r="T141" s="57" t="str">
        <f t="shared" si="7"/>
        <v>61-90 Days</v>
      </c>
      <c r="U141" s="58" t="str">
        <f t="shared" si="8"/>
        <v>Not Applicable</v>
      </c>
    </row>
    <row r="142" spans="1:21" ht="23.25" customHeight="1" x14ac:dyDescent="0.35">
      <c r="A142" t="s">
        <v>434</v>
      </c>
      <c r="B142" t="s">
        <v>435</v>
      </c>
      <c r="C142">
        <v>0</v>
      </c>
      <c r="D142">
        <v>99.69</v>
      </c>
      <c r="E142" t="s">
        <v>440</v>
      </c>
      <c r="F142" t="s">
        <v>441</v>
      </c>
      <c r="G142" t="s">
        <v>442</v>
      </c>
      <c r="H142" t="s">
        <v>443</v>
      </c>
      <c r="I142"/>
      <c r="J142"/>
      <c r="K142"/>
      <c r="L142"/>
      <c r="M142"/>
      <c r="N142"/>
      <c r="O142"/>
      <c r="P142"/>
      <c r="Q142"/>
      <c r="R142"/>
      <c r="S142" s="56">
        <f t="shared" si="6"/>
        <v>64</v>
      </c>
      <c r="T142" s="57" t="str">
        <f t="shared" si="7"/>
        <v>61-90 Days</v>
      </c>
      <c r="U142" s="58" t="str">
        <f t="shared" si="8"/>
        <v>Not Applicable</v>
      </c>
    </row>
    <row r="143" spans="1:21" ht="23.25" customHeight="1" x14ac:dyDescent="0.35">
      <c r="A143" t="s">
        <v>434</v>
      </c>
      <c r="B143" t="s">
        <v>435</v>
      </c>
      <c r="C143">
        <v>0</v>
      </c>
      <c r="D143">
        <v>70</v>
      </c>
      <c r="E143" t="s">
        <v>444</v>
      </c>
      <c r="F143" t="s">
        <v>445</v>
      </c>
      <c r="G143" t="s">
        <v>446</v>
      </c>
      <c r="H143" t="s">
        <v>447</v>
      </c>
      <c r="I143"/>
      <c r="J143"/>
      <c r="K143"/>
      <c r="L143"/>
      <c r="M143"/>
      <c r="N143"/>
      <c r="O143"/>
      <c r="P143"/>
      <c r="Q143"/>
      <c r="R143"/>
      <c r="S143" s="56">
        <f t="shared" si="6"/>
        <v>64</v>
      </c>
      <c r="T143" s="57" t="str">
        <f t="shared" si="7"/>
        <v>61-90 Days</v>
      </c>
      <c r="U143" s="58" t="str">
        <f t="shared" si="8"/>
        <v>Not Applicable</v>
      </c>
    </row>
    <row r="144" spans="1:21" ht="23.25" customHeight="1" x14ac:dyDescent="0.35">
      <c r="A144" t="s">
        <v>448</v>
      </c>
      <c r="B144" t="s">
        <v>448</v>
      </c>
      <c r="C144">
        <v>0</v>
      </c>
      <c r="D144">
        <v>12666697.51</v>
      </c>
      <c r="E144" t="s">
        <v>449</v>
      </c>
      <c r="F144" t="s">
        <v>450</v>
      </c>
      <c r="G144" t="s">
        <v>57</v>
      </c>
      <c r="H144"/>
      <c r="I144"/>
      <c r="J144"/>
      <c r="K144"/>
      <c r="L144"/>
      <c r="M144"/>
      <c r="N144"/>
      <c r="O144"/>
      <c r="P144"/>
      <c r="Q144"/>
      <c r="R144"/>
      <c r="S144" s="56">
        <f t="shared" si="6"/>
        <v>63</v>
      </c>
      <c r="T144" s="57" t="str">
        <f t="shared" si="7"/>
        <v>61-90 Days</v>
      </c>
      <c r="U144" s="58" t="str">
        <f t="shared" si="8"/>
        <v>Not Applicable</v>
      </c>
    </row>
    <row r="145" spans="1:21" ht="23.25" customHeight="1" x14ac:dyDescent="0.35">
      <c r="A145" t="s">
        <v>448</v>
      </c>
      <c r="B145" t="s">
        <v>448</v>
      </c>
      <c r="C145">
        <v>0</v>
      </c>
      <c r="D145">
        <v>7621.28</v>
      </c>
      <c r="E145" t="s">
        <v>451</v>
      </c>
      <c r="F145" t="s">
        <v>452</v>
      </c>
      <c r="G145" t="s">
        <v>453</v>
      </c>
      <c r="H145" t="s">
        <v>454</v>
      </c>
      <c r="I145"/>
      <c r="J145"/>
      <c r="K145"/>
      <c r="L145"/>
      <c r="M145"/>
      <c r="N145"/>
      <c r="O145"/>
      <c r="P145"/>
      <c r="Q145"/>
      <c r="R145"/>
      <c r="S145" s="56">
        <f t="shared" si="6"/>
        <v>63</v>
      </c>
      <c r="T145" s="57" t="str">
        <f t="shared" si="7"/>
        <v>61-90 Days</v>
      </c>
      <c r="U145" s="58" t="str">
        <f t="shared" si="8"/>
        <v>Not Applicable</v>
      </c>
    </row>
    <row r="146" spans="1:21" ht="23.25" customHeight="1" x14ac:dyDescent="0.35">
      <c r="A146" t="s">
        <v>448</v>
      </c>
      <c r="B146" t="s">
        <v>448</v>
      </c>
      <c r="C146">
        <v>15099.1</v>
      </c>
      <c r="D146">
        <v>0</v>
      </c>
      <c r="E146" t="s">
        <v>455</v>
      </c>
      <c r="F146" t="s">
        <v>57</v>
      </c>
      <c r="G146" t="s">
        <v>57</v>
      </c>
      <c r="H146" t="s">
        <v>456</v>
      </c>
      <c r="I146"/>
      <c r="J146"/>
      <c r="K146"/>
      <c r="L146"/>
      <c r="M146"/>
      <c r="N146"/>
      <c r="O146"/>
      <c r="P146"/>
      <c r="Q146"/>
      <c r="R146"/>
      <c r="S146" s="56">
        <f t="shared" si="6"/>
        <v>63</v>
      </c>
      <c r="T146" s="57" t="str">
        <f t="shared" si="7"/>
        <v>61-90 Days</v>
      </c>
      <c r="U146" s="58" t="str">
        <f t="shared" si="8"/>
        <v>Substandard</v>
      </c>
    </row>
    <row r="147" spans="1:21" ht="23.25" customHeight="1" x14ac:dyDescent="0.35">
      <c r="A147" t="s">
        <v>448</v>
      </c>
      <c r="B147" t="s">
        <v>448</v>
      </c>
      <c r="C147">
        <v>7505104.1699999999</v>
      </c>
      <c r="D147">
        <v>0</v>
      </c>
      <c r="E147" t="s">
        <v>457</v>
      </c>
      <c r="F147" t="s">
        <v>57</v>
      </c>
      <c r="G147" t="s">
        <v>57</v>
      </c>
      <c r="H147" t="s">
        <v>458</v>
      </c>
      <c r="I147"/>
      <c r="J147"/>
      <c r="K147"/>
      <c r="L147"/>
      <c r="M147"/>
      <c r="N147"/>
      <c r="O147"/>
      <c r="P147"/>
      <c r="Q147"/>
      <c r="R147"/>
      <c r="S147" s="56">
        <f t="shared" si="6"/>
        <v>63</v>
      </c>
      <c r="T147" s="57" t="str">
        <f t="shared" si="7"/>
        <v>61-90 Days</v>
      </c>
      <c r="U147" s="58" t="str">
        <f t="shared" si="8"/>
        <v>Substandard</v>
      </c>
    </row>
    <row r="148" spans="1:21" ht="23.25" customHeight="1" x14ac:dyDescent="0.35">
      <c r="A148" t="s">
        <v>448</v>
      </c>
      <c r="B148" t="s">
        <v>448</v>
      </c>
      <c r="C148">
        <v>0</v>
      </c>
      <c r="D148">
        <v>950000</v>
      </c>
      <c r="E148" t="s">
        <v>459</v>
      </c>
      <c r="F148" t="s">
        <v>57</v>
      </c>
      <c r="G148" t="s">
        <v>57</v>
      </c>
      <c r="H148" t="s">
        <v>460</v>
      </c>
      <c r="I148"/>
      <c r="J148"/>
      <c r="K148"/>
      <c r="L148"/>
      <c r="M148"/>
      <c r="N148"/>
      <c r="O148"/>
      <c r="P148"/>
      <c r="Q148"/>
      <c r="R148"/>
      <c r="S148" s="56">
        <f t="shared" si="6"/>
        <v>63</v>
      </c>
      <c r="T148" s="57" t="str">
        <f t="shared" si="7"/>
        <v>61-90 Days</v>
      </c>
      <c r="U148" s="58" t="str">
        <f t="shared" si="8"/>
        <v>Not Applicable</v>
      </c>
    </row>
    <row r="149" spans="1:21" ht="23.25" customHeight="1" x14ac:dyDescent="0.35">
      <c r="A149" t="s">
        <v>448</v>
      </c>
      <c r="B149" t="s">
        <v>448</v>
      </c>
      <c r="C149">
        <v>0</v>
      </c>
      <c r="D149">
        <v>7500000</v>
      </c>
      <c r="E149" t="s">
        <v>461</v>
      </c>
      <c r="F149" t="s">
        <v>57</v>
      </c>
      <c r="G149" t="s">
        <v>57</v>
      </c>
      <c r="H149" t="s">
        <v>462</v>
      </c>
      <c r="I149"/>
      <c r="J149"/>
      <c r="K149"/>
      <c r="L149"/>
      <c r="M149"/>
      <c r="N149"/>
      <c r="O149"/>
      <c r="P149"/>
      <c r="Q149"/>
      <c r="R149"/>
      <c r="S149" s="56">
        <f t="shared" si="6"/>
        <v>63</v>
      </c>
      <c r="T149" s="57" t="str">
        <f t="shared" si="7"/>
        <v>61-90 Days</v>
      </c>
      <c r="U149" s="58" t="str">
        <f t="shared" si="8"/>
        <v>Not Applicable</v>
      </c>
    </row>
    <row r="150" spans="1:21" ht="23.25" customHeight="1" x14ac:dyDescent="0.35">
      <c r="A150" t="s">
        <v>463</v>
      </c>
      <c r="B150" t="s">
        <v>463</v>
      </c>
      <c r="C150">
        <v>0</v>
      </c>
      <c r="D150">
        <v>1000000</v>
      </c>
      <c r="E150" t="s">
        <v>464</v>
      </c>
      <c r="F150" t="s">
        <v>57</v>
      </c>
      <c r="G150" t="s">
        <v>57</v>
      </c>
      <c r="H150" t="s">
        <v>465</v>
      </c>
      <c r="I150"/>
      <c r="J150"/>
      <c r="K150"/>
      <c r="L150"/>
      <c r="M150"/>
      <c r="N150"/>
      <c r="O150"/>
      <c r="P150"/>
      <c r="Q150"/>
      <c r="R150"/>
      <c r="S150" s="56">
        <f t="shared" si="6"/>
        <v>61</v>
      </c>
      <c r="T150" s="57" t="str">
        <f t="shared" si="7"/>
        <v>61-90 Days</v>
      </c>
      <c r="U150" s="58" t="str">
        <f t="shared" si="8"/>
        <v>Not Applicable</v>
      </c>
    </row>
    <row r="151" spans="1:21" ht="23.25" customHeight="1" x14ac:dyDescent="0.35">
      <c r="A151" t="s">
        <v>463</v>
      </c>
      <c r="B151" t="s">
        <v>463</v>
      </c>
      <c r="C151">
        <v>0</v>
      </c>
      <c r="D151">
        <v>300000</v>
      </c>
      <c r="E151" t="s">
        <v>466</v>
      </c>
      <c r="F151" t="s">
        <v>57</v>
      </c>
      <c r="G151" t="s">
        <v>57</v>
      </c>
      <c r="H151" t="s">
        <v>467</v>
      </c>
      <c r="I151"/>
      <c r="J151"/>
      <c r="K151"/>
      <c r="L151"/>
      <c r="M151"/>
      <c r="N151"/>
      <c r="O151"/>
      <c r="P151"/>
      <c r="Q151"/>
      <c r="R151"/>
      <c r="S151" s="56">
        <f t="shared" si="6"/>
        <v>61</v>
      </c>
      <c r="T151" s="57" t="str">
        <f t="shared" si="7"/>
        <v>61-90 Days</v>
      </c>
      <c r="U151" s="58" t="str">
        <f t="shared" si="8"/>
        <v>Not Applicable</v>
      </c>
    </row>
    <row r="152" spans="1:21" ht="23.25" customHeight="1" x14ac:dyDescent="0.35">
      <c r="A152" t="s">
        <v>463</v>
      </c>
      <c r="B152" t="s">
        <v>463</v>
      </c>
      <c r="C152">
        <v>0</v>
      </c>
      <c r="D152">
        <v>110000</v>
      </c>
      <c r="E152" t="s">
        <v>468</v>
      </c>
      <c r="F152" t="s">
        <v>57</v>
      </c>
      <c r="G152" t="s">
        <v>57</v>
      </c>
      <c r="H152" t="s">
        <v>469</v>
      </c>
      <c r="I152"/>
      <c r="J152"/>
      <c r="K152"/>
      <c r="L152"/>
      <c r="M152"/>
      <c r="N152"/>
      <c r="O152"/>
      <c r="P152"/>
      <c r="Q152"/>
      <c r="R152"/>
      <c r="S152" s="56">
        <f t="shared" si="6"/>
        <v>61</v>
      </c>
      <c r="T152" s="57" t="str">
        <f t="shared" si="7"/>
        <v>61-90 Days</v>
      </c>
      <c r="U152" s="58" t="str">
        <f t="shared" si="8"/>
        <v>Not Applicable</v>
      </c>
    </row>
    <row r="153" spans="1:21" ht="23.25" customHeight="1" x14ac:dyDescent="0.35">
      <c r="A153" t="s">
        <v>463</v>
      </c>
      <c r="B153" t="s">
        <v>463</v>
      </c>
      <c r="C153">
        <v>0</v>
      </c>
      <c r="D153">
        <v>14902.47</v>
      </c>
      <c r="E153" t="s">
        <v>470</v>
      </c>
      <c r="F153" t="s">
        <v>57</v>
      </c>
      <c r="G153" t="s">
        <v>57</v>
      </c>
      <c r="H153" t="s">
        <v>471</v>
      </c>
      <c r="I153"/>
      <c r="J153"/>
      <c r="K153"/>
      <c r="L153"/>
      <c r="M153"/>
      <c r="N153"/>
      <c r="O153"/>
      <c r="P153"/>
      <c r="Q153"/>
      <c r="R153"/>
      <c r="S153" s="56">
        <f t="shared" si="6"/>
        <v>61</v>
      </c>
      <c r="T153" s="57" t="str">
        <f t="shared" si="7"/>
        <v>61-90 Days</v>
      </c>
      <c r="U153" s="58" t="str">
        <f t="shared" si="8"/>
        <v>Not Applicable</v>
      </c>
    </row>
    <row r="154" spans="1:21" ht="23.25" customHeight="1" x14ac:dyDescent="0.35">
      <c r="A154" t="s">
        <v>463</v>
      </c>
      <c r="B154" t="s">
        <v>463</v>
      </c>
      <c r="C154">
        <v>324785.94</v>
      </c>
      <c r="D154">
        <v>0</v>
      </c>
      <c r="E154" t="s">
        <v>472</v>
      </c>
      <c r="F154" t="s">
        <v>57</v>
      </c>
      <c r="G154" t="s">
        <v>57</v>
      </c>
      <c r="H154" t="s">
        <v>473</v>
      </c>
      <c r="I154"/>
      <c r="J154"/>
      <c r="K154"/>
      <c r="L154"/>
      <c r="M154"/>
      <c r="N154"/>
      <c r="O154"/>
      <c r="P154"/>
      <c r="Q154"/>
      <c r="R154"/>
      <c r="S154" s="56">
        <f t="shared" si="6"/>
        <v>61</v>
      </c>
      <c r="T154" s="57" t="str">
        <f t="shared" si="7"/>
        <v>61-90 Days</v>
      </c>
      <c r="U154" s="58" t="str">
        <f t="shared" si="8"/>
        <v>Substandard</v>
      </c>
    </row>
    <row r="155" spans="1:21" ht="23.25" customHeight="1" x14ac:dyDescent="0.35">
      <c r="A155" t="s">
        <v>463</v>
      </c>
      <c r="B155" t="s">
        <v>463</v>
      </c>
      <c r="C155">
        <v>15150.46</v>
      </c>
      <c r="D155">
        <v>0</v>
      </c>
      <c r="E155" t="s">
        <v>474</v>
      </c>
      <c r="F155" t="s">
        <v>57</v>
      </c>
      <c r="G155" t="s">
        <v>57</v>
      </c>
      <c r="H155" t="s">
        <v>475</v>
      </c>
      <c r="I155"/>
      <c r="J155"/>
      <c r="K155"/>
      <c r="L155"/>
      <c r="M155"/>
      <c r="N155"/>
      <c r="O155"/>
      <c r="P155"/>
      <c r="Q155"/>
      <c r="R155"/>
      <c r="S155" s="56">
        <f t="shared" si="6"/>
        <v>61</v>
      </c>
      <c r="T155" s="57" t="str">
        <f t="shared" si="7"/>
        <v>61-90 Days</v>
      </c>
      <c r="U155" s="58" t="str">
        <f t="shared" si="8"/>
        <v>Substandard</v>
      </c>
    </row>
    <row r="156" spans="1:21" ht="23.25" customHeight="1" x14ac:dyDescent="0.35">
      <c r="A156" t="s">
        <v>463</v>
      </c>
      <c r="B156" t="s">
        <v>463</v>
      </c>
      <c r="C156">
        <v>0</v>
      </c>
      <c r="D156">
        <v>927480.07</v>
      </c>
      <c r="E156" t="s">
        <v>476</v>
      </c>
      <c r="F156" t="s">
        <v>57</v>
      </c>
      <c r="G156" t="s">
        <v>57</v>
      </c>
      <c r="H156" t="s">
        <v>477</v>
      </c>
      <c r="I156"/>
      <c r="J156"/>
      <c r="K156"/>
      <c r="L156"/>
      <c r="M156"/>
      <c r="N156"/>
      <c r="O156"/>
      <c r="P156"/>
      <c r="Q156"/>
      <c r="R156"/>
      <c r="S156" s="56">
        <f t="shared" si="6"/>
        <v>61</v>
      </c>
      <c r="T156" s="57" t="str">
        <f t="shared" si="7"/>
        <v>61-90 Days</v>
      </c>
      <c r="U156" s="58" t="str">
        <f t="shared" si="8"/>
        <v>Not Applicable</v>
      </c>
    </row>
    <row r="157" spans="1:21" ht="23.25" customHeight="1" x14ac:dyDescent="0.35">
      <c r="A157" t="s">
        <v>463</v>
      </c>
      <c r="B157" t="s">
        <v>463</v>
      </c>
      <c r="C157">
        <v>3340000</v>
      </c>
      <c r="D157">
        <v>0</v>
      </c>
      <c r="E157" t="s">
        <v>478</v>
      </c>
      <c r="F157" t="s">
        <v>57</v>
      </c>
      <c r="G157" t="s">
        <v>57</v>
      </c>
      <c r="H157" t="s">
        <v>479</v>
      </c>
      <c r="I157"/>
      <c r="J157"/>
      <c r="K157"/>
      <c r="L157"/>
      <c r="M157"/>
      <c r="N157"/>
      <c r="O157"/>
      <c r="P157"/>
      <c r="Q157"/>
      <c r="R157"/>
      <c r="S157" s="56">
        <f t="shared" si="6"/>
        <v>61</v>
      </c>
      <c r="T157" s="57" t="str">
        <f t="shared" si="7"/>
        <v>61-90 Days</v>
      </c>
      <c r="U157" s="58" t="str">
        <f t="shared" si="8"/>
        <v>Substandard</v>
      </c>
    </row>
    <row r="158" spans="1:21" ht="23.25" customHeight="1" x14ac:dyDescent="0.35">
      <c r="A158" t="s">
        <v>463</v>
      </c>
      <c r="B158" t="s">
        <v>463</v>
      </c>
      <c r="C158">
        <v>1670208.3</v>
      </c>
      <c r="D158">
        <v>0</v>
      </c>
      <c r="E158" t="s">
        <v>480</v>
      </c>
      <c r="F158" t="s">
        <v>57</v>
      </c>
      <c r="G158" t="s">
        <v>57</v>
      </c>
      <c r="H158" t="s">
        <v>481</v>
      </c>
      <c r="I158"/>
      <c r="J158"/>
      <c r="K158"/>
      <c r="L158"/>
      <c r="M158"/>
      <c r="N158"/>
      <c r="O158"/>
      <c r="P158"/>
      <c r="Q158"/>
      <c r="R158"/>
      <c r="S158" s="56">
        <f t="shared" si="6"/>
        <v>61</v>
      </c>
      <c r="T158" s="57" t="str">
        <f t="shared" si="7"/>
        <v>61-90 Days</v>
      </c>
      <c r="U158" s="58" t="str">
        <f t="shared" si="8"/>
        <v>Substandard</v>
      </c>
    </row>
    <row r="159" spans="1:21" ht="23.25" customHeight="1" x14ac:dyDescent="0.35">
      <c r="A159" t="s">
        <v>482</v>
      </c>
      <c r="B159" t="s">
        <v>482</v>
      </c>
      <c r="C159">
        <v>7502187.5</v>
      </c>
      <c r="D159">
        <v>0</v>
      </c>
      <c r="E159" t="s">
        <v>483</v>
      </c>
      <c r="F159" t="s">
        <v>57</v>
      </c>
      <c r="G159" t="s">
        <v>57</v>
      </c>
      <c r="H159" t="s">
        <v>484</v>
      </c>
      <c r="I159"/>
      <c r="J159"/>
      <c r="K159"/>
      <c r="L159"/>
      <c r="M159"/>
      <c r="N159"/>
      <c r="O159"/>
      <c r="P159"/>
      <c r="Q159"/>
      <c r="R159"/>
      <c r="S159" s="56">
        <f t="shared" si="6"/>
        <v>60</v>
      </c>
      <c r="T159" s="57" t="str">
        <f t="shared" si="7"/>
        <v>31-60 Days</v>
      </c>
      <c r="U159" s="58" t="str">
        <f t="shared" si="8"/>
        <v>Substandard</v>
      </c>
    </row>
    <row r="160" spans="1:21" ht="23.25" customHeight="1" x14ac:dyDescent="0.35">
      <c r="A160" t="s">
        <v>482</v>
      </c>
      <c r="B160" t="s">
        <v>482</v>
      </c>
      <c r="C160">
        <v>8000</v>
      </c>
      <c r="D160">
        <v>0</v>
      </c>
      <c r="E160" t="s">
        <v>485</v>
      </c>
      <c r="F160" t="s">
        <v>57</v>
      </c>
      <c r="G160" t="s">
        <v>57</v>
      </c>
      <c r="H160" t="s">
        <v>486</v>
      </c>
      <c r="I160"/>
      <c r="J160"/>
      <c r="K160"/>
      <c r="L160"/>
      <c r="M160"/>
      <c r="N160"/>
      <c r="O160"/>
      <c r="P160"/>
      <c r="Q160"/>
      <c r="R160"/>
      <c r="S160" s="56">
        <f t="shared" si="6"/>
        <v>60</v>
      </c>
      <c r="T160" s="57" t="str">
        <f t="shared" si="7"/>
        <v>31-60 Days</v>
      </c>
      <c r="U160" s="58" t="str">
        <f t="shared" si="8"/>
        <v>Substandard</v>
      </c>
    </row>
    <row r="161" spans="1:21" ht="23.25" customHeight="1" x14ac:dyDescent="0.35">
      <c r="A161" t="s">
        <v>482</v>
      </c>
      <c r="B161" t="s">
        <v>482</v>
      </c>
      <c r="C161">
        <v>180000</v>
      </c>
      <c r="D161">
        <v>0</v>
      </c>
      <c r="E161" t="s">
        <v>487</v>
      </c>
      <c r="F161" t="s">
        <v>488</v>
      </c>
      <c r="G161" t="s">
        <v>57</v>
      </c>
      <c r="H161" t="s">
        <v>489</v>
      </c>
      <c r="I161"/>
      <c r="J161"/>
      <c r="K161"/>
      <c r="L161"/>
      <c r="M161"/>
      <c r="N161"/>
      <c r="O161"/>
      <c r="P161"/>
      <c r="Q161"/>
      <c r="R161"/>
      <c r="S161" s="56">
        <f t="shared" si="6"/>
        <v>60</v>
      </c>
      <c r="T161" s="57" t="str">
        <f t="shared" si="7"/>
        <v>31-60 Days</v>
      </c>
      <c r="U161" s="58" t="str">
        <f t="shared" si="8"/>
        <v>Substandard</v>
      </c>
    </row>
    <row r="162" spans="1:21" ht="23.25" customHeight="1" x14ac:dyDescent="0.35">
      <c r="A162" t="s">
        <v>482</v>
      </c>
      <c r="B162" t="s">
        <v>482</v>
      </c>
      <c r="C162">
        <v>0</v>
      </c>
      <c r="D162">
        <v>2000000</v>
      </c>
      <c r="E162" t="s">
        <v>490</v>
      </c>
      <c r="F162" t="s">
        <v>57</v>
      </c>
      <c r="G162" t="s">
        <v>57</v>
      </c>
      <c r="H162" t="s">
        <v>491</v>
      </c>
      <c r="I162"/>
      <c r="J162"/>
      <c r="K162"/>
      <c r="L162"/>
      <c r="M162"/>
      <c r="N162"/>
      <c r="O162"/>
      <c r="P162"/>
      <c r="Q162"/>
      <c r="R162"/>
      <c r="S162" s="56">
        <f t="shared" si="6"/>
        <v>60</v>
      </c>
      <c r="T162" s="57" t="str">
        <f t="shared" si="7"/>
        <v>31-60 Days</v>
      </c>
      <c r="U162" s="58" t="str">
        <f t="shared" si="8"/>
        <v>Not Applicable</v>
      </c>
    </row>
    <row r="163" spans="1:21" ht="23.25" customHeight="1" x14ac:dyDescent="0.35">
      <c r="A163" t="s">
        <v>482</v>
      </c>
      <c r="B163" t="s">
        <v>482</v>
      </c>
      <c r="C163">
        <v>0</v>
      </c>
      <c r="D163">
        <v>110000</v>
      </c>
      <c r="E163" t="s">
        <v>492</v>
      </c>
      <c r="F163" t="s">
        <v>57</v>
      </c>
      <c r="G163" t="s">
        <v>57</v>
      </c>
      <c r="H163" t="s">
        <v>493</v>
      </c>
      <c r="I163"/>
      <c r="J163"/>
      <c r="K163"/>
      <c r="L163"/>
      <c r="M163"/>
      <c r="N163"/>
      <c r="O163"/>
      <c r="P163"/>
      <c r="Q163"/>
      <c r="R163"/>
      <c r="S163" s="56">
        <f t="shared" si="6"/>
        <v>60</v>
      </c>
      <c r="T163" s="57" t="str">
        <f t="shared" si="7"/>
        <v>31-60 Days</v>
      </c>
      <c r="U163" s="58" t="str">
        <f t="shared" si="8"/>
        <v>Not Applicable</v>
      </c>
    </row>
    <row r="164" spans="1:21" ht="23.25" customHeight="1" x14ac:dyDescent="0.35">
      <c r="A164" t="s">
        <v>482</v>
      </c>
      <c r="B164" t="s">
        <v>482</v>
      </c>
      <c r="C164">
        <v>29899.09</v>
      </c>
      <c r="D164">
        <v>0</v>
      </c>
      <c r="E164" t="s">
        <v>494</v>
      </c>
      <c r="F164" t="s">
        <v>57</v>
      </c>
      <c r="G164" t="s">
        <v>57</v>
      </c>
      <c r="H164" t="s">
        <v>495</v>
      </c>
      <c r="I164"/>
      <c r="J164"/>
      <c r="K164"/>
      <c r="L164"/>
      <c r="M164"/>
      <c r="N164"/>
      <c r="O164"/>
      <c r="P164"/>
      <c r="Q164"/>
      <c r="R164"/>
      <c r="S164" s="56">
        <f t="shared" si="6"/>
        <v>60</v>
      </c>
      <c r="T164" s="57" t="str">
        <f t="shared" si="7"/>
        <v>31-60 Days</v>
      </c>
      <c r="U164" s="58" t="str">
        <f t="shared" si="8"/>
        <v>Substandard</v>
      </c>
    </row>
    <row r="165" spans="1:21" ht="23.25" customHeight="1" x14ac:dyDescent="0.35">
      <c r="A165" t="s">
        <v>482</v>
      </c>
      <c r="B165" t="s">
        <v>482</v>
      </c>
      <c r="C165">
        <v>0</v>
      </c>
      <c r="D165">
        <v>7500000</v>
      </c>
      <c r="E165" t="s">
        <v>496</v>
      </c>
      <c r="F165" t="s">
        <v>57</v>
      </c>
      <c r="G165" t="s">
        <v>57</v>
      </c>
      <c r="H165" t="s">
        <v>497</v>
      </c>
      <c r="I165"/>
      <c r="J165"/>
      <c r="K165"/>
      <c r="L165"/>
      <c r="M165"/>
      <c r="N165"/>
      <c r="O165"/>
      <c r="P165"/>
      <c r="Q165"/>
      <c r="R165"/>
      <c r="S165" s="56">
        <f t="shared" si="6"/>
        <v>60</v>
      </c>
      <c r="T165" s="57" t="str">
        <f t="shared" si="7"/>
        <v>31-60 Days</v>
      </c>
      <c r="U165" s="58" t="str">
        <f t="shared" si="8"/>
        <v>Not Applicable</v>
      </c>
    </row>
    <row r="166" spans="1:21" ht="23.25" customHeight="1" x14ac:dyDescent="0.35">
      <c r="A166" t="s">
        <v>482</v>
      </c>
      <c r="B166" t="s">
        <v>482</v>
      </c>
      <c r="C166">
        <v>0</v>
      </c>
      <c r="D166">
        <v>127000</v>
      </c>
      <c r="E166" t="s">
        <v>498</v>
      </c>
      <c r="F166" t="s">
        <v>57</v>
      </c>
      <c r="G166" t="s">
        <v>57</v>
      </c>
      <c r="H166" t="s">
        <v>499</v>
      </c>
      <c r="I166"/>
      <c r="J166"/>
      <c r="K166"/>
      <c r="L166"/>
      <c r="M166"/>
      <c r="N166"/>
      <c r="O166"/>
      <c r="P166"/>
      <c r="Q166"/>
      <c r="R166"/>
      <c r="S166" s="56">
        <f t="shared" si="6"/>
        <v>60</v>
      </c>
      <c r="T166" s="57" t="str">
        <f t="shared" si="7"/>
        <v>31-60 Days</v>
      </c>
      <c r="U166" s="58" t="str">
        <f t="shared" si="8"/>
        <v>Not Applicable</v>
      </c>
    </row>
    <row r="167" spans="1:21" ht="23.25" customHeight="1" x14ac:dyDescent="0.35">
      <c r="A167" t="s">
        <v>482</v>
      </c>
      <c r="B167" t="s">
        <v>482</v>
      </c>
      <c r="C167">
        <v>11166.24</v>
      </c>
      <c r="D167">
        <v>0</v>
      </c>
      <c r="E167" t="s">
        <v>500</v>
      </c>
      <c r="F167" t="s">
        <v>57</v>
      </c>
      <c r="G167" t="s">
        <v>57</v>
      </c>
      <c r="H167" t="s">
        <v>501</v>
      </c>
      <c r="I167"/>
      <c r="J167"/>
      <c r="K167"/>
      <c r="L167"/>
      <c r="M167"/>
      <c r="N167"/>
      <c r="O167"/>
      <c r="P167"/>
      <c r="Q167"/>
      <c r="R167"/>
      <c r="S167" s="56">
        <f t="shared" si="6"/>
        <v>60</v>
      </c>
      <c r="T167" s="57" t="str">
        <f t="shared" si="7"/>
        <v>31-60 Days</v>
      </c>
      <c r="U167" s="58" t="str">
        <f t="shared" si="8"/>
        <v>Substandard</v>
      </c>
    </row>
    <row r="168" spans="1:21" ht="23.25" customHeight="1" x14ac:dyDescent="0.35">
      <c r="A168" t="s">
        <v>482</v>
      </c>
      <c r="B168" t="s">
        <v>482</v>
      </c>
      <c r="C168">
        <v>2479.42</v>
      </c>
      <c r="D168">
        <v>0</v>
      </c>
      <c r="E168" t="s">
        <v>502</v>
      </c>
      <c r="F168" t="s">
        <v>57</v>
      </c>
      <c r="G168" t="s">
        <v>57</v>
      </c>
      <c r="H168" t="s">
        <v>503</v>
      </c>
      <c r="I168"/>
      <c r="J168"/>
      <c r="K168"/>
      <c r="L168"/>
      <c r="M168"/>
      <c r="N168"/>
      <c r="O168"/>
      <c r="P168"/>
      <c r="Q168"/>
      <c r="R168"/>
      <c r="S168" s="56">
        <f t="shared" si="6"/>
        <v>60</v>
      </c>
      <c r="T168" s="57" t="str">
        <f t="shared" si="7"/>
        <v>31-60 Days</v>
      </c>
      <c r="U168" s="58" t="str">
        <f t="shared" si="8"/>
        <v>Substandard</v>
      </c>
    </row>
    <row r="169" spans="1:21" ht="23.25" customHeight="1" x14ac:dyDescent="0.35">
      <c r="A169" t="s">
        <v>482</v>
      </c>
      <c r="B169" t="s">
        <v>482</v>
      </c>
      <c r="C169">
        <v>600437.5</v>
      </c>
      <c r="D169">
        <v>0</v>
      </c>
      <c r="E169" t="s">
        <v>504</v>
      </c>
      <c r="F169" t="s">
        <v>57</v>
      </c>
      <c r="G169" t="s">
        <v>57</v>
      </c>
      <c r="H169" t="s">
        <v>505</v>
      </c>
      <c r="I169"/>
      <c r="J169"/>
      <c r="K169"/>
      <c r="L169"/>
      <c r="M169"/>
      <c r="N169"/>
      <c r="O169"/>
      <c r="P169"/>
      <c r="Q169"/>
      <c r="R169"/>
      <c r="S169" s="56">
        <f t="shared" si="6"/>
        <v>60</v>
      </c>
      <c r="T169" s="57" t="str">
        <f t="shared" si="7"/>
        <v>31-60 Days</v>
      </c>
      <c r="U169" s="58" t="str">
        <f t="shared" si="8"/>
        <v>Substandard</v>
      </c>
    </row>
    <row r="170" spans="1:21" ht="23.25" customHeight="1" x14ac:dyDescent="0.35">
      <c r="A170" t="s">
        <v>506</v>
      </c>
      <c r="B170" t="s">
        <v>506</v>
      </c>
      <c r="C170">
        <v>1450000</v>
      </c>
      <c r="D170">
        <v>0</v>
      </c>
      <c r="E170" t="s">
        <v>507</v>
      </c>
      <c r="F170" t="s">
        <v>57</v>
      </c>
      <c r="G170" t="s">
        <v>57</v>
      </c>
      <c r="H170" t="s">
        <v>508</v>
      </c>
      <c r="I170"/>
      <c r="J170"/>
      <c r="K170"/>
      <c r="L170"/>
      <c r="M170"/>
      <c r="N170"/>
      <c r="O170"/>
      <c r="P170"/>
      <c r="Q170"/>
      <c r="R170"/>
      <c r="S170" s="56">
        <f t="shared" si="6"/>
        <v>59</v>
      </c>
      <c r="T170" s="57" t="str">
        <f t="shared" si="7"/>
        <v>31-60 Days</v>
      </c>
      <c r="U170" s="58" t="str">
        <f t="shared" si="8"/>
        <v>Especially Mentioned</v>
      </c>
    </row>
    <row r="171" spans="1:21" ht="23.25" customHeight="1" x14ac:dyDescent="0.35">
      <c r="A171" t="s">
        <v>506</v>
      </c>
      <c r="B171" t="s">
        <v>506</v>
      </c>
      <c r="C171">
        <v>0</v>
      </c>
      <c r="D171">
        <v>2972455.53</v>
      </c>
      <c r="E171" t="s">
        <v>509</v>
      </c>
      <c r="F171" t="s">
        <v>57</v>
      </c>
      <c r="G171" t="s">
        <v>57</v>
      </c>
      <c r="H171" t="s">
        <v>510</v>
      </c>
      <c r="I171"/>
      <c r="J171"/>
      <c r="K171"/>
      <c r="L171"/>
      <c r="M171"/>
      <c r="N171"/>
      <c r="O171"/>
      <c r="P171"/>
      <c r="Q171"/>
      <c r="R171"/>
      <c r="S171" s="56">
        <f t="shared" si="6"/>
        <v>59</v>
      </c>
      <c r="T171" s="57" t="str">
        <f t="shared" si="7"/>
        <v>31-60 Days</v>
      </c>
      <c r="U171" s="58" t="str">
        <f t="shared" si="8"/>
        <v>Not Applicable</v>
      </c>
    </row>
    <row r="172" spans="1:21" ht="23.25" customHeight="1" x14ac:dyDescent="0.35">
      <c r="A172" t="s">
        <v>506</v>
      </c>
      <c r="B172" t="s">
        <v>506</v>
      </c>
      <c r="C172">
        <v>1219399</v>
      </c>
      <c r="D172">
        <v>0</v>
      </c>
      <c r="E172" t="s">
        <v>511</v>
      </c>
      <c r="F172" t="s">
        <v>57</v>
      </c>
      <c r="G172" t="s">
        <v>57</v>
      </c>
      <c r="H172" t="s">
        <v>512</v>
      </c>
      <c r="I172"/>
      <c r="J172"/>
      <c r="K172"/>
      <c r="L172"/>
      <c r="M172"/>
      <c r="N172"/>
      <c r="O172"/>
      <c r="P172"/>
      <c r="Q172"/>
      <c r="R172"/>
      <c r="S172" s="56">
        <f t="shared" si="6"/>
        <v>59</v>
      </c>
      <c r="T172" s="57" t="str">
        <f t="shared" si="7"/>
        <v>31-60 Days</v>
      </c>
      <c r="U172" s="58" t="str">
        <f t="shared" si="8"/>
        <v>Especially Mentioned</v>
      </c>
    </row>
    <row r="173" spans="1:21" ht="23.25" customHeight="1" x14ac:dyDescent="0.35">
      <c r="A173" t="s">
        <v>506</v>
      </c>
      <c r="B173" t="s">
        <v>506</v>
      </c>
      <c r="C173">
        <v>0</v>
      </c>
      <c r="D173">
        <v>1031039.82</v>
      </c>
      <c r="E173" t="s">
        <v>513</v>
      </c>
      <c r="F173" t="s">
        <v>57</v>
      </c>
      <c r="G173" t="s">
        <v>57</v>
      </c>
      <c r="H173" t="s">
        <v>514</v>
      </c>
      <c r="I173"/>
      <c r="J173"/>
      <c r="K173"/>
      <c r="L173"/>
      <c r="M173"/>
      <c r="N173"/>
      <c r="O173"/>
      <c r="P173"/>
      <c r="Q173"/>
      <c r="R173"/>
      <c r="S173" s="56">
        <f t="shared" si="6"/>
        <v>59</v>
      </c>
      <c r="T173" s="57" t="str">
        <f t="shared" si="7"/>
        <v>31-60 Days</v>
      </c>
      <c r="U173" s="58" t="str">
        <f t="shared" si="8"/>
        <v>Not Applicable</v>
      </c>
    </row>
    <row r="174" spans="1:21" ht="23.25" customHeight="1" x14ac:dyDescent="0.35">
      <c r="A174" t="s">
        <v>506</v>
      </c>
      <c r="B174" t="s">
        <v>506</v>
      </c>
      <c r="C174">
        <v>220000</v>
      </c>
      <c r="D174">
        <v>0</v>
      </c>
      <c r="E174" t="s">
        <v>515</v>
      </c>
      <c r="F174" t="s">
        <v>57</v>
      </c>
      <c r="G174" t="s">
        <v>57</v>
      </c>
      <c r="H174" t="s">
        <v>516</v>
      </c>
      <c r="I174"/>
      <c r="J174"/>
      <c r="K174"/>
      <c r="L174"/>
      <c r="M174"/>
      <c r="N174"/>
      <c r="O174"/>
      <c r="P174"/>
      <c r="Q174"/>
      <c r="R174"/>
      <c r="S174" s="56">
        <f t="shared" si="6"/>
        <v>59</v>
      </c>
      <c r="T174" s="57" t="str">
        <f t="shared" si="7"/>
        <v>31-60 Days</v>
      </c>
      <c r="U174" s="58" t="str">
        <f t="shared" si="8"/>
        <v>Especially Mentioned</v>
      </c>
    </row>
    <row r="175" spans="1:21" ht="23.25" customHeight="1" x14ac:dyDescent="0.35">
      <c r="A175" t="s">
        <v>506</v>
      </c>
      <c r="B175" t="s">
        <v>506</v>
      </c>
      <c r="C175">
        <v>0</v>
      </c>
      <c r="D175">
        <v>220000</v>
      </c>
      <c r="E175" t="s">
        <v>517</v>
      </c>
      <c r="F175" t="s">
        <v>57</v>
      </c>
      <c r="G175" t="s">
        <v>57</v>
      </c>
      <c r="H175" t="s">
        <v>518</v>
      </c>
      <c r="I175"/>
      <c r="J175"/>
      <c r="K175"/>
      <c r="L175"/>
      <c r="M175"/>
      <c r="N175"/>
      <c r="O175"/>
      <c r="P175"/>
      <c r="Q175"/>
      <c r="R175"/>
      <c r="S175" s="56">
        <f t="shared" si="6"/>
        <v>59</v>
      </c>
      <c r="T175" s="57" t="str">
        <f t="shared" si="7"/>
        <v>31-60 Days</v>
      </c>
      <c r="U175" s="58" t="str">
        <f t="shared" si="8"/>
        <v>Not Applicable</v>
      </c>
    </row>
    <row r="176" spans="1:21" ht="23.25" customHeight="1" x14ac:dyDescent="0.35">
      <c r="A176" t="s">
        <v>506</v>
      </c>
      <c r="B176" t="s">
        <v>506</v>
      </c>
      <c r="C176">
        <v>0</v>
      </c>
      <c r="D176">
        <v>840975.54</v>
      </c>
      <c r="E176" t="s">
        <v>519</v>
      </c>
      <c r="F176" t="s">
        <v>57</v>
      </c>
      <c r="G176" t="s">
        <v>57</v>
      </c>
      <c r="H176" t="s">
        <v>520</v>
      </c>
      <c r="I176"/>
      <c r="J176"/>
      <c r="K176"/>
      <c r="L176"/>
      <c r="M176"/>
      <c r="N176"/>
      <c r="O176"/>
      <c r="P176"/>
      <c r="Q176"/>
      <c r="R176"/>
      <c r="S176" s="56">
        <f t="shared" si="6"/>
        <v>59</v>
      </c>
      <c r="T176" s="57" t="str">
        <f t="shared" si="7"/>
        <v>31-60 Days</v>
      </c>
      <c r="U176" s="58" t="str">
        <f t="shared" si="8"/>
        <v>Not Applicable</v>
      </c>
    </row>
    <row r="177" spans="1:21" ht="23.25" customHeight="1" x14ac:dyDescent="0.35">
      <c r="A177" t="s">
        <v>506</v>
      </c>
      <c r="B177" t="s">
        <v>506</v>
      </c>
      <c r="C177">
        <v>0</v>
      </c>
      <c r="D177">
        <v>1219399</v>
      </c>
      <c r="E177" t="s">
        <v>521</v>
      </c>
      <c r="F177" t="s">
        <v>57</v>
      </c>
      <c r="G177" t="s">
        <v>57</v>
      </c>
      <c r="H177" t="s">
        <v>522</v>
      </c>
      <c r="I177"/>
      <c r="J177"/>
      <c r="K177"/>
      <c r="L177"/>
      <c r="M177"/>
      <c r="N177"/>
      <c r="O177"/>
      <c r="P177"/>
      <c r="Q177"/>
      <c r="R177"/>
      <c r="S177" s="56">
        <f t="shared" si="6"/>
        <v>59</v>
      </c>
      <c r="T177" s="57" t="str">
        <f t="shared" si="7"/>
        <v>31-60 Days</v>
      </c>
      <c r="U177" s="58" t="str">
        <f t="shared" si="8"/>
        <v>Not Applicable</v>
      </c>
    </row>
    <row r="178" spans="1:21" ht="23.25" customHeight="1" x14ac:dyDescent="0.35">
      <c r="A178" t="s">
        <v>506</v>
      </c>
      <c r="B178" t="s">
        <v>506</v>
      </c>
      <c r="C178">
        <v>0</v>
      </c>
      <c r="D178">
        <v>820309.04</v>
      </c>
      <c r="E178" t="s">
        <v>523</v>
      </c>
      <c r="F178" t="s">
        <v>57</v>
      </c>
      <c r="G178" t="s">
        <v>57</v>
      </c>
      <c r="H178" t="s">
        <v>524</v>
      </c>
      <c r="I178"/>
      <c r="J178"/>
      <c r="K178"/>
      <c r="L178"/>
      <c r="M178"/>
      <c r="N178"/>
      <c r="O178"/>
      <c r="P178"/>
      <c r="Q178"/>
      <c r="R178"/>
      <c r="S178" s="56">
        <f t="shared" si="6"/>
        <v>59</v>
      </c>
      <c r="T178" s="57" t="str">
        <f t="shared" si="7"/>
        <v>31-60 Days</v>
      </c>
      <c r="U178" s="58" t="str">
        <f t="shared" si="8"/>
        <v>Not Applicable</v>
      </c>
    </row>
    <row r="179" spans="1:21" ht="23.25" customHeight="1" x14ac:dyDescent="0.35">
      <c r="A179" t="s">
        <v>506</v>
      </c>
      <c r="B179" t="s">
        <v>506</v>
      </c>
      <c r="C179">
        <v>0</v>
      </c>
      <c r="D179">
        <v>3500</v>
      </c>
      <c r="E179" t="s">
        <v>525</v>
      </c>
      <c r="F179" t="s">
        <v>526</v>
      </c>
      <c r="G179" t="s">
        <v>57</v>
      </c>
      <c r="H179" t="s">
        <v>527</v>
      </c>
      <c r="I179"/>
      <c r="J179"/>
      <c r="K179"/>
      <c r="L179"/>
      <c r="M179"/>
      <c r="N179"/>
      <c r="O179"/>
      <c r="P179"/>
      <c r="Q179"/>
      <c r="R179"/>
      <c r="S179" s="56">
        <f t="shared" si="6"/>
        <v>59</v>
      </c>
      <c r="T179" s="57" t="str">
        <f t="shared" si="7"/>
        <v>31-60 Days</v>
      </c>
      <c r="U179" s="58" t="str">
        <f t="shared" si="8"/>
        <v>Not Applicable</v>
      </c>
    </row>
    <row r="180" spans="1:21" ht="23.25" customHeight="1" x14ac:dyDescent="0.35">
      <c r="A180" t="s">
        <v>506</v>
      </c>
      <c r="B180" t="s">
        <v>506</v>
      </c>
      <c r="C180">
        <v>23876.57</v>
      </c>
      <c r="D180">
        <v>0</v>
      </c>
      <c r="E180" t="s">
        <v>528</v>
      </c>
      <c r="F180" t="s">
        <v>57</v>
      </c>
      <c r="G180" t="s">
        <v>57</v>
      </c>
      <c r="H180" t="s">
        <v>529</v>
      </c>
      <c r="I180"/>
      <c r="J180"/>
      <c r="K180"/>
      <c r="L180"/>
      <c r="M180"/>
      <c r="N180"/>
      <c r="O180"/>
      <c r="P180"/>
      <c r="Q180"/>
      <c r="R180"/>
      <c r="S180" s="56">
        <f t="shared" si="6"/>
        <v>59</v>
      </c>
      <c r="T180" s="57" t="str">
        <f t="shared" si="7"/>
        <v>31-60 Days</v>
      </c>
      <c r="U180" s="58" t="str">
        <f t="shared" si="8"/>
        <v>Especially Mentioned</v>
      </c>
    </row>
    <row r="181" spans="1:21" ht="23.25" customHeight="1" x14ac:dyDescent="0.35">
      <c r="A181" t="s">
        <v>506</v>
      </c>
      <c r="B181" t="s">
        <v>506</v>
      </c>
      <c r="C181">
        <v>0</v>
      </c>
      <c r="D181">
        <v>780616.67</v>
      </c>
      <c r="E181" t="s">
        <v>530</v>
      </c>
      <c r="F181" t="s">
        <v>57</v>
      </c>
      <c r="G181" t="s">
        <v>57</v>
      </c>
      <c r="H181" t="s">
        <v>531</v>
      </c>
      <c r="I181"/>
      <c r="J181"/>
      <c r="K181"/>
      <c r="L181"/>
      <c r="M181"/>
      <c r="N181"/>
      <c r="O181"/>
      <c r="P181"/>
      <c r="Q181"/>
      <c r="R181"/>
      <c r="S181" s="56">
        <f t="shared" si="6"/>
        <v>59</v>
      </c>
      <c r="T181" s="57" t="str">
        <f t="shared" si="7"/>
        <v>31-60 Days</v>
      </c>
      <c r="U181" s="58" t="str">
        <f t="shared" si="8"/>
        <v>Not Applicable</v>
      </c>
    </row>
    <row r="182" spans="1:21" ht="23.25" customHeight="1" x14ac:dyDescent="0.35">
      <c r="A182" t="s">
        <v>506</v>
      </c>
      <c r="B182" t="s">
        <v>506</v>
      </c>
      <c r="C182">
        <v>12225.26</v>
      </c>
      <c r="D182">
        <v>0</v>
      </c>
      <c r="E182" t="s">
        <v>532</v>
      </c>
      <c r="F182" t="s">
        <v>57</v>
      </c>
      <c r="G182" t="s">
        <v>57</v>
      </c>
      <c r="H182" t="s">
        <v>533</v>
      </c>
      <c r="I182"/>
      <c r="J182"/>
      <c r="K182"/>
      <c r="L182"/>
      <c r="M182"/>
      <c r="N182"/>
      <c r="O182"/>
      <c r="P182"/>
      <c r="Q182"/>
      <c r="R182"/>
      <c r="S182" s="56">
        <f t="shared" si="6"/>
        <v>59</v>
      </c>
      <c r="T182" s="57" t="str">
        <f t="shared" si="7"/>
        <v>31-60 Days</v>
      </c>
      <c r="U182" s="58" t="str">
        <f t="shared" si="8"/>
        <v>Especially Mentioned</v>
      </c>
    </row>
    <row r="183" spans="1:21" ht="23.25" customHeight="1" x14ac:dyDescent="0.35">
      <c r="A183" t="s">
        <v>506</v>
      </c>
      <c r="B183" t="s">
        <v>506</v>
      </c>
      <c r="C183">
        <v>29429.88</v>
      </c>
      <c r="D183">
        <v>0</v>
      </c>
      <c r="E183" t="s">
        <v>534</v>
      </c>
      <c r="F183" t="s">
        <v>57</v>
      </c>
      <c r="G183" t="s">
        <v>57</v>
      </c>
      <c r="H183" t="s">
        <v>535</v>
      </c>
      <c r="I183"/>
      <c r="J183"/>
      <c r="K183"/>
      <c r="L183"/>
      <c r="M183"/>
      <c r="N183"/>
      <c r="O183"/>
      <c r="P183"/>
      <c r="Q183"/>
      <c r="R183"/>
      <c r="S183" s="56">
        <f t="shared" si="6"/>
        <v>59</v>
      </c>
      <c r="T183" s="57" t="str">
        <f t="shared" si="7"/>
        <v>31-60 Days</v>
      </c>
      <c r="U183" s="58" t="str">
        <f t="shared" si="8"/>
        <v>Especially Mentioned</v>
      </c>
    </row>
    <row r="184" spans="1:21" ht="23.25" customHeight="1" x14ac:dyDescent="0.35">
      <c r="A184" t="s">
        <v>506</v>
      </c>
      <c r="B184" t="s">
        <v>506</v>
      </c>
      <c r="C184">
        <v>36391.550000000003</v>
      </c>
      <c r="D184">
        <v>0</v>
      </c>
      <c r="E184" t="s">
        <v>536</v>
      </c>
      <c r="F184" t="s">
        <v>57</v>
      </c>
      <c r="G184" t="s">
        <v>57</v>
      </c>
      <c r="H184" t="s">
        <v>537</v>
      </c>
      <c r="I184"/>
      <c r="J184"/>
      <c r="K184"/>
      <c r="L184"/>
      <c r="M184"/>
      <c r="N184"/>
      <c r="O184"/>
      <c r="P184"/>
      <c r="Q184"/>
      <c r="R184"/>
      <c r="S184" s="56">
        <f t="shared" si="6"/>
        <v>59</v>
      </c>
      <c r="T184" s="57" t="str">
        <f t="shared" si="7"/>
        <v>31-60 Days</v>
      </c>
      <c r="U184" s="58" t="str">
        <f t="shared" si="8"/>
        <v>Especially Mentioned</v>
      </c>
    </row>
    <row r="185" spans="1:21" ht="23.25" customHeight="1" x14ac:dyDescent="0.35">
      <c r="A185" t="s">
        <v>506</v>
      </c>
      <c r="B185" t="s">
        <v>506</v>
      </c>
      <c r="C185">
        <v>0</v>
      </c>
      <c r="D185">
        <v>1000000</v>
      </c>
      <c r="E185" t="s">
        <v>538</v>
      </c>
      <c r="F185" t="s">
        <v>57</v>
      </c>
      <c r="G185" t="s">
        <v>57</v>
      </c>
      <c r="H185" t="s">
        <v>539</v>
      </c>
      <c r="I185"/>
      <c r="J185"/>
      <c r="K185"/>
      <c r="L185"/>
      <c r="M185"/>
      <c r="N185"/>
      <c r="O185"/>
      <c r="P185"/>
      <c r="Q185"/>
      <c r="R185"/>
      <c r="S185" s="56">
        <f t="shared" si="6"/>
        <v>59</v>
      </c>
      <c r="T185" s="57" t="str">
        <f t="shared" si="7"/>
        <v>31-60 Days</v>
      </c>
      <c r="U185" s="58" t="str">
        <f t="shared" si="8"/>
        <v>Not Applicable</v>
      </c>
    </row>
    <row r="186" spans="1:21" ht="23.25" customHeight="1" x14ac:dyDescent="0.35">
      <c r="A186" t="s">
        <v>540</v>
      </c>
      <c r="B186" t="s">
        <v>540</v>
      </c>
      <c r="C186">
        <v>0</v>
      </c>
      <c r="D186">
        <v>978820.23</v>
      </c>
      <c r="E186" t="s">
        <v>541</v>
      </c>
      <c r="F186" t="s">
        <v>542</v>
      </c>
      <c r="G186" t="s">
        <v>57</v>
      </c>
      <c r="H186"/>
      <c r="I186"/>
      <c r="J186"/>
      <c r="K186"/>
      <c r="L186"/>
      <c r="M186"/>
      <c r="N186"/>
      <c r="O186"/>
      <c r="P186"/>
      <c r="Q186"/>
      <c r="R186"/>
      <c r="S186" s="56">
        <f t="shared" si="6"/>
        <v>58</v>
      </c>
      <c r="T186" s="57" t="str">
        <f t="shared" si="7"/>
        <v>31-60 Days</v>
      </c>
      <c r="U186" s="58" t="str">
        <f t="shared" si="8"/>
        <v>Not Applicable</v>
      </c>
    </row>
    <row r="187" spans="1:21" ht="23.25" customHeight="1" x14ac:dyDescent="0.35">
      <c r="A187" t="s">
        <v>540</v>
      </c>
      <c r="B187" t="s">
        <v>540</v>
      </c>
      <c r="C187">
        <v>24284</v>
      </c>
      <c r="D187">
        <v>0</v>
      </c>
      <c r="E187" t="s">
        <v>543</v>
      </c>
      <c r="F187" t="s">
        <v>57</v>
      </c>
      <c r="G187" t="s">
        <v>57</v>
      </c>
      <c r="H187" t="s">
        <v>544</v>
      </c>
      <c r="I187"/>
      <c r="J187"/>
      <c r="K187"/>
      <c r="L187"/>
      <c r="M187"/>
      <c r="N187"/>
      <c r="O187"/>
      <c r="P187"/>
      <c r="Q187"/>
      <c r="R187"/>
      <c r="S187" s="56">
        <f t="shared" si="6"/>
        <v>58</v>
      </c>
      <c r="T187" s="57" t="str">
        <f t="shared" si="7"/>
        <v>31-60 Days</v>
      </c>
      <c r="U187" s="58" t="str">
        <f t="shared" si="8"/>
        <v>Especially Mentioned</v>
      </c>
    </row>
    <row r="188" spans="1:21" ht="23.25" customHeight="1" x14ac:dyDescent="0.35">
      <c r="A188" t="s">
        <v>545</v>
      </c>
      <c r="B188" t="s">
        <v>545</v>
      </c>
      <c r="C188">
        <v>0</v>
      </c>
      <c r="D188">
        <v>88500</v>
      </c>
      <c r="E188" t="s">
        <v>546</v>
      </c>
      <c r="F188" t="s">
        <v>57</v>
      </c>
      <c r="G188" t="s">
        <v>57</v>
      </c>
      <c r="H188" t="s">
        <v>547</v>
      </c>
      <c r="I188"/>
      <c r="J188"/>
      <c r="K188"/>
      <c r="L188"/>
      <c r="M188"/>
      <c r="N188"/>
      <c r="O188"/>
      <c r="P188"/>
      <c r="Q188"/>
      <c r="R188"/>
      <c r="S188" s="56">
        <f t="shared" si="6"/>
        <v>56</v>
      </c>
      <c r="T188" s="57" t="str">
        <f t="shared" si="7"/>
        <v>31-60 Days</v>
      </c>
      <c r="U188" s="58" t="str">
        <f t="shared" si="8"/>
        <v>Not Applicable</v>
      </c>
    </row>
    <row r="189" spans="1:21" ht="23.25" customHeight="1" x14ac:dyDescent="0.35">
      <c r="A189" t="s">
        <v>545</v>
      </c>
      <c r="B189" t="s">
        <v>545</v>
      </c>
      <c r="C189">
        <v>14113.69</v>
      </c>
      <c r="D189">
        <v>0</v>
      </c>
      <c r="E189" t="s">
        <v>548</v>
      </c>
      <c r="F189" t="s">
        <v>57</v>
      </c>
      <c r="G189" t="s">
        <v>57</v>
      </c>
      <c r="H189" t="s">
        <v>549</v>
      </c>
      <c r="I189"/>
      <c r="J189"/>
      <c r="K189"/>
      <c r="L189"/>
      <c r="M189"/>
      <c r="N189"/>
      <c r="O189"/>
      <c r="P189"/>
      <c r="Q189"/>
      <c r="R189"/>
      <c r="S189" s="56">
        <f t="shared" si="6"/>
        <v>56</v>
      </c>
      <c r="T189" s="57" t="str">
        <f t="shared" si="7"/>
        <v>31-60 Days</v>
      </c>
      <c r="U189" s="58" t="str">
        <f t="shared" si="8"/>
        <v>Especially Mentioned</v>
      </c>
    </row>
    <row r="190" spans="1:21" ht="23.25" customHeight="1" x14ac:dyDescent="0.35">
      <c r="A190" t="s">
        <v>545</v>
      </c>
      <c r="B190" t="s">
        <v>545</v>
      </c>
      <c r="C190">
        <v>0</v>
      </c>
      <c r="D190">
        <v>1500000</v>
      </c>
      <c r="E190" t="s">
        <v>550</v>
      </c>
      <c r="F190" t="s">
        <v>57</v>
      </c>
      <c r="G190" t="s">
        <v>57</v>
      </c>
      <c r="H190" t="s">
        <v>551</v>
      </c>
      <c r="I190"/>
      <c r="J190"/>
      <c r="K190"/>
      <c r="L190"/>
      <c r="M190"/>
      <c r="N190"/>
      <c r="O190"/>
      <c r="P190"/>
      <c r="Q190"/>
      <c r="R190"/>
      <c r="S190" s="56">
        <f t="shared" si="6"/>
        <v>56</v>
      </c>
      <c r="T190" s="57" t="str">
        <f t="shared" si="7"/>
        <v>31-60 Days</v>
      </c>
      <c r="U190" s="58" t="str">
        <f t="shared" si="8"/>
        <v>Not Applicable</v>
      </c>
    </row>
    <row r="191" spans="1:21" ht="23.25" customHeight="1" x14ac:dyDescent="0.35">
      <c r="A191" t="s">
        <v>545</v>
      </c>
      <c r="B191" t="s">
        <v>545</v>
      </c>
      <c r="C191">
        <v>0</v>
      </c>
      <c r="D191">
        <v>300</v>
      </c>
      <c r="E191" t="s">
        <v>552</v>
      </c>
      <c r="F191" t="s">
        <v>553</v>
      </c>
      <c r="G191" t="s">
        <v>57</v>
      </c>
      <c r="H191" t="s">
        <v>554</v>
      </c>
      <c r="I191"/>
      <c r="J191"/>
      <c r="K191"/>
      <c r="L191"/>
      <c r="M191"/>
      <c r="N191"/>
      <c r="O191"/>
      <c r="P191"/>
      <c r="Q191"/>
      <c r="R191"/>
      <c r="S191" s="56">
        <f t="shared" si="6"/>
        <v>56</v>
      </c>
      <c r="T191" s="57" t="str">
        <f t="shared" si="7"/>
        <v>31-60 Days</v>
      </c>
      <c r="U191" s="58" t="str">
        <f t="shared" si="8"/>
        <v>Not Applicable</v>
      </c>
    </row>
    <row r="192" spans="1:21" ht="23.25" customHeight="1" x14ac:dyDescent="0.35">
      <c r="A192" t="s">
        <v>545</v>
      </c>
      <c r="B192" t="s">
        <v>545</v>
      </c>
      <c r="C192">
        <v>0</v>
      </c>
      <c r="D192">
        <v>24300</v>
      </c>
      <c r="E192" t="s">
        <v>555</v>
      </c>
      <c r="F192" t="s">
        <v>57</v>
      </c>
      <c r="G192" t="s">
        <v>57</v>
      </c>
      <c r="H192" t="s">
        <v>556</v>
      </c>
      <c r="I192"/>
      <c r="J192"/>
      <c r="K192"/>
      <c r="L192"/>
      <c r="M192"/>
      <c r="N192"/>
      <c r="O192"/>
      <c r="P192"/>
      <c r="Q192"/>
      <c r="R192"/>
      <c r="S192" s="56">
        <f t="shared" si="6"/>
        <v>56</v>
      </c>
      <c r="T192" s="57" t="str">
        <f t="shared" si="7"/>
        <v>31-60 Days</v>
      </c>
      <c r="U192" s="58" t="str">
        <f t="shared" si="8"/>
        <v>Not Applicable</v>
      </c>
    </row>
    <row r="193" spans="1:21" ht="23.25" customHeight="1" x14ac:dyDescent="0.35">
      <c r="A193" t="s">
        <v>545</v>
      </c>
      <c r="B193" t="s">
        <v>545</v>
      </c>
      <c r="C193">
        <v>0</v>
      </c>
      <c r="D193">
        <v>1389176.16</v>
      </c>
      <c r="E193" t="s">
        <v>557</v>
      </c>
      <c r="F193" t="s">
        <v>558</v>
      </c>
      <c r="G193" t="s">
        <v>57</v>
      </c>
      <c r="H193"/>
      <c r="I193"/>
      <c r="J193"/>
      <c r="K193"/>
      <c r="L193"/>
      <c r="M193"/>
      <c r="N193"/>
      <c r="O193"/>
      <c r="P193"/>
      <c r="Q193"/>
      <c r="R193"/>
      <c r="S193" s="56">
        <f t="shared" si="6"/>
        <v>56</v>
      </c>
      <c r="T193" s="57" t="str">
        <f t="shared" si="7"/>
        <v>31-60 Days</v>
      </c>
      <c r="U193" s="58" t="str">
        <f t="shared" si="8"/>
        <v>Not Applicable</v>
      </c>
    </row>
    <row r="194" spans="1:21" ht="23.25" customHeight="1" x14ac:dyDescent="0.35">
      <c r="A194" t="s">
        <v>545</v>
      </c>
      <c r="B194" t="s">
        <v>545</v>
      </c>
      <c r="C194">
        <v>0</v>
      </c>
      <c r="D194">
        <v>1500000</v>
      </c>
      <c r="E194" t="s">
        <v>559</v>
      </c>
      <c r="F194" t="s">
        <v>57</v>
      </c>
      <c r="G194" t="s">
        <v>57</v>
      </c>
      <c r="H194" t="s">
        <v>560</v>
      </c>
      <c r="I194"/>
      <c r="J194"/>
      <c r="K194"/>
      <c r="L194"/>
      <c r="M194"/>
      <c r="N194"/>
      <c r="O194"/>
      <c r="P194"/>
      <c r="Q194"/>
      <c r="R194"/>
      <c r="S194" s="56">
        <f t="shared" si="6"/>
        <v>56</v>
      </c>
      <c r="T194" s="57" t="str">
        <f t="shared" si="7"/>
        <v>31-60 Days</v>
      </c>
      <c r="U194" s="58" t="str">
        <f t="shared" si="8"/>
        <v>Not Applicable</v>
      </c>
    </row>
    <row r="195" spans="1:21" ht="23.25" customHeight="1" x14ac:dyDescent="0.35">
      <c r="A195" t="s">
        <v>561</v>
      </c>
      <c r="B195" t="s">
        <v>561</v>
      </c>
      <c r="C195">
        <v>300000</v>
      </c>
      <c r="D195">
        <v>0</v>
      </c>
      <c r="E195" t="s">
        <v>562</v>
      </c>
      <c r="F195" t="s">
        <v>57</v>
      </c>
      <c r="G195" t="s">
        <v>57</v>
      </c>
      <c r="H195" t="s">
        <v>563</v>
      </c>
      <c r="I195"/>
      <c r="J195"/>
      <c r="K195"/>
      <c r="L195"/>
      <c r="M195"/>
      <c r="N195"/>
      <c r="O195"/>
      <c r="P195"/>
      <c r="Q195"/>
      <c r="R195"/>
      <c r="S195" s="56">
        <f t="shared" si="6"/>
        <v>55</v>
      </c>
      <c r="T195" s="57" t="str">
        <f t="shared" si="7"/>
        <v>31-60 Days</v>
      </c>
      <c r="U195" s="58" t="str">
        <f t="shared" si="8"/>
        <v>Especially Mentioned</v>
      </c>
    </row>
    <row r="196" spans="1:21" ht="23.25" customHeight="1" x14ac:dyDescent="0.35">
      <c r="A196" t="s">
        <v>561</v>
      </c>
      <c r="B196" t="s">
        <v>561</v>
      </c>
      <c r="C196">
        <v>657</v>
      </c>
      <c r="D196">
        <v>0</v>
      </c>
      <c r="E196" t="s">
        <v>564</v>
      </c>
      <c r="F196" t="s">
        <v>57</v>
      </c>
      <c r="G196" t="s">
        <v>57</v>
      </c>
      <c r="H196" t="s">
        <v>565</v>
      </c>
      <c r="I196"/>
      <c r="J196"/>
      <c r="K196"/>
      <c r="L196"/>
      <c r="M196"/>
      <c r="N196"/>
      <c r="O196"/>
      <c r="P196"/>
      <c r="Q196"/>
      <c r="R196"/>
      <c r="S196" s="56">
        <f t="shared" si="6"/>
        <v>55</v>
      </c>
      <c r="T196" s="57" t="str">
        <f t="shared" si="7"/>
        <v>31-60 Days</v>
      </c>
      <c r="U196" s="58" t="str">
        <f t="shared" si="8"/>
        <v>Especially Mentioned</v>
      </c>
    </row>
    <row r="197" spans="1:21" ht="23.25" customHeight="1" x14ac:dyDescent="0.35">
      <c r="A197" t="s">
        <v>561</v>
      </c>
      <c r="B197" t="s">
        <v>561</v>
      </c>
      <c r="C197">
        <v>163</v>
      </c>
      <c r="D197">
        <v>0</v>
      </c>
      <c r="E197" t="s">
        <v>566</v>
      </c>
      <c r="F197" t="s">
        <v>567</v>
      </c>
      <c r="G197" t="s">
        <v>57</v>
      </c>
      <c r="H197" t="s">
        <v>568</v>
      </c>
      <c r="I197"/>
      <c r="J197"/>
      <c r="K197"/>
      <c r="L197"/>
      <c r="M197"/>
      <c r="N197"/>
      <c r="O197"/>
      <c r="P197"/>
      <c r="Q197"/>
      <c r="R197"/>
      <c r="S197" s="56">
        <f t="shared" si="6"/>
        <v>55</v>
      </c>
      <c r="T197" s="57" t="str">
        <f t="shared" si="7"/>
        <v>31-60 Days</v>
      </c>
      <c r="U197" s="58" t="str">
        <f t="shared" si="8"/>
        <v>Especially Mentioned</v>
      </c>
    </row>
    <row r="198" spans="1:21" ht="23.25" customHeight="1" x14ac:dyDescent="0.35">
      <c r="A198" t="s">
        <v>561</v>
      </c>
      <c r="B198" t="s">
        <v>561</v>
      </c>
      <c r="C198">
        <v>0</v>
      </c>
      <c r="D198">
        <v>768771.09</v>
      </c>
      <c r="E198" t="s">
        <v>569</v>
      </c>
      <c r="F198" t="s">
        <v>570</v>
      </c>
      <c r="G198" t="s">
        <v>57</v>
      </c>
      <c r="H198"/>
      <c r="I198"/>
      <c r="J198"/>
      <c r="K198"/>
      <c r="L198"/>
      <c r="M198"/>
      <c r="N198"/>
      <c r="O198"/>
      <c r="P198"/>
      <c r="Q198"/>
      <c r="R198"/>
      <c r="S198" s="56">
        <f t="shared" si="6"/>
        <v>55</v>
      </c>
      <c r="T198" s="57" t="str">
        <f t="shared" si="7"/>
        <v>31-60 Days</v>
      </c>
      <c r="U198" s="58" t="str">
        <f t="shared" si="8"/>
        <v>Not Applicable</v>
      </c>
    </row>
    <row r="199" spans="1:21" ht="23.25" customHeight="1" x14ac:dyDescent="0.35">
      <c r="A199" t="s">
        <v>571</v>
      </c>
      <c r="B199" t="s">
        <v>571</v>
      </c>
      <c r="C199">
        <v>0</v>
      </c>
      <c r="D199">
        <v>200000</v>
      </c>
      <c r="E199" t="s">
        <v>572</v>
      </c>
      <c r="F199" t="s">
        <v>57</v>
      </c>
      <c r="G199" t="s">
        <v>57</v>
      </c>
      <c r="H199" t="s">
        <v>573</v>
      </c>
      <c r="I199"/>
      <c r="J199"/>
      <c r="K199"/>
      <c r="L199"/>
      <c r="M199"/>
      <c r="N199"/>
      <c r="O199"/>
      <c r="P199"/>
      <c r="Q199"/>
      <c r="R199"/>
      <c r="S199" s="56">
        <f t="shared" si="6"/>
        <v>54</v>
      </c>
      <c r="T199" s="57" t="str">
        <f t="shared" si="7"/>
        <v>31-60 Days</v>
      </c>
      <c r="U199" s="58" t="str">
        <f t="shared" si="8"/>
        <v>Not Applicable</v>
      </c>
    </row>
    <row r="200" spans="1:21" ht="23.25" customHeight="1" x14ac:dyDescent="0.35">
      <c r="A200" t="s">
        <v>571</v>
      </c>
      <c r="B200" t="s">
        <v>571</v>
      </c>
      <c r="C200">
        <v>0</v>
      </c>
      <c r="D200">
        <v>140</v>
      </c>
      <c r="E200" t="s">
        <v>574</v>
      </c>
      <c r="F200" t="s">
        <v>575</v>
      </c>
      <c r="G200" t="s">
        <v>57</v>
      </c>
      <c r="H200" t="s">
        <v>576</v>
      </c>
      <c r="I200"/>
      <c r="J200"/>
      <c r="K200"/>
      <c r="L200"/>
      <c r="M200"/>
      <c r="N200"/>
      <c r="O200"/>
      <c r="P200"/>
      <c r="Q200"/>
      <c r="R200"/>
      <c r="S200" s="56">
        <f t="shared" si="6"/>
        <v>54</v>
      </c>
      <c r="T200" s="57" t="str">
        <f t="shared" si="7"/>
        <v>31-60 Days</v>
      </c>
      <c r="U200" s="58" t="str">
        <f t="shared" si="8"/>
        <v>Not Applicable</v>
      </c>
    </row>
    <row r="201" spans="1:21" ht="23.25" customHeight="1" x14ac:dyDescent="0.35">
      <c r="A201" t="s">
        <v>571</v>
      </c>
      <c r="B201" t="s">
        <v>571</v>
      </c>
      <c r="C201">
        <v>2000</v>
      </c>
      <c r="D201">
        <v>0</v>
      </c>
      <c r="E201" t="s">
        <v>577</v>
      </c>
      <c r="F201" t="s">
        <v>578</v>
      </c>
      <c r="G201" t="s">
        <v>57</v>
      </c>
      <c r="H201" t="s">
        <v>579</v>
      </c>
      <c r="I201"/>
      <c r="J201"/>
      <c r="K201"/>
      <c r="L201"/>
      <c r="M201"/>
      <c r="N201"/>
      <c r="O201"/>
      <c r="P201"/>
      <c r="Q201"/>
      <c r="R201"/>
      <c r="S201" s="56">
        <f t="shared" ref="S201:S264" si="9">IF(A201="","",A$5-A201)</f>
        <v>54</v>
      </c>
      <c r="T201" s="57" t="str">
        <f t="shared" ref="T201:T264" si="10">IF(S201="","",IF(S201&lt;4,"0-3 Days",IF(S201&lt;31,"4-30 Days",IF(S201&lt;61,"31-60 Days",IF(S201&lt;=90,"61-90 Days",IF(S201&gt;90,"Above 90 Days","0"))))))</f>
        <v>31-60 Days</v>
      </c>
      <c r="U201" s="58" t="str">
        <f t="shared" ref="U201:U264" si="11">IF(C201="","",IF(C201&gt;0,IF(S201&lt;30,"Normal",IF(S201&lt;60,"Especially Mentioned",IF(S201&lt;90,"Substandard",IF(S201&lt;=180,"Doubtful",IF(S201&gt;180,"Loss","0"))))),"Not Applicable"))</f>
        <v>Especially Mentioned</v>
      </c>
    </row>
    <row r="202" spans="1:21" ht="23.25" customHeight="1" x14ac:dyDescent="0.35">
      <c r="A202" t="s">
        <v>571</v>
      </c>
      <c r="B202" t="s">
        <v>571</v>
      </c>
      <c r="C202">
        <v>0</v>
      </c>
      <c r="D202">
        <v>1000000</v>
      </c>
      <c r="E202" t="s">
        <v>580</v>
      </c>
      <c r="F202" t="s">
        <v>57</v>
      </c>
      <c r="G202" t="s">
        <v>57</v>
      </c>
      <c r="H202" t="s">
        <v>581</v>
      </c>
      <c r="I202"/>
      <c r="J202"/>
      <c r="K202"/>
      <c r="L202"/>
      <c r="M202"/>
      <c r="N202"/>
      <c r="O202"/>
      <c r="P202"/>
      <c r="Q202"/>
      <c r="R202"/>
      <c r="S202" s="56">
        <f t="shared" si="9"/>
        <v>54</v>
      </c>
      <c r="T202" s="57" t="str">
        <f t="shared" si="10"/>
        <v>31-60 Days</v>
      </c>
      <c r="U202" s="58" t="str">
        <f t="shared" si="11"/>
        <v>Not Applicable</v>
      </c>
    </row>
    <row r="203" spans="1:21" ht="23.25" customHeight="1" x14ac:dyDescent="0.35">
      <c r="A203" t="s">
        <v>571</v>
      </c>
      <c r="B203" t="s">
        <v>571</v>
      </c>
      <c r="C203">
        <v>6000</v>
      </c>
      <c r="D203">
        <v>0</v>
      </c>
      <c r="E203" t="s">
        <v>582</v>
      </c>
      <c r="F203" t="s">
        <v>583</v>
      </c>
      <c r="G203" t="s">
        <v>57</v>
      </c>
      <c r="H203" t="s">
        <v>584</v>
      </c>
      <c r="I203"/>
      <c r="J203"/>
      <c r="K203"/>
      <c r="L203"/>
      <c r="M203"/>
      <c r="N203"/>
      <c r="O203"/>
      <c r="P203"/>
      <c r="Q203"/>
      <c r="R203"/>
      <c r="S203" s="56">
        <f t="shared" si="9"/>
        <v>54</v>
      </c>
      <c r="T203" s="57" t="str">
        <f t="shared" si="10"/>
        <v>31-60 Days</v>
      </c>
      <c r="U203" s="58" t="str">
        <f t="shared" si="11"/>
        <v>Especially Mentioned</v>
      </c>
    </row>
    <row r="204" spans="1:21" ht="23.25" customHeight="1" x14ac:dyDescent="0.35">
      <c r="A204" t="s">
        <v>571</v>
      </c>
      <c r="B204" t="s">
        <v>571</v>
      </c>
      <c r="C204">
        <v>0</v>
      </c>
      <c r="D204">
        <v>1476614.78</v>
      </c>
      <c r="E204" t="s">
        <v>585</v>
      </c>
      <c r="F204" t="s">
        <v>586</v>
      </c>
      <c r="G204" t="s">
        <v>57</v>
      </c>
      <c r="H204"/>
      <c r="I204"/>
      <c r="J204"/>
      <c r="K204"/>
      <c r="L204"/>
      <c r="M204"/>
      <c r="N204"/>
      <c r="O204"/>
      <c r="P204"/>
      <c r="Q204"/>
      <c r="R204"/>
      <c r="S204" s="56">
        <f t="shared" si="9"/>
        <v>54</v>
      </c>
      <c r="T204" s="57" t="str">
        <f t="shared" si="10"/>
        <v>31-60 Days</v>
      </c>
      <c r="U204" s="58" t="str">
        <f t="shared" si="11"/>
        <v>Not Applicable</v>
      </c>
    </row>
    <row r="205" spans="1:21" ht="23.25" customHeight="1" x14ac:dyDescent="0.35">
      <c r="A205" t="s">
        <v>587</v>
      </c>
      <c r="B205" t="s">
        <v>587</v>
      </c>
      <c r="C205">
        <v>24175</v>
      </c>
      <c r="D205">
        <v>0</v>
      </c>
      <c r="E205" t="s">
        <v>588</v>
      </c>
      <c r="F205" t="s">
        <v>57</v>
      </c>
      <c r="G205" t="s">
        <v>57</v>
      </c>
      <c r="H205" t="s">
        <v>589</v>
      </c>
      <c r="I205"/>
      <c r="J205"/>
      <c r="K205"/>
      <c r="L205"/>
      <c r="M205"/>
      <c r="N205"/>
      <c r="O205"/>
      <c r="P205"/>
      <c r="Q205"/>
      <c r="R205"/>
      <c r="S205" s="56">
        <f t="shared" si="9"/>
        <v>53</v>
      </c>
      <c r="T205" s="57" t="str">
        <f t="shared" si="10"/>
        <v>31-60 Days</v>
      </c>
      <c r="U205" s="58" t="str">
        <f t="shared" si="11"/>
        <v>Especially Mentioned</v>
      </c>
    </row>
    <row r="206" spans="1:21" ht="23.25" customHeight="1" x14ac:dyDescent="0.35">
      <c r="A206" t="s">
        <v>587</v>
      </c>
      <c r="B206" t="s">
        <v>587</v>
      </c>
      <c r="C206">
        <v>0</v>
      </c>
      <c r="D206">
        <v>9000000</v>
      </c>
      <c r="E206" t="s">
        <v>590</v>
      </c>
      <c r="F206" t="s">
        <v>57</v>
      </c>
      <c r="G206" t="s">
        <v>57</v>
      </c>
      <c r="H206" t="s">
        <v>591</v>
      </c>
      <c r="I206"/>
      <c r="J206"/>
      <c r="K206"/>
      <c r="L206"/>
      <c r="M206"/>
      <c r="N206"/>
      <c r="O206"/>
      <c r="P206"/>
      <c r="Q206"/>
      <c r="R206"/>
      <c r="S206" s="56">
        <f t="shared" si="9"/>
        <v>53</v>
      </c>
      <c r="T206" s="57" t="str">
        <f t="shared" si="10"/>
        <v>31-60 Days</v>
      </c>
      <c r="U206" s="58" t="str">
        <f t="shared" si="11"/>
        <v>Not Applicable</v>
      </c>
    </row>
    <row r="207" spans="1:21" ht="23.25" customHeight="1" x14ac:dyDescent="0.35">
      <c r="A207" t="s">
        <v>587</v>
      </c>
      <c r="B207" t="s">
        <v>587</v>
      </c>
      <c r="C207">
        <v>0</v>
      </c>
      <c r="D207">
        <v>3000000</v>
      </c>
      <c r="E207" t="s">
        <v>592</v>
      </c>
      <c r="F207" t="s">
        <v>57</v>
      </c>
      <c r="G207" t="s">
        <v>57</v>
      </c>
      <c r="H207" t="s">
        <v>593</v>
      </c>
      <c r="I207"/>
      <c r="J207"/>
      <c r="K207"/>
      <c r="L207"/>
      <c r="M207"/>
      <c r="N207"/>
      <c r="O207"/>
      <c r="P207"/>
      <c r="Q207"/>
      <c r="R207"/>
      <c r="S207" s="56">
        <f t="shared" si="9"/>
        <v>53</v>
      </c>
      <c r="T207" s="57" t="str">
        <f t="shared" si="10"/>
        <v>31-60 Days</v>
      </c>
      <c r="U207" s="58" t="str">
        <f t="shared" si="11"/>
        <v>Not Applicable</v>
      </c>
    </row>
    <row r="208" spans="1:21" ht="23.25" customHeight="1" x14ac:dyDescent="0.35">
      <c r="A208" t="s">
        <v>587</v>
      </c>
      <c r="B208" t="s">
        <v>587</v>
      </c>
      <c r="C208">
        <v>627.30999999999995</v>
      </c>
      <c r="D208">
        <v>0</v>
      </c>
      <c r="E208" t="s">
        <v>594</v>
      </c>
      <c r="F208" t="s">
        <v>57</v>
      </c>
      <c r="G208" t="s">
        <v>57</v>
      </c>
      <c r="H208" t="s">
        <v>595</v>
      </c>
      <c r="I208"/>
      <c r="J208"/>
      <c r="K208"/>
      <c r="L208"/>
      <c r="M208"/>
      <c r="N208"/>
      <c r="O208"/>
      <c r="P208"/>
      <c r="Q208"/>
      <c r="R208"/>
      <c r="S208" s="56">
        <f t="shared" si="9"/>
        <v>53</v>
      </c>
      <c r="T208" s="57" t="str">
        <f t="shared" si="10"/>
        <v>31-60 Days</v>
      </c>
      <c r="U208" s="58" t="str">
        <f t="shared" si="11"/>
        <v>Especially Mentioned</v>
      </c>
    </row>
    <row r="209" spans="1:21" ht="23.25" customHeight="1" x14ac:dyDescent="0.35">
      <c r="A209" t="s">
        <v>587</v>
      </c>
      <c r="B209" t="s">
        <v>587</v>
      </c>
      <c r="C209">
        <v>0</v>
      </c>
      <c r="D209">
        <v>157769.32</v>
      </c>
      <c r="E209" t="s">
        <v>596</v>
      </c>
      <c r="F209" t="s">
        <v>57</v>
      </c>
      <c r="G209" t="s">
        <v>57</v>
      </c>
      <c r="H209" t="s">
        <v>597</v>
      </c>
      <c r="I209"/>
      <c r="J209"/>
      <c r="K209"/>
      <c r="L209"/>
      <c r="M209"/>
      <c r="N209"/>
      <c r="O209"/>
      <c r="P209"/>
      <c r="Q209"/>
      <c r="R209"/>
      <c r="S209" s="56">
        <f t="shared" si="9"/>
        <v>53</v>
      </c>
      <c r="T209" s="57" t="str">
        <f t="shared" si="10"/>
        <v>31-60 Days</v>
      </c>
      <c r="U209" s="58" t="str">
        <f t="shared" si="11"/>
        <v>Not Applicable</v>
      </c>
    </row>
    <row r="210" spans="1:21" ht="23.25" customHeight="1" x14ac:dyDescent="0.35">
      <c r="A210" t="s">
        <v>587</v>
      </c>
      <c r="B210" t="s">
        <v>587</v>
      </c>
      <c r="C210">
        <v>3000000</v>
      </c>
      <c r="D210">
        <v>0</v>
      </c>
      <c r="E210" t="s">
        <v>598</v>
      </c>
      <c r="F210" t="s">
        <v>57</v>
      </c>
      <c r="G210" t="s">
        <v>57</v>
      </c>
      <c r="H210" t="s">
        <v>599</v>
      </c>
      <c r="I210"/>
      <c r="J210"/>
      <c r="K210"/>
      <c r="L210"/>
      <c r="M210"/>
      <c r="N210"/>
      <c r="O210"/>
      <c r="P210"/>
      <c r="Q210"/>
      <c r="R210"/>
      <c r="S210" s="56">
        <f t="shared" si="9"/>
        <v>53</v>
      </c>
      <c r="T210" s="57" t="str">
        <f t="shared" si="10"/>
        <v>31-60 Days</v>
      </c>
      <c r="U210" s="58" t="str">
        <f t="shared" si="11"/>
        <v>Especially Mentioned</v>
      </c>
    </row>
    <row r="211" spans="1:21" ht="23.25" customHeight="1" x14ac:dyDescent="0.35">
      <c r="A211" t="s">
        <v>587</v>
      </c>
      <c r="B211" t="s">
        <v>587</v>
      </c>
      <c r="C211">
        <v>0</v>
      </c>
      <c r="D211">
        <v>1000000</v>
      </c>
      <c r="E211" t="s">
        <v>600</v>
      </c>
      <c r="F211" t="s">
        <v>57</v>
      </c>
      <c r="G211" t="s">
        <v>57</v>
      </c>
      <c r="H211" t="s">
        <v>601</v>
      </c>
      <c r="I211"/>
      <c r="J211"/>
      <c r="K211"/>
      <c r="L211"/>
      <c r="M211"/>
      <c r="N211"/>
      <c r="O211"/>
      <c r="P211"/>
      <c r="Q211"/>
      <c r="R211"/>
      <c r="S211" s="56">
        <f t="shared" si="9"/>
        <v>53</v>
      </c>
      <c r="T211" s="57" t="str">
        <f t="shared" si="10"/>
        <v>31-60 Days</v>
      </c>
      <c r="U211" s="58" t="str">
        <f t="shared" si="11"/>
        <v>Not Applicable</v>
      </c>
    </row>
    <row r="212" spans="1:21" ht="23.25" customHeight="1" x14ac:dyDescent="0.35">
      <c r="A212" t="s">
        <v>587</v>
      </c>
      <c r="B212" t="s">
        <v>587</v>
      </c>
      <c r="C212">
        <v>840</v>
      </c>
      <c r="D212">
        <v>0</v>
      </c>
      <c r="E212" t="s">
        <v>602</v>
      </c>
      <c r="F212" t="s">
        <v>603</v>
      </c>
      <c r="G212" t="s">
        <v>57</v>
      </c>
      <c r="H212" t="s">
        <v>604</v>
      </c>
      <c r="I212"/>
      <c r="J212"/>
      <c r="K212"/>
      <c r="L212"/>
      <c r="M212"/>
      <c r="N212"/>
      <c r="O212"/>
      <c r="P212"/>
      <c r="Q212"/>
      <c r="R212"/>
      <c r="S212" s="56">
        <f t="shared" si="9"/>
        <v>53</v>
      </c>
      <c r="T212" s="57" t="str">
        <f t="shared" si="10"/>
        <v>31-60 Days</v>
      </c>
      <c r="U212" s="58" t="str">
        <f t="shared" si="11"/>
        <v>Especially Mentioned</v>
      </c>
    </row>
    <row r="213" spans="1:21" ht="23.25" customHeight="1" x14ac:dyDescent="0.35">
      <c r="A213" t="s">
        <v>587</v>
      </c>
      <c r="B213" t="s">
        <v>587</v>
      </c>
      <c r="C213">
        <v>0</v>
      </c>
      <c r="D213">
        <v>100000</v>
      </c>
      <c r="E213" t="s">
        <v>605</v>
      </c>
      <c r="F213" t="s">
        <v>57</v>
      </c>
      <c r="G213" t="s">
        <v>57</v>
      </c>
      <c r="H213" t="s">
        <v>606</v>
      </c>
      <c r="I213"/>
      <c r="J213"/>
      <c r="K213"/>
      <c r="L213"/>
      <c r="M213"/>
      <c r="N213"/>
      <c r="O213"/>
      <c r="P213"/>
      <c r="Q213"/>
      <c r="R213"/>
      <c r="S213" s="56">
        <f t="shared" si="9"/>
        <v>53</v>
      </c>
      <c r="T213" s="57" t="str">
        <f t="shared" si="10"/>
        <v>31-60 Days</v>
      </c>
      <c r="U213" s="58" t="str">
        <f t="shared" si="11"/>
        <v>Not Applicable</v>
      </c>
    </row>
    <row r="214" spans="1:21" ht="23.25" customHeight="1" x14ac:dyDescent="0.35">
      <c r="A214" t="s">
        <v>587</v>
      </c>
      <c r="B214" t="s">
        <v>587</v>
      </c>
      <c r="C214">
        <v>29787</v>
      </c>
      <c r="D214">
        <v>0</v>
      </c>
      <c r="E214" t="s">
        <v>607</v>
      </c>
      <c r="F214" t="s">
        <v>57</v>
      </c>
      <c r="G214" t="s">
        <v>57</v>
      </c>
      <c r="H214" t="s">
        <v>608</v>
      </c>
      <c r="I214"/>
      <c r="J214"/>
      <c r="K214"/>
      <c r="L214"/>
      <c r="M214"/>
      <c r="N214"/>
      <c r="O214"/>
      <c r="P214"/>
      <c r="Q214"/>
      <c r="R214"/>
      <c r="S214" s="56">
        <f t="shared" si="9"/>
        <v>53</v>
      </c>
      <c r="T214" s="57" t="str">
        <f t="shared" si="10"/>
        <v>31-60 Days</v>
      </c>
      <c r="U214" s="58" t="str">
        <f t="shared" si="11"/>
        <v>Especially Mentioned</v>
      </c>
    </row>
    <row r="215" spans="1:21" ht="23.25" customHeight="1" x14ac:dyDescent="0.35">
      <c r="A215" t="s">
        <v>609</v>
      </c>
      <c r="B215" t="s">
        <v>609</v>
      </c>
      <c r="C215">
        <v>839.9</v>
      </c>
      <c r="D215">
        <v>0</v>
      </c>
      <c r="E215" t="s">
        <v>610</v>
      </c>
      <c r="F215" t="s">
        <v>611</v>
      </c>
      <c r="G215" t="s">
        <v>57</v>
      </c>
      <c r="H215" t="s">
        <v>612</v>
      </c>
      <c r="I215"/>
      <c r="J215"/>
      <c r="K215"/>
      <c r="L215"/>
      <c r="M215"/>
      <c r="N215"/>
      <c r="O215"/>
      <c r="P215"/>
      <c r="Q215"/>
      <c r="R215"/>
      <c r="S215" s="56">
        <f t="shared" si="9"/>
        <v>52</v>
      </c>
      <c r="T215" s="57" t="str">
        <f t="shared" si="10"/>
        <v>31-60 Days</v>
      </c>
      <c r="U215" s="58" t="str">
        <f t="shared" si="11"/>
        <v>Especially Mentioned</v>
      </c>
    </row>
    <row r="216" spans="1:21" ht="23.25" customHeight="1" x14ac:dyDescent="0.35">
      <c r="A216" t="s">
        <v>609</v>
      </c>
      <c r="B216" t="s">
        <v>609</v>
      </c>
      <c r="C216">
        <v>0</v>
      </c>
      <c r="D216">
        <v>975</v>
      </c>
      <c r="E216" t="s">
        <v>613</v>
      </c>
      <c r="F216" t="s">
        <v>614</v>
      </c>
      <c r="G216" t="s">
        <v>57</v>
      </c>
      <c r="H216" t="s">
        <v>615</v>
      </c>
      <c r="I216"/>
      <c r="J216"/>
      <c r="K216"/>
      <c r="L216"/>
      <c r="M216"/>
      <c r="N216"/>
      <c r="O216"/>
      <c r="P216"/>
      <c r="Q216"/>
      <c r="R216"/>
      <c r="S216" s="56">
        <f t="shared" si="9"/>
        <v>52</v>
      </c>
      <c r="T216" s="57" t="str">
        <f t="shared" si="10"/>
        <v>31-60 Days</v>
      </c>
      <c r="U216" s="58" t="str">
        <f t="shared" si="11"/>
        <v>Not Applicable</v>
      </c>
    </row>
    <row r="217" spans="1:21" ht="23.25" customHeight="1" x14ac:dyDescent="0.35">
      <c r="A217" t="s">
        <v>609</v>
      </c>
      <c r="B217" t="s">
        <v>609</v>
      </c>
      <c r="C217">
        <v>0</v>
      </c>
      <c r="D217">
        <v>50000</v>
      </c>
      <c r="E217" t="s">
        <v>616</v>
      </c>
      <c r="F217" t="s">
        <v>57</v>
      </c>
      <c r="G217" t="s">
        <v>57</v>
      </c>
      <c r="H217" t="s">
        <v>617</v>
      </c>
      <c r="I217"/>
      <c r="J217"/>
      <c r="K217"/>
      <c r="L217"/>
      <c r="M217"/>
      <c r="N217"/>
      <c r="O217"/>
      <c r="P217"/>
      <c r="Q217"/>
      <c r="R217"/>
      <c r="S217" s="56">
        <f t="shared" si="9"/>
        <v>52</v>
      </c>
      <c r="T217" s="57" t="str">
        <f t="shared" si="10"/>
        <v>31-60 Days</v>
      </c>
      <c r="U217" s="58" t="str">
        <f t="shared" si="11"/>
        <v>Not Applicable</v>
      </c>
    </row>
    <row r="218" spans="1:21" ht="23.25" customHeight="1" x14ac:dyDescent="0.35">
      <c r="A218" t="s">
        <v>609</v>
      </c>
      <c r="B218" t="s">
        <v>609</v>
      </c>
      <c r="C218">
        <v>0</v>
      </c>
      <c r="D218">
        <v>500000</v>
      </c>
      <c r="E218" t="s">
        <v>618</v>
      </c>
      <c r="F218" t="s">
        <v>57</v>
      </c>
      <c r="G218" t="s">
        <v>57</v>
      </c>
      <c r="H218" t="s">
        <v>619</v>
      </c>
      <c r="I218"/>
      <c r="J218"/>
      <c r="K218"/>
      <c r="L218"/>
      <c r="M218"/>
      <c r="N218"/>
      <c r="O218"/>
      <c r="P218"/>
      <c r="Q218"/>
      <c r="R218"/>
      <c r="S218" s="56">
        <f t="shared" si="9"/>
        <v>52</v>
      </c>
      <c r="T218" s="57" t="str">
        <f t="shared" si="10"/>
        <v>31-60 Days</v>
      </c>
      <c r="U218" s="58" t="str">
        <f t="shared" si="11"/>
        <v>Not Applicable</v>
      </c>
    </row>
    <row r="219" spans="1:21" ht="23.25" customHeight="1" x14ac:dyDescent="0.35">
      <c r="A219" t="s">
        <v>609</v>
      </c>
      <c r="B219" t="s">
        <v>609</v>
      </c>
      <c r="C219">
        <v>10968.08</v>
      </c>
      <c r="D219">
        <v>0</v>
      </c>
      <c r="E219" t="s">
        <v>620</v>
      </c>
      <c r="F219" t="s">
        <v>57</v>
      </c>
      <c r="G219" t="s">
        <v>57</v>
      </c>
      <c r="H219" t="s">
        <v>621</v>
      </c>
      <c r="I219"/>
      <c r="J219"/>
      <c r="K219"/>
      <c r="L219"/>
      <c r="M219"/>
      <c r="N219"/>
      <c r="O219"/>
      <c r="P219"/>
      <c r="Q219"/>
      <c r="R219"/>
      <c r="S219" s="56">
        <f t="shared" si="9"/>
        <v>52</v>
      </c>
      <c r="T219" s="57" t="str">
        <f t="shared" si="10"/>
        <v>31-60 Days</v>
      </c>
      <c r="U219" s="58" t="str">
        <f t="shared" si="11"/>
        <v>Especially Mentioned</v>
      </c>
    </row>
    <row r="220" spans="1:21" ht="23.25" customHeight="1" x14ac:dyDescent="0.35">
      <c r="A220" t="s">
        <v>609</v>
      </c>
      <c r="B220" t="s">
        <v>609</v>
      </c>
      <c r="C220">
        <v>0</v>
      </c>
      <c r="D220">
        <v>707843.69</v>
      </c>
      <c r="E220" t="s">
        <v>622</v>
      </c>
      <c r="F220" t="s">
        <v>623</v>
      </c>
      <c r="G220" t="s">
        <v>57</v>
      </c>
      <c r="H220"/>
      <c r="I220"/>
      <c r="J220"/>
      <c r="K220"/>
      <c r="L220"/>
      <c r="M220"/>
      <c r="N220"/>
      <c r="O220"/>
      <c r="P220"/>
      <c r="Q220"/>
      <c r="R220"/>
      <c r="S220" s="56">
        <f t="shared" si="9"/>
        <v>52</v>
      </c>
      <c r="T220" s="57" t="str">
        <f t="shared" si="10"/>
        <v>31-60 Days</v>
      </c>
      <c r="U220" s="58" t="str">
        <f t="shared" si="11"/>
        <v>Not Applicable</v>
      </c>
    </row>
    <row r="221" spans="1:21" ht="23.25" customHeight="1" x14ac:dyDescent="0.35">
      <c r="A221" t="s">
        <v>609</v>
      </c>
      <c r="B221" t="s">
        <v>609</v>
      </c>
      <c r="C221">
        <v>0</v>
      </c>
      <c r="D221">
        <v>1000000</v>
      </c>
      <c r="E221" t="s">
        <v>624</v>
      </c>
      <c r="F221" t="s">
        <v>57</v>
      </c>
      <c r="G221" t="s">
        <v>57</v>
      </c>
      <c r="H221" t="s">
        <v>625</v>
      </c>
      <c r="I221"/>
      <c r="J221"/>
      <c r="K221"/>
      <c r="L221"/>
      <c r="M221"/>
      <c r="N221"/>
      <c r="O221"/>
      <c r="P221"/>
      <c r="Q221"/>
      <c r="R221"/>
      <c r="S221" s="56">
        <f t="shared" si="9"/>
        <v>52</v>
      </c>
      <c r="T221" s="57" t="str">
        <f t="shared" si="10"/>
        <v>31-60 Days</v>
      </c>
      <c r="U221" s="58" t="str">
        <f t="shared" si="11"/>
        <v>Not Applicable</v>
      </c>
    </row>
    <row r="222" spans="1:21" ht="23.25" customHeight="1" x14ac:dyDescent="0.35">
      <c r="A222" t="s">
        <v>609</v>
      </c>
      <c r="B222" t="s">
        <v>609</v>
      </c>
      <c r="C222">
        <v>10000</v>
      </c>
      <c r="D222">
        <v>0</v>
      </c>
      <c r="E222" t="s">
        <v>626</v>
      </c>
      <c r="F222" t="s">
        <v>627</v>
      </c>
      <c r="G222" t="s">
        <v>57</v>
      </c>
      <c r="H222" t="s">
        <v>628</v>
      </c>
      <c r="I222"/>
      <c r="J222"/>
      <c r="K222"/>
      <c r="L222"/>
      <c r="M222"/>
      <c r="N222"/>
      <c r="O222"/>
      <c r="P222"/>
      <c r="Q222"/>
      <c r="R222"/>
      <c r="S222" s="56">
        <f t="shared" si="9"/>
        <v>52</v>
      </c>
      <c r="T222" s="57" t="str">
        <f t="shared" si="10"/>
        <v>31-60 Days</v>
      </c>
      <c r="U222" s="58" t="str">
        <f t="shared" si="11"/>
        <v>Especially Mentioned</v>
      </c>
    </row>
    <row r="223" spans="1:21" ht="23.25" customHeight="1" x14ac:dyDescent="0.35">
      <c r="A223" t="s">
        <v>609</v>
      </c>
      <c r="B223" t="s">
        <v>609</v>
      </c>
      <c r="C223">
        <v>134990</v>
      </c>
      <c r="D223">
        <v>0</v>
      </c>
      <c r="E223" t="s">
        <v>629</v>
      </c>
      <c r="F223" t="s">
        <v>57</v>
      </c>
      <c r="G223" t="s">
        <v>57</v>
      </c>
      <c r="H223" t="s">
        <v>630</v>
      </c>
      <c r="I223"/>
      <c r="J223"/>
      <c r="K223"/>
      <c r="L223"/>
      <c r="M223"/>
      <c r="N223"/>
      <c r="O223"/>
      <c r="P223"/>
      <c r="Q223"/>
      <c r="R223"/>
      <c r="S223" s="56">
        <f t="shared" si="9"/>
        <v>52</v>
      </c>
      <c r="T223" s="57" t="str">
        <f t="shared" si="10"/>
        <v>31-60 Days</v>
      </c>
      <c r="U223" s="58" t="str">
        <f t="shared" si="11"/>
        <v>Especially Mentioned</v>
      </c>
    </row>
    <row r="224" spans="1:21" ht="23.25" customHeight="1" x14ac:dyDescent="0.35">
      <c r="A224" t="s">
        <v>609</v>
      </c>
      <c r="B224" t="s">
        <v>609</v>
      </c>
      <c r="C224">
        <v>0</v>
      </c>
      <c r="D224">
        <v>38</v>
      </c>
      <c r="E224" t="s">
        <v>631</v>
      </c>
      <c r="F224" t="s">
        <v>632</v>
      </c>
      <c r="G224" t="s">
        <v>57</v>
      </c>
      <c r="H224" t="s">
        <v>633</v>
      </c>
      <c r="I224"/>
      <c r="J224"/>
      <c r="K224"/>
      <c r="L224"/>
      <c r="M224"/>
      <c r="N224"/>
      <c r="O224"/>
      <c r="P224"/>
      <c r="Q224"/>
      <c r="R224"/>
      <c r="S224" s="56">
        <f t="shared" si="9"/>
        <v>52</v>
      </c>
      <c r="T224" s="57" t="str">
        <f t="shared" si="10"/>
        <v>31-60 Days</v>
      </c>
      <c r="U224" s="58" t="str">
        <f t="shared" si="11"/>
        <v>Not Applicable</v>
      </c>
    </row>
    <row r="225" spans="1:21" ht="23.25" customHeight="1" x14ac:dyDescent="0.35">
      <c r="A225" t="s">
        <v>609</v>
      </c>
      <c r="B225" t="s">
        <v>609</v>
      </c>
      <c r="C225">
        <v>975</v>
      </c>
      <c r="D225">
        <v>0</v>
      </c>
      <c r="E225" t="s">
        <v>634</v>
      </c>
      <c r="F225" t="s">
        <v>635</v>
      </c>
      <c r="G225" t="s">
        <v>57</v>
      </c>
      <c r="H225" t="s">
        <v>636</v>
      </c>
      <c r="I225"/>
      <c r="J225"/>
      <c r="K225"/>
      <c r="L225"/>
      <c r="M225"/>
      <c r="N225"/>
      <c r="O225"/>
      <c r="P225"/>
      <c r="Q225"/>
      <c r="R225"/>
      <c r="S225" s="56">
        <f t="shared" si="9"/>
        <v>52</v>
      </c>
      <c r="T225" s="57" t="str">
        <f t="shared" si="10"/>
        <v>31-60 Days</v>
      </c>
      <c r="U225" s="58" t="str">
        <f t="shared" si="11"/>
        <v>Especially Mentioned</v>
      </c>
    </row>
    <row r="226" spans="1:21" ht="23.25" customHeight="1" x14ac:dyDescent="0.35">
      <c r="A226" t="s">
        <v>609</v>
      </c>
      <c r="B226" t="s">
        <v>609</v>
      </c>
      <c r="C226">
        <v>0</v>
      </c>
      <c r="D226">
        <v>134990</v>
      </c>
      <c r="E226" t="s">
        <v>637</v>
      </c>
      <c r="F226" t="s">
        <v>57</v>
      </c>
      <c r="G226" t="s">
        <v>57</v>
      </c>
      <c r="H226" t="s">
        <v>638</v>
      </c>
      <c r="I226"/>
      <c r="J226"/>
      <c r="K226"/>
      <c r="L226"/>
      <c r="M226"/>
      <c r="N226"/>
      <c r="O226"/>
      <c r="P226"/>
      <c r="Q226"/>
      <c r="R226"/>
      <c r="S226" s="56">
        <f t="shared" si="9"/>
        <v>52</v>
      </c>
      <c r="T226" s="57" t="str">
        <f t="shared" si="10"/>
        <v>31-60 Days</v>
      </c>
      <c r="U226" s="58" t="str">
        <f t="shared" si="11"/>
        <v>Not Applicable</v>
      </c>
    </row>
    <row r="227" spans="1:21" ht="23.25" customHeight="1" x14ac:dyDescent="0.35">
      <c r="A227" t="s">
        <v>639</v>
      </c>
      <c r="B227" t="s">
        <v>639</v>
      </c>
      <c r="C227">
        <v>0</v>
      </c>
      <c r="D227">
        <v>1000</v>
      </c>
      <c r="E227" t="s">
        <v>640</v>
      </c>
      <c r="F227" t="s">
        <v>641</v>
      </c>
      <c r="G227" t="s">
        <v>57</v>
      </c>
      <c r="H227" t="s">
        <v>642</v>
      </c>
      <c r="I227"/>
      <c r="J227"/>
      <c r="K227"/>
      <c r="L227"/>
      <c r="M227"/>
      <c r="N227"/>
      <c r="O227"/>
      <c r="P227"/>
      <c r="Q227"/>
      <c r="R227"/>
      <c r="S227" s="56">
        <f t="shared" si="9"/>
        <v>51</v>
      </c>
      <c r="T227" s="57" t="str">
        <f t="shared" si="10"/>
        <v>31-60 Days</v>
      </c>
      <c r="U227" s="58" t="str">
        <f t="shared" si="11"/>
        <v>Not Applicable</v>
      </c>
    </row>
    <row r="228" spans="1:21" ht="23.25" customHeight="1" x14ac:dyDescent="0.35">
      <c r="A228" t="s">
        <v>639</v>
      </c>
      <c r="B228" t="s">
        <v>639</v>
      </c>
      <c r="C228">
        <v>0</v>
      </c>
      <c r="D228">
        <v>150</v>
      </c>
      <c r="E228" t="s">
        <v>643</v>
      </c>
      <c r="F228" t="s">
        <v>644</v>
      </c>
      <c r="G228" t="s">
        <v>57</v>
      </c>
      <c r="H228" t="s">
        <v>645</v>
      </c>
      <c r="I228"/>
      <c r="J228"/>
      <c r="K228"/>
      <c r="L228"/>
      <c r="M228"/>
      <c r="N228"/>
      <c r="O228"/>
      <c r="P228"/>
      <c r="Q228"/>
      <c r="R228"/>
      <c r="S228" s="56">
        <f t="shared" si="9"/>
        <v>51</v>
      </c>
      <c r="T228" s="57" t="str">
        <f t="shared" si="10"/>
        <v>31-60 Days</v>
      </c>
      <c r="U228" s="58" t="str">
        <f t="shared" si="11"/>
        <v>Not Applicable</v>
      </c>
    </row>
    <row r="229" spans="1:21" ht="23.25" customHeight="1" x14ac:dyDescent="0.35">
      <c r="A229" t="s">
        <v>639</v>
      </c>
      <c r="B229" t="s">
        <v>639</v>
      </c>
      <c r="C229">
        <v>0</v>
      </c>
      <c r="D229">
        <v>200</v>
      </c>
      <c r="E229" t="s">
        <v>646</v>
      </c>
      <c r="F229" t="s">
        <v>647</v>
      </c>
      <c r="G229" t="s">
        <v>57</v>
      </c>
      <c r="H229" t="s">
        <v>648</v>
      </c>
      <c r="I229"/>
      <c r="J229"/>
      <c r="K229"/>
      <c r="L229"/>
      <c r="M229"/>
      <c r="N229"/>
      <c r="O229"/>
      <c r="P229"/>
      <c r="Q229"/>
      <c r="R229"/>
      <c r="S229" s="56">
        <f t="shared" si="9"/>
        <v>51</v>
      </c>
      <c r="T229" s="57" t="str">
        <f t="shared" si="10"/>
        <v>31-60 Days</v>
      </c>
      <c r="U229" s="58" t="str">
        <f t="shared" si="11"/>
        <v>Not Applicable</v>
      </c>
    </row>
    <row r="230" spans="1:21" ht="23.25" customHeight="1" x14ac:dyDescent="0.35">
      <c r="A230" t="s">
        <v>639</v>
      </c>
      <c r="B230" t="s">
        <v>639</v>
      </c>
      <c r="C230">
        <v>0</v>
      </c>
      <c r="D230">
        <v>50</v>
      </c>
      <c r="E230" t="s">
        <v>649</v>
      </c>
      <c r="F230" t="s">
        <v>647</v>
      </c>
      <c r="G230" t="s">
        <v>57</v>
      </c>
      <c r="H230" t="s">
        <v>650</v>
      </c>
      <c r="I230"/>
      <c r="J230"/>
      <c r="K230"/>
      <c r="L230"/>
      <c r="M230"/>
      <c r="N230"/>
      <c r="O230"/>
      <c r="P230"/>
      <c r="Q230"/>
      <c r="R230"/>
      <c r="S230" s="56">
        <f t="shared" si="9"/>
        <v>51</v>
      </c>
      <c r="T230" s="57" t="str">
        <f t="shared" si="10"/>
        <v>31-60 Days</v>
      </c>
      <c r="U230" s="58" t="str">
        <f t="shared" si="11"/>
        <v>Not Applicable</v>
      </c>
    </row>
    <row r="231" spans="1:21" ht="23.25" customHeight="1" x14ac:dyDescent="0.35">
      <c r="A231" t="s">
        <v>639</v>
      </c>
      <c r="B231" t="s">
        <v>639</v>
      </c>
      <c r="C231">
        <v>5099.01</v>
      </c>
      <c r="D231">
        <v>0</v>
      </c>
      <c r="E231" t="s">
        <v>651</v>
      </c>
      <c r="F231" t="s">
        <v>57</v>
      </c>
      <c r="G231" t="s">
        <v>57</v>
      </c>
      <c r="H231" t="s">
        <v>652</v>
      </c>
      <c r="I231"/>
      <c r="J231"/>
      <c r="K231"/>
      <c r="L231"/>
      <c r="M231"/>
      <c r="N231"/>
      <c r="O231"/>
      <c r="P231"/>
      <c r="Q231"/>
      <c r="R231"/>
      <c r="S231" s="56">
        <f t="shared" si="9"/>
        <v>51</v>
      </c>
      <c r="T231" s="57" t="str">
        <f t="shared" si="10"/>
        <v>31-60 Days</v>
      </c>
      <c r="U231" s="58" t="str">
        <f t="shared" si="11"/>
        <v>Especially Mentioned</v>
      </c>
    </row>
    <row r="232" spans="1:21" ht="23.25" customHeight="1" x14ac:dyDescent="0.35">
      <c r="A232" t="s">
        <v>639</v>
      </c>
      <c r="B232" t="s">
        <v>639</v>
      </c>
      <c r="C232">
        <v>0</v>
      </c>
      <c r="D232">
        <v>50</v>
      </c>
      <c r="E232" t="s">
        <v>653</v>
      </c>
      <c r="F232" t="s">
        <v>644</v>
      </c>
      <c r="G232" t="s">
        <v>57</v>
      </c>
      <c r="H232" t="s">
        <v>654</v>
      </c>
      <c r="I232"/>
      <c r="J232"/>
      <c r="K232"/>
      <c r="L232"/>
      <c r="M232"/>
      <c r="N232"/>
      <c r="O232"/>
      <c r="P232"/>
      <c r="Q232"/>
      <c r="R232"/>
      <c r="S232" s="56">
        <f t="shared" si="9"/>
        <v>51</v>
      </c>
      <c r="T232" s="57" t="str">
        <f t="shared" si="10"/>
        <v>31-60 Days</v>
      </c>
      <c r="U232" s="58" t="str">
        <f t="shared" si="11"/>
        <v>Not Applicable</v>
      </c>
    </row>
    <row r="233" spans="1:21" ht="23.25" customHeight="1" x14ac:dyDescent="0.35">
      <c r="A233" t="s">
        <v>639</v>
      </c>
      <c r="B233" t="s">
        <v>639</v>
      </c>
      <c r="C233">
        <v>0</v>
      </c>
      <c r="D233">
        <v>50</v>
      </c>
      <c r="E233" t="s">
        <v>655</v>
      </c>
      <c r="F233" t="s">
        <v>647</v>
      </c>
      <c r="G233" t="s">
        <v>57</v>
      </c>
      <c r="H233" t="s">
        <v>656</v>
      </c>
      <c r="I233"/>
      <c r="J233"/>
      <c r="K233"/>
      <c r="L233"/>
      <c r="M233"/>
      <c r="N233"/>
      <c r="O233"/>
      <c r="P233"/>
      <c r="Q233"/>
      <c r="R233"/>
      <c r="S233" s="56">
        <f t="shared" si="9"/>
        <v>51</v>
      </c>
      <c r="T233" s="57" t="str">
        <f t="shared" si="10"/>
        <v>31-60 Days</v>
      </c>
      <c r="U233" s="58" t="str">
        <f t="shared" si="11"/>
        <v>Not Applicable</v>
      </c>
    </row>
    <row r="234" spans="1:21" ht="23.25" customHeight="1" x14ac:dyDescent="0.35">
      <c r="A234" t="s">
        <v>639</v>
      </c>
      <c r="B234" t="s">
        <v>639</v>
      </c>
      <c r="C234">
        <v>5000</v>
      </c>
      <c r="D234">
        <v>0</v>
      </c>
      <c r="E234" t="s">
        <v>657</v>
      </c>
      <c r="F234" t="s">
        <v>658</v>
      </c>
      <c r="G234" t="s">
        <v>57</v>
      </c>
      <c r="H234" t="s">
        <v>659</v>
      </c>
      <c r="I234"/>
      <c r="J234"/>
      <c r="K234"/>
      <c r="L234"/>
      <c r="M234"/>
      <c r="N234"/>
      <c r="O234"/>
      <c r="P234"/>
      <c r="Q234"/>
      <c r="R234"/>
      <c r="S234" s="56">
        <f t="shared" si="9"/>
        <v>51</v>
      </c>
      <c r="T234" s="57" t="str">
        <f t="shared" si="10"/>
        <v>31-60 Days</v>
      </c>
      <c r="U234" s="58" t="str">
        <f t="shared" si="11"/>
        <v>Especially Mentioned</v>
      </c>
    </row>
    <row r="235" spans="1:21" ht="23.25" customHeight="1" x14ac:dyDescent="0.35">
      <c r="A235" t="s">
        <v>639</v>
      </c>
      <c r="B235" t="s">
        <v>639</v>
      </c>
      <c r="C235">
        <v>0</v>
      </c>
      <c r="D235">
        <v>1000</v>
      </c>
      <c r="E235" t="s">
        <v>660</v>
      </c>
      <c r="F235" t="s">
        <v>641</v>
      </c>
      <c r="G235" t="s">
        <v>57</v>
      </c>
      <c r="H235" t="s">
        <v>661</v>
      </c>
      <c r="I235"/>
      <c r="J235"/>
      <c r="K235"/>
      <c r="L235"/>
      <c r="M235"/>
      <c r="N235"/>
      <c r="O235"/>
      <c r="P235"/>
      <c r="Q235"/>
      <c r="R235"/>
      <c r="S235" s="56">
        <f t="shared" si="9"/>
        <v>51</v>
      </c>
      <c r="T235" s="57" t="str">
        <f t="shared" si="10"/>
        <v>31-60 Days</v>
      </c>
      <c r="U235" s="58" t="str">
        <f t="shared" si="11"/>
        <v>Not Applicable</v>
      </c>
    </row>
    <row r="236" spans="1:21" ht="23.25" customHeight="1" x14ac:dyDescent="0.35">
      <c r="A236" t="s">
        <v>639</v>
      </c>
      <c r="B236" t="s">
        <v>639</v>
      </c>
      <c r="C236">
        <v>0</v>
      </c>
      <c r="D236">
        <v>50</v>
      </c>
      <c r="E236" t="s">
        <v>662</v>
      </c>
      <c r="F236" t="s">
        <v>647</v>
      </c>
      <c r="G236" t="s">
        <v>57</v>
      </c>
      <c r="H236" t="s">
        <v>663</v>
      </c>
      <c r="I236"/>
      <c r="J236"/>
      <c r="K236"/>
      <c r="L236"/>
      <c r="M236"/>
      <c r="N236"/>
      <c r="O236"/>
      <c r="P236"/>
      <c r="Q236"/>
      <c r="R236"/>
      <c r="S236" s="56">
        <f t="shared" si="9"/>
        <v>51</v>
      </c>
      <c r="T236" s="57" t="str">
        <f t="shared" si="10"/>
        <v>31-60 Days</v>
      </c>
      <c r="U236" s="58" t="str">
        <f t="shared" si="11"/>
        <v>Not Applicable</v>
      </c>
    </row>
    <row r="237" spans="1:21" ht="23.25" customHeight="1" x14ac:dyDescent="0.35">
      <c r="A237" t="s">
        <v>639</v>
      </c>
      <c r="B237" t="s">
        <v>639</v>
      </c>
      <c r="C237">
        <v>0</v>
      </c>
      <c r="D237">
        <v>153514</v>
      </c>
      <c r="E237" t="s">
        <v>664</v>
      </c>
      <c r="F237" t="s">
        <v>57</v>
      </c>
      <c r="G237" t="s">
        <v>57</v>
      </c>
      <c r="H237" t="s">
        <v>665</v>
      </c>
      <c r="I237"/>
      <c r="J237"/>
      <c r="K237"/>
      <c r="L237"/>
      <c r="M237"/>
      <c r="N237"/>
      <c r="O237"/>
      <c r="P237"/>
      <c r="Q237"/>
      <c r="R237"/>
      <c r="S237" s="56">
        <f t="shared" si="9"/>
        <v>51</v>
      </c>
      <c r="T237" s="57" t="str">
        <f t="shared" si="10"/>
        <v>31-60 Days</v>
      </c>
      <c r="U237" s="58" t="str">
        <f t="shared" si="11"/>
        <v>Not Applicable</v>
      </c>
    </row>
    <row r="238" spans="1:21" ht="23.25" customHeight="1" x14ac:dyDescent="0.35">
      <c r="A238" t="s">
        <v>639</v>
      </c>
      <c r="B238" t="s">
        <v>639</v>
      </c>
      <c r="C238">
        <v>0</v>
      </c>
      <c r="D238">
        <v>1000</v>
      </c>
      <c r="E238" t="s">
        <v>666</v>
      </c>
      <c r="F238" t="s">
        <v>641</v>
      </c>
      <c r="G238" t="s">
        <v>57</v>
      </c>
      <c r="H238" t="s">
        <v>667</v>
      </c>
      <c r="I238"/>
      <c r="J238"/>
      <c r="K238"/>
      <c r="L238"/>
      <c r="M238"/>
      <c r="N238"/>
      <c r="O238"/>
      <c r="P238"/>
      <c r="Q238"/>
      <c r="R238"/>
      <c r="S238" s="56">
        <f t="shared" si="9"/>
        <v>51</v>
      </c>
      <c r="T238" s="57" t="str">
        <f t="shared" si="10"/>
        <v>31-60 Days</v>
      </c>
      <c r="U238" s="58" t="str">
        <f t="shared" si="11"/>
        <v>Not Applicable</v>
      </c>
    </row>
    <row r="239" spans="1:21" ht="23.25" customHeight="1" x14ac:dyDescent="0.35">
      <c r="A239" t="s">
        <v>668</v>
      </c>
      <c r="B239" t="s">
        <v>668</v>
      </c>
      <c r="C239">
        <v>2000</v>
      </c>
      <c r="D239">
        <v>0</v>
      </c>
      <c r="E239" t="s">
        <v>669</v>
      </c>
      <c r="F239" t="s">
        <v>57</v>
      </c>
      <c r="G239" t="s">
        <v>57</v>
      </c>
      <c r="H239" t="s">
        <v>670</v>
      </c>
      <c r="I239"/>
      <c r="J239"/>
      <c r="K239"/>
      <c r="L239"/>
      <c r="M239"/>
      <c r="N239"/>
      <c r="O239"/>
      <c r="P239"/>
      <c r="Q239"/>
      <c r="R239"/>
      <c r="S239" s="56">
        <f t="shared" si="9"/>
        <v>49</v>
      </c>
      <c r="T239" s="57" t="str">
        <f t="shared" si="10"/>
        <v>31-60 Days</v>
      </c>
      <c r="U239" s="58" t="str">
        <f t="shared" si="11"/>
        <v>Especially Mentioned</v>
      </c>
    </row>
    <row r="240" spans="1:21" ht="23.25" customHeight="1" x14ac:dyDescent="0.35">
      <c r="A240" t="s">
        <v>668</v>
      </c>
      <c r="B240" t="s">
        <v>668</v>
      </c>
      <c r="C240">
        <v>900</v>
      </c>
      <c r="D240">
        <v>0</v>
      </c>
      <c r="E240" t="s">
        <v>671</v>
      </c>
      <c r="F240" t="s">
        <v>57</v>
      </c>
      <c r="G240" t="s">
        <v>57</v>
      </c>
      <c r="H240" t="s">
        <v>672</v>
      </c>
      <c r="I240"/>
      <c r="J240"/>
      <c r="K240"/>
      <c r="L240"/>
      <c r="M240"/>
      <c r="N240"/>
      <c r="O240"/>
      <c r="P240"/>
      <c r="Q240"/>
      <c r="R240"/>
      <c r="S240" s="56">
        <f t="shared" si="9"/>
        <v>49</v>
      </c>
      <c r="T240" s="57" t="str">
        <f t="shared" si="10"/>
        <v>31-60 Days</v>
      </c>
      <c r="U240" s="58" t="str">
        <f t="shared" si="11"/>
        <v>Especially Mentioned</v>
      </c>
    </row>
    <row r="241" spans="1:21" ht="23.25" customHeight="1" x14ac:dyDescent="0.35">
      <c r="A241" t="s">
        <v>668</v>
      </c>
      <c r="B241" t="s">
        <v>668</v>
      </c>
      <c r="C241">
        <v>0</v>
      </c>
      <c r="D241">
        <v>2000000</v>
      </c>
      <c r="E241" t="s">
        <v>673</v>
      </c>
      <c r="F241" t="s">
        <v>57</v>
      </c>
      <c r="G241" t="s">
        <v>57</v>
      </c>
      <c r="H241" t="s">
        <v>674</v>
      </c>
      <c r="I241"/>
      <c r="J241"/>
      <c r="K241"/>
      <c r="L241"/>
      <c r="M241"/>
      <c r="N241"/>
      <c r="O241"/>
      <c r="P241"/>
      <c r="Q241"/>
      <c r="R241"/>
      <c r="S241" s="56">
        <f t="shared" si="9"/>
        <v>49</v>
      </c>
      <c r="T241" s="57" t="str">
        <f t="shared" si="10"/>
        <v>31-60 Days</v>
      </c>
      <c r="U241" s="58" t="str">
        <f t="shared" si="11"/>
        <v>Not Applicable</v>
      </c>
    </row>
    <row r="242" spans="1:21" ht="23.25" customHeight="1" x14ac:dyDescent="0.35">
      <c r="A242" t="s">
        <v>668</v>
      </c>
      <c r="B242" t="s">
        <v>668</v>
      </c>
      <c r="C242">
        <v>500</v>
      </c>
      <c r="D242">
        <v>0</v>
      </c>
      <c r="E242" t="s">
        <v>675</v>
      </c>
      <c r="F242" t="s">
        <v>676</v>
      </c>
      <c r="G242" t="s">
        <v>57</v>
      </c>
      <c r="H242" t="s">
        <v>677</v>
      </c>
      <c r="I242"/>
      <c r="J242"/>
      <c r="K242"/>
      <c r="L242"/>
      <c r="M242"/>
      <c r="N242"/>
      <c r="O242"/>
      <c r="P242"/>
      <c r="Q242"/>
      <c r="R242"/>
      <c r="S242" s="56">
        <f t="shared" si="9"/>
        <v>49</v>
      </c>
      <c r="T242" s="57" t="str">
        <f t="shared" si="10"/>
        <v>31-60 Days</v>
      </c>
      <c r="U242" s="58" t="str">
        <f t="shared" si="11"/>
        <v>Especially Mentioned</v>
      </c>
    </row>
    <row r="243" spans="1:21" ht="23.25" customHeight="1" x14ac:dyDescent="0.35">
      <c r="A243" t="s">
        <v>668</v>
      </c>
      <c r="B243" t="s">
        <v>668</v>
      </c>
      <c r="C243">
        <v>15000</v>
      </c>
      <c r="D243">
        <v>0</v>
      </c>
      <c r="E243" t="s">
        <v>678</v>
      </c>
      <c r="F243" t="s">
        <v>679</v>
      </c>
      <c r="G243" t="s">
        <v>57</v>
      </c>
      <c r="H243" t="s">
        <v>680</v>
      </c>
      <c r="I243"/>
      <c r="J243"/>
      <c r="K243"/>
      <c r="L243"/>
      <c r="M243"/>
      <c r="N243"/>
      <c r="O243"/>
      <c r="P243"/>
      <c r="Q243"/>
      <c r="R243"/>
      <c r="S243" s="56">
        <f t="shared" si="9"/>
        <v>49</v>
      </c>
      <c r="T243" s="57" t="str">
        <f t="shared" si="10"/>
        <v>31-60 Days</v>
      </c>
      <c r="U243" s="58" t="str">
        <f t="shared" si="11"/>
        <v>Especially Mentioned</v>
      </c>
    </row>
    <row r="244" spans="1:21" ht="23.25" customHeight="1" x14ac:dyDescent="0.35">
      <c r="A244" t="s">
        <v>668</v>
      </c>
      <c r="B244" t="s">
        <v>668</v>
      </c>
      <c r="C244">
        <v>11620</v>
      </c>
      <c r="D244">
        <v>0</v>
      </c>
      <c r="E244" t="s">
        <v>681</v>
      </c>
      <c r="F244" t="s">
        <v>682</v>
      </c>
      <c r="G244" t="s">
        <v>57</v>
      </c>
      <c r="H244" t="s">
        <v>683</v>
      </c>
      <c r="I244"/>
      <c r="J244"/>
      <c r="K244"/>
      <c r="L244"/>
      <c r="M244"/>
      <c r="N244"/>
      <c r="O244"/>
      <c r="P244"/>
      <c r="Q244"/>
      <c r="R244"/>
      <c r="S244" s="56">
        <f t="shared" si="9"/>
        <v>49</v>
      </c>
      <c r="T244" s="57" t="str">
        <f t="shared" si="10"/>
        <v>31-60 Days</v>
      </c>
      <c r="U244" s="58" t="str">
        <f t="shared" si="11"/>
        <v>Especially Mentioned</v>
      </c>
    </row>
    <row r="245" spans="1:21" ht="23.25" customHeight="1" x14ac:dyDescent="0.35">
      <c r="A245" t="s">
        <v>668</v>
      </c>
      <c r="B245" t="s">
        <v>668</v>
      </c>
      <c r="C245">
        <v>0</v>
      </c>
      <c r="D245">
        <v>259028.34</v>
      </c>
      <c r="E245" t="s">
        <v>684</v>
      </c>
      <c r="F245" t="s">
        <v>57</v>
      </c>
      <c r="G245" t="s">
        <v>57</v>
      </c>
      <c r="H245" t="s">
        <v>685</v>
      </c>
      <c r="I245"/>
      <c r="J245"/>
      <c r="K245"/>
      <c r="L245"/>
      <c r="M245"/>
      <c r="N245"/>
      <c r="O245"/>
      <c r="P245"/>
      <c r="Q245"/>
      <c r="R245"/>
      <c r="S245" s="56">
        <f t="shared" si="9"/>
        <v>49</v>
      </c>
      <c r="T245" s="57" t="str">
        <f t="shared" si="10"/>
        <v>31-60 Days</v>
      </c>
      <c r="U245" s="58" t="str">
        <f t="shared" si="11"/>
        <v>Not Applicable</v>
      </c>
    </row>
    <row r="246" spans="1:21" ht="23.25" customHeight="1" x14ac:dyDescent="0.35">
      <c r="A246" t="s">
        <v>668</v>
      </c>
      <c r="B246" t="s">
        <v>668</v>
      </c>
      <c r="C246">
        <v>0</v>
      </c>
      <c r="D246">
        <v>1000000</v>
      </c>
      <c r="E246" t="s">
        <v>686</v>
      </c>
      <c r="F246" t="s">
        <v>57</v>
      </c>
      <c r="G246" t="s">
        <v>57</v>
      </c>
      <c r="H246" t="s">
        <v>687</v>
      </c>
      <c r="I246"/>
      <c r="J246"/>
      <c r="K246"/>
      <c r="L246"/>
      <c r="M246"/>
      <c r="N246"/>
      <c r="O246"/>
      <c r="P246"/>
      <c r="Q246"/>
      <c r="R246"/>
      <c r="S246" s="56">
        <f t="shared" si="9"/>
        <v>49</v>
      </c>
      <c r="T246" s="57" t="str">
        <f t="shared" si="10"/>
        <v>31-60 Days</v>
      </c>
      <c r="U246" s="58" t="str">
        <f t="shared" si="11"/>
        <v>Not Applicable</v>
      </c>
    </row>
    <row r="247" spans="1:21" ht="23.25" customHeight="1" x14ac:dyDescent="0.35">
      <c r="A247" t="s">
        <v>668</v>
      </c>
      <c r="B247" t="s">
        <v>668</v>
      </c>
      <c r="C247">
        <v>51583.22</v>
      </c>
      <c r="D247">
        <v>0</v>
      </c>
      <c r="E247" t="s">
        <v>688</v>
      </c>
      <c r="F247" t="s">
        <v>57</v>
      </c>
      <c r="G247" t="s">
        <v>57</v>
      </c>
      <c r="H247" t="s">
        <v>689</v>
      </c>
      <c r="I247"/>
      <c r="J247"/>
      <c r="K247"/>
      <c r="L247"/>
      <c r="M247"/>
      <c r="N247"/>
      <c r="O247"/>
      <c r="P247"/>
      <c r="Q247"/>
      <c r="R247"/>
      <c r="S247" s="56">
        <f t="shared" si="9"/>
        <v>49</v>
      </c>
      <c r="T247" s="57" t="str">
        <f t="shared" si="10"/>
        <v>31-60 Days</v>
      </c>
      <c r="U247" s="58" t="str">
        <f t="shared" si="11"/>
        <v>Especially Mentioned</v>
      </c>
    </row>
    <row r="248" spans="1:21" ht="23.25" customHeight="1" x14ac:dyDescent="0.35">
      <c r="A248" t="s">
        <v>690</v>
      </c>
      <c r="B248" t="s">
        <v>690</v>
      </c>
      <c r="C248">
        <v>0</v>
      </c>
      <c r="D248">
        <v>1476614.78</v>
      </c>
      <c r="E248" t="s">
        <v>691</v>
      </c>
      <c r="F248" t="s">
        <v>57</v>
      </c>
      <c r="G248" t="s">
        <v>57</v>
      </c>
      <c r="H248" t="s">
        <v>692</v>
      </c>
      <c r="I248"/>
      <c r="J248"/>
      <c r="K248"/>
      <c r="L248"/>
      <c r="M248"/>
      <c r="N248"/>
      <c r="O248"/>
      <c r="P248"/>
      <c r="Q248"/>
      <c r="R248"/>
      <c r="S248" s="56">
        <f t="shared" si="9"/>
        <v>48</v>
      </c>
      <c r="T248" s="57" t="str">
        <f t="shared" si="10"/>
        <v>31-60 Days</v>
      </c>
      <c r="U248" s="58" t="str">
        <f t="shared" si="11"/>
        <v>Not Applicable</v>
      </c>
    </row>
    <row r="249" spans="1:21" ht="23.25" customHeight="1" x14ac:dyDescent="0.35">
      <c r="A249" t="s">
        <v>690</v>
      </c>
      <c r="B249" t="s">
        <v>690</v>
      </c>
      <c r="C249">
        <v>508</v>
      </c>
      <c r="D249">
        <v>0</v>
      </c>
      <c r="E249" t="s">
        <v>693</v>
      </c>
      <c r="F249" t="s">
        <v>57</v>
      </c>
      <c r="G249" t="s">
        <v>57</v>
      </c>
      <c r="H249" t="s">
        <v>694</v>
      </c>
      <c r="I249"/>
      <c r="J249"/>
      <c r="K249"/>
      <c r="L249"/>
      <c r="M249"/>
      <c r="N249"/>
      <c r="O249"/>
      <c r="P249"/>
      <c r="Q249"/>
      <c r="R249"/>
      <c r="S249" s="56">
        <f t="shared" si="9"/>
        <v>48</v>
      </c>
      <c r="T249" s="57" t="str">
        <f t="shared" si="10"/>
        <v>31-60 Days</v>
      </c>
      <c r="U249" s="58" t="str">
        <f t="shared" si="11"/>
        <v>Especially Mentioned</v>
      </c>
    </row>
    <row r="250" spans="1:21" ht="23.25" customHeight="1" x14ac:dyDescent="0.35">
      <c r="A250" t="s">
        <v>690</v>
      </c>
      <c r="B250" t="s">
        <v>690</v>
      </c>
      <c r="C250">
        <v>300</v>
      </c>
      <c r="D250">
        <v>0</v>
      </c>
      <c r="E250" t="s">
        <v>695</v>
      </c>
      <c r="F250" t="s">
        <v>57</v>
      </c>
      <c r="G250" t="s">
        <v>57</v>
      </c>
      <c r="H250" t="s">
        <v>696</v>
      </c>
      <c r="I250"/>
      <c r="J250"/>
      <c r="K250"/>
      <c r="L250"/>
      <c r="M250"/>
      <c r="N250"/>
      <c r="O250"/>
      <c r="P250"/>
      <c r="Q250"/>
      <c r="R250"/>
      <c r="S250" s="56">
        <f t="shared" si="9"/>
        <v>48</v>
      </c>
      <c r="T250" s="57" t="str">
        <f t="shared" si="10"/>
        <v>31-60 Days</v>
      </c>
      <c r="U250" s="58" t="str">
        <f t="shared" si="11"/>
        <v>Especially Mentioned</v>
      </c>
    </row>
    <row r="251" spans="1:21" ht="23.25" customHeight="1" x14ac:dyDescent="0.35">
      <c r="A251" t="s">
        <v>690</v>
      </c>
      <c r="B251" t="s">
        <v>690</v>
      </c>
      <c r="C251">
        <v>0</v>
      </c>
      <c r="D251">
        <v>165</v>
      </c>
      <c r="E251" t="s">
        <v>697</v>
      </c>
      <c r="F251" t="s">
        <v>698</v>
      </c>
      <c r="G251" t="s">
        <v>57</v>
      </c>
      <c r="H251" t="s">
        <v>699</v>
      </c>
      <c r="I251"/>
      <c r="J251"/>
      <c r="K251"/>
      <c r="L251"/>
      <c r="M251"/>
      <c r="N251"/>
      <c r="O251"/>
      <c r="P251"/>
      <c r="Q251"/>
      <c r="R251"/>
      <c r="S251" s="56">
        <f t="shared" si="9"/>
        <v>48</v>
      </c>
      <c r="T251" s="57" t="str">
        <f t="shared" si="10"/>
        <v>31-60 Days</v>
      </c>
      <c r="U251" s="58" t="str">
        <f t="shared" si="11"/>
        <v>Not Applicable</v>
      </c>
    </row>
    <row r="252" spans="1:21" ht="23.25" customHeight="1" x14ac:dyDescent="0.35">
      <c r="A252" t="s">
        <v>690</v>
      </c>
      <c r="B252" t="s">
        <v>690</v>
      </c>
      <c r="C252">
        <v>0</v>
      </c>
      <c r="D252">
        <v>3970</v>
      </c>
      <c r="E252" t="s">
        <v>700</v>
      </c>
      <c r="F252" t="s">
        <v>57</v>
      </c>
      <c r="G252" t="s">
        <v>57</v>
      </c>
      <c r="H252" t="s">
        <v>701</v>
      </c>
      <c r="I252"/>
      <c r="J252"/>
      <c r="K252"/>
      <c r="L252"/>
      <c r="M252"/>
      <c r="N252"/>
      <c r="O252"/>
      <c r="P252"/>
      <c r="Q252"/>
      <c r="R252"/>
      <c r="S252" s="56">
        <f t="shared" si="9"/>
        <v>48</v>
      </c>
      <c r="T252" s="57" t="str">
        <f t="shared" si="10"/>
        <v>31-60 Days</v>
      </c>
      <c r="U252" s="58" t="str">
        <f t="shared" si="11"/>
        <v>Not Applicable</v>
      </c>
    </row>
    <row r="253" spans="1:21" ht="23.25" customHeight="1" x14ac:dyDescent="0.35">
      <c r="A253" t="s">
        <v>690</v>
      </c>
      <c r="B253" t="s">
        <v>690</v>
      </c>
      <c r="C253">
        <v>0</v>
      </c>
      <c r="D253">
        <v>105</v>
      </c>
      <c r="E253" t="s">
        <v>702</v>
      </c>
      <c r="F253" t="s">
        <v>703</v>
      </c>
      <c r="G253" t="s">
        <v>57</v>
      </c>
      <c r="H253" t="s">
        <v>704</v>
      </c>
      <c r="I253"/>
      <c r="J253"/>
      <c r="K253"/>
      <c r="L253"/>
      <c r="M253"/>
      <c r="N253"/>
      <c r="O253"/>
      <c r="P253"/>
      <c r="Q253"/>
      <c r="R253"/>
      <c r="S253" s="56">
        <f t="shared" si="9"/>
        <v>48</v>
      </c>
      <c r="T253" s="57" t="str">
        <f t="shared" si="10"/>
        <v>31-60 Days</v>
      </c>
      <c r="U253" s="58" t="str">
        <f t="shared" si="11"/>
        <v>Not Applicable</v>
      </c>
    </row>
    <row r="254" spans="1:21" ht="23.25" customHeight="1" x14ac:dyDescent="0.35">
      <c r="A254" t="s">
        <v>690</v>
      </c>
      <c r="B254" t="s">
        <v>690</v>
      </c>
      <c r="C254">
        <v>900</v>
      </c>
      <c r="D254">
        <v>0</v>
      </c>
      <c r="E254" t="s">
        <v>705</v>
      </c>
      <c r="F254" t="s">
        <v>57</v>
      </c>
      <c r="G254" t="s">
        <v>57</v>
      </c>
      <c r="H254" t="s">
        <v>706</v>
      </c>
      <c r="I254"/>
      <c r="J254"/>
      <c r="K254"/>
      <c r="L254"/>
      <c r="M254"/>
      <c r="N254"/>
      <c r="O254"/>
      <c r="P254"/>
      <c r="Q254"/>
      <c r="R254"/>
      <c r="S254" s="56">
        <f t="shared" si="9"/>
        <v>48</v>
      </c>
      <c r="T254" s="57" t="str">
        <f t="shared" si="10"/>
        <v>31-60 Days</v>
      </c>
      <c r="U254" s="58" t="str">
        <f t="shared" si="11"/>
        <v>Especially Mentioned</v>
      </c>
    </row>
    <row r="255" spans="1:21" ht="23.25" customHeight="1" x14ac:dyDescent="0.35">
      <c r="A255" t="s">
        <v>690</v>
      </c>
      <c r="B255" t="s">
        <v>690</v>
      </c>
      <c r="C255">
        <v>8700</v>
      </c>
      <c r="D255">
        <v>0</v>
      </c>
      <c r="E255" t="s">
        <v>707</v>
      </c>
      <c r="F255" t="s">
        <v>57</v>
      </c>
      <c r="G255" t="s">
        <v>57</v>
      </c>
      <c r="H255" t="s">
        <v>708</v>
      </c>
      <c r="I255"/>
      <c r="J255"/>
      <c r="K255"/>
      <c r="L255"/>
      <c r="M255"/>
      <c r="N255"/>
      <c r="O255"/>
      <c r="P255"/>
      <c r="Q255"/>
      <c r="R255"/>
      <c r="S255" s="56">
        <f t="shared" si="9"/>
        <v>48</v>
      </c>
      <c r="T255" s="57" t="str">
        <f t="shared" si="10"/>
        <v>31-60 Days</v>
      </c>
      <c r="U255" s="58" t="str">
        <f t="shared" si="11"/>
        <v>Especially Mentioned</v>
      </c>
    </row>
    <row r="256" spans="1:21" ht="23.25" customHeight="1" x14ac:dyDescent="0.35">
      <c r="A256" t="s">
        <v>690</v>
      </c>
      <c r="B256" t="s">
        <v>690</v>
      </c>
      <c r="C256">
        <v>0</v>
      </c>
      <c r="D256">
        <v>8960046</v>
      </c>
      <c r="E256" t="s">
        <v>709</v>
      </c>
      <c r="F256" t="s">
        <v>57</v>
      </c>
      <c r="G256" t="s">
        <v>57</v>
      </c>
      <c r="H256" t="s">
        <v>710</v>
      </c>
      <c r="I256"/>
      <c r="J256"/>
      <c r="K256"/>
      <c r="L256"/>
      <c r="M256"/>
      <c r="N256"/>
      <c r="O256"/>
      <c r="P256"/>
      <c r="Q256"/>
      <c r="R256"/>
      <c r="S256" s="56">
        <f t="shared" si="9"/>
        <v>48</v>
      </c>
      <c r="T256" s="57" t="str">
        <f t="shared" si="10"/>
        <v>31-60 Days</v>
      </c>
      <c r="U256" s="58" t="str">
        <f t="shared" si="11"/>
        <v>Not Applicable</v>
      </c>
    </row>
    <row r="257" spans="1:21" ht="23.25" customHeight="1" x14ac:dyDescent="0.35">
      <c r="A257" t="s">
        <v>690</v>
      </c>
      <c r="B257" t="s">
        <v>690</v>
      </c>
      <c r="C257">
        <v>186430.58</v>
      </c>
      <c r="D257">
        <v>0</v>
      </c>
      <c r="E257" t="s">
        <v>711</v>
      </c>
      <c r="F257" t="s">
        <v>57</v>
      </c>
      <c r="G257" t="s">
        <v>57</v>
      </c>
      <c r="H257" t="s">
        <v>712</v>
      </c>
      <c r="I257"/>
      <c r="J257"/>
      <c r="K257"/>
      <c r="L257"/>
      <c r="M257"/>
      <c r="N257"/>
      <c r="O257"/>
      <c r="P257"/>
      <c r="Q257"/>
      <c r="R257"/>
      <c r="S257" s="56">
        <f t="shared" si="9"/>
        <v>48</v>
      </c>
      <c r="T257" s="57" t="str">
        <f t="shared" si="10"/>
        <v>31-60 Days</v>
      </c>
      <c r="U257" s="58" t="str">
        <f t="shared" si="11"/>
        <v>Especially Mentioned</v>
      </c>
    </row>
    <row r="258" spans="1:21" ht="23.25" customHeight="1" x14ac:dyDescent="0.35">
      <c r="A258" t="s">
        <v>690</v>
      </c>
      <c r="B258" t="s">
        <v>690</v>
      </c>
      <c r="C258">
        <v>0</v>
      </c>
      <c r="D258">
        <v>199</v>
      </c>
      <c r="E258" t="s">
        <v>713</v>
      </c>
      <c r="F258" t="s">
        <v>714</v>
      </c>
      <c r="G258" t="s">
        <v>57</v>
      </c>
      <c r="H258" t="s">
        <v>715</v>
      </c>
      <c r="I258"/>
      <c r="J258"/>
      <c r="K258"/>
      <c r="L258"/>
      <c r="M258"/>
      <c r="N258"/>
      <c r="O258"/>
      <c r="P258"/>
      <c r="Q258"/>
      <c r="R258"/>
      <c r="S258" s="56">
        <f t="shared" si="9"/>
        <v>48</v>
      </c>
      <c r="T258" s="57" t="str">
        <f t="shared" si="10"/>
        <v>31-60 Days</v>
      </c>
      <c r="U258" s="58" t="str">
        <f t="shared" si="11"/>
        <v>Not Applicable</v>
      </c>
    </row>
    <row r="259" spans="1:21" ht="23.25" customHeight="1" x14ac:dyDescent="0.35">
      <c r="A259" t="s">
        <v>690</v>
      </c>
      <c r="B259" t="s">
        <v>690</v>
      </c>
      <c r="C259">
        <v>5000000</v>
      </c>
      <c r="D259">
        <v>0</v>
      </c>
      <c r="E259" t="s">
        <v>716</v>
      </c>
      <c r="F259" t="s">
        <v>57</v>
      </c>
      <c r="G259" t="s">
        <v>57</v>
      </c>
      <c r="H259" t="s">
        <v>717</v>
      </c>
      <c r="I259"/>
      <c r="J259"/>
      <c r="K259"/>
      <c r="L259"/>
      <c r="M259"/>
      <c r="N259"/>
      <c r="O259"/>
      <c r="P259"/>
      <c r="Q259"/>
      <c r="R259"/>
      <c r="S259" s="56">
        <f t="shared" si="9"/>
        <v>48</v>
      </c>
      <c r="T259" s="57" t="str">
        <f t="shared" si="10"/>
        <v>31-60 Days</v>
      </c>
      <c r="U259" s="58" t="str">
        <f t="shared" si="11"/>
        <v>Especially Mentioned</v>
      </c>
    </row>
    <row r="260" spans="1:21" ht="23.25" customHeight="1" x14ac:dyDescent="0.35">
      <c r="A260" t="s">
        <v>690</v>
      </c>
      <c r="B260" t="s">
        <v>690</v>
      </c>
      <c r="C260">
        <v>0</v>
      </c>
      <c r="D260">
        <v>1860</v>
      </c>
      <c r="E260" t="s">
        <v>718</v>
      </c>
      <c r="F260" t="s">
        <v>719</v>
      </c>
      <c r="G260" t="s">
        <v>57</v>
      </c>
      <c r="H260" t="s">
        <v>720</v>
      </c>
      <c r="I260"/>
      <c r="J260"/>
      <c r="K260"/>
      <c r="L260"/>
      <c r="M260"/>
      <c r="N260"/>
      <c r="O260"/>
      <c r="P260"/>
      <c r="Q260"/>
      <c r="R260"/>
      <c r="S260" s="56">
        <f t="shared" si="9"/>
        <v>48</v>
      </c>
      <c r="T260" s="57" t="str">
        <f t="shared" si="10"/>
        <v>31-60 Days</v>
      </c>
      <c r="U260" s="58" t="str">
        <f t="shared" si="11"/>
        <v>Not Applicable</v>
      </c>
    </row>
    <row r="261" spans="1:21" ht="23.25" customHeight="1" x14ac:dyDescent="0.35">
      <c r="A261" t="s">
        <v>690</v>
      </c>
      <c r="B261" t="s">
        <v>690</v>
      </c>
      <c r="C261">
        <v>11349.9</v>
      </c>
      <c r="D261">
        <v>0</v>
      </c>
      <c r="E261" t="s">
        <v>721</v>
      </c>
      <c r="F261" t="s">
        <v>57</v>
      </c>
      <c r="G261" t="s">
        <v>57</v>
      </c>
      <c r="H261" t="s">
        <v>722</v>
      </c>
      <c r="I261"/>
      <c r="J261"/>
      <c r="K261"/>
      <c r="L261"/>
      <c r="M261"/>
      <c r="N261"/>
      <c r="O261"/>
      <c r="P261"/>
      <c r="Q261"/>
      <c r="R261"/>
      <c r="S261" s="56">
        <f t="shared" si="9"/>
        <v>48</v>
      </c>
      <c r="T261" s="57" t="str">
        <f t="shared" si="10"/>
        <v>31-60 Days</v>
      </c>
      <c r="U261" s="58" t="str">
        <f t="shared" si="11"/>
        <v>Especially Mentioned</v>
      </c>
    </row>
    <row r="262" spans="1:21" ht="23.25" customHeight="1" x14ac:dyDescent="0.35">
      <c r="A262" t="s">
        <v>690</v>
      </c>
      <c r="B262" t="s">
        <v>690</v>
      </c>
      <c r="C262">
        <v>0</v>
      </c>
      <c r="D262">
        <v>25</v>
      </c>
      <c r="E262" t="s">
        <v>723</v>
      </c>
      <c r="F262" t="s">
        <v>57</v>
      </c>
      <c r="G262" t="s">
        <v>57</v>
      </c>
      <c r="H262" t="s">
        <v>724</v>
      </c>
      <c r="I262"/>
      <c r="J262"/>
      <c r="K262"/>
      <c r="L262"/>
      <c r="M262"/>
      <c r="N262"/>
      <c r="O262"/>
      <c r="P262"/>
      <c r="Q262"/>
      <c r="R262"/>
      <c r="S262" s="56">
        <f t="shared" si="9"/>
        <v>48</v>
      </c>
      <c r="T262" s="57" t="str">
        <f t="shared" si="10"/>
        <v>31-60 Days</v>
      </c>
      <c r="U262" s="58" t="str">
        <f t="shared" si="11"/>
        <v>Not Applicable</v>
      </c>
    </row>
    <row r="263" spans="1:21" ht="23.25" customHeight="1" x14ac:dyDescent="0.35">
      <c r="A263" t="s">
        <v>690</v>
      </c>
      <c r="B263" t="s">
        <v>690</v>
      </c>
      <c r="C263">
        <v>0</v>
      </c>
      <c r="D263">
        <v>437.5</v>
      </c>
      <c r="E263" t="s">
        <v>725</v>
      </c>
      <c r="F263" t="s">
        <v>57</v>
      </c>
      <c r="G263" t="s">
        <v>57</v>
      </c>
      <c r="H263" t="s">
        <v>726</v>
      </c>
      <c r="I263"/>
      <c r="J263"/>
      <c r="K263"/>
      <c r="L263"/>
      <c r="M263"/>
      <c r="N263"/>
      <c r="O263"/>
      <c r="P263"/>
      <c r="Q263"/>
      <c r="R263"/>
      <c r="S263" s="56">
        <f t="shared" si="9"/>
        <v>48</v>
      </c>
      <c r="T263" s="57" t="str">
        <f t="shared" si="10"/>
        <v>31-60 Days</v>
      </c>
      <c r="U263" s="58" t="str">
        <f t="shared" si="11"/>
        <v>Not Applicable</v>
      </c>
    </row>
    <row r="264" spans="1:21" ht="23.25" customHeight="1" x14ac:dyDescent="0.35">
      <c r="A264" t="s">
        <v>690</v>
      </c>
      <c r="B264" t="s">
        <v>690</v>
      </c>
      <c r="C264">
        <v>0</v>
      </c>
      <c r="D264">
        <v>2760</v>
      </c>
      <c r="E264" t="s">
        <v>727</v>
      </c>
      <c r="F264" t="s">
        <v>57</v>
      </c>
      <c r="G264" t="s">
        <v>57</v>
      </c>
      <c r="H264" t="s">
        <v>728</v>
      </c>
      <c r="I264"/>
      <c r="J264"/>
      <c r="K264"/>
      <c r="L264"/>
      <c r="M264"/>
      <c r="N264"/>
      <c r="O264"/>
      <c r="P264"/>
      <c r="Q264"/>
      <c r="R264"/>
      <c r="S264" s="56">
        <f t="shared" si="9"/>
        <v>48</v>
      </c>
      <c r="T264" s="57" t="str">
        <f t="shared" si="10"/>
        <v>31-60 Days</v>
      </c>
      <c r="U264" s="58" t="str">
        <f t="shared" si="11"/>
        <v>Not Applicable</v>
      </c>
    </row>
    <row r="265" spans="1:21" ht="23.25" customHeight="1" x14ac:dyDescent="0.35">
      <c r="A265" t="s">
        <v>690</v>
      </c>
      <c r="B265" t="s">
        <v>690</v>
      </c>
      <c r="C265">
        <v>0</v>
      </c>
      <c r="D265">
        <v>437.5</v>
      </c>
      <c r="E265" t="s">
        <v>729</v>
      </c>
      <c r="F265" t="s">
        <v>57</v>
      </c>
      <c r="G265" t="s">
        <v>57</v>
      </c>
      <c r="H265" t="s">
        <v>730</v>
      </c>
      <c r="I265"/>
      <c r="J265"/>
      <c r="K265"/>
      <c r="L265"/>
      <c r="M265"/>
      <c r="N265"/>
      <c r="O265"/>
      <c r="P265"/>
      <c r="Q265"/>
      <c r="R265"/>
      <c r="S265" s="56">
        <f t="shared" ref="S265:S328" si="12">IF(A265="","",A$5-A265)</f>
        <v>48</v>
      </c>
      <c r="T265" s="57" t="str">
        <f t="shared" ref="T265:T328" si="13">IF(S265="","",IF(S265&lt;4,"0-3 Days",IF(S265&lt;31,"4-30 Days",IF(S265&lt;61,"31-60 Days",IF(S265&lt;=90,"61-90 Days",IF(S265&gt;90,"Above 90 Days","0"))))))</f>
        <v>31-60 Days</v>
      </c>
      <c r="U265" s="58" t="str">
        <f t="shared" ref="U265:U328" si="14">IF(C265="","",IF(C265&gt;0,IF(S265&lt;30,"Normal",IF(S265&lt;60,"Especially Mentioned",IF(S265&lt;90,"Substandard",IF(S265&lt;=180,"Doubtful",IF(S265&gt;180,"Loss","0"))))),"Not Applicable"))</f>
        <v>Not Applicable</v>
      </c>
    </row>
    <row r="266" spans="1:21" ht="23.25" customHeight="1" x14ac:dyDescent="0.35">
      <c r="A266" t="s">
        <v>690</v>
      </c>
      <c r="B266" t="s">
        <v>690</v>
      </c>
      <c r="C266">
        <v>0</v>
      </c>
      <c r="D266">
        <v>437.5</v>
      </c>
      <c r="E266" t="s">
        <v>731</v>
      </c>
      <c r="F266" t="s">
        <v>57</v>
      </c>
      <c r="G266" t="s">
        <v>57</v>
      </c>
      <c r="H266" t="s">
        <v>732</v>
      </c>
      <c r="I266"/>
      <c r="J266"/>
      <c r="K266"/>
      <c r="L266"/>
      <c r="M266"/>
      <c r="N266"/>
      <c r="O266"/>
      <c r="P266"/>
      <c r="Q266"/>
      <c r="R266"/>
      <c r="S266" s="56">
        <f t="shared" si="12"/>
        <v>48</v>
      </c>
      <c r="T266" s="57" t="str">
        <f t="shared" si="13"/>
        <v>31-60 Days</v>
      </c>
      <c r="U266" s="58" t="str">
        <f t="shared" si="14"/>
        <v>Not Applicable</v>
      </c>
    </row>
    <row r="267" spans="1:21" ht="23.25" customHeight="1" x14ac:dyDescent="0.35">
      <c r="A267" t="s">
        <v>690</v>
      </c>
      <c r="B267" t="s">
        <v>690</v>
      </c>
      <c r="C267">
        <v>0</v>
      </c>
      <c r="D267">
        <v>1093.75</v>
      </c>
      <c r="E267" t="s">
        <v>733</v>
      </c>
      <c r="F267" t="s">
        <v>57</v>
      </c>
      <c r="G267" t="s">
        <v>57</v>
      </c>
      <c r="H267" t="s">
        <v>734</v>
      </c>
      <c r="I267"/>
      <c r="J267"/>
      <c r="K267"/>
      <c r="L267"/>
      <c r="M267"/>
      <c r="N267"/>
      <c r="O267"/>
      <c r="P267"/>
      <c r="Q267"/>
      <c r="R267"/>
      <c r="S267" s="56">
        <f t="shared" si="12"/>
        <v>48</v>
      </c>
      <c r="T267" s="57" t="str">
        <f t="shared" si="13"/>
        <v>31-60 Days</v>
      </c>
      <c r="U267" s="58" t="str">
        <f t="shared" si="14"/>
        <v>Not Applicable</v>
      </c>
    </row>
    <row r="268" spans="1:21" ht="23.25" customHeight="1" x14ac:dyDescent="0.35">
      <c r="A268" t="s">
        <v>690</v>
      </c>
      <c r="B268" t="s">
        <v>690</v>
      </c>
      <c r="C268">
        <v>0</v>
      </c>
      <c r="D268">
        <v>110000</v>
      </c>
      <c r="E268" t="s">
        <v>735</v>
      </c>
      <c r="F268" t="s">
        <v>57</v>
      </c>
      <c r="G268" t="s">
        <v>57</v>
      </c>
      <c r="H268" t="s">
        <v>736</v>
      </c>
      <c r="I268"/>
      <c r="J268"/>
      <c r="K268"/>
      <c r="L268"/>
      <c r="M268"/>
      <c r="N268"/>
      <c r="O268"/>
      <c r="P268"/>
      <c r="Q268"/>
      <c r="R268"/>
      <c r="S268" s="56">
        <f t="shared" si="12"/>
        <v>48</v>
      </c>
      <c r="T268" s="57" t="str">
        <f t="shared" si="13"/>
        <v>31-60 Days</v>
      </c>
      <c r="U268" s="58" t="str">
        <f t="shared" si="14"/>
        <v>Not Applicable</v>
      </c>
    </row>
    <row r="269" spans="1:21" ht="23.25" customHeight="1" x14ac:dyDescent="0.35">
      <c r="A269" t="s">
        <v>690</v>
      </c>
      <c r="B269" t="s">
        <v>690</v>
      </c>
      <c r="C269">
        <v>900</v>
      </c>
      <c r="D269">
        <v>0</v>
      </c>
      <c r="E269" t="s">
        <v>737</v>
      </c>
      <c r="F269" t="s">
        <v>57</v>
      </c>
      <c r="G269" t="s">
        <v>57</v>
      </c>
      <c r="H269" t="s">
        <v>738</v>
      </c>
      <c r="I269"/>
      <c r="J269"/>
      <c r="K269"/>
      <c r="L269"/>
      <c r="M269"/>
      <c r="N269"/>
      <c r="O269"/>
      <c r="P269"/>
      <c r="Q269"/>
      <c r="R269"/>
      <c r="S269" s="56">
        <f t="shared" si="12"/>
        <v>48</v>
      </c>
      <c r="T269" s="57" t="str">
        <f t="shared" si="13"/>
        <v>31-60 Days</v>
      </c>
      <c r="U269" s="58" t="str">
        <f t="shared" si="14"/>
        <v>Especially Mentioned</v>
      </c>
    </row>
    <row r="270" spans="1:21" ht="23.25" customHeight="1" x14ac:dyDescent="0.35">
      <c r="A270" t="s">
        <v>690</v>
      </c>
      <c r="B270" t="s">
        <v>690</v>
      </c>
      <c r="C270">
        <v>100000</v>
      </c>
      <c r="D270">
        <v>0</v>
      </c>
      <c r="E270" t="s">
        <v>739</v>
      </c>
      <c r="F270" t="s">
        <v>57</v>
      </c>
      <c r="G270" t="s">
        <v>57</v>
      </c>
      <c r="H270" t="s">
        <v>740</v>
      </c>
      <c r="I270"/>
      <c r="J270"/>
      <c r="K270"/>
      <c r="L270"/>
      <c r="M270"/>
      <c r="N270"/>
      <c r="O270"/>
      <c r="P270"/>
      <c r="Q270"/>
      <c r="R270"/>
      <c r="S270" s="56">
        <f t="shared" si="12"/>
        <v>48</v>
      </c>
      <c r="T270" s="57" t="str">
        <f t="shared" si="13"/>
        <v>31-60 Days</v>
      </c>
      <c r="U270" s="58" t="str">
        <f t="shared" si="14"/>
        <v>Especially Mentioned</v>
      </c>
    </row>
    <row r="271" spans="1:21" ht="23.25" customHeight="1" x14ac:dyDescent="0.35">
      <c r="A271" t="s">
        <v>690</v>
      </c>
      <c r="B271" t="s">
        <v>690</v>
      </c>
      <c r="C271">
        <v>0</v>
      </c>
      <c r="D271">
        <v>2538</v>
      </c>
      <c r="E271" t="s">
        <v>741</v>
      </c>
      <c r="F271" t="s">
        <v>57</v>
      </c>
      <c r="G271" t="s">
        <v>57</v>
      </c>
      <c r="H271" t="s">
        <v>742</v>
      </c>
      <c r="I271"/>
      <c r="J271"/>
      <c r="K271"/>
      <c r="L271"/>
      <c r="M271"/>
      <c r="N271"/>
      <c r="O271"/>
      <c r="P271"/>
      <c r="Q271"/>
      <c r="R271"/>
      <c r="S271" s="56">
        <f t="shared" si="12"/>
        <v>48</v>
      </c>
      <c r="T271" s="57" t="str">
        <f t="shared" si="13"/>
        <v>31-60 Days</v>
      </c>
      <c r="U271" s="58" t="str">
        <f t="shared" si="14"/>
        <v>Not Applicable</v>
      </c>
    </row>
    <row r="272" spans="1:21" ht="23.25" customHeight="1" x14ac:dyDescent="0.35">
      <c r="A272" t="s">
        <v>743</v>
      </c>
      <c r="B272" t="s">
        <v>743</v>
      </c>
      <c r="C272">
        <v>240</v>
      </c>
      <c r="D272">
        <v>0</v>
      </c>
      <c r="E272" t="s">
        <v>744</v>
      </c>
      <c r="F272" t="s">
        <v>57</v>
      </c>
      <c r="G272" t="s">
        <v>57</v>
      </c>
      <c r="H272" t="s">
        <v>745</v>
      </c>
      <c r="I272"/>
      <c r="J272"/>
      <c r="K272"/>
      <c r="L272"/>
      <c r="M272"/>
      <c r="N272"/>
      <c r="O272"/>
      <c r="P272"/>
      <c r="Q272"/>
      <c r="R272"/>
      <c r="S272" s="56">
        <f t="shared" si="12"/>
        <v>47</v>
      </c>
      <c r="T272" s="57" t="str">
        <f t="shared" si="13"/>
        <v>31-60 Days</v>
      </c>
      <c r="U272" s="58" t="str">
        <f t="shared" si="14"/>
        <v>Especially Mentioned</v>
      </c>
    </row>
    <row r="273" spans="1:21" ht="23.25" customHeight="1" x14ac:dyDescent="0.35">
      <c r="A273" t="s">
        <v>743</v>
      </c>
      <c r="B273" t="s">
        <v>743</v>
      </c>
      <c r="C273">
        <v>0</v>
      </c>
      <c r="D273">
        <v>100000</v>
      </c>
      <c r="E273" t="s">
        <v>746</v>
      </c>
      <c r="F273" t="s">
        <v>57</v>
      </c>
      <c r="G273" t="s">
        <v>57</v>
      </c>
      <c r="H273" t="s">
        <v>747</v>
      </c>
      <c r="I273"/>
      <c r="J273"/>
      <c r="K273"/>
      <c r="L273"/>
      <c r="M273"/>
      <c r="N273"/>
      <c r="O273"/>
      <c r="P273"/>
      <c r="Q273"/>
      <c r="R273"/>
      <c r="S273" s="56">
        <f t="shared" si="12"/>
        <v>47</v>
      </c>
      <c r="T273" s="57" t="str">
        <f t="shared" si="13"/>
        <v>31-60 Days</v>
      </c>
      <c r="U273" s="58" t="str">
        <f t="shared" si="14"/>
        <v>Not Applicable</v>
      </c>
    </row>
    <row r="274" spans="1:21" ht="23.25" customHeight="1" x14ac:dyDescent="0.35">
      <c r="A274" t="s">
        <v>743</v>
      </c>
      <c r="B274" t="s">
        <v>743</v>
      </c>
      <c r="C274">
        <v>0</v>
      </c>
      <c r="D274">
        <v>5000451.3899999997</v>
      </c>
      <c r="E274" t="s">
        <v>748</v>
      </c>
      <c r="F274" t="s">
        <v>57</v>
      </c>
      <c r="G274" t="s">
        <v>57</v>
      </c>
      <c r="H274" t="s">
        <v>749</v>
      </c>
      <c r="I274"/>
      <c r="J274"/>
      <c r="K274"/>
      <c r="L274"/>
      <c r="M274"/>
      <c r="N274"/>
      <c r="O274"/>
      <c r="P274"/>
      <c r="Q274"/>
      <c r="R274"/>
      <c r="S274" s="56">
        <f t="shared" si="12"/>
        <v>47</v>
      </c>
      <c r="T274" s="57" t="str">
        <f t="shared" si="13"/>
        <v>31-60 Days</v>
      </c>
      <c r="U274" s="58" t="str">
        <f t="shared" si="14"/>
        <v>Not Applicable</v>
      </c>
    </row>
    <row r="275" spans="1:21" ht="23.25" customHeight="1" x14ac:dyDescent="0.35">
      <c r="A275" t="s">
        <v>743</v>
      </c>
      <c r="B275" t="s">
        <v>743</v>
      </c>
      <c r="C275">
        <v>2229606.12</v>
      </c>
      <c r="D275">
        <v>0</v>
      </c>
      <c r="E275" t="s">
        <v>750</v>
      </c>
      <c r="F275" t="s">
        <v>57</v>
      </c>
      <c r="G275" t="s">
        <v>57</v>
      </c>
      <c r="H275" t="s">
        <v>751</v>
      </c>
      <c r="I275"/>
      <c r="J275"/>
      <c r="K275"/>
      <c r="L275"/>
      <c r="M275"/>
      <c r="N275"/>
      <c r="O275"/>
      <c r="P275"/>
      <c r="Q275"/>
      <c r="R275"/>
      <c r="S275" s="56">
        <f t="shared" si="12"/>
        <v>47</v>
      </c>
      <c r="T275" s="57" t="str">
        <f t="shared" si="13"/>
        <v>31-60 Days</v>
      </c>
      <c r="U275" s="58" t="str">
        <f t="shared" si="14"/>
        <v>Especially Mentioned</v>
      </c>
    </row>
    <row r="276" spans="1:21" ht="23.25" customHeight="1" x14ac:dyDescent="0.35">
      <c r="A276" t="s">
        <v>743</v>
      </c>
      <c r="B276" t="s">
        <v>743</v>
      </c>
      <c r="C276">
        <v>100</v>
      </c>
      <c r="D276">
        <v>0</v>
      </c>
      <c r="E276" t="s">
        <v>752</v>
      </c>
      <c r="F276" t="s">
        <v>753</v>
      </c>
      <c r="G276" t="s">
        <v>57</v>
      </c>
      <c r="H276" t="s">
        <v>754</v>
      </c>
      <c r="I276"/>
      <c r="J276"/>
      <c r="K276"/>
      <c r="L276"/>
      <c r="M276"/>
      <c r="N276"/>
      <c r="O276"/>
      <c r="P276"/>
      <c r="Q276"/>
      <c r="R276"/>
      <c r="S276" s="56">
        <f t="shared" si="12"/>
        <v>47</v>
      </c>
      <c r="T276" s="57" t="str">
        <f t="shared" si="13"/>
        <v>31-60 Days</v>
      </c>
      <c r="U276" s="58" t="str">
        <f t="shared" si="14"/>
        <v>Especially Mentioned</v>
      </c>
    </row>
    <row r="277" spans="1:21" ht="23.25" customHeight="1" x14ac:dyDescent="0.35">
      <c r="A277" t="s">
        <v>743</v>
      </c>
      <c r="B277" t="s">
        <v>743</v>
      </c>
      <c r="C277">
        <v>240</v>
      </c>
      <c r="D277">
        <v>0</v>
      </c>
      <c r="E277" t="s">
        <v>755</v>
      </c>
      <c r="F277" t="s">
        <v>57</v>
      </c>
      <c r="G277" t="s">
        <v>57</v>
      </c>
      <c r="H277" t="s">
        <v>756</v>
      </c>
      <c r="I277"/>
      <c r="J277"/>
      <c r="K277"/>
      <c r="L277"/>
      <c r="M277"/>
      <c r="N277"/>
      <c r="O277"/>
      <c r="P277"/>
      <c r="Q277"/>
      <c r="R277"/>
      <c r="S277" s="56">
        <f t="shared" si="12"/>
        <v>47</v>
      </c>
      <c r="T277" s="57" t="str">
        <f t="shared" si="13"/>
        <v>31-60 Days</v>
      </c>
      <c r="U277" s="58" t="str">
        <f t="shared" si="14"/>
        <v>Especially Mentioned</v>
      </c>
    </row>
    <row r="278" spans="1:21" ht="23.25" customHeight="1" x14ac:dyDescent="0.35">
      <c r="A278" t="s">
        <v>743</v>
      </c>
      <c r="B278" t="s">
        <v>743</v>
      </c>
      <c r="C278">
        <v>0</v>
      </c>
      <c r="D278">
        <v>100</v>
      </c>
      <c r="E278" t="s">
        <v>757</v>
      </c>
      <c r="F278" t="s">
        <v>758</v>
      </c>
      <c r="G278" t="s">
        <v>57</v>
      </c>
      <c r="H278" t="s">
        <v>759</v>
      </c>
      <c r="I278"/>
      <c r="J278"/>
      <c r="K278"/>
      <c r="L278"/>
      <c r="M278"/>
      <c r="N278"/>
      <c r="O278"/>
      <c r="P278"/>
      <c r="Q278"/>
      <c r="R278"/>
      <c r="S278" s="56">
        <f t="shared" si="12"/>
        <v>47</v>
      </c>
      <c r="T278" s="57" t="str">
        <f t="shared" si="13"/>
        <v>31-60 Days</v>
      </c>
      <c r="U278" s="58" t="str">
        <f t="shared" si="14"/>
        <v>Not Applicable</v>
      </c>
    </row>
    <row r="279" spans="1:21" ht="23.25" customHeight="1" x14ac:dyDescent="0.35">
      <c r="A279" t="s">
        <v>743</v>
      </c>
      <c r="B279" t="s">
        <v>743</v>
      </c>
      <c r="C279">
        <v>0</v>
      </c>
      <c r="D279">
        <v>2229606.12</v>
      </c>
      <c r="E279" t="s">
        <v>750</v>
      </c>
      <c r="F279" t="s">
        <v>760</v>
      </c>
      <c r="G279" t="s">
        <v>57</v>
      </c>
      <c r="H279"/>
      <c r="I279"/>
      <c r="J279"/>
      <c r="K279"/>
      <c r="L279"/>
      <c r="M279"/>
      <c r="N279"/>
      <c r="O279"/>
      <c r="P279"/>
      <c r="Q279"/>
      <c r="R279"/>
      <c r="S279" s="56">
        <f t="shared" si="12"/>
        <v>47</v>
      </c>
      <c r="T279" s="57" t="str">
        <f t="shared" si="13"/>
        <v>31-60 Days</v>
      </c>
      <c r="U279" s="58" t="str">
        <f t="shared" si="14"/>
        <v>Not Applicable</v>
      </c>
    </row>
    <row r="280" spans="1:21" ht="23.25" customHeight="1" x14ac:dyDescent="0.35">
      <c r="A280" t="s">
        <v>743</v>
      </c>
      <c r="B280" t="s">
        <v>743</v>
      </c>
      <c r="C280">
        <v>28715.47</v>
      </c>
      <c r="D280">
        <v>0</v>
      </c>
      <c r="E280" t="s">
        <v>761</v>
      </c>
      <c r="F280" t="s">
        <v>57</v>
      </c>
      <c r="G280" t="s">
        <v>57</v>
      </c>
      <c r="H280" t="s">
        <v>762</v>
      </c>
      <c r="I280"/>
      <c r="J280"/>
      <c r="K280"/>
      <c r="L280"/>
      <c r="M280"/>
      <c r="N280"/>
      <c r="O280"/>
      <c r="P280"/>
      <c r="Q280"/>
      <c r="R280"/>
      <c r="S280" s="56">
        <f t="shared" si="12"/>
        <v>47</v>
      </c>
      <c r="T280" s="57" t="str">
        <f t="shared" si="13"/>
        <v>31-60 Days</v>
      </c>
      <c r="U280" s="58" t="str">
        <f t="shared" si="14"/>
        <v>Especially Mentioned</v>
      </c>
    </row>
    <row r="281" spans="1:21" ht="23.25" customHeight="1" x14ac:dyDescent="0.35">
      <c r="A281" t="s">
        <v>763</v>
      </c>
      <c r="B281" t="s">
        <v>763</v>
      </c>
      <c r="C281">
        <v>1000000</v>
      </c>
      <c r="D281">
        <v>0</v>
      </c>
      <c r="E281" t="s">
        <v>764</v>
      </c>
      <c r="F281" t="s">
        <v>57</v>
      </c>
      <c r="G281" t="s">
        <v>57</v>
      </c>
      <c r="H281" t="s">
        <v>765</v>
      </c>
      <c r="I281"/>
      <c r="J281"/>
      <c r="K281"/>
      <c r="L281"/>
      <c r="M281"/>
      <c r="N281"/>
      <c r="O281"/>
      <c r="P281"/>
      <c r="Q281"/>
      <c r="R281"/>
      <c r="S281" s="56">
        <f t="shared" si="12"/>
        <v>46</v>
      </c>
      <c r="T281" s="57" t="str">
        <f t="shared" si="13"/>
        <v>31-60 Days</v>
      </c>
      <c r="U281" s="58" t="str">
        <f t="shared" si="14"/>
        <v>Especially Mentioned</v>
      </c>
    </row>
    <row r="282" spans="1:21" ht="23.25" customHeight="1" x14ac:dyDescent="0.35">
      <c r="A282" t="s">
        <v>763</v>
      </c>
      <c r="B282" t="s">
        <v>763</v>
      </c>
      <c r="C282">
        <v>490000</v>
      </c>
      <c r="D282">
        <v>0</v>
      </c>
      <c r="E282" t="s">
        <v>766</v>
      </c>
      <c r="F282" t="s">
        <v>57</v>
      </c>
      <c r="G282" t="s">
        <v>57</v>
      </c>
      <c r="H282" t="s">
        <v>767</v>
      </c>
      <c r="I282"/>
      <c r="J282"/>
      <c r="K282"/>
      <c r="L282"/>
      <c r="M282"/>
      <c r="N282"/>
      <c r="O282"/>
      <c r="P282"/>
      <c r="Q282"/>
      <c r="R282"/>
      <c r="S282" s="56">
        <f t="shared" si="12"/>
        <v>46</v>
      </c>
      <c r="T282" s="57" t="str">
        <f t="shared" si="13"/>
        <v>31-60 Days</v>
      </c>
      <c r="U282" s="58" t="str">
        <f t="shared" si="14"/>
        <v>Especially Mentioned</v>
      </c>
    </row>
    <row r="283" spans="1:21" ht="23.25" customHeight="1" x14ac:dyDescent="0.35">
      <c r="A283" t="s">
        <v>763</v>
      </c>
      <c r="B283" t="s">
        <v>763</v>
      </c>
      <c r="C283">
        <v>0</v>
      </c>
      <c r="D283">
        <v>1000000</v>
      </c>
      <c r="E283" t="s">
        <v>768</v>
      </c>
      <c r="F283" t="s">
        <v>57</v>
      </c>
      <c r="G283" t="s">
        <v>57</v>
      </c>
      <c r="H283" t="s">
        <v>769</v>
      </c>
      <c r="I283"/>
      <c r="J283"/>
      <c r="K283"/>
      <c r="L283"/>
      <c r="M283"/>
      <c r="N283"/>
      <c r="O283"/>
      <c r="P283"/>
      <c r="Q283"/>
      <c r="R283"/>
      <c r="S283" s="56">
        <f t="shared" si="12"/>
        <v>46</v>
      </c>
      <c r="T283" s="57" t="str">
        <f t="shared" si="13"/>
        <v>31-60 Days</v>
      </c>
      <c r="U283" s="58" t="str">
        <f t="shared" si="14"/>
        <v>Not Applicable</v>
      </c>
    </row>
    <row r="284" spans="1:21" ht="23.25" customHeight="1" x14ac:dyDescent="0.35">
      <c r="A284" t="s">
        <v>763</v>
      </c>
      <c r="B284" t="s">
        <v>763</v>
      </c>
      <c r="C284">
        <v>400000</v>
      </c>
      <c r="D284">
        <v>0</v>
      </c>
      <c r="E284" t="s">
        <v>770</v>
      </c>
      <c r="F284" t="s">
        <v>57</v>
      </c>
      <c r="G284" t="s">
        <v>57</v>
      </c>
      <c r="H284" t="s">
        <v>771</v>
      </c>
      <c r="I284"/>
      <c r="J284"/>
      <c r="K284"/>
      <c r="L284"/>
      <c r="M284"/>
      <c r="N284"/>
      <c r="O284"/>
      <c r="P284"/>
      <c r="Q284"/>
      <c r="R284"/>
      <c r="S284" s="56">
        <f t="shared" si="12"/>
        <v>46</v>
      </c>
      <c r="T284" s="57" t="str">
        <f t="shared" si="13"/>
        <v>31-60 Days</v>
      </c>
      <c r="U284" s="58" t="str">
        <f t="shared" si="14"/>
        <v>Especially Mentioned</v>
      </c>
    </row>
    <row r="285" spans="1:21" ht="23.25" customHeight="1" x14ac:dyDescent="0.35">
      <c r="A285" t="s">
        <v>772</v>
      </c>
      <c r="B285" t="s">
        <v>772</v>
      </c>
      <c r="C285">
        <v>0</v>
      </c>
      <c r="D285">
        <v>15300</v>
      </c>
      <c r="E285" t="s">
        <v>773</v>
      </c>
      <c r="F285" t="s">
        <v>774</v>
      </c>
      <c r="G285" t="s">
        <v>57</v>
      </c>
      <c r="H285" t="s">
        <v>775</v>
      </c>
      <c r="I285"/>
      <c r="J285"/>
      <c r="K285"/>
      <c r="L285"/>
      <c r="M285"/>
      <c r="N285"/>
      <c r="O285"/>
      <c r="P285"/>
      <c r="Q285"/>
      <c r="R285"/>
      <c r="S285" s="56">
        <f t="shared" si="12"/>
        <v>45</v>
      </c>
      <c r="T285" s="57" t="str">
        <f t="shared" si="13"/>
        <v>31-60 Days</v>
      </c>
      <c r="U285" s="58" t="str">
        <f t="shared" si="14"/>
        <v>Not Applicable</v>
      </c>
    </row>
    <row r="286" spans="1:21" ht="23.25" customHeight="1" x14ac:dyDescent="0.35">
      <c r="A286" t="s">
        <v>772</v>
      </c>
      <c r="B286" t="s">
        <v>772</v>
      </c>
      <c r="C286">
        <v>240</v>
      </c>
      <c r="D286">
        <v>0</v>
      </c>
      <c r="E286" t="s">
        <v>776</v>
      </c>
      <c r="F286" t="s">
        <v>57</v>
      </c>
      <c r="G286" t="s">
        <v>57</v>
      </c>
      <c r="H286" t="s">
        <v>777</v>
      </c>
      <c r="I286"/>
      <c r="J286"/>
      <c r="K286"/>
      <c r="L286"/>
      <c r="M286"/>
      <c r="N286"/>
      <c r="O286"/>
      <c r="P286"/>
      <c r="Q286"/>
      <c r="R286"/>
      <c r="S286" s="56">
        <f t="shared" si="12"/>
        <v>45</v>
      </c>
      <c r="T286" s="57" t="str">
        <f t="shared" si="13"/>
        <v>31-60 Days</v>
      </c>
      <c r="U286" s="58" t="str">
        <f t="shared" si="14"/>
        <v>Especially Mentioned</v>
      </c>
    </row>
    <row r="287" spans="1:21" ht="23.25" customHeight="1" x14ac:dyDescent="0.35">
      <c r="A287" t="s">
        <v>772</v>
      </c>
      <c r="B287" t="s">
        <v>772</v>
      </c>
      <c r="C287">
        <v>0</v>
      </c>
      <c r="D287">
        <v>600000</v>
      </c>
      <c r="E287" t="s">
        <v>778</v>
      </c>
      <c r="F287" t="s">
        <v>57</v>
      </c>
      <c r="G287" t="s">
        <v>57</v>
      </c>
      <c r="H287" t="s">
        <v>779</v>
      </c>
      <c r="I287"/>
      <c r="J287"/>
      <c r="K287"/>
      <c r="L287"/>
      <c r="M287"/>
      <c r="N287"/>
      <c r="O287"/>
      <c r="P287"/>
      <c r="Q287"/>
      <c r="R287"/>
      <c r="S287" s="56">
        <f t="shared" si="12"/>
        <v>45</v>
      </c>
      <c r="T287" s="57" t="str">
        <f t="shared" si="13"/>
        <v>31-60 Days</v>
      </c>
      <c r="U287" s="58" t="str">
        <f t="shared" si="14"/>
        <v>Not Applicable</v>
      </c>
    </row>
    <row r="288" spans="1:21" ht="23.25" customHeight="1" x14ac:dyDescent="0.35">
      <c r="A288" t="s">
        <v>772</v>
      </c>
      <c r="B288" t="s">
        <v>772</v>
      </c>
      <c r="C288">
        <v>0</v>
      </c>
      <c r="D288">
        <v>1500000</v>
      </c>
      <c r="E288" t="s">
        <v>780</v>
      </c>
      <c r="F288" t="s">
        <v>57</v>
      </c>
      <c r="G288" t="s">
        <v>57</v>
      </c>
      <c r="H288" t="s">
        <v>781</v>
      </c>
      <c r="I288"/>
      <c r="J288"/>
      <c r="K288"/>
      <c r="L288"/>
      <c r="M288"/>
      <c r="N288"/>
      <c r="O288"/>
      <c r="P288"/>
      <c r="Q288"/>
      <c r="R288"/>
      <c r="S288" s="56">
        <f t="shared" si="12"/>
        <v>45</v>
      </c>
      <c r="T288" s="57" t="str">
        <f t="shared" si="13"/>
        <v>31-60 Days</v>
      </c>
      <c r="U288" s="58" t="str">
        <f t="shared" si="14"/>
        <v>Not Applicable</v>
      </c>
    </row>
    <row r="289" spans="1:21" ht="23.25" customHeight="1" x14ac:dyDescent="0.35">
      <c r="A289" t="s">
        <v>772</v>
      </c>
      <c r="B289" t="s">
        <v>772</v>
      </c>
      <c r="C289">
        <v>2500000</v>
      </c>
      <c r="D289">
        <v>0</v>
      </c>
      <c r="E289" t="s">
        <v>782</v>
      </c>
      <c r="F289" t="s">
        <v>57</v>
      </c>
      <c r="G289" t="s">
        <v>57</v>
      </c>
      <c r="H289" t="s">
        <v>783</v>
      </c>
      <c r="I289"/>
      <c r="J289"/>
      <c r="K289"/>
      <c r="L289"/>
      <c r="M289"/>
      <c r="N289"/>
      <c r="O289"/>
      <c r="P289"/>
      <c r="Q289"/>
      <c r="R289"/>
      <c r="S289" s="56">
        <f t="shared" si="12"/>
        <v>45</v>
      </c>
      <c r="T289" s="57" t="str">
        <f t="shared" si="13"/>
        <v>31-60 Days</v>
      </c>
      <c r="U289" s="58" t="str">
        <f t="shared" si="14"/>
        <v>Especially Mentioned</v>
      </c>
    </row>
    <row r="290" spans="1:21" ht="23.25" customHeight="1" x14ac:dyDescent="0.35">
      <c r="A290" t="s">
        <v>772</v>
      </c>
      <c r="B290" t="s">
        <v>772</v>
      </c>
      <c r="C290">
        <v>0</v>
      </c>
      <c r="D290">
        <v>1047103.23</v>
      </c>
      <c r="E290" t="s">
        <v>784</v>
      </c>
      <c r="F290" t="s">
        <v>57</v>
      </c>
      <c r="G290" t="s">
        <v>57</v>
      </c>
      <c r="H290" t="s">
        <v>785</v>
      </c>
      <c r="I290"/>
      <c r="J290"/>
      <c r="K290"/>
      <c r="L290"/>
      <c r="M290"/>
      <c r="N290"/>
      <c r="O290"/>
      <c r="P290"/>
      <c r="Q290"/>
      <c r="R290"/>
      <c r="S290" s="56">
        <f t="shared" si="12"/>
        <v>45</v>
      </c>
      <c r="T290" s="57" t="str">
        <f t="shared" si="13"/>
        <v>31-60 Days</v>
      </c>
      <c r="U290" s="58" t="str">
        <f t="shared" si="14"/>
        <v>Not Applicable</v>
      </c>
    </row>
    <row r="291" spans="1:21" ht="23.25" customHeight="1" x14ac:dyDescent="0.35">
      <c r="A291" t="s">
        <v>772</v>
      </c>
      <c r="B291" t="s">
        <v>772</v>
      </c>
      <c r="C291">
        <v>0</v>
      </c>
      <c r="D291">
        <v>4171</v>
      </c>
      <c r="E291" t="s">
        <v>786</v>
      </c>
      <c r="F291" t="s">
        <v>787</v>
      </c>
      <c r="G291" t="s">
        <v>57</v>
      </c>
      <c r="H291" t="s">
        <v>788</v>
      </c>
      <c r="I291"/>
      <c r="J291"/>
      <c r="K291"/>
      <c r="L291"/>
      <c r="M291"/>
      <c r="N291"/>
      <c r="O291"/>
      <c r="P291"/>
      <c r="Q291"/>
      <c r="R291"/>
      <c r="S291" s="56">
        <f t="shared" si="12"/>
        <v>45</v>
      </c>
      <c r="T291" s="57" t="str">
        <f t="shared" si="13"/>
        <v>31-60 Days</v>
      </c>
      <c r="U291" s="58" t="str">
        <f t="shared" si="14"/>
        <v>Not Applicable</v>
      </c>
    </row>
    <row r="292" spans="1:21" ht="23.25" customHeight="1" x14ac:dyDescent="0.35">
      <c r="A292" t="s">
        <v>772</v>
      </c>
      <c r="B292" t="s">
        <v>772</v>
      </c>
      <c r="C292">
        <v>240</v>
      </c>
      <c r="D292">
        <v>0</v>
      </c>
      <c r="E292" t="s">
        <v>789</v>
      </c>
      <c r="F292" t="s">
        <v>57</v>
      </c>
      <c r="G292" t="s">
        <v>57</v>
      </c>
      <c r="H292" t="s">
        <v>790</v>
      </c>
      <c r="I292"/>
      <c r="J292"/>
      <c r="K292"/>
      <c r="L292"/>
      <c r="M292"/>
      <c r="N292"/>
      <c r="O292"/>
      <c r="P292"/>
      <c r="Q292"/>
      <c r="R292"/>
      <c r="S292" s="56">
        <f t="shared" si="12"/>
        <v>45</v>
      </c>
      <c r="T292" s="57" t="str">
        <f t="shared" si="13"/>
        <v>31-60 Days</v>
      </c>
      <c r="U292" s="58" t="str">
        <f t="shared" si="14"/>
        <v>Especially Mentioned</v>
      </c>
    </row>
    <row r="293" spans="1:21" ht="23.25" customHeight="1" x14ac:dyDescent="0.35">
      <c r="A293" t="s">
        <v>772</v>
      </c>
      <c r="B293" t="s">
        <v>772</v>
      </c>
      <c r="C293">
        <v>0</v>
      </c>
      <c r="D293">
        <v>1000000</v>
      </c>
      <c r="E293" t="s">
        <v>791</v>
      </c>
      <c r="F293" t="s">
        <v>57</v>
      </c>
      <c r="G293" t="s">
        <v>57</v>
      </c>
      <c r="H293" t="s">
        <v>792</v>
      </c>
      <c r="I293"/>
      <c r="J293"/>
      <c r="K293"/>
      <c r="L293"/>
      <c r="M293"/>
      <c r="N293"/>
      <c r="O293"/>
      <c r="P293"/>
      <c r="Q293"/>
      <c r="R293"/>
      <c r="S293" s="56">
        <f t="shared" si="12"/>
        <v>45</v>
      </c>
      <c r="T293" s="57" t="str">
        <f t="shared" si="13"/>
        <v>31-60 Days</v>
      </c>
      <c r="U293" s="58" t="str">
        <f t="shared" si="14"/>
        <v>Not Applicable</v>
      </c>
    </row>
    <row r="294" spans="1:21" ht="23.25" customHeight="1" x14ac:dyDescent="0.35">
      <c r="A294" t="s">
        <v>793</v>
      </c>
      <c r="B294" t="s">
        <v>793</v>
      </c>
      <c r="C294">
        <v>1812</v>
      </c>
      <c r="D294">
        <v>0</v>
      </c>
      <c r="E294" t="s">
        <v>794</v>
      </c>
      <c r="F294" t="s">
        <v>57</v>
      </c>
      <c r="G294" t="s">
        <v>57</v>
      </c>
      <c r="H294" t="s">
        <v>795</v>
      </c>
      <c r="I294"/>
      <c r="J294"/>
      <c r="K294"/>
      <c r="L294"/>
      <c r="M294"/>
      <c r="N294"/>
      <c r="O294"/>
      <c r="P294"/>
      <c r="Q294"/>
      <c r="R294"/>
      <c r="S294" s="56">
        <f t="shared" si="12"/>
        <v>44</v>
      </c>
      <c r="T294" s="57" t="str">
        <f t="shared" si="13"/>
        <v>31-60 Days</v>
      </c>
      <c r="U294" s="58" t="str">
        <f t="shared" si="14"/>
        <v>Especially Mentioned</v>
      </c>
    </row>
    <row r="295" spans="1:21" ht="23.25" customHeight="1" x14ac:dyDescent="0.35">
      <c r="A295" t="s">
        <v>793</v>
      </c>
      <c r="B295" t="s">
        <v>793</v>
      </c>
      <c r="C295">
        <v>425</v>
      </c>
      <c r="D295">
        <v>0</v>
      </c>
      <c r="E295" t="s">
        <v>796</v>
      </c>
      <c r="F295" t="s">
        <v>57</v>
      </c>
      <c r="G295" t="s">
        <v>57</v>
      </c>
      <c r="H295" t="s">
        <v>797</v>
      </c>
      <c r="I295"/>
      <c r="J295"/>
      <c r="K295"/>
      <c r="L295"/>
      <c r="M295"/>
      <c r="N295"/>
      <c r="O295"/>
      <c r="P295"/>
      <c r="Q295"/>
      <c r="R295"/>
      <c r="S295" s="56">
        <f t="shared" si="12"/>
        <v>44</v>
      </c>
      <c r="T295" s="57" t="str">
        <f t="shared" si="13"/>
        <v>31-60 Days</v>
      </c>
      <c r="U295" s="58" t="str">
        <f t="shared" si="14"/>
        <v>Especially Mentioned</v>
      </c>
    </row>
    <row r="296" spans="1:21" ht="23.25" customHeight="1" x14ac:dyDescent="0.35">
      <c r="A296" t="s">
        <v>793</v>
      </c>
      <c r="B296" t="s">
        <v>793</v>
      </c>
      <c r="C296">
        <v>10600</v>
      </c>
      <c r="D296">
        <v>0</v>
      </c>
      <c r="E296" t="s">
        <v>798</v>
      </c>
      <c r="F296" t="s">
        <v>57</v>
      </c>
      <c r="G296" t="s">
        <v>57</v>
      </c>
      <c r="H296" t="s">
        <v>799</v>
      </c>
      <c r="I296"/>
      <c r="J296"/>
      <c r="K296"/>
      <c r="L296"/>
      <c r="M296"/>
      <c r="N296"/>
      <c r="O296"/>
      <c r="P296"/>
      <c r="Q296"/>
      <c r="R296"/>
      <c r="S296" s="56">
        <f t="shared" si="12"/>
        <v>44</v>
      </c>
      <c r="T296" s="57" t="str">
        <f t="shared" si="13"/>
        <v>31-60 Days</v>
      </c>
      <c r="U296" s="58" t="str">
        <f t="shared" si="14"/>
        <v>Especially Mentioned</v>
      </c>
    </row>
    <row r="297" spans="1:21" ht="23.25" customHeight="1" x14ac:dyDescent="0.35">
      <c r="A297" t="s">
        <v>793</v>
      </c>
      <c r="B297" t="s">
        <v>793</v>
      </c>
      <c r="C297">
        <v>10</v>
      </c>
      <c r="D297">
        <v>0</v>
      </c>
      <c r="E297" t="s">
        <v>800</v>
      </c>
      <c r="F297" t="s">
        <v>57</v>
      </c>
      <c r="G297" t="s">
        <v>57</v>
      </c>
      <c r="H297" t="s">
        <v>801</v>
      </c>
      <c r="I297"/>
      <c r="J297"/>
      <c r="K297"/>
      <c r="L297"/>
      <c r="M297"/>
      <c r="N297"/>
      <c r="O297"/>
      <c r="P297"/>
      <c r="Q297"/>
      <c r="R297"/>
      <c r="S297" s="56">
        <f t="shared" si="12"/>
        <v>44</v>
      </c>
      <c r="T297" s="57" t="str">
        <f t="shared" si="13"/>
        <v>31-60 Days</v>
      </c>
      <c r="U297" s="58" t="str">
        <f t="shared" si="14"/>
        <v>Especially Mentioned</v>
      </c>
    </row>
    <row r="298" spans="1:21" ht="23.25" customHeight="1" x14ac:dyDescent="0.35">
      <c r="A298" t="s">
        <v>793</v>
      </c>
      <c r="B298" t="s">
        <v>793</v>
      </c>
      <c r="C298">
        <v>2500</v>
      </c>
      <c r="D298">
        <v>0</v>
      </c>
      <c r="E298" t="s">
        <v>802</v>
      </c>
      <c r="F298" t="s">
        <v>57</v>
      </c>
      <c r="G298" t="s">
        <v>57</v>
      </c>
      <c r="H298" t="s">
        <v>803</v>
      </c>
      <c r="I298"/>
      <c r="J298"/>
      <c r="K298"/>
      <c r="L298"/>
      <c r="M298"/>
      <c r="N298"/>
      <c r="O298"/>
      <c r="P298"/>
      <c r="Q298"/>
      <c r="R298"/>
      <c r="S298" s="56">
        <f t="shared" si="12"/>
        <v>44</v>
      </c>
      <c r="T298" s="57" t="str">
        <f t="shared" si="13"/>
        <v>31-60 Days</v>
      </c>
      <c r="U298" s="58" t="str">
        <f t="shared" si="14"/>
        <v>Especially Mentioned</v>
      </c>
    </row>
    <row r="299" spans="1:21" ht="23.25" customHeight="1" x14ac:dyDescent="0.35">
      <c r="A299" t="s">
        <v>793</v>
      </c>
      <c r="B299" t="s">
        <v>793</v>
      </c>
      <c r="C299">
        <v>0</v>
      </c>
      <c r="D299">
        <v>150</v>
      </c>
      <c r="E299" t="s">
        <v>804</v>
      </c>
      <c r="F299" t="s">
        <v>644</v>
      </c>
      <c r="G299" t="s">
        <v>57</v>
      </c>
      <c r="H299" t="s">
        <v>805</v>
      </c>
      <c r="I299"/>
      <c r="J299"/>
      <c r="K299"/>
      <c r="L299"/>
      <c r="M299"/>
      <c r="N299"/>
      <c r="O299"/>
      <c r="P299"/>
      <c r="Q299"/>
      <c r="R299"/>
      <c r="S299" s="56">
        <f t="shared" si="12"/>
        <v>44</v>
      </c>
      <c r="T299" s="57" t="str">
        <f t="shared" si="13"/>
        <v>31-60 Days</v>
      </c>
      <c r="U299" s="58" t="str">
        <f t="shared" si="14"/>
        <v>Not Applicable</v>
      </c>
    </row>
    <row r="300" spans="1:21" ht="23.25" customHeight="1" x14ac:dyDescent="0.35">
      <c r="A300" t="s">
        <v>793</v>
      </c>
      <c r="B300" t="s">
        <v>793</v>
      </c>
      <c r="C300">
        <v>110</v>
      </c>
      <c r="D300">
        <v>0</v>
      </c>
      <c r="E300" t="s">
        <v>806</v>
      </c>
      <c r="F300" t="s">
        <v>57</v>
      </c>
      <c r="G300" t="s">
        <v>57</v>
      </c>
      <c r="H300" t="s">
        <v>807</v>
      </c>
      <c r="I300"/>
      <c r="J300"/>
      <c r="K300"/>
      <c r="L300"/>
      <c r="M300"/>
      <c r="N300"/>
      <c r="O300"/>
      <c r="P300"/>
      <c r="Q300"/>
      <c r="R300"/>
      <c r="S300" s="56">
        <f t="shared" si="12"/>
        <v>44</v>
      </c>
      <c r="T300" s="57" t="str">
        <f t="shared" si="13"/>
        <v>31-60 Days</v>
      </c>
      <c r="U300" s="58" t="str">
        <f t="shared" si="14"/>
        <v>Especially Mentioned</v>
      </c>
    </row>
    <row r="301" spans="1:21" ht="23.25" customHeight="1" x14ac:dyDescent="0.35">
      <c r="A301" t="s">
        <v>793</v>
      </c>
      <c r="B301" t="s">
        <v>793</v>
      </c>
      <c r="C301">
        <v>0</v>
      </c>
      <c r="D301">
        <v>150</v>
      </c>
      <c r="E301" t="s">
        <v>808</v>
      </c>
      <c r="F301" t="s">
        <v>644</v>
      </c>
      <c r="G301" t="s">
        <v>57</v>
      </c>
      <c r="H301" t="s">
        <v>809</v>
      </c>
      <c r="I301"/>
      <c r="J301"/>
      <c r="K301"/>
      <c r="L301"/>
      <c r="M301"/>
      <c r="N301"/>
      <c r="O301"/>
      <c r="P301"/>
      <c r="Q301"/>
      <c r="R301"/>
      <c r="S301" s="56">
        <f t="shared" si="12"/>
        <v>44</v>
      </c>
      <c r="T301" s="57" t="str">
        <f t="shared" si="13"/>
        <v>31-60 Days</v>
      </c>
      <c r="U301" s="58" t="str">
        <f t="shared" si="14"/>
        <v>Not Applicable</v>
      </c>
    </row>
    <row r="302" spans="1:21" ht="23.25" customHeight="1" x14ac:dyDescent="0.35">
      <c r="A302" t="s">
        <v>793</v>
      </c>
      <c r="B302" t="s">
        <v>793</v>
      </c>
      <c r="C302">
        <v>0</v>
      </c>
      <c r="D302">
        <v>50</v>
      </c>
      <c r="E302" t="s">
        <v>810</v>
      </c>
      <c r="F302" t="s">
        <v>644</v>
      </c>
      <c r="G302" t="s">
        <v>57</v>
      </c>
      <c r="H302" t="s">
        <v>811</v>
      </c>
      <c r="I302"/>
      <c r="J302"/>
      <c r="K302"/>
      <c r="L302"/>
      <c r="M302"/>
      <c r="N302"/>
      <c r="O302"/>
      <c r="P302"/>
      <c r="Q302"/>
      <c r="R302"/>
      <c r="S302" s="56">
        <f t="shared" si="12"/>
        <v>44</v>
      </c>
      <c r="T302" s="57" t="str">
        <f t="shared" si="13"/>
        <v>31-60 Days</v>
      </c>
      <c r="U302" s="58" t="str">
        <f t="shared" si="14"/>
        <v>Not Applicable</v>
      </c>
    </row>
    <row r="303" spans="1:21" ht="23.25" customHeight="1" x14ac:dyDescent="0.35">
      <c r="A303" t="s">
        <v>793</v>
      </c>
      <c r="B303" t="s">
        <v>793</v>
      </c>
      <c r="C303">
        <v>0</v>
      </c>
      <c r="D303">
        <v>50</v>
      </c>
      <c r="E303" t="s">
        <v>812</v>
      </c>
      <c r="F303" t="s">
        <v>644</v>
      </c>
      <c r="G303" t="s">
        <v>57</v>
      </c>
      <c r="H303" t="s">
        <v>813</v>
      </c>
      <c r="I303"/>
      <c r="J303"/>
      <c r="K303"/>
      <c r="L303"/>
      <c r="M303"/>
      <c r="N303"/>
      <c r="O303"/>
      <c r="P303"/>
      <c r="Q303"/>
      <c r="R303"/>
      <c r="S303" s="56">
        <f t="shared" si="12"/>
        <v>44</v>
      </c>
      <c r="T303" s="57" t="str">
        <f t="shared" si="13"/>
        <v>31-60 Days</v>
      </c>
      <c r="U303" s="58" t="str">
        <f t="shared" si="14"/>
        <v>Not Applicable</v>
      </c>
    </row>
    <row r="304" spans="1:21" ht="23.25" customHeight="1" x14ac:dyDescent="0.35">
      <c r="A304" t="s">
        <v>793</v>
      </c>
      <c r="B304" t="s">
        <v>793</v>
      </c>
      <c r="C304">
        <v>2435</v>
      </c>
      <c r="D304">
        <v>0</v>
      </c>
      <c r="E304" t="s">
        <v>814</v>
      </c>
      <c r="F304" t="s">
        <v>57</v>
      </c>
      <c r="G304" t="s">
        <v>57</v>
      </c>
      <c r="H304" t="s">
        <v>815</v>
      </c>
      <c r="I304"/>
      <c r="J304"/>
      <c r="K304"/>
      <c r="L304"/>
      <c r="M304"/>
      <c r="N304"/>
      <c r="O304"/>
      <c r="P304"/>
      <c r="Q304"/>
      <c r="R304"/>
      <c r="S304" s="56">
        <f t="shared" si="12"/>
        <v>44</v>
      </c>
      <c r="T304" s="57" t="str">
        <f t="shared" si="13"/>
        <v>31-60 Days</v>
      </c>
      <c r="U304" s="58" t="str">
        <f t="shared" si="14"/>
        <v>Especially Mentioned</v>
      </c>
    </row>
    <row r="305" spans="1:21" ht="23.25" customHeight="1" x14ac:dyDescent="0.35">
      <c r="A305" t="s">
        <v>793</v>
      </c>
      <c r="B305" t="s">
        <v>793</v>
      </c>
      <c r="C305">
        <v>10</v>
      </c>
      <c r="D305">
        <v>0</v>
      </c>
      <c r="E305" t="s">
        <v>816</v>
      </c>
      <c r="F305" t="s">
        <v>57</v>
      </c>
      <c r="G305" t="s">
        <v>57</v>
      </c>
      <c r="H305" t="s">
        <v>817</v>
      </c>
      <c r="I305"/>
      <c r="J305"/>
      <c r="K305"/>
      <c r="L305"/>
      <c r="M305"/>
      <c r="N305"/>
      <c r="O305"/>
      <c r="P305"/>
      <c r="Q305"/>
      <c r="R305"/>
      <c r="S305" s="56">
        <f t="shared" si="12"/>
        <v>44</v>
      </c>
      <c r="T305" s="57" t="str">
        <f t="shared" si="13"/>
        <v>31-60 Days</v>
      </c>
      <c r="U305" s="58" t="str">
        <f t="shared" si="14"/>
        <v>Especially Mentioned</v>
      </c>
    </row>
    <row r="306" spans="1:21" ht="23.25" customHeight="1" x14ac:dyDescent="0.35">
      <c r="A306" t="s">
        <v>793</v>
      </c>
      <c r="B306" t="s">
        <v>793</v>
      </c>
      <c r="C306">
        <v>200</v>
      </c>
      <c r="D306">
        <v>0</v>
      </c>
      <c r="E306" t="s">
        <v>818</v>
      </c>
      <c r="F306" t="s">
        <v>57</v>
      </c>
      <c r="G306" t="s">
        <v>57</v>
      </c>
      <c r="H306" t="s">
        <v>819</v>
      </c>
      <c r="I306"/>
      <c r="J306"/>
      <c r="K306"/>
      <c r="L306"/>
      <c r="M306"/>
      <c r="N306"/>
      <c r="O306"/>
      <c r="P306"/>
      <c r="Q306"/>
      <c r="R306"/>
      <c r="S306" s="56">
        <f t="shared" si="12"/>
        <v>44</v>
      </c>
      <c r="T306" s="57" t="str">
        <f t="shared" si="13"/>
        <v>31-60 Days</v>
      </c>
      <c r="U306" s="58" t="str">
        <f t="shared" si="14"/>
        <v>Especially Mentioned</v>
      </c>
    </row>
    <row r="307" spans="1:21" ht="23.25" customHeight="1" x14ac:dyDescent="0.35">
      <c r="A307" t="s">
        <v>793</v>
      </c>
      <c r="B307" t="s">
        <v>793</v>
      </c>
      <c r="C307">
        <v>15000</v>
      </c>
      <c r="D307">
        <v>0</v>
      </c>
      <c r="E307" t="s">
        <v>820</v>
      </c>
      <c r="F307" t="s">
        <v>57</v>
      </c>
      <c r="G307" t="s">
        <v>57</v>
      </c>
      <c r="H307" t="s">
        <v>821</v>
      </c>
      <c r="I307"/>
      <c r="J307"/>
      <c r="K307"/>
      <c r="L307"/>
      <c r="M307"/>
      <c r="N307"/>
      <c r="O307"/>
      <c r="P307"/>
      <c r="Q307"/>
      <c r="R307"/>
      <c r="S307" s="56">
        <f t="shared" si="12"/>
        <v>44</v>
      </c>
      <c r="T307" s="57" t="str">
        <f t="shared" si="13"/>
        <v>31-60 Days</v>
      </c>
      <c r="U307" s="58" t="str">
        <f t="shared" si="14"/>
        <v>Especially Mentioned</v>
      </c>
    </row>
    <row r="308" spans="1:21" ht="23.25" customHeight="1" x14ac:dyDescent="0.35">
      <c r="A308" t="s">
        <v>793</v>
      </c>
      <c r="B308" t="s">
        <v>793</v>
      </c>
      <c r="C308">
        <v>0</v>
      </c>
      <c r="D308">
        <v>100</v>
      </c>
      <c r="E308" t="s">
        <v>822</v>
      </c>
      <c r="F308" t="s">
        <v>644</v>
      </c>
      <c r="G308" t="s">
        <v>57</v>
      </c>
      <c r="H308" t="s">
        <v>823</v>
      </c>
      <c r="I308"/>
      <c r="J308"/>
      <c r="K308"/>
      <c r="L308"/>
      <c r="M308"/>
      <c r="N308"/>
      <c r="O308"/>
      <c r="P308"/>
      <c r="Q308"/>
      <c r="R308"/>
      <c r="S308" s="56">
        <f t="shared" si="12"/>
        <v>44</v>
      </c>
      <c r="T308" s="57" t="str">
        <f t="shared" si="13"/>
        <v>31-60 Days</v>
      </c>
      <c r="U308" s="58" t="str">
        <f t="shared" si="14"/>
        <v>Not Applicable</v>
      </c>
    </row>
    <row r="309" spans="1:21" ht="23.25" customHeight="1" x14ac:dyDescent="0.35">
      <c r="A309" t="s">
        <v>793</v>
      </c>
      <c r="B309" t="s">
        <v>793</v>
      </c>
      <c r="C309">
        <v>0</v>
      </c>
      <c r="D309">
        <v>50</v>
      </c>
      <c r="E309" t="s">
        <v>824</v>
      </c>
      <c r="F309" t="s">
        <v>644</v>
      </c>
      <c r="G309" t="s">
        <v>57</v>
      </c>
      <c r="H309" t="s">
        <v>825</v>
      </c>
      <c r="I309"/>
      <c r="J309"/>
      <c r="K309"/>
      <c r="L309"/>
      <c r="M309"/>
      <c r="N309"/>
      <c r="O309"/>
      <c r="P309"/>
      <c r="Q309"/>
      <c r="R309"/>
      <c r="S309" s="56">
        <f t="shared" si="12"/>
        <v>44</v>
      </c>
      <c r="T309" s="57" t="str">
        <f t="shared" si="13"/>
        <v>31-60 Days</v>
      </c>
      <c r="U309" s="58" t="str">
        <f t="shared" si="14"/>
        <v>Not Applicable</v>
      </c>
    </row>
    <row r="310" spans="1:21" ht="23.25" customHeight="1" x14ac:dyDescent="0.35">
      <c r="A310" t="s">
        <v>793</v>
      </c>
      <c r="B310" t="s">
        <v>793</v>
      </c>
      <c r="C310">
        <v>57927.5</v>
      </c>
      <c r="D310">
        <v>0</v>
      </c>
      <c r="E310" t="s">
        <v>826</v>
      </c>
      <c r="F310" t="s">
        <v>57</v>
      </c>
      <c r="G310" t="s">
        <v>57</v>
      </c>
      <c r="H310" t="s">
        <v>827</v>
      </c>
      <c r="I310"/>
      <c r="J310"/>
      <c r="K310"/>
      <c r="L310"/>
      <c r="M310"/>
      <c r="N310"/>
      <c r="O310"/>
      <c r="P310"/>
      <c r="Q310"/>
      <c r="R310"/>
      <c r="S310" s="56">
        <f t="shared" si="12"/>
        <v>44</v>
      </c>
      <c r="T310" s="57" t="str">
        <f t="shared" si="13"/>
        <v>31-60 Days</v>
      </c>
      <c r="U310" s="58" t="str">
        <f t="shared" si="14"/>
        <v>Especially Mentioned</v>
      </c>
    </row>
    <row r="311" spans="1:21" ht="23.25" customHeight="1" x14ac:dyDescent="0.35">
      <c r="A311" t="s">
        <v>793</v>
      </c>
      <c r="B311" t="s">
        <v>793</v>
      </c>
      <c r="C311">
        <v>25740.17</v>
      </c>
      <c r="D311">
        <v>0</v>
      </c>
      <c r="E311" t="s">
        <v>828</v>
      </c>
      <c r="F311" t="s">
        <v>57</v>
      </c>
      <c r="G311" t="s">
        <v>57</v>
      </c>
      <c r="H311" t="s">
        <v>829</v>
      </c>
      <c r="I311"/>
      <c r="J311"/>
      <c r="K311"/>
      <c r="L311"/>
      <c r="M311"/>
      <c r="N311"/>
      <c r="O311"/>
      <c r="P311"/>
      <c r="Q311"/>
      <c r="R311"/>
      <c r="S311" s="56">
        <f t="shared" si="12"/>
        <v>44</v>
      </c>
      <c r="T311" s="57" t="str">
        <f t="shared" si="13"/>
        <v>31-60 Days</v>
      </c>
      <c r="U311" s="58" t="str">
        <f t="shared" si="14"/>
        <v>Especially Mentioned</v>
      </c>
    </row>
    <row r="312" spans="1:21" ht="23.25" customHeight="1" x14ac:dyDescent="0.35">
      <c r="A312" t="s">
        <v>830</v>
      </c>
      <c r="B312" t="s">
        <v>830</v>
      </c>
      <c r="C312">
        <v>3500</v>
      </c>
      <c r="D312">
        <v>0</v>
      </c>
      <c r="E312" t="s">
        <v>831</v>
      </c>
      <c r="F312" t="s">
        <v>57</v>
      </c>
      <c r="G312" t="s">
        <v>57</v>
      </c>
      <c r="H312" t="s">
        <v>832</v>
      </c>
      <c r="I312"/>
      <c r="J312"/>
      <c r="K312"/>
      <c r="L312"/>
      <c r="M312"/>
      <c r="N312"/>
      <c r="O312"/>
      <c r="P312"/>
      <c r="Q312"/>
      <c r="R312"/>
      <c r="S312" s="56">
        <f t="shared" si="12"/>
        <v>42</v>
      </c>
      <c r="T312" s="57" t="str">
        <f t="shared" si="13"/>
        <v>31-60 Days</v>
      </c>
      <c r="U312" s="58" t="str">
        <f t="shared" si="14"/>
        <v>Especially Mentioned</v>
      </c>
    </row>
    <row r="313" spans="1:21" ht="23.25" customHeight="1" x14ac:dyDescent="0.35">
      <c r="A313" t="s">
        <v>830</v>
      </c>
      <c r="B313" t="s">
        <v>830</v>
      </c>
      <c r="C313">
        <v>0</v>
      </c>
      <c r="D313">
        <v>770000</v>
      </c>
      <c r="E313" t="s">
        <v>833</v>
      </c>
      <c r="F313" t="s">
        <v>57</v>
      </c>
      <c r="G313" t="s">
        <v>57</v>
      </c>
      <c r="H313" t="s">
        <v>834</v>
      </c>
      <c r="I313"/>
      <c r="J313"/>
      <c r="K313"/>
      <c r="L313"/>
      <c r="M313"/>
      <c r="N313"/>
      <c r="O313"/>
      <c r="P313"/>
      <c r="Q313"/>
      <c r="R313"/>
      <c r="S313" s="56">
        <f t="shared" si="12"/>
        <v>42</v>
      </c>
      <c r="T313" s="57" t="str">
        <f t="shared" si="13"/>
        <v>31-60 Days</v>
      </c>
      <c r="U313" s="58" t="str">
        <f t="shared" si="14"/>
        <v>Not Applicable</v>
      </c>
    </row>
    <row r="314" spans="1:21" ht="23.25" customHeight="1" x14ac:dyDescent="0.35">
      <c r="A314" t="s">
        <v>830</v>
      </c>
      <c r="B314" t="s">
        <v>830</v>
      </c>
      <c r="C314">
        <v>20000</v>
      </c>
      <c r="D314">
        <v>0</v>
      </c>
      <c r="E314" t="s">
        <v>835</v>
      </c>
      <c r="F314" t="s">
        <v>57</v>
      </c>
      <c r="G314" t="s">
        <v>57</v>
      </c>
      <c r="H314" t="s">
        <v>836</v>
      </c>
      <c r="I314"/>
      <c r="J314"/>
      <c r="K314"/>
      <c r="L314"/>
      <c r="M314"/>
      <c r="N314"/>
      <c r="O314"/>
      <c r="P314"/>
      <c r="Q314"/>
      <c r="R314"/>
      <c r="S314" s="56">
        <f t="shared" si="12"/>
        <v>42</v>
      </c>
      <c r="T314" s="57" t="str">
        <f t="shared" si="13"/>
        <v>31-60 Days</v>
      </c>
      <c r="U314" s="58" t="str">
        <f t="shared" si="14"/>
        <v>Especially Mentioned</v>
      </c>
    </row>
    <row r="315" spans="1:21" ht="23.25" customHeight="1" x14ac:dyDescent="0.35">
      <c r="A315" t="s">
        <v>830</v>
      </c>
      <c r="B315" t="s">
        <v>830</v>
      </c>
      <c r="C315">
        <v>2100</v>
      </c>
      <c r="D315">
        <v>0</v>
      </c>
      <c r="E315" t="s">
        <v>837</v>
      </c>
      <c r="F315" t="s">
        <v>838</v>
      </c>
      <c r="G315" t="s">
        <v>57</v>
      </c>
      <c r="H315" t="s">
        <v>839</v>
      </c>
      <c r="I315"/>
      <c r="J315"/>
      <c r="K315"/>
      <c r="L315"/>
      <c r="M315"/>
      <c r="N315"/>
      <c r="O315"/>
      <c r="P315"/>
      <c r="Q315"/>
      <c r="R315"/>
      <c r="S315" s="56">
        <f t="shared" si="12"/>
        <v>42</v>
      </c>
      <c r="T315" s="57" t="str">
        <f t="shared" si="13"/>
        <v>31-60 Days</v>
      </c>
      <c r="U315" s="58" t="str">
        <f t="shared" si="14"/>
        <v>Especially Mentioned</v>
      </c>
    </row>
    <row r="316" spans="1:21" ht="23.25" customHeight="1" x14ac:dyDescent="0.35">
      <c r="A316" t="s">
        <v>830</v>
      </c>
      <c r="B316" t="s">
        <v>830</v>
      </c>
      <c r="C316">
        <v>0</v>
      </c>
      <c r="D316">
        <v>80000</v>
      </c>
      <c r="E316" t="s">
        <v>840</v>
      </c>
      <c r="F316" t="s">
        <v>57</v>
      </c>
      <c r="G316" t="s">
        <v>57</v>
      </c>
      <c r="H316" t="s">
        <v>841</v>
      </c>
      <c r="I316"/>
      <c r="J316"/>
      <c r="K316"/>
      <c r="L316"/>
      <c r="M316"/>
      <c r="N316"/>
      <c r="O316"/>
      <c r="P316"/>
      <c r="Q316"/>
      <c r="R316"/>
      <c r="S316" s="56">
        <f t="shared" si="12"/>
        <v>42</v>
      </c>
      <c r="T316" s="57" t="str">
        <f t="shared" si="13"/>
        <v>31-60 Days</v>
      </c>
      <c r="U316" s="58" t="str">
        <f t="shared" si="14"/>
        <v>Not Applicable</v>
      </c>
    </row>
    <row r="317" spans="1:21" ht="23.25" customHeight="1" x14ac:dyDescent="0.35">
      <c r="A317" t="s">
        <v>830</v>
      </c>
      <c r="B317" t="s">
        <v>830</v>
      </c>
      <c r="C317">
        <v>0</v>
      </c>
      <c r="D317">
        <v>32000</v>
      </c>
      <c r="E317" t="s">
        <v>842</v>
      </c>
      <c r="F317" t="s">
        <v>57</v>
      </c>
      <c r="G317" t="s">
        <v>57</v>
      </c>
      <c r="H317" t="s">
        <v>843</v>
      </c>
      <c r="I317"/>
      <c r="J317"/>
      <c r="K317"/>
      <c r="L317"/>
      <c r="M317"/>
      <c r="N317"/>
      <c r="O317"/>
      <c r="P317"/>
      <c r="Q317"/>
      <c r="R317"/>
      <c r="S317" s="56">
        <f t="shared" si="12"/>
        <v>42</v>
      </c>
      <c r="T317" s="57" t="str">
        <f t="shared" si="13"/>
        <v>31-60 Days</v>
      </c>
      <c r="U317" s="58" t="str">
        <f t="shared" si="14"/>
        <v>Not Applicable</v>
      </c>
    </row>
    <row r="318" spans="1:21" ht="23.25" customHeight="1" x14ac:dyDescent="0.35">
      <c r="A318" t="s">
        <v>830</v>
      </c>
      <c r="B318" t="s">
        <v>830</v>
      </c>
      <c r="C318">
        <v>3500</v>
      </c>
      <c r="D318">
        <v>0</v>
      </c>
      <c r="E318" t="s">
        <v>844</v>
      </c>
      <c r="F318" t="s">
        <v>57</v>
      </c>
      <c r="G318" t="s">
        <v>57</v>
      </c>
      <c r="H318" t="s">
        <v>845</v>
      </c>
      <c r="I318"/>
      <c r="J318"/>
      <c r="K318"/>
      <c r="L318"/>
      <c r="M318"/>
      <c r="N318"/>
      <c r="O318"/>
      <c r="P318"/>
      <c r="Q318"/>
      <c r="R318"/>
      <c r="S318" s="56">
        <f t="shared" si="12"/>
        <v>42</v>
      </c>
      <c r="T318" s="57" t="str">
        <f t="shared" si="13"/>
        <v>31-60 Days</v>
      </c>
      <c r="U318" s="58" t="str">
        <f t="shared" si="14"/>
        <v>Especially Mentioned</v>
      </c>
    </row>
    <row r="319" spans="1:21" ht="23.25" customHeight="1" x14ac:dyDescent="0.35">
      <c r="A319" t="s">
        <v>830</v>
      </c>
      <c r="B319" t="s">
        <v>830</v>
      </c>
      <c r="C319">
        <v>0</v>
      </c>
      <c r="D319">
        <v>17000</v>
      </c>
      <c r="E319" t="s">
        <v>846</v>
      </c>
      <c r="F319" t="s">
        <v>847</v>
      </c>
      <c r="G319" t="s">
        <v>848</v>
      </c>
      <c r="H319" t="s">
        <v>849</v>
      </c>
      <c r="I319"/>
      <c r="J319"/>
      <c r="K319"/>
      <c r="L319"/>
      <c r="M319"/>
      <c r="N319"/>
      <c r="O319"/>
      <c r="P319"/>
      <c r="Q319"/>
      <c r="R319"/>
      <c r="S319" s="56">
        <f t="shared" si="12"/>
        <v>42</v>
      </c>
      <c r="T319" s="57" t="str">
        <f t="shared" si="13"/>
        <v>31-60 Days</v>
      </c>
      <c r="U319" s="58" t="str">
        <f t="shared" si="14"/>
        <v>Not Applicable</v>
      </c>
    </row>
    <row r="320" spans="1:21" ht="23.25" customHeight="1" x14ac:dyDescent="0.35">
      <c r="A320" t="s">
        <v>830</v>
      </c>
      <c r="B320" t="s">
        <v>830</v>
      </c>
      <c r="C320">
        <v>45943.5</v>
      </c>
      <c r="D320">
        <v>0</v>
      </c>
      <c r="E320" t="s">
        <v>850</v>
      </c>
      <c r="F320" t="s">
        <v>57</v>
      </c>
      <c r="G320" t="s">
        <v>57</v>
      </c>
      <c r="H320" t="s">
        <v>851</v>
      </c>
      <c r="I320"/>
      <c r="J320"/>
      <c r="K320"/>
      <c r="L320"/>
      <c r="M320"/>
      <c r="N320"/>
      <c r="O320"/>
      <c r="P320"/>
      <c r="Q320"/>
      <c r="R320"/>
      <c r="S320" s="56">
        <f t="shared" si="12"/>
        <v>42</v>
      </c>
      <c r="T320" s="57" t="str">
        <f t="shared" si="13"/>
        <v>31-60 Days</v>
      </c>
      <c r="U320" s="58" t="str">
        <f t="shared" si="14"/>
        <v>Especially Mentioned</v>
      </c>
    </row>
    <row r="321" spans="1:21" ht="23.25" customHeight="1" x14ac:dyDescent="0.35">
      <c r="A321" t="s">
        <v>830</v>
      </c>
      <c r="B321" t="s">
        <v>830</v>
      </c>
      <c r="C321">
        <v>0</v>
      </c>
      <c r="D321">
        <v>250000</v>
      </c>
      <c r="E321" t="s">
        <v>852</v>
      </c>
      <c r="F321" t="s">
        <v>57</v>
      </c>
      <c r="G321" t="s">
        <v>57</v>
      </c>
      <c r="H321" t="s">
        <v>853</v>
      </c>
      <c r="I321"/>
      <c r="J321"/>
      <c r="K321"/>
      <c r="L321"/>
      <c r="M321"/>
      <c r="N321"/>
      <c r="O321"/>
      <c r="P321"/>
      <c r="Q321"/>
      <c r="R321"/>
      <c r="S321" s="56">
        <f t="shared" si="12"/>
        <v>42</v>
      </c>
      <c r="T321" s="57" t="str">
        <f t="shared" si="13"/>
        <v>31-60 Days</v>
      </c>
      <c r="U321" s="58" t="str">
        <f t="shared" si="14"/>
        <v>Not Applicable</v>
      </c>
    </row>
    <row r="322" spans="1:21" ht="23.25" customHeight="1" x14ac:dyDescent="0.35">
      <c r="A322" t="s">
        <v>830</v>
      </c>
      <c r="B322" t="s">
        <v>830</v>
      </c>
      <c r="C322">
        <v>0</v>
      </c>
      <c r="D322">
        <v>1000000</v>
      </c>
      <c r="E322" t="s">
        <v>854</v>
      </c>
      <c r="F322" t="s">
        <v>57</v>
      </c>
      <c r="G322" t="s">
        <v>57</v>
      </c>
      <c r="H322" t="s">
        <v>855</v>
      </c>
      <c r="I322"/>
      <c r="J322"/>
      <c r="K322"/>
      <c r="L322"/>
      <c r="M322"/>
      <c r="N322"/>
      <c r="O322"/>
      <c r="P322"/>
      <c r="Q322"/>
      <c r="R322"/>
      <c r="S322" s="56">
        <f t="shared" si="12"/>
        <v>42</v>
      </c>
      <c r="T322" s="57" t="str">
        <f t="shared" si="13"/>
        <v>31-60 Days</v>
      </c>
      <c r="U322" s="58" t="str">
        <f t="shared" si="14"/>
        <v>Not Applicable</v>
      </c>
    </row>
    <row r="323" spans="1:21" ht="23.25" customHeight="1" x14ac:dyDescent="0.35">
      <c r="A323" t="s">
        <v>856</v>
      </c>
      <c r="B323" t="s">
        <v>856</v>
      </c>
      <c r="C323">
        <v>0</v>
      </c>
      <c r="D323">
        <v>1000000</v>
      </c>
      <c r="E323" t="s">
        <v>857</v>
      </c>
      <c r="F323" t="s">
        <v>57</v>
      </c>
      <c r="G323" t="s">
        <v>57</v>
      </c>
      <c r="H323" t="s">
        <v>858</v>
      </c>
      <c r="I323"/>
      <c r="J323"/>
      <c r="K323"/>
      <c r="L323"/>
      <c r="M323"/>
      <c r="N323"/>
      <c r="O323"/>
      <c r="P323"/>
      <c r="Q323"/>
      <c r="R323"/>
      <c r="S323" s="56">
        <f t="shared" si="12"/>
        <v>41</v>
      </c>
      <c r="T323" s="57" t="str">
        <f t="shared" si="13"/>
        <v>31-60 Days</v>
      </c>
      <c r="U323" s="58" t="str">
        <f t="shared" si="14"/>
        <v>Not Applicable</v>
      </c>
    </row>
    <row r="324" spans="1:21" ht="23.25" customHeight="1" x14ac:dyDescent="0.35">
      <c r="A324" t="s">
        <v>856</v>
      </c>
      <c r="B324" t="s">
        <v>856</v>
      </c>
      <c r="C324">
        <v>0</v>
      </c>
      <c r="D324">
        <v>2000000</v>
      </c>
      <c r="E324" t="s">
        <v>859</v>
      </c>
      <c r="F324" t="s">
        <v>57</v>
      </c>
      <c r="G324" t="s">
        <v>57</v>
      </c>
      <c r="H324" t="s">
        <v>860</v>
      </c>
      <c r="I324"/>
      <c r="J324"/>
      <c r="K324"/>
      <c r="L324"/>
      <c r="M324"/>
      <c r="N324"/>
      <c r="O324"/>
      <c r="P324"/>
      <c r="Q324"/>
      <c r="R324"/>
      <c r="S324" s="56">
        <f t="shared" si="12"/>
        <v>41</v>
      </c>
      <c r="T324" s="57" t="str">
        <f t="shared" si="13"/>
        <v>31-60 Days</v>
      </c>
      <c r="U324" s="58" t="str">
        <f t="shared" si="14"/>
        <v>Not Applicable</v>
      </c>
    </row>
    <row r="325" spans="1:21" ht="23.25" customHeight="1" x14ac:dyDescent="0.35">
      <c r="A325" t="s">
        <v>856</v>
      </c>
      <c r="B325" t="s">
        <v>856</v>
      </c>
      <c r="C325">
        <v>2350</v>
      </c>
      <c r="D325">
        <v>0</v>
      </c>
      <c r="E325" t="s">
        <v>861</v>
      </c>
      <c r="F325" t="s">
        <v>57</v>
      </c>
      <c r="G325" t="s">
        <v>57</v>
      </c>
      <c r="H325" t="s">
        <v>862</v>
      </c>
      <c r="I325"/>
      <c r="J325"/>
      <c r="K325"/>
      <c r="L325"/>
      <c r="M325"/>
      <c r="N325"/>
      <c r="O325"/>
      <c r="P325"/>
      <c r="Q325"/>
      <c r="R325"/>
      <c r="S325" s="56">
        <f t="shared" si="12"/>
        <v>41</v>
      </c>
      <c r="T325" s="57" t="str">
        <f t="shared" si="13"/>
        <v>31-60 Days</v>
      </c>
      <c r="U325" s="58" t="str">
        <f t="shared" si="14"/>
        <v>Especially Mentioned</v>
      </c>
    </row>
    <row r="326" spans="1:21" ht="23.25" customHeight="1" x14ac:dyDescent="0.35">
      <c r="A326" t="s">
        <v>856</v>
      </c>
      <c r="B326" t="s">
        <v>856</v>
      </c>
      <c r="C326">
        <v>0</v>
      </c>
      <c r="D326">
        <v>100000</v>
      </c>
      <c r="E326" t="s">
        <v>863</v>
      </c>
      <c r="F326" t="s">
        <v>57</v>
      </c>
      <c r="G326" t="s">
        <v>57</v>
      </c>
      <c r="H326" t="s">
        <v>864</v>
      </c>
      <c r="I326"/>
      <c r="J326"/>
      <c r="K326"/>
      <c r="L326"/>
      <c r="M326"/>
      <c r="N326"/>
      <c r="O326"/>
      <c r="P326"/>
      <c r="Q326"/>
      <c r="R326"/>
      <c r="S326" s="56">
        <f t="shared" si="12"/>
        <v>41</v>
      </c>
      <c r="T326" s="57" t="str">
        <f t="shared" si="13"/>
        <v>31-60 Days</v>
      </c>
      <c r="U326" s="58" t="str">
        <f t="shared" si="14"/>
        <v>Not Applicable</v>
      </c>
    </row>
    <row r="327" spans="1:21" ht="23.25" customHeight="1" x14ac:dyDescent="0.35">
      <c r="A327" t="s">
        <v>856</v>
      </c>
      <c r="B327" t="s">
        <v>856</v>
      </c>
      <c r="C327">
        <v>0</v>
      </c>
      <c r="D327">
        <v>186430.58</v>
      </c>
      <c r="E327" t="s">
        <v>865</v>
      </c>
      <c r="F327" t="s">
        <v>57</v>
      </c>
      <c r="G327" t="s">
        <v>57</v>
      </c>
      <c r="H327" t="s">
        <v>866</v>
      </c>
      <c r="I327"/>
      <c r="J327"/>
      <c r="K327"/>
      <c r="L327"/>
      <c r="M327"/>
      <c r="N327"/>
      <c r="O327"/>
      <c r="P327"/>
      <c r="Q327"/>
      <c r="R327"/>
      <c r="S327" s="56">
        <f t="shared" si="12"/>
        <v>41</v>
      </c>
      <c r="T327" s="57" t="str">
        <f t="shared" si="13"/>
        <v>31-60 Days</v>
      </c>
      <c r="U327" s="58" t="str">
        <f t="shared" si="14"/>
        <v>Not Applicable</v>
      </c>
    </row>
    <row r="328" spans="1:21" ht="23.25" customHeight="1" x14ac:dyDescent="0.35">
      <c r="A328" t="s">
        <v>856</v>
      </c>
      <c r="B328" t="s">
        <v>856</v>
      </c>
      <c r="C328">
        <v>3418360.6</v>
      </c>
      <c r="D328">
        <v>0</v>
      </c>
      <c r="E328" t="s">
        <v>867</v>
      </c>
      <c r="F328" t="s">
        <v>868</v>
      </c>
      <c r="G328" t="s">
        <v>57</v>
      </c>
      <c r="H328"/>
      <c r="I328"/>
      <c r="J328"/>
      <c r="K328"/>
      <c r="L328"/>
      <c r="M328"/>
      <c r="N328"/>
      <c r="O328"/>
      <c r="P328"/>
      <c r="Q328"/>
      <c r="R328"/>
      <c r="S328" s="56">
        <f t="shared" si="12"/>
        <v>41</v>
      </c>
      <c r="T328" s="57" t="str">
        <f t="shared" si="13"/>
        <v>31-60 Days</v>
      </c>
      <c r="U328" s="58" t="str">
        <f t="shared" si="14"/>
        <v>Especially Mentioned</v>
      </c>
    </row>
    <row r="329" spans="1:21" ht="23.25" customHeight="1" x14ac:dyDescent="0.35">
      <c r="A329" t="s">
        <v>856</v>
      </c>
      <c r="B329" t="s">
        <v>856</v>
      </c>
      <c r="C329">
        <v>17000</v>
      </c>
      <c r="D329">
        <v>0</v>
      </c>
      <c r="E329" t="s">
        <v>869</v>
      </c>
      <c r="F329" t="s">
        <v>870</v>
      </c>
      <c r="G329" t="s">
        <v>57</v>
      </c>
      <c r="H329" t="s">
        <v>871</v>
      </c>
      <c r="I329"/>
      <c r="J329"/>
      <c r="K329"/>
      <c r="L329"/>
      <c r="M329"/>
      <c r="N329"/>
      <c r="O329"/>
      <c r="P329"/>
      <c r="Q329"/>
      <c r="R329"/>
      <c r="S329" s="56">
        <f t="shared" ref="S329:S392" si="15">IF(A329="","",A$5-A329)</f>
        <v>41</v>
      </c>
      <c r="T329" s="57" t="str">
        <f t="shared" ref="T329:T392" si="16">IF(S329="","",IF(S329&lt;4,"0-3 Days",IF(S329&lt;31,"4-30 Days",IF(S329&lt;61,"31-60 Days",IF(S329&lt;=90,"61-90 Days",IF(S329&gt;90,"Above 90 Days","0"))))))</f>
        <v>31-60 Days</v>
      </c>
      <c r="U329" s="58" t="str">
        <f t="shared" ref="U329:U392" si="17">IF(C329="","",IF(C329&gt;0,IF(S329&lt;30,"Normal",IF(S329&lt;60,"Especially Mentioned",IF(S329&lt;90,"Substandard",IF(S329&lt;=180,"Doubtful",IF(S329&gt;180,"Loss","0"))))),"Not Applicable"))</f>
        <v>Especially Mentioned</v>
      </c>
    </row>
    <row r="330" spans="1:21" ht="23.25" customHeight="1" x14ac:dyDescent="0.35">
      <c r="A330" t="s">
        <v>856</v>
      </c>
      <c r="B330" t="s">
        <v>856</v>
      </c>
      <c r="C330">
        <v>0</v>
      </c>
      <c r="D330">
        <v>350000</v>
      </c>
      <c r="E330" t="s">
        <v>872</v>
      </c>
      <c r="F330" t="s">
        <v>57</v>
      </c>
      <c r="G330" t="s">
        <v>57</v>
      </c>
      <c r="H330" t="s">
        <v>873</v>
      </c>
      <c r="I330"/>
      <c r="J330"/>
      <c r="K330"/>
      <c r="L330"/>
      <c r="M330"/>
      <c r="N330"/>
      <c r="O330"/>
      <c r="P330"/>
      <c r="Q330"/>
      <c r="R330"/>
      <c r="S330" s="56">
        <f t="shared" si="15"/>
        <v>41</v>
      </c>
      <c r="T330" s="57" t="str">
        <f t="shared" si="16"/>
        <v>31-60 Days</v>
      </c>
      <c r="U330" s="58" t="str">
        <f t="shared" si="17"/>
        <v>Not Applicable</v>
      </c>
    </row>
    <row r="331" spans="1:21" ht="23.25" customHeight="1" x14ac:dyDescent="0.35">
      <c r="A331" t="s">
        <v>856</v>
      </c>
      <c r="B331" t="s">
        <v>856</v>
      </c>
      <c r="C331">
        <v>1388724.66</v>
      </c>
      <c r="D331">
        <v>0</v>
      </c>
      <c r="E331" t="s">
        <v>874</v>
      </c>
      <c r="F331" t="s">
        <v>875</v>
      </c>
      <c r="G331" t="s">
        <v>57</v>
      </c>
      <c r="H331"/>
      <c r="I331"/>
      <c r="J331"/>
      <c r="K331"/>
      <c r="L331"/>
      <c r="M331"/>
      <c r="N331"/>
      <c r="O331"/>
      <c r="P331"/>
      <c r="Q331"/>
      <c r="R331"/>
      <c r="S331" s="56">
        <f t="shared" si="15"/>
        <v>41</v>
      </c>
      <c r="T331" s="57" t="str">
        <f t="shared" si="16"/>
        <v>31-60 Days</v>
      </c>
      <c r="U331" s="58" t="str">
        <f t="shared" si="17"/>
        <v>Especially Mentioned</v>
      </c>
    </row>
    <row r="332" spans="1:21" ht="23.25" customHeight="1" x14ac:dyDescent="0.35">
      <c r="A332" t="s">
        <v>856</v>
      </c>
      <c r="B332" t="s">
        <v>856</v>
      </c>
      <c r="C332">
        <v>1869160.36</v>
      </c>
      <c r="D332">
        <v>0</v>
      </c>
      <c r="E332" t="s">
        <v>876</v>
      </c>
      <c r="F332" t="s">
        <v>877</v>
      </c>
      <c r="G332" t="s">
        <v>57</v>
      </c>
      <c r="H332"/>
      <c r="I332"/>
      <c r="J332"/>
      <c r="K332"/>
      <c r="L332"/>
      <c r="M332"/>
      <c r="N332"/>
      <c r="O332"/>
      <c r="P332"/>
      <c r="Q332"/>
      <c r="R332"/>
      <c r="S332" s="56">
        <f t="shared" si="15"/>
        <v>41</v>
      </c>
      <c r="T332" s="57" t="str">
        <f t="shared" si="16"/>
        <v>31-60 Days</v>
      </c>
      <c r="U332" s="58" t="str">
        <f t="shared" si="17"/>
        <v>Especially Mentioned</v>
      </c>
    </row>
    <row r="333" spans="1:21" ht="23.25" customHeight="1" x14ac:dyDescent="0.35">
      <c r="A333" t="s">
        <v>856</v>
      </c>
      <c r="B333" t="s">
        <v>856</v>
      </c>
      <c r="C333">
        <v>3325383.65</v>
      </c>
      <c r="D333">
        <v>0</v>
      </c>
      <c r="E333" t="s">
        <v>878</v>
      </c>
      <c r="F333" t="s">
        <v>879</v>
      </c>
      <c r="G333" t="s">
        <v>57</v>
      </c>
      <c r="H333"/>
      <c r="I333"/>
      <c r="J333"/>
      <c r="K333"/>
      <c r="L333"/>
      <c r="M333"/>
      <c r="N333"/>
      <c r="O333"/>
      <c r="P333"/>
      <c r="Q333"/>
      <c r="R333"/>
      <c r="S333" s="56">
        <f t="shared" si="15"/>
        <v>41</v>
      </c>
      <c r="T333" s="57" t="str">
        <f t="shared" si="16"/>
        <v>31-60 Days</v>
      </c>
      <c r="U333" s="58" t="str">
        <f t="shared" si="17"/>
        <v>Especially Mentioned</v>
      </c>
    </row>
    <row r="334" spans="1:21" ht="23.25" customHeight="1" x14ac:dyDescent="0.35">
      <c r="A334" t="s">
        <v>856</v>
      </c>
      <c r="B334" t="s">
        <v>856</v>
      </c>
      <c r="C334">
        <v>186430.58</v>
      </c>
      <c r="D334">
        <v>0</v>
      </c>
      <c r="E334" t="s">
        <v>880</v>
      </c>
      <c r="F334" t="s">
        <v>57</v>
      </c>
      <c r="G334" t="s">
        <v>57</v>
      </c>
      <c r="H334" t="s">
        <v>881</v>
      </c>
      <c r="I334"/>
      <c r="J334"/>
      <c r="K334"/>
      <c r="L334"/>
      <c r="M334"/>
      <c r="N334"/>
      <c r="O334"/>
      <c r="P334"/>
      <c r="Q334"/>
      <c r="R334"/>
      <c r="S334" s="56">
        <f t="shared" si="15"/>
        <v>41</v>
      </c>
      <c r="T334" s="57" t="str">
        <f t="shared" si="16"/>
        <v>31-60 Days</v>
      </c>
      <c r="U334" s="58" t="str">
        <f t="shared" si="17"/>
        <v>Especially Mentioned</v>
      </c>
    </row>
    <row r="335" spans="1:21" ht="23.25" customHeight="1" x14ac:dyDescent="0.35">
      <c r="A335" t="s">
        <v>856</v>
      </c>
      <c r="B335" t="s">
        <v>856</v>
      </c>
      <c r="C335">
        <v>3685675.05</v>
      </c>
      <c r="D335">
        <v>0</v>
      </c>
      <c r="E335" t="s">
        <v>882</v>
      </c>
      <c r="F335" t="s">
        <v>57</v>
      </c>
      <c r="G335" t="s">
        <v>57</v>
      </c>
      <c r="H335" t="s">
        <v>883</v>
      </c>
      <c r="I335"/>
      <c r="J335"/>
      <c r="K335"/>
      <c r="L335"/>
      <c r="M335"/>
      <c r="N335"/>
      <c r="O335"/>
      <c r="P335"/>
      <c r="Q335"/>
      <c r="R335"/>
      <c r="S335" s="56">
        <f t="shared" si="15"/>
        <v>41</v>
      </c>
      <c r="T335" s="57" t="str">
        <f t="shared" si="16"/>
        <v>31-60 Days</v>
      </c>
      <c r="U335" s="58" t="str">
        <f t="shared" si="17"/>
        <v>Especially Mentioned</v>
      </c>
    </row>
    <row r="336" spans="1:21" ht="23.25" customHeight="1" x14ac:dyDescent="0.35">
      <c r="A336" t="s">
        <v>884</v>
      </c>
      <c r="B336" t="s">
        <v>884</v>
      </c>
      <c r="C336">
        <v>0</v>
      </c>
      <c r="D336">
        <v>400</v>
      </c>
      <c r="E336" t="s">
        <v>885</v>
      </c>
      <c r="F336" t="s">
        <v>886</v>
      </c>
      <c r="G336" t="s">
        <v>887</v>
      </c>
      <c r="H336" t="s">
        <v>888</v>
      </c>
      <c r="I336"/>
      <c r="J336"/>
      <c r="K336"/>
      <c r="L336"/>
      <c r="M336"/>
      <c r="N336"/>
      <c r="O336"/>
      <c r="P336"/>
      <c r="Q336"/>
      <c r="R336"/>
      <c r="S336" s="56">
        <f t="shared" si="15"/>
        <v>40</v>
      </c>
      <c r="T336" s="57" t="str">
        <f t="shared" si="16"/>
        <v>31-60 Days</v>
      </c>
      <c r="U336" s="58" t="str">
        <f t="shared" si="17"/>
        <v>Not Applicable</v>
      </c>
    </row>
    <row r="337" spans="1:21" ht="23.25" customHeight="1" x14ac:dyDescent="0.35">
      <c r="A337" t="s">
        <v>884</v>
      </c>
      <c r="B337" t="s">
        <v>884</v>
      </c>
      <c r="C337">
        <v>0</v>
      </c>
      <c r="D337">
        <v>695019.55</v>
      </c>
      <c r="E337" t="s">
        <v>889</v>
      </c>
      <c r="F337" t="s">
        <v>57</v>
      </c>
      <c r="G337" t="s">
        <v>57</v>
      </c>
      <c r="H337" t="s">
        <v>890</v>
      </c>
      <c r="I337"/>
      <c r="J337"/>
      <c r="K337"/>
      <c r="L337"/>
      <c r="M337"/>
      <c r="N337"/>
      <c r="O337"/>
      <c r="P337"/>
      <c r="Q337"/>
      <c r="R337"/>
      <c r="S337" s="56">
        <f t="shared" si="15"/>
        <v>40</v>
      </c>
      <c r="T337" s="57" t="str">
        <f t="shared" si="16"/>
        <v>31-60 Days</v>
      </c>
      <c r="U337" s="58" t="str">
        <f t="shared" si="17"/>
        <v>Not Applicable</v>
      </c>
    </row>
    <row r="338" spans="1:21" ht="23.25" customHeight="1" x14ac:dyDescent="0.35">
      <c r="A338" t="s">
        <v>884</v>
      </c>
      <c r="B338" t="s">
        <v>884</v>
      </c>
      <c r="C338">
        <v>4000000</v>
      </c>
      <c r="D338">
        <v>0</v>
      </c>
      <c r="E338" t="s">
        <v>891</v>
      </c>
      <c r="F338" t="s">
        <v>57</v>
      </c>
      <c r="G338" t="s">
        <v>57</v>
      </c>
      <c r="H338" t="s">
        <v>892</v>
      </c>
      <c r="I338"/>
      <c r="J338"/>
      <c r="K338"/>
      <c r="L338"/>
      <c r="M338"/>
      <c r="N338"/>
      <c r="O338"/>
      <c r="P338"/>
      <c r="Q338"/>
      <c r="R338"/>
      <c r="S338" s="56">
        <f t="shared" si="15"/>
        <v>40</v>
      </c>
      <c r="T338" s="57" t="str">
        <f t="shared" si="16"/>
        <v>31-60 Days</v>
      </c>
      <c r="U338" s="58" t="str">
        <f t="shared" si="17"/>
        <v>Especially Mentioned</v>
      </c>
    </row>
    <row r="339" spans="1:21" ht="23.25" customHeight="1" x14ac:dyDescent="0.35">
      <c r="A339" t="s">
        <v>884</v>
      </c>
      <c r="B339" t="s">
        <v>884</v>
      </c>
      <c r="C339">
        <v>0</v>
      </c>
      <c r="D339">
        <v>953285.49</v>
      </c>
      <c r="E339" t="s">
        <v>893</v>
      </c>
      <c r="F339" t="s">
        <v>57</v>
      </c>
      <c r="G339" t="s">
        <v>57</v>
      </c>
      <c r="H339" t="s">
        <v>894</v>
      </c>
      <c r="I339"/>
      <c r="J339"/>
      <c r="K339"/>
      <c r="L339"/>
      <c r="M339"/>
      <c r="N339"/>
      <c r="O339"/>
      <c r="P339"/>
      <c r="Q339"/>
      <c r="R339"/>
      <c r="S339" s="56">
        <f t="shared" si="15"/>
        <v>40</v>
      </c>
      <c r="T339" s="57" t="str">
        <f t="shared" si="16"/>
        <v>31-60 Days</v>
      </c>
      <c r="U339" s="58" t="str">
        <f t="shared" si="17"/>
        <v>Not Applicable</v>
      </c>
    </row>
    <row r="340" spans="1:21" ht="23.25" customHeight="1" x14ac:dyDescent="0.35">
      <c r="A340" t="s">
        <v>884</v>
      </c>
      <c r="B340" t="s">
        <v>884</v>
      </c>
      <c r="C340">
        <v>0</v>
      </c>
      <c r="D340">
        <v>4393.3999999999996</v>
      </c>
      <c r="E340" t="s">
        <v>895</v>
      </c>
      <c r="F340" t="s">
        <v>896</v>
      </c>
      <c r="G340" t="s">
        <v>897</v>
      </c>
      <c r="H340" t="s">
        <v>898</v>
      </c>
      <c r="I340"/>
      <c r="J340"/>
      <c r="K340"/>
      <c r="L340"/>
      <c r="M340"/>
      <c r="N340"/>
      <c r="O340"/>
      <c r="P340"/>
      <c r="Q340"/>
      <c r="R340"/>
      <c r="S340" s="56">
        <f t="shared" si="15"/>
        <v>40</v>
      </c>
      <c r="T340" s="57" t="str">
        <f t="shared" si="16"/>
        <v>31-60 Days</v>
      </c>
      <c r="U340" s="58" t="str">
        <f t="shared" si="17"/>
        <v>Not Applicable</v>
      </c>
    </row>
    <row r="341" spans="1:21" ht="23.25" customHeight="1" x14ac:dyDescent="0.35">
      <c r="A341" t="s">
        <v>884</v>
      </c>
      <c r="B341" t="s">
        <v>884</v>
      </c>
      <c r="C341">
        <v>0</v>
      </c>
      <c r="D341">
        <v>468</v>
      </c>
      <c r="E341" t="s">
        <v>899</v>
      </c>
      <c r="F341" t="s">
        <v>900</v>
      </c>
      <c r="G341" t="s">
        <v>901</v>
      </c>
      <c r="H341" t="s">
        <v>902</v>
      </c>
      <c r="I341"/>
      <c r="J341"/>
      <c r="K341"/>
      <c r="L341"/>
      <c r="M341"/>
      <c r="N341"/>
      <c r="O341"/>
      <c r="P341"/>
      <c r="Q341"/>
      <c r="R341"/>
      <c r="S341" s="56">
        <f t="shared" si="15"/>
        <v>40</v>
      </c>
      <c r="T341" s="57" t="str">
        <f t="shared" si="16"/>
        <v>31-60 Days</v>
      </c>
      <c r="U341" s="58" t="str">
        <f t="shared" si="17"/>
        <v>Not Applicable</v>
      </c>
    </row>
    <row r="342" spans="1:21" ht="23.25" customHeight="1" x14ac:dyDescent="0.35">
      <c r="A342" t="s">
        <v>884</v>
      </c>
      <c r="B342" t="s">
        <v>884</v>
      </c>
      <c r="C342">
        <v>0</v>
      </c>
      <c r="D342">
        <v>170</v>
      </c>
      <c r="E342" t="s">
        <v>903</v>
      </c>
      <c r="F342" t="s">
        <v>904</v>
      </c>
      <c r="G342" t="s">
        <v>905</v>
      </c>
      <c r="H342" t="s">
        <v>906</v>
      </c>
      <c r="I342"/>
      <c r="J342"/>
      <c r="K342"/>
      <c r="L342"/>
      <c r="M342"/>
      <c r="N342"/>
      <c r="O342"/>
      <c r="P342"/>
      <c r="Q342"/>
      <c r="R342"/>
      <c r="S342" s="56">
        <f t="shared" si="15"/>
        <v>40</v>
      </c>
      <c r="T342" s="57" t="str">
        <f t="shared" si="16"/>
        <v>31-60 Days</v>
      </c>
      <c r="U342" s="58" t="str">
        <f t="shared" si="17"/>
        <v>Not Applicable</v>
      </c>
    </row>
    <row r="343" spans="1:21" ht="23.25" customHeight="1" x14ac:dyDescent="0.35">
      <c r="A343" t="s">
        <v>907</v>
      </c>
      <c r="B343" t="s">
        <v>907</v>
      </c>
      <c r="C343">
        <v>0</v>
      </c>
      <c r="D343">
        <v>3325383.65</v>
      </c>
      <c r="E343" t="s">
        <v>908</v>
      </c>
      <c r="F343" t="s">
        <v>57</v>
      </c>
      <c r="G343" t="s">
        <v>57</v>
      </c>
      <c r="H343" t="s">
        <v>909</v>
      </c>
      <c r="I343"/>
      <c r="J343"/>
      <c r="K343"/>
      <c r="L343"/>
      <c r="M343"/>
      <c r="N343"/>
      <c r="O343"/>
      <c r="P343"/>
      <c r="Q343"/>
      <c r="R343"/>
      <c r="S343" s="56">
        <f t="shared" si="15"/>
        <v>39</v>
      </c>
      <c r="T343" s="57" t="str">
        <f t="shared" si="16"/>
        <v>31-60 Days</v>
      </c>
      <c r="U343" s="58" t="str">
        <f t="shared" si="17"/>
        <v>Not Applicable</v>
      </c>
    </row>
    <row r="344" spans="1:21" ht="23.25" customHeight="1" x14ac:dyDescent="0.35">
      <c r="A344" t="s">
        <v>907</v>
      </c>
      <c r="B344" t="s">
        <v>907</v>
      </c>
      <c r="C344">
        <v>0</v>
      </c>
      <c r="D344">
        <v>3418360.6</v>
      </c>
      <c r="E344" t="s">
        <v>910</v>
      </c>
      <c r="F344" t="s">
        <v>57</v>
      </c>
      <c r="G344" t="s">
        <v>57</v>
      </c>
      <c r="H344" t="s">
        <v>911</v>
      </c>
      <c r="I344"/>
      <c r="J344"/>
      <c r="K344"/>
      <c r="L344"/>
      <c r="M344"/>
      <c r="N344"/>
      <c r="O344"/>
      <c r="P344"/>
      <c r="Q344"/>
      <c r="R344"/>
      <c r="S344" s="56">
        <f t="shared" si="15"/>
        <v>39</v>
      </c>
      <c r="T344" s="57" t="str">
        <f t="shared" si="16"/>
        <v>31-60 Days</v>
      </c>
      <c r="U344" s="58" t="str">
        <f t="shared" si="17"/>
        <v>Not Applicable</v>
      </c>
    </row>
    <row r="345" spans="1:21" ht="23.25" customHeight="1" x14ac:dyDescent="0.35">
      <c r="A345" t="s">
        <v>907</v>
      </c>
      <c r="B345" t="s">
        <v>907</v>
      </c>
      <c r="C345">
        <v>0</v>
      </c>
      <c r="D345">
        <v>2500000</v>
      </c>
      <c r="E345" t="s">
        <v>912</v>
      </c>
      <c r="F345" t="s">
        <v>57</v>
      </c>
      <c r="G345" t="s">
        <v>57</v>
      </c>
      <c r="H345" t="s">
        <v>913</v>
      </c>
      <c r="I345"/>
      <c r="J345"/>
      <c r="K345"/>
      <c r="L345"/>
      <c r="M345"/>
      <c r="N345"/>
      <c r="O345"/>
      <c r="P345"/>
      <c r="Q345"/>
      <c r="R345"/>
      <c r="S345" s="56">
        <f t="shared" si="15"/>
        <v>39</v>
      </c>
      <c r="T345" s="57" t="str">
        <f t="shared" si="16"/>
        <v>31-60 Days</v>
      </c>
      <c r="U345" s="58" t="str">
        <f t="shared" si="17"/>
        <v>Not Applicable</v>
      </c>
    </row>
    <row r="346" spans="1:21" ht="23.25" customHeight="1" x14ac:dyDescent="0.35">
      <c r="A346" t="s">
        <v>907</v>
      </c>
      <c r="B346" t="s">
        <v>907</v>
      </c>
      <c r="C346">
        <v>0</v>
      </c>
      <c r="D346">
        <v>1300</v>
      </c>
      <c r="E346" t="s">
        <v>914</v>
      </c>
      <c r="F346" t="s">
        <v>915</v>
      </c>
      <c r="G346" t="s">
        <v>916</v>
      </c>
      <c r="H346" t="s">
        <v>917</v>
      </c>
      <c r="I346"/>
      <c r="J346"/>
      <c r="K346"/>
      <c r="L346"/>
      <c r="M346"/>
      <c r="N346"/>
      <c r="O346"/>
      <c r="P346"/>
      <c r="Q346"/>
      <c r="R346"/>
      <c r="S346" s="56">
        <f t="shared" si="15"/>
        <v>39</v>
      </c>
      <c r="T346" s="57" t="str">
        <f t="shared" si="16"/>
        <v>31-60 Days</v>
      </c>
      <c r="U346" s="58" t="str">
        <f t="shared" si="17"/>
        <v>Not Applicable</v>
      </c>
    </row>
    <row r="347" spans="1:21" ht="23.25" customHeight="1" x14ac:dyDescent="0.35">
      <c r="A347" t="s">
        <v>907</v>
      </c>
      <c r="B347" t="s">
        <v>907</v>
      </c>
      <c r="C347">
        <v>0</v>
      </c>
      <c r="D347">
        <v>1388724.66</v>
      </c>
      <c r="E347" t="s">
        <v>918</v>
      </c>
      <c r="F347" t="s">
        <v>57</v>
      </c>
      <c r="G347" t="s">
        <v>57</v>
      </c>
      <c r="H347" t="s">
        <v>919</v>
      </c>
      <c r="I347"/>
      <c r="J347"/>
      <c r="K347"/>
      <c r="L347"/>
      <c r="M347"/>
      <c r="N347"/>
      <c r="O347"/>
      <c r="P347"/>
      <c r="Q347"/>
      <c r="R347"/>
      <c r="S347" s="56">
        <f t="shared" si="15"/>
        <v>39</v>
      </c>
      <c r="T347" s="57" t="str">
        <f t="shared" si="16"/>
        <v>31-60 Days</v>
      </c>
      <c r="U347" s="58" t="str">
        <f t="shared" si="17"/>
        <v>Not Applicable</v>
      </c>
    </row>
    <row r="348" spans="1:21" ht="23.25" customHeight="1" x14ac:dyDescent="0.35">
      <c r="A348" t="s">
        <v>907</v>
      </c>
      <c r="B348" t="s">
        <v>907</v>
      </c>
      <c r="C348">
        <v>0</v>
      </c>
      <c r="D348">
        <v>1869160.36</v>
      </c>
      <c r="E348" t="s">
        <v>920</v>
      </c>
      <c r="F348" t="s">
        <v>57</v>
      </c>
      <c r="G348" t="s">
        <v>57</v>
      </c>
      <c r="H348" t="s">
        <v>921</v>
      </c>
      <c r="I348"/>
      <c r="J348"/>
      <c r="K348"/>
      <c r="L348"/>
      <c r="M348"/>
      <c r="N348"/>
      <c r="O348"/>
      <c r="P348"/>
      <c r="Q348"/>
      <c r="R348"/>
      <c r="S348" s="56">
        <f t="shared" si="15"/>
        <v>39</v>
      </c>
      <c r="T348" s="57" t="str">
        <f t="shared" si="16"/>
        <v>31-60 Days</v>
      </c>
      <c r="U348" s="58" t="str">
        <f t="shared" si="17"/>
        <v>Not Applicable</v>
      </c>
    </row>
    <row r="349" spans="1:21" ht="23.25" customHeight="1" x14ac:dyDescent="0.35">
      <c r="A349" t="s">
        <v>907</v>
      </c>
      <c r="B349" t="s">
        <v>907</v>
      </c>
      <c r="C349">
        <v>5897</v>
      </c>
      <c r="D349">
        <v>0</v>
      </c>
      <c r="E349" t="s">
        <v>922</v>
      </c>
      <c r="F349" t="s">
        <v>57</v>
      </c>
      <c r="G349" t="s">
        <v>57</v>
      </c>
      <c r="H349" t="s">
        <v>923</v>
      </c>
      <c r="I349"/>
      <c r="J349"/>
      <c r="K349"/>
      <c r="L349"/>
      <c r="M349"/>
      <c r="N349"/>
      <c r="O349"/>
      <c r="P349"/>
      <c r="Q349"/>
      <c r="R349"/>
      <c r="S349" s="56">
        <f t="shared" si="15"/>
        <v>39</v>
      </c>
      <c r="T349" s="57" t="str">
        <f t="shared" si="16"/>
        <v>31-60 Days</v>
      </c>
      <c r="U349" s="58" t="str">
        <f t="shared" si="17"/>
        <v>Especially Mentioned</v>
      </c>
    </row>
    <row r="350" spans="1:21" ht="23.25" customHeight="1" x14ac:dyDescent="0.35">
      <c r="A350" t="s">
        <v>907</v>
      </c>
      <c r="B350" t="s">
        <v>907</v>
      </c>
      <c r="C350">
        <v>0</v>
      </c>
      <c r="D350">
        <v>2972455.53</v>
      </c>
      <c r="E350" t="s">
        <v>924</v>
      </c>
      <c r="F350" t="s">
        <v>57</v>
      </c>
      <c r="G350" t="s">
        <v>57</v>
      </c>
      <c r="H350" t="s">
        <v>925</v>
      </c>
      <c r="I350"/>
      <c r="J350"/>
      <c r="K350"/>
      <c r="L350"/>
      <c r="M350"/>
      <c r="N350"/>
      <c r="O350"/>
      <c r="P350"/>
      <c r="Q350"/>
      <c r="R350"/>
      <c r="S350" s="56">
        <f t="shared" si="15"/>
        <v>39</v>
      </c>
      <c r="T350" s="57" t="str">
        <f t="shared" si="16"/>
        <v>31-60 Days</v>
      </c>
      <c r="U350" s="58" t="str">
        <f t="shared" si="17"/>
        <v>Not Applicable</v>
      </c>
    </row>
    <row r="351" spans="1:21" ht="23.25" customHeight="1" x14ac:dyDescent="0.35">
      <c r="A351" t="s">
        <v>907</v>
      </c>
      <c r="B351" t="s">
        <v>907</v>
      </c>
      <c r="C351">
        <v>600437.5</v>
      </c>
      <c r="D351">
        <v>0</v>
      </c>
      <c r="E351" t="s">
        <v>926</v>
      </c>
      <c r="F351" t="s">
        <v>57</v>
      </c>
      <c r="G351" t="s">
        <v>57</v>
      </c>
      <c r="H351" t="s">
        <v>927</v>
      </c>
      <c r="I351"/>
      <c r="J351"/>
      <c r="K351"/>
      <c r="L351"/>
      <c r="M351"/>
      <c r="N351"/>
      <c r="O351"/>
      <c r="P351"/>
      <c r="Q351"/>
      <c r="R351"/>
      <c r="S351" s="56">
        <f t="shared" si="15"/>
        <v>39</v>
      </c>
      <c r="T351" s="57" t="str">
        <f t="shared" si="16"/>
        <v>31-60 Days</v>
      </c>
      <c r="U351" s="58" t="str">
        <f t="shared" si="17"/>
        <v>Especially Mentioned</v>
      </c>
    </row>
    <row r="352" spans="1:21" ht="23.25" customHeight="1" x14ac:dyDescent="0.35">
      <c r="A352" t="s">
        <v>907</v>
      </c>
      <c r="B352" t="s">
        <v>907</v>
      </c>
      <c r="C352">
        <v>16024</v>
      </c>
      <c r="D352">
        <v>0</v>
      </c>
      <c r="E352" t="s">
        <v>928</v>
      </c>
      <c r="F352" t="s">
        <v>57</v>
      </c>
      <c r="G352" t="s">
        <v>57</v>
      </c>
      <c r="H352" t="s">
        <v>929</v>
      </c>
      <c r="I352"/>
      <c r="J352"/>
      <c r="K352"/>
      <c r="L352"/>
      <c r="M352"/>
      <c r="N352"/>
      <c r="O352"/>
      <c r="P352"/>
      <c r="Q352"/>
      <c r="R352"/>
      <c r="S352" s="56">
        <f t="shared" si="15"/>
        <v>39</v>
      </c>
      <c r="T352" s="57" t="str">
        <f t="shared" si="16"/>
        <v>31-60 Days</v>
      </c>
      <c r="U352" s="58" t="str">
        <f t="shared" si="17"/>
        <v>Especially Mentioned</v>
      </c>
    </row>
    <row r="353" spans="1:21" ht="23.25" customHeight="1" x14ac:dyDescent="0.35">
      <c r="A353" t="s">
        <v>907</v>
      </c>
      <c r="B353" t="s">
        <v>907</v>
      </c>
      <c r="C353">
        <v>0</v>
      </c>
      <c r="D353">
        <v>600000</v>
      </c>
      <c r="E353" t="s">
        <v>930</v>
      </c>
      <c r="F353" t="s">
        <v>57</v>
      </c>
      <c r="G353" t="s">
        <v>57</v>
      </c>
      <c r="H353" t="s">
        <v>931</v>
      </c>
      <c r="I353"/>
      <c r="J353"/>
      <c r="K353"/>
      <c r="L353"/>
      <c r="M353"/>
      <c r="N353"/>
      <c r="O353"/>
      <c r="P353"/>
      <c r="Q353"/>
      <c r="R353"/>
      <c r="S353" s="56">
        <f t="shared" si="15"/>
        <v>39</v>
      </c>
      <c r="T353" s="57" t="str">
        <f t="shared" si="16"/>
        <v>31-60 Days</v>
      </c>
      <c r="U353" s="58" t="str">
        <f t="shared" si="17"/>
        <v>Not Applicable</v>
      </c>
    </row>
    <row r="354" spans="1:21" ht="23.25" customHeight="1" x14ac:dyDescent="0.35">
      <c r="A354" t="s">
        <v>907</v>
      </c>
      <c r="B354" t="s">
        <v>907</v>
      </c>
      <c r="C354">
        <v>0</v>
      </c>
      <c r="D354">
        <v>1000000</v>
      </c>
      <c r="E354" t="s">
        <v>932</v>
      </c>
      <c r="F354" t="s">
        <v>57</v>
      </c>
      <c r="G354" t="s">
        <v>57</v>
      </c>
      <c r="H354" t="s">
        <v>933</v>
      </c>
      <c r="I354"/>
      <c r="J354"/>
      <c r="K354"/>
      <c r="L354"/>
      <c r="M354"/>
      <c r="N354"/>
      <c r="O354"/>
      <c r="P354"/>
      <c r="Q354"/>
      <c r="R354"/>
      <c r="S354" s="56">
        <f t="shared" si="15"/>
        <v>39</v>
      </c>
      <c r="T354" s="57" t="str">
        <f t="shared" si="16"/>
        <v>31-60 Days</v>
      </c>
      <c r="U354" s="58" t="str">
        <f t="shared" si="17"/>
        <v>Not Applicable</v>
      </c>
    </row>
    <row r="355" spans="1:21" ht="23.25" customHeight="1" x14ac:dyDescent="0.35">
      <c r="A355" t="s">
        <v>907</v>
      </c>
      <c r="B355" t="s">
        <v>907</v>
      </c>
      <c r="C355">
        <v>0</v>
      </c>
      <c r="D355">
        <v>3685675.05</v>
      </c>
      <c r="E355" t="s">
        <v>934</v>
      </c>
      <c r="F355" t="s">
        <v>57</v>
      </c>
      <c r="G355" t="s">
        <v>57</v>
      </c>
      <c r="H355" t="s">
        <v>935</v>
      </c>
      <c r="I355"/>
      <c r="J355"/>
      <c r="K355"/>
      <c r="L355"/>
      <c r="M355"/>
      <c r="N355"/>
      <c r="O355"/>
      <c r="P355"/>
      <c r="Q355"/>
      <c r="R355"/>
      <c r="S355" s="56">
        <f t="shared" si="15"/>
        <v>39</v>
      </c>
      <c r="T355" s="57" t="str">
        <f t="shared" si="16"/>
        <v>31-60 Days</v>
      </c>
      <c r="U355" s="58" t="str">
        <f t="shared" si="17"/>
        <v>Not Applicable</v>
      </c>
    </row>
    <row r="356" spans="1:21" ht="23.25" customHeight="1" x14ac:dyDescent="0.35">
      <c r="A356" t="s">
        <v>907</v>
      </c>
      <c r="B356" t="s">
        <v>907</v>
      </c>
      <c r="C356">
        <v>300</v>
      </c>
      <c r="D356">
        <v>0</v>
      </c>
      <c r="E356" t="s">
        <v>936</v>
      </c>
      <c r="F356" t="s">
        <v>937</v>
      </c>
      <c r="G356" t="s">
        <v>57</v>
      </c>
      <c r="H356" t="s">
        <v>938</v>
      </c>
      <c r="I356"/>
      <c r="J356"/>
      <c r="K356"/>
      <c r="L356"/>
      <c r="M356"/>
      <c r="N356"/>
      <c r="O356"/>
      <c r="P356"/>
      <c r="Q356"/>
      <c r="R356"/>
      <c r="S356" s="56">
        <f t="shared" si="15"/>
        <v>39</v>
      </c>
      <c r="T356" s="57" t="str">
        <f t="shared" si="16"/>
        <v>31-60 Days</v>
      </c>
      <c r="U356" s="58" t="str">
        <f t="shared" si="17"/>
        <v>Especially Mentioned</v>
      </c>
    </row>
    <row r="357" spans="1:21" ht="23.25" customHeight="1" x14ac:dyDescent="0.35">
      <c r="A357" t="s">
        <v>939</v>
      </c>
      <c r="B357" t="s">
        <v>939</v>
      </c>
      <c r="C357">
        <v>0</v>
      </c>
      <c r="D357">
        <v>68055</v>
      </c>
      <c r="E357" t="s">
        <v>940</v>
      </c>
      <c r="F357" t="s">
        <v>941</v>
      </c>
      <c r="G357" t="s">
        <v>942</v>
      </c>
      <c r="H357" t="s">
        <v>943</v>
      </c>
      <c r="I357"/>
      <c r="J357"/>
      <c r="K357"/>
      <c r="L357"/>
      <c r="M357"/>
      <c r="N357"/>
      <c r="O357"/>
      <c r="P357"/>
      <c r="Q357"/>
      <c r="R357"/>
      <c r="S357" s="56">
        <f t="shared" si="15"/>
        <v>38</v>
      </c>
      <c r="T357" s="57" t="str">
        <f t="shared" si="16"/>
        <v>31-60 Days</v>
      </c>
      <c r="U357" s="58" t="str">
        <f t="shared" si="17"/>
        <v>Not Applicable</v>
      </c>
    </row>
    <row r="358" spans="1:21" ht="23.25" customHeight="1" x14ac:dyDescent="0.35">
      <c r="A358" t="s">
        <v>939</v>
      </c>
      <c r="B358" t="s">
        <v>939</v>
      </c>
      <c r="C358">
        <v>1501093.75</v>
      </c>
      <c r="D358">
        <v>0</v>
      </c>
      <c r="E358" t="s">
        <v>944</v>
      </c>
      <c r="F358" t="s">
        <v>57</v>
      </c>
      <c r="G358" t="s">
        <v>57</v>
      </c>
      <c r="H358" t="s">
        <v>945</v>
      </c>
      <c r="I358"/>
      <c r="J358"/>
      <c r="K358"/>
      <c r="L358"/>
      <c r="M358"/>
      <c r="N358"/>
      <c r="O358"/>
      <c r="P358"/>
      <c r="Q358"/>
      <c r="R358"/>
      <c r="S358" s="56">
        <f t="shared" si="15"/>
        <v>38</v>
      </c>
      <c r="T358" s="57" t="str">
        <f t="shared" si="16"/>
        <v>31-60 Days</v>
      </c>
      <c r="U358" s="58" t="str">
        <f t="shared" si="17"/>
        <v>Especially Mentioned</v>
      </c>
    </row>
    <row r="359" spans="1:21" ht="23.25" customHeight="1" x14ac:dyDescent="0.35">
      <c r="A359" t="s">
        <v>939</v>
      </c>
      <c r="B359" t="s">
        <v>939</v>
      </c>
      <c r="C359">
        <v>25248.42</v>
      </c>
      <c r="D359">
        <v>0</v>
      </c>
      <c r="E359" t="s">
        <v>946</v>
      </c>
      <c r="F359" t="s">
        <v>57</v>
      </c>
      <c r="G359" t="s">
        <v>57</v>
      </c>
      <c r="H359" t="s">
        <v>947</v>
      </c>
      <c r="I359"/>
      <c r="J359"/>
      <c r="K359"/>
      <c r="L359"/>
      <c r="M359"/>
      <c r="N359"/>
      <c r="O359"/>
      <c r="P359"/>
      <c r="Q359"/>
      <c r="R359"/>
      <c r="S359" s="56">
        <f t="shared" si="15"/>
        <v>38</v>
      </c>
      <c r="T359" s="57" t="str">
        <f t="shared" si="16"/>
        <v>31-60 Days</v>
      </c>
      <c r="U359" s="58" t="str">
        <f t="shared" si="17"/>
        <v>Especially Mentioned</v>
      </c>
    </row>
    <row r="360" spans="1:21" ht="23.25" customHeight="1" x14ac:dyDescent="0.35">
      <c r="A360" t="s">
        <v>948</v>
      </c>
      <c r="B360" t="s">
        <v>948</v>
      </c>
      <c r="C360">
        <v>300</v>
      </c>
      <c r="D360">
        <v>0</v>
      </c>
      <c r="E360" t="s">
        <v>949</v>
      </c>
      <c r="F360" t="s">
        <v>57</v>
      </c>
      <c r="G360" t="s">
        <v>57</v>
      </c>
      <c r="H360" t="s">
        <v>950</v>
      </c>
      <c r="I360"/>
      <c r="J360"/>
      <c r="K360"/>
      <c r="L360"/>
      <c r="M360"/>
      <c r="N360"/>
      <c r="O360"/>
      <c r="P360"/>
      <c r="Q360"/>
      <c r="R360"/>
      <c r="S360" s="56">
        <f t="shared" si="15"/>
        <v>37</v>
      </c>
      <c r="T360" s="57" t="str">
        <f t="shared" si="16"/>
        <v>31-60 Days</v>
      </c>
      <c r="U360" s="58" t="str">
        <f t="shared" si="17"/>
        <v>Especially Mentioned</v>
      </c>
    </row>
    <row r="361" spans="1:21" ht="23.25" customHeight="1" x14ac:dyDescent="0.35">
      <c r="A361" t="s">
        <v>951</v>
      </c>
      <c r="B361" t="s">
        <v>951</v>
      </c>
      <c r="C361">
        <v>0</v>
      </c>
      <c r="D361">
        <v>680</v>
      </c>
      <c r="E361" t="s">
        <v>952</v>
      </c>
      <c r="F361" t="s">
        <v>57</v>
      </c>
      <c r="G361" t="s">
        <v>57</v>
      </c>
      <c r="H361" t="s">
        <v>953</v>
      </c>
      <c r="I361"/>
      <c r="J361"/>
      <c r="K361"/>
      <c r="L361"/>
      <c r="M361"/>
      <c r="N361"/>
      <c r="O361"/>
      <c r="P361"/>
      <c r="Q361"/>
      <c r="R361"/>
      <c r="S361" s="56">
        <f t="shared" si="15"/>
        <v>35</v>
      </c>
      <c r="T361" s="57" t="str">
        <f t="shared" si="16"/>
        <v>31-60 Days</v>
      </c>
      <c r="U361" s="58" t="str">
        <f t="shared" si="17"/>
        <v>Not Applicable</v>
      </c>
    </row>
    <row r="362" spans="1:21" ht="23.25" customHeight="1" x14ac:dyDescent="0.35">
      <c r="A362" t="s">
        <v>951</v>
      </c>
      <c r="B362" t="s">
        <v>951</v>
      </c>
      <c r="C362">
        <v>495.6</v>
      </c>
      <c r="D362">
        <v>0</v>
      </c>
      <c r="E362" t="s">
        <v>954</v>
      </c>
      <c r="F362" t="s">
        <v>57</v>
      </c>
      <c r="G362" t="s">
        <v>57</v>
      </c>
      <c r="H362" t="s">
        <v>955</v>
      </c>
      <c r="I362"/>
      <c r="J362"/>
      <c r="K362"/>
      <c r="L362"/>
      <c r="M362"/>
      <c r="N362"/>
      <c r="O362"/>
      <c r="P362"/>
      <c r="Q362"/>
      <c r="R362"/>
      <c r="S362" s="56">
        <f t="shared" si="15"/>
        <v>35</v>
      </c>
      <c r="T362" s="57" t="str">
        <f t="shared" si="16"/>
        <v>31-60 Days</v>
      </c>
      <c r="U362" s="58" t="str">
        <f t="shared" si="17"/>
        <v>Especially Mentioned</v>
      </c>
    </row>
    <row r="363" spans="1:21" ht="23.25" customHeight="1" x14ac:dyDescent="0.35">
      <c r="A363" t="s">
        <v>951</v>
      </c>
      <c r="B363" t="s">
        <v>951</v>
      </c>
      <c r="C363">
        <v>1722</v>
      </c>
      <c r="D363">
        <v>0</v>
      </c>
      <c r="E363" t="s">
        <v>956</v>
      </c>
      <c r="F363" t="s">
        <v>57</v>
      </c>
      <c r="G363" t="s">
        <v>57</v>
      </c>
      <c r="H363" t="s">
        <v>957</v>
      </c>
      <c r="I363"/>
      <c r="J363"/>
      <c r="K363"/>
      <c r="L363"/>
      <c r="M363"/>
      <c r="N363"/>
      <c r="O363"/>
      <c r="P363"/>
      <c r="Q363"/>
      <c r="R363"/>
      <c r="S363" s="56">
        <f t="shared" si="15"/>
        <v>35</v>
      </c>
      <c r="T363" s="57" t="str">
        <f t="shared" si="16"/>
        <v>31-60 Days</v>
      </c>
      <c r="U363" s="58" t="str">
        <f t="shared" si="17"/>
        <v>Especially Mentioned</v>
      </c>
    </row>
    <row r="364" spans="1:21" ht="23.25" customHeight="1" x14ac:dyDescent="0.35">
      <c r="A364" t="s">
        <v>951</v>
      </c>
      <c r="B364" t="s">
        <v>951</v>
      </c>
      <c r="C364">
        <v>37778.400000000001</v>
      </c>
      <c r="D364">
        <v>0</v>
      </c>
      <c r="E364" t="s">
        <v>958</v>
      </c>
      <c r="F364" t="s">
        <v>57</v>
      </c>
      <c r="G364" t="s">
        <v>57</v>
      </c>
      <c r="H364" t="s">
        <v>959</v>
      </c>
      <c r="I364"/>
      <c r="J364"/>
      <c r="K364"/>
      <c r="L364"/>
      <c r="M364"/>
      <c r="N364"/>
      <c r="O364"/>
      <c r="P364"/>
      <c r="Q364"/>
      <c r="R364"/>
      <c r="S364" s="56">
        <f t="shared" si="15"/>
        <v>35</v>
      </c>
      <c r="T364" s="57" t="str">
        <f t="shared" si="16"/>
        <v>31-60 Days</v>
      </c>
      <c r="U364" s="58" t="str">
        <f t="shared" si="17"/>
        <v>Especially Mentioned</v>
      </c>
    </row>
    <row r="365" spans="1:21" ht="23.25" customHeight="1" x14ac:dyDescent="0.35">
      <c r="A365" t="s">
        <v>951</v>
      </c>
      <c r="B365" t="s">
        <v>951</v>
      </c>
      <c r="C365">
        <v>0</v>
      </c>
      <c r="D365">
        <v>290</v>
      </c>
      <c r="E365" t="s">
        <v>960</v>
      </c>
      <c r="F365" t="s">
        <v>57</v>
      </c>
      <c r="G365" t="s">
        <v>57</v>
      </c>
      <c r="H365" t="s">
        <v>961</v>
      </c>
      <c r="I365"/>
      <c r="J365"/>
      <c r="K365"/>
      <c r="L365"/>
      <c r="M365"/>
      <c r="N365"/>
      <c r="O365"/>
      <c r="P365"/>
      <c r="Q365"/>
      <c r="R365"/>
      <c r="S365" s="56">
        <f t="shared" si="15"/>
        <v>35</v>
      </c>
      <c r="T365" s="57" t="str">
        <f t="shared" si="16"/>
        <v>31-60 Days</v>
      </c>
      <c r="U365" s="58" t="str">
        <f t="shared" si="17"/>
        <v>Not Applicable</v>
      </c>
    </row>
    <row r="366" spans="1:21" ht="23.25" customHeight="1" x14ac:dyDescent="0.35">
      <c r="A366" t="s">
        <v>951</v>
      </c>
      <c r="B366" t="s">
        <v>951</v>
      </c>
      <c r="C366">
        <v>6725</v>
      </c>
      <c r="D366">
        <v>0</v>
      </c>
      <c r="E366" t="s">
        <v>962</v>
      </c>
      <c r="F366" t="s">
        <v>57</v>
      </c>
      <c r="G366" t="s">
        <v>57</v>
      </c>
      <c r="H366" t="s">
        <v>963</v>
      </c>
      <c r="I366"/>
      <c r="J366"/>
      <c r="K366"/>
      <c r="L366"/>
      <c r="M366"/>
      <c r="N366"/>
      <c r="O366"/>
      <c r="P366"/>
      <c r="Q366"/>
      <c r="R366"/>
      <c r="S366" s="56">
        <f t="shared" si="15"/>
        <v>35</v>
      </c>
      <c r="T366" s="57" t="str">
        <f t="shared" si="16"/>
        <v>31-60 Days</v>
      </c>
      <c r="U366" s="58" t="str">
        <f t="shared" si="17"/>
        <v>Especially Mentioned</v>
      </c>
    </row>
    <row r="367" spans="1:21" ht="23.25" customHeight="1" x14ac:dyDescent="0.35">
      <c r="A367" t="s">
        <v>951</v>
      </c>
      <c r="B367" t="s">
        <v>951</v>
      </c>
      <c r="C367">
        <v>1510</v>
      </c>
      <c r="D367">
        <v>0</v>
      </c>
      <c r="E367" t="s">
        <v>964</v>
      </c>
      <c r="F367" t="s">
        <v>57</v>
      </c>
      <c r="G367" t="s">
        <v>57</v>
      </c>
      <c r="H367" t="s">
        <v>965</v>
      </c>
      <c r="I367"/>
      <c r="J367"/>
      <c r="K367"/>
      <c r="L367"/>
      <c r="M367"/>
      <c r="N367"/>
      <c r="O367"/>
      <c r="P367"/>
      <c r="Q367"/>
      <c r="R367"/>
      <c r="S367" s="56">
        <f t="shared" si="15"/>
        <v>35</v>
      </c>
      <c r="T367" s="57" t="str">
        <f t="shared" si="16"/>
        <v>31-60 Days</v>
      </c>
      <c r="U367" s="58" t="str">
        <f t="shared" si="17"/>
        <v>Especially Mentioned</v>
      </c>
    </row>
    <row r="368" spans="1:21" ht="23.25" customHeight="1" x14ac:dyDescent="0.35">
      <c r="A368" t="s">
        <v>951</v>
      </c>
      <c r="B368" t="s">
        <v>951</v>
      </c>
      <c r="C368">
        <v>849.6</v>
      </c>
      <c r="D368">
        <v>0</v>
      </c>
      <c r="E368" t="s">
        <v>966</v>
      </c>
      <c r="F368" t="s">
        <v>57</v>
      </c>
      <c r="G368" t="s">
        <v>57</v>
      </c>
      <c r="H368" t="s">
        <v>967</v>
      </c>
      <c r="I368"/>
      <c r="J368"/>
      <c r="K368"/>
      <c r="L368"/>
      <c r="M368"/>
      <c r="N368"/>
      <c r="O368"/>
      <c r="P368"/>
      <c r="Q368"/>
      <c r="R368"/>
      <c r="S368" s="56">
        <f t="shared" si="15"/>
        <v>35</v>
      </c>
      <c r="T368" s="57" t="str">
        <f t="shared" si="16"/>
        <v>31-60 Days</v>
      </c>
      <c r="U368" s="58" t="str">
        <f t="shared" si="17"/>
        <v>Especially Mentioned</v>
      </c>
    </row>
    <row r="369" spans="1:21" ht="23.25" customHeight="1" x14ac:dyDescent="0.35">
      <c r="A369" t="s">
        <v>951</v>
      </c>
      <c r="B369" t="s">
        <v>951</v>
      </c>
      <c r="C369">
        <v>8960046</v>
      </c>
      <c r="D369">
        <v>0</v>
      </c>
      <c r="E369" t="s">
        <v>968</v>
      </c>
      <c r="F369" t="s">
        <v>57</v>
      </c>
      <c r="G369" t="s">
        <v>57</v>
      </c>
      <c r="H369" t="s">
        <v>969</v>
      </c>
      <c r="I369"/>
      <c r="J369"/>
      <c r="K369"/>
      <c r="L369"/>
      <c r="M369"/>
      <c r="N369"/>
      <c r="O369"/>
      <c r="P369"/>
      <c r="Q369"/>
      <c r="R369"/>
      <c r="S369" s="56">
        <f t="shared" si="15"/>
        <v>35</v>
      </c>
      <c r="T369" s="57" t="str">
        <f t="shared" si="16"/>
        <v>31-60 Days</v>
      </c>
      <c r="U369" s="58" t="str">
        <f t="shared" si="17"/>
        <v>Especially Mentioned</v>
      </c>
    </row>
    <row r="370" spans="1:21" ht="23.25" customHeight="1" x14ac:dyDescent="0.35">
      <c r="A370" t="s">
        <v>951</v>
      </c>
      <c r="B370" t="s">
        <v>951</v>
      </c>
      <c r="C370">
        <v>1790</v>
      </c>
      <c r="D370">
        <v>0</v>
      </c>
      <c r="E370" t="s">
        <v>970</v>
      </c>
      <c r="F370" t="s">
        <v>57</v>
      </c>
      <c r="G370" t="s">
        <v>57</v>
      </c>
      <c r="H370" t="s">
        <v>971</v>
      </c>
      <c r="I370"/>
      <c r="J370"/>
      <c r="K370"/>
      <c r="L370"/>
      <c r="M370"/>
      <c r="N370"/>
      <c r="O370"/>
      <c r="P370"/>
      <c r="Q370"/>
      <c r="R370"/>
      <c r="S370" s="56">
        <f t="shared" si="15"/>
        <v>35</v>
      </c>
      <c r="T370" s="57" t="str">
        <f t="shared" si="16"/>
        <v>31-60 Days</v>
      </c>
      <c r="U370" s="58" t="str">
        <f t="shared" si="17"/>
        <v>Especially Mentioned</v>
      </c>
    </row>
    <row r="371" spans="1:21" ht="23.25" customHeight="1" x14ac:dyDescent="0.35">
      <c r="A371" t="s">
        <v>951</v>
      </c>
      <c r="B371" t="s">
        <v>951</v>
      </c>
      <c r="C371">
        <v>0</v>
      </c>
      <c r="D371">
        <v>622</v>
      </c>
      <c r="E371" t="s">
        <v>972</v>
      </c>
      <c r="F371" t="s">
        <v>57</v>
      </c>
      <c r="G371" t="s">
        <v>57</v>
      </c>
      <c r="H371" t="s">
        <v>973</v>
      </c>
      <c r="I371"/>
      <c r="J371"/>
      <c r="K371"/>
      <c r="L371"/>
      <c r="M371"/>
      <c r="N371"/>
      <c r="O371"/>
      <c r="P371"/>
      <c r="Q371"/>
      <c r="R371"/>
      <c r="S371" s="56">
        <f t="shared" si="15"/>
        <v>35</v>
      </c>
      <c r="T371" s="57" t="str">
        <f t="shared" si="16"/>
        <v>31-60 Days</v>
      </c>
      <c r="U371" s="58" t="str">
        <f t="shared" si="17"/>
        <v>Not Applicable</v>
      </c>
    </row>
    <row r="372" spans="1:21" ht="23.25" customHeight="1" x14ac:dyDescent="0.35">
      <c r="A372" t="s">
        <v>951</v>
      </c>
      <c r="B372" t="s">
        <v>951</v>
      </c>
      <c r="C372">
        <v>389.4</v>
      </c>
      <c r="D372">
        <v>0</v>
      </c>
      <c r="E372" t="s">
        <v>974</v>
      </c>
      <c r="F372" t="s">
        <v>57</v>
      </c>
      <c r="G372" t="s">
        <v>57</v>
      </c>
      <c r="H372" t="s">
        <v>975</v>
      </c>
      <c r="I372"/>
      <c r="J372"/>
      <c r="K372"/>
      <c r="L372"/>
      <c r="M372"/>
      <c r="N372"/>
      <c r="O372"/>
      <c r="P372"/>
      <c r="Q372"/>
      <c r="R372"/>
      <c r="S372" s="56">
        <f t="shared" si="15"/>
        <v>35</v>
      </c>
      <c r="T372" s="57" t="str">
        <f t="shared" si="16"/>
        <v>31-60 Days</v>
      </c>
      <c r="U372" s="58" t="str">
        <f t="shared" si="17"/>
        <v>Especially Mentioned</v>
      </c>
    </row>
    <row r="373" spans="1:21" ht="23.25" customHeight="1" x14ac:dyDescent="0.35">
      <c r="A373" t="s">
        <v>951</v>
      </c>
      <c r="B373" t="s">
        <v>951</v>
      </c>
      <c r="C373">
        <v>862.19</v>
      </c>
      <c r="D373">
        <v>0</v>
      </c>
      <c r="E373" t="s">
        <v>976</v>
      </c>
      <c r="F373" t="s">
        <v>57</v>
      </c>
      <c r="G373" t="s">
        <v>57</v>
      </c>
      <c r="H373" t="s">
        <v>977</v>
      </c>
      <c r="I373"/>
      <c r="J373"/>
      <c r="K373"/>
      <c r="L373"/>
      <c r="M373"/>
      <c r="N373"/>
      <c r="O373"/>
      <c r="P373"/>
      <c r="Q373"/>
      <c r="R373"/>
      <c r="S373" s="56">
        <f t="shared" si="15"/>
        <v>35</v>
      </c>
      <c r="T373" s="57" t="str">
        <f t="shared" si="16"/>
        <v>31-60 Days</v>
      </c>
      <c r="U373" s="58" t="str">
        <f t="shared" si="17"/>
        <v>Especially Mentioned</v>
      </c>
    </row>
    <row r="374" spans="1:21" ht="23.25" customHeight="1" x14ac:dyDescent="0.35">
      <c r="A374" t="s">
        <v>951</v>
      </c>
      <c r="B374" t="s">
        <v>951</v>
      </c>
      <c r="C374">
        <v>29835</v>
      </c>
      <c r="D374">
        <v>0</v>
      </c>
      <c r="E374" t="s">
        <v>978</v>
      </c>
      <c r="F374" t="s">
        <v>57</v>
      </c>
      <c r="G374" t="s">
        <v>57</v>
      </c>
      <c r="H374" t="s">
        <v>979</v>
      </c>
      <c r="I374"/>
      <c r="J374"/>
      <c r="K374"/>
      <c r="L374"/>
      <c r="M374"/>
      <c r="N374"/>
      <c r="O374"/>
      <c r="P374"/>
      <c r="Q374"/>
      <c r="R374"/>
      <c r="S374" s="56">
        <f t="shared" si="15"/>
        <v>35</v>
      </c>
      <c r="T374" s="57" t="str">
        <f t="shared" si="16"/>
        <v>31-60 Days</v>
      </c>
      <c r="U374" s="58" t="str">
        <f t="shared" si="17"/>
        <v>Especially Mentioned</v>
      </c>
    </row>
    <row r="375" spans="1:21" ht="23.25" customHeight="1" x14ac:dyDescent="0.35">
      <c r="A375" t="s">
        <v>951</v>
      </c>
      <c r="B375" t="s">
        <v>951</v>
      </c>
      <c r="C375">
        <v>62870.400000000001</v>
      </c>
      <c r="D375">
        <v>0</v>
      </c>
      <c r="E375" t="s">
        <v>980</v>
      </c>
      <c r="F375" t="s">
        <v>57</v>
      </c>
      <c r="G375" t="s">
        <v>57</v>
      </c>
      <c r="H375" t="s">
        <v>981</v>
      </c>
      <c r="I375"/>
      <c r="J375"/>
      <c r="K375"/>
      <c r="L375"/>
      <c r="M375"/>
      <c r="N375"/>
      <c r="O375"/>
      <c r="P375"/>
      <c r="Q375"/>
      <c r="R375"/>
      <c r="S375" s="56">
        <f t="shared" si="15"/>
        <v>35</v>
      </c>
      <c r="T375" s="57" t="str">
        <f t="shared" si="16"/>
        <v>31-60 Days</v>
      </c>
      <c r="U375" s="58" t="str">
        <f t="shared" si="17"/>
        <v>Especially Mentioned</v>
      </c>
    </row>
    <row r="376" spans="1:21" ht="23.25" customHeight="1" x14ac:dyDescent="0.35">
      <c r="A376" t="s">
        <v>951</v>
      </c>
      <c r="B376" t="s">
        <v>951</v>
      </c>
      <c r="C376">
        <v>13658.58</v>
      </c>
      <c r="D376">
        <v>0</v>
      </c>
      <c r="E376" t="s">
        <v>982</v>
      </c>
      <c r="F376" t="s">
        <v>57</v>
      </c>
      <c r="G376" t="s">
        <v>57</v>
      </c>
      <c r="H376" t="s">
        <v>983</v>
      </c>
      <c r="I376"/>
      <c r="J376"/>
      <c r="K376"/>
      <c r="L376"/>
      <c r="M376"/>
      <c r="N376"/>
      <c r="O376"/>
      <c r="P376"/>
      <c r="Q376"/>
      <c r="R376"/>
      <c r="S376" s="56">
        <f t="shared" si="15"/>
        <v>35</v>
      </c>
      <c r="T376" s="57" t="str">
        <f t="shared" si="16"/>
        <v>31-60 Days</v>
      </c>
      <c r="U376" s="58" t="str">
        <f t="shared" si="17"/>
        <v>Especially Mentioned</v>
      </c>
    </row>
    <row r="377" spans="1:21" ht="23.25" customHeight="1" x14ac:dyDescent="0.35">
      <c r="A377" t="s">
        <v>951</v>
      </c>
      <c r="B377" t="s">
        <v>951</v>
      </c>
      <c r="C377">
        <v>35.4</v>
      </c>
      <c r="D377">
        <v>0</v>
      </c>
      <c r="E377" t="s">
        <v>984</v>
      </c>
      <c r="F377" t="s">
        <v>57</v>
      </c>
      <c r="G377" t="s">
        <v>57</v>
      </c>
      <c r="H377" t="s">
        <v>985</v>
      </c>
      <c r="I377"/>
      <c r="J377"/>
      <c r="K377"/>
      <c r="L377"/>
      <c r="M377"/>
      <c r="N377"/>
      <c r="O377"/>
      <c r="P377"/>
      <c r="Q377"/>
      <c r="R377"/>
      <c r="S377" s="56">
        <f t="shared" si="15"/>
        <v>35</v>
      </c>
      <c r="T377" s="57" t="str">
        <f t="shared" si="16"/>
        <v>31-60 Days</v>
      </c>
      <c r="U377" s="58" t="str">
        <f t="shared" si="17"/>
        <v>Especially Mentioned</v>
      </c>
    </row>
    <row r="378" spans="1:21" ht="23.25" customHeight="1" x14ac:dyDescent="0.35">
      <c r="A378" t="s">
        <v>951</v>
      </c>
      <c r="B378" t="s">
        <v>951</v>
      </c>
      <c r="C378">
        <v>1827.82</v>
      </c>
      <c r="D378">
        <v>0</v>
      </c>
      <c r="E378" t="s">
        <v>986</v>
      </c>
      <c r="F378" t="s">
        <v>57</v>
      </c>
      <c r="G378" t="s">
        <v>57</v>
      </c>
      <c r="H378" t="s">
        <v>987</v>
      </c>
      <c r="I378"/>
      <c r="J378"/>
      <c r="K378"/>
      <c r="L378"/>
      <c r="M378"/>
      <c r="N378"/>
      <c r="O378"/>
      <c r="P378"/>
      <c r="Q378"/>
      <c r="R378"/>
      <c r="S378" s="56">
        <f t="shared" si="15"/>
        <v>35</v>
      </c>
      <c r="T378" s="57" t="str">
        <f t="shared" si="16"/>
        <v>31-60 Days</v>
      </c>
      <c r="U378" s="58" t="str">
        <f t="shared" si="17"/>
        <v>Especially Mentioned</v>
      </c>
    </row>
    <row r="379" spans="1:21" ht="23.25" customHeight="1" x14ac:dyDescent="0.35">
      <c r="A379" t="s">
        <v>951</v>
      </c>
      <c r="B379" t="s">
        <v>951</v>
      </c>
      <c r="C379">
        <v>7292.4</v>
      </c>
      <c r="D379">
        <v>0</v>
      </c>
      <c r="E379" t="s">
        <v>988</v>
      </c>
      <c r="F379" t="s">
        <v>57</v>
      </c>
      <c r="G379" t="s">
        <v>57</v>
      </c>
      <c r="H379" t="s">
        <v>989</v>
      </c>
      <c r="I379"/>
      <c r="J379"/>
      <c r="K379"/>
      <c r="L379"/>
      <c r="M379"/>
      <c r="N379"/>
      <c r="O379"/>
      <c r="P379"/>
      <c r="Q379"/>
      <c r="R379"/>
      <c r="S379" s="56">
        <f t="shared" si="15"/>
        <v>35</v>
      </c>
      <c r="T379" s="57" t="str">
        <f t="shared" si="16"/>
        <v>31-60 Days</v>
      </c>
      <c r="U379" s="58" t="str">
        <f t="shared" si="17"/>
        <v>Especially Mentioned</v>
      </c>
    </row>
    <row r="380" spans="1:21" ht="23.25" customHeight="1" x14ac:dyDescent="0.35">
      <c r="A380" t="s">
        <v>951</v>
      </c>
      <c r="B380" t="s">
        <v>951</v>
      </c>
      <c r="C380">
        <v>3790.5</v>
      </c>
      <c r="D380">
        <v>0</v>
      </c>
      <c r="E380" t="s">
        <v>990</v>
      </c>
      <c r="F380" t="s">
        <v>57</v>
      </c>
      <c r="G380" t="s">
        <v>57</v>
      </c>
      <c r="H380" t="s">
        <v>991</v>
      </c>
      <c r="I380"/>
      <c r="J380"/>
      <c r="K380"/>
      <c r="L380"/>
      <c r="M380"/>
      <c r="N380"/>
      <c r="O380"/>
      <c r="P380"/>
      <c r="Q380"/>
      <c r="R380"/>
      <c r="S380" s="56">
        <f t="shared" si="15"/>
        <v>35</v>
      </c>
      <c r="T380" s="57" t="str">
        <f t="shared" si="16"/>
        <v>31-60 Days</v>
      </c>
      <c r="U380" s="58" t="str">
        <f t="shared" si="17"/>
        <v>Especially Mentioned</v>
      </c>
    </row>
    <row r="381" spans="1:21" ht="23.25" customHeight="1" x14ac:dyDescent="0.35">
      <c r="A381" t="s">
        <v>951</v>
      </c>
      <c r="B381" t="s">
        <v>951</v>
      </c>
      <c r="C381">
        <v>0</v>
      </c>
      <c r="D381">
        <v>299966.96999999997</v>
      </c>
      <c r="E381" t="s">
        <v>992</v>
      </c>
      <c r="F381" t="s">
        <v>57</v>
      </c>
      <c r="G381" t="s">
        <v>57</v>
      </c>
      <c r="H381" t="s">
        <v>993</v>
      </c>
      <c r="I381"/>
      <c r="J381"/>
      <c r="K381"/>
      <c r="L381"/>
      <c r="M381"/>
      <c r="N381"/>
      <c r="O381"/>
      <c r="P381"/>
      <c r="Q381"/>
      <c r="R381"/>
      <c r="S381" s="56">
        <f t="shared" si="15"/>
        <v>35</v>
      </c>
      <c r="T381" s="57" t="str">
        <f t="shared" si="16"/>
        <v>31-60 Days</v>
      </c>
      <c r="U381" s="58" t="str">
        <f t="shared" si="17"/>
        <v>Not Applicable</v>
      </c>
    </row>
    <row r="382" spans="1:21" ht="23.25" customHeight="1" x14ac:dyDescent="0.35">
      <c r="A382" t="s">
        <v>951</v>
      </c>
      <c r="B382" t="s">
        <v>951</v>
      </c>
      <c r="C382">
        <v>30057.599999999999</v>
      </c>
      <c r="D382">
        <v>0</v>
      </c>
      <c r="E382" t="s">
        <v>994</v>
      </c>
      <c r="F382" t="s">
        <v>57</v>
      </c>
      <c r="G382" t="s">
        <v>57</v>
      </c>
      <c r="H382" t="s">
        <v>995</v>
      </c>
      <c r="I382"/>
      <c r="J382"/>
      <c r="K382"/>
      <c r="L382"/>
      <c r="M382"/>
      <c r="N382"/>
      <c r="O382"/>
      <c r="P382"/>
      <c r="Q382"/>
      <c r="R382"/>
      <c r="S382" s="56">
        <f t="shared" si="15"/>
        <v>35</v>
      </c>
      <c r="T382" s="57" t="str">
        <f t="shared" si="16"/>
        <v>31-60 Days</v>
      </c>
      <c r="U382" s="58" t="str">
        <f t="shared" si="17"/>
        <v>Especially Mentioned</v>
      </c>
    </row>
    <row r="383" spans="1:21" ht="23.25" customHeight="1" x14ac:dyDescent="0.35">
      <c r="A383" t="s">
        <v>951</v>
      </c>
      <c r="B383" t="s">
        <v>951</v>
      </c>
      <c r="C383">
        <v>0</v>
      </c>
      <c r="D383">
        <v>5.74</v>
      </c>
      <c r="E383" t="s">
        <v>996</v>
      </c>
      <c r="F383" t="s">
        <v>997</v>
      </c>
      <c r="G383" t="s">
        <v>998</v>
      </c>
      <c r="H383" t="s">
        <v>999</v>
      </c>
      <c r="I383"/>
      <c r="J383"/>
      <c r="K383"/>
      <c r="L383"/>
      <c r="M383"/>
      <c r="N383"/>
      <c r="O383"/>
      <c r="P383"/>
      <c r="Q383"/>
      <c r="R383"/>
      <c r="S383" s="56">
        <f t="shared" si="15"/>
        <v>35</v>
      </c>
      <c r="T383" s="57" t="str">
        <f t="shared" si="16"/>
        <v>31-60 Days</v>
      </c>
      <c r="U383" s="58" t="str">
        <f t="shared" si="17"/>
        <v>Not Applicable</v>
      </c>
    </row>
    <row r="384" spans="1:21" ht="23.25" customHeight="1" x14ac:dyDescent="0.35">
      <c r="A384" t="s">
        <v>951</v>
      </c>
      <c r="B384" t="s">
        <v>951</v>
      </c>
      <c r="C384">
        <v>99164.800000000003</v>
      </c>
      <c r="D384">
        <v>0</v>
      </c>
      <c r="E384" t="s">
        <v>1000</v>
      </c>
      <c r="F384" t="s">
        <v>57</v>
      </c>
      <c r="G384" t="s">
        <v>57</v>
      </c>
      <c r="H384" t="s">
        <v>1001</v>
      </c>
      <c r="I384"/>
      <c r="J384"/>
      <c r="K384"/>
      <c r="L384"/>
      <c r="M384"/>
      <c r="N384"/>
      <c r="O384"/>
      <c r="P384"/>
      <c r="Q384"/>
      <c r="R384"/>
      <c r="S384" s="56">
        <f t="shared" si="15"/>
        <v>35</v>
      </c>
      <c r="T384" s="57" t="str">
        <f t="shared" si="16"/>
        <v>31-60 Days</v>
      </c>
      <c r="U384" s="58" t="str">
        <f t="shared" si="17"/>
        <v>Especially Mentioned</v>
      </c>
    </row>
    <row r="385" spans="1:21" ht="23.25" customHeight="1" x14ac:dyDescent="0.35">
      <c r="A385" t="s">
        <v>951</v>
      </c>
      <c r="B385" t="s">
        <v>951</v>
      </c>
      <c r="C385">
        <v>46171.9</v>
      </c>
      <c r="D385">
        <v>0</v>
      </c>
      <c r="E385" t="s">
        <v>1002</v>
      </c>
      <c r="F385" t="s">
        <v>57</v>
      </c>
      <c r="G385" t="s">
        <v>57</v>
      </c>
      <c r="H385" t="s">
        <v>1003</v>
      </c>
      <c r="I385"/>
      <c r="J385"/>
      <c r="K385"/>
      <c r="L385"/>
      <c r="M385"/>
      <c r="N385"/>
      <c r="O385"/>
      <c r="P385"/>
      <c r="Q385"/>
      <c r="R385"/>
      <c r="S385" s="56">
        <f t="shared" si="15"/>
        <v>35</v>
      </c>
      <c r="T385" s="57" t="str">
        <f t="shared" si="16"/>
        <v>31-60 Days</v>
      </c>
      <c r="U385" s="58" t="str">
        <f t="shared" si="17"/>
        <v>Especially Mentioned</v>
      </c>
    </row>
    <row r="386" spans="1:21" ht="23.25" customHeight="1" x14ac:dyDescent="0.35">
      <c r="A386" t="s">
        <v>951</v>
      </c>
      <c r="B386" t="s">
        <v>951</v>
      </c>
      <c r="C386">
        <v>94310.2</v>
      </c>
      <c r="D386">
        <v>0</v>
      </c>
      <c r="E386" t="s">
        <v>1004</v>
      </c>
      <c r="F386" t="s">
        <v>57</v>
      </c>
      <c r="G386" t="s">
        <v>57</v>
      </c>
      <c r="H386" t="s">
        <v>1005</v>
      </c>
      <c r="I386"/>
      <c r="J386"/>
      <c r="K386"/>
      <c r="L386"/>
      <c r="M386"/>
      <c r="N386"/>
      <c r="O386"/>
      <c r="P386"/>
      <c r="Q386"/>
      <c r="R386"/>
      <c r="S386" s="56">
        <f t="shared" si="15"/>
        <v>35</v>
      </c>
      <c r="T386" s="57" t="str">
        <f t="shared" si="16"/>
        <v>31-60 Days</v>
      </c>
      <c r="U386" s="58" t="str">
        <f t="shared" si="17"/>
        <v>Especially Mentioned</v>
      </c>
    </row>
    <row r="387" spans="1:21" ht="23.25" customHeight="1" x14ac:dyDescent="0.35">
      <c r="A387" t="s">
        <v>951</v>
      </c>
      <c r="B387" t="s">
        <v>951</v>
      </c>
      <c r="C387">
        <v>57400</v>
      </c>
      <c r="D387">
        <v>0</v>
      </c>
      <c r="E387" t="s">
        <v>1006</v>
      </c>
      <c r="F387" t="s">
        <v>57</v>
      </c>
      <c r="G387" t="s">
        <v>57</v>
      </c>
      <c r="H387" t="s">
        <v>1007</v>
      </c>
      <c r="I387"/>
      <c r="J387"/>
      <c r="K387"/>
      <c r="L387"/>
      <c r="M387"/>
      <c r="N387"/>
      <c r="O387"/>
      <c r="P387"/>
      <c r="Q387"/>
      <c r="R387"/>
      <c r="S387" s="56">
        <f t="shared" si="15"/>
        <v>35</v>
      </c>
      <c r="T387" s="57" t="str">
        <f t="shared" si="16"/>
        <v>31-60 Days</v>
      </c>
      <c r="U387" s="58" t="str">
        <f t="shared" si="17"/>
        <v>Especially Mentioned</v>
      </c>
    </row>
    <row r="388" spans="1:21" ht="23.25" customHeight="1" x14ac:dyDescent="0.35">
      <c r="A388" t="s">
        <v>951</v>
      </c>
      <c r="B388" t="s">
        <v>951</v>
      </c>
      <c r="C388">
        <v>1736</v>
      </c>
      <c r="D388">
        <v>0</v>
      </c>
      <c r="E388" t="s">
        <v>1008</v>
      </c>
      <c r="F388" t="s">
        <v>57</v>
      </c>
      <c r="G388" t="s">
        <v>57</v>
      </c>
      <c r="H388" t="s">
        <v>1009</v>
      </c>
      <c r="I388"/>
      <c r="J388"/>
      <c r="K388"/>
      <c r="L388"/>
      <c r="M388"/>
      <c r="N388"/>
      <c r="O388"/>
      <c r="P388"/>
      <c r="Q388"/>
      <c r="R388"/>
      <c r="S388" s="56">
        <f t="shared" si="15"/>
        <v>35</v>
      </c>
      <c r="T388" s="57" t="str">
        <f t="shared" si="16"/>
        <v>31-60 Days</v>
      </c>
      <c r="U388" s="58" t="str">
        <f t="shared" si="17"/>
        <v>Especially Mentioned</v>
      </c>
    </row>
    <row r="389" spans="1:21" ht="23.25" customHeight="1" x14ac:dyDescent="0.35">
      <c r="A389" t="s">
        <v>951</v>
      </c>
      <c r="B389" t="s">
        <v>951</v>
      </c>
      <c r="C389">
        <v>283.2</v>
      </c>
      <c r="D389">
        <v>0</v>
      </c>
      <c r="E389" t="s">
        <v>1010</v>
      </c>
      <c r="F389" t="s">
        <v>57</v>
      </c>
      <c r="G389" t="s">
        <v>57</v>
      </c>
      <c r="H389" t="s">
        <v>1011</v>
      </c>
      <c r="I389"/>
      <c r="J389"/>
      <c r="K389"/>
      <c r="L389"/>
      <c r="M389"/>
      <c r="N389"/>
      <c r="O389"/>
      <c r="P389"/>
      <c r="Q389"/>
      <c r="R389"/>
      <c r="S389" s="56">
        <f t="shared" si="15"/>
        <v>35</v>
      </c>
      <c r="T389" s="57" t="str">
        <f t="shared" si="16"/>
        <v>31-60 Days</v>
      </c>
      <c r="U389" s="58" t="str">
        <f t="shared" si="17"/>
        <v>Especially Mentioned</v>
      </c>
    </row>
    <row r="390" spans="1:21" ht="23.25" customHeight="1" x14ac:dyDescent="0.35">
      <c r="A390" t="s">
        <v>951</v>
      </c>
      <c r="B390" t="s">
        <v>951</v>
      </c>
      <c r="C390">
        <v>70.8</v>
      </c>
      <c r="D390">
        <v>0</v>
      </c>
      <c r="E390" t="s">
        <v>1012</v>
      </c>
      <c r="F390" t="s">
        <v>57</v>
      </c>
      <c r="G390" t="s">
        <v>57</v>
      </c>
      <c r="H390" t="s">
        <v>1013</v>
      </c>
      <c r="I390"/>
      <c r="J390"/>
      <c r="K390"/>
      <c r="L390"/>
      <c r="M390"/>
      <c r="N390"/>
      <c r="O390"/>
      <c r="P390"/>
      <c r="Q390"/>
      <c r="R390"/>
      <c r="S390" s="56">
        <f t="shared" si="15"/>
        <v>35</v>
      </c>
      <c r="T390" s="57" t="str">
        <f t="shared" si="16"/>
        <v>31-60 Days</v>
      </c>
      <c r="U390" s="58" t="str">
        <f t="shared" si="17"/>
        <v>Especially Mentioned</v>
      </c>
    </row>
    <row r="391" spans="1:21" ht="23.25" customHeight="1" x14ac:dyDescent="0.35">
      <c r="A391" t="s">
        <v>951</v>
      </c>
      <c r="B391" t="s">
        <v>951</v>
      </c>
      <c r="C391">
        <v>8238.76</v>
      </c>
      <c r="D391">
        <v>0</v>
      </c>
      <c r="E391" t="s">
        <v>1014</v>
      </c>
      <c r="F391" t="s">
        <v>57</v>
      </c>
      <c r="G391" t="s">
        <v>57</v>
      </c>
      <c r="H391" t="s">
        <v>1015</v>
      </c>
      <c r="I391"/>
      <c r="J391"/>
      <c r="K391"/>
      <c r="L391"/>
      <c r="M391"/>
      <c r="N391"/>
      <c r="O391"/>
      <c r="P391"/>
      <c r="Q391"/>
      <c r="R391"/>
      <c r="S391" s="56">
        <f t="shared" si="15"/>
        <v>35</v>
      </c>
      <c r="T391" s="57" t="str">
        <f t="shared" si="16"/>
        <v>31-60 Days</v>
      </c>
      <c r="U391" s="58" t="str">
        <f t="shared" si="17"/>
        <v>Especially Mentioned</v>
      </c>
    </row>
    <row r="392" spans="1:21" ht="23.25" customHeight="1" x14ac:dyDescent="0.35">
      <c r="A392" t="s">
        <v>951</v>
      </c>
      <c r="B392" t="s">
        <v>951</v>
      </c>
      <c r="C392">
        <v>0</v>
      </c>
      <c r="D392">
        <v>293</v>
      </c>
      <c r="E392" t="s">
        <v>1016</v>
      </c>
      <c r="F392" t="s">
        <v>57</v>
      </c>
      <c r="G392" t="s">
        <v>57</v>
      </c>
      <c r="H392" t="s">
        <v>1017</v>
      </c>
      <c r="I392"/>
      <c r="J392"/>
      <c r="K392"/>
      <c r="L392"/>
      <c r="M392"/>
      <c r="N392"/>
      <c r="O392"/>
      <c r="P392"/>
      <c r="Q392"/>
      <c r="R392"/>
      <c r="S392" s="56">
        <f t="shared" si="15"/>
        <v>35</v>
      </c>
      <c r="T392" s="57" t="str">
        <f t="shared" si="16"/>
        <v>31-60 Days</v>
      </c>
      <c r="U392" s="58" t="str">
        <f t="shared" si="17"/>
        <v>Not Applicable</v>
      </c>
    </row>
    <row r="393" spans="1:21" ht="23.25" customHeight="1" x14ac:dyDescent="0.35">
      <c r="A393" t="s">
        <v>951</v>
      </c>
      <c r="B393" t="s">
        <v>951</v>
      </c>
      <c r="C393">
        <v>212.4</v>
      </c>
      <c r="D393">
        <v>0</v>
      </c>
      <c r="E393" t="s">
        <v>1018</v>
      </c>
      <c r="F393" t="s">
        <v>57</v>
      </c>
      <c r="G393" t="s">
        <v>57</v>
      </c>
      <c r="H393" t="s">
        <v>1019</v>
      </c>
      <c r="I393"/>
      <c r="J393"/>
      <c r="K393"/>
      <c r="L393"/>
      <c r="M393"/>
      <c r="N393"/>
      <c r="O393"/>
      <c r="P393"/>
      <c r="Q393"/>
      <c r="R393"/>
      <c r="S393" s="56">
        <f t="shared" ref="S393:S456" si="18">IF(A393="","",A$5-A393)</f>
        <v>35</v>
      </c>
      <c r="T393" s="57" t="str">
        <f t="shared" ref="T393:T456" si="19">IF(S393="","",IF(S393&lt;4,"0-3 Days",IF(S393&lt;31,"4-30 Days",IF(S393&lt;61,"31-60 Days",IF(S393&lt;=90,"61-90 Days",IF(S393&gt;90,"Above 90 Days","0"))))))</f>
        <v>31-60 Days</v>
      </c>
      <c r="U393" s="58" t="str">
        <f t="shared" ref="U393:U456" si="20">IF(C393="","",IF(C393&gt;0,IF(S393&lt;30,"Normal",IF(S393&lt;60,"Especially Mentioned",IF(S393&lt;90,"Substandard",IF(S393&lt;=180,"Doubtful",IF(S393&gt;180,"Loss","0"))))),"Not Applicable"))</f>
        <v>Especially Mentioned</v>
      </c>
    </row>
    <row r="394" spans="1:21" ht="23.25" customHeight="1" x14ac:dyDescent="0.35">
      <c r="A394" t="s">
        <v>951</v>
      </c>
      <c r="B394" t="s">
        <v>951</v>
      </c>
      <c r="C394">
        <v>10676</v>
      </c>
      <c r="D394">
        <v>0</v>
      </c>
      <c r="E394" t="s">
        <v>1020</v>
      </c>
      <c r="F394" t="s">
        <v>57</v>
      </c>
      <c r="G394" t="s">
        <v>57</v>
      </c>
      <c r="H394" t="s">
        <v>1021</v>
      </c>
      <c r="I394"/>
      <c r="J394"/>
      <c r="K394"/>
      <c r="L394"/>
      <c r="M394"/>
      <c r="N394"/>
      <c r="O394"/>
      <c r="P394"/>
      <c r="Q394"/>
      <c r="R394"/>
      <c r="S394" s="56">
        <f t="shared" si="18"/>
        <v>35</v>
      </c>
      <c r="T394" s="57" t="str">
        <f t="shared" si="19"/>
        <v>31-60 Days</v>
      </c>
      <c r="U394" s="58" t="str">
        <f t="shared" si="20"/>
        <v>Especially Mentioned</v>
      </c>
    </row>
    <row r="395" spans="1:21" ht="23.25" customHeight="1" x14ac:dyDescent="0.35">
      <c r="A395" t="s">
        <v>951</v>
      </c>
      <c r="B395" t="s">
        <v>951</v>
      </c>
      <c r="C395">
        <v>8517</v>
      </c>
      <c r="D395">
        <v>0</v>
      </c>
      <c r="E395" t="s">
        <v>1022</v>
      </c>
      <c r="F395" t="s">
        <v>57</v>
      </c>
      <c r="G395" t="s">
        <v>57</v>
      </c>
      <c r="H395" t="s">
        <v>1023</v>
      </c>
      <c r="I395"/>
      <c r="J395"/>
      <c r="K395"/>
      <c r="L395"/>
      <c r="M395"/>
      <c r="N395"/>
      <c r="O395"/>
      <c r="P395"/>
      <c r="Q395"/>
      <c r="R395"/>
      <c r="S395" s="56">
        <f t="shared" si="18"/>
        <v>35</v>
      </c>
      <c r="T395" s="57" t="str">
        <f t="shared" si="19"/>
        <v>31-60 Days</v>
      </c>
      <c r="U395" s="58" t="str">
        <f t="shared" si="20"/>
        <v>Especially Mentioned</v>
      </c>
    </row>
    <row r="396" spans="1:21" ht="23.25" customHeight="1" x14ac:dyDescent="0.35">
      <c r="A396" t="s">
        <v>951</v>
      </c>
      <c r="B396" t="s">
        <v>951</v>
      </c>
      <c r="C396">
        <v>265.5</v>
      </c>
      <c r="D396">
        <v>0</v>
      </c>
      <c r="E396" t="s">
        <v>1024</v>
      </c>
      <c r="F396" t="s">
        <v>57</v>
      </c>
      <c r="G396" t="s">
        <v>57</v>
      </c>
      <c r="H396" t="s">
        <v>1025</v>
      </c>
      <c r="I396"/>
      <c r="J396"/>
      <c r="K396"/>
      <c r="L396"/>
      <c r="M396"/>
      <c r="N396"/>
      <c r="O396"/>
      <c r="P396"/>
      <c r="Q396"/>
      <c r="R396"/>
      <c r="S396" s="56">
        <f t="shared" si="18"/>
        <v>35</v>
      </c>
      <c r="T396" s="57" t="str">
        <f t="shared" si="19"/>
        <v>31-60 Days</v>
      </c>
      <c r="U396" s="58" t="str">
        <f t="shared" si="20"/>
        <v>Especially Mentioned</v>
      </c>
    </row>
    <row r="397" spans="1:21" ht="23.25" customHeight="1" x14ac:dyDescent="0.35">
      <c r="A397" t="s">
        <v>951</v>
      </c>
      <c r="B397" t="s">
        <v>951</v>
      </c>
      <c r="C397">
        <v>132</v>
      </c>
      <c r="D397">
        <v>0</v>
      </c>
      <c r="E397" t="s">
        <v>1026</v>
      </c>
      <c r="F397" t="s">
        <v>57</v>
      </c>
      <c r="G397" t="s">
        <v>57</v>
      </c>
      <c r="H397" t="s">
        <v>1027</v>
      </c>
      <c r="I397"/>
      <c r="J397"/>
      <c r="K397"/>
      <c r="L397"/>
      <c r="M397"/>
      <c r="N397"/>
      <c r="O397"/>
      <c r="P397"/>
      <c r="Q397"/>
      <c r="R397"/>
      <c r="S397" s="56">
        <f t="shared" si="18"/>
        <v>35</v>
      </c>
      <c r="T397" s="57" t="str">
        <f t="shared" si="19"/>
        <v>31-60 Days</v>
      </c>
      <c r="U397" s="58" t="str">
        <f t="shared" si="20"/>
        <v>Especially Mentioned</v>
      </c>
    </row>
    <row r="398" spans="1:21" ht="23.25" customHeight="1" x14ac:dyDescent="0.35">
      <c r="A398" t="s">
        <v>951</v>
      </c>
      <c r="B398" t="s">
        <v>951</v>
      </c>
      <c r="C398">
        <v>212.4</v>
      </c>
      <c r="D398">
        <v>0</v>
      </c>
      <c r="E398" t="s">
        <v>1028</v>
      </c>
      <c r="F398" t="s">
        <v>57</v>
      </c>
      <c r="G398" t="s">
        <v>57</v>
      </c>
      <c r="H398" t="s">
        <v>1029</v>
      </c>
      <c r="I398"/>
      <c r="J398"/>
      <c r="K398"/>
      <c r="L398"/>
      <c r="M398"/>
      <c r="N398"/>
      <c r="O398"/>
      <c r="P398"/>
      <c r="Q398"/>
      <c r="R398"/>
      <c r="S398" s="56">
        <f t="shared" si="18"/>
        <v>35</v>
      </c>
      <c r="T398" s="57" t="str">
        <f t="shared" si="19"/>
        <v>31-60 Days</v>
      </c>
      <c r="U398" s="58" t="str">
        <f t="shared" si="20"/>
        <v>Especially Mentioned</v>
      </c>
    </row>
    <row r="399" spans="1:21" ht="23.25" customHeight="1" x14ac:dyDescent="0.35">
      <c r="A399" t="s">
        <v>951</v>
      </c>
      <c r="B399" t="s">
        <v>951</v>
      </c>
      <c r="C399">
        <v>2568.3200000000002</v>
      </c>
      <c r="D399">
        <v>0</v>
      </c>
      <c r="E399" t="s">
        <v>1030</v>
      </c>
      <c r="F399" t="s">
        <v>57</v>
      </c>
      <c r="G399" t="s">
        <v>57</v>
      </c>
      <c r="H399" t="s">
        <v>1031</v>
      </c>
      <c r="I399"/>
      <c r="J399"/>
      <c r="K399"/>
      <c r="L399"/>
      <c r="M399"/>
      <c r="N399"/>
      <c r="O399"/>
      <c r="P399"/>
      <c r="Q399"/>
      <c r="R399"/>
      <c r="S399" s="56">
        <f t="shared" si="18"/>
        <v>35</v>
      </c>
      <c r="T399" s="57" t="str">
        <f t="shared" si="19"/>
        <v>31-60 Days</v>
      </c>
      <c r="U399" s="58" t="str">
        <f t="shared" si="20"/>
        <v>Especially Mentioned</v>
      </c>
    </row>
    <row r="400" spans="1:21" ht="23.25" customHeight="1" x14ac:dyDescent="0.35">
      <c r="A400" t="s">
        <v>951</v>
      </c>
      <c r="B400" t="s">
        <v>951</v>
      </c>
      <c r="C400">
        <v>318.60000000000002</v>
      </c>
      <c r="D400">
        <v>0</v>
      </c>
      <c r="E400" t="s">
        <v>1032</v>
      </c>
      <c r="F400" t="s">
        <v>57</v>
      </c>
      <c r="G400" t="s">
        <v>57</v>
      </c>
      <c r="H400" t="s">
        <v>1033</v>
      </c>
      <c r="I400"/>
      <c r="J400"/>
      <c r="K400"/>
      <c r="L400"/>
      <c r="M400"/>
      <c r="N400"/>
      <c r="O400"/>
      <c r="P400"/>
      <c r="Q400"/>
      <c r="R400"/>
      <c r="S400" s="56">
        <f t="shared" si="18"/>
        <v>35</v>
      </c>
      <c r="T400" s="57" t="str">
        <f t="shared" si="19"/>
        <v>31-60 Days</v>
      </c>
      <c r="U400" s="58" t="str">
        <f t="shared" si="20"/>
        <v>Especially Mentioned</v>
      </c>
    </row>
    <row r="401" spans="1:21" ht="23.25" customHeight="1" x14ac:dyDescent="0.35">
      <c r="A401" t="s">
        <v>951</v>
      </c>
      <c r="B401" t="s">
        <v>951</v>
      </c>
      <c r="C401">
        <v>2244.36</v>
      </c>
      <c r="D401">
        <v>0</v>
      </c>
      <c r="E401" t="s">
        <v>1034</v>
      </c>
      <c r="F401" t="s">
        <v>57</v>
      </c>
      <c r="G401" t="s">
        <v>57</v>
      </c>
      <c r="H401" t="s">
        <v>1035</v>
      </c>
      <c r="I401"/>
      <c r="J401"/>
      <c r="K401"/>
      <c r="L401"/>
      <c r="M401"/>
      <c r="N401"/>
      <c r="O401"/>
      <c r="P401"/>
      <c r="Q401"/>
      <c r="R401"/>
      <c r="S401" s="56">
        <f t="shared" si="18"/>
        <v>35</v>
      </c>
      <c r="T401" s="57" t="str">
        <f t="shared" si="19"/>
        <v>31-60 Days</v>
      </c>
      <c r="U401" s="58" t="str">
        <f t="shared" si="20"/>
        <v>Especially Mentioned</v>
      </c>
    </row>
    <row r="402" spans="1:21" ht="23.25" customHeight="1" x14ac:dyDescent="0.35">
      <c r="A402" t="s">
        <v>951</v>
      </c>
      <c r="B402" t="s">
        <v>951</v>
      </c>
      <c r="C402">
        <v>1065.54</v>
      </c>
      <c r="D402">
        <v>0</v>
      </c>
      <c r="E402" t="s">
        <v>1036</v>
      </c>
      <c r="F402" t="s">
        <v>57</v>
      </c>
      <c r="G402" t="s">
        <v>57</v>
      </c>
      <c r="H402" t="s">
        <v>1037</v>
      </c>
      <c r="I402"/>
      <c r="J402"/>
      <c r="K402"/>
      <c r="L402"/>
      <c r="M402"/>
      <c r="N402"/>
      <c r="O402"/>
      <c r="P402"/>
      <c r="Q402"/>
      <c r="R402"/>
      <c r="S402" s="56">
        <f t="shared" si="18"/>
        <v>35</v>
      </c>
      <c r="T402" s="57" t="str">
        <f t="shared" si="19"/>
        <v>31-60 Days</v>
      </c>
      <c r="U402" s="58" t="str">
        <f t="shared" si="20"/>
        <v>Especially Mentioned</v>
      </c>
    </row>
    <row r="403" spans="1:21" ht="23.25" customHeight="1" x14ac:dyDescent="0.35">
      <c r="A403" t="s">
        <v>951</v>
      </c>
      <c r="B403" t="s">
        <v>951</v>
      </c>
      <c r="C403">
        <v>49.56</v>
      </c>
      <c r="D403">
        <v>0</v>
      </c>
      <c r="E403" t="s">
        <v>1038</v>
      </c>
      <c r="F403" t="s">
        <v>57</v>
      </c>
      <c r="G403" t="s">
        <v>57</v>
      </c>
      <c r="H403" t="s">
        <v>1039</v>
      </c>
      <c r="I403"/>
      <c r="J403"/>
      <c r="K403"/>
      <c r="L403"/>
      <c r="M403"/>
      <c r="N403"/>
      <c r="O403"/>
      <c r="P403"/>
      <c r="Q403"/>
      <c r="R403"/>
      <c r="S403" s="56">
        <f t="shared" si="18"/>
        <v>35</v>
      </c>
      <c r="T403" s="57" t="str">
        <f t="shared" si="19"/>
        <v>31-60 Days</v>
      </c>
      <c r="U403" s="58" t="str">
        <f t="shared" si="20"/>
        <v>Especially Mentioned</v>
      </c>
    </row>
    <row r="404" spans="1:21" ht="23.25" customHeight="1" x14ac:dyDescent="0.35">
      <c r="A404" t="s">
        <v>951</v>
      </c>
      <c r="B404" t="s">
        <v>951</v>
      </c>
      <c r="C404">
        <v>17110</v>
      </c>
      <c r="D404">
        <v>0</v>
      </c>
      <c r="E404" t="s">
        <v>1040</v>
      </c>
      <c r="F404" t="s">
        <v>57</v>
      </c>
      <c r="G404" t="s">
        <v>57</v>
      </c>
      <c r="H404" t="s">
        <v>1041</v>
      </c>
      <c r="I404"/>
      <c r="J404"/>
      <c r="K404"/>
      <c r="L404"/>
      <c r="M404"/>
      <c r="N404"/>
      <c r="O404"/>
      <c r="P404"/>
      <c r="Q404"/>
      <c r="R404"/>
      <c r="S404" s="56">
        <f t="shared" si="18"/>
        <v>35</v>
      </c>
      <c r="T404" s="57" t="str">
        <f t="shared" si="19"/>
        <v>31-60 Days</v>
      </c>
      <c r="U404" s="58" t="str">
        <f t="shared" si="20"/>
        <v>Especially Mentioned</v>
      </c>
    </row>
    <row r="405" spans="1:21" ht="23.25" customHeight="1" x14ac:dyDescent="0.35">
      <c r="A405" t="s">
        <v>951</v>
      </c>
      <c r="B405" t="s">
        <v>951</v>
      </c>
      <c r="C405">
        <v>35.4</v>
      </c>
      <c r="D405">
        <v>0</v>
      </c>
      <c r="E405" t="s">
        <v>1042</v>
      </c>
      <c r="F405" t="s">
        <v>57</v>
      </c>
      <c r="G405" t="s">
        <v>57</v>
      </c>
      <c r="H405" t="s">
        <v>1043</v>
      </c>
      <c r="I405"/>
      <c r="J405"/>
      <c r="K405"/>
      <c r="L405"/>
      <c r="M405"/>
      <c r="N405"/>
      <c r="O405"/>
      <c r="P405"/>
      <c r="Q405"/>
      <c r="R405"/>
      <c r="S405" s="56">
        <f t="shared" si="18"/>
        <v>35</v>
      </c>
      <c r="T405" s="57" t="str">
        <f t="shared" si="19"/>
        <v>31-60 Days</v>
      </c>
      <c r="U405" s="58" t="str">
        <f t="shared" si="20"/>
        <v>Especially Mentioned</v>
      </c>
    </row>
    <row r="406" spans="1:21" ht="23.25" customHeight="1" x14ac:dyDescent="0.35">
      <c r="A406" t="s">
        <v>951</v>
      </c>
      <c r="B406" t="s">
        <v>951</v>
      </c>
      <c r="C406">
        <v>4500</v>
      </c>
      <c r="D406">
        <v>0</v>
      </c>
      <c r="E406" t="s">
        <v>1044</v>
      </c>
      <c r="F406" t="s">
        <v>1045</v>
      </c>
      <c r="G406" t="s">
        <v>57</v>
      </c>
      <c r="H406" t="s">
        <v>1046</v>
      </c>
      <c r="I406"/>
      <c r="J406"/>
      <c r="K406"/>
      <c r="L406"/>
      <c r="M406"/>
      <c r="N406"/>
      <c r="O406"/>
      <c r="P406"/>
      <c r="Q406"/>
      <c r="R406"/>
      <c r="S406" s="56">
        <f t="shared" si="18"/>
        <v>35</v>
      </c>
      <c r="T406" s="57" t="str">
        <f t="shared" si="19"/>
        <v>31-60 Days</v>
      </c>
      <c r="U406" s="58" t="str">
        <f t="shared" si="20"/>
        <v>Especially Mentioned</v>
      </c>
    </row>
    <row r="407" spans="1:21" ht="23.25" customHeight="1" x14ac:dyDescent="0.35">
      <c r="A407" t="s">
        <v>951</v>
      </c>
      <c r="B407" t="s">
        <v>951</v>
      </c>
      <c r="C407">
        <v>22278.400000000001</v>
      </c>
      <c r="D407">
        <v>0</v>
      </c>
      <c r="E407" t="s">
        <v>1047</v>
      </c>
      <c r="F407" t="s">
        <v>57</v>
      </c>
      <c r="G407" t="s">
        <v>57</v>
      </c>
      <c r="H407" t="s">
        <v>1048</v>
      </c>
      <c r="I407"/>
      <c r="J407"/>
      <c r="K407"/>
      <c r="L407"/>
      <c r="M407"/>
      <c r="N407"/>
      <c r="O407"/>
      <c r="P407"/>
      <c r="Q407"/>
      <c r="R407"/>
      <c r="S407" s="56">
        <f t="shared" si="18"/>
        <v>35</v>
      </c>
      <c r="T407" s="57" t="str">
        <f t="shared" si="19"/>
        <v>31-60 Days</v>
      </c>
      <c r="U407" s="58" t="str">
        <f t="shared" si="20"/>
        <v>Especially Mentioned</v>
      </c>
    </row>
    <row r="408" spans="1:21" ht="23.25" customHeight="1" x14ac:dyDescent="0.35">
      <c r="A408" t="s">
        <v>951</v>
      </c>
      <c r="B408" t="s">
        <v>951</v>
      </c>
      <c r="C408">
        <v>1772</v>
      </c>
      <c r="D408">
        <v>0</v>
      </c>
      <c r="E408" t="s">
        <v>1049</v>
      </c>
      <c r="F408" t="s">
        <v>57</v>
      </c>
      <c r="G408" t="s">
        <v>57</v>
      </c>
      <c r="H408" t="s">
        <v>1050</v>
      </c>
      <c r="I408"/>
      <c r="J408"/>
      <c r="K408"/>
      <c r="L408"/>
      <c r="M408"/>
      <c r="N408"/>
      <c r="O408"/>
      <c r="P408"/>
      <c r="Q408"/>
      <c r="R408"/>
      <c r="S408" s="56">
        <f t="shared" si="18"/>
        <v>35</v>
      </c>
      <c r="T408" s="57" t="str">
        <f t="shared" si="19"/>
        <v>31-60 Days</v>
      </c>
      <c r="U408" s="58" t="str">
        <f t="shared" si="20"/>
        <v>Especially Mentioned</v>
      </c>
    </row>
    <row r="409" spans="1:21" ht="23.25" customHeight="1" x14ac:dyDescent="0.35">
      <c r="A409" t="s">
        <v>951</v>
      </c>
      <c r="B409" t="s">
        <v>951</v>
      </c>
      <c r="C409">
        <v>21250</v>
      </c>
      <c r="D409">
        <v>0</v>
      </c>
      <c r="E409" t="s">
        <v>1051</v>
      </c>
      <c r="F409" t="s">
        <v>57</v>
      </c>
      <c r="G409" t="s">
        <v>57</v>
      </c>
      <c r="H409" t="s">
        <v>1052</v>
      </c>
      <c r="I409"/>
      <c r="J409"/>
      <c r="K409"/>
      <c r="L409"/>
      <c r="M409"/>
      <c r="N409"/>
      <c r="O409"/>
      <c r="P409"/>
      <c r="Q409"/>
      <c r="R409"/>
      <c r="S409" s="56">
        <f t="shared" si="18"/>
        <v>35</v>
      </c>
      <c r="T409" s="57" t="str">
        <f t="shared" si="19"/>
        <v>31-60 Days</v>
      </c>
      <c r="U409" s="58" t="str">
        <f t="shared" si="20"/>
        <v>Especially Mentioned</v>
      </c>
    </row>
    <row r="410" spans="1:21" ht="23.25" customHeight="1" x14ac:dyDescent="0.35">
      <c r="A410" t="s">
        <v>951</v>
      </c>
      <c r="B410" t="s">
        <v>951</v>
      </c>
      <c r="C410">
        <v>14991.9</v>
      </c>
      <c r="D410">
        <v>0</v>
      </c>
      <c r="E410" t="s">
        <v>1053</v>
      </c>
      <c r="F410" t="s">
        <v>57</v>
      </c>
      <c r="G410" t="s">
        <v>57</v>
      </c>
      <c r="H410" t="s">
        <v>1054</v>
      </c>
      <c r="I410"/>
      <c r="J410"/>
      <c r="K410"/>
      <c r="L410"/>
      <c r="M410"/>
      <c r="N410"/>
      <c r="O410"/>
      <c r="P410"/>
      <c r="Q410"/>
      <c r="R410"/>
      <c r="S410" s="56">
        <f t="shared" si="18"/>
        <v>35</v>
      </c>
      <c r="T410" s="57" t="str">
        <f t="shared" si="19"/>
        <v>31-60 Days</v>
      </c>
      <c r="U410" s="58" t="str">
        <f t="shared" si="20"/>
        <v>Especially Mentioned</v>
      </c>
    </row>
    <row r="411" spans="1:21" ht="23.25" customHeight="1" x14ac:dyDescent="0.35">
      <c r="A411" t="s">
        <v>951</v>
      </c>
      <c r="B411" t="s">
        <v>951</v>
      </c>
      <c r="C411">
        <v>33889.599999999999</v>
      </c>
      <c r="D411">
        <v>0</v>
      </c>
      <c r="E411" t="s">
        <v>1055</v>
      </c>
      <c r="F411" t="s">
        <v>57</v>
      </c>
      <c r="G411" t="s">
        <v>57</v>
      </c>
      <c r="H411" t="s">
        <v>1056</v>
      </c>
      <c r="I411"/>
      <c r="J411"/>
      <c r="K411"/>
      <c r="L411"/>
      <c r="M411"/>
      <c r="N411"/>
      <c r="O411"/>
      <c r="P411"/>
      <c r="Q411"/>
      <c r="R411"/>
      <c r="S411" s="56">
        <f t="shared" si="18"/>
        <v>35</v>
      </c>
      <c r="T411" s="57" t="str">
        <f t="shared" si="19"/>
        <v>31-60 Days</v>
      </c>
      <c r="U411" s="58" t="str">
        <f t="shared" si="20"/>
        <v>Especially Mentioned</v>
      </c>
    </row>
    <row r="412" spans="1:21" ht="23.25" customHeight="1" x14ac:dyDescent="0.35">
      <c r="A412" t="s">
        <v>951</v>
      </c>
      <c r="B412" t="s">
        <v>951</v>
      </c>
      <c r="C412">
        <v>4507.1000000000004</v>
      </c>
      <c r="D412">
        <v>0</v>
      </c>
      <c r="E412" t="s">
        <v>1057</v>
      </c>
      <c r="F412" t="s">
        <v>57</v>
      </c>
      <c r="G412" t="s">
        <v>57</v>
      </c>
      <c r="H412" t="s">
        <v>1058</v>
      </c>
      <c r="I412"/>
      <c r="J412"/>
      <c r="K412"/>
      <c r="L412"/>
      <c r="M412"/>
      <c r="N412"/>
      <c r="O412"/>
      <c r="P412"/>
      <c r="Q412"/>
      <c r="R412"/>
      <c r="S412" s="56">
        <f t="shared" si="18"/>
        <v>35</v>
      </c>
      <c r="T412" s="57" t="str">
        <f t="shared" si="19"/>
        <v>31-60 Days</v>
      </c>
      <c r="U412" s="58" t="str">
        <f t="shared" si="20"/>
        <v>Especially Mentioned</v>
      </c>
    </row>
    <row r="413" spans="1:21" ht="23.25" customHeight="1" x14ac:dyDescent="0.35">
      <c r="A413" t="s">
        <v>951</v>
      </c>
      <c r="B413" t="s">
        <v>951</v>
      </c>
      <c r="C413">
        <v>0</v>
      </c>
      <c r="D413">
        <v>659929.87</v>
      </c>
      <c r="E413" t="s">
        <v>1059</v>
      </c>
      <c r="F413" t="s">
        <v>57</v>
      </c>
      <c r="G413" t="s">
        <v>57</v>
      </c>
      <c r="H413" t="s">
        <v>1060</v>
      </c>
      <c r="I413"/>
      <c r="J413"/>
      <c r="K413"/>
      <c r="L413"/>
      <c r="M413"/>
      <c r="N413"/>
      <c r="O413"/>
      <c r="P413"/>
      <c r="Q413"/>
      <c r="R413"/>
      <c r="S413" s="56">
        <f t="shared" si="18"/>
        <v>35</v>
      </c>
      <c r="T413" s="57" t="str">
        <f t="shared" si="19"/>
        <v>31-60 Days</v>
      </c>
      <c r="U413" s="58" t="str">
        <f t="shared" si="20"/>
        <v>Not Applicable</v>
      </c>
    </row>
    <row r="414" spans="1:21" ht="23.25" customHeight="1" x14ac:dyDescent="0.35">
      <c r="A414" t="s">
        <v>951</v>
      </c>
      <c r="B414" t="s">
        <v>951</v>
      </c>
      <c r="C414">
        <v>18969.599999999999</v>
      </c>
      <c r="D414">
        <v>0</v>
      </c>
      <c r="E414" t="s">
        <v>1061</v>
      </c>
      <c r="F414" t="s">
        <v>57</v>
      </c>
      <c r="G414" t="s">
        <v>57</v>
      </c>
      <c r="H414" t="s">
        <v>1062</v>
      </c>
      <c r="I414"/>
      <c r="J414"/>
      <c r="K414"/>
      <c r="L414"/>
      <c r="M414"/>
      <c r="N414"/>
      <c r="O414"/>
      <c r="P414"/>
      <c r="Q414"/>
      <c r="R414"/>
      <c r="S414" s="56">
        <f t="shared" si="18"/>
        <v>35</v>
      </c>
      <c r="T414" s="57" t="str">
        <f t="shared" si="19"/>
        <v>31-60 Days</v>
      </c>
      <c r="U414" s="58" t="str">
        <f t="shared" si="20"/>
        <v>Especially Mentioned</v>
      </c>
    </row>
    <row r="415" spans="1:21" ht="23.25" customHeight="1" x14ac:dyDescent="0.35">
      <c r="A415" t="s">
        <v>951</v>
      </c>
      <c r="B415" t="s">
        <v>951</v>
      </c>
      <c r="C415">
        <v>58.5</v>
      </c>
      <c r="D415">
        <v>0</v>
      </c>
      <c r="E415" t="s">
        <v>1063</v>
      </c>
      <c r="F415" t="s">
        <v>57</v>
      </c>
      <c r="G415" t="s">
        <v>57</v>
      </c>
      <c r="H415" t="s">
        <v>1064</v>
      </c>
      <c r="I415"/>
      <c r="J415"/>
      <c r="K415"/>
      <c r="L415"/>
      <c r="M415"/>
      <c r="N415"/>
      <c r="O415"/>
      <c r="P415"/>
      <c r="Q415"/>
      <c r="R415"/>
      <c r="S415" s="56">
        <f t="shared" si="18"/>
        <v>35</v>
      </c>
      <c r="T415" s="57" t="str">
        <f t="shared" si="19"/>
        <v>31-60 Days</v>
      </c>
      <c r="U415" s="58" t="str">
        <f t="shared" si="20"/>
        <v>Especially Mentioned</v>
      </c>
    </row>
    <row r="416" spans="1:21" ht="23.25" customHeight="1" x14ac:dyDescent="0.35">
      <c r="A416" t="s">
        <v>951</v>
      </c>
      <c r="B416" t="s">
        <v>951</v>
      </c>
      <c r="C416">
        <v>120.36</v>
      </c>
      <c r="D416">
        <v>0</v>
      </c>
      <c r="E416" t="s">
        <v>1065</v>
      </c>
      <c r="F416" t="s">
        <v>57</v>
      </c>
      <c r="G416" t="s">
        <v>57</v>
      </c>
      <c r="H416" t="s">
        <v>1066</v>
      </c>
      <c r="I416"/>
      <c r="J416"/>
      <c r="K416"/>
      <c r="L416"/>
      <c r="M416"/>
      <c r="N416"/>
      <c r="O416"/>
      <c r="P416"/>
      <c r="Q416"/>
      <c r="R416"/>
      <c r="S416" s="56">
        <f t="shared" si="18"/>
        <v>35</v>
      </c>
      <c r="T416" s="57" t="str">
        <f t="shared" si="19"/>
        <v>31-60 Days</v>
      </c>
      <c r="U416" s="58" t="str">
        <f t="shared" si="20"/>
        <v>Especially Mentioned</v>
      </c>
    </row>
    <row r="417" spans="1:21" ht="23.25" customHeight="1" x14ac:dyDescent="0.35">
      <c r="A417" t="s">
        <v>951</v>
      </c>
      <c r="B417" t="s">
        <v>951</v>
      </c>
      <c r="C417">
        <v>11022</v>
      </c>
      <c r="D417">
        <v>0</v>
      </c>
      <c r="E417" t="s">
        <v>1067</v>
      </c>
      <c r="F417" t="s">
        <v>57</v>
      </c>
      <c r="G417" t="s">
        <v>57</v>
      </c>
      <c r="H417" t="s">
        <v>1068</v>
      </c>
      <c r="I417"/>
      <c r="J417"/>
      <c r="K417"/>
      <c r="L417"/>
      <c r="M417"/>
      <c r="N417"/>
      <c r="O417"/>
      <c r="P417"/>
      <c r="Q417"/>
      <c r="R417"/>
      <c r="S417" s="56">
        <f t="shared" si="18"/>
        <v>35</v>
      </c>
      <c r="T417" s="57" t="str">
        <f t="shared" si="19"/>
        <v>31-60 Days</v>
      </c>
      <c r="U417" s="58" t="str">
        <f t="shared" si="20"/>
        <v>Especially Mentioned</v>
      </c>
    </row>
    <row r="418" spans="1:21" ht="23.25" customHeight="1" x14ac:dyDescent="0.35">
      <c r="A418" t="s">
        <v>951</v>
      </c>
      <c r="B418" t="s">
        <v>951</v>
      </c>
      <c r="C418">
        <v>43344</v>
      </c>
      <c r="D418">
        <v>0</v>
      </c>
      <c r="E418" t="s">
        <v>1069</v>
      </c>
      <c r="F418" t="s">
        <v>57</v>
      </c>
      <c r="G418" t="s">
        <v>57</v>
      </c>
      <c r="H418" t="s">
        <v>1070</v>
      </c>
      <c r="I418"/>
      <c r="J418"/>
      <c r="K418"/>
      <c r="L418"/>
      <c r="M418"/>
      <c r="N418"/>
      <c r="O418"/>
      <c r="P418"/>
      <c r="Q418"/>
      <c r="R418"/>
      <c r="S418" s="56">
        <f t="shared" si="18"/>
        <v>35</v>
      </c>
      <c r="T418" s="57" t="str">
        <f t="shared" si="19"/>
        <v>31-60 Days</v>
      </c>
      <c r="U418" s="58" t="str">
        <f t="shared" si="20"/>
        <v>Especially Mentioned</v>
      </c>
    </row>
    <row r="419" spans="1:21" ht="23.25" customHeight="1" x14ac:dyDescent="0.35">
      <c r="A419" t="s">
        <v>951</v>
      </c>
      <c r="B419" t="s">
        <v>951</v>
      </c>
      <c r="C419">
        <v>37020.6</v>
      </c>
      <c r="D419">
        <v>0</v>
      </c>
      <c r="E419" t="s">
        <v>1071</v>
      </c>
      <c r="F419" t="s">
        <v>57</v>
      </c>
      <c r="G419" t="s">
        <v>57</v>
      </c>
      <c r="H419" t="s">
        <v>1072</v>
      </c>
      <c r="I419"/>
      <c r="J419"/>
      <c r="K419"/>
      <c r="L419"/>
      <c r="M419"/>
      <c r="N419"/>
      <c r="O419"/>
      <c r="P419"/>
      <c r="Q419"/>
      <c r="R419"/>
      <c r="S419" s="56">
        <f t="shared" si="18"/>
        <v>35</v>
      </c>
      <c r="T419" s="57" t="str">
        <f t="shared" si="19"/>
        <v>31-60 Days</v>
      </c>
      <c r="U419" s="58" t="str">
        <f t="shared" si="20"/>
        <v>Especially Mentioned</v>
      </c>
    </row>
    <row r="420" spans="1:21" ht="23.25" customHeight="1" x14ac:dyDescent="0.35">
      <c r="A420" t="s">
        <v>951</v>
      </c>
      <c r="B420" t="s">
        <v>951</v>
      </c>
      <c r="C420">
        <v>13653</v>
      </c>
      <c r="D420">
        <v>0</v>
      </c>
      <c r="E420" t="s">
        <v>1073</v>
      </c>
      <c r="F420" t="s">
        <v>57</v>
      </c>
      <c r="G420" t="s">
        <v>57</v>
      </c>
      <c r="H420" t="s">
        <v>1074</v>
      </c>
      <c r="I420"/>
      <c r="J420"/>
      <c r="K420"/>
      <c r="L420"/>
      <c r="M420"/>
      <c r="N420"/>
      <c r="O420"/>
      <c r="P420"/>
      <c r="Q420"/>
      <c r="R420"/>
      <c r="S420" s="56">
        <f t="shared" si="18"/>
        <v>35</v>
      </c>
      <c r="T420" s="57" t="str">
        <f t="shared" si="19"/>
        <v>31-60 Days</v>
      </c>
      <c r="U420" s="58" t="str">
        <f t="shared" si="20"/>
        <v>Especially Mentioned</v>
      </c>
    </row>
    <row r="421" spans="1:21" ht="23.25" customHeight="1" x14ac:dyDescent="0.35">
      <c r="A421" t="s">
        <v>951</v>
      </c>
      <c r="B421" t="s">
        <v>951</v>
      </c>
      <c r="C421">
        <v>1611.7</v>
      </c>
      <c r="D421">
        <v>0</v>
      </c>
      <c r="E421" t="s">
        <v>1075</v>
      </c>
      <c r="F421" t="s">
        <v>57</v>
      </c>
      <c r="G421" t="s">
        <v>57</v>
      </c>
      <c r="H421" t="s">
        <v>1076</v>
      </c>
      <c r="I421"/>
      <c r="J421"/>
      <c r="K421"/>
      <c r="L421"/>
      <c r="M421"/>
      <c r="N421"/>
      <c r="O421"/>
      <c r="P421"/>
      <c r="Q421"/>
      <c r="R421"/>
      <c r="S421" s="56">
        <f t="shared" si="18"/>
        <v>35</v>
      </c>
      <c r="T421" s="57" t="str">
        <f t="shared" si="19"/>
        <v>31-60 Days</v>
      </c>
      <c r="U421" s="58" t="str">
        <f t="shared" si="20"/>
        <v>Especially Mentioned</v>
      </c>
    </row>
    <row r="422" spans="1:21" ht="23.25" customHeight="1" x14ac:dyDescent="0.35">
      <c r="A422" t="s">
        <v>951</v>
      </c>
      <c r="B422" t="s">
        <v>951</v>
      </c>
      <c r="C422">
        <v>424.8</v>
      </c>
      <c r="D422">
        <v>0</v>
      </c>
      <c r="E422" t="s">
        <v>1077</v>
      </c>
      <c r="F422" t="s">
        <v>57</v>
      </c>
      <c r="G422" t="s">
        <v>57</v>
      </c>
      <c r="H422" t="s">
        <v>1078</v>
      </c>
      <c r="I422"/>
      <c r="J422"/>
      <c r="K422"/>
      <c r="L422"/>
      <c r="M422"/>
      <c r="N422"/>
      <c r="O422"/>
      <c r="P422"/>
      <c r="Q422"/>
      <c r="R422"/>
      <c r="S422" s="56">
        <f t="shared" si="18"/>
        <v>35</v>
      </c>
      <c r="T422" s="57" t="str">
        <f t="shared" si="19"/>
        <v>31-60 Days</v>
      </c>
      <c r="U422" s="58" t="str">
        <f t="shared" si="20"/>
        <v>Especially Mentioned</v>
      </c>
    </row>
    <row r="423" spans="1:21" ht="23.25" customHeight="1" x14ac:dyDescent="0.35">
      <c r="A423" t="s">
        <v>951</v>
      </c>
      <c r="B423" t="s">
        <v>951</v>
      </c>
      <c r="C423">
        <v>2750</v>
      </c>
      <c r="D423">
        <v>0</v>
      </c>
      <c r="E423" t="s">
        <v>1079</v>
      </c>
      <c r="F423" t="s">
        <v>57</v>
      </c>
      <c r="G423" t="s">
        <v>57</v>
      </c>
      <c r="H423" t="s">
        <v>1080</v>
      </c>
      <c r="I423"/>
      <c r="J423"/>
      <c r="K423"/>
      <c r="L423"/>
      <c r="M423"/>
      <c r="N423"/>
      <c r="O423"/>
      <c r="P423"/>
      <c r="Q423"/>
      <c r="R423"/>
      <c r="S423" s="56">
        <f t="shared" si="18"/>
        <v>35</v>
      </c>
      <c r="T423" s="57" t="str">
        <f t="shared" si="19"/>
        <v>31-60 Days</v>
      </c>
      <c r="U423" s="58" t="str">
        <f t="shared" si="20"/>
        <v>Especially Mentioned</v>
      </c>
    </row>
    <row r="424" spans="1:21" ht="23.25" customHeight="1" x14ac:dyDescent="0.35">
      <c r="A424" t="s">
        <v>951</v>
      </c>
      <c r="B424" t="s">
        <v>951</v>
      </c>
      <c r="C424">
        <v>14653.5</v>
      </c>
      <c r="D424">
        <v>0</v>
      </c>
      <c r="E424" t="s">
        <v>1081</v>
      </c>
      <c r="F424" t="s">
        <v>57</v>
      </c>
      <c r="G424" t="s">
        <v>57</v>
      </c>
      <c r="H424" t="s">
        <v>1082</v>
      </c>
      <c r="I424"/>
      <c r="J424"/>
      <c r="K424"/>
      <c r="L424"/>
      <c r="M424"/>
      <c r="N424"/>
      <c r="O424"/>
      <c r="P424"/>
      <c r="Q424"/>
      <c r="R424"/>
      <c r="S424" s="56">
        <f t="shared" si="18"/>
        <v>35</v>
      </c>
      <c r="T424" s="57" t="str">
        <f t="shared" si="19"/>
        <v>31-60 Days</v>
      </c>
      <c r="U424" s="58" t="str">
        <f t="shared" si="20"/>
        <v>Especially Mentioned</v>
      </c>
    </row>
    <row r="425" spans="1:21" ht="23.25" customHeight="1" x14ac:dyDescent="0.35">
      <c r="A425" t="s">
        <v>951</v>
      </c>
      <c r="B425" t="s">
        <v>951</v>
      </c>
      <c r="C425">
        <v>7.08</v>
      </c>
      <c r="D425">
        <v>0</v>
      </c>
      <c r="E425" t="s">
        <v>1083</v>
      </c>
      <c r="F425" t="s">
        <v>57</v>
      </c>
      <c r="G425" t="s">
        <v>57</v>
      </c>
      <c r="H425" t="s">
        <v>1084</v>
      </c>
      <c r="I425"/>
      <c r="J425"/>
      <c r="K425"/>
      <c r="L425"/>
      <c r="M425"/>
      <c r="N425"/>
      <c r="O425"/>
      <c r="P425"/>
      <c r="Q425"/>
      <c r="R425"/>
      <c r="S425" s="56">
        <f t="shared" si="18"/>
        <v>35</v>
      </c>
      <c r="T425" s="57" t="str">
        <f t="shared" si="19"/>
        <v>31-60 Days</v>
      </c>
      <c r="U425" s="58" t="str">
        <f t="shared" si="20"/>
        <v>Especially Mentioned</v>
      </c>
    </row>
    <row r="426" spans="1:21" ht="23.25" customHeight="1" x14ac:dyDescent="0.35">
      <c r="A426" t="s">
        <v>951</v>
      </c>
      <c r="B426" t="s">
        <v>951</v>
      </c>
      <c r="C426">
        <v>34966.6</v>
      </c>
      <c r="D426">
        <v>0</v>
      </c>
      <c r="E426" t="s">
        <v>1085</v>
      </c>
      <c r="F426" t="s">
        <v>57</v>
      </c>
      <c r="G426" t="s">
        <v>57</v>
      </c>
      <c r="H426" t="s">
        <v>1086</v>
      </c>
      <c r="I426"/>
      <c r="J426"/>
      <c r="K426"/>
      <c r="L426"/>
      <c r="M426"/>
      <c r="N426"/>
      <c r="O426"/>
      <c r="P426"/>
      <c r="Q426"/>
      <c r="R426"/>
      <c r="S426" s="56">
        <f t="shared" si="18"/>
        <v>35</v>
      </c>
      <c r="T426" s="57" t="str">
        <f t="shared" si="19"/>
        <v>31-60 Days</v>
      </c>
      <c r="U426" s="58" t="str">
        <f t="shared" si="20"/>
        <v>Especially Mentioned</v>
      </c>
    </row>
    <row r="427" spans="1:21" ht="23.25" customHeight="1" x14ac:dyDescent="0.35">
      <c r="A427" t="s">
        <v>951</v>
      </c>
      <c r="B427" t="s">
        <v>951</v>
      </c>
      <c r="C427">
        <v>84.96</v>
      </c>
      <c r="D427">
        <v>0</v>
      </c>
      <c r="E427" t="s">
        <v>1087</v>
      </c>
      <c r="F427" t="s">
        <v>57</v>
      </c>
      <c r="G427" t="s">
        <v>57</v>
      </c>
      <c r="H427" t="s">
        <v>1088</v>
      </c>
      <c r="I427"/>
      <c r="J427"/>
      <c r="K427"/>
      <c r="L427"/>
      <c r="M427"/>
      <c r="N427"/>
      <c r="O427"/>
      <c r="P427"/>
      <c r="Q427"/>
      <c r="R427"/>
      <c r="S427" s="56">
        <f t="shared" si="18"/>
        <v>35</v>
      </c>
      <c r="T427" s="57" t="str">
        <f t="shared" si="19"/>
        <v>31-60 Days</v>
      </c>
      <c r="U427" s="58" t="str">
        <f t="shared" si="20"/>
        <v>Especially Mentioned</v>
      </c>
    </row>
    <row r="428" spans="1:21" ht="23.25" customHeight="1" x14ac:dyDescent="0.35">
      <c r="A428" t="s">
        <v>951</v>
      </c>
      <c r="B428" t="s">
        <v>951</v>
      </c>
      <c r="C428">
        <v>21250</v>
      </c>
      <c r="D428">
        <v>0</v>
      </c>
      <c r="E428" t="s">
        <v>1089</v>
      </c>
      <c r="F428" t="s">
        <v>57</v>
      </c>
      <c r="G428" t="s">
        <v>57</v>
      </c>
      <c r="H428" t="s">
        <v>1090</v>
      </c>
      <c r="I428"/>
      <c r="J428"/>
      <c r="K428"/>
      <c r="L428"/>
      <c r="M428"/>
      <c r="N428"/>
      <c r="O428"/>
      <c r="P428"/>
      <c r="Q428"/>
      <c r="R428"/>
      <c r="S428" s="56">
        <f t="shared" si="18"/>
        <v>35</v>
      </c>
      <c r="T428" s="57" t="str">
        <f t="shared" si="19"/>
        <v>31-60 Days</v>
      </c>
      <c r="U428" s="58" t="str">
        <f t="shared" si="20"/>
        <v>Especially Mentioned</v>
      </c>
    </row>
    <row r="429" spans="1:21" ht="23.25" customHeight="1" x14ac:dyDescent="0.35">
      <c r="A429" t="s">
        <v>951</v>
      </c>
      <c r="B429" t="s">
        <v>951</v>
      </c>
      <c r="C429">
        <v>35.4</v>
      </c>
      <c r="D429">
        <v>0</v>
      </c>
      <c r="E429" t="s">
        <v>1091</v>
      </c>
      <c r="F429" t="s">
        <v>57</v>
      </c>
      <c r="G429" t="s">
        <v>57</v>
      </c>
      <c r="H429" t="s">
        <v>1092</v>
      </c>
      <c r="I429"/>
      <c r="J429"/>
      <c r="K429"/>
      <c r="L429"/>
      <c r="M429"/>
      <c r="N429"/>
      <c r="O429"/>
      <c r="P429"/>
      <c r="Q429"/>
      <c r="R429"/>
      <c r="S429" s="56">
        <f t="shared" si="18"/>
        <v>35</v>
      </c>
      <c r="T429" s="57" t="str">
        <f t="shared" si="19"/>
        <v>31-60 Days</v>
      </c>
      <c r="U429" s="58" t="str">
        <f t="shared" si="20"/>
        <v>Especially Mentioned</v>
      </c>
    </row>
    <row r="430" spans="1:21" ht="23.25" customHeight="1" x14ac:dyDescent="0.35">
      <c r="A430" t="s">
        <v>951</v>
      </c>
      <c r="B430" t="s">
        <v>951</v>
      </c>
      <c r="C430">
        <v>7279.95</v>
      </c>
      <c r="D430">
        <v>0</v>
      </c>
      <c r="E430" t="s">
        <v>1093</v>
      </c>
      <c r="F430" t="s">
        <v>57</v>
      </c>
      <c r="G430" t="s">
        <v>57</v>
      </c>
      <c r="H430" t="s">
        <v>1094</v>
      </c>
      <c r="I430"/>
      <c r="J430"/>
      <c r="K430"/>
      <c r="L430"/>
      <c r="M430"/>
      <c r="N430"/>
      <c r="O430"/>
      <c r="P430"/>
      <c r="Q430"/>
      <c r="R430"/>
      <c r="S430" s="56">
        <f t="shared" si="18"/>
        <v>35</v>
      </c>
      <c r="T430" s="57" t="str">
        <f t="shared" si="19"/>
        <v>31-60 Days</v>
      </c>
      <c r="U430" s="58" t="str">
        <f t="shared" si="20"/>
        <v>Especially Mentioned</v>
      </c>
    </row>
    <row r="431" spans="1:21" ht="23.25" customHeight="1" x14ac:dyDescent="0.35">
      <c r="A431" t="s">
        <v>951</v>
      </c>
      <c r="B431" t="s">
        <v>951</v>
      </c>
      <c r="C431">
        <v>495.6</v>
      </c>
      <c r="D431">
        <v>0</v>
      </c>
      <c r="E431" t="s">
        <v>1095</v>
      </c>
      <c r="F431" t="s">
        <v>57</v>
      </c>
      <c r="G431" t="s">
        <v>57</v>
      </c>
      <c r="H431" t="s">
        <v>1096</v>
      </c>
      <c r="I431"/>
      <c r="J431"/>
      <c r="K431"/>
      <c r="L431"/>
      <c r="M431"/>
      <c r="N431"/>
      <c r="O431"/>
      <c r="P431"/>
      <c r="Q431"/>
      <c r="R431"/>
      <c r="S431" s="56">
        <f t="shared" si="18"/>
        <v>35</v>
      </c>
      <c r="T431" s="57" t="str">
        <f t="shared" si="19"/>
        <v>31-60 Days</v>
      </c>
      <c r="U431" s="58" t="str">
        <f t="shared" si="20"/>
        <v>Especially Mentioned</v>
      </c>
    </row>
    <row r="432" spans="1:21" ht="23.25" customHeight="1" x14ac:dyDescent="0.35">
      <c r="A432" t="s">
        <v>951</v>
      </c>
      <c r="B432" t="s">
        <v>951</v>
      </c>
      <c r="C432">
        <v>824.82</v>
      </c>
      <c r="D432">
        <v>0</v>
      </c>
      <c r="E432" t="s">
        <v>1097</v>
      </c>
      <c r="F432" t="s">
        <v>57</v>
      </c>
      <c r="G432" t="s">
        <v>57</v>
      </c>
      <c r="H432" t="s">
        <v>1098</v>
      </c>
      <c r="I432"/>
      <c r="J432"/>
      <c r="K432"/>
      <c r="L432"/>
      <c r="M432"/>
      <c r="N432"/>
      <c r="O432"/>
      <c r="P432"/>
      <c r="Q432"/>
      <c r="R432"/>
      <c r="S432" s="56">
        <f t="shared" si="18"/>
        <v>35</v>
      </c>
      <c r="T432" s="57" t="str">
        <f t="shared" si="19"/>
        <v>31-60 Days</v>
      </c>
      <c r="U432" s="58" t="str">
        <f t="shared" si="20"/>
        <v>Especially Mentioned</v>
      </c>
    </row>
    <row r="433" spans="1:21" ht="23.25" customHeight="1" x14ac:dyDescent="0.35">
      <c r="A433" t="s">
        <v>951</v>
      </c>
      <c r="B433" t="s">
        <v>951</v>
      </c>
      <c r="C433">
        <v>10128</v>
      </c>
      <c r="D433">
        <v>0</v>
      </c>
      <c r="E433" t="s">
        <v>1099</v>
      </c>
      <c r="F433" t="s">
        <v>57</v>
      </c>
      <c r="G433" t="s">
        <v>57</v>
      </c>
      <c r="H433" t="s">
        <v>1100</v>
      </c>
      <c r="I433"/>
      <c r="J433"/>
      <c r="K433"/>
      <c r="L433"/>
      <c r="M433"/>
      <c r="N433"/>
      <c r="O433"/>
      <c r="P433"/>
      <c r="Q433"/>
      <c r="R433"/>
      <c r="S433" s="56">
        <f t="shared" si="18"/>
        <v>35</v>
      </c>
      <c r="T433" s="57" t="str">
        <f t="shared" si="19"/>
        <v>31-60 Days</v>
      </c>
      <c r="U433" s="58" t="str">
        <f t="shared" si="20"/>
        <v>Especially Mentioned</v>
      </c>
    </row>
    <row r="434" spans="1:21" ht="23.25" customHeight="1" x14ac:dyDescent="0.35">
      <c r="A434" t="s">
        <v>951</v>
      </c>
      <c r="B434" t="s">
        <v>951</v>
      </c>
      <c r="C434">
        <v>42.48</v>
      </c>
      <c r="D434">
        <v>0</v>
      </c>
      <c r="E434" t="s">
        <v>1101</v>
      </c>
      <c r="F434" t="s">
        <v>57</v>
      </c>
      <c r="G434" t="s">
        <v>57</v>
      </c>
      <c r="H434" t="s">
        <v>1102</v>
      </c>
      <c r="I434"/>
      <c r="J434"/>
      <c r="K434"/>
      <c r="L434"/>
      <c r="M434"/>
      <c r="N434"/>
      <c r="O434"/>
      <c r="P434"/>
      <c r="Q434"/>
      <c r="R434"/>
      <c r="S434" s="56">
        <f t="shared" si="18"/>
        <v>35</v>
      </c>
      <c r="T434" s="57" t="str">
        <f t="shared" si="19"/>
        <v>31-60 Days</v>
      </c>
      <c r="U434" s="58" t="str">
        <f t="shared" si="20"/>
        <v>Especially Mentioned</v>
      </c>
    </row>
    <row r="435" spans="1:21" ht="23.25" customHeight="1" x14ac:dyDescent="0.35">
      <c r="A435" t="s">
        <v>951</v>
      </c>
      <c r="B435" t="s">
        <v>951</v>
      </c>
      <c r="C435">
        <v>4224.5</v>
      </c>
      <c r="D435">
        <v>0</v>
      </c>
      <c r="E435" t="s">
        <v>1103</v>
      </c>
      <c r="F435" t="s">
        <v>57</v>
      </c>
      <c r="G435" t="s">
        <v>57</v>
      </c>
      <c r="H435" t="s">
        <v>1104</v>
      </c>
      <c r="I435"/>
      <c r="J435"/>
      <c r="K435"/>
      <c r="L435"/>
      <c r="M435"/>
      <c r="N435"/>
      <c r="O435"/>
      <c r="P435"/>
      <c r="Q435"/>
      <c r="R435"/>
      <c r="S435" s="56">
        <f t="shared" si="18"/>
        <v>35</v>
      </c>
      <c r="T435" s="57" t="str">
        <f t="shared" si="19"/>
        <v>31-60 Days</v>
      </c>
      <c r="U435" s="58" t="str">
        <f t="shared" si="20"/>
        <v>Especially Mentioned</v>
      </c>
    </row>
    <row r="436" spans="1:21" ht="23.25" customHeight="1" x14ac:dyDescent="0.35">
      <c r="A436" t="s">
        <v>951</v>
      </c>
      <c r="B436" t="s">
        <v>951</v>
      </c>
      <c r="C436">
        <v>495.6</v>
      </c>
      <c r="D436">
        <v>0</v>
      </c>
      <c r="E436" t="s">
        <v>1105</v>
      </c>
      <c r="F436" t="s">
        <v>57</v>
      </c>
      <c r="G436" t="s">
        <v>57</v>
      </c>
      <c r="H436" t="s">
        <v>1106</v>
      </c>
      <c r="I436"/>
      <c r="J436"/>
      <c r="K436"/>
      <c r="L436"/>
      <c r="M436"/>
      <c r="N436"/>
      <c r="O436"/>
      <c r="P436"/>
      <c r="Q436"/>
      <c r="R436"/>
      <c r="S436" s="56">
        <f t="shared" si="18"/>
        <v>35</v>
      </c>
      <c r="T436" s="57" t="str">
        <f t="shared" si="19"/>
        <v>31-60 Days</v>
      </c>
      <c r="U436" s="58" t="str">
        <f t="shared" si="20"/>
        <v>Especially Mentioned</v>
      </c>
    </row>
    <row r="437" spans="1:21" ht="23.25" customHeight="1" x14ac:dyDescent="0.35">
      <c r="A437" t="s">
        <v>951</v>
      </c>
      <c r="B437" t="s">
        <v>951</v>
      </c>
      <c r="C437">
        <v>7186.2</v>
      </c>
      <c r="D437">
        <v>0</v>
      </c>
      <c r="E437" t="s">
        <v>1107</v>
      </c>
      <c r="F437" t="s">
        <v>57</v>
      </c>
      <c r="G437" t="s">
        <v>57</v>
      </c>
      <c r="H437" t="s">
        <v>1108</v>
      </c>
      <c r="I437"/>
      <c r="J437"/>
      <c r="K437"/>
      <c r="L437"/>
      <c r="M437"/>
      <c r="N437"/>
      <c r="O437"/>
      <c r="P437"/>
      <c r="Q437"/>
      <c r="R437"/>
      <c r="S437" s="56">
        <f t="shared" si="18"/>
        <v>35</v>
      </c>
      <c r="T437" s="57" t="str">
        <f t="shared" si="19"/>
        <v>31-60 Days</v>
      </c>
      <c r="U437" s="58" t="str">
        <f t="shared" si="20"/>
        <v>Especially Mentioned</v>
      </c>
    </row>
    <row r="438" spans="1:21" ht="23.25" customHeight="1" x14ac:dyDescent="0.35">
      <c r="A438" t="s">
        <v>951</v>
      </c>
      <c r="B438" t="s">
        <v>951</v>
      </c>
      <c r="C438">
        <v>4220.25</v>
      </c>
      <c r="D438">
        <v>0</v>
      </c>
      <c r="E438" t="s">
        <v>1109</v>
      </c>
      <c r="F438" t="s">
        <v>57</v>
      </c>
      <c r="G438" t="s">
        <v>57</v>
      </c>
      <c r="H438" t="s">
        <v>1110</v>
      </c>
      <c r="I438"/>
      <c r="J438"/>
      <c r="K438"/>
      <c r="L438"/>
      <c r="M438"/>
      <c r="N438"/>
      <c r="O438"/>
      <c r="P438"/>
      <c r="Q438"/>
      <c r="R438"/>
      <c r="S438" s="56">
        <f t="shared" si="18"/>
        <v>35</v>
      </c>
      <c r="T438" s="57" t="str">
        <f t="shared" si="19"/>
        <v>31-60 Days</v>
      </c>
      <c r="U438" s="58" t="str">
        <f t="shared" si="20"/>
        <v>Especially Mentioned</v>
      </c>
    </row>
    <row r="439" spans="1:21" ht="23.25" customHeight="1" x14ac:dyDescent="0.35">
      <c r="A439" t="s">
        <v>951</v>
      </c>
      <c r="B439" t="s">
        <v>951</v>
      </c>
      <c r="C439">
        <v>4584.9799999999996</v>
      </c>
      <c r="D439">
        <v>0</v>
      </c>
      <c r="E439" t="s">
        <v>1111</v>
      </c>
      <c r="F439" t="s">
        <v>57</v>
      </c>
      <c r="G439" t="s">
        <v>57</v>
      </c>
      <c r="H439" t="s">
        <v>1112</v>
      </c>
      <c r="I439"/>
      <c r="J439"/>
      <c r="K439"/>
      <c r="L439"/>
      <c r="M439"/>
      <c r="N439"/>
      <c r="O439"/>
      <c r="P439"/>
      <c r="Q439"/>
      <c r="R439"/>
      <c r="S439" s="56">
        <f t="shared" si="18"/>
        <v>35</v>
      </c>
      <c r="T439" s="57" t="str">
        <f t="shared" si="19"/>
        <v>31-60 Days</v>
      </c>
      <c r="U439" s="58" t="str">
        <f t="shared" si="20"/>
        <v>Especially Mentioned</v>
      </c>
    </row>
    <row r="440" spans="1:21" ht="23.25" customHeight="1" x14ac:dyDescent="0.35">
      <c r="A440" t="s">
        <v>951</v>
      </c>
      <c r="B440" t="s">
        <v>951</v>
      </c>
      <c r="C440">
        <v>1156.4000000000001</v>
      </c>
      <c r="D440">
        <v>0</v>
      </c>
      <c r="E440" t="s">
        <v>1113</v>
      </c>
      <c r="F440" t="s">
        <v>57</v>
      </c>
      <c r="G440" t="s">
        <v>57</v>
      </c>
      <c r="H440" t="s">
        <v>1114</v>
      </c>
      <c r="I440"/>
      <c r="J440"/>
      <c r="K440"/>
      <c r="L440"/>
      <c r="M440"/>
      <c r="N440"/>
      <c r="O440"/>
      <c r="P440"/>
      <c r="Q440"/>
      <c r="R440"/>
      <c r="S440" s="56">
        <f t="shared" si="18"/>
        <v>35</v>
      </c>
      <c r="T440" s="57" t="str">
        <f t="shared" si="19"/>
        <v>31-60 Days</v>
      </c>
      <c r="U440" s="58" t="str">
        <f t="shared" si="20"/>
        <v>Especially Mentioned</v>
      </c>
    </row>
    <row r="441" spans="1:21" ht="23.25" customHeight="1" x14ac:dyDescent="0.35">
      <c r="A441" t="s">
        <v>951</v>
      </c>
      <c r="B441" t="s">
        <v>951</v>
      </c>
      <c r="C441">
        <v>54338</v>
      </c>
      <c r="D441">
        <v>0</v>
      </c>
      <c r="E441" t="s">
        <v>1115</v>
      </c>
      <c r="F441" t="s">
        <v>57</v>
      </c>
      <c r="G441" t="s">
        <v>57</v>
      </c>
      <c r="H441" t="s">
        <v>1116</v>
      </c>
      <c r="I441"/>
      <c r="J441"/>
      <c r="K441"/>
      <c r="L441"/>
      <c r="M441"/>
      <c r="N441"/>
      <c r="O441"/>
      <c r="P441"/>
      <c r="Q441"/>
      <c r="R441"/>
      <c r="S441" s="56">
        <f t="shared" si="18"/>
        <v>35</v>
      </c>
      <c r="T441" s="57" t="str">
        <f t="shared" si="19"/>
        <v>31-60 Days</v>
      </c>
      <c r="U441" s="58" t="str">
        <f t="shared" si="20"/>
        <v>Especially Mentioned</v>
      </c>
    </row>
    <row r="442" spans="1:21" ht="23.25" customHeight="1" x14ac:dyDescent="0.35">
      <c r="A442" t="s">
        <v>951</v>
      </c>
      <c r="B442" t="s">
        <v>951</v>
      </c>
      <c r="C442">
        <v>148.68</v>
      </c>
      <c r="D442">
        <v>0</v>
      </c>
      <c r="E442" t="s">
        <v>1117</v>
      </c>
      <c r="F442" t="s">
        <v>57</v>
      </c>
      <c r="G442" t="s">
        <v>57</v>
      </c>
      <c r="H442" t="s">
        <v>1118</v>
      </c>
      <c r="I442"/>
      <c r="J442"/>
      <c r="K442"/>
      <c r="L442"/>
      <c r="M442"/>
      <c r="N442"/>
      <c r="O442"/>
      <c r="P442"/>
      <c r="Q442"/>
      <c r="R442"/>
      <c r="S442" s="56">
        <f t="shared" si="18"/>
        <v>35</v>
      </c>
      <c r="T442" s="57" t="str">
        <f t="shared" si="19"/>
        <v>31-60 Days</v>
      </c>
      <c r="U442" s="58" t="str">
        <f t="shared" si="20"/>
        <v>Especially Mentioned</v>
      </c>
    </row>
    <row r="443" spans="1:21" ht="23.25" customHeight="1" x14ac:dyDescent="0.35">
      <c r="A443" t="s">
        <v>951</v>
      </c>
      <c r="B443" t="s">
        <v>951</v>
      </c>
      <c r="C443">
        <v>212.4</v>
      </c>
      <c r="D443">
        <v>0</v>
      </c>
      <c r="E443" t="s">
        <v>1119</v>
      </c>
      <c r="F443" t="s">
        <v>57</v>
      </c>
      <c r="G443" t="s">
        <v>57</v>
      </c>
      <c r="H443" t="s">
        <v>1120</v>
      </c>
      <c r="I443"/>
      <c r="J443"/>
      <c r="K443"/>
      <c r="L443"/>
      <c r="M443"/>
      <c r="N443"/>
      <c r="O443"/>
      <c r="P443"/>
      <c r="Q443"/>
      <c r="R443"/>
      <c r="S443" s="56">
        <f t="shared" si="18"/>
        <v>35</v>
      </c>
      <c r="T443" s="57" t="str">
        <f t="shared" si="19"/>
        <v>31-60 Days</v>
      </c>
      <c r="U443" s="58" t="str">
        <f t="shared" si="20"/>
        <v>Especially Mentioned</v>
      </c>
    </row>
    <row r="444" spans="1:21" ht="23.25" customHeight="1" x14ac:dyDescent="0.35">
      <c r="A444" t="s">
        <v>951</v>
      </c>
      <c r="B444" t="s">
        <v>951</v>
      </c>
      <c r="C444">
        <v>12750</v>
      </c>
      <c r="D444">
        <v>0</v>
      </c>
      <c r="E444" t="s">
        <v>1121</v>
      </c>
      <c r="F444" t="s">
        <v>57</v>
      </c>
      <c r="G444" t="s">
        <v>57</v>
      </c>
      <c r="H444" t="s">
        <v>1122</v>
      </c>
      <c r="I444"/>
      <c r="J444"/>
      <c r="K444"/>
      <c r="L444"/>
      <c r="M444"/>
      <c r="N444"/>
      <c r="O444"/>
      <c r="P444"/>
      <c r="Q444"/>
      <c r="R444"/>
      <c r="S444" s="56">
        <f t="shared" si="18"/>
        <v>35</v>
      </c>
      <c r="T444" s="57" t="str">
        <f t="shared" si="19"/>
        <v>31-60 Days</v>
      </c>
      <c r="U444" s="58" t="str">
        <f t="shared" si="20"/>
        <v>Especially Mentioned</v>
      </c>
    </row>
    <row r="445" spans="1:21" ht="23.25" customHeight="1" x14ac:dyDescent="0.35">
      <c r="A445" t="s">
        <v>951</v>
      </c>
      <c r="B445" t="s">
        <v>951</v>
      </c>
      <c r="C445">
        <v>1132.8</v>
      </c>
      <c r="D445">
        <v>0</v>
      </c>
      <c r="E445" t="s">
        <v>1123</v>
      </c>
      <c r="F445" t="s">
        <v>57</v>
      </c>
      <c r="G445" t="s">
        <v>57</v>
      </c>
      <c r="H445" t="s">
        <v>1124</v>
      </c>
      <c r="I445"/>
      <c r="J445"/>
      <c r="K445"/>
      <c r="L445"/>
      <c r="M445"/>
      <c r="N445"/>
      <c r="O445"/>
      <c r="P445"/>
      <c r="Q445"/>
      <c r="R445"/>
      <c r="S445" s="56">
        <f t="shared" si="18"/>
        <v>35</v>
      </c>
      <c r="T445" s="57" t="str">
        <f t="shared" si="19"/>
        <v>31-60 Days</v>
      </c>
      <c r="U445" s="58" t="str">
        <f t="shared" si="20"/>
        <v>Especially Mentioned</v>
      </c>
    </row>
    <row r="446" spans="1:21" ht="23.25" customHeight="1" x14ac:dyDescent="0.35">
      <c r="A446" t="s">
        <v>951</v>
      </c>
      <c r="B446" t="s">
        <v>951</v>
      </c>
      <c r="C446">
        <v>184286.65</v>
      </c>
      <c r="D446">
        <v>0</v>
      </c>
      <c r="E446" t="s">
        <v>1125</v>
      </c>
      <c r="F446" t="s">
        <v>57</v>
      </c>
      <c r="G446" t="s">
        <v>57</v>
      </c>
      <c r="H446" t="s">
        <v>1126</v>
      </c>
      <c r="I446"/>
      <c r="J446"/>
      <c r="K446"/>
      <c r="L446"/>
      <c r="M446"/>
      <c r="N446"/>
      <c r="O446"/>
      <c r="P446"/>
      <c r="Q446"/>
      <c r="R446"/>
      <c r="S446" s="56">
        <f t="shared" si="18"/>
        <v>35</v>
      </c>
      <c r="T446" s="57" t="str">
        <f t="shared" si="19"/>
        <v>31-60 Days</v>
      </c>
      <c r="U446" s="58" t="str">
        <f t="shared" si="20"/>
        <v>Especially Mentioned</v>
      </c>
    </row>
    <row r="447" spans="1:21" ht="23.25" customHeight="1" x14ac:dyDescent="0.35">
      <c r="A447" t="s">
        <v>951</v>
      </c>
      <c r="B447" t="s">
        <v>951</v>
      </c>
      <c r="C447">
        <v>0</v>
      </c>
      <c r="D447">
        <v>1920</v>
      </c>
      <c r="E447" t="s">
        <v>1127</v>
      </c>
      <c r="F447" t="s">
        <v>57</v>
      </c>
      <c r="G447" t="s">
        <v>57</v>
      </c>
      <c r="H447" t="s">
        <v>1128</v>
      </c>
      <c r="I447"/>
      <c r="J447"/>
      <c r="K447"/>
      <c r="L447"/>
      <c r="M447"/>
      <c r="N447"/>
      <c r="O447"/>
      <c r="P447"/>
      <c r="Q447"/>
      <c r="R447"/>
      <c r="S447" s="56">
        <f t="shared" si="18"/>
        <v>35</v>
      </c>
      <c r="T447" s="57" t="str">
        <f t="shared" si="19"/>
        <v>31-60 Days</v>
      </c>
      <c r="U447" s="58" t="str">
        <f t="shared" si="20"/>
        <v>Not Applicable</v>
      </c>
    </row>
    <row r="448" spans="1:21" ht="23.25" customHeight="1" x14ac:dyDescent="0.35">
      <c r="A448" t="s">
        <v>951</v>
      </c>
      <c r="B448" t="s">
        <v>951</v>
      </c>
      <c r="C448">
        <v>62115.199999999997</v>
      </c>
      <c r="D448">
        <v>0</v>
      </c>
      <c r="E448" t="s">
        <v>1129</v>
      </c>
      <c r="F448" t="s">
        <v>57</v>
      </c>
      <c r="G448" t="s">
        <v>57</v>
      </c>
      <c r="H448" t="s">
        <v>1130</v>
      </c>
      <c r="I448"/>
      <c r="J448"/>
      <c r="K448"/>
      <c r="L448"/>
      <c r="M448"/>
      <c r="N448"/>
      <c r="O448"/>
      <c r="P448"/>
      <c r="Q448"/>
      <c r="R448"/>
      <c r="S448" s="56">
        <f t="shared" si="18"/>
        <v>35</v>
      </c>
      <c r="T448" s="57" t="str">
        <f t="shared" si="19"/>
        <v>31-60 Days</v>
      </c>
      <c r="U448" s="58" t="str">
        <f t="shared" si="20"/>
        <v>Especially Mentioned</v>
      </c>
    </row>
    <row r="449" spans="1:21" ht="23.25" customHeight="1" x14ac:dyDescent="0.35">
      <c r="A449" t="s">
        <v>951</v>
      </c>
      <c r="B449" t="s">
        <v>951</v>
      </c>
      <c r="C449">
        <v>1611.7</v>
      </c>
      <c r="D449">
        <v>0</v>
      </c>
      <c r="E449" t="s">
        <v>1131</v>
      </c>
      <c r="F449" t="s">
        <v>57</v>
      </c>
      <c r="G449" t="s">
        <v>57</v>
      </c>
      <c r="H449" t="s">
        <v>1132</v>
      </c>
      <c r="I449"/>
      <c r="J449"/>
      <c r="K449"/>
      <c r="L449"/>
      <c r="M449"/>
      <c r="N449"/>
      <c r="O449"/>
      <c r="P449"/>
      <c r="Q449"/>
      <c r="R449"/>
      <c r="S449" s="56">
        <f t="shared" si="18"/>
        <v>35</v>
      </c>
      <c r="T449" s="57" t="str">
        <f t="shared" si="19"/>
        <v>31-60 Days</v>
      </c>
      <c r="U449" s="58" t="str">
        <f t="shared" si="20"/>
        <v>Especially Mentioned</v>
      </c>
    </row>
    <row r="450" spans="1:21" ht="23.25" customHeight="1" x14ac:dyDescent="0.35">
      <c r="A450" t="s">
        <v>951</v>
      </c>
      <c r="B450" t="s">
        <v>951</v>
      </c>
      <c r="C450">
        <v>20673.599999999999</v>
      </c>
      <c r="D450">
        <v>0</v>
      </c>
      <c r="E450" t="s">
        <v>1133</v>
      </c>
      <c r="F450" t="s">
        <v>57</v>
      </c>
      <c r="G450" t="s">
        <v>57</v>
      </c>
      <c r="H450" t="s">
        <v>1134</v>
      </c>
      <c r="I450"/>
      <c r="J450"/>
      <c r="K450"/>
      <c r="L450"/>
      <c r="M450"/>
      <c r="N450"/>
      <c r="O450"/>
      <c r="P450"/>
      <c r="Q450"/>
      <c r="R450"/>
      <c r="S450" s="56">
        <f t="shared" si="18"/>
        <v>35</v>
      </c>
      <c r="T450" s="57" t="str">
        <f t="shared" si="19"/>
        <v>31-60 Days</v>
      </c>
      <c r="U450" s="58" t="str">
        <f t="shared" si="20"/>
        <v>Especially Mentioned</v>
      </c>
    </row>
    <row r="451" spans="1:21" ht="23.25" customHeight="1" x14ac:dyDescent="0.35">
      <c r="A451" t="s">
        <v>951</v>
      </c>
      <c r="B451" t="s">
        <v>951</v>
      </c>
      <c r="C451">
        <v>70516.800000000003</v>
      </c>
      <c r="D451">
        <v>0</v>
      </c>
      <c r="E451" t="s">
        <v>1135</v>
      </c>
      <c r="F451" t="s">
        <v>57</v>
      </c>
      <c r="G451" t="s">
        <v>57</v>
      </c>
      <c r="H451" t="s">
        <v>1136</v>
      </c>
      <c r="I451"/>
      <c r="J451"/>
      <c r="K451"/>
      <c r="L451"/>
      <c r="M451"/>
      <c r="N451"/>
      <c r="O451"/>
      <c r="P451"/>
      <c r="Q451"/>
      <c r="R451"/>
      <c r="S451" s="56">
        <f t="shared" si="18"/>
        <v>35</v>
      </c>
      <c r="T451" s="57" t="str">
        <f t="shared" si="19"/>
        <v>31-60 Days</v>
      </c>
      <c r="U451" s="58" t="str">
        <f t="shared" si="20"/>
        <v>Especially Mentioned</v>
      </c>
    </row>
    <row r="452" spans="1:21" ht="23.25" customHeight="1" x14ac:dyDescent="0.35">
      <c r="A452" t="s">
        <v>951</v>
      </c>
      <c r="B452" t="s">
        <v>951</v>
      </c>
      <c r="C452">
        <v>82692.72</v>
      </c>
      <c r="D452">
        <v>0</v>
      </c>
      <c r="E452" t="s">
        <v>1137</v>
      </c>
      <c r="F452" t="s">
        <v>57</v>
      </c>
      <c r="G452" t="s">
        <v>57</v>
      </c>
      <c r="H452" t="s">
        <v>1138</v>
      </c>
      <c r="I452"/>
      <c r="J452"/>
      <c r="K452"/>
      <c r="L452"/>
      <c r="M452"/>
      <c r="N452"/>
      <c r="O452"/>
      <c r="P452"/>
      <c r="Q452"/>
      <c r="R452"/>
      <c r="S452" s="56">
        <f t="shared" si="18"/>
        <v>35</v>
      </c>
      <c r="T452" s="57" t="str">
        <f t="shared" si="19"/>
        <v>31-60 Days</v>
      </c>
      <c r="U452" s="58" t="str">
        <f t="shared" si="20"/>
        <v>Especially Mentioned</v>
      </c>
    </row>
    <row r="453" spans="1:21" ht="23.25" customHeight="1" x14ac:dyDescent="0.35">
      <c r="A453" t="s">
        <v>951</v>
      </c>
      <c r="B453" t="s">
        <v>951</v>
      </c>
      <c r="C453">
        <v>1772</v>
      </c>
      <c r="D453">
        <v>0</v>
      </c>
      <c r="E453" t="s">
        <v>1139</v>
      </c>
      <c r="F453" t="s">
        <v>57</v>
      </c>
      <c r="G453" t="s">
        <v>57</v>
      </c>
      <c r="H453" t="s">
        <v>1140</v>
      </c>
      <c r="I453"/>
      <c r="J453"/>
      <c r="K453"/>
      <c r="L453"/>
      <c r="M453"/>
      <c r="N453"/>
      <c r="O453"/>
      <c r="P453"/>
      <c r="Q453"/>
      <c r="R453"/>
      <c r="S453" s="56">
        <f t="shared" si="18"/>
        <v>35</v>
      </c>
      <c r="T453" s="57" t="str">
        <f t="shared" si="19"/>
        <v>31-60 Days</v>
      </c>
      <c r="U453" s="58" t="str">
        <f t="shared" si="20"/>
        <v>Especially Mentioned</v>
      </c>
    </row>
    <row r="454" spans="1:21" ht="23.25" customHeight="1" x14ac:dyDescent="0.35">
      <c r="A454" t="s">
        <v>951</v>
      </c>
      <c r="B454" t="s">
        <v>951</v>
      </c>
      <c r="C454">
        <v>212.4</v>
      </c>
      <c r="D454">
        <v>0</v>
      </c>
      <c r="E454" t="s">
        <v>1141</v>
      </c>
      <c r="F454" t="s">
        <v>57</v>
      </c>
      <c r="G454" t="s">
        <v>57</v>
      </c>
      <c r="H454" t="s">
        <v>1142</v>
      </c>
      <c r="I454"/>
      <c r="J454"/>
      <c r="K454"/>
      <c r="L454"/>
      <c r="M454"/>
      <c r="N454"/>
      <c r="O454"/>
      <c r="P454"/>
      <c r="Q454"/>
      <c r="R454"/>
      <c r="S454" s="56">
        <f t="shared" si="18"/>
        <v>35</v>
      </c>
      <c r="T454" s="57" t="str">
        <f t="shared" si="19"/>
        <v>31-60 Days</v>
      </c>
      <c r="U454" s="58" t="str">
        <f t="shared" si="20"/>
        <v>Especially Mentioned</v>
      </c>
    </row>
    <row r="455" spans="1:21" ht="23.25" customHeight="1" x14ac:dyDescent="0.35">
      <c r="A455" t="s">
        <v>951</v>
      </c>
      <c r="B455" t="s">
        <v>951</v>
      </c>
      <c r="C455">
        <v>35.4</v>
      </c>
      <c r="D455">
        <v>0</v>
      </c>
      <c r="E455" t="s">
        <v>1143</v>
      </c>
      <c r="F455" t="s">
        <v>57</v>
      </c>
      <c r="G455" t="s">
        <v>57</v>
      </c>
      <c r="H455" t="s">
        <v>1144</v>
      </c>
      <c r="I455"/>
      <c r="J455"/>
      <c r="K455"/>
      <c r="L455"/>
      <c r="M455"/>
      <c r="N455"/>
      <c r="O455"/>
      <c r="P455"/>
      <c r="Q455"/>
      <c r="R455"/>
      <c r="S455" s="56">
        <f t="shared" si="18"/>
        <v>35</v>
      </c>
      <c r="T455" s="57" t="str">
        <f t="shared" si="19"/>
        <v>31-60 Days</v>
      </c>
      <c r="U455" s="58" t="str">
        <f t="shared" si="20"/>
        <v>Especially Mentioned</v>
      </c>
    </row>
    <row r="456" spans="1:21" ht="23.25" customHeight="1" x14ac:dyDescent="0.35">
      <c r="A456" t="s">
        <v>951</v>
      </c>
      <c r="B456" t="s">
        <v>951</v>
      </c>
      <c r="C456">
        <v>343383</v>
      </c>
      <c r="D456">
        <v>0</v>
      </c>
      <c r="E456" t="s">
        <v>1145</v>
      </c>
      <c r="F456" t="s">
        <v>57</v>
      </c>
      <c r="G456" t="s">
        <v>57</v>
      </c>
      <c r="H456" t="s">
        <v>1146</v>
      </c>
      <c r="I456"/>
      <c r="J456"/>
      <c r="K456"/>
      <c r="L456"/>
      <c r="M456"/>
      <c r="N456"/>
      <c r="O456"/>
      <c r="P456"/>
      <c r="Q456"/>
      <c r="R456"/>
      <c r="S456" s="56">
        <f t="shared" si="18"/>
        <v>35</v>
      </c>
      <c r="T456" s="57" t="str">
        <f t="shared" si="19"/>
        <v>31-60 Days</v>
      </c>
      <c r="U456" s="58" t="str">
        <f t="shared" si="20"/>
        <v>Especially Mentioned</v>
      </c>
    </row>
    <row r="457" spans="1:21" ht="23.25" customHeight="1" x14ac:dyDescent="0.35">
      <c r="A457" t="s">
        <v>951</v>
      </c>
      <c r="B457" t="s">
        <v>951</v>
      </c>
      <c r="C457">
        <v>59058</v>
      </c>
      <c r="D457">
        <v>0</v>
      </c>
      <c r="E457" t="s">
        <v>1147</v>
      </c>
      <c r="F457" t="s">
        <v>57</v>
      </c>
      <c r="G457" t="s">
        <v>57</v>
      </c>
      <c r="H457" t="s">
        <v>1148</v>
      </c>
      <c r="I457"/>
      <c r="J457"/>
      <c r="K457"/>
      <c r="L457"/>
      <c r="M457"/>
      <c r="N457"/>
      <c r="O457"/>
      <c r="P457"/>
      <c r="Q457"/>
      <c r="R457"/>
      <c r="S457" s="56">
        <f t="shared" ref="S457:S520" si="21">IF(A457="","",A$5-A457)</f>
        <v>35</v>
      </c>
      <c r="T457" s="57" t="str">
        <f t="shared" ref="T457:T520" si="22">IF(S457="","",IF(S457&lt;4,"0-3 Days",IF(S457&lt;31,"4-30 Days",IF(S457&lt;61,"31-60 Days",IF(S457&lt;=90,"61-90 Days",IF(S457&gt;90,"Above 90 Days","0"))))))</f>
        <v>31-60 Days</v>
      </c>
      <c r="U457" s="58" t="str">
        <f t="shared" ref="U457:U520" si="23">IF(C457="","",IF(C457&gt;0,IF(S457&lt;30,"Normal",IF(S457&lt;60,"Especially Mentioned",IF(S457&lt;90,"Substandard",IF(S457&lt;=180,"Doubtful",IF(S457&gt;180,"Loss","0"))))),"Not Applicable"))</f>
        <v>Especially Mentioned</v>
      </c>
    </row>
    <row r="458" spans="1:21" ht="23.25" customHeight="1" x14ac:dyDescent="0.35">
      <c r="A458" t="s">
        <v>951</v>
      </c>
      <c r="B458" t="s">
        <v>951</v>
      </c>
      <c r="C458">
        <v>35.4</v>
      </c>
      <c r="D458">
        <v>0</v>
      </c>
      <c r="E458" t="s">
        <v>1149</v>
      </c>
      <c r="F458" t="s">
        <v>57</v>
      </c>
      <c r="G458" t="s">
        <v>57</v>
      </c>
      <c r="H458" t="s">
        <v>1150</v>
      </c>
      <c r="I458"/>
      <c r="J458"/>
      <c r="K458"/>
      <c r="L458"/>
      <c r="M458"/>
      <c r="N458"/>
      <c r="O458"/>
      <c r="P458"/>
      <c r="Q458"/>
      <c r="R458"/>
      <c r="S458" s="56">
        <f t="shared" si="21"/>
        <v>35</v>
      </c>
      <c r="T458" s="57" t="str">
        <f t="shared" si="22"/>
        <v>31-60 Days</v>
      </c>
      <c r="U458" s="58" t="str">
        <f t="shared" si="23"/>
        <v>Especially Mentioned</v>
      </c>
    </row>
    <row r="459" spans="1:21" ht="23.25" customHeight="1" x14ac:dyDescent="0.35">
      <c r="A459" t="s">
        <v>951</v>
      </c>
      <c r="B459" t="s">
        <v>951</v>
      </c>
      <c r="C459">
        <v>0</v>
      </c>
      <c r="D459">
        <v>60</v>
      </c>
      <c r="E459" t="s">
        <v>1151</v>
      </c>
      <c r="F459" t="s">
        <v>57</v>
      </c>
      <c r="G459" t="s">
        <v>57</v>
      </c>
      <c r="H459" t="s">
        <v>1152</v>
      </c>
      <c r="I459"/>
      <c r="J459"/>
      <c r="K459"/>
      <c r="L459"/>
      <c r="M459"/>
      <c r="N459"/>
      <c r="O459"/>
      <c r="P459"/>
      <c r="Q459"/>
      <c r="R459"/>
      <c r="S459" s="56">
        <f t="shared" si="21"/>
        <v>35</v>
      </c>
      <c r="T459" s="57" t="str">
        <f t="shared" si="22"/>
        <v>31-60 Days</v>
      </c>
      <c r="U459" s="58" t="str">
        <f t="shared" si="23"/>
        <v>Not Applicable</v>
      </c>
    </row>
    <row r="460" spans="1:21" ht="23.25" customHeight="1" x14ac:dyDescent="0.35">
      <c r="A460" t="s">
        <v>951</v>
      </c>
      <c r="B460" t="s">
        <v>951</v>
      </c>
      <c r="C460">
        <v>247.8</v>
      </c>
      <c r="D460">
        <v>0</v>
      </c>
      <c r="E460" t="s">
        <v>1153</v>
      </c>
      <c r="F460" t="s">
        <v>57</v>
      </c>
      <c r="G460" t="s">
        <v>57</v>
      </c>
      <c r="H460" t="s">
        <v>1154</v>
      </c>
      <c r="I460"/>
      <c r="J460"/>
      <c r="K460"/>
      <c r="L460"/>
      <c r="M460"/>
      <c r="N460"/>
      <c r="O460"/>
      <c r="P460"/>
      <c r="Q460"/>
      <c r="R460"/>
      <c r="S460" s="56">
        <f t="shared" si="21"/>
        <v>35</v>
      </c>
      <c r="T460" s="57" t="str">
        <f t="shared" si="22"/>
        <v>31-60 Days</v>
      </c>
      <c r="U460" s="58" t="str">
        <f t="shared" si="23"/>
        <v>Especially Mentioned</v>
      </c>
    </row>
    <row r="461" spans="1:21" ht="23.25" customHeight="1" x14ac:dyDescent="0.35">
      <c r="A461" t="s">
        <v>951</v>
      </c>
      <c r="B461" t="s">
        <v>951</v>
      </c>
      <c r="C461">
        <v>7000.5</v>
      </c>
      <c r="D461">
        <v>0</v>
      </c>
      <c r="E461" t="s">
        <v>1155</v>
      </c>
      <c r="F461" t="s">
        <v>57</v>
      </c>
      <c r="G461" t="s">
        <v>57</v>
      </c>
      <c r="H461" t="s">
        <v>1156</v>
      </c>
      <c r="I461"/>
      <c r="J461"/>
      <c r="K461"/>
      <c r="L461"/>
      <c r="M461"/>
      <c r="N461"/>
      <c r="O461"/>
      <c r="P461"/>
      <c r="Q461"/>
      <c r="R461"/>
      <c r="S461" s="56">
        <f t="shared" si="21"/>
        <v>35</v>
      </c>
      <c r="T461" s="57" t="str">
        <f t="shared" si="22"/>
        <v>31-60 Days</v>
      </c>
      <c r="U461" s="58" t="str">
        <f t="shared" si="23"/>
        <v>Especially Mentioned</v>
      </c>
    </row>
    <row r="462" spans="1:21" ht="23.25" customHeight="1" x14ac:dyDescent="0.35">
      <c r="A462" t="s">
        <v>951</v>
      </c>
      <c r="B462" t="s">
        <v>951</v>
      </c>
      <c r="C462">
        <v>601.79999999999995</v>
      </c>
      <c r="D462">
        <v>0</v>
      </c>
      <c r="E462" t="s">
        <v>1157</v>
      </c>
      <c r="F462" t="s">
        <v>57</v>
      </c>
      <c r="G462" t="s">
        <v>57</v>
      </c>
      <c r="H462" t="s">
        <v>1158</v>
      </c>
      <c r="I462"/>
      <c r="J462"/>
      <c r="K462"/>
      <c r="L462"/>
      <c r="M462"/>
      <c r="N462"/>
      <c r="O462"/>
      <c r="P462"/>
      <c r="Q462"/>
      <c r="R462"/>
      <c r="S462" s="56">
        <f t="shared" si="21"/>
        <v>35</v>
      </c>
      <c r="T462" s="57" t="str">
        <f t="shared" si="22"/>
        <v>31-60 Days</v>
      </c>
      <c r="U462" s="58" t="str">
        <f t="shared" si="23"/>
        <v>Especially Mentioned</v>
      </c>
    </row>
    <row r="463" spans="1:21" ht="23.25" customHeight="1" x14ac:dyDescent="0.35">
      <c r="A463" t="s">
        <v>951</v>
      </c>
      <c r="B463" t="s">
        <v>951</v>
      </c>
      <c r="C463">
        <v>424.8</v>
      </c>
      <c r="D463">
        <v>0</v>
      </c>
      <c r="E463" t="s">
        <v>1159</v>
      </c>
      <c r="F463" t="s">
        <v>57</v>
      </c>
      <c r="G463" t="s">
        <v>57</v>
      </c>
      <c r="H463" t="s">
        <v>1160</v>
      </c>
      <c r="I463"/>
      <c r="J463"/>
      <c r="K463"/>
      <c r="L463"/>
      <c r="M463"/>
      <c r="N463"/>
      <c r="O463"/>
      <c r="P463"/>
      <c r="Q463"/>
      <c r="R463"/>
      <c r="S463" s="56">
        <f t="shared" si="21"/>
        <v>35</v>
      </c>
      <c r="T463" s="57" t="str">
        <f t="shared" si="22"/>
        <v>31-60 Days</v>
      </c>
      <c r="U463" s="58" t="str">
        <f t="shared" si="23"/>
        <v>Especially Mentioned</v>
      </c>
    </row>
    <row r="464" spans="1:21" ht="23.25" customHeight="1" x14ac:dyDescent="0.35">
      <c r="A464" t="s">
        <v>951</v>
      </c>
      <c r="B464" t="s">
        <v>951</v>
      </c>
      <c r="C464">
        <v>2972455.53</v>
      </c>
      <c r="D464">
        <v>0</v>
      </c>
      <c r="E464" t="s">
        <v>1161</v>
      </c>
      <c r="F464" t="s">
        <v>57</v>
      </c>
      <c r="G464" t="s">
        <v>57</v>
      </c>
      <c r="H464" t="s">
        <v>1162</v>
      </c>
      <c r="I464"/>
      <c r="J464"/>
      <c r="K464"/>
      <c r="L464"/>
      <c r="M464"/>
      <c r="N464"/>
      <c r="O464"/>
      <c r="P464"/>
      <c r="Q464"/>
      <c r="R464"/>
      <c r="S464" s="56">
        <f t="shared" si="21"/>
        <v>35</v>
      </c>
      <c r="T464" s="57" t="str">
        <f t="shared" si="22"/>
        <v>31-60 Days</v>
      </c>
      <c r="U464" s="58" t="str">
        <f t="shared" si="23"/>
        <v>Especially Mentioned</v>
      </c>
    </row>
    <row r="465" spans="1:21" ht="23.25" customHeight="1" x14ac:dyDescent="0.35">
      <c r="A465" t="s">
        <v>951</v>
      </c>
      <c r="B465" t="s">
        <v>951</v>
      </c>
      <c r="C465">
        <v>0</v>
      </c>
      <c r="D465">
        <v>170</v>
      </c>
      <c r="E465" t="s">
        <v>1163</v>
      </c>
      <c r="F465" t="s">
        <v>57</v>
      </c>
      <c r="G465" t="s">
        <v>57</v>
      </c>
      <c r="H465" t="s">
        <v>1164</v>
      </c>
      <c r="I465"/>
      <c r="J465"/>
      <c r="K465"/>
      <c r="L465"/>
      <c r="M465"/>
      <c r="N465"/>
      <c r="O465"/>
      <c r="P465"/>
      <c r="Q465"/>
      <c r="R465"/>
      <c r="S465" s="56">
        <f t="shared" si="21"/>
        <v>35</v>
      </c>
      <c r="T465" s="57" t="str">
        <f t="shared" si="22"/>
        <v>31-60 Days</v>
      </c>
      <c r="U465" s="58" t="str">
        <f t="shared" si="23"/>
        <v>Not Applicable</v>
      </c>
    </row>
    <row r="466" spans="1:21" ht="23.25" customHeight="1" x14ac:dyDescent="0.35">
      <c r="A466" t="s">
        <v>951</v>
      </c>
      <c r="B466" t="s">
        <v>951</v>
      </c>
      <c r="C466">
        <v>70.8</v>
      </c>
      <c r="D466">
        <v>0</v>
      </c>
      <c r="E466" t="s">
        <v>1165</v>
      </c>
      <c r="F466" t="s">
        <v>57</v>
      </c>
      <c r="G466" t="s">
        <v>57</v>
      </c>
      <c r="H466" t="s">
        <v>1166</v>
      </c>
      <c r="I466"/>
      <c r="J466"/>
      <c r="K466"/>
      <c r="L466"/>
      <c r="M466"/>
      <c r="N466"/>
      <c r="O466"/>
      <c r="P466"/>
      <c r="Q466"/>
      <c r="R466"/>
      <c r="S466" s="56">
        <f t="shared" si="21"/>
        <v>35</v>
      </c>
      <c r="T466" s="57" t="str">
        <f t="shared" si="22"/>
        <v>31-60 Days</v>
      </c>
      <c r="U466" s="58" t="str">
        <f t="shared" si="23"/>
        <v>Especially Mentioned</v>
      </c>
    </row>
    <row r="467" spans="1:21" ht="23.25" customHeight="1" x14ac:dyDescent="0.35">
      <c r="A467" t="s">
        <v>951</v>
      </c>
      <c r="B467" t="s">
        <v>951</v>
      </c>
      <c r="C467">
        <v>106.2</v>
      </c>
      <c r="D467">
        <v>0</v>
      </c>
      <c r="E467" t="s">
        <v>1167</v>
      </c>
      <c r="F467" t="s">
        <v>57</v>
      </c>
      <c r="G467" t="s">
        <v>57</v>
      </c>
      <c r="H467" t="s">
        <v>1168</v>
      </c>
      <c r="I467"/>
      <c r="J467"/>
      <c r="K467"/>
      <c r="L467"/>
      <c r="M467"/>
      <c r="N467"/>
      <c r="O467"/>
      <c r="P467"/>
      <c r="Q467"/>
      <c r="R467"/>
      <c r="S467" s="56">
        <f t="shared" si="21"/>
        <v>35</v>
      </c>
      <c r="T467" s="57" t="str">
        <f t="shared" si="22"/>
        <v>31-60 Days</v>
      </c>
      <c r="U467" s="58" t="str">
        <f t="shared" si="23"/>
        <v>Especially Mentioned</v>
      </c>
    </row>
    <row r="468" spans="1:21" ht="23.25" customHeight="1" x14ac:dyDescent="0.35">
      <c r="A468" t="s">
        <v>951</v>
      </c>
      <c r="B468" t="s">
        <v>951</v>
      </c>
      <c r="C468">
        <v>1780</v>
      </c>
      <c r="D468">
        <v>0</v>
      </c>
      <c r="E468" t="s">
        <v>1169</v>
      </c>
      <c r="F468" t="s">
        <v>57</v>
      </c>
      <c r="G468" t="s">
        <v>57</v>
      </c>
      <c r="H468" t="s">
        <v>1170</v>
      </c>
      <c r="I468"/>
      <c r="J468"/>
      <c r="K468"/>
      <c r="L468"/>
      <c r="M468"/>
      <c r="N468"/>
      <c r="O468"/>
      <c r="P468"/>
      <c r="Q468"/>
      <c r="R468"/>
      <c r="S468" s="56">
        <f t="shared" si="21"/>
        <v>35</v>
      </c>
      <c r="T468" s="57" t="str">
        <f t="shared" si="22"/>
        <v>31-60 Days</v>
      </c>
      <c r="U468" s="58" t="str">
        <f t="shared" si="23"/>
        <v>Especially Mentioned</v>
      </c>
    </row>
    <row r="469" spans="1:21" ht="23.25" customHeight="1" x14ac:dyDescent="0.35">
      <c r="A469" t="s">
        <v>951</v>
      </c>
      <c r="B469" t="s">
        <v>951</v>
      </c>
      <c r="C469">
        <v>14833</v>
      </c>
      <c r="D469">
        <v>0</v>
      </c>
      <c r="E469" t="s">
        <v>1171</v>
      </c>
      <c r="F469" t="s">
        <v>57</v>
      </c>
      <c r="G469" t="s">
        <v>57</v>
      </c>
      <c r="H469" t="s">
        <v>1172</v>
      </c>
      <c r="I469"/>
      <c r="J469"/>
      <c r="K469"/>
      <c r="L469"/>
      <c r="M469"/>
      <c r="N469"/>
      <c r="O469"/>
      <c r="P469"/>
      <c r="Q469"/>
      <c r="R469"/>
      <c r="S469" s="56">
        <f t="shared" si="21"/>
        <v>35</v>
      </c>
      <c r="T469" s="57" t="str">
        <f t="shared" si="22"/>
        <v>31-60 Days</v>
      </c>
      <c r="U469" s="58" t="str">
        <f t="shared" si="23"/>
        <v>Especially Mentioned</v>
      </c>
    </row>
    <row r="470" spans="1:21" ht="23.25" customHeight="1" x14ac:dyDescent="0.35">
      <c r="A470" t="s">
        <v>951</v>
      </c>
      <c r="B470" t="s">
        <v>951</v>
      </c>
      <c r="C470">
        <v>16854.75</v>
      </c>
      <c r="D470">
        <v>0</v>
      </c>
      <c r="E470" t="s">
        <v>1173</v>
      </c>
      <c r="F470" t="s">
        <v>57</v>
      </c>
      <c r="G470" t="s">
        <v>57</v>
      </c>
      <c r="H470" t="s">
        <v>1174</v>
      </c>
      <c r="I470"/>
      <c r="J470"/>
      <c r="K470"/>
      <c r="L470"/>
      <c r="M470"/>
      <c r="N470"/>
      <c r="O470"/>
      <c r="P470"/>
      <c r="Q470"/>
      <c r="R470"/>
      <c r="S470" s="56">
        <f t="shared" si="21"/>
        <v>35</v>
      </c>
      <c r="T470" s="57" t="str">
        <f t="shared" si="22"/>
        <v>31-60 Days</v>
      </c>
      <c r="U470" s="58" t="str">
        <f t="shared" si="23"/>
        <v>Especially Mentioned</v>
      </c>
    </row>
    <row r="471" spans="1:21" ht="23.25" customHeight="1" x14ac:dyDescent="0.35">
      <c r="A471" t="s">
        <v>951</v>
      </c>
      <c r="B471" t="s">
        <v>951</v>
      </c>
      <c r="C471">
        <v>16372.5</v>
      </c>
      <c r="D471">
        <v>0</v>
      </c>
      <c r="E471" t="s">
        <v>1175</v>
      </c>
      <c r="F471" t="s">
        <v>57</v>
      </c>
      <c r="G471" t="s">
        <v>57</v>
      </c>
      <c r="H471" t="s">
        <v>1176</v>
      </c>
      <c r="I471"/>
      <c r="J471"/>
      <c r="K471"/>
      <c r="L471"/>
      <c r="M471"/>
      <c r="N471"/>
      <c r="O471"/>
      <c r="P471"/>
      <c r="Q471"/>
      <c r="R471"/>
      <c r="S471" s="56">
        <f t="shared" si="21"/>
        <v>35</v>
      </c>
      <c r="T471" s="57" t="str">
        <f t="shared" si="22"/>
        <v>31-60 Days</v>
      </c>
      <c r="U471" s="58" t="str">
        <f t="shared" si="23"/>
        <v>Especially Mentioned</v>
      </c>
    </row>
    <row r="472" spans="1:21" ht="23.25" customHeight="1" x14ac:dyDescent="0.35">
      <c r="A472" t="s">
        <v>951</v>
      </c>
      <c r="B472" t="s">
        <v>951</v>
      </c>
      <c r="C472">
        <v>212.4</v>
      </c>
      <c r="D472">
        <v>0</v>
      </c>
      <c r="E472" t="s">
        <v>1177</v>
      </c>
      <c r="F472" t="s">
        <v>57</v>
      </c>
      <c r="G472" t="s">
        <v>57</v>
      </c>
      <c r="H472" t="s">
        <v>1178</v>
      </c>
      <c r="I472"/>
      <c r="J472"/>
      <c r="K472"/>
      <c r="L472"/>
      <c r="M472"/>
      <c r="N472"/>
      <c r="O472"/>
      <c r="P472"/>
      <c r="Q472"/>
      <c r="R472"/>
      <c r="S472" s="56">
        <f t="shared" si="21"/>
        <v>35</v>
      </c>
      <c r="T472" s="57" t="str">
        <f t="shared" si="22"/>
        <v>31-60 Days</v>
      </c>
      <c r="U472" s="58" t="str">
        <f t="shared" si="23"/>
        <v>Especially Mentioned</v>
      </c>
    </row>
    <row r="473" spans="1:21" ht="23.25" customHeight="1" x14ac:dyDescent="0.35">
      <c r="A473" t="s">
        <v>951</v>
      </c>
      <c r="B473" t="s">
        <v>951</v>
      </c>
      <c r="C473">
        <v>35.4</v>
      </c>
      <c r="D473">
        <v>0</v>
      </c>
      <c r="E473" t="s">
        <v>1179</v>
      </c>
      <c r="F473" t="s">
        <v>57</v>
      </c>
      <c r="G473" t="s">
        <v>57</v>
      </c>
      <c r="H473" t="s">
        <v>1180</v>
      </c>
      <c r="I473"/>
      <c r="J473"/>
      <c r="K473"/>
      <c r="L473"/>
      <c r="M473"/>
      <c r="N473"/>
      <c r="O473"/>
      <c r="P473"/>
      <c r="Q473"/>
      <c r="R473"/>
      <c r="S473" s="56">
        <f t="shared" si="21"/>
        <v>35</v>
      </c>
      <c r="T473" s="57" t="str">
        <f t="shared" si="22"/>
        <v>31-60 Days</v>
      </c>
      <c r="U473" s="58" t="str">
        <f t="shared" si="23"/>
        <v>Especially Mentioned</v>
      </c>
    </row>
    <row r="474" spans="1:21" ht="23.25" customHeight="1" x14ac:dyDescent="0.35">
      <c r="A474" t="s">
        <v>951</v>
      </c>
      <c r="B474" t="s">
        <v>951</v>
      </c>
      <c r="C474">
        <v>0</v>
      </c>
      <c r="D474">
        <v>8960045.5199999996</v>
      </c>
      <c r="E474" t="s">
        <v>1181</v>
      </c>
      <c r="F474" t="s">
        <v>57</v>
      </c>
      <c r="G474" t="s">
        <v>57</v>
      </c>
      <c r="H474" t="s">
        <v>1182</v>
      </c>
      <c r="I474"/>
      <c r="J474"/>
      <c r="K474"/>
      <c r="L474"/>
      <c r="M474"/>
      <c r="N474"/>
      <c r="O474"/>
      <c r="P474"/>
      <c r="Q474"/>
      <c r="R474"/>
      <c r="S474" s="56">
        <f t="shared" si="21"/>
        <v>35</v>
      </c>
      <c r="T474" s="57" t="str">
        <f t="shared" si="22"/>
        <v>31-60 Days</v>
      </c>
      <c r="U474" s="58" t="str">
        <f t="shared" si="23"/>
        <v>Not Applicable</v>
      </c>
    </row>
    <row r="475" spans="1:21" ht="23.25" customHeight="1" x14ac:dyDescent="0.35">
      <c r="A475" t="s">
        <v>951</v>
      </c>
      <c r="B475" t="s">
        <v>951</v>
      </c>
      <c r="C475">
        <v>0</v>
      </c>
      <c r="D475">
        <v>110</v>
      </c>
      <c r="E475" t="s">
        <v>1183</v>
      </c>
      <c r="F475" t="s">
        <v>57</v>
      </c>
      <c r="G475" t="s">
        <v>57</v>
      </c>
      <c r="H475" t="s">
        <v>1184</v>
      </c>
      <c r="I475"/>
      <c r="J475"/>
      <c r="K475"/>
      <c r="L475"/>
      <c r="M475"/>
      <c r="N475"/>
      <c r="O475"/>
      <c r="P475"/>
      <c r="Q475"/>
      <c r="R475"/>
      <c r="S475" s="56">
        <f t="shared" si="21"/>
        <v>35</v>
      </c>
      <c r="T475" s="57" t="str">
        <f t="shared" si="22"/>
        <v>31-60 Days</v>
      </c>
      <c r="U475" s="58" t="str">
        <f t="shared" si="23"/>
        <v>Not Applicable</v>
      </c>
    </row>
    <row r="476" spans="1:21" ht="23.25" customHeight="1" x14ac:dyDescent="0.35">
      <c r="A476" t="s">
        <v>951</v>
      </c>
      <c r="B476" t="s">
        <v>951</v>
      </c>
      <c r="C476">
        <v>0</v>
      </c>
      <c r="D476">
        <v>13334</v>
      </c>
      <c r="E476" t="s">
        <v>1185</v>
      </c>
      <c r="F476" t="s">
        <v>57</v>
      </c>
      <c r="G476" t="s">
        <v>57</v>
      </c>
      <c r="H476" t="s">
        <v>1186</v>
      </c>
      <c r="I476"/>
      <c r="J476"/>
      <c r="K476"/>
      <c r="L476"/>
      <c r="M476"/>
      <c r="N476"/>
      <c r="O476"/>
      <c r="P476"/>
      <c r="Q476"/>
      <c r="R476"/>
      <c r="S476" s="56">
        <f t="shared" si="21"/>
        <v>35</v>
      </c>
      <c r="T476" s="57" t="str">
        <f t="shared" si="22"/>
        <v>31-60 Days</v>
      </c>
      <c r="U476" s="58" t="str">
        <f t="shared" si="23"/>
        <v>Not Applicable</v>
      </c>
    </row>
    <row r="477" spans="1:21" ht="23.25" customHeight="1" x14ac:dyDescent="0.35">
      <c r="A477" t="s">
        <v>951</v>
      </c>
      <c r="B477" t="s">
        <v>951</v>
      </c>
      <c r="C477">
        <v>26424</v>
      </c>
      <c r="D477">
        <v>0</v>
      </c>
      <c r="E477" t="s">
        <v>1187</v>
      </c>
      <c r="F477" t="s">
        <v>57</v>
      </c>
      <c r="G477" t="s">
        <v>57</v>
      </c>
      <c r="H477" t="s">
        <v>1188</v>
      </c>
      <c r="I477"/>
      <c r="J477"/>
      <c r="K477"/>
      <c r="L477"/>
      <c r="M477"/>
      <c r="N477"/>
      <c r="O477"/>
      <c r="P477"/>
      <c r="Q477"/>
      <c r="R477"/>
      <c r="S477" s="56">
        <f t="shared" si="21"/>
        <v>35</v>
      </c>
      <c r="T477" s="57" t="str">
        <f t="shared" si="22"/>
        <v>31-60 Days</v>
      </c>
      <c r="U477" s="58" t="str">
        <f t="shared" si="23"/>
        <v>Especially Mentioned</v>
      </c>
    </row>
    <row r="478" spans="1:21" ht="23.25" customHeight="1" x14ac:dyDescent="0.35">
      <c r="A478" t="s">
        <v>951</v>
      </c>
      <c r="B478" t="s">
        <v>951</v>
      </c>
      <c r="C478">
        <v>247.8</v>
      </c>
      <c r="D478">
        <v>0</v>
      </c>
      <c r="E478" t="s">
        <v>1189</v>
      </c>
      <c r="F478" t="s">
        <v>57</v>
      </c>
      <c r="G478" t="s">
        <v>57</v>
      </c>
      <c r="H478" t="s">
        <v>1190</v>
      </c>
      <c r="I478"/>
      <c r="J478"/>
      <c r="K478"/>
      <c r="L478"/>
      <c r="M478"/>
      <c r="N478"/>
      <c r="O478"/>
      <c r="P478"/>
      <c r="Q478"/>
      <c r="R478"/>
      <c r="S478" s="56">
        <f t="shared" si="21"/>
        <v>35</v>
      </c>
      <c r="T478" s="57" t="str">
        <f t="shared" si="22"/>
        <v>31-60 Days</v>
      </c>
      <c r="U478" s="58" t="str">
        <f t="shared" si="23"/>
        <v>Especially Mentioned</v>
      </c>
    </row>
    <row r="479" spans="1:21" ht="23.25" customHeight="1" x14ac:dyDescent="0.35">
      <c r="A479" t="s">
        <v>951</v>
      </c>
      <c r="B479" t="s">
        <v>951</v>
      </c>
      <c r="C479">
        <v>42264</v>
      </c>
      <c r="D479">
        <v>0</v>
      </c>
      <c r="E479" t="s">
        <v>1191</v>
      </c>
      <c r="F479" t="s">
        <v>57</v>
      </c>
      <c r="G479" t="s">
        <v>57</v>
      </c>
      <c r="H479" t="s">
        <v>1192</v>
      </c>
      <c r="I479"/>
      <c r="J479"/>
      <c r="K479"/>
      <c r="L479"/>
      <c r="M479"/>
      <c r="N479"/>
      <c r="O479"/>
      <c r="P479"/>
      <c r="Q479"/>
      <c r="R479"/>
      <c r="S479" s="56">
        <f t="shared" si="21"/>
        <v>35</v>
      </c>
      <c r="T479" s="57" t="str">
        <f t="shared" si="22"/>
        <v>31-60 Days</v>
      </c>
      <c r="U479" s="58" t="str">
        <f t="shared" si="23"/>
        <v>Especially Mentioned</v>
      </c>
    </row>
    <row r="480" spans="1:21" ht="23.25" customHeight="1" x14ac:dyDescent="0.35">
      <c r="A480" t="s">
        <v>951</v>
      </c>
      <c r="B480" t="s">
        <v>951</v>
      </c>
      <c r="C480">
        <v>14.16</v>
      </c>
      <c r="D480">
        <v>0</v>
      </c>
      <c r="E480" t="s">
        <v>1193</v>
      </c>
      <c r="F480" t="s">
        <v>57</v>
      </c>
      <c r="G480" t="s">
        <v>57</v>
      </c>
      <c r="H480" t="s">
        <v>1194</v>
      </c>
      <c r="I480"/>
      <c r="J480"/>
      <c r="K480"/>
      <c r="L480"/>
      <c r="M480"/>
      <c r="N480"/>
      <c r="O480"/>
      <c r="P480"/>
      <c r="Q480"/>
      <c r="R480"/>
      <c r="S480" s="56">
        <f t="shared" si="21"/>
        <v>35</v>
      </c>
      <c r="T480" s="57" t="str">
        <f t="shared" si="22"/>
        <v>31-60 Days</v>
      </c>
      <c r="U480" s="58" t="str">
        <f t="shared" si="23"/>
        <v>Especially Mentioned</v>
      </c>
    </row>
    <row r="481" spans="1:21" ht="23.25" customHeight="1" x14ac:dyDescent="0.35">
      <c r="A481" t="s">
        <v>951</v>
      </c>
      <c r="B481" t="s">
        <v>951</v>
      </c>
      <c r="C481">
        <v>7430</v>
      </c>
      <c r="D481">
        <v>0</v>
      </c>
      <c r="E481" t="s">
        <v>1195</v>
      </c>
      <c r="F481" t="s">
        <v>57</v>
      </c>
      <c r="G481" t="s">
        <v>57</v>
      </c>
      <c r="H481" t="s">
        <v>1196</v>
      </c>
      <c r="I481"/>
      <c r="J481"/>
      <c r="K481"/>
      <c r="L481"/>
      <c r="M481"/>
      <c r="N481"/>
      <c r="O481"/>
      <c r="P481"/>
      <c r="Q481"/>
      <c r="R481"/>
      <c r="S481" s="56">
        <f t="shared" si="21"/>
        <v>35</v>
      </c>
      <c r="T481" s="57" t="str">
        <f t="shared" si="22"/>
        <v>31-60 Days</v>
      </c>
      <c r="U481" s="58" t="str">
        <f t="shared" si="23"/>
        <v>Especially Mentioned</v>
      </c>
    </row>
    <row r="482" spans="1:21" ht="23.25" customHeight="1" x14ac:dyDescent="0.35">
      <c r="A482" t="s">
        <v>951</v>
      </c>
      <c r="B482" t="s">
        <v>951</v>
      </c>
      <c r="C482">
        <v>106.2</v>
      </c>
      <c r="D482">
        <v>0</v>
      </c>
      <c r="E482" t="s">
        <v>1197</v>
      </c>
      <c r="F482" t="s">
        <v>57</v>
      </c>
      <c r="G482" t="s">
        <v>57</v>
      </c>
      <c r="H482" t="s">
        <v>1198</v>
      </c>
      <c r="I482"/>
      <c r="J482"/>
      <c r="K482"/>
      <c r="L482"/>
      <c r="M482"/>
      <c r="N482"/>
      <c r="O482"/>
      <c r="P482"/>
      <c r="Q482"/>
      <c r="R482"/>
      <c r="S482" s="56">
        <f t="shared" si="21"/>
        <v>35</v>
      </c>
      <c r="T482" s="57" t="str">
        <f t="shared" si="22"/>
        <v>31-60 Days</v>
      </c>
      <c r="U482" s="58" t="str">
        <f t="shared" si="23"/>
        <v>Especially Mentioned</v>
      </c>
    </row>
    <row r="483" spans="1:21" ht="23.25" customHeight="1" x14ac:dyDescent="0.35">
      <c r="A483" t="s">
        <v>951</v>
      </c>
      <c r="B483" t="s">
        <v>951</v>
      </c>
      <c r="C483">
        <v>5461.5</v>
      </c>
      <c r="D483">
        <v>0</v>
      </c>
      <c r="E483" t="s">
        <v>1199</v>
      </c>
      <c r="F483" t="s">
        <v>57</v>
      </c>
      <c r="G483" t="s">
        <v>57</v>
      </c>
      <c r="H483" t="s">
        <v>1200</v>
      </c>
      <c r="I483"/>
      <c r="J483"/>
      <c r="K483"/>
      <c r="L483"/>
      <c r="M483"/>
      <c r="N483"/>
      <c r="O483"/>
      <c r="P483"/>
      <c r="Q483"/>
      <c r="R483"/>
      <c r="S483" s="56">
        <f t="shared" si="21"/>
        <v>35</v>
      </c>
      <c r="T483" s="57" t="str">
        <f t="shared" si="22"/>
        <v>31-60 Days</v>
      </c>
      <c r="U483" s="58" t="str">
        <f t="shared" si="23"/>
        <v>Especially Mentioned</v>
      </c>
    </row>
    <row r="484" spans="1:21" ht="23.25" customHeight="1" x14ac:dyDescent="0.35">
      <c r="A484" t="s">
        <v>951</v>
      </c>
      <c r="B484" t="s">
        <v>951</v>
      </c>
      <c r="C484">
        <v>10324.84</v>
      </c>
      <c r="D484">
        <v>0</v>
      </c>
      <c r="E484" t="s">
        <v>1201</v>
      </c>
      <c r="F484" t="s">
        <v>57</v>
      </c>
      <c r="G484" t="s">
        <v>57</v>
      </c>
      <c r="H484" t="s">
        <v>1202</v>
      </c>
      <c r="I484"/>
      <c r="J484"/>
      <c r="K484"/>
      <c r="L484"/>
      <c r="M484"/>
      <c r="N484"/>
      <c r="O484"/>
      <c r="P484"/>
      <c r="Q484"/>
      <c r="R484"/>
      <c r="S484" s="56">
        <f t="shared" si="21"/>
        <v>35</v>
      </c>
      <c r="T484" s="57" t="str">
        <f t="shared" si="22"/>
        <v>31-60 Days</v>
      </c>
      <c r="U484" s="58" t="str">
        <f t="shared" si="23"/>
        <v>Especially Mentioned</v>
      </c>
    </row>
    <row r="485" spans="1:21" ht="23.25" customHeight="1" x14ac:dyDescent="0.35">
      <c r="A485" t="s">
        <v>951</v>
      </c>
      <c r="B485" t="s">
        <v>951</v>
      </c>
      <c r="C485">
        <v>25024.5</v>
      </c>
      <c r="D485">
        <v>0</v>
      </c>
      <c r="E485" t="s">
        <v>1203</v>
      </c>
      <c r="F485" t="s">
        <v>57</v>
      </c>
      <c r="G485" t="s">
        <v>57</v>
      </c>
      <c r="H485" t="s">
        <v>1204</v>
      </c>
      <c r="I485"/>
      <c r="J485"/>
      <c r="K485"/>
      <c r="L485"/>
      <c r="M485"/>
      <c r="N485"/>
      <c r="O485"/>
      <c r="P485"/>
      <c r="Q485"/>
      <c r="R485"/>
      <c r="S485" s="56">
        <f t="shared" si="21"/>
        <v>35</v>
      </c>
      <c r="T485" s="57" t="str">
        <f t="shared" si="22"/>
        <v>31-60 Days</v>
      </c>
      <c r="U485" s="58" t="str">
        <f t="shared" si="23"/>
        <v>Especially Mentioned</v>
      </c>
    </row>
    <row r="486" spans="1:21" ht="23.25" customHeight="1" x14ac:dyDescent="0.35">
      <c r="A486" t="s">
        <v>951</v>
      </c>
      <c r="B486" t="s">
        <v>951</v>
      </c>
      <c r="C486">
        <v>84.96</v>
      </c>
      <c r="D486">
        <v>0</v>
      </c>
      <c r="E486" t="s">
        <v>1205</v>
      </c>
      <c r="F486" t="s">
        <v>57</v>
      </c>
      <c r="G486" t="s">
        <v>57</v>
      </c>
      <c r="H486" t="s">
        <v>1206</v>
      </c>
      <c r="I486"/>
      <c r="J486"/>
      <c r="K486"/>
      <c r="L486"/>
      <c r="M486"/>
      <c r="N486"/>
      <c r="O486"/>
      <c r="P486"/>
      <c r="Q486"/>
      <c r="R486"/>
      <c r="S486" s="56">
        <f t="shared" si="21"/>
        <v>35</v>
      </c>
      <c r="T486" s="57" t="str">
        <f t="shared" si="22"/>
        <v>31-60 Days</v>
      </c>
      <c r="U486" s="58" t="str">
        <f t="shared" si="23"/>
        <v>Especially Mentioned</v>
      </c>
    </row>
    <row r="487" spans="1:21" ht="23.25" customHeight="1" x14ac:dyDescent="0.35">
      <c r="A487" t="s">
        <v>951</v>
      </c>
      <c r="B487" t="s">
        <v>951</v>
      </c>
      <c r="C487">
        <v>17475.84</v>
      </c>
      <c r="D487">
        <v>0</v>
      </c>
      <c r="E487" t="s">
        <v>1207</v>
      </c>
      <c r="F487" t="s">
        <v>57</v>
      </c>
      <c r="G487" t="s">
        <v>57</v>
      </c>
      <c r="H487" t="s">
        <v>1208</v>
      </c>
      <c r="I487"/>
      <c r="J487"/>
      <c r="K487"/>
      <c r="L487"/>
      <c r="M487"/>
      <c r="N487"/>
      <c r="O487"/>
      <c r="P487"/>
      <c r="Q487"/>
      <c r="R487"/>
      <c r="S487" s="56">
        <f t="shared" si="21"/>
        <v>35</v>
      </c>
      <c r="T487" s="57" t="str">
        <f t="shared" si="22"/>
        <v>31-60 Days</v>
      </c>
      <c r="U487" s="58" t="str">
        <f t="shared" si="23"/>
        <v>Especially Mentioned</v>
      </c>
    </row>
    <row r="488" spans="1:21" ht="23.25" customHeight="1" x14ac:dyDescent="0.35">
      <c r="A488" t="s">
        <v>951</v>
      </c>
      <c r="B488" t="s">
        <v>951</v>
      </c>
      <c r="C488">
        <v>7359.5</v>
      </c>
      <c r="D488">
        <v>0</v>
      </c>
      <c r="E488" t="s">
        <v>1209</v>
      </c>
      <c r="F488" t="s">
        <v>57</v>
      </c>
      <c r="G488" t="s">
        <v>57</v>
      </c>
      <c r="H488" t="s">
        <v>1210</v>
      </c>
      <c r="I488"/>
      <c r="J488"/>
      <c r="K488"/>
      <c r="L488"/>
      <c r="M488"/>
      <c r="N488"/>
      <c r="O488"/>
      <c r="P488"/>
      <c r="Q488"/>
      <c r="R488"/>
      <c r="S488" s="56">
        <f t="shared" si="21"/>
        <v>35</v>
      </c>
      <c r="T488" s="57" t="str">
        <f t="shared" si="22"/>
        <v>31-60 Days</v>
      </c>
      <c r="U488" s="58" t="str">
        <f t="shared" si="23"/>
        <v>Especially Mentioned</v>
      </c>
    </row>
    <row r="489" spans="1:21" ht="23.25" customHeight="1" x14ac:dyDescent="0.35">
      <c r="A489" t="s">
        <v>1211</v>
      </c>
      <c r="B489" t="s">
        <v>1211</v>
      </c>
      <c r="C489">
        <v>1200000</v>
      </c>
      <c r="D489">
        <v>0</v>
      </c>
      <c r="E489" t="s">
        <v>1212</v>
      </c>
      <c r="F489" t="s">
        <v>57</v>
      </c>
      <c r="G489" t="s">
        <v>57</v>
      </c>
      <c r="H489" t="s">
        <v>1213</v>
      </c>
      <c r="I489"/>
      <c r="J489"/>
      <c r="K489"/>
      <c r="L489"/>
      <c r="M489"/>
      <c r="N489"/>
      <c r="O489"/>
      <c r="P489"/>
      <c r="Q489"/>
      <c r="R489"/>
      <c r="S489" s="56">
        <f t="shared" si="21"/>
        <v>34</v>
      </c>
      <c r="T489" s="57" t="str">
        <f t="shared" si="22"/>
        <v>31-60 Days</v>
      </c>
      <c r="U489" s="58" t="str">
        <f t="shared" si="23"/>
        <v>Especially Mentioned</v>
      </c>
    </row>
    <row r="490" spans="1:21" ht="23.25" customHeight="1" x14ac:dyDescent="0.35">
      <c r="A490" t="s">
        <v>1211</v>
      </c>
      <c r="B490" t="s">
        <v>1211</v>
      </c>
      <c r="C490">
        <v>0</v>
      </c>
      <c r="D490">
        <v>1000000</v>
      </c>
      <c r="E490" t="s">
        <v>1214</v>
      </c>
      <c r="F490" t="s">
        <v>57</v>
      </c>
      <c r="G490" t="s">
        <v>57</v>
      </c>
      <c r="H490" t="s">
        <v>1215</v>
      </c>
      <c r="I490"/>
      <c r="J490"/>
      <c r="K490"/>
      <c r="L490"/>
      <c r="M490"/>
      <c r="N490"/>
      <c r="O490"/>
      <c r="P490"/>
      <c r="Q490"/>
      <c r="R490"/>
      <c r="S490" s="56">
        <f t="shared" si="21"/>
        <v>34</v>
      </c>
      <c r="T490" s="57" t="str">
        <f t="shared" si="22"/>
        <v>31-60 Days</v>
      </c>
      <c r="U490" s="58" t="str">
        <f t="shared" si="23"/>
        <v>Not Applicable</v>
      </c>
    </row>
    <row r="491" spans="1:21" ht="23.25" customHeight="1" x14ac:dyDescent="0.35">
      <c r="A491" t="s">
        <v>1211</v>
      </c>
      <c r="B491" t="s">
        <v>1211</v>
      </c>
      <c r="C491">
        <v>0</v>
      </c>
      <c r="D491">
        <v>9158.02</v>
      </c>
      <c r="E491" t="s">
        <v>1216</v>
      </c>
      <c r="F491" t="s">
        <v>57</v>
      </c>
      <c r="G491" t="s">
        <v>57</v>
      </c>
      <c r="H491" t="s">
        <v>1217</v>
      </c>
      <c r="I491"/>
      <c r="J491"/>
      <c r="K491"/>
      <c r="L491"/>
      <c r="M491"/>
      <c r="N491"/>
      <c r="O491"/>
      <c r="P491"/>
      <c r="Q491"/>
      <c r="R491"/>
      <c r="S491" s="56">
        <f t="shared" si="21"/>
        <v>34</v>
      </c>
      <c r="T491" s="57" t="str">
        <f t="shared" si="22"/>
        <v>31-60 Days</v>
      </c>
      <c r="U491" s="58" t="str">
        <f t="shared" si="23"/>
        <v>Not Applicable</v>
      </c>
    </row>
    <row r="492" spans="1:21" ht="23.25" customHeight="1" x14ac:dyDescent="0.35">
      <c r="A492" t="s">
        <v>1211</v>
      </c>
      <c r="B492" t="s">
        <v>1211</v>
      </c>
      <c r="C492">
        <v>3450</v>
      </c>
      <c r="D492">
        <v>0</v>
      </c>
      <c r="E492" t="s">
        <v>1218</v>
      </c>
      <c r="F492" t="s">
        <v>1219</v>
      </c>
      <c r="G492" t="s">
        <v>57</v>
      </c>
      <c r="H492" t="s">
        <v>1220</v>
      </c>
      <c r="I492"/>
      <c r="J492"/>
      <c r="K492"/>
      <c r="L492"/>
      <c r="M492"/>
      <c r="N492"/>
      <c r="O492"/>
      <c r="P492"/>
      <c r="Q492"/>
      <c r="R492"/>
      <c r="S492" s="56">
        <f t="shared" si="21"/>
        <v>34</v>
      </c>
      <c r="T492" s="57" t="str">
        <f t="shared" si="22"/>
        <v>31-60 Days</v>
      </c>
      <c r="U492" s="58" t="str">
        <f t="shared" si="23"/>
        <v>Especially Mentioned</v>
      </c>
    </row>
    <row r="493" spans="1:21" ht="23.25" customHeight="1" x14ac:dyDescent="0.35">
      <c r="A493" t="s">
        <v>1211</v>
      </c>
      <c r="B493" t="s">
        <v>1211</v>
      </c>
      <c r="C493">
        <v>0</v>
      </c>
      <c r="D493">
        <v>521944.19</v>
      </c>
      <c r="E493" t="s">
        <v>1221</v>
      </c>
      <c r="F493" t="s">
        <v>57</v>
      </c>
      <c r="G493" t="s">
        <v>57</v>
      </c>
      <c r="H493" t="s">
        <v>1222</v>
      </c>
      <c r="I493"/>
      <c r="J493"/>
      <c r="K493"/>
      <c r="L493"/>
      <c r="M493"/>
      <c r="N493"/>
      <c r="O493"/>
      <c r="P493"/>
      <c r="Q493"/>
      <c r="R493"/>
      <c r="S493" s="56">
        <f t="shared" si="21"/>
        <v>34</v>
      </c>
      <c r="T493" s="57" t="str">
        <f t="shared" si="22"/>
        <v>31-60 Days</v>
      </c>
      <c r="U493" s="58" t="str">
        <f t="shared" si="23"/>
        <v>Not Applicable</v>
      </c>
    </row>
    <row r="494" spans="1:21" ht="23.25" customHeight="1" x14ac:dyDescent="0.35">
      <c r="A494" t="s">
        <v>1211</v>
      </c>
      <c r="B494" t="s">
        <v>1211</v>
      </c>
      <c r="C494">
        <v>0</v>
      </c>
      <c r="D494">
        <v>719923.49</v>
      </c>
      <c r="E494" t="s">
        <v>1223</v>
      </c>
      <c r="F494" t="s">
        <v>57</v>
      </c>
      <c r="G494" t="s">
        <v>57</v>
      </c>
      <c r="H494" t="s">
        <v>1224</v>
      </c>
      <c r="I494"/>
      <c r="J494"/>
      <c r="K494"/>
      <c r="L494"/>
      <c r="M494"/>
      <c r="N494"/>
      <c r="O494"/>
      <c r="P494"/>
      <c r="Q494"/>
      <c r="R494"/>
      <c r="S494" s="56">
        <f t="shared" si="21"/>
        <v>34</v>
      </c>
      <c r="T494" s="57" t="str">
        <f t="shared" si="22"/>
        <v>31-60 Days</v>
      </c>
      <c r="U494" s="58" t="str">
        <f t="shared" si="23"/>
        <v>Not Applicable</v>
      </c>
    </row>
    <row r="495" spans="1:21" ht="23.25" customHeight="1" x14ac:dyDescent="0.35">
      <c r="A495" t="s">
        <v>1211</v>
      </c>
      <c r="B495" t="s">
        <v>1211</v>
      </c>
      <c r="C495">
        <v>0</v>
      </c>
      <c r="D495">
        <v>3450</v>
      </c>
      <c r="E495" t="s">
        <v>1225</v>
      </c>
      <c r="F495" t="s">
        <v>1226</v>
      </c>
      <c r="G495" t="s">
        <v>1227</v>
      </c>
      <c r="H495" t="s">
        <v>1228</v>
      </c>
      <c r="I495"/>
      <c r="J495"/>
      <c r="K495"/>
      <c r="L495"/>
      <c r="M495"/>
      <c r="N495"/>
      <c r="O495"/>
      <c r="P495"/>
      <c r="Q495"/>
      <c r="R495"/>
      <c r="S495" s="56">
        <f t="shared" si="21"/>
        <v>34</v>
      </c>
      <c r="T495" s="57" t="str">
        <f t="shared" si="22"/>
        <v>31-60 Days</v>
      </c>
      <c r="U495" s="58" t="str">
        <f t="shared" si="23"/>
        <v>Not Applicable</v>
      </c>
    </row>
    <row r="496" spans="1:21" ht="23.25" customHeight="1" x14ac:dyDescent="0.35">
      <c r="A496" t="s">
        <v>1211</v>
      </c>
      <c r="B496" t="s">
        <v>1211</v>
      </c>
      <c r="C496">
        <v>350258.61</v>
      </c>
      <c r="D496">
        <v>0</v>
      </c>
      <c r="E496" t="s">
        <v>1229</v>
      </c>
      <c r="F496" t="s">
        <v>57</v>
      </c>
      <c r="G496" t="s">
        <v>57</v>
      </c>
      <c r="H496" t="s">
        <v>1230</v>
      </c>
      <c r="I496"/>
      <c r="J496"/>
      <c r="K496"/>
      <c r="L496"/>
      <c r="M496"/>
      <c r="N496"/>
      <c r="O496"/>
      <c r="P496"/>
      <c r="Q496"/>
      <c r="R496"/>
      <c r="S496" s="56">
        <f t="shared" si="21"/>
        <v>34</v>
      </c>
      <c r="T496" s="57" t="str">
        <f t="shared" si="22"/>
        <v>31-60 Days</v>
      </c>
      <c r="U496" s="58" t="str">
        <f t="shared" si="23"/>
        <v>Especially Mentioned</v>
      </c>
    </row>
    <row r="497" spans="1:21" ht="23.25" customHeight="1" x14ac:dyDescent="0.35">
      <c r="A497" t="s">
        <v>1211</v>
      </c>
      <c r="B497" t="s">
        <v>1211</v>
      </c>
      <c r="C497">
        <v>0</v>
      </c>
      <c r="D497">
        <v>350000</v>
      </c>
      <c r="E497" t="s">
        <v>1231</v>
      </c>
      <c r="F497" t="s">
        <v>57</v>
      </c>
      <c r="G497" t="s">
        <v>57</v>
      </c>
      <c r="H497" t="s">
        <v>1232</v>
      </c>
      <c r="I497"/>
      <c r="J497"/>
      <c r="K497"/>
      <c r="L497"/>
      <c r="M497"/>
      <c r="N497"/>
      <c r="O497"/>
      <c r="P497"/>
      <c r="Q497"/>
      <c r="R497"/>
      <c r="S497" s="56">
        <f t="shared" si="21"/>
        <v>34</v>
      </c>
      <c r="T497" s="57" t="str">
        <f t="shared" si="22"/>
        <v>31-60 Days</v>
      </c>
      <c r="U497" s="58" t="str">
        <f t="shared" si="23"/>
        <v>Not Applicable</v>
      </c>
    </row>
    <row r="498" spans="1:21" ht="23.25" customHeight="1" x14ac:dyDescent="0.35">
      <c r="A498" t="s">
        <v>1211</v>
      </c>
      <c r="B498" t="s">
        <v>1211</v>
      </c>
      <c r="C498">
        <v>0</v>
      </c>
      <c r="D498">
        <v>1019890.6</v>
      </c>
      <c r="E498" t="s">
        <v>1233</v>
      </c>
      <c r="F498" t="s">
        <v>57</v>
      </c>
      <c r="G498" t="s">
        <v>57</v>
      </c>
      <c r="H498" t="s">
        <v>1234</v>
      </c>
      <c r="I498"/>
      <c r="J498"/>
      <c r="K498"/>
      <c r="L498"/>
      <c r="M498"/>
      <c r="N498"/>
      <c r="O498"/>
      <c r="P498"/>
      <c r="Q498"/>
      <c r="R498"/>
      <c r="S498" s="56">
        <f t="shared" si="21"/>
        <v>34</v>
      </c>
      <c r="T498" s="57" t="str">
        <f t="shared" si="22"/>
        <v>31-60 Days</v>
      </c>
      <c r="U498" s="58" t="str">
        <f t="shared" si="23"/>
        <v>Not Applicable</v>
      </c>
    </row>
    <row r="499" spans="1:21" ht="23.25" customHeight="1" x14ac:dyDescent="0.35">
      <c r="A499" t="s">
        <v>1211</v>
      </c>
      <c r="B499" t="s">
        <v>1211</v>
      </c>
      <c r="C499">
        <v>1217817.6000000001</v>
      </c>
      <c r="D499">
        <v>0</v>
      </c>
      <c r="E499" t="s">
        <v>1235</v>
      </c>
      <c r="F499" t="s">
        <v>57</v>
      </c>
      <c r="G499" t="s">
        <v>57</v>
      </c>
      <c r="H499" t="s">
        <v>1236</v>
      </c>
      <c r="I499"/>
      <c r="J499"/>
      <c r="K499"/>
      <c r="L499"/>
      <c r="M499"/>
      <c r="N499"/>
      <c r="O499"/>
      <c r="P499"/>
      <c r="Q499"/>
      <c r="R499"/>
      <c r="S499" s="56">
        <f t="shared" si="21"/>
        <v>34</v>
      </c>
      <c r="T499" s="57" t="str">
        <f t="shared" si="22"/>
        <v>31-60 Days</v>
      </c>
      <c r="U499" s="58" t="str">
        <f t="shared" si="23"/>
        <v>Especially Mentioned</v>
      </c>
    </row>
    <row r="500" spans="1:21" ht="23.25" customHeight="1" x14ac:dyDescent="0.35">
      <c r="A500" t="s">
        <v>1237</v>
      </c>
      <c r="B500" t="s">
        <v>1237</v>
      </c>
      <c r="C500">
        <v>0</v>
      </c>
      <c r="D500">
        <v>298</v>
      </c>
      <c r="E500" t="s">
        <v>1238</v>
      </c>
      <c r="F500" t="s">
        <v>1239</v>
      </c>
      <c r="G500" t="s">
        <v>1240</v>
      </c>
      <c r="H500" t="s">
        <v>1241</v>
      </c>
      <c r="I500"/>
      <c r="J500"/>
      <c r="K500"/>
      <c r="L500"/>
      <c r="M500"/>
      <c r="N500"/>
      <c r="O500"/>
      <c r="P500"/>
      <c r="Q500"/>
      <c r="R500"/>
      <c r="S500" s="56">
        <f t="shared" si="21"/>
        <v>33</v>
      </c>
      <c r="T500" s="57" t="str">
        <f t="shared" si="22"/>
        <v>31-60 Days</v>
      </c>
      <c r="U500" s="58" t="str">
        <f t="shared" si="23"/>
        <v>Not Applicable</v>
      </c>
    </row>
    <row r="501" spans="1:21" ht="23.25" customHeight="1" x14ac:dyDescent="0.35">
      <c r="A501" t="s">
        <v>1237</v>
      </c>
      <c r="B501" t="s">
        <v>1237</v>
      </c>
      <c r="C501">
        <v>0</v>
      </c>
      <c r="D501">
        <v>1162</v>
      </c>
      <c r="E501" t="s">
        <v>1242</v>
      </c>
      <c r="F501" t="s">
        <v>1243</v>
      </c>
      <c r="G501" t="s">
        <v>1244</v>
      </c>
      <c r="H501" t="s">
        <v>1245</v>
      </c>
      <c r="I501"/>
      <c r="J501"/>
      <c r="K501"/>
      <c r="L501"/>
      <c r="M501"/>
      <c r="N501"/>
      <c r="O501"/>
      <c r="P501"/>
      <c r="Q501"/>
      <c r="R501"/>
      <c r="S501" s="56">
        <f t="shared" si="21"/>
        <v>33</v>
      </c>
      <c r="T501" s="57" t="str">
        <f t="shared" si="22"/>
        <v>31-60 Days</v>
      </c>
      <c r="U501" s="58" t="str">
        <f t="shared" si="23"/>
        <v>Not Applicable</v>
      </c>
    </row>
    <row r="502" spans="1:21" ht="23.25" customHeight="1" x14ac:dyDescent="0.35">
      <c r="A502" t="s">
        <v>1237</v>
      </c>
      <c r="B502" t="s">
        <v>1237</v>
      </c>
      <c r="C502">
        <v>21210.799999999999</v>
      </c>
      <c r="D502">
        <v>0</v>
      </c>
      <c r="E502" t="s">
        <v>1246</v>
      </c>
      <c r="F502" t="s">
        <v>57</v>
      </c>
      <c r="G502" t="s">
        <v>57</v>
      </c>
      <c r="H502" t="s">
        <v>1247</v>
      </c>
      <c r="I502"/>
      <c r="J502"/>
      <c r="K502"/>
      <c r="L502"/>
      <c r="M502"/>
      <c r="N502"/>
      <c r="O502"/>
      <c r="P502"/>
      <c r="Q502"/>
      <c r="R502"/>
      <c r="S502" s="56">
        <f t="shared" si="21"/>
        <v>33</v>
      </c>
      <c r="T502" s="57" t="str">
        <f t="shared" si="22"/>
        <v>31-60 Days</v>
      </c>
      <c r="U502" s="58" t="str">
        <f t="shared" si="23"/>
        <v>Especially Mentioned</v>
      </c>
    </row>
    <row r="503" spans="1:21" ht="23.25" customHeight="1" x14ac:dyDescent="0.35">
      <c r="A503" t="s">
        <v>1237</v>
      </c>
      <c r="B503" t="s">
        <v>1237</v>
      </c>
      <c r="C503">
        <v>0</v>
      </c>
      <c r="D503">
        <v>2000000</v>
      </c>
      <c r="E503" t="s">
        <v>1248</v>
      </c>
      <c r="F503" t="s">
        <v>57</v>
      </c>
      <c r="G503" t="s">
        <v>57</v>
      </c>
      <c r="H503" t="s">
        <v>1249</v>
      </c>
      <c r="I503"/>
      <c r="J503"/>
      <c r="K503"/>
      <c r="L503"/>
      <c r="M503"/>
      <c r="N503"/>
      <c r="O503"/>
      <c r="P503"/>
      <c r="Q503"/>
      <c r="R503"/>
      <c r="S503" s="56">
        <f t="shared" si="21"/>
        <v>33</v>
      </c>
      <c r="T503" s="57" t="str">
        <f t="shared" si="22"/>
        <v>31-60 Days</v>
      </c>
      <c r="U503" s="58" t="str">
        <f t="shared" si="23"/>
        <v>Not Applicable</v>
      </c>
    </row>
    <row r="504" spans="1:21" ht="23.25" customHeight="1" x14ac:dyDescent="0.35">
      <c r="A504" t="s">
        <v>1237</v>
      </c>
      <c r="B504" t="s">
        <v>1237</v>
      </c>
      <c r="C504">
        <v>3845.62</v>
      </c>
      <c r="D504">
        <v>0</v>
      </c>
      <c r="E504" t="s">
        <v>1250</v>
      </c>
      <c r="F504" t="s">
        <v>1251</v>
      </c>
      <c r="G504" t="s">
        <v>1251</v>
      </c>
      <c r="H504" t="s">
        <v>1252</v>
      </c>
      <c r="I504"/>
      <c r="J504"/>
      <c r="K504"/>
      <c r="L504"/>
      <c r="M504"/>
      <c r="N504"/>
      <c r="O504"/>
      <c r="P504"/>
      <c r="Q504"/>
      <c r="R504"/>
      <c r="S504" s="56">
        <f t="shared" si="21"/>
        <v>33</v>
      </c>
      <c r="T504" s="57" t="str">
        <f t="shared" si="22"/>
        <v>31-60 Days</v>
      </c>
      <c r="U504" s="58" t="str">
        <f t="shared" si="23"/>
        <v>Especially Mentioned</v>
      </c>
    </row>
    <row r="505" spans="1:21" ht="23.25" customHeight="1" x14ac:dyDescent="0.35">
      <c r="A505" t="s">
        <v>1237</v>
      </c>
      <c r="B505" t="s">
        <v>1237</v>
      </c>
      <c r="C505">
        <v>0</v>
      </c>
      <c r="D505">
        <v>1462</v>
      </c>
      <c r="E505" t="s">
        <v>1253</v>
      </c>
      <c r="F505" t="s">
        <v>1254</v>
      </c>
      <c r="G505" t="s">
        <v>1255</v>
      </c>
      <c r="H505" t="s">
        <v>1256</v>
      </c>
      <c r="I505"/>
      <c r="J505"/>
      <c r="K505"/>
      <c r="L505"/>
      <c r="M505"/>
      <c r="N505"/>
      <c r="O505"/>
      <c r="P505"/>
      <c r="Q505"/>
      <c r="R505"/>
      <c r="S505" s="56">
        <f t="shared" si="21"/>
        <v>33</v>
      </c>
      <c r="T505" s="57" t="str">
        <f t="shared" si="22"/>
        <v>31-60 Days</v>
      </c>
      <c r="U505" s="58" t="str">
        <f t="shared" si="23"/>
        <v>Not Applicable</v>
      </c>
    </row>
    <row r="506" spans="1:21" ht="23.25" customHeight="1" x14ac:dyDescent="0.35">
      <c r="A506" t="s">
        <v>1257</v>
      </c>
      <c r="B506" t="s">
        <v>1257</v>
      </c>
      <c r="C506">
        <v>600437.5</v>
      </c>
      <c r="D506">
        <v>0</v>
      </c>
      <c r="E506" t="s">
        <v>1258</v>
      </c>
      <c r="F506" t="s">
        <v>57</v>
      </c>
      <c r="G506" t="s">
        <v>57</v>
      </c>
      <c r="H506" t="s">
        <v>1259</v>
      </c>
      <c r="I506"/>
      <c r="J506"/>
      <c r="K506"/>
      <c r="L506"/>
      <c r="M506"/>
      <c r="N506"/>
      <c r="O506"/>
      <c r="P506"/>
      <c r="Q506"/>
      <c r="R506"/>
      <c r="S506" s="56">
        <f t="shared" si="21"/>
        <v>32</v>
      </c>
      <c r="T506" s="57" t="str">
        <f t="shared" si="22"/>
        <v>31-60 Days</v>
      </c>
      <c r="U506" s="58" t="str">
        <f t="shared" si="23"/>
        <v>Especially Mentioned</v>
      </c>
    </row>
    <row r="507" spans="1:21" ht="23.25" customHeight="1" x14ac:dyDescent="0.35">
      <c r="A507" t="s">
        <v>1257</v>
      </c>
      <c r="B507" t="s">
        <v>1257</v>
      </c>
      <c r="C507">
        <v>90518.53</v>
      </c>
      <c r="D507">
        <v>0</v>
      </c>
      <c r="E507" t="s">
        <v>1260</v>
      </c>
      <c r="F507" t="s">
        <v>57</v>
      </c>
      <c r="G507" t="s">
        <v>57</v>
      </c>
      <c r="H507" t="s">
        <v>1261</v>
      </c>
      <c r="I507"/>
      <c r="J507"/>
      <c r="K507"/>
      <c r="L507"/>
      <c r="M507"/>
      <c r="N507"/>
      <c r="O507"/>
      <c r="P507"/>
      <c r="Q507"/>
      <c r="R507"/>
      <c r="S507" s="56">
        <f t="shared" si="21"/>
        <v>32</v>
      </c>
      <c r="T507" s="57" t="str">
        <f t="shared" si="22"/>
        <v>31-60 Days</v>
      </c>
      <c r="U507" s="58" t="str">
        <f t="shared" si="23"/>
        <v>Especially Mentioned</v>
      </c>
    </row>
    <row r="508" spans="1:21" ht="23.25" customHeight="1" x14ac:dyDescent="0.35">
      <c r="A508" t="s">
        <v>1257</v>
      </c>
      <c r="B508" t="s">
        <v>1257</v>
      </c>
      <c r="C508">
        <v>25</v>
      </c>
      <c r="D508">
        <v>0</v>
      </c>
      <c r="E508" t="s">
        <v>1262</v>
      </c>
      <c r="F508" t="s">
        <v>57</v>
      </c>
      <c r="G508" t="s">
        <v>57</v>
      </c>
      <c r="H508" t="s">
        <v>1263</v>
      </c>
      <c r="I508"/>
      <c r="J508"/>
      <c r="K508"/>
      <c r="L508"/>
      <c r="M508"/>
      <c r="N508"/>
      <c r="O508"/>
      <c r="P508"/>
      <c r="Q508"/>
      <c r="R508"/>
      <c r="S508" s="56">
        <f t="shared" si="21"/>
        <v>32</v>
      </c>
      <c r="T508" s="57" t="str">
        <f t="shared" si="22"/>
        <v>31-60 Days</v>
      </c>
      <c r="U508" s="58" t="str">
        <f t="shared" si="23"/>
        <v>Especially Mentioned</v>
      </c>
    </row>
    <row r="509" spans="1:21" ht="23.25" customHeight="1" x14ac:dyDescent="0.35">
      <c r="A509" t="s">
        <v>1257</v>
      </c>
      <c r="B509" t="s">
        <v>1257</v>
      </c>
      <c r="C509">
        <v>0</v>
      </c>
      <c r="D509">
        <v>175000</v>
      </c>
      <c r="E509" t="s">
        <v>1264</v>
      </c>
      <c r="F509" t="s">
        <v>57</v>
      </c>
      <c r="G509" t="s">
        <v>57</v>
      </c>
      <c r="H509" t="s">
        <v>1265</v>
      </c>
      <c r="I509"/>
      <c r="J509"/>
      <c r="K509"/>
      <c r="L509"/>
      <c r="M509"/>
      <c r="N509"/>
      <c r="O509"/>
      <c r="P509"/>
      <c r="Q509"/>
      <c r="R509"/>
      <c r="S509" s="56">
        <f t="shared" si="21"/>
        <v>32</v>
      </c>
      <c r="T509" s="57" t="str">
        <f t="shared" si="22"/>
        <v>31-60 Days</v>
      </c>
      <c r="U509" s="58" t="str">
        <f t="shared" si="23"/>
        <v>Not Applicable</v>
      </c>
    </row>
    <row r="510" spans="1:21" ht="23.25" customHeight="1" x14ac:dyDescent="0.35">
      <c r="A510" t="s">
        <v>1257</v>
      </c>
      <c r="B510" t="s">
        <v>1257</v>
      </c>
      <c r="C510">
        <v>2501822.92</v>
      </c>
      <c r="D510">
        <v>0</v>
      </c>
      <c r="E510" t="s">
        <v>1266</v>
      </c>
      <c r="F510" t="s">
        <v>57</v>
      </c>
      <c r="G510" t="s">
        <v>57</v>
      </c>
      <c r="H510" t="s">
        <v>1267</v>
      </c>
      <c r="I510"/>
      <c r="J510"/>
      <c r="K510"/>
      <c r="L510"/>
      <c r="M510"/>
      <c r="N510"/>
      <c r="O510"/>
      <c r="P510"/>
      <c r="Q510"/>
      <c r="R510"/>
      <c r="S510" s="56">
        <f t="shared" si="21"/>
        <v>32</v>
      </c>
      <c r="T510" s="57" t="str">
        <f t="shared" si="22"/>
        <v>31-60 Days</v>
      </c>
      <c r="U510" s="58" t="str">
        <f t="shared" si="23"/>
        <v>Especially Mentioned</v>
      </c>
    </row>
    <row r="511" spans="1:21" ht="23.25" customHeight="1" x14ac:dyDescent="0.35">
      <c r="A511" t="s">
        <v>1257</v>
      </c>
      <c r="B511" t="s">
        <v>1257</v>
      </c>
      <c r="C511">
        <v>0</v>
      </c>
      <c r="D511">
        <v>503749.68</v>
      </c>
      <c r="E511" t="s">
        <v>1268</v>
      </c>
      <c r="F511" t="s">
        <v>57</v>
      </c>
      <c r="G511" t="s">
        <v>57</v>
      </c>
      <c r="H511" t="s">
        <v>1269</v>
      </c>
      <c r="I511"/>
      <c r="J511"/>
      <c r="K511"/>
      <c r="L511"/>
      <c r="M511"/>
      <c r="N511"/>
      <c r="O511"/>
      <c r="P511"/>
      <c r="Q511"/>
      <c r="R511"/>
      <c r="S511" s="56">
        <f t="shared" si="21"/>
        <v>32</v>
      </c>
      <c r="T511" s="57" t="str">
        <f t="shared" si="22"/>
        <v>31-60 Days</v>
      </c>
      <c r="U511" s="58" t="str">
        <f t="shared" si="23"/>
        <v>Not Applicable</v>
      </c>
    </row>
    <row r="512" spans="1:21" ht="23.25" customHeight="1" x14ac:dyDescent="0.35">
      <c r="A512" t="s">
        <v>1270</v>
      </c>
      <c r="B512" t="s">
        <v>1270</v>
      </c>
      <c r="C512">
        <v>0</v>
      </c>
      <c r="D512">
        <v>20000000</v>
      </c>
      <c r="E512" t="s">
        <v>1271</v>
      </c>
      <c r="F512" t="s">
        <v>57</v>
      </c>
      <c r="G512" t="s">
        <v>57</v>
      </c>
      <c r="H512" t="s">
        <v>1272</v>
      </c>
      <c r="I512"/>
      <c r="J512"/>
      <c r="K512"/>
      <c r="L512"/>
      <c r="M512"/>
      <c r="N512"/>
      <c r="O512"/>
      <c r="P512"/>
      <c r="Q512"/>
      <c r="R512"/>
      <c r="S512" s="56">
        <f t="shared" si="21"/>
        <v>31</v>
      </c>
      <c r="T512" s="57" t="str">
        <f t="shared" si="22"/>
        <v>31-60 Days</v>
      </c>
      <c r="U512" s="58" t="str">
        <f t="shared" si="23"/>
        <v>Not Applicable</v>
      </c>
    </row>
    <row r="513" spans="1:21" ht="23.25" customHeight="1" x14ac:dyDescent="0.35">
      <c r="A513" t="s">
        <v>1270</v>
      </c>
      <c r="B513" t="s">
        <v>1270</v>
      </c>
      <c r="C513">
        <v>2000</v>
      </c>
      <c r="D513">
        <v>0</v>
      </c>
      <c r="E513" t="s">
        <v>1273</v>
      </c>
      <c r="F513" t="s">
        <v>57</v>
      </c>
      <c r="G513" t="s">
        <v>1274</v>
      </c>
      <c r="H513" t="s">
        <v>1275</v>
      </c>
      <c r="I513"/>
      <c r="J513"/>
      <c r="K513"/>
      <c r="L513"/>
      <c r="M513"/>
      <c r="N513"/>
      <c r="O513"/>
      <c r="P513"/>
      <c r="Q513"/>
      <c r="R513"/>
      <c r="S513" s="56">
        <f t="shared" si="21"/>
        <v>31</v>
      </c>
      <c r="T513" s="57" t="str">
        <f t="shared" si="22"/>
        <v>31-60 Days</v>
      </c>
      <c r="U513" s="58" t="str">
        <f t="shared" si="23"/>
        <v>Especially Mentioned</v>
      </c>
    </row>
    <row r="514" spans="1:21" ht="23.25" customHeight="1" x14ac:dyDescent="0.35">
      <c r="A514" t="s">
        <v>1270</v>
      </c>
      <c r="B514" t="s">
        <v>1270</v>
      </c>
      <c r="C514">
        <v>443148.78</v>
      </c>
      <c r="D514">
        <v>0</v>
      </c>
      <c r="E514" t="s">
        <v>1276</v>
      </c>
      <c r="F514" t="s">
        <v>57</v>
      </c>
      <c r="G514" t="s">
        <v>57</v>
      </c>
      <c r="H514" t="s">
        <v>1277</v>
      </c>
      <c r="I514"/>
      <c r="J514"/>
      <c r="K514"/>
      <c r="L514"/>
      <c r="M514"/>
      <c r="N514"/>
      <c r="O514"/>
      <c r="P514"/>
      <c r="Q514"/>
      <c r="R514"/>
      <c r="S514" s="56">
        <f t="shared" si="21"/>
        <v>31</v>
      </c>
      <c r="T514" s="57" t="str">
        <f t="shared" si="22"/>
        <v>31-60 Days</v>
      </c>
      <c r="U514" s="58" t="str">
        <f t="shared" si="23"/>
        <v>Especially Mentioned</v>
      </c>
    </row>
    <row r="515" spans="1:21" ht="23.25" customHeight="1" x14ac:dyDescent="0.35">
      <c r="A515" t="s">
        <v>1270</v>
      </c>
      <c r="B515" t="s">
        <v>1270</v>
      </c>
      <c r="C515">
        <v>451.64</v>
      </c>
      <c r="D515">
        <v>0</v>
      </c>
      <c r="E515" t="s">
        <v>1278</v>
      </c>
      <c r="F515" t="s">
        <v>57</v>
      </c>
      <c r="G515" t="s">
        <v>57</v>
      </c>
      <c r="H515" t="s">
        <v>1279</v>
      </c>
      <c r="I515"/>
      <c r="J515"/>
      <c r="K515"/>
      <c r="L515"/>
      <c r="M515"/>
      <c r="N515"/>
      <c r="O515"/>
      <c r="P515"/>
      <c r="Q515"/>
      <c r="R515"/>
      <c r="S515" s="56">
        <f t="shared" si="21"/>
        <v>31</v>
      </c>
      <c r="T515" s="57" t="str">
        <f t="shared" si="22"/>
        <v>31-60 Days</v>
      </c>
      <c r="U515" s="58" t="str">
        <f t="shared" si="23"/>
        <v>Especially Mentioned</v>
      </c>
    </row>
    <row r="516" spans="1:21" ht="23.25" customHeight="1" x14ac:dyDescent="0.35">
      <c r="A516" t="s">
        <v>1270</v>
      </c>
      <c r="B516" t="s">
        <v>1270</v>
      </c>
      <c r="C516">
        <v>1001.82</v>
      </c>
      <c r="D516">
        <v>0</v>
      </c>
      <c r="E516" t="s">
        <v>1280</v>
      </c>
      <c r="F516" t="s">
        <v>57</v>
      </c>
      <c r="G516" t="s">
        <v>57</v>
      </c>
      <c r="H516" t="s">
        <v>1281</v>
      </c>
      <c r="I516"/>
      <c r="J516"/>
      <c r="K516"/>
      <c r="L516"/>
      <c r="M516"/>
      <c r="N516"/>
      <c r="O516"/>
      <c r="P516"/>
      <c r="Q516"/>
      <c r="R516"/>
      <c r="S516" s="56">
        <f t="shared" si="21"/>
        <v>31</v>
      </c>
      <c r="T516" s="57" t="str">
        <f t="shared" si="22"/>
        <v>31-60 Days</v>
      </c>
      <c r="U516" s="58" t="str">
        <f t="shared" si="23"/>
        <v>Especially Mentioned</v>
      </c>
    </row>
    <row r="517" spans="1:21" ht="23.25" customHeight="1" x14ac:dyDescent="0.35">
      <c r="A517" t="s">
        <v>1270</v>
      </c>
      <c r="B517" t="s">
        <v>1270</v>
      </c>
      <c r="C517">
        <v>0</v>
      </c>
      <c r="D517">
        <v>4000</v>
      </c>
      <c r="E517" t="s">
        <v>1282</v>
      </c>
      <c r="F517" t="s">
        <v>57</v>
      </c>
      <c r="G517" t="s">
        <v>57</v>
      </c>
      <c r="H517" t="s">
        <v>1283</v>
      </c>
      <c r="I517"/>
      <c r="J517"/>
      <c r="K517"/>
      <c r="L517"/>
      <c r="M517"/>
      <c r="N517"/>
      <c r="O517"/>
      <c r="P517"/>
      <c r="Q517"/>
      <c r="R517"/>
      <c r="S517" s="56">
        <f t="shared" si="21"/>
        <v>31</v>
      </c>
      <c r="T517" s="57" t="str">
        <f t="shared" si="22"/>
        <v>31-60 Days</v>
      </c>
      <c r="U517" s="58" t="str">
        <f t="shared" si="23"/>
        <v>Not Applicable</v>
      </c>
    </row>
    <row r="518" spans="1:21" ht="23.25" customHeight="1" x14ac:dyDescent="0.35">
      <c r="A518" t="s">
        <v>1270</v>
      </c>
      <c r="B518" t="s">
        <v>1270</v>
      </c>
      <c r="C518">
        <v>10110</v>
      </c>
      <c r="D518">
        <v>0</v>
      </c>
      <c r="E518" t="s">
        <v>1284</v>
      </c>
      <c r="F518" t="s">
        <v>57</v>
      </c>
      <c r="G518" t="s">
        <v>57</v>
      </c>
      <c r="H518" t="s">
        <v>1285</v>
      </c>
      <c r="I518"/>
      <c r="J518"/>
      <c r="K518"/>
      <c r="L518"/>
      <c r="M518"/>
      <c r="N518"/>
      <c r="O518"/>
      <c r="P518"/>
      <c r="Q518"/>
      <c r="R518"/>
      <c r="S518" s="56">
        <f t="shared" si="21"/>
        <v>31</v>
      </c>
      <c r="T518" s="57" t="str">
        <f t="shared" si="22"/>
        <v>31-60 Days</v>
      </c>
      <c r="U518" s="58" t="str">
        <f t="shared" si="23"/>
        <v>Especially Mentioned</v>
      </c>
    </row>
    <row r="519" spans="1:21" ht="23.25" customHeight="1" x14ac:dyDescent="0.35">
      <c r="A519" t="s">
        <v>1270</v>
      </c>
      <c r="B519" t="s">
        <v>1270</v>
      </c>
      <c r="C519">
        <v>32000</v>
      </c>
      <c r="D519">
        <v>0</v>
      </c>
      <c r="E519" t="s">
        <v>1286</v>
      </c>
      <c r="F519" t="s">
        <v>57</v>
      </c>
      <c r="G519" t="s">
        <v>57</v>
      </c>
      <c r="H519" t="s">
        <v>1287</v>
      </c>
      <c r="I519"/>
      <c r="J519"/>
      <c r="K519"/>
      <c r="L519"/>
      <c r="M519"/>
      <c r="N519"/>
      <c r="O519"/>
      <c r="P519"/>
      <c r="Q519"/>
      <c r="R519"/>
      <c r="S519" s="56">
        <f t="shared" si="21"/>
        <v>31</v>
      </c>
      <c r="T519" s="57" t="str">
        <f t="shared" si="22"/>
        <v>31-60 Days</v>
      </c>
      <c r="U519" s="58" t="str">
        <f t="shared" si="23"/>
        <v>Especially Mentioned</v>
      </c>
    </row>
    <row r="520" spans="1:21" ht="23.25" customHeight="1" x14ac:dyDescent="0.35">
      <c r="A520" t="s">
        <v>1270</v>
      </c>
      <c r="B520" t="s">
        <v>1270</v>
      </c>
      <c r="C520">
        <v>0</v>
      </c>
      <c r="D520">
        <v>1857785.59</v>
      </c>
      <c r="E520" t="s">
        <v>1288</v>
      </c>
      <c r="F520" t="s">
        <v>57</v>
      </c>
      <c r="G520" t="s">
        <v>57</v>
      </c>
      <c r="H520" t="s">
        <v>1289</v>
      </c>
      <c r="I520"/>
      <c r="J520"/>
      <c r="K520"/>
      <c r="L520"/>
      <c r="M520"/>
      <c r="N520"/>
      <c r="O520"/>
      <c r="P520"/>
      <c r="Q520"/>
      <c r="R520"/>
      <c r="S520" s="56">
        <f t="shared" si="21"/>
        <v>31</v>
      </c>
      <c r="T520" s="57" t="str">
        <f t="shared" si="22"/>
        <v>31-60 Days</v>
      </c>
      <c r="U520" s="58" t="str">
        <f t="shared" si="23"/>
        <v>Not Applicable</v>
      </c>
    </row>
    <row r="521" spans="1:21" ht="23.25" customHeight="1" x14ac:dyDescent="0.35">
      <c r="A521" t="s">
        <v>1270</v>
      </c>
      <c r="B521" t="s">
        <v>1270</v>
      </c>
      <c r="C521">
        <v>0</v>
      </c>
      <c r="D521">
        <v>20000000</v>
      </c>
      <c r="E521" t="s">
        <v>1290</v>
      </c>
      <c r="F521" t="s">
        <v>57</v>
      </c>
      <c r="G521" t="s">
        <v>57</v>
      </c>
      <c r="H521" t="s">
        <v>1291</v>
      </c>
      <c r="I521"/>
      <c r="J521"/>
      <c r="K521"/>
      <c r="L521"/>
      <c r="M521"/>
      <c r="N521"/>
      <c r="O521"/>
      <c r="P521"/>
      <c r="Q521"/>
      <c r="R521"/>
      <c r="S521" s="56">
        <f t="shared" ref="S521:S584" si="24">IF(A521="","",A$5-A521)</f>
        <v>31</v>
      </c>
      <c r="T521" s="57" t="str">
        <f t="shared" ref="T521:T584" si="25">IF(S521="","",IF(S521&lt;4,"0-3 Days",IF(S521&lt;31,"4-30 Days",IF(S521&lt;61,"31-60 Days",IF(S521&lt;=90,"61-90 Days",IF(S521&gt;90,"Above 90 Days","0"))))))</f>
        <v>31-60 Days</v>
      </c>
      <c r="U521" s="58" t="str">
        <f t="shared" ref="U521:U584" si="26">IF(C521="","",IF(C521&gt;0,IF(S521&lt;30,"Normal",IF(S521&lt;60,"Especially Mentioned",IF(S521&lt;90,"Substandard",IF(S521&lt;=180,"Doubtful",IF(S521&gt;180,"Loss","0"))))),"Not Applicable"))</f>
        <v>Not Applicable</v>
      </c>
    </row>
    <row r="522" spans="1:21" ht="23.25" customHeight="1" x14ac:dyDescent="0.35">
      <c r="A522" t="s">
        <v>1270</v>
      </c>
      <c r="B522" t="s">
        <v>1270</v>
      </c>
      <c r="C522">
        <v>1919.93</v>
      </c>
      <c r="D522">
        <v>0</v>
      </c>
      <c r="E522" t="s">
        <v>1292</v>
      </c>
      <c r="F522" t="s">
        <v>1293</v>
      </c>
      <c r="G522" t="s">
        <v>57</v>
      </c>
      <c r="H522" t="s">
        <v>1294</v>
      </c>
      <c r="I522"/>
      <c r="J522"/>
      <c r="K522"/>
      <c r="L522"/>
      <c r="M522"/>
      <c r="N522"/>
      <c r="O522"/>
      <c r="P522"/>
      <c r="Q522"/>
      <c r="R522"/>
      <c r="S522" s="56">
        <f t="shared" si="24"/>
        <v>31</v>
      </c>
      <c r="T522" s="57" t="str">
        <f t="shared" si="25"/>
        <v>31-60 Days</v>
      </c>
      <c r="U522" s="58" t="str">
        <f t="shared" si="26"/>
        <v>Especially Mentioned</v>
      </c>
    </row>
    <row r="523" spans="1:21" ht="23.25" customHeight="1" x14ac:dyDescent="0.35">
      <c r="A523" t="s">
        <v>1295</v>
      </c>
      <c r="B523" t="s">
        <v>1295</v>
      </c>
      <c r="C523">
        <v>28625.82</v>
      </c>
      <c r="D523">
        <v>0</v>
      </c>
      <c r="E523" t="s">
        <v>1296</v>
      </c>
      <c r="F523" t="s">
        <v>57</v>
      </c>
      <c r="G523" t="s">
        <v>57</v>
      </c>
      <c r="H523" t="s">
        <v>1297</v>
      </c>
      <c r="I523"/>
      <c r="J523"/>
      <c r="K523"/>
      <c r="L523"/>
      <c r="M523"/>
      <c r="N523"/>
      <c r="O523"/>
      <c r="P523"/>
      <c r="Q523"/>
      <c r="R523"/>
      <c r="S523" s="56">
        <f t="shared" si="24"/>
        <v>30</v>
      </c>
      <c r="T523" s="57" t="str">
        <f t="shared" si="25"/>
        <v>4-30 Days</v>
      </c>
      <c r="U523" s="58" t="str">
        <f t="shared" si="26"/>
        <v>Especially Mentioned</v>
      </c>
    </row>
    <row r="524" spans="1:21" ht="23.25" customHeight="1" x14ac:dyDescent="0.35">
      <c r="A524" t="s">
        <v>1295</v>
      </c>
      <c r="B524" t="s">
        <v>1295</v>
      </c>
      <c r="C524">
        <v>20</v>
      </c>
      <c r="D524">
        <v>0</v>
      </c>
      <c r="E524" t="s">
        <v>1298</v>
      </c>
      <c r="F524" t="s">
        <v>57</v>
      </c>
      <c r="G524" t="s">
        <v>57</v>
      </c>
      <c r="H524" t="s">
        <v>1299</v>
      </c>
      <c r="I524"/>
      <c r="J524"/>
      <c r="K524"/>
      <c r="L524"/>
      <c r="M524"/>
      <c r="N524"/>
      <c r="O524"/>
      <c r="P524"/>
      <c r="Q524"/>
      <c r="R524"/>
      <c r="S524" s="56">
        <f t="shared" si="24"/>
        <v>30</v>
      </c>
      <c r="T524" s="57" t="str">
        <f t="shared" si="25"/>
        <v>4-30 Days</v>
      </c>
      <c r="U524" s="58" t="str">
        <f t="shared" si="26"/>
        <v>Especially Mentioned</v>
      </c>
    </row>
    <row r="525" spans="1:21" ht="23.25" customHeight="1" x14ac:dyDescent="0.35">
      <c r="A525" t="s">
        <v>1300</v>
      </c>
      <c r="B525" t="s">
        <v>1300</v>
      </c>
      <c r="C525">
        <v>0</v>
      </c>
      <c r="D525">
        <v>828091.86</v>
      </c>
      <c r="E525" t="s">
        <v>1301</v>
      </c>
      <c r="F525" t="s">
        <v>57</v>
      </c>
      <c r="G525" t="s">
        <v>57</v>
      </c>
      <c r="H525" t="s">
        <v>1302</v>
      </c>
      <c r="I525"/>
      <c r="J525"/>
      <c r="K525"/>
      <c r="L525"/>
      <c r="M525"/>
      <c r="N525"/>
      <c r="O525"/>
      <c r="P525"/>
      <c r="Q525"/>
      <c r="R525"/>
      <c r="S525" s="56">
        <f t="shared" si="24"/>
        <v>28</v>
      </c>
      <c r="T525" s="57" t="str">
        <f t="shared" si="25"/>
        <v>4-30 Days</v>
      </c>
      <c r="U525" s="58" t="str">
        <f t="shared" si="26"/>
        <v>Not Applicable</v>
      </c>
    </row>
    <row r="526" spans="1:21" ht="23.25" customHeight="1" x14ac:dyDescent="0.35">
      <c r="A526" t="s">
        <v>1300</v>
      </c>
      <c r="B526" t="s">
        <v>1300</v>
      </c>
      <c r="C526">
        <v>0</v>
      </c>
      <c r="D526">
        <v>709793.02</v>
      </c>
      <c r="E526" t="s">
        <v>1303</v>
      </c>
      <c r="F526" t="s">
        <v>57</v>
      </c>
      <c r="G526" t="s">
        <v>57</v>
      </c>
      <c r="H526" t="s">
        <v>1304</v>
      </c>
      <c r="I526"/>
      <c r="J526"/>
      <c r="K526"/>
      <c r="L526"/>
      <c r="M526"/>
      <c r="N526"/>
      <c r="O526"/>
      <c r="P526"/>
      <c r="Q526"/>
      <c r="R526"/>
      <c r="S526" s="56">
        <f t="shared" si="24"/>
        <v>28</v>
      </c>
      <c r="T526" s="57" t="str">
        <f t="shared" si="25"/>
        <v>4-30 Days</v>
      </c>
      <c r="U526" s="58" t="str">
        <f t="shared" si="26"/>
        <v>Not Applicable</v>
      </c>
    </row>
    <row r="527" spans="1:21" ht="23.25" customHeight="1" x14ac:dyDescent="0.35">
      <c r="A527" t="s">
        <v>1300</v>
      </c>
      <c r="B527" t="s">
        <v>1300</v>
      </c>
      <c r="C527">
        <v>18645.52</v>
      </c>
      <c r="D527">
        <v>0</v>
      </c>
      <c r="E527" t="s">
        <v>1305</v>
      </c>
      <c r="F527" t="s">
        <v>57</v>
      </c>
      <c r="G527" t="s">
        <v>57</v>
      </c>
      <c r="H527" t="s">
        <v>1306</v>
      </c>
      <c r="I527"/>
      <c r="J527"/>
      <c r="K527"/>
      <c r="L527"/>
      <c r="M527"/>
      <c r="N527"/>
      <c r="O527"/>
      <c r="P527"/>
      <c r="Q527"/>
      <c r="R527"/>
      <c r="S527" s="56">
        <f t="shared" si="24"/>
        <v>28</v>
      </c>
      <c r="T527" s="57" t="str">
        <f t="shared" si="25"/>
        <v>4-30 Days</v>
      </c>
      <c r="U527" s="58" t="str">
        <f t="shared" si="26"/>
        <v>Normal</v>
      </c>
    </row>
    <row r="528" spans="1:21" ht="23.25" customHeight="1" x14ac:dyDescent="0.35">
      <c r="A528" t="s">
        <v>1300</v>
      </c>
      <c r="B528" t="s">
        <v>1300</v>
      </c>
      <c r="C528">
        <v>0</v>
      </c>
      <c r="D528">
        <v>3000</v>
      </c>
      <c r="E528" t="s">
        <v>1307</v>
      </c>
      <c r="F528" t="s">
        <v>1308</v>
      </c>
      <c r="G528" t="s">
        <v>1309</v>
      </c>
      <c r="H528" t="s">
        <v>1310</v>
      </c>
      <c r="I528"/>
      <c r="J528"/>
      <c r="K528"/>
      <c r="L528"/>
      <c r="M528"/>
      <c r="N528"/>
      <c r="O528"/>
      <c r="P528"/>
      <c r="Q528"/>
      <c r="R528"/>
      <c r="S528" s="56">
        <f t="shared" si="24"/>
        <v>28</v>
      </c>
      <c r="T528" s="57" t="str">
        <f t="shared" si="25"/>
        <v>4-30 Days</v>
      </c>
      <c r="U528" s="58" t="str">
        <f t="shared" si="26"/>
        <v>Not Applicable</v>
      </c>
    </row>
    <row r="529" spans="1:21" ht="23.25" customHeight="1" x14ac:dyDescent="0.35">
      <c r="A529" t="s">
        <v>1300</v>
      </c>
      <c r="B529" t="s">
        <v>1300</v>
      </c>
      <c r="C529">
        <v>0</v>
      </c>
      <c r="D529">
        <v>591494.18999999994</v>
      </c>
      <c r="E529" t="s">
        <v>1311</v>
      </c>
      <c r="F529" t="s">
        <v>57</v>
      </c>
      <c r="G529" t="s">
        <v>57</v>
      </c>
      <c r="H529" t="s">
        <v>1312</v>
      </c>
      <c r="I529"/>
      <c r="J529"/>
      <c r="K529"/>
      <c r="L529"/>
      <c r="M529"/>
      <c r="N529"/>
      <c r="O529"/>
      <c r="P529"/>
      <c r="Q529"/>
      <c r="R529"/>
      <c r="S529" s="56">
        <f t="shared" si="24"/>
        <v>28</v>
      </c>
      <c r="T529" s="57" t="str">
        <f t="shared" si="25"/>
        <v>4-30 Days</v>
      </c>
      <c r="U529" s="58" t="str">
        <f t="shared" si="26"/>
        <v>Not Applicable</v>
      </c>
    </row>
    <row r="530" spans="1:21" ht="23.25" customHeight="1" x14ac:dyDescent="0.35">
      <c r="A530" t="s">
        <v>1300</v>
      </c>
      <c r="B530" t="s">
        <v>1300</v>
      </c>
      <c r="C530">
        <v>0</v>
      </c>
      <c r="D530">
        <v>200000</v>
      </c>
      <c r="E530" t="s">
        <v>1313</v>
      </c>
      <c r="F530" t="s">
        <v>57</v>
      </c>
      <c r="G530" t="s">
        <v>57</v>
      </c>
      <c r="H530" t="s">
        <v>1314</v>
      </c>
      <c r="I530"/>
      <c r="J530"/>
      <c r="K530"/>
      <c r="L530"/>
      <c r="M530"/>
      <c r="N530"/>
      <c r="O530"/>
      <c r="P530"/>
      <c r="Q530"/>
      <c r="R530"/>
      <c r="S530" s="56">
        <f t="shared" si="24"/>
        <v>28</v>
      </c>
      <c r="T530" s="57" t="str">
        <f t="shared" si="25"/>
        <v>4-30 Days</v>
      </c>
      <c r="U530" s="58" t="str">
        <f t="shared" si="26"/>
        <v>Not Applicable</v>
      </c>
    </row>
    <row r="531" spans="1:21" ht="23.25" customHeight="1" x14ac:dyDescent="0.35">
      <c r="A531" t="s">
        <v>1300</v>
      </c>
      <c r="B531" t="s">
        <v>1300</v>
      </c>
      <c r="C531">
        <v>0</v>
      </c>
      <c r="D531">
        <v>192.04</v>
      </c>
      <c r="E531" t="s">
        <v>1315</v>
      </c>
      <c r="F531" t="s">
        <v>1316</v>
      </c>
      <c r="G531" t="s">
        <v>1317</v>
      </c>
      <c r="H531" t="s">
        <v>1318</v>
      </c>
      <c r="I531"/>
      <c r="J531"/>
      <c r="K531"/>
      <c r="L531"/>
      <c r="M531"/>
      <c r="N531"/>
      <c r="O531"/>
      <c r="P531"/>
      <c r="Q531"/>
      <c r="R531"/>
      <c r="S531" s="56">
        <f t="shared" si="24"/>
        <v>28</v>
      </c>
      <c r="T531" s="57" t="str">
        <f t="shared" si="25"/>
        <v>4-30 Days</v>
      </c>
      <c r="U531" s="58" t="str">
        <f t="shared" si="26"/>
        <v>Not Applicable</v>
      </c>
    </row>
    <row r="532" spans="1:21" ht="23.25" customHeight="1" x14ac:dyDescent="0.35">
      <c r="A532" t="s">
        <v>1300</v>
      </c>
      <c r="B532" t="s">
        <v>1300</v>
      </c>
      <c r="C532">
        <v>7080</v>
      </c>
      <c r="D532">
        <v>0</v>
      </c>
      <c r="E532" t="s">
        <v>1319</v>
      </c>
      <c r="F532" t="s">
        <v>1320</v>
      </c>
      <c r="G532" t="s">
        <v>57</v>
      </c>
      <c r="H532" t="s">
        <v>1321</v>
      </c>
      <c r="I532"/>
      <c r="J532"/>
      <c r="K532"/>
      <c r="L532"/>
      <c r="M532"/>
      <c r="N532"/>
      <c r="O532"/>
      <c r="P532"/>
      <c r="Q532"/>
      <c r="R532"/>
      <c r="S532" s="56">
        <f t="shared" si="24"/>
        <v>28</v>
      </c>
      <c r="T532" s="57" t="str">
        <f t="shared" si="25"/>
        <v>4-30 Days</v>
      </c>
      <c r="U532" s="58" t="str">
        <f t="shared" si="26"/>
        <v>Normal</v>
      </c>
    </row>
    <row r="533" spans="1:21" ht="23.25" customHeight="1" x14ac:dyDescent="0.35">
      <c r="A533" t="s">
        <v>1300</v>
      </c>
      <c r="B533" t="s">
        <v>1300</v>
      </c>
      <c r="C533">
        <v>0</v>
      </c>
      <c r="D533">
        <v>-500000</v>
      </c>
      <c r="E533" t="s">
        <v>1322</v>
      </c>
      <c r="F533" t="s">
        <v>57</v>
      </c>
      <c r="G533" t="s">
        <v>57</v>
      </c>
      <c r="H533" t="s">
        <v>1323</v>
      </c>
      <c r="I533"/>
      <c r="J533"/>
      <c r="K533"/>
      <c r="L533"/>
      <c r="M533"/>
      <c r="N533"/>
      <c r="O533"/>
      <c r="P533"/>
      <c r="Q533"/>
      <c r="R533"/>
      <c r="S533" s="56">
        <f t="shared" si="24"/>
        <v>28</v>
      </c>
      <c r="T533" s="57" t="str">
        <f t="shared" si="25"/>
        <v>4-30 Days</v>
      </c>
      <c r="U533" s="58" t="str">
        <f t="shared" si="26"/>
        <v>Not Applicable</v>
      </c>
    </row>
    <row r="534" spans="1:21" ht="23.25" customHeight="1" x14ac:dyDescent="0.35">
      <c r="A534" t="s">
        <v>1300</v>
      </c>
      <c r="B534" t="s">
        <v>1300</v>
      </c>
      <c r="C534">
        <v>0</v>
      </c>
      <c r="D534">
        <v>2982932.08</v>
      </c>
      <c r="E534" t="s">
        <v>1324</v>
      </c>
      <c r="F534" t="s">
        <v>57</v>
      </c>
      <c r="G534" t="s">
        <v>57</v>
      </c>
      <c r="H534" t="s">
        <v>1325</v>
      </c>
      <c r="I534"/>
      <c r="J534"/>
      <c r="K534"/>
      <c r="L534"/>
      <c r="M534"/>
      <c r="N534"/>
      <c r="O534"/>
      <c r="P534"/>
      <c r="Q534"/>
      <c r="R534"/>
      <c r="S534" s="56">
        <f t="shared" si="24"/>
        <v>28</v>
      </c>
      <c r="T534" s="57" t="str">
        <f t="shared" si="25"/>
        <v>4-30 Days</v>
      </c>
      <c r="U534" s="58" t="str">
        <f t="shared" si="26"/>
        <v>Not Applicable</v>
      </c>
    </row>
    <row r="535" spans="1:21" ht="23.25" customHeight="1" x14ac:dyDescent="0.35">
      <c r="A535" t="s">
        <v>1300</v>
      </c>
      <c r="B535" t="s">
        <v>1300</v>
      </c>
      <c r="C535">
        <v>0</v>
      </c>
      <c r="D535">
        <v>946393.07</v>
      </c>
      <c r="E535" t="s">
        <v>1326</v>
      </c>
      <c r="F535" t="s">
        <v>57</v>
      </c>
      <c r="G535" t="s">
        <v>57</v>
      </c>
      <c r="H535" t="s">
        <v>1327</v>
      </c>
      <c r="I535"/>
      <c r="J535"/>
      <c r="K535"/>
      <c r="L535"/>
      <c r="M535"/>
      <c r="N535"/>
      <c r="O535"/>
      <c r="P535"/>
      <c r="Q535"/>
      <c r="R535"/>
      <c r="S535" s="56">
        <f t="shared" si="24"/>
        <v>28</v>
      </c>
      <c r="T535" s="57" t="str">
        <f t="shared" si="25"/>
        <v>4-30 Days</v>
      </c>
      <c r="U535" s="58" t="str">
        <f t="shared" si="26"/>
        <v>Not Applicable</v>
      </c>
    </row>
    <row r="536" spans="1:21" ht="23.25" customHeight="1" x14ac:dyDescent="0.35">
      <c r="A536" t="s">
        <v>1300</v>
      </c>
      <c r="B536" t="s">
        <v>1300</v>
      </c>
      <c r="C536">
        <v>0</v>
      </c>
      <c r="D536">
        <v>1789760.91</v>
      </c>
      <c r="E536" t="s">
        <v>1328</v>
      </c>
      <c r="F536" t="s">
        <v>57</v>
      </c>
      <c r="G536" t="s">
        <v>57</v>
      </c>
      <c r="H536" t="s">
        <v>1329</v>
      </c>
      <c r="I536"/>
      <c r="J536"/>
      <c r="K536"/>
      <c r="L536"/>
      <c r="M536"/>
      <c r="N536"/>
      <c r="O536"/>
      <c r="P536"/>
      <c r="Q536"/>
      <c r="R536"/>
      <c r="S536" s="56">
        <f t="shared" si="24"/>
        <v>28</v>
      </c>
      <c r="T536" s="57" t="str">
        <f t="shared" si="25"/>
        <v>4-30 Days</v>
      </c>
      <c r="U536" s="58" t="str">
        <f t="shared" si="26"/>
        <v>Not Applicable</v>
      </c>
    </row>
    <row r="537" spans="1:21" ht="23.25" customHeight="1" x14ac:dyDescent="0.35">
      <c r="A537" t="s">
        <v>1300</v>
      </c>
      <c r="B537" t="s">
        <v>1300</v>
      </c>
      <c r="C537">
        <v>0</v>
      </c>
      <c r="D537">
        <v>10100</v>
      </c>
      <c r="E537" t="s">
        <v>1330</v>
      </c>
      <c r="F537" t="s">
        <v>57</v>
      </c>
      <c r="G537" t="s">
        <v>57</v>
      </c>
      <c r="H537" t="s">
        <v>1331</v>
      </c>
      <c r="I537"/>
      <c r="J537"/>
      <c r="K537"/>
      <c r="L537"/>
      <c r="M537"/>
      <c r="N537"/>
      <c r="O537"/>
      <c r="P537"/>
      <c r="Q537"/>
      <c r="R537"/>
      <c r="S537" s="56">
        <f t="shared" si="24"/>
        <v>28</v>
      </c>
      <c r="T537" s="57" t="str">
        <f t="shared" si="25"/>
        <v>4-30 Days</v>
      </c>
      <c r="U537" s="58" t="str">
        <f t="shared" si="26"/>
        <v>Not Applicable</v>
      </c>
    </row>
    <row r="538" spans="1:21" ht="23.25" customHeight="1" x14ac:dyDescent="0.35">
      <c r="A538" t="s">
        <v>1300</v>
      </c>
      <c r="B538" t="s">
        <v>1300</v>
      </c>
      <c r="C538">
        <v>38.94</v>
      </c>
      <c r="D538">
        <v>0</v>
      </c>
      <c r="E538" t="s">
        <v>1332</v>
      </c>
      <c r="F538" t="s">
        <v>1333</v>
      </c>
      <c r="G538" t="s">
        <v>1333</v>
      </c>
      <c r="H538" t="s">
        <v>1334</v>
      </c>
      <c r="I538"/>
      <c r="J538"/>
      <c r="K538"/>
      <c r="L538"/>
      <c r="M538"/>
      <c r="N538"/>
      <c r="O538"/>
      <c r="P538"/>
      <c r="Q538"/>
      <c r="R538"/>
      <c r="S538" s="56">
        <f t="shared" si="24"/>
        <v>28</v>
      </c>
      <c r="T538" s="57" t="str">
        <f t="shared" si="25"/>
        <v>4-30 Days</v>
      </c>
      <c r="U538" s="58" t="str">
        <f t="shared" si="26"/>
        <v>Normal</v>
      </c>
    </row>
    <row r="539" spans="1:21" ht="23.25" customHeight="1" x14ac:dyDescent="0.35">
      <c r="A539" t="s">
        <v>1300</v>
      </c>
      <c r="B539" t="s">
        <v>1300</v>
      </c>
      <c r="C539">
        <v>1715.75</v>
      </c>
      <c r="D539">
        <v>0</v>
      </c>
      <c r="E539" t="s">
        <v>1335</v>
      </c>
      <c r="F539" t="s">
        <v>57</v>
      </c>
      <c r="G539" t="s">
        <v>57</v>
      </c>
      <c r="H539" t="s">
        <v>1336</v>
      </c>
      <c r="I539"/>
      <c r="J539"/>
      <c r="K539"/>
      <c r="L539"/>
      <c r="M539"/>
      <c r="N539"/>
      <c r="O539"/>
      <c r="P539"/>
      <c r="Q539"/>
      <c r="R539"/>
      <c r="S539" s="56">
        <f t="shared" si="24"/>
        <v>28</v>
      </c>
      <c r="T539" s="57" t="str">
        <f t="shared" si="25"/>
        <v>4-30 Days</v>
      </c>
      <c r="U539" s="58" t="str">
        <f t="shared" si="26"/>
        <v>Normal</v>
      </c>
    </row>
    <row r="540" spans="1:21" ht="23.25" customHeight="1" x14ac:dyDescent="0.35">
      <c r="A540" t="s">
        <v>1300</v>
      </c>
      <c r="B540" t="s">
        <v>1300</v>
      </c>
      <c r="C540">
        <v>0</v>
      </c>
      <c r="D540">
        <v>500000</v>
      </c>
      <c r="E540" t="s">
        <v>1322</v>
      </c>
      <c r="F540" t="s">
        <v>57</v>
      </c>
      <c r="G540" t="s">
        <v>57</v>
      </c>
      <c r="H540" t="s">
        <v>1337</v>
      </c>
      <c r="I540"/>
      <c r="J540"/>
      <c r="K540"/>
      <c r="L540"/>
      <c r="M540"/>
      <c r="N540"/>
      <c r="O540"/>
      <c r="P540"/>
      <c r="Q540"/>
      <c r="R540"/>
      <c r="S540" s="56">
        <f t="shared" si="24"/>
        <v>28</v>
      </c>
      <c r="T540" s="57" t="str">
        <f t="shared" si="25"/>
        <v>4-30 Days</v>
      </c>
      <c r="U540" s="58" t="str">
        <f t="shared" si="26"/>
        <v>Not Applicable</v>
      </c>
    </row>
    <row r="541" spans="1:21" ht="23.25" customHeight="1" x14ac:dyDescent="0.35">
      <c r="A541" t="s">
        <v>1300</v>
      </c>
      <c r="B541" t="s">
        <v>1300</v>
      </c>
      <c r="C541">
        <v>0</v>
      </c>
      <c r="D541">
        <v>5000</v>
      </c>
      <c r="E541" t="s">
        <v>1338</v>
      </c>
      <c r="F541" t="s">
        <v>1339</v>
      </c>
      <c r="G541" t="s">
        <v>1340</v>
      </c>
      <c r="H541" t="s">
        <v>1341</v>
      </c>
      <c r="I541"/>
      <c r="J541"/>
      <c r="K541"/>
      <c r="L541"/>
      <c r="M541"/>
      <c r="N541"/>
      <c r="O541"/>
      <c r="P541"/>
      <c r="Q541"/>
      <c r="R541"/>
      <c r="S541" s="56">
        <f t="shared" si="24"/>
        <v>28</v>
      </c>
      <c r="T541" s="57" t="str">
        <f t="shared" si="25"/>
        <v>4-30 Days</v>
      </c>
      <c r="U541" s="58" t="str">
        <f t="shared" si="26"/>
        <v>Not Applicable</v>
      </c>
    </row>
    <row r="542" spans="1:21" ht="23.25" customHeight="1" x14ac:dyDescent="0.35">
      <c r="A542" t="s">
        <v>1342</v>
      </c>
      <c r="B542" t="s">
        <v>1342</v>
      </c>
      <c r="C542">
        <v>60</v>
      </c>
      <c r="D542">
        <v>0</v>
      </c>
      <c r="E542" t="s">
        <v>1343</v>
      </c>
      <c r="F542" t="s">
        <v>57</v>
      </c>
      <c r="G542" t="s">
        <v>57</v>
      </c>
      <c r="H542" t="s">
        <v>1344</v>
      </c>
      <c r="I542"/>
      <c r="J542"/>
      <c r="K542"/>
      <c r="L542"/>
      <c r="M542"/>
      <c r="N542"/>
      <c r="O542"/>
      <c r="P542"/>
      <c r="Q542"/>
      <c r="R542"/>
      <c r="S542" s="56">
        <f t="shared" si="24"/>
        <v>27</v>
      </c>
      <c r="T542" s="57" t="str">
        <f t="shared" si="25"/>
        <v>4-30 Days</v>
      </c>
      <c r="U542" s="58" t="str">
        <f t="shared" si="26"/>
        <v>Normal</v>
      </c>
    </row>
    <row r="543" spans="1:21" ht="23.25" customHeight="1" x14ac:dyDescent="0.35">
      <c r="A543" t="s">
        <v>1342</v>
      </c>
      <c r="B543" t="s">
        <v>1342</v>
      </c>
      <c r="C543">
        <v>350258.61</v>
      </c>
      <c r="D543">
        <v>0</v>
      </c>
      <c r="E543" t="s">
        <v>1345</v>
      </c>
      <c r="F543" t="s">
        <v>57</v>
      </c>
      <c r="G543" t="s">
        <v>57</v>
      </c>
      <c r="H543" t="s">
        <v>1346</v>
      </c>
      <c r="I543"/>
      <c r="J543"/>
      <c r="K543"/>
      <c r="L543"/>
      <c r="M543"/>
      <c r="N543"/>
      <c r="O543"/>
      <c r="P543"/>
      <c r="Q543"/>
      <c r="R543"/>
      <c r="S543" s="56">
        <f t="shared" si="24"/>
        <v>27</v>
      </c>
      <c r="T543" s="57" t="str">
        <f t="shared" si="25"/>
        <v>4-30 Days</v>
      </c>
      <c r="U543" s="58" t="str">
        <f t="shared" si="26"/>
        <v>Normal</v>
      </c>
    </row>
    <row r="544" spans="1:21" ht="23.25" customHeight="1" x14ac:dyDescent="0.35">
      <c r="A544" t="s">
        <v>1342</v>
      </c>
      <c r="B544" t="s">
        <v>1342</v>
      </c>
      <c r="C544">
        <v>0</v>
      </c>
      <c r="D544">
        <v>170</v>
      </c>
      <c r="E544" t="s">
        <v>1347</v>
      </c>
      <c r="F544" t="s">
        <v>1348</v>
      </c>
      <c r="G544" t="s">
        <v>1349</v>
      </c>
      <c r="H544" t="s">
        <v>1350</v>
      </c>
      <c r="I544"/>
      <c r="J544"/>
      <c r="K544"/>
      <c r="L544"/>
      <c r="M544"/>
      <c r="N544"/>
      <c r="O544"/>
      <c r="P544"/>
      <c r="Q544"/>
      <c r="R544"/>
      <c r="S544" s="56">
        <f t="shared" si="24"/>
        <v>27</v>
      </c>
      <c r="T544" s="57" t="str">
        <f t="shared" si="25"/>
        <v>4-30 Days</v>
      </c>
      <c r="U544" s="58" t="str">
        <f t="shared" si="26"/>
        <v>Not Applicable</v>
      </c>
    </row>
    <row r="545" spans="1:21" ht="23.25" customHeight="1" x14ac:dyDescent="0.35">
      <c r="A545" t="s">
        <v>1342</v>
      </c>
      <c r="B545" t="s">
        <v>1342</v>
      </c>
      <c r="C545">
        <v>9000000</v>
      </c>
      <c r="D545">
        <v>0</v>
      </c>
      <c r="E545" t="s">
        <v>1351</v>
      </c>
      <c r="F545" t="s">
        <v>57</v>
      </c>
      <c r="G545" t="s">
        <v>57</v>
      </c>
      <c r="H545" t="s">
        <v>1352</v>
      </c>
      <c r="I545"/>
      <c r="J545"/>
      <c r="K545"/>
      <c r="L545"/>
      <c r="M545"/>
      <c r="N545"/>
      <c r="O545"/>
      <c r="P545"/>
      <c r="Q545"/>
      <c r="R545"/>
      <c r="S545" s="56">
        <f t="shared" si="24"/>
        <v>27</v>
      </c>
      <c r="T545" s="57" t="str">
        <f t="shared" si="25"/>
        <v>4-30 Days</v>
      </c>
      <c r="U545" s="58" t="str">
        <f t="shared" si="26"/>
        <v>Normal</v>
      </c>
    </row>
    <row r="546" spans="1:21" ht="23.25" customHeight="1" x14ac:dyDescent="0.35">
      <c r="A546" t="s">
        <v>1342</v>
      </c>
      <c r="B546" t="s">
        <v>1342</v>
      </c>
      <c r="C546">
        <v>1491466.04</v>
      </c>
      <c r="D546">
        <v>0</v>
      </c>
      <c r="E546" t="s">
        <v>1353</v>
      </c>
      <c r="F546" t="s">
        <v>57</v>
      </c>
      <c r="G546" t="s">
        <v>57</v>
      </c>
      <c r="H546" t="s">
        <v>1354</v>
      </c>
      <c r="I546"/>
      <c r="J546"/>
      <c r="K546"/>
      <c r="L546"/>
      <c r="M546"/>
      <c r="N546"/>
      <c r="O546"/>
      <c r="P546"/>
      <c r="Q546"/>
      <c r="R546"/>
      <c r="S546" s="56">
        <f t="shared" si="24"/>
        <v>27</v>
      </c>
      <c r="T546" s="57" t="str">
        <f t="shared" si="25"/>
        <v>4-30 Days</v>
      </c>
      <c r="U546" s="58" t="str">
        <f t="shared" si="26"/>
        <v>Normal</v>
      </c>
    </row>
    <row r="547" spans="1:21" ht="23.25" customHeight="1" x14ac:dyDescent="0.35">
      <c r="A547" t="s">
        <v>1342</v>
      </c>
      <c r="B547" t="s">
        <v>1342</v>
      </c>
      <c r="C547">
        <v>0</v>
      </c>
      <c r="D547">
        <v>150</v>
      </c>
      <c r="E547" t="s">
        <v>1355</v>
      </c>
      <c r="F547" t="s">
        <v>1356</v>
      </c>
      <c r="G547" t="s">
        <v>1357</v>
      </c>
      <c r="H547" t="s">
        <v>1358</v>
      </c>
      <c r="I547"/>
      <c r="J547"/>
      <c r="K547"/>
      <c r="L547"/>
      <c r="M547"/>
      <c r="N547"/>
      <c r="O547"/>
      <c r="P547"/>
      <c r="Q547"/>
      <c r="R547"/>
      <c r="S547" s="56">
        <f t="shared" si="24"/>
        <v>27</v>
      </c>
      <c r="T547" s="57" t="str">
        <f t="shared" si="25"/>
        <v>4-30 Days</v>
      </c>
      <c r="U547" s="58" t="str">
        <f t="shared" si="26"/>
        <v>Not Applicable</v>
      </c>
    </row>
    <row r="548" spans="1:21" ht="23.25" customHeight="1" x14ac:dyDescent="0.35">
      <c r="A548" t="s">
        <v>1342</v>
      </c>
      <c r="B548" t="s">
        <v>1342</v>
      </c>
      <c r="C548">
        <v>0</v>
      </c>
      <c r="D548">
        <v>350000</v>
      </c>
      <c r="E548" t="s">
        <v>1359</v>
      </c>
      <c r="F548" t="s">
        <v>57</v>
      </c>
      <c r="G548" t="s">
        <v>57</v>
      </c>
      <c r="H548" t="s">
        <v>1360</v>
      </c>
      <c r="I548"/>
      <c r="J548"/>
      <c r="K548"/>
      <c r="L548"/>
      <c r="M548"/>
      <c r="N548"/>
      <c r="O548"/>
      <c r="P548"/>
      <c r="Q548"/>
      <c r="R548"/>
      <c r="S548" s="56">
        <f t="shared" si="24"/>
        <v>27</v>
      </c>
      <c r="T548" s="57" t="str">
        <f t="shared" si="25"/>
        <v>4-30 Days</v>
      </c>
      <c r="U548" s="58" t="str">
        <f t="shared" si="26"/>
        <v>Not Applicable</v>
      </c>
    </row>
    <row r="549" spans="1:21" ht="23.25" customHeight="1" x14ac:dyDescent="0.35">
      <c r="A549" t="s">
        <v>1342</v>
      </c>
      <c r="B549" t="s">
        <v>1342</v>
      </c>
      <c r="C549">
        <v>0</v>
      </c>
      <c r="D549">
        <v>6300</v>
      </c>
      <c r="E549" t="s">
        <v>1361</v>
      </c>
      <c r="F549" t="s">
        <v>1362</v>
      </c>
      <c r="G549" t="s">
        <v>1363</v>
      </c>
      <c r="H549" t="s">
        <v>1364</v>
      </c>
      <c r="I549"/>
      <c r="J549"/>
      <c r="K549"/>
      <c r="L549"/>
      <c r="M549"/>
      <c r="N549"/>
      <c r="O549"/>
      <c r="P549"/>
      <c r="Q549"/>
      <c r="R549"/>
      <c r="S549" s="56">
        <f t="shared" si="24"/>
        <v>27</v>
      </c>
      <c r="T549" s="57" t="str">
        <f t="shared" si="25"/>
        <v>4-30 Days</v>
      </c>
      <c r="U549" s="58" t="str">
        <f t="shared" si="26"/>
        <v>Not Applicable</v>
      </c>
    </row>
    <row r="550" spans="1:21" ht="23.25" customHeight="1" x14ac:dyDescent="0.35">
      <c r="A550" t="s">
        <v>1342</v>
      </c>
      <c r="B550" t="s">
        <v>1342</v>
      </c>
      <c r="C550">
        <v>3688307.16</v>
      </c>
      <c r="D550">
        <v>0</v>
      </c>
      <c r="E550" t="s">
        <v>1365</v>
      </c>
      <c r="F550" t="s">
        <v>57</v>
      </c>
      <c r="G550" t="s">
        <v>57</v>
      </c>
      <c r="H550" t="s">
        <v>1366</v>
      </c>
      <c r="I550"/>
      <c r="J550"/>
      <c r="K550"/>
      <c r="L550"/>
      <c r="M550"/>
      <c r="N550"/>
      <c r="O550"/>
      <c r="P550"/>
      <c r="Q550"/>
      <c r="R550"/>
      <c r="S550" s="56">
        <f t="shared" si="24"/>
        <v>27</v>
      </c>
      <c r="T550" s="57" t="str">
        <f t="shared" si="25"/>
        <v>4-30 Days</v>
      </c>
      <c r="U550" s="58" t="str">
        <f t="shared" si="26"/>
        <v>Normal</v>
      </c>
    </row>
    <row r="551" spans="1:21" ht="23.25" customHeight="1" x14ac:dyDescent="0.35">
      <c r="A551" t="s">
        <v>1342</v>
      </c>
      <c r="B551" t="s">
        <v>1342</v>
      </c>
      <c r="C551">
        <v>1491466.04</v>
      </c>
      <c r="D551">
        <v>0</v>
      </c>
      <c r="E551" t="s">
        <v>1367</v>
      </c>
      <c r="F551" t="s">
        <v>57</v>
      </c>
      <c r="G551" t="s">
        <v>57</v>
      </c>
      <c r="H551" t="s">
        <v>1368</v>
      </c>
      <c r="I551"/>
      <c r="J551"/>
      <c r="K551"/>
      <c r="L551"/>
      <c r="M551"/>
      <c r="N551"/>
      <c r="O551"/>
      <c r="P551"/>
      <c r="Q551"/>
      <c r="R551"/>
      <c r="S551" s="56">
        <f t="shared" si="24"/>
        <v>27</v>
      </c>
      <c r="T551" s="57" t="str">
        <f t="shared" si="25"/>
        <v>4-30 Days</v>
      </c>
      <c r="U551" s="58" t="str">
        <f t="shared" si="26"/>
        <v>Normal</v>
      </c>
    </row>
    <row r="552" spans="1:21" ht="23.25" customHeight="1" x14ac:dyDescent="0.35">
      <c r="A552" t="s">
        <v>1342</v>
      </c>
      <c r="B552" t="s">
        <v>1342</v>
      </c>
      <c r="C552">
        <v>0</v>
      </c>
      <c r="D552">
        <v>1500000</v>
      </c>
      <c r="E552" t="s">
        <v>1369</v>
      </c>
      <c r="F552" t="s">
        <v>57</v>
      </c>
      <c r="G552" t="s">
        <v>57</v>
      </c>
      <c r="H552" t="s">
        <v>1370</v>
      </c>
      <c r="I552"/>
      <c r="J552"/>
      <c r="K552"/>
      <c r="L552"/>
      <c r="M552"/>
      <c r="N552"/>
      <c r="O552"/>
      <c r="P552"/>
      <c r="Q552"/>
      <c r="R552"/>
      <c r="S552" s="56">
        <f t="shared" si="24"/>
        <v>27</v>
      </c>
      <c r="T552" s="57" t="str">
        <f t="shared" si="25"/>
        <v>4-30 Days</v>
      </c>
      <c r="U552" s="58" t="str">
        <f t="shared" si="26"/>
        <v>Not Applicable</v>
      </c>
    </row>
    <row r="553" spans="1:21" ht="23.25" customHeight="1" x14ac:dyDescent="0.35">
      <c r="A553" t="s">
        <v>1342</v>
      </c>
      <c r="B553" t="s">
        <v>1342</v>
      </c>
      <c r="C553">
        <v>0</v>
      </c>
      <c r="D553">
        <v>125</v>
      </c>
      <c r="E553" t="s">
        <v>1371</v>
      </c>
      <c r="F553" t="s">
        <v>1372</v>
      </c>
      <c r="G553" t="s">
        <v>1373</v>
      </c>
      <c r="H553" t="s">
        <v>1374</v>
      </c>
      <c r="I553"/>
      <c r="J553"/>
      <c r="K553"/>
      <c r="L553"/>
      <c r="M553"/>
      <c r="N553"/>
      <c r="O553"/>
      <c r="P553"/>
      <c r="Q553"/>
      <c r="R553"/>
      <c r="S553" s="56">
        <f t="shared" si="24"/>
        <v>27</v>
      </c>
      <c r="T553" s="57" t="str">
        <f t="shared" si="25"/>
        <v>4-30 Days</v>
      </c>
      <c r="U553" s="58" t="str">
        <f t="shared" si="26"/>
        <v>Not Applicable</v>
      </c>
    </row>
    <row r="554" spans="1:21" ht="23.25" customHeight="1" x14ac:dyDescent="0.35">
      <c r="A554" t="s">
        <v>1342</v>
      </c>
      <c r="B554" t="s">
        <v>1342</v>
      </c>
      <c r="C554">
        <v>293</v>
      </c>
      <c r="D554">
        <v>0</v>
      </c>
      <c r="E554" t="s">
        <v>1375</v>
      </c>
      <c r="F554" t="s">
        <v>57</v>
      </c>
      <c r="G554" t="s">
        <v>57</v>
      </c>
      <c r="H554" t="s">
        <v>1376</v>
      </c>
      <c r="I554"/>
      <c r="J554"/>
      <c r="K554"/>
      <c r="L554"/>
      <c r="M554"/>
      <c r="N554"/>
      <c r="O554"/>
      <c r="P554"/>
      <c r="Q554"/>
      <c r="R554"/>
      <c r="S554" s="56">
        <f t="shared" si="24"/>
        <v>27</v>
      </c>
      <c r="T554" s="57" t="str">
        <f t="shared" si="25"/>
        <v>4-30 Days</v>
      </c>
      <c r="U554" s="58" t="str">
        <f t="shared" si="26"/>
        <v>Normal</v>
      </c>
    </row>
    <row r="555" spans="1:21" ht="23.25" customHeight="1" x14ac:dyDescent="0.35">
      <c r="A555" t="s">
        <v>1342</v>
      </c>
      <c r="B555" t="s">
        <v>1342</v>
      </c>
      <c r="C555">
        <v>0</v>
      </c>
      <c r="D555">
        <v>3688307.16</v>
      </c>
      <c r="E555" t="s">
        <v>1377</v>
      </c>
      <c r="F555" t="s">
        <v>57</v>
      </c>
      <c r="G555" t="s">
        <v>57</v>
      </c>
      <c r="H555" t="s">
        <v>1378</v>
      </c>
      <c r="I555"/>
      <c r="J555"/>
      <c r="K555"/>
      <c r="L555"/>
      <c r="M555"/>
      <c r="N555"/>
      <c r="O555"/>
      <c r="P555"/>
      <c r="Q555"/>
      <c r="R555"/>
      <c r="S555" s="56">
        <f t="shared" si="24"/>
        <v>27</v>
      </c>
      <c r="T555" s="57" t="str">
        <f t="shared" si="25"/>
        <v>4-30 Days</v>
      </c>
      <c r="U555" s="58" t="str">
        <f t="shared" si="26"/>
        <v>Not Applicable</v>
      </c>
    </row>
    <row r="556" spans="1:21" ht="23.25" customHeight="1" x14ac:dyDescent="0.35">
      <c r="A556" t="s">
        <v>1342</v>
      </c>
      <c r="B556" t="s">
        <v>1342</v>
      </c>
      <c r="C556">
        <v>0</v>
      </c>
      <c r="D556">
        <v>2982932.08</v>
      </c>
      <c r="E556" t="s">
        <v>1379</v>
      </c>
      <c r="F556" t="s">
        <v>57</v>
      </c>
      <c r="G556" t="s">
        <v>57</v>
      </c>
      <c r="H556" t="s">
        <v>1380</v>
      </c>
      <c r="I556"/>
      <c r="J556"/>
      <c r="K556"/>
      <c r="L556"/>
      <c r="M556"/>
      <c r="N556"/>
      <c r="O556"/>
      <c r="P556"/>
      <c r="Q556"/>
      <c r="R556"/>
      <c r="S556" s="56">
        <f t="shared" si="24"/>
        <v>27</v>
      </c>
      <c r="T556" s="57" t="str">
        <f t="shared" si="25"/>
        <v>4-30 Days</v>
      </c>
      <c r="U556" s="58" t="str">
        <f t="shared" si="26"/>
        <v>Not Applicable</v>
      </c>
    </row>
    <row r="557" spans="1:21" ht="23.25" customHeight="1" x14ac:dyDescent="0.35">
      <c r="A557" t="s">
        <v>1342</v>
      </c>
      <c r="B557" t="s">
        <v>1342</v>
      </c>
      <c r="C557">
        <v>622</v>
      </c>
      <c r="D557">
        <v>0</v>
      </c>
      <c r="E557" t="s">
        <v>1381</v>
      </c>
      <c r="F557" t="s">
        <v>57</v>
      </c>
      <c r="G557" t="s">
        <v>57</v>
      </c>
      <c r="H557" t="s">
        <v>1382</v>
      </c>
      <c r="I557"/>
      <c r="J557"/>
      <c r="K557"/>
      <c r="L557"/>
      <c r="M557"/>
      <c r="N557"/>
      <c r="O557"/>
      <c r="P557"/>
      <c r="Q557"/>
      <c r="R557"/>
      <c r="S557" s="56">
        <f t="shared" si="24"/>
        <v>27</v>
      </c>
      <c r="T557" s="57" t="str">
        <f t="shared" si="25"/>
        <v>4-30 Days</v>
      </c>
      <c r="U557" s="58" t="str">
        <f t="shared" si="26"/>
        <v>Normal</v>
      </c>
    </row>
    <row r="558" spans="1:21" ht="23.25" customHeight="1" x14ac:dyDescent="0.35">
      <c r="A558" t="s">
        <v>1342</v>
      </c>
      <c r="B558" t="s">
        <v>1342</v>
      </c>
      <c r="C558">
        <v>9000000</v>
      </c>
      <c r="D558">
        <v>0</v>
      </c>
      <c r="E558" t="s">
        <v>1383</v>
      </c>
      <c r="F558" t="s">
        <v>57</v>
      </c>
      <c r="G558" t="s">
        <v>57</v>
      </c>
      <c r="H558" t="s">
        <v>1384</v>
      </c>
      <c r="I558"/>
      <c r="J558"/>
      <c r="K558"/>
      <c r="L558"/>
      <c r="M558"/>
      <c r="N558"/>
      <c r="O558"/>
      <c r="P558"/>
      <c r="Q558"/>
      <c r="R558"/>
      <c r="S558" s="56">
        <f t="shared" si="24"/>
        <v>27</v>
      </c>
      <c r="T558" s="57" t="str">
        <f t="shared" si="25"/>
        <v>4-30 Days</v>
      </c>
      <c r="U558" s="58" t="str">
        <f t="shared" si="26"/>
        <v>Normal</v>
      </c>
    </row>
    <row r="559" spans="1:21" ht="23.25" customHeight="1" x14ac:dyDescent="0.35">
      <c r="A559" t="s">
        <v>1385</v>
      </c>
      <c r="B559" t="s">
        <v>1385</v>
      </c>
      <c r="C559">
        <v>50</v>
      </c>
      <c r="D559">
        <v>0</v>
      </c>
      <c r="E559" t="s">
        <v>1386</v>
      </c>
      <c r="F559" t="s">
        <v>57</v>
      </c>
      <c r="G559" t="s">
        <v>57</v>
      </c>
      <c r="H559" t="s">
        <v>1387</v>
      </c>
      <c r="I559"/>
      <c r="J559"/>
      <c r="K559"/>
      <c r="L559"/>
      <c r="M559"/>
      <c r="N559"/>
      <c r="O559"/>
      <c r="P559"/>
      <c r="Q559"/>
      <c r="R559"/>
      <c r="S559" s="56">
        <f t="shared" si="24"/>
        <v>26</v>
      </c>
      <c r="T559" s="57" t="str">
        <f t="shared" si="25"/>
        <v>4-30 Days</v>
      </c>
      <c r="U559" s="58" t="str">
        <f t="shared" si="26"/>
        <v>Normal</v>
      </c>
    </row>
    <row r="560" spans="1:21" ht="23.25" customHeight="1" x14ac:dyDescent="0.35">
      <c r="A560" t="s">
        <v>1385</v>
      </c>
      <c r="B560" t="s">
        <v>1385</v>
      </c>
      <c r="C560">
        <v>0</v>
      </c>
      <c r="D560">
        <v>70</v>
      </c>
      <c r="E560" t="s">
        <v>1388</v>
      </c>
      <c r="F560" t="s">
        <v>1389</v>
      </c>
      <c r="G560" t="s">
        <v>1390</v>
      </c>
      <c r="H560" t="s">
        <v>1391</v>
      </c>
      <c r="I560"/>
      <c r="J560"/>
      <c r="K560"/>
      <c r="L560"/>
      <c r="M560"/>
      <c r="N560"/>
      <c r="O560"/>
      <c r="P560"/>
      <c r="Q560"/>
      <c r="R560"/>
      <c r="S560" s="56">
        <f t="shared" si="24"/>
        <v>26</v>
      </c>
      <c r="T560" s="57" t="str">
        <f t="shared" si="25"/>
        <v>4-30 Days</v>
      </c>
      <c r="U560" s="58" t="str">
        <f t="shared" si="26"/>
        <v>Not Applicable</v>
      </c>
    </row>
    <row r="561" spans="1:21" ht="23.25" customHeight="1" x14ac:dyDescent="0.35">
      <c r="A561" t="s">
        <v>1385</v>
      </c>
      <c r="B561" t="s">
        <v>1385</v>
      </c>
      <c r="C561">
        <v>45.01</v>
      </c>
      <c r="D561">
        <v>0</v>
      </c>
      <c r="E561" t="s">
        <v>1392</v>
      </c>
      <c r="F561" t="s">
        <v>57</v>
      </c>
      <c r="G561" t="s">
        <v>57</v>
      </c>
      <c r="H561" t="s">
        <v>1393</v>
      </c>
      <c r="I561"/>
      <c r="J561"/>
      <c r="K561"/>
      <c r="L561"/>
      <c r="M561"/>
      <c r="N561"/>
      <c r="O561"/>
      <c r="P561"/>
      <c r="Q561"/>
      <c r="R561"/>
      <c r="S561" s="56">
        <f t="shared" si="24"/>
        <v>26</v>
      </c>
      <c r="T561" s="57" t="str">
        <f t="shared" si="25"/>
        <v>4-30 Days</v>
      </c>
      <c r="U561" s="58" t="str">
        <f t="shared" si="26"/>
        <v>Normal</v>
      </c>
    </row>
    <row r="562" spans="1:21" ht="23.25" customHeight="1" x14ac:dyDescent="0.35">
      <c r="A562" t="s">
        <v>1385</v>
      </c>
      <c r="B562" t="s">
        <v>1385</v>
      </c>
      <c r="C562">
        <v>50</v>
      </c>
      <c r="D562">
        <v>0</v>
      </c>
      <c r="E562" t="s">
        <v>1394</v>
      </c>
      <c r="F562" t="s">
        <v>57</v>
      </c>
      <c r="G562" t="s">
        <v>57</v>
      </c>
      <c r="H562" t="s">
        <v>1395</v>
      </c>
      <c r="I562"/>
      <c r="J562"/>
      <c r="K562"/>
      <c r="L562"/>
      <c r="M562"/>
      <c r="N562"/>
      <c r="O562"/>
      <c r="P562"/>
      <c r="Q562"/>
      <c r="R562"/>
      <c r="S562" s="56">
        <f t="shared" si="24"/>
        <v>26</v>
      </c>
      <c r="T562" s="57" t="str">
        <f t="shared" si="25"/>
        <v>4-30 Days</v>
      </c>
      <c r="U562" s="58" t="str">
        <f t="shared" si="26"/>
        <v>Normal</v>
      </c>
    </row>
    <row r="563" spans="1:21" ht="23.25" customHeight="1" x14ac:dyDescent="0.35">
      <c r="A563" t="s">
        <v>1385</v>
      </c>
      <c r="B563" t="s">
        <v>1385</v>
      </c>
      <c r="C563">
        <v>50</v>
      </c>
      <c r="D563">
        <v>0</v>
      </c>
      <c r="E563" t="s">
        <v>1396</v>
      </c>
      <c r="F563" t="s">
        <v>57</v>
      </c>
      <c r="G563" t="s">
        <v>57</v>
      </c>
      <c r="H563" t="s">
        <v>1397</v>
      </c>
      <c r="I563"/>
      <c r="J563"/>
      <c r="K563"/>
      <c r="L563"/>
      <c r="M563"/>
      <c r="N563"/>
      <c r="O563"/>
      <c r="P563"/>
      <c r="Q563"/>
      <c r="R563"/>
      <c r="S563" s="56">
        <f t="shared" si="24"/>
        <v>26</v>
      </c>
      <c r="T563" s="57" t="str">
        <f t="shared" si="25"/>
        <v>4-30 Days</v>
      </c>
      <c r="U563" s="58" t="str">
        <f t="shared" si="26"/>
        <v>Normal</v>
      </c>
    </row>
    <row r="564" spans="1:21" ht="23.25" customHeight="1" x14ac:dyDescent="0.35">
      <c r="A564" t="s">
        <v>1385</v>
      </c>
      <c r="B564" t="s">
        <v>1385</v>
      </c>
      <c r="C564">
        <v>50</v>
      </c>
      <c r="D564">
        <v>0</v>
      </c>
      <c r="E564" t="s">
        <v>1398</v>
      </c>
      <c r="F564" t="s">
        <v>57</v>
      </c>
      <c r="G564" t="s">
        <v>57</v>
      </c>
      <c r="H564" t="s">
        <v>1399</v>
      </c>
      <c r="I564"/>
      <c r="J564"/>
      <c r="K564"/>
      <c r="L564"/>
      <c r="M564"/>
      <c r="N564"/>
      <c r="O564"/>
      <c r="P564"/>
      <c r="Q564"/>
      <c r="R564"/>
      <c r="S564" s="56">
        <f t="shared" si="24"/>
        <v>26</v>
      </c>
      <c r="T564" s="57" t="str">
        <f t="shared" si="25"/>
        <v>4-30 Days</v>
      </c>
      <c r="U564" s="58" t="str">
        <f t="shared" si="26"/>
        <v>Normal</v>
      </c>
    </row>
    <row r="565" spans="1:21" ht="23.25" customHeight="1" x14ac:dyDescent="0.35">
      <c r="A565" t="s">
        <v>1385</v>
      </c>
      <c r="B565" t="s">
        <v>1385</v>
      </c>
      <c r="C565">
        <v>134.4</v>
      </c>
      <c r="D565">
        <v>0</v>
      </c>
      <c r="E565" t="s">
        <v>1400</v>
      </c>
      <c r="F565" t="s">
        <v>1401</v>
      </c>
      <c r="G565" t="s">
        <v>57</v>
      </c>
      <c r="H565" t="s">
        <v>1402</v>
      </c>
      <c r="I565"/>
      <c r="J565"/>
      <c r="K565"/>
      <c r="L565"/>
      <c r="M565"/>
      <c r="N565"/>
      <c r="O565"/>
      <c r="P565"/>
      <c r="Q565"/>
      <c r="R565"/>
      <c r="S565" s="56">
        <f t="shared" si="24"/>
        <v>26</v>
      </c>
      <c r="T565" s="57" t="str">
        <f t="shared" si="25"/>
        <v>4-30 Days</v>
      </c>
      <c r="U565" s="58" t="str">
        <f t="shared" si="26"/>
        <v>Normal</v>
      </c>
    </row>
    <row r="566" spans="1:21" ht="23.25" customHeight="1" x14ac:dyDescent="0.35">
      <c r="A566" t="s">
        <v>1385</v>
      </c>
      <c r="B566" t="s">
        <v>1385</v>
      </c>
      <c r="C566">
        <v>0</v>
      </c>
      <c r="D566">
        <v>134.4</v>
      </c>
      <c r="E566" t="s">
        <v>1403</v>
      </c>
      <c r="F566" t="s">
        <v>1404</v>
      </c>
      <c r="G566" t="s">
        <v>1405</v>
      </c>
      <c r="H566" t="s">
        <v>1406</v>
      </c>
      <c r="I566"/>
      <c r="J566"/>
      <c r="K566"/>
      <c r="L566"/>
      <c r="M566"/>
      <c r="N566"/>
      <c r="O566"/>
      <c r="P566"/>
      <c r="Q566"/>
      <c r="R566"/>
      <c r="S566" s="56">
        <f t="shared" si="24"/>
        <v>26</v>
      </c>
      <c r="T566" s="57" t="str">
        <f t="shared" si="25"/>
        <v>4-30 Days</v>
      </c>
      <c r="U566" s="58" t="str">
        <f t="shared" si="26"/>
        <v>Not Applicable</v>
      </c>
    </row>
    <row r="567" spans="1:21" ht="23.25" customHeight="1" x14ac:dyDescent="0.35">
      <c r="A567" t="s">
        <v>1385</v>
      </c>
      <c r="B567" t="s">
        <v>1385</v>
      </c>
      <c r="C567">
        <v>40</v>
      </c>
      <c r="D567">
        <v>0</v>
      </c>
      <c r="E567" t="s">
        <v>1407</v>
      </c>
      <c r="F567" t="s">
        <v>57</v>
      </c>
      <c r="G567" t="s">
        <v>57</v>
      </c>
      <c r="H567" t="s">
        <v>1408</v>
      </c>
      <c r="I567"/>
      <c r="J567"/>
      <c r="K567"/>
      <c r="L567"/>
      <c r="M567"/>
      <c r="N567"/>
      <c r="O567"/>
      <c r="P567"/>
      <c r="Q567"/>
      <c r="R567"/>
      <c r="S567" s="56">
        <f t="shared" si="24"/>
        <v>26</v>
      </c>
      <c r="T567" s="57" t="str">
        <f t="shared" si="25"/>
        <v>4-30 Days</v>
      </c>
      <c r="U567" s="58" t="str">
        <f t="shared" si="26"/>
        <v>Normal</v>
      </c>
    </row>
    <row r="568" spans="1:21" ht="23.25" customHeight="1" x14ac:dyDescent="0.35">
      <c r="A568" t="s">
        <v>1385</v>
      </c>
      <c r="B568" t="s">
        <v>1385</v>
      </c>
      <c r="C568">
        <v>0</v>
      </c>
      <c r="D568">
        <v>3140</v>
      </c>
      <c r="E568" t="s">
        <v>1409</v>
      </c>
      <c r="F568" t="s">
        <v>1410</v>
      </c>
      <c r="G568" t="s">
        <v>1411</v>
      </c>
      <c r="H568" t="s">
        <v>1412</v>
      </c>
      <c r="I568"/>
      <c r="J568"/>
      <c r="K568"/>
      <c r="L568"/>
      <c r="M568"/>
      <c r="N568"/>
      <c r="O568"/>
      <c r="P568"/>
      <c r="Q568"/>
      <c r="R568"/>
      <c r="S568" s="56">
        <f t="shared" si="24"/>
        <v>26</v>
      </c>
      <c r="T568" s="57" t="str">
        <f t="shared" si="25"/>
        <v>4-30 Days</v>
      </c>
      <c r="U568" s="58" t="str">
        <f t="shared" si="26"/>
        <v>Not Applicable</v>
      </c>
    </row>
    <row r="569" spans="1:21" ht="23.25" customHeight="1" x14ac:dyDescent="0.35">
      <c r="A569" t="s">
        <v>1385</v>
      </c>
      <c r="B569" t="s">
        <v>1385</v>
      </c>
      <c r="C569">
        <v>0</v>
      </c>
      <c r="D569">
        <v>5000000</v>
      </c>
      <c r="E569" t="s">
        <v>1413</v>
      </c>
      <c r="F569" t="s">
        <v>57</v>
      </c>
      <c r="G569" t="s">
        <v>57</v>
      </c>
      <c r="H569" t="s">
        <v>1414</v>
      </c>
      <c r="I569"/>
      <c r="J569"/>
      <c r="K569"/>
      <c r="L569"/>
      <c r="M569"/>
      <c r="N569"/>
      <c r="O569"/>
      <c r="P569"/>
      <c r="Q569"/>
      <c r="R569"/>
      <c r="S569" s="56">
        <f t="shared" si="24"/>
        <v>26</v>
      </c>
      <c r="T569" s="57" t="str">
        <f t="shared" si="25"/>
        <v>4-30 Days</v>
      </c>
      <c r="U569" s="58" t="str">
        <f t="shared" si="26"/>
        <v>Not Applicable</v>
      </c>
    </row>
    <row r="570" spans="1:21" ht="23.25" customHeight="1" x14ac:dyDescent="0.35">
      <c r="A570" t="s">
        <v>1385</v>
      </c>
      <c r="B570" t="s">
        <v>1385</v>
      </c>
      <c r="C570">
        <v>0</v>
      </c>
      <c r="D570">
        <v>5000000</v>
      </c>
      <c r="E570" t="s">
        <v>1415</v>
      </c>
      <c r="F570" t="s">
        <v>57</v>
      </c>
      <c r="G570" t="s">
        <v>57</v>
      </c>
      <c r="H570" t="s">
        <v>1416</v>
      </c>
      <c r="I570"/>
      <c r="J570"/>
      <c r="K570"/>
      <c r="L570"/>
      <c r="M570"/>
      <c r="N570"/>
      <c r="O570"/>
      <c r="P570"/>
      <c r="Q570"/>
      <c r="R570"/>
      <c r="S570" s="56">
        <f t="shared" si="24"/>
        <v>26</v>
      </c>
      <c r="T570" s="57" t="str">
        <f t="shared" si="25"/>
        <v>4-30 Days</v>
      </c>
      <c r="U570" s="58" t="str">
        <f t="shared" si="26"/>
        <v>Not Applicable</v>
      </c>
    </row>
    <row r="571" spans="1:21" ht="23.25" customHeight="1" x14ac:dyDescent="0.35">
      <c r="A571" t="s">
        <v>1385</v>
      </c>
      <c r="B571" t="s">
        <v>1385</v>
      </c>
      <c r="C571">
        <v>687</v>
      </c>
      <c r="D571">
        <v>0</v>
      </c>
      <c r="E571" t="s">
        <v>1417</v>
      </c>
      <c r="F571" t="s">
        <v>57</v>
      </c>
      <c r="G571" t="s">
        <v>57</v>
      </c>
      <c r="H571" t="s">
        <v>1418</v>
      </c>
      <c r="I571"/>
      <c r="J571"/>
      <c r="K571"/>
      <c r="L571"/>
      <c r="M571"/>
      <c r="N571"/>
      <c r="O571"/>
      <c r="P571"/>
      <c r="Q571"/>
      <c r="R571"/>
      <c r="S571" s="56">
        <f t="shared" si="24"/>
        <v>26</v>
      </c>
      <c r="T571" s="57" t="str">
        <f t="shared" si="25"/>
        <v>4-30 Days</v>
      </c>
      <c r="U571" s="58" t="str">
        <f t="shared" si="26"/>
        <v>Normal</v>
      </c>
    </row>
    <row r="572" spans="1:21" ht="23.25" customHeight="1" x14ac:dyDescent="0.35">
      <c r="A572" t="s">
        <v>1385</v>
      </c>
      <c r="B572" t="s">
        <v>1385</v>
      </c>
      <c r="C572">
        <v>2071</v>
      </c>
      <c r="D572">
        <v>0</v>
      </c>
      <c r="E572" t="s">
        <v>1419</v>
      </c>
      <c r="F572" t="s">
        <v>57</v>
      </c>
      <c r="G572" t="s">
        <v>57</v>
      </c>
      <c r="H572" t="s">
        <v>1420</v>
      </c>
      <c r="I572"/>
      <c r="J572"/>
      <c r="K572"/>
      <c r="L572"/>
      <c r="M572"/>
      <c r="N572"/>
      <c r="O572"/>
      <c r="P572"/>
      <c r="Q572"/>
      <c r="R572"/>
      <c r="S572" s="56">
        <f t="shared" si="24"/>
        <v>26</v>
      </c>
      <c r="T572" s="57" t="str">
        <f t="shared" si="25"/>
        <v>4-30 Days</v>
      </c>
      <c r="U572" s="58" t="str">
        <f t="shared" si="26"/>
        <v>Normal</v>
      </c>
    </row>
    <row r="573" spans="1:21" ht="23.25" customHeight="1" x14ac:dyDescent="0.35">
      <c r="A573" t="s">
        <v>1385</v>
      </c>
      <c r="B573" t="s">
        <v>1385</v>
      </c>
      <c r="C573">
        <v>300</v>
      </c>
      <c r="D573">
        <v>0</v>
      </c>
      <c r="E573" t="s">
        <v>1421</v>
      </c>
      <c r="F573" t="s">
        <v>57</v>
      </c>
      <c r="G573" t="s">
        <v>57</v>
      </c>
      <c r="H573" t="s">
        <v>1422</v>
      </c>
      <c r="I573"/>
      <c r="J573"/>
      <c r="K573"/>
      <c r="L573"/>
      <c r="M573"/>
      <c r="N573"/>
      <c r="O573"/>
      <c r="P573"/>
      <c r="Q573"/>
      <c r="R573"/>
      <c r="S573" s="56">
        <f t="shared" si="24"/>
        <v>26</v>
      </c>
      <c r="T573" s="57" t="str">
        <f t="shared" si="25"/>
        <v>4-30 Days</v>
      </c>
      <c r="U573" s="58" t="str">
        <f t="shared" si="26"/>
        <v>Normal</v>
      </c>
    </row>
    <row r="574" spans="1:21" ht="23.25" customHeight="1" x14ac:dyDescent="0.35">
      <c r="A574" t="s">
        <v>1385</v>
      </c>
      <c r="B574" t="s">
        <v>1385</v>
      </c>
      <c r="C574">
        <v>50</v>
      </c>
      <c r="D574">
        <v>0</v>
      </c>
      <c r="E574" t="s">
        <v>1423</v>
      </c>
      <c r="F574" t="s">
        <v>57</v>
      </c>
      <c r="G574" t="s">
        <v>57</v>
      </c>
      <c r="H574" t="s">
        <v>1424</v>
      </c>
      <c r="I574"/>
      <c r="J574"/>
      <c r="K574"/>
      <c r="L574"/>
      <c r="M574"/>
      <c r="N574"/>
      <c r="O574"/>
      <c r="P574"/>
      <c r="Q574"/>
      <c r="R574"/>
      <c r="S574" s="56">
        <f t="shared" si="24"/>
        <v>26</v>
      </c>
      <c r="T574" s="57" t="str">
        <f t="shared" si="25"/>
        <v>4-30 Days</v>
      </c>
      <c r="U574" s="58" t="str">
        <f t="shared" si="26"/>
        <v>Normal</v>
      </c>
    </row>
    <row r="575" spans="1:21" ht="23.25" customHeight="1" x14ac:dyDescent="0.35">
      <c r="A575" t="s">
        <v>1385</v>
      </c>
      <c r="B575" t="s">
        <v>1385</v>
      </c>
      <c r="C575">
        <v>450</v>
      </c>
      <c r="D575">
        <v>0</v>
      </c>
      <c r="E575" t="s">
        <v>1425</v>
      </c>
      <c r="F575" t="s">
        <v>57</v>
      </c>
      <c r="G575" t="s">
        <v>57</v>
      </c>
      <c r="H575" t="s">
        <v>1426</v>
      </c>
      <c r="I575"/>
      <c r="J575"/>
      <c r="K575"/>
      <c r="L575"/>
      <c r="M575"/>
      <c r="N575"/>
      <c r="O575"/>
      <c r="P575"/>
      <c r="Q575"/>
      <c r="R575"/>
      <c r="S575" s="56">
        <f t="shared" si="24"/>
        <v>26</v>
      </c>
      <c r="T575" s="57" t="str">
        <f t="shared" si="25"/>
        <v>4-30 Days</v>
      </c>
      <c r="U575" s="58" t="str">
        <f t="shared" si="26"/>
        <v>Normal</v>
      </c>
    </row>
    <row r="576" spans="1:21" ht="23.25" customHeight="1" x14ac:dyDescent="0.35">
      <c r="A576" t="s">
        <v>1385</v>
      </c>
      <c r="B576" t="s">
        <v>1385</v>
      </c>
      <c r="C576">
        <v>73009.39</v>
      </c>
      <c r="D576">
        <v>0</v>
      </c>
      <c r="E576" t="s">
        <v>1427</v>
      </c>
      <c r="F576" t="s">
        <v>57</v>
      </c>
      <c r="G576" t="s">
        <v>57</v>
      </c>
      <c r="H576" t="s">
        <v>1428</v>
      </c>
      <c r="I576"/>
      <c r="J576"/>
      <c r="K576"/>
      <c r="L576"/>
      <c r="M576"/>
      <c r="N576"/>
      <c r="O576"/>
      <c r="P576"/>
      <c r="Q576"/>
      <c r="R576"/>
      <c r="S576" s="56">
        <f t="shared" si="24"/>
        <v>26</v>
      </c>
      <c r="T576" s="57" t="str">
        <f t="shared" si="25"/>
        <v>4-30 Days</v>
      </c>
      <c r="U576" s="58" t="str">
        <f t="shared" si="26"/>
        <v>Normal</v>
      </c>
    </row>
    <row r="577" spans="1:21" ht="23.25" customHeight="1" x14ac:dyDescent="0.35">
      <c r="A577" t="s">
        <v>1385</v>
      </c>
      <c r="B577" t="s">
        <v>1385</v>
      </c>
      <c r="C577">
        <v>81000</v>
      </c>
      <c r="D577">
        <v>0</v>
      </c>
      <c r="E577" t="s">
        <v>1429</v>
      </c>
      <c r="F577" t="s">
        <v>57</v>
      </c>
      <c r="G577" t="s">
        <v>57</v>
      </c>
      <c r="H577" t="s">
        <v>1430</v>
      </c>
      <c r="I577"/>
      <c r="J577"/>
      <c r="K577"/>
      <c r="L577"/>
      <c r="M577"/>
      <c r="N577"/>
      <c r="O577"/>
      <c r="P577"/>
      <c r="Q577"/>
      <c r="R577"/>
      <c r="S577" s="56">
        <f t="shared" si="24"/>
        <v>26</v>
      </c>
      <c r="T577" s="57" t="str">
        <f t="shared" si="25"/>
        <v>4-30 Days</v>
      </c>
      <c r="U577" s="58" t="str">
        <f t="shared" si="26"/>
        <v>Normal</v>
      </c>
    </row>
    <row r="578" spans="1:21" ht="23.25" customHeight="1" x14ac:dyDescent="0.35">
      <c r="A578" t="s">
        <v>1431</v>
      </c>
      <c r="B578" t="s">
        <v>1431</v>
      </c>
      <c r="C578">
        <v>126269.24</v>
      </c>
      <c r="D578">
        <v>0</v>
      </c>
      <c r="E578" t="s">
        <v>1432</v>
      </c>
      <c r="F578" t="s">
        <v>57</v>
      </c>
      <c r="G578" t="s">
        <v>57</v>
      </c>
      <c r="H578" t="s">
        <v>1433</v>
      </c>
      <c r="I578"/>
      <c r="J578"/>
      <c r="K578"/>
      <c r="L578"/>
      <c r="M578"/>
      <c r="N578"/>
      <c r="O578"/>
      <c r="P578"/>
      <c r="Q578"/>
      <c r="R578"/>
      <c r="S578" s="56">
        <f t="shared" si="24"/>
        <v>25</v>
      </c>
      <c r="T578" s="57" t="str">
        <f t="shared" si="25"/>
        <v>4-30 Days</v>
      </c>
      <c r="U578" s="58" t="str">
        <f t="shared" si="26"/>
        <v>Normal</v>
      </c>
    </row>
    <row r="579" spans="1:21" ht="23.25" customHeight="1" x14ac:dyDescent="0.35">
      <c r="A579" t="s">
        <v>1431</v>
      </c>
      <c r="B579" t="s">
        <v>1431</v>
      </c>
      <c r="C579">
        <v>0</v>
      </c>
      <c r="D579">
        <v>200000</v>
      </c>
      <c r="E579" t="s">
        <v>1434</v>
      </c>
      <c r="F579" t="s">
        <v>57</v>
      </c>
      <c r="G579" t="s">
        <v>57</v>
      </c>
      <c r="H579" t="s">
        <v>1435</v>
      </c>
      <c r="I579"/>
      <c r="J579"/>
      <c r="K579"/>
      <c r="L579"/>
      <c r="M579"/>
      <c r="N579"/>
      <c r="O579"/>
      <c r="P579"/>
      <c r="Q579"/>
      <c r="R579"/>
      <c r="S579" s="56">
        <f t="shared" si="24"/>
        <v>25</v>
      </c>
      <c r="T579" s="57" t="str">
        <f t="shared" si="25"/>
        <v>4-30 Days</v>
      </c>
      <c r="U579" s="58" t="str">
        <f t="shared" si="26"/>
        <v>Not Applicable</v>
      </c>
    </row>
    <row r="580" spans="1:21" ht="23.25" customHeight="1" x14ac:dyDescent="0.35">
      <c r="A580" t="s">
        <v>1431</v>
      </c>
      <c r="B580" t="s">
        <v>1431</v>
      </c>
      <c r="C580">
        <v>29989.39</v>
      </c>
      <c r="D580">
        <v>0</v>
      </c>
      <c r="E580" t="s">
        <v>1436</v>
      </c>
      <c r="F580" t="s">
        <v>57</v>
      </c>
      <c r="G580" t="s">
        <v>57</v>
      </c>
      <c r="H580" t="s">
        <v>1437</v>
      </c>
      <c r="I580"/>
      <c r="J580"/>
      <c r="K580"/>
      <c r="L580"/>
      <c r="M580"/>
      <c r="N580"/>
      <c r="O580"/>
      <c r="P580"/>
      <c r="Q580"/>
      <c r="R580"/>
      <c r="S580" s="56">
        <f t="shared" si="24"/>
        <v>25</v>
      </c>
      <c r="T580" s="57" t="str">
        <f t="shared" si="25"/>
        <v>4-30 Days</v>
      </c>
      <c r="U580" s="58" t="str">
        <f t="shared" si="26"/>
        <v>Normal</v>
      </c>
    </row>
    <row r="581" spans="1:21" ht="23.25" customHeight="1" x14ac:dyDescent="0.35">
      <c r="A581" t="s">
        <v>1431</v>
      </c>
      <c r="B581" t="s">
        <v>1431</v>
      </c>
      <c r="C581">
        <v>2000</v>
      </c>
      <c r="D581">
        <v>0</v>
      </c>
      <c r="E581" t="s">
        <v>1438</v>
      </c>
      <c r="F581" t="s">
        <v>57</v>
      </c>
      <c r="G581" t="s">
        <v>57</v>
      </c>
      <c r="H581" t="s">
        <v>1439</v>
      </c>
      <c r="I581"/>
      <c r="J581"/>
      <c r="K581"/>
      <c r="L581"/>
      <c r="M581"/>
      <c r="N581"/>
      <c r="O581"/>
      <c r="P581"/>
      <c r="Q581"/>
      <c r="R581"/>
      <c r="S581" s="56">
        <f t="shared" si="24"/>
        <v>25</v>
      </c>
      <c r="T581" s="57" t="str">
        <f t="shared" si="25"/>
        <v>4-30 Days</v>
      </c>
      <c r="U581" s="58" t="str">
        <f t="shared" si="26"/>
        <v>Normal</v>
      </c>
    </row>
    <row r="582" spans="1:21" ht="23.25" customHeight="1" x14ac:dyDescent="0.35">
      <c r="A582" t="s">
        <v>1431</v>
      </c>
      <c r="B582" t="s">
        <v>1431</v>
      </c>
      <c r="C582">
        <v>10972.73</v>
      </c>
      <c r="D582">
        <v>0</v>
      </c>
      <c r="E582" t="s">
        <v>1440</v>
      </c>
      <c r="F582" t="s">
        <v>57</v>
      </c>
      <c r="G582" t="s">
        <v>57</v>
      </c>
      <c r="H582" t="s">
        <v>1441</v>
      </c>
      <c r="I582"/>
      <c r="J582"/>
      <c r="K582"/>
      <c r="L582"/>
      <c r="M582"/>
      <c r="N582"/>
      <c r="O582"/>
      <c r="P582"/>
      <c r="Q582"/>
      <c r="R582"/>
      <c r="S582" s="56">
        <f t="shared" si="24"/>
        <v>25</v>
      </c>
      <c r="T582" s="57" t="str">
        <f t="shared" si="25"/>
        <v>4-30 Days</v>
      </c>
      <c r="U582" s="58" t="str">
        <f t="shared" si="26"/>
        <v>Normal</v>
      </c>
    </row>
    <row r="583" spans="1:21" ht="23.25" customHeight="1" x14ac:dyDescent="0.35">
      <c r="A583" t="s">
        <v>1431</v>
      </c>
      <c r="B583" t="s">
        <v>1431</v>
      </c>
      <c r="C583">
        <v>3000</v>
      </c>
      <c r="D583">
        <v>0</v>
      </c>
      <c r="E583" t="s">
        <v>1442</v>
      </c>
      <c r="F583" t="s">
        <v>1443</v>
      </c>
      <c r="G583" t="s">
        <v>57</v>
      </c>
      <c r="H583" t="s">
        <v>1444</v>
      </c>
      <c r="I583"/>
      <c r="J583"/>
      <c r="K583"/>
      <c r="L583"/>
      <c r="M583"/>
      <c r="N583"/>
      <c r="O583"/>
      <c r="P583"/>
      <c r="Q583"/>
      <c r="R583"/>
      <c r="S583" s="56">
        <f t="shared" si="24"/>
        <v>25</v>
      </c>
      <c r="T583" s="57" t="str">
        <f t="shared" si="25"/>
        <v>4-30 Days</v>
      </c>
      <c r="U583" s="58" t="str">
        <f t="shared" si="26"/>
        <v>Normal</v>
      </c>
    </row>
    <row r="584" spans="1:21" ht="23.25" customHeight="1" x14ac:dyDescent="0.35">
      <c r="A584" t="s">
        <v>1431</v>
      </c>
      <c r="B584" t="s">
        <v>1431</v>
      </c>
      <c r="C584">
        <v>0</v>
      </c>
      <c r="D584">
        <v>3410977.49</v>
      </c>
      <c r="E584" t="s">
        <v>1445</v>
      </c>
      <c r="F584" t="s">
        <v>57</v>
      </c>
      <c r="G584" t="s">
        <v>57</v>
      </c>
      <c r="H584" t="s">
        <v>1446</v>
      </c>
      <c r="I584"/>
      <c r="J584"/>
      <c r="K584"/>
      <c r="L584"/>
      <c r="M584"/>
      <c r="N584"/>
      <c r="O584"/>
      <c r="P584"/>
      <c r="Q584"/>
      <c r="R584"/>
      <c r="S584" s="56">
        <f t="shared" si="24"/>
        <v>25</v>
      </c>
      <c r="T584" s="57" t="str">
        <f t="shared" si="25"/>
        <v>4-30 Days</v>
      </c>
      <c r="U584" s="58" t="str">
        <f t="shared" si="26"/>
        <v>Not Applicable</v>
      </c>
    </row>
    <row r="585" spans="1:21" ht="23.25" customHeight="1" x14ac:dyDescent="0.35">
      <c r="A585" t="s">
        <v>1431</v>
      </c>
      <c r="B585" t="s">
        <v>1431</v>
      </c>
      <c r="C585">
        <v>0</v>
      </c>
      <c r="D585">
        <v>300000</v>
      </c>
      <c r="E585" t="s">
        <v>1447</v>
      </c>
      <c r="F585" t="s">
        <v>57</v>
      </c>
      <c r="G585" t="s">
        <v>57</v>
      </c>
      <c r="H585" t="s">
        <v>1448</v>
      </c>
      <c r="I585"/>
      <c r="J585"/>
      <c r="K585"/>
      <c r="L585"/>
      <c r="M585"/>
      <c r="N585"/>
      <c r="O585"/>
      <c r="P585"/>
      <c r="Q585"/>
      <c r="R585"/>
      <c r="S585" s="56">
        <f t="shared" ref="S585:S648" si="27">IF(A585="","",A$5-A585)</f>
        <v>25</v>
      </c>
      <c r="T585" s="57" t="str">
        <f t="shared" ref="T585:T648" si="28">IF(S585="","",IF(S585&lt;4,"0-3 Days",IF(S585&lt;31,"4-30 Days",IF(S585&lt;61,"31-60 Days",IF(S585&lt;=90,"61-90 Days",IF(S585&gt;90,"Above 90 Days","0"))))))</f>
        <v>4-30 Days</v>
      </c>
      <c r="U585" s="58" t="str">
        <f t="shared" ref="U585:U648" si="29">IF(C585="","",IF(C585&gt;0,IF(S585&lt;30,"Normal",IF(S585&lt;60,"Especially Mentioned",IF(S585&lt;90,"Substandard",IF(S585&lt;=180,"Doubtful",IF(S585&gt;180,"Loss","0"))))),"Not Applicable"))</f>
        <v>Not Applicable</v>
      </c>
    </row>
    <row r="586" spans="1:21" ht="23.25" customHeight="1" x14ac:dyDescent="0.35">
      <c r="A586" t="s">
        <v>1449</v>
      </c>
      <c r="B586" t="s">
        <v>1449</v>
      </c>
      <c r="C586">
        <v>800</v>
      </c>
      <c r="D586">
        <v>0</v>
      </c>
      <c r="E586" t="s">
        <v>1450</v>
      </c>
      <c r="F586" t="s">
        <v>57</v>
      </c>
      <c r="G586" t="s">
        <v>57</v>
      </c>
      <c r="H586" t="s">
        <v>1451</v>
      </c>
      <c r="I586"/>
      <c r="J586"/>
      <c r="K586"/>
      <c r="L586"/>
      <c r="M586"/>
      <c r="N586"/>
      <c r="O586"/>
      <c r="P586"/>
      <c r="Q586"/>
      <c r="R586"/>
      <c r="S586" s="56">
        <f t="shared" si="27"/>
        <v>24</v>
      </c>
      <c r="T586" s="57" t="str">
        <f t="shared" si="28"/>
        <v>4-30 Days</v>
      </c>
      <c r="U586" s="58" t="str">
        <f t="shared" si="29"/>
        <v>Normal</v>
      </c>
    </row>
    <row r="587" spans="1:21" ht="23.25" customHeight="1" x14ac:dyDescent="0.35">
      <c r="A587" t="s">
        <v>1449</v>
      </c>
      <c r="B587" t="s">
        <v>1449</v>
      </c>
      <c r="C587">
        <v>50000</v>
      </c>
      <c r="D587">
        <v>0</v>
      </c>
      <c r="E587" t="s">
        <v>1452</v>
      </c>
      <c r="F587" t="s">
        <v>57</v>
      </c>
      <c r="G587" t="s">
        <v>57</v>
      </c>
      <c r="H587" t="s">
        <v>1453</v>
      </c>
      <c r="I587"/>
      <c r="J587"/>
      <c r="K587"/>
      <c r="L587"/>
      <c r="M587"/>
      <c r="N587"/>
      <c r="O587"/>
      <c r="P587"/>
      <c r="Q587"/>
      <c r="R587"/>
      <c r="S587" s="56">
        <f t="shared" si="27"/>
        <v>24</v>
      </c>
      <c r="T587" s="57" t="str">
        <f t="shared" si="28"/>
        <v>4-30 Days</v>
      </c>
      <c r="U587" s="58" t="str">
        <f t="shared" si="29"/>
        <v>Normal</v>
      </c>
    </row>
    <row r="588" spans="1:21" ht="23.25" customHeight="1" x14ac:dyDescent="0.35">
      <c r="A588" t="s">
        <v>1449</v>
      </c>
      <c r="B588" t="s">
        <v>1449</v>
      </c>
      <c r="C588">
        <v>8056.9</v>
      </c>
      <c r="D588">
        <v>0</v>
      </c>
      <c r="E588" t="s">
        <v>1454</v>
      </c>
      <c r="F588" t="s">
        <v>57</v>
      </c>
      <c r="G588" t="s">
        <v>57</v>
      </c>
      <c r="H588" t="s">
        <v>1455</v>
      </c>
      <c r="I588"/>
      <c r="J588"/>
      <c r="K588"/>
      <c r="L588"/>
      <c r="M588"/>
      <c r="N588"/>
      <c r="O588"/>
      <c r="P588"/>
      <c r="Q588"/>
      <c r="R588"/>
      <c r="S588" s="56">
        <f t="shared" si="27"/>
        <v>24</v>
      </c>
      <c r="T588" s="57" t="str">
        <f t="shared" si="28"/>
        <v>4-30 Days</v>
      </c>
      <c r="U588" s="58" t="str">
        <f t="shared" si="29"/>
        <v>Normal</v>
      </c>
    </row>
    <row r="589" spans="1:21" ht="23.25" customHeight="1" x14ac:dyDescent="0.35">
      <c r="A589" t="s">
        <v>1449</v>
      </c>
      <c r="B589" t="s">
        <v>1449</v>
      </c>
      <c r="C589">
        <v>5500</v>
      </c>
      <c r="D589">
        <v>0</v>
      </c>
      <c r="E589" t="s">
        <v>1456</v>
      </c>
      <c r="F589" t="s">
        <v>57</v>
      </c>
      <c r="G589" t="s">
        <v>57</v>
      </c>
      <c r="H589" t="s">
        <v>1457</v>
      </c>
      <c r="I589"/>
      <c r="J589"/>
      <c r="K589"/>
      <c r="L589"/>
      <c r="M589"/>
      <c r="N589"/>
      <c r="O589"/>
      <c r="P589"/>
      <c r="Q589"/>
      <c r="R589"/>
      <c r="S589" s="56">
        <f t="shared" si="27"/>
        <v>24</v>
      </c>
      <c r="T589" s="57" t="str">
        <f t="shared" si="28"/>
        <v>4-30 Days</v>
      </c>
      <c r="U589" s="58" t="str">
        <f t="shared" si="29"/>
        <v>Normal</v>
      </c>
    </row>
    <row r="590" spans="1:21" ht="23.25" customHeight="1" x14ac:dyDescent="0.35">
      <c r="A590" t="s">
        <v>1449</v>
      </c>
      <c r="B590" t="s">
        <v>1449</v>
      </c>
      <c r="C590">
        <v>0</v>
      </c>
      <c r="D590">
        <v>62200</v>
      </c>
      <c r="E590" t="s">
        <v>1458</v>
      </c>
      <c r="F590" t="s">
        <v>57</v>
      </c>
      <c r="G590" t="s">
        <v>57</v>
      </c>
      <c r="H590" t="s">
        <v>1459</v>
      </c>
      <c r="I590"/>
      <c r="J590"/>
      <c r="K590"/>
      <c r="L590"/>
      <c r="M590"/>
      <c r="N590"/>
      <c r="O590"/>
      <c r="P590"/>
      <c r="Q590"/>
      <c r="R590"/>
      <c r="S590" s="56">
        <f t="shared" si="27"/>
        <v>24</v>
      </c>
      <c r="T590" s="57" t="str">
        <f t="shared" si="28"/>
        <v>4-30 Days</v>
      </c>
      <c r="U590" s="58" t="str">
        <f t="shared" si="29"/>
        <v>Not Applicable</v>
      </c>
    </row>
    <row r="591" spans="1:21" ht="23.25" customHeight="1" x14ac:dyDescent="0.35">
      <c r="A591" t="s">
        <v>1449</v>
      </c>
      <c r="B591" t="s">
        <v>1449</v>
      </c>
      <c r="C591">
        <v>3419</v>
      </c>
      <c r="D591">
        <v>0</v>
      </c>
      <c r="E591" t="s">
        <v>1460</v>
      </c>
      <c r="F591" t="s">
        <v>57</v>
      </c>
      <c r="G591" t="s">
        <v>57</v>
      </c>
      <c r="H591" t="s">
        <v>1461</v>
      </c>
      <c r="I591"/>
      <c r="J591"/>
      <c r="K591"/>
      <c r="L591"/>
      <c r="M591"/>
      <c r="N591"/>
      <c r="O591"/>
      <c r="P591"/>
      <c r="Q591"/>
      <c r="R591"/>
      <c r="S591" s="56">
        <f t="shared" si="27"/>
        <v>24</v>
      </c>
      <c r="T591" s="57" t="str">
        <f t="shared" si="28"/>
        <v>4-30 Days</v>
      </c>
      <c r="U591" s="58" t="str">
        <f t="shared" si="29"/>
        <v>Normal</v>
      </c>
    </row>
    <row r="592" spans="1:21" ht="23.25" customHeight="1" x14ac:dyDescent="0.35">
      <c r="A592" t="s">
        <v>1462</v>
      </c>
      <c r="B592" t="s">
        <v>1462</v>
      </c>
      <c r="C592">
        <v>0</v>
      </c>
      <c r="D592">
        <v>8682.01</v>
      </c>
      <c r="E592" t="s">
        <v>1463</v>
      </c>
      <c r="F592" t="s">
        <v>57</v>
      </c>
      <c r="G592" t="s">
        <v>57</v>
      </c>
      <c r="H592" t="s">
        <v>1464</v>
      </c>
      <c r="I592"/>
      <c r="J592"/>
      <c r="K592"/>
      <c r="L592"/>
      <c r="M592"/>
      <c r="N592"/>
      <c r="O592"/>
      <c r="P592"/>
      <c r="Q592"/>
      <c r="R592"/>
      <c r="S592" s="56">
        <f t="shared" si="27"/>
        <v>21</v>
      </c>
      <c r="T592" s="57" t="str">
        <f t="shared" si="28"/>
        <v>4-30 Days</v>
      </c>
      <c r="U592" s="58" t="str">
        <f t="shared" si="29"/>
        <v>Not Applicable</v>
      </c>
    </row>
    <row r="593" spans="1:21" ht="23.25" customHeight="1" x14ac:dyDescent="0.35">
      <c r="A593" t="s">
        <v>1462</v>
      </c>
      <c r="B593" t="s">
        <v>1462</v>
      </c>
      <c r="C593">
        <v>0</v>
      </c>
      <c r="D593">
        <v>50</v>
      </c>
      <c r="E593" t="s">
        <v>1465</v>
      </c>
      <c r="F593" t="s">
        <v>1466</v>
      </c>
      <c r="G593" t="s">
        <v>1467</v>
      </c>
      <c r="H593" t="s">
        <v>1468</v>
      </c>
      <c r="I593"/>
      <c r="J593"/>
      <c r="K593"/>
      <c r="L593"/>
      <c r="M593"/>
      <c r="N593"/>
      <c r="O593"/>
      <c r="P593"/>
      <c r="Q593"/>
      <c r="R593"/>
      <c r="S593" s="56">
        <f t="shared" si="27"/>
        <v>21</v>
      </c>
      <c r="T593" s="57" t="str">
        <f t="shared" si="28"/>
        <v>4-30 Days</v>
      </c>
      <c r="U593" s="58" t="str">
        <f t="shared" si="29"/>
        <v>Not Applicable</v>
      </c>
    </row>
    <row r="594" spans="1:21" ht="23.25" customHeight="1" x14ac:dyDescent="0.35">
      <c r="A594" t="s">
        <v>1462</v>
      </c>
      <c r="B594" t="s">
        <v>1462</v>
      </c>
      <c r="C594">
        <v>0</v>
      </c>
      <c r="D594">
        <v>316000</v>
      </c>
      <c r="E594" t="s">
        <v>1469</v>
      </c>
      <c r="F594" t="s">
        <v>1470</v>
      </c>
      <c r="G594" t="s">
        <v>1471</v>
      </c>
      <c r="H594" t="s">
        <v>1472</v>
      </c>
      <c r="I594"/>
      <c r="J594"/>
      <c r="K594"/>
      <c r="L594"/>
      <c r="M594"/>
      <c r="N594"/>
      <c r="O594"/>
      <c r="P594"/>
      <c r="Q594"/>
      <c r="R594"/>
      <c r="S594" s="56">
        <f t="shared" si="27"/>
        <v>21</v>
      </c>
      <c r="T594" s="57" t="str">
        <f t="shared" si="28"/>
        <v>4-30 Days</v>
      </c>
      <c r="U594" s="58" t="str">
        <f t="shared" si="29"/>
        <v>Not Applicable</v>
      </c>
    </row>
    <row r="595" spans="1:21" ht="23.25" customHeight="1" x14ac:dyDescent="0.35">
      <c r="A595" t="s">
        <v>1462</v>
      </c>
      <c r="B595" t="s">
        <v>1462</v>
      </c>
      <c r="C595">
        <v>0</v>
      </c>
      <c r="D595">
        <v>15000</v>
      </c>
      <c r="E595" t="s">
        <v>1473</v>
      </c>
      <c r="F595" t="s">
        <v>1474</v>
      </c>
      <c r="G595" t="s">
        <v>1475</v>
      </c>
      <c r="H595" t="s">
        <v>1476</v>
      </c>
      <c r="I595"/>
      <c r="J595"/>
      <c r="K595"/>
      <c r="L595"/>
      <c r="M595"/>
      <c r="N595"/>
      <c r="O595"/>
      <c r="P595"/>
      <c r="Q595"/>
      <c r="R595"/>
      <c r="S595" s="56">
        <f t="shared" si="27"/>
        <v>21</v>
      </c>
      <c r="T595" s="57" t="str">
        <f t="shared" si="28"/>
        <v>4-30 Days</v>
      </c>
      <c r="U595" s="58" t="str">
        <f t="shared" si="29"/>
        <v>Not Applicable</v>
      </c>
    </row>
    <row r="596" spans="1:21" ht="23.25" customHeight="1" x14ac:dyDescent="0.35">
      <c r="A596" t="s">
        <v>1462</v>
      </c>
      <c r="B596" t="s">
        <v>1462</v>
      </c>
      <c r="C596">
        <v>71.2</v>
      </c>
      <c r="D596">
        <v>0</v>
      </c>
      <c r="E596" t="s">
        <v>1477</v>
      </c>
      <c r="F596" t="s">
        <v>57</v>
      </c>
      <c r="G596" t="s">
        <v>57</v>
      </c>
      <c r="H596" t="s">
        <v>1478</v>
      </c>
      <c r="I596"/>
      <c r="J596"/>
      <c r="K596"/>
      <c r="L596"/>
      <c r="M596"/>
      <c r="N596"/>
      <c r="O596"/>
      <c r="P596"/>
      <c r="Q596"/>
      <c r="R596"/>
      <c r="S596" s="56">
        <f t="shared" si="27"/>
        <v>21</v>
      </c>
      <c r="T596" s="57" t="str">
        <f t="shared" si="28"/>
        <v>4-30 Days</v>
      </c>
      <c r="U596" s="58" t="str">
        <f t="shared" si="29"/>
        <v>Normal</v>
      </c>
    </row>
    <row r="597" spans="1:21" ht="23.25" customHeight="1" x14ac:dyDescent="0.35">
      <c r="A597" t="s">
        <v>1462</v>
      </c>
      <c r="B597" t="s">
        <v>1462</v>
      </c>
      <c r="C597">
        <v>0</v>
      </c>
      <c r="D597">
        <v>96</v>
      </c>
      <c r="E597" t="s">
        <v>1479</v>
      </c>
      <c r="F597" t="s">
        <v>1480</v>
      </c>
      <c r="G597" t="s">
        <v>1481</v>
      </c>
      <c r="H597" t="s">
        <v>1482</v>
      </c>
      <c r="I597"/>
      <c r="J597"/>
      <c r="K597"/>
      <c r="L597"/>
      <c r="M597"/>
      <c r="N597"/>
      <c r="O597"/>
      <c r="P597"/>
      <c r="Q597"/>
      <c r="R597"/>
      <c r="S597" s="56">
        <f t="shared" si="27"/>
        <v>21</v>
      </c>
      <c r="T597" s="57" t="str">
        <f t="shared" si="28"/>
        <v>4-30 Days</v>
      </c>
      <c r="U597" s="58" t="str">
        <f t="shared" si="29"/>
        <v>Not Applicable</v>
      </c>
    </row>
    <row r="598" spans="1:21" ht="23.25" customHeight="1" x14ac:dyDescent="0.35">
      <c r="A598" t="s">
        <v>1462</v>
      </c>
      <c r="B598" t="s">
        <v>1462</v>
      </c>
      <c r="C598">
        <v>316000</v>
      </c>
      <c r="D598">
        <v>0</v>
      </c>
      <c r="E598" t="s">
        <v>1483</v>
      </c>
      <c r="F598" t="s">
        <v>1484</v>
      </c>
      <c r="G598" t="s">
        <v>57</v>
      </c>
      <c r="H598" t="s">
        <v>1485</v>
      </c>
      <c r="I598"/>
      <c r="J598"/>
      <c r="K598"/>
      <c r="L598"/>
      <c r="M598"/>
      <c r="N598"/>
      <c r="O598"/>
      <c r="P598"/>
      <c r="Q598"/>
      <c r="R598"/>
      <c r="S598" s="56">
        <f t="shared" si="27"/>
        <v>21</v>
      </c>
      <c r="T598" s="57" t="str">
        <f t="shared" si="28"/>
        <v>4-30 Days</v>
      </c>
      <c r="U598" s="58" t="str">
        <f t="shared" si="29"/>
        <v>Normal</v>
      </c>
    </row>
    <row r="599" spans="1:21" ht="23.25" customHeight="1" x14ac:dyDescent="0.35">
      <c r="A599" t="s">
        <v>1462</v>
      </c>
      <c r="B599" t="s">
        <v>1462</v>
      </c>
      <c r="C599">
        <v>29696.75</v>
      </c>
      <c r="D599">
        <v>0</v>
      </c>
      <c r="E599" t="s">
        <v>1486</v>
      </c>
      <c r="F599" t="s">
        <v>57</v>
      </c>
      <c r="G599" t="s">
        <v>57</v>
      </c>
      <c r="H599" t="s">
        <v>1487</v>
      </c>
      <c r="I599"/>
      <c r="J599"/>
      <c r="K599"/>
      <c r="L599"/>
      <c r="M599"/>
      <c r="N599"/>
      <c r="O599"/>
      <c r="P599"/>
      <c r="Q599"/>
      <c r="R599"/>
      <c r="S599" s="56">
        <f t="shared" si="27"/>
        <v>21</v>
      </c>
      <c r="T599" s="57" t="str">
        <f t="shared" si="28"/>
        <v>4-30 Days</v>
      </c>
      <c r="U599" s="58" t="str">
        <f t="shared" si="29"/>
        <v>Normal</v>
      </c>
    </row>
    <row r="600" spans="1:21" ht="23.25" customHeight="1" x14ac:dyDescent="0.35">
      <c r="A600" t="s">
        <v>1462</v>
      </c>
      <c r="B600" t="s">
        <v>1462</v>
      </c>
      <c r="C600">
        <v>80</v>
      </c>
      <c r="D600">
        <v>0</v>
      </c>
      <c r="E600" t="s">
        <v>1488</v>
      </c>
      <c r="F600" t="s">
        <v>57</v>
      </c>
      <c r="G600" t="s">
        <v>57</v>
      </c>
      <c r="H600" t="s">
        <v>1489</v>
      </c>
      <c r="I600"/>
      <c r="J600"/>
      <c r="K600"/>
      <c r="L600"/>
      <c r="M600"/>
      <c r="N600"/>
      <c r="O600"/>
      <c r="P600"/>
      <c r="Q600"/>
      <c r="R600"/>
      <c r="S600" s="56">
        <f t="shared" si="27"/>
        <v>21</v>
      </c>
      <c r="T600" s="57" t="str">
        <f t="shared" si="28"/>
        <v>4-30 Days</v>
      </c>
      <c r="U600" s="58" t="str">
        <f t="shared" si="29"/>
        <v>Normal</v>
      </c>
    </row>
    <row r="601" spans="1:21" ht="23.25" customHeight="1" x14ac:dyDescent="0.35">
      <c r="A601" t="s">
        <v>1462</v>
      </c>
      <c r="B601" t="s">
        <v>1462</v>
      </c>
      <c r="C601">
        <v>15000</v>
      </c>
      <c r="D601">
        <v>0</v>
      </c>
      <c r="E601" t="s">
        <v>1490</v>
      </c>
      <c r="F601" t="s">
        <v>1491</v>
      </c>
      <c r="G601" t="s">
        <v>57</v>
      </c>
      <c r="H601" t="s">
        <v>1492</v>
      </c>
      <c r="I601"/>
      <c r="J601"/>
      <c r="K601"/>
      <c r="L601"/>
      <c r="M601"/>
      <c r="N601"/>
      <c r="O601"/>
      <c r="P601"/>
      <c r="Q601"/>
      <c r="R601"/>
      <c r="S601" s="56">
        <f t="shared" si="27"/>
        <v>21</v>
      </c>
      <c r="T601" s="57" t="str">
        <f t="shared" si="28"/>
        <v>4-30 Days</v>
      </c>
      <c r="U601" s="58" t="str">
        <f t="shared" si="29"/>
        <v>Normal</v>
      </c>
    </row>
    <row r="602" spans="1:21" ht="23.25" customHeight="1" x14ac:dyDescent="0.35">
      <c r="A602" t="s">
        <v>1493</v>
      </c>
      <c r="B602" t="s">
        <v>1493</v>
      </c>
      <c r="C602">
        <v>8090</v>
      </c>
      <c r="D602">
        <v>0</v>
      </c>
      <c r="E602" t="s">
        <v>1494</v>
      </c>
      <c r="F602" t="s">
        <v>57</v>
      </c>
      <c r="G602" t="s">
        <v>57</v>
      </c>
      <c r="H602" t="s">
        <v>1495</v>
      </c>
      <c r="I602"/>
      <c r="J602"/>
      <c r="K602"/>
      <c r="L602"/>
      <c r="M602"/>
      <c r="N602"/>
      <c r="O602"/>
      <c r="P602"/>
      <c r="Q602"/>
      <c r="R602"/>
      <c r="S602" s="56">
        <f t="shared" si="27"/>
        <v>20</v>
      </c>
      <c r="T602" s="57" t="str">
        <f t="shared" si="28"/>
        <v>4-30 Days</v>
      </c>
      <c r="U602" s="58" t="str">
        <f t="shared" si="29"/>
        <v>Normal</v>
      </c>
    </row>
    <row r="603" spans="1:21" ht="23.25" customHeight="1" x14ac:dyDescent="0.35">
      <c r="A603" t="s">
        <v>1493</v>
      </c>
      <c r="B603" t="s">
        <v>1493</v>
      </c>
      <c r="C603">
        <v>15000000</v>
      </c>
      <c r="D603">
        <v>0</v>
      </c>
      <c r="E603" t="s">
        <v>1496</v>
      </c>
      <c r="F603" t="s">
        <v>57</v>
      </c>
      <c r="G603" t="s">
        <v>57</v>
      </c>
      <c r="H603" t="s">
        <v>1497</v>
      </c>
      <c r="I603"/>
      <c r="J603"/>
      <c r="K603"/>
      <c r="L603"/>
      <c r="M603"/>
      <c r="N603"/>
      <c r="O603"/>
      <c r="P603"/>
      <c r="Q603"/>
      <c r="R603"/>
      <c r="S603" s="56">
        <f t="shared" si="27"/>
        <v>20</v>
      </c>
      <c r="T603" s="57" t="str">
        <f t="shared" si="28"/>
        <v>4-30 Days</v>
      </c>
      <c r="U603" s="58" t="str">
        <f t="shared" si="29"/>
        <v>Normal</v>
      </c>
    </row>
    <row r="604" spans="1:21" ht="23.25" customHeight="1" x14ac:dyDescent="0.35">
      <c r="A604" t="s">
        <v>1493</v>
      </c>
      <c r="B604" t="s">
        <v>1493</v>
      </c>
      <c r="C604">
        <v>15000</v>
      </c>
      <c r="D604">
        <v>0</v>
      </c>
      <c r="E604" t="s">
        <v>1498</v>
      </c>
      <c r="F604" t="s">
        <v>1499</v>
      </c>
      <c r="G604" t="s">
        <v>57</v>
      </c>
      <c r="H604" t="s">
        <v>1500</v>
      </c>
      <c r="I604"/>
      <c r="J604"/>
      <c r="K604"/>
      <c r="L604"/>
      <c r="M604"/>
      <c r="N604"/>
      <c r="O604"/>
      <c r="P604"/>
      <c r="Q604"/>
      <c r="R604"/>
      <c r="S604" s="56">
        <f t="shared" si="27"/>
        <v>20</v>
      </c>
      <c r="T604" s="57" t="str">
        <f t="shared" si="28"/>
        <v>4-30 Days</v>
      </c>
      <c r="U604" s="58" t="str">
        <f t="shared" si="29"/>
        <v>Normal</v>
      </c>
    </row>
    <row r="605" spans="1:21" ht="23.25" customHeight="1" x14ac:dyDescent="0.35">
      <c r="A605" t="s">
        <v>1493</v>
      </c>
      <c r="B605" t="s">
        <v>1493</v>
      </c>
      <c r="C605">
        <v>978820.23</v>
      </c>
      <c r="D605">
        <v>0</v>
      </c>
      <c r="E605" t="s">
        <v>1501</v>
      </c>
      <c r="F605" t="s">
        <v>57</v>
      </c>
      <c r="G605" t="s">
        <v>57</v>
      </c>
      <c r="H605" t="s">
        <v>1502</v>
      </c>
      <c r="I605"/>
      <c r="J605"/>
      <c r="K605"/>
      <c r="L605"/>
      <c r="M605"/>
      <c r="N605"/>
      <c r="O605"/>
      <c r="P605"/>
      <c r="Q605"/>
      <c r="R605"/>
      <c r="S605" s="56">
        <f t="shared" si="27"/>
        <v>20</v>
      </c>
      <c r="T605" s="57" t="str">
        <f t="shared" si="28"/>
        <v>4-30 Days</v>
      </c>
      <c r="U605" s="58" t="str">
        <f t="shared" si="29"/>
        <v>Normal</v>
      </c>
    </row>
    <row r="606" spans="1:21" ht="23.25" customHeight="1" x14ac:dyDescent="0.35">
      <c r="A606" t="s">
        <v>1493</v>
      </c>
      <c r="B606" t="s">
        <v>1493</v>
      </c>
      <c r="C606">
        <v>0</v>
      </c>
      <c r="D606">
        <v>3000</v>
      </c>
      <c r="E606" t="s">
        <v>1503</v>
      </c>
      <c r="F606" t="s">
        <v>1504</v>
      </c>
      <c r="G606" t="s">
        <v>1505</v>
      </c>
      <c r="H606" t="s">
        <v>1506</v>
      </c>
      <c r="I606"/>
      <c r="J606"/>
      <c r="K606"/>
      <c r="L606"/>
      <c r="M606"/>
      <c r="N606"/>
      <c r="O606"/>
      <c r="P606"/>
      <c r="Q606"/>
      <c r="R606"/>
      <c r="S606" s="56">
        <f t="shared" si="27"/>
        <v>20</v>
      </c>
      <c r="T606" s="57" t="str">
        <f t="shared" si="28"/>
        <v>4-30 Days</v>
      </c>
      <c r="U606" s="58" t="str">
        <f t="shared" si="29"/>
        <v>Not Applicable</v>
      </c>
    </row>
    <row r="607" spans="1:21" ht="23.25" customHeight="1" x14ac:dyDescent="0.35">
      <c r="A607" t="s">
        <v>1493</v>
      </c>
      <c r="B607" t="s">
        <v>1493</v>
      </c>
      <c r="C607">
        <v>350258.61</v>
      </c>
      <c r="D607">
        <v>0</v>
      </c>
      <c r="E607" t="s">
        <v>1507</v>
      </c>
      <c r="F607" t="s">
        <v>57</v>
      </c>
      <c r="G607" t="s">
        <v>57</v>
      </c>
      <c r="H607" t="s">
        <v>1508</v>
      </c>
      <c r="I607"/>
      <c r="J607"/>
      <c r="K607"/>
      <c r="L607"/>
      <c r="M607"/>
      <c r="N607"/>
      <c r="O607"/>
      <c r="P607"/>
      <c r="Q607"/>
      <c r="R607"/>
      <c r="S607" s="56">
        <f t="shared" si="27"/>
        <v>20</v>
      </c>
      <c r="T607" s="57" t="str">
        <f t="shared" si="28"/>
        <v>4-30 Days</v>
      </c>
      <c r="U607" s="58" t="str">
        <f t="shared" si="29"/>
        <v>Normal</v>
      </c>
    </row>
    <row r="608" spans="1:21" ht="23.25" customHeight="1" x14ac:dyDescent="0.35">
      <c r="A608" t="s">
        <v>1493</v>
      </c>
      <c r="B608" t="s">
        <v>1493</v>
      </c>
      <c r="C608">
        <v>0</v>
      </c>
      <c r="D608">
        <v>1000000</v>
      </c>
      <c r="E608" t="s">
        <v>1509</v>
      </c>
      <c r="F608" t="s">
        <v>57</v>
      </c>
      <c r="G608" t="s">
        <v>57</v>
      </c>
      <c r="H608" t="s">
        <v>1510</v>
      </c>
      <c r="I608"/>
      <c r="J608"/>
      <c r="K608"/>
      <c r="L608"/>
      <c r="M608"/>
      <c r="N608"/>
      <c r="O608"/>
      <c r="P608"/>
      <c r="Q608"/>
      <c r="R608"/>
      <c r="S608" s="56">
        <f t="shared" si="27"/>
        <v>20</v>
      </c>
      <c r="T608" s="57" t="str">
        <f t="shared" si="28"/>
        <v>4-30 Days</v>
      </c>
      <c r="U608" s="58" t="str">
        <f t="shared" si="29"/>
        <v>Not Applicable</v>
      </c>
    </row>
    <row r="609" spans="1:21" ht="23.25" customHeight="1" x14ac:dyDescent="0.35">
      <c r="A609" t="s">
        <v>1493</v>
      </c>
      <c r="B609" t="s">
        <v>1493</v>
      </c>
      <c r="C609">
        <v>0</v>
      </c>
      <c r="D609">
        <v>15000</v>
      </c>
      <c r="E609" t="s">
        <v>1511</v>
      </c>
      <c r="F609" t="s">
        <v>1512</v>
      </c>
      <c r="G609" t="s">
        <v>1513</v>
      </c>
      <c r="H609" t="s">
        <v>1514</v>
      </c>
      <c r="I609"/>
      <c r="J609"/>
      <c r="K609"/>
      <c r="L609"/>
      <c r="M609"/>
      <c r="N609"/>
      <c r="O609"/>
      <c r="P609"/>
      <c r="Q609"/>
      <c r="R609"/>
      <c r="S609" s="56">
        <f t="shared" si="27"/>
        <v>20</v>
      </c>
      <c r="T609" s="57" t="str">
        <f t="shared" si="28"/>
        <v>4-30 Days</v>
      </c>
      <c r="U609" s="58" t="str">
        <f t="shared" si="29"/>
        <v>Not Applicable</v>
      </c>
    </row>
    <row r="610" spans="1:21" ht="23.25" customHeight="1" x14ac:dyDescent="0.35">
      <c r="A610" t="s">
        <v>1493</v>
      </c>
      <c r="B610" t="s">
        <v>1493</v>
      </c>
      <c r="C610">
        <v>0</v>
      </c>
      <c r="D610">
        <v>480000</v>
      </c>
      <c r="E610" t="s">
        <v>1515</v>
      </c>
      <c r="F610" t="s">
        <v>57</v>
      </c>
      <c r="G610" t="s">
        <v>57</v>
      </c>
      <c r="H610" t="s">
        <v>1516</v>
      </c>
      <c r="I610"/>
      <c r="J610"/>
      <c r="K610"/>
      <c r="L610"/>
      <c r="M610"/>
      <c r="N610"/>
      <c r="O610"/>
      <c r="P610"/>
      <c r="Q610"/>
      <c r="R610"/>
      <c r="S610" s="56">
        <f t="shared" si="27"/>
        <v>20</v>
      </c>
      <c r="T610" s="57" t="str">
        <f t="shared" si="28"/>
        <v>4-30 Days</v>
      </c>
      <c r="U610" s="58" t="str">
        <f t="shared" si="29"/>
        <v>Not Applicable</v>
      </c>
    </row>
    <row r="611" spans="1:21" ht="23.25" customHeight="1" x14ac:dyDescent="0.35">
      <c r="A611" t="s">
        <v>1493</v>
      </c>
      <c r="B611" t="s">
        <v>1493</v>
      </c>
      <c r="C611">
        <v>0</v>
      </c>
      <c r="D611">
        <v>350000</v>
      </c>
      <c r="E611" t="s">
        <v>1517</v>
      </c>
      <c r="F611" t="s">
        <v>57</v>
      </c>
      <c r="G611" t="s">
        <v>57</v>
      </c>
      <c r="H611" t="s">
        <v>1518</v>
      </c>
      <c r="I611"/>
      <c r="J611"/>
      <c r="K611"/>
      <c r="L611"/>
      <c r="M611"/>
      <c r="N611"/>
      <c r="O611"/>
      <c r="P611"/>
      <c r="Q611"/>
      <c r="R611"/>
      <c r="S611" s="56">
        <f t="shared" si="27"/>
        <v>20</v>
      </c>
      <c r="T611" s="57" t="str">
        <f t="shared" si="28"/>
        <v>4-30 Days</v>
      </c>
      <c r="U611" s="58" t="str">
        <f t="shared" si="29"/>
        <v>Not Applicable</v>
      </c>
    </row>
    <row r="612" spans="1:21" ht="23.25" customHeight="1" x14ac:dyDescent="0.35">
      <c r="A612" t="s">
        <v>1493</v>
      </c>
      <c r="B612" t="s">
        <v>1493</v>
      </c>
      <c r="C612">
        <v>3000</v>
      </c>
      <c r="D612">
        <v>0</v>
      </c>
      <c r="E612" t="s">
        <v>1519</v>
      </c>
      <c r="F612" t="s">
        <v>1520</v>
      </c>
      <c r="G612" t="s">
        <v>57</v>
      </c>
      <c r="H612" t="s">
        <v>1521</v>
      </c>
      <c r="I612"/>
      <c r="J612"/>
      <c r="K612"/>
      <c r="L612"/>
      <c r="M612"/>
      <c r="N612"/>
      <c r="O612"/>
      <c r="P612"/>
      <c r="Q612"/>
      <c r="R612"/>
      <c r="S612" s="56">
        <f t="shared" si="27"/>
        <v>20</v>
      </c>
      <c r="T612" s="57" t="str">
        <f t="shared" si="28"/>
        <v>4-30 Days</v>
      </c>
      <c r="U612" s="58" t="str">
        <f t="shared" si="29"/>
        <v>Normal</v>
      </c>
    </row>
    <row r="613" spans="1:21" ht="23.25" customHeight="1" x14ac:dyDescent="0.35">
      <c r="A613" t="s">
        <v>1493</v>
      </c>
      <c r="B613" t="s">
        <v>1493</v>
      </c>
      <c r="C613">
        <v>0</v>
      </c>
      <c r="D613">
        <v>700000</v>
      </c>
      <c r="E613" t="s">
        <v>1522</v>
      </c>
      <c r="F613" t="s">
        <v>57</v>
      </c>
      <c r="G613" t="s">
        <v>57</v>
      </c>
      <c r="H613" t="s">
        <v>1523</v>
      </c>
      <c r="I613"/>
      <c r="J613"/>
      <c r="K613"/>
      <c r="L613"/>
      <c r="M613"/>
      <c r="N613"/>
      <c r="O613"/>
      <c r="P613"/>
      <c r="Q613"/>
      <c r="R613"/>
      <c r="S613" s="56">
        <f t="shared" si="27"/>
        <v>20</v>
      </c>
      <c r="T613" s="57" t="str">
        <f t="shared" si="28"/>
        <v>4-30 Days</v>
      </c>
      <c r="U613" s="58" t="str">
        <f t="shared" si="29"/>
        <v>Not Applicable</v>
      </c>
    </row>
    <row r="614" spans="1:21" ht="23.25" customHeight="1" x14ac:dyDescent="0.35">
      <c r="A614" t="s">
        <v>1524</v>
      </c>
      <c r="B614" t="s">
        <v>1524</v>
      </c>
      <c r="C614">
        <v>0</v>
      </c>
      <c r="D614">
        <v>200000</v>
      </c>
      <c r="E614" t="s">
        <v>1525</v>
      </c>
      <c r="F614" t="s">
        <v>57</v>
      </c>
      <c r="G614" t="s">
        <v>57</v>
      </c>
      <c r="H614" t="s">
        <v>1526</v>
      </c>
      <c r="I614"/>
      <c r="J614"/>
      <c r="K614"/>
      <c r="L614"/>
      <c r="M614"/>
      <c r="N614"/>
      <c r="O614"/>
      <c r="P614"/>
      <c r="Q614"/>
      <c r="R614"/>
      <c r="S614" s="56">
        <f t="shared" si="27"/>
        <v>19</v>
      </c>
      <c r="T614" s="57" t="str">
        <f t="shared" si="28"/>
        <v>4-30 Days</v>
      </c>
      <c r="U614" s="58" t="str">
        <f t="shared" si="29"/>
        <v>Not Applicable</v>
      </c>
    </row>
    <row r="615" spans="1:21" ht="23.25" customHeight="1" x14ac:dyDescent="0.35">
      <c r="A615" t="s">
        <v>1524</v>
      </c>
      <c r="B615" t="s">
        <v>1524</v>
      </c>
      <c r="C615">
        <v>0</v>
      </c>
      <c r="D615">
        <v>925626.2</v>
      </c>
      <c r="E615" t="s">
        <v>1527</v>
      </c>
      <c r="F615" t="s">
        <v>57</v>
      </c>
      <c r="G615" t="s">
        <v>57</v>
      </c>
      <c r="H615" t="s">
        <v>1528</v>
      </c>
      <c r="I615"/>
      <c r="J615"/>
      <c r="K615"/>
      <c r="L615"/>
      <c r="M615"/>
      <c r="N615"/>
      <c r="O615"/>
      <c r="P615"/>
      <c r="Q615"/>
      <c r="R615"/>
      <c r="S615" s="56">
        <f t="shared" si="27"/>
        <v>19</v>
      </c>
      <c r="T615" s="57" t="str">
        <f t="shared" si="28"/>
        <v>4-30 Days</v>
      </c>
      <c r="U615" s="58" t="str">
        <f t="shared" si="29"/>
        <v>Not Applicable</v>
      </c>
    </row>
    <row r="616" spans="1:21" ht="23.25" customHeight="1" x14ac:dyDescent="0.35">
      <c r="A616" t="s">
        <v>1524</v>
      </c>
      <c r="B616" t="s">
        <v>1524</v>
      </c>
      <c r="C616">
        <v>0</v>
      </c>
      <c r="D616">
        <v>1337778.33</v>
      </c>
      <c r="E616" t="s">
        <v>1529</v>
      </c>
      <c r="F616" t="s">
        <v>57</v>
      </c>
      <c r="G616" t="s">
        <v>57</v>
      </c>
      <c r="H616" t="s">
        <v>1530</v>
      </c>
      <c r="I616"/>
      <c r="J616"/>
      <c r="K616"/>
      <c r="L616"/>
      <c r="M616"/>
      <c r="N616"/>
      <c r="O616"/>
      <c r="P616"/>
      <c r="Q616"/>
      <c r="R616"/>
      <c r="S616" s="56">
        <f t="shared" si="27"/>
        <v>19</v>
      </c>
      <c r="T616" s="57" t="str">
        <f t="shared" si="28"/>
        <v>4-30 Days</v>
      </c>
      <c r="U616" s="58" t="str">
        <f t="shared" si="29"/>
        <v>Not Applicable</v>
      </c>
    </row>
    <row r="617" spans="1:21" ht="23.25" customHeight="1" x14ac:dyDescent="0.35">
      <c r="A617" t="s">
        <v>1524</v>
      </c>
      <c r="B617" t="s">
        <v>1524</v>
      </c>
      <c r="C617">
        <v>0</v>
      </c>
      <c r="D617">
        <v>3304740.38</v>
      </c>
      <c r="E617" t="s">
        <v>1531</v>
      </c>
      <c r="F617" t="s">
        <v>57</v>
      </c>
      <c r="G617" t="s">
        <v>57</v>
      </c>
      <c r="H617" t="s">
        <v>1532</v>
      </c>
      <c r="I617"/>
      <c r="J617"/>
      <c r="K617"/>
      <c r="L617"/>
      <c r="M617"/>
      <c r="N617"/>
      <c r="O617"/>
      <c r="P617"/>
      <c r="Q617"/>
      <c r="R617"/>
      <c r="S617" s="56">
        <f t="shared" si="27"/>
        <v>19</v>
      </c>
      <c r="T617" s="57" t="str">
        <f t="shared" si="28"/>
        <v>4-30 Days</v>
      </c>
      <c r="U617" s="58" t="str">
        <f t="shared" si="29"/>
        <v>Not Applicable</v>
      </c>
    </row>
    <row r="618" spans="1:21" ht="23.25" customHeight="1" x14ac:dyDescent="0.35">
      <c r="A618" t="s">
        <v>1524</v>
      </c>
      <c r="B618" t="s">
        <v>1524</v>
      </c>
      <c r="C618">
        <v>5003888.8899999997</v>
      </c>
      <c r="D618">
        <v>0</v>
      </c>
      <c r="E618" t="s">
        <v>1533</v>
      </c>
      <c r="F618" t="s">
        <v>57</v>
      </c>
      <c r="G618" t="s">
        <v>57</v>
      </c>
      <c r="H618" t="s">
        <v>1534</v>
      </c>
      <c r="I618"/>
      <c r="J618"/>
      <c r="K618"/>
      <c r="L618"/>
      <c r="M618"/>
      <c r="N618"/>
      <c r="O618"/>
      <c r="P618"/>
      <c r="Q618"/>
      <c r="R618"/>
      <c r="S618" s="56">
        <f t="shared" si="27"/>
        <v>19</v>
      </c>
      <c r="T618" s="57" t="str">
        <f t="shared" si="28"/>
        <v>4-30 Days</v>
      </c>
      <c r="U618" s="58" t="str">
        <f t="shared" si="29"/>
        <v>Normal</v>
      </c>
    </row>
    <row r="619" spans="1:21" ht="23.25" customHeight="1" x14ac:dyDescent="0.35">
      <c r="A619" t="s">
        <v>1524</v>
      </c>
      <c r="B619" t="s">
        <v>1524</v>
      </c>
      <c r="C619">
        <v>0</v>
      </c>
      <c r="D619">
        <v>5000000</v>
      </c>
      <c r="E619" t="s">
        <v>1535</v>
      </c>
      <c r="F619" t="s">
        <v>57</v>
      </c>
      <c r="G619" t="s">
        <v>57</v>
      </c>
      <c r="H619" t="s">
        <v>1536</v>
      </c>
      <c r="I619"/>
      <c r="J619"/>
      <c r="K619"/>
      <c r="L619"/>
      <c r="M619"/>
      <c r="N619"/>
      <c r="O619"/>
      <c r="P619"/>
      <c r="Q619"/>
      <c r="R619"/>
      <c r="S619" s="56">
        <f t="shared" si="27"/>
        <v>19</v>
      </c>
      <c r="T619" s="57" t="str">
        <f t="shared" si="28"/>
        <v>4-30 Days</v>
      </c>
      <c r="U619" s="58" t="str">
        <f t="shared" si="29"/>
        <v>Not Applicable</v>
      </c>
    </row>
    <row r="620" spans="1:21" ht="23.25" customHeight="1" x14ac:dyDescent="0.35">
      <c r="A620" t="s">
        <v>1524</v>
      </c>
      <c r="B620" t="s">
        <v>1524</v>
      </c>
      <c r="C620">
        <v>0</v>
      </c>
      <c r="D620">
        <v>1361.9</v>
      </c>
      <c r="E620" t="s">
        <v>1537</v>
      </c>
      <c r="F620" t="s">
        <v>1538</v>
      </c>
      <c r="G620" t="s">
        <v>1539</v>
      </c>
      <c r="H620" t="s">
        <v>1540</v>
      </c>
      <c r="I620"/>
      <c r="J620"/>
      <c r="K620"/>
      <c r="L620"/>
      <c r="M620"/>
      <c r="N620"/>
      <c r="O620"/>
      <c r="P620"/>
      <c r="Q620"/>
      <c r="R620"/>
      <c r="S620" s="56">
        <f t="shared" si="27"/>
        <v>19</v>
      </c>
      <c r="T620" s="57" t="str">
        <f t="shared" si="28"/>
        <v>4-30 Days</v>
      </c>
      <c r="U620" s="58" t="str">
        <f t="shared" si="29"/>
        <v>Not Applicable</v>
      </c>
    </row>
    <row r="621" spans="1:21" ht="23.25" customHeight="1" x14ac:dyDescent="0.35">
      <c r="A621" t="s">
        <v>1524</v>
      </c>
      <c r="B621" t="s">
        <v>1524</v>
      </c>
      <c r="C621">
        <v>0</v>
      </c>
      <c r="D621">
        <v>550789.87</v>
      </c>
      <c r="E621" t="s">
        <v>1541</v>
      </c>
      <c r="F621" t="s">
        <v>57</v>
      </c>
      <c r="G621" t="s">
        <v>57</v>
      </c>
      <c r="H621" t="s">
        <v>1542</v>
      </c>
      <c r="I621"/>
      <c r="J621"/>
      <c r="K621"/>
      <c r="L621"/>
      <c r="M621"/>
      <c r="N621"/>
      <c r="O621"/>
      <c r="P621"/>
      <c r="Q621"/>
      <c r="R621"/>
      <c r="S621" s="56">
        <f t="shared" si="27"/>
        <v>19</v>
      </c>
      <c r="T621" s="57" t="str">
        <f t="shared" si="28"/>
        <v>4-30 Days</v>
      </c>
      <c r="U621" s="58" t="str">
        <f t="shared" si="29"/>
        <v>Not Applicable</v>
      </c>
    </row>
    <row r="622" spans="1:21" ht="23.25" customHeight="1" x14ac:dyDescent="0.35">
      <c r="A622" t="s">
        <v>1524</v>
      </c>
      <c r="B622" t="s">
        <v>1524</v>
      </c>
      <c r="C622">
        <v>0</v>
      </c>
      <c r="D622">
        <v>5000000</v>
      </c>
      <c r="E622" t="s">
        <v>1543</v>
      </c>
      <c r="F622" t="s">
        <v>57</v>
      </c>
      <c r="G622" t="s">
        <v>57</v>
      </c>
      <c r="H622" t="s">
        <v>1544</v>
      </c>
      <c r="I622"/>
      <c r="J622"/>
      <c r="K622"/>
      <c r="L622"/>
      <c r="M622"/>
      <c r="N622"/>
      <c r="O622"/>
      <c r="P622"/>
      <c r="Q622"/>
      <c r="R622"/>
      <c r="S622" s="56">
        <f t="shared" si="27"/>
        <v>19</v>
      </c>
      <c r="T622" s="57" t="str">
        <f t="shared" si="28"/>
        <v>4-30 Days</v>
      </c>
      <c r="U622" s="58" t="str">
        <f t="shared" si="29"/>
        <v>Not Applicable</v>
      </c>
    </row>
    <row r="623" spans="1:21" ht="23.25" customHeight="1" x14ac:dyDescent="0.35">
      <c r="A623" t="s">
        <v>1524</v>
      </c>
      <c r="B623" t="s">
        <v>1524</v>
      </c>
      <c r="C623">
        <v>21375.95</v>
      </c>
      <c r="D623">
        <v>0</v>
      </c>
      <c r="E623" t="s">
        <v>1545</v>
      </c>
      <c r="F623" t="s">
        <v>57</v>
      </c>
      <c r="G623" t="s">
        <v>57</v>
      </c>
      <c r="H623" t="s">
        <v>1546</v>
      </c>
      <c r="I623"/>
      <c r="J623"/>
      <c r="K623"/>
      <c r="L623"/>
      <c r="M623"/>
      <c r="N623"/>
      <c r="O623"/>
      <c r="P623"/>
      <c r="Q623"/>
      <c r="R623"/>
      <c r="S623" s="56">
        <f t="shared" si="27"/>
        <v>19</v>
      </c>
      <c r="T623" s="57" t="str">
        <f t="shared" si="28"/>
        <v>4-30 Days</v>
      </c>
      <c r="U623" s="58" t="str">
        <f t="shared" si="29"/>
        <v>Normal</v>
      </c>
    </row>
    <row r="624" spans="1:21" ht="23.25" customHeight="1" x14ac:dyDescent="0.35">
      <c r="A624" t="s">
        <v>1524</v>
      </c>
      <c r="B624" t="s">
        <v>1524</v>
      </c>
      <c r="C624">
        <v>0</v>
      </c>
      <c r="D624">
        <v>1041332.85</v>
      </c>
      <c r="E624" t="s">
        <v>1547</v>
      </c>
      <c r="F624" t="s">
        <v>57</v>
      </c>
      <c r="G624" t="s">
        <v>57</v>
      </c>
      <c r="H624" t="s">
        <v>1548</v>
      </c>
      <c r="I624"/>
      <c r="J624"/>
      <c r="K624"/>
      <c r="L624"/>
      <c r="M624"/>
      <c r="N624"/>
      <c r="O624"/>
      <c r="P624"/>
      <c r="Q624"/>
      <c r="R624"/>
      <c r="S624" s="56">
        <f t="shared" si="27"/>
        <v>19</v>
      </c>
      <c r="T624" s="57" t="str">
        <f t="shared" si="28"/>
        <v>4-30 Days</v>
      </c>
      <c r="U624" s="58" t="str">
        <f t="shared" si="29"/>
        <v>Not Applicable</v>
      </c>
    </row>
    <row r="625" spans="1:21" ht="23.25" customHeight="1" x14ac:dyDescent="0.35">
      <c r="A625" t="s">
        <v>1524</v>
      </c>
      <c r="B625" t="s">
        <v>1524</v>
      </c>
      <c r="C625">
        <v>5003888.8899999997</v>
      </c>
      <c r="D625">
        <v>0</v>
      </c>
      <c r="E625" t="s">
        <v>1549</v>
      </c>
      <c r="F625" t="s">
        <v>57</v>
      </c>
      <c r="G625" t="s">
        <v>57</v>
      </c>
      <c r="H625" t="s">
        <v>1550</v>
      </c>
      <c r="I625"/>
      <c r="J625"/>
      <c r="K625"/>
      <c r="L625"/>
      <c r="M625"/>
      <c r="N625"/>
      <c r="O625"/>
      <c r="P625"/>
      <c r="Q625"/>
      <c r="R625"/>
      <c r="S625" s="56">
        <f t="shared" si="27"/>
        <v>19</v>
      </c>
      <c r="T625" s="57" t="str">
        <f t="shared" si="28"/>
        <v>4-30 Days</v>
      </c>
      <c r="U625" s="58" t="str">
        <f t="shared" si="29"/>
        <v>Normal</v>
      </c>
    </row>
    <row r="626" spans="1:21" ht="23.25" customHeight="1" x14ac:dyDescent="0.35">
      <c r="A626" t="s">
        <v>1551</v>
      </c>
      <c r="B626" t="s">
        <v>1551</v>
      </c>
      <c r="C626">
        <v>0</v>
      </c>
      <c r="D626">
        <v>433</v>
      </c>
      <c r="E626" t="s">
        <v>1552</v>
      </c>
      <c r="F626" t="s">
        <v>1553</v>
      </c>
      <c r="G626" t="s">
        <v>1554</v>
      </c>
      <c r="H626" t="s">
        <v>1555</v>
      </c>
      <c r="I626"/>
      <c r="J626"/>
      <c r="K626"/>
      <c r="L626"/>
      <c r="M626"/>
      <c r="N626"/>
      <c r="O626"/>
      <c r="P626"/>
      <c r="Q626"/>
      <c r="R626"/>
      <c r="S626" s="56">
        <f t="shared" si="27"/>
        <v>18</v>
      </c>
      <c r="T626" s="57" t="str">
        <f t="shared" si="28"/>
        <v>4-30 Days</v>
      </c>
      <c r="U626" s="58" t="str">
        <f t="shared" si="29"/>
        <v>Not Applicable</v>
      </c>
    </row>
    <row r="627" spans="1:21" ht="23.25" customHeight="1" x14ac:dyDescent="0.35">
      <c r="A627" t="s">
        <v>1551</v>
      </c>
      <c r="B627" t="s">
        <v>1551</v>
      </c>
      <c r="C627">
        <v>0</v>
      </c>
      <c r="D627">
        <v>577520.03</v>
      </c>
      <c r="E627" t="s">
        <v>1556</v>
      </c>
      <c r="F627" t="s">
        <v>57</v>
      </c>
      <c r="G627" t="s">
        <v>57</v>
      </c>
      <c r="H627" t="s">
        <v>1557</v>
      </c>
      <c r="I627"/>
      <c r="J627"/>
      <c r="K627"/>
      <c r="L627"/>
      <c r="M627"/>
      <c r="N627"/>
      <c r="O627"/>
      <c r="P627"/>
      <c r="Q627"/>
      <c r="R627"/>
      <c r="S627" s="56">
        <f t="shared" si="27"/>
        <v>18</v>
      </c>
      <c r="T627" s="57" t="str">
        <f t="shared" si="28"/>
        <v>4-30 Days</v>
      </c>
      <c r="U627" s="58" t="str">
        <f t="shared" si="29"/>
        <v>Not Applicable</v>
      </c>
    </row>
    <row r="628" spans="1:21" ht="23.25" customHeight="1" x14ac:dyDescent="0.35">
      <c r="A628" t="s">
        <v>1551</v>
      </c>
      <c r="B628" t="s">
        <v>1551</v>
      </c>
      <c r="C628">
        <v>0</v>
      </c>
      <c r="D628">
        <v>3800000</v>
      </c>
      <c r="E628" t="s">
        <v>1558</v>
      </c>
      <c r="F628" t="s">
        <v>57</v>
      </c>
      <c r="G628" t="s">
        <v>57</v>
      </c>
      <c r="H628" t="s">
        <v>1559</v>
      </c>
      <c r="I628"/>
      <c r="J628"/>
      <c r="K628"/>
      <c r="L628"/>
      <c r="M628"/>
      <c r="N628"/>
      <c r="O628"/>
      <c r="P628"/>
      <c r="Q628"/>
      <c r="R628"/>
      <c r="S628" s="56">
        <f t="shared" si="27"/>
        <v>18</v>
      </c>
      <c r="T628" s="57" t="str">
        <f t="shared" si="28"/>
        <v>4-30 Days</v>
      </c>
      <c r="U628" s="58" t="str">
        <f t="shared" si="29"/>
        <v>Not Applicable</v>
      </c>
    </row>
    <row r="629" spans="1:21" ht="23.25" customHeight="1" x14ac:dyDescent="0.35">
      <c r="A629" t="s">
        <v>1551</v>
      </c>
      <c r="B629" t="s">
        <v>1551</v>
      </c>
      <c r="C629">
        <v>0</v>
      </c>
      <c r="D629">
        <v>2270</v>
      </c>
      <c r="E629" t="s">
        <v>1560</v>
      </c>
      <c r="F629" t="s">
        <v>1561</v>
      </c>
      <c r="G629" t="s">
        <v>1562</v>
      </c>
      <c r="H629" t="s">
        <v>1563</v>
      </c>
      <c r="I629"/>
      <c r="J629"/>
      <c r="K629"/>
      <c r="L629"/>
      <c r="M629"/>
      <c r="N629"/>
      <c r="O629"/>
      <c r="P629"/>
      <c r="Q629"/>
      <c r="R629"/>
      <c r="S629" s="56">
        <f t="shared" si="27"/>
        <v>18</v>
      </c>
      <c r="T629" s="57" t="str">
        <f t="shared" si="28"/>
        <v>4-30 Days</v>
      </c>
      <c r="U629" s="58" t="str">
        <f t="shared" si="29"/>
        <v>Not Applicable</v>
      </c>
    </row>
    <row r="630" spans="1:21" ht="23.25" customHeight="1" x14ac:dyDescent="0.35">
      <c r="A630" t="s">
        <v>1551</v>
      </c>
      <c r="B630" t="s">
        <v>1551</v>
      </c>
      <c r="C630">
        <v>232.3</v>
      </c>
      <c r="D630">
        <v>0</v>
      </c>
      <c r="E630" t="s">
        <v>1564</v>
      </c>
      <c r="F630" t="s">
        <v>1565</v>
      </c>
      <c r="G630" t="s">
        <v>57</v>
      </c>
      <c r="H630" t="s">
        <v>1566</v>
      </c>
      <c r="I630"/>
      <c r="J630"/>
      <c r="K630"/>
      <c r="L630"/>
      <c r="M630"/>
      <c r="N630"/>
      <c r="O630"/>
      <c r="P630"/>
      <c r="Q630"/>
      <c r="R630"/>
      <c r="S630" s="56">
        <f t="shared" si="27"/>
        <v>18</v>
      </c>
      <c r="T630" s="57" t="str">
        <f t="shared" si="28"/>
        <v>4-30 Days</v>
      </c>
      <c r="U630" s="58" t="str">
        <f t="shared" si="29"/>
        <v>Normal</v>
      </c>
    </row>
    <row r="631" spans="1:21" ht="23.25" customHeight="1" x14ac:dyDescent="0.35">
      <c r="A631" t="s">
        <v>1551</v>
      </c>
      <c r="B631" t="s">
        <v>1551</v>
      </c>
      <c r="C631">
        <v>0</v>
      </c>
      <c r="D631">
        <v>572792.19999999995</v>
      </c>
      <c r="E631" t="s">
        <v>1567</v>
      </c>
      <c r="F631" t="s">
        <v>57</v>
      </c>
      <c r="G631" t="s">
        <v>57</v>
      </c>
      <c r="H631" t="s">
        <v>1568</v>
      </c>
      <c r="I631"/>
      <c r="J631"/>
      <c r="K631"/>
      <c r="L631"/>
      <c r="M631"/>
      <c r="N631"/>
      <c r="O631"/>
      <c r="P631"/>
      <c r="Q631"/>
      <c r="R631"/>
      <c r="S631" s="56">
        <f t="shared" si="27"/>
        <v>18</v>
      </c>
      <c r="T631" s="57" t="str">
        <f t="shared" si="28"/>
        <v>4-30 Days</v>
      </c>
      <c r="U631" s="58" t="str">
        <f t="shared" si="29"/>
        <v>Not Applicable</v>
      </c>
    </row>
    <row r="632" spans="1:21" ht="23.25" customHeight="1" x14ac:dyDescent="0.35">
      <c r="A632" t="s">
        <v>1551</v>
      </c>
      <c r="B632" t="s">
        <v>1551</v>
      </c>
      <c r="C632">
        <v>1870000</v>
      </c>
      <c r="D632">
        <v>0</v>
      </c>
      <c r="E632" t="s">
        <v>1569</v>
      </c>
      <c r="F632" t="s">
        <v>57</v>
      </c>
      <c r="G632" t="s">
        <v>57</v>
      </c>
      <c r="H632" t="s">
        <v>1570</v>
      </c>
      <c r="I632"/>
      <c r="J632"/>
      <c r="K632"/>
      <c r="L632"/>
      <c r="M632"/>
      <c r="N632"/>
      <c r="O632"/>
      <c r="P632"/>
      <c r="Q632"/>
      <c r="R632"/>
      <c r="S632" s="56">
        <f t="shared" si="27"/>
        <v>18</v>
      </c>
      <c r="T632" s="57" t="str">
        <f t="shared" si="28"/>
        <v>4-30 Days</v>
      </c>
      <c r="U632" s="58" t="str">
        <f t="shared" si="29"/>
        <v>Normal</v>
      </c>
    </row>
    <row r="633" spans="1:21" ht="23.25" customHeight="1" x14ac:dyDescent="0.35">
      <c r="A633" t="s">
        <v>1551</v>
      </c>
      <c r="B633" t="s">
        <v>1551</v>
      </c>
      <c r="C633">
        <v>0</v>
      </c>
      <c r="D633">
        <v>1235938.93</v>
      </c>
      <c r="E633" t="s">
        <v>1571</v>
      </c>
      <c r="F633" t="s">
        <v>57</v>
      </c>
      <c r="G633" t="s">
        <v>57</v>
      </c>
      <c r="H633" t="s">
        <v>1572</v>
      </c>
      <c r="I633"/>
      <c r="J633"/>
      <c r="K633"/>
      <c r="L633"/>
      <c r="M633"/>
      <c r="N633"/>
      <c r="O633"/>
      <c r="P633"/>
      <c r="Q633"/>
      <c r="R633"/>
      <c r="S633" s="56">
        <f t="shared" si="27"/>
        <v>18</v>
      </c>
      <c r="T633" s="57" t="str">
        <f t="shared" si="28"/>
        <v>4-30 Days</v>
      </c>
      <c r="U633" s="58" t="str">
        <f t="shared" si="29"/>
        <v>Not Applicable</v>
      </c>
    </row>
    <row r="634" spans="1:21" ht="23.25" customHeight="1" x14ac:dyDescent="0.35">
      <c r="A634" t="s">
        <v>1551</v>
      </c>
      <c r="B634" t="s">
        <v>1551</v>
      </c>
      <c r="C634">
        <v>1000000</v>
      </c>
      <c r="D634">
        <v>0</v>
      </c>
      <c r="E634" t="s">
        <v>1573</v>
      </c>
      <c r="F634" t="s">
        <v>57</v>
      </c>
      <c r="G634" t="s">
        <v>57</v>
      </c>
      <c r="H634" t="s">
        <v>1574</v>
      </c>
      <c r="I634"/>
      <c r="J634"/>
      <c r="K634"/>
      <c r="L634"/>
      <c r="M634"/>
      <c r="N634"/>
      <c r="O634"/>
      <c r="P634"/>
      <c r="Q634"/>
      <c r="R634"/>
      <c r="S634" s="56">
        <f t="shared" si="27"/>
        <v>18</v>
      </c>
      <c r="T634" s="57" t="str">
        <f t="shared" si="28"/>
        <v>4-30 Days</v>
      </c>
      <c r="U634" s="58" t="str">
        <f t="shared" si="29"/>
        <v>Normal</v>
      </c>
    </row>
    <row r="635" spans="1:21" ht="23.25" customHeight="1" x14ac:dyDescent="0.35">
      <c r="A635" t="s">
        <v>1551</v>
      </c>
      <c r="B635" t="s">
        <v>1551</v>
      </c>
      <c r="C635">
        <v>0</v>
      </c>
      <c r="D635">
        <v>515512.98</v>
      </c>
      <c r="E635" t="s">
        <v>1575</v>
      </c>
      <c r="F635" t="s">
        <v>57</v>
      </c>
      <c r="G635" t="s">
        <v>57</v>
      </c>
      <c r="H635" t="s">
        <v>1576</v>
      </c>
      <c r="I635"/>
      <c r="J635"/>
      <c r="K635"/>
      <c r="L635"/>
      <c r="M635"/>
      <c r="N635"/>
      <c r="O635"/>
      <c r="P635"/>
      <c r="Q635"/>
      <c r="R635"/>
      <c r="S635" s="56">
        <f t="shared" si="27"/>
        <v>18</v>
      </c>
      <c r="T635" s="57" t="str">
        <f t="shared" si="28"/>
        <v>4-30 Days</v>
      </c>
      <c r="U635" s="58" t="str">
        <f t="shared" si="29"/>
        <v>Not Applicable</v>
      </c>
    </row>
    <row r="636" spans="1:21" ht="23.25" customHeight="1" x14ac:dyDescent="0.35">
      <c r="A636" t="s">
        <v>1551</v>
      </c>
      <c r="B636" t="s">
        <v>1551</v>
      </c>
      <c r="C636">
        <v>500</v>
      </c>
      <c r="D636">
        <v>0</v>
      </c>
      <c r="E636" t="s">
        <v>1577</v>
      </c>
      <c r="F636" t="s">
        <v>1578</v>
      </c>
      <c r="G636" t="s">
        <v>57</v>
      </c>
      <c r="H636" t="s">
        <v>1579</v>
      </c>
      <c r="I636"/>
      <c r="J636"/>
      <c r="K636"/>
      <c r="L636"/>
      <c r="M636"/>
      <c r="N636"/>
      <c r="O636"/>
      <c r="P636"/>
      <c r="Q636"/>
      <c r="R636"/>
      <c r="S636" s="56">
        <f t="shared" si="27"/>
        <v>18</v>
      </c>
      <c r="T636" s="57" t="str">
        <f t="shared" si="28"/>
        <v>4-30 Days</v>
      </c>
      <c r="U636" s="58" t="str">
        <f t="shared" si="29"/>
        <v>Normal</v>
      </c>
    </row>
    <row r="637" spans="1:21" ht="23.25" customHeight="1" x14ac:dyDescent="0.35">
      <c r="A637" t="s">
        <v>1551</v>
      </c>
      <c r="B637" t="s">
        <v>1551</v>
      </c>
      <c r="C637">
        <v>0</v>
      </c>
      <c r="D637">
        <v>1123580.01</v>
      </c>
      <c r="E637" t="s">
        <v>1580</v>
      </c>
      <c r="F637" t="s">
        <v>57</v>
      </c>
      <c r="G637" t="s">
        <v>57</v>
      </c>
      <c r="H637" t="s">
        <v>1581</v>
      </c>
      <c r="I637"/>
      <c r="J637"/>
      <c r="K637"/>
      <c r="L637"/>
      <c r="M637"/>
      <c r="N637"/>
      <c r="O637"/>
      <c r="P637"/>
      <c r="Q637"/>
      <c r="R637"/>
      <c r="S637" s="56">
        <f t="shared" si="27"/>
        <v>18</v>
      </c>
      <c r="T637" s="57" t="str">
        <f t="shared" si="28"/>
        <v>4-30 Days</v>
      </c>
      <c r="U637" s="58" t="str">
        <f t="shared" si="29"/>
        <v>Not Applicable</v>
      </c>
    </row>
    <row r="638" spans="1:21" ht="23.25" customHeight="1" x14ac:dyDescent="0.35">
      <c r="A638" t="s">
        <v>1551</v>
      </c>
      <c r="B638" t="s">
        <v>1551</v>
      </c>
      <c r="C638">
        <v>0</v>
      </c>
      <c r="D638">
        <v>1123580.01</v>
      </c>
      <c r="E638" t="s">
        <v>1582</v>
      </c>
      <c r="F638" t="s">
        <v>57</v>
      </c>
      <c r="G638" t="s">
        <v>57</v>
      </c>
      <c r="H638" t="s">
        <v>1583</v>
      </c>
      <c r="I638"/>
      <c r="J638"/>
      <c r="K638"/>
      <c r="L638"/>
      <c r="M638"/>
      <c r="N638"/>
      <c r="O638"/>
      <c r="P638"/>
      <c r="Q638"/>
      <c r="R638"/>
      <c r="S638" s="56">
        <f t="shared" si="27"/>
        <v>18</v>
      </c>
      <c r="T638" s="57" t="str">
        <f t="shared" si="28"/>
        <v>4-30 Days</v>
      </c>
      <c r="U638" s="58" t="str">
        <f t="shared" si="29"/>
        <v>Not Applicable</v>
      </c>
    </row>
    <row r="639" spans="1:21" ht="23.25" customHeight="1" x14ac:dyDescent="0.35">
      <c r="A639" t="s">
        <v>1551</v>
      </c>
      <c r="B639" t="s">
        <v>1551</v>
      </c>
      <c r="C639">
        <v>7967.82</v>
      </c>
      <c r="D639">
        <v>0</v>
      </c>
      <c r="E639" t="s">
        <v>1584</v>
      </c>
      <c r="F639" t="s">
        <v>57</v>
      </c>
      <c r="G639" t="s">
        <v>57</v>
      </c>
      <c r="H639" t="s">
        <v>1585</v>
      </c>
      <c r="I639"/>
      <c r="J639"/>
      <c r="K639"/>
      <c r="L639"/>
      <c r="M639"/>
      <c r="N639"/>
      <c r="O639"/>
      <c r="P639"/>
      <c r="Q639"/>
      <c r="R639"/>
      <c r="S639" s="56">
        <f t="shared" si="27"/>
        <v>18</v>
      </c>
      <c r="T639" s="57" t="str">
        <f t="shared" si="28"/>
        <v>4-30 Days</v>
      </c>
      <c r="U639" s="58" t="str">
        <f t="shared" si="29"/>
        <v>Normal</v>
      </c>
    </row>
    <row r="640" spans="1:21" ht="23.25" customHeight="1" x14ac:dyDescent="0.35">
      <c r="A640" t="s">
        <v>1551</v>
      </c>
      <c r="B640" t="s">
        <v>1551</v>
      </c>
      <c r="C640">
        <v>0</v>
      </c>
      <c r="D640">
        <v>232.3</v>
      </c>
      <c r="E640" t="s">
        <v>1586</v>
      </c>
      <c r="F640" t="s">
        <v>1587</v>
      </c>
      <c r="G640" t="s">
        <v>1588</v>
      </c>
      <c r="H640" t="s">
        <v>1589</v>
      </c>
      <c r="I640"/>
      <c r="J640"/>
      <c r="K640"/>
      <c r="L640"/>
      <c r="M640"/>
      <c r="N640"/>
      <c r="O640"/>
      <c r="P640"/>
      <c r="Q640"/>
      <c r="R640"/>
      <c r="S640" s="56">
        <f t="shared" si="27"/>
        <v>18</v>
      </c>
      <c r="T640" s="57" t="str">
        <f t="shared" si="28"/>
        <v>4-30 Days</v>
      </c>
      <c r="U640" s="58" t="str">
        <f t="shared" si="29"/>
        <v>Not Applicable</v>
      </c>
    </row>
    <row r="641" spans="1:21" ht="23.25" customHeight="1" x14ac:dyDescent="0.35">
      <c r="A641" t="s">
        <v>1590</v>
      </c>
      <c r="B641" t="s">
        <v>1590</v>
      </c>
      <c r="C641">
        <v>0</v>
      </c>
      <c r="D641">
        <v>510</v>
      </c>
      <c r="E641" t="s">
        <v>1591</v>
      </c>
      <c r="F641" t="s">
        <v>1592</v>
      </c>
      <c r="G641" t="s">
        <v>1593</v>
      </c>
      <c r="H641" t="s">
        <v>1594</v>
      </c>
      <c r="I641"/>
      <c r="J641"/>
      <c r="K641"/>
      <c r="L641"/>
      <c r="M641"/>
      <c r="N641"/>
      <c r="O641"/>
      <c r="P641"/>
      <c r="Q641"/>
      <c r="R641"/>
      <c r="S641" s="56">
        <f t="shared" si="27"/>
        <v>17</v>
      </c>
      <c r="T641" s="57" t="str">
        <f t="shared" si="28"/>
        <v>4-30 Days</v>
      </c>
      <c r="U641" s="58" t="str">
        <f t="shared" si="29"/>
        <v>Not Applicable</v>
      </c>
    </row>
    <row r="642" spans="1:21" ht="23.25" customHeight="1" x14ac:dyDescent="0.35">
      <c r="A642" t="s">
        <v>1590</v>
      </c>
      <c r="B642" t="s">
        <v>1590</v>
      </c>
      <c r="C642">
        <v>0</v>
      </c>
      <c r="D642">
        <v>881268.42</v>
      </c>
      <c r="E642" t="s">
        <v>1595</v>
      </c>
      <c r="F642" t="s">
        <v>57</v>
      </c>
      <c r="G642" t="s">
        <v>57</v>
      </c>
      <c r="H642" t="s">
        <v>1596</v>
      </c>
      <c r="I642"/>
      <c r="J642"/>
      <c r="K642"/>
      <c r="L642"/>
      <c r="M642"/>
      <c r="N642"/>
      <c r="O642"/>
      <c r="P642"/>
      <c r="Q642"/>
      <c r="R642"/>
      <c r="S642" s="56">
        <f t="shared" si="27"/>
        <v>17</v>
      </c>
      <c r="T642" s="57" t="str">
        <f t="shared" si="28"/>
        <v>4-30 Days</v>
      </c>
      <c r="U642" s="58" t="str">
        <f t="shared" si="29"/>
        <v>Not Applicable</v>
      </c>
    </row>
    <row r="643" spans="1:21" ht="23.25" customHeight="1" x14ac:dyDescent="0.35">
      <c r="A643" t="s">
        <v>1590</v>
      </c>
      <c r="B643" t="s">
        <v>1590</v>
      </c>
      <c r="C643">
        <v>510</v>
      </c>
      <c r="D643">
        <v>0</v>
      </c>
      <c r="E643" t="s">
        <v>1597</v>
      </c>
      <c r="F643" t="s">
        <v>1598</v>
      </c>
      <c r="G643" t="s">
        <v>57</v>
      </c>
      <c r="H643" t="s">
        <v>1599</v>
      </c>
      <c r="I643"/>
      <c r="J643"/>
      <c r="K643"/>
      <c r="L643"/>
      <c r="M643"/>
      <c r="N643"/>
      <c r="O643"/>
      <c r="P643"/>
      <c r="Q643"/>
      <c r="R643"/>
      <c r="S643" s="56">
        <f t="shared" si="27"/>
        <v>17</v>
      </c>
      <c r="T643" s="57" t="str">
        <f t="shared" si="28"/>
        <v>4-30 Days</v>
      </c>
      <c r="U643" s="58" t="str">
        <f t="shared" si="29"/>
        <v>Normal</v>
      </c>
    </row>
    <row r="644" spans="1:21" ht="23.25" customHeight="1" x14ac:dyDescent="0.35">
      <c r="A644" t="s">
        <v>1590</v>
      </c>
      <c r="B644" t="s">
        <v>1590</v>
      </c>
      <c r="C644">
        <v>9078.33</v>
      </c>
      <c r="D644">
        <v>0</v>
      </c>
      <c r="E644" t="s">
        <v>1600</v>
      </c>
      <c r="F644" t="s">
        <v>1601</v>
      </c>
      <c r="G644" t="s">
        <v>1601</v>
      </c>
      <c r="H644" t="s">
        <v>1602</v>
      </c>
      <c r="I644"/>
      <c r="J644"/>
      <c r="K644"/>
      <c r="L644"/>
      <c r="M644"/>
      <c r="N644"/>
      <c r="O644"/>
      <c r="P644"/>
      <c r="Q644"/>
      <c r="R644"/>
      <c r="S644" s="56">
        <f t="shared" si="27"/>
        <v>17</v>
      </c>
      <c r="T644" s="57" t="str">
        <f t="shared" si="28"/>
        <v>4-30 Days</v>
      </c>
      <c r="U644" s="58" t="str">
        <f t="shared" si="29"/>
        <v>Normal</v>
      </c>
    </row>
    <row r="645" spans="1:21" ht="23.25" customHeight="1" x14ac:dyDescent="0.35">
      <c r="A645" t="s">
        <v>1590</v>
      </c>
      <c r="B645" t="s">
        <v>1590</v>
      </c>
      <c r="C645">
        <v>0</v>
      </c>
      <c r="D645">
        <v>1321892.22</v>
      </c>
      <c r="E645" t="s">
        <v>1603</v>
      </c>
      <c r="F645" t="s">
        <v>57</v>
      </c>
      <c r="G645" t="s">
        <v>57</v>
      </c>
      <c r="H645" t="s">
        <v>1604</v>
      </c>
      <c r="I645"/>
      <c r="J645"/>
      <c r="K645"/>
      <c r="L645"/>
      <c r="M645"/>
      <c r="N645"/>
      <c r="O645"/>
      <c r="P645"/>
      <c r="Q645"/>
      <c r="R645"/>
      <c r="S645" s="56">
        <f t="shared" si="27"/>
        <v>17</v>
      </c>
      <c r="T645" s="57" t="str">
        <f t="shared" si="28"/>
        <v>4-30 Days</v>
      </c>
      <c r="U645" s="58" t="str">
        <f t="shared" si="29"/>
        <v>Not Applicable</v>
      </c>
    </row>
    <row r="646" spans="1:21" ht="23.25" customHeight="1" x14ac:dyDescent="0.35">
      <c r="A646" t="s">
        <v>1590</v>
      </c>
      <c r="B646" t="s">
        <v>1590</v>
      </c>
      <c r="C646">
        <v>0</v>
      </c>
      <c r="D646">
        <v>1123582.31</v>
      </c>
      <c r="E646" t="s">
        <v>1605</v>
      </c>
      <c r="F646" t="s">
        <v>57</v>
      </c>
      <c r="G646" t="s">
        <v>57</v>
      </c>
      <c r="H646" t="s">
        <v>1606</v>
      </c>
      <c r="I646"/>
      <c r="J646"/>
      <c r="K646"/>
      <c r="L646"/>
      <c r="M646"/>
      <c r="N646"/>
      <c r="O646"/>
      <c r="P646"/>
      <c r="Q646"/>
      <c r="R646"/>
      <c r="S646" s="56">
        <f t="shared" si="27"/>
        <v>17</v>
      </c>
      <c r="T646" s="57" t="str">
        <f t="shared" si="28"/>
        <v>4-30 Days</v>
      </c>
      <c r="U646" s="58" t="str">
        <f t="shared" si="29"/>
        <v>Not Applicable</v>
      </c>
    </row>
    <row r="647" spans="1:21" ht="23.25" customHeight="1" x14ac:dyDescent="0.35">
      <c r="A647" t="s">
        <v>1590</v>
      </c>
      <c r="B647" t="s">
        <v>1590</v>
      </c>
      <c r="C647">
        <v>0</v>
      </c>
      <c r="D647">
        <v>557515.1</v>
      </c>
      <c r="E647" t="s">
        <v>1607</v>
      </c>
      <c r="F647" t="s">
        <v>57</v>
      </c>
      <c r="G647" t="s">
        <v>57</v>
      </c>
      <c r="H647" t="s">
        <v>1608</v>
      </c>
      <c r="I647"/>
      <c r="J647"/>
      <c r="K647"/>
      <c r="L647"/>
      <c r="M647"/>
      <c r="N647"/>
      <c r="O647"/>
      <c r="P647"/>
      <c r="Q647"/>
      <c r="R647"/>
      <c r="S647" s="56">
        <f t="shared" si="27"/>
        <v>17</v>
      </c>
      <c r="T647" s="57" t="str">
        <f t="shared" si="28"/>
        <v>4-30 Days</v>
      </c>
      <c r="U647" s="58" t="str">
        <f t="shared" si="29"/>
        <v>Not Applicable</v>
      </c>
    </row>
    <row r="648" spans="1:21" ht="23.25" customHeight="1" x14ac:dyDescent="0.35">
      <c r="A648" t="s">
        <v>1590</v>
      </c>
      <c r="B648" t="s">
        <v>1590</v>
      </c>
      <c r="C648">
        <v>15987.05</v>
      </c>
      <c r="D648">
        <v>0</v>
      </c>
      <c r="E648" t="s">
        <v>1609</v>
      </c>
      <c r="F648" t="s">
        <v>57</v>
      </c>
      <c r="G648" t="s">
        <v>57</v>
      </c>
      <c r="H648" t="s">
        <v>1610</v>
      </c>
      <c r="I648"/>
      <c r="J648"/>
      <c r="K648"/>
      <c r="L648"/>
      <c r="M648"/>
      <c r="N648"/>
      <c r="O648"/>
      <c r="P648"/>
      <c r="Q648"/>
      <c r="R648"/>
      <c r="S648" s="56">
        <f t="shared" si="27"/>
        <v>17</v>
      </c>
      <c r="T648" s="57" t="str">
        <f t="shared" si="28"/>
        <v>4-30 Days</v>
      </c>
      <c r="U648" s="58" t="str">
        <f t="shared" si="29"/>
        <v>Normal</v>
      </c>
    </row>
    <row r="649" spans="1:21" ht="23.25" customHeight="1" x14ac:dyDescent="0.35">
      <c r="A649" t="s">
        <v>1611</v>
      </c>
      <c r="B649" t="s">
        <v>1611</v>
      </c>
      <c r="C649">
        <v>360</v>
      </c>
      <c r="D649">
        <v>0</v>
      </c>
      <c r="E649" t="s">
        <v>1612</v>
      </c>
      <c r="F649" t="s">
        <v>57</v>
      </c>
      <c r="G649" t="s">
        <v>57</v>
      </c>
      <c r="H649" t="s">
        <v>1613</v>
      </c>
      <c r="I649"/>
      <c r="J649"/>
      <c r="K649"/>
      <c r="L649"/>
      <c r="M649"/>
      <c r="N649"/>
      <c r="O649"/>
      <c r="P649"/>
      <c r="Q649"/>
      <c r="R649"/>
      <c r="S649" s="56">
        <f t="shared" ref="S649:S712" si="30">IF(A649="","",A$5-A649)</f>
        <v>16</v>
      </c>
      <c r="T649" s="57" t="str">
        <f t="shared" ref="T649:T712" si="31">IF(S649="","",IF(S649&lt;4,"0-3 Days",IF(S649&lt;31,"4-30 Days",IF(S649&lt;61,"31-60 Days",IF(S649&lt;=90,"61-90 Days",IF(S649&gt;90,"Above 90 Days","0"))))))</f>
        <v>4-30 Days</v>
      </c>
      <c r="U649" s="58" t="str">
        <f t="shared" ref="U649:U712" si="32">IF(C649="","",IF(C649&gt;0,IF(S649&lt;30,"Normal",IF(S649&lt;60,"Especially Mentioned",IF(S649&lt;90,"Substandard",IF(S649&lt;=180,"Doubtful",IF(S649&gt;180,"Loss","0"))))),"Not Applicable"))</f>
        <v>Normal</v>
      </c>
    </row>
    <row r="650" spans="1:21" ht="23.25" customHeight="1" x14ac:dyDescent="0.35">
      <c r="A650" t="s">
        <v>1611</v>
      </c>
      <c r="B650" t="s">
        <v>1611</v>
      </c>
      <c r="C650">
        <v>0</v>
      </c>
      <c r="D650">
        <v>3902609.18</v>
      </c>
      <c r="E650" t="s">
        <v>1614</v>
      </c>
      <c r="F650" t="s">
        <v>57</v>
      </c>
      <c r="G650" t="s">
        <v>57</v>
      </c>
      <c r="H650" t="s">
        <v>1615</v>
      </c>
      <c r="I650"/>
      <c r="J650"/>
      <c r="K650"/>
      <c r="L650"/>
      <c r="M650"/>
      <c r="N650"/>
      <c r="O650"/>
      <c r="P650"/>
      <c r="Q650"/>
      <c r="R650"/>
      <c r="S650" s="56">
        <f t="shared" si="30"/>
        <v>16</v>
      </c>
      <c r="T650" s="57" t="str">
        <f t="shared" si="31"/>
        <v>4-30 Days</v>
      </c>
      <c r="U650" s="58" t="str">
        <f t="shared" si="32"/>
        <v>Not Applicable</v>
      </c>
    </row>
    <row r="651" spans="1:21" ht="23.25" customHeight="1" x14ac:dyDescent="0.35">
      <c r="A651" t="s">
        <v>1611</v>
      </c>
      <c r="B651" t="s">
        <v>1611</v>
      </c>
      <c r="C651">
        <v>100</v>
      </c>
      <c r="D651">
        <v>0</v>
      </c>
      <c r="E651" t="s">
        <v>1616</v>
      </c>
      <c r="F651" t="s">
        <v>57</v>
      </c>
      <c r="G651" t="s">
        <v>57</v>
      </c>
      <c r="H651" t="s">
        <v>1617</v>
      </c>
      <c r="I651"/>
      <c r="J651"/>
      <c r="K651"/>
      <c r="L651"/>
      <c r="M651"/>
      <c r="N651"/>
      <c r="O651"/>
      <c r="P651"/>
      <c r="Q651"/>
      <c r="R651"/>
      <c r="S651" s="56">
        <f t="shared" si="30"/>
        <v>16</v>
      </c>
      <c r="T651" s="57" t="str">
        <f t="shared" si="31"/>
        <v>4-30 Days</v>
      </c>
      <c r="U651" s="58" t="str">
        <f t="shared" si="32"/>
        <v>Normal</v>
      </c>
    </row>
    <row r="652" spans="1:21" ht="23.25" customHeight="1" x14ac:dyDescent="0.35">
      <c r="A652" t="s">
        <v>1618</v>
      </c>
      <c r="B652" t="s">
        <v>1618</v>
      </c>
      <c r="C652">
        <v>0</v>
      </c>
      <c r="D652">
        <v>1000</v>
      </c>
      <c r="E652" t="s">
        <v>1619</v>
      </c>
      <c r="F652" t="s">
        <v>1620</v>
      </c>
      <c r="G652" t="s">
        <v>1621</v>
      </c>
      <c r="H652" t="s">
        <v>1622</v>
      </c>
      <c r="I652"/>
      <c r="J652"/>
      <c r="K652"/>
      <c r="L652"/>
      <c r="M652"/>
      <c r="N652"/>
      <c r="O652"/>
      <c r="P652"/>
      <c r="Q652"/>
      <c r="R652"/>
      <c r="S652" s="56">
        <f t="shared" si="30"/>
        <v>14</v>
      </c>
      <c r="T652" s="57" t="str">
        <f t="shared" si="31"/>
        <v>4-30 Days</v>
      </c>
      <c r="U652" s="58" t="str">
        <f t="shared" si="32"/>
        <v>Not Applicable</v>
      </c>
    </row>
    <row r="653" spans="1:21" ht="23.25" customHeight="1" x14ac:dyDescent="0.35">
      <c r="A653" t="s">
        <v>1618</v>
      </c>
      <c r="B653" t="s">
        <v>1618</v>
      </c>
      <c r="C653">
        <v>0</v>
      </c>
      <c r="D653">
        <v>10000000</v>
      </c>
      <c r="E653" t="s">
        <v>1623</v>
      </c>
      <c r="F653" t="s">
        <v>1624</v>
      </c>
      <c r="G653" t="s">
        <v>1625</v>
      </c>
      <c r="H653" t="s">
        <v>1626</v>
      </c>
      <c r="I653"/>
      <c r="J653"/>
      <c r="K653"/>
      <c r="L653"/>
      <c r="M653"/>
      <c r="N653"/>
      <c r="O653"/>
      <c r="P653"/>
      <c r="Q653"/>
      <c r="R653"/>
      <c r="S653" s="56">
        <f t="shared" si="30"/>
        <v>14</v>
      </c>
      <c r="T653" s="57" t="str">
        <f t="shared" si="31"/>
        <v>4-30 Days</v>
      </c>
      <c r="U653" s="58" t="str">
        <f t="shared" si="32"/>
        <v>Not Applicable</v>
      </c>
    </row>
    <row r="654" spans="1:21" ht="23.25" customHeight="1" x14ac:dyDescent="0.35">
      <c r="A654" t="s">
        <v>1618</v>
      </c>
      <c r="B654" t="s">
        <v>1618</v>
      </c>
      <c r="C654">
        <v>0</v>
      </c>
      <c r="D654">
        <v>135000</v>
      </c>
      <c r="E654" t="s">
        <v>1627</v>
      </c>
      <c r="F654" t="s">
        <v>1628</v>
      </c>
      <c r="G654" t="s">
        <v>1629</v>
      </c>
      <c r="H654" t="s">
        <v>1630</v>
      </c>
      <c r="I654"/>
      <c r="J654"/>
      <c r="K654"/>
      <c r="L654"/>
      <c r="M654"/>
      <c r="N654"/>
      <c r="O654"/>
      <c r="P654"/>
      <c r="Q654"/>
      <c r="R654"/>
      <c r="S654" s="56">
        <f t="shared" si="30"/>
        <v>14</v>
      </c>
      <c r="T654" s="57" t="str">
        <f t="shared" si="31"/>
        <v>4-30 Days</v>
      </c>
      <c r="U654" s="58" t="str">
        <f t="shared" si="32"/>
        <v>Not Applicable</v>
      </c>
    </row>
    <row r="655" spans="1:21" ht="23.25" customHeight="1" x14ac:dyDescent="0.35">
      <c r="A655" t="s">
        <v>1618</v>
      </c>
      <c r="B655" t="s">
        <v>1618</v>
      </c>
      <c r="C655">
        <v>0</v>
      </c>
      <c r="D655">
        <v>1531.85</v>
      </c>
      <c r="E655" t="s">
        <v>1631</v>
      </c>
      <c r="F655" t="s">
        <v>57</v>
      </c>
      <c r="G655" t="s">
        <v>57</v>
      </c>
      <c r="H655" t="s">
        <v>1632</v>
      </c>
      <c r="I655"/>
      <c r="J655"/>
      <c r="K655"/>
      <c r="L655"/>
      <c r="M655"/>
      <c r="N655"/>
      <c r="O655"/>
      <c r="P655"/>
      <c r="Q655"/>
      <c r="R655"/>
      <c r="S655" s="56">
        <f t="shared" si="30"/>
        <v>14</v>
      </c>
      <c r="T655" s="57" t="str">
        <f t="shared" si="31"/>
        <v>4-30 Days</v>
      </c>
      <c r="U655" s="58" t="str">
        <f t="shared" si="32"/>
        <v>Not Applicable</v>
      </c>
    </row>
    <row r="656" spans="1:21" ht="23.25" customHeight="1" x14ac:dyDescent="0.35">
      <c r="A656" t="s">
        <v>1618</v>
      </c>
      <c r="B656" t="s">
        <v>1618</v>
      </c>
      <c r="C656">
        <v>1128</v>
      </c>
      <c r="D656">
        <v>0</v>
      </c>
      <c r="E656" t="s">
        <v>1633</v>
      </c>
      <c r="F656" t="s">
        <v>1634</v>
      </c>
      <c r="G656" t="s">
        <v>1634</v>
      </c>
      <c r="H656" t="s">
        <v>1635</v>
      </c>
      <c r="I656"/>
      <c r="J656"/>
      <c r="K656"/>
      <c r="L656"/>
      <c r="M656"/>
      <c r="N656"/>
      <c r="O656"/>
      <c r="P656"/>
      <c r="Q656"/>
      <c r="R656"/>
      <c r="S656" s="56">
        <f t="shared" si="30"/>
        <v>14</v>
      </c>
      <c r="T656" s="57" t="str">
        <f t="shared" si="31"/>
        <v>4-30 Days</v>
      </c>
      <c r="U656" s="58" t="str">
        <f t="shared" si="32"/>
        <v>Normal</v>
      </c>
    </row>
    <row r="657" spans="1:21" ht="23.25" customHeight="1" x14ac:dyDescent="0.35">
      <c r="A657" t="s">
        <v>1618</v>
      </c>
      <c r="B657" t="s">
        <v>1618</v>
      </c>
      <c r="C657">
        <v>953285.49</v>
      </c>
      <c r="D657">
        <v>0</v>
      </c>
      <c r="E657" t="s">
        <v>1636</v>
      </c>
      <c r="F657" t="s">
        <v>57</v>
      </c>
      <c r="G657" t="s">
        <v>57</v>
      </c>
      <c r="H657" t="s">
        <v>1637</v>
      </c>
      <c r="I657"/>
      <c r="J657"/>
      <c r="K657"/>
      <c r="L657"/>
      <c r="M657"/>
      <c r="N657"/>
      <c r="O657"/>
      <c r="P657"/>
      <c r="Q657"/>
      <c r="R657"/>
      <c r="S657" s="56">
        <f t="shared" si="30"/>
        <v>14</v>
      </c>
      <c r="T657" s="57" t="str">
        <f t="shared" si="31"/>
        <v>4-30 Days</v>
      </c>
      <c r="U657" s="58" t="str">
        <f t="shared" si="32"/>
        <v>Normal</v>
      </c>
    </row>
    <row r="658" spans="1:21" ht="23.25" customHeight="1" x14ac:dyDescent="0.35">
      <c r="A658" t="s">
        <v>1618</v>
      </c>
      <c r="B658" t="s">
        <v>1618</v>
      </c>
      <c r="C658">
        <v>10090</v>
      </c>
      <c r="D658">
        <v>0</v>
      </c>
      <c r="E658" t="s">
        <v>1638</v>
      </c>
      <c r="F658" t="s">
        <v>1639</v>
      </c>
      <c r="G658" t="s">
        <v>57</v>
      </c>
      <c r="H658" t="s">
        <v>1640</v>
      </c>
      <c r="I658"/>
      <c r="J658"/>
      <c r="K658"/>
      <c r="L658"/>
      <c r="M658"/>
      <c r="N658"/>
      <c r="O658"/>
      <c r="P658"/>
      <c r="Q658"/>
      <c r="R658"/>
      <c r="S658" s="56">
        <f t="shared" si="30"/>
        <v>14</v>
      </c>
      <c r="T658" s="57" t="str">
        <f t="shared" si="31"/>
        <v>4-30 Days</v>
      </c>
      <c r="U658" s="58" t="str">
        <f t="shared" si="32"/>
        <v>Normal</v>
      </c>
    </row>
    <row r="659" spans="1:21" ht="23.25" customHeight="1" x14ac:dyDescent="0.35">
      <c r="A659" t="s">
        <v>1618</v>
      </c>
      <c r="B659" t="s">
        <v>1618</v>
      </c>
      <c r="C659">
        <v>14825.16</v>
      </c>
      <c r="D659">
        <v>0</v>
      </c>
      <c r="E659" t="s">
        <v>1641</v>
      </c>
      <c r="F659" t="s">
        <v>57</v>
      </c>
      <c r="G659" t="s">
        <v>57</v>
      </c>
      <c r="H659" t="s">
        <v>1642</v>
      </c>
      <c r="I659"/>
      <c r="J659"/>
      <c r="K659"/>
      <c r="L659"/>
      <c r="M659"/>
      <c r="N659"/>
      <c r="O659"/>
      <c r="P659"/>
      <c r="Q659"/>
      <c r="R659"/>
      <c r="S659" s="56">
        <f t="shared" si="30"/>
        <v>14</v>
      </c>
      <c r="T659" s="57" t="str">
        <f t="shared" si="31"/>
        <v>4-30 Days</v>
      </c>
      <c r="U659" s="58" t="str">
        <f t="shared" si="32"/>
        <v>Normal</v>
      </c>
    </row>
    <row r="660" spans="1:21" ht="23.25" customHeight="1" x14ac:dyDescent="0.35">
      <c r="A660" t="s">
        <v>1618</v>
      </c>
      <c r="B660" t="s">
        <v>1618</v>
      </c>
      <c r="C660">
        <v>1000</v>
      </c>
      <c r="D660">
        <v>0</v>
      </c>
      <c r="E660" t="s">
        <v>1643</v>
      </c>
      <c r="F660" t="s">
        <v>1644</v>
      </c>
      <c r="G660" t="s">
        <v>57</v>
      </c>
      <c r="H660" t="s">
        <v>1645</v>
      </c>
      <c r="I660"/>
      <c r="J660"/>
      <c r="K660"/>
      <c r="L660"/>
      <c r="M660"/>
      <c r="N660"/>
      <c r="O660"/>
      <c r="P660"/>
      <c r="Q660"/>
      <c r="R660"/>
      <c r="S660" s="56">
        <f t="shared" si="30"/>
        <v>14</v>
      </c>
      <c r="T660" s="57" t="str">
        <f t="shared" si="31"/>
        <v>4-30 Days</v>
      </c>
      <c r="U660" s="58" t="str">
        <f t="shared" si="32"/>
        <v>Normal</v>
      </c>
    </row>
    <row r="661" spans="1:21" ht="23.25" customHeight="1" x14ac:dyDescent="0.35">
      <c r="A661" t="s">
        <v>1646</v>
      </c>
      <c r="B661" t="s">
        <v>1646</v>
      </c>
      <c r="C661">
        <v>29744.17</v>
      </c>
      <c r="D661">
        <v>0</v>
      </c>
      <c r="E661" t="s">
        <v>1647</v>
      </c>
      <c r="F661" t="s">
        <v>57</v>
      </c>
      <c r="G661" t="s">
        <v>57</v>
      </c>
      <c r="H661" t="s">
        <v>1648</v>
      </c>
      <c r="I661"/>
      <c r="J661"/>
      <c r="K661"/>
      <c r="L661"/>
      <c r="M661"/>
      <c r="N661"/>
      <c r="O661"/>
      <c r="P661"/>
      <c r="Q661"/>
      <c r="R661"/>
      <c r="S661" s="56">
        <f t="shared" si="30"/>
        <v>13</v>
      </c>
      <c r="T661" s="57" t="str">
        <f t="shared" si="31"/>
        <v>4-30 Days</v>
      </c>
      <c r="U661" s="58" t="str">
        <f t="shared" si="32"/>
        <v>Normal</v>
      </c>
    </row>
    <row r="662" spans="1:21" ht="23.25" customHeight="1" x14ac:dyDescent="0.35">
      <c r="A662" t="s">
        <v>1646</v>
      </c>
      <c r="B662" t="s">
        <v>1646</v>
      </c>
      <c r="C662">
        <v>0</v>
      </c>
      <c r="D662">
        <v>1101579.74</v>
      </c>
      <c r="E662" t="s">
        <v>1649</v>
      </c>
      <c r="F662" t="s">
        <v>57</v>
      </c>
      <c r="G662" t="s">
        <v>57</v>
      </c>
      <c r="H662" t="s">
        <v>1650</v>
      </c>
      <c r="I662"/>
      <c r="J662"/>
      <c r="K662"/>
      <c r="L662"/>
      <c r="M662"/>
      <c r="N662"/>
      <c r="O662"/>
      <c r="P662"/>
      <c r="Q662"/>
      <c r="R662"/>
      <c r="S662" s="56">
        <f t="shared" si="30"/>
        <v>13</v>
      </c>
      <c r="T662" s="57" t="str">
        <f t="shared" si="31"/>
        <v>4-30 Days</v>
      </c>
      <c r="U662" s="58" t="str">
        <f t="shared" si="32"/>
        <v>Not Applicable</v>
      </c>
    </row>
    <row r="663" spans="1:21" ht="23.25" customHeight="1" x14ac:dyDescent="0.35">
      <c r="A663" t="s">
        <v>1646</v>
      </c>
      <c r="B663" t="s">
        <v>1646</v>
      </c>
      <c r="C663">
        <v>890</v>
      </c>
      <c r="D663">
        <v>0</v>
      </c>
      <c r="E663" t="s">
        <v>1651</v>
      </c>
      <c r="F663" t="s">
        <v>1652</v>
      </c>
      <c r="G663" t="s">
        <v>57</v>
      </c>
      <c r="H663" t="s">
        <v>1653</v>
      </c>
      <c r="I663"/>
      <c r="J663"/>
      <c r="K663"/>
      <c r="L663"/>
      <c r="M663"/>
      <c r="N663"/>
      <c r="O663"/>
      <c r="P663"/>
      <c r="Q663"/>
      <c r="R663"/>
      <c r="S663" s="56">
        <f t="shared" si="30"/>
        <v>13</v>
      </c>
      <c r="T663" s="57" t="str">
        <f t="shared" si="31"/>
        <v>4-30 Days</v>
      </c>
      <c r="U663" s="58" t="str">
        <f t="shared" si="32"/>
        <v>Normal</v>
      </c>
    </row>
    <row r="664" spans="1:21" ht="23.25" customHeight="1" x14ac:dyDescent="0.35">
      <c r="A664" t="s">
        <v>1646</v>
      </c>
      <c r="B664" t="s">
        <v>1646</v>
      </c>
      <c r="C664">
        <v>350258.61</v>
      </c>
      <c r="D664">
        <v>0</v>
      </c>
      <c r="E664" t="s">
        <v>1654</v>
      </c>
      <c r="F664" t="s">
        <v>57</v>
      </c>
      <c r="G664" t="s">
        <v>57</v>
      </c>
      <c r="H664" t="s">
        <v>1655</v>
      </c>
      <c r="I664"/>
      <c r="J664"/>
      <c r="K664"/>
      <c r="L664"/>
      <c r="M664"/>
      <c r="N664"/>
      <c r="O664"/>
      <c r="P664"/>
      <c r="Q664"/>
      <c r="R664"/>
      <c r="S664" s="56">
        <f t="shared" si="30"/>
        <v>13</v>
      </c>
      <c r="T664" s="57" t="str">
        <f t="shared" si="31"/>
        <v>4-30 Days</v>
      </c>
      <c r="U664" s="58" t="str">
        <f t="shared" si="32"/>
        <v>Normal</v>
      </c>
    </row>
    <row r="665" spans="1:21" ht="23.25" customHeight="1" x14ac:dyDescent="0.35">
      <c r="A665" t="s">
        <v>1646</v>
      </c>
      <c r="B665" t="s">
        <v>1646</v>
      </c>
      <c r="C665">
        <v>135000</v>
      </c>
      <c r="D665">
        <v>0</v>
      </c>
      <c r="E665" t="s">
        <v>1656</v>
      </c>
      <c r="F665" t="s">
        <v>1628</v>
      </c>
      <c r="G665" t="s">
        <v>57</v>
      </c>
      <c r="H665" t="s">
        <v>1657</v>
      </c>
      <c r="I665"/>
      <c r="J665"/>
      <c r="K665"/>
      <c r="L665"/>
      <c r="M665"/>
      <c r="N665"/>
      <c r="O665"/>
      <c r="P665"/>
      <c r="Q665"/>
      <c r="R665"/>
      <c r="S665" s="56">
        <f t="shared" si="30"/>
        <v>13</v>
      </c>
      <c r="T665" s="57" t="str">
        <f t="shared" si="31"/>
        <v>4-30 Days</v>
      </c>
      <c r="U665" s="58" t="str">
        <f t="shared" si="32"/>
        <v>Normal</v>
      </c>
    </row>
    <row r="666" spans="1:21" ht="23.25" customHeight="1" x14ac:dyDescent="0.35">
      <c r="A666" t="s">
        <v>1646</v>
      </c>
      <c r="B666" t="s">
        <v>1646</v>
      </c>
      <c r="C666">
        <v>528.1</v>
      </c>
      <c r="D666">
        <v>0</v>
      </c>
      <c r="E666" t="s">
        <v>1658</v>
      </c>
      <c r="F666" t="s">
        <v>1659</v>
      </c>
      <c r="G666" t="s">
        <v>57</v>
      </c>
      <c r="H666" t="s">
        <v>1660</v>
      </c>
      <c r="I666"/>
      <c r="J666"/>
      <c r="K666"/>
      <c r="L666"/>
      <c r="M666"/>
      <c r="N666"/>
      <c r="O666"/>
      <c r="P666"/>
      <c r="Q666"/>
      <c r="R666"/>
      <c r="S666" s="56">
        <f t="shared" si="30"/>
        <v>13</v>
      </c>
      <c r="T666" s="57" t="str">
        <f t="shared" si="31"/>
        <v>4-30 Days</v>
      </c>
      <c r="U666" s="58" t="str">
        <f t="shared" si="32"/>
        <v>Normal</v>
      </c>
    </row>
    <row r="667" spans="1:21" ht="23.25" customHeight="1" x14ac:dyDescent="0.35">
      <c r="A667" t="s">
        <v>1646</v>
      </c>
      <c r="B667" t="s">
        <v>1646</v>
      </c>
      <c r="C667">
        <v>33000</v>
      </c>
      <c r="D667">
        <v>0</v>
      </c>
      <c r="E667" t="s">
        <v>1661</v>
      </c>
      <c r="F667" t="s">
        <v>1662</v>
      </c>
      <c r="G667" t="s">
        <v>57</v>
      </c>
      <c r="H667" t="s">
        <v>1663</v>
      </c>
      <c r="I667"/>
      <c r="J667"/>
      <c r="K667"/>
      <c r="L667"/>
      <c r="M667"/>
      <c r="N667"/>
      <c r="O667"/>
      <c r="P667"/>
      <c r="Q667"/>
      <c r="R667"/>
      <c r="S667" s="56">
        <f t="shared" si="30"/>
        <v>13</v>
      </c>
      <c r="T667" s="57" t="str">
        <f t="shared" si="31"/>
        <v>4-30 Days</v>
      </c>
      <c r="U667" s="58" t="str">
        <f t="shared" si="32"/>
        <v>Normal</v>
      </c>
    </row>
    <row r="668" spans="1:21" ht="23.25" customHeight="1" x14ac:dyDescent="0.35">
      <c r="A668" t="s">
        <v>1646</v>
      </c>
      <c r="B668" t="s">
        <v>1646</v>
      </c>
      <c r="C668">
        <v>0</v>
      </c>
      <c r="D668">
        <v>350000</v>
      </c>
      <c r="E668" t="s">
        <v>1664</v>
      </c>
      <c r="F668" t="s">
        <v>57</v>
      </c>
      <c r="G668" t="s">
        <v>57</v>
      </c>
      <c r="H668" t="s">
        <v>1665</v>
      </c>
      <c r="I668"/>
      <c r="J668"/>
      <c r="K668"/>
      <c r="L668"/>
      <c r="M668"/>
      <c r="N668"/>
      <c r="O668"/>
      <c r="P668"/>
      <c r="Q668"/>
      <c r="R668"/>
      <c r="S668" s="56">
        <f t="shared" si="30"/>
        <v>13</v>
      </c>
      <c r="T668" s="57" t="str">
        <f t="shared" si="31"/>
        <v>4-30 Days</v>
      </c>
      <c r="U668" s="58" t="str">
        <f t="shared" si="32"/>
        <v>Not Applicable</v>
      </c>
    </row>
    <row r="669" spans="1:21" ht="23.25" customHeight="1" x14ac:dyDescent="0.35">
      <c r="A669" t="s">
        <v>1646</v>
      </c>
      <c r="B669" t="s">
        <v>1646</v>
      </c>
      <c r="C669">
        <v>135000</v>
      </c>
      <c r="D669">
        <v>0</v>
      </c>
      <c r="E669" t="s">
        <v>1666</v>
      </c>
      <c r="F669" t="s">
        <v>1667</v>
      </c>
      <c r="G669" t="s">
        <v>57</v>
      </c>
      <c r="H669" t="s">
        <v>1668</v>
      </c>
      <c r="I669"/>
      <c r="J669"/>
      <c r="K669"/>
      <c r="L669"/>
      <c r="M669"/>
      <c r="N669"/>
      <c r="O669"/>
      <c r="P669"/>
      <c r="Q669"/>
      <c r="R669"/>
      <c r="S669" s="56">
        <f t="shared" si="30"/>
        <v>13</v>
      </c>
      <c r="T669" s="57" t="str">
        <f t="shared" si="31"/>
        <v>4-30 Days</v>
      </c>
      <c r="U669" s="58" t="str">
        <f t="shared" si="32"/>
        <v>Normal</v>
      </c>
    </row>
    <row r="670" spans="1:21" ht="23.25" customHeight="1" x14ac:dyDescent="0.35">
      <c r="A670" t="s">
        <v>1646</v>
      </c>
      <c r="B670" t="s">
        <v>1646</v>
      </c>
      <c r="C670">
        <v>0</v>
      </c>
      <c r="D670">
        <v>1672546.46</v>
      </c>
      <c r="E670" t="s">
        <v>1669</v>
      </c>
      <c r="F670" t="s">
        <v>57</v>
      </c>
      <c r="G670" t="s">
        <v>57</v>
      </c>
      <c r="H670" t="s">
        <v>1670</v>
      </c>
      <c r="I670"/>
      <c r="J670"/>
      <c r="K670"/>
      <c r="L670"/>
      <c r="M670"/>
      <c r="N670"/>
      <c r="O670"/>
      <c r="P670"/>
      <c r="Q670"/>
      <c r="R670"/>
      <c r="S670" s="56">
        <f t="shared" si="30"/>
        <v>13</v>
      </c>
      <c r="T670" s="57" t="str">
        <f t="shared" si="31"/>
        <v>4-30 Days</v>
      </c>
      <c r="U670" s="58" t="str">
        <f t="shared" si="32"/>
        <v>Not Applicable</v>
      </c>
    </row>
    <row r="671" spans="1:21" ht="23.25" customHeight="1" x14ac:dyDescent="0.35">
      <c r="A671" t="s">
        <v>1646</v>
      </c>
      <c r="B671" t="s">
        <v>1646</v>
      </c>
      <c r="C671">
        <v>10000000</v>
      </c>
      <c r="D671">
        <v>0</v>
      </c>
      <c r="E671" t="s">
        <v>1671</v>
      </c>
      <c r="F671" t="s">
        <v>1624</v>
      </c>
      <c r="G671" t="s">
        <v>57</v>
      </c>
      <c r="H671" t="s">
        <v>1672</v>
      </c>
      <c r="I671"/>
      <c r="J671"/>
      <c r="K671"/>
      <c r="L671"/>
      <c r="M671"/>
      <c r="N671"/>
      <c r="O671"/>
      <c r="P671"/>
      <c r="Q671"/>
      <c r="R671"/>
      <c r="S671" s="56">
        <f t="shared" si="30"/>
        <v>13</v>
      </c>
      <c r="T671" s="57" t="str">
        <f t="shared" si="31"/>
        <v>4-30 Days</v>
      </c>
      <c r="U671" s="58" t="str">
        <f t="shared" si="32"/>
        <v>Normal</v>
      </c>
    </row>
    <row r="672" spans="1:21" ht="23.25" customHeight="1" x14ac:dyDescent="0.35">
      <c r="A672" t="s">
        <v>1646</v>
      </c>
      <c r="B672" t="s">
        <v>1646</v>
      </c>
      <c r="C672">
        <v>0</v>
      </c>
      <c r="D672">
        <v>528.1</v>
      </c>
      <c r="E672" t="s">
        <v>1673</v>
      </c>
      <c r="F672" t="s">
        <v>1674</v>
      </c>
      <c r="G672" t="s">
        <v>1675</v>
      </c>
      <c r="H672" t="s">
        <v>1676</v>
      </c>
      <c r="I672"/>
      <c r="J672"/>
      <c r="K672"/>
      <c r="L672"/>
      <c r="M672"/>
      <c r="N672"/>
      <c r="O672"/>
      <c r="P672"/>
      <c r="Q672"/>
      <c r="R672"/>
      <c r="S672" s="56">
        <f t="shared" si="30"/>
        <v>13</v>
      </c>
      <c r="T672" s="57" t="str">
        <f t="shared" si="31"/>
        <v>4-30 Days</v>
      </c>
      <c r="U672" s="58" t="str">
        <f t="shared" si="32"/>
        <v>Not Applicable</v>
      </c>
    </row>
    <row r="673" spans="1:21" ht="23.25" customHeight="1" x14ac:dyDescent="0.35">
      <c r="A673" t="s">
        <v>1646</v>
      </c>
      <c r="B673" t="s">
        <v>1646</v>
      </c>
      <c r="C673">
        <v>384.7</v>
      </c>
      <c r="D673">
        <v>0</v>
      </c>
      <c r="E673" t="s">
        <v>1677</v>
      </c>
      <c r="F673" t="s">
        <v>1678</v>
      </c>
      <c r="G673" t="s">
        <v>57</v>
      </c>
      <c r="H673" t="s">
        <v>1679</v>
      </c>
      <c r="I673"/>
      <c r="J673"/>
      <c r="K673"/>
      <c r="L673"/>
      <c r="M673"/>
      <c r="N673"/>
      <c r="O673"/>
      <c r="P673"/>
      <c r="Q673"/>
      <c r="R673"/>
      <c r="S673" s="56">
        <f t="shared" si="30"/>
        <v>13</v>
      </c>
      <c r="T673" s="57" t="str">
        <f t="shared" si="31"/>
        <v>4-30 Days</v>
      </c>
      <c r="U673" s="58" t="str">
        <f t="shared" si="32"/>
        <v>Normal</v>
      </c>
    </row>
    <row r="674" spans="1:21" ht="23.25" customHeight="1" x14ac:dyDescent="0.35">
      <c r="A674" t="s">
        <v>1646</v>
      </c>
      <c r="B674" t="s">
        <v>1646</v>
      </c>
      <c r="C674">
        <v>5003333.33</v>
      </c>
      <c r="D674">
        <v>0</v>
      </c>
      <c r="E674" t="s">
        <v>1680</v>
      </c>
      <c r="F674" t="s">
        <v>57</v>
      </c>
      <c r="G674" t="s">
        <v>57</v>
      </c>
      <c r="H674" t="s">
        <v>1681</v>
      </c>
      <c r="I674"/>
      <c r="J674"/>
      <c r="K674"/>
      <c r="L674"/>
      <c r="M674"/>
      <c r="N674"/>
      <c r="O674"/>
      <c r="P674"/>
      <c r="Q674"/>
      <c r="R674"/>
      <c r="S674" s="56">
        <f t="shared" si="30"/>
        <v>13</v>
      </c>
      <c r="T674" s="57" t="str">
        <f t="shared" si="31"/>
        <v>4-30 Days</v>
      </c>
      <c r="U674" s="58" t="str">
        <f t="shared" si="32"/>
        <v>Normal</v>
      </c>
    </row>
    <row r="675" spans="1:21" ht="23.25" customHeight="1" x14ac:dyDescent="0.35">
      <c r="A675" t="s">
        <v>1646</v>
      </c>
      <c r="B675" t="s">
        <v>1646</v>
      </c>
      <c r="C675">
        <v>196.15</v>
      </c>
      <c r="D675">
        <v>0</v>
      </c>
      <c r="E675" t="s">
        <v>1682</v>
      </c>
      <c r="F675" t="s">
        <v>1683</v>
      </c>
      <c r="G675" t="s">
        <v>57</v>
      </c>
      <c r="H675" t="s">
        <v>1684</v>
      </c>
      <c r="I675"/>
      <c r="J675"/>
      <c r="K675"/>
      <c r="L675"/>
      <c r="M675"/>
      <c r="N675"/>
      <c r="O675"/>
      <c r="P675"/>
      <c r="Q675"/>
      <c r="R675"/>
      <c r="S675" s="56">
        <f t="shared" si="30"/>
        <v>13</v>
      </c>
      <c r="T675" s="57" t="str">
        <f t="shared" si="31"/>
        <v>4-30 Days</v>
      </c>
      <c r="U675" s="58" t="str">
        <f t="shared" si="32"/>
        <v>Normal</v>
      </c>
    </row>
    <row r="676" spans="1:21" ht="23.25" customHeight="1" x14ac:dyDescent="0.35">
      <c r="A676" t="s">
        <v>1646</v>
      </c>
      <c r="B676" t="s">
        <v>1646</v>
      </c>
      <c r="C676">
        <v>200133.33</v>
      </c>
      <c r="D676">
        <v>0</v>
      </c>
      <c r="E676" t="s">
        <v>1685</v>
      </c>
      <c r="F676" t="s">
        <v>57</v>
      </c>
      <c r="G676" t="s">
        <v>57</v>
      </c>
      <c r="H676" t="s">
        <v>1686</v>
      </c>
      <c r="I676"/>
      <c r="J676"/>
      <c r="K676"/>
      <c r="L676"/>
      <c r="M676"/>
      <c r="N676"/>
      <c r="O676"/>
      <c r="P676"/>
      <c r="Q676"/>
      <c r="R676"/>
      <c r="S676" s="56">
        <f t="shared" si="30"/>
        <v>13</v>
      </c>
      <c r="T676" s="57" t="str">
        <f t="shared" si="31"/>
        <v>4-30 Days</v>
      </c>
      <c r="U676" s="58" t="str">
        <f t="shared" si="32"/>
        <v>Normal</v>
      </c>
    </row>
    <row r="677" spans="1:21" ht="23.25" customHeight="1" x14ac:dyDescent="0.35">
      <c r="A677" t="s">
        <v>1646</v>
      </c>
      <c r="B677" t="s">
        <v>1646</v>
      </c>
      <c r="C677">
        <v>0</v>
      </c>
      <c r="D677">
        <v>4000</v>
      </c>
      <c r="E677" t="s">
        <v>1687</v>
      </c>
      <c r="F677" t="s">
        <v>1688</v>
      </c>
      <c r="G677" t="s">
        <v>1689</v>
      </c>
      <c r="H677" t="s">
        <v>1690</v>
      </c>
      <c r="I677"/>
      <c r="J677"/>
      <c r="K677"/>
      <c r="L677"/>
      <c r="M677"/>
      <c r="N677"/>
      <c r="O677"/>
      <c r="P677"/>
      <c r="Q677"/>
      <c r="R677"/>
      <c r="S677" s="56">
        <f t="shared" si="30"/>
        <v>13</v>
      </c>
      <c r="T677" s="57" t="str">
        <f t="shared" si="31"/>
        <v>4-30 Days</v>
      </c>
      <c r="U677" s="58" t="str">
        <f t="shared" si="32"/>
        <v>Not Applicable</v>
      </c>
    </row>
    <row r="678" spans="1:21" ht="23.25" customHeight="1" x14ac:dyDescent="0.35">
      <c r="A678" t="s">
        <v>1646</v>
      </c>
      <c r="B678" t="s">
        <v>1646</v>
      </c>
      <c r="C678">
        <v>160</v>
      </c>
      <c r="D678">
        <v>0</v>
      </c>
      <c r="E678" t="s">
        <v>1691</v>
      </c>
      <c r="F678" t="s">
        <v>57</v>
      </c>
      <c r="G678" t="s">
        <v>57</v>
      </c>
      <c r="H678" t="s">
        <v>1692</v>
      </c>
      <c r="I678"/>
      <c r="J678"/>
      <c r="K678"/>
      <c r="L678"/>
      <c r="M678"/>
      <c r="N678"/>
      <c r="O678"/>
      <c r="P678"/>
      <c r="Q678"/>
      <c r="R678"/>
      <c r="S678" s="56">
        <f t="shared" si="30"/>
        <v>13</v>
      </c>
      <c r="T678" s="57" t="str">
        <f t="shared" si="31"/>
        <v>4-30 Days</v>
      </c>
      <c r="U678" s="58" t="str">
        <f t="shared" si="32"/>
        <v>Normal</v>
      </c>
    </row>
    <row r="679" spans="1:21" ht="23.25" customHeight="1" x14ac:dyDescent="0.35">
      <c r="A679" t="s">
        <v>1646</v>
      </c>
      <c r="B679" t="s">
        <v>1646</v>
      </c>
      <c r="C679">
        <v>0</v>
      </c>
      <c r="D679">
        <v>135000</v>
      </c>
      <c r="E679" t="s">
        <v>1693</v>
      </c>
      <c r="F679" t="s">
        <v>1694</v>
      </c>
      <c r="G679" t="s">
        <v>1695</v>
      </c>
      <c r="H679" t="s">
        <v>1696</v>
      </c>
      <c r="I679"/>
      <c r="J679"/>
      <c r="K679"/>
      <c r="L679"/>
      <c r="M679"/>
      <c r="N679"/>
      <c r="O679"/>
      <c r="P679"/>
      <c r="Q679"/>
      <c r="R679"/>
      <c r="S679" s="56">
        <f t="shared" si="30"/>
        <v>13</v>
      </c>
      <c r="T679" s="57" t="str">
        <f t="shared" si="31"/>
        <v>4-30 Days</v>
      </c>
      <c r="U679" s="58" t="str">
        <f t="shared" si="32"/>
        <v>Not Applicable</v>
      </c>
    </row>
    <row r="680" spans="1:21" ht="23.25" customHeight="1" x14ac:dyDescent="0.35">
      <c r="A680" t="s">
        <v>1646</v>
      </c>
      <c r="B680" t="s">
        <v>1646</v>
      </c>
      <c r="C680">
        <v>0</v>
      </c>
      <c r="D680">
        <v>464.6</v>
      </c>
      <c r="E680" t="s">
        <v>1697</v>
      </c>
      <c r="F680" t="s">
        <v>1698</v>
      </c>
      <c r="G680" t="s">
        <v>1699</v>
      </c>
      <c r="H680" t="s">
        <v>1700</v>
      </c>
      <c r="I680"/>
      <c r="J680"/>
      <c r="K680"/>
      <c r="L680"/>
      <c r="M680"/>
      <c r="N680"/>
      <c r="O680"/>
      <c r="P680"/>
      <c r="Q680"/>
      <c r="R680"/>
      <c r="S680" s="56">
        <f t="shared" si="30"/>
        <v>13</v>
      </c>
      <c r="T680" s="57" t="str">
        <f t="shared" si="31"/>
        <v>4-30 Days</v>
      </c>
      <c r="U680" s="58" t="str">
        <f t="shared" si="32"/>
        <v>Not Applicable</v>
      </c>
    </row>
    <row r="681" spans="1:21" ht="23.25" customHeight="1" x14ac:dyDescent="0.35">
      <c r="A681" t="s">
        <v>1646</v>
      </c>
      <c r="B681" t="s">
        <v>1646</v>
      </c>
      <c r="C681">
        <v>0</v>
      </c>
      <c r="D681">
        <v>890</v>
      </c>
      <c r="E681" t="s">
        <v>1701</v>
      </c>
      <c r="F681" t="s">
        <v>1702</v>
      </c>
      <c r="G681" t="s">
        <v>1703</v>
      </c>
      <c r="H681" t="s">
        <v>1704</v>
      </c>
      <c r="I681"/>
      <c r="J681"/>
      <c r="K681"/>
      <c r="L681"/>
      <c r="M681"/>
      <c r="N681"/>
      <c r="O681"/>
      <c r="P681"/>
      <c r="Q681"/>
      <c r="R681"/>
      <c r="S681" s="56">
        <f t="shared" si="30"/>
        <v>13</v>
      </c>
      <c r="T681" s="57" t="str">
        <f t="shared" si="31"/>
        <v>4-30 Days</v>
      </c>
      <c r="U681" s="58" t="str">
        <f t="shared" si="32"/>
        <v>Not Applicable</v>
      </c>
    </row>
    <row r="682" spans="1:21" ht="23.25" customHeight="1" x14ac:dyDescent="0.35">
      <c r="A682" t="s">
        <v>1646</v>
      </c>
      <c r="B682" t="s">
        <v>1646</v>
      </c>
      <c r="C682">
        <v>5003333.33</v>
      </c>
      <c r="D682">
        <v>0</v>
      </c>
      <c r="E682" t="s">
        <v>1705</v>
      </c>
      <c r="F682" t="s">
        <v>57</v>
      </c>
      <c r="G682" t="s">
        <v>57</v>
      </c>
      <c r="H682" t="s">
        <v>1706</v>
      </c>
      <c r="I682"/>
      <c r="J682"/>
      <c r="K682"/>
      <c r="L682"/>
      <c r="M682"/>
      <c r="N682"/>
      <c r="O682"/>
      <c r="P682"/>
      <c r="Q682"/>
      <c r="R682"/>
      <c r="S682" s="56">
        <f t="shared" si="30"/>
        <v>13</v>
      </c>
      <c r="T682" s="57" t="str">
        <f t="shared" si="31"/>
        <v>4-30 Days</v>
      </c>
      <c r="U682" s="58" t="str">
        <f t="shared" si="32"/>
        <v>Normal</v>
      </c>
    </row>
    <row r="683" spans="1:21" ht="23.25" customHeight="1" x14ac:dyDescent="0.35">
      <c r="A683" t="s">
        <v>1646</v>
      </c>
      <c r="B683" t="s">
        <v>1646</v>
      </c>
      <c r="C683">
        <v>464.6</v>
      </c>
      <c r="D683">
        <v>0</v>
      </c>
      <c r="E683" t="s">
        <v>1707</v>
      </c>
      <c r="F683" t="s">
        <v>1708</v>
      </c>
      <c r="G683" t="s">
        <v>57</v>
      </c>
      <c r="H683" t="s">
        <v>1709</v>
      </c>
      <c r="I683"/>
      <c r="J683"/>
      <c r="K683"/>
      <c r="L683"/>
      <c r="M683"/>
      <c r="N683"/>
      <c r="O683"/>
      <c r="P683"/>
      <c r="Q683"/>
      <c r="R683"/>
      <c r="S683" s="56">
        <f t="shared" si="30"/>
        <v>13</v>
      </c>
      <c r="T683" s="57" t="str">
        <f t="shared" si="31"/>
        <v>4-30 Days</v>
      </c>
      <c r="U683" s="58" t="str">
        <f t="shared" si="32"/>
        <v>Normal</v>
      </c>
    </row>
    <row r="684" spans="1:21" ht="23.25" customHeight="1" x14ac:dyDescent="0.35">
      <c r="A684" t="s">
        <v>1646</v>
      </c>
      <c r="B684" t="s">
        <v>1646</v>
      </c>
      <c r="C684">
        <v>0</v>
      </c>
      <c r="D684">
        <v>200000</v>
      </c>
      <c r="E684" t="s">
        <v>1710</v>
      </c>
      <c r="F684" t="s">
        <v>57</v>
      </c>
      <c r="G684" t="s">
        <v>57</v>
      </c>
      <c r="H684" t="s">
        <v>1711</v>
      </c>
      <c r="I684"/>
      <c r="J684"/>
      <c r="K684"/>
      <c r="L684"/>
      <c r="M684"/>
      <c r="N684"/>
      <c r="O684"/>
      <c r="P684"/>
      <c r="Q684"/>
      <c r="R684"/>
      <c r="S684" s="56">
        <f t="shared" si="30"/>
        <v>13</v>
      </c>
      <c r="T684" s="57" t="str">
        <f t="shared" si="31"/>
        <v>4-30 Days</v>
      </c>
      <c r="U684" s="58" t="str">
        <f t="shared" si="32"/>
        <v>Not Applicable</v>
      </c>
    </row>
    <row r="685" spans="1:21" ht="23.25" customHeight="1" x14ac:dyDescent="0.35">
      <c r="A685" t="s">
        <v>1646</v>
      </c>
      <c r="B685" t="s">
        <v>1646</v>
      </c>
      <c r="C685">
        <v>0</v>
      </c>
      <c r="D685">
        <v>384.7</v>
      </c>
      <c r="E685" t="s">
        <v>1712</v>
      </c>
      <c r="F685" t="s">
        <v>1678</v>
      </c>
      <c r="G685" t="s">
        <v>1713</v>
      </c>
      <c r="H685" t="s">
        <v>1714</v>
      </c>
      <c r="I685"/>
      <c r="J685"/>
      <c r="K685"/>
      <c r="L685"/>
      <c r="M685"/>
      <c r="N685"/>
      <c r="O685"/>
      <c r="P685"/>
      <c r="Q685"/>
      <c r="R685"/>
      <c r="S685" s="56">
        <f t="shared" si="30"/>
        <v>13</v>
      </c>
      <c r="T685" s="57" t="str">
        <f t="shared" si="31"/>
        <v>4-30 Days</v>
      </c>
      <c r="U685" s="58" t="str">
        <f t="shared" si="32"/>
        <v>Not Applicable</v>
      </c>
    </row>
    <row r="686" spans="1:21" ht="23.25" customHeight="1" x14ac:dyDescent="0.35">
      <c r="A686" t="s">
        <v>1646</v>
      </c>
      <c r="B686" t="s">
        <v>1646</v>
      </c>
      <c r="C686">
        <v>4000</v>
      </c>
      <c r="D686">
        <v>0</v>
      </c>
      <c r="E686" t="s">
        <v>1715</v>
      </c>
      <c r="F686" t="s">
        <v>1716</v>
      </c>
      <c r="G686" t="s">
        <v>57</v>
      </c>
      <c r="H686" t="s">
        <v>1717</v>
      </c>
      <c r="I686"/>
      <c r="J686"/>
      <c r="K686"/>
      <c r="L686"/>
      <c r="M686"/>
      <c r="N686"/>
      <c r="O686"/>
      <c r="P686"/>
      <c r="Q686"/>
      <c r="R686"/>
      <c r="S686" s="56">
        <f t="shared" si="30"/>
        <v>13</v>
      </c>
      <c r="T686" s="57" t="str">
        <f t="shared" si="31"/>
        <v>4-30 Days</v>
      </c>
      <c r="U686" s="58" t="str">
        <f t="shared" si="32"/>
        <v>Normal</v>
      </c>
    </row>
    <row r="687" spans="1:21" ht="23.25" customHeight="1" x14ac:dyDescent="0.35">
      <c r="A687" t="s">
        <v>1718</v>
      </c>
      <c r="B687" t="s">
        <v>1718</v>
      </c>
      <c r="C687">
        <v>600</v>
      </c>
      <c r="D687">
        <v>0</v>
      </c>
      <c r="E687" t="s">
        <v>1719</v>
      </c>
      <c r="F687" t="s">
        <v>1720</v>
      </c>
      <c r="G687" t="s">
        <v>57</v>
      </c>
      <c r="H687" t="s">
        <v>1721</v>
      </c>
      <c r="I687"/>
      <c r="J687"/>
      <c r="K687"/>
      <c r="L687"/>
      <c r="M687"/>
      <c r="N687"/>
      <c r="O687"/>
      <c r="P687"/>
      <c r="Q687"/>
      <c r="R687"/>
      <c r="S687" s="56">
        <f t="shared" si="30"/>
        <v>11</v>
      </c>
      <c r="T687" s="57" t="str">
        <f t="shared" si="31"/>
        <v>4-30 Days</v>
      </c>
      <c r="U687" s="58" t="str">
        <f t="shared" si="32"/>
        <v>Normal</v>
      </c>
    </row>
    <row r="688" spans="1:21" ht="23.25" customHeight="1" x14ac:dyDescent="0.35">
      <c r="A688" t="s">
        <v>1718</v>
      </c>
      <c r="B688" t="s">
        <v>1718</v>
      </c>
      <c r="C688">
        <v>0</v>
      </c>
      <c r="D688">
        <v>798684.43</v>
      </c>
      <c r="E688" t="s">
        <v>1722</v>
      </c>
      <c r="F688" t="s">
        <v>57</v>
      </c>
      <c r="G688" t="s">
        <v>57</v>
      </c>
      <c r="H688" t="s">
        <v>1723</v>
      </c>
      <c r="I688"/>
      <c r="J688"/>
      <c r="K688"/>
      <c r="L688"/>
      <c r="M688"/>
      <c r="N688"/>
      <c r="O688"/>
      <c r="P688"/>
      <c r="Q688"/>
      <c r="R688"/>
      <c r="S688" s="56">
        <f t="shared" si="30"/>
        <v>11</v>
      </c>
      <c r="T688" s="57" t="str">
        <f t="shared" si="31"/>
        <v>4-30 Days</v>
      </c>
      <c r="U688" s="58" t="str">
        <f t="shared" si="32"/>
        <v>Not Applicable</v>
      </c>
    </row>
    <row r="689" spans="1:21" ht="23.25" customHeight="1" x14ac:dyDescent="0.35">
      <c r="A689" t="s">
        <v>1718</v>
      </c>
      <c r="B689" t="s">
        <v>1718</v>
      </c>
      <c r="C689">
        <v>3350</v>
      </c>
      <c r="D689">
        <v>0</v>
      </c>
      <c r="E689" t="s">
        <v>1724</v>
      </c>
      <c r="F689" t="s">
        <v>1725</v>
      </c>
      <c r="G689" t="s">
        <v>57</v>
      </c>
      <c r="H689" t="s">
        <v>1726</v>
      </c>
      <c r="I689"/>
      <c r="J689"/>
      <c r="K689"/>
      <c r="L689"/>
      <c r="M689"/>
      <c r="N689"/>
      <c r="O689"/>
      <c r="P689"/>
      <c r="Q689"/>
      <c r="R689"/>
      <c r="S689" s="56">
        <f t="shared" si="30"/>
        <v>11</v>
      </c>
      <c r="T689" s="57" t="str">
        <f t="shared" si="31"/>
        <v>4-30 Days</v>
      </c>
      <c r="U689" s="58" t="str">
        <f t="shared" si="32"/>
        <v>Normal</v>
      </c>
    </row>
    <row r="690" spans="1:21" ht="23.25" customHeight="1" x14ac:dyDescent="0.35">
      <c r="A690" t="s">
        <v>1718</v>
      </c>
      <c r="B690" t="s">
        <v>1718</v>
      </c>
      <c r="C690">
        <v>0</v>
      </c>
      <c r="D690">
        <v>720</v>
      </c>
      <c r="E690" t="s">
        <v>1727</v>
      </c>
      <c r="F690" t="s">
        <v>1728</v>
      </c>
      <c r="G690" t="s">
        <v>1729</v>
      </c>
      <c r="H690" t="s">
        <v>1730</v>
      </c>
      <c r="I690"/>
      <c r="J690"/>
      <c r="K690"/>
      <c r="L690"/>
      <c r="M690"/>
      <c r="N690"/>
      <c r="O690"/>
      <c r="P690"/>
      <c r="Q690"/>
      <c r="R690"/>
      <c r="S690" s="56">
        <f t="shared" si="30"/>
        <v>11</v>
      </c>
      <c r="T690" s="57" t="str">
        <f t="shared" si="31"/>
        <v>4-30 Days</v>
      </c>
      <c r="U690" s="58" t="str">
        <f t="shared" si="32"/>
        <v>Not Applicable</v>
      </c>
    </row>
    <row r="691" spans="1:21" ht="23.25" customHeight="1" x14ac:dyDescent="0.35">
      <c r="A691" t="s">
        <v>1718</v>
      </c>
      <c r="B691" t="s">
        <v>1718</v>
      </c>
      <c r="C691">
        <v>2000</v>
      </c>
      <c r="D691">
        <v>0</v>
      </c>
      <c r="E691" t="s">
        <v>1731</v>
      </c>
      <c r="F691" t="s">
        <v>1732</v>
      </c>
      <c r="G691" t="s">
        <v>57</v>
      </c>
      <c r="H691" t="s">
        <v>1733</v>
      </c>
      <c r="I691"/>
      <c r="J691"/>
      <c r="K691"/>
      <c r="L691"/>
      <c r="M691"/>
      <c r="N691"/>
      <c r="O691"/>
      <c r="P691"/>
      <c r="Q691"/>
      <c r="R691"/>
      <c r="S691" s="56">
        <f t="shared" si="30"/>
        <v>11</v>
      </c>
      <c r="T691" s="57" t="str">
        <f t="shared" si="31"/>
        <v>4-30 Days</v>
      </c>
      <c r="U691" s="58" t="str">
        <f t="shared" si="32"/>
        <v>Normal</v>
      </c>
    </row>
    <row r="692" spans="1:21" ht="23.25" customHeight="1" x14ac:dyDescent="0.35">
      <c r="A692" t="s">
        <v>1718</v>
      </c>
      <c r="B692" t="s">
        <v>1718</v>
      </c>
      <c r="C692">
        <v>0</v>
      </c>
      <c r="D692">
        <v>247.21</v>
      </c>
      <c r="E692" t="s">
        <v>1734</v>
      </c>
      <c r="F692" t="s">
        <v>1735</v>
      </c>
      <c r="G692" t="s">
        <v>1736</v>
      </c>
      <c r="H692" t="s">
        <v>1737</v>
      </c>
      <c r="I692"/>
      <c r="J692"/>
      <c r="K692"/>
      <c r="L692"/>
      <c r="M692"/>
      <c r="N692"/>
      <c r="O692"/>
      <c r="P692"/>
      <c r="Q692"/>
      <c r="R692"/>
      <c r="S692" s="56">
        <f t="shared" si="30"/>
        <v>11</v>
      </c>
      <c r="T692" s="57" t="str">
        <f t="shared" si="31"/>
        <v>4-30 Days</v>
      </c>
      <c r="U692" s="58" t="str">
        <f t="shared" si="32"/>
        <v>Not Applicable</v>
      </c>
    </row>
    <row r="693" spans="1:21" ht="23.25" customHeight="1" x14ac:dyDescent="0.35">
      <c r="A693" t="s">
        <v>1718</v>
      </c>
      <c r="B693" t="s">
        <v>1718</v>
      </c>
      <c r="C693">
        <v>0</v>
      </c>
      <c r="D693">
        <v>488084.93</v>
      </c>
      <c r="E693" t="s">
        <v>1738</v>
      </c>
      <c r="F693" t="s">
        <v>57</v>
      </c>
      <c r="G693" t="s">
        <v>57</v>
      </c>
      <c r="H693" t="s">
        <v>1739</v>
      </c>
      <c r="I693"/>
      <c r="J693"/>
      <c r="K693"/>
      <c r="L693"/>
      <c r="M693"/>
      <c r="N693"/>
      <c r="O693"/>
      <c r="P693"/>
      <c r="Q693"/>
      <c r="R693"/>
      <c r="S693" s="56">
        <f t="shared" si="30"/>
        <v>11</v>
      </c>
      <c r="T693" s="57" t="str">
        <f t="shared" si="31"/>
        <v>4-30 Days</v>
      </c>
      <c r="U693" s="58" t="str">
        <f t="shared" si="32"/>
        <v>Not Applicable</v>
      </c>
    </row>
    <row r="694" spans="1:21" ht="23.25" customHeight="1" x14ac:dyDescent="0.35">
      <c r="A694" t="s">
        <v>1718</v>
      </c>
      <c r="B694" t="s">
        <v>1718</v>
      </c>
      <c r="C694">
        <v>3802955.56</v>
      </c>
      <c r="D694">
        <v>0</v>
      </c>
      <c r="E694" t="s">
        <v>1740</v>
      </c>
      <c r="F694" t="s">
        <v>57</v>
      </c>
      <c r="G694" t="s">
        <v>57</v>
      </c>
      <c r="H694" t="s">
        <v>1741</v>
      </c>
      <c r="I694"/>
      <c r="J694"/>
      <c r="K694"/>
      <c r="L694"/>
      <c r="M694"/>
      <c r="N694"/>
      <c r="O694"/>
      <c r="P694"/>
      <c r="Q694"/>
      <c r="R694"/>
      <c r="S694" s="56">
        <f t="shared" si="30"/>
        <v>11</v>
      </c>
      <c r="T694" s="57" t="str">
        <f t="shared" si="31"/>
        <v>4-30 Days</v>
      </c>
      <c r="U694" s="58" t="str">
        <f t="shared" si="32"/>
        <v>Normal</v>
      </c>
    </row>
    <row r="695" spans="1:21" ht="23.25" customHeight="1" x14ac:dyDescent="0.35">
      <c r="A695" t="s">
        <v>1718</v>
      </c>
      <c r="B695" t="s">
        <v>1718</v>
      </c>
      <c r="C695">
        <v>30000000</v>
      </c>
      <c r="D695">
        <v>0</v>
      </c>
      <c r="E695" t="s">
        <v>1742</v>
      </c>
      <c r="F695" t="s">
        <v>57</v>
      </c>
      <c r="G695" t="s">
        <v>57</v>
      </c>
      <c r="H695" t="s">
        <v>1743</v>
      </c>
      <c r="I695"/>
      <c r="J695"/>
      <c r="K695"/>
      <c r="L695"/>
      <c r="M695"/>
      <c r="N695"/>
      <c r="O695"/>
      <c r="P695"/>
      <c r="Q695"/>
      <c r="R695"/>
      <c r="S695" s="56">
        <f t="shared" si="30"/>
        <v>11</v>
      </c>
      <c r="T695" s="57" t="str">
        <f t="shared" si="31"/>
        <v>4-30 Days</v>
      </c>
      <c r="U695" s="58" t="str">
        <f t="shared" si="32"/>
        <v>Normal</v>
      </c>
    </row>
    <row r="696" spans="1:21" ht="23.25" customHeight="1" x14ac:dyDescent="0.35">
      <c r="A696" t="s">
        <v>1718</v>
      </c>
      <c r="B696" t="s">
        <v>1718</v>
      </c>
      <c r="C696">
        <v>2000</v>
      </c>
      <c r="D696">
        <v>0</v>
      </c>
      <c r="E696" t="s">
        <v>1744</v>
      </c>
      <c r="F696" t="s">
        <v>1745</v>
      </c>
      <c r="G696" t="s">
        <v>57</v>
      </c>
      <c r="H696" t="s">
        <v>1746</v>
      </c>
      <c r="I696"/>
      <c r="J696"/>
      <c r="K696"/>
      <c r="L696"/>
      <c r="M696"/>
      <c r="N696"/>
      <c r="O696"/>
      <c r="P696"/>
      <c r="Q696"/>
      <c r="R696"/>
      <c r="S696" s="56">
        <f t="shared" si="30"/>
        <v>11</v>
      </c>
      <c r="T696" s="57" t="str">
        <f t="shared" si="31"/>
        <v>4-30 Days</v>
      </c>
      <c r="U696" s="58" t="str">
        <f t="shared" si="32"/>
        <v>Normal</v>
      </c>
    </row>
    <row r="697" spans="1:21" ht="23.25" customHeight="1" x14ac:dyDescent="0.35">
      <c r="A697" t="s">
        <v>1718</v>
      </c>
      <c r="B697" t="s">
        <v>1718</v>
      </c>
      <c r="C697">
        <v>720</v>
      </c>
      <c r="D697">
        <v>0</v>
      </c>
      <c r="E697" t="s">
        <v>1747</v>
      </c>
      <c r="F697" t="s">
        <v>1748</v>
      </c>
      <c r="G697" t="s">
        <v>57</v>
      </c>
      <c r="H697" t="s">
        <v>1749</v>
      </c>
      <c r="I697"/>
      <c r="J697"/>
      <c r="K697"/>
      <c r="L697"/>
      <c r="M697"/>
      <c r="N697"/>
      <c r="O697"/>
      <c r="P697"/>
      <c r="Q697"/>
      <c r="R697"/>
      <c r="S697" s="56">
        <f t="shared" si="30"/>
        <v>11</v>
      </c>
      <c r="T697" s="57" t="str">
        <f t="shared" si="31"/>
        <v>4-30 Days</v>
      </c>
      <c r="U697" s="58" t="str">
        <f t="shared" si="32"/>
        <v>Normal</v>
      </c>
    </row>
    <row r="698" spans="1:21" ht="23.25" customHeight="1" x14ac:dyDescent="0.35">
      <c r="A698" t="s">
        <v>1718</v>
      </c>
      <c r="B698" t="s">
        <v>1718</v>
      </c>
      <c r="C698">
        <v>0</v>
      </c>
      <c r="D698">
        <v>1110026.57</v>
      </c>
      <c r="E698" t="s">
        <v>1750</v>
      </c>
      <c r="F698" t="s">
        <v>57</v>
      </c>
      <c r="G698" t="s">
        <v>57</v>
      </c>
      <c r="H698" t="s">
        <v>1751</v>
      </c>
      <c r="I698"/>
      <c r="J698"/>
      <c r="K698"/>
      <c r="L698"/>
      <c r="M698"/>
      <c r="N698"/>
      <c r="O698"/>
      <c r="P698"/>
      <c r="Q698"/>
      <c r="R698"/>
      <c r="S698" s="56">
        <f t="shared" si="30"/>
        <v>11</v>
      </c>
      <c r="T698" s="57" t="str">
        <f t="shared" si="31"/>
        <v>4-30 Days</v>
      </c>
      <c r="U698" s="58" t="str">
        <f t="shared" si="32"/>
        <v>Not Applicable</v>
      </c>
    </row>
    <row r="699" spans="1:21" ht="23.25" customHeight="1" x14ac:dyDescent="0.35">
      <c r="A699" t="s">
        <v>1718</v>
      </c>
      <c r="B699" t="s">
        <v>1718</v>
      </c>
      <c r="C699">
        <v>4000000</v>
      </c>
      <c r="D699">
        <v>0</v>
      </c>
      <c r="E699" t="s">
        <v>1752</v>
      </c>
      <c r="F699" t="s">
        <v>57</v>
      </c>
      <c r="G699" t="s">
        <v>57</v>
      </c>
      <c r="H699" t="s">
        <v>1753</v>
      </c>
      <c r="I699"/>
      <c r="J699"/>
      <c r="K699"/>
      <c r="L699"/>
      <c r="M699"/>
      <c r="N699"/>
      <c r="O699"/>
      <c r="P699"/>
      <c r="Q699"/>
      <c r="R699"/>
      <c r="S699" s="56">
        <f t="shared" si="30"/>
        <v>11</v>
      </c>
      <c r="T699" s="57" t="str">
        <f t="shared" si="31"/>
        <v>4-30 Days</v>
      </c>
      <c r="U699" s="58" t="str">
        <f t="shared" si="32"/>
        <v>Normal</v>
      </c>
    </row>
    <row r="700" spans="1:21" ht="23.25" customHeight="1" x14ac:dyDescent="0.35">
      <c r="A700" t="s">
        <v>1718</v>
      </c>
      <c r="B700" t="s">
        <v>1718</v>
      </c>
      <c r="C700">
        <v>2000</v>
      </c>
      <c r="D700">
        <v>0</v>
      </c>
      <c r="E700" t="s">
        <v>1754</v>
      </c>
      <c r="F700" t="s">
        <v>1755</v>
      </c>
      <c r="G700" t="s">
        <v>57</v>
      </c>
      <c r="H700" t="s">
        <v>1756</v>
      </c>
      <c r="I700"/>
      <c r="J700"/>
      <c r="K700"/>
      <c r="L700"/>
      <c r="M700"/>
      <c r="N700"/>
      <c r="O700"/>
      <c r="P700"/>
      <c r="Q700"/>
      <c r="R700"/>
      <c r="S700" s="56">
        <f t="shared" si="30"/>
        <v>11</v>
      </c>
      <c r="T700" s="57" t="str">
        <f t="shared" si="31"/>
        <v>4-30 Days</v>
      </c>
      <c r="U700" s="58" t="str">
        <f t="shared" si="32"/>
        <v>Normal</v>
      </c>
    </row>
    <row r="701" spans="1:21" ht="23.25" customHeight="1" x14ac:dyDescent="0.35">
      <c r="A701" t="s">
        <v>1718</v>
      </c>
      <c r="B701" t="s">
        <v>1718</v>
      </c>
      <c r="C701">
        <v>339</v>
      </c>
      <c r="D701">
        <v>0</v>
      </c>
      <c r="E701" t="s">
        <v>1757</v>
      </c>
      <c r="F701" t="s">
        <v>1758</v>
      </c>
      <c r="G701" t="s">
        <v>57</v>
      </c>
      <c r="H701" t="s">
        <v>1759</v>
      </c>
      <c r="I701"/>
      <c r="J701"/>
      <c r="K701"/>
      <c r="L701"/>
      <c r="M701"/>
      <c r="N701"/>
      <c r="O701"/>
      <c r="P701"/>
      <c r="Q701"/>
      <c r="R701"/>
      <c r="S701" s="56">
        <f t="shared" si="30"/>
        <v>11</v>
      </c>
      <c r="T701" s="57" t="str">
        <f t="shared" si="31"/>
        <v>4-30 Days</v>
      </c>
      <c r="U701" s="58" t="str">
        <f t="shared" si="32"/>
        <v>Normal</v>
      </c>
    </row>
    <row r="702" spans="1:21" ht="23.25" customHeight="1" x14ac:dyDescent="0.35">
      <c r="A702" t="s">
        <v>1718</v>
      </c>
      <c r="B702" t="s">
        <v>1718</v>
      </c>
      <c r="C702">
        <v>0</v>
      </c>
      <c r="D702">
        <v>776498.75</v>
      </c>
      <c r="E702" t="s">
        <v>1760</v>
      </c>
      <c r="F702" t="s">
        <v>57</v>
      </c>
      <c r="G702" t="s">
        <v>57</v>
      </c>
      <c r="H702" t="s">
        <v>1761</v>
      </c>
      <c r="I702"/>
      <c r="J702"/>
      <c r="K702"/>
      <c r="L702"/>
      <c r="M702"/>
      <c r="N702"/>
      <c r="O702"/>
      <c r="P702"/>
      <c r="Q702"/>
      <c r="R702"/>
      <c r="S702" s="56">
        <f t="shared" si="30"/>
        <v>11</v>
      </c>
      <c r="T702" s="57" t="str">
        <f t="shared" si="31"/>
        <v>4-30 Days</v>
      </c>
      <c r="U702" s="58" t="str">
        <f t="shared" si="32"/>
        <v>Not Applicable</v>
      </c>
    </row>
    <row r="703" spans="1:21" ht="23.25" customHeight="1" x14ac:dyDescent="0.35">
      <c r="A703" t="s">
        <v>1718</v>
      </c>
      <c r="B703" t="s">
        <v>1718</v>
      </c>
      <c r="C703">
        <v>0</v>
      </c>
      <c r="D703">
        <v>2614650.0699999998</v>
      </c>
      <c r="E703" t="s">
        <v>1762</v>
      </c>
      <c r="F703" t="s">
        <v>57</v>
      </c>
      <c r="G703" t="s">
        <v>57</v>
      </c>
      <c r="H703" t="s">
        <v>1763</v>
      </c>
      <c r="I703"/>
      <c r="J703"/>
      <c r="K703"/>
      <c r="L703"/>
      <c r="M703"/>
      <c r="N703"/>
      <c r="O703"/>
      <c r="P703"/>
      <c r="Q703"/>
      <c r="R703"/>
      <c r="S703" s="56">
        <f t="shared" si="30"/>
        <v>11</v>
      </c>
      <c r="T703" s="57" t="str">
        <f t="shared" si="31"/>
        <v>4-30 Days</v>
      </c>
      <c r="U703" s="58" t="str">
        <f t="shared" si="32"/>
        <v>Not Applicable</v>
      </c>
    </row>
    <row r="704" spans="1:21" ht="23.25" customHeight="1" x14ac:dyDescent="0.35">
      <c r="A704" t="s">
        <v>1718</v>
      </c>
      <c r="B704" t="s">
        <v>1718</v>
      </c>
      <c r="C704">
        <v>0</v>
      </c>
      <c r="D704">
        <v>339</v>
      </c>
      <c r="E704" t="s">
        <v>1764</v>
      </c>
      <c r="F704" t="s">
        <v>1765</v>
      </c>
      <c r="G704" t="s">
        <v>1766</v>
      </c>
      <c r="H704" t="s">
        <v>1767</v>
      </c>
      <c r="I704"/>
      <c r="J704"/>
      <c r="K704"/>
      <c r="L704"/>
      <c r="M704"/>
      <c r="N704"/>
      <c r="O704"/>
      <c r="P704"/>
      <c r="Q704"/>
      <c r="R704"/>
      <c r="S704" s="56">
        <f t="shared" si="30"/>
        <v>11</v>
      </c>
      <c r="T704" s="57" t="str">
        <f t="shared" si="31"/>
        <v>4-30 Days</v>
      </c>
      <c r="U704" s="58" t="str">
        <f t="shared" si="32"/>
        <v>Not Applicable</v>
      </c>
    </row>
    <row r="705" spans="1:21" ht="23.25" customHeight="1" x14ac:dyDescent="0.35">
      <c r="A705" t="s">
        <v>1718</v>
      </c>
      <c r="B705" t="s">
        <v>1718</v>
      </c>
      <c r="C705">
        <v>0</v>
      </c>
      <c r="D705">
        <v>823096.85</v>
      </c>
      <c r="E705" t="s">
        <v>1768</v>
      </c>
      <c r="F705" t="s">
        <v>57</v>
      </c>
      <c r="G705" t="s">
        <v>57</v>
      </c>
      <c r="H705" t="s">
        <v>1769</v>
      </c>
      <c r="I705"/>
      <c r="J705"/>
      <c r="K705"/>
      <c r="L705"/>
      <c r="M705"/>
      <c r="N705"/>
      <c r="O705"/>
      <c r="P705"/>
      <c r="Q705"/>
      <c r="R705"/>
      <c r="S705" s="56">
        <f t="shared" si="30"/>
        <v>11</v>
      </c>
      <c r="T705" s="57" t="str">
        <f t="shared" si="31"/>
        <v>4-30 Days</v>
      </c>
      <c r="U705" s="58" t="str">
        <f t="shared" si="32"/>
        <v>Not Applicable</v>
      </c>
    </row>
    <row r="706" spans="1:21" ht="23.25" customHeight="1" x14ac:dyDescent="0.35">
      <c r="A706" t="s">
        <v>1718</v>
      </c>
      <c r="B706" t="s">
        <v>1718</v>
      </c>
      <c r="C706">
        <v>0</v>
      </c>
      <c r="D706">
        <v>3800000</v>
      </c>
      <c r="E706" t="s">
        <v>1770</v>
      </c>
      <c r="F706" t="s">
        <v>57</v>
      </c>
      <c r="G706" t="s">
        <v>57</v>
      </c>
      <c r="H706" t="s">
        <v>1771</v>
      </c>
      <c r="I706"/>
      <c r="J706"/>
      <c r="K706"/>
      <c r="L706"/>
      <c r="M706"/>
      <c r="N706"/>
      <c r="O706"/>
      <c r="P706"/>
      <c r="Q706"/>
      <c r="R706"/>
      <c r="S706" s="56">
        <f t="shared" si="30"/>
        <v>11</v>
      </c>
      <c r="T706" s="57" t="str">
        <f t="shared" si="31"/>
        <v>4-30 Days</v>
      </c>
      <c r="U706" s="58" t="str">
        <f t="shared" si="32"/>
        <v>Not Applicable</v>
      </c>
    </row>
    <row r="707" spans="1:21" ht="23.25" customHeight="1" x14ac:dyDescent="0.35">
      <c r="A707" t="s">
        <v>1772</v>
      </c>
      <c r="B707" t="s">
        <v>1772</v>
      </c>
      <c r="C707">
        <v>0</v>
      </c>
      <c r="D707">
        <v>1106888.76</v>
      </c>
      <c r="E707" t="s">
        <v>1773</v>
      </c>
      <c r="F707" t="s">
        <v>57</v>
      </c>
      <c r="G707" t="s">
        <v>57</v>
      </c>
      <c r="H707" t="s">
        <v>1774</v>
      </c>
      <c r="I707"/>
      <c r="J707"/>
      <c r="K707"/>
      <c r="L707"/>
      <c r="M707"/>
      <c r="N707"/>
      <c r="O707"/>
      <c r="P707"/>
      <c r="Q707"/>
      <c r="R707"/>
      <c r="S707" s="56">
        <f t="shared" si="30"/>
        <v>10</v>
      </c>
      <c r="T707" s="57" t="str">
        <f t="shared" si="31"/>
        <v>4-30 Days</v>
      </c>
      <c r="U707" s="58" t="str">
        <f t="shared" si="32"/>
        <v>Not Applicable</v>
      </c>
    </row>
    <row r="708" spans="1:21" ht="23.25" customHeight="1" x14ac:dyDescent="0.35">
      <c r="A708" t="s">
        <v>1772</v>
      </c>
      <c r="B708" t="s">
        <v>1772</v>
      </c>
      <c r="C708">
        <v>29662.92</v>
      </c>
      <c r="D708">
        <v>0</v>
      </c>
      <c r="E708" t="s">
        <v>1775</v>
      </c>
      <c r="F708" t="s">
        <v>57</v>
      </c>
      <c r="G708" t="s">
        <v>57</v>
      </c>
      <c r="H708" t="s">
        <v>1776</v>
      </c>
      <c r="I708"/>
      <c r="J708"/>
      <c r="K708"/>
      <c r="L708"/>
      <c r="M708"/>
      <c r="N708"/>
      <c r="O708"/>
      <c r="P708"/>
      <c r="Q708"/>
      <c r="R708"/>
      <c r="S708" s="56">
        <f t="shared" si="30"/>
        <v>10</v>
      </c>
      <c r="T708" s="57" t="str">
        <f t="shared" si="31"/>
        <v>4-30 Days</v>
      </c>
      <c r="U708" s="58" t="str">
        <f t="shared" si="32"/>
        <v>Normal</v>
      </c>
    </row>
    <row r="709" spans="1:21" ht="23.25" customHeight="1" x14ac:dyDescent="0.35">
      <c r="A709" t="s">
        <v>1772</v>
      </c>
      <c r="B709" t="s">
        <v>1772</v>
      </c>
      <c r="C709">
        <v>0</v>
      </c>
      <c r="D709">
        <v>2400</v>
      </c>
      <c r="E709" t="s">
        <v>1777</v>
      </c>
      <c r="F709" t="s">
        <v>57</v>
      </c>
      <c r="G709" t="s">
        <v>57</v>
      </c>
      <c r="H709" t="s">
        <v>1778</v>
      </c>
      <c r="I709"/>
      <c r="J709"/>
      <c r="K709"/>
      <c r="L709"/>
      <c r="M709"/>
      <c r="N709"/>
      <c r="O709"/>
      <c r="P709"/>
      <c r="Q709"/>
      <c r="R709"/>
      <c r="S709" s="56">
        <f t="shared" si="30"/>
        <v>10</v>
      </c>
      <c r="T709" s="57" t="str">
        <f t="shared" si="31"/>
        <v>4-30 Days</v>
      </c>
      <c r="U709" s="58" t="str">
        <f t="shared" si="32"/>
        <v>Not Applicable</v>
      </c>
    </row>
    <row r="710" spans="1:21" ht="23.25" customHeight="1" x14ac:dyDescent="0.35">
      <c r="A710" t="s">
        <v>1772</v>
      </c>
      <c r="B710" t="s">
        <v>1772</v>
      </c>
      <c r="C710">
        <v>0</v>
      </c>
      <c r="D710">
        <v>1110026.57</v>
      </c>
      <c r="E710" t="s">
        <v>1779</v>
      </c>
      <c r="F710" t="s">
        <v>57</v>
      </c>
      <c r="G710" t="s">
        <v>57</v>
      </c>
      <c r="H710" t="s">
        <v>1780</v>
      </c>
      <c r="I710"/>
      <c r="J710"/>
      <c r="K710"/>
      <c r="L710"/>
      <c r="M710"/>
      <c r="N710"/>
      <c r="O710"/>
      <c r="P710"/>
      <c r="Q710"/>
      <c r="R710"/>
      <c r="S710" s="56">
        <f t="shared" si="30"/>
        <v>10</v>
      </c>
      <c r="T710" s="57" t="str">
        <f t="shared" si="31"/>
        <v>4-30 Days</v>
      </c>
      <c r="U710" s="58" t="str">
        <f t="shared" si="32"/>
        <v>Not Applicable</v>
      </c>
    </row>
    <row r="711" spans="1:21" ht="23.25" customHeight="1" x14ac:dyDescent="0.35">
      <c r="A711" t="s">
        <v>1772</v>
      </c>
      <c r="B711" t="s">
        <v>1772</v>
      </c>
      <c r="C711">
        <v>18747.05</v>
      </c>
      <c r="D711">
        <v>0</v>
      </c>
      <c r="E711" t="s">
        <v>1781</v>
      </c>
      <c r="F711" t="s">
        <v>57</v>
      </c>
      <c r="G711" t="s">
        <v>57</v>
      </c>
      <c r="H711" t="s">
        <v>1782</v>
      </c>
      <c r="I711"/>
      <c r="J711"/>
      <c r="K711"/>
      <c r="L711"/>
      <c r="M711"/>
      <c r="N711"/>
      <c r="O711"/>
      <c r="P711"/>
      <c r="Q711"/>
      <c r="R711"/>
      <c r="S711" s="56">
        <f t="shared" si="30"/>
        <v>10</v>
      </c>
      <c r="T711" s="57" t="str">
        <f t="shared" si="31"/>
        <v>4-30 Days</v>
      </c>
      <c r="U711" s="58" t="str">
        <f t="shared" si="32"/>
        <v>Normal</v>
      </c>
    </row>
    <row r="712" spans="1:21" ht="23.25" customHeight="1" x14ac:dyDescent="0.35">
      <c r="A712" t="s">
        <v>1772</v>
      </c>
      <c r="B712" t="s">
        <v>1772</v>
      </c>
      <c r="C712">
        <v>18877</v>
      </c>
      <c r="D712">
        <v>0</v>
      </c>
      <c r="E712" t="s">
        <v>1783</v>
      </c>
      <c r="F712" t="s">
        <v>57</v>
      </c>
      <c r="G712" t="s">
        <v>57</v>
      </c>
      <c r="H712" t="s">
        <v>1784</v>
      </c>
      <c r="I712"/>
      <c r="J712"/>
      <c r="K712"/>
      <c r="L712"/>
      <c r="M712"/>
      <c r="N712"/>
      <c r="O712"/>
      <c r="P712"/>
      <c r="Q712"/>
      <c r="R712"/>
      <c r="S712" s="56">
        <f t="shared" si="30"/>
        <v>10</v>
      </c>
      <c r="T712" s="57" t="str">
        <f t="shared" si="31"/>
        <v>4-30 Days</v>
      </c>
      <c r="U712" s="58" t="str">
        <f t="shared" si="32"/>
        <v>Normal</v>
      </c>
    </row>
    <row r="713" spans="1:21" ht="23.25" customHeight="1" x14ac:dyDescent="0.35">
      <c r="A713" t="s">
        <v>1772</v>
      </c>
      <c r="B713" t="s">
        <v>1772</v>
      </c>
      <c r="C713">
        <v>3700000</v>
      </c>
      <c r="D713">
        <v>0</v>
      </c>
      <c r="E713" t="s">
        <v>1785</v>
      </c>
      <c r="F713" t="s">
        <v>57</v>
      </c>
      <c r="G713" t="s">
        <v>57</v>
      </c>
      <c r="H713" t="s">
        <v>1786</v>
      </c>
      <c r="I713"/>
      <c r="J713"/>
      <c r="K713"/>
      <c r="L713"/>
      <c r="M713"/>
      <c r="N713"/>
      <c r="O713"/>
      <c r="P713"/>
      <c r="Q713"/>
      <c r="R713"/>
      <c r="S713" s="56">
        <f t="shared" ref="S713:S776" si="33">IF(A713="","",A$5-A713)</f>
        <v>10</v>
      </c>
      <c r="T713" s="57" t="str">
        <f t="shared" ref="T713:T776" si="34">IF(S713="","",IF(S713&lt;4,"0-3 Days",IF(S713&lt;31,"4-30 Days",IF(S713&lt;61,"31-60 Days",IF(S713&lt;=90,"61-90 Days",IF(S713&gt;90,"Above 90 Days","0"))))))</f>
        <v>4-30 Days</v>
      </c>
      <c r="U713" s="58" t="str">
        <f t="shared" ref="U713:U776" si="35">IF(C713="","",IF(C713&gt;0,IF(S713&lt;30,"Normal",IF(S713&lt;60,"Especially Mentioned",IF(S713&lt;90,"Substandard",IF(S713&lt;=180,"Doubtful",IF(S713&gt;180,"Loss","0"))))),"Not Applicable"))</f>
        <v>Normal</v>
      </c>
    </row>
    <row r="714" spans="1:21" ht="23.25" customHeight="1" x14ac:dyDescent="0.35">
      <c r="A714" t="s">
        <v>1772</v>
      </c>
      <c r="B714" t="s">
        <v>1772</v>
      </c>
      <c r="C714">
        <v>1140</v>
      </c>
      <c r="D714">
        <v>0</v>
      </c>
      <c r="E714" t="s">
        <v>1787</v>
      </c>
      <c r="F714" t="s">
        <v>57</v>
      </c>
      <c r="G714" t="s">
        <v>57</v>
      </c>
      <c r="H714" t="s">
        <v>1788</v>
      </c>
      <c r="I714"/>
      <c r="J714"/>
      <c r="K714"/>
      <c r="L714"/>
      <c r="M714"/>
      <c r="N714"/>
      <c r="O714"/>
      <c r="P714"/>
      <c r="Q714"/>
      <c r="R714"/>
      <c r="S714" s="56">
        <f t="shared" si="33"/>
        <v>10</v>
      </c>
      <c r="T714" s="57" t="str">
        <f t="shared" si="34"/>
        <v>4-30 Days</v>
      </c>
      <c r="U714" s="58" t="str">
        <f t="shared" si="35"/>
        <v>Normal</v>
      </c>
    </row>
    <row r="715" spans="1:21" ht="23.25" customHeight="1" x14ac:dyDescent="0.35">
      <c r="A715" t="s">
        <v>1772</v>
      </c>
      <c r="B715" t="s">
        <v>1772</v>
      </c>
      <c r="C715">
        <v>0</v>
      </c>
      <c r="D715">
        <v>1113780.94</v>
      </c>
      <c r="E715" t="s">
        <v>1789</v>
      </c>
      <c r="F715" t="s">
        <v>57</v>
      </c>
      <c r="G715" t="s">
        <v>57</v>
      </c>
      <c r="H715" t="s">
        <v>1790</v>
      </c>
      <c r="I715"/>
      <c r="J715"/>
      <c r="K715"/>
      <c r="L715"/>
      <c r="M715"/>
      <c r="N715"/>
      <c r="O715"/>
      <c r="P715"/>
      <c r="Q715"/>
      <c r="R715"/>
      <c r="S715" s="56">
        <f t="shared" si="33"/>
        <v>10</v>
      </c>
      <c r="T715" s="57" t="str">
        <f t="shared" si="34"/>
        <v>4-30 Days</v>
      </c>
      <c r="U715" s="58" t="str">
        <f t="shared" si="35"/>
        <v>Not Applicable</v>
      </c>
    </row>
    <row r="716" spans="1:21" ht="23.25" customHeight="1" x14ac:dyDescent="0.35">
      <c r="A716" t="s">
        <v>1772</v>
      </c>
      <c r="B716" t="s">
        <v>1772</v>
      </c>
      <c r="C716">
        <v>250</v>
      </c>
      <c r="D716">
        <v>0</v>
      </c>
      <c r="E716" t="s">
        <v>1791</v>
      </c>
      <c r="F716" t="s">
        <v>57</v>
      </c>
      <c r="G716" t="s">
        <v>57</v>
      </c>
      <c r="H716" t="s">
        <v>1792</v>
      </c>
      <c r="I716"/>
      <c r="J716"/>
      <c r="K716"/>
      <c r="L716"/>
      <c r="M716"/>
      <c r="N716"/>
      <c r="O716"/>
      <c r="P716"/>
      <c r="Q716"/>
      <c r="R716"/>
      <c r="S716" s="56">
        <f t="shared" si="33"/>
        <v>10</v>
      </c>
      <c r="T716" s="57" t="str">
        <f t="shared" si="34"/>
        <v>4-30 Days</v>
      </c>
      <c r="U716" s="58" t="str">
        <f t="shared" si="35"/>
        <v>Normal</v>
      </c>
    </row>
    <row r="717" spans="1:21" ht="23.25" customHeight="1" x14ac:dyDescent="0.35">
      <c r="A717" t="s">
        <v>1772</v>
      </c>
      <c r="B717" t="s">
        <v>1772</v>
      </c>
      <c r="C717">
        <v>38.14</v>
      </c>
      <c r="D717">
        <v>0</v>
      </c>
      <c r="E717" t="s">
        <v>1793</v>
      </c>
      <c r="F717" t="s">
        <v>57</v>
      </c>
      <c r="G717" t="s">
        <v>57</v>
      </c>
      <c r="H717" t="s">
        <v>1794</v>
      </c>
      <c r="I717"/>
      <c r="J717"/>
      <c r="K717"/>
      <c r="L717"/>
      <c r="M717"/>
      <c r="N717"/>
      <c r="O717"/>
      <c r="P717"/>
      <c r="Q717"/>
      <c r="R717"/>
      <c r="S717" s="56">
        <f t="shared" si="33"/>
        <v>10</v>
      </c>
      <c r="T717" s="57" t="str">
        <f t="shared" si="34"/>
        <v>4-30 Days</v>
      </c>
      <c r="U717" s="58" t="str">
        <f t="shared" si="35"/>
        <v>Normal</v>
      </c>
    </row>
    <row r="718" spans="1:21" ht="23.25" customHeight="1" x14ac:dyDescent="0.35">
      <c r="A718" t="s">
        <v>1795</v>
      </c>
      <c r="B718" t="s">
        <v>1795</v>
      </c>
      <c r="C718">
        <v>13300</v>
      </c>
      <c r="D718">
        <v>0</v>
      </c>
      <c r="E718" t="s">
        <v>1796</v>
      </c>
      <c r="F718" t="s">
        <v>57</v>
      </c>
      <c r="G718" t="s">
        <v>57</v>
      </c>
      <c r="H718" t="s">
        <v>1797</v>
      </c>
      <c r="I718"/>
      <c r="J718"/>
      <c r="K718"/>
      <c r="L718"/>
      <c r="M718"/>
      <c r="N718"/>
      <c r="O718"/>
      <c r="P718"/>
      <c r="Q718"/>
      <c r="R718"/>
      <c r="S718" s="56">
        <f t="shared" si="33"/>
        <v>9</v>
      </c>
      <c r="T718" s="57" t="str">
        <f t="shared" si="34"/>
        <v>4-30 Days</v>
      </c>
      <c r="U718" s="58" t="str">
        <f t="shared" si="35"/>
        <v>Normal</v>
      </c>
    </row>
    <row r="719" spans="1:21" ht="23.25" customHeight="1" x14ac:dyDescent="0.35">
      <c r="A719" t="s">
        <v>1795</v>
      </c>
      <c r="B719" t="s">
        <v>1795</v>
      </c>
      <c r="C719">
        <v>2645</v>
      </c>
      <c r="D719">
        <v>0</v>
      </c>
      <c r="E719" t="s">
        <v>1798</v>
      </c>
      <c r="F719" t="s">
        <v>1799</v>
      </c>
      <c r="G719" t="s">
        <v>57</v>
      </c>
      <c r="H719" t="s">
        <v>1800</v>
      </c>
      <c r="I719"/>
      <c r="J719"/>
      <c r="K719"/>
      <c r="L719"/>
      <c r="M719"/>
      <c r="N719"/>
      <c r="O719"/>
      <c r="P719"/>
      <c r="Q719"/>
      <c r="R719"/>
      <c r="S719" s="56">
        <f t="shared" si="33"/>
        <v>9</v>
      </c>
      <c r="T719" s="57" t="str">
        <f t="shared" si="34"/>
        <v>4-30 Days</v>
      </c>
      <c r="U719" s="58" t="str">
        <f t="shared" si="35"/>
        <v>Normal</v>
      </c>
    </row>
    <row r="720" spans="1:21" ht="23.25" customHeight="1" x14ac:dyDescent="0.35">
      <c r="A720" t="s">
        <v>1795</v>
      </c>
      <c r="B720" t="s">
        <v>1795</v>
      </c>
      <c r="C720">
        <v>11843.66</v>
      </c>
      <c r="D720">
        <v>0</v>
      </c>
      <c r="E720" t="s">
        <v>1801</v>
      </c>
      <c r="F720" t="s">
        <v>1802</v>
      </c>
      <c r="G720" t="s">
        <v>1802</v>
      </c>
      <c r="H720" t="s">
        <v>1803</v>
      </c>
      <c r="I720"/>
      <c r="J720"/>
      <c r="K720"/>
      <c r="L720"/>
      <c r="M720"/>
      <c r="N720"/>
      <c r="O720"/>
      <c r="P720"/>
      <c r="Q720"/>
      <c r="R720"/>
      <c r="S720" s="56">
        <f t="shared" si="33"/>
        <v>9</v>
      </c>
      <c r="T720" s="57" t="str">
        <f t="shared" si="34"/>
        <v>4-30 Days</v>
      </c>
      <c r="U720" s="58" t="str">
        <f t="shared" si="35"/>
        <v>Normal</v>
      </c>
    </row>
    <row r="721" spans="1:21" ht="23.25" customHeight="1" x14ac:dyDescent="0.35">
      <c r="A721" t="s">
        <v>1795</v>
      </c>
      <c r="B721" t="s">
        <v>1795</v>
      </c>
      <c r="C721">
        <v>22555.360000000001</v>
      </c>
      <c r="D721">
        <v>0</v>
      </c>
      <c r="E721" t="s">
        <v>1804</v>
      </c>
      <c r="F721" t="s">
        <v>57</v>
      </c>
      <c r="G721" t="s">
        <v>57</v>
      </c>
      <c r="H721" t="s">
        <v>1805</v>
      </c>
      <c r="I721"/>
      <c r="J721"/>
      <c r="K721"/>
      <c r="L721"/>
      <c r="M721"/>
      <c r="N721"/>
      <c r="O721"/>
      <c r="P721"/>
      <c r="Q721"/>
      <c r="R721"/>
      <c r="S721" s="56">
        <f t="shared" si="33"/>
        <v>9</v>
      </c>
      <c r="T721" s="57" t="str">
        <f t="shared" si="34"/>
        <v>4-30 Days</v>
      </c>
      <c r="U721" s="58" t="str">
        <f t="shared" si="35"/>
        <v>Normal</v>
      </c>
    </row>
    <row r="722" spans="1:21" ht="23.25" customHeight="1" x14ac:dyDescent="0.35">
      <c r="A722" t="s">
        <v>1795</v>
      </c>
      <c r="B722" t="s">
        <v>1795</v>
      </c>
      <c r="C722">
        <v>0</v>
      </c>
      <c r="D722">
        <v>2645</v>
      </c>
      <c r="E722" t="s">
        <v>1806</v>
      </c>
      <c r="F722" t="s">
        <v>1807</v>
      </c>
      <c r="G722" t="s">
        <v>1808</v>
      </c>
      <c r="H722" t="s">
        <v>1809</v>
      </c>
      <c r="I722"/>
      <c r="J722"/>
      <c r="K722"/>
      <c r="L722"/>
      <c r="M722"/>
      <c r="N722"/>
      <c r="O722"/>
      <c r="P722"/>
      <c r="Q722"/>
      <c r="R722"/>
      <c r="S722" s="56">
        <f t="shared" si="33"/>
        <v>9</v>
      </c>
      <c r="T722" s="57" t="str">
        <f t="shared" si="34"/>
        <v>4-30 Days</v>
      </c>
      <c r="U722" s="58" t="str">
        <f t="shared" si="35"/>
        <v>Not Applicable</v>
      </c>
    </row>
    <row r="723" spans="1:21" ht="23.25" customHeight="1" x14ac:dyDescent="0.35">
      <c r="A723" t="s">
        <v>1795</v>
      </c>
      <c r="B723" t="s">
        <v>1795</v>
      </c>
      <c r="C723">
        <v>48844</v>
      </c>
      <c r="D723">
        <v>0</v>
      </c>
      <c r="E723" t="s">
        <v>1810</v>
      </c>
      <c r="F723" t="s">
        <v>1811</v>
      </c>
      <c r="G723" t="s">
        <v>1811</v>
      </c>
      <c r="H723" t="s">
        <v>1812</v>
      </c>
      <c r="I723"/>
      <c r="J723"/>
      <c r="K723"/>
      <c r="L723"/>
      <c r="M723"/>
      <c r="N723"/>
      <c r="O723"/>
      <c r="P723"/>
      <c r="Q723"/>
      <c r="R723"/>
      <c r="S723" s="56">
        <f t="shared" si="33"/>
        <v>9</v>
      </c>
      <c r="T723" s="57" t="str">
        <f t="shared" si="34"/>
        <v>4-30 Days</v>
      </c>
      <c r="U723" s="58" t="str">
        <f t="shared" si="35"/>
        <v>Normal</v>
      </c>
    </row>
    <row r="724" spans="1:21" ht="23.25" customHeight="1" x14ac:dyDescent="0.35">
      <c r="A724" t="s">
        <v>1795</v>
      </c>
      <c r="B724" t="s">
        <v>1795</v>
      </c>
      <c r="C724">
        <v>772.34</v>
      </c>
      <c r="D724">
        <v>0</v>
      </c>
      <c r="E724" t="s">
        <v>1813</v>
      </c>
      <c r="F724" t="s">
        <v>57</v>
      </c>
      <c r="G724" t="s">
        <v>57</v>
      </c>
      <c r="H724" t="s">
        <v>1814</v>
      </c>
      <c r="I724"/>
      <c r="J724"/>
      <c r="K724"/>
      <c r="L724"/>
      <c r="M724"/>
      <c r="N724"/>
      <c r="O724"/>
      <c r="P724"/>
      <c r="Q724"/>
      <c r="R724"/>
      <c r="S724" s="56">
        <f t="shared" si="33"/>
        <v>9</v>
      </c>
      <c r="T724" s="57" t="str">
        <f t="shared" si="34"/>
        <v>4-30 Days</v>
      </c>
      <c r="U724" s="58" t="str">
        <f t="shared" si="35"/>
        <v>Normal</v>
      </c>
    </row>
    <row r="725" spans="1:21" ht="23.25" customHeight="1" x14ac:dyDescent="0.35">
      <c r="A725" t="s">
        <v>1815</v>
      </c>
      <c r="B725" t="s">
        <v>1815</v>
      </c>
      <c r="C725">
        <v>0</v>
      </c>
      <c r="D725">
        <v>250</v>
      </c>
      <c r="E725" t="s">
        <v>1816</v>
      </c>
      <c r="F725" t="s">
        <v>1817</v>
      </c>
      <c r="G725" t="s">
        <v>1818</v>
      </c>
      <c r="H725" t="s">
        <v>1819</v>
      </c>
      <c r="I725"/>
      <c r="J725"/>
      <c r="K725"/>
      <c r="L725"/>
      <c r="M725"/>
      <c r="N725"/>
      <c r="O725"/>
      <c r="P725"/>
      <c r="Q725"/>
      <c r="R725"/>
      <c r="S725" s="56">
        <f t="shared" si="33"/>
        <v>8</v>
      </c>
      <c r="T725" s="57" t="str">
        <f t="shared" si="34"/>
        <v>4-30 Days</v>
      </c>
      <c r="U725" s="58" t="str">
        <f t="shared" si="35"/>
        <v>Not Applicable</v>
      </c>
    </row>
    <row r="726" spans="1:21" ht="23.25" customHeight="1" x14ac:dyDescent="0.35">
      <c r="A726" t="s">
        <v>1815</v>
      </c>
      <c r="B726" t="s">
        <v>1815</v>
      </c>
      <c r="C726">
        <v>250</v>
      </c>
      <c r="D726">
        <v>0</v>
      </c>
      <c r="E726" t="s">
        <v>1820</v>
      </c>
      <c r="F726" t="s">
        <v>1821</v>
      </c>
      <c r="G726" t="s">
        <v>57</v>
      </c>
      <c r="H726" t="s">
        <v>1822</v>
      </c>
      <c r="I726"/>
      <c r="J726"/>
      <c r="K726"/>
      <c r="L726"/>
      <c r="M726"/>
      <c r="N726"/>
      <c r="O726"/>
      <c r="P726"/>
      <c r="Q726"/>
      <c r="R726"/>
      <c r="S726" s="56">
        <f t="shared" si="33"/>
        <v>8</v>
      </c>
      <c r="T726" s="57" t="str">
        <f t="shared" si="34"/>
        <v>4-30 Days</v>
      </c>
      <c r="U726" s="58" t="str">
        <f t="shared" si="35"/>
        <v>Normal</v>
      </c>
    </row>
    <row r="727" spans="1:21" ht="23.25" customHeight="1" x14ac:dyDescent="0.35">
      <c r="A727" t="s">
        <v>1823</v>
      </c>
      <c r="B727" t="s">
        <v>1823</v>
      </c>
      <c r="C727">
        <v>12400</v>
      </c>
      <c r="D727">
        <v>0</v>
      </c>
      <c r="E727" t="s">
        <v>1824</v>
      </c>
      <c r="F727" t="s">
        <v>1825</v>
      </c>
      <c r="G727" t="s">
        <v>57</v>
      </c>
      <c r="H727" t="s">
        <v>1826</v>
      </c>
      <c r="I727"/>
      <c r="J727"/>
      <c r="K727"/>
      <c r="L727"/>
      <c r="M727"/>
      <c r="N727"/>
      <c r="O727"/>
      <c r="P727"/>
      <c r="Q727"/>
      <c r="R727"/>
      <c r="S727" s="56">
        <f t="shared" si="33"/>
        <v>7</v>
      </c>
      <c r="T727" s="57" t="str">
        <f t="shared" si="34"/>
        <v>4-30 Days</v>
      </c>
      <c r="U727" s="58" t="str">
        <f t="shared" si="35"/>
        <v>Normal</v>
      </c>
    </row>
    <row r="728" spans="1:21" ht="23.25" customHeight="1" x14ac:dyDescent="0.35">
      <c r="A728" t="s">
        <v>1823</v>
      </c>
      <c r="B728" t="s">
        <v>1823</v>
      </c>
      <c r="C728">
        <v>0</v>
      </c>
      <c r="D728">
        <v>1000</v>
      </c>
      <c r="E728" t="s">
        <v>1827</v>
      </c>
      <c r="F728" t="s">
        <v>1828</v>
      </c>
      <c r="G728" t="s">
        <v>1829</v>
      </c>
      <c r="H728" t="s">
        <v>1830</v>
      </c>
      <c r="I728"/>
      <c r="J728"/>
      <c r="K728"/>
      <c r="L728"/>
      <c r="M728"/>
      <c r="N728"/>
      <c r="O728"/>
      <c r="P728"/>
      <c r="Q728"/>
      <c r="R728"/>
      <c r="S728" s="56">
        <f t="shared" si="33"/>
        <v>7</v>
      </c>
      <c r="T728" s="57" t="str">
        <f t="shared" si="34"/>
        <v>4-30 Days</v>
      </c>
      <c r="U728" s="58" t="str">
        <f t="shared" si="35"/>
        <v>Not Applicable</v>
      </c>
    </row>
    <row r="729" spans="1:21" ht="23.25" customHeight="1" x14ac:dyDescent="0.35">
      <c r="A729" t="s">
        <v>1823</v>
      </c>
      <c r="B729" t="s">
        <v>1823</v>
      </c>
      <c r="C729">
        <v>35840</v>
      </c>
      <c r="D729">
        <v>0</v>
      </c>
      <c r="E729" t="s">
        <v>1831</v>
      </c>
      <c r="F729" t="s">
        <v>57</v>
      </c>
      <c r="G729" t="s">
        <v>57</v>
      </c>
      <c r="H729" t="s">
        <v>1832</v>
      </c>
      <c r="I729"/>
      <c r="J729"/>
      <c r="K729"/>
      <c r="L729"/>
      <c r="M729"/>
      <c r="N729"/>
      <c r="O729"/>
      <c r="P729"/>
      <c r="Q729"/>
      <c r="R729"/>
      <c r="S729" s="56">
        <f t="shared" si="33"/>
        <v>7</v>
      </c>
      <c r="T729" s="57" t="str">
        <f t="shared" si="34"/>
        <v>4-30 Days</v>
      </c>
      <c r="U729" s="58" t="str">
        <f t="shared" si="35"/>
        <v>Normal</v>
      </c>
    </row>
    <row r="730" spans="1:21" ht="23.25" customHeight="1" x14ac:dyDescent="0.35">
      <c r="A730" t="s">
        <v>1823</v>
      </c>
      <c r="B730" t="s">
        <v>1823</v>
      </c>
      <c r="C730">
        <v>35050</v>
      </c>
      <c r="D730">
        <v>0</v>
      </c>
      <c r="E730" t="s">
        <v>1833</v>
      </c>
      <c r="F730" t="s">
        <v>57</v>
      </c>
      <c r="G730" t="s">
        <v>57</v>
      </c>
      <c r="H730" t="s">
        <v>1834</v>
      </c>
      <c r="I730"/>
      <c r="J730"/>
      <c r="K730"/>
      <c r="L730"/>
      <c r="M730"/>
      <c r="N730"/>
      <c r="O730"/>
      <c r="P730"/>
      <c r="Q730"/>
      <c r="R730"/>
      <c r="S730" s="56">
        <f t="shared" si="33"/>
        <v>7</v>
      </c>
      <c r="T730" s="57" t="str">
        <f t="shared" si="34"/>
        <v>4-30 Days</v>
      </c>
      <c r="U730" s="58" t="str">
        <f t="shared" si="35"/>
        <v>Normal</v>
      </c>
    </row>
    <row r="731" spans="1:21" ht="23.25" customHeight="1" x14ac:dyDescent="0.35">
      <c r="A731" t="s">
        <v>1823</v>
      </c>
      <c r="B731" t="s">
        <v>1823</v>
      </c>
      <c r="C731">
        <v>0</v>
      </c>
      <c r="D731">
        <v>100000</v>
      </c>
      <c r="E731" t="s">
        <v>1835</v>
      </c>
      <c r="F731" t="s">
        <v>57</v>
      </c>
      <c r="G731" t="s">
        <v>57</v>
      </c>
      <c r="H731" t="s">
        <v>1836</v>
      </c>
      <c r="I731"/>
      <c r="J731"/>
      <c r="K731"/>
      <c r="L731"/>
      <c r="M731"/>
      <c r="N731"/>
      <c r="O731"/>
      <c r="P731"/>
      <c r="Q731"/>
      <c r="R731"/>
      <c r="S731" s="56">
        <f t="shared" si="33"/>
        <v>7</v>
      </c>
      <c r="T731" s="57" t="str">
        <f t="shared" si="34"/>
        <v>4-30 Days</v>
      </c>
      <c r="U731" s="58" t="str">
        <f t="shared" si="35"/>
        <v>Not Applicable</v>
      </c>
    </row>
    <row r="732" spans="1:21" ht="23.25" customHeight="1" x14ac:dyDescent="0.35">
      <c r="A732" t="s">
        <v>1823</v>
      </c>
      <c r="B732" t="s">
        <v>1823</v>
      </c>
      <c r="C732">
        <v>0</v>
      </c>
      <c r="D732">
        <v>5000000</v>
      </c>
      <c r="E732" t="s">
        <v>1837</v>
      </c>
      <c r="F732" t="s">
        <v>57</v>
      </c>
      <c r="G732" t="s">
        <v>57</v>
      </c>
      <c r="H732" t="s">
        <v>1838</v>
      </c>
      <c r="I732"/>
      <c r="J732"/>
      <c r="K732"/>
      <c r="L732"/>
      <c r="M732"/>
      <c r="N732"/>
      <c r="O732"/>
      <c r="P732"/>
      <c r="Q732"/>
      <c r="R732"/>
      <c r="S732" s="56">
        <f t="shared" si="33"/>
        <v>7</v>
      </c>
      <c r="T732" s="57" t="str">
        <f t="shared" si="34"/>
        <v>4-30 Days</v>
      </c>
      <c r="U732" s="58" t="str">
        <f t="shared" si="35"/>
        <v>Not Applicable</v>
      </c>
    </row>
    <row r="733" spans="1:21" ht="23.25" customHeight="1" x14ac:dyDescent="0.35">
      <c r="A733" t="s">
        <v>1823</v>
      </c>
      <c r="B733" t="s">
        <v>1823</v>
      </c>
      <c r="C733">
        <v>0</v>
      </c>
      <c r="D733">
        <v>10000</v>
      </c>
      <c r="E733" t="s">
        <v>1839</v>
      </c>
      <c r="F733" t="s">
        <v>1840</v>
      </c>
      <c r="G733" t="s">
        <v>1841</v>
      </c>
      <c r="H733" t="s">
        <v>1842</v>
      </c>
      <c r="I733"/>
      <c r="J733"/>
      <c r="K733"/>
      <c r="L733"/>
      <c r="M733"/>
      <c r="N733"/>
      <c r="O733"/>
      <c r="P733"/>
      <c r="Q733"/>
      <c r="R733"/>
      <c r="S733" s="56">
        <f t="shared" si="33"/>
        <v>7</v>
      </c>
      <c r="T733" s="57" t="str">
        <f t="shared" si="34"/>
        <v>4-30 Days</v>
      </c>
      <c r="U733" s="58" t="str">
        <f t="shared" si="35"/>
        <v>Not Applicable</v>
      </c>
    </row>
    <row r="734" spans="1:21" ht="23.25" customHeight="1" x14ac:dyDescent="0.35">
      <c r="A734" t="s">
        <v>1823</v>
      </c>
      <c r="B734" t="s">
        <v>1823</v>
      </c>
      <c r="C734">
        <v>10000</v>
      </c>
      <c r="D734">
        <v>0</v>
      </c>
      <c r="E734" t="s">
        <v>1843</v>
      </c>
      <c r="F734" t="s">
        <v>1844</v>
      </c>
      <c r="G734" t="s">
        <v>57</v>
      </c>
      <c r="H734" t="s">
        <v>1845</v>
      </c>
      <c r="I734"/>
      <c r="J734"/>
      <c r="K734"/>
      <c r="L734"/>
      <c r="M734"/>
      <c r="N734"/>
      <c r="O734"/>
      <c r="P734"/>
      <c r="Q734"/>
      <c r="R734"/>
      <c r="S734" s="56">
        <f t="shared" si="33"/>
        <v>7</v>
      </c>
      <c r="T734" s="57" t="str">
        <f t="shared" si="34"/>
        <v>4-30 Days</v>
      </c>
      <c r="U734" s="58" t="str">
        <f t="shared" si="35"/>
        <v>Normal</v>
      </c>
    </row>
    <row r="735" spans="1:21" ht="23.25" customHeight="1" x14ac:dyDescent="0.35">
      <c r="A735" t="s">
        <v>1823</v>
      </c>
      <c r="B735" t="s">
        <v>1823</v>
      </c>
      <c r="C735">
        <v>1500</v>
      </c>
      <c r="D735">
        <v>0</v>
      </c>
      <c r="E735" t="s">
        <v>1846</v>
      </c>
      <c r="F735" t="s">
        <v>1847</v>
      </c>
      <c r="G735" t="s">
        <v>57</v>
      </c>
      <c r="H735" t="s">
        <v>1848</v>
      </c>
      <c r="I735"/>
      <c r="J735"/>
      <c r="K735"/>
      <c r="L735"/>
      <c r="M735"/>
      <c r="N735"/>
      <c r="O735"/>
      <c r="P735"/>
      <c r="Q735"/>
      <c r="R735"/>
      <c r="S735" s="56">
        <f t="shared" si="33"/>
        <v>7</v>
      </c>
      <c r="T735" s="57" t="str">
        <f t="shared" si="34"/>
        <v>4-30 Days</v>
      </c>
      <c r="U735" s="58" t="str">
        <f t="shared" si="35"/>
        <v>Normal</v>
      </c>
    </row>
    <row r="736" spans="1:21" ht="23.25" customHeight="1" x14ac:dyDescent="0.35">
      <c r="A736" t="s">
        <v>1823</v>
      </c>
      <c r="B736" t="s">
        <v>1823</v>
      </c>
      <c r="C736">
        <v>0</v>
      </c>
      <c r="D736">
        <v>1186020.8799999999</v>
      </c>
      <c r="E736" t="s">
        <v>1849</v>
      </c>
      <c r="F736" t="s">
        <v>57</v>
      </c>
      <c r="G736" t="s">
        <v>57</v>
      </c>
      <c r="H736" t="s">
        <v>1850</v>
      </c>
      <c r="I736"/>
      <c r="J736"/>
      <c r="K736"/>
      <c r="L736"/>
      <c r="M736"/>
      <c r="N736"/>
      <c r="O736"/>
      <c r="P736"/>
      <c r="Q736"/>
      <c r="R736"/>
      <c r="S736" s="56">
        <f t="shared" si="33"/>
        <v>7</v>
      </c>
      <c r="T736" s="57" t="str">
        <f t="shared" si="34"/>
        <v>4-30 Days</v>
      </c>
      <c r="U736" s="58" t="str">
        <f t="shared" si="35"/>
        <v>Not Applicable</v>
      </c>
    </row>
    <row r="737" spans="1:21" ht="23.25" customHeight="1" x14ac:dyDescent="0.35">
      <c r="A737" t="s">
        <v>1823</v>
      </c>
      <c r="B737" t="s">
        <v>1823</v>
      </c>
      <c r="C737">
        <v>0</v>
      </c>
      <c r="D737">
        <v>5568907.0300000003</v>
      </c>
      <c r="E737" t="s">
        <v>1851</v>
      </c>
      <c r="F737" t="s">
        <v>57</v>
      </c>
      <c r="G737" t="s">
        <v>57</v>
      </c>
      <c r="H737" t="s">
        <v>1852</v>
      </c>
      <c r="I737"/>
      <c r="J737"/>
      <c r="K737"/>
      <c r="L737"/>
      <c r="M737"/>
      <c r="N737"/>
      <c r="O737"/>
      <c r="P737"/>
      <c r="Q737"/>
      <c r="R737"/>
      <c r="S737" s="56">
        <f t="shared" si="33"/>
        <v>7</v>
      </c>
      <c r="T737" s="57" t="str">
        <f t="shared" si="34"/>
        <v>4-30 Days</v>
      </c>
      <c r="U737" s="58" t="str">
        <f t="shared" si="35"/>
        <v>Not Applicable</v>
      </c>
    </row>
    <row r="738" spans="1:21" ht="23.25" customHeight="1" x14ac:dyDescent="0.35">
      <c r="A738" t="s">
        <v>1823</v>
      </c>
      <c r="B738" t="s">
        <v>1823</v>
      </c>
      <c r="C738">
        <v>10816</v>
      </c>
      <c r="D738">
        <v>0</v>
      </c>
      <c r="E738" t="s">
        <v>1853</v>
      </c>
      <c r="F738" t="s">
        <v>57</v>
      </c>
      <c r="G738" t="s">
        <v>57</v>
      </c>
      <c r="H738" t="s">
        <v>1854</v>
      </c>
      <c r="I738"/>
      <c r="J738"/>
      <c r="K738"/>
      <c r="L738"/>
      <c r="M738"/>
      <c r="N738"/>
      <c r="O738"/>
      <c r="P738"/>
      <c r="Q738"/>
      <c r="R738"/>
      <c r="S738" s="56">
        <f t="shared" si="33"/>
        <v>7</v>
      </c>
      <c r="T738" s="57" t="str">
        <f t="shared" si="34"/>
        <v>4-30 Days</v>
      </c>
      <c r="U738" s="58" t="str">
        <f t="shared" si="35"/>
        <v>Normal</v>
      </c>
    </row>
    <row r="739" spans="1:21" ht="23.25" customHeight="1" x14ac:dyDescent="0.35">
      <c r="A739" t="s">
        <v>1823</v>
      </c>
      <c r="B739" t="s">
        <v>1823</v>
      </c>
      <c r="C739">
        <v>0</v>
      </c>
      <c r="D739">
        <v>2727848.36</v>
      </c>
      <c r="E739" t="s">
        <v>1855</v>
      </c>
      <c r="F739" t="s">
        <v>57</v>
      </c>
      <c r="G739" t="s">
        <v>57</v>
      </c>
      <c r="H739" t="s">
        <v>1856</v>
      </c>
      <c r="I739"/>
      <c r="J739"/>
      <c r="K739"/>
      <c r="L739"/>
      <c r="M739"/>
      <c r="N739"/>
      <c r="O739"/>
      <c r="P739"/>
      <c r="Q739"/>
      <c r="R739"/>
      <c r="S739" s="56">
        <f t="shared" si="33"/>
        <v>7</v>
      </c>
      <c r="T739" s="57" t="str">
        <f t="shared" si="34"/>
        <v>4-30 Days</v>
      </c>
      <c r="U739" s="58" t="str">
        <f t="shared" si="35"/>
        <v>Not Applicable</v>
      </c>
    </row>
    <row r="740" spans="1:21" ht="23.25" customHeight="1" x14ac:dyDescent="0.35">
      <c r="A740" t="s">
        <v>1823</v>
      </c>
      <c r="B740" t="s">
        <v>1823</v>
      </c>
      <c r="C740">
        <v>0</v>
      </c>
      <c r="D740">
        <v>5000000</v>
      </c>
      <c r="E740" t="s">
        <v>1857</v>
      </c>
      <c r="F740" t="s">
        <v>57</v>
      </c>
      <c r="G740" t="s">
        <v>57</v>
      </c>
      <c r="H740" t="s">
        <v>1858</v>
      </c>
      <c r="I740"/>
      <c r="J740"/>
      <c r="K740"/>
      <c r="L740"/>
      <c r="M740"/>
      <c r="N740"/>
      <c r="O740"/>
      <c r="P740"/>
      <c r="Q740"/>
      <c r="R740"/>
      <c r="S740" s="56">
        <f t="shared" si="33"/>
        <v>7</v>
      </c>
      <c r="T740" s="57" t="str">
        <f t="shared" si="34"/>
        <v>4-30 Days</v>
      </c>
      <c r="U740" s="58" t="str">
        <f t="shared" si="35"/>
        <v>Not Applicable</v>
      </c>
    </row>
    <row r="741" spans="1:21" ht="23.25" customHeight="1" x14ac:dyDescent="0.35">
      <c r="A741" t="s">
        <v>1823</v>
      </c>
      <c r="B741" t="s">
        <v>1823</v>
      </c>
      <c r="C741">
        <v>1000</v>
      </c>
      <c r="D741">
        <v>0</v>
      </c>
      <c r="E741" t="s">
        <v>1859</v>
      </c>
      <c r="F741" t="s">
        <v>1860</v>
      </c>
      <c r="G741" t="s">
        <v>57</v>
      </c>
      <c r="H741" t="s">
        <v>1861</v>
      </c>
      <c r="I741"/>
      <c r="J741"/>
      <c r="K741"/>
      <c r="L741"/>
      <c r="M741"/>
      <c r="N741"/>
      <c r="O741"/>
      <c r="P741"/>
      <c r="Q741"/>
      <c r="R741"/>
      <c r="S741" s="56">
        <f t="shared" si="33"/>
        <v>7</v>
      </c>
      <c r="T741" s="57" t="str">
        <f t="shared" si="34"/>
        <v>4-30 Days</v>
      </c>
      <c r="U741" s="58" t="str">
        <f t="shared" si="35"/>
        <v>Normal</v>
      </c>
    </row>
    <row r="742" spans="1:21" ht="23.25" customHeight="1" x14ac:dyDescent="0.35">
      <c r="A742" t="s">
        <v>1823</v>
      </c>
      <c r="B742" t="s">
        <v>1823</v>
      </c>
      <c r="C742">
        <v>3480</v>
      </c>
      <c r="D742">
        <v>0</v>
      </c>
      <c r="E742" t="s">
        <v>1862</v>
      </c>
      <c r="F742" t="s">
        <v>1863</v>
      </c>
      <c r="G742" t="s">
        <v>57</v>
      </c>
      <c r="H742" t="s">
        <v>1864</v>
      </c>
      <c r="I742"/>
      <c r="J742"/>
      <c r="K742"/>
      <c r="L742"/>
      <c r="M742"/>
      <c r="N742"/>
      <c r="O742"/>
      <c r="P742"/>
      <c r="Q742"/>
      <c r="R742"/>
      <c r="S742" s="56">
        <f t="shared" si="33"/>
        <v>7</v>
      </c>
      <c r="T742" s="57" t="str">
        <f t="shared" si="34"/>
        <v>4-30 Days</v>
      </c>
      <c r="U742" s="58" t="str">
        <f t="shared" si="35"/>
        <v>Normal</v>
      </c>
    </row>
    <row r="743" spans="1:21" ht="23.25" customHeight="1" x14ac:dyDescent="0.35">
      <c r="A743" t="s">
        <v>1823</v>
      </c>
      <c r="B743" t="s">
        <v>1823</v>
      </c>
      <c r="C743">
        <v>37676</v>
      </c>
      <c r="D743">
        <v>0</v>
      </c>
      <c r="E743" t="s">
        <v>1865</v>
      </c>
      <c r="F743" t="s">
        <v>57</v>
      </c>
      <c r="G743" t="s">
        <v>57</v>
      </c>
      <c r="H743" t="s">
        <v>1866</v>
      </c>
      <c r="I743"/>
      <c r="J743"/>
      <c r="K743"/>
      <c r="L743"/>
      <c r="M743"/>
      <c r="N743"/>
      <c r="O743"/>
      <c r="P743"/>
      <c r="Q743"/>
      <c r="R743"/>
      <c r="S743" s="56">
        <f t="shared" si="33"/>
        <v>7</v>
      </c>
      <c r="T743" s="57" t="str">
        <f t="shared" si="34"/>
        <v>4-30 Days</v>
      </c>
      <c r="U743" s="58" t="str">
        <f t="shared" si="35"/>
        <v>Normal</v>
      </c>
    </row>
    <row r="744" spans="1:21" ht="23.25" customHeight="1" x14ac:dyDescent="0.35">
      <c r="A744" t="s">
        <v>1823</v>
      </c>
      <c r="B744" t="s">
        <v>1823</v>
      </c>
      <c r="C744">
        <v>20000000</v>
      </c>
      <c r="D744">
        <v>0</v>
      </c>
      <c r="E744" t="s">
        <v>1867</v>
      </c>
      <c r="F744" t="s">
        <v>57</v>
      </c>
      <c r="G744" t="s">
        <v>57</v>
      </c>
      <c r="H744" t="s">
        <v>1868</v>
      </c>
      <c r="I744"/>
      <c r="J744"/>
      <c r="K744"/>
      <c r="L744"/>
      <c r="M744"/>
      <c r="N744"/>
      <c r="O744"/>
      <c r="P744"/>
      <c r="Q744"/>
      <c r="R744"/>
      <c r="S744" s="56">
        <f t="shared" si="33"/>
        <v>7</v>
      </c>
      <c r="T744" s="57" t="str">
        <f t="shared" si="34"/>
        <v>4-30 Days</v>
      </c>
      <c r="U744" s="58" t="str">
        <f t="shared" si="35"/>
        <v>Normal</v>
      </c>
    </row>
    <row r="745" spans="1:21" ht="23.25" customHeight="1" x14ac:dyDescent="0.35">
      <c r="A745" t="s">
        <v>1823</v>
      </c>
      <c r="B745" t="s">
        <v>1823</v>
      </c>
      <c r="C745">
        <v>0</v>
      </c>
      <c r="D745">
        <v>1549</v>
      </c>
      <c r="E745" t="s">
        <v>1869</v>
      </c>
      <c r="F745" t="s">
        <v>1870</v>
      </c>
      <c r="G745" t="s">
        <v>1871</v>
      </c>
      <c r="H745" t="s">
        <v>1872</v>
      </c>
      <c r="I745"/>
      <c r="J745"/>
      <c r="K745"/>
      <c r="L745"/>
      <c r="M745"/>
      <c r="N745"/>
      <c r="O745"/>
      <c r="P745"/>
      <c r="Q745"/>
      <c r="R745"/>
      <c r="S745" s="56">
        <f t="shared" si="33"/>
        <v>7</v>
      </c>
      <c r="T745" s="57" t="str">
        <f t="shared" si="34"/>
        <v>4-30 Days</v>
      </c>
      <c r="U745" s="58" t="str">
        <f t="shared" si="35"/>
        <v>Not Applicable</v>
      </c>
    </row>
    <row r="746" spans="1:21" ht="23.25" customHeight="1" x14ac:dyDescent="0.35">
      <c r="A746" t="s">
        <v>1823</v>
      </c>
      <c r="B746" t="s">
        <v>1823</v>
      </c>
      <c r="C746">
        <v>4712</v>
      </c>
      <c r="D746">
        <v>0</v>
      </c>
      <c r="E746" t="s">
        <v>1873</v>
      </c>
      <c r="F746" t="s">
        <v>57</v>
      </c>
      <c r="G746" t="s">
        <v>57</v>
      </c>
      <c r="H746" t="s">
        <v>1874</v>
      </c>
      <c r="I746"/>
      <c r="J746"/>
      <c r="K746"/>
      <c r="L746"/>
      <c r="M746"/>
      <c r="N746"/>
      <c r="O746"/>
      <c r="P746"/>
      <c r="Q746"/>
      <c r="R746"/>
      <c r="S746" s="56">
        <f t="shared" si="33"/>
        <v>7</v>
      </c>
      <c r="T746" s="57" t="str">
        <f t="shared" si="34"/>
        <v>4-30 Days</v>
      </c>
      <c r="U746" s="58" t="str">
        <f t="shared" si="35"/>
        <v>Normal</v>
      </c>
    </row>
    <row r="747" spans="1:21" ht="23.25" customHeight="1" x14ac:dyDescent="0.35">
      <c r="A747" t="s">
        <v>1823</v>
      </c>
      <c r="B747" t="s">
        <v>1823</v>
      </c>
      <c r="C747">
        <v>0</v>
      </c>
      <c r="D747">
        <v>700000</v>
      </c>
      <c r="E747" t="s">
        <v>1875</v>
      </c>
      <c r="F747" t="s">
        <v>57</v>
      </c>
      <c r="G747" t="s">
        <v>57</v>
      </c>
      <c r="H747" t="s">
        <v>1876</v>
      </c>
      <c r="I747"/>
      <c r="J747"/>
      <c r="K747"/>
      <c r="L747"/>
      <c r="M747"/>
      <c r="N747"/>
      <c r="O747"/>
      <c r="P747"/>
      <c r="Q747"/>
      <c r="R747"/>
      <c r="S747" s="56">
        <f t="shared" si="33"/>
        <v>7</v>
      </c>
      <c r="T747" s="57" t="str">
        <f t="shared" si="34"/>
        <v>4-30 Days</v>
      </c>
      <c r="U747" s="58" t="str">
        <f t="shared" si="35"/>
        <v>Not Applicable</v>
      </c>
    </row>
    <row r="748" spans="1:21" ht="23.25" customHeight="1" x14ac:dyDescent="0.35">
      <c r="A748" t="s">
        <v>1877</v>
      </c>
      <c r="B748" t="s">
        <v>1877</v>
      </c>
      <c r="C748">
        <v>1422.06</v>
      </c>
      <c r="D748">
        <v>0</v>
      </c>
      <c r="E748" t="s">
        <v>1878</v>
      </c>
      <c r="F748" t="s">
        <v>57</v>
      </c>
      <c r="G748" t="s">
        <v>57</v>
      </c>
      <c r="H748" t="s">
        <v>1879</v>
      </c>
      <c r="I748"/>
      <c r="J748"/>
      <c r="K748"/>
      <c r="L748"/>
      <c r="M748"/>
      <c r="N748"/>
      <c r="O748"/>
      <c r="P748"/>
      <c r="Q748"/>
      <c r="R748"/>
      <c r="S748" s="56">
        <f t="shared" si="33"/>
        <v>6</v>
      </c>
      <c r="T748" s="57" t="str">
        <f t="shared" si="34"/>
        <v>4-30 Days</v>
      </c>
      <c r="U748" s="58" t="str">
        <f t="shared" si="35"/>
        <v>Normal</v>
      </c>
    </row>
    <row r="749" spans="1:21" ht="23.25" customHeight="1" x14ac:dyDescent="0.35">
      <c r="A749" t="s">
        <v>1877</v>
      </c>
      <c r="B749" t="s">
        <v>1877</v>
      </c>
      <c r="C749">
        <v>70000</v>
      </c>
      <c r="D749">
        <v>0</v>
      </c>
      <c r="E749" t="s">
        <v>1880</v>
      </c>
      <c r="F749" t="s">
        <v>1881</v>
      </c>
      <c r="G749" t="s">
        <v>57</v>
      </c>
      <c r="H749" t="s">
        <v>1882</v>
      </c>
      <c r="I749"/>
      <c r="J749"/>
      <c r="K749"/>
      <c r="L749"/>
      <c r="M749"/>
      <c r="N749"/>
      <c r="O749"/>
      <c r="P749"/>
      <c r="Q749"/>
      <c r="R749"/>
      <c r="S749" s="56">
        <f t="shared" si="33"/>
        <v>6</v>
      </c>
      <c r="T749" s="57" t="str">
        <f t="shared" si="34"/>
        <v>4-30 Days</v>
      </c>
      <c r="U749" s="58" t="str">
        <f t="shared" si="35"/>
        <v>Normal</v>
      </c>
    </row>
    <row r="750" spans="1:21" ht="23.25" customHeight="1" x14ac:dyDescent="0.35">
      <c r="A750" t="s">
        <v>1877</v>
      </c>
      <c r="B750" t="s">
        <v>1877</v>
      </c>
      <c r="C750">
        <v>0</v>
      </c>
      <c r="D750">
        <v>14232253.970000001</v>
      </c>
      <c r="E750" t="s">
        <v>1883</v>
      </c>
      <c r="F750" t="s">
        <v>57</v>
      </c>
      <c r="G750" t="s">
        <v>57</v>
      </c>
      <c r="H750" t="s">
        <v>1884</v>
      </c>
      <c r="I750"/>
      <c r="J750"/>
      <c r="K750"/>
      <c r="L750"/>
      <c r="M750"/>
      <c r="N750"/>
      <c r="O750"/>
      <c r="P750"/>
      <c r="Q750"/>
      <c r="R750"/>
      <c r="S750" s="56">
        <f t="shared" si="33"/>
        <v>6</v>
      </c>
      <c r="T750" s="57" t="str">
        <f t="shared" si="34"/>
        <v>4-30 Days</v>
      </c>
      <c r="U750" s="58" t="str">
        <f t="shared" si="35"/>
        <v>Not Applicable</v>
      </c>
    </row>
    <row r="751" spans="1:21" ht="23.25" customHeight="1" x14ac:dyDescent="0.35">
      <c r="A751" t="s">
        <v>1877</v>
      </c>
      <c r="B751" t="s">
        <v>1877</v>
      </c>
      <c r="C751">
        <v>0</v>
      </c>
      <c r="D751">
        <v>1808</v>
      </c>
      <c r="E751" t="s">
        <v>1885</v>
      </c>
      <c r="F751" t="s">
        <v>1886</v>
      </c>
      <c r="G751" t="s">
        <v>1887</v>
      </c>
      <c r="H751" t="s">
        <v>1888</v>
      </c>
      <c r="I751"/>
      <c r="J751"/>
      <c r="K751"/>
      <c r="L751"/>
      <c r="M751"/>
      <c r="N751"/>
      <c r="O751"/>
      <c r="P751"/>
      <c r="Q751"/>
      <c r="R751"/>
      <c r="S751" s="56">
        <f t="shared" si="33"/>
        <v>6</v>
      </c>
      <c r="T751" s="57" t="str">
        <f t="shared" si="34"/>
        <v>4-30 Days</v>
      </c>
      <c r="U751" s="58" t="str">
        <f t="shared" si="35"/>
        <v>Not Applicable</v>
      </c>
    </row>
    <row r="752" spans="1:21" ht="23.25" customHeight="1" x14ac:dyDescent="0.35">
      <c r="A752" t="s">
        <v>1877</v>
      </c>
      <c r="B752" t="s">
        <v>1877</v>
      </c>
      <c r="C752">
        <v>0</v>
      </c>
      <c r="D752">
        <v>200000</v>
      </c>
      <c r="E752" t="s">
        <v>1889</v>
      </c>
      <c r="F752" t="s">
        <v>57</v>
      </c>
      <c r="G752" t="s">
        <v>57</v>
      </c>
      <c r="H752" t="s">
        <v>1890</v>
      </c>
      <c r="I752"/>
      <c r="J752"/>
      <c r="K752"/>
      <c r="L752"/>
      <c r="M752"/>
      <c r="N752"/>
      <c r="O752"/>
      <c r="P752"/>
      <c r="Q752"/>
      <c r="R752"/>
      <c r="S752" s="56">
        <f t="shared" si="33"/>
        <v>6</v>
      </c>
      <c r="T752" s="57" t="str">
        <f t="shared" si="34"/>
        <v>4-30 Days</v>
      </c>
      <c r="U752" s="58" t="str">
        <f t="shared" si="35"/>
        <v>Not Applicable</v>
      </c>
    </row>
    <row r="753" spans="1:21" ht="23.25" customHeight="1" x14ac:dyDescent="0.35">
      <c r="A753" t="s">
        <v>1877</v>
      </c>
      <c r="B753" t="s">
        <v>1877</v>
      </c>
      <c r="C753">
        <v>30000</v>
      </c>
      <c r="D753">
        <v>0</v>
      </c>
      <c r="E753" t="s">
        <v>1891</v>
      </c>
      <c r="F753" t="s">
        <v>1892</v>
      </c>
      <c r="G753" t="s">
        <v>57</v>
      </c>
      <c r="H753" t="s">
        <v>1893</v>
      </c>
      <c r="I753"/>
      <c r="J753"/>
      <c r="K753"/>
      <c r="L753"/>
      <c r="M753"/>
      <c r="N753"/>
      <c r="O753"/>
      <c r="P753"/>
      <c r="Q753"/>
      <c r="R753"/>
      <c r="S753" s="56">
        <f t="shared" si="33"/>
        <v>6</v>
      </c>
      <c r="T753" s="57" t="str">
        <f t="shared" si="34"/>
        <v>4-30 Days</v>
      </c>
      <c r="U753" s="58" t="str">
        <f t="shared" si="35"/>
        <v>Normal</v>
      </c>
    </row>
    <row r="754" spans="1:21" ht="23.25" customHeight="1" x14ac:dyDescent="0.35">
      <c r="A754" t="s">
        <v>1877</v>
      </c>
      <c r="B754" t="s">
        <v>1877</v>
      </c>
      <c r="C754">
        <v>0</v>
      </c>
      <c r="D754">
        <v>1779031.89</v>
      </c>
      <c r="E754" t="s">
        <v>1894</v>
      </c>
      <c r="F754" t="s">
        <v>57</v>
      </c>
      <c r="G754" t="s">
        <v>57</v>
      </c>
      <c r="H754" t="s">
        <v>1895</v>
      </c>
      <c r="I754"/>
      <c r="J754"/>
      <c r="K754"/>
      <c r="L754"/>
      <c r="M754"/>
      <c r="N754"/>
      <c r="O754"/>
      <c r="P754"/>
      <c r="Q754"/>
      <c r="R754"/>
      <c r="S754" s="56">
        <f t="shared" si="33"/>
        <v>6</v>
      </c>
      <c r="T754" s="57" t="str">
        <f t="shared" si="34"/>
        <v>4-30 Days</v>
      </c>
      <c r="U754" s="58" t="str">
        <f t="shared" si="35"/>
        <v>Not Applicable</v>
      </c>
    </row>
    <row r="755" spans="1:21" ht="23.25" customHeight="1" x14ac:dyDescent="0.35">
      <c r="A755" t="s">
        <v>1877</v>
      </c>
      <c r="B755" t="s">
        <v>1877</v>
      </c>
      <c r="C755">
        <v>0</v>
      </c>
      <c r="D755">
        <v>30000</v>
      </c>
      <c r="E755" t="s">
        <v>1896</v>
      </c>
      <c r="F755" t="s">
        <v>1897</v>
      </c>
      <c r="G755" t="s">
        <v>1898</v>
      </c>
      <c r="H755" t="s">
        <v>1899</v>
      </c>
      <c r="I755"/>
      <c r="J755"/>
      <c r="K755"/>
      <c r="L755"/>
      <c r="M755"/>
      <c r="N755"/>
      <c r="O755"/>
      <c r="P755"/>
      <c r="Q755"/>
      <c r="R755"/>
      <c r="S755" s="56">
        <f t="shared" si="33"/>
        <v>6</v>
      </c>
      <c r="T755" s="57" t="str">
        <f t="shared" si="34"/>
        <v>4-30 Days</v>
      </c>
      <c r="U755" s="58" t="str">
        <f t="shared" si="35"/>
        <v>Not Applicable</v>
      </c>
    </row>
    <row r="756" spans="1:21" ht="23.25" customHeight="1" x14ac:dyDescent="0.35">
      <c r="A756" t="s">
        <v>1877</v>
      </c>
      <c r="B756" t="s">
        <v>1877</v>
      </c>
      <c r="C756">
        <v>172.3</v>
      </c>
      <c r="D756">
        <v>0</v>
      </c>
      <c r="E756" t="s">
        <v>1900</v>
      </c>
      <c r="F756" t="s">
        <v>1901</v>
      </c>
      <c r="G756" t="s">
        <v>57</v>
      </c>
      <c r="H756" t="s">
        <v>1902</v>
      </c>
      <c r="I756"/>
      <c r="J756"/>
      <c r="K756"/>
      <c r="L756"/>
      <c r="M756"/>
      <c r="N756"/>
      <c r="O756"/>
      <c r="P756"/>
      <c r="Q756"/>
      <c r="R756"/>
      <c r="S756" s="56">
        <f t="shared" si="33"/>
        <v>6</v>
      </c>
      <c r="T756" s="57" t="str">
        <f t="shared" si="34"/>
        <v>4-30 Days</v>
      </c>
      <c r="U756" s="58" t="str">
        <f t="shared" si="35"/>
        <v>Normal</v>
      </c>
    </row>
    <row r="757" spans="1:21" ht="23.25" customHeight="1" x14ac:dyDescent="0.35">
      <c r="A757" t="s">
        <v>1877</v>
      </c>
      <c r="B757" t="s">
        <v>1877</v>
      </c>
      <c r="C757">
        <v>0</v>
      </c>
      <c r="D757">
        <v>350000</v>
      </c>
      <c r="E757" t="s">
        <v>1903</v>
      </c>
      <c r="F757" t="s">
        <v>57</v>
      </c>
      <c r="G757" t="s">
        <v>57</v>
      </c>
      <c r="H757" t="s">
        <v>1904</v>
      </c>
      <c r="I757"/>
      <c r="J757"/>
      <c r="K757"/>
      <c r="L757"/>
      <c r="M757"/>
      <c r="N757"/>
      <c r="O757"/>
      <c r="P757"/>
      <c r="Q757"/>
      <c r="R757"/>
      <c r="S757" s="56">
        <f t="shared" si="33"/>
        <v>6</v>
      </c>
      <c r="T757" s="57" t="str">
        <f t="shared" si="34"/>
        <v>4-30 Days</v>
      </c>
      <c r="U757" s="58" t="str">
        <f t="shared" si="35"/>
        <v>Not Applicable</v>
      </c>
    </row>
    <row r="758" spans="1:21" ht="23.25" customHeight="1" x14ac:dyDescent="0.35">
      <c r="A758" t="s">
        <v>1877</v>
      </c>
      <c r="B758" t="s">
        <v>1877</v>
      </c>
      <c r="C758">
        <v>350258.61</v>
      </c>
      <c r="D758">
        <v>0</v>
      </c>
      <c r="E758" t="s">
        <v>1905</v>
      </c>
      <c r="F758" t="s">
        <v>57</v>
      </c>
      <c r="G758" t="s">
        <v>57</v>
      </c>
      <c r="H758" t="s">
        <v>1906</v>
      </c>
      <c r="I758"/>
      <c r="J758"/>
      <c r="K758"/>
      <c r="L758"/>
      <c r="M758"/>
      <c r="N758"/>
      <c r="O758"/>
      <c r="P758"/>
      <c r="Q758"/>
      <c r="R758"/>
      <c r="S758" s="56">
        <f t="shared" si="33"/>
        <v>6</v>
      </c>
      <c r="T758" s="57" t="str">
        <f t="shared" si="34"/>
        <v>4-30 Days</v>
      </c>
      <c r="U758" s="58" t="str">
        <f t="shared" si="35"/>
        <v>Normal</v>
      </c>
    </row>
    <row r="759" spans="1:21" ht="23.25" customHeight="1" x14ac:dyDescent="0.35">
      <c r="A759" t="s">
        <v>1877</v>
      </c>
      <c r="B759" t="s">
        <v>1877</v>
      </c>
      <c r="C759">
        <v>0</v>
      </c>
      <c r="D759">
        <v>1116140.24</v>
      </c>
      <c r="E759" t="s">
        <v>1907</v>
      </c>
      <c r="F759" t="s">
        <v>57</v>
      </c>
      <c r="G759" t="s">
        <v>57</v>
      </c>
      <c r="H759" t="s">
        <v>1908</v>
      </c>
      <c r="I759"/>
      <c r="J759"/>
      <c r="K759"/>
      <c r="L759"/>
      <c r="M759"/>
      <c r="N759"/>
      <c r="O759"/>
      <c r="P759"/>
      <c r="Q759"/>
      <c r="R759"/>
      <c r="S759" s="56">
        <f t="shared" si="33"/>
        <v>6</v>
      </c>
      <c r="T759" s="57" t="str">
        <f t="shared" si="34"/>
        <v>4-30 Days</v>
      </c>
      <c r="U759" s="58" t="str">
        <f t="shared" si="35"/>
        <v>Not Applicable</v>
      </c>
    </row>
    <row r="760" spans="1:21" ht="23.25" customHeight="1" x14ac:dyDescent="0.35">
      <c r="A760" t="s">
        <v>1877</v>
      </c>
      <c r="B760" t="s">
        <v>1877</v>
      </c>
      <c r="C760">
        <v>12667.02</v>
      </c>
      <c r="D760">
        <v>0</v>
      </c>
      <c r="E760" t="s">
        <v>1909</v>
      </c>
      <c r="F760" t="s">
        <v>57</v>
      </c>
      <c r="G760" t="s">
        <v>57</v>
      </c>
      <c r="H760" t="s">
        <v>1910</v>
      </c>
      <c r="I760"/>
      <c r="J760"/>
      <c r="K760"/>
      <c r="L760"/>
      <c r="M760"/>
      <c r="N760"/>
      <c r="O760"/>
      <c r="P760"/>
      <c r="Q760"/>
      <c r="R760"/>
      <c r="S760" s="56">
        <f t="shared" si="33"/>
        <v>6</v>
      </c>
      <c r="T760" s="57" t="str">
        <f t="shared" si="34"/>
        <v>4-30 Days</v>
      </c>
      <c r="U760" s="58" t="str">
        <f t="shared" si="35"/>
        <v>Normal</v>
      </c>
    </row>
    <row r="761" spans="1:21" ht="23.25" customHeight="1" x14ac:dyDescent="0.35">
      <c r="A761" t="s">
        <v>1877</v>
      </c>
      <c r="B761" t="s">
        <v>1877</v>
      </c>
      <c r="C761">
        <v>0</v>
      </c>
      <c r="D761">
        <v>75000</v>
      </c>
      <c r="E761" t="s">
        <v>1911</v>
      </c>
      <c r="F761" t="s">
        <v>1912</v>
      </c>
      <c r="G761" t="s">
        <v>1913</v>
      </c>
      <c r="H761" t="s">
        <v>1914</v>
      </c>
      <c r="I761"/>
      <c r="J761"/>
      <c r="K761"/>
      <c r="L761"/>
      <c r="M761"/>
      <c r="N761"/>
      <c r="O761"/>
      <c r="P761"/>
      <c r="Q761"/>
      <c r="R761"/>
      <c r="S761" s="56">
        <f t="shared" si="33"/>
        <v>6</v>
      </c>
      <c r="T761" s="57" t="str">
        <f t="shared" si="34"/>
        <v>4-30 Days</v>
      </c>
      <c r="U761" s="58" t="str">
        <f t="shared" si="35"/>
        <v>Not Applicable</v>
      </c>
    </row>
    <row r="762" spans="1:21" ht="23.25" customHeight="1" x14ac:dyDescent="0.35">
      <c r="A762" t="s">
        <v>1877</v>
      </c>
      <c r="B762" t="s">
        <v>1877</v>
      </c>
      <c r="C762">
        <v>0</v>
      </c>
      <c r="D762">
        <v>164500</v>
      </c>
      <c r="E762" t="s">
        <v>1915</v>
      </c>
      <c r="F762" t="s">
        <v>57</v>
      </c>
      <c r="G762" t="s">
        <v>57</v>
      </c>
      <c r="H762" t="s">
        <v>1916</v>
      </c>
      <c r="I762"/>
      <c r="J762"/>
      <c r="K762"/>
      <c r="L762"/>
      <c r="M762"/>
      <c r="N762"/>
      <c r="O762"/>
      <c r="P762"/>
      <c r="Q762"/>
      <c r="R762"/>
      <c r="S762" s="56">
        <f t="shared" si="33"/>
        <v>6</v>
      </c>
      <c r="T762" s="57" t="str">
        <f t="shared" si="34"/>
        <v>4-30 Days</v>
      </c>
      <c r="U762" s="58" t="str">
        <f t="shared" si="35"/>
        <v>Not Applicable</v>
      </c>
    </row>
    <row r="763" spans="1:21" ht="23.25" customHeight="1" x14ac:dyDescent="0.35">
      <c r="A763" t="s">
        <v>1877</v>
      </c>
      <c r="B763" t="s">
        <v>1877</v>
      </c>
      <c r="C763">
        <v>0</v>
      </c>
      <c r="D763">
        <v>100000</v>
      </c>
      <c r="E763" t="s">
        <v>1917</v>
      </c>
      <c r="F763" t="s">
        <v>57</v>
      </c>
      <c r="G763" t="s">
        <v>57</v>
      </c>
      <c r="H763" t="s">
        <v>1918</v>
      </c>
      <c r="I763"/>
      <c r="J763"/>
      <c r="K763"/>
      <c r="L763"/>
      <c r="M763"/>
      <c r="N763"/>
      <c r="O763"/>
      <c r="P763"/>
      <c r="Q763"/>
      <c r="R763"/>
      <c r="S763" s="56">
        <f t="shared" si="33"/>
        <v>6</v>
      </c>
      <c r="T763" s="57" t="str">
        <f t="shared" si="34"/>
        <v>4-30 Days</v>
      </c>
      <c r="U763" s="58" t="str">
        <f t="shared" si="35"/>
        <v>Not Applicable</v>
      </c>
    </row>
    <row r="764" spans="1:21" ht="23.25" customHeight="1" x14ac:dyDescent="0.35">
      <c r="A764" t="s">
        <v>1877</v>
      </c>
      <c r="B764" t="s">
        <v>1877</v>
      </c>
      <c r="C764">
        <v>0</v>
      </c>
      <c r="D764">
        <v>300000</v>
      </c>
      <c r="E764" t="s">
        <v>1919</v>
      </c>
      <c r="F764" t="s">
        <v>57</v>
      </c>
      <c r="G764" t="s">
        <v>57</v>
      </c>
      <c r="H764" t="s">
        <v>1920</v>
      </c>
      <c r="I764"/>
      <c r="J764"/>
      <c r="K764"/>
      <c r="L764"/>
      <c r="M764"/>
      <c r="N764"/>
      <c r="O764"/>
      <c r="P764"/>
      <c r="Q764"/>
      <c r="R764"/>
      <c r="S764" s="56">
        <f t="shared" si="33"/>
        <v>6</v>
      </c>
      <c r="T764" s="57" t="str">
        <f t="shared" si="34"/>
        <v>4-30 Days</v>
      </c>
      <c r="U764" s="58" t="str">
        <f t="shared" si="35"/>
        <v>Not Applicable</v>
      </c>
    </row>
    <row r="765" spans="1:21" ht="23.25" customHeight="1" x14ac:dyDescent="0.35">
      <c r="A765" t="s">
        <v>1877</v>
      </c>
      <c r="B765" t="s">
        <v>1877</v>
      </c>
      <c r="C765">
        <v>7500</v>
      </c>
      <c r="D765">
        <v>0</v>
      </c>
      <c r="E765" t="s">
        <v>1921</v>
      </c>
      <c r="F765" t="s">
        <v>57</v>
      </c>
      <c r="G765" t="s">
        <v>57</v>
      </c>
      <c r="H765" t="s">
        <v>1922</v>
      </c>
      <c r="I765"/>
      <c r="J765"/>
      <c r="K765"/>
      <c r="L765"/>
      <c r="M765"/>
      <c r="N765"/>
      <c r="O765"/>
      <c r="P765"/>
      <c r="Q765"/>
      <c r="R765"/>
      <c r="S765" s="56">
        <f t="shared" si="33"/>
        <v>6</v>
      </c>
      <c r="T765" s="57" t="str">
        <f t="shared" si="34"/>
        <v>4-30 Days</v>
      </c>
      <c r="U765" s="58" t="str">
        <f t="shared" si="35"/>
        <v>Normal</v>
      </c>
    </row>
    <row r="766" spans="1:21" ht="23.25" customHeight="1" x14ac:dyDescent="0.35">
      <c r="A766" t="s">
        <v>1877</v>
      </c>
      <c r="B766" t="s">
        <v>1877</v>
      </c>
      <c r="C766">
        <v>0</v>
      </c>
      <c r="D766">
        <v>15000000</v>
      </c>
      <c r="E766" t="s">
        <v>1923</v>
      </c>
      <c r="F766" t="s">
        <v>57</v>
      </c>
      <c r="G766" t="s">
        <v>57</v>
      </c>
      <c r="H766" t="s">
        <v>1924</v>
      </c>
      <c r="I766"/>
      <c r="J766"/>
      <c r="K766"/>
      <c r="L766"/>
      <c r="M766"/>
      <c r="N766"/>
      <c r="O766"/>
      <c r="P766"/>
      <c r="Q766"/>
      <c r="R766"/>
      <c r="S766" s="56">
        <f t="shared" si="33"/>
        <v>6</v>
      </c>
      <c r="T766" s="57" t="str">
        <f t="shared" si="34"/>
        <v>4-30 Days</v>
      </c>
      <c r="U766" s="58" t="str">
        <f t="shared" si="35"/>
        <v>Not Applicable</v>
      </c>
    </row>
    <row r="767" spans="1:21" ht="23.25" customHeight="1" x14ac:dyDescent="0.35">
      <c r="A767" t="s">
        <v>1877</v>
      </c>
      <c r="B767" t="s">
        <v>1877</v>
      </c>
      <c r="C767">
        <v>890</v>
      </c>
      <c r="D767">
        <v>0</v>
      </c>
      <c r="E767" t="s">
        <v>1925</v>
      </c>
      <c r="F767" t="s">
        <v>1926</v>
      </c>
      <c r="G767" t="s">
        <v>57</v>
      </c>
      <c r="H767" t="s">
        <v>1927</v>
      </c>
      <c r="I767"/>
      <c r="J767"/>
      <c r="K767"/>
      <c r="L767"/>
      <c r="M767"/>
      <c r="N767"/>
      <c r="O767"/>
      <c r="P767"/>
      <c r="Q767"/>
      <c r="R767"/>
      <c r="S767" s="56">
        <f t="shared" si="33"/>
        <v>6</v>
      </c>
      <c r="T767" s="57" t="str">
        <f t="shared" si="34"/>
        <v>4-30 Days</v>
      </c>
      <c r="U767" s="58" t="str">
        <f t="shared" si="35"/>
        <v>Normal</v>
      </c>
    </row>
    <row r="768" spans="1:21" ht="23.25" customHeight="1" x14ac:dyDescent="0.35">
      <c r="A768" t="s">
        <v>1877</v>
      </c>
      <c r="B768" t="s">
        <v>1877</v>
      </c>
      <c r="C768">
        <v>200155.56</v>
      </c>
      <c r="D768">
        <v>0</v>
      </c>
      <c r="E768" t="s">
        <v>1928</v>
      </c>
      <c r="F768" t="s">
        <v>57</v>
      </c>
      <c r="G768" t="s">
        <v>57</v>
      </c>
      <c r="H768" t="s">
        <v>1929</v>
      </c>
      <c r="I768"/>
      <c r="J768"/>
      <c r="K768"/>
      <c r="L768"/>
      <c r="M768"/>
      <c r="N768"/>
      <c r="O768"/>
      <c r="P768"/>
      <c r="Q768"/>
      <c r="R768"/>
      <c r="S768" s="56">
        <f t="shared" si="33"/>
        <v>6</v>
      </c>
      <c r="T768" s="57" t="str">
        <f t="shared" si="34"/>
        <v>4-30 Days</v>
      </c>
      <c r="U768" s="58" t="str">
        <f t="shared" si="35"/>
        <v>Normal</v>
      </c>
    </row>
    <row r="769" spans="1:21" ht="23.25" customHeight="1" x14ac:dyDescent="0.35">
      <c r="A769" t="s">
        <v>1877</v>
      </c>
      <c r="B769" t="s">
        <v>1877</v>
      </c>
      <c r="C769">
        <v>0</v>
      </c>
      <c r="D769">
        <v>70000</v>
      </c>
      <c r="E769" t="s">
        <v>1930</v>
      </c>
      <c r="F769" t="s">
        <v>1931</v>
      </c>
      <c r="G769" t="s">
        <v>1932</v>
      </c>
      <c r="H769" t="s">
        <v>1933</v>
      </c>
      <c r="I769"/>
      <c r="J769"/>
      <c r="K769"/>
      <c r="L769"/>
      <c r="M769"/>
      <c r="N769"/>
      <c r="O769"/>
      <c r="P769"/>
      <c r="Q769"/>
      <c r="R769"/>
      <c r="S769" s="56">
        <f t="shared" si="33"/>
        <v>6</v>
      </c>
      <c r="T769" s="57" t="str">
        <f t="shared" si="34"/>
        <v>4-30 Days</v>
      </c>
      <c r="U769" s="58" t="str">
        <f t="shared" si="35"/>
        <v>Not Applicable</v>
      </c>
    </row>
    <row r="770" spans="1:21" ht="23.25" customHeight="1" x14ac:dyDescent="0.35">
      <c r="A770" t="s">
        <v>1877</v>
      </c>
      <c r="B770" t="s">
        <v>1877</v>
      </c>
      <c r="C770">
        <v>75000</v>
      </c>
      <c r="D770">
        <v>0</v>
      </c>
      <c r="E770" t="s">
        <v>1934</v>
      </c>
      <c r="F770" t="s">
        <v>1935</v>
      </c>
      <c r="G770" t="s">
        <v>57</v>
      </c>
      <c r="H770" t="s">
        <v>1936</v>
      </c>
      <c r="I770"/>
      <c r="J770"/>
      <c r="K770"/>
      <c r="L770"/>
      <c r="M770"/>
      <c r="N770"/>
      <c r="O770"/>
      <c r="P770"/>
      <c r="Q770"/>
      <c r="R770"/>
      <c r="S770" s="56">
        <f t="shared" si="33"/>
        <v>6</v>
      </c>
      <c r="T770" s="57" t="str">
        <f t="shared" si="34"/>
        <v>4-30 Days</v>
      </c>
      <c r="U770" s="58" t="str">
        <f t="shared" si="35"/>
        <v>Normal</v>
      </c>
    </row>
    <row r="771" spans="1:21" ht="23.25" customHeight="1" x14ac:dyDescent="0.35">
      <c r="A771" t="s">
        <v>1877</v>
      </c>
      <c r="B771" t="s">
        <v>1877</v>
      </c>
      <c r="C771">
        <v>0</v>
      </c>
      <c r="D771">
        <v>1116140.24</v>
      </c>
      <c r="E771" t="s">
        <v>1937</v>
      </c>
      <c r="F771" t="s">
        <v>57</v>
      </c>
      <c r="G771" t="s">
        <v>57</v>
      </c>
      <c r="H771" t="s">
        <v>1938</v>
      </c>
      <c r="I771"/>
      <c r="J771"/>
      <c r="K771"/>
      <c r="L771"/>
      <c r="M771"/>
      <c r="N771"/>
      <c r="O771"/>
      <c r="P771"/>
      <c r="Q771"/>
      <c r="R771"/>
      <c r="S771" s="56">
        <f t="shared" si="33"/>
        <v>6</v>
      </c>
      <c r="T771" s="57" t="str">
        <f t="shared" si="34"/>
        <v>4-30 Days</v>
      </c>
      <c r="U771" s="58" t="str">
        <f t="shared" si="35"/>
        <v>Not Applicable</v>
      </c>
    </row>
    <row r="772" spans="1:21" ht="23.25" customHeight="1" x14ac:dyDescent="0.35">
      <c r="A772" t="s">
        <v>1939</v>
      </c>
      <c r="B772" t="s">
        <v>1939</v>
      </c>
      <c r="C772">
        <v>250</v>
      </c>
      <c r="D772">
        <v>0</v>
      </c>
      <c r="E772" t="s">
        <v>1940</v>
      </c>
      <c r="F772" t="s">
        <v>57</v>
      </c>
      <c r="G772" t="s">
        <v>57</v>
      </c>
      <c r="H772" t="s">
        <v>1941</v>
      </c>
      <c r="I772"/>
      <c r="J772"/>
      <c r="K772"/>
      <c r="L772"/>
      <c r="M772"/>
      <c r="N772"/>
      <c r="O772"/>
      <c r="P772"/>
      <c r="Q772"/>
      <c r="R772"/>
      <c r="S772" s="56">
        <f t="shared" si="33"/>
        <v>5</v>
      </c>
      <c r="T772" s="57" t="str">
        <f t="shared" si="34"/>
        <v>4-30 Days</v>
      </c>
      <c r="U772" s="58" t="str">
        <f t="shared" si="35"/>
        <v>Normal</v>
      </c>
    </row>
    <row r="773" spans="1:21" ht="23.25" customHeight="1" x14ac:dyDescent="0.35">
      <c r="A773" t="s">
        <v>1939</v>
      </c>
      <c r="B773" t="s">
        <v>1939</v>
      </c>
      <c r="C773">
        <v>1000</v>
      </c>
      <c r="D773">
        <v>0</v>
      </c>
      <c r="E773" t="s">
        <v>1942</v>
      </c>
      <c r="F773" t="s">
        <v>57</v>
      </c>
      <c r="G773" t="s">
        <v>57</v>
      </c>
      <c r="H773" t="s">
        <v>1943</v>
      </c>
      <c r="I773"/>
      <c r="J773"/>
      <c r="K773"/>
      <c r="L773"/>
      <c r="M773"/>
      <c r="N773"/>
      <c r="O773"/>
      <c r="P773"/>
      <c r="Q773"/>
      <c r="R773"/>
      <c r="S773" s="56">
        <f t="shared" si="33"/>
        <v>5</v>
      </c>
      <c r="T773" s="57" t="str">
        <f t="shared" si="34"/>
        <v>4-30 Days</v>
      </c>
      <c r="U773" s="58" t="str">
        <f t="shared" si="35"/>
        <v>Normal</v>
      </c>
    </row>
    <row r="774" spans="1:21" ht="23.25" customHeight="1" x14ac:dyDescent="0.35">
      <c r="A774" t="s">
        <v>1939</v>
      </c>
      <c r="B774" t="s">
        <v>1939</v>
      </c>
      <c r="C774">
        <v>0</v>
      </c>
      <c r="D774">
        <v>2650</v>
      </c>
      <c r="E774" t="s">
        <v>1944</v>
      </c>
      <c r="F774" t="s">
        <v>57</v>
      </c>
      <c r="G774" t="s">
        <v>57</v>
      </c>
      <c r="H774" t="s">
        <v>1945</v>
      </c>
      <c r="I774"/>
      <c r="J774"/>
      <c r="K774"/>
      <c r="L774"/>
      <c r="M774"/>
      <c r="N774"/>
      <c r="O774"/>
      <c r="P774"/>
      <c r="Q774"/>
      <c r="R774"/>
      <c r="S774" s="56">
        <f t="shared" si="33"/>
        <v>5</v>
      </c>
      <c r="T774" s="57" t="str">
        <f t="shared" si="34"/>
        <v>4-30 Days</v>
      </c>
      <c r="U774" s="58" t="str">
        <f t="shared" si="35"/>
        <v>Not Applicable</v>
      </c>
    </row>
    <row r="775" spans="1:21" ht="23.25" customHeight="1" x14ac:dyDescent="0.35">
      <c r="A775" t="s">
        <v>1939</v>
      </c>
      <c r="B775" t="s">
        <v>1939</v>
      </c>
      <c r="C775">
        <v>0</v>
      </c>
      <c r="D775">
        <v>1000</v>
      </c>
      <c r="E775" t="s">
        <v>1946</v>
      </c>
      <c r="F775" t="s">
        <v>57</v>
      </c>
      <c r="G775" t="s">
        <v>57</v>
      </c>
      <c r="H775" t="s">
        <v>1947</v>
      </c>
      <c r="I775"/>
      <c r="J775"/>
      <c r="K775"/>
      <c r="L775"/>
      <c r="M775"/>
      <c r="N775"/>
      <c r="O775"/>
      <c r="P775"/>
      <c r="Q775"/>
      <c r="R775"/>
      <c r="S775" s="56">
        <f t="shared" si="33"/>
        <v>5</v>
      </c>
      <c r="T775" s="57" t="str">
        <f t="shared" si="34"/>
        <v>4-30 Days</v>
      </c>
      <c r="U775" s="58" t="str">
        <f t="shared" si="35"/>
        <v>Not Applicable</v>
      </c>
    </row>
    <row r="776" spans="1:21" ht="23.25" customHeight="1" x14ac:dyDescent="0.35">
      <c r="A776" t="s">
        <v>1939</v>
      </c>
      <c r="B776" t="s">
        <v>1939</v>
      </c>
      <c r="C776">
        <v>0</v>
      </c>
      <c r="D776">
        <v>2050</v>
      </c>
      <c r="E776" t="s">
        <v>1948</v>
      </c>
      <c r="F776" t="s">
        <v>57</v>
      </c>
      <c r="G776" t="s">
        <v>57</v>
      </c>
      <c r="H776" t="s">
        <v>1949</v>
      </c>
      <c r="I776"/>
      <c r="J776"/>
      <c r="K776"/>
      <c r="L776"/>
      <c r="M776"/>
      <c r="N776"/>
      <c r="O776"/>
      <c r="P776"/>
      <c r="Q776"/>
      <c r="R776"/>
      <c r="S776" s="56">
        <f t="shared" si="33"/>
        <v>5</v>
      </c>
      <c r="T776" s="57" t="str">
        <f t="shared" si="34"/>
        <v>4-30 Days</v>
      </c>
      <c r="U776" s="58" t="str">
        <f t="shared" si="35"/>
        <v>Not Applicable</v>
      </c>
    </row>
    <row r="777" spans="1:21" ht="23.25" customHeight="1" x14ac:dyDescent="0.35">
      <c r="A777" t="s">
        <v>1939</v>
      </c>
      <c r="B777" t="s">
        <v>1939</v>
      </c>
      <c r="C777">
        <v>0</v>
      </c>
      <c r="D777">
        <v>2152</v>
      </c>
      <c r="E777" t="s">
        <v>1950</v>
      </c>
      <c r="F777" t="s">
        <v>57</v>
      </c>
      <c r="G777" t="s">
        <v>57</v>
      </c>
      <c r="H777" t="s">
        <v>1951</v>
      </c>
      <c r="I777"/>
      <c r="J777"/>
      <c r="K777"/>
      <c r="L777"/>
      <c r="M777"/>
      <c r="N777"/>
      <c r="O777"/>
      <c r="P777"/>
      <c r="Q777"/>
      <c r="R777"/>
      <c r="S777" s="56">
        <f t="shared" ref="S777:S840" si="36">IF(A777="","",A$5-A777)</f>
        <v>5</v>
      </c>
      <c r="T777" s="57" t="str">
        <f t="shared" ref="T777:T840" si="37">IF(S777="","",IF(S777&lt;4,"0-3 Days",IF(S777&lt;31,"4-30 Days",IF(S777&lt;61,"31-60 Days",IF(S777&lt;=90,"61-90 Days",IF(S777&gt;90,"Above 90 Days","0"))))))</f>
        <v>4-30 Days</v>
      </c>
      <c r="U777" s="58" t="str">
        <f t="shared" ref="U777:U840" si="38">IF(C777="","",IF(C777&gt;0,IF(S777&lt;30,"Normal",IF(S777&lt;60,"Especially Mentioned",IF(S777&lt;90,"Substandard",IF(S777&lt;=180,"Doubtful",IF(S777&gt;180,"Loss","0"))))),"Not Applicable"))</f>
        <v>Not Applicable</v>
      </c>
    </row>
    <row r="778" spans="1:21" ht="23.25" customHeight="1" x14ac:dyDescent="0.35">
      <c r="A778" t="s">
        <v>1939</v>
      </c>
      <c r="B778" t="s">
        <v>1939</v>
      </c>
      <c r="C778">
        <v>0</v>
      </c>
      <c r="D778">
        <v>2700</v>
      </c>
      <c r="E778" t="s">
        <v>1952</v>
      </c>
      <c r="F778" t="s">
        <v>57</v>
      </c>
      <c r="G778" t="s">
        <v>57</v>
      </c>
      <c r="H778" t="s">
        <v>1953</v>
      </c>
      <c r="I778"/>
      <c r="J778"/>
      <c r="K778"/>
      <c r="L778"/>
      <c r="M778"/>
      <c r="N778"/>
      <c r="O778"/>
      <c r="P778"/>
      <c r="Q778"/>
      <c r="R778"/>
      <c r="S778" s="56">
        <f t="shared" si="36"/>
        <v>5</v>
      </c>
      <c r="T778" s="57" t="str">
        <f t="shared" si="37"/>
        <v>4-30 Days</v>
      </c>
      <c r="U778" s="58" t="str">
        <f t="shared" si="38"/>
        <v>Not Applicable</v>
      </c>
    </row>
    <row r="779" spans="1:21" ht="23.25" customHeight="1" x14ac:dyDescent="0.35">
      <c r="A779" t="s">
        <v>1939</v>
      </c>
      <c r="B779" t="s">
        <v>1939</v>
      </c>
      <c r="C779">
        <v>1000</v>
      </c>
      <c r="D779">
        <v>0</v>
      </c>
      <c r="E779" t="s">
        <v>1954</v>
      </c>
      <c r="F779" t="s">
        <v>57</v>
      </c>
      <c r="G779" t="s">
        <v>57</v>
      </c>
      <c r="H779" t="s">
        <v>1955</v>
      </c>
      <c r="I779"/>
      <c r="J779"/>
      <c r="K779"/>
      <c r="L779"/>
      <c r="M779"/>
      <c r="N779"/>
      <c r="O779"/>
      <c r="P779"/>
      <c r="Q779"/>
      <c r="R779"/>
      <c r="S779" s="56">
        <f t="shared" si="36"/>
        <v>5</v>
      </c>
      <c r="T779" s="57" t="str">
        <f t="shared" si="37"/>
        <v>4-30 Days</v>
      </c>
      <c r="U779" s="58" t="str">
        <f t="shared" si="38"/>
        <v>Normal</v>
      </c>
    </row>
    <row r="780" spans="1:21" ht="23.25" customHeight="1" x14ac:dyDescent="0.35">
      <c r="A780" t="s">
        <v>1939</v>
      </c>
      <c r="B780" t="s">
        <v>1939</v>
      </c>
      <c r="C780">
        <v>0</v>
      </c>
      <c r="D780">
        <v>2050</v>
      </c>
      <c r="E780" t="s">
        <v>1956</v>
      </c>
      <c r="F780" t="s">
        <v>57</v>
      </c>
      <c r="G780" t="s">
        <v>57</v>
      </c>
      <c r="H780" t="s">
        <v>1957</v>
      </c>
      <c r="I780"/>
      <c r="J780"/>
      <c r="K780"/>
      <c r="L780"/>
      <c r="M780"/>
      <c r="N780"/>
      <c r="O780"/>
      <c r="P780"/>
      <c r="Q780"/>
      <c r="R780"/>
      <c r="S780" s="56">
        <f t="shared" si="36"/>
        <v>5</v>
      </c>
      <c r="T780" s="57" t="str">
        <f t="shared" si="37"/>
        <v>4-30 Days</v>
      </c>
      <c r="U780" s="58" t="str">
        <f t="shared" si="38"/>
        <v>Not Applicable</v>
      </c>
    </row>
    <row r="781" spans="1:21" ht="23.25" customHeight="1" x14ac:dyDescent="0.35">
      <c r="A781" t="s">
        <v>1939</v>
      </c>
      <c r="B781" t="s">
        <v>1939</v>
      </c>
      <c r="C781">
        <v>828</v>
      </c>
      <c r="D781">
        <v>0</v>
      </c>
      <c r="E781" t="s">
        <v>1958</v>
      </c>
      <c r="F781" t="s">
        <v>57</v>
      </c>
      <c r="G781" t="s">
        <v>57</v>
      </c>
      <c r="H781" t="s">
        <v>1959</v>
      </c>
      <c r="I781"/>
      <c r="J781"/>
      <c r="K781"/>
      <c r="L781"/>
      <c r="M781"/>
      <c r="N781"/>
      <c r="O781"/>
      <c r="P781"/>
      <c r="Q781"/>
      <c r="R781"/>
      <c r="S781" s="56">
        <f t="shared" si="36"/>
        <v>5</v>
      </c>
      <c r="T781" s="57" t="str">
        <f t="shared" si="37"/>
        <v>4-30 Days</v>
      </c>
      <c r="U781" s="58" t="str">
        <f t="shared" si="38"/>
        <v>Normal</v>
      </c>
    </row>
    <row r="782" spans="1:21" ht="23.25" customHeight="1" x14ac:dyDescent="0.35">
      <c r="A782" t="s">
        <v>1939</v>
      </c>
      <c r="B782" t="s">
        <v>1939</v>
      </c>
      <c r="C782">
        <v>0</v>
      </c>
      <c r="D782">
        <v>1046</v>
      </c>
      <c r="E782" t="s">
        <v>1960</v>
      </c>
      <c r="F782" t="s">
        <v>57</v>
      </c>
      <c r="G782" t="s">
        <v>57</v>
      </c>
      <c r="H782" t="s">
        <v>1961</v>
      </c>
      <c r="I782"/>
      <c r="J782"/>
      <c r="K782"/>
      <c r="L782"/>
      <c r="M782"/>
      <c r="N782"/>
      <c r="O782"/>
      <c r="P782"/>
      <c r="Q782"/>
      <c r="R782"/>
      <c r="S782" s="56">
        <f t="shared" si="36"/>
        <v>5</v>
      </c>
      <c r="T782" s="57" t="str">
        <f t="shared" si="37"/>
        <v>4-30 Days</v>
      </c>
      <c r="U782" s="58" t="str">
        <f t="shared" si="38"/>
        <v>Not Applicable</v>
      </c>
    </row>
    <row r="783" spans="1:21" ht="23.25" customHeight="1" x14ac:dyDescent="0.35">
      <c r="A783" t="s">
        <v>1939</v>
      </c>
      <c r="B783" t="s">
        <v>1939</v>
      </c>
      <c r="C783">
        <v>0</v>
      </c>
      <c r="D783">
        <v>1000</v>
      </c>
      <c r="E783" t="s">
        <v>1962</v>
      </c>
      <c r="F783" t="s">
        <v>57</v>
      </c>
      <c r="G783" t="s">
        <v>57</v>
      </c>
      <c r="H783" t="s">
        <v>1963</v>
      </c>
      <c r="I783"/>
      <c r="J783"/>
      <c r="K783"/>
      <c r="L783"/>
      <c r="M783"/>
      <c r="N783"/>
      <c r="O783"/>
      <c r="P783"/>
      <c r="Q783"/>
      <c r="R783"/>
      <c r="S783" s="56">
        <f t="shared" si="36"/>
        <v>5</v>
      </c>
      <c r="T783" s="57" t="str">
        <f t="shared" si="37"/>
        <v>4-30 Days</v>
      </c>
      <c r="U783" s="58" t="str">
        <f t="shared" si="38"/>
        <v>Not Applicable</v>
      </c>
    </row>
    <row r="784" spans="1:21" ht="23.25" customHeight="1" x14ac:dyDescent="0.35">
      <c r="A784" t="s">
        <v>1939</v>
      </c>
      <c r="B784" t="s">
        <v>1939</v>
      </c>
      <c r="C784">
        <v>2050</v>
      </c>
      <c r="D784">
        <v>0</v>
      </c>
      <c r="E784" t="s">
        <v>1964</v>
      </c>
      <c r="F784" t="s">
        <v>57</v>
      </c>
      <c r="G784" t="s">
        <v>57</v>
      </c>
      <c r="H784" t="s">
        <v>1965</v>
      </c>
      <c r="I784"/>
      <c r="J784"/>
      <c r="K784"/>
      <c r="L784"/>
      <c r="M784"/>
      <c r="N784"/>
      <c r="O784"/>
      <c r="P784"/>
      <c r="Q784"/>
      <c r="R784"/>
      <c r="S784" s="56">
        <f t="shared" si="36"/>
        <v>5</v>
      </c>
      <c r="T784" s="57" t="str">
        <f t="shared" si="37"/>
        <v>4-30 Days</v>
      </c>
      <c r="U784" s="58" t="str">
        <f t="shared" si="38"/>
        <v>Normal</v>
      </c>
    </row>
    <row r="785" spans="1:21" ht="23.25" customHeight="1" x14ac:dyDescent="0.35">
      <c r="A785" t="s">
        <v>1939</v>
      </c>
      <c r="B785" t="s">
        <v>1939</v>
      </c>
      <c r="C785">
        <v>0</v>
      </c>
      <c r="D785">
        <v>2650</v>
      </c>
      <c r="E785" t="s">
        <v>1966</v>
      </c>
      <c r="F785" t="s">
        <v>57</v>
      </c>
      <c r="G785" t="s">
        <v>57</v>
      </c>
      <c r="H785" t="s">
        <v>1967</v>
      </c>
      <c r="I785"/>
      <c r="J785"/>
      <c r="K785"/>
      <c r="L785"/>
      <c r="M785"/>
      <c r="N785"/>
      <c r="O785"/>
      <c r="P785"/>
      <c r="Q785"/>
      <c r="R785"/>
      <c r="S785" s="56">
        <f t="shared" si="36"/>
        <v>5</v>
      </c>
      <c r="T785" s="57" t="str">
        <f t="shared" si="37"/>
        <v>4-30 Days</v>
      </c>
      <c r="U785" s="58" t="str">
        <f t="shared" si="38"/>
        <v>Not Applicable</v>
      </c>
    </row>
    <row r="786" spans="1:21" ht="23.25" customHeight="1" x14ac:dyDescent="0.35">
      <c r="A786" t="s">
        <v>1939</v>
      </c>
      <c r="B786" t="s">
        <v>1939</v>
      </c>
      <c r="C786">
        <v>0</v>
      </c>
      <c r="D786">
        <v>205</v>
      </c>
      <c r="E786" t="s">
        <v>1968</v>
      </c>
      <c r="F786" t="s">
        <v>57</v>
      </c>
      <c r="G786" t="s">
        <v>57</v>
      </c>
      <c r="H786" t="s">
        <v>1969</v>
      </c>
      <c r="I786"/>
      <c r="J786"/>
      <c r="K786"/>
      <c r="L786"/>
      <c r="M786"/>
      <c r="N786"/>
      <c r="O786"/>
      <c r="P786"/>
      <c r="Q786"/>
      <c r="R786"/>
      <c r="S786" s="56">
        <f t="shared" si="36"/>
        <v>5</v>
      </c>
      <c r="T786" s="57" t="str">
        <f t="shared" si="37"/>
        <v>4-30 Days</v>
      </c>
      <c r="U786" s="58" t="str">
        <f t="shared" si="38"/>
        <v>Not Applicable</v>
      </c>
    </row>
    <row r="787" spans="1:21" ht="23.25" customHeight="1" x14ac:dyDescent="0.35">
      <c r="A787" t="s">
        <v>1939</v>
      </c>
      <c r="B787" t="s">
        <v>1939</v>
      </c>
      <c r="C787">
        <v>0</v>
      </c>
      <c r="D787">
        <v>2050</v>
      </c>
      <c r="E787" t="s">
        <v>1970</v>
      </c>
      <c r="F787" t="s">
        <v>57</v>
      </c>
      <c r="G787" t="s">
        <v>57</v>
      </c>
      <c r="H787" t="s">
        <v>1971</v>
      </c>
      <c r="I787"/>
      <c r="J787"/>
      <c r="K787"/>
      <c r="L787"/>
      <c r="M787"/>
      <c r="N787"/>
      <c r="O787"/>
      <c r="P787"/>
      <c r="Q787"/>
      <c r="R787"/>
      <c r="S787" s="56">
        <f t="shared" si="36"/>
        <v>5</v>
      </c>
      <c r="T787" s="57" t="str">
        <f t="shared" si="37"/>
        <v>4-30 Days</v>
      </c>
      <c r="U787" s="58" t="str">
        <f t="shared" si="38"/>
        <v>Not Applicable</v>
      </c>
    </row>
    <row r="788" spans="1:21" ht="23.25" customHeight="1" x14ac:dyDescent="0.35">
      <c r="A788" t="s">
        <v>1939</v>
      </c>
      <c r="B788" t="s">
        <v>1939</v>
      </c>
      <c r="C788">
        <v>2050</v>
      </c>
      <c r="D788">
        <v>0</v>
      </c>
      <c r="E788" t="s">
        <v>1972</v>
      </c>
      <c r="F788" t="s">
        <v>57</v>
      </c>
      <c r="G788" t="s">
        <v>57</v>
      </c>
      <c r="H788" t="s">
        <v>1973</v>
      </c>
      <c r="I788"/>
      <c r="J788"/>
      <c r="K788"/>
      <c r="L788"/>
      <c r="M788"/>
      <c r="N788"/>
      <c r="O788"/>
      <c r="P788"/>
      <c r="Q788"/>
      <c r="R788"/>
      <c r="S788" s="56">
        <f t="shared" si="36"/>
        <v>5</v>
      </c>
      <c r="T788" s="57" t="str">
        <f t="shared" si="37"/>
        <v>4-30 Days</v>
      </c>
      <c r="U788" s="58" t="str">
        <f t="shared" si="38"/>
        <v>Normal</v>
      </c>
    </row>
    <row r="789" spans="1:21" ht="23.25" customHeight="1" x14ac:dyDescent="0.35">
      <c r="A789" t="s">
        <v>1939</v>
      </c>
      <c r="B789" t="s">
        <v>1939</v>
      </c>
      <c r="C789">
        <v>0</v>
      </c>
      <c r="D789">
        <v>2650</v>
      </c>
      <c r="E789" t="s">
        <v>1974</v>
      </c>
      <c r="F789" t="s">
        <v>57</v>
      </c>
      <c r="G789" t="s">
        <v>57</v>
      </c>
      <c r="H789" t="s">
        <v>1975</v>
      </c>
      <c r="I789"/>
      <c r="J789"/>
      <c r="K789"/>
      <c r="L789"/>
      <c r="M789"/>
      <c r="N789"/>
      <c r="O789"/>
      <c r="P789"/>
      <c r="Q789"/>
      <c r="R789"/>
      <c r="S789" s="56">
        <f t="shared" si="36"/>
        <v>5</v>
      </c>
      <c r="T789" s="57" t="str">
        <f t="shared" si="37"/>
        <v>4-30 Days</v>
      </c>
      <c r="U789" s="58" t="str">
        <f t="shared" si="38"/>
        <v>Not Applicable</v>
      </c>
    </row>
    <row r="790" spans="1:21" ht="23.25" customHeight="1" x14ac:dyDescent="0.35">
      <c r="A790" t="s">
        <v>1939</v>
      </c>
      <c r="B790" t="s">
        <v>1939</v>
      </c>
      <c r="C790">
        <v>211093.74</v>
      </c>
      <c r="D790">
        <v>0</v>
      </c>
      <c r="E790" t="s">
        <v>1976</v>
      </c>
      <c r="F790" t="s">
        <v>1977</v>
      </c>
      <c r="G790" t="s">
        <v>57</v>
      </c>
      <c r="H790" t="s">
        <v>1978</v>
      </c>
      <c r="I790"/>
      <c r="J790"/>
      <c r="K790"/>
      <c r="L790"/>
      <c r="M790"/>
      <c r="N790"/>
      <c r="O790"/>
      <c r="P790"/>
      <c r="Q790"/>
      <c r="R790"/>
      <c r="S790" s="56">
        <f t="shared" si="36"/>
        <v>5</v>
      </c>
      <c r="T790" s="57" t="str">
        <f t="shared" si="37"/>
        <v>4-30 Days</v>
      </c>
      <c r="U790" s="58" t="str">
        <f t="shared" si="38"/>
        <v>Normal</v>
      </c>
    </row>
    <row r="791" spans="1:21" ht="23.25" customHeight="1" x14ac:dyDescent="0.35">
      <c r="A791" t="s">
        <v>1939</v>
      </c>
      <c r="B791" t="s">
        <v>1939</v>
      </c>
      <c r="C791">
        <v>2055</v>
      </c>
      <c r="D791">
        <v>0</v>
      </c>
      <c r="E791" t="s">
        <v>1979</v>
      </c>
      <c r="F791" t="s">
        <v>57</v>
      </c>
      <c r="G791" t="s">
        <v>57</v>
      </c>
      <c r="H791" t="s">
        <v>1980</v>
      </c>
      <c r="I791"/>
      <c r="J791"/>
      <c r="K791"/>
      <c r="L791"/>
      <c r="M791"/>
      <c r="N791"/>
      <c r="O791"/>
      <c r="P791"/>
      <c r="Q791"/>
      <c r="R791"/>
      <c r="S791" s="56">
        <f t="shared" si="36"/>
        <v>5</v>
      </c>
      <c r="T791" s="57" t="str">
        <f t="shared" si="37"/>
        <v>4-30 Days</v>
      </c>
      <c r="U791" s="58" t="str">
        <f t="shared" si="38"/>
        <v>Normal</v>
      </c>
    </row>
    <row r="792" spans="1:21" ht="23.25" customHeight="1" x14ac:dyDescent="0.35">
      <c r="A792" t="s">
        <v>1939</v>
      </c>
      <c r="B792" t="s">
        <v>1939</v>
      </c>
      <c r="C792">
        <v>1000</v>
      </c>
      <c r="D792">
        <v>0</v>
      </c>
      <c r="E792" t="s">
        <v>1981</v>
      </c>
      <c r="F792" t="s">
        <v>57</v>
      </c>
      <c r="G792" t="s">
        <v>57</v>
      </c>
      <c r="H792" t="s">
        <v>1982</v>
      </c>
      <c r="I792"/>
      <c r="J792"/>
      <c r="K792"/>
      <c r="L792"/>
      <c r="M792"/>
      <c r="N792"/>
      <c r="O792"/>
      <c r="P792"/>
      <c r="Q792"/>
      <c r="R792"/>
      <c r="S792" s="56">
        <f t="shared" si="36"/>
        <v>5</v>
      </c>
      <c r="T792" s="57" t="str">
        <f t="shared" si="37"/>
        <v>4-30 Days</v>
      </c>
      <c r="U792" s="58" t="str">
        <f t="shared" si="38"/>
        <v>Normal</v>
      </c>
    </row>
    <row r="793" spans="1:21" ht="23.25" customHeight="1" x14ac:dyDescent="0.35">
      <c r="A793" t="s">
        <v>1939</v>
      </c>
      <c r="B793" t="s">
        <v>1939</v>
      </c>
      <c r="C793">
        <v>0</v>
      </c>
      <c r="D793">
        <v>1046</v>
      </c>
      <c r="E793" t="s">
        <v>1983</v>
      </c>
      <c r="F793" t="s">
        <v>57</v>
      </c>
      <c r="G793" t="s">
        <v>57</v>
      </c>
      <c r="H793" t="s">
        <v>1984</v>
      </c>
      <c r="I793"/>
      <c r="J793"/>
      <c r="K793"/>
      <c r="L793"/>
      <c r="M793"/>
      <c r="N793"/>
      <c r="O793"/>
      <c r="P793"/>
      <c r="Q793"/>
      <c r="R793"/>
      <c r="S793" s="56">
        <f t="shared" si="36"/>
        <v>5</v>
      </c>
      <c r="T793" s="57" t="str">
        <f t="shared" si="37"/>
        <v>4-30 Days</v>
      </c>
      <c r="U793" s="58" t="str">
        <f t="shared" si="38"/>
        <v>Not Applicable</v>
      </c>
    </row>
    <row r="794" spans="1:21" ht="23.25" customHeight="1" x14ac:dyDescent="0.35">
      <c r="A794" t="s">
        <v>1939</v>
      </c>
      <c r="B794" t="s">
        <v>1939</v>
      </c>
      <c r="C794">
        <v>0</v>
      </c>
      <c r="D794">
        <v>250</v>
      </c>
      <c r="E794" t="s">
        <v>1985</v>
      </c>
      <c r="F794" t="s">
        <v>57</v>
      </c>
      <c r="G794" t="s">
        <v>57</v>
      </c>
      <c r="H794" t="s">
        <v>1986</v>
      </c>
      <c r="I794"/>
      <c r="J794"/>
      <c r="K794"/>
      <c r="L794"/>
      <c r="M794"/>
      <c r="N794"/>
      <c r="O794"/>
      <c r="P794"/>
      <c r="Q794"/>
      <c r="R794"/>
      <c r="S794" s="56">
        <f t="shared" si="36"/>
        <v>5</v>
      </c>
      <c r="T794" s="57" t="str">
        <f t="shared" si="37"/>
        <v>4-30 Days</v>
      </c>
      <c r="U794" s="58" t="str">
        <f t="shared" si="38"/>
        <v>Not Applicable</v>
      </c>
    </row>
    <row r="795" spans="1:21" ht="23.25" customHeight="1" x14ac:dyDescent="0.35">
      <c r="A795" t="s">
        <v>1939</v>
      </c>
      <c r="B795" t="s">
        <v>1939</v>
      </c>
      <c r="C795">
        <v>0</v>
      </c>
      <c r="D795">
        <v>558069.55000000005</v>
      </c>
      <c r="E795" t="s">
        <v>1987</v>
      </c>
      <c r="F795" t="s">
        <v>57</v>
      </c>
      <c r="G795" t="s">
        <v>57</v>
      </c>
      <c r="H795" t="s">
        <v>1988</v>
      </c>
      <c r="I795"/>
      <c r="J795"/>
      <c r="K795"/>
      <c r="L795"/>
      <c r="M795"/>
      <c r="N795"/>
      <c r="O795"/>
      <c r="P795"/>
      <c r="Q795"/>
      <c r="R795"/>
      <c r="S795" s="56">
        <f t="shared" si="36"/>
        <v>5</v>
      </c>
      <c r="T795" s="57" t="str">
        <f t="shared" si="37"/>
        <v>4-30 Days</v>
      </c>
      <c r="U795" s="58" t="str">
        <f t="shared" si="38"/>
        <v>Not Applicable</v>
      </c>
    </row>
    <row r="796" spans="1:21" ht="23.25" customHeight="1" x14ac:dyDescent="0.35">
      <c r="A796" t="s">
        <v>1939</v>
      </c>
      <c r="B796" t="s">
        <v>1939</v>
      </c>
      <c r="C796">
        <v>0</v>
      </c>
      <c r="D796">
        <v>2650</v>
      </c>
      <c r="E796" t="s">
        <v>1989</v>
      </c>
      <c r="F796" t="s">
        <v>57</v>
      </c>
      <c r="G796" t="s">
        <v>57</v>
      </c>
      <c r="H796" t="s">
        <v>1990</v>
      </c>
      <c r="I796"/>
      <c r="J796"/>
      <c r="K796"/>
      <c r="L796"/>
      <c r="M796"/>
      <c r="N796"/>
      <c r="O796"/>
      <c r="P796"/>
      <c r="Q796"/>
      <c r="R796"/>
      <c r="S796" s="56">
        <f t="shared" si="36"/>
        <v>5</v>
      </c>
      <c r="T796" s="57" t="str">
        <f t="shared" si="37"/>
        <v>4-30 Days</v>
      </c>
      <c r="U796" s="58" t="str">
        <f t="shared" si="38"/>
        <v>Not Applicable</v>
      </c>
    </row>
    <row r="797" spans="1:21" ht="23.25" customHeight="1" x14ac:dyDescent="0.35">
      <c r="A797" t="s">
        <v>1939</v>
      </c>
      <c r="B797" t="s">
        <v>1939</v>
      </c>
      <c r="C797">
        <v>0</v>
      </c>
      <c r="D797">
        <v>1680</v>
      </c>
      <c r="E797" t="s">
        <v>1991</v>
      </c>
      <c r="F797" t="s">
        <v>57</v>
      </c>
      <c r="G797" t="s">
        <v>57</v>
      </c>
      <c r="H797" t="s">
        <v>1992</v>
      </c>
      <c r="I797"/>
      <c r="J797"/>
      <c r="K797"/>
      <c r="L797"/>
      <c r="M797"/>
      <c r="N797"/>
      <c r="O797"/>
      <c r="P797"/>
      <c r="Q797"/>
      <c r="R797"/>
      <c r="S797" s="56">
        <f t="shared" si="36"/>
        <v>5</v>
      </c>
      <c r="T797" s="57" t="str">
        <f t="shared" si="37"/>
        <v>4-30 Days</v>
      </c>
      <c r="U797" s="58" t="str">
        <f t="shared" si="38"/>
        <v>Not Applicable</v>
      </c>
    </row>
    <row r="798" spans="1:21" ht="23.25" customHeight="1" x14ac:dyDescent="0.35">
      <c r="A798" t="s">
        <v>1939</v>
      </c>
      <c r="B798" t="s">
        <v>1939</v>
      </c>
      <c r="C798">
        <v>0</v>
      </c>
      <c r="D798">
        <v>1416</v>
      </c>
      <c r="E798" t="s">
        <v>1993</v>
      </c>
      <c r="F798" t="s">
        <v>57</v>
      </c>
      <c r="G798" t="s">
        <v>57</v>
      </c>
      <c r="H798" t="s">
        <v>1994</v>
      </c>
      <c r="I798"/>
      <c r="J798"/>
      <c r="K798"/>
      <c r="L798"/>
      <c r="M798"/>
      <c r="N798"/>
      <c r="O798"/>
      <c r="P798"/>
      <c r="Q798"/>
      <c r="R798"/>
      <c r="S798" s="56">
        <f t="shared" si="36"/>
        <v>5</v>
      </c>
      <c r="T798" s="57" t="str">
        <f t="shared" si="37"/>
        <v>4-30 Days</v>
      </c>
      <c r="U798" s="58" t="str">
        <f t="shared" si="38"/>
        <v>Not Applicable</v>
      </c>
    </row>
    <row r="799" spans="1:21" ht="23.25" customHeight="1" x14ac:dyDescent="0.35">
      <c r="A799" t="s">
        <v>1939</v>
      </c>
      <c r="B799" t="s">
        <v>1939</v>
      </c>
      <c r="C799">
        <v>0</v>
      </c>
      <c r="D799">
        <v>72</v>
      </c>
      <c r="E799" t="s">
        <v>1995</v>
      </c>
      <c r="F799" t="s">
        <v>57</v>
      </c>
      <c r="G799" t="s">
        <v>57</v>
      </c>
      <c r="H799" t="s">
        <v>1996</v>
      </c>
      <c r="I799"/>
      <c r="J799"/>
      <c r="K799"/>
      <c r="L799"/>
      <c r="M799"/>
      <c r="N799"/>
      <c r="O799"/>
      <c r="P799"/>
      <c r="Q799"/>
      <c r="R799"/>
      <c r="S799" s="56">
        <f t="shared" si="36"/>
        <v>5</v>
      </c>
      <c r="T799" s="57" t="str">
        <f t="shared" si="37"/>
        <v>4-30 Days</v>
      </c>
      <c r="U799" s="58" t="str">
        <f t="shared" si="38"/>
        <v>Not Applicable</v>
      </c>
    </row>
    <row r="800" spans="1:21" ht="23.25" customHeight="1" x14ac:dyDescent="0.35">
      <c r="A800" t="s">
        <v>1939</v>
      </c>
      <c r="B800" t="s">
        <v>1939</v>
      </c>
      <c r="C800">
        <v>0</v>
      </c>
      <c r="D800">
        <v>708</v>
      </c>
      <c r="E800" t="s">
        <v>1997</v>
      </c>
      <c r="F800" t="s">
        <v>57</v>
      </c>
      <c r="G800" t="s">
        <v>57</v>
      </c>
      <c r="H800" t="s">
        <v>1998</v>
      </c>
      <c r="I800"/>
      <c r="J800"/>
      <c r="K800"/>
      <c r="L800"/>
      <c r="M800"/>
      <c r="N800"/>
      <c r="O800"/>
      <c r="P800"/>
      <c r="Q800"/>
      <c r="R800"/>
      <c r="S800" s="56">
        <f t="shared" si="36"/>
        <v>5</v>
      </c>
      <c r="T800" s="57" t="str">
        <f t="shared" si="37"/>
        <v>4-30 Days</v>
      </c>
      <c r="U800" s="58" t="str">
        <f t="shared" si="38"/>
        <v>Not Applicable</v>
      </c>
    </row>
    <row r="801" spans="1:21" ht="23.25" customHeight="1" x14ac:dyDescent="0.35">
      <c r="A801" t="s">
        <v>1939</v>
      </c>
      <c r="B801" t="s">
        <v>1939</v>
      </c>
      <c r="C801">
        <v>1000</v>
      </c>
      <c r="D801">
        <v>0</v>
      </c>
      <c r="E801" t="s">
        <v>1999</v>
      </c>
      <c r="F801" t="s">
        <v>57</v>
      </c>
      <c r="G801" t="s">
        <v>57</v>
      </c>
      <c r="H801" t="s">
        <v>2000</v>
      </c>
      <c r="I801"/>
      <c r="J801"/>
      <c r="K801"/>
      <c r="L801"/>
      <c r="M801"/>
      <c r="N801"/>
      <c r="O801"/>
      <c r="P801"/>
      <c r="Q801"/>
      <c r="R801"/>
      <c r="S801" s="56">
        <f t="shared" si="36"/>
        <v>5</v>
      </c>
      <c r="T801" s="57" t="str">
        <f t="shared" si="37"/>
        <v>4-30 Days</v>
      </c>
      <c r="U801" s="58" t="str">
        <f t="shared" si="38"/>
        <v>Normal</v>
      </c>
    </row>
    <row r="802" spans="1:21" ht="23.25" customHeight="1" x14ac:dyDescent="0.35">
      <c r="A802" t="s">
        <v>1939</v>
      </c>
      <c r="B802" t="s">
        <v>1939</v>
      </c>
      <c r="C802">
        <v>1000</v>
      </c>
      <c r="D802">
        <v>0</v>
      </c>
      <c r="E802" t="s">
        <v>2001</v>
      </c>
      <c r="F802" t="s">
        <v>57</v>
      </c>
      <c r="G802" t="s">
        <v>57</v>
      </c>
      <c r="H802" t="s">
        <v>2002</v>
      </c>
      <c r="I802"/>
      <c r="J802"/>
      <c r="K802"/>
      <c r="L802"/>
      <c r="M802"/>
      <c r="N802"/>
      <c r="O802"/>
      <c r="P802"/>
      <c r="Q802"/>
      <c r="R802"/>
      <c r="S802" s="56">
        <f t="shared" si="36"/>
        <v>5</v>
      </c>
      <c r="T802" s="57" t="str">
        <f t="shared" si="37"/>
        <v>4-30 Days</v>
      </c>
      <c r="U802" s="58" t="str">
        <f t="shared" si="38"/>
        <v>Normal</v>
      </c>
    </row>
    <row r="803" spans="1:21" ht="23.25" customHeight="1" x14ac:dyDescent="0.35">
      <c r="A803" t="s">
        <v>1939</v>
      </c>
      <c r="B803" t="s">
        <v>1939</v>
      </c>
      <c r="C803">
        <v>0</v>
      </c>
      <c r="D803">
        <v>2650</v>
      </c>
      <c r="E803" t="s">
        <v>2003</v>
      </c>
      <c r="F803" t="s">
        <v>57</v>
      </c>
      <c r="G803" t="s">
        <v>57</v>
      </c>
      <c r="H803" t="s">
        <v>2004</v>
      </c>
      <c r="I803"/>
      <c r="J803"/>
      <c r="K803"/>
      <c r="L803"/>
      <c r="M803"/>
      <c r="N803"/>
      <c r="O803"/>
      <c r="P803"/>
      <c r="Q803"/>
      <c r="R803"/>
      <c r="S803" s="56">
        <f t="shared" si="36"/>
        <v>5</v>
      </c>
      <c r="T803" s="57" t="str">
        <f t="shared" si="37"/>
        <v>4-30 Days</v>
      </c>
      <c r="U803" s="58" t="str">
        <f t="shared" si="38"/>
        <v>Not Applicable</v>
      </c>
    </row>
    <row r="804" spans="1:21" ht="23.25" customHeight="1" x14ac:dyDescent="0.35">
      <c r="A804" t="s">
        <v>1939</v>
      </c>
      <c r="B804" t="s">
        <v>1939</v>
      </c>
      <c r="C804">
        <v>0</v>
      </c>
      <c r="D804">
        <v>1062</v>
      </c>
      <c r="E804" t="s">
        <v>2005</v>
      </c>
      <c r="F804" t="s">
        <v>57</v>
      </c>
      <c r="G804" t="s">
        <v>57</v>
      </c>
      <c r="H804" t="s">
        <v>2006</v>
      </c>
      <c r="I804"/>
      <c r="J804"/>
      <c r="K804"/>
      <c r="L804"/>
      <c r="M804"/>
      <c r="N804"/>
      <c r="O804"/>
      <c r="P804"/>
      <c r="Q804"/>
      <c r="R804"/>
      <c r="S804" s="56">
        <f t="shared" si="36"/>
        <v>5</v>
      </c>
      <c r="T804" s="57" t="str">
        <f t="shared" si="37"/>
        <v>4-30 Days</v>
      </c>
      <c r="U804" s="58" t="str">
        <f t="shared" si="38"/>
        <v>Not Applicable</v>
      </c>
    </row>
    <row r="805" spans="1:21" ht="23.25" customHeight="1" x14ac:dyDescent="0.35">
      <c r="A805" t="s">
        <v>1939</v>
      </c>
      <c r="B805" t="s">
        <v>1939</v>
      </c>
      <c r="C805">
        <v>0</v>
      </c>
      <c r="D805">
        <v>2050</v>
      </c>
      <c r="E805" t="s">
        <v>2007</v>
      </c>
      <c r="F805" t="s">
        <v>57</v>
      </c>
      <c r="G805" t="s">
        <v>57</v>
      </c>
      <c r="H805" t="s">
        <v>2008</v>
      </c>
      <c r="I805"/>
      <c r="J805"/>
      <c r="K805"/>
      <c r="L805"/>
      <c r="M805"/>
      <c r="N805"/>
      <c r="O805"/>
      <c r="P805"/>
      <c r="Q805"/>
      <c r="R805"/>
      <c r="S805" s="56">
        <f t="shared" si="36"/>
        <v>5</v>
      </c>
      <c r="T805" s="57" t="str">
        <f t="shared" si="37"/>
        <v>4-30 Days</v>
      </c>
      <c r="U805" s="58" t="str">
        <f t="shared" si="38"/>
        <v>Not Applicable</v>
      </c>
    </row>
    <row r="806" spans="1:21" ht="23.25" customHeight="1" x14ac:dyDescent="0.35">
      <c r="A806" t="s">
        <v>1939</v>
      </c>
      <c r="B806" t="s">
        <v>1939</v>
      </c>
      <c r="C806">
        <v>0</v>
      </c>
      <c r="D806">
        <v>1472</v>
      </c>
      <c r="E806" t="s">
        <v>2009</v>
      </c>
      <c r="F806" t="s">
        <v>57</v>
      </c>
      <c r="G806" t="s">
        <v>57</v>
      </c>
      <c r="H806" t="s">
        <v>2010</v>
      </c>
      <c r="I806"/>
      <c r="J806"/>
      <c r="K806"/>
      <c r="L806"/>
      <c r="M806"/>
      <c r="N806"/>
      <c r="O806"/>
      <c r="P806"/>
      <c r="Q806"/>
      <c r="R806"/>
      <c r="S806" s="56">
        <f t="shared" si="36"/>
        <v>5</v>
      </c>
      <c r="T806" s="57" t="str">
        <f t="shared" si="37"/>
        <v>4-30 Days</v>
      </c>
      <c r="U806" s="58" t="str">
        <f t="shared" si="38"/>
        <v>Not Applicable</v>
      </c>
    </row>
    <row r="807" spans="1:21" ht="23.25" customHeight="1" x14ac:dyDescent="0.35">
      <c r="A807" t="s">
        <v>1939</v>
      </c>
      <c r="B807" t="s">
        <v>1939</v>
      </c>
      <c r="C807">
        <v>0</v>
      </c>
      <c r="D807">
        <v>250</v>
      </c>
      <c r="E807" t="s">
        <v>2011</v>
      </c>
      <c r="F807" t="s">
        <v>57</v>
      </c>
      <c r="G807" t="s">
        <v>57</v>
      </c>
      <c r="H807" t="s">
        <v>2012</v>
      </c>
      <c r="I807"/>
      <c r="J807"/>
      <c r="K807"/>
      <c r="L807"/>
      <c r="M807"/>
      <c r="N807"/>
      <c r="O807"/>
      <c r="P807"/>
      <c r="Q807"/>
      <c r="R807"/>
      <c r="S807" s="56">
        <f t="shared" si="36"/>
        <v>5</v>
      </c>
      <c r="T807" s="57" t="str">
        <f t="shared" si="37"/>
        <v>4-30 Days</v>
      </c>
      <c r="U807" s="58" t="str">
        <f t="shared" si="38"/>
        <v>Not Applicable</v>
      </c>
    </row>
    <row r="808" spans="1:21" ht="23.25" customHeight="1" x14ac:dyDescent="0.35">
      <c r="A808" t="s">
        <v>1939</v>
      </c>
      <c r="B808" t="s">
        <v>1939</v>
      </c>
      <c r="C808">
        <v>0</v>
      </c>
      <c r="D808">
        <v>2050</v>
      </c>
      <c r="E808" t="s">
        <v>2013</v>
      </c>
      <c r="F808" t="s">
        <v>57</v>
      </c>
      <c r="G808" t="s">
        <v>57</v>
      </c>
      <c r="H808" t="s">
        <v>2014</v>
      </c>
      <c r="I808"/>
      <c r="J808"/>
      <c r="K808"/>
      <c r="L808"/>
      <c r="M808"/>
      <c r="N808"/>
      <c r="O808"/>
      <c r="P808"/>
      <c r="Q808"/>
      <c r="R808"/>
      <c r="S808" s="56">
        <f t="shared" si="36"/>
        <v>5</v>
      </c>
      <c r="T808" s="57" t="str">
        <f t="shared" si="37"/>
        <v>4-30 Days</v>
      </c>
      <c r="U808" s="58" t="str">
        <f t="shared" si="38"/>
        <v>Not Applicable</v>
      </c>
    </row>
    <row r="809" spans="1:21" ht="23.25" customHeight="1" x14ac:dyDescent="0.35">
      <c r="A809" t="s">
        <v>1939</v>
      </c>
      <c r="B809" t="s">
        <v>1939</v>
      </c>
      <c r="C809">
        <v>250</v>
      </c>
      <c r="D809">
        <v>0</v>
      </c>
      <c r="E809" t="s">
        <v>2015</v>
      </c>
      <c r="F809" t="s">
        <v>57</v>
      </c>
      <c r="G809" t="s">
        <v>57</v>
      </c>
      <c r="H809" t="s">
        <v>2016</v>
      </c>
      <c r="I809"/>
      <c r="J809"/>
      <c r="K809"/>
      <c r="L809"/>
      <c r="M809"/>
      <c r="N809"/>
      <c r="O809"/>
      <c r="P809"/>
      <c r="Q809"/>
      <c r="R809"/>
      <c r="S809" s="56">
        <f t="shared" si="36"/>
        <v>5</v>
      </c>
      <c r="T809" s="57" t="str">
        <f t="shared" si="37"/>
        <v>4-30 Days</v>
      </c>
      <c r="U809" s="58" t="str">
        <f t="shared" si="38"/>
        <v>Normal</v>
      </c>
    </row>
    <row r="810" spans="1:21" ht="23.25" customHeight="1" x14ac:dyDescent="0.35">
      <c r="A810" t="s">
        <v>1939</v>
      </c>
      <c r="B810" t="s">
        <v>1939</v>
      </c>
      <c r="C810">
        <v>0</v>
      </c>
      <c r="D810">
        <v>828</v>
      </c>
      <c r="E810" t="s">
        <v>2017</v>
      </c>
      <c r="F810" t="s">
        <v>57</v>
      </c>
      <c r="G810" t="s">
        <v>57</v>
      </c>
      <c r="H810" t="s">
        <v>2018</v>
      </c>
      <c r="I810"/>
      <c r="J810"/>
      <c r="K810"/>
      <c r="L810"/>
      <c r="M810"/>
      <c r="N810"/>
      <c r="O810"/>
      <c r="P810"/>
      <c r="Q810"/>
      <c r="R810"/>
      <c r="S810" s="56">
        <f t="shared" si="36"/>
        <v>5</v>
      </c>
      <c r="T810" s="57" t="str">
        <f t="shared" si="37"/>
        <v>4-30 Days</v>
      </c>
      <c r="U810" s="58" t="str">
        <f t="shared" si="38"/>
        <v>Not Applicable</v>
      </c>
    </row>
    <row r="811" spans="1:21" ht="23.25" customHeight="1" x14ac:dyDescent="0.35">
      <c r="A811" t="s">
        <v>1939</v>
      </c>
      <c r="B811" t="s">
        <v>1939</v>
      </c>
      <c r="C811">
        <v>0</v>
      </c>
      <c r="D811">
        <v>1012</v>
      </c>
      <c r="E811" t="s">
        <v>2019</v>
      </c>
      <c r="F811" t="s">
        <v>57</v>
      </c>
      <c r="G811" t="s">
        <v>57</v>
      </c>
      <c r="H811" t="s">
        <v>2020</v>
      </c>
      <c r="I811"/>
      <c r="J811"/>
      <c r="K811"/>
      <c r="L811"/>
      <c r="M811"/>
      <c r="N811"/>
      <c r="O811"/>
      <c r="P811"/>
      <c r="Q811"/>
      <c r="R811"/>
      <c r="S811" s="56">
        <f t="shared" si="36"/>
        <v>5</v>
      </c>
      <c r="T811" s="57" t="str">
        <f t="shared" si="37"/>
        <v>4-30 Days</v>
      </c>
      <c r="U811" s="58" t="str">
        <f t="shared" si="38"/>
        <v>Not Applicable</v>
      </c>
    </row>
    <row r="812" spans="1:21" ht="23.25" customHeight="1" x14ac:dyDescent="0.35">
      <c r="A812" t="s">
        <v>1939</v>
      </c>
      <c r="B812" t="s">
        <v>1939</v>
      </c>
      <c r="C812">
        <v>995.22</v>
      </c>
      <c r="D812">
        <v>0</v>
      </c>
      <c r="E812" t="s">
        <v>2021</v>
      </c>
      <c r="F812" t="s">
        <v>57</v>
      </c>
      <c r="G812" t="s">
        <v>57</v>
      </c>
      <c r="H812" t="s">
        <v>2022</v>
      </c>
      <c r="I812"/>
      <c r="J812"/>
      <c r="K812"/>
      <c r="L812"/>
      <c r="M812"/>
      <c r="N812"/>
      <c r="O812"/>
      <c r="P812"/>
      <c r="Q812"/>
      <c r="R812"/>
      <c r="S812" s="56">
        <f t="shared" si="36"/>
        <v>5</v>
      </c>
      <c r="T812" s="57" t="str">
        <f t="shared" si="37"/>
        <v>4-30 Days</v>
      </c>
      <c r="U812" s="58" t="str">
        <f t="shared" si="38"/>
        <v>Normal</v>
      </c>
    </row>
    <row r="813" spans="1:21" ht="23.25" customHeight="1" x14ac:dyDescent="0.35">
      <c r="A813" t="s">
        <v>1939</v>
      </c>
      <c r="B813" t="s">
        <v>1939</v>
      </c>
      <c r="C813">
        <v>0</v>
      </c>
      <c r="D813">
        <v>2650</v>
      </c>
      <c r="E813" t="s">
        <v>2023</v>
      </c>
      <c r="F813" t="s">
        <v>57</v>
      </c>
      <c r="G813" t="s">
        <v>57</v>
      </c>
      <c r="H813" t="s">
        <v>2024</v>
      </c>
      <c r="I813"/>
      <c r="J813"/>
      <c r="K813"/>
      <c r="L813"/>
      <c r="M813"/>
      <c r="N813"/>
      <c r="O813"/>
      <c r="P813"/>
      <c r="Q813"/>
      <c r="R813"/>
      <c r="S813" s="56">
        <f t="shared" si="36"/>
        <v>5</v>
      </c>
      <c r="T813" s="57" t="str">
        <f t="shared" si="37"/>
        <v>4-30 Days</v>
      </c>
      <c r="U813" s="58" t="str">
        <f t="shared" si="38"/>
        <v>Not Applicable</v>
      </c>
    </row>
    <row r="814" spans="1:21" ht="23.25" customHeight="1" x14ac:dyDescent="0.35">
      <c r="A814" t="s">
        <v>1939</v>
      </c>
      <c r="B814" t="s">
        <v>1939</v>
      </c>
      <c r="C814">
        <v>0</v>
      </c>
      <c r="D814">
        <v>1416</v>
      </c>
      <c r="E814" t="s">
        <v>2025</v>
      </c>
      <c r="F814" t="s">
        <v>57</v>
      </c>
      <c r="G814" t="s">
        <v>57</v>
      </c>
      <c r="H814" t="s">
        <v>2026</v>
      </c>
      <c r="I814"/>
      <c r="J814"/>
      <c r="K814"/>
      <c r="L814"/>
      <c r="M814"/>
      <c r="N814"/>
      <c r="O814"/>
      <c r="P814"/>
      <c r="Q814"/>
      <c r="R814"/>
      <c r="S814" s="56">
        <f t="shared" si="36"/>
        <v>5</v>
      </c>
      <c r="T814" s="57" t="str">
        <f t="shared" si="37"/>
        <v>4-30 Days</v>
      </c>
      <c r="U814" s="58" t="str">
        <f t="shared" si="38"/>
        <v>Not Applicable</v>
      </c>
    </row>
    <row r="815" spans="1:21" ht="23.25" customHeight="1" x14ac:dyDescent="0.35">
      <c r="A815" t="s">
        <v>1939</v>
      </c>
      <c r="B815" t="s">
        <v>1939</v>
      </c>
      <c r="C815">
        <v>0</v>
      </c>
      <c r="D815">
        <v>1000</v>
      </c>
      <c r="E815" t="s">
        <v>2027</v>
      </c>
      <c r="F815" t="s">
        <v>57</v>
      </c>
      <c r="G815" t="s">
        <v>57</v>
      </c>
      <c r="H815" t="s">
        <v>2028</v>
      </c>
      <c r="I815"/>
      <c r="J815"/>
      <c r="K815"/>
      <c r="L815"/>
      <c r="M815"/>
      <c r="N815"/>
      <c r="O815"/>
      <c r="P815"/>
      <c r="Q815"/>
      <c r="R815"/>
      <c r="S815" s="56">
        <f t="shared" si="36"/>
        <v>5</v>
      </c>
      <c r="T815" s="57" t="str">
        <f t="shared" si="37"/>
        <v>4-30 Days</v>
      </c>
      <c r="U815" s="58" t="str">
        <f t="shared" si="38"/>
        <v>Not Applicable</v>
      </c>
    </row>
    <row r="816" spans="1:21" ht="23.25" customHeight="1" x14ac:dyDescent="0.35">
      <c r="A816" t="s">
        <v>1939</v>
      </c>
      <c r="B816" t="s">
        <v>1939</v>
      </c>
      <c r="C816">
        <v>250</v>
      </c>
      <c r="D816">
        <v>0</v>
      </c>
      <c r="E816" t="s">
        <v>2029</v>
      </c>
      <c r="F816" t="s">
        <v>57</v>
      </c>
      <c r="G816" t="s">
        <v>57</v>
      </c>
      <c r="H816" t="s">
        <v>2030</v>
      </c>
      <c r="I816"/>
      <c r="J816"/>
      <c r="K816"/>
      <c r="L816"/>
      <c r="M816"/>
      <c r="N816"/>
      <c r="O816"/>
      <c r="P816"/>
      <c r="Q816"/>
      <c r="R816"/>
      <c r="S816" s="56">
        <f t="shared" si="36"/>
        <v>5</v>
      </c>
      <c r="T816" s="57" t="str">
        <f t="shared" si="37"/>
        <v>4-30 Days</v>
      </c>
      <c r="U816" s="58" t="str">
        <f t="shared" si="38"/>
        <v>Normal</v>
      </c>
    </row>
    <row r="817" spans="1:21" ht="23.25" customHeight="1" x14ac:dyDescent="0.35">
      <c r="A817" t="s">
        <v>1939</v>
      </c>
      <c r="B817" t="s">
        <v>1939</v>
      </c>
      <c r="C817">
        <v>0</v>
      </c>
      <c r="D817">
        <v>1000</v>
      </c>
      <c r="E817" t="s">
        <v>2031</v>
      </c>
      <c r="F817" t="s">
        <v>57</v>
      </c>
      <c r="G817" t="s">
        <v>57</v>
      </c>
      <c r="H817" t="s">
        <v>2032</v>
      </c>
      <c r="I817"/>
      <c r="J817"/>
      <c r="K817"/>
      <c r="L817"/>
      <c r="M817"/>
      <c r="N817"/>
      <c r="O817"/>
      <c r="P817"/>
      <c r="Q817"/>
      <c r="R817"/>
      <c r="S817" s="56">
        <f t="shared" si="36"/>
        <v>5</v>
      </c>
      <c r="T817" s="57" t="str">
        <f t="shared" si="37"/>
        <v>4-30 Days</v>
      </c>
      <c r="U817" s="58" t="str">
        <f t="shared" si="38"/>
        <v>Not Applicable</v>
      </c>
    </row>
    <row r="818" spans="1:21" ht="23.25" customHeight="1" x14ac:dyDescent="0.35">
      <c r="A818" t="s">
        <v>1939</v>
      </c>
      <c r="B818" t="s">
        <v>1939</v>
      </c>
      <c r="C818">
        <v>1000</v>
      </c>
      <c r="D818">
        <v>0</v>
      </c>
      <c r="E818" t="s">
        <v>2033</v>
      </c>
      <c r="F818" t="s">
        <v>57</v>
      </c>
      <c r="G818" t="s">
        <v>57</v>
      </c>
      <c r="H818" t="s">
        <v>2034</v>
      </c>
      <c r="I818"/>
      <c r="J818"/>
      <c r="K818"/>
      <c r="L818"/>
      <c r="M818"/>
      <c r="N818"/>
      <c r="O818"/>
      <c r="P818"/>
      <c r="Q818"/>
      <c r="R818"/>
      <c r="S818" s="56">
        <f t="shared" si="36"/>
        <v>5</v>
      </c>
      <c r="T818" s="57" t="str">
        <f t="shared" si="37"/>
        <v>4-30 Days</v>
      </c>
      <c r="U818" s="58" t="str">
        <f t="shared" si="38"/>
        <v>Normal</v>
      </c>
    </row>
    <row r="819" spans="1:21" ht="23.25" customHeight="1" x14ac:dyDescent="0.35">
      <c r="A819" t="s">
        <v>1939</v>
      </c>
      <c r="B819" t="s">
        <v>1939</v>
      </c>
      <c r="C819">
        <v>0</v>
      </c>
      <c r="D819">
        <v>1000</v>
      </c>
      <c r="E819" t="s">
        <v>2035</v>
      </c>
      <c r="F819" t="s">
        <v>57</v>
      </c>
      <c r="G819" t="s">
        <v>57</v>
      </c>
      <c r="H819" t="s">
        <v>2036</v>
      </c>
      <c r="I819"/>
      <c r="J819"/>
      <c r="K819"/>
      <c r="L819"/>
      <c r="M819"/>
      <c r="N819"/>
      <c r="O819"/>
      <c r="P819"/>
      <c r="Q819"/>
      <c r="R819"/>
      <c r="S819" s="56">
        <f t="shared" si="36"/>
        <v>5</v>
      </c>
      <c r="T819" s="57" t="str">
        <f t="shared" si="37"/>
        <v>4-30 Days</v>
      </c>
      <c r="U819" s="58" t="str">
        <f t="shared" si="38"/>
        <v>Not Applicable</v>
      </c>
    </row>
    <row r="820" spans="1:21" ht="23.25" customHeight="1" x14ac:dyDescent="0.35">
      <c r="A820" t="s">
        <v>1939</v>
      </c>
      <c r="B820" t="s">
        <v>1939</v>
      </c>
      <c r="C820">
        <v>205</v>
      </c>
      <c r="D820">
        <v>0</v>
      </c>
      <c r="E820" t="s">
        <v>2037</v>
      </c>
      <c r="F820" t="s">
        <v>57</v>
      </c>
      <c r="G820" t="s">
        <v>57</v>
      </c>
      <c r="H820" t="s">
        <v>2038</v>
      </c>
      <c r="I820"/>
      <c r="J820"/>
      <c r="K820"/>
      <c r="L820"/>
      <c r="M820"/>
      <c r="N820"/>
      <c r="O820"/>
      <c r="P820"/>
      <c r="Q820"/>
      <c r="R820"/>
      <c r="S820" s="56">
        <f t="shared" si="36"/>
        <v>5</v>
      </c>
      <c r="T820" s="57" t="str">
        <f t="shared" si="37"/>
        <v>4-30 Days</v>
      </c>
      <c r="U820" s="58" t="str">
        <f t="shared" si="38"/>
        <v>Normal</v>
      </c>
    </row>
    <row r="821" spans="1:21" ht="23.25" customHeight="1" x14ac:dyDescent="0.35">
      <c r="A821" t="s">
        <v>1939</v>
      </c>
      <c r="B821" t="s">
        <v>1939</v>
      </c>
      <c r="C821">
        <v>0</v>
      </c>
      <c r="D821">
        <v>2050</v>
      </c>
      <c r="E821" t="s">
        <v>2039</v>
      </c>
      <c r="F821" t="s">
        <v>57</v>
      </c>
      <c r="G821" t="s">
        <v>57</v>
      </c>
      <c r="H821" t="s">
        <v>2040</v>
      </c>
      <c r="I821"/>
      <c r="J821"/>
      <c r="K821"/>
      <c r="L821"/>
      <c r="M821"/>
      <c r="N821"/>
      <c r="O821"/>
      <c r="P821"/>
      <c r="Q821"/>
      <c r="R821"/>
      <c r="S821" s="56">
        <f t="shared" si="36"/>
        <v>5</v>
      </c>
      <c r="T821" s="57" t="str">
        <f t="shared" si="37"/>
        <v>4-30 Days</v>
      </c>
      <c r="U821" s="58" t="str">
        <f t="shared" si="38"/>
        <v>Not Applicable</v>
      </c>
    </row>
    <row r="822" spans="1:21" ht="23.25" customHeight="1" x14ac:dyDescent="0.35">
      <c r="A822" t="s">
        <v>1939</v>
      </c>
      <c r="B822" t="s">
        <v>1939</v>
      </c>
      <c r="C822">
        <v>1000</v>
      </c>
      <c r="D822">
        <v>0</v>
      </c>
      <c r="E822" t="s">
        <v>2041</v>
      </c>
      <c r="F822" t="s">
        <v>57</v>
      </c>
      <c r="G822" t="s">
        <v>57</v>
      </c>
      <c r="H822" t="s">
        <v>2042</v>
      </c>
      <c r="I822"/>
      <c r="J822"/>
      <c r="K822"/>
      <c r="L822"/>
      <c r="M822"/>
      <c r="N822"/>
      <c r="O822"/>
      <c r="P822"/>
      <c r="Q822"/>
      <c r="R822"/>
      <c r="S822" s="56">
        <f t="shared" si="36"/>
        <v>5</v>
      </c>
      <c r="T822" s="57" t="str">
        <f t="shared" si="37"/>
        <v>4-30 Days</v>
      </c>
      <c r="U822" s="58" t="str">
        <f t="shared" si="38"/>
        <v>Normal</v>
      </c>
    </row>
    <row r="823" spans="1:21" ht="23.25" customHeight="1" x14ac:dyDescent="0.35">
      <c r="A823" t="s">
        <v>1939</v>
      </c>
      <c r="B823" t="s">
        <v>1939</v>
      </c>
      <c r="C823">
        <v>0</v>
      </c>
      <c r="D823">
        <v>2050</v>
      </c>
      <c r="E823" t="s">
        <v>2043</v>
      </c>
      <c r="F823" t="s">
        <v>57</v>
      </c>
      <c r="G823" t="s">
        <v>57</v>
      </c>
      <c r="H823" t="s">
        <v>2044</v>
      </c>
      <c r="I823"/>
      <c r="J823"/>
      <c r="K823"/>
      <c r="L823"/>
      <c r="M823"/>
      <c r="N823"/>
      <c r="O823"/>
      <c r="P823"/>
      <c r="Q823"/>
      <c r="R823"/>
      <c r="S823" s="56">
        <f t="shared" si="36"/>
        <v>5</v>
      </c>
      <c r="T823" s="57" t="str">
        <f t="shared" si="37"/>
        <v>4-30 Days</v>
      </c>
      <c r="U823" s="58" t="str">
        <f t="shared" si="38"/>
        <v>Not Applicable</v>
      </c>
    </row>
    <row r="824" spans="1:21" ht="23.25" customHeight="1" x14ac:dyDescent="0.35">
      <c r="A824" t="s">
        <v>1939</v>
      </c>
      <c r="B824" t="s">
        <v>1939</v>
      </c>
      <c r="C824">
        <v>10000000</v>
      </c>
      <c r="D824">
        <v>0</v>
      </c>
      <c r="E824" t="s">
        <v>2045</v>
      </c>
      <c r="F824" t="s">
        <v>57</v>
      </c>
      <c r="G824" t="s">
        <v>57</v>
      </c>
      <c r="H824" t="s">
        <v>2046</v>
      </c>
      <c r="I824"/>
      <c r="J824"/>
      <c r="K824"/>
      <c r="L824"/>
      <c r="M824"/>
      <c r="N824"/>
      <c r="O824"/>
      <c r="P824"/>
      <c r="Q824"/>
      <c r="R824"/>
      <c r="S824" s="56">
        <f t="shared" si="36"/>
        <v>5</v>
      </c>
      <c r="T824" s="57" t="str">
        <f t="shared" si="37"/>
        <v>4-30 Days</v>
      </c>
      <c r="U824" s="58" t="str">
        <f t="shared" si="38"/>
        <v>Normal</v>
      </c>
    </row>
    <row r="825" spans="1:21" ht="23.25" customHeight="1" x14ac:dyDescent="0.35">
      <c r="A825" t="s">
        <v>1939</v>
      </c>
      <c r="B825" t="s">
        <v>1939</v>
      </c>
      <c r="C825">
        <v>0</v>
      </c>
      <c r="D825">
        <v>2050</v>
      </c>
      <c r="E825" t="s">
        <v>2047</v>
      </c>
      <c r="F825" t="s">
        <v>57</v>
      </c>
      <c r="G825" t="s">
        <v>57</v>
      </c>
      <c r="H825" t="s">
        <v>2048</v>
      </c>
      <c r="I825"/>
      <c r="J825"/>
      <c r="K825"/>
      <c r="L825"/>
      <c r="M825"/>
      <c r="N825"/>
      <c r="O825"/>
      <c r="P825"/>
      <c r="Q825"/>
      <c r="R825"/>
      <c r="S825" s="56">
        <f t="shared" si="36"/>
        <v>5</v>
      </c>
      <c r="T825" s="57" t="str">
        <f t="shared" si="37"/>
        <v>4-30 Days</v>
      </c>
      <c r="U825" s="58" t="str">
        <f t="shared" si="38"/>
        <v>Not Applicable</v>
      </c>
    </row>
    <row r="826" spans="1:21" ht="23.25" customHeight="1" x14ac:dyDescent="0.35">
      <c r="A826" t="s">
        <v>1939</v>
      </c>
      <c r="B826" t="s">
        <v>1939</v>
      </c>
      <c r="C826">
        <v>0</v>
      </c>
      <c r="D826">
        <v>2050</v>
      </c>
      <c r="E826" t="s">
        <v>2049</v>
      </c>
      <c r="F826" t="s">
        <v>57</v>
      </c>
      <c r="G826" t="s">
        <v>57</v>
      </c>
      <c r="H826" t="s">
        <v>2050</v>
      </c>
      <c r="I826"/>
      <c r="J826"/>
      <c r="K826"/>
      <c r="L826"/>
      <c r="M826"/>
      <c r="N826"/>
      <c r="O826"/>
      <c r="P826"/>
      <c r="Q826"/>
      <c r="R826"/>
      <c r="S826" s="56">
        <f t="shared" si="36"/>
        <v>5</v>
      </c>
      <c r="T826" s="57" t="str">
        <f t="shared" si="37"/>
        <v>4-30 Days</v>
      </c>
      <c r="U826" s="58" t="str">
        <f t="shared" si="38"/>
        <v>Not Applicable</v>
      </c>
    </row>
    <row r="827" spans="1:21" ht="23.25" customHeight="1" x14ac:dyDescent="0.35">
      <c r="A827" t="s">
        <v>1939</v>
      </c>
      <c r="B827" t="s">
        <v>1939</v>
      </c>
      <c r="C827">
        <v>1754</v>
      </c>
      <c r="D827">
        <v>0</v>
      </c>
      <c r="E827" t="s">
        <v>2051</v>
      </c>
      <c r="F827" t="s">
        <v>2052</v>
      </c>
      <c r="G827" t="s">
        <v>57</v>
      </c>
      <c r="H827" t="s">
        <v>2053</v>
      </c>
      <c r="I827"/>
      <c r="J827"/>
      <c r="K827"/>
      <c r="L827"/>
      <c r="M827"/>
      <c r="N827"/>
      <c r="O827"/>
      <c r="P827"/>
      <c r="Q827"/>
      <c r="R827"/>
      <c r="S827" s="56">
        <f t="shared" si="36"/>
        <v>5</v>
      </c>
      <c r="T827" s="57" t="str">
        <f t="shared" si="37"/>
        <v>4-30 Days</v>
      </c>
      <c r="U827" s="58" t="str">
        <f t="shared" si="38"/>
        <v>Normal</v>
      </c>
    </row>
    <row r="828" spans="1:21" ht="23.25" customHeight="1" x14ac:dyDescent="0.35">
      <c r="A828" t="s">
        <v>1939</v>
      </c>
      <c r="B828" t="s">
        <v>1939</v>
      </c>
      <c r="C828">
        <v>0</v>
      </c>
      <c r="D828">
        <v>1000</v>
      </c>
      <c r="E828" t="s">
        <v>2054</v>
      </c>
      <c r="F828" t="s">
        <v>57</v>
      </c>
      <c r="G828" t="s">
        <v>57</v>
      </c>
      <c r="H828" t="s">
        <v>2055</v>
      </c>
      <c r="I828"/>
      <c r="J828"/>
      <c r="K828"/>
      <c r="L828"/>
      <c r="M828"/>
      <c r="N828"/>
      <c r="O828"/>
      <c r="P828"/>
      <c r="Q828"/>
      <c r="R828"/>
      <c r="S828" s="56">
        <f t="shared" si="36"/>
        <v>5</v>
      </c>
      <c r="T828" s="57" t="str">
        <f t="shared" si="37"/>
        <v>4-30 Days</v>
      </c>
      <c r="U828" s="58" t="str">
        <f t="shared" si="38"/>
        <v>Not Applicable</v>
      </c>
    </row>
    <row r="829" spans="1:21" ht="23.25" customHeight="1" x14ac:dyDescent="0.35">
      <c r="A829" t="s">
        <v>1939</v>
      </c>
      <c r="B829" t="s">
        <v>1939</v>
      </c>
      <c r="C829">
        <v>828</v>
      </c>
      <c r="D829">
        <v>0</v>
      </c>
      <c r="E829" t="s">
        <v>2056</v>
      </c>
      <c r="F829" t="s">
        <v>57</v>
      </c>
      <c r="G829" t="s">
        <v>57</v>
      </c>
      <c r="H829" t="s">
        <v>2057</v>
      </c>
      <c r="I829"/>
      <c r="J829"/>
      <c r="K829"/>
      <c r="L829"/>
      <c r="M829"/>
      <c r="N829"/>
      <c r="O829"/>
      <c r="P829"/>
      <c r="Q829"/>
      <c r="R829"/>
      <c r="S829" s="56">
        <f t="shared" si="36"/>
        <v>5</v>
      </c>
      <c r="T829" s="57" t="str">
        <f t="shared" si="37"/>
        <v>4-30 Days</v>
      </c>
      <c r="U829" s="58" t="str">
        <f t="shared" si="38"/>
        <v>Normal</v>
      </c>
    </row>
    <row r="830" spans="1:21" ht="23.25" customHeight="1" x14ac:dyDescent="0.35">
      <c r="A830" t="s">
        <v>1939</v>
      </c>
      <c r="B830" t="s">
        <v>1939</v>
      </c>
      <c r="C830">
        <v>0</v>
      </c>
      <c r="D830">
        <v>2650</v>
      </c>
      <c r="E830" t="s">
        <v>2058</v>
      </c>
      <c r="F830" t="s">
        <v>57</v>
      </c>
      <c r="G830" t="s">
        <v>57</v>
      </c>
      <c r="H830" t="s">
        <v>2059</v>
      </c>
      <c r="I830"/>
      <c r="J830"/>
      <c r="K830"/>
      <c r="L830"/>
      <c r="M830"/>
      <c r="N830"/>
      <c r="O830"/>
      <c r="P830"/>
      <c r="Q830"/>
      <c r="R830"/>
      <c r="S830" s="56">
        <f t="shared" si="36"/>
        <v>5</v>
      </c>
      <c r="T830" s="57" t="str">
        <f t="shared" si="37"/>
        <v>4-30 Days</v>
      </c>
      <c r="U830" s="58" t="str">
        <f t="shared" si="38"/>
        <v>Not Applicable</v>
      </c>
    </row>
    <row r="831" spans="1:21" ht="23.25" customHeight="1" x14ac:dyDescent="0.35">
      <c r="A831" t="s">
        <v>1939</v>
      </c>
      <c r="B831" t="s">
        <v>1939</v>
      </c>
      <c r="C831">
        <v>0</v>
      </c>
      <c r="D831">
        <v>248</v>
      </c>
      <c r="E831" t="s">
        <v>2060</v>
      </c>
      <c r="F831" t="s">
        <v>57</v>
      </c>
      <c r="G831" t="s">
        <v>57</v>
      </c>
      <c r="H831" t="s">
        <v>2061</v>
      </c>
      <c r="I831"/>
      <c r="J831"/>
      <c r="K831"/>
      <c r="L831"/>
      <c r="M831"/>
      <c r="N831"/>
      <c r="O831"/>
      <c r="P831"/>
      <c r="Q831"/>
      <c r="R831"/>
      <c r="S831" s="56">
        <f t="shared" si="36"/>
        <v>5</v>
      </c>
      <c r="T831" s="57" t="str">
        <f t="shared" si="37"/>
        <v>4-30 Days</v>
      </c>
      <c r="U831" s="58" t="str">
        <f t="shared" si="38"/>
        <v>Not Applicable</v>
      </c>
    </row>
    <row r="832" spans="1:21" ht="23.25" customHeight="1" x14ac:dyDescent="0.35">
      <c r="A832" t="s">
        <v>1939</v>
      </c>
      <c r="B832" t="s">
        <v>1939</v>
      </c>
      <c r="C832">
        <v>0</v>
      </c>
      <c r="D832">
        <v>1000</v>
      </c>
      <c r="E832" t="s">
        <v>2062</v>
      </c>
      <c r="F832" t="s">
        <v>57</v>
      </c>
      <c r="G832" t="s">
        <v>57</v>
      </c>
      <c r="H832" t="s">
        <v>2063</v>
      </c>
      <c r="I832"/>
      <c r="J832"/>
      <c r="K832"/>
      <c r="L832"/>
      <c r="M832"/>
      <c r="N832"/>
      <c r="O832"/>
      <c r="P832"/>
      <c r="Q832"/>
      <c r="R832"/>
      <c r="S832" s="56">
        <f t="shared" si="36"/>
        <v>5</v>
      </c>
      <c r="T832" s="57" t="str">
        <f t="shared" si="37"/>
        <v>4-30 Days</v>
      </c>
      <c r="U832" s="58" t="str">
        <f t="shared" si="38"/>
        <v>Not Applicable</v>
      </c>
    </row>
    <row r="833" spans="1:21" ht="23.25" customHeight="1" x14ac:dyDescent="0.35">
      <c r="A833" t="s">
        <v>1939</v>
      </c>
      <c r="B833" t="s">
        <v>1939</v>
      </c>
      <c r="C833">
        <v>0</v>
      </c>
      <c r="D833">
        <v>2050</v>
      </c>
      <c r="E833" t="s">
        <v>2064</v>
      </c>
      <c r="F833" t="s">
        <v>57</v>
      </c>
      <c r="G833" t="s">
        <v>57</v>
      </c>
      <c r="H833" t="s">
        <v>2065</v>
      </c>
      <c r="I833"/>
      <c r="J833"/>
      <c r="K833"/>
      <c r="L833"/>
      <c r="M833"/>
      <c r="N833"/>
      <c r="O833"/>
      <c r="P833"/>
      <c r="Q833"/>
      <c r="R833"/>
      <c r="S833" s="56">
        <f t="shared" si="36"/>
        <v>5</v>
      </c>
      <c r="T833" s="57" t="str">
        <f t="shared" si="37"/>
        <v>4-30 Days</v>
      </c>
      <c r="U833" s="58" t="str">
        <f t="shared" si="38"/>
        <v>Not Applicable</v>
      </c>
    </row>
    <row r="834" spans="1:21" ht="23.25" customHeight="1" x14ac:dyDescent="0.35">
      <c r="A834" t="s">
        <v>1939</v>
      </c>
      <c r="B834" t="s">
        <v>1939</v>
      </c>
      <c r="C834">
        <v>0</v>
      </c>
      <c r="D834">
        <v>2650</v>
      </c>
      <c r="E834" t="s">
        <v>2066</v>
      </c>
      <c r="F834" t="s">
        <v>57</v>
      </c>
      <c r="G834" t="s">
        <v>57</v>
      </c>
      <c r="H834" t="s">
        <v>2067</v>
      </c>
      <c r="I834"/>
      <c r="J834"/>
      <c r="K834"/>
      <c r="L834"/>
      <c r="M834"/>
      <c r="N834"/>
      <c r="O834"/>
      <c r="P834"/>
      <c r="Q834"/>
      <c r="R834"/>
      <c r="S834" s="56">
        <f t="shared" si="36"/>
        <v>5</v>
      </c>
      <c r="T834" s="57" t="str">
        <f t="shared" si="37"/>
        <v>4-30 Days</v>
      </c>
      <c r="U834" s="58" t="str">
        <f t="shared" si="38"/>
        <v>Not Applicable</v>
      </c>
    </row>
    <row r="835" spans="1:21" ht="23.25" customHeight="1" x14ac:dyDescent="0.35">
      <c r="A835" t="s">
        <v>1939</v>
      </c>
      <c r="B835" t="s">
        <v>1939</v>
      </c>
      <c r="C835">
        <v>0</v>
      </c>
      <c r="D835">
        <v>205</v>
      </c>
      <c r="E835" t="s">
        <v>2068</v>
      </c>
      <c r="F835" t="s">
        <v>57</v>
      </c>
      <c r="G835" t="s">
        <v>57</v>
      </c>
      <c r="H835" t="s">
        <v>2069</v>
      </c>
      <c r="I835"/>
      <c r="J835"/>
      <c r="K835"/>
      <c r="L835"/>
      <c r="M835"/>
      <c r="N835"/>
      <c r="O835"/>
      <c r="P835"/>
      <c r="Q835"/>
      <c r="R835"/>
      <c r="S835" s="56">
        <f t="shared" si="36"/>
        <v>5</v>
      </c>
      <c r="T835" s="57" t="str">
        <f t="shared" si="37"/>
        <v>4-30 Days</v>
      </c>
      <c r="U835" s="58" t="str">
        <f t="shared" si="38"/>
        <v>Not Applicable</v>
      </c>
    </row>
    <row r="836" spans="1:21" ht="23.25" customHeight="1" x14ac:dyDescent="0.35">
      <c r="A836" t="s">
        <v>1939</v>
      </c>
      <c r="B836" t="s">
        <v>1939</v>
      </c>
      <c r="C836">
        <v>0</v>
      </c>
      <c r="D836">
        <v>250</v>
      </c>
      <c r="E836" t="s">
        <v>2070</v>
      </c>
      <c r="F836" t="s">
        <v>57</v>
      </c>
      <c r="G836" t="s">
        <v>57</v>
      </c>
      <c r="H836" t="s">
        <v>2071</v>
      </c>
      <c r="I836"/>
      <c r="J836"/>
      <c r="K836"/>
      <c r="L836"/>
      <c r="M836"/>
      <c r="N836"/>
      <c r="O836"/>
      <c r="P836"/>
      <c r="Q836"/>
      <c r="R836"/>
      <c r="S836" s="56">
        <f t="shared" si="36"/>
        <v>5</v>
      </c>
      <c r="T836" s="57" t="str">
        <f t="shared" si="37"/>
        <v>4-30 Days</v>
      </c>
      <c r="U836" s="58" t="str">
        <f t="shared" si="38"/>
        <v>Not Applicable</v>
      </c>
    </row>
    <row r="837" spans="1:21" ht="23.25" customHeight="1" x14ac:dyDescent="0.35">
      <c r="A837" t="s">
        <v>1939</v>
      </c>
      <c r="B837" t="s">
        <v>1939</v>
      </c>
      <c r="C837">
        <v>0</v>
      </c>
      <c r="D837">
        <v>2965052.77</v>
      </c>
      <c r="E837" t="s">
        <v>2072</v>
      </c>
      <c r="F837" t="s">
        <v>57</v>
      </c>
      <c r="G837" t="s">
        <v>57</v>
      </c>
      <c r="H837" t="s">
        <v>2073</v>
      </c>
      <c r="I837"/>
      <c r="J837"/>
      <c r="K837"/>
      <c r="L837"/>
      <c r="M837"/>
      <c r="N837"/>
      <c r="O837"/>
      <c r="P837"/>
      <c r="Q837"/>
      <c r="R837"/>
      <c r="S837" s="56">
        <f t="shared" si="36"/>
        <v>5</v>
      </c>
      <c r="T837" s="57" t="str">
        <f t="shared" si="37"/>
        <v>4-30 Days</v>
      </c>
      <c r="U837" s="58" t="str">
        <f t="shared" si="38"/>
        <v>Not Applicable</v>
      </c>
    </row>
    <row r="838" spans="1:21" ht="23.25" customHeight="1" x14ac:dyDescent="0.35">
      <c r="A838" t="s">
        <v>1939</v>
      </c>
      <c r="B838" t="s">
        <v>1939</v>
      </c>
      <c r="C838">
        <v>0</v>
      </c>
      <c r="D838">
        <v>2700</v>
      </c>
      <c r="E838" t="s">
        <v>2074</v>
      </c>
      <c r="F838" t="s">
        <v>57</v>
      </c>
      <c r="G838" t="s">
        <v>57</v>
      </c>
      <c r="H838" t="s">
        <v>2075</v>
      </c>
      <c r="I838"/>
      <c r="J838"/>
      <c r="K838"/>
      <c r="L838"/>
      <c r="M838"/>
      <c r="N838"/>
      <c r="O838"/>
      <c r="P838"/>
      <c r="Q838"/>
      <c r="R838"/>
      <c r="S838" s="56">
        <f t="shared" si="36"/>
        <v>5</v>
      </c>
      <c r="T838" s="57" t="str">
        <f t="shared" si="37"/>
        <v>4-30 Days</v>
      </c>
      <c r="U838" s="58" t="str">
        <f t="shared" si="38"/>
        <v>Not Applicable</v>
      </c>
    </row>
    <row r="839" spans="1:21" ht="23.25" customHeight="1" x14ac:dyDescent="0.35">
      <c r="A839" t="s">
        <v>1939</v>
      </c>
      <c r="B839" t="s">
        <v>1939</v>
      </c>
      <c r="C839">
        <v>0</v>
      </c>
      <c r="D839">
        <v>2700</v>
      </c>
      <c r="E839" t="s">
        <v>2076</v>
      </c>
      <c r="F839" t="s">
        <v>57</v>
      </c>
      <c r="G839" t="s">
        <v>57</v>
      </c>
      <c r="H839" t="s">
        <v>2077</v>
      </c>
      <c r="I839"/>
      <c r="J839"/>
      <c r="K839"/>
      <c r="L839"/>
      <c r="M839"/>
      <c r="N839"/>
      <c r="O839"/>
      <c r="P839"/>
      <c r="Q839"/>
      <c r="R839"/>
      <c r="S839" s="56">
        <f t="shared" si="36"/>
        <v>5</v>
      </c>
      <c r="T839" s="57" t="str">
        <f t="shared" si="37"/>
        <v>4-30 Days</v>
      </c>
      <c r="U839" s="58" t="str">
        <f t="shared" si="38"/>
        <v>Not Applicable</v>
      </c>
    </row>
    <row r="840" spans="1:21" ht="23.25" customHeight="1" x14ac:dyDescent="0.35">
      <c r="A840" t="s">
        <v>1939</v>
      </c>
      <c r="B840" t="s">
        <v>1939</v>
      </c>
      <c r="C840">
        <v>0</v>
      </c>
      <c r="D840">
        <v>1455</v>
      </c>
      <c r="E840" t="s">
        <v>2078</v>
      </c>
      <c r="F840" t="s">
        <v>57</v>
      </c>
      <c r="G840" t="s">
        <v>57</v>
      </c>
      <c r="H840" t="s">
        <v>2079</v>
      </c>
      <c r="I840"/>
      <c r="J840"/>
      <c r="K840"/>
      <c r="L840"/>
      <c r="M840"/>
      <c r="N840"/>
      <c r="O840"/>
      <c r="P840"/>
      <c r="Q840"/>
      <c r="R840"/>
      <c r="S840" s="56">
        <f t="shared" si="36"/>
        <v>5</v>
      </c>
      <c r="T840" s="57" t="str">
        <f t="shared" si="37"/>
        <v>4-30 Days</v>
      </c>
      <c r="U840" s="58" t="str">
        <f t="shared" si="38"/>
        <v>Not Applicable</v>
      </c>
    </row>
    <row r="841" spans="1:21" ht="23.25" customHeight="1" x14ac:dyDescent="0.35">
      <c r="A841" t="s">
        <v>1939</v>
      </c>
      <c r="B841" t="s">
        <v>1939</v>
      </c>
      <c r="C841">
        <v>250</v>
      </c>
      <c r="D841">
        <v>0</v>
      </c>
      <c r="E841" t="s">
        <v>2080</v>
      </c>
      <c r="F841" t="s">
        <v>57</v>
      </c>
      <c r="G841" t="s">
        <v>57</v>
      </c>
      <c r="H841" t="s">
        <v>2081</v>
      </c>
      <c r="I841"/>
      <c r="J841"/>
      <c r="K841"/>
      <c r="L841"/>
      <c r="M841"/>
      <c r="N841"/>
      <c r="O841"/>
      <c r="P841"/>
      <c r="Q841"/>
      <c r="R841"/>
      <c r="S841" s="56">
        <f t="shared" ref="S841:S904" si="39">IF(A841="","",A$5-A841)</f>
        <v>5</v>
      </c>
      <c r="T841" s="57" t="str">
        <f t="shared" ref="T841:T904" si="40">IF(S841="","",IF(S841&lt;4,"0-3 Days",IF(S841&lt;31,"4-30 Days",IF(S841&lt;61,"31-60 Days",IF(S841&lt;=90,"61-90 Days",IF(S841&gt;90,"Above 90 Days","0"))))))</f>
        <v>4-30 Days</v>
      </c>
      <c r="U841" s="58" t="str">
        <f t="shared" ref="U841:U904" si="41">IF(C841="","",IF(C841&gt;0,IF(S841&lt;30,"Normal",IF(S841&lt;60,"Especially Mentioned",IF(S841&lt;90,"Substandard",IF(S841&lt;=180,"Doubtful",IF(S841&gt;180,"Loss","0"))))),"Not Applicable"))</f>
        <v>Normal</v>
      </c>
    </row>
    <row r="842" spans="1:21" ht="23.25" customHeight="1" x14ac:dyDescent="0.35">
      <c r="A842" t="s">
        <v>1939</v>
      </c>
      <c r="B842" t="s">
        <v>1939</v>
      </c>
      <c r="C842">
        <v>0</v>
      </c>
      <c r="D842">
        <v>608</v>
      </c>
      <c r="E842" t="s">
        <v>2082</v>
      </c>
      <c r="F842" t="s">
        <v>57</v>
      </c>
      <c r="G842" t="s">
        <v>57</v>
      </c>
      <c r="H842" t="s">
        <v>2083</v>
      </c>
      <c r="I842"/>
      <c r="J842"/>
      <c r="K842"/>
      <c r="L842"/>
      <c r="M842"/>
      <c r="N842"/>
      <c r="O842"/>
      <c r="P842"/>
      <c r="Q842"/>
      <c r="R842"/>
      <c r="S842" s="56">
        <f t="shared" si="39"/>
        <v>5</v>
      </c>
      <c r="T842" s="57" t="str">
        <f t="shared" si="40"/>
        <v>4-30 Days</v>
      </c>
      <c r="U842" s="58" t="str">
        <f t="shared" si="41"/>
        <v>Not Applicable</v>
      </c>
    </row>
    <row r="843" spans="1:21" ht="23.25" customHeight="1" x14ac:dyDescent="0.35">
      <c r="A843" t="s">
        <v>1939</v>
      </c>
      <c r="B843" t="s">
        <v>1939</v>
      </c>
      <c r="C843">
        <v>2050</v>
      </c>
      <c r="D843">
        <v>0</v>
      </c>
      <c r="E843" t="s">
        <v>2084</v>
      </c>
      <c r="F843" t="s">
        <v>57</v>
      </c>
      <c r="G843" t="s">
        <v>57</v>
      </c>
      <c r="H843" t="s">
        <v>2085</v>
      </c>
      <c r="I843"/>
      <c r="J843"/>
      <c r="K843"/>
      <c r="L843"/>
      <c r="M843"/>
      <c r="N843"/>
      <c r="O843"/>
      <c r="P843"/>
      <c r="Q843"/>
      <c r="R843"/>
      <c r="S843" s="56">
        <f t="shared" si="39"/>
        <v>5</v>
      </c>
      <c r="T843" s="57" t="str">
        <f t="shared" si="40"/>
        <v>4-30 Days</v>
      </c>
      <c r="U843" s="58" t="str">
        <f t="shared" si="41"/>
        <v>Normal</v>
      </c>
    </row>
    <row r="844" spans="1:21" ht="23.25" customHeight="1" x14ac:dyDescent="0.35">
      <c r="A844" t="s">
        <v>1939</v>
      </c>
      <c r="B844" t="s">
        <v>1939</v>
      </c>
      <c r="C844">
        <v>0</v>
      </c>
      <c r="D844">
        <v>828</v>
      </c>
      <c r="E844" t="s">
        <v>2086</v>
      </c>
      <c r="F844" t="s">
        <v>57</v>
      </c>
      <c r="G844" t="s">
        <v>57</v>
      </c>
      <c r="H844" t="s">
        <v>2087</v>
      </c>
      <c r="I844"/>
      <c r="J844"/>
      <c r="K844"/>
      <c r="L844"/>
      <c r="M844"/>
      <c r="N844"/>
      <c r="O844"/>
      <c r="P844"/>
      <c r="Q844"/>
      <c r="R844"/>
      <c r="S844" s="56">
        <f t="shared" si="39"/>
        <v>5</v>
      </c>
      <c r="T844" s="57" t="str">
        <f t="shared" si="40"/>
        <v>4-30 Days</v>
      </c>
      <c r="U844" s="58" t="str">
        <f t="shared" si="41"/>
        <v>Not Applicable</v>
      </c>
    </row>
    <row r="845" spans="1:21" ht="23.25" customHeight="1" x14ac:dyDescent="0.35">
      <c r="A845" t="s">
        <v>1939</v>
      </c>
      <c r="B845" t="s">
        <v>1939</v>
      </c>
      <c r="C845">
        <v>0</v>
      </c>
      <c r="D845">
        <v>1000</v>
      </c>
      <c r="E845" t="s">
        <v>2088</v>
      </c>
      <c r="F845" t="s">
        <v>57</v>
      </c>
      <c r="G845" t="s">
        <v>57</v>
      </c>
      <c r="H845" t="s">
        <v>2089</v>
      </c>
      <c r="I845"/>
      <c r="J845"/>
      <c r="K845"/>
      <c r="L845"/>
      <c r="M845"/>
      <c r="N845"/>
      <c r="O845"/>
      <c r="P845"/>
      <c r="Q845"/>
      <c r="R845"/>
      <c r="S845" s="56">
        <f t="shared" si="39"/>
        <v>5</v>
      </c>
      <c r="T845" s="57" t="str">
        <f t="shared" si="40"/>
        <v>4-30 Days</v>
      </c>
      <c r="U845" s="58" t="str">
        <f t="shared" si="41"/>
        <v>Not Applicable</v>
      </c>
    </row>
    <row r="846" spans="1:21" ht="23.25" customHeight="1" x14ac:dyDescent="0.35">
      <c r="A846" t="s">
        <v>1939</v>
      </c>
      <c r="B846" t="s">
        <v>1939</v>
      </c>
      <c r="C846">
        <v>1000</v>
      </c>
      <c r="D846">
        <v>0</v>
      </c>
      <c r="E846" t="s">
        <v>2090</v>
      </c>
      <c r="F846" t="s">
        <v>57</v>
      </c>
      <c r="G846" t="s">
        <v>57</v>
      </c>
      <c r="H846" t="s">
        <v>2091</v>
      </c>
      <c r="I846"/>
      <c r="J846"/>
      <c r="K846"/>
      <c r="L846"/>
      <c r="M846"/>
      <c r="N846"/>
      <c r="O846"/>
      <c r="P846"/>
      <c r="Q846"/>
      <c r="R846"/>
      <c r="S846" s="56">
        <f t="shared" si="39"/>
        <v>5</v>
      </c>
      <c r="T846" s="57" t="str">
        <f t="shared" si="40"/>
        <v>4-30 Days</v>
      </c>
      <c r="U846" s="58" t="str">
        <f t="shared" si="41"/>
        <v>Normal</v>
      </c>
    </row>
    <row r="847" spans="1:21" ht="23.25" customHeight="1" x14ac:dyDescent="0.35">
      <c r="A847" t="s">
        <v>1939</v>
      </c>
      <c r="B847" t="s">
        <v>1939</v>
      </c>
      <c r="C847">
        <v>0</v>
      </c>
      <c r="D847">
        <v>250</v>
      </c>
      <c r="E847" t="s">
        <v>2092</v>
      </c>
      <c r="F847" t="s">
        <v>57</v>
      </c>
      <c r="G847" t="s">
        <v>57</v>
      </c>
      <c r="H847" t="s">
        <v>2093</v>
      </c>
      <c r="I847"/>
      <c r="J847"/>
      <c r="K847"/>
      <c r="L847"/>
      <c r="M847"/>
      <c r="N847"/>
      <c r="O847"/>
      <c r="P847"/>
      <c r="Q847"/>
      <c r="R847"/>
      <c r="S847" s="56">
        <f t="shared" si="39"/>
        <v>5</v>
      </c>
      <c r="T847" s="57" t="str">
        <f t="shared" si="40"/>
        <v>4-30 Days</v>
      </c>
      <c r="U847" s="58" t="str">
        <f t="shared" si="41"/>
        <v>Not Applicable</v>
      </c>
    </row>
    <row r="848" spans="1:21" ht="23.25" customHeight="1" x14ac:dyDescent="0.35">
      <c r="A848" t="s">
        <v>1939</v>
      </c>
      <c r="B848" t="s">
        <v>1939</v>
      </c>
      <c r="C848">
        <v>0</v>
      </c>
      <c r="D848">
        <v>550</v>
      </c>
      <c r="E848" t="s">
        <v>2094</v>
      </c>
      <c r="F848" t="s">
        <v>57</v>
      </c>
      <c r="G848" t="s">
        <v>57</v>
      </c>
      <c r="H848" t="s">
        <v>2095</v>
      </c>
      <c r="I848"/>
      <c r="J848"/>
      <c r="K848"/>
      <c r="L848"/>
      <c r="M848"/>
      <c r="N848"/>
      <c r="O848"/>
      <c r="P848"/>
      <c r="Q848"/>
      <c r="R848"/>
      <c r="S848" s="56">
        <f t="shared" si="39"/>
        <v>5</v>
      </c>
      <c r="T848" s="57" t="str">
        <f t="shared" si="40"/>
        <v>4-30 Days</v>
      </c>
      <c r="U848" s="58" t="str">
        <f t="shared" si="41"/>
        <v>Not Applicable</v>
      </c>
    </row>
    <row r="849" spans="1:21" ht="23.25" customHeight="1" x14ac:dyDescent="0.35">
      <c r="A849" t="s">
        <v>1939</v>
      </c>
      <c r="B849" t="s">
        <v>1939</v>
      </c>
      <c r="C849">
        <v>0</v>
      </c>
      <c r="D849">
        <v>1416</v>
      </c>
      <c r="E849" t="s">
        <v>2096</v>
      </c>
      <c r="F849" t="s">
        <v>57</v>
      </c>
      <c r="G849" t="s">
        <v>57</v>
      </c>
      <c r="H849" t="s">
        <v>2097</v>
      </c>
      <c r="I849"/>
      <c r="J849"/>
      <c r="K849"/>
      <c r="L849"/>
      <c r="M849"/>
      <c r="N849"/>
      <c r="O849"/>
      <c r="P849"/>
      <c r="Q849"/>
      <c r="R849"/>
      <c r="S849" s="56">
        <f t="shared" si="39"/>
        <v>5</v>
      </c>
      <c r="T849" s="57" t="str">
        <f t="shared" si="40"/>
        <v>4-30 Days</v>
      </c>
      <c r="U849" s="58" t="str">
        <f t="shared" si="41"/>
        <v>Not Applicable</v>
      </c>
    </row>
    <row r="850" spans="1:21" ht="23.25" customHeight="1" x14ac:dyDescent="0.35">
      <c r="A850" t="s">
        <v>1939</v>
      </c>
      <c r="B850" t="s">
        <v>1939</v>
      </c>
      <c r="C850">
        <v>0</v>
      </c>
      <c r="D850">
        <v>1082</v>
      </c>
      <c r="E850" t="s">
        <v>2098</v>
      </c>
      <c r="F850" t="s">
        <v>57</v>
      </c>
      <c r="G850" t="s">
        <v>57</v>
      </c>
      <c r="H850" t="s">
        <v>2099</v>
      </c>
      <c r="I850"/>
      <c r="J850"/>
      <c r="K850"/>
      <c r="L850"/>
      <c r="M850"/>
      <c r="N850"/>
      <c r="O850"/>
      <c r="P850"/>
      <c r="Q850"/>
      <c r="R850"/>
      <c r="S850" s="56">
        <f t="shared" si="39"/>
        <v>5</v>
      </c>
      <c r="T850" s="57" t="str">
        <f t="shared" si="40"/>
        <v>4-30 Days</v>
      </c>
      <c r="U850" s="58" t="str">
        <f t="shared" si="41"/>
        <v>Not Applicable</v>
      </c>
    </row>
    <row r="851" spans="1:21" ht="23.25" customHeight="1" x14ac:dyDescent="0.35">
      <c r="A851" t="s">
        <v>1939</v>
      </c>
      <c r="B851" t="s">
        <v>1939</v>
      </c>
      <c r="C851">
        <v>1000</v>
      </c>
      <c r="D851">
        <v>0</v>
      </c>
      <c r="E851" t="s">
        <v>2100</v>
      </c>
      <c r="F851" t="s">
        <v>57</v>
      </c>
      <c r="G851" t="s">
        <v>57</v>
      </c>
      <c r="H851" t="s">
        <v>2101</v>
      </c>
      <c r="I851"/>
      <c r="J851"/>
      <c r="K851"/>
      <c r="L851"/>
      <c r="M851"/>
      <c r="N851"/>
      <c r="O851"/>
      <c r="P851"/>
      <c r="Q851"/>
      <c r="R851"/>
      <c r="S851" s="56">
        <f t="shared" si="39"/>
        <v>5</v>
      </c>
      <c r="T851" s="57" t="str">
        <f t="shared" si="40"/>
        <v>4-30 Days</v>
      </c>
      <c r="U851" s="58" t="str">
        <f t="shared" si="41"/>
        <v>Normal</v>
      </c>
    </row>
    <row r="852" spans="1:21" ht="23.25" customHeight="1" x14ac:dyDescent="0.35">
      <c r="A852" t="s">
        <v>1939</v>
      </c>
      <c r="B852" t="s">
        <v>1939</v>
      </c>
      <c r="C852">
        <v>0</v>
      </c>
      <c r="D852">
        <v>1000</v>
      </c>
      <c r="E852" t="s">
        <v>2102</v>
      </c>
      <c r="F852" t="s">
        <v>57</v>
      </c>
      <c r="G852" t="s">
        <v>57</v>
      </c>
      <c r="H852" t="s">
        <v>2103</v>
      </c>
      <c r="I852"/>
      <c r="J852"/>
      <c r="K852"/>
      <c r="L852"/>
      <c r="M852"/>
      <c r="N852"/>
      <c r="O852"/>
      <c r="P852"/>
      <c r="Q852"/>
      <c r="R852"/>
      <c r="S852" s="56">
        <f t="shared" si="39"/>
        <v>5</v>
      </c>
      <c r="T852" s="57" t="str">
        <f t="shared" si="40"/>
        <v>4-30 Days</v>
      </c>
      <c r="U852" s="58" t="str">
        <f t="shared" si="41"/>
        <v>Not Applicable</v>
      </c>
    </row>
    <row r="853" spans="1:21" ht="23.25" customHeight="1" x14ac:dyDescent="0.35">
      <c r="A853" t="s">
        <v>1939</v>
      </c>
      <c r="B853" t="s">
        <v>1939</v>
      </c>
      <c r="C853">
        <v>2050</v>
      </c>
      <c r="D853">
        <v>0</v>
      </c>
      <c r="E853" t="s">
        <v>2104</v>
      </c>
      <c r="F853" t="s">
        <v>57</v>
      </c>
      <c r="G853" t="s">
        <v>57</v>
      </c>
      <c r="H853" t="s">
        <v>2105</v>
      </c>
      <c r="I853"/>
      <c r="J853"/>
      <c r="K853"/>
      <c r="L853"/>
      <c r="M853"/>
      <c r="N853"/>
      <c r="O853"/>
      <c r="P853"/>
      <c r="Q853"/>
      <c r="R853"/>
      <c r="S853" s="56">
        <f t="shared" si="39"/>
        <v>5</v>
      </c>
      <c r="T853" s="57" t="str">
        <f t="shared" si="40"/>
        <v>4-30 Days</v>
      </c>
      <c r="U853" s="58" t="str">
        <f t="shared" si="41"/>
        <v>Normal</v>
      </c>
    </row>
    <row r="854" spans="1:21" ht="23.25" customHeight="1" x14ac:dyDescent="0.35">
      <c r="A854" t="s">
        <v>1939</v>
      </c>
      <c r="B854" t="s">
        <v>1939</v>
      </c>
      <c r="C854">
        <v>0</v>
      </c>
      <c r="D854">
        <v>1640</v>
      </c>
      <c r="E854" t="s">
        <v>2106</v>
      </c>
      <c r="F854" t="s">
        <v>57</v>
      </c>
      <c r="G854" t="s">
        <v>57</v>
      </c>
      <c r="H854" t="s">
        <v>2107</v>
      </c>
      <c r="I854"/>
      <c r="J854"/>
      <c r="K854"/>
      <c r="L854"/>
      <c r="M854"/>
      <c r="N854"/>
      <c r="O854"/>
      <c r="P854"/>
      <c r="Q854"/>
      <c r="R854"/>
      <c r="S854" s="56">
        <f t="shared" si="39"/>
        <v>5</v>
      </c>
      <c r="T854" s="57" t="str">
        <f t="shared" si="40"/>
        <v>4-30 Days</v>
      </c>
      <c r="U854" s="58" t="str">
        <f t="shared" si="41"/>
        <v>Not Applicable</v>
      </c>
    </row>
    <row r="855" spans="1:21" ht="23.25" customHeight="1" x14ac:dyDescent="0.35">
      <c r="A855" t="s">
        <v>1939</v>
      </c>
      <c r="B855" t="s">
        <v>1939</v>
      </c>
      <c r="C855">
        <v>1000</v>
      </c>
      <c r="D855">
        <v>0</v>
      </c>
      <c r="E855" t="s">
        <v>2108</v>
      </c>
      <c r="F855" t="s">
        <v>57</v>
      </c>
      <c r="G855" t="s">
        <v>57</v>
      </c>
      <c r="H855" t="s">
        <v>2109</v>
      </c>
      <c r="I855"/>
      <c r="J855"/>
      <c r="K855"/>
      <c r="L855"/>
      <c r="M855"/>
      <c r="N855"/>
      <c r="O855"/>
      <c r="P855"/>
      <c r="Q855"/>
      <c r="R855"/>
      <c r="S855" s="56">
        <f t="shared" si="39"/>
        <v>5</v>
      </c>
      <c r="T855" s="57" t="str">
        <f t="shared" si="40"/>
        <v>4-30 Days</v>
      </c>
      <c r="U855" s="58" t="str">
        <f t="shared" si="41"/>
        <v>Normal</v>
      </c>
    </row>
    <row r="856" spans="1:21" ht="23.25" customHeight="1" x14ac:dyDescent="0.35">
      <c r="A856" t="s">
        <v>1939</v>
      </c>
      <c r="B856" t="s">
        <v>1939</v>
      </c>
      <c r="C856">
        <v>2410.1999999999998</v>
      </c>
      <c r="D856">
        <v>0</v>
      </c>
      <c r="E856" t="s">
        <v>2110</v>
      </c>
      <c r="F856" t="s">
        <v>57</v>
      </c>
      <c r="G856" t="s">
        <v>57</v>
      </c>
      <c r="H856" t="s">
        <v>2111</v>
      </c>
      <c r="I856"/>
      <c r="J856"/>
      <c r="K856"/>
      <c r="L856"/>
      <c r="M856"/>
      <c r="N856"/>
      <c r="O856"/>
      <c r="P856"/>
      <c r="Q856"/>
      <c r="R856"/>
      <c r="S856" s="56">
        <f t="shared" si="39"/>
        <v>5</v>
      </c>
      <c r="T856" s="57" t="str">
        <f t="shared" si="40"/>
        <v>4-30 Days</v>
      </c>
      <c r="U856" s="58" t="str">
        <f t="shared" si="41"/>
        <v>Normal</v>
      </c>
    </row>
    <row r="857" spans="1:21" ht="23.25" customHeight="1" x14ac:dyDescent="0.35">
      <c r="A857" t="s">
        <v>1939</v>
      </c>
      <c r="B857" t="s">
        <v>1939</v>
      </c>
      <c r="C857">
        <v>2650</v>
      </c>
      <c r="D857">
        <v>0</v>
      </c>
      <c r="E857" t="s">
        <v>2112</v>
      </c>
      <c r="F857" t="s">
        <v>57</v>
      </c>
      <c r="G857" t="s">
        <v>57</v>
      </c>
      <c r="H857" t="s">
        <v>2113</v>
      </c>
      <c r="I857"/>
      <c r="J857"/>
      <c r="K857"/>
      <c r="L857"/>
      <c r="M857"/>
      <c r="N857"/>
      <c r="O857"/>
      <c r="P857"/>
      <c r="Q857"/>
      <c r="R857"/>
      <c r="S857" s="56">
        <f t="shared" si="39"/>
        <v>5</v>
      </c>
      <c r="T857" s="57" t="str">
        <f t="shared" si="40"/>
        <v>4-30 Days</v>
      </c>
      <c r="U857" s="58" t="str">
        <f t="shared" si="41"/>
        <v>Normal</v>
      </c>
    </row>
    <row r="858" spans="1:21" ht="23.25" customHeight="1" x14ac:dyDescent="0.35">
      <c r="A858" t="s">
        <v>1939</v>
      </c>
      <c r="B858" t="s">
        <v>1939</v>
      </c>
      <c r="C858">
        <v>0</v>
      </c>
      <c r="D858">
        <v>1000</v>
      </c>
      <c r="E858" t="s">
        <v>2114</v>
      </c>
      <c r="F858" t="s">
        <v>57</v>
      </c>
      <c r="G858" t="s">
        <v>57</v>
      </c>
      <c r="H858" t="s">
        <v>2115</v>
      </c>
      <c r="I858"/>
      <c r="J858"/>
      <c r="K858"/>
      <c r="L858"/>
      <c r="M858"/>
      <c r="N858"/>
      <c r="O858"/>
      <c r="P858"/>
      <c r="Q858"/>
      <c r="R858"/>
      <c r="S858" s="56">
        <f t="shared" si="39"/>
        <v>5</v>
      </c>
      <c r="T858" s="57" t="str">
        <f t="shared" si="40"/>
        <v>4-30 Days</v>
      </c>
      <c r="U858" s="58" t="str">
        <f t="shared" si="41"/>
        <v>Not Applicable</v>
      </c>
    </row>
    <row r="859" spans="1:21" ht="23.25" customHeight="1" x14ac:dyDescent="0.35">
      <c r="A859" t="s">
        <v>1939</v>
      </c>
      <c r="B859" t="s">
        <v>1939</v>
      </c>
      <c r="C859">
        <v>0</v>
      </c>
      <c r="D859">
        <v>250</v>
      </c>
      <c r="E859" t="s">
        <v>2116</v>
      </c>
      <c r="F859" t="s">
        <v>57</v>
      </c>
      <c r="G859" t="s">
        <v>57</v>
      </c>
      <c r="H859" t="s">
        <v>2117</v>
      </c>
      <c r="I859"/>
      <c r="J859"/>
      <c r="K859"/>
      <c r="L859"/>
      <c r="M859"/>
      <c r="N859"/>
      <c r="O859"/>
      <c r="P859"/>
      <c r="Q859"/>
      <c r="R859"/>
      <c r="S859" s="56">
        <f t="shared" si="39"/>
        <v>5</v>
      </c>
      <c r="T859" s="57" t="str">
        <f t="shared" si="40"/>
        <v>4-30 Days</v>
      </c>
      <c r="U859" s="58" t="str">
        <f t="shared" si="41"/>
        <v>Not Applicable</v>
      </c>
    </row>
    <row r="860" spans="1:21" ht="23.25" customHeight="1" x14ac:dyDescent="0.35">
      <c r="A860" t="s">
        <v>1939</v>
      </c>
      <c r="B860" t="s">
        <v>1939</v>
      </c>
      <c r="C860">
        <v>0</v>
      </c>
      <c r="D860">
        <v>1000</v>
      </c>
      <c r="E860" t="s">
        <v>2118</v>
      </c>
      <c r="F860" t="s">
        <v>57</v>
      </c>
      <c r="G860" t="s">
        <v>57</v>
      </c>
      <c r="H860" t="s">
        <v>2119</v>
      </c>
      <c r="I860"/>
      <c r="J860"/>
      <c r="K860"/>
      <c r="L860"/>
      <c r="M860"/>
      <c r="N860"/>
      <c r="O860"/>
      <c r="P860"/>
      <c r="Q860"/>
      <c r="R860"/>
      <c r="S860" s="56">
        <f t="shared" si="39"/>
        <v>5</v>
      </c>
      <c r="T860" s="57" t="str">
        <f t="shared" si="40"/>
        <v>4-30 Days</v>
      </c>
      <c r="U860" s="58" t="str">
        <f t="shared" si="41"/>
        <v>Not Applicable</v>
      </c>
    </row>
    <row r="861" spans="1:21" ht="23.25" customHeight="1" x14ac:dyDescent="0.35">
      <c r="A861" t="s">
        <v>1939</v>
      </c>
      <c r="B861" t="s">
        <v>1939</v>
      </c>
      <c r="C861">
        <v>0</v>
      </c>
      <c r="D861">
        <v>250</v>
      </c>
      <c r="E861" t="s">
        <v>2120</v>
      </c>
      <c r="F861" t="s">
        <v>57</v>
      </c>
      <c r="G861" t="s">
        <v>57</v>
      </c>
      <c r="H861" t="s">
        <v>2121</v>
      </c>
      <c r="I861"/>
      <c r="J861"/>
      <c r="K861"/>
      <c r="L861"/>
      <c r="M861"/>
      <c r="N861"/>
      <c r="O861"/>
      <c r="P861"/>
      <c r="Q861"/>
      <c r="R861"/>
      <c r="S861" s="56">
        <f t="shared" si="39"/>
        <v>5</v>
      </c>
      <c r="T861" s="57" t="str">
        <f t="shared" si="40"/>
        <v>4-30 Days</v>
      </c>
      <c r="U861" s="58" t="str">
        <f t="shared" si="41"/>
        <v>Not Applicable</v>
      </c>
    </row>
    <row r="862" spans="1:21" ht="23.25" customHeight="1" x14ac:dyDescent="0.35">
      <c r="A862" t="s">
        <v>1939</v>
      </c>
      <c r="B862" t="s">
        <v>1939</v>
      </c>
      <c r="C862">
        <v>0</v>
      </c>
      <c r="D862">
        <v>2700</v>
      </c>
      <c r="E862" t="s">
        <v>2122</v>
      </c>
      <c r="F862" t="s">
        <v>57</v>
      </c>
      <c r="G862" t="s">
        <v>57</v>
      </c>
      <c r="H862" t="s">
        <v>2123</v>
      </c>
      <c r="I862"/>
      <c r="J862"/>
      <c r="K862"/>
      <c r="L862"/>
      <c r="M862"/>
      <c r="N862"/>
      <c r="O862"/>
      <c r="P862"/>
      <c r="Q862"/>
      <c r="R862"/>
      <c r="S862" s="56">
        <f t="shared" si="39"/>
        <v>5</v>
      </c>
      <c r="T862" s="57" t="str">
        <f t="shared" si="40"/>
        <v>4-30 Days</v>
      </c>
      <c r="U862" s="58" t="str">
        <f t="shared" si="41"/>
        <v>Not Applicable</v>
      </c>
    </row>
    <row r="863" spans="1:21" ht="23.25" customHeight="1" x14ac:dyDescent="0.35">
      <c r="A863" t="s">
        <v>1939</v>
      </c>
      <c r="B863" t="s">
        <v>1939</v>
      </c>
      <c r="C863">
        <v>2150</v>
      </c>
      <c r="D863">
        <v>0</v>
      </c>
      <c r="E863" t="s">
        <v>2124</v>
      </c>
      <c r="F863" t="s">
        <v>57</v>
      </c>
      <c r="G863" t="s">
        <v>57</v>
      </c>
      <c r="H863" t="s">
        <v>2125</v>
      </c>
      <c r="I863"/>
      <c r="J863"/>
      <c r="K863"/>
      <c r="L863"/>
      <c r="M863"/>
      <c r="N863"/>
      <c r="O863"/>
      <c r="P863"/>
      <c r="Q863"/>
      <c r="R863"/>
      <c r="S863" s="56">
        <f t="shared" si="39"/>
        <v>5</v>
      </c>
      <c r="T863" s="57" t="str">
        <f t="shared" si="40"/>
        <v>4-30 Days</v>
      </c>
      <c r="U863" s="58" t="str">
        <f t="shared" si="41"/>
        <v>Normal</v>
      </c>
    </row>
    <row r="864" spans="1:21" ht="23.25" customHeight="1" x14ac:dyDescent="0.35">
      <c r="A864" t="s">
        <v>1939</v>
      </c>
      <c r="B864" t="s">
        <v>1939</v>
      </c>
      <c r="C864">
        <v>0</v>
      </c>
      <c r="D864">
        <v>1094</v>
      </c>
      <c r="E864" t="s">
        <v>2126</v>
      </c>
      <c r="F864" t="s">
        <v>57</v>
      </c>
      <c r="G864" t="s">
        <v>57</v>
      </c>
      <c r="H864" t="s">
        <v>2127</v>
      </c>
      <c r="I864"/>
      <c r="J864"/>
      <c r="K864"/>
      <c r="L864"/>
      <c r="M864"/>
      <c r="N864"/>
      <c r="O864"/>
      <c r="P864"/>
      <c r="Q864"/>
      <c r="R864"/>
      <c r="S864" s="56">
        <f t="shared" si="39"/>
        <v>5</v>
      </c>
      <c r="T864" s="57" t="str">
        <f t="shared" si="40"/>
        <v>4-30 Days</v>
      </c>
      <c r="U864" s="58" t="str">
        <f t="shared" si="41"/>
        <v>Not Applicable</v>
      </c>
    </row>
    <row r="865" spans="1:21" ht="23.25" customHeight="1" x14ac:dyDescent="0.35">
      <c r="A865" t="s">
        <v>1939</v>
      </c>
      <c r="B865" t="s">
        <v>1939</v>
      </c>
      <c r="C865">
        <v>550</v>
      </c>
      <c r="D865">
        <v>0</v>
      </c>
      <c r="E865" t="s">
        <v>2128</v>
      </c>
      <c r="F865" t="s">
        <v>57</v>
      </c>
      <c r="G865" t="s">
        <v>57</v>
      </c>
      <c r="H865" t="s">
        <v>2129</v>
      </c>
      <c r="I865"/>
      <c r="J865"/>
      <c r="K865"/>
      <c r="L865"/>
      <c r="M865"/>
      <c r="N865"/>
      <c r="O865"/>
      <c r="P865"/>
      <c r="Q865"/>
      <c r="R865"/>
      <c r="S865" s="56">
        <f t="shared" si="39"/>
        <v>5</v>
      </c>
      <c r="T865" s="57" t="str">
        <f t="shared" si="40"/>
        <v>4-30 Days</v>
      </c>
      <c r="U865" s="58" t="str">
        <f t="shared" si="41"/>
        <v>Normal</v>
      </c>
    </row>
    <row r="866" spans="1:21" ht="23.25" customHeight="1" x14ac:dyDescent="0.35">
      <c r="A866" t="s">
        <v>1939</v>
      </c>
      <c r="B866" t="s">
        <v>1939</v>
      </c>
      <c r="C866">
        <v>0</v>
      </c>
      <c r="D866">
        <v>1172</v>
      </c>
      <c r="E866" t="s">
        <v>2130</v>
      </c>
      <c r="F866" t="s">
        <v>57</v>
      </c>
      <c r="G866" t="s">
        <v>57</v>
      </c>
      <c r="H866" t="s">
        <v>2131</v>
      </c>
      <c r="I866"/>
      <c r="J866"/>
      <c r="K866"/>
      <c r="L866"/>
      <c r="M866"/>
      <c r="N866"/>
      <c r="O866"/>
      <c r="P866"/>
      <c r="Q866"/>
      <c r="R866"/>
      <c r="S866" s="56">
        <f t="shared" si="39"/>
        <v>5</v>
      </c>
      <c r="T866" s="57" t="str">
        <f t="shared" si="40"/>
        <v>4-30 Days</v>
      </c>
      <c r="U866" s="58" t="str">
        <f t="shared" si="41"/>
        <v>Not Applicable</v>
      </c>
    </row>
    <row r="867" spans="1:21" ht="23.25" customHeight="1" x14ac:dyDescent="0.35">
      <c r="A867" t="s">
        <v>1939</v>
      </c>
      <c r="B867" t="s">
        <v>1939</v>
      </c>
      <c r="C867">
        <v>0</v>
      </c>
      <c r="D867">
        <v>1000</v>
      </c>
      <c r="E867" t="s">
        <v>2132</v>
      </c>
      <c r="F867" t="s">
        <v>57</v>
      </c>
      <c r="G867" t="s">
        <v>57</v>
      </c>
      <c r="H867" t="s">
        <v>2133</v>
      </c>
      <c r="I867"/>
      <c r="J867"/>
      <c r="K867"/>
      <c r="L867"/>
      <c r="M867"/>
      <c r="N867"/>
      <c r="O867"/>
      <c r="P867"/>
      <c r="Q867"/>
      <c r="R867"/>
      <c r="S867" s="56">
        <f t="shared" si="39"/>
        <v>5</v>
      </c>
      <c r="T867" s="57" t="str">
        <f t="shared" si="40"/>
        <v>4-30 Days</v>
      </c>
      <c r="U867" s="58" t="str">
        <f t="shared" si="41"/>
        <v>Not Applicable</v>
      </c>
    </row>
    <row r="868" spans="1:21" ht="23.25" customHeight="1" x14ac:dyDescent="0.35">
      <c r="A868" t="s">
        <v>1939</v>
      </c>
      <c r="B868" t="s">
        <v>1939</v>
      </c>
      <c r="C868">
        <v>446</v>
      </c>
      <c r="D868">
        <v>0</v>
      </c>
      <c r="E868" t="s">
        <v>2134</v>
      </c>
      <c r="F868" t="s">
        <v>57</v>
      </c>
      <c r="G868" t="s">
        <v>57</v>
      </c>
      <c r="H868" t="s">
        <v>2135</v>
      </c>
      <c r="I868"/>
      <c r="J868"/>
      <c r="K868"/>
      <c r="L868"/>
      <c r="M868"/>
      <c r="N868"/>
      <c r="O868"/>
      <c r="P868"/>
      <c r="Q868"/>
      <c r="R868"/>
      <c r="S868" s="56">
        <f t="shared" si="39"/>
        <v>5</v>
      </c>
      <c r="T868" s="57" t="str">
        <f t="shared" si="40"/>
        <v>4-30 Days</v>
      </c>
      <c r="U868" s="58" t="str">
        <f t="shared" si="41"/>
        <v>Normal</v>
      </c>
    </row>
    <row r="869" spans="1:21" ht="23.25" customHeight="1" x14ac:dyDescent="0.35">
      <c r="A869" t="s">
        <v>1939</v>
      </c>
      <c r="B869" t="s">
        <v>1939</v>
      </c>
      <c r="C869">
        <v>0</v>
      </c>
      <c r="D869">
        <v>1472</v>
      </c>
      <c r="E869" t="s">
        <v>2136</v>
      </c>
      <c r="F869" t="s">
        <v>57</v>
      </c>
      <c r="G869" t="s">
        <v>57</v>
      </c>
      <c r="H869" t="s">
        <v>2137</v>
      </c>
      <c r="I869"/>
      <c r="J869"/>
      <c r="K869"/>
      <c r="L869"/>
      <c r="M869"/>
      <c r="N869"/>
      <c r="O869"/>
      <c r="P869"/>
      <c r="Q869"/>
      <c r="R869"/>
      <c r="S869" s="56">
        <f t="shared" si="39"/>
        <v>5</v>
      </c>
      <c r="T869" s="57" t="str">
        <f t="shared" si="40"/>
        <v>4-30 Days</v>
      </c>
      <c r="U869" s="58" t="str">
        <f t="shared" si="41"/>
        <v>Not Applicable</v>
      </c>
    </row>
    <row r="870" spans="1:21" ht="23.25" customHeight="1" x14ac:dyDescent="0.35">
      <c r="A870" t="s">
        <v>1939</v>
      </c>
      <c r="B870" t="s">
        <v>1939</v>
      </c>
      <c r="C870">
        <v>0</v>
      </c>
      <c r="D870">
        <v>4125</v>
      </c>
      <c r="E870" t="s">
        <v>2138</v>
      </c>
      <c r="F870" t="s">
        <v>57</v>
      </c>
      <c r="G870" t="s">
        <v>57</v>
      </c>
      <c r="H870" t="s">
        <v>2139</v>
      </c>
      <c r="I870"/>
      <c r="J870"/>
      <c r="K870"/>
      <c r="L870"/>
      <c r="M870"/>
      <c r="N870"/>
      <c r="O870"/>
      <c r="P870"/>
      <c r="Q870"/>
      <c r="R870"/>
      <c r="S870" s="56">
        <f t="shared" si="39"/>
        <v>5</v>
      </c>
      <c r="T870" s="57" t="str">
        <f t="shared" si="40"/>
        <v>4-30 Days</v>
      </c>
      <c r="U870" s="58" t="str">
        <f t="shared" si="41"/>
        <v>Not Applicable</v>
      </c>
    </row>
    <row r="871" spans="1:21" ht="23.25" customHeight="1" x14ac:dyDescent="0.35">
      <c r="A871" t="s">
        <v>1939</v>
      </c>
      <c r="B871" t="s">
        <v>1939</v>
      </c>
      <c r="C871">
        <v>0</v>
      </c>
      <c r="D871">
        <v>1000</v>
      </c>
      <c r="E871" t="s">
        <v>2140</v>
      </c>
      <c r="F871" t="s">
        <v>57</v>
      </c>
      <c r="G871" t="s">
        <v>57</v>
      </c>
      <c r="H871" t="s">
        <v>2141</v>
      </c>
      <c r="I871"/>
      <c r="J871"/>
      <c r="K871"/>
      <c r="L871"/>
      <c r="M871"/>
      <c r="N871"/>
      <c r="O871"/>
      <c r="P871"/>
      <c r="Q871"/>
      <c r="R871"/>
      <c r="S871" s="56">
        <f t="shared" si="39"/>
        <v>5</v>
      </c>
      <c r="T871" s="57" t="str">
        <f t="shared" si="40"/>
        <v>4-30 Days</v>
      </c>
      <c r="U871" s="58" t="str">
        <f t="shared" si="41"/>
        <v>Not Applicable</v>
      </c>
    </row>
    <row r="872" spans="1:21" ht="23.25" customHeight="1" x14ac:dyDescent="0.35">
      <c r="A872" t="s">
        <v>1939</v>
      </c>
      <c r="B872" t="s">
        <v>1939</v>
      </c>
      <c r="C872">
        <v>1000</v>
      </c>
      <c r="D872">
        <v>0</v>
      </c>
      <c r="E872" t="s">
        <v>2142</v>
      </c>
      <c r="F872" t="s">
        <v>57</v>
      </c>
      <c r="G872" t="s">
        <v>57</v>
      </c>
      <c r="H872" t="s">
        <v>2143</v>
      </c>
      <c r="I872"/>
      <c r="J872"/>
      <c r="K872"/>
      <c r="L872"/>
      <c r="M872"/>
      <c r="N872"/>
      <c r="O872"/>
      <c r="P872"/>
      <c r="Q872"/>
      <c r="R872"/>
      <c r="S872" s="56">
        <f t="shared" si="39"/>
        <v>5</v>
      </c>
      <c r="T872" s="57" t="str">
        <f t="shared" si="40"/>
        <v>4-30 Days</v>
      </c>
      <c r="U872" s="58" t="str">
        <f t="shared" si="41"/>
        <v>Normal</v>
      </c>
    </row>
    <row r="873" spans="1:21" ht="23.25" customHeight="1" x14ac:dyDescent="0.35">
      <c r="A873" t="s">
        <v>1939</v>
      </c>
      <c r="B873" t="s">
        <v>1939</v>
      </c>
      <c r="C873">
        <v>0</v>
      </c>
      <c r="D873">
        <v>1000</v>
      </c>
      <c r="E873" t="s">
        <v>2144</v>
      </c>
      <c r="F873" t="s">
        <v>57</v>
      </c>
      <c r="G873" t="s">
        <v>57</v>
      </c>
      <c r="H873" t="s">
        <v>2145</v>
      </c>
      <c r="I873"/>
      <c r="J873"/>
      <c r="K873"/>
      <c r="L873"/>
      <c r="M873"/>
      <c r="N873"/>
      <c r="O873"/>
      <c r="P873"/>
      <c r="Q873"/>
      <c r="R873"/>
      <c r="S873" s="56">
        <f t="shared" si="39"/>
        <v>5</v>
      </c>
      <c r="T873" s="57" t="str">
        <f t="shared" si="40"/>
        <v>4-30 Days</v>
      </c>
      <c r="U873" s="58" t="str">
        <f t="shared" si="41"/>
        <v>Not Applicable</v>
      </c>
    </row>
    <row r="874" spans="1:21" ht="23.25" customHeight="1" x14ac:dyDescent="0.35">
      <c r="A874" t="s">
        <v>1939</v>
      </c>
      <c r="B874" t="s">
        <v>1939</v>
      </c>
      <c r="C874">
        <v>1000</v>
      </c>
      <c r="D874">
        <v>0</v>
      </c>
      <c r="E874" t="s">
        <v>2146</v>
      </c>
      <c r="F874" t="s">
        <v>57</v>
      </c>
      <c r="G874" t="s">
        <v>57</v>
      </c>
      <c r="H874" t="s">
        <v>2147</v>
      </c>
      <c r="I874"/>
      <c r="J874"/>
      <c r="K874"/>
      <c r="L874"/>
      <c r="M874"/>
      <c r="N874"/>
      <c r="O874"/>
      <c r="P874"/>
      <c r="Q874"/>
      <c r="R874"/>
      <c r="S874" s="56">
        <f t="shared" si="39"/>
        <v>5</v>
      </c>
      <c r="T874" s="57" t="str">
        <f t="shared" si="40"/>
        <v>4-30 Days</v>
      </c>
      <c r="U874" s="58" t="str">
        <f t="shared" si="41"/>
        <v>Normal</v>
      </c>
    </row>
    <row r="875" spans="1:21" ht="23.25" customHeight="1" x14ac:dyDescent="0.35">
      <c r="A875" t="s">
        <v>1939</v>
      </c>
      <c r="B875" t="s">
        <v>1939</v>
      </c>
      <c r="C875">
        <v>0</v>
      </c>
      <c r="D875">
        <v>2050</v>
      </c>
      <c r="E875" t="s">
        <v>2148</v>
      </c>
      <c r="F875" t="s">
        <v>57</v>
      </c>
      <c r="G875" t="s">
        <v>57</v>
      </c>
      <c r="H875" t="s">
        <v>2149</v>
      </c>
      <c r="I875"/>
      <c r="J875"/>
      <c r="K875"/>
      <c r="L875"/>
      <c r="M875"/>
      <c r="N875"/>
      <c r="O875"/>
      <c r="P875"/>
      <c r="Q875"/>
      <c r="R875"/>
      <c r="S875" s="56">
        <f t="shared" si="39"/>
        <v>5</v>
      </c>
      <c r="T875" s="57" t="str">
        <f t="shared" si="40"/>
        <v>4-30 Days</v>
      </c>
      <c r="U875" s="58" t="str">
        <f t="shared" si="41"/>
        <v>Not Applicable</v>
      </c>
    </row>
    <row r="876" spans="1:21" ht="23.25" customHeight="1" x14ac:dyDescent="0.35">
      <c r="A876" t="s">
        <v>1939</v>
      </c>
      <c r="B876" t="s">
        <v>1939</v>
      </c>
      <c r="C876">
        <v>0</v>
      </c>
      <c r="D876">
        <v>1000</v>
      </c>
      <c r="E876" t="s">
        <v>2150</v>
      </c>
      <c r="F876" t="s">
        <v>57</v>
      </c>
      <c r="G876" t="s">
        <v>57</v>
      </c>
      <c r="H876" t="s">
        <v>2151</v>
      </c>
      <c r="I876"/>
      <c r="J876"/>
      <c r="K876"/>
      <c r="L876"/>
      <c r="M876"/>
      <c r="N876"/>
      <c r="O876"/>
      <c r="P876"/>
      <c r="Q876"/>
      <c r="R876"/>
      <c r="S876" s="56">
        <f t="shared" si="39"/>
        <v>5</v>
      </c>
      <c r="T876" s="57" t="str">
        <f t="shared" si="40"/>
        <v>4-30 Days</v>
      </c>
      <c r="U876" s="58" t="str">
        <f t="shared" si="41"/>
        <v>Not Applicable</v>
      </c>
    </row>
    <row r="877" spans="1:21" ht="23.25" customHeight="1" x14ac:dyDescent="0.35">
      <c r="A877" t="s">
        <v>1939</v>
      </c>
      <c r="B877" t="s">
        <v>1939</v>
      </c>
      <c r="C877">
        <v>0</v>
      </c>
      <c r="D877">
        <v>1000</v>
      </c>
      <c r="E877" t="s">
        <v>2152</v>
      </c>
      <c r="F877" t="s">
        <v>57</v>
      </c>
      <c r="G877" t="s">
        <v>57</v>
      </c>
      <c r="H877" t="s">
        <v>2153</v>
      </c>
      <c r="I877"/>
      <c r="J877"/>
      <c r="K877"/>
      <c r="L877"/>
      <c r="M877"/>
      <c r="N877"/>
      <c r="O877"/>
      <c r="P877"/>
      <c r="Q877"/>
      <c r="R877"/>
      <c r="S877" s="56">
        <f t="shared" si="39"/>
        <v>5</v>
      </c>
      <c r="T877" s="57" t="str">
        <f t="shared" si="40"/>
        <v>4-30 Days</v>
      </c>
      <c r="U877" s="58" t="str">
        <f t="shared" si="41"/>
        <v>Not Applicable</v>
      </c>
    </row>
    <row r="878" spans="1:21" ht="23.25" customHeight="1" x14ac:dyDescent="0.35">
      <c r="A878" t="s">
        <v>1939</v>
      </c>
      <c r="B878" t="s">
        <v>1939</v>
      </c>
      <c r="C878">
        <v>828</v>
      </c>
      <c r="D878">
        <v>0</v>
      </c>
      <c r="E878" t="s">
        <v>2154</v>
      </c>
      <c r="F878" t="s">
        <v>57</v>
      </c>
      <c r="G878" t="s">
        <v>57</v>
      </c>
      <c r="H878" t="s">
        <v>2155</v>
      </c>
      <c r="I878"/>
      <c r="J878"/>
      <c r="K878"/>
      <c r="L878"/>
      <c r="M878"/>
      <c r="N878"/>
      <c r="O878"/>
      <c r="P878"/>
      <c r="Q878"/>
      <c r="R878"/>
      <c r="S878" s="56">
        <f t="shared" si="39"/>
        <v>5</v>
      </c>
      <c r="T878" s="57" t="str">
        <f t="shared" si="40"/>
        <v>4-30 Days</v>
      </c>
      <c r="U878" s="58" t="str">
        <f t="shared" si="41"/>
        <v>Normal</v>
      </c>
    </row>
    <row r="879" spans="1:21" ht="23.25" customHeight="1" x14ac:dyDescent="0.35">
      <c r="A879" t="s">
        <v>1939</v>
      </c>
      <c r="B879" t="s">
        <v>1939</v>
      </c>
      <c r="C879">
        <v>0</v>
      </c>
      <c r="D879">
        <v>4615</v>
      </c>
      <c r="E879" t="s">
        <v>2156</v>
      </c>
      <c r="F879" t="s">
        <v>57</v>
      </c>
      <c r="G879" t="s">
        <v>57</v>
      </c>
      <c r="H879" t="s">
        <v>2157</v>
      </c>
      <c r="I879"/>
      <c r="J879"/>
      <c r="K879"/>
      <c r="L879"/>
      <c r="M879"/>
      <c r="N879"/>
      <c r="O879"/>
      <c r="P879"/>
      <c r="Q879"/>
      <c r="R879"/>
      <c r="S879" s="56">
        <f t="shared" si="39"/>
        <v>5</v>
      </c>
      <c r="T879" s="57" t="str">
        <f t="shared" si="40"/>
        <v>4-30 Days</v>
      </c>
      <c r="U879" s="58" t="str">
        <f t="shared" si="41"/>
        <v>Not Applicable</v>
      </c>
    </row>
    <row r="880" spans="1:21" ht="23.25" customHeight="1" x14ac:dyDescent="0.35">
      <c r="A880" t="s">
        <v>1939</v>
      </c>
      <c r="B880" t="s">
        <v>1939</v>
      </c>
      <c r="C880">
        <v>0</v>
      </c>
      <c r="D880">
        <v>1000</v>
      </c>
      <c r="E880" t="s">
        <v>2158</v>
      </c>
      <c r="F880" t="s">
        <v>57</v>
      </c>
      <c r="G880" t="s">
        <v>57</v>
      </c>
      <c r="H880" t="s">
        <v>2159</v>
      </c>
      <c r="I880"/>
      <c r="J880"/>
      <c r="K880"/>
      <c r="L880"/>
      <c r="M880"/>
      <c r="N880"/>
      <c r="O880"/>
      <c r="P880"/>
      <c r="Q880"/>
      <c r="R880"/>
      <c r="S880" s="56">
        <f t="shared" si="39"/>
        <v>5</v>
      </c>
      <c r="T880" s="57" t="str">
        <f t="shared" si="40"/>
        <v>4-30 Days</v>
      </c>
      <c r="U880" s="58" t="str">
        <f t="shared" si="41"/>
        <v>Not Applicable</v>
      </c>
    </row>
    <row r="881" spans="1:21" ht="23.25" customHeight="1" x14ac:dyDescent="0.35">
      <c r="A881" t="s">
        <v>1939</v>
      </c>
      <c r="B881" t="s">
        <v>1939</v>
      </c>
      <c r="C881">
        <v>0</v>
      </c>
      <c r="D881">
        <v>250</v>
      </c>
      <c r="E881" t="s">
        <v>2160</v>
      </c>
      <c r="F881" t="s">
        <v>57</v>
      </c>
      <c r="G881" t="s">
        <v>57</v>
      </c>
      <c r="H881" t="s">
        <v>2161</v>
      </c>
      <c r="I881"/>
      <c r="J881"/>
      <c r="K881"/>
      <c r="L881"/>
      <c r="M881"/>
      <c r="N881"/>
      <c r="O881"/>
      <c r="P881"/>
      <c r="Q881"/>
      <c r="R881"/>
      <c r="S881" s="56">
        <f t="shared" si="39"/>
        <v>5</v>
      </c>
      <c r="T881" s="57" t="str">
        <f t="shared" si="40"/>
        <v>4-30 Days</v>
      </c>
      <c r="U881" s="58" t="str">
        <f t="shared" si="41"/>
        <v>Not Applicable</v>
      </c>
    </row>
    <row r="882" spans="1:21" ht="23.25" customHeight="1" x14ac:dyDescent="0.35">
      <c r="A882" t="s">
        <v>1939</v>
      </c>
      <c r="B882" t="s">
        <v>1939</v>
      </c>
      <c r="C882">
        <v>0</v>
      </c>
      <c r="D882">
        <v>1082</v>
      </c>
      <c r="E882" t="s">
        <v>2162</v>
      </c>
      <c r="F882" t="s">
        <v>57</v>
      </c>
      <c r="G882" t="s">
        <v>57</v>
      </c>
      <c r="H882" t="s">
        <v>2163</v>
      </c>
      <c r="I882"/>
      <c r="J882"/>
      <c r="K882"/>
      <c r="L882"/>
      <c r="M882"/>
      <c r="N882"/>
      <c r="O882"/>
      <c r="P882"/>
      <c r="Q882"/>
      <c r="R882"/>
      <c r="S882" s="56">
        <f t="shared" si="39"/>
        <v>5</v>
      </c>
      <c r="T882" s="57" t="str">
        <f t="shared" si="40"/>
        <v>4-30 Days</v>
      </c>
      <c r="U882" s="58" t="str">
        <f t="shared" si="41"/>
        <v>Not Applicable</v>
      </c>
    </row>
    <row r="883" spans="1:21" ht="23.25" customHeight="1" x14ac:dyDescent="0.35">
      <c r="A883" t="s">
        <v>1939</v>
      </c>
      <c r="B883" t="s">
        <v>1939</v>
      </c>
      <c r="C883">
        <v>0</v>
      </c>
      <c r="D883">
        <v>1416</v>
      </c>
      <c r="E883" t="s">
        <v>2164</v>
      </c>
      <c r="F883" t="s">
        <v>57</v>
      </c>
      <c r="G883" t="s">
        <v>57</v>
      </c>
      <c r="H883" t="s">
        <v>2165</v>
      </c>
      <c r="I883"/>
      <c r="J883"/>
      <c r="K883"/>
      <c r="L883"/>
      <c r="M883"/>
      <c r="N883"/>
      <c r="O883"/>
      <c r="P883"/>
      <c r="Q883"/>
      <c r="R883"/>
      <c r="S883" s="56">
        <f t="shared" si="39"/>
        <v>5</v>
      </c>
      <c r="T883" s="57" t="str">
        <f t="shared" si="40"/>
        <v>4-30 Days</v>
      </c>
      <c r="U883" s="58" t="str">
        <f t="shared" si="41"/>
        <v>Not Applicable</v>
      </c>
    </row>
    <row r="884" spans="1:21" ht="23.25" customHeight="1" x14ac:dyDescent="0.35">
      <c r="A884" t="s">
        <v>1939</v>
      </c>
      <c r="B884" t="s">
        <v>1939</v>
      </c>
      <c r="C884">
        <v>0</v>
      </c>
      <c r="D884">
        <v>1000</v>
      </c>
      <c r="E884" t="s">
        <v>2166</v>
      </c>
      <c r="F884" t="s">
        <v>57</v>
      </c>
      <c r="G884" t="s">
        <v>57</v>
      </c>
      <c r="H884" t="s">
        <v>2167</v>
      </c>
      <c r="I884"/>
      <c r="J884"/>
      <c r="K884"/>
      <c r="L884"/>
      <c r="M884"/>
      <c r="N884"/>
      <c r="O884"/>
      <c r="P884"/>
      <c r="Q884"/>
      <c r="R884"/>
      <c r="S884" s="56">
        <f t="shared" si="39"/>
        <v>5</v>
      </c>
      <c r="T884" s="57" t="str">
        <f t="shared" si="40"/>
        <v>4-30 Days</v>
      </c>
      <c r="U884" s="58" t="str">
        <f t="shared" si="41"/>
        <v>Not Applicable</v>
      </c>
    </row>
    <row r="885" spans="1:21" ht="23.25" customHeight="1" x14ac:dyDescent="0.35">
      <c r="A885" t="s">
        <v>1939</v>
      </c>
      <c r="B885" t="s">
        <v>1939</v>
      </c>
      <c r="C885">
        <v>2050</v>
      </c>
      <c r="D885">
        <v>0</v>
      </c>
      <c r="E885" t="s">
        <v>2168</v>
      </c>
      <c r="F885" t="s">
        <v>57</v>
      </c>
      <c r="G885" t="s">
        <v>57</v>
      </c>
      <c r="H885" t="s">
        <v>2169</v>
      </c>
      <c r="I885"/>
      <c r="J885"/>
      <c r="K885"/>
      <c r="L885"/>
      <c r="M885"/>
      <c r="N885"/>
      <c r="O885"/>
      <c r="P885"/>
      <c r="Q885"/>
      <c r="R885"/>
      <c r="S885" s="56">
        <f t="shared" si="39"/>
        <v>5</v>
      </c>
      <c r="T885" s="57" t="str">
        <f t="shared" si="40"/>
        <v>4-30 Days</v>
      </c>
      <c r="U885" s="58" t="str">
        <f t="shared" si="41"/>
        <v>Normal</v>
      </c>
    </row>
    <row r="886" spans="1:21" ht="23.25" customHeight="1" x14ac:dyDescent="0.35">
      <c r="A886" t="s">
        <v>1939</v>
      </c>
      <c r="B886" t="s">
        <v>1939</v>
      </c>
      <c r="C886">
        <v>0</v>
      </c>
      <c r="D886">
        <v>205</v>
      </c>
      <c r="E886" t="s">
        <v>2170</v>
      </c>
      <c r="F886" t="s">
        <v>57</v>
      </c>
      <c r="G886" t="s">
        <v>57</v>
      </c>
      <c r="H886" t="s">
        <v>2171</v>
      </c>
      <c r="I886"/>
      <c r="J886"/>
      <c r="K886"/>
      <c r="L886"/>
      <c r="M886"/>
      <c r="N886"/>
      <c r="O886"/>
      <c r="P886"/>
      <c r="Q886"/>
      <c r="R886"/>
      <c r="S886" s="56">
        <f t="shared" si="39"/>
        <v>5</v>
      </c>
      <c r="T886" s="57" t="str">
        <f t="shared" si="40"/>
        <v>4-30 Days</v>
      </c>
      <c r="U886" s="58" t="str">
        <f t="shared" si="41"/>
        <v>Not Applicable</v>
      </c>
    </row>
    <row r="887" spans="1:21" ht="23.25" customHeight="1" x14ac:dyDescent="0.35">
      <c r="A887" t="s">
        <v>1939</v>
      </c>
      <c r="B887" t="s">
        <v>1939</v>
      </c>
      <c r="C887">
        <v>0</v>
      </c>
      <c r="D887">
        <v>250</v>
      </c>
      <c r="E887" t="s">
        <v>2172</v>
      </c>
      <c r="F887" t="s">
        <v>57</v>
      </c>
      <c r="G887" t="s">
        <v>57</v>
      </c>
      <c r="H887" t="s">
        <v>2173</v>
      </c>
      <c r="I887"/>
      <c r="J887"/>
      <c r="K887"/>
      <c r="L887"/>
      <c r="M887"/>
      <c r="N887"/>
      <c r="O887"/>
      <c r="P887"/>
      <c r="Q887"/>
      <c r="R887"/>
      <c r="S887" s="56">
        <f t="shared" si="39"/>
        <v>5</v>
      </c>
      <c r="T887" s="57" t="str">
        <f t="shared" si="40"/>
        <v>4-30 Days</v>
      </c>
      <c r="U887" s="58" t="str">
        <f t="shared" si="41"/>
        <v>Not Applicable</v>
      </c>
    </row>
    <row r="888" spans="1:21" ht="23.25" customHeight="1" x14ac:dyDescent="0.35">
      <c r="A888" t="s">
        <v>1939</v>
      </c>
      <c r="B888" t="s">
        <v>1939</v>
      </c>
      <c r="C888">
        <v>1000</v>
      </c>
      <c r="D888">
        <v>0</v>
      </c>
      <c r="E888" t="s">
        <v>2174</v>
      </c>
      <c r="F888" t="s">
        <v>57</v>
      </c>
      <c r="G888" t="s">
        <v>57</v>
      </c>
      <c r="H888" t="s">
        <v>2175</v>
      </c>
      <c r="I888"/>
      <c r="J888"/>
      <c r="K888"/>
      <c r="L888"/>
      <c r="M888"/>
      <c r="N888"/>
      <c r="O888"/>
      <c r="P888"/>
      <c r="Q888"/>
      <c r="R888"/>
      <c r="S888" s="56">
        <f t="shared" si="39"/>
        <v>5</v>
      </c>
      <c r="T888" s="57" t="str">
        <f t="shared" si="40"/>
        <v>4-30 Days</v>
      </c>
      <c r="U888" s="58" t="str">
        <f t="shared" si="41"/>
        <v>Normal</v>
      </c>
    </row>
    <row r="889" spans="1:21" ht="23.25" customHeight="1" x14ac:dyDescent="0.35">
      <c r="A889" t="s">
        <v>1939</v>
      </c>
      <c r="B889" t="s">
        <v>1939</v>
      </c>
      <c r="C889">
        <v>1000</v>
      </c>
      <c r="D889">
        <v>0</v>
      </c>
      <c r="E889" t="s">
        <v>2176</v>
      </c>
      <c r="F889" t="s">
        <v>57</v>
      </c>
      <c r="G889" t="s">
        <v>57</v>
      </c>
      <c r="H889" t="s">
        <v>2177</v>
      </c>
      <c r="I889"/>
      <c r="J889"/>
      <c r="K889"/>
      <c r="L889"/>
      <c r="M889"/>
      <c r="N889"/>
      <c r="O889"/>
      <c r="P889"/>
      <c r="Q889"/>
      <c r="R889"/>
      <c r="S889" s="56">
        <f t="shared" si="39"/>
        <v>5</v>
      </c>
      <c r="T889" s="57" t="str">
        <f t="shared" si="40"/>
        <v>4-30 Days</v>
      </c>
      <c r="U889" s="58" t="str">
        <f t="shared" si="41"/>
        <v>Normal</v>
      </c>
    </row>
    <row r="890" spans="1:21" ht="23.25" customHeight="1" x14ac:dyDescent="0.35">
      <c r="A890" t="s">
        <v>1939</v>
      </c>
      <c r="B890" t="s">
        <v>1939</v>
      </c>
      <c r="C890">
        <v>0</v>
      </c>
      <c r="D890">
        <v>1000</v>
      </c>
      <c r="E890" t="s">
        <v>2178</v>
      </c>
      <c r="F890" t="s">
        <v>57</v>
      </c>
      <c r="G890" t="s">
        <v>57</v>
      </c>
      <c r="H890" t="s">
        <v>2179</v>
      </c>
      <c r="I890"/>
      <c r="J890"/>
      <c r="K890"/>
      <c r="L890"/>
      <c r="M890"/>
      <c r="N890"/>
      <c r="O890"/>
      <c r="P890"/>
      <c r="Q890"/>
      <c r="R890"/>
      <c r="S890" s="56">
        <f t="shared" si="39"/>
        <v>5</v>
      </c>
      <c r="T890" s="57" t="str">
        <f t="shared" si="40"/>
        <v>4-30 Days</v>
      </c>
      <c r="U890" s="58" t="str">
        <f t="shared" si="41"/>
        <v>Not Applicable</v>
      </c>
    </row>
    <row r="891" spans="1:21" ht="23.25" customHeight="1" x14ac:dyDescent="0.35">
      <c r="A891" t="s">
        <v>1939</v>
      </c>
      <c r="B891" t="s">
        <v>1939</v>
      </c>
      <c r="C891">
        <v>0</v>
      </c>
      <c r="D891">
        <v>2650</v>
      </c>
      <c r="E891" t="s">
        <v>2180</v>
      </c>
      <c r="F891" t="s">
        <v>57</v>
      </c>
      <c r="G891" t="s">
        <v>57</v>
      </c>
      <c r="H891" t="s">
        <v>2181</v>
      </c>
      <c r="I891"/>
      <c r="J891"/>
      <c r="K891"/>
      <c r="L891"/>
      <c r="M891"/>
      <c r="N891"/>
      <c r="O891"/>
      <c r="P891"/>
      <c r="Q891"/>
      <c r="R891"/>
      <c r="S891" s="56">
        <f t="shared" si="39"/>
        <v>5</v>
      </c>
      <c r="T891" s="57" t="str">
        <f t="shared" si="40"/>
        <v>4-30 Days</v>
      </c>
      <c r="U891" s="58" t="str">
        <f t="shared" si="41"/>
        <v>Not Applicable</v>
      </c>
    </row>
    <row r="892" spans="1:21" ht="23.25" customHeight="1" x14ac:dyDescent="0.35">
      <c r="A892" t="s">
        <v>1939</v>
      </c>
      <c r="B892" t="s">
        <v>1939</v>
      </c>
      <c r="C892">
        <v>0</v>
      </c>
      <c r="D892">
        <v>244</v>
      </c>
      <c r="E892" t="s">
        <v>2182</v>
      </c>
      <c r="F892" t="s">
        <v>57</v>
      </c>
      <c r="G892" t="s">
        <v>57</v>
      </c>
      <c r="H892" t="s">
        <v>2183</v>
      </c>
      <c r="I892"/>
      <c r="J892"/>
      <c r="K892"/>
      <c r="L892"/>
      <c r="M892"/>
      <c r="N892"/>
      <c r="O892"/>
      <c r="P892"/>
      <c r="Q892"/>
      <c r="R892"/>
      <c r="S892" s="56">
        <f t="shared" si="39"/>
        <v>5</v>
      </c>
      <c r="T892" s="57" t="str">
        <f t="shared" si="40"/>
        <v>4-30 Days</v>
      </c>
      <c r="U892" s="58" t="str">
        <f t="shared" si="41"/>
        <v>Not Applicable</v>
      </c>
    </row>
    <row r="893" spans="1:21" ht="23.25" customHeight="1" x14ac:dyDescent="0.35">
      <c r="A893" t="s">
        <v>1939</v>
      </c>
      <c r="B893" t="s">
        <v>1939</v>
      </c>
      <c r="C893">
        <v>0</v>
      </c>
      <c r="D893">
        <v>1000</v>
      </c>
      <c r="E893" t="s">
        <v>2184</v>
      </c>
      <c r="F893" t="s">
        <v>57</v>
      </c>
      <c r="G893" t="s">
        <v>57</v>
      </c>
      <c r="H893" t="s">
        <v>2185</v>
      </c>
      <c r="I893"/>
      <c r="J893"/>
      <c r="K893"/>
      <c r="L893"/>
      <c r="M893"/>
      <c r="N893"/>
      <c r="O893"/>
      <c r="P893"/>
      <c r="Q893"/>
      <c r="R893"/>
      <c r="S893" s="56">
        <f t="shared" si="39"/>
        <v>5</v>
      </c>
      <c r="T893" s="57" t="str">
        <f t="shared" si="40"/>
        <v>4-30 Days</v>
      </c>
      <c r="U893" s="58" t="str">
        <f t="shared" si="41"/>
        <v>Not Applicable</v>
      </c>
    </row>
    <row r="894" spans="1:21" ht="23.25" customHeight="1" x14ac:dyDescent="0.35">
      <c r="A894" t="s">
        <v>1939</v>
      </c>
      <c r="B894" t="s">
        <v>1939</v>
      </c>
      <c r="C894">
        <v>0</v>
      </c>
      <c r="D894">
        <v>2050</v>
      </c>
      <c r="E894" t="s">
        <v>2186</v>
      </c>
      <c r="F894" t="s">
        <v>57</v>
      </c>
      <c r="G894" t="s">
        <v>57</v>
      </c>
      <c r="H894" t="s">
        <v>2187</v>
      </c>
      <c r="I894"/>
      <c r="J894"/>
      <c r="K894"/>
      <c r="L894"/>
      <c r="M894"/>
      <c r="N894"/>
      <c r="O894"/>
      <c r="P894"/>
      <c r="Q894"/>
      <c r="R894"/>
      <c r="S894" s="56">
        <f t="shared" si="39"/>
        <v>5</v>
      </c>
      <c r="T894" s="57" t="str">
        <f t="shared" si="40"/>
        <v>4-30 Days</v>
      </c>
      <c r="U894" s="58" t="str">
        <f t="shared" si="41"/>
        <v>Not Applicable</v>
      </c>
    </row>
    <row r="895" spans="1:21" ht="23.25" customHeight="1" x14ac:dyDescent="0.35">
      <c r="A895" t="s">
        <v>1939</v>
      </c>
      <c r="B895" t="s">
        <v>1939</v>
      </c>
      <c r="C895">
        <v>0</v>
      </c>
      <c r="D895">
        <v>1012</v>
      </c>
      <c r="E895" t="s">
        <v>2188</v>
      </c>
      <c r="F895" t="s">
        <v>57</v>
      </c>
      <c r="G895" t="s">
        <v>57</v>
      </c>
      <c r="H895" t="s">
        <v>2189</v>
      </c>
      <c r="I895"/>
      <c r="J895"/>
      <c r="K895"/>
      <c r="L895"/>
      <c r="M895"/>
      <c r="N895"/>
      <c r="O895"/>
      <c r="P895"/>
      <c r="Q895"/>
      <c r="R895"/>
      <c r="S895" s="56">
        <f t="shared" si="39"/>
        <v>5</v>
      </c>
      <c r="T895" s="57" t="str">
        <f t="shared" si="40"/>
        <v>4-30 Days</v>
      </c>
      <c r="U895" s="58" t="str">
        <f t="shared" si="41"/>
        <v>Not Applicable</v>
      </c>
    </row>
    <row r="896" spans="1:21" ht="23.25" customHeight="1" x14ac:dyDescent="0.35">
      <c r="A896" t="s">
        <v>1939</v>
      </c>
      <c r="B896" t="s">
        <v>1939</v>
      </c>
      <c r="C896">
        <v>0</v>
      </c>
      <c r="D896">
        <v>652</v>
      </c>
      <c r="E896" t="s">
        <v>2190</v>
      </c>
      <c r="F896" t="s">
        <v>57</v>
      </c>
      <c r="G896" t="s">
        <v>57</v>
      </c>
      <c r="H896" t="s">
        <v>2191</v>
      </c>
      <c r="I896"/>
      <c r="J896"/>
      <c r="K896"/>
      <c r="L896"/>
      <c r="M896"/>
      <c r="N896"/>
      <c r="O896"/>
      <c r="P896"/>
      <c r="Q896"/>
      <c r="R896"/>
      <c r="S896" s="56">
        <f t="shared" si="39"/>
        <v>5</v>
      </c>
      <c r="T896" s="57" t="str">
        <f t="shared" si="40"/>
        <v>4-30 Days</v>
      </c>
      <c r="U896" s="58" t="str">
        <f t="shared" si="41"/>
        <v>Not Applicable</v>
      </c>
    </row>
    <row r="897" spans="1:21" ht="23.25" customHeight="1" x14ac:dyDescent="0.35">
      <c r="A897" t="s">
        <v>1939</v>
      </c>
      <c r="B897" t="s">
        <v>1939</v>
      </c>
      <c r="C897">
        <v>0</v>
      </c>
      <c r="D897">
        <v>1000</v>
      </c>
      <c r="E897" t="s">
        <v>2192</v>
      </c>
      <c r="F897" t="s">
        <v>57</v>
      </c>
      <c r="G897" t="s">
        <v>57</v>
      </c>
      <c r="H897" t="s">
        <v>2193</v>
      </c>
      <c r="I897"/>
      <c r="J897"/>
      <c r="K897"/>
      <c r="L897"/>
      <c r="M897"/>
      <c r="N897"/>
      <c r="O897"/>
      <c r="P897"/>
      <c r="Q897"/>
      <c r="R897"/>
      <c r="S897" s="56">
        <f t="shared" si="39"/>
        <v>5</v>
      </c>
      <c r="T897" s="57" t="str">
        <f t="shared" si="40"/>
        <v>4-30 Days</v>
      </c>
      <c r="U897" s="58" t="str">
        <f t="shared" si="41"/>
        <v>Not Applicable</v>
      </c>
    </row>
    <row r="898" spans="1:21" ht="23.25" customHeight="1" x14ac:dyDescent="0.35">
      <c r="A898" t="s">
        <v>1939</v>
      </c>
      <c r="B898" t="s">
        <v>1939</v>
      </c>
      <c r="C898">
        <v>2050</v>
      </c>
      <c r="D898">
        <v>0</v>
      </c>
      <c r="E898" t="s">
        <v>2194</v>
      </c>
      <c r="F898" t="s">
        <v>57</v>
      </c>
      <c r="G898" t="s">
        <v>57</v>
      </c>
      <c r="H898" t="s">
        <v>2195</v>
      </c>
      <c r="I898"/>
      <c r="J898"/>
      <c r="K898"/>
      <c r="L898"/>
      <c r="M898"/>
      <c r="N898"/>
      <c r="O898"/>
      <c r="P898"/>
      <c r="Q898"/>
      <c r="R898"/>
      <c r="S898" s="56">
        <f t="shared" si="39"/>
        <v>5</v>
      </c>
      <c r="T898" s="57" t="str">
        <f t="shared" si="40"/>
        <v>4-30 Days</v>
      </c>
      <c r="U898" s="58" t="str">
        <f t="shared" si="41"/>
        <v>Normal</v>
      </c>
    </row>
    <row r="899" spans="1:21" ht="23.25" customHeight="1" x14ac:dyDescent="0.35">
      <c r="A899" t="s">
        <v>1939</v>
      </c>
      <c r="B899" t="s">
        <v>1939</v>
      </c>
      <c r="C899">
        <v>3776</v>
      </c>
      <c r="D899">
        <v>0</v>
      </c>
      <c r="E899" t="s">
        <v>2196</v>
      </c>
      <c r="F899" t="s">
        <v>57</v>
      </c>
      <c r="G899" t="s">
        <v>57</v>
      </c>
      <c r="H899" t="s">
        <v>2197</v>
      </c>
      <c r="I899"/>
      <c r="J899"/>
      <c r="K899"/>
      <c r="L899"/>
      <c r="M899"/>
      <c r="N899"/>
      <c r="O899"/>
      <c r="P899"/>
      <c r="Q899"/>
      <c r="R899"/>
      <c r="S899" s="56">
        <f t="shared" si="39"/>
        <v>5</v>
      </c>
      <c r="T899" s="57" t="str">
        <f t="shared" si="40"/>
        <v>4-30 Days</v>
      </c>
      <c r="U899" s="58" t="str">
        <f t="shared" si="41"/>
        <v>Normal</v>
      </c>
    </row>
    <row r="900" spans="1:21" ht="23.25" customHeight="1" x14ac:dyDescent="0.35">
      <c r="A900" t="s">
        <v>1939</v>
      </c>
      <c r="B900" t="s">
        <v>1939</v>
      </c>
      <c r="C900">
        <v>0</v>
      </c>
      <c r="D900">
        <v>2050</v>
      </c>
      <c r="E900" t="s">
        <v>2198</v>
      </c>
      <c r="F900" t="s">
        <v>57</v>
      </c>
      <c r="G900" t="s">
        <v>57</v>
      </c>
      <c r="H900" t="s">
        <v>2199</v>
      </c>
      <c r="I900"/>
      <c r="J900"/>
      <c r="K900"/>
      <c r="L900"/>
      <c r="M900"/>
      <c r="N900"/>
      <c r="O900"/>
      <c r="P900"/>
      <c r="Q900"/>
      <c r="R900"/>
      <c r="S900" s="56">
        <f t="shared" si="39"/>
        <v>5</v>
      </c>
      <c r="T900" s="57" t="str">
        <f t="shared" si="40"/>
        <v>4-30 Days</v>
      </c>
      <c r="U900" s="58" t="str">
        <f t="shared" si="41"/>
        <v>Not Applicable</v>
      </c>
    </row>
    <row r="901" spans="1:21" ht="23.25" customHeight="1" x14ac:dyDescent="0.35">
      <c r="A901" t="s">
        <v>1939</v>
      </c>
      <c r="B901" t="s">
        <v>1939</v>
      </c>
      <c r="C901">
        <v>0</v>
      </c>
      <c r="D901">
        <v>244</v>
      </c>
      <c r="E901" t="s">
        <v>2200</v>
      </c>
      <c r="F901" t="s">
        <v>57</v>
      </c>
      <c r="G901" t="s">
        <v>57</v>
      </c>
      <c r="H901" t="s">
        <v>2201</v>
      </c>
      <c r="I901"/>
      <c r="J901"/>
      <c r="K901"/>
      <c r="L901"/>
      <c r="M901"/>
      <c r="N901"/>
      <c r="O901"/>
      <c r="P901"/>
      <c r="Q901"/>
      <c r="R901"/>
      <c r="S901" s="56">
        <f t="shared" si="39"/>
        <v>5</v>
      </c>
      <c r="T901" s="57" t="str">
        <f t="shared" si="40"/>
        <v>4-30 Days</v>
      </c>
      <c r="U901" s="58" t="str">
        <f t="shared" si="41"/>
        <v>Not Applicable</v>
      </c>
    </row>
    <row r="902" spans="1:21" ht="23.25" customHeight="1" x14ac:dyDescent="0.35">
      <c r="A902" t="s">
        <v>1939</v>
      </c>
      <c r="B902" t="s">
        <v>1939</v>
      </c>
      <c r="C902">
        <v>0</v>
      </c>
      <c r="D902">
        <v>2050</v>
      </c>
      <c r="E902" t="s">
        <v>2202</v>
      </c>
      <c r="F902" t="s">
        <v>57</v>
      </c>
      <c r="G902" t="s">
        <v>57</v>
      </c>
      <c r="H902" t="s">
        <v>2203</v>
      </c>
      <c r="I902"/>
      <c r="J902"/>
      <c r="K902"/>
      <c r="L902"/>
      <c r="M902"/>
      <c r="N902"/>
      <c r="O902"/>
      <c r="P902"/>
      <c r="Q902"/>
      <c r="R902"/>
      <c r="S902" s="56">
        <f t="shared" si="39"/>
        <v>5</v>
      </c>
      <c r="T902" s="57" t="str">
        <f t="shared" si="40"/>
        <v>4-30 Days</v>
      </c>
      <c r="U902" s="58" t="str">
        <f t="shared" si="41"/>
        <v>Not Applicable</v>
      </c>
    </row>
    <row r="903" spans="1:21" ht="23.25" customHeight="1" x14ac:dyDescent="0.35">
      <c r="A903" t="s">
        <v>1939</v>
      </c>
      <c r="B903" t="s">
        <v>1939</v>
      </c>
      <c r="C903">
        <v>0</v>
      </c>
      <c r="D903">
        <v>2050</v>
      </c>
      <c r="E903" t="s">
        <v>2204</v>
      </c>
      <c r="F903" t="s">
        <v>57</v>
      </c>
      <c r="G903" t="s">
        <v>57</v>
      </c>
      <c r="H903" t="s">
        <v>2205</v>
      </c>
      <c r="I903"/>
      <c r="J903"/>
      <c r="K903"/>
      <c r="L903"/>
      <c r="M903"/>
      <c r="N903"/>
      <c r="O903"/>
      <c r="P903"/>
      <c r="Q903"/>
      <c r="R903"/>
      <c r="S903" s="56">
        <f t="shared" si="39"/>
        <v>5</v>
      </c>
      <c r="T903" s="57" t="str">
        <f t="shared" si="40"/>
        <v>4-30 Days</v>
      </c>
      <c r="U903" s="58" t="str">
        <f t="shared" si="41"/>
        <v>Not Applicable</v>
      </c>
    </row>
    <row r="904" spans="1:21" ht="23.25" customHeight="1" x14ac:dyDescent="0.35">
      <c r="A904" t="s">
        <v>1939</v>
      </c>
      <c r="B904" t="s">
        <v>1939</v>
      </c>
      <c r="C904">
        <v>0</v>
      </c>
      <c r="D904">
        <v>1000</v>
      </c>
      <c r="E904" t="s">
        <v>2206</v>
      </c>
      <c r="F904" t="s">
        <v>57</v>
      </c>
      <c r="G904" t="s">
        <v>57</v>
      </c>
      <c r="H904" t="s">
        <v>2207</v>
      </c>
      <c r="I904"/>
      <c r="J904"/>
      <c r="K904"/>
      <c r="L904"/>
      <c r="M904"/>
      <c r="N904"/>
      <c r="O904"/>
      <c r="P904"/>
      <c r="Q904"/>
      <c r="R904"/>
      <c r="S904" s="56">
        <f t="shared" si="39"/>
        <v>5</v>
      </c>
      <c r="T904" s="57" t="str">
        <f t="shared" si="40"/>
        <v>4-30 Days</v>
      </c>
      <c r="U904" s="58" t="str">
        <f t="shared" si="41"/>
        <v>Not Applicable</v>
      </c>
    </row>
    <row r="905" spans="1:21" ht="23.25" customHeight="1" x14ac:dyDescent="0.35">
      <c r="A905" t="s">
        <v>1939</v>
      </c>
      <c r="B905" t="s">
        <v>1939</v>
      </c>
      <c r="C905">
        <v>0</v>
      </c>
      <c r="D905">
        <v>1000</v>
      </c>
      <c r="E905" t="s">
        <v>2208</v>
      </c>
      <c r="F905" t="s">
        <v>57</v>
      </c>
      <c r="G905" t="s">
        <v>57</v>
      </c>
      <c r="H905" t="s">
        <v>2209</v>
      </c>
      <c r="I905"/>
      <c r="J905"/>
      <c r="K905"/>
      <c r="L905"/>
      <c r="M905"/>
      <c r="N905"/>
      <c r="O905"/>
      <c r="P905"/>
      <c r="Q905"/>
      <c r="R905"/>
      <c r="S905" s="56">
        <f t="shared" ref="S905:S968" si="42">IF(A905="","",A$5-A905)</f>
        <v>5</v>
      </c>
      <c r="T905" s="57" t="str">
        <f t="shared" ref="T905:T968" si="43">IF(S905="","",IF(S905&lt;4,"0-3 Days",IF(S905&lt;31,"4-30 Days",IF(S905&lt;61,"31-60 Days",IF(S905&lt;=90,"61-90 Days",IF(S905&gt;90,"Above 90 Days","0"))))))</f>
        <v>4-30 Days</v>
      </c>
      <c r="U905" s="58" t="str">
        <f t="shared" ref="U905:U968" si="44">IF(C905="","",IF(C905&gt;0,IF(S905&lt;30,"Normal",IF(S905&lt;60,"Especially Mentioned",IF(S905&lt;90,"Substandard",IF(S905&lt;=180,"Doubtful",IF(S905&gt;180,"Loss","0"))))),"Not Applicable"))</f>
        <v>Not Applicable</v>
      </c>
    </row>
    <row r="906" spans="1:21" ht="23.25" customHeight="1" x14ac:dyDescent="0.35">
      <c r="A906" t="s">
        <v>1939</v>
      </c>
      <c r="B906" t="s">
        <v>1939</v>
      </c>
      <c r="C906">
        <v>828</v>
      </c>
      <c r="D906">
        <v>0</v>
      </c>
      <c r="E906" t="s">
        <v>2210</v>
      </c>
      <c r="F906" t="s">
        <v>57</v>
      </c>
      <c r="G906" t="s">
        <v>57</v>
      </c>
      <c r="H906" t="s">
        <v>2211</v>
      </c>
      <c r="I906"/>
      <c r="J906"/>
      <c r="K906"/>
      <c r="L906"/>
      <c r="M906"/>
      <c r="N906"/>
      <c r="O906"/>
      <c r="P906"/>
      <c r="Q906"/>
      <c r="R906"/>
      <c r="S906" s="56">
        <f t="shared" si="42"/>
        <v>5</v>
      </c>
      <c r="T906" s="57" t="str">
        <f t="shared" si="43"/>
        <v>4-30 Days</v>
      </c>
      <c r="U906" s="58" t="str">
        <f t="shared" si="44"/>
        <v>Normal</v>
      </c>
    </row>
    <row r="907" spans="1:21" ht="23.25" customHeight="1" x14ac:dyDescent="0.35">
      <c r="A907" t="s">
        <v>1939</v>
      </c>
      <c r="B907" t="s">
        <v>1939</v>
      </c>
      <c r="C907">
        <v>0</v>
      </c>
      <c r="D907">
        <v>2050</v>
      </c>
      <c r="E907" t="s">
        <v>2212</v>
      </c>
      <c r="F907" t="s">
        <v>57</v>
      </c>
      <c r="G907" t="s">
        <v>57</v>
      </c>
      <c r="H907" t="s">
        <v>2213</v>
      </c>
      <c r="I907"/>
      <c r="J907"/>
      <c r="K907"/>
      <c r="L907"/>
      <c r="M907"/>
      <c r="N907"/>
      <c r="O907"/>
      <c r="P907"/>
      <c r="Q907"/>
      <c r="R907"/>
      <c r="S907" s="56">
        <f t="shared" si="42"/>
        <v>5</v>
      </c>
      <c r="T907" s="57" t="str">
        <f t="shared" si="43"/>
        <v>4-30 Days</v>
      </c>
      <c r="U907" s="58" t="str">
        <f t="shared" si="44"/>
        <v>Not Applicable</v>
      </c>
    </row>
    <row r="908" spans="1:21" ht="23.25" customHeight="1" x14ac:dyDescent="0.35">
      <c r="A908" t="s">
        <v>1939</v>
      </c>
      <c r="B908" t="s">
        <v>1939</v>
      </c>
      <c r="C908">
        <v>0</v>
      </c>
      <c r="D908">
        <v>250</v>
      </c>
      <c r="E908" t="s">
        <v>2214</v>
      </c>
      <c r="F908" t="s">
        <v>57</v>
      </c>
      <c r="G908" t="s">
        <v>57</v>
      </c>
      <c r="H908" t="s">
        <v>2215</v>
      </c>
      <c r="I908"/>
      <c r="J908"/>
      <c r="K908"/>
      <c r="L908"/>
      <c r="M908"/>
      <c r="N908"/>
      <c r="O908"/>
      <c r="P908"/>
      <c r="Q908"/>
      <c r="R908"/>
      <c r="S908" s="56">
        <f t="shared" si="42"/>
        <v>5</v>
      </c>
      <c r="T908" s="57" t="str">
        <f t="shared" si="43"/>
        <v>4-30 Days</v>
      </c>
      <c r="U908" s="58" t="str">
        <f t="shared" si="44"/>
        <v>Not Applicable</v>
      </c>
    </row>
    <row r="909" spans="1:21" ht="23.25" customHeight="1" x14ac:dyDescent="0.35">
      <c r="A909" t="s">
        <v>1939</v>
      </c>
      <c r="B909" t="s">
        <v>1939</v>
      </c>
      <c r="C909">
        <v>0</v>
      </c>
      <c r="D909">
        <v>250</v>
      </c>
      <c r="E909" t="s">
        <v>2216</v>
      </c>
      <c r="F909" t="s">
        <v>57</v>
      </c>
      <c r="G909" t="s">
        <v>57</v>
      </c>
      <c r="H909" t="s">
        <v>2217</v>
      </c>
      <c r="I909"/>
      <c r="J909"/>
      <c r="K909"/>
      <c r="L909"/>
      <c r="M909"/>
      <c r="N909"/>
      <c r="O909"/>
      <c r="P909"/>
      <c r="Q909"/>
      <c r="R909"/>
      <c r="S909" s="56">
        <f t="shared" si="42"/>
        <v>5</v>
      </c>
      <c r="T909" s="57" t="str">
        <f t="shared" si="43"/>
        <v>4-30 Days</v>
      </c>
      <c r="U909" s="58" t="str">
        <f t="shared" si="44"/>
        <v>Not Applicable</v>
      </c>
    </row>
    <row r="910" spans="1:21" ht="23.25" customHeight="1" x14ac:dyDescent="0.35">
      <c r="A910" t="s">
        <v>1939</v>
      </c>
      <c r="B910" t="s">
        <v>1939</v>
      </c>
      <c r="C910">
        <v>0</v>
      </c>
      <c r="D910">
        <v>1000</v>
      </c>
      <c r="E910" t="s">
        <v>2218</v>
      </c>
      <c r="F910" t="s">
        <v>57</v>
      </c>
      <c r="G910" t="s">
        <v>57</v>
      </c>
      <c r="H910" t="s">
        <v>2219</v>
      </c>
      <c r="I910"/>
      <c r="J910"/>
      <c r="K910"/>
      <c r="L910"/>
      <c r="M910"/>
      <c r="N910"/>
      <c r="O910"/>
      <c r="P910"/>
      <c r="Q910"/>
      <c r="R910"/>
      <c r="S910" s="56">
        <f t="shared" si="42"/>
        <v>5</v>
      </c>
      <c r="T910" s="57" t="str">
        <f t="shared" si="43"/>
        <v>4-30 Days</v>
      </c>
      <c r="U910" s="58" t="str">
        <f t="shared" si="44"/>
        <v>Not Applicable</v>
      </c>
    </row>
    <row r="911" spans="1:21" ht="23.25" customHeight="1" x14ac:dyDescent="0.35">
      <c r="A911" t="s">
        <v>1939</v>
      </c>
      <c r="B911" t="s">
        <v>1939</v>
      </c>
      <c r="C911">
        <v>0</v>
      </c>
      <c r="D911">
        <v>2050</v>
      </c>
      <c r="E911" t="s">
        <v>2220</v>
      </c>
      <c r="F911" t="s">
        <v>57</v>
      </c>
      <c r="G911" t="s">
        <v>57</v>
      </c>
      <c r="H911" t="s">
        <v>2221</v>
      </c>
      <c r="I911"/>
      <c r="J911"/>
      <c r="K911"/>
      <c r="L911"/>
      <c r="M911"/>
      <c r="N911"/>
      <c r="O911"/>
      <c r="P911"/>
      <c r="Q911"/>
      <c r="R911"/>
      <c r="S911" s="56">
        <f t="shared" si="42"/>
        <v>5</v>
      </c>
      <c r="T911" s="57" t="str">
        <f t="shared" si="43"/>
        <v>4-30 Days</v>
      </c>
      <c r="U911" s="58" t="str">
        <f t="shared" si="44"/>
        <v>Not Applicable</v>
      </c>
    </row>
    <row r="912" spans="1:21" ht="23.25" customHeight="1" x14ac:dyDescent="0.35">
      <c r="A912" t="s">
        <v>1939</v>
      </c>
      <c r="B912" t="s">
        <v>1939</v>
      </c>
      <c r="C912">
        <v>0</v>
      </c>
      <c r="D912">
        <v>2050</v>
      </c>
      <c r="E912" t="s">
        <v>2222</v>
      </c>
      <c r="F912" t="s">
        <v>57</v>
      </c>
      <c r="G912" t="s">
        <v>57</v>
      </c>
      <c r="H912" t="s">
        <v>2223</v>
      </c>
      <c r="I912"/>
      <c r="J912"/>
      <c r="K912"/>
      <c r="L912"/>
      <c r="M912"/>
      <c r="N912"/>
      <c r="O912"/>
      <c r="P912"/>
      <c r="Q912"/>
      <c r="R912"/>
      <c r="S912" s="56">
        <f t="shared" si="42"/>
        <v>5</v>
      </c>
      <c r="T912" s="57" t="str">
        <f t="shared" si="43"/>
        <v>4-30 Days</v>
      </c>
      <c r="U912" s="58" t="str">
        <f t="shared" si="44"/>
        <v>Not Applicable</v>
      </c>
    </row>
    <row r="913" spans="1:21" ht="23.25" customHeight="1" x14ac:dyDescent="0.35">
      <c r="A913" t="s">
        <v>1939</v>
      </c>
      <c r="B913" t="s">
        <v>1939</v>
      </c>
      <c r="C913">
        <v>0</v>
      </c>
      <c r="D913">
        <v>2050</v>
      </c>
      <c r="E913" t="s">
        <v>2224</v>
      </c>
      <c r="F913" t="s">
        <v>57</v>
      </c>
      <c r="G913" t="s">
        <v>57</v>
      </c>
      <c r="H913" t="s">
        <v>2225</v>
      </c>
      <c r="I913"/>
      <c r="J913"/>
      <c r="K913"/>
      <c r="L913"/>
      <c r="M913"/>
      <c r="N913"/>
      <c r="O913"/>
      <c r="P913"/>
      <c r="Q913"/>
      <c r="R913"/>
      <c r="S913" s="56">
        <f t="shared" si="42"/>
        <v>5</v>
      </c>
      <c r="T913" s="57" t="str">
        <f t="shared" si="43"/>
        <v>4-30 Days</v>
      </c>
      <c r="U913" s="58" t="str">
        <f t="shared" si="44"/>
        <v>Not Applicable</v>
      </c>
    </row>
    <row r="914" spans="1:21" ht="23.25" customHeight="1" x14ac:dyDescent="0.35">
      <c r="A914" t="s">
        <v>2226</v>
      </c>
      <c r="B914" t="s">
        <v>2226</v>
      </c>
      <c r="C914">
        <v>47302.71</v>
      </c>
      <c r="D914">
        <v>0</v>
      </c>
      <c r="E914" t="s">
        <v>2227</v>
      </c>
      <c r="F914" t="s">
        <v>57</v>
      </c>
      <c r="G914" t="s">
        <v>57</v>
      </c>
      <c r="H914" t="s">
        <v>2228</v>
      </c>
      <c r="I914"/>
      <c r="J914"/>
      <c r="K914"/>
      <c r="L914"/>
      <c r="M914"/>
      <c r="N914"/>
      <c r="O914"/>
      <c r="P914"/>
      <c r="Q914"/>
      <c r="R914"/>
      <c r="S914" s="56">
        <f t="shared" si="42"/>
        <v>4</v>
      </c>
      <c r="T914" s="57" t="str">
        <f t="shared" si="43"/>
        <v>4-30 Days</v>
      </c>
      <c r="U914" s="58" t="str">
        <f t="shared" si="44"/>
        <v>Normal</v>
      </c>
    </row>
    <row r="915" spans="1:21" ht="23.25" customHeight="1" x14ac:dyDescent="0.35">
      <c r="A915" t="s">
        <v>2226</v>
      </c>
      <c r="B915" t="s">
        <v>2226</v>
      </c>
      <c r="C915">
        <v>55622</v>
      </c>
      <c r="D915">
        <v>0</v>
      </c>
      <c r="E915" t="s">
        <v>2229</v>
      </c>
      <c r="F915" t="s">
        <v>57</v>
      </c>
      <c r="G915" t="s">
        <v>57</v>
      </c>
      <c r="H915" t="s">
        <v>2230</v>
      </c>
      <c r="I915"/>
      <c r="J915"/>
      <c r="K915"/>
      <c r="L915"/>
      <c r="M915"/>
      <c r="N915"/>
      <c r="O915"/>
      <c r="P915"/>
      <c r="Q915"/>
      <c r="R915"/>
      <c r="S915" s="56">
        <f t="shared" si="42"/>
        <v>4</v>
      </c>
      <c r="T915" s="57" t="str">
        <f t="shared" si="43"/>
        <v>4-30 Days</v>
      </c>
      <c r="U915" s="58" t="str">
        <f t="shared" si="44"/>
        <v>Normal</v>
      </c>
    </row>
    <row r="916" spans="1:21" ht="23.25" customHeight="1" x14ac:dyDescent="0.35">
      <c r="A916" t="s">
        <v>2226</v>
      </c>
      <c r="B916" t="s">
        <v>2226</v>
      </c>
      <c r="C916">
        <v>0</v>
      </c>
      <c r="D916">
        <v>100000</v>
      </c>
      <c r="E916" t="s">
        <v>2231</v>
      </c>
      <c r="F916" t="s">
        <v>57</v>
      </c>
      <c r="G916" t="s">
        <v>57</v>
      </c>
      <c r="H916" t="s">
        <v>2232</v>
      </c>
      <c r="I916"/>
      <c r="J916"/>
      <c r="K916"/>
      <c r="L916"/>
      <c r="M916"/>
      <c r="N916"/>
      <c r="O916"/>
      <c r="P916"/>
      <c r="Q916"/>
      <c r="R916"/>
      <c r="S916" s="56">
        <f t="shared" si="42"/>
        <v>4</v>
      </c>
      <c r="T916" s="57" t="str">
        <f t="shared" si="43"/>
        <v>4-30 Days</v>
      </c>
      <c r="U916" s="58" t="str">
        <f t="shared" si="44"/>
        <v>Not Applicable</v>
      </c>
    </row>
    <row r="917" spans="1:21" ht="23.25" customHeight="1" x14ac:dyDescent="0.35">
      <c r="A917" t="s">
        <v>2226</v>
      </c>
      <c r="B917" t="s">
        <v>2226</v>
      </c>
      <c r="C917">
        <v>303.41000000000003</v>
      </c>
      <c r="D917">
        <v>0</v>
      </c>
      <c r="E917" t="s">
        <v>2233</v>
      </c>
      <c r="F917" t="s">
        <v>57</v>
      </c>
      <c r="G917" t="s">
        <v>57</v>
      </c>
      <c r="H917" t="s">
        <v>2234</v>
      </c>
      <c r="I917"/>
      <c r="J917"/>
      <c r="K917"/>
      <c r="L917"/>
      <c r="M917"/>
      <c r="N917"/>
      <c r="O917"/>
      <c r="P917"/>
      <c r="Q917"/>
      <c r="R917"/>
      <c r="S917" s="56">
        <f t="shared" si="42"/>
        <v>4</v>
      </c>
      <c r="T917" s="57" t="str">
        <f t="shared" si="43"/>
        <v>4-30 Days</v>
      </c>
      <c r="U917" s="58" t="str">
        <f t="shared" si="44"/>
        <v>Normal</v>
      </c>
    </row>
    <row r="918" spans="1:21" ht="23.25" customHeight="1" x14ac:dyDescent="0.35">
      <c r="A918" t="s">
        <v>2226</v>
      </c>
      <c r="B918" t="s">
        <v>2226</v>
      </c>
      <c r="C918">
        <v>100000</v>
      </c>
      <c r="D918">
        <v>0</v>
      </c>
      <c r="E918" t="s">
        <v>2235</v>
      </c>
      <c r="F918" t="s">
        <v>57</v>
      </c>
      <c r="G918" t="s">
        <v>57</v>
      </c>
      <c r="H918" t="s">
        <v>2236</v>
      </c>
      <c r="I918"/>
      <c r="J918"/>
      <c r="K918"/>
      <c r="L918"/>
      <c r="M918"/>
      <c r="N918"/>
      <c r="O918"/>
      <c r="P918"/>
      <c r="Q918"/>
      <c r="R918"/>
      <c r="S918" s="56">
        <f t="shared" si="42"/>
        <v>4</v>
      </c>
      <c r="T918" s="57" t="str">
        <f t="shared" si="43"/>
        <v>4-30 Days</v>
      </c>
      <c r="U918" s="58" t="str">
        <f t="shared" si="44"/>
        <v>Normal</v>
      </c>
    </row>
    <row r="919" spans="1:21" ht="23.25" customHeight="1" x14ac:dyDescent="0.35">
      <c r="A919" t="s">
        <v>2226</v>
      </c>
      <c r="B919" t="s">
        <v>2226</v>
      </c>
      <c r="C919">
        <v>3330000</v>
      </c>
      <c r="D919">
        <v>0</v>
      </c>
      <c r="E919" t="s">
        <v>2237</v>
      </c>
      <c r="F919" t="s">
        <v>57</v>
      </c>
      <c r="G919" t="s">
        <v>57</v>
      </c>
      <c r="H919" t="s">
        <v>2238</v>
      </c>
      <c r="I919"/>
      <c r="J919"/>
      <c r="K919"/>
      <c r="L919"/>
      <c r="M919"/>
      <c r="N919"/>
      <c r="O919"/>
      <c r="P919"/>
      <c r="Q919"/>
      <c r="R919"/>
      <c r="S919" s="56">
        <f t="shared" si="42"/>
        <v>4</v>
      </c>
      <c r="T919" s="57" t="str">
        <f t="shared" si="43"/>
        <v>4-30 Days</v>
      </c>
      <c r="U919" s="58" t="str">
        <f t="shared" si="44"/>
        <v>Normal</v>
      </c>
    </row>
    <row r="920" spans="1:21" ht="23.25" customHeight="1" x14ac:dyDescent="0.35">
      <c r="A920" t="s">
        <v>2226</v>
      </c>
      <c r="B920" t="s">
        <v>2226</v>
      </c>
      <c r="C920">
        <v>1820</v>
      </c>
      <c r="D920">
        <v>0</v>
      </c>
      <c r="E920" t="s">
        <v>2239</v>
      </c>
      <c r="F920" t="s">
        <v>57</v>
      </c>
      <c r="G920" t="s">
        <v>57</v>
      </c>
      <c r="H920" t="s">
        <v>2240</v>
      </c>
      <c r="I920"/>
      <c r="J920"/>
      <c r="K920"/>
      <c r="L920"/>
      <c r="M920"/>
      <c r="N920"/>
      <c r="O920"/>
      <c r="P920"/>
      <c r="Q920"/>
      <c r="R920"/>
      <c r="S920" s="56">
        <f t="shared" si="42"/>
        <v>4</v>
      </c>
      <c r="T920" s="57" t="str">
        <f t="shared" si="43"/>
        <v>4-30 Days</v>
      </c>
      <c r="U920" s="58" t="str">
        <f t="shared" si="44"/>
        <v>Normal</v>
      </c>
    </row>
    <row r="921" spans="1:21" ht="23.25" customHeight="1" x14ac:dyDescent="0.35">
      <c r="A921" t="s">
        <v>2226</v>
      </c>
      <c r="B921" t="s">
        <v>2226</v>
      </c>
      <c r="C921">
        <v>318706.06</v>
      </c>
      <c r="D921">
        <v>0</v>
      </c>
      <c r="E921" t="s">
        <v>2241</v>
      </c>
      <c r="F921" t="s">
        <v>57</v>
      </c>
      <c r="G921" t="s">
        <v>57</v>
      </c>
      <c r="H921" t="s">
        <v>2242</v>
      </c>
      <c r="I921"/>
      <c r="J921"/>
      <c r="K921"/>
      <c r="L921"/>
      <c r="M921"/>
      <c r="N921"/>
      <c r="O921"/>
      <c r="P921"/>
      <c r="Q921"/>
      <c r="R921"/>
      <c r="S921" s="56">
        <f t="shared" si="42"/>
        <v>4</v>
      </c>
      <c r="T921" s="57" t="str">
        <f t="shared" si="43"/>
        <v>4-30 Days</v>
      </c>
      <c r="U921" s="58" t="str">
        <f t="shared" si="44"/>
        <v>Normal</v>
      </c>
    </row>
    <row r="922" spans="1:21" ht="23.25" customHeight="1" x14ac:dyDescent="0.35">
      <c r="A922" t="s">
        <v>2226</v>
      </c>
      <c r="B922" t="s">
        <v>2226</v>
      </c>
      <c r="C922">
        <v>1200</v>
      </c>
      <c r="D922">
        <v>0</v>
      </c>
      <c r="E922" t="s">
        <v>2243</v>
      </c>
      <c r="F922" t="s">
        <v>57</v>
      </c>
      <c r="G922" t="s">
        <v>57</v>
      </c>
      <c r="H922" t="s">
        <v>2244</v>
      </c>
      <c r="I922"/>
      <c r="J922"/>
      <c r="K922"/>
      <c r="L922"/>
      <c r="M922"/>
      <c r="N922"/>
      <c r="O922"/>
      <c r="P922"/>
      <c r="Q922"/>
      <c r="R922"/>
      <c r="S922" s="56">
        <f t="shared" si="42"/>
        <v>4</v>
      </c>
      <c r="T922" s="57" t="str">
        <f t="shared" si="43"/>
        <v>4-30 Days</v>
      </c>
      <c r="U922" s="58" t="str">
        <f t="shared" si="44"/>
        <v>Normal</v>
      </c>
    </row>
    <row r="923" spans="1:21" ht="23.25" customHeight="1" x14ac:dyDescent="0.35">
      <c r="A923" t="s">
        <v>2226</v>
      </c>
      <c r="B923" t="s">
        <v>2226</v>
      </c>
      <c r="C923">
        <v>0</v>
      </c>
      <c r="D923">
        <v>3800000</v>
      </c>
      <c r="E923" t="s">
        <v>2245</v>
      </c>
      <c r="F923" t="s">
        <v>57</v>
      </c>
      <c r="G923" t="s">
        <v>57</v>
      </c>
      <c r="H923" t="s">
        <v>2246</v>
      </c>
      <c r="I923"/>
      <c r="J923"/>
      <c r="K923"/>
      <c r="L923"/>
      <c r="M923"/>
      <c r="N923"/>
      <c r="O923"/>
      <c r="P923"/>
      <c r="Q923"/>
      <c r="R923"/>
      <c r="S923" s="56">
        <f t="shared" si="42"/>
        <v>4</v>
      </c>
      <c r="T923" s="57" t="str">
        <f t="shared" si="43"/>
        <v>4-30 Days</v>
      </c>
      <c r="U923" s="58" t="str">
        <f t="shared" si="44"/>
        <v>Not Applicable</v>
      </c>
    </row>
    <row r="924" spans="1:21" ht="23.25" customHeight="1" x14ac:dyDescent="0.35">
      <c r="A924" t="s">
        <v>2226</v>
      </c>
      <c r="B924" t="s">
        <v>2226</v>
      </c>
      <c r="C924">
        <v>0</v>
      </c>
      <c r="D924">
        <v>15000</v>
      </c>
      <c r="E924" t="s">
        <v>2247</v>
      </c>
      <c r="F924" t="s">
        <v>2248</v>
      </c>
      <c r="G924" t="s">
        <v>2249</v>
      </c>
      <c r="H924" t="s">
        <v>2250</v>
      </c>
      <c r="I924"/>
      <c r="J924" t="s">
        <v>2248</v>
      </c>
      <c r="K924"/>
      <c r="L924"/>
      <c r="M924" t="s">
        <v>2251</v>
      </c>
      <c r="N924"/>
      <c r="O924"/>
      <c r="P924"/>
      <c r="Q924" t="s">
        <v>2252</v>
      </c>
      <c r="R924"/>
      <c r="S924" s="56">
        <f t="shared" si="42"/>
        <v>4</v>
      </c>
      <c r="T924" s="57" t="str">
        <f t="shared" si="43"/>
        <v>4-30 Days</v>
      </c>
      <c r="U924" s="58" t="str">
        <f t="shared" si="44"/>
        <v>Not Applicable</v>
      </c>
    </row>
    <row r="925" spans="1:21" ht="23.25" customHeight="1" x14ac:dyDescent="0.35">
      <c r="A925" t="s">
        <v>2226</v>
      </c>
      <c r="B925" t="s">
        <v>2226</v>
      </c>
      <c r="C925">
        <v>800</v>
      </c>
      <c r="D925">
        <v>0</v>
      </c>
      <c r="E925" t="s">
        <v>2253</v>
      </c>
      <c r="F925" t="s">
        <v>57</v>
      </c>
      <c r="G925" t="s">
        <v>57</v>
      </c>
      <c r="H925" t="s">
        <v>2254</v>
      </c>
      <c r="I925"/>
      <c r="J925"/>
      <c r="K925"/>
      <c r="L925"/>
      <c r="M925"/>
      <c r="N925"/>
      <c r="O925"/>
      <c r="P925"/>
      <c r="Q925"/>
      <c r="R925"/>
      <c r="S925" s="56">
        <f t="shared" si="42"/>
        <v>4</v>
      </c>
      <c r="T925" s="57" t="str">
        <f t="shared" si="43"/>
        <v>4-30 Days</v>
      </c>
      <c r="U925" s="58" t="str">
        <f t="shared" si="44"/>
        <v>Normal</v>
      </c>
    </row>
    <row r="926" spans="1:21" ht="23.25" customHeight="1" x14ac:dyDescent="0.35">
      <c r="A926" t="s">
        <v>2226</v>
      </c>
      <c r="B926" t="s">
        <v>2226</v>
      </c>
      <c r="C926">
        <v>0</v>
      </c>
      <c r="D926">
        <v>10000000</v>
      </c>
      <c r="E926" t="s">
        <v>2255</v>
      </c>
      <c r="F926" t="s">
        <v>57</v>
      </c>
      <c r="G926" t="s">
        <v>57</v>
      </c>
      <c r="H926" t="s">
        <v>2256</v>
      </c>
      <c r="I926"/>
      <c r="J926"/>
      <c r="K926"/>
      <c r="L926"/>
      <c r="M926"/>
      <c r="N926"/>
      <c r="O926"/>
      <c r="P926"/>
      <c r="Q926"/>
      <c r="R926"/>
      <c r="S926" s="56">
        <f t="shared" si="42"/>
        <v>4</v>
      </c>
      <c r="T926" s="57" t="str">
        <f t="shared" si="43"/>
        <v>4-30 Days</v>
      </c>
      <c r="U926" s="58" t="str">
        <f t="shared" si="44"/>
        <v>Not Applicable</v>
      </c>
    </row>
    <row r="927" spans="1:21" ht="23.25" customHeight="1" x14ac:dyDescent="0.35">
      <c r="A927" t="s">
        <v>2226</v>
      </c>
      <c r="B927" t="s">
        <v>2226</v>
      </c>
      <c r="C927">
        <v>2000</v>
      </c>
      <c r="D927">
        <v>0</v>
      </c>
      <c r="E927" t="s">
        <v>2257</v>
      </c>
      <c r="F927" t="s">
        <v>57</v>
      </c>
      <c r="G927" t="s">
        <v>57</v>
      </c>
      <c r="H927" t="s">
        <v>2258</v>
      </c>
      <c r="I927"/>
      <c r="J927"/>
      <c r="K927"/>
      <c r="L927"/>
      <c r="M927"/>
      <c r="N927"/>
      <c r="O927"/>
      <c r="P927"/>
      <c r="Q927"/>
      <c r="R927"/>
      <c r="S927" s="56">
        <f t="shared" si="42"/>
        <v>4</v>
      </c>
      <c r="T927" s="57" t="str">
        <f t="shared" si="43"/>
        <v>4-30 Days</v>
      </c>
      <c r="U927" s="58" t="str">
        <f t="shared" si="44"/>
        <v>Normal</v>
      </c>
    </row>
    <row r="928" spans="1:21" ht="23.25" customHeight="1" x14ac:dyDescent="0.35">
      <c r="A928" t="s">
        <v>2226</v>
      </c>
      <c r="B928" t="s">
        <v>2226</v>
      </c>
      <c r="C928">
        <v>3802955.56</v>
      </c>
      <c r="D928">
        <v>0</v>
      </c>
      <c r="E928" t="s">
        <v>2259</v>
      </c>
      <c r="F928" t="s">
        <v>57</v>
      </c>
      <c r="G928" t="s">
        <v>57</v>
      </c>
      <c r="H928" t="s">
        <v>2260</v>
      </c>
      <c r="I928"/>
      <c r="J928"/>
      <c r="K928"/>
      <c r="L928"/>
      <c r="M928"/>
      <c r="N928"/>
      <c r="O928"/>
      <c r="P928"/>
      <c r="Q928"/>
      <c r="R928"/>
      <c r="S928" s="56">
        <f t="shared" si="42"/>
        <v>4</v>
      </c>
      <c r="T928" s="57" t="str">
        <f t="shared" si="43"/>
        <v>4-30 Days</v>
      </c>
      <c r="U928" s="58" t="str">
        <f t="shared" si="44"/>
        <v>Normal</v>
      </c>
    </row>
    <row r="929" spans="1:21" ht="23.25" customHeight="1" x14ac:dyDescent="0.35">
      <c r="A929" t="s">
        <v>2226</v>
      </c>
      <c r="B929" t="s">
        <v>2226</v>
      </c>
      <c r="C929">
        <v>6229.7</v>
      </c>
      <c r="D929">
        <v>0</v>
      </c>
      <c r="E929" t="s">
        <v>2261</v>
      </c>
      <c r="F929" t="s">
        <v>57</v>
      </c>
      <c r="G929" t="s">
        <v>57</v>
      </c>
      <c r="H929" t="s">
        <v>2262</v>
      </c>
      <c r="I929"/>
      <c r="J929"/>
      <c r="K929"/>
      <c r="L929"/>
      <c r="M929"/>
      <c r="N929"/>
      <c r="O929"/>
      <c r="P929"/>
      <c r="Q929"/>
      <c r="R929"/>
      <c r="S929" s="56">
        <f t="shared" si="42"/>
        <v>4</v>
      </c>
      <c r="T929" s="57" t="str">
        <f t="shared" si="43"/>
        <v>4-30 Days</v>
      </c>
      <c r="U929" s="58" t="str">
        <f t="shared" si="44"/>
        <v>Normal</v>
      </c>
    </row>
    <row r="930" spans="1:21" ht="23.25" customHeight="1" x14ac:dyDescent="0.35">
      <c r="A930" t="s">
        <v>2263</v>
      </c>
      <c r="B930" t="s">
        <v>2263</v>
      </c>
      <c r="C930">
        <v>1000</v>
      </c>
      <c r="D930">
        <v>0</v>
      </c>
      <c r="E930" t="s">
        <v>2264</v>
      </c>
      <c r="F930" t="s">
        <v>57</v>
      </c>
      <c r="G930" t="s">
        <v>57</v>
      </c>
      <c r="H930" t="s">
        <v>2265</v>
      </c>
      <c r="I930"/>
      <c r="J930"/>
      <c r="K930"/>
      <c r="L930"/>
      <c r="M930"/>
      <c r="N930"/>
      <c r="O930"/>
      <c r="P930"/>
      <c r="Q930"/>
      <c r="R930"/>
      <c r="S930" s="56">
        <f t="shared" si="42"/>
        <v>3</v>
      </c>
      <c r="T930" s="57" t="str">
        <f t="shared" si="43"/>
        <v>0-3 Days</v>
      </c>
      <c r="U930" s="58" t="str">
        <f t="shared" si="44"/>
        <v>Normal</v>
      </c>
    </row>
    <row r="931" spans="1:21" ht="23.25" customHeight="1" x14ac:dyDescent="0.35">
      <c r="A931" t="s">
        <v>2263</v>
      </c>
      <c r="B931" t="s">
        <v>2263</v>
      </c>
      <c r="C931">
        <v>2050</v>
      </c>
      <c r="D931">
        <v>0</v>
      </c>
      <c r="E931" t="s">
        <v>2266</v>
      </c>
      <c r="F931" t="s">
        <v>57</v>
      </c>
      <c r="G931" t="s">
        <v>57</v>
      </c>
      <c r="H931" t="s">
        <v>2267</v>
      </c>
      <c r="I931"/>
      <c r="J931"/>
      <c r="K931"/>
      <c r="L931"/>
      <c r="M931"/>
      <c r="N931"/>
      <c r="O931"/>
      <c r="P931"/>
      <c r="Q931"/>
      <c r="R931"/>
      <c r="S931" s="56">
        <f t="shared" si="42"/>
        <v>3</v>
      </c>
      <c r="T931" s="57" t="str">
        <f t="shared" si="43"/>
        <v>0-3 Days</v>
      </c>
      <c r="U931" s="58" t="str">
        <f t="shared" si="44"/>
        <v>Normal</v>
      </c>
    </row>
    <row r="932" spans="1:21" ht="23.25" customHeight="1" x14ac:dyDescent="0.35">
      <c r="A932" t="s">
        <v>2263</v>
      </c>
      <c r="B932" t="s">
        <v>2263</v>
      </c>
      <c r="C932">
        <v>250</v>
      </c>
      <c r="D932">
        <v>0</v>
      </c>
      <c r="E932" t="s">
        <v>2268</v>
      </c>
      <c r="F932" t="s">
        <v>57</v>
      </c>
      <c r="G932" t="s">
        <v>57</v>
      </c>
      <c r="H932" t="s">
        <v>2269</v>
      </c>
      <c r="I932"/>
      <c r="J932"/>
      <c r="K932"/>
      <c r="L932"/>
      <c r="M932"/>
      <c r="N932"/>
      <c r="O932"/>
      <c r="P932"/>
      <c r="Q932"/>
      <c r="R932"/>
      <c r="S932" s="56">
        <f t="shared" si="42"/>
        <v>3</v>
      </c>
      <c r="T932" s="57" t="str">
        <f t="shared" si="43"/>
        <v>0-3 Days</v>
      </c>
      <c r="U932" s="58" t="str">
        <f t="shared" si="44"/>
        <v>Normal</v>
      </c>
    </row>
    <row r="933" spans="1:21" ht="23.25" customHeight="1" x14ac:dyDescent="0.35">
      <c r="A933" t="s">
        <v>2263</v>
      </c>
      <c r="B933" t="s">
        <v>2263</v>
      </c>
      <c r="C933">
        <v>1000</v>
      </c>
      <c r="D933">
        <v>0</v>
      </c>
      <c r="E933" t="s">
        <v>2270</v>
      </c>
      <c r="F933" t="s">
        <v>57</v>
      </c>
      <c r="G933" t="s">
        <v>57</v>
      </c>
      <c r="H933" t="s">
        <v>2271</v>
      </c>
      <c r="I933"/>
      <c r="J933"/>
      <c r="K933"/>
      <c r="L933"/>
      <c r="M933"/>
      <c r="N933"/>
      <c r="O933"/>
      <c r="P933"/>
      <c r="Q933"/>
      <c r="R933"/>
      <c r="S933" s="56">
        <f t="shared" si="42"/>
        <v>3</v>
      </c>
      <c r="T933" s="57" t="str">
        <f t="shared" si="43"/>
        <v>0-3 Days</v>
      </c>
      <c r="U933" s="58" t="str">
        <f t="shared" si="44"/>
        <v>Normal</v>
      </c>
    </row>
    <row r="934" spans="1:21" ht="23.25" customHeight="1" x14ac:dyDescent="0.35">
      <c r="A934" t="s">
        <v>2263</v>
      </c>
      <c r="B934" t="s">
        <v>2263</v>
      </c>
      <c r="C934">
        <v>1472</v>
      </c>
      <c r="D934">
        <v>0</v>
      </c>
      <c r="E934" t="s">
        <v>2272</v>
      </c>
      <c r="F934" t="s">
        <v>57</v>
      </c>
      <c r="G934" t="s">
        <v>57</v>
      </c>
      <c r="H934" t="s">
        <v>2273</v>
      </c>
      <c r="I934"/>
      <c r="J934"/>
      <c r="K934"/>
      <c r="L934"/>
      <c r="M934"/>
      <c r="N934"/>
      <c r="O934"/>
      <c r="P934"/>
      <c r="Q934"/>
      <c r="R934"/>
      <c r="S934" s="56">
        <f t="shared" si="42"/>
        <v>3</v>
      </c>
      <c r="T934" s="57" t="str">
        <f t="shared" si="43"/>
        <v>0-3 Days</v>
      </c>
      <c r="U934" s="58" t="str">
        <f t="shared" si="44"/>
        <v>Normal</v>
      </c>
    </row>
    <row r="935" spans="1:21" ht="23.25" customHeight="1" x14ac:dyDescent="0.35">
      <c r="A935" t="s">
        <v>2263</v>
      </c>
      <c r="B935" t="s">
        <v>2263</v>
      </c>
      <c r="C935">
        <v>1000</v>
      </c>
      <c r="D935">
        <v>0</v>
      </c>
      <c r="E935" t="s">
        <v>2274</v>
      </c>
      <c r="F935" t="s">
        <v>57</v>
      </c>
      <c r="G935" t="s">
        <v>57</v>
      </c>
      <c r="H935" t="s">
        <v>2275</v>
      </c>
      <c r="I935"/>
      <c r="J935"/>
      <c r="K935"/>
      <c r="L935"/>
      <c r="M935"/>
      <c r="N935"/>
      <c r="O935"/>
      <c r="P935"/>
      <c r="Q935"/>
      <c r="R935"/>
      <c r="S935" s="56">
        <f t="shared" si="42"/>
        <v>3</v>
      </c>
      <c r="T935" s="57" t="str">
        <f t="shared" si="43"/>
        <v>0-3 Days</v>
      </c>
      <c r="U935" s="58" t="str">
        <f t="shared" si="44"/>
        <v>Normal</v>
      </c>
    </row>
    <row r="936" spans="1:21" ht="23.25" customHeight="1" x14ac:dyDescent="0.35">
      <c r="A936" t="s">
        <v>2263</v>
      </c>
      <c r="B936" t="s">
        <v>2263</v>
      </c>
      <c r="C936">
        <v>828</v>
      </c>
      <c r="D936">
        <v>0</v>
      </c>
      <c r="E936" t="s">
        <v>2276</v>
      </c>
      <c r="F936" t="s">
        <v>57</v>
      </c>
      <c r="G936" t="s">
        <v>57</v>
      </c>
      <c r="H936" t="s">
        <v>2277</v>
      </c>
      <c r="I936"/>
      <c r="J936"/>
      <c r="K936"/>
      <c r="L936"/>
      <c r="M936"/>
      <c r="N936"/>
      <c r="O936"/>
      <c r="P936"/>
      <c r="Q936"/>
      <c r="R936"/>
      <c r="S936" s="56">
        <f t="shared" si="42"/>
        <v>3</v>
      </c>
      <c r="T936" s="57" t="str">
        <f t="shared" si="43"/>
        <v>0-3 Days</v>
      </c>
      <c r="U936" s="58" t="str">
        <f t="shared" si="44"/>
        <v>Normal</v>
      </c>
    </row>
    <row r="937" spans="1:21" ht="23.25" customHeight="1" x14ac:dyDescent="0.35">
      <c r="A937" t="s">
        <v>2263</v>
      </c>
      <c r="B937" t="s">
        <v>2263</v>
      </c>
      <c r="C937">
        <v>1000</v>
      </c>
      <c r="D937">
        <v>0</v>
      </c>
      <c r="E937" t="s">
        <v>2278</v>
      </c>
      <c r="F937" t="s">
        <v>57</v>
      </c>
      <c r="G937" t="s">
        <v>57</v>
      </c>
      <c r="H937" t="s">
        <v>2279</v>
      </c>
      <c r="I937"/>
      <c r="J937"/>
      <c r="K937"/>
      <c r="L937"/>
      <c r="M937"/>
      <c r="N937"/>
      <c r="O937"/>
      <c r="P937"/>
      <c r="Q937"/>
      <c r="R937"/>
      <c r="S937" s="56">
        <f t="shared" si="42"/>
        <v>3</v>
      </c>
      <c r="T937" s="57" t="str">
        <f t="shared" si="43"/>
        <v>0-3 Days</v>
      </c>
      <c r="U937" s="58" t="str">
        <f t="shared" si="44"/>
        <v>Normal</v>
      </c>
    </row>
    <row r="938" spans="1:21" ht="23.25" customHeight="1" x14ac:dyDescent="0.35">
      <c r="A938" t="s">
        <v>2263</v>
      </c>
      <c r="B938" t="s">
        <v>2263</v>
      </c>
      <c r="C938">
        <v>1472</v>
      </c>
      <c r="D938">
        <v>0</v>
      </c>
      <c r="E938" t="s">
        <v>2280</v>
      </c>
      <c r="F938" t="s">
        <v>57</v>
      </c>
      <c r="G938" t="s">
        <v>57</v>
      </c>
      <c r="H938" t="s">
        <v>2281</v>
      </c>
      <c r="I938"/>
      <c r="J938"/>
      <c r="K938"/>
      <c r="L938"/>
      <c r="M938"/>
      <c r="N938"/>
      <c r="O938"/>
      <c r="P938"/>
      <c r="Q938"/>
      <c r="R938"/>
      <c r="S938" s="56">
        <f t="shared" si="42"/>
        <v>3</v>
      </c>
      <c r="T938" s="57" t="str">
        <f t="shared" si="43"/>
        <v>0-3 Days</v>
      </c>
      <c r="U938" s="58" t="str">
        <f t="shared" si="44"/>
        <v>Normal</v>
      </c>
    </row>
    <row r="939" spans="1:21" ht="23.25" customHeight="1" x14ac:dyDescent="0.35">
      <c r="A939" t="s">
        <v>2263</v>
      </c>
      <c r="B939" t="s">
        <v>2263</v>
      </c>
      <c r="C939">
        <v>550</v>
      </c>
      <c r="D939">
        <v>0</v>
      </c>
      <c r="E939" t="s">
        <v>2282</v>
      </c>
      <c r="F939" t="s">
        <v>57</v>
      </c>
      <c r="G939" t="s">
        <v>57</v>
      </c>
      <c r="H939" t="s">
        <v>2283</v>
      </c>
      <c r="I939"/>
      <c r="J939"/>
      <c r="K939"/>
      <c r="L939"/>
      <c r="M939"/>
      <c r="N939"/>
      <c r="O939"/>
      <c r="P939"/>
      <c r="Q939"/>
      <c r="R939"/>
      <c r="S939" s="56">
        <f t="shared" si="42"/>
        <v>3</v>
      </c>
      <c r="T939" s="57" t="str">
        <f t="shared" si="43"/>
        <v>0-3 Days</v>
      </c>
      <c r="U939" s="58" t="str">
        <f t="shared" si="44"/>
        <v>Normal</v>
      </c>
    </row>
    <row r="940" spans="1:21" ht="23.25" customHeight="1" x14ac:dyDescent="0.35">
      <c r="A940" t="s">
        <v>2263</v>
      </c>
      <c r="B940" t="s">
        <v>2263</v>
      </c>
      <c r="C940">
        <v>2650</v>
      </c>
      <c r="D940">
        <v>0</v>
      </c>
      <c r="E940" t="s">
        <v>2284</v>
      </c>
      <c r="F940" t="s">
        <v>57</v>
      </c>
      <c r="G940" t="s">
        <v>57</v>
      </c>
      <c r="H940" t="s">
        <v>2285</v>
      </c>
      <c r="I940"/>
      <c r="J940"/>
      <c r="K940"/>
      <c r="L940"/>
      <c r="M940"/>
      <c r="N940"/>
      <c r="O940"/>
      <c r="P940"/>
      <c r="Q940"/>
      <c r="R940"/>
      <c r="S940" s="56">
        <f t="shared" si="42"/>
        <v>3</v>
      </c>
      <c r="T940" s="57" t="str">
        <f t="shared" si="43"/>
        <v>0-3 Days</v>
      </c>
      <c r="U940" s="58" t="str">
        <f t="shared" si="44"/>
        <v>Normal</v>
      </c>
    </row>
    <row r="941" spans="1:21" ht="23.25" customHeight="1" x14ac:dyDescent="0.35">
      <c r="A941" t="s">
        <v>2263</v>
      </c>
      <c r="B941" t="s">
        <v>2263</v>
      </c>
      <c r="C941">
        <v>2050</v>
      </c>
      <c r="D941">
        <v>0</v>
      </c>
      <c r="E941" t="s">
        <v>2286</v>
      </c>
      <c r="F941" t="s">
        <v>57</v>
      </c>
      <c r="G941" t="s">
        <v>57</v>
      </c>
      <c r="H941" t="s">
        <v>2287</v>
      </c>
      <c r="I941"/>
      <c r="J941"/>
      <c r="K941"/>
      <c r="L941"/>
      <c r="M941"/>
      <c r="N941"/>
      <c r="O941"/>
      <c r="P941"/>
      <c r="Q941"/>
      <c r="R941"/>
      <c r="S941" s="56">
        <f t="shared" si="42"/>
        <v>3</v>
      </c>
      <c r="T941" s="57" t="str">
        <f t="shared" si="43"/>
        <v>0-3 Days</v>
      </c>
      <c r="U941" s="58" t="str">
        <f t="shared" si="44"/>
        <v>Normal</v>
      </c>
    </row>
    <row r="942" spans="1:21" ht="23.25" customHeight="1" x14ac:dyDescent="0.35">
      <c r="A942" t="s">
        <v>2263</v>
      </c>
      <c r="B942" t="s">
        <v>2263</v>
      </c>
      <c r="C942">
        <v>2650</v>
      </c>
      <c r="D942">
        <v>0</v>
      </c>
      <c r="E942" t="s">
        <v>2288</v>
      </c>
      <c r="F942" t="s">
        <v>57</v>
      </c>
      <c r="G942" t="s">
        <v>57</v>
      </c>
      <c r="H942" t="s">
        <v>2289</v>
      </c>
      <c r="I942"/>
      <c r="J942"/>
      <c r="K942"/>
      <c r="L942"/>
      <c r="M942"/>
      <c r="N942"/>
      <c r="O942"/>
      <c r="P942"/>
      <c r="Q942"/>
      <c r="R942"/>
      <c r="S942" s="56">
        <f t="shared" si="42"/>
        <v>3</v>
      </c>
      <c r="T942" s="57" t="str">
        <f t="shared" si="43"/>
        <v>0-3 Days</v>
      </c>
      <c r="U942" s="58" t="str">
        <f t="shared" si="44"/>
        <v>Normal</v>
      </c>
    </row>
    <row r="943" spans="1:21" ht="23.25" customHeight="1" x14ac:dyDescent="0.35">
      <c r="A943" t="s">
        <v>2263</v>
      </c>
      <c r="B943" t="s">
        <v>2263</v>
      </c>
      <c r="C943">
        <v>652</v>
      </c>
      <c r="D943">
        <v>0</v>
      </c>
      <c r="E943" t="s">
        <v>2290</v>
      </c>
      <c r="F943" t="s">
        <v>57</v>
      </c>
      <c r="G943" t="s">
        <v>57</v>
      </c>
      <c r="H943" t="s">
        <v>2291</v>
      </c>
      <c r="I943"/>
      <c r="J943"/>
      <c r="K943"/>
      <c r="L943"/>
      <c r="M943"/>
      <c r="N943"/>
      <c r="O943"/>
      <c r="P943"/>
      <c r="Q943"/>
      <c r="R943"/>
      <c r="S943" s="56">
        <f t="shared" si="42"/>
        <v>3</v>
      </c>
      <c r="T943" s="57" t="str">
        <f t="shared" si="43"/>
        <v>0-3 Days</v>
      </c>
      <c r="U943" s="58" t="str">
        <f t="shared" si="44"/>
        <v>Normal</v>
      </c>
    </row>
    <row r="944" spans="1:21" ht="23.25" customHeight="1" x14ac:dyDescent="0.35">
      <c r="A944" t="s">
        <v>2263</v>
      </c>
      <c r="B944" t="s">
        <v>2263</v>
      </c>
      <c r="C944">
        <v>1000</v>
      </c>
      <c r="D944">
        <v>0</v>
      </c>
      <c r="E944" t="s">
        <v>2292</v>
      </c>
      <c r="F944" t="s">
        <v>57</v>
      </c>
      <c r="G944" t="s">
        <v>57</v>
      </c>
      <c r="H944" t="s">
        <v>2293</v>
      </c>
      <c r="I944"/>
      <c r="J944"/>
      <c r="K944"/>
      <c r="L944"/>
      <c r="M944"/>
      <c r="N944"/>
      <c r="O944"/>
      <c r="P944"/>
      <c r="Q944"/>
      <c r="R944"/>
      <c r="S944" s="56">
        <f t="shared" si="42"/>
        <v>3</v>
      </c>
      <c r="T944" s="57" t="str">
        <f t="shared" si="43"/>
        <v>0-3 Days</v>
      </c>
      <c r="U944" s="58" t="str">
        <f t="shared" si="44"/>
        <v>Normal</v>
      </c>
    </row>
    <row r="945" spans="1:21" ht="23.25" customHeight="1" x14ac:dyDescent="0.35">
      <c r="A945" t="s">
        <v>2263</v>
      </c>
      <c r="B945" t="s">
        <v>2263</v>
      </c>
      <c r="C945">
        <v>1472</v>
      </c>
      <c r="D945">
        <v>0</v>
      </c>
      <c r="E945" t="s">
        <v>2294</v>
      </c>
      <c r="F945" t="s">
        <v>57</v>
      </c>
      <c r="G945" t="s">
        <v>57</v>
      </c>
      <c r="H945" t="s">
        <v>2295</v>
      </c>
      <c r="I945"/>
      <c r="J945"/>
      <c r="K945"/>
      <c r="L945"/>
      <c r="M945"/>
      <c r="N945"/>
      <c r="O945"/>
      <c r="P945"/>
      <c r="Q945"/>
      <c r="R945"/>
      <c r="S945" s="56">
        <f t="shared" si="42"/>
        <v>3</v>
      </c>
      <c r="T945" s="57" t="str">
        <f t="shared" si="43"/>
        <v>0-3 Days</v>
      </c>
      <c r="U945" s="58" t="str">
        <f t="shared" si="44"/>
        <v>Normal</v>
      </c>
    </row>
    <row r="946" spans="1:21" ht="23.25" customHeight="1" x14ac:dyDescent="0.35">
      <c r="A946" t="s">
        <v>2263</v>
      </c>
      <c r="B946" t="s">
        <v>2263</v>
      </c>
      <c r="C946">
        <v>1062</v>
      </c>
      <c r="D946">
        <v>0</v>
      </c>
      <c r="E946" t="s">
        <v>2296</v>
      </c>
      <c r="F946" t="s">
        <v>57</v>
      </c>
      <c r="G946" t="s">
        <v>57</v>
      </c>
      <c r="H946" t="s">
        <v>2297</v>
      </c>
      <c r="I946"/>
      <c r="J946"/>
      <c r="K946"/>
      <c r="L946"/>
      <c r="M946"/>
      <c r="N946"/>
      <c r="O946"/>
      <c r="P946"/>
      <c r="Q946"/>
      <c r="R946"/>
      <c r="S946" s="56">
        <f t="shared" si="42"/>
        <v>3</v>
      </c>
      <c r="T946" s="57" t="str">
        <f t="shared" si="43"/>
        <v>0-3 Days</v>
      </c>
      <c r="U946" s="58" t="str">
        <f t="shared" si="44"/>
        <v>Normal</v>
      </c>
    </row>
    <row r="947" spans="1:21" ht="23.25" customHeight="1" x14ac:dyDescent="0.35">
      <c r="A947" t="s">
        <v>2263</v>
      </c>
      <c r="B947" t="s">
        <v>2263</v>
      </c>
      <c r="C947">
        <v>2152</v>
      </c>
      <c r="D947">
        <v>0</v>
      </c>
      <c r="E947" t="s">
        <v>2298</v>
      </c>
      <c r="F947" t="s">
        <v>57</v>
      </c>
      <c r="G947" t="s">
        <v>57</v>
      </c>
      <c r="H947" t="s">
        <v>2299</v>
      </c>
      <c r="I947"/>
      <c r="J947"/>
      <c r="K947"/>
      <c r="L947"/>
      <c r="M947"/>
      <c r="N947"/>
      <c r="O947"/>
      <c r="P947"/>
      <c r="Q947"/>
      <c r="R947"/>
      <c r="S947" s="56">
        <f t="shared" si="42"/>
        <v>3</v>
      </c>
      <c r="T947" s="57" t="str">
        <f t="shared" si="43"/>
        <v>0-3 Days</v>
      </c>
      <c r="U947" s="58" t="str">
        <f t="shared" si="44"/>
        <v>Normal</v>
      </c>
    </row>
    <row r="948" spans="1:21" ht="23.25" customHeight="1" x14ac:dyDescent="0.35">
      <c r="A948" t="s">
        <v>2263</v>
      </c>
      <c r="B948" t="s">
        <v>2263</v>
      </c>
      <c r="C948">
        <v>1496</v>
      </c>
      <c r="D948">
        <v>0</v>
      </c>
      <c r="E948" t="s">
        <v>2300</v>
      </c>
      <c r="F948" t="s">
        <v>57</v>
      </c>
      <c r="G948" t="s">
        <v>57</v>
      </c>
      <c r="H948" t="s">
        <v>2301</v>
      </c>
      <c r="I948"/>
      <c r="J948"/>
      <c r="K948"/>
      <c r="L948"/>
      <c r="M948"/>
      <c r="N948"/>
      <c r="O948"/>
      <c r="P948"/>
      <c r="Q948"/>
      <c r="R948"/>
      <c r="S948" s="56">
        <f t="shared" si="42"/>
        <v>3</v>
      </c>
      <c r="T948" s="57" t="str">
        <f t="shared" si="43"/>
        <v>0-3 Days</v>
      </c>
      <c r="U948" s="58" t="str">
        <f t="shared" si="44"/>
        <v>Normal</v>
      </c>
    </row>
    <row r="949" spans="1:21" ht="23.25" customHeight="1" x14ac:dyDescent="0.35">
      <c r="A949" t="s">
        <v>2263</v>
      </c>
      <c r="B949" t="s">
        <v>2263</v>
      </c>
      <c r="C949">
        <v>2650</v>
      </c>
      <c r="D949">
        <v>0</v>
      </c>
      <c r="E949" t="s">
        <v>2302</v>
      </c>
      <c r="F949" t="s">
        <v>57</v>
      </c>
      <c r="G949" t="s">
        <v>57</v>
      </c>
      <c r="H949" t="s">
        <v>2303</v>
      </c>
      <c r="I949"/>
      <c r="J949"/>
      <c r="K949"/>
      <c r="L949"/>
      <c r="M949"/>
      <c r="N949"/>
      <c r="O949"/>
      <c r="P949"/>
      <c r="Q949"/>
      <c r="R949"/>
      <c r="S949" s="56">
        <f t="shared" si="42"/>
        <v>3</v>
      </c>
      <c r="T949" s="57" t="str">
        <f t="shared" si="43"/>
        <v>0-3 Days</v>
      </c>
      <c r="U949" s="58" t="str">
        <f t="shared" si="44"/>
        <v>Normal</v>
      </c>
    </row>
    <row r="950" spans="1:21" ht="23.25" customHeight="1" x14ac:dyDescent="0.35">
      <c r="A950" t="s">
        <v>2263</v>
      </c>
      <c r="B950" t="s">
        <v>2263</v>
      </c>
      <c r="C950">
        <v>0</v>
      </c>
      <c r="D950">
        <v>828</v>
      </c>
      <c r="E950" t="s">
        <v>2304</v>
      </c>
      <c r="F950" t="s">
        <v>57</v>
      </c>
      <c r="G950" t="s">
        <v>57</v>
      </c>
      <c r="H950" t="s">
        <v>2305</v>
      </c>
      <c r="I950"/>
      <c r="J950"/>
      <c r="K950"/>
      <c r="L950"/>
      <c r="M950"/>
      <c r="N950"/>
      <c r="O950"/>
      <c r="P950"/>
      <c r="Q950"/>
      <c r="R950"/>
      <c r="S950" s="56">
        <f t="shared" si="42"/>
        <v>3</v>
      </c>
      <c r="T950" s="57" t="str">
        <f t="shared" si="43"/>
        <v>0-3 Days</v>
      </c>
      <c r="U950" s="58" t="str">
        <f t="shared" si="44"/>
        <v>Not Applicable</v>
      </c>
    </row>
    <row r="951" spans="1:21" ht="23.25" customHeight="1" x14ac:dyDescent="0.35">
      <c r="A951" t="s">
        <v>2263</v>
      </c>
      <c r="B951" t="s">
        <v>2263</v>
      </c>
      <c r="C951">
        <v>1432</v>
      </c>
      <c r="D951">
        <v>0</v>
      </c>
      <c r="E951" t="s">
        <v>2306</v>
      </c>
      <c r="F951" t="s">
        <v>57</v>
      </c>
      <c r="G951" t="s">
        <v>57</v>
      </c>
      <c r="H951" t="s">
        <v>2307</v>
      </c>
      <c r="I951"/>
      <c r="J951"/>
      <c r="K951"/>
      <c r="L951"/>
      <c r="M951"/>
      <c r="N951"/>
      <c r="O951"/>
      <c r="P951"/>
      <c r="Q951"/>
      <c r="R951"/>
      <c r="S951" s="56">
        <f t="shared" si="42"/>
        <v>3</v>
      </c>
      <c r="T951" s="57" t="str">
        <f t="shared" si="43"/>
        <v>0-3 Days</v>
      </c>
      <c r="U951" s="58" t="str">
        <f t="shared" si="44"/>
        <v>Normal</v>
      </c>
    </row>
    <row r="952" spans="1:21" ht="23.25" customHeight="1" x14ac:dyDescent="0.35">
      <c r="A952" t="s">
        <v>2263</v>
      </c>
      <c r="B952" t="s">
        <v>2263</v>
      </c>
      <c r="C952">
        <v>1000</v>
      </c>
      <c r="D952">
        <v>0</v>
      </c>
      <c r="E952" t="s">
        <v>2308</v>
      </c>
      <c r="F952" t="s">
        <v>57</v>
      </c>
      <c r="G952" t="s">
        <v>57</v>
      </c>
      <c r="H952" t="s">
        <v>2309</v>
      </c>
      <c r="I952"/>
      <c r="J952"/>
      <c r="K952"/>
      <c r="L952"/>
      <c r="M952"/>
      <c r="N952"/>
      <c r="O952"/>
      <c r="P952"/>
      <c r="Q952"/>
      <c r="R952"/>
      <c r="S952" s="56">
        <f t="shared" si="42"/>
        <v>3</v>
      </c>
      <c r="T952" s="57" t="str">
        <f t="shared" si="43"/>
        <v>0-3 Days</v>
      </c>
      <c r="U952" s="58" t="str">
        <f t="shared" si="44"/>
        <v>Normal</v>
      </c>
    </row>
    <row r="953" spans="1:21" ht="23.25" customHeight="1" x14ac:dyDescent="0.35">
      <c r="A953" t="s">
        <v>2263</v>
      </c>
      <c r="B953" t="s">
        <v>2263</v>
      </c>
      <c r="C953">
        <v>1000</v>
      </c>
      <c r="D953">
        <v>0</v>
      </c>
      <c r="E953" t="s">
        <v>2310</v>
      </c>
      <c r="F953" t="s">
        <v>57</v>
      </c>
      <c r="G953" t="s">
        <v>57</v>
      </c>
      <c r="H953" t="s">
        <v>2311</v>
      </c>
      <c r="I953"/>
      <c r="J953"/>
      <c r="K953"/>
      <c r="L953"/>
      <c r="M953"/>
      <c r="N953"/>
      <c r="O953"/>
      <c r="P953"/>
      <c r="Q953"/>
      <c r="R953"/>
      <c r="S953" s="56">
        <f t="shared" si="42"/>
        <v>3</v>
      </c>
      <c r="T953" s="57" t="str">
        <f t="shared" si="43"/>
        <v>0-3 Days</v>
      </c>
      <c r="U953" s="58" t="str">
        <f t="shared" si="44"/>
        <v>Normal</v>
      </c>
    </row>
    <row r="954" spans="1:21" ht="23.25" customHeight="1" x14ac:dyDescent="0.35">
      <c r="A954" t="s">
        <v>2263</v>
      </c>
      <c r="B954" t="s">
        <v>2263</v>
      </c>
      <c r="C954">
        <v>1680</v>
      </c>
      <c r="D954">
        <v>0</v>
      </c>
      <c r="E954" t="s">
        <v>2312</v>
      </c>
      <c r="F954" t="s">
        <v>57</v>
      </c>
      <c r="G954" t="s">
        <v>57</v>
      </c>
      <c r="H954" t="s">
        <v>2313</v>
      </c>
      <c r="I954"/>
      <c r="J954"/>
      <c r="K954"/>
      <c r="L954"/>
      <c r="M954"/>
      <c r="N954"/>
      <c r="O954"/>
      <c r="P954"/>
      <c r="Q954"/>
      <c r="R954"/>
      <c r="S954" s="56">
        <f t="shared" si="42"/>
        <v>3</v>
      </c>
      <c r="T954" s="57" t="str">
        <f t="shared" si="43"/>
        <v>0-3 Days</v>
      </c>
      <c r="U954" s="58" t="str">
        <f t="shared" si="44"/>
        <v>Normal</v>
      </c>
    </row>
    <row r="955" spans="1:21" ht="23.25" customHeight="1" x14ac:dyDescent="0.35">
      <c r="A955" t="s">
        <v>2263</v>
      </c>
      <c r="B955" t="s">
        <v>2263</v>
      </c>
      <c r="C955">
        <v>1416</v>
      </c>
      <c r="D955">
        <v>0</v>
      </c>
      <c r="E955" t="s">
        <v>2314</v>
      </c>
      <c r="F955" t="s">
        <v>57</v>
      </c>
      <c r="G955" t="s">
        <v>57</v>
      </c>
      <c r="H955" t="s">
        <v>2315</v>
      </c>
      <c r="I955"/>
      <c r="J955"/>
      <c r="K955"/>
      <c r="L955"/>
      <c r="M955"/>
      <c r="N955"/>
      <c r="O955"/>
      <c r="P955"/>
      <c r="Q955"/>
      <c r="R955"/>
      <c r="S955" s="56">
        <f t="shared" si="42"/>
        <v>3</v>
      </c>
      <c r="T955" s="57" t="str">
        <f t="shared" si="43"/>
        <v>0-3 Days</v>
      </c>
      <c r="U955" s="58" t="str">
        <f t="shared" si="44"/>
        <v>Normal</v>
      </c>
    </row>
    <row r="956" spans="1:21" ht="23.25" customHeight="1" x14ac:dyDescent="0.35">
      <c r="A956" t="s">
        <v>2263</v>
      </c>
      <c r="B956" t="s">
        <v>2263</v>
      </c>
      <c r="C956">
        <v>732</v>
      </c>
      <c r="D956">
        <v>0</v>
      </c>
      <c r="E956" t="s">
        <v>2316</v>
      </c>
      <c r="F956" t="s">
        <v>57</v>
      </c>
      <c r="G956" t="s">
        <v>57</v>
      </c>
      <c r="H956" t="s">
        <v>2317</v>
      </c>
      <c r="I956"/>
      <c r="J956"/>
      <c r="K956"/>
      <c r="L956"/>
      <c r="M956"/>
      <c r="N956"/>
      <c r="O956"/>
      <c r="P956"/>
      <c r="Q956"/>
      <c r="R956"/>
      <c r="S956" s="56">
        <f t="shared" si="42"/>
        <v>3</v>
      </c>
      <c r="T956" s="57" t="str">
        <f t="shared" si="43"/>
        <v>0-3 Days</v>
      </c>
      <c r="U956" s="58" t="str">
        <f t="shared" si="44"/>
        <v>Normal</v>
      </c>
    </row>
    <row r="957" spans="1:21" ht="23.25" customHeight="1" x14ac:dyDescent="0.35">
      <c r="A957" t="s">
        <v>2263</v>
      </c>
      <c r="B957" t="s">
        <v>2263</v>
      </c>
      <c r="C957">
        <v>26394.3</v>
      </c>
      <c r="D957">
        <v>0</v>
      </c>
      <c r="E957" t="s">
        <v>2318</v>
      </c>
      <c r="F957" t="s">
        <v>57</v>
      </c>
      <c r="G957" t="s">
        <v>57</v>
      </c>
      <c r="H957" t="s">
        <v>2319</v>
      </c>
      <c r="I957"/>
      <c r="J957"/>
      <c r="K957"/>
      <c r="L957"/>
      <c r="M957"/>
      <c r="N957"/>
      <c r="O957"/>
      <c r="P957"/>
      <c r="Q957"/>
      <c r="R957"/>
      <c r="S957" s="56">
        <f t="shared" si="42"/>
        <v>3</v>
      </c>
      <c r="T957" s="57" t="str">
        <f t="shared" si="43"/>
        <v>0-3 Days</v>
      </c>
      <c r="U957" s="58" t="str">
        <f t="shared" si="44"/>
        <v>Normal</v>
      </c>
    </row>
    <row r="958" spans="1:21" ht="23.25" customHeight="1" x14ac:dyDescent="0.35">
      <c r="A958" t="s">
        <v>2263</v>
      </c>
      <c r="B958" t="s">
        <v>2263</v>
      </c>
      <c r="C958">
        <v>2050</v>
      </c>
      <c r="D958">
        <v>0</v>
      </c>
      <c r="E958" t="s">
        <v>2320</v>
      </c>
      <c r="F958" t="s">
        <v>57</v>
      </c>
      <c r="G958" t="s">
        <v>57</v>
      </c>
      <c r="H958" t="s">
        <v>2321</v>
      </c>
      <c r="I958"/>
      <c r="J958"/>
      <c r="K958"/>
      <c r="L958"/>
      <c r="M958"/>
      <c r="N958"/>
      <c r="O958"/>
      <c r="P958"/>
      <c r="Q958"/>
      <c r="R958"/>
      <c r="S958" s="56">
        <f t="shared" si="42"/>
        <v>3</v>
      </c>
      <c r="T958" s="57" t="str">
        <f t="shared" si="43"/>
        <v>0-3 Days</v>
      </c>
      <c r="U958" s="58" t="str">
        <f t="shared" si="44"/>
        <v>Normal</v>
      </c>
    </row>
    <row r="959" spans="1:21" ht="23.25" customHeight="1" x14ac:dyDescent="0.35">
      <c r="A959" t="s">
        <v>2263</v>
      </c>
      <c r="B959" t="s">
        <v>2263</v>
      </c>
      <c r="C959">
        <v>1000</v>
      </c>
      <c r="D959">
        <v>0</v>
      </c>
      <c r="E959" t="s">
        <v>2322</v>
      </c>
      <c r="F959" t="s">
        <v>57</v>
      </c>
      <c r="G959" t="s">
        <v>57</v>
      </c>
      <c r="H959" t="s">
        <v>2323</v>
      </c>
      <c r="I959"/>
      <c r="J959"/>
      <c r="K959"/>
      <c r="L959"/>
      <c r="M959"/>
      <c r="N959"/>
      <c r="O959"/>
      <c r="P959"/>
      <c r="Q959"/>
      <c r="R959"/>
      <c r="S959" s="56">
        <f t="shared" si="42"/>
        <v>3</v>
      </c>
      <c r="T959" s="57" t="str">
        <f t="shared" si="43"/>
        <v>0-3 Days</v>
      </c>
      <c r="U959" s="58" t="str">
        <f t="shared" si="44"/>
        <v>Normal</v>
      </c>
    </row>
    <row r="960" spans="1:21" ht="23.25" customHeight="1" x14ac:dyDescent="0.35">
      <c r="A960" t="s">
        <v>2263</v>
      </c>
      <c r="B960" t="s">
        <v>2263</v>
      </c>
      <c r="C960">
        <v>3322</v>
      </c>
      <c r="D960">
        <v>0</v>
      </c>
      <c r="E960" t="s">
        <v>2324</v>
      </c>
      <c r="F960" t="s">
        <v>57</v>
      </c>
      <c r="G960" t="s">
        <v>57</v>
      </c>
      <c r="H960" t="s">
        <v>2325</v>
      </c>
      <c r="I960"/>
      <c r="J960"/>
      <c r="K960"/>
      <c r="L960"/>
      <c r="M960"/>
      <c r="N960"/>
      <c r="O960"/>
      <c r="P960"/>
      <c r="Q960"/>
      <c r="R960"/>
      <c r="S960" s="56">
        <f t="shared" si="42"/>
        <v>3</v>
      </c>
      <c r="T960" s="57" t="str">
        <f t="shared" si="43"/>
        <v>0-3 Days</v>
      </c>
      <c r="U960" s="58" t="str">
        <f t="shared" si="44"/>
        <v>Normal</v>
      </c>
    </row>
    <row r="961" spans="1:21" ht="23.25" customHeight="1" x14ac:dyDescent="0.35">
      <c r="A961" t="s">
        <v>2263</v>
      </c>
      <c r="B961" t="s">
        <v>2263</v>
      </c>
      <c r="C961">
        <v>1000</v>
      </c>
      <c r="D961">
        <v>0</v>
      </c>
      <c r="E961" t="s">
        <v>2326</v>
      </c>
      <c r="F961" t="s">
        <v>57</v>
      </c>
      <c r="G961" t="s">
        <v>57</v>
      </c>
      <c r="H961" t="s">
        <v>2327</v>
      </c>
      <c r="I961"/>
      <c r="J961"/>
      <c r="K961"/>
      <c r="L961"/>
      <c r="M961"/>
      <c r="N961"/>
      <c r="O961"/>
      <c r="P961"/>
      <c r="Q961"/>
      <c r="R961"/>
      <c r="S961" s="56">
        <f t="shared" si="42"/>
        <v>3</v>
      </c>
      <c r="T961" s="57" t="str">
        <f t="shared" si="43"/>
        <v>0-3 Days</v>
      </c>
      <c r="U961" s="58" t="str">
        <f t="shared" si="44"/>
        <v>Normal</v>
      </c>
    </row>
    <row r="962" spans="1:21" ht="23.25" customHeight="1" x14ac:dyDescent="0.35">
      <c r="A962" t="s">
        <v>2263</v>
      </c>
      <c r="B962" t="s">
        <v>2263</v>
      </c>
      <c r="C962">
        <v>1000</v>
      </c>
      <c r="D962">
        <v>0</v>
      </c>
      <c r="E962" t="s">
        <v>2328</v>
      </c>
      <c r="F962" t="s">
        <v>57</v>
      </c>
      <c r="G962" t="s">
        <v>57</v>
      </c>
      <c r="H962" t="s">
        <v>2329</v>
      </c>
      <c r="I962"/>
      <c r="J962"/>
      <c r="K962"/>
      <c r="L962"/>
      <c r="M962"/>
      <c r="N962"/>
      <c r="O962"/>
      <c r="P962"/>
      <c r="Q962"/>
      <c r="R962"/>
      <c r="S962" s="56">
        <f t="shared" si="42"/>
        <v>3</v>
      </c>
      <c r="T962" s="57" t="str">
        <f t="shared" si="43"/>
        <v>0-3 Days</v>
      </c>
      <c r="U962" s="58" t="str">
        <f t="shared" si="44"/>
        <v>Normal</v>
      </c>
    </row>
    <row r="963" spans="1:21" ht="23.25" customHeight="1" x14ac:dyDescent="0.35">
      <c r="A963" t="s">
        <v>2263</v>
      </c>
      <c r="B963" t="s">
        <v>2263</v>
      </c>
      <c r="C963">
        <v>328</v>
      </c>
      <c r="D963">
        <v>0</v>
      </c>
      <c r="E963" t="s">
        <v>2330</v>
      </c>
      <c r="F963" t="s">
        <v>57</v>
      </c>
      <c r="G963" t="s">
        <v>57</v>
      </c>
      <c r="H963" t="s">
        <v>2331</v>
      </c>
      <c r="I963"/>
      <c r="J963"/>
      <c r="K963"/>
      <c r="L963"/>
      <c r="M963"/>
      <c r="N963"/>
      <c r="O963"/>
      <c r="P963"/>
      <c r="Q963"/>
      <c r="R963"/>
      <c r="S963" s="56">
        <f t="shared" si="42"/>
        <v>3</v>
      </c>
      <c r="T963" s="57" t="str">
        <f t="shared" si="43"/>
        <v>0-3 Days</v>
      </c>
      <c r="U963" s="58" t="str">
        <f t="shared" si="44"/>
        <v>Normal</v>
      </c>
    </row>
    <row r="964" spans="1:21" ht="23.25" customHeight="1" x14ac:dyDescent="0.35">
      <c r="A964" t="s">
        <v>2263</v>
      </c>
      <c r="B964" t="s">
        <v>2263</v>
      </c>
      <c r="C964">
        <v>2050</v>
      </c>
      <c r="D964">
        <v>0</v>
      </c>
      <c r="E964" t="s">
        <v>2332</v>
      </c>
      <c r="F964" t="s">
        <v>57</v>
      </c>
      <c r="G964" t="s">
        <v>57</v>
      </c>
      <c r="H964" t="s">
        <v>2333</v>
      </c>
      <c r="I964"/>
      <c r="J964"/>
      <c r="K964"/>
      <c r="L964"/>
      <c r="M964"/>
      <c r="N964"/>
      <c r="O964"/>
      <c r="P964"/>
      <c r="Q964"/>
      <c r="R964"/>
      <c r="S964" s="56">
        <f t="shared" si="42"/>
        <v>3</v>
      </c>
      <c r="T964" s="57" t="str">
        <f t="shared" si="43"/>
        <v>0-3 Days</v>
      </c>
      <c r="U964" s="58" t="str">
        <f t="shared" si="44"/>
        <v>Normal</v>
      </c>
    </row>
    <row r="965" spans="1:21" ht="23.25" customHeight="1" x14ac:dyDescent="0.35">
      <c r="A965" t="s">
        <v>2263</v>
      </c>
      <c r="B965" t="s">
        <v>2263</v>
      </c>
      <c r="C965">
        <v>2050</v>
      </c>
      <c r="D965">
        <v>0</v>
      </c>
      <c r="E965" t="s">
        <v>2334</v>
      </c>
      <c r="F965" t="s">
        <v>57</v>
      </c>
      <c r="G965" t="s">
        <v>57</v>
      </c>
      <c r="H965" t="s">
        <v>2335</v>
      </c>
      <c r="I965"/>
      <c r="J965"/>
      <c r="K965"/>
      <c r="L965"/>
      <c r="M965"/>
      <c r="N965"/>
      <c r="O965"/>
      <c r="P965"/>
      <c r="Q965"/>
      <c r="R965"/>
      <c r="S965" s="56">
        <f t="shared" si="42"/>
        <v>3</v>
      </c>
      <c r="T965" s="57" t="str">
        <f t="shared" si="43"/>
        <v>0-3 Days</v>
      </c>
      <c r="U965" s="58" t="str">
        <f t="shared" si="44"/>
        <v>Normal</v>
      </c>
    </row>
    <row r="966" spans="1:21" ht="23.25" customHeight="1" x14ac:dyDescent="0.35">
      <c r="A966" t="s">
        <v>2263</v>
      </c>
      <c r="B966" t="s">
        <v>2263</v>
      </c>
      <c r="C966">
        <v>2050</v>
      </c>
      <c r="D966">
        <v>0</v>
      </c>
      <c r="E966" t="s">
        <v>2336</v>
      </c>
      <c r="F966" t="s">
        <v>57</v>
      </c>
      <c r="G966" t="s">
        <v>57</v>
      </c>
      <c r="H966" t="s">
        <v>2337</v>
      </c>
      <c r="I966"/>
      <c r="J966"/>
      <c r="K966"/>
      <c r="L966"/>
      <c r="M966"/>
      <c r="N966"/>
      <c r="O966"/>
      <c r="P966"/>
      <c r="Q966"/>
      <c r="R966"/>
      <c r="S966" s="56">
        <f t="shared" si="42"/>
        <v>3</v>
      </c>
      <c r="T966" s="57" t="str">
        <f t="shared" si="43"/>
        <v>0-3 Days</v>
      </c>
      <c r="U966" s="58" t="str">
        <f t="shared" si="44"/>
        <v>Normal</v>
      </c>
    </row>
    <row r="967" spans="1:21" ht="23.25" customHeight="1" x14ac:dyDescent="0.35">
      <c r="A967" t="s">
        <v>2263</v>
      </c>
      <c r="B967" t="s">
        <v>2263</v>
      </c>
      <c r="C967">
        <v>250</v>
      </c>
      <c r="D967">
        <v>0</v>
      </c>
      <c r="E967" t="s">
        <v>2338</v>
      </c>
      <c r="F967" t="s">
        <v>57</v>
      </c>
      <c r="G967" t="s">
        <v>57</v>
      </c>
      <c r="H967" t="s">
        <v>2339</v>
      </c>
      <c r="I967"/>
      <c r="J967"/>
      <c r="K967"/>
      <c r="L967"/>
      <c r="M967"/>
      <c r="N967"/>
      <c r="O967"/>
      <c r="P967"/>
      <c r="Q967"/>
      <c r="R967"/>
      <c r="S967" s="56">
        <f t="shared" si="42"/>
        <v>3</v>
      </c>
      <c r="T967" s="57" t="str">
        <f t="shared" si="43"/>
        <v>0-3 Days</v>
      </c>
      <c r="U967" s="58" t="str">
        <f t="shared" si="44"/>
        <v>Normal</v>
      </c>
    </row>
    <row r="968" spans="1:21" ht="23.25" customHeight="1" x14ac:dyDescent="0.35">
      <c r="A968" t="s">
        <v>2263</v>
      </c>
      <c r="B968" t="s">
        <v>2263</v>
      </c>
      <c r="C968">
        <v>1000</v>
      </c>
      <c r="D968">
        <v>0</v>
      </c>
      <c r="E968" t="s">
        <v>2340</v>
      </c>
      <c r="F968" t="s">
        <v>57</v>
      </c>
      <c r="G968" t="s">
        <v>57</v>
      </c>
      <c r="H968" t="s">
        <v>2341</v>
      </c>
      <c r="I968"/>
      <c r="J968"/>
      <c r="K968"/>
      <c r="L968"/>
      <c r="M968"/>
      <c r="N968"/>
      <c r="O968"/>
      <c r="P968"/>
      <c r="Q968"/>
      <c r="R968"/>
      <c r="S968" s="56">
        <f t="shared" si="42"/>
        <v>3</v>
      </c>
      <c r="T968" s="57" t="str">
        <f t="shared" si="43"/>
        <v>0-3 Days</v>
      </c>
      <c r="U968" s="58" t="str">
        <f t="shared" si="44"/>
        <v>Normal</v>
      </c>
    </row>
    <row r="969" spans="1:21" ht="23.25" customHeight="1" x14ac:dyDescent="0.35">
      <c r="A969" t="s">
        <v>2263</v>
      </c>
      <c r="B969" t="s">
        <v>2263</v>
      </c>
      <c r="C969">
        <v>1416</v>
      </c>
      <c r="D969">
        <v>0</v>
      </c>
      <c r="E969" t="s">
        <v>2342</v>
      </c>
      <c r="F969" t="s">
        <v>57</v>
      </c>
      <c r="G969" t="s">
        <v>57</v>
      </c>
      <c r="H969" t="s">
        <v>2343</v>
      </c>
      <c r="I969"/>
      <c r="J969"/>
      <c r="K969"/>
      <c r="L969"/>
      <c r="M969"/>
      <c r="N969"/>
      <c r="O969"/>
      <c r="P969"/>
      <c r="Q969"/>
      <c r="R969"/>
      <c r="S969" s="56">
        <f t="shared" ref="S969:S1032" si="45">IF(A969="","",A$5-A969)</f>
        <v>3</v>
      </c>
      <c r="T969" s="57" t="str">
        <f t="shared" ref="T969:T1032" si="46">IF(S969="","",IF(S969&lt;4,"0-3 Days",IF(S969&lt;31,"4-30 Days",IF(S969&lt;61,"31-60 Days",IF(S969&lt;=90,"61-90 Days",IF(S969&gt;90,"Above 90 Days","0"))))))</f>
        <v>0-3 Days</v>
      </c>
      <c r="U969" s="58" t="str">
        <f t="shared" ref="U969:U1032" si="47">IF(C969="","",IF(C969&gt;0,IF(S969&lt;30,"Normal",IF(S969&lt;60,"Especially Mentioned",IF(S969&lt;90,"Substandard",IF(S969&lt;=180,"Doubtful",IF(S969&gt;180,"Loss","0"))))),"Not Applicable"))</f>
        <v>Normal</v>
      </c>
    </row>
    <row r="970" spans="1:21" ht="23.25" customHeight="1" x14ac:dyDescent="0.35">
      <c r="A970" t="s">
        <v>2263</v>
      </c>
      <c r="B970" t="s">
        <v>2263</v>
      </c>
      <c r="C970">
        <v>2650</v>
      </c>
      <c r="D970">
        <v>0</v>
      </c>
      <c r="E970" t="s">
        <v>2344</v>
      </c>
      <c r="F970" t="s">
        <v>57</v>
      </c>
      <c r="G970" t="s">
        <v>57</v>
      </c>
      <c r="H970" t="s">
        <v>2345</v>
      </c>
      <c r="I970"/>
      <c r="J970"/>
      <c r="K970"/>
      <c r="L970"/>
      <c r="M970"/>
      <c r="N970"/>
      <c r="O970"/>
      <c r="P970"/>
      <c r="Q970"/>
      <c r="R970"/>
      <c r="S970" s="56">
        <f t="shared" si="45"/>
        <v>3</v>
      </c>
      <c r="T970" s="57" t="str">
        <f t="shared" si="46"/>
        <v>0-3 Days</v>
      </c>
      <c r="U970" s="58" t="str">
        <f t="shared" si="47"/>
        <v>Normal</v>
      </c>
    </row>
    <row r="971" spans="1:21" ht="23.25" customHeight="1" x14ac:dyDescent="0.35">
      <c r="A971" t="s">
        <v>2263</v>
      </c>
      <c r="B971" t="s">
        <v>2263</v>
      </c>
      <c r="C971">
        <v>2050</v>
      </c>
      <c r="D971">
        <v>0</v>
      </c>
      <c r="E971" t="s">
        <v>2346</v>
      </c>
      <c r="F971" t="s">
        <v>57</v>
      </c>
      <c r="G971" t="s">
        <v>57</v>
      </c>
      <c r="H971" t="s">
        <v>2347</v>
      </c>
      <c r="I971"/>
      <c r="J971"/>
      <c r="K971"/>
      <c r="L971"/>
      <c r="M971"/>
      <c r="N971"/>
      <c r="O971"/>
      <c r="P971"/>
      <c r="Q971"/>
      <c r="R971"/>
      <c r="S971" s="56">
        <f t="shared" si="45"/>
        <v>3</v>
      </c>
      <c r="T971" s="57" t="str">
        <f t="shared" si="46"/>
        <v>0-3 Days</v>
      </c>
      <c r="U971" s="58" t="str">
        <f t="shared" si="47"/>
        <v>Normal</v>
      </c>
    </row>
    <row r="972" spans="1:21" ht="23.25" customHeight="1" x14ac:dyDescent="0.35">
      <c r="A972" t="s">
        <v>2263</v>
      </c>
      <c r="B972" t="s">
        <v>2263</v>
      </c>
      <c r="C972">
        <v>2050</v>
      </c>
      <c r="D972">
        <v>0</v>
      </c>
      <c r="E972" t="s">
        <v>2348</v>
      </c>
      <c r="F972" t="s">
        <v>57</v>
      </c>
      <c r="G972" t="s">
        <v>57</v>
      </c>
      <c r="H972" t="s">
        <v>2349</v>
      </c>
      <c r="I972"/>
      <c r="J972"/>
      <c r="K972"/>
      <c r="L972"/>
      <c r="M972"/>
      <c r="N972"/>
      <c r="O972"/>
      <c r="P972"/>
      <c r="Q972"/>
      <c r="R972"/>
      <c r="S972" s="56">
        <f t="shared" si="45"/>
        <v>3</v>
      </c>
      <c r="T972" s="57" t="str">
        <f t="shared" si="46"/>
        <v>0-3 Days</v>
      </c>
      <c r="U972" s="58" t="str">
        <f t="shared" si="47"/>
        <v>Normal</v>
      </c>
    </row>
    <row r="973" spans="1:21" ht="23.25" customHeight="1" x14ac:dyDescent="0.35">
      <c r="A973" t="s">
        <v>2263</v>
      </c>
      <c r="B973" t="s">
        <v>2263</v>
      </c>
      <c r="C973">
        <v>1012</v>
      </c>
      <c r="D973">
        <v>0</v>
      </c>
      <c r="E973" t="s">
        <v>2350</v>
      </c>
      <c r="F973" t="s">
        <v>57</v>
      </c>
      <c r="G973" t="s">
        <v>57</v>
      </c>
      <c r="H973" t="s">
        <v>2351</v>
      </c>
      <c r="I973"/>
      <c r="J973"/>
      <c r="K973"/>
      <c r="L973"/>
      <c r="M973"/>
      <c r="N973"/>
      <c r="O973"/>
      <c r="P973"/>
      <c r="Q973"/>
      <c r="R973"/>
      <c r="S973" s="56">
        <f t="shared" si="45"/>
        <v>3</v>
      </c>
      <c r="T973" s="57" t="str">
        <f t="shared" si="46"/>
        <v>0-3 Days</v>
      </c>
      <c r="U973" s="58" t="str">
        <f t="shared" si="47"/>
        <v>Normal</v>
      </c>
    </row>
    <row r="974" spans="1:21" ht="23.25" customHeight="1" x14ac:dyDescent="0.35">
      <c r="A974" t="s">
        <v>2263</v>
      </c>
      <c r="B974" t="s">
        <v>2263</v>
      </c>
      <c r="C974">
        <v>1000</v>
      </c>
      <c r="D974">
        <v>0</v>
      </c>
      <c r="E974" t="s">
        <v>2352</v>
      </c>
      <c r="F974" t="s">
        <v>57</v>
      </c>
      <c r="G974" t="s">
        <v>57</v>
      </c>
      <c r="H974" t="s">
        <v>2353</v>
      </c>
      <c r="I974"/>
      <c r="J974"/>
      <c r="K974"/>
      <c r="L974"/>
      <c r="M974"/>
      <c r="N974"/>
      <c r="O974"/>
      <c r="P974"/>
      <c r="Q974"/>
      <c r="R974"/>
      <c r="S974" s="56">
        <f t="shared" si="45"/>
        <v>3</v>
      </c>
      <c r="T974" s="57" t="str">
        <f t="shared" si="46"/>
        <v>0-3 Days</v>
      </c>
      <c r="U974" s="58" t="str">
        <f t="shared" si="47"/>
        <v>Normal</v>
      </c>
    </row>
    <row r="975" spans="1:21" ht="23.25" customHeight="1" x14ac:dyDescent="0.35">
      <c r="A975" t="s">
        <v>2263</v>
      </c>
      <c r="B975" t="s">
        <v>2263</v>
      </c>
      <c r="C975">
        <v>250</v>
      </c>
      <c r="D975">
        <v>0</v>
      </c>
      <c r="E975" t="s">
        <v>2354</v>
      </c>
      <c r="F975" t="s">
        <v>57</v>
      </c>
      <c r="G975" t="s">
        <v>57</v>
      </c>
      <c r="H975" t="s">
        <v>2355</v>
      </c>
      <c r="I975"/>
      <c r="J975"/>
      <c r="K975"/>
      <c r="L975"/>
      <c r="M975"/>
      <c r="N975"/>
      <c r="O975"/>
      <c r="P975"/>
      <c r="Q975"/>
      <c r="R975"/>
      <c r="S975" s="56">
        <f t="shared" si="45"/>
        <v>3</v>
      </c>
      <c r="T975" s="57" t="str">
        <f t="shared" si="46"/>
        <v>0-3 Days</v>
      </c>
      <c r="U975" s="58" t="str">
        <f t="shared" si="47"/>
        <v>Normal</v>
      </c>
    </row>
    <row r="976" spans="1:21" ht="23.25" customHeight="1" x14ac:dyDescent="0.35">
      <c r="A976" t="s">
        <v>2263</v>
      </c>
      <c r="B976" t="s">
        <v>2263</v>
      </c>
      <c r="C976">
        <v>1000</v>
      </c>
      <c r="D976">
        <v>0</v>
      </c>
      <c r="E976" t="s">
        <v>2356</v>
      </c>
      <c r="F976" t="s">
        <v>57</v>
      </c>
      <c r="G976" t="s">
        <v>57</v>
      </c>
      <c r="H976" t="s">
        <v>2357</v>
      </c>
      <c r="I976"/>
      <c r="J976"/>
      <c r="K976"/>
      <c r="L976"/>
      <c r="M976"/>
      <c r="N976"/>
      <c r="O976"/>
      <c r="P976"/>
      <c r="Q976"/>
      <c r="R976"/>
      <c r="S976" s="56">
        <f t="shared" si="45"/>
        <v>3</v>
      </c>
      <c r="T976" s="57" t="str">
        <f t="shared" si="46"/>
        <v>0-3 Days</v>
      </c>
      <c r="U976" s="58" t="str">
        <f t="shared" si="47"/>
        <v>Normal</v>
      </c>
    </row>
    <row r="977" spans="1:21" ht="23.25" customHeight="1" x14ac:dyDescent="0.35">
      <c r="A977" t="s">
        <v>2263</v>
      </c>
      <c r="B977" t="s">
        <v>2263</v>
      </c>
      <c r="C977">
        <v>4615</v>
      </c>
      <c r="D977">
        <v>0</v>
      </c>
      <c r="E977" t="s">
        <v>2358</v>
      </c>
      <c r="F977" t="s">
        <v>57</v>
      </c>
      <c r="G977" t="s">
        <v>57</v>
      </c>
      <c r="H977" t="s">
        <v>2359</v>
      </c>
      <c r="I977"/>
      <c r="J977"/>
      <c r="K977"/>
      <c r="L977"/>
      <c r="M977"/>
      <c r="N977"/>
      <c r="O977"/>
      <c r="P977"/>
      <c r="Q977"/>
      <c r="R977"/>
      <c r="S977" s="56">
        <f t="shared" si="45"/>
        <v>3</v>
      </c>
      <c r="T977" s="57" t="str">
        <f t="shared" si="46"/>
        <v>0-3 Days</v>
      </c>
      <c r="U977" s="58" t="str">
        <f t="shared" si="47"/>
        <v>Normal</v>
      </c>
    </row>
    <row r="978" spans="1:21" ht="23.25" customHeight="1" x14ac:dyDescent="0.35">
      <c r="A978" t="s">
        <v>2263</v>
      </c>
      <c r="B978" t="s">
        <v>2263</v>
      </c>
      <c r="C978">
        <v>1000</v>
      </c>
      <c r="D978">
        <v>0</v>
      </c>
      <c r="E978" t="s">
        <v>2360</v>
      </c>
      <c r="F978" t="s">
        <v>57</v>
      </c>
      <c r="G978" t="s">
        <v>57</v>
      </c>
      <c r="H978" t="s">
        <v>2361</v>
      </c>
      <c r="I978"/>
      <c r="J978"/>
      <c r="K978"/>
      <c r="L978"/>
      <c r="M978"/>
      <c r="N978"/>
      <c r="O978"/>
      <c r="P978"/>
      <c r="Q978"/>
      <c r="R978"/>
      <c r="S978" s="56">
        <f t="shared" si="45"/>
        <v>3</v>
      </c>
      <c r="T978" s="57" t="str">
        <f t="shared" si="46"/>
        <v>0-3 Days</v>
      </c>
      <c r="U978" s="58" t="str">
        <f t="shared" si="47"/>
        <v>Normal</v>
      </c>
    </row>
    <row r="979" spans="1:21" ht="23.25" customHeight="1" x14ac:dyDescent="0.35">
      <c r="A979" t="s">
        <v>2263</v>
      </c>
      <c r="B979" t="s">
        <v>2263</v>
      </c>
      <c r="C979">
        <v>2650</v>
      </c>
      <c r="D979">
        <v>0</v>
      </c>
      <c r="E979" t="s">
        <v>2362</v>
      </c>
      <c r="F979" t="s">
        <v>57</v>
      </c>
      <c r="G979" t="s">
        <v>57</v>
      </c>
      <c r="H979" t="s">
        <v>2363</v>
      </c>
      <c r="I979"/>
      <c r="J979"/>
      <c r="K979"/>
      <c r="L979"/>
      <c r="M979"/>
      <c r="N979"/>
      <c r="O979"/>
      <c r="P979"/>
      <c r="Q979"/>
      <c r="R979"/>
      <c r="S979" s="56">
        <f t="shared" si="45"/>
        <v>3</v>
      </c>
      <c r="T979" s="57" t="str">
        <f t="shared" si="46"/>
        <v>0-3 Days</v>
      </c>
      <c r="U979" s="58" t="str">
        <f t="shared" si="47"/>
        <v>Normal</v>
      </c>
    </row>
    <row r="980" spans="1:21" ht="23.25" customHeight="1" x14ac:dyDescent="0.35">
      <c r="A980" t="s">
        <v>2263</v>
      </c>
      <c r="B980" t="s">
        <v>2263</v>
      </c>
      <c r="C980">
        <v>2050</v>
      </c>
      <c r="D980">
        <v>0</v>
      </c>
      <c r="E980" t="s">
        <v>2364</v>
      </c>
      <c r="F980" t="s">
        <v>57</v>
      </c>
      <c r="G980" t="s">
        <v>57</v>
      </c>
      <c r="H980" t="s">
        <v>2365</v>
      </c>
      <c r="I980"/>
      <c r="J980"/>
      <c r="K980"/>
      <c r="L980"/>
      <c r="M980"/>
      <c r="N980"/>
      <c r="O980"/>
      <c r="P980"/>
      <c r="Q980"/>
      <c r="R980"/>
      <c r="S980" s="56">
        <f t="shared" si="45"/>
        <v>3</v>
      </c>
      <c r="T980" s="57" t="str">
        <f t="shared" si="46"/>
        <v>0-3 Days</v>
      </c>
      <c r="U980" s="58" t="str">
        <f t="shared" si="47"/>
        <v>Normal</v>
      </c>
    </row>
    <row r="981" spans="1:21" ht="23.25" customHeight="1" x14ac:dyDescent="0.35">
      <c r="A981" t="s">
        <v>2263</v>
      </c>
      <c r="B981" t="s">
        <v>2263</v>
      </c>
      <c r="C981">
        <v>2050</v>
      </c>
      <c r="D981">
        <v>0</v>
      </c>
      <c r="E981" t="s">
        <v>2366</v>
      </c>
      <c r="F981" t="s">
        <v>57</v>
      </c>
      <c r="G981" t="s">
        <v>57</v>
      </c>
      <c r="H981" t="s">
        <v>2367</v>
      </c>
      <c r="I981"/>
      <c r="J981"/>
      <c r="K981"/>
      <c r="L981"/>
      <c r="M981"/>
      <c r="N981"/>
      <c r="O981"/>
      <c r="P981"/>
      <c r="Q981"/>
      <c r="R981"/>
      <c r="S981" s="56">
        <f t="shared" si="45"/>
        <v>3</v>
      </c>
      <c r="T981" s="57" t="str">
        <f t="shared" si="46"/>
        <v>0-3 Days</v>
      </c>
      <c r="U981" s="58" t="str">
        <f t="shared" si="47"/>
        <v>Normal</v>
      </c>
    </row>
    <row r="982" spans="1:21" ht="23.25" customHeight="1" x14ac:dyDescent="0.35">
      <c r="A982" t="s">
        <v>2263</v>
      </c>
      <c r="B982" t="s">
        <v>2263</v>
      </c>
      <c r="C982">
        <v>2050</v>
      </c>
      <c r="D982">
        <v>0</v>
      </c>
      <c r="E982" t="s">
        <v>2368</v>
      </c>
      <c r="F982" t="s">
        <v>57</v>
      </c>
      <c r="G982" t="s">
        <v>57</v>
      </c>
      <c r="H982" t="s">
        <v>2369</v>
      </c>
      <c r="I982"/>
      <c r="J982"/>
      <c r="K982"/>
      <c r="L982"/>
      <c r="M982"/>
      <c r="N982"/>
      <c r="O982"/>
      <c r="P982"/>
      <c r="Q982"/>
      <c r="R982"/>
      <c r="S982" s="56">
        <f t="shared" si="45"/>
        <v>3</v>
      </c>
      <c r="T982" s="57" t="str">
        <f t="shared" si="46"/>
        <v>0-3 Days</v>
      </c>
      <c r="U982" s="58" t="str">
        <f t="shared" si="47"/>
        <v>Normal</v>
      </c>
    </row>
    <row r="983" spans="1:21" ht="23.25" customHeight="1" x14ac:dyDescent="0.35">
      <c r="A983" t="s">
        <v>2263</v>
      </c>
      <c r="B983" t="s">
        <v>2263</v>
      </c>
      <c r="C983">
        <v>2650</v>
      </c>
      <c r="D983">
        <v>0</v>
      </c>
      <c r="E983" t="s">
        <v>2370</v>
      </c>
      <c r="F983" t="s">
        <v>57</v>
      </c>
      <c r="G983" t="s">
        <v>57</v>
      </c>
      <c r="H983" t="s">
        <v>2371</v>
      </c>
      <c r="I983"/>
      <c r="J983"/>
      <c r="K983"/>
      <c r="L983"/>
      <c r="M983"/>
      <c r="N983"/>
      <c r="O983"/>
      <c r="P983"/>
      <c r="Q983"/>
      <c r="R983"/>
      <c r="S983" s="56">
        <f t="shared" si="45"/>
        <v>3</v>
      </c>
      <c r="T983" s="57" t="str">
        <f t="shared" si="46"/>
        <v>0-3 Days</v>
      </c>
      <c r="U983" s="58" t="str">
        <f t="shared" si="47"/>
        <v>Normal</v>
      </c>
    </row>
    <row r="984" spans="1:21" ht="23.25" customHeight="1" x14ac:dyDescent="0.35">
      <c r="A984" t="s">
        <v>2263</v>
      </c>
      <c r="B984" t="s">
        <v>2263</v>
      </c>
      <c r="C984">
        <v>652</v>
      </c>
      <c r="D984">
        <v>0</v>
      </c>
      <c r="E984" t="s">
        <v>2372</v>
      </c>
      <c r="F984" t="s">
        <v>57</v>
      </c>
      <c r="G984" t="s">
        <v>57</v>
      </c>
      <c r="H984" t="s">
        <v>2373</v>
      </c>
      <c r="I984"/>
      <c r="J984"/>
      <c r="K984"/>
      <c r="L984"/>
      <c r="M984"/>
      <c r="N984"/>
      <c r="O984"/>
      <c r="P984"/>
      <c r="Q984"/>
      <c r="R984"/>
      <c r="S984" s="56">
        <f t="shared" si="45"/>
        <v>3</v>
      </c>
      <c r="T984" s="57" t="str">
        <f t="shared" si="46"/>
        <v>0-3 Days</v>
      </c>
      <c r="U984" s="58" t="str">
        <f t="shared" si="47"/>
        <v>Normal</v>
      </c>
    </row>
    <row r="985" spans="1:21" ht="23.25" customHeight="1" x14ac:dyDescent="0.35">
      <c r="A985" t="s">
        <v>2263</v>
      </c>
      <c r="B985" t="s">
        <v>2263</v>
      </c>
      <c r="C985">
        <v>231</v>
      </c>
      <c r="D985">
        <v>0</v>
      </c>
      <c r="E985" t="s">
        <v>2374</v>
      </c>
      <c r="F985" t="s">
        <v>57</v>
      </c>
      <c r="G985" t="s">
        <v>57</v>
      </c>
      <c r="H985" t="s">
        <v>2375</v>
      </c>
      <c r="I985"/>
      <c r="J985"/>
      <c r="K985"/>
      <c r="L985"/>
      <c r="M985"/>
      <c r="N985"/>
      <c r="O985"/>
      <c r="P985"/>
      <c r="Q985"/>
      <c r="R985"/>
      <c r="S985" s="56">
        <f t="shared" si="45"/>
        <v>3</v>
      </c>
      <c r="T985" s="57" t="str">
        <f t="shared" si="46"/>
        <v>0-3 Days</v>
      </c>
      <c r="U985" s="58" t="str">
        <f t="shared" si="47"/>
        <v>Normal</v>
      </c>
    </row>
    <row r="986" spans="1:21" ht="23.25" customHeight="1" x14ac:dyDescent="0.35">
      <c r="A986" t="s">
        <v>2263</v>
      </c>
      <c r="B986" t="s">
        <v>2263</v>
      </c>
      <c r="C986">
        <v>118</v>
      </c>
      <c r="D986">
        <v>0</v>
      </c>
      <c r="E986" t="s">
        <v>2376</v>
      </c>
      <c r="F986" t="s">
        <v>57</v>
      </c>
      <c r="G986" t="s">
        <v>57</v>
      </c>
      <c r="H986" t="s">
        <v>2377</v>
      </c>
      <c r="I986"/>
      <c r="J986"/>
      <c r="K986"/>
      <c r="L986"/>
      <c r="M986"/>
      <c r="N986"/>
      <c r="O986"/>
      <c r="P986"/>
      <c r="Q986"/>
      <c r="R986"/>
      <c r="S986" s="56">
        <f t="shared" si="45"/>
        <v>3</v>
      </c>
      <c r="T986" s="57" t="str">
        <f t="shared" si="46"/>
        <v>0-3 Days</v>
      </c>
      <c r="U986" s="58" t="str">
        <f t="shared" si="47"/>
        <v>Normal</v>
      </c>
    </row>
    <row r="987" spans="1:21" ht="23.25" customHeight="1" x14ac:dyDescent="0.35">
      <c r="A987" t="s">
        <v>2263</v>
      </c>
      <c r="B987" t="s">
        <v>2263</v>
      </c>
      <c r="C987">
        <v>1640</v>
      </c>
      <c r="D987">
        <v>0</v>
      </c>
      <c r="E987" t="s">
        <v>2378</v>
      </c>
      <c r="F987" t="s">
        <v>57</v>
      </c>
      <c r="G987" t="s">
        <v>57</v>
      </c>
      <c r="H987" t="s">
        <v>2379</v>
      </c>
      <c r="I987"/>
      <c r="J987"/>
      <c r="K987"/>
      <c r="L987"/>
      <c r="M987"/>
      <c r="N987"/>
      <c r="O987"/>
      <c r="P987"/>
      <c r="Q987"/>
      <c r="R987"/>
      <c r="S987" s="56">
        <f t="shared" si="45"/>
        <v>3</v>
      </c>
      <c r="T987" s="57" t="str">
        <f t="shared" si="46"/>
        <v>0-3 Days</v>
      </c>
      <c r="U987" s="58" t="str">
        <f t="shared" si="47"/>
        <v>Normal</v>
      </c>
    </row>
    <row r="988" spans="1:21" ht="23.25" customHeight="1" x14ac:dyDescent="0.35">
      <c r="A988" t="s">
        <v>2263</v>
      </c>
      <c r="B988" t="s">
        <v>2263</v>
      </c>
      <c r="C988">
        <v>2050</v>
      </c>
      <c r="D988">
        <v>0</v>
      </c>
      <c r="E988" t="s">
        <v>2380</v>
      </c>
      <c r="F988" t="s">
        <v>57</v>
      </c>
      <c r="G988" t="s">
        <v>57</v>
      </c>
      <c r="H988" t="s">
        <v>2381</v>
      </c>
      <c r="I988"/>
      <c r="J988"/>
      <c r="K988"/>
      <c r="L988"/>
      <c r="M988"/>
      <c r="N988"/>
      <c r="O988"/>
      <c r="P988"/>
      <c r="Q988"/>
      <c r="R988"/>
      <c r="S988" s="56">
        <f t="shared" si="45"/>
        <v>3</v>
      </c>
      <c r="T988" s="57" t="str">
        <f t="shared" si="46"/>
        <v>0-3 Days</v>
      </c>
      <c r="U988" s="58" t="str">
        <f t="shared" si="47"/>
        <v>Normal</v>
      </c>
    </row>
    <row r="989" spans="1:21" ht="23.25" customHeight="1" x14ac:dyDescent="0.35">
      <c r="A989" t="s">
        <v>2263</v>
      </c>
      <c r="B989" t="s">
        <v>2263</v>
      </c>
      <c r="C989">
        <v>2050</v>
      </c>
      <c r="D989">
        <v>0</v>
      </c>
      <c r="E989" t="s">
        <v>2382</v>
      </c>
      <c r="F989" t="s">
        <v>57</v>
      </c>
      <c r="G989" t="s">
        <v>57</v>
      </c>
      <c r="H989" t="s">
        <v>2383</v>
      </c>
      <c r="I989"/>
      <c r="J989"/>
      <c r="K989"/>
      <c r="L989"/>
      <c r="M989"/>
      <c r="N989"/>
      <c r="O989"/>
      <c r="P989"/>
      <c r="Q989"/>
      <c r="R989"/>
      <c r="S989" s="56">
        <f t="shared" si="45"/>
        <v>3</v>
      </c>
      <c r="T989" s="57" t="str">
        <f t="shared" si="46"/>
        <v>0-3 Days</v>
      </c>
      <c r="U989" s="58" t="str">
        <f t="shared" si="47"/>
        <v>Normal</v>
      </c>
    </row>
    <row r="990" spans="1:21" ht="23.25" customHeight="1" x14ac:dyDescent="0.35">
      <c r="A990" t="s">
        <v>2263</v>
      </c>
      <c r="B990" t="s">
        <v>2263</v>
      </c>
      <c r="C990">
        <v>1455</v>
      </c>
      <c r="D990">
        <v>0</v>
      </c>
      <c r="E990" t="s">
        <v>2384</v>
      </c>
      <c r="F990" t="s">
        <v>57</v>
      </c>
      <c r="G990" t="s">
        <v>57</v>
      </c>
      <c r="H990" t="s">
        <v>2385</v>
      </c>
      <c r="I990"/>
      <c r="J990"/>
      <c r="K990"/>
      <c r="L990"/>
      <c r="M990"/>
      <c r="N990"/>
      <c r="O990"/>
      <c r="P990"/>
      <c r="Q990"/>
      <c r="R990"/>
      <c r="S990" s="56">
        <f t="shared" si="45"/>
        <v>3</v>
      </c>
      <c r="T990" s="57" t="str">
        <f t="shared" si="46"/>
        <v>0-3 Days</v>
      </c>
      <c r="U990" s="58" t="str">
        <f t="shared" si="47"/>
        <v>Normal</v>
      </c>
    </row>
    <row r="991" spans="1:21" ht="23.25" customHeight="1" x14ac:dyDescent="0.35">
      <c r="A991" t="s">
        <v>2263</v>
      </c>
      <c r="B991" t="s">
        <v>2263</v>
      </c>
      <c r="C991">
        <v>1000</v>
      </c>
      <c r="D991">
        <v>0</v>
      </c>
      <c r="E991" t="s">
        <v>2386</v>
      </c>
      <c r="F991" t="s">
        <v>57</v>
      </c>
      <c r="G991" t="s">
        <v>57</v>
      </c>
      <c r="H991" t="s">
        <v>2387</v>
      </c>
      <c r="I991"/>
      <c r="J991"/>
      <c r="K991"/>
      <c r="L991"/>
      <c r="M991"/>
      <c r="N991"/>
      <c r="O991"/>
      <c r="P991"/>
      <c r="Q991"/>
      <c r="R991"/>
      <c r="S991" s="56">
        <f t="shared" si="45"/>
        <v>3</v>
      </c>
      <c r="T991" s="57" t="str">
        <f t="shared" si="46"/>
        <v>0-3 Days</v>
      </c>
      <c r="U991" s="58" t="str">
        <f t="shared" si="47"/>
        <v>Normal</v>
      </c>
    </row>
    <row r="992" spans="1:21" ht="23.25" customHeight="1" x14ac:dyDescent="0.35">
      <c r="A992" t="s">
        <v>2263</v>
      </c>
      <c r="B992" t="s">
        <v>2263</v>
      </c>
      <c r="C992">
        <v>205</v>
      </c>
      <c r="D992">
        <v>0</v>
      </c>
      <c r="E992" t="s">
        <v>2388</v>
      </c>
      <c r="F992" t="s">
        <v>57</v>
      </c>
      <c r="G992" t="s">
        <v>57</v>
      </c>
      <c r="H992" t="s">
        <v>2389</v>
      </c>
      <c r="I992"/>
      <c r="J992"/>
      <c r="K992"/>
      <c r="L992"/>
      <c r="M992"/>
      <c r="N992"/>
      <c r="O992"/>
      <c r="P992"/>
      <c r="Q992"/>
      <c r="R992"/>
      <c r="S992" s="56">
        <f t="shared" si="45"/>
        <v>3</v>
      </c>
      <c r="T992" s="57" t="str">
        <f t="shared" si="46"/>
        <v>0-3 Days</v>
      </c>
      <c r="U992" s="58" t="str">
        <f t="shared" si="47"/>
        <v>Normal</v>
      </c>
    </row>
    <row r="993" spans="1:21" ht="23.25" customHeight="1" x14ac:dyDescent="0.35">
      <c r="A993" t="s">
        <v>2263</v>
      </c>
      <c r="B993" t="s">
        <v>2263</v>
      </c>
      <c r="C993">
        <v>1000</v>
      </c>
      <c r="D993">
        <v>0</v>
      </c>
      <c r="E993" t="s">
        <v>2390</v>
      </c>
      <c r="F993" t="s">
        <v>57</v>
      </c>
      <c r="G993" t="s">
        <v>57</v>
      </c>
      <c r="H993" t="s">
        <v>2391</v>
      </c>
      <c r="I993"/>
      <c r="J993"/>
      <c r="K993"/>
      <c r="L993"/>
      <c r="M993"/>
      <c r="N993"/>
      <c r="O993"/>
      <c r="P993"/>
      <c r="Q993"/>
      <c r="R993"/>
      <c r="S993" s="56">
        <f t="shared" si="45"/>
        <v>3</v>
      </c>
      <c r="T993" s="57" t="str">
        <f t="shared" si="46"/>
        <v>0-3 Days</v>
      </c>
      <c r="U993" s="58" t="str">
        <f t="shared" si="47"/>
        <v>Normal</v>
      </c>
    </row>
    <row r="994" spans="1:21" ht="23.25" customHeight="1" x14ac:dyDescent="0.35">
      <c r="A994" t="s">
        <v>2263</v>
      </c>
      <c r="B994" t="s">
        <v>2263</v>
      </c>
      <c r="C994">
        <v>102</v>
      </c>
      <c r="D994">
        <v>0</v>
      </c>
      <c r="E994" t="s">
        <v>2392</v>
      </c>
      <c r="F994" t="s">
        <v>57</v>
      </c>
      <c r="G994" t="s">
        <v>57</v>
      </c>
      <c r="H994" t="s">
        <v>2393</v>
      </c>
      <c r="I994"/>
      <c r="J994"/>
      <c r="K994"/>
      <c r="L994"/>
      <c r="M994"/>
      <c r="N994"/>
      <c r="O994"/>
      <c r="P994"/>
      <c r="Q994"/>
      <c r="R994"/>
      <c r="S994" s="56">
        <f t="shared" si="45"/>
        <v>3</v>
      </c>
      <c r="T994" s="57" t="str">
        <f t="shared" si="46"/>
        <v>0-3 Days</v>
      </c>
      <c r="U994" s="58" t="str">
        <f t="shared" si="47"/>
        <v>Normal</v>
      </c>
    </row>
    <row r="995" spans="1:21" ht="23.25" customHeight="1" x14ac:dyDescent="0.35">
      <c r="A995" t="s">
        <v>2263</v>
      </c>
      <c r="B995" t="s">
        <v>2263</v>
      </c>
      <c r="C995">
        <v>0</v>
      </c>
      <c r="D995">
        <v>2055</v>
      </c>
      <c r="E995" t="s">
        <v>2394</v>
      </c>
      <c r="F995" t="s">
        <v>57</v>
      </c>
      <c r="G995" t="s">
        <v>57</v>
      </c>
      <c r="H995" t="s">
        <v>2395</v>
      </c>
      <c r="I995"/>
      <c r="J995"/>
      <c r="K995"/>
      <c r="L995"/>
      <c r="M995"/>
      <c r="N995"/>
      <c r="O995"/>
      <c r="P995"/>
      <c r="Q995"/>
      <c r="R995"/>
      <c r="S995" s="56">
        <f t="shared" si="45"/>
        <v>3</v>
      </c>
      <c r="T995" s="57" t="str">
        <f t="shared" si="46"/>
        <v>0-3 Days</v>
      </c>
      <c r="U995" s="58" t="str">
        <f t="shared" si="47"/>
        <v>Not Applicable</v>
      </c>
    </row>
    <row r="996" spans="1:21" ht="23.25" customHeight="1" x14ac:dyDescent="0.35">
      <c r="A996" t="s">
        <v>2263</v>
      </c>
      <c r="B996" t="s">
        <v>2263</v>
      </c>
      <c r="C996">
        <v>2050</v>
      </c>
      <c r="D996">
        <v>0</v>
      </c>
      <c r="E996" t="s">
        <v>2396</v>
      </c>
      <c r="F996" t="s">
        <v>57</v>
      </c>
      <c r="G996" t="s">
        <v>57</v>
      </c>
      <c r="H996" t="s">
        <v>2397</v>
      </c>
      <c r="I996"/>
      <c r="J996"/>
      <c r="K996"/>
      <c r="L996"/>
      <c r="M996"/>
      <c r="N996"/>
      <c r="O996"/>
      <c r="P996"/>
      <c r="Q996"/>
      <c r="R996"/>
      <c r="S996" s="56">
        <f t="shared" si="45"/>
        <v>3</v>
      </c>
      <c r="T996" s="57" t="str">
        <f t="shared" si="46"/>
        <v>0-3 Days</v>
      </c>
      <c r="U996" s="58" t="str">
        <f t="shared" si="47"/>
        <v>Normal</v>
      </c>
    </row>
    <row r="997" spans="1:21" ht="23.25" customHeight="1" x14ac:dyDescent="0.35">
      <c r="A997" t="s">
        <v>2263</v>
      </c>
      <c r="B997" t="s">
        <v>2263</v>
      </c>
      <c r="C997">
        <v>2050</v>
      </c>
      <c r="D997">
        <v>0</v>
      </c>
      <c r="E997" t="s">
        <v>2398</v>
      </c>
      <c r="F997" t="s">
        <v>57</v>
      </c>
      <c r="G997" t="s">
        <v>57</v>
      </c>
      <c r="H997" t="s">
        <v>2399</v>
      </c>
      <c r="I997"/>
      <c r="J997"/>
      <c r="K997"/>
      <c r="L997"/>
      <c r="M997"/>
      <c r="N997"/>
      <c r="O997"/>
      <c r="P997"/>
      <c r="Q997"/>
      <c r="R997"/>
      <c r="S997" s="56">
        <f t="shared" si="45"/>
        <v>3</v>
      </c>
      <c r="T997" s="57" t="str">
        <f t="shared" si="46"/>
        <v>0-3 Days</v>
      </c>
      <c r="U997" s="58" t="str">
        <f t="shared" si="47"/>
        <v>Normal</v>
      </c>
    </row>
    <row r="998" spans="1:21" ht="23.25" customHeight="1" x14ac:dyDescent="0.35">
      <c r="A998" t="s">
        <v>2263</v>
      </c>
      <c r="B998" t="s">
        <v>2263</v>
      </c>
      <c r="C998">
        <v>250</v>
      </c>
      <c r="D998">
        <v>0</v>
      </c>
      <c r="E998" t="s">
        <v>2400</v>
      </c>
      <c r="F998" t="s">
        <v>57</v>
      </c>
      <c r="G998" t="s">
        <v>57</v>
      </c>
      <c r="H998" t="s">
        <v>2401</v>
      </c>
      <c r="I998"/>
      <c r="J998"/>
      <c r="K998"/>
      <c r="L998"/>
      <c r="M998"/>
      <c r="N998"/>
      <c r="O998"/>
      <c r="P998"/>
      <c r="Q998"/>
      <c r="R998"/>
      <c r="S998" s="56">
        <f t="shared" si="45"/>
        <v>3</v>
      </c>
      <c r="T998" s="57" t="str">
        <f t="shared" si="46"/>
        <v>0-3 Days</v>
      </c>
      <c r="U998" s="58" t="str">
        <f t="shared" si="47"/>
        <v>Normal</v>
      </c>
    </row>
    <row r="999" spans="1:21" ht="23.25" customHeight="1" x14ac:dyDescent="0.35">
      <c r="A999" t="s">
        <v>2263</v>
      </c>
      <c r="B999" t="s">
        <v>2263</v>
      </c>
      <c r="C999">
        <v>0</v>
      </c>
      <c r="D999">
        <v>205</v>
      </c>
      <c r="E999" t="s">
        <v>2402</v>
      </c>
      <c r="F999" t="s">
        <v>57</v>
      </c>
      <c r="G999" t="s">
        <v>57</v>
      </c>
      <c r="H999" t="s">
        <v>2403</v>
      </c>
      <c r="I999"/>
      <c r="J999"/>
      <c r="K999"/>
      <c r="L999"/>
      <c r="M999"/>
      <c r="N999"/>
      <c r="O999"/>
      <c r="P999"/>
      <c r="Q999"/>
      <c r="R999"/>
      <c r="S999" s="56">
        <f t="shared" si="45"/>
        <v>3</v>
      </c>
      <c r="T999" s="57" t="str">
        <f t="shared" si="46"/>
        <v>0-3 Days</v>
      </c>
      <c r="U999" s="58" t="str">
        <f t="shared" si="47"/>
        <v>Not Applicable</v>
      </c>
    </row>
    <row r="1000" spans="1:21" ht="23.25" customHeight="1" x14ac:dyDescent="0.35">
      <c r="A1000" t="s">
        <v>2263</v>
      </c>
      <c r="B1000" t="s">
        <v>2263</v>
      </c>
      <c r="C1000">
        <v>808</v>
      </c>
      <c r="D1000">
        <v>0</v>
      </c>
      <c r="E1000" t="s">
        <v>2404</v>
      </c>
      <c r="F1000" t="s">
        <v>57</v>
      </c>
      <c r="G1000" t="s">
        <v>57</v>
      </c>
      <c r="H1000" t="s">
        <v>2405</v>
      </c>
      <c r="I1000"/>
      <c r="J1000"/>
      <c r="K1000"/>
      <c r="L1000"/>
      <c r="M1000"/>
      <c r="N1000"/>
      <c r="O1000"/>
      <c r="P1000"/>
      <c r="Q1000"/>
      <c r="R1000"/>
      <c r="S1000" s="56">
        <f t="shared" si="45"/>
        <v>3</v>
      </c>
      <c r="T1000" s="57" t="str">
        <f t="shared" si="46"/>
        <v>0-3 Days</v>
      </c>
      <c r="U1000" s="58" t="str">
        <f t="shared" si="47"/>
        <v>Normal</v>
      </c>
    </row>
    <row r="1001" spans="1:21" ht="23.25" customHeight="1" x14ac:dyDescent="0.35">
      <c r="A1001" t="s">
        <v>2263</v>
      </c>
      <c r="B1001" t="s">
        <v>2263</v>
      </c>
      <c r="C1001">
        <v>2650</v>
      </c>
      <c r="D1001">
        <v>0</v>
      </c>
      <c r="E1001" t="s">
        <v>2406</v>
      </c>
      <c r="F1001" t="s">
        <v>57</v>
      </c>
      <c r="G1001" t="s">
        <v>57</v>
      </c>
      <c r="H1001" t="s">
        <v>2407</v>
      </c>
      <c r="I1001"/>
      <c r="J1001"/>
      <c r="K1001"/>
      <c r="L1001"/>
      <c r="M1001"/>
      <c r="N1001"/>
      <c r="O1001"/>
      <c r="P1001"/>
      <c r="Q1001"/>
      <c r="R1001"/>
      <c r="S1001" s="56">
        <f t="shared" si="45"/>
        <v>3</v>
      </c>
      <c r="T1001" s="57" t="str">
        <f t="shared" si="46"/>
        <v>0-3 Days</v>
      </c>
      <c r="U1001" s="58" t="str">
        <f t="shared" si="47"/>
        <v>Normal</v>
      </c>
    </row>
    <row r="1002" spans="1:21" ht="23.25" customHeight="1" x14ac:dyDescent="0.35">
      <c r="A1002" t="s">
        <v>2263</v>
      </c>
      <c r="B1002" t="s">
        <v>2263</v>
      </c>
      <c r="C1002">
        <v>2650</v>
      </c>
      <c r="D1002">
        <v>0</v>
      </c>
      <c r="E1002" t="s">
        <v>2408</v>
      </c>
      <c r="F1002" t="s">
        <v>57</v>
      </c>
      <c r="G1002" t="s">
        <v>57</v>
      </c>
      <c r="H1002" t="s">
        <v>2409</v>
      </c>
      <c r="I1002"/>
      <c r="J1002"/>
      <c r="K1002"/>
      <c r="L1002"/>
      <c r="M1002"/>
      <c r="N1002"/>
      <c r="O1002"/>
      <c r="P1002"/>
      <c r="Q1002"/>
      <c r="R1002"/>
      <c r="S1002" s="56">
        <f t="shared" si="45"/>
        <v>3</v>
      </c>
      <c r="T1002" s="57" t="str">
        <f t="shared" si="46"/>
        <v>0-3 Days</v>
      </c>
      <c r="U1002" s="58" t="str">
        <f t="shared" si="47"/>
        <v>Normal</v>
      </c>
    </row>
    <row r="1003" spans="1:21" ht="23.25" customHeight="1" x14ac:dyDescent="0.35">
      <c r="A1003" t="s">
        <v>2263</v>
      </c>
      <c r="B1003" t="s">
        <v>2263</v>
      </c>
      <c r="C1003">
        <v>1000</v>
      </c>
      <c r="D1003">
        <v>0</v>
      </c>
      <c r="E1003" t="s">
        <v>2410</v>
      </c>
      <c r="F1003" t="s">
        <v>57</v>
      </c>
      <c r="G1003" t="s">
        <v>57</v>
      </c>
      <c r="H1003" t="s">
        <v>2411</v>
      </c>
      <c r="I1003"/>
      <c r="J1003"/>
      <c r="K1003"/>
      <c r="L1003"/>
      <c r="M1003"/>
      <c r="N1003"/>
      <c r="O1003"/>
      <c r="P1003"/>
      <c r="Q1003"/>
      <c r="R1003"/>
      <c r="S1003" s="56">
        <f t="shared" si="45"/>
        <v>3</v>
      </c>
      <c r="T1003" s="57" t="str">
        <f t="shared" si="46"/>
        <v>0-3 Days</v>
      </c>
      <c r="U1003" s="58" t="str">
        <f t="shared" si="47"/>
        <v>Normal</v>
      </c>
    </row>
    <row r="1004" spans="1:21" ht="23.25" customHeight="1" x14ac:dyDescent="0.35">
      <c r="A1004" t="s">
        <v>2263</v>
      </c>
      <c r="B1004" t="s">
        <v>2263</v>
      </c>
      <c r="C1004">
        <v>0</v>
      </c>
      <c r="D1004">
        <v>890628.38</v>
      </c>
      <c r="E1004" t="s">
        <v>2412</v>
      </c>
      <c r="F1004" t="s">
        <v>57</v>
      </c>
      <c r="G1004" t="s">
        <v>57</v>
      </c>
      <c r="H1004" t="s">
        <v>2413</v>
      </c>
      <c r="I1004"/>
      <c r="J1004"/>
      <c r="K1004"/>
      <c r="L1004"/>
      <c r="M1004"/>
      <c r="N1004"/>
      <c r="O1004"/>
      <c r="P1004"/>
      <c r="Q1004"/>
      <c r="R1004"/>
      <c r="S1004" s="56">
        <f t="shared" si="45"/>
        <v>3</v>
      </c>
      <c r="T1004" s="57" t="str">
        <f t="shared" si="46"/>
        <v>0-3 Days</v>
      </c>
      <c r="U1004" s="58" t="str">
        <f t="shared" si="47"/>
        <v>Not Applicable</v>
      </c>
    </row>
    <row r="1005" spans="1:21" ht="23.25" customHeight="1" x14ac:dyDescent="0.35">
      <c r="A1005" t="s">
        <v>2263</v>
      </c>
      <c r="B1005" t="s">
        <v>2263</v>
      </c>
      <c r="C1005">
        <v>1000</v>
      </c>
      <c r="D1005">
        <v>0</v>
      </c>
      <c r="E1005" t="s">
        <v>2414</v>
      </c>
      <c r="F1005" t="s">
        <v>57</v>
      </c>
      <c r="G1005" t="s">
        <v>57</v>
      </c>
      <c r="H1005" t="s">
        <v>2415</v>
      </c>
      <c r="I1005"/>
      <c r="J1005"/>
      <c r="K1005"/>
      <c r="L1005"/>
      <c r="M1005"/>
      <c r="N1005"/>
      <c r="O1005"/>
      <c r="P1005"/>
      <c r="Q1005"/>
      <c r="R1005"/>
      <c r="S1005" s="56">
        <f t="shared" si="45"/>
        <v>3</v>
      </c>
      <c r="T1005" s="57" t="str">
        <f t="shared" si="46"/>
        <v>0-3 Days</v>
      </c>
      <c r="U1005" s="58" t="str">
        <f t="shared" si="47"/>
        <v>Normal</v>
      </c>
    </row>
    <row r="1006" spans="1:21" ht="23.25" customHeight="1" x14ac:dyDescent="0.35">
      <c r="A1006" t="s">
        <v>2263</v>
      </c>
      <c r="B1006" t="s">
        <v>2263</v>
      </c>
      <c r="C1006">
        <v>2650</v>
      </c>
      <c r="D1006">
        <v>0</v>
      </c>
      <c r="E1006" t="s">
        <v>2416</v>
      </c>
      <c r="F1006" t="s">
        <v>57</v>
      </c>
      <c r="G1006" t="s">
        <v>57</v>
      </c>
      <c r="H1006" t="s">
        <v>2417</v>
      </c>
      <c r="I1006"/>
      <c r="J1006"/>
      <c r="K1006"/>
      <c r="L1006"/>
      <c r="M1006"/>
      <c r="N1006"/>
      <c r="O1006"/>
      <c r="P1006"/>
      <c r="Q1006"/>
      <c r="R1006"/>
      <c r="S1006" s="56">
        <f t="shared" si="45"/>
        <v>3</v>
      </c>
      <c r="T1006" s="57" t="str">
        <f t="shared" si="46"/>
        <v>0-3 Days</v>
      </c>
      <c r="U1006" s="58" t="str">
        <f t="shared" si="47"/>
        <v>Normal</v>
      </c>
    </row>
    <row r="1007" spans="1:21" ht="23.25" customHeight="1" x14ac:dyDescent="0.35">
      <c r="A1007" t="s">
        <v>2263</v>
      </c>
      <c r="B1007" t="s">
        <v>2263</v>
      </c>
      <c r="C1007">
        <v>2700</v>
      </c>
      <c r="D1007">
        <v>0</v>
      </c>
      <c r="E1007" t="s">
        <v>2418</v>
      </c>
      <c r="F1007" t="s">
        <v>57</v>
      </c>
      <c r="G1007" t="s">
        <v>57</v>
      </c>
      <c r="H1007" t="s">
        <v>2419</v>
      </c>
      <c r="I1007"/>
      <c r="J1007"/>
      <c r="K1007"/>
      <c r="L1007"/>
      <c r="M1007"/>
      <c r="N1007"/>
      <c r="O1007"/>
      <c r="P1007"/>
      <c r="Q1007"/>
      <c r="R1007"/>
      <c r="S1007" s="56">
        <f t="shared" si="45"/>
        <v>3</v>
      </c>
      <c r="T1007" s="57" t="str">
        <f t="shared" si="46"/>
        <v>0-3 Days</v>
      </c>
      <c r="U1007" s="58" t="str">
        <f t="shared" si="47"/>
        <v>Normal</v>
      </c>
    </row>
    <row r="1008" spans="1:21" ht="23.25" customHeight="1" x14ac:dyDescent="0.35">
      <c r="A1008" t="s">
        <v>2263</v>
      </c>
      <c r="B1008" t="s">
        <v>2263</v>
      </c>
      <c r="C1008">
        <v>2700</v>
      </c>
      <c r="D1008">
        <v>0</v>
      </c>
      <c r="E1008" t="s">
        <v>2420</v>
      </c>
      <c r="F1008" t="s">
        <v>57</v>
      </c>
      <c r="G1008" t="s">
        <v>57</v>
      </c>
      <c r="H1008" t="s">
        <v>2421</v>
      </c>
      <c r="I1008"/>
      <c r="J1008"/>
      <c r="K1008"/>
      <c r="L1008"/>
      <c r="M1008"/>
      <c r="N1008"/>
      <c r="O1008"/>
      <c r="P1008"/>
      <c r="Q1008"/>
      <c r="R1008"/>
      <c r="S1008" s="56">
        <f t="shared" si="45"/>
        <v>3</v>
      </c>
      <c r="T1008" s="57" t="str">
        <f t="shared" si="46"/>
        <v>0-3 Days</v>
      </c>
      <c r="U1008" s="58" t="str">
        <f t="shared" si="47"/>
        <v>Normal</v>
      </c>
    </row>
    <row r="1009" spans="1:21" ht="23.25" customHeight="1" x14ac:dyDescent="0.35">
      <c r="A1009" t="s">
        <v>2263</v>
      </c>
      <c r="B1009" t="s">
        <v>2263</v>
      </c>
      <c r="C1009">
        <v>248</v>
      </c>
      <c r="D1009">
        <v>0</v>
      </c>
      <c r="E1009" t="s">
        <v>2422</v>
      </c>
      <c r="F1009" t="s">
        <v>57</v>
      </c>
      <c r="G1009" t="s">
        <v>57</v>
      </c>
      <c r="H1009" t="s">
        <v>2423</v>
      </c>
      <c r="I1009"/>
      <c r="J1009"/>
      <c r="K1009"/>
      <c r="L1009"/>
      <c r="M1009"/>
      <c r="N1009"/>
      <c r="O1009"/>
      <c r="P1009"/>
      <c r="Q1009"/>
      <c r="R1009"/>
      <c r="S1009" s="56">
        <f t="shared" si="45"/>
        <v>3</v>
      </c>
      <c r="T1009" s="57" t="str">
        <f t="shared" si="46"/>
        <v>0-3 Days</v>
      </c>
      <c r="U1009" s="58" t="str">
        <f t="shared" si="47"/>
        <v>Normal</v>
      </c>
    </row>
    <row r="1010" spans="1:21" ht="23.25" customHeight="1" x14ac:dyDescent="0.35">
      <c r="A1010" t="s">
        <v>2263</v>
      </c>
      <c r="B1010" t="s">
        <v>2263</v>
      </c>
      <c r="C1010">
        <v>550</v>
      </c>
      <c r="D1010">
        <v>0</v>
      </c>
      <c r="E1010" t="s">
        <v>2424</v>
      </c>
      <c r="F1010" t="s">
        <v>57</v>
      </c>
      <c r="G1010" t="s">
        <v>57</v>
      </c>
      <c r="H1010" t="s">
        <v>2425</v>
      </c>
      <c r="I1010"/>
      <c r="J1010"/>
      <c r="K1010"/>
      <c r="L1010"/>
      <c r="M1010"/>
      <c r="N1010"/>
      <c r="O1010"/>
      <c r="P1010"/>
      <c r="Q1010"/>
      <c r="R1010"/>
      <c r="S1010" s="56">
        <f t="shared" si="45"/>
        <v>3</v>
      </c>
      <c r="T1010" s="57" t="str">
        <f t="shared" si="46"/>
        <v>0-3 Days</v>
      </c>
      <c r="U1010" s="58" t="str">
        <f t="shared" si="47"/>
        <v>Normal</v>
      </c>
    </row>
    <row r="1011" spans="1:21" ht="23.25" customHeight="1" x14ac:dyDescent="0.35">
      <c r="A1011" t="s">
        <v>2263</v>
      </c>
      <c r="B1011" t="s">
        <v>2263</v>
      </c>
      <c r="C1011">
        <v>1000</v>
      </c>
      <c r="D1011">
        <v>0</v>
      </c>
      <c r="E1011" t="s">
        <v>2426</v>
      </c>
      <c r="F1011" t="s">
        <v>57</v>
      </c>
      <c r="G1011" t="s">
        <v>57</v>
      </c>
      <c r="H1011" t="s">
        <v>2427</v>
      </c>
      <c r="I1011"/>
      <c r="J1011"/>
      <c r="K1011"/>
      <c r="L1011"/>
      <c r="M1011"/>
      <c r="N1011"/>
      <c r="O1011"/>
      <c r="P1011"/>
      <c r="Q1011"/>
      <c r="R1011"/>
      <c r="S1011" s="56">
        <f t="shared" si="45"/>
        <v>3</v>
      </c>
      <c r="T1011" s="57" t="str">
        <f t="shared" si="46"/>
        <v>0-3 Days</v>
      </c>
      <c r="U1011" s="58" t="str">
        <f t="shared" si="47"/>
        <v>Normal</v>
      </c>
    </row>
    <row r="1012" spans="1:21" ht="23.25" customHeight="1" x14ac:dyDescent="0.35">
      <c r="A1012" t="s">
        <v>2263</v>
      </c>
      <c r="B1012" t="s">
        <v>2263</v>
      </c>
      <c r="C1012">
        <v>250</v>
      </c>
      <c r="D1012">
        <v>0</v>
      </c>
      <c r="E1012" t="s">
        <v>2428</v>
      </c>
      <c r="F1012" t="s">
        <v>57</v>
      </c>
      <c r="G1012" t="s">
        <v>57</v>
      </c>
      <c r="H1012" t="s">
        <v>2429</v>
      </c>
      <c r="I1012"/>
      <c r="J1012"/>
      <c r="K1012"/>
      <c r="L1012"/>
      <c r="M1012"/>
      <c r="N1012"/>
      <c r="O1012"/>
      <c r="P1012"/>
      <c r="Q1012"/>
      <c r="R1012"/>
      <c r="S1012" s="56">
        <f t="shared" si="45"/>
        <v>3</v>
      </c>
      <c r="T1012" s="57" t="str">
        <f t="shared" si="46"/>
        <v>0-3 Days</v>
      </c>
      <c r="U1012" s="58" t="str">
        <f t="shared" si="47"/>
        <v>Normal</v>
      </c>
    </row>
    <row r="1013" spans="1:21" ht="23.25" customHeight="1" x14ac:dyDescent="0.35">
      <c r="A1013" t="s">
        <v>2263</v>
      </c>
      <c r="B1013" t="s">
        <v>2263</v>
      </c>
      <c r="C1013">
        <v>2650</v>
      </c>
      <c r="D1013">
        <v>0</v>
      </c>
      <c r="E1013" t="s">
        <v>2430</v>
      </c>
      <c r="F1013" t="s">
        <v>57</v>
      </c>
      <c r="G1013" t="s">
        <v>57</v>
      </c>
      <c r="H1013" t="s">
        <v>2431</v>
      </c>
      <c r="I1013"/>
      <c r="J1013"/>
      <c r="K1013"/>
      <c r="L1013"/>
      <c r="M1013"/>
      <c r="N1013"/>
      <c r="O1013"/>
      <c r="P1013"/>
      <c r="Q1013"/>
      <c r="R1013"/>
      <c r="S1013" s="56">
        <f t="shared" si="45"/>
        <v>3</v>
      </c>
      <c r="T1013" s="57" t="str">
        <f t="shared" si="46"/>
        <v>0-3 Days</v>
      </c>
      <c r="U1013" s="58" t="str">
        <f t="shared" si="47"/>
        <v>Normal</v>
      </c>
    </row>
    <row r="1014" spans="1:21" ht="23.25" customHeight="1" x14ac:dyDescent="0.35">
      <c r="A1014" t="s">
        <v>2263</v>
      </c>
      <c r="B1014" t="s">
        <v>2263</v>
      </c>
      <c r="C1014">
        <v>3050</v>
      </c>
      <c r="D1014">
        <v>0</v>
      </c>
      <c r="E1014" t="s">
        <v>2432</v>
      </c>
      <c r="F1014" t="s">
        <v>57</v>
      </c>
      <c r="G1014" t="s">
        <v>57</v>
      </c>
      <c r="H1014" t="s">
        <v>2433</v>
      </c>
      <c r="I1014"/>
      <c r="J1014"/>
      <c r="K1014"/>
      <c r="L1014"/>
      <c r="M1014"/>
      <c r="N1014"/>
      <c r="O1014"/>
      <c r="P1014"/>
      <c r="Q1014"/>
      <c r="R1014"/>
      <c r="S1014" s="56">
        <f t="shared" si="45"/>
        <v>3</v>
      </c>
      <c r="T1014" s="57" t="str">
        <f t="shared" si="46"/>
        <v>0-3 Days</v>
      </c>
      <c r="U1014" s="58" t="str">
        <f t="shared" si="47"/>
        <v>Normal</v>
      </c>
    </row>
    <row r="1015" spans="1:21" ht="23.25" customHeight="1" x14ac:dyDescent="0.35">
      <c r="A1015" t="s">
        <v>2263</v>
      </c>
      <c r="B1015" t="s">
        <v>2263</v>
      </c>
      <c r="C1015">
        <v>1472</v>
      </c>
      <c r="D1015">
        <v>0</v>
      </c>
      <c r="E1015" t="s">
        <v>2434</v>
      </c>
      <c r="F1015" t="s">
        <v>57</v>
      </c>
      <c r="G1015" t="s">
        <v>57</v>
      </c>
      <c r="H1015" t="s">
        <v>2435</v>
      </c>
      <c r="I1015"/>
      <c r="J1015"/>
      <c r="K1015"/>
      <c r="L1015"/>
      <c r="M1015"/>
      <c r="N1015"/>
      <c r="O1015"/>
      <c r="P1015"/>
      <c r="Q1015"/>
      <c r="R1015"/>
      <c r="S1015" s="56">
        <f t="shared" si="45"/>
        <v>3</v>
      </c>
      <c r="T1015" s="57" t="str">
        <f t="shared" si="46"/>
        <v>0-3 Days</v>
      </c>
      <c r="U1015" s="58" t="str">
        <f t="shared" si="47"/>
        <v>Normal</v>
      </c>
    </row>
    <row r="1016" spans="1:21" ht="23.25" customHeight="1" x14ac:dyDescent="0.35">
      <c r="A1016" t="s">
        <v>2263</v>
      </c>
      <c r="B1016" t="s">
        <v>2263</v>
      </c>
      <c r="C1016">
        <v>800</v>
      </c>
      <c r="D1016">
        <v>0</v>
      </c>
      <c r="E1016" t="s">
        <v>2436</v>
      </c>
      <c r="F1016" t="s">
        <v>57</v>
      </c>
      <c r="G1016" t="s">
        <v>57</v>
      </c>
      <c r="H1016" t="s">
        <v>2437</v>
      </c>
      <c r="I1016"/>
      <c r="J1016"/>
      <c r="K1016"/>
      <c r="L1016"/>
      <c r="M1016"/>
      <c r="N1016"/>
      <c r="O1016"/>
      <c r="P1016"/>
      <c r="Q1016"/>
      <c r="R1016"/>
      <c r="S1016" s="56">
        <f t="shared" si="45"/>
        <v>3</v>
      </c>
      <c r="T1016" s="57" t="str">
        <f t="shared" si="46"/>
        <v>0-3 Days</v>
      </c>
      <c r="U1016" s="58" t="str">
        <f t="shared" si="47"/>
        <v>Normal</v>
      </c>
    </row>
    <row r="1017" spans="1:21" ht="23.25" customHeight="1" x14ac:dyDescent="0.35">
      <c r="A1017" t="s">
        <v>2263</v>
      </c>
      <c r="B1017" t="s">
        <v>2263</v>
      </c>
      <c r="C1017">
        <v>1130</v>
      </c>
      <c r="D1017">
        <v>0</v>
      </c>
      <c r="E1017" t="s">
        <v>2438</v>
      </c>
      <c r="F1017" t="s">
        <v>57</v>
      </c>
      <c r="G1017" t="s">
        <v>57</v>
      </c>
      <c r="H1017" t="s">
        <v>2439</v>
      </c>
      <c r="I1017"/>
      <c r="J1017"/>
      <c r="K1017"/>
      <c r="L1017"/>
      <c r="M1017"/>
      <c r="N1017"/>
      <c r="O1017"/>
      <c r="P1017"/>
      <c r="Q1017"/>
      <c r="R1017"/>
      <c r="S1017" s="56">
        <f t="shared" si="45"/>
        <v>3</v>
      </c>
      <c r="T1017" s="57" t="str">
        <f t="shared" si="46"/>
        <v>0-3 Days</v>
      </c>
      <c r="U1017" s="58" t="str">
        <f t="shared" si="47"/>
        <v>Normal</v>
      </c>
    </row>
    <row r="1018" spans="1:21" ht="23.25" customHeight="1" x14ac:dyDescent="0.35">
      <c r="A1018" t="s">
        <v>2263</v>
      </c>
      <c r="B1018" t="s">
        <v>2263</v>
      </c>
      <c r="C1018">
        <v>2100</v>
      </c>
      <c r="D1018">
        <v>0</v>
      </c>
      <c r="E1018" t="s">
        <v>2440</v>
      </c>
      <c r="F1018" t="s">
        <v>57</v>
      </c>
      <c r="G1018" t="s">
        <v>57</v>
      </c>
      <c r="H1018" t="s">
        <v>2441</v>
      </c>
      <c r="I1018"/>
      <c r="J1018"/>
      <c r="K1018"/>
      <c r="L1018"/>
      <c r="M1018"/>
      <c r="N1018"/>
      <c r="O1018"/>
      <c r="P1018"/>
      <c r="Q1018"/>
      <c r="R1018"/>
      <c r="S1018" s="56">
        <f t="shared" si="45"/>
        <v>3</v>
      </c>
      <c r="T1018" s="57" t="str">
        <f t="shared" si="46"/>
        <v>0-3 Days</v>
      </c>
      <c r="U1018" s="58" t="str">
        <f t="shared" si="47"/>
        <v>Normal</v>
      </c>
    </row>
    <row r="1019" spans="1:21" ht="23.25" customHeight="1" x14ac:dyDescent="0.35">
      <c r="A1019" t="s">
        <v>2263</v>
      </c>
      <c r="B1019" t="s">
        <v>2263</v>
      </c>
      <c r="C1019">
        <v>2426</v>
      </c>
      <c r="D1019">
        <v>0</v>
      </c>
      <c r="E1019" t="s">
        <v>2442</v>
      </c>
      <c r="F1019" t="s">
        <v>57</v>
      </c>
      <c r="G1019" t="s">
        <v>57</v>
      </c>
      <c r="H1019" t="s">
        <v>2443</v>
      </c>
      <c r="I1019"/>
      <c r="J1019"/>
      <c r="K1019"/>
      <c r="L1019"/>
      <c r="M1019"/>
      <c r="N1019"/>
      <c r="O1019"/>
      <c r="P1019"/>
      <c r="Q1019"/>
      <c r="R1019"/>
      <c r="S1019" s="56">
        <f t="shared" si="45"/>
        <v>3</v>
      </c>
      <c r="T1019" s="57" t="str">
        <f t="shared" si="46"/>
        <v>0-3 Days</v>
      </c>
      <c r="U1019" s="58" t="str">
        <f t="shared" si="47"/>
        <v>Normal</v>
      </c>
    </row>
    <row r="1020" spans="1:21" ht="23.25" customHeight="1" x14ac:dyDescent="0.35">
      <c r="A1020" t="s">
        <v>2263</v>
      </c>
      <c r="B1020" t="s">
        <v>2263</v>
      </c>
      <c r="C1020">
        <v>1000</v>
      </c>
      <c r="D1020">
        <v>0</v>
      </c>
      <c r="E1020" t="s">
        <v>2444</v>
      </c>
      <c r="F1020" t="s">
        <v>57</v>
      </c>
      <c r="G1020" t="s">
        <v>57</v>
      </c>
      <c r="H1020" t="s">
        <v>2445</v>
      </c>
      <c r="I1020"/>
      <c r="J1020"/>
      <c r="K1020"/>
      <c r="L1020"/>
      <c r="M1020"/>
      <c r="N1020"/>
      <c r="O1020"/>
      <c r="P1020"/>
      <c r="Q1020"/>
      <c r="R1020"/>
      <c r="S1020" s="56">
        <f t="shared" si="45"/>
        <v>3</v>
      </c>
      <c r="T1020" s="57" t="str">
        <f t="shared" si="46"/>
        <v>0-3 Days</v>
      </c>
      <c r="U1020" s="58" t="str">
        <f t="shared" si="47"/>
        <v>Normal</v>
      </c>
    </row>
    <row r="1021" spans="1:21" ht="23.25" customHeight="1" x14ac:dyDescent="0.35">
      <c r="A1021" t="s">
        <v>2263</v>
      </c>
      <c r="B1021" t="s">
        <v>2263</v>
      </c>
      <c r="C1021">
        <v>962</v>
      </c>
      <c r="D1021">
        <v>0</v>
      </c>
      <c r="E1021" t="s">
        <v>2446</v>
      </c>
      <c r="F1021" t="s">
        <v>57</v>
      </c>
      <c r="G1021" t="s">
        <v>57</v>
      </c>
      <c r="H1021" t="s">
        <v>2447</v>
      </c>
      <c r="I1021"/>
      <c r="J1021"/>
      <c r="K1021"/>
      <c r="L1021"/>
      <c r="M1021"/>
      <c r="N1021"/>
      <c r="O1021"/>
      <c r="P1021"/>
      <c r="Q1021"/>
      <c r="R1021"/>
      <c r="S1021" s="56">
        <f t="shared" si="45"/>
        <v>3</v>
      </c>
      <c r="T1021" s="57" t="str">
        <f t="shared" si="46"/>
        <v>0-3 Days</v>
      </c>
      <c r="U1021" s="58" t="str">
        <f t="shared" si="47"/>
        <v>Normal</v>
      </c>
    </row>
    <row r="1022" spans="1:21" ht="23.25" customHeight="1" x14ac:dyDescent="0.35">
      <c r="A1022" t="s">
        <v>2263</v>
      </c>
      <c r="B1022" t="s">
        <v>2263</v>
      </c>
      <c r="C1022">
        <v>1000</v>
      </c>
      <c r="D1022">
        <v>0</v>
      </c>
      <c r="E1022" t="s">
        <v>2448</v>
      </c>
      <c r="F1022" t="s">
        <v>57</v>
      </c>
      <c r="G1022" t="s">
        <v>57</v>
      </c>
      <c r="H1022" t="s">
        <v>2449</v>
      </c>
      <c r="I1022"/>
      <c r="J1022"/>
      <c r="K1022"/>
      <c r="L1022"/>
      <c r="M1022"/>
      <c r="N1022"/>
      <c r="O1022"/>
      <c r="P1022"/>
      <c r="Q1022"/>
      <c r="R1022"/>
      <c r="S1022" s="56">
        <f t="shared" si="45"/>
        <v>3</v>
      </c>
      <c r="T1022" s="57" t="str">
        <f t="shared" si="46"/>
        <v>0-3 Days</v>
      </c>
      <c r="U1022" s="58" t="str">
        <f t="shared" si="47"/>
        <v>Normal</v>
      </c>
    </row>
    <row r="1023" spans="1:21" ht="23.25" customHeight="1" x14ac:dyDescent="0.35">
      <c r="A1023" t="s">
        <v>2263</v>
      </c>
      <c r="B1023" t="s">
        <v>2263</v>
      </c>
      <c r="C1023">
        <v>550</v>
      </c>
      <c r="D1023">
        <v>0</v>
      </c>
      <c r="E1023" t="s">
        <v>2450</v>
      </c>
      <c r="F1023" t="s">
        <v>57</v>
      </c>
      <c r="G1023" t="s">
        <v>57</v>
      </c>
      <c r="H1023" t="s">
        <v>2451</v>
      </c>
      <c r="I1023"/>
      <c r="J1023"/>
      <c r="K1023"/>
      <c r="L1023"/>
      <c r="M1023"/>
      <c r="N1023"/>
      <c r="O1023"/>
      <c r="P1023"/>
      <c r="Q1023"/>
      <c r="R1023"/>
      <c r="S1023" s="56">
        <f t="shared" si="45"/>
        <v>3</v>
      </c>
      <c r="T1023" s="57" t="str">
        <f t="shared" si="46"/>
        <v>0-3 Days</v>
      </c>
      <c r="U1023" s="58" t="str">
        <f t="shared" si="47"/>
        <v>Normal</v>
      </c>
    </row>
    <row r="1024" spans="1:21" ht="23.25" customHeight="1" x14ac:dyDescent="0.35">
      <c r="A1024" t="s">
        <v>2263</v>
      </c>
      <c r="B1024" t="s">
        <v>2263</v>
      </c>
      <c r="C1024">
        <v>0</v>
      </c>
      <c r="D1024">
        <v>1000</v>
      </c>
      <c r="E1024" t="s">
        <v>2452</v>
      </c>
      <c r="F1024" t="s">
        <v>57</v>
      </c>
      <c r="G1024" t="s">
        <v>57</v>
      </c>
      <c r="H1024" t="s">
        <v>2453</v>
      </c>
      <c r="I1024"/>
      <c r="J1024"/>
      <c r="K1024"/>
      <c r="L1024"/>
      <c r="M1024"/>
      <c r="N1024"/>
      <c r="O1024"/>
      <c r="P1024"/>
      <c r="Q1024"/>
      <c r="R1024"/>
      <c r="S1024" s="56">
        <f t="shared" si="45"/>
        <v>3</v>
      </c>
      <c r="T1024" s="57" t="str">
        <f t="shared" si="46"/>
        <v>0-3 Days</v>
      </c>
      <c r="U1024" s="58" t="str">
        <f t="shared" si="47"/>
        <v>Not Applicable</v>
      </c>
    </row>
    <row r="1025" spans="1:21" ht="23.25" customHeight="1" x14ac:dyDescent="0.35">
      <c r="A1025" t="s">
        <v>2263</v>
      </c>
      <c r="B1025" t="s">
        <v>2263</v>
      </c>
      <c r="C1025">
        <v>828</v>
      </c>
      <c r="D1025">
        <v>0</v>
      </c>
      <c r="E1025" t="s">
        <v>2454</v>
      </c>
      <c r="F1025" t="s">
        <v>57</v>
      </c>
      <c r="G1025" t="s">
        <v>57</v>
      </c>
      <c r="H1025" t="s">
        <v>2455</v>
      </c>
      <c r="I1025"/>
      <c r="J1025"/>
      <c r="K1025"/>
      <c r="L1025"/>
      <c r="M1025"/>
      <c r="N1025"/>
      <c r="O1025"/>
      <c r="P1025"/>
      <c r="Q1025"/>
      <c r="R1025"/>
      <c r="S1025" s="56">
        <f t="shared" si="45"/>
        <v>3</v>
      </c>
      <c r="T1025" s="57" t="str">
        <f t="shared" si="46"/>
        <v>0-3 Days</v>
      </c>
      <c r="U1025" s="58" t="str">
        <f t="shared" si="47"/>
        <v>Normal</v>
      </c>
    </row>
    <row r="1026" spans="1:21" ht="23.25" customHeight="1" x14ac:dyDescent="0.35">
      <c r="A1026" t="s">
        <v>2263</v>
      </c>
      <c r="B1026" t="s">
        <v>2263</v>
      </c>
      <c r="C1026">
        <v>250</v>
      </c>
      <c r="D1026">
        <v>0</v>
      </c>
      <c r="E1026" t="s">
        <v>2456</v>
      </c>
      <c r="F1026" t="s">
        <v>57</v>
      </c>
      <c r="G1026" t="s">
        <v>57</v>
      </c>
      <c r="H1026" t="s">
        <v>2457</v>
      </c>
      <c r="I1026"/>
      <c r="J1026"/>
      <c r="K1026"/>
      <c r="L1026"/>
      <c r="M1026"/>
      <c r="N1026"/>
      <c r="O1026"/>
      <c r="P1026"/>
      <c r="Q1026"/>
      <c r="R1026"/>
      <c r="S1026" s="56">
        <f t="shared" si="45"/>
        <v>3</v>
      </c>
      <c r="T1026" s="57" t="str">
        <f t="shared" si="46"/>
        <v>0-3 Days</v>
      </c>
      <c r="U1026" s="58" t="str">
        <f t="shared" si="47"/>
        <v>Normal</v>
      </c>
    </row>
    <row r="1027" spans="1:21" ht="23.25" customHeight="1" x14ac:dyDescent="0.35">
      <c r="A1027" t="s">
        <v>2263</v>
      </c>
      <c r="B1027" t="s">
        <v>2263</v>
      </c>
      <c r="C1027">
        <v>550</v>
      </c>
      <c r="D1027">
        <v>0</v>
      </c>
      <c r="E1027" t="s">
        <v>2458</v>
      </c>
      <c r="F1027" t="s">
        <v>57</v>
      </c>
      <c r="G1027" t="s">
        <v>57</v>
      </c>
      <c r="H1027" t="s">
        <v>2459</v>
      </c>
      <c r="I1027"/>
      <c r="J1027"/>
      <c r="K1027"/>
      <c r="L1027"/>
      <c r="M1027"/>
      <c r="N1027"/>
      <c r="O1027"/>
      <c r="P1027"/>
      <c r="Q1027"/>
      <c r="R1027"/>
      <c r="S1027" s="56">
        <f t="shared" si="45"/>
        <v>3</v>
      </c>
      <c r="T1027" s="57" t="str">
        <f t="shared" si="46"/>
        <v>0-3 Days</v>
      </c>
      <c r="U1027" s="58" t="str">
        <f t="shared" si="47"/>
        <v>Normal</v>
      </c>
    </row>
    <row r="1028" spans="1:21" ht="23.25" customHeight="1" x14ac:dyDescent="0.35">
      <c r="A1028" t="s">
        <v>2263</v>
      </c>
      <c r="B1028" t="s">
        <v>2263</v>
      </c>
      <c r="C1028">
        <v>205</v>
      </c>
      <c r="D1028">
        <v>0</v>
      </c>
      <c r="E1028" t="s">
        <v>2460</v>
      </c>
      <c r="F1028" t="s">
        <v>57</v>
      </c>
      <c r="G1028" t="s">
        <v>57</v>
      </c>
      <c r="H1028" t="s">
        <v>2461</v>
      </c>
      <c r="I1028"/>
      <c r="J1028"/>
      <c r="K1028"/>
      <c r="L1028"/>
      <c r="M1028"/>
      <c r="N1028"/>
      <c r="O1028"/>
      <c r="P1028"/>
      <c r="Q1028"/>
      <c r="R1028"/>
      <c r="S1028" s="56">
        <f t="shared" si="45"/>
        <v>3</v>
      </c>
      <c r="T1028" s="57" t="str">
        <f t="shared" si="46"/>
        <v>0-3 Days</v>
      </c>
      <c r="U1028" s="58" t="str">
        <f t="shared" si="47"/>
        <v>Normal</v>
      </c>
    </row>
    <row r="1029" spans="1:21" ht="23.25" customHeight="1" x14ac:dyDescent="0.35">
      <c r="A1029" t="s">
        <v>2263</v>
      </c>
      <c r="B1029" t="s">
        <v>2263</v>
      </c>
      <c r="C1029">
        <v>0</v>
      </c>
      <c r="D1029">
        <v>250</v>
      </c>
      <c r="E1029" t="s">
        <v>2462</v>
      </c>
      <c r="F1029" t="s">
        <v>57</v>
      </c>
      <c r="G1029" t="s">
        <v>57</v>
      </c>
      <c r="H1029" t="s">
        <v>2463</v>
      </c>
      <c r="I1029"/>
      <c r="J1029"/>
      <c r="K1029"/>
      <c r="L1029"/>
      <c r="M1029"/>
      <c r="N1029"/>
      <c r="O1029"/>
      <c r="P1029"/>
      <c r="Q1029"/>
      <c r="R1029"/>
      <c r="S1029" s="56">
        <f t="shared" si="45"/>
        <v>3</v>
      </c>
      <c r="T1029" s="57" t="str">
        <f t="shared" si="46"/>
        <v>0-3 Days</v>
      </c>
      <c r="U1029" s="58" t="str">
        <f t="shared" si="47"/>
        <v>Not Applicable</v>
      </c>
    </row>
    <row r="1030" spans="1:21" ht="23.25" customHeight="1" x14ac:dyDescent="0.35">
      <c r="A1030" t="s">
        <v>2263</v>
      </c>
      <c r="B1030" t="s">
        <v>2263</v>
      </c>
      <c r="C1030">
        <v>1236</v>
      </c>
      <c r="D1030">
        <v>0</v>
      </c>
      <c r="E1030" t="s">
        <v>2464</v>
      </c>
      <c r="F1030" t="s">
        <v>57</v>
      </c>
      <c r="G1030" t="s">
        <v>57</v>
      </c>
      <c r="H1030" t="s">
        <v>2465</v>
      </c>
      <c r="I1030"/>
      <c r="J1030"/>
      <c r="K1030"/>
      <c r="L1030"/>
      <c r="M1030"/>
      <c r="N1030"/>
      <c r="O1030"/>
      <c r="P1030"/>
      <c r="Q1030"/>
      <c r="R1030"/>
      <c r="S1030" s="56">
        <f t="shared" si="45"/>
        <v>3</v>
      </c>
      <c r="T1030" s="57" t="str">
        <f t="shared" si="46"/>
        <v>0-3 Days</v>
      </c>
      <c r="U1030" s="58" t="str">
        <f t="shared" si="47"/>
        <v>Normal</v>
      </c>
    </row>
    <row r="1031" spans="1:21" ht="23.25" customHeight="1" x14ac:dyDescent="0.35">
      <c r="A1031" t="s">
        <v>2263</v>
      </c>
      <c r="B1031" t="s">
        <v>2263</v>
      </c>
      <c r="C1031">
        <v>2650</v>
      </c>
      <c r="D1031">
        <v>0</v>
      </c>
      <c r="E1031" t="s">
        <v>2466</v>
      </c>
      <c r="F1031" t="s">
        <v>57</v>
      </c>
      <c r="G1031" t="s">
        <v>57</v>
      </c>
      <c r="H1031" t="s">
        <v>2467</v>
      </c>
      <c r="I1031"/>
      <c r="J1031"/>
      <c r="K1031"/>
      <c r="L1031"/>
      <c r="M1031"/>
      <c r="N1031"/>
      <c r="O1031"/>
      <c r="P1031"/>
      <c r="Q1031"/>
      <c r="R1031"/>
      <c r="S1031" s="56">
        <f t="shared" si="45"/>
        <v>3</v>
      </c>
      <c r="T1031" s="57" t="str">
        <f t="shared" si="46"/>
        <v>0-3 Days</v>
      </c>
      <c r="U1031" s="58" t="str">
        <f t="shared" si="47"/>
        <v>Normal</v>
      </c>
    </row>
    <row r="1032" spans="1:21" ht="23.25" customHeight="1" x14ac:dyDescent="0.35">
      <c r="A1032" t="s">
        <v>2263</v>
      </c>
      <c r="B1032" t="s">
        <v>2263</v>
      </c>
      <c r="C1032">
        <v>2050</v>
      </c>
      <c r="D1032">
        <v>0</v>
      </c>
      <c r="E1032" t="s">
        <v>2468</v>
      </c>
      <c r="F1032" t="s">
        <v>57</v>
      </c>
      <c r="G1032" t="s">
        <v>57</v>
      </c>
      <c r="H1032" t="s">
        <v>2469</v>
      </c>
      <c r="I1032"/>
      <c r="J1032"/>
      <c r="K1032"/>
      <c r="L1032"/>
      <c r="M1032"/>
      <c r="N1032"/>
      <c r="O1032"/>
      <c r="P1032"/>
      <c r="Q1032"/>
      <c r="R1032"/>
      <c r="S1032" s="56">
        <f t="shared" si="45"/>
        <v>3</v>
      </c>
      <c r="T1032" s="57" t="str">
        <f t="shared" si="46"/>
        <v>0-3 Days</v>
      </c>
      <c r="U1032" s="58" t="str">
        <f t="shared" si="47"/>
        <v>Normal</v>
      </c>
    </row>
    <row r="1033" spans="1:21" ht="23.25" customHeight="1" x14ac:dyDescent="0.35">
      <c r="A1033" t="s">
        <v>2263</v>
      </c>
      <c r="B1033" t="s">
        <v>2263</v>
      </c>
      <c r="C1033">
        <v>1000</v>
      </c>
      <c r="D1033">
        <v>0</v>
      </c>
      <c r="E1033" t="s">
        <v>2470</v>
      </c>
      <c r="F1033" t="s">
        <v>57</v>
      </c>
      <c r="G1033" t="s">
        <v>57</v>
      </c>
      <c r="H1033" t="s">
        <v>2471</v>
      </c>
      <c r="I1033"/>
      <c r="J1033"/>
      <c r="K1033"/>
      <c r="L1033"/>
      <c r="M1033"/>
      <c r="N1033"/>
      <c r="O1033"/>
      <c r="P1033"/>
      <c r="Q1033"/>
      <c r="R1033"/>
      <c r="S1033" s="56">
        <f t="shared" ref="S1033:S1096" si="48">IF(A1033="","",A$5-A1033)</f>
        <v>3</v>
      </c>
      <c r="T1033" s="57" t="str">
        <f t="shared" ref="T1033:T1096" si="49">IF(S1033="","",IF(S1033&lt;4,"0-3 Days",IF(S1033&lt;31,"4-30 Days",IF(S1033&lt;61,"31-60 Days",IF(S1033&lt;=90,"61-90 Days",IF(S1033&gt;90,"Above 90 Days","0"))))))</f>
        <v>0-3 Days</v>
      </c>
      <c r="U1033" s="58" t="str">
        <f t="shared" ref="U1033:U1096" si="50">IF(C1033="","",IF(C1033&gt;0,IF(S1033&lt;30,"Normal",IF(S1033&lt;60,"Especially Mentioned",IF(S1033&lt;90,"Substandard",IF(S1033&lt;=180,"Doubtful",IF(S1033&gt;180,"Loss","0"))))),"Not Applicable"))</f>
        <v>Normal</v>
      </c>
    </row>
    <row r="1034" spans="1:21" ht="23.25" customHeight="1" x14ac:dyDescent="0.35">
      <c r="A1034" t="s">
        <v>2263</v>
      </c>
      <c r="B1034" t="s">
        <v>2263</v>
      </c>
      <c r="C1034">
        <v>2050</v>
      </c>
      <c r="D1034">
        <v>0</v>
      </c>
      <c r="E1034" t="s">
        <v>2472</v>
      </c>
      <c r="F1034" t="s">
        <v>57</v>
      </c>
      <c r="G1034" t="s">
        <v>57</v>
      </c>
      <c r="H1034" t="s">
        <v>2473</v>
      </c>
      <c r="I1034"/>
      <c r="J1034"/>
      <c r="K1034"/>
      <c r="L1034"/>
      <c r="M1034"/>
      <c r="N1034"/>
      <c r="O1034"/>
      <c r="P1034"/>
      <c r="Q1034"/>
      <c r="R1034"/>
      <c r="S1034" s="56">
        <f t="shared" si="48"/>
        <v>3</v>
      </c>
      <c r="T1034" s="57" t="str">
        <f t="shared" si="49"/>
        <v>0-3 Days</v>
      </c>
      <c r="U1034" s="58" t="str">
        <f t="shared" si="50"/>
        <v>Normal</v>
      </c>
    </row>
    <row r="1035" spans="1:21" ht="23.25" customHeight="1" x14ac:dyDescent="0.35">
      <c r="A1035" t="s">
        <v>2263</v>
      </c>
      <c r="B1035" t="s">
        <v>2263</v>
      </c>
      <c r="C1035">
        <v>4125</v>
      </c>
      <c r="D1035">
        <v>0</v>
      </c>
      <c r="E1035" t="s">
        <v>2474</v>
      </c>
      <c r="F1035" t="s">
        <v>57</v>
      </c>
      <c r="G1035" t="s">
        <v>57</v>
      </c>
      <c r="H1035" t="s">
        <v>2475</v>
      </c>
      <c r="I1035"/>
      <c r="J1035"/>
      <c r="K1035"/>
      <c r="L1035"/>
      <c r="M1035"/>
      <c r="N1035"/>
      <c r="O1035"/>
      <c r="P1035"/>
      <c r="Q1035"/>
      <c r="R1035"/>
      <c r="S1035" s="56">
        <f t="shared" si="48"/>
        <v>3</v>
      </c>
      <c r="T1035" s="57" t="str">
        <f t="shared" si="49"/>
        <v>0-3 Days</v>
      </c>
      <c r="U1035" s="58" t="str">
        <f t="shared" si="50"/>
        <v>Normal</v>
      </c>
    </row>
    <row r="1036" spans="1:21" ht="23.25" customHeight="1" x14ac:dyDescent="0.35">
      <c r="A1036" t="s">
        <v>2263</v>
      </c>
      <c r="B1036" t="s">
        <v>2263</v>
      </c>
      <c r="C1036">
        <v>1000</v>
      </c>
      <c r="D1036">
        <v>0</v>
      </c>
      <c r="E1036" t="s">
        <v>2476</v>
      </c>
      <c r="F1036" t="s">
        <v>57</v>
      </c>
      <c r="G1036" t="s">
        <v>57</v>
      </c>
      <c r="H1036" t="s">
        <v>2477</v>
      </c>
      <c r="I1036"/>
      <c r="J1036"/>
      <c r="K1036"/>
      <c r="L1036"/>
      <c r="M1036"/>
      <c r="N1036"/>
      <c r="O1036"/>
      <c r="P1036"/>
      <c r="Q1036"/>
      <c r="R1036"/>
      <c r="S1036" s="56">
        <f t="shared" si="48"/>
        <v>3</v>
      </c>
      <c r="T1036" s="57" t="str">
        <f t="shared" si="49"/>
        <v>0-3 Days</v>
      </c>
      <c r="U1036" s="58" t="str">
        <f t="shared" si="50"/>
        <v>Normal</v>
      </c>
    </row>
    <row r="1037" spans="1:21" ht="23.25" customHeight="1" x14ac:dyDescent="0.35">
      <c r="A1037" t="s">
        <v>2263</v>
      </c>
      <c r="B1037" t="s">
        <v>2263</v>
      </c>
      <c r="C1037">
        <v>1000</v>
      </c>
      <c r="D1037">
        <v>0</v>
      </c>
      <c r="E1037" t="s">
        <v>2478</v>
      </c>
      <c r="F1037" t="s">
        <v>57</v>
      </c>
      <c r="G1037" t="s">
        <v>57</v>
      </c>
      <c r="H1037" t="s">
        <v>2479</v>
      </c>
      <c r="I1037"/>
      <c r="J1037"/>
      <c r="K1037"/>
      <c r="L1037"/>
      <c r="M1037"/>
      <c r="N1037"/>
      <c r="O1037"/>
      <c r="P1037"/>
      <c r="Q1037"/>
      <c r="R1037"/>
      <c r="S1037" s="56">
        <f t="shared" si="48"/>
        <v>3</v>
      </c>
      <c r="T1037" s="57" t="str">
        <f t="shared" si="49"/>
        <v>0-3 Days</v>
      </c>
      <c r="U1037" s="58" t="str">
        <f t="shared" si="50"/>
        <v>Normal</v>
      </c>
    </row>
    <row r="1038" spans="1:21" ht="23.25" customHeight="1" x14ac:dyDescent="0.35">
      <c r="A1038" t="s">
        <v>2263</v>
      </c>
      <c r="B1038" t="s">
        <v>2263</v>
      </c>
      <c r="C1038">
        <v>1345</v>
      </c>
      <c r="D1038">
        <v>0</v>
      </c>
      <c r="E1038" t="s">
        <v>2480</v>
      </c>
      <c r="F1038" t="s">
        <v>57</v>
      </c>
      <c r="G1038" t="s">
        <v>57</v>
      </c>
      <c r="H1038" t="s">
        <v>2481</v>
      </c>
      <c r="I1038"/>
      <c r="J1038"/>
      <c r="K1038"/>
      <c r="L1038"/>
      <c r="M1038"/>
      <c r="N1038"/>
      <c r="O1038"/>
      <c r="P1038"/>
      <c r="Q1038"/>
      <c r="R1038"/>
      <c r="S1038" s="56">
        <f t="shared" si="48"/>
        <v>3</v>
      </c>
      <c r="T1038" s="57" t="str">
        <f t="shared" si="49"/>
        <v>0-3 Days</v>
      </c>
      <c r="U1038" s="58" t="str">
        <f t="shared" si="50"/>
        <v>Normal</v>
      </c>
    </row>
    <row r="1039" spans="1:21" ht="23.25" customHeight="1" x14ac:dyDescent="0.35">
      <c r="A1039" t="s">
        <v>2263</v>
      </c>
      <c r="B1039" t="s">
        <v>2263</v>
      </c>
      <c r="C1039">
        <v>1094</v>
      </c>
      <c r="D1039">
        <v>0</v>
      </c>
      <c r="E1039" t="s">
        <v>2482</v>
      </c>
      <c r="F1039" t="s">
        <v>57</v>
      </c>
      <c r="G1039" t="s">
        <v>57</v>
      </c>
      <c r="H1039" t="s">
        <v>2483</v>
      </c>
      <c r="I1039"/>
      <c r="J1039"/>
      <c r="K1039"/>
      <c r="L1039"/>
      <c r="M1039"/>
      <c r="N1039"/>
      <c r="O1039"/>
      <c r="P1039"/>
      <c r="Q1039"/>
      <c r="R1039"/>
      <c r="S1039" s="56">
        <f t="shared" si="48"/>
        <v>3</v>
      </c>
      <c r="T1039" s="57" t="str">
        <f t="shared" si="49"/>
        <v>0-3 Days</v>
      </c>
      <c r="U1039" s="58" t="str">
        <f t="shared" si="50"/>
        <v>Normal</v>
      </c>
    </row>
    <row r="1040" spans="1:21" ht="23.25" customHeight="1" x14ac:dyDescent="0.35">
      <c r="A1040" t="s">
        <v>2263</v>
      </c>
      <c r="B1040" t="s">
        <v>2263</v>
      </c>
      <c r="C1040">
        <v>2270</v>
      </c>
      <c r="D1040">
        <v>0</v>
      </c>
      <c r="E1040" t="s">
        <v>2484</v>
      </c>
      <c r="F1040" t="s">
        <v>57</v>
      </c>
      <c r="G1040" t="s">
        <v>57</v>
      </c>
      <c r="H1040" t="s">
        <v>2485</v>
      </c>
      <c r="I1040"/>
      <c r="J1040"/>
      <c r="K1040"/>
      <c r="L1040"/>
      <c r="M1040"/>
      <c r="N1040"/>
      <c r="O1040"/>
      <c r="P1040"/>
      <c r="Q1040"/>
      <c r="R1040"/>
      <c r="S1040" s="56">
        <f t="shared" si="48"/>
        <v>3</v>
      </c>
      <c r="T1040" s="57" t="str">
        <f t="shared" si="49"/>
        <v>0-3 Days</v>
      </c>
      <c r="U1040" s="58" t="str">
        <f t="shared" si="50"/>
        <v>Normal</v>
      </c>
    </row>
    <row r="1041" spans="1:21" ht="23.25" customHeight="1" x14ac:dyDescent="0.35">
      <c r="A1041" t="s">
        <v>2263</v>
      </c>
      <c r="B1041" t="s">
        <v>2263</v>
      </c>
      <c r="C1041">
        <v>250</v>
      </c>
      <c r="D1041">
        <v>0</v>
      </c>
      <c r="E1041" t="s">
        <v>2486</v>
      </c>
      <c r="F1041" t="s">
        <v>57</v>
      </c>
      <c r="G1041" t="s">
        <v>57</v>
      </c>
      <c r="H1041" t="s">
        <v>2487</v>
      </c>
      <c r="I1041"/>
      <c r="J1041"/>
      <c r="K1041"/>
      <c r="L1041"/>
      <c r="M1041"/>
      <c r="N1041"/>
      <c r="O1041"/>
      <c r="P1041"/>
      <c r="Q1041"/>
      <c r="R1041"/>
      <c r="S1041" s="56">
        <f t="shared" si="48"/>
        <v>3</v>
      </c>
      <c r="T1041" s="57" t="str">
        <f t="shared" si="49"/>
        <v>0-3 Days</v>
      </c>
      <c r="U1041" s="58" t="str">
        <f t="shared" si="50"/>
        <v>Normal</v>
      </c>
    </row>
    <row r="1042" spans="1:21" ht="23.25" customHeight="1" x14ac:dyDescent="0.35">
      <c r="A1042" t="s">
        <v>2263</v>
      </c>
      <c r="B1042" t="s">
        <v>2263</v>
      </c>
      <c r="C1042">
        <v>1000</v>
      </c>
      <c r="D1042">
        <v>0</v>
      </c>
      <c r="E1042" t="s">
        <v>2488</v>
      </c>
      <c r="F1042" t="s">
        <v>57</v>
      </c>
      <c r="G1042" t="s">
        <v>57</v>
      </c>
      <c r="H1042" t="s">
        <v>2489</v>
      </c>
      <c r="I1042"/>
      <c r="J1042"/>
      <c r="K1042"/>
      <c r="L1042"/>
      <c r="M1042"/>
      <c r="N1042"/>
      <c r="O1042"/>
      <c r="P1042"/>
      <c r="Q1042"/>
      <c r="R1042"/>
      <c r="S1042" s="56">
        <f t="shared" si="48"/>
        <v>3</v>
      </c>
      <c r="T1042" s="57" t="str">
        <f t="shared" si="49"/>
        <v>0-3 Days</v>
      </c>
      <c r="U1042" s="58" t="str">
        <f t="shared" si="50"/>
        <v>Normal</v>
      </c>
    </row>
    <row r="1043" spans="1:21" ht="23.25" customHeight="1" x14ac:dyDescent="0.35">
      <c r="A1043" t="s">
        <v>2263</v>
      </c>
      <c r="B1043" t="s">
        <v>2263</v>
      </c>
      <c r="C1043">
        <v>250</v>
      </c>
      <c r="D1043">
        <v>0</v>
      </c>
      <c r="E1043" t="s">
        <v>2490</v>
      </c>
      <c r="F1043" t="s">
        <v>57</v>
      </c>
      <c r="G1043" t="s">
        <v>57</v>
      </c>
      <c r="H1043" t="s">
        <v>2491</v>
      </c>
      <c r="I1043"/>
      <c r="J1043"/>
      <c r="K1043"/>
      <c r="L1043"/>
      <c r="M1043"/>
      <c r="N1043"/>
      <c r="O1043"/>
      <c r="P1043"/>
      <c r="Q1043"/>
      <c r="R1043"/>
      <c r="S1043" s="56">
        <f t="shared" si="48"/>
        <v>3</v>
      </c>
      <c r="T1043" s="57" t="str">
        <f t="shared" si="49"/>
        <v>0-3 Days</v>
      </c>
      <c r="U1043" s="58" t="str">
        <f t="shared" si="50"/>
        <v>Normal</v>
      </c>
    </row>
    <row r="1044" spans="1:21" ht="23.25" customHeight="1" x14ac:dyDescent="0.35">
      <c r="A1044" t="s">
        <v>2263</v>
      </c>
      <c r="B1044" t="s">
        <v>2263</v>
      </c>
      <c r="C1044">
        <v>250</v>
      </c>
      <c r="D1044">
        <v>0</v>
      </c>
      <c r="E1044" t="s">
        <v>2492</v>
      </c>
      <c r="F1044" t="s">
        <v>57</v>
      </c>
      <c r="G1044" t="s">
        <v>57</v>
      </c>
      <c r="H1044" t="s">
        <v>2493</v>
      </c>
      <c r="I1044"/>
      <c r="J1044"/>
      <c r="K1044"/>
      <c r="L1044"/>
      <c r="M1044"/>
      <c r="N1044"/>
      <c r="O1044"/>
      <c r="P1044"/>
      <c r="Q1044"/>
      <c r="R1044"/>
      <c r="S1044" s="56">
        <f t="shared" si="48"/>
        <v>3</v>
      </c>
      <c r="T1044" s="57" t="str">
        <f t="shared" si="49"/>
        <v>0-3 Days</v>
      </c>
      <c r="U1044" s="58" t="str">
        <f t="shared" si="50"/>
        <v>Normal</v>
      </c>
    </row>
    <row r="1045" spans="1:21" ht="23.25" customHeight="1" x14ac:dyDescent="0.35">
      <c r="A1045" t="s">
        <v>2263</v>
      </c>
      <c r="B1045" t="s">
        <v>2263</v>
      </c>
      <c r="C1045">
        <v>1000</v>
      </c>
      <c r="D1045">
        <v>0</v>
      </c>
      <c r="E1045" t="s">
        <v>2494</v>
      </c>
      <c r="F1045" t="s">
        <v>57</v>
      </c>
      <c r="G1045" t="s">
        <v>57</v>
      </c>
      <c r="H1045" t="s">
        <v>2495</v>
      </c>
      <c r="I1045"/>
      <c r="J1045"/>
      <c r="K1045"/>
      <c r="L1045"/>
      <c r="M1045"/>
      <c r="N1045"/>
      <c r="O1045"/>
      <c r="P1045"/>
      <c r="Q1045"/>
      <c r="R1045"/>
      <c r="S1045" s="56">
        <f t="shared" si="48"/>
        <v>3</v>
      </c>
      <c r="T1045" s="57" t="str">
        <f t="shared" si="49"/>
        <v>0-3 Days</v>
      </c>
      <c r="U1045" s="58" t="str">
        <f t="shared" si="50"/>
        <v>Normal</v>
      </c>
    </row>
    <row r="1046" spans="1:21" ht="23.25" customHeight="1" x14ac:dyDescent="0.35">
      <c r="A1046" t="s">
        <v>2263</v>
      </c>
      <c r="B1046" t="s">
        <v>2263</v>
      </c>
      <c r="C1046">
        <v>1046</v>
      </c>
      <c r="D1046">
        <v>0</v>
      </c>
      <c r="E1046" t="s">
        <v>2496</v>
      </c>
      <c r="F1046" t="s">
        <v>57</v>
      </c>
      <c r="G1046" t="s">
        <v>57</v>
      </c>
      <c r="H1046" t="s">
        <v>2497</v>
      </c>
      <c r="I1046"/>
      <c r="J1046"/>
      <c r="K1046"/>
      <c r="L1046"/>
      <c r="M1046"/>
      <c r="N1046"/>
      <c r="O1046"/>
      <c r="P1046"/>
      <c r="Q1046"/>
      <c r="R1046"/>
      <c r="S1046" s="56">
        <f t="shared" si="48"/>
        <v>3</v>
      </c>
      <c r="T1046" s="57" t="str">
        <f t="shared" si="49"/>
        <v>0-3 Days</v>
      </c>
      <c r="U1046" s="58" t="str">
        <f t="shared" si="50"/>
        <v>Normal</v>
      </c>
    </row>
    <row r="1047" spans="1:21" ht="23.25" customHeight="1" x14ac:dyDescent="0.35">
      <c r="A1047" t="s">
        <v>2263</v>
      </c>
      <c r="B1047" t="s">
        <v>2263</v>
      </c>
      <c r="C1047">
        <v>1000</v>
      </c>
      <c r="D1047">
        <v>0</v>
      </c>
      <c r="E1047" t="s">
        <v>2498</v>
      </c>
      <c r="F1047" t="s">
        <v>57</v>
      </c>
      <c r="G1047" t="s">
        <v>57</v>
      </c>
      <c r="H1047" t="s">
        <v>2499</v>
      </c>
      <c r="I1047"/>
      <c r="J1047"/>
      <c r="K1047"/>
      <c r="L1047"/>
      <c r="M1047"/>
      <c r="N1047"/>
      <c r="O1047"/>
      <c r="P1047"/>
      <c r="Q1047"/>
      <c r="R1047"/>
      <c r="S1047" s="56">
        <f t="shared" si="48"/>
        <v>3</v>
      </c>
      <c r="T1047" s="57" t="str">
        <f t="shared" si="49"/>
        <v>0-3 Days</v>
      </c>
      <c r="U1047" s="58" t="str">
        <f t="shared" si="50"/>
        <v>Normal</v>
      </c>
    </row>
    <row r="1048" spans="1:21" ht="23.25" customHeight="1" x14ac:dyDescent="0.35">
      <c r="A1048" t="s">
        <v>2263</v>
      </c>
      <c r="B1048" t="s">
        <v>2263</v>
      </c>
      <c r="C1048">
        <v>800</v>
      </c>
      <c r="D1048">
        <v>0</v>
      </c>
      <c r="E1048" t="s">
        <v>2500</v>
      </c>
      <c r="F1048" t="s">
        <v>57</v>
      </c>
      <c r="G1048" t="s">
        <v>57</v>
      </c>
      <c r="H1048" t="s">
        <v>2501</v>
      </c>
      <c r="I1048"/>
      <c r="J1048"/>
      <c r="K1048"/>
      <c r="L1048"/>
      <c r="M1048"/>
      <c r="N1048"/>
      <c r="O1048"/>
      <c r="P1048"/>
      <c r="Q1048"/>
      <c r="R1048"/>
      <c r="S1048" s="56">
        <f t="shared" si="48"/>
        <v>3</v>
      </c>
      <c r="T1048" s="57" t="str">
        <f t="shared" si="49"/>
        <v>0-3 Days</v>
      </c>
      <c r="U1048" s="58" t="str">
        <f t="shared" si="50"/>
        <v>Normal</v>
      </c>
    </row>
    <row r="1049" spans="1:21" ht="23.25" customHeight="1" x14ac:dyDescent="0.35">
      <c r="A1049" t="s">
        <v>2263</v>
      </c>
      <c r="B1049" t="s">
        <v>2263</v>
      </c>
      <c r="C1049">
        <v>2100</v>
      </c>
      <c r="D1049">
        <v>0</v>
      </c>
      <c r="E1049" t="s">
        <v>2502</v>
      </c>
      <c r="F1049" t="s">
        <v>57</v>
      </c>
      <c r="G1049" t="s">
        <v>57</v>
      </c>
      <c r="H1049" t="s">
        <v>2503</v>
      </c>
      <c r="I1049"/>
      <c r="J1049"/>
      <c r="K1049"/>
      <c r="L1049"/>
      <c r="M1049"/>
      <c r="N1049"/>
      <c r="O1049"/>
      <c r="P1049"/>
      <c r="Q1049"/>
      <c r="R1049"/>
      <c r="S1049" s="56">
        <f t="shared" si="48"/>
        <v>3</v>
      </c>
      <c r="T1049" s="57" t="str">
        <f t="shared" si="49"/>
        <v>0-3 Days</v>
      </c>
      <c r="U1049" s="58" t="str">
        <f t="shared" si="50"/>
        <v>Normal</v>
      </c>
    </row>
    <row r="1050" spans="1:21" ht="23.25" customHeight="1" x14ac:dyDescent="0.35">
      <c r="A1050" t="s">
        <v>2263</v>
      </c>
      <c r="B1050" t="s">
        <v>2263</v>
      </c>
      <c r="C1050">
        <v>2050</v>
      </c>
      <c r="D1050">
        <v>0</v>
      </c>
      <c r="E1050" t="s">
        <v>2504</v>
      </c>
      <c r="F1050" t="s">
        <v>57</v>
      </c>
      <c r="G1050" t="s">
        <v>57</v>
      </c>
      <c r="H1050" t="s">
        <v>2505</v>
      </c>
      <c r="I1050"/>
      <c r="J1050"/>
      <c r="K1050"/>
      <c r="L1050"/>
      <c r="M1050"/>
      <c r="N1050"/>
      <c r="O1050"/>
      <c r="P1050"/>
      <c r="Q1050"/>
      <c r="R1050"/>
      <c r="S1050" s="56">
        <f t="shared" si="48"/>
        <v>3</v>
      </c>
      <c r="T1050" s="57" t="str">
        <f t="shared" si="49"/>
        <v>0-3 Days</v>
      </c>
      <c r="U1050" s="58" t="str">
        <f t="shared" si="50"/>
        <v>Normal</v>
      </c>
    </row>
    <row r="1051" spans="1:21" ht="23.25" customHeight="1" x14ac:dyDescent="0.35">
      <c r="A1051" t="s">
        <v>2263</v>
      </c>
      <c r="B1051" t="s">
        <v>2263</v>
      </c>
      <c r="C1051">
        <v>250</v>
      </c>
      <c r="D1051">
        <v>0</v>
      </c>
      <c r="E1051" t="s">
        <v>2506</v>
      </c>
      <c r="F1051" t="s">
        <v>57</v>
      </c>
      <c r="G1051" t="s">
        <v>57</v>
      </c>
      <c r="H1051" t="s">
        <v>2507</v>
      </c>
      <c r="I1051"/>
      <c r="J1051"/>
      <c r="K1051"/>
      <c r="L1051"/>
      <c r="M1051"/>
      <c r="N1051"/>
      <c r="O1051"/>
      <c r="P1051"/>
      <c r="Q1051"/>
      <c r="R1051"/>
      <c r="S1051" s="56">
        <f t="shared" si="48"/>
        <v>3</v>
      </c>
      <c r="T1051" s="57" t="str">
        <f t="shared" si="49"/>
        <v>0-3 Days</v>
      </c>
      <c r="U1051" s="58" t="str">
        <f t="shared" si="50"/>
        <v>Normal</v>
      </c>
    </row>
    <row r="1052" spans="1:21" ht="23.25" customHeight="1" x14ac:dyDescent="0.35">
      <c r="A1052" t="s">
        <v>2263</v>
      </c>
      <c r="B1052" t="s">
        <v>2263</v>
      </c>
      <c r="C1052">
        <v>250</v>
      </c>
      <c r="D1052">
        <v>0</v>
      </c>
      <c r="E1052" t="s">
        <v>2508</v>
      </c>
      <c r="F1052" t="s">
        <v>57</v>
      </c>
      <c r="G1052" t="s">
        <v>57</v>
      </c>
      <c r="H1052" t="s">
        <v>2509</v>
      </c>
      <c r="I1052"/>
      <c r="J1052"/>
      <c r="K1052"/>
      <c r="L1052"/>
      <c r="M1052"/>
      <c r="N1052"/>
      <c r="O1052"/>
      <c r="P1052"/>
      <c r="Q1052"/>
      <c r="R1052"/>
      <c r="S1052" s="56">
        <f t="shared" si="48"/>
        <v>3</v>
      </c>
      <c r="T1052" s="57" t="str">
        <f t="shared" si="49"/>
        <v>0-3 Days</v>
      </c>
      <c r="U1052" s="58" t="str">
        <f t="shared" si="50"/>
        <v>Normal</v>
      </c>
    </row>
    <row r="1053" spans="1:21" ht="23.25" customHeight="1" x14ac:dyDescent="0.35">
      <c r="A1053" t="s">
        <v>2263</v>
      </c>
      <c r="B1053" t="s">
        <v>2263</v>
      </c>
      <c r="C1053">
        <v>1000</v>
      </c>
      <c r="D1053">
        <v>0</v>
      </c>
      <c r="E1053" t="s">
        <v>2510</v>
      </c>
      <c r="F1053" t="s">
        <v>57</v>
      </c>
      <c r="G1053" t="s">
        <v>57</v>
      </c>
      <c r="H1053" t="s">
        <v>2511</v>
      </c>
      <c r="I1053"/>
      <c r="J1053"/>
      <c r="K1053"/>
      <c r="L1053"/>
      <c r="M1053"/>
      <c r="N1053"/>
      <c r="O1053"/>
      <c r="P1053"/>
      <c r="Q1053"/>
      <c r="R1053"/>
      <c r="S1053" s="56">
        <f t="shared" si="48"/>
        <v>3</v>
      </c>
      <c r="T1053" s="57" t="str">
        <f t="shared" si="49"/>
        <v>0-3 Days</v>
      </c>
      <c r="U1053" s="58" t="str">
        <f t="shared" si="50"/>
        <v>Normal</v>
      </c>
    </row>
    <row r="1054" spans="1:21" ht="23.25" customHeight="1" x14ac:dyDescent="0.35">
      <c r="A1054" t="s">
        <v>2263</v>
      </c>
      <c r="B1054" t="s">
        <v>2263</v>
      </c>
      <c r="C1054">
        <v>608</v>
      </c>
      <c r="D1054">
        <v>0</v>
      </c>
      <c r="E1054" t="s">
        <v>2512</v>
      </c>
      <c r="F1054" t="s">
        <v>57</v>
      </c>
      <c r="G1054" t="s">
        <v>57</v>
      </c>
      <c r="H1054" t="s">
        <v>2513</v>
      </c>
      <c r="I1054"/>
      <c r="J1054"/>
      <c r="K1054"/>
      <c r="L1054"/>
      <c r="M1054"/>
      <c r="N1054"/>
      <c r="O1054"/>
      <c r="P1054"/>
      <c r="Q1054"/>
      <c r="R1054"/>
      <c r="S1054" s="56">
        <f t="shared" si="48"/>
        <v>3</v>
      </c>
      <c r="T1054" s="57" t="str">
        <f t="shared" si="49"/>
        <v>0-3 Days</v>
      </c>
      <c r="U1054" s="58" t="str">
        <f t="shared" si="50"/>
        <v>Normal</v>
      </c>
    </row>
    <row r="1055" spans="1:21" ht="23.25" customHeight="1" x14ac:dyDescent="0.35">
      <c r="A1055" t="s">
        <v>2263</v>
      </c>
      <c r="B1055" t="s">
        <v>2263</v>
      </c>
      <c r="C1055">
        <v>1000</v>
      </c>
      <c r="D1055">
        <v>0</v>
      </c>
      <c r="E1055" t="s">
        <v>2514</v>
      </c>
      <c r="F1055" t="s">
        <v>57</v>
      </c>
      <c r="G1055" t="s">
        <v>57</v>
      </c>
      <c r="H1055" t="s">
        <v>2515</v>
      </c>
      <c r="I1055"/>
      <c r="J1055"/>
      <c r="K1055"/>
      <c r="L1055"/>
      <c r="M1055"/>
      <c r="N1055"/>
      <c r="O1055"/>
      <c r="P1055"/>
      <c r="Q1055"/>
      <c r="R1055"/>
      <c r="S1055" s="56">
        <f t="shared" si="48"/>
        <v>3</v>
      </c>
      <c r="T1055" s="57" t="str">
        <f t="shared" si="49"/>
        <v>0-3 Days</v>
      </c>
      <c r="U1055" s="58" t="str">
        <f t="shared" si="50"/>
        <v>Normal</v>
      </c>
    </row>
    <row r="1056" spans="1:21" ht="23.25" customHeight="1" x14ac:dyDescent="0.35">
      <c r="A1056" t="s">
        <v>2263</v>
      </c>
      <c r="B1056" t="s">
        <v>2263</v>
      </c>
      <c r="C1056">
        <v>1000</v>
      </c>
      <c r="D1056">
        <v>0</v>
      </c>
      <c r="E1056" t="s">
        <v>2516</v>
      </c>
      <c r="F1056" t="s">
        <v>57</v>
      </c>
      <c r="G1056" t="s">
        <v>57</v>
      </c>
      <c r="H1056" t="s">
        <v>2517</v>
      </c>
      <c r="I1056"/>
      <c r="J1056"/>
      <c r="K1056"/>
      <c r="L1056"/>
      <c r="M1056"/>
      <c r="N1056"/>
      <c r="O1056"/>
      <c r="P1056"/>
      <c r="Q1056"/>
      <c r="R1056"/>
      <c r="S1056" s="56">
        <f t="shared" si="48"/>
        <v>3</v>
      </c>
      <c r="T1056" s="57" t="str">
        <f t="shared" si="49"/>
        <v>0-3 Days</v>
      </c>
      <c r="U1056" s="58" t="str">
        <f t="shared" si="50"/>
        <v>Normal</v>
      </c>
    </row>
    <row r="1057" spans="1:21" ht="23.25" customHeight="1" x14ac:dyDescent="0.35">
      <c r="A1057" t="s">
        <v>2263</v>
      </c>
      <c r="B1057" t="s">
        <v>2263</v>
      </c>
      <c r="C1057">
        <v>1000</v>
      </c>
      <c r="D1057">
        <v>0</v>
      </c>
      <c r="E1057" t="s">
        <v>2518</v>
      </c>
      <c r="F1057" t="s">
        <v>57</v>
      </c>
      <c r="G1057" t="s">
        <v>57</v>
      </c>
      <c r="H1057" t="s">
        <v>2519</v>
      </c>
      <c r="I1057"/>
      <c r="J1057"/>
      <c r="K1057"/>
      <c r="L1057"/>
      <c r="M1057"/>
      <c r="N1057"/>
      <c r="O1057"/>
      <c r="P1057"/>
      <c r="Q1057"/>
      <c r="R1057"/>
      <c r="S1057" s="56">
        <f t="shared" si="48"/>
        <v>3</v>
      </c>
      <c r="T1057" s="57" t="str">
        <f t="shared" si="49"/>
        <v>0-3 Days</v>
      </c>
      <c r="U1057" s="58" t="str">
        <f t="shared" si="50"/>
        <v>Normal</v>
      </c>
    </row>
    <row r="1058" spans="1:21" ht="23.25" customHeight="1" x14ac:dyDescent="0.35">
      <c r="A1058" t="s">
        <v>2263</v>
      </c>
      <c r="B1058" t="s">
        <v>2263</v>
      </c>
      <c r="C1058">
        <v>2650</v>
      </c>
      <c r="D1058">
        <v>0</v>
      </c>
      <c r="E1058" t="s">
        <v>2520</v>
      </c>
      <c r="F1058" t="s">
        <v>57</v>
      </c>
      <c r="G1058" t="s">
        <v>57</v>
      </c>
      <c r="H1058" t="s">
        <v>2521</v>
      </c>
      <c r="I1058"/>
      <c r="J1058"/>
      <c r="K1058"/>
      <c r="L1058"/>
      <c r="M1058"/>
      <c r="N1058"/>
      <c r="O1058"/>
      <c r="P1058"/>
      <c r="Q1058"/>
      <c r="R1058"/>
      <c r="S1058" s="56">
        <f t="shared" si="48"/>
        <v>3</v>
      </c>
      <c r="T1058" s="57" t="str">
        <f t="shared" si="49"/>
        <v>0-3 Days</v>
      </c>
      <c r="U1058" s="58" t="str">
        <f t="shared" si="50"/>
        <v>Normal</v>
      </c>
    </row>
    <row r="1059" spans="1:21" ht="23.25" customHeight="1" x14ac:dyDescent="0.35">
      <c r="A1059" t="s">
        <v>2263</v>
      </c>
      <c r="B1059" t="s">
        <v>2263</v>
      </c>
      <c r="C1059">
        <v>0</v>
      </c>
      <c r="D1059">
        <v>250</v>
      </c>
      <c r="E1059" t="s">
        <v>2522</v>
      </c>
      <c r="F1059" t="s">
        <v>57</v>
      </c>
      <c r="G1059" t="s">
        <v>57</v>
      </c>
      <c r="H1059" t="s">
        <v>2523</v>
      </c>
      <c r="I1059"/>
      <c r="J1059"/>
      <c r="K1059"/>
      <c r="L1059"/>
      <c r="M1059"/>
      <c r="N1059"/>
      <c r="O1059"/>
      <c r="P1059"/>
      <c r="Q1059"/>
      <c r="R1059"/>
      <c r="S1059" s="56">
        <f t="shared" si="48"/>
        <v>3</v>
      </c>
      <c r="T1059" s="57" t="str">
        <f t="shared" si="49"/>
        <v>0-3 Days</v>
      </c>
      <c r="U1059" s="58" t="str">
        <f t="shared" si="50"/>
        <v>Not Applicable</v>
      </c>
    </row>
    <row r="1060" spans="1:21" ht="23.25" customHeight="1" x14ac:dyDescent="0.35">
      <c r="A1060" t="s">
        <v>2263</v>
      </c>
      <c r="B1060" t="s">
        <v>2263</v>
      </c>
      <c r="C1060">
        <v>1000</v>
      </c>
      <c r="D1060">
        <v>0</v>
      </c>
      <c r="E1060" t="s">
        <v>2524</v>
      </c>
      <c r="F1060" t="s">
        <v>57</v>
      </c>
      <c r="G1060" t="s">
        <v>57</v>
      </c>
      <c r="H1060" t="s">
        <v>2525</v>
      </c>
      <c r="I1060"/>
      <c r="J1060"/>
      <c r="K1060"/>
      <c r="L1060"/>
      <c r="M1060"/>
      <c r="N1060"/>
      <c r="O1060"/>
      <c r="P1060"/>
      <c r="Q1060"/>
      <c r="R1060"/>
      <c r="S1060" s="56">
        <f t="shared" si="48"/>
        <v>3</v>
      </c>
      <c r="T1060" s="57" t="str">
        <f t="shared" si="49"/>
        <v>0-3 Days</v>
      </c>
      <c r="U1060" s="58" t="str">
        <f t="shared" si="50"/>
        <v>Normal</v>
      </c>
    </row>
    <row r="1061" spans="1:21" ht="23.25" customHeight="1" x14ac:dyDescent="0.35">
      <c r="A1061" t="s">
        <v>2263</v>
      </c>
      <c r="B1061" t="s">
        <v>2263</v>
      </c>
      <c r="C1061">
        <v>250</v>
      </c>
      <c r="D1061">
        <v>0</v>
      </c>
      <c r="E1061" t="s">
        <v>2526</v>
      </c>
      <c r="F1061" t="s">
        <v>57</v>
      </c>
      <c r="G1061" t="s">
        <v>57</v>
      </c>
      <c r="H1061" t="s">
        <v>2527</v>
      </c>
      <c r="I1061"/>
      <c r="J1061"/>
      <c r="K1061"/>
      <c r="L1061"/>
      <c r="M1061"/>
      <c r="N1061"/>
      <c r="O1061"/>
      <c r="P1061"/>
      <c r="Q1061"/>
      <c r="R1061"/>
      <c r="S1061" s="56">
        <f t="shared" si="48"/>
        <v>3</v>
      </c>
      <c r="T1061" s="57" t="str">
        <f t="shared" si="49"/>
        <v>0-3 Days</v>
      </c>
      <c r="U1061" s="58" t="str">
        <f t="shared" si="50"/>
        <v>Normal</v>
      </c>
    </row>
    <row r="1062" spans="1:21" ht="23.25" customHeight="1" x14ac:dyDescent="0.35">
      <c r="A1062" t="s">
        <v>2263</v>
      </c>
      <c r="B1062" t="s">
        <v>2263</v>
      </c>
      <c r="C1062">
        <v>2050</v>
      </c>
      <c r="D1062">
        <v>0</v>
      </c>
      <c r="E1062" t="s">
        <v>2528</v>
      </c>
      <c r="F1062" t="s">
        <v>57</v>
      </c>
      <c r="G1062" t="s">
        <v>57</v>
      </c>
      <c r="H1062" t="s">
        <v>2529</v>
      </c>
      <c r="I1062"/>
      <c r="J1062"/>
      <c r="K1062"/>
      <c r="L1062"/>
      <c r="M1062"/>
      <c r="N1062"/>
      <c r="O1062"/>
      <c r="P1062"/>
      <c r="Q1062"/>
      <c r="R1062"/>
      <c r="S1062" s="56">
        <f t="shared" si="48"/>
        <v>3</v>
      </c>
      <c r="T1062" s="57" t="str">
        <f t="shared" si="49"/>
        <v>0-3 Days</v>
      </c>
      <c r="U1062" s="58" t="str">
        <f t="shared" si="50"/>
        <v>Normal</v>
      </c>
    </row>
    <row r="1063" spans="1:21" ht="23.25" customHeight="1" x14ac:dyDescent="0.35">
      <c r="A1063" t="s">
        <v>2263</v>
      </c>
      <c r="B1063" t="s">
        <v>2263</v>
      </c>
      <c r="C1063">
        <v>1000</v>
      </c>
      <c r="D1063">
        <v>0</v>
      </c>
      <c r="E1063" t="s">
        <v>2530</v>
      </c>
      <c r="F1063" t="s">
        <v>57</v>
      </c>
      <c r="G1063" t="s">
        <v>57</v>
      </c>
      <c r="H1063" t="s">
        <v>2531</v>
      </c>
      <c r="I1063"/>
      <c r="J1063"/>
      <c r="K1063"/>
      <c r="L1063"/>
      <c r="M1063"/>
      <c r="N1063"/>
      <c r="O1063"/>
      <c r="P1063"/>
      <c r="Q1063"/>
      <c r="R1063"/>
      <c r="S1063" s="56">
        <f t="shared" si="48"/>
        <v>3</v>
      </c>
      <c r="T1063" s="57" t="str">
        <f t="shared" si="49"/>
        <v>0-3 Days</v>
      </c>
      <c r="U1063" s="58" t="str">
        <f t="shared" si="50"/>
        <v>Normal</v>
      </c>
    </row>
    <row r="1064" spans="1:21" ht="23.25" customHeight="1" x14ac:dyDescent="0.35">
      <c r="A1064" t="s">
        <v>2263</v>
      </c>
      <c r="B1064" t="s">
        <v>2263</v>
      </c>
      <c r="C1064">
        <v>250</v>
      </c>
      <c r="D1064">
        <v>0</v>
      </c>
      <c r="E1064" t="s">
        <v>2532</v>
      </c>
      <c r="F1064" t="s">
        <v>57</v>
      </c>
      <c r="G1064" t="s">
        <v>57</v>
      </c>
      <c r="H1064" t="s">
        <v>2533</v>
      </c>
      <c r="I1064"/>
      <c r="J1064"/>
      <c r="K1064"/>
      <c r="L1064"/>
      <c r="M1064"/>
      <c r="N1064"/>
      <c r="O1064"/>
      <c r="P1064"/>
      <c r="Q1064"/>
      <c r="R1064"/>
      <c r="S1064" s="56">
        <f t="shared" si="48"/>
        <v>3</v>
      </c>
      <c r="T1064" s="57" t="str">
        <f t="shared" si="49"/>
        <v>0-3 Days</v>
      </c>
      <c r="U1064" s="58" t="str">
        <f t="shared" si="50"/>
        <v>Normal</v>
      </c>
    </row>
    <row r="1065" spans="1:21" ht="23.25" customHeight="1" x14ac:dyDescent="0.35">
      <c r="A1065" t="s">
        <v>2263</v>
      </c>
      <c r="B1065" t="s">
        <v>2263</v>
      </c>
      <c r="C1065">
        <v>244</v>
      </c>
      <c r="D1065">
        <v>0</v>
      </c>
      <c r="E1065" t="s">
        <v>2534</v>
      </c>
      <c r="F1065" t="s">
        <v>57</v>
      </c>
      <c r="G1065" t="s">
        <v>57</v>
      </c>
      <c r="H1065" t="s">
        <v>2535</v>
      </c>
      <c r="I1065"/>
      <c r="J1065"/>
      <c r="K1065"/>
      <c r="L1065"/>
      <c r="M1065"/>
      <c r="N1065"/>
      <c r="O1065"/>
      <c r="P1065"/>
      <c r="Q1065"/>
      <c r="R1065"/>
      <c r="S1065" s="56">
        <f t="shared" si="48"/>
        <v>3</v>
      </c>
      <c r="T1065" s="57" t="str">
        <f t="shared" si="49"/>
        <v>0-3 Days</v>
      </c>
      <c r="U1065" s="58" t="str">
        <f t="shared" si="50"/>
        <v>Normal</v>
      </c>
    </row>
    <row r="1066" spans="1:21" ht="23.25" customHeight="1" x14ac:dyDescent="0.35">
      <c r="A1066" t="s">
        <v>2263</v>
      </c>
      <c r="B1066" t="s">
        <v>2263</v>
      </c>
      <c r="C1066">
        <v>205</v>
      </c>
      <c r="D1066">
        <v>0</v>
      </c>
      <c r="E1066" t="s">
        <v>2536</v>
      </c>
      <c r="F1066" t="s">
        <v>57</v>
      </c>
      <c r="G1066" t="s">
        <v>57</v>
      </c>
      <c r="H1066" t="s">
        <v>2537</v>
      </c>
      <c r="I1066"/>
      <c r="J1066"/>
      <c r="K1066"/>
      <c r="L1066"/>
      <c r="M1066"/>
      <c r="N1066"/>
      <c r="O1066"/>
      <c r="P1066"/>
      <c r="Q1066"/>
      <c r="R1066"/>
      <c r="S1066" s="56">
        <f t="shared" si="48"/>
        <v>3</v>
      </c>
      <c r="T1066" s="57" t="str">
        <f t="shared" si="49"/>
        <v>0-3 Days</v>
      </c>
      <c r="U1066" s="58" t="str">
        <f t="shared" si="50"/>
        <v>Normal</v>
      </c>
    </row>
    <row r="1067" spans="1:21" ht="23.25" customHeight="1" x14ac:dyDescent="0.35">
      <c r="A1067" t="s">
        <v>2263</v>
      </c>
      <c r="B1067" t="s">
        <v>2263</v>
      </c>
      <c r="C1067">
        <v>250</v>
      </c>
      <c r="D1067">
        <v>0</v>
      </c>
      <c r="E1067" t="s">
        <v>2538</v>
      </c>
      <c r="F1067" t="s">
        <v>57</v>
      </c>
      <c r="G1067" t="s">
        <v>57</v>
      </c>
      <c r="H1067" t="s">
        <v>2539</v>
      </c>
      <c r="I1067"/>
      <c r="J1067"/>
      <c r="K1067"/>
      <c r="L1067"/>
      <c r="M1067"/>
      <c r="N1067"/>
      <c r="O1067"/>
      <c r="P1067"/>
      <c r="Q1067"/>
      <c r="R1067"/>
      <c r="S1067" s="56">
        <f t="shared" si="48"/>
        <v>3</v>
      </c>
      <c r="T1067" s="57" t="str">
        <f t="shared" si="49"/>
        <v>0-3 Days</v>
      </c>
      <c r="U1067" s="58" t="str">
        <f t="shared" si="50"/>
        <v>Normal</v>
      </c>
    </row>
    <row r="1068" spans="1:21" ht="23.25" customHeight="1" x14ac:dyDescent="0.35">
      <c r="A1068" t="s">
        <v>2263</v>
      </c>
      <c r="B1068" t="s">
        <v>2263</v>
      </c>
      <c r="C1068">
        <v>2050</v>
      </c>
      <c r="D1068">
        <v>0</v>
      </c>
      <c r="E1068" t="s">
        <v>2540</v>
      </c>
      <c r="F1068" t="s">
        <v>57</v>
      </c>
      <c r="G1068" t="s">
        <v>57</v>
      </c>
      <c r="H1068" t="s">
        <v>2541</v>
      </c>
      <c r="I1068"/>
      <c r="J1068"/>
      <c r="K1068"/>
      <c r="L1068"/>
      <c r="M1068"/>
      <c r="N1068"/>
      <c r="O1068"/>
      <c r="P1068"/>
      <c r="Q1068"/>
      <c r="R1068"/>
      <c r="S1068" s="56">
        <f t="shared" si="48"/>
        <v>3</v>
      </c>
      <c r="T1068" s="57" t="str">
        <f t="shared" si="49"/>
        <v>0-3 Days</v>
      </c>
      <c r="U1068" s="58" t="str">
        <f t="shared" si="50"/>
        <v>Normal</v>
      </c>
    </row>
    <row r="1069" spans="1:21" ht="23.25" customHeight="1" x14ac:dyDescent="0.35">
      <c r="A1069" t="s">
        <v>2263</v>
      </c>
      <c r="B1069" t="s">
        <v>2263</v>
      </c>
      <c r="C1069">
        <v>1000</v>
      </c>
      <c r="D1069">
        <v>0</v>
      </c>
      <c r="E1069" t="s">
        <v>2542</v>
      </c>
      <c r="F1069" t="s">
        <v>57</v>
      </c>
      <c r="G1069" t="s">
        <v>57</v>
      </c>
      <c r="H1069" t="s">
        <v>2543</v>
      </c>
      <c r="I1069"/>
      <c r="J1069"/>
      <c r="K1069"/>
      <c r="L1069"/>
      <c r="M1069"/>
      <c r="N1069"/>
      <c r="O1069"/>
      <c r="P1069"/>
      <c r="Q1069"/>
      <c r="R1069"/>
      <c r="S1069" s="56">
        <f t="shared" si="48"/>
        <v>3</v>
      </c>
      <c r="T1069" s="57" t="str">
        <f t="shared" si="49"/>
        <v>0-3 Days</v>
      </c>
      <c r="U1069" s="58" t="str">
        <f t="shared" si="50"/>
        <v>Normal</v>
      </c>
    </row>
    <row r="1070" spans="1:21" ht="23.25" customHeight="1" x14ac:dyDescent="0.35">
      <c r="A1070" t="s">
        <v>2263</v>
      </c>
      <c r="B1070" t="s">
        <v>2263</v>
      </c>
      <c r="C1070">
        <v>250</v>
      </c>
      <c r="D1070">
        <v>0</v>
      </c>
      <c r="E1070" t="s">
        <v>2544</v>
      </c>
      <c r="F1070" t="s">
        <v>57</v>
      </c>
      <c r="G1070" t="s">
        <v>57</v>
      </c>
      <c r="H1070" t="s">
        <v>2545</v>
      </c>
      <c r="I1070"/>
      <c r="J1070"/>
      <c r="K1070"/>
      <c r="L1070"/>
      <c r="M1070"/>
      <c r="N1070"/>
      <c r="O1070"/>
      <c r="P1070"/>
      <c r="Q1070"/>
      <c r="R1070"/>
      <c r="S1070" s="56">
        <f t="shared" si="48"/>
        <v>3</v>
      </c>
      <c r="T1070" s="57" t="str">
        <f t="shared" si="49"/>
        <v>0-3 Days</v>
      </c>
      <c r="U1070" s="58" t="str">
        <f t="shared" si="50"/>
        <v>Normal</v>
      </c>
    </row>
    <row r="1071" spans="1:21" ht="23.25" customHeight="1" x14ac:dyDescent="0.35">
      <c r="A1071" t="s">
        <v>2263</v>
      </c>
      <c r="B1071" t="s">
        <v>2263</v>
      </c>
      <c r="C1071">
        <v>1000</v>
      </c>
      <c r="D1071">
        <v>0</v>
      </c>
      <c r="E1071" t="s">
        <v>2546</v>
      </c>
      <c r="F1071" t="s">
        <v>57</v>
      </c>
      <c r="G1071" t="s">
        <v>57</v>
      </c>
      <c r="H1071" t="s">
        <v>2547</v>
      </c>
      <c r="I1071"/>
      <c r="J1071"/>
      <c r="K1071"/>
      <c r="L1071"/>
      <c r="M1071"/>
      <c r="N1071"/>
      <c r="O1071"/>
      <c r="P1071"/>
      <c r="Q1071"/>
      <c r="R1071"/>
      <c r="S1071" s="56">
        <f t="shared" si="48"/>
        <v>3</v>
      </c>
      <c r="T1071" s="57" t="str">
        <f t="shared" si="49"/>
        <v>0-3 Days</v>
      </c>
      <c r="U1071" s="58" t="str">
        <f t="shared" si="50"/>
        <v>Normal</v>
      </c>
    </row>
    <row r="1072" spans="1:21" ht="23.25" customHeight="1" x14ac:dyDescent="0.35">
      <c r="A1072" t="s">
        <v>2263</v>
      </c>
      <c r="B1072" t="s">
        <v>2263</v>
      </c>
      <c r="C1072">
        <v>1000</v>
      </c>
      <c r="D1072">
        <v>0</v>
      </c>
      <c r="E1072" t="s">
        <v>2548</v>
      </c>
      <c r="F1072" t="s">
        <v>57</v>
      </c>
      <c r="G1072" t="s">
        <v>57</v>
      </c>
      <c r="H1072" t="s">
        <v>2549</v>
      </c>
      <c r="I1072"/>
      <c r="J1072"/>
      <c r="K1072"/>
      <c r="L1072"/>
      <c r="M1072"/>
      <c r="N1072"/>
      <c r="O1072"/>
      <c r="P1072"/>
      <c r="Q1072"/>
      <c r="R1072"/>
      <c r="S1072" s="56">
        <f t="shared" si="48"/>
        <v>3</v>
      </c>
      <c r="T1072" s="57" t="str">
        <f t="shared" si="49"/>
        <v>0-3 Days</v>
      </c>
      <c r="U1072" s="58" t="str">
        <f t="shared" si="50"/>
        <v>Normal</v>
      </c>
    </row>
    <row r="1073" spans="1:21" ht="23.25" customHeight="1" x14ac:dyDescent="0.35">
      <c r="A1073" t="s">
        <v>2263</v>
      </c>
      <c r="B1073" t="s">
        <v>2263</v>
      </c>
      <c r="C1073">
        <v>2650</v>
      </c>
      <c r="D1073">
        <v>0</v>
      </c>
      <c r="E1073" t="s">
        <v>2550</v>
      </c>
      <c r="F1073" t="s">
        <v>57</v>
      </c>
      <c r="G1073" t="s">
        <v>57</v>
      </c>
      <c r="H1073" t="s">
        <v>2551</v>
      </c>
      <c r="I1073"/>
      <c r="J1073"/>
      <c r="K1073"/>
      <c r="L1073"/>
      <c r="M1073"/>
      <c r="N1073"/>
      <c r="O1073"/>
      <c r="P1073"/>
      <c r="Q1073"/>
      <c r="R1073"/>
      <c r="S1073" s="56">
        <f t="shared" si="48"/>
        <v>3</v>
      </c>
      <c r="T1073" s="57" t="str">
        <f t="shared" si="49"/>
        <v>0-3 Days</v>
      </c>
      <c r="U1073" s="58" t="str">
        <f t="shared" si="50"/>
        <v>Normal</v>
      </c>
    </row>
    <row r="1074" spans="1:21" ht="23.25" customHeight="1" x14ac:dyDescent="0.35">
      <c r="A1074" t="s">
        <v>2263</v>
      </c>
      <c r="B1074" t="s">
        <v>2263</v>
      </c>
      <c r="C1074">
        <v>1172</v>
      </c>
      <c r="D1074">
        <v>0</v>
      </c>
      <c r="E1074" t="s">
        <v>2552</v>
      </c>
      <c r="F1074" t="s">
        <v>57</v>
      </c>
      <c r="G1074" t="s">
        <v>57</v>
      </c>
      <c r="H1074" t="s">
        <v>2553</v>
      </c>
      <c r="I1074"/>
      <c r="J1074"/>
      <c r="K1074"/>
      <c r="L1074"/>
      <c r="M1074"/>
      <c r="N1074"/>
      <c r="O1074"/>
      <c r="P1074"/>
      <c r="Q1074"/>
      <c r="R1074"/>
      <c r="S1074" s="56">
        <f t="shared" si="48"/>
        <v>3</v>
      </c>
      <c r="T1074" s="57" t="str">
        <f t="shared" si="49"/>
        <v>0-3 Days</v>
      </c>
      <c r="U1074" s="58" t="str">
        <f t="shared" si="50"/>
        <v>Normal</v>
      </c>
    </row>
    <row r="1075" spans="1:21" ht="23.25" customHeight="1" x14ac:dyDescent="0.35">
      <c r="A1075" t="s">
        <v>2263</v>
      </c>
      <c r="B1075" t="s">
        <v>2263</v>
      </c>
      <c r="C1075">
        <v>2050</v>
      </c>
      <c r="D1075">
        <v>0</v>
      </c>
      <c r="E1075" t="s">
        <v>2554</v>
      </c>
      <c r="F1075" t="s">
        <v>57</v>
      </c>
      <c r="G1075" t="s">
        <v>57</v>
      </c>
      <c r="H1075" t="s">
        <v>2555</v>
      </c>
      <c r="I1075"/>
      <c r="J1075"/>
      <c r="K1075"/>
      <c r="L1075"/>
      <c r="M1075"/>
      <c r="N1075"/>
      <c r="O1075"/>
      <c r="P1075"/>
      <c r="Q1075"/>
      <c r="R1075"/>
      <c r="S1075" s="56">
        <f t="shared" si="48"/>
        <v>3</v>
      </c>
      <c r="T1075" s="57" t="str">
        <f t="shared" si="49"/>
        <v>0-3 Days</v>
      </c>
      <c r="U1075" s="58" t="str">
        <f t="shared" si="50"/>
        <v>Normal</v>
      </c>
    </row>
    <row r="1076" spans="1:21" ht="23.25" customHeight="1" x14ac:dyDescent="0.35">
      <c r="A1076" t="s">
        <v>2263</v>
      </c>
      <c r="B1076" t="s">
        <v>2263</v>
      </c>
      <c r="C1076">
        <v>205</v>
      </c>
      <c r="D1076">
        <v>0</v>
      </c>
      <c r="E1076" t="s">
        <v>2556</v>
      </c>
      <c r="F1076" t="s">
        <v>57</v>
      </c>
      <c r="G1076" t="s">
        <v>57</v>
      </c>
      <c r="H1076" t="s">
        <v>2557</v>
      </c>
      <c r="I1076"/>
      <c r="J1076"/>
      <c r="K1076"/>
      <c r="L1076"/>
      <c r="M1076"/>
      <c r="N1076"/>
      <c r="O1076"/>
      <c r="P1076"/>
      <c r="Q1076"/>
      <c r="R1076"/>
      <c r="S1076" s="56">
        <f t="shared" si="48"/>
        <v>3</v>
      </c>
      <c r="T1076" s="57" t="str">
        <f t="shared" si="49"/>
        <v>0-3 Days</v>
      </c>
      <c r="U1076" s="58" t="str">
        <f t="shared" si="50"/>
        <v>Normal</v>
      </c>
    </row>
    <row r="1077" spans="1:21" ht="23.25" customHeight="1" x14ac:dyDescent="0.35">
      <c r="A1077" t="s">
        <v>2263</v>
      </c>
      <c r="B1077" t="s">
        <v>2263</v>
      </c>
      <c r="C1077">
        <v>808</v>
      </c>
      <c r="D1077">
        <v>0</v>
      </c>
      <c r="E1077" t="s">
        <v>2558</v>
      </c>
      <c r="F1077" t="s">
        <v>57</v>
      </c>
      <c r="G1077" t="s">
        <v>57</v>
      </c>
      <c r="H1077" t="s">
        <v>2559</v>
      </c>
      <c r="I1077"/>
      <c r="J1077"/>
      <c r="K1077"/>
      <c r="L1077"/>
      <c r="M1077"/>
      <c r="N1077"/>
      <c r="O1077"/>
      <c r="P1077"/>
      <c r="Q1077"/>
      <c r="R1077"/>
      <c r="S1077" s="56">
        <f t="shared" si="48"/>
        <v>3</v>
      </c>
      <c r="T1077" s="57" t="str">
        <f t="shared" si="49"/>
        <v>0-3 Days</v>
      </c>
      <c r="U1077" s="58" t="str">
        <f t="shared" si="50"/>
        <v>Normal</v>
      </c>
    </row>
    <row r="1078" spans="1:21" ht="23.25" customHeight="1" x14ac:dyDescent="0.35">
      <c r="A1078" t="s">
        <v>2263</v>
      </c>
      <c r="B1078" t="s">
        <v>2263</v>
      </c>
      <c r="C1078">
        <v>1000</v>
      </c>
      <c r="D1078">
        <v>0</v>
      </c>
      <c r="E1078" t="s">
        <v>2560</v>
      </c>
      <c r="F1078" t="s">
        <v>57</v>
      </c>
      <c r="G1078" t="s">
        <v>57</v>
      </c>
      <c r="H1078" t="s">
        <v>2561</v>
      </c>
      <c r="I1078"/>
      <c r="J1078"/>
      <c r="K1078"/>
      <c r="L1078"/>
      <c r="M1078"/>
      <c r="N1078"/>
      <c r="O1078"/>
      <c r="P1078"/>
      <c r="Q1078"/>
      <c r="R1078"/>
      <c r="S1078" s="56">
        <f t="shared" si="48"/>
        <v>3</v>
      </c>
      <c r="T1078" s="57" t="str">
        <f t="shared" si="49"/>
        <v>0-3 Days</v>
      </c>
      <c r="U1078" s="58" t="str">
        <f t="shared" si="50"/>
        <v>Normal</v>
      </c>
    </row>
    <row r="1079" spans="1:21" ht="23.25" customHeight="1" x14ac:dyDescent="0.35">
      <c r="A1079" t="s">
        <v>2263</v>
      </c>
      <c r="B1079" t="s">
        <v>2263</v>
      </c>
      <c r="C1079">
        <v>2050</v>
      </c>
      <c r="D1079">
        <v>0</v>
      </c>
      <c r="E1079" t="s">
        <v>2562</v>
      </c>
      <c r="F1079" t="s">
        <v>57</v>
      </c>
      <c r="G1079" t="s">
        <v>57</v>
      </c>
      <c r="H1079" t="s">
        <v>2563</v>
      </c>
      <c r="I1079"/>
      <c r="J1079"/>
      <c r="K1079"/>
      <c r="L1079"/>
      <c r="M1079"/>
      <c r="N1079"/>
      <c r="O1079"/>
      <c r="P1079"/>
      <c r="Q1079"/>
      <c r="R1079"/>
      <c r="S1079" s="56">
        <f t="shared" si="48"/>
        <v>3</v>
      </c>
      <c r="T1079" s="57" t="str">
        <f t="shared" si="49"/>
        <v>0-3 Days</v>
      </c>
      <c r="U1079" s="58" t="str">
        <f t="shared" si="50"/>
        <v>Normal</v>
      </c>
    </row>
    <row r="1080" spans="1:21" ht="23.25" customHeight="1" x14ac:dyDescent="0.35">
      <c r="A1080" t="s">
        <v>2263</v>
      </c>
      <c r="B1080" t="s">
        <v>2263</v>
      </c>
      <c r="C1080">
        <v>1000</v>
      </c>
      <c r="D1080">
        <v>0</v>
      </c>
      <c r="E1080" t="s">
        <v>2564</v>
      </c>
      <c r="F1080" t="s">
        <v>57</v>
      </c>
      <c r="G1080" t="s">
        <v>57</v>
      </c>
      <c r="H1080" t="s">
        <v>2565</v>
      </c>
      <c r="I1080"/>
      <c r="J1080"/>
      <c r="K1080"/>
      <c r="L1080"/>
      <c r="M1080"/>
      <c r="N1080"/>
      <c r="O1080"/>
      <c r="P1080"/>
      <c r="Q1080"/>
      <c r="R1080"/>
      <c r="S1080" s="56">
        <f t="shared" si="48"/>
        <v>3</v>
      </c>
      <c r="T1080" s="57" t="str">
        <f t="shared" si="49"/>
        <v>0-3 Days</v>
      </c>
      <c r="U1080" s="58" t="str">
        <f t="shared" si="50"/>
        <v>Normal</v>
      </c>
    </row>
    <row r="1081" spans="1:21" ht="23.25" customHeight="1" x14ac:dyDescent="0.35">
      <c r="A1081" t="s">
        <v>2263</v>
      </c>
      <c r="B1081" t="s">
        <v>2263</v>
      </c>
      <c r="C1081">
        <v>828</v>
      </c>
      <c r="D1081">
        <v>0</v>
      </c>
      <c r="E1081" t="s">
        <v>2566</v>
      </c>
      <c r="F1081" t="s">
        <v>57</v>
      </c>
      <c r="G1081" t="s">
        <v>57</v>
      </c>
      <c r="H1081" t="s">
        <v>2567</v>
      </c>
      <c r="I1081"/>
      <c r="J1081"/>
      <c r="K1081"/>
      <c r="L1081"/>
      <c r="M1081"/>
      <c r="N1081"/>
      <c r="O1081"/>
      <c r="P1081"/>
      <c r="Q1081"/>
      <c r="R1081"/>
      <c r="S1081" s="56">
        <f t="shared" si="48"/>
        <v>3</v>
      </c>
      <c r="T1081" s="57" t="str">
        <f t="shared" si="49"/>
        <v>0-3 Days</v>
      </c>
      <c r="U1081" s="58" t="str">
        <f t="shared" si="50"/>
        <v>Normal</v>
      </c>
    </row>
    <row r="1082" spans="1:21" ht="23.25" customHeight="1" x14ac:dyDescent="0.35">
      <c r="A1082" t="s">
        <v>2263</v>
      </c>
      <c r="B1082" t="s">
        <v>2263</v>
      </c>
      <c r="C1082">
        <v>1416</v>
      </c>
      <c r="D1082">
        <v>0</v>
      </c>
      <c r="E1082" t="s">
        <v>2568</v>
      </c>
      <c r="F1082" t="s">
        <v>57</v>
      </c>
      <c r="G1082" t="s">
        <v>57</v>
      </c>
      <c r="H1082" t="s">
        <v>2569</v>
      </c>
      <c r="I1082"/>
      <c r="J1082"/>
      <c r="K1082"/>
      <c r="L1082"/>
      <c r="M1082"/>
      <c r="N1082"/>
      <c r="O1082"/>
      <c r="P1082"/>
      <c r="Q1082"/>
      <c r="R1082"/>
      <c r="S1082" s="56">
        <f t="shared" si="48"/>
        <v>3</v>
      </c>
      <c r="T1082" s="57" t="str">
        <f t="shared" si="49"/>
        <v>0-3 Days</v>
      </c>
      <c r="U1082" s="58" t="str">
        <f t="shared" si="50"/>
        <v>Normal</v>
      </c>
    </row>
    <row r="1083" spans="1:21" ht="23.25" customHeight="1" x14ac:dyDescent="0.35">
      <c r="A1083" t="s">
        <v>2263</v>
      </c>
      <c r="B1083" t="s">
        <v>2263</v>
      </c>
      <c r="C1083">
        <v>1000</v>
      </c>
      <c r="D1083">
        <v>0</v>
      </c>
      <c r="E1083" t="s">
        <v>2570</v>
      </c>
      <c r="F1083" t="s">
        <v>57</v>
      </c>
      <c r="G1083" t="s">
        <v>57</v>
      </c>
      <c r="H1083" t="s">
        <v>2571</v>
      </c>
      <c r="I1083"/>
      <c r="J1083"/>
      <c r="K1083"/>
      <c r="L1083"/>
      <c r="M1083"/>
      <c r="N1083"/>
      <c r="O1083"/>
      <c r="P1083"/>
      <c r="Q1083"/>
      <c r="R1083"/>
      <c r="S1083" s="56">
        <f t="shared" si="48"/>
        <v>3</v>
      </c>
      <c r="T1083" s="57" t="str">
        <f t="shared" si="49"/>
        <v>0-3 Days</v>
      </c>
      <c r="U1083" s="58" t="str">
        <f t="shared" si="50"/>
        <v>Normal</v>
      </c>
    </row>
    <row r="1084" spans="1:21" ht="23.25" customHeight="1" x14ac:dyDescent="0.35">
      <c r="A1084" t="s">
        <v>2263</v>
      </c>
      <c r="B1084" t="s">
        <v>2263</v>
      </c>
      <c r="C1084">
        <v>2050</v>
      </c>
      <c r="D1084">
        <v>0</v>
      </c>
      <c r="E1084" t="s">
        <v>2572</v>
      </c>
      <c r="F1084" t="s">
        <v>57</v>
      </c>
      <c r="G1084" t="s">
        <v>57</v>
      </c>
      <c r="H1084" t="s">
        <v>2573</v>
      </c>
      <c r="I1084"/>
      <c r="J1084"/>
      <c r="K1084"/>
      <c r="L1084"/>
      <c r="M1084"/>
      <c r="N1084"/>
      <c r="O1084"/>
      <c r="P1084"/>
      <c r="Q1084"/>
      <c r="R1084"/>
      <c r="S1084" s="56">
        <f t="shared" si="48"/>
        <v>3</v>
      </c>
      <c r="T1084" s="57" t="str">
        <f t="shared" si="49"/>
        <v>0-3 Days</v>
      </c>
      <c r="U1084" s="58" t="str">
        <f t="shared" si="50"/>
        <v>Normal</v>
      </c>
    </row>
    <row r="1085" spans="1:21" ht="23.25" customHeight="1" x14ac:dyDescent="0.35">
      <c r="A1085" t="s">
        <v>2263</v>
      </c>
      <c r="B1085" t="s">
        <v>2263</v>
      </c>
      <c r="C1085">
        <v>1012</v>
      </c>
      <c r="D1085">
        <v>0</v>
      </c>
      <c r="E1085" t="s">
        <v>2574</v>
      </c>
      <c r="F1085" t="s">
        <v>57</v>
      </c>
      <c r="G1085" t="s">
        <v>57</v>
      </c>
      <c r="H1085" t="s">
        <v>2575</v>
      </c>
      <c r="I1085"/>
      <c r="J1085"/>
      <c r="K1085"/>
      <c r="L1085"/>
      <c r="M1085"/>
      <c r="N1085"/>
      <c r="O1085"/>
      <c r="P1085"/>
      <c r="Q1085"/>
      <c r="R1085"/>
      <c r="S1085" s="56">
        <f t="shared" si="48"/>
        <v>3</v>
      </c>
      <c r="T1085" s="57" t="str">
        <f t="shared" si="49"/>
        <v>0-3 Days</v>
      </c>
      <c r="U1085" s="58" t="str">
        <f t="shared" si="50"/>
        <v>Normal</v>
      </c>
    </row>
    <row r="1086" spans="1:21" ht="23.25" customHeight="1" x14ac:dyDescent="0.35">
      <c r="A1086" t="s">
        <v>2263</v>
      </c>
      <c r="B1086" t="s">
        <v>2263</v>
      </c>
      <c r="C1086">
        <v>2050</v>
      </c>
      <c r="D1086">
        <v>0</v>
      </c>
      <c r="E1086" t="s">
        <v>2576</v>
      </c>
      <c r="F1086" t="s">
        <v>57</v>
      </c>
      <c r="G1086" t="s">
        <v>57</v>
      </c>
      <c r="H1086" t="s">
        <v>2577</v>
      </c>
      <c r="I1086"/>
      <c r="J1086"/>
      <c r="K1086"/>
      <c r="L1086"/>
      <c r="M1086"/>
      <c r="N1086"/>
      <c r="O1086"/>
      <c r="P1086"/>
      <c r="Q1086"/>
      <c r="R1086"/>
      <c r="S1086" s="56">
        <f t="shared" si="48"/>
        <v>3</v>
      </c>
      <c r="T1086" s="57" t="str">
        <f t="shared" si="49"/>
        <v>0-3 Days</v>
      </c>
      <c r="U1086" s="58" t="str">
        <f t="shared" si="50"/>
        <v>Normal</v>
      </c>
    </row>
    <row r="1087" spans="1:21" ht="23.25" customHeight="1" x14ac:dyDescent="0.35">
      <c r="A1087" t="s">
        <v>2263</v>
      </c>
      <c r="B1087" t="s">
        <v>2263</v>
      </c>
      <c r="C1087">
        <v>1000</v>
      </c>
      <c r="D1087">
        <v>0</v>
      </c>
      <c r="E1087" t="s">
        <v>2578</v>
      </c>
      <c r="F1087" t="s">
        <v>57</v>
      </c>
      <c r="G1087" t="s">
        <v>57</v>
      </c>
      <c r="H1087" t="s">
        <v>2579</v>
      </c>
      <c r="I1087"/>
      <c r="J1087"/>
      <c r="K1087"/>
      <c r="L1087"/>
      <c r="M1087"/>
      <c r="N1087"/>
      <c r="O1087"/>
      <c r="P1087"/>
      <c r="Q1087"/>
      <c r="R1087"/>
      <c r="S1087" s="56">
        <f t="shared" si="48"/>
        <v>3</v>
      </c>
      <c r="T1087" s="57" t="str">
        <f t="shared" si="49"/>
        <v>0-3 Days</v>
      </c>
      <c r="U1087" s="58" t="str">
        <f t="shared" si="50"/>
        <v>Normal</v>
      </c>
    </row>
    <row r="1088" spans="1:21" ht="23.25" customHeight="1" x14ac:dyDescent="0.35">
      <c r="A1088" t="s">
        <v>2263</v>
      </c>
      <c r="B1088" t="s">
        <v>2263</v>
      </c>
      <c r="C1088">
        <v>1000</v>
      </c>
      <c r="D1088">
        <v>0</v>
      </c>
      <c r="E1088" t="s">
        <v>2580</v>
      </c>
      <c r="F1088" t="s">
        <v>57</v>
      </c>
      <c r="G1088" t="s">
        <v>57</v>
      </c>
      <c r="H1088" t="s">
        <v>2581</v>
      </c>
      <c r="I1088"/>
      <c r="J1088"/>
      <c r="K1088"/>
      <c r="L1088"/>
      <c r="M1088"/>
      <c r="N1088"/>
      <c r="O1088"/>
      <c r="P1088"/>
      <c r="Q1088"/>
      <c r="R1088"/>
      <c r="S1088" s="56">
        <f t="shared" si="48"/>
        <v>3</v>
      </c>
      <c r="T1088" s="57" t="str">
        <f t="shared" si="49"/>
        <v>0-3 Days</v>
      </c>
      <c r="U1088" s="58" t="str">
        <f t="shared" si="50"/>
        <v>Normal</v>
      </c>
    </row>
    <row r="1089" spans="1:21" ht="23.25" customHeight="1" x14ac:dyDescent="0.35">
      <c r="A1089" t="s">
        <v>2263</v>
      </c>
      <c r="B1089" t="s">
        <v>2263</v>
      </c>
      <c r="C1089">
        <v>0</v>
      </c>
      <c r="D1089">
        <v>2050</v>
      </c>
      <c r="E1089" t="s">
        <v>2582</v>
      </c>
      <c r="F1089" t="s">
        <v>57</v>
      </c>
      <c r="G1089" t="s">
        <v>57</v>
      </c>
      <c r="H1089" t="s">
        <v>2583</v>
      </c>
      <c r="I1089"/>
      <c r="J1089"/>
      <c r="K1089"/>
      <c r="L1089"/>
      <c r="M1089"/>
      <c r="N1089"/>
      <c r="O1089"/>
      <c r="P1089"/>
      <c r="Q1089"/>
      <c r="R1089"/>
      <c r="S1089" s="56">
        <f t="shared" si="48"/>
        <v>3</v>
      </c>
      <c r="T1089" s="57" t="str">
        <f t="shared" si="49"/>
        <v>0-3 Days</v>
      </c>
      <c r="U1089" s="58" t="str">
        <f t="shared" si="50"/>
        <v>Not Applicable</v>
      </c>
    </row>
    <row r="1090" spans="1:21" ht="23.25" customHeight="1" x14ac:dyDescent="0.35">
      <c r="A1090" t="s">
        <v>2263</v>
      </c>
      <c r="B1090" t="s">
        <v>2263</v>
      </c>
      <c r="C1090">
        <v>828</v>
      </c>
      <c r="D1090">
        <v>0</v>
      </c>
      <c r="E1090" t="s">
        <v>2584</v>
      </c>
      <c r="F1090" t="s">
        <v>57</v>
      </c>
      <c r="G1090" t="s">
        <v>57</v>
      </c>
      <c r="H1090" t="s">
        <v>2585</v>
      </c>
      <c r="I1090"/>
      <c r="J1090"/>
      <c r="K1090"/>
      <c r="L1090"/>
      <c r="M1090"/>
      <c r="N1090"/>
      <c r="O1090"/>
      <c r="P1090"/>
      <c r="Q1090"/>
      <c r="R1090"/>
      <c r="S1090" s="56">
        <f t="shared" si="48"/>
        <v>3</v>
      </c>
      <c r="T1090" s="57" t="str">
        <f t="shared" si="49"/>
        <v>0-3 Days</v>
      </c>
      <c r="U1090" s="58" t="str">
        <f t="shared" si="50"/>
        <v>Normal</v>
      </c>
    </row>
    <row r="1091" spans="1:21" ht="23.25" customHeight="1" x14ac:dyDescent="0.35">
      <c r="A1091" t="s">
        <v>2263</v>
      </c>
      <c r="B1091" t="s">
        <v>2263</v>
      </c>
      <c r="C1091">
        <v>828</v>
      </c>
      <c r="D1091">
        <v>0</v>
      </c>
      <c r="E1091" t="s">
        <v>2586</v>
      </c>
      <c r="F1091" t="s">
        <v>57</v>
      </c>
      <c r="G1091" t="s">
        <v>57</v>
      </c>
      <c r="H1091" t="s">
        <v>2587</v>
      </c>
      <c r="I1091"/>
      <c r="J1091"/>
      <c r="K1091"/>
      <c r="L1091"/>
      <c r="M1091"/>
      <c r="N1091"/>
      <c r="O1091"/>
      <c r="P1091"/>
      <c r="Q1091"/>
      <c r="R1091"/>
      <c r="S1091" s="56">
        <f t="shared" si="48"/>
        <v>3</v>
      </c>
      <c r="T1091" s="57" t="str">
        <f t="shared" si="49"/>
        <v>0-3 Days</v>
      </c>
      <c r="U1091" s="58" t="str">
        <f t="shared" si="50"/>
        <v>Normal</v>
      </c>
    </row>
    <row r="1092" spans="1:21" ht="23.25" customHeight="1" x14ac:dyDescent="0.35">
      <c r="A1092" t="s">
        <v>2263</v>
      </c>
      <c r="B1092" t="s">
        <v>2263</v>
      </c>
      <c r="C1092">
        <v>1524</v>
      </c>
      <c r="D1092">
        <v>0</v>
      </c>
      <c r="E1092" t="s">
        <v>2588</v>
      </c>
      <c r="F1092" t="s">
        <v>57</v>
      </c>
      <c r="G1092" t="s">
        <v>57</v>
      </c>
      <c r="H1092" t="s">
        <v>2589</v>
      </c>
      <c r="I1092"/>
      <c r="J1092"/>
      <c r="K1092"/>
      <c r="L1092"/>
      <c r="M1092"/>
      <c r="N1092"/>
      <c r="O1092"/>
      <c r="P1092"/>
      <c r="Q1092"/>
      <c r="R1092"/>
      <c r="S1092" s="56">
        <f t="shared" si="48"/>
        <v>3</v>
      </c>
      <c r="T1092" s="57" t="str">
        <f t="shared" si="49"/>
        <v>0-3 Days</v>
      </c>
      <c r="U1092" s="58" t="str">
        <f t="shared" si="50"/>
        <v>Normal</v>
      </c>
    </row>
    <row r="1093" spans="1:21" ht="23.25" customHeight="1" x14ac:dyDescent="0.35">
      <c r="A1093" t="s">
        <v>2263</v>
      </c>
      <c r="B1093" t="s">
        <v>2263</v>
      </c>
      <c r="C1093">
        <v>1000</v>
      </c>
      <c r="D1093">
        <v>0</v>
      </c>
      <c r="E1093" t="s">
        <v>2590</v>
      </c>
      <c r="F1093" t="s">
        <v>57</v>
      </c>
      <c r="G1093" t="s">
        <v>57</v>
      </c>
      <c r="H1093" t="s">
        <v>2591</v>
      </c>
      <c r="I1093"/>
      <c r="J1093"/>
      <c r="K1093"/>
      <c r="L1093"/>
      <c r="M1093"/>
      <c r="N1093"/>
      <c r="O1093"/>
      <c r="P1093"/>
      <c r="Q1093"/>
      <c r="R1093"/>
      <c r="S1093" s="56">
        <f t="shared" si="48"/>
        <v>3</v>
      </c>
      <c r="T1093" s="57" t="str">
        <f t="shared" si="49"/>
        <v>0-3 Days</v>
      </c>
      <c r="U1093" s="58" t="str">
        <f t="shared" si="50"/>
        <v>Normal</v>
      </c>
    </row>
    <row r="1094" spans="1:21" ht="23.25" customHeight="1" x14ac:dyDescent="0.35">
      <c r="A1094" t="s">
        <v>2263</v>
      </c>
      <c r="B1094" t="s">
        <v>2263</v>
      </c>
      <c r="C1094">
        <v>808</v>
      </c>
      <c r="D1094">
        <v>0</v>
      </c>
      <c r="E1094" t="s">
        <v>2592</v>
      </c>
      <c r="F1094" t="s">
        <v>57</v>
      </c>
      <c r="G1094" t="s">
        <v>57</v>
      </c>
      <c r="H1094" t="s">
        <v>2593</v>
      </c>
      <c r="I1094"/>
      <c r="J1094"/>
      <c r="K1094"/>
      <c r="L1094"/>
      <c r="M1094"/>
      <c r="N1094"/>
      <c r="O1094"/>
      <c r="P1094"/>
      <c r="Q1094"/>
      <c r="R1094"/>
      <c r="S1094" s="56">
        <f t="shared" si="48"/>
        <v>3</v>
      </c>
      <c r="T1094" s="57" t="str">
        <f t="shared" si="49"/>
        <v>0-3 Days</v>
      </c>
      <c r="U1094" s="58" t="str">
        <f t="shared" si="50"/>
        <v>Normal</v>
      </c>
    </row>
    <row r="1095" spans="1:21" ht="23.25" customHeight="1" x14ac:dyDescent="0.35">
      <c r="A1095" t="s">
        <v>2263</v>
      </c>
      <c r="B1095" t="s">
        <v>2263</v>
      </c>
      <c r="C1095">
        <v>2700</v>
      </c>
      <c r="D1095">
        <v>0</v>
      </c>
      <c r="E1095" t="s">
        <v>2594</v>
      </c>
      <c r="F1095" t="s">
        <v>57</v>
      </c>
      <c r="G1095" t="s">
        <v>57</v>
      </c>
      <c r="H1095" t="s">
        <v>2595</v>
      </c>
      <c r="I1095"/>
      <c r="J1095"/>
      <c r="K1095"/>
      <c r="L1095"/>
      <c r="M1095"/>
      <c r="N1095"/>
      <c r="O1095"/>
      <c r="P1095"/>
      <c r="Q1095"/>
      <c r="R1095"/>
      <c r="S1095" s="56">
        <f t="shared" si="48"/>
        <v>3</v>
      </c>
      <c r="T1095" s="57" t="str">
        <f t="shared" si="49"/>
        <v>0-3 Days</v>
      </c>
      <c r="U1095" s="58" t="str">
        <f t="shared" si="50"/>
        <v>Normal</v>
      </c>
    </row>
    <row r="1096" spans="1:21" ht="23.25" customHeight="1" x14ac:dyDescent="0.35">
      <c r="A1096" t="s">
        <v>2263</v>
      </c>
      <c r="B1096" t="s">
        <v>2263</v>
      </c>
      <c r="C1096">
        <v>0</v>
      </c>
      <c r="D1096">
        <v>1000</v>
      </c>
      <c r="E1096" t="s">
        <v>2596</v>
      </c>
      <c r="F1096" t="s">
        <v>57</v>
      </c>
      <c r="G1096" t="s">
        <v>57</v>
      </c>
      <c r="H1096" t="s">
        <v>2597</v>
      </c>
      <c r="I1096"/>
      <c r="J1096"/>
      <c r="K1096"/>
      <c r="L1096"/>
      <c r="M1096"/>
      <c r="N1096"/>
      <c r="O1096"/>
      <c r="P1096"/>
      <c r="Q1096"/>
      <c r="R1096"/>
      <c r="S1096" s="56">
        <f t="shared" si="48"/>
        <v>3</v>
      </c>
      <c r="T1096" s="57" t="str">
        <f t="shared" si="49"/>
        <v>0-3 Days</v>
      </c>
      <c r="U1096" s="58" t="str">
        <f t="shared" si="50"/>
        <v>Not Applicable</v>
      </c>
    </row>
    <row r="1097" spans="1:21" ht="23.25" customHeight="1" x14ac:dyDescent="0.35">
      <c r="A1097" t="s">
        <v>2263</v>
      </c>
      <c r="B1097" t="s">
        <v>2263</v>
      </c>
      <c r="C1097">
        <v>357142.5</v>
      </c>
      <c r="D1097">
        <v>0</v>
      </c>
      <c r="E1097" t="s">
        <v>2598</v>
      </c>
      <c r="F1097" t="s">
        <v>2599</v>
      </c>
      <c r="G1097" t="s">
        <v>2599</v>
      </c>
      <c r="H1097" t="s">
        <v>2600</v>
      </c>
      <c r="I1097" t="s">
        <v>2601</v>
      </c>
      <c r="J1097" t="s">
        <v>2602</v>
      </c>
      <c r="K1097" t="s">
        <v>2601</v>
      </c>
      <c r="L1097" t="s">
        <v>2601</v>
      </c>
      <c r="M1097"/>
      <c r="N1097"/>
      <c r="O1097" t="s">
        <v>2601</v>
      </c>
      <c r="P1097" t="s">
        <v>2603</v>
      </c>
      <c r="Q1097"/>
      <c r="R1097"/>
      <c r="S1097" s="56">
        <f t="shared" ref="S1097:S1160" si="51">IF(A1097="","",A$5-A1097)</f>
        <v>3</v>
      </c>
      <c r="T1097" s="57" t="str">
        <f t="shared" ref="T1097:T1160" si="52">IF(S1097="","",IF(S1097&lt;4,"0-3 Days",IF(S1097&lt;31,"4-30 Days",IF(S1097&lt;61,"31-60 Days",IF(S1097&lt;=90,"61-90 Days",IF(S1097&gt;90,"Above 90 Days","0"))))))</f>
        <v>0-3 Days</v>
      </c>
      <c r="U1097" s="58" t="str">
        <f t="shared" ref="U1097:U1160" si="53">IF(C1097="","",IF(C1097&gt;0,IF(S1097&lt;30,"Normal",IF(S1097&lt;60,"Especially Mentioned",IF(S1097&lt;90,"Substandard",IF(S1097&lt;=180,"Doubtful",IF(S1097&gt;180,"Loss","0"))))),"Not Applicable"))</f>
        <v>Normal</v>
      </c>
    </row>
    <row r="1098" spans="1:21" ht="23.25" customHeight="1" x14ac:dyDescent="0.35">
      <c r="A1098" t="s">
        <v>2263</v>
      </c>
      <c r="B1098" t="s">
        <v>2263</v>
      </c>
      <c r="C1098">
        <v>205</v>
      </c>
      <c r="D1098">
        <v>0</v>
      </c>
      <c r="E1098" t="s">
        <v>2604</v>
      </c>
      <c r="F1098" t="s">
        <v>57</v>
      </c>
      <c r="G1098" t="s">
        <v>57</v>
      </c>
      <c r="H1098" t="s">
        <v>2605</v>
      </c>
      <c r="I1098"/>
      <c r="J1098"/>
      <c r="K1098"/>
      <c r="L1098"/>
      <c r="M1098"/>
      <c r="N1098"/>
      <c r="O1098"/>
      <c r="P1098"/>
      <c r="Q1098"/>
      <c r="R1098"/>
      <c r="S1098" s="56">
        <f t="shared" si="51"/>
        <v>3</v>
      </c>
      <c r="T1098" s="57" t="str">
        <f t="shared" si="52"/>
        <v>0-3 Days</v>
      </c>
      <c r="U1098" s="58" t="str">
        <f t="shared" si="53"/>
        <v>Normal</v>
      </c>
    </row>
    <row r="1099" spans="1:21" ht="23.25" customHeight="1" x14ac:dyDescent="0.35">
      <c r="A1099" t="s">
        <v>2263</v>
      </c>
      <c r="B1099" t="s">
        <v>2263</v>
      </c>
      <c r="C1099">
        <v>1000</v>
      </c>
      <c r="D1099">
        <v>0</v>
      </c>
      <c r="E1099" t="s">
        <v>2606</v>
      </c>
      <c r="F1099" t="s">
        <v>57</v>
      </c>
      <c r="G1099" t="s">
        <v>57</v>
      </c>
      <c r="H1099" t="s">
        <v>2607</v>
      </c>
      <c r="I1099"/>
      <c r="J1099"/>
      <c r="K1099"/>
      <c r="L1099"/>
      <c r="M1099"/>
      <c r="N1099"/>
      <c r="O1099"/>
      <c r="P1099"/>
      <c r="Q1099"/>
      <c r="R1099"/>
      <c r="S1099" s="56">
        <f t="shared" si="51"/>
        <v>3</v>
      </c>
      <c r="T1099" s="57" t="str">
        <f t="shared" si="52"/>
        <v>0-3 Days</v>
      </c>
      <c r="U1099" s="58" t="str">
        <f t="shared" si="53"/>
        <v>Normal</v>
      </c>
    </row>
    <row r="1100" spans="1:21" ht="23.25" customHeight="1" x14ac:dyDescent="0.35">
      <c r="A1100" t="s">
        <v>2263</v>
      </c>
      <c r="B1100" t="s">
        <v>2263</v>
      </c>
      <c r="C1100">
        <v>1000</v>
      </c>
      <c r="D1100">
        <v>0</v>
      </c>
      <c r="E1100" t="s">
        <v>2608</v>
      </c>
      <c r="F1100" t="s">
        <v>57</v>
      </c>
      <c r="G1100" t="s">
        <v>57</v>
      </c>
      <c r="H1100" t="s">
        <v>2609</v>
      </c>
      <c r="I1100"/>
      <c r="J1100"/>
      <c r="K1100"/>
      <c r="L1100"/>
      <c r="M1100"/>
      <c r="N1100"/>
      <c r="O1100"/>
      <c r="P1100"/>
      <c r="Q1100"/>
      <c r="R1100"/>
      <c r="S1100" s="56">
        <f t="shared" si="51"/>
        <v>3</v>
      </c>
      <c r="T1100" s="57" t="str">
        <f t="shared" si="52"/>
        <v>0-3 Days</v>
      </c>
      <c r="U1100" s="58" t="str">
        <f t="shared" si="53"/>
        <v>Normal</v>
      </c>
    </row>
    <row r="1101" spans="1:21" ht="23.25" customHeight="1" x14ac:dyDescent="0.35">
      <c r="A1101" t="s">
        <v>2263</v>
      </c>
      <c r="B1101" t="s">
        <v>2263</v>
      </c>
      <c r="C1101">
        <v>2050</v>
      </c>
      <c r="D1101">
        <v>0</v>
      </c>
      <c r="E1101" t="s">
        <v>2610</v>
      </c>
      <c r="F1101" t="s">
        <v>57</v>
      </c>
      <c r="G1101" t="s">
        <v>57</v>
      </c>
      <c r="H1101" t="s">
        <v>2611</v>
      </c>
      <c r="I1101"/>
      <c r="J1101"/>
      <c r="K1101"/>
      <c r="L1101"/>
      <c r="M1101"/>
      <c r="N1101"/>
      <c r="O1101"/>
      <c r="P1101"/>
      <c r="Q1101"/>
      <c r="R1101"/>
      <c r="S1101" s="56">
        <f t="shared" si="51"/>
        <v>3</v>
      </c>
      <c r="T1101" s="57" t="str">
        <f t="shared" si="52"/>
        <v>0-3 Days</v>
      </c>
      <c r="U1101" s="58" t="str">
        <f t="shared" si="53"/>
        <v>Normal</v>
      </c>
    </row>
    <row r="1102" spans="1:21" ht="23.25" customHeight="1" x14ac:dyDescent="0.35">
      <c r="A1102" t="s">
        <v>2263</v>
      </c>
      <c r="B1102" t="s">
        <v>2263</v>
      </c>
      <c r="C1102">
        <v>0</v>
      </c>
      <c r="D1102">
        <v>909968.55</v>
      </c>
      <c r="E1102" t="s">
        <v>2612</v>
      </c>
      <c r="F1102" t="s">
        <v>57</v>
      </c>
      <c r="G1102" t="s">
        <v>57</v>
      </c>
      <c r="H1102" t="s">
        <v>2613</v>
      </c>
      <c r="I1102"/>
      <c r="J1102"/>
      <c r="K1102"/>
      <c r="L1102"/>
      <c r="M1102"/>
      <c r="N1102"/>
      <c r="O1102"/>
      <c r="P1102"/>
      <c r="Q1102"/>
      <c r="R1102"/>
      <c r="S1102" s="56">
        <f t="shared" si="51"/>
        <v>3</v>
      </c>
      <c r="T1102" s="57" t="str">
        <f t="shared" si="52"/>
        <v>0-3 Days</v>
      </c>
      <c r="U1102" s="58" t="str">
        <f t="shared" si="53"/>
        <v>Not Applicable</v>
      </c>
    </row>
    <row r="1103" spans="1:21" ht="23.25" customHeight="1" x14ac:dyDescent="0.35">
      <c r="A1103" t="s">
        <v>2263</v>
      </c>
      <c r="B1103" t="s">
        <v>2263</v>
      </c>
      <c r="C1103">
        <v>1000</v>
      </c>
      <c r="D1103">
        <v>0</v>
      </c>
      <c r="E1103" t="s">
        <v>2614</v>
      </c>
      <c r="F1103" t="s">
        <v>57</v>
      </c>
      <c r="G1103" t="s">
        <v>57</v>
      </c>
      <c r="H1103" t="s">
        <v>2615</v>
      </c>
      <c r="I1103"/>
      <c r="J1103"/>
      <c r="K1103"/>
      <c r="L1103"/>
      <c r="M1103"/>
      <c r="N1103"/>
      <c r="O1103"/>
      <c r="P1103"/>
      <c r="Q1103"/>
      <c r="R1103"/>
      <c r="S1103" s="56">
        <f t="shared" si="51"/>
        <v>3</v>
      </c>
      <c r="T1103" s="57" t="str">
        <f t="shared" si="52"/>
        <v>0-3 Days</v>
      </c>
      <c r="U1103" s="58" t="str">
        <f t="shared" si="53"/>
        <v>Normal</v>
      </c>
    </row>
    <row r="1104" spans="1:21" ht="23.25" customHeight="1" x14ac:dyDescent="0.35">
      <c r="A1104" t="s">
        <v>2263</v>
      </c>
      <c r="B1104" t="s">
        <v>2263</v>
      </c>
      <c r="C1104">
        <v>205</v>
      </c>
      <c r="D1104">
        <v>0</v>
      </c>
      <c r="E1104" t="s">
        <v>2616</v>
      </c>
      <c r="F1104" t="s">
        <v>57</v>
      </c>
      <c r="G1104" t="s">
        <v>57</v>
      </c>
      <c r="H1104" t="s">
        <v>2617</v>
      </c>
      <c r="I1104"/>
      <c r="J1104"/>
      <c r="K1104"/>
      <c r="L1104"/>
      <c r="M1104"/>
      <c r="N1104"/>
      <c r="O1104"/>
      <c r="P1104"/>
      <c r="Q1104"/>
      <c r="R1104"/>
      <c r="S1104" s="56">
        <f t="shared" si="51"/>
        <v>3</v>
      </c>
      <c r="T1104" s="57" t="str">
        <f t="shared" si="52"/>
        <v>0-3 Days</v>
      </c>
      <c r="U1104" s="58" t="str">
        <f t="shared" si="53"/>
        <v>Normal</v>
      </c>
    </row>
    <row r="1105" spans="1:21" ht="23.25" customHeight="1" x14ac:dyDescent="0.35">
      <c r="A1105" t="s">
        <v>2263</v>
      </c>
      <c r="B1105" t="s">
        <v>2263</v>
      </c>
      <c r="C1105">
        <v>250</v>
      </c>
      <c r="D1105">
        <v>0</v>
      </c>
      <c r="E1105" t="s">
        <v>2618</v>
      </c>
      <c r="F1105" t="s">
        <v>57</v>
      </c>
      <c r="G1105" t="s">
        <v>57</v>
      </c>
      <c r="H1105" t="s">
        <v>2619</v>
      </c>
      <c r="I1105"/>
      <c r="J1105"/>
      <c r="K1105"/>
      <c r="L1105"/>
      <c r="M1105"/>
      <c r="N1105"/>
      <c r="O1105"/>
      <c r="P1105"/>
      <c r="Q1105"/>
      <c r="R1105"/>
      <c r="S1105" s="56">
        <f t="shared" si="51"/>
        <v>3</v>
      </c>
      <c r="T1105" s="57" t="str">
        <f t="shared" si="52"/>
        <v>0-3 Days</v>
      </c>
      <c r="U1105" s="58" t="str">
        <f t="shared" si="53"/>
        <v>Normal</v>
      </c>
    </row>
    <row r="1106" spans="1:21" ht="23.25" customHeight="1" x14ac:dyDescent="0.35">
      <c r="A1106" t="s">
        <v>2263</v>
      </c>
      <c r="B1106" t="s">
        <v>2263</v>
      </c>
      <c r="C1106">
        <v>1680</v>
      </c>
      <c r="D1106">
        <v>0</v>
      </c>
      <c r="E1106" t="s">
        <v>2620</v>
      </c>
      <c r="F1106" t="s">
        <v>57</v>
      </c>
      <c r="G1106" t="s">
        <v>57</v>
      </c>
      <c r="H1106" t="s">
        <v>2621</v>
      </c>
      <c r="I1106"/>
      <c r="J1106"/>
      <c r="K1106"/>
      <c r="L1106"/>
      <c r="M1106"/>
      <c r="N1106"/>
      <c r="O1106"/>
      <c r="P1106"/>
      <c r="Q1106"/>
      <c r="R1106"/>
      <c r="S1106" s="56">
        <f t="shared" si="51"/>
        <v>3</v>
      </c>
      <c r="T1106" s="57" t="str">
        <f t="shared" si="52"/>
        <v>0-3 Days</v>
      </c>
      <c r="U1106" s="58" t="str">
        <f t="shared" si="53"/>
        <v>Normal</v>
      </c>
    </row>
    <row r="1107" spans="1:21" ht="23.25" customHeight="1" x14ac:dyDescent="0.35">
      <c r="A1107" t="s">
        <v>2263</v>
      </c>
      <c r="B1107" t="s">
        <v>2263</v>
      </c>
      <c r="C1107">
        <v>0</v>
      </c>
      <c r="D1107">
        <v>1000</v>
      </c>
      <c r="E1107" t="s">
        <v>2622</v>
      </c>
      <c r="F1107" t="s">
        <v>57</v>
      </c>
      <c r="G1107" t="s">
        <v>57</v>
      </c>
      <c r="H1107" t="s">
        <v>2623</v>
      </c>
      <c r="I1107"/>
      <c r="J1107"/>
      <c r="K1107"/>
      <c r="L1107"/>
      <c r="M1107"/>
      <c r="N1107"/>
      <c r="O1107"/>
      <c r="P1107"/>
      <c r="Q1107"/>
      <c r="R1107"/>
      <c r="S1107" s="56">
        <f t="shared" si="51"/>
        <v>3</v>
      </c>
      <c r="T1107" s="57" t="str">
        <f t="shared" si="52"/>
        <v>0-3 Days</v>
      </c>
      <c r="U1107" s="58" t="str">
        <f t="shared" si="53"/>
        <v>Not Applicable</v>
      </c>
    </row>
    <row r="1108" spans="1:21" ht="23.25" customHeight="1" x14ac:dyDescent="0.35">
      <c r="A1108" t="s">
        <v>2263</v>
      </c>
      <c r="B1108" t="s">
        <v>2263</v>
      </c>
      <c r="C1108">
        <v>600</v>
      </c>
      <c r="D1108">
        <v>0</v>
      </c>
      <c r="E1108" t="s">
        <v>2624</v>
      </c>
      <c r="F1108" t="s">
        <v>57</v>
      </c>
      <c r="G1108" t="s">
        <v>57</v>
      </c>
      <c r="H1108" t="s">
        <v>2625</v>
      </c>
      <c r="I1108"/>
      <c r="J1108"/>
      <c r="K1108"/>
      <c r="L1108"/>
      <c r="M1108"/>
      <c r="N1108"/>
      <c r="O1108"/>
      <c r="P1108"/>
      <c r="Q1108"/>
      <c r="R1108"/>
      <c r="S1108" s="56">
        <f t="shared" si="51"/>
        <v>3</v>
      </c>
      <c r="T1108" s="57" t="str">
        <f t="shared" si="52"/>
        <v>0-3 Days</v>
      </c>
      <c r="U1108" s="58" t="str">
        <f t="shared" si="53"/>
        <v>Normal</v>
      </c>
    </row>
    <row r="1109" spans="1:21" ht="23.25" customHeight="1" x14ac:dyDescent="0.35">
      <c r="A1109" t="s">
        <v>2263</v>
      </c>
      <c r="B1109" t="s">
        <v>2263</v>
      </c>
      <c r="C1109">
        <v>600</v>
      </c>
      <c r="D1109">
        <v>0</v>
      </c>
      <c r="E1109" t="s">
        <v>2626</v>
      </c>
      <c r="F1109" t="s">
        <v>57</v>
      </c>
      <c r="G1109" t="s">
        <v>57</v>
      </c>
      <c r="H1109" t="s">
        <v>2627</v>
      </c>
      <c r="I1109"/>
      <c r="J1109"/>
      <c r="K1109"/>
      <c r="L1109"/>
      <c r="M1109"/>
      <c r="N1109"/>
      <c r="O1109"/>
      <c r="P1109"/>
      <c r="Q1109"/>
      <c r="R1109"/>
      <c r="S1109" s="56">
        <f t="shared" si="51"/>
        <v>3</v>
      </c>
      <c r="T1109" s="57" t="str">
        <f t="shared" si="52"/>
        <v>0-3 Days</v>
      </c>
      <c r="U1109" s="58" t="str">
        <f t="shared" si="53"/>
        <v>Normal</v>
      </c>
    </row>
    <row r="1110" spans="1:21" ht="23.25" customHeight="1" x14ac:dyDescent="0.35">
      <c r="A1110" t="s">
        <v>2263</v>
      </c>
      <c r="B1110" t="s">
        <v>2263</v>
      </c>
      <c r="C1110">
        <v>1000</v>
      </c>
      <c r="D1110">
        <v>0</v>
      </c>
      <c r="E1110" t="s">
        <v>2628</v>
      </c>
      <c r="F1110" t="s">
        <v>57</v>
      </c>
      <c r="G1110" t="s">
        <v>57</v>
      </c>
      <c r="H1110" t="s">
        <v>2629</v>
      </c>
      <c r="I1110"/>
      <c r="J1110"/>
      <c r="K1110"/>
      <c r="L1110"/>
      <c r="M1110"/>
      <c r="N1110"/>
      <c r="O1110"/>
      <c r="P1110"/>
      <c r="Q1110"/>
      <c r="R1110"/>
      <c r="S1110" s="56">
        <f t="shared" si="51"/>
        <v>3</v>
      </c>
      <c r="T1110" s="57" t="str">
        <f t="shared" si="52"/>
        <v>0-3 Days</v>
      </c>
      <c r="U1110" s="58" t="str">
        <f t="shared" si="53"/>
        <v>Normal</v>
      </c>
    </row>
    <row r="1111" spans="1:21" ht="23.25" customHeight="1" x14ac:dyDescent="0.35">
      <c r="A1111" t="s">
        <v>2263</v>
      </c>
      <c r="B1111" t="s">
        <v>2263</v>
      </c>
      <c r="C1111">
        <v>1000</v>
      </c>
      <c r="D1111">
        <v>0</v>
      </c>
      <c r="E1111" t="s">
        <v>2630</v>
      </c>
      <c r="F1111" t="s">
        <v>57</v>
      </c>
      <c r="G1111" t="s">
        <v>57</v>
      </c>
      <c r="H1111" t="s">
        <v>2631</v>
      </c>
      <c r="I1111"/>
      <c r="J1111"/>
      <c r="K1111"/>
      <c r="L1111"/>
      <c r="M1111"/>
      <c r="N1111"/>
      <c r="O1111"/>
      <c r="P1111"/>
      <c r="Q1111"/>
      <c r="R1111"/>
      <c r="S1111" s="56">
        <f t="shared" si="51"/>
        <v>3</v>
      </c>
      <c r="T1111" s="57" t="str">
        <f t="shared" si="52"/>
        <v>0-3 Days</v>
      </c>
      <c r="U1111" s="58" t="str">
        <f t="shared" si="53"/>
        <v>Normal</v>
      </c>
    </row>
    <row r="1112" spans="1:21" ht="23.25" customHeight="1" x14ac:dyDescent="0.35">
      <c r="A1112" t="s">
        <v>2263</v>
      </c>
      <c r="B1112" t="s">
        <v>2263</v>
      </c>
      <c r="C1112">
        <v>1062</v>
      </c>
      <c r="D1112">
        <v>0</v>
      </c>
      <c r="E1112" t="s">
        <v>2632</v>
      </c>
      <c r="F1112" t="s">
        <v>57</v>
      </c>
      <c r="G1112" t="s">
        <v>57</v>
      </c>
      <c r="H1112" t="s">
        <v>2633</v>
      </c>
      <c r="I1112"/>
      <c r="J1112"/>
      <c r="K1112"/>
      <c r="L1112"/>
      <c r="M1112"/>
      <c r="N1112"/>
      <c r="O1112"/>
      <c r="P1112"/>
      <c r="Q1112"/>
      <c r="R1112"/>
      <c r="S1112" s="56">
        <f t="shared" si="51"/>
        <v>3</v>
      </c>
      <c r="T1112" s="57" t="str">
        <f t="shared" si="52"/>
        <v>0-3 Days</v>
      </c>
      <c r="U1112" s="58" t="str">
        <f t="shared" si="53"/>
        <v>Normal</v>
      </c>
    </row>
    <row r="1113" spans="1:21" ht="23.25" customHeight="1" x14ac:dyDescent="0.35">
      <c r="A1113" t="s">
        <v>2263</v>
      </c>
      <c r="B1113" t="s">
        <v>2263</v>
      </c>
      <c r="C1113">
        <v>215</v>
      </c>
      <c r="D1113">
        <v>0</v>
      </c>
      <c r="E1113" t="s">
        <v>2634</v>
      </c>
      <c r="F1113" t="s">
        <v>57</v>
      </c>
      <c r="G1113" t="s">
        <v>57</v>
      </c>
      <c r="H1113" t="s">
        <v>2635</v>
      </c>
      <c r="I1113"/>
      <c r="J1113"/>
      <c r="K1113"/>
      <c r="L1113"/>
      <c r="M1113"/>
      <c r="N1113"/>
      <c r="O1113"/>
      <c r="P1113"/>
      <c r="Q1113"/>
      <c r="R1113"/>
      <c r="S1113" s="56">
        <f t="shared" si="51"/>
        <v>3</v>
      </c>
      <c r="T1113" s="57" t="str">
        <f t="shared" si="52"/>
        <v>0-3 Days</v>
      </c>
      <c r="U1113" s="58" t="str">
        <f t="shared" si="53"/>
        <v>Normal</v>
      </c>
    </row>
    <row r="1114" spans="1:21" ht="23.25" customHeight="1" x14ac:dyDescent="0.35">
      <c r="A1114" t="s">
        <v>2263</v>
      </c>
      <c r="B1114" t="s">
        <v>2263</v>
      </c>
      <c r="C1114">
        <v>1000</v>
      </c>
      <c r="D1114">
        <v>0</v>
      </c>
      <c r="E1114" t="s">
        <v>2636</v>
      </c>
      <c r="F1114" t="s">
        <v>57</v>
      </c>
      <c r="G1114" t="s">
        <v>57</v>
      </c>
      <c r="H1114" t="s">
        <v>2637</v>
      </c>
      <c r="I1114"/>
      <c r="J1114"/>
      <c r="K1114"/>
      <c r="L1114"/>
      <c r="M1114"/>
      <c r="N1114"/>
      <c r="O1114"/>
      <c r="P1114"/>
      <c r="Q1114"/>
      <c r="R1114"/>
      <c r="S1114" s="56">
        <f t="shared" si="51"/>
        <v>3</v>
      </c>
      <c r="T1114" s="57" t="str">
        <f t="shared" si="52"/>
        <v>0-3 Days</v>
      </c>
      <c r="U1114" s="58" t="str">
        <f t="shared" si="53"/>
        <v>Normal</v>
      </c>
    </row>
    <row r="1115" spans="1:21" ht="23.25" customHeight="1" x14ac:dyDescent="0.35">
      <c r="A1115" t="s">
        <v>2263</v>
      </c>
      <c r="B1115" t="s">
        <v>2263</v>
      </c>
      <c r="C1115">
        <v>1082</v>
      </c>
      <c r="D1115">
        <v>0</v>
      </c>
      <c r="E1115" t="s">
        <v>2638</v>
      </c>
      <c r="F1115" t="s">
        <v>57</v>
      </c>
      <c r="G1115" t="s">
        <v>57</v>
      </c>
      <c r="H1115" t="s">
        <v>2639</v>
      </c>
      <c r="I1115"/>
      <c r="J1115"/>
      <c r="K1115"/>
      <c r="L1115"/>
      <c r="M1115"/>
      <c r="N1115"/>
      <c r="O1115"/>
      <c r="P1115"/>
      <c r="Q1115"/>
      <c r="R1115"/>
      <c r="S1115" s="56">
        <f t="shared" si="51"/>
        <v>3</v>
      </c>
      <c r="T1115" s="57" t="str">
        <f t="shared" si="52"/>
        <v>0-3 Days</v>
      </c>
      <c r="U1115" s="58" t="str">
        <f t="shared" si="53"/>
        <v>Normal</v>
      </c>
    </row>
    <row r="1116" spans="1:21" ht="23.25" customHeight="1" x14ac:dyDescent="0.35">
      <c r="A1116" t="s">
        <v>2263</v>
      </c>
      <c r="B1116" t="s">
        <v>2263</v>
      </c>
      <c r="C1116">
        <v>708</v>
      </c>
      <c r="D1116">
        <v>0</v>
      </c>
      <c r="E1116" t="s">
        <v>2640</v>
      </c>
      <c r="F1116" t="s">
        <v>57</v>
      </c>
      <c r="G1116" t="s">
        <v>57</v>
      </c>
      <c r="H1116" t="s">
        <v>2641</v>
      </c>
      <c r="I1116"/>
      <c r="J1116"/>
      <c r="K1116"/>
      <c r="L1116"/>
      <c r="M1116"/>
      <c r="N1116"/>
      <c r="O1116"/>
      <c r="P1116"/>
      <c r="Q1116"/>
      <c r="R1116"/>
      <c r="S1116" s="56">
        <f t="shared" si="51"/>
        <v>3</v>
      </c>
      <c r="T1116" s="57" t="str">
        <f t="shared" si="52"/>
        <v>0-3 Days</v>
      </c>
      <c r="U1116" s="58" t="str">
        <f t="shared" si="53"/>
        <v>Normal</v>
      </c>
    </row>
    <row r="1117" spans="1:21" ht="23.25" customHeight="1" x14ac:dyDescent="0.35">
      <c r="A1117" t="s">
        <v>2263</v>
      </c>
      <c r="B1117" t="s">
        <v>2263</v>
      </c>
      <c r="C1117">
        <v>1000</v>
      </c>
      <c r="D1117">
        <v>0</v>
      </c>
      <c r="E1117" t="s">
        <v>2642</v>
      </c>
      <c r="F1117" t="s">
        <v>57</v>
      </c>
      <c r="G1117" t="s">
        <v>57</v>
      </c>
      <c r="H1117" t="s">
        <v>2643</v>
      </c>
      <c r="I1117"/>
      <c r="J1117"/>
      <c r="K1117"/>
      <c r="L1117"/>
      <c r="M1117"/>
      <c r="N1117"/>
      <c r="O1117"/>
      <c r="P1117"/>
      <c r="Q1117"/>
      <c r="R1117"/>
      <c r="S1117" s="56">
        <f t="shared" si="51"/>
        <v>3</v>
      </c>
      <c r="T1117" s="57" t="str">
        <f t="shared" si="52"/>
        <v>0-3 Days</v>
      </c>
      <c r="U1117" s="58" t="str">
        <f t="shared" si="53"/>
        <v>Normal</v>
      </c>
    </row>
    <row r="1118" spans="1:21" ht="23.25" customHeight="1" x14ac:dyDescent="0.35">
      <c r="A1118" t="s">
        <v>2263</v>
      </c>
      <c r="B1118" t="s">
        <v>2263</v>
      </c>
      <c r="C1118">
        <v>2650</v>
      </c>
      <c r="D1118">
        <v>0</v>
      </c>
      <c r="E1118" t="s">
        <v>2644</v>
      </c>
      <c r="F1118" t="s">
        <v>57</v>
      </c>
      <c r="G1118" t="s">
        <v>57</v>
      </c>
      <c r="H1118" t="s">
        <v>2645</v>
      </c>
      <c r="I1118"/>
      <c r="J1118"/>
      <c r="K1118"/>
      <c r="L1118"/>
      <c r="M1118"/>
      <c r="N1118"/>
      <c r="O1118"/>
      <c r="P1118"/>
      <c r="Q1118"/>
      <c r="R1118"/>
      <c r="S1118" s="56">
        <f t="shared" si="51"/>
        <v>3</v>
      </c>
      <c r="T1118" s="57" t="str">
        <f t="shared" si="52"/>
        <v>0-3 Days</v>
      </c>
      <c r="U1118" s="58" t="str">
        <f t="shared" si="53"/>
        <v>Normal</v>
      </c>
    </row>
    <row r="1119" spans="1:21" ht="23.25" customHeight="1" x14ac:dyDescent="0.35">
      <c r="A1119" t="s">
        <v>2263</v>
      </c>
      <c r="B1119" t="s">
        <v>2263</v>
      </c>
      <c r="C1119">
        <v>2700</v>
      </c>
      <c r="D1119">
        <v>0</v>
      </c>
      <c r="E1119" t="s">
        <v>2646</v>
      </c>
      <c r="F1119" t="s">
        <v>57</v>
      </c>
      <c r="G1119" t="s">
        <v>57</v>
      </c>
      <c r="H1119" t="s">
        <v>2647</v>
      </c>
      <c r="I1119"/>
      <c r="J1119"/>
      <c r="K1119"/>
      <c r="L1119"/>
      <c r="M1119"/>
      <c r="N1119"/>
      <c r="O1119"/>
      <c r="P1119"/>
      <c r="Q1119"/>
      <c r="R1119"/>
      <c r="S1119" s="56">
        <f t="shared" si="51"/>
        <v>3</v>
      </c>
      <c r="T1119" s="57" t="str">
        <f t="shared" si="52"/>
        <v>0-3 Days</v>
      </c>
      <c r="U1119" s="58" t="str">
        <f t="shared" si="53"/>
        <v>Normal</v>
      </c>
    </row>
    <row r="1120" spans="1:21" ht="23.25" customHeight="1" x14ac:dyDescent="0.35">
      <c r="A1120" t="s">
        <v>2263</v>
      </c>
      <c r="B1120" t="s">
        <v>2263</v>
      </c>
      <c r="C1120">
        <v>1680</v>
      </c>
      <c r="D1120">
        <v>0</v>
      </c>
      <c r="E1120" t="s">
        <v>2648</v>
      </c>
      <c r="F1120" t="s">
        <v>57</v>
      </c>
      <c r="G1120" t="s">
        <v>57</v>
      </c>
      <c r="H1120" t="s">
        <v>2649</v>
      </c>
      <c r="I1120"/>
      <c r="J1120"/>
      <c r="K1120"/>
      <c r="L1120"/>
      <c r="M1120"/>
      <c r="N1120"/>
      <c r="O1120"/>
      <c r="P1120"/>
      <c r="Q1120"/>
      <c r="R1120"/>
      <c r="S1120" s="56">
        <f t="shared" si="51"/>
        <v>3</v>
      </c>
      <c r="T1120" s="57" t="str">
        <f t="shared" si="52"/>
        <v>0-3 Days</v>
      </c>
      <c r="U1120" s="58" t="str">
        <f t="shared" si="53"/>
        <v>Normal</v>
      </c>
    </row>
    <row r="1121" spans="1:21" ht="23.25" customHeight="1" x14ac:dyDescent="0.35">
      <c r="A1121" t="s">
        <v>2263</v>
      </c>
      <c r="B1121" t="s">
        <v>2263</v>
      </c>
      <c r="C1121">
        <v>248</v>
      </c>
      <c r="D1121">
        <v>0</v>
      </c>
      <c r="E1121" t="s">
        <v>2650</v>
      </c>
      <c r="F1121" t="s">
        <v>57</v>
      </c>
      <c r="G1121" t="s">
        <v>57</v>
      </c>
      <c r="H1121" t="s">
        <v>2651</v>
      </c>
      <c r="I1121"/>
      <c r="J1121"/>
      <c r="K1121"/>
      <c r="L1121"/>
      <c r="M1121"/>
      <c r="N1121"/>
      <c r="O1121"/>
      <c r="P1121"/>
      <c r="Q1121"/>
      <c r="R1121"/>
      <c r="S1121" s="56">
        <f t="shared" si="51"/>
        <v>3</v>
      </c>
      <c r="T1121" s="57" t="str">
        <f t="shared" si="52"/>
        <v>0-3 Days</v>
      </c>
      <c r="U1121" s="58" t="str">
        <f t="shared" si="53"/>
        <v>Normal</v>
      </c>
    </row>
    <row r="1122" spans="1:21" ht="23.25" customHeight="1" x14ac:dyDescent="0.35">
      <c r="A1122" t="s">
        <v>2263</v>
      </c>
      <c r="B1122" t="s">
        <v>2263</v>
      </c>
      <c r="C1122">
        <v>1000</v>
      </c>
      <c r="D1122">
        <v>0</v>
      </c>
      <c r="E1122" t="s">
        <v>2652</v>
      </c>
      <c r="F1122" t="s">
        <v>57</v>
      </c>
      <c r="G1122" t="s">
        <v>57</v>
      </c>
      <c r="H1122" t="s">
        <v>2653</v>
      </c>
      <c r="I1122"/>
      <c r="J1122"/>
      <c r="K1122"/>
      <c r="L1122"/>
      <c r="M1122"/>
      <c r="N1122"/>
      <c r="O1122"/>
      <c r="P1122"/>
      <c r="Q1122"/>
      <c r="R1122"/>
      <c r="S1122" s="56">
        <f t="shared" si="51"/>
        <v>3</v>
      </c>
      <c r="T1122" s="57" t="str">
        <f t="shared" si="52"/>
        <v>0-3 Days</v>
      </c>
      <c r="U1122" s="58" t="str">
        <f t="shared" si="53"/>
        <v>Normal</v>
      </c>
    </row>
    <row r="1123" spans="1:21" ht="23.25" customHeight="1" x14ac:dyDescent="0.35">
      <c r="A1123" t="s">
        <v>2263</v>
      </c>
      <c r="B1123" t="s">
        <v>2263</v>
      </c>
      <c r="C1123">
        <v>2050</v>
      </c>
      <c r="D1123">
        <v>0</v>
      </c>
      <c r="E1123" t="s">
        <v>2654</v>
      </c>
      <c r="F1123" t="s">
        <v>57</v>
      </c>
      <c r="G1123" t="s">
        <v>57</v>
      </c>
      <c r="H1123" t="s">
        <v>2655</v>
      </c>
      <c r="I1123"/>
      <c r="J1123"/>
      <c r="K1123"/>
      <c r="L1123"/>
      <c r="M1123"/>
      <c r="N1123"/>
      <c r="O1123"/>
      <c r="P1123"/>
      <c r="Q1123"/>
      <c r="R1123"/>
      <c r="S1123" s="56">
        <f t="shared" si="51"/>
        <v>3</v>
      </c>
      <c r="T1123" s="57" t="str">
        <f t="shared" si="52"/>
        <v>0-3 Days</v>
      </c>
      <c r="U1123" s="58" t="str">
        <f t="shared" si="53"/>
        <v>Normal</v>
      </c>
    </row>
    <row r="1124" spans="1:21" ht="23.25" customHeight="1" x14ac:dyDescent="0.35">
      <c r="A1124" t="s">
        <v>2263</v>
      </c>
      <c r="B1124" t="s">
        <v>2263</v>
      </c>
      <c r="C1124">
        <v>250</v>
      </c>
      <c r="D1124">
        <v>0</v>
      </c>
      <c r="E1124" t="s">
        <v>2656</v>
      </c>
      <c r="F1124" t="s">
        <v>57</v>
      </c>
      <c r="G1124" t="s">
        <v>57</v>
      </c>
      <c r="H1124" t="s">
        <v>2657</v>
      </c>
      <c r="I1124"/>
      <c r="J1124"/>
      <c r="K1124"/>
      <c r="L1124"/>
      <c r="M1124"/>
      <c r="N1124"/>
      <c r="O1124"/>
      <c r="P1124"/>
      <c r="Q1124"/>
      <c r="R1124"/>
      <c r="S1124" s="56">
        <f t="shared" si="51"/>
        <v>3</v>
      </c>
      <c r="T1124" s="57" t="str">
        <f t="shared" si="52"/>
        <v>0-3 Days</v>
      </c>
      <c r="U1124" s="58" t="str">
        <f t="shared" si="53"/>
        <v>Normal</v>
      </c>
    </row>
    <row r="1125" spans="1:21" ht="23.25" customHeight="1" x14ac:dyDescent="0.35">
      <c r="A1125" t="s">
        <v>2263</v>
      </c>
      <c r="B1125" t="s">
        <v>2263</v>
      </c>
      <c r="C1125">
        <v>2050</v>
      </c>
      <c r="D1125">
        <v>0</v>
      </c>
      <c r="E1125" t="s">
        <v>2658</v>
      </c>
      <c r="F1125" t="s">
        <v>57</v>
      </c>
      <c r="G1125" t="s">
        <v>57</v>
      </c>
      <c r="H1125" t="s">
        <v>2659</v>
      </c>
      <c r="I1125"/>
      <c r="J1125"/>
      <c r="K1125"/>
      <c r="L1125"/>
      <c r="M1125"/>
      <c r="N1125"/>
      <c r="O1125"/>
      <c r="P1125"/>
      <c r="Q1125"/>
      <c r="R1125"/>
      <c r="S1125" s="56">
        <f t="shared" si="51"/>
        <v>3</v>
      </c>
      <c r="T1125" s="57" t="str">
        <f t="shared" si="52"/>
        <v>0-3 Days</v>
      </c>
      <c r="U1125" s="58" t="str">
        <f t="shared" si="53"/>
        <v>Normal</v>
      </c>
    </row>
    <row r="1126" spans="1:21" ht="23.25" customHeight="1" x14ac:dyDescent="0.35">
      <c r="A1126" t="s">
        <v>2263</v>
      </c>
      <c r="B1126" t="s">
        <v>2263</v>
      </c>
      <c r="C1126">
        <v>1455</v>
      </c>
      <c r="D1126">
        <v>0</v>
      </c>
      <c r="E1126" t="s">
        <v>2660</v>
      </c>
      <c r="F1126" t="s">
        <v>57</v>
      </c>
      <c r="G1126" t="s">
        <v>57</v>
      </c>
      <c r="H1126" t="s">
        <v>2661</v>
      </c>
      <c r="I1126"/>
      <c r="J1126"/>
      <c r="K1126"/>
      <c r="L1126"/>
      <c r="M1126"/>
      <c r="N1126"/>
      <c r="O1126"/>
      <c r="P1126"/>
      <c r="Q1126"/>
      <c r="R1126"/>
      <c r="S1126" s="56">
        <f t="shared" si="51"/>
        <v>3</v>
      </c>
      <c r="T1126" s="57" t="str">
        <f t="shared" si="52"/>
        <v>0-3 Days</v>
      </c>
      <c r="U1126" s="58" t="str">
        <f t="shared" si="53"/>
        <v>Normal</v>
      </c>
    </row>
    <row r="1127" spans="1:21" ht="23.25" customHeight="1" x14ac:dyDescent="0.35">
      <c r="A1127" t="s">
        <v>2263</v>
      </c>
      <c r="B1127" t="s">
        <v>2263</v>
      </c>
      <c r="C1127">
        <v>2050</v>
      </c>
      <c r="D1127">
        <v>0</v>
      </c>
      <c r="E1127" t="s">
        <v>2662</v>
      </c>
      <c r="F1127" t="s">
        <v>57</v>
      </c>
      <c r="G1127" t="s">
        <v>57</v>
      </c>
      <c r="H1127" t="s">
        <v>2663</v>
      </c>
      <c r="I1127"/>
      <c r="J1127"/>
      <c r="K1127"/>
      <c r="L1127"/>
      <c r="M1127"/>
      <c r="N1127"/>
      <c r="O1127"/>
      <c r="P1127"/>
      <c r="Q1127"/>
      <c r="R1127"/>
      <c r="S1127" s="56">
        <f t="shared" si="51"/>
        <v>3</v>
      </c>
      <c r="T1127" s="57" t="str">
        <f t="shared" si="52"/>
        <v>0-3 Days</v>
      </c>
      <c r="U1127" s="58" t="str">
        <f t="shared" si="53"/>
        <v>Normal</v>
      </c>
    </row>
    <row r="1128" spans="1:21" ht="23.25" customHeight="1" x14ac:dyDescent="0.35">
      <c r="A1128" t="s">
        <v>2263</v>
      </c>
      <c r="B1128" t="s">
        <v>2263</v>
      </c>
      <c r="C1128">
        <v>0</v>
      </c>
      <c r="D1128">
        <v>1000</v>
      </c>
      <c r="E1128" t="s">
        <v>2664</v>
      </c>
      <c r="F1128" t="s">
        <v>57</v>
      </c>
      <c r="G1128" t="s">
        <v>57</v>
      </c>
      <c r="H1128" t="s">
        <v>2665</v>
      </c>
      <c r="I1128"/>
      <c r="J1128"/>
      <c r="K1128"/>
      <c r="L1128"/>
      <c r="M1128"/>
      <c r="N1128"/>
      <c r="O1128"/>
      <c r="P1128"/>
      <c r="Q1128"/>
      <c r="R1128"/>
      <c r="S1128" s="56">
        <f t="shared" si="51"/>
        <v>3</v>
      </c>
      <c r="T1128" s="57" t="str">
        <f t="shared" si="52"/>
        <v>0-3 Days</v>
      </c>
      <c r="U1128" s="58" t="str">
        <f t="shared" si="53"/>
        <v>Not Applicable</v>
      </c>
    </row>
    <row r="1129" spans="1:21" ht="23.25" customHeight="1" x14ac:dyDescent="0.35">
      <c r="A1129" t="s">
        <v>2263</v>
      </c>
      <c r="B1129" t="s">
        <v>2263</v>
      </c>
      <c r="C1129">
        <v>0</v>
      </c>
      <c r="D1129">
        <v>2650</v>
      </c>
      <c r="E1129" t="s">
        <v>2666</v>
      </c>
      <c r="F1129" t="s">
        <v>57</v>
      </c>
      <c r="G1129" t="s">
        <v>57</v>
      </c>
      <c r="H1129" t="s">
        <v>2667</v>
      </c>
      <c r="I1129"/>
      <c r="J1129"/>
      <c r="K1129"/>
      <c r="L1129"/>
      <c r="M1129"/>
      <c r="N1129"/>
      <c r="O1129"/>
      <c r="P1129"/>
      <c r="Q1129"/>
      <c r="R1129"/>
      <c r="S1129" s="56">
        <f t="shared" si="51"/>
        <v>3</v>
      </c>
      <c r="T1129" s="57" t="str">
        <f t="shared" si="52"/>
        <v>0-3 Days</v>
      </c>
      <c r="U1129" s="58" t="str">
        <f t="shared" si="53"/>
        <v>Not Applicable</v>
      </c>
    </row>
    <row r="1130" spans="1:21" ht="23.25" customHeight="1" x14ac:dyDescent="0.35">
      <c r="A1130" t="s">
        <v>2263</v>
      </c>
      <c r="B1130" t="s">
        <v>2263</v>
      </c>
      <c r="C1130">
        <v>1000</v>
      </c>
      <c r="D1130">
        <v>0</v>
      </c>
      <c r="E1130" t="s">
        <v>2668</v>
      </c>
      <c r="F1130" t="s">
        <v>57</v>
      </c>
      <c r="G1130" t="s">
        <v>57</v>
      </c>
      <c r="H1130" t="s">
        <v>2669</v>
      </c>
      <c r="I1130"/>
      <c r="J1130"/>
      <c r="K1130"/>
      <c r="L1130"/>
      <c r="M1130"/>
      <c r="N1130"/>
      <c r="O1130"/>
      <c r="P1130"/>
      <c r="Q1130"/>
      <c r="R1130"/>
      <c r="S1130" s="56">
        <f t="shared" si="51"/>
        <v>3</v>
      </c>
      <c r="T1130" s="57" t="str">
        <f t="shared" si="52"/>
        <v>0-3 Days</v>
      </c>
      <c r="U1130" s="58" t="str">
        <f t="shared" si="53"/>
        <v>Normal</v>
      </c>
    </row>
    <row r="1131" spans="1:21" ht="23.25" customHeight="1" x14ac:dyDescent="0.35">
      <c r="A1131" t="s">
        <v>2263</v>
      </c>
      <c r="B1131" t="s">
        <v>2263</v>
      </c>
      <c r="C1131">
        <v>1128</v>
      </c>
      <c r="D1131">
        <v>0</v>
      </c>
      <c r="E1131" t="s">
        <v>2670</v>
      </c>
      <c r="F1131" t="s">
        <v>57</v>
      </c>
      <c r="G1131" t="s">
        <v>57</v>
      </c>
      <c r="H1131" t="s">
        <v>2671</v>
      </c>
      <c r="I1131"/>
      <c r="J1131"/>
      <c r="K1131"/>
      <c r="L1131"/>
      <c r="M1131"/>
      <c r="N1131"/>
      <c r="O1131"/>
      <c r="P1131"/>
      <c r="Q1131"/>
      <c r="R1131"/>
      <c r="S1131" s="56">
        <f t="shared" si="51"/>
        <v>3</v>
      </c>
      <c r="T1131" s="57" t="str">
        <f t="shared" si="52"/>
        <v>0-3 Days</v>
      </c>
      <c r="U1131" s="58" t="str">
        <f t="shared" si="53"/>
        <v>Normal</v>
      </c>
    </row>
    <row r="1132" spans="1:21" ht="23.25" customHeight="1" x14ac:dyDescent="0.35">
      <c r="A1132" t="s">
        <v>2263</v>
      </c>
      <c r="B1132" t="s">
        <v>2263</v>
      </c>
      <c r="C1132">
        <v>1000</v>
      </c>
      <c r="D1132">
        <v>0</v>
      </c>
      <c r="E1132" t="s">
        <v>2672</v>
      </c>
      <c r="F1132" t="s">
        <v>57</v>
      </c>
      <c r="G1132" t="s">
        <v>57</v>
      </c>
      <c r="H1132" t="s">
        <v>2673</v>
      </c>
      <c r="I1132"/>
      <c r="J1132"/>
      <c r="K1132"/>
      <c r="L1132"/>
      <c r="M1132"/>
      <c r="N1132"/>
      <c r="O1132"/>
      <c r="P1132"/>
      <c r="Q1132"/>
      <c r="R1132"/>
      <c r="S1132" s="56">
        <f t="shared" si="51"/>
        <v>3</v>
      </c>
      <c r="T1132" s="57" t="str">
        <f t="shared" si="52"/>
        <v>0-3 Days</v>
      </c>
      <c r="U1132" s="58" t="str">
        <f t="shared" si="53"/>
        <v>Normal</v>
      </c>
    </row>
    <row r="1133" spans="1:21" ht="23.25" customHeight="1" x14ac:dyDescent="0.35">
      <c r="A1133" t="s">
        <v>2263</v>
      </c>
      <c r="B1133" t="s">
        <v>2263</v>
      </c>
      <c r="C1133">
        <v>1000</v>
      </c>
      <c r="D1133">
        <v>0</v>
      </c>
      <c r="E1133" t="s">
        <v>2674</v>
      </c>
      <c r="F1133" t="s">
        <v>57</v>
      </c>
      <c r="G1133" t="s">
        <v>57</v>
      </c>
      <c r="H1133" t="s">
        <v>2675</v>
      </c>
      <c r="I1133"/>
      <c r="J1133"/>
      <c r="K1133"/>
      <c r="L1133"/>
      <c r="M1133"/>
      <c r="N1133"/>
      <c r="O1133"/>
      <c r="P1133"/>
      <c r="Q1133"/>
      <c r="R1133"/>
      <c r="S1133" s="56">
        <f t="shared" si="51"/>
        <v>3</v>
      </c>
      <c r="T1133" s="57" t="str">
        <f t="shared" si="52"/>
        <v>0-3 Days</v>
      </c>
      <c r="U1133" s="58" t="str">
        <f t="shared" si="53"/>
        <v>Normal</v>
      </c>
    </row>
    <row r="1134" spans="1:21" ht="23.25" customHeight="1" x14ac:dyDescent="0.35">
      <c r="A1134" t="s">
        <v>2263</v>
      </c>
      <c r="B1134" t="s">
        <v>2263</v>
      </c>
      <c r="C1134">
        <v>0</v>
      </c>
      <c r="D1134">
        <v>2050</v>
      </c>
      <c r="E1134" t="s">
        <v>2676</v>
      </c>
      <c r="F1134" t="s">
        <v>57</v>
      </c>
      <c r="G1134" t="s">
        <v>57</v>
      </c>
      <c r="H1134" t="s">
        <v>2677</v>
      </c>
      <c r="I1134"/>
      <c r="J1134"/>
      <c r="K1134"/>
      <c r="L1134"/>
      <c r="M1134"/>
      <c r="N1134"/>
      <c r="O1134"/>
      <c r="P1134"/>
      <c r="Q1134"/>
      <c r="R1134"/>
      <c r="S1134" s="56">
        <f t="shared" si="51"/>
        <v>3</v>
      </c>
      <c r="T1134" s="57" t="str">
        <f t="shared" si="52"/>
        <v>0-3 Days</v>
      </c>
      <c r="U1134" s="58" t="str">
        <f t="shared" si="53"/>
        <v>Not Applicable</v>
      </c>
    </row>
    <row r="1135" spans="1:21" ht="23.25" customHeight="1" x14ac:dyDescent="0.35">
      <c r="A1135" t="s">
        <v>2263</v>
      </c>
      <c r="B1135" t="s">
        <v>2263</v>
      </c>
      <c r="C1135">
        <v>550</v>
      </c>
      <c r="D1135">
        <v>0</v>
      </c>
      <c r="E1135" t="s">
        <v>2678</v>
      </c>
      <c r="F1135" t="s">
        <v>57</v>
      </c>
      <c r="G1135" t="s">
        <v>57</v>
      </c>
      <c r="H1135" t="s">
        <v>2679</v>
      </c>
      <c r="I1135"/>
      <c r="J1135"/>
      <c r="K1135"/>
      <c r="L1135"/>
      <c r="M1135"/>
      <c r="N1135"/>
      <c r="O1135"/>
      <c r="P1135"/>
      <c r="Q1135"/>
      <c r="R1135"/>
      <c r="S1135" s="56">
        <f t="shared" si="51"/>
        <v>3</v>
      </c>
      <c r="T1135" s="57" t="str">
        <f t="shared" si="52"/>
        <v>0-3 Days</v>
      </c>
      <c r="U1135" s="58" t="str">
        <f t="shared" si="53"/>
        <v>Normal</v>
      </c>
    </row>
    <row r="1136" spans="1:21" ht="23.25" customHeight="1" x14ac:dyDescent="0.35">
      <c r="A1136" t="s">
        <v>2263</v>
      </c>
      <c r="B1136" t="s">
        <v>2263</v>
      </c>
      <c r="C1136">
        <v>1000</v>
      </c>
      <c r="D1136">
        <v>0</v>
      </c>
      <c r="E1136" t="s">
        <v>2680</v>
      </c>
      <c r="F1136" t="s">
        <v>57</v>
      </c>
      <c r="G1136" t="s">
        <v>57</v>
      </c>
      <c r="H1136" t="s">
        <v>2681</v>
      </c>
      <c r="I1136"/>
      <c r="J1136"/>
      <c r="K1136"/>
      <c r="L1136"/>
      <c r="M1136"/>
      <c r="N1136"/>
      <c r="O1136"/>
      <c r="P1136"/>
      <c r="Q1136"/>
      <c r="R1136"/>
      <c r="S1136" s="56">
        <f t="shared" si="51"/>
        <v>3</v>
      </c>
      <c r="T1136" s="57" t="str">
        <f t="shared" si="52"/>
        <v>0-3 Days</v>
      </c>
      <c r="U1136" s="58" t="str">
        <f t="shared" si="53"/>
        <v>Normal</v>
      </c>
    </row>
    <row r="1137" spans="1:21" ht="23.25" customHeight="1" x14ac:dyDescent="0.35">
      <c r="A1137" t="s">
        <v>2263</v>
      </c>
      <c r="B1137" t="s">
        <v>2263</v>
      </c>
      <c r="C1137">
        <v>1000</v>
      </c>
      <c r="D1137">
        <v>0</v>
      </c>
      <c r="E1137" t="s">
        <v>2682</v>
      </c>
      <c r="F1137" t="s">
        <v>57</v>
      </c>
      <c r="G1137" t="s">
        <v>57</v>
      </c>
      <c r="H1137" t="s">
        <v>2683</v>
      </c>
      <c r="I1137"/>
      <c r="J1137"/>
      <c r="K1137"/>
      <c r="L1137"/>
      <c r="M1137"/>
      <c r="N1137"/>
      <c r="O1137"/>
      <c r="P1137"/>
      <c r="Q1137"/>
      <c r="R1137"/>
      <c r="S1137" s="56">
        <f t="shared" si="51"/>
        <v>3</v>
      </c>
      <c r="T1137" s="57" t="str">
        <f t="shared" si="52"/>
        <v>0-3 Days</v>
      </c>
      <c r="U1137" s="58" t="str">
        <f t="shared" si="53"/>
        <v>Normal</v>
      </c>
    </row>
    <row r="1138" spans="1:21" ht="23.25" customHeight="1" x14ac:dyDescent="0.35">
      <c r="A1138" t="s">
        <v>2263</v>
      </c>
      <c r="B1138" t="s">
        <v>2263</v>
      </c>
      <c r="C1138">
        <v>2650</v>
      </c>
      <c r="D1138">
        <v>0</v>
      </c>
      <c r="E1138" t="s">
        <v>2684</v>
      </c>
      <c r="F1138" t="s">
        <v>57</v>
      </c>
      <c r="G1138" t="s">
        <v>57</v>
      </c>
      <c r="H1138" t="s">
        <v>2685</v>
      </c>
      <c r="I1138"/>
      <c r="J1138"/>
      <c r="K1138"/>
      <c r="L1138"/>
      <c r="M1138"/>
      <c r="N1138"/>
      <c r="O1138"/>
      <c r="P1138"/>
      <c r="Q1138"/>
      <c r="R1138"/>
      <c r="S1138" s="56">
        <f t="shared" si="51"/>
        <v>3</v>
      </c>
      <c r="T1138" s="57" t="str">
        <f t="shared" si="52"/>
        <v>0-3 Days</v>
      </c>
      <c r="U1138" s="58" t="str">
        <f t="shared" si="53"/>
        <v>Normal</v>
      </c>
    </row>
    <row r="1139" spans="1:21" ht="23.25" customHeight="1" x14ac:dyDescent="0.35">
      <c r="A1139" t="s">
        <v>2263</v>
      </c>
      <c r="B1139" t="s">
        <v>2263</v>
      </c>
      <c r="C1139">
        <v>250</v>
      </c>
      <c r="D1139">
        <v>0</v>
      </c>
      <c r="E1139" t="s">
        <v>2686</v>
      </c>
      <c r="F1139" t="s">
        <v>57</v>
      </c>
      <c r="G1139" t="s">
        <v>57</v>
      </c>
      <c r="H1139" t="s">
        <v>2687</v>
      </c>
      <c r="I1139"/>
      <c r="J1139"/>
      <c r="K1139"/>
      <c r="L1139"/>
      <c r="M1139"/>
      <c r="N1139"/>
      <c r="O1139"/>
      <c r="P1139"/>
      <c r="Q1139"/>
      <c r="R1139"/>
      <c r="S1139" s="56">
        <f t="shared" si="51"/>
        <v>3</v>
      </c>
      <c r="T1139" s="57" t="str">
        <f t="shared" si="52"/>
        <v>0-3 Days</v>
      </c>
      <c r="U1139" s="58" t="str">
        <f t="shared" si="53"/>
        <v>Normal</v>
      </c>
    </row>
    <row r="1140" spans="1:21" ht="23.25" customHeight="1" x14ac:dyDescent="0.35">
      <c r="A1140" t="s">
        <v>2263</v>
      </c>
      <c r="B1140" t="s">
        <v>2263</v>
      </c>
      <c r="C1140">
        <v>72</v>
      </c>
      <c r="D1140">
        <v>0</v>
      </c>
      <c r="E1140" t="s">
        <v>2688</v>
      </c>
      <c r="F1140" t="s">
        <v>57</v>
      </c>
      <c r="G1140" t="s">
        <v>57</v>
      </c>
      <c r="H1140" t="s">
        <v>2689</v>
      </c>
      <c r="I1140"/>
      <c r="J1140"/>
      <c r="K1140"/>
      <c r="L1140"/>
      <c r="M1140"/>
      <c r="N1140"/>
      <c r="O1140"/>
      <c r="P1140"/>
      <c r="Q1140"/>
      <c r="R1140"/>
      <c r="S1140" s="56">
        <f t="shared" si="51"/>
        <v>3</v>
      </c>
      <c r="T1140" s="57" t="str">
        <f t="shared" si="52"/>
        <v>0-3 Days</v>
      </c>
      <c r="U1140" s="58" t="str">
        <f t="shared" si="53"/>
        <v>Normal</v>
      </c>
    </row>
    <row r="1141" spans="1:21" ht="23.25" customHeight="1" x14ac:dyDescent="0.35">
      <c r="A1141" t="s">
        <v>2263</v>
      </c>
      <c r="B1141" t="s">
        <v>2263</v>
      </c>
      <c r="C1141">
        <v>0</v>
      </c>
      <c r="D1141">
        <v>1000</v>
      </c>
      <c r="E1141" t="s">
        <v>2690</v>
      </c>
      <c r="F1141" t="s">
        <v>57</v>
      </c>
      <c r="G1141" t="s">
        <v>57</v>
      </c>
      <c r="H1141" t="s">
        <v>2691</v>
      </c>
      <c r="I1141"/>
      <c r="J1141"/>
      <c r="K1141"/>
      <c r="L1141"/>
      <c r="M1141"/>
      <c r="N1141"/>
      <c r="O1141"/>
      <c r="P1141"/>
      <c r="Q1141"/>
      <c r="R1141"/>
      <c r="S1141" s="56">
        <f t="shared" si="51"/>
        <v>3</v>
      </c>
      <c r="T1141" s="57" t="str">
        <f t="shared" si="52"/>
        <v>0-3 Days</v>
      </c>
      <c r="U1141" s="58" t="str">
        <f t="shared" si="53"/>
        <v>Not Applicable</v>
      </c>
    </row>
    <row r="1142" spans="1:21" ht="23.25" customHeight="1" x14ac:dyDescent="0.35">
      <c r="A1142" t="s">
        <v>2263</v>
      </c>
      <c r="B1142" t="s">
        <v>2263</v>
      </c>
      <c r="C1142">
        <v>550</v>
      </c>
      <c r="D1142">
        <v>0</v>
      </c>
      <c r="E1142" t="s">
        <v>2692</v>
      </c>
      <c r="F1142" t="s">
        <v>57</v>
      </c>
      <c r="G1142" t="s">
        <v>57</v>
      </c>
      <c r="H1142" t="s">
        <v>2693</v>
      </c>
      <c r="I1142"/>
      <c r="J1142"/>
      <c r="K1142"/>
      <c r="L1142"/>
      <c r="M1142"/>
      <c r="N1142"/>
      <c r="O1142"/>
      <c r="P1142"/>
      <c r="Q1142"/>
      <c r="R1142"/>
      <c r="S1142" s="56">
        <f t="shared" si="51"/>
        <v>3</v>
      </c>
      <c r="T1142" s="57" t="str">
        <f t="shared" si="52"/>
        <v>0-3 Days</v>
      </c>
      <c r="U1142" s="58" t="str">
        <f t="shared" si="53"/>
        <v>Normal</v>
      </c>
    </row>
    <row r="1143" spans="1:21" ht="23.25" customHeight="1" x14ac:dyDescent="0.35">
      <c r="A1143" t="s">
        <v>2263</v>
      </c>
      <c r="B1143" t="s">
        <v>2263</v>
      </c>
      <c r="C1143">
        <v>2700</v>
      </c>
      <c r="D1143">
        <v>0</v>
      </c>
      <c r="E1143" t="s">
        <v>2694</v>
      </c>
      <c r="F1143" t="s">
        <v>57</v>
      </c>
      <c r="G1143" t="s">
        <v>57</v>
      </c>
      <c r="H1143" t="s">
        <v>2695</v>
      </c>
      <c r="I1143"/>
      <c r="J1143"/>
      <c r="K1143"/>
      <c r="L1143"/>
      <c r="M1143"/>
      <c r="N1143"/>
      <c r="O1143"/>
      <c r="P1143"/>
      <c r="Q1143"/>
      <c r="R1143"/>
      <c r="S1143" s="56">
        <f t="shared" si="51"/>
        <v>3</v>
      </c>
      <c r="T1143" s="57" t="str">
        <f t="shared" si="52"/>
        <v>0-3 Days</v>
      </c>
      <c r="U1143" s="58" t="str">
        <f t="shared" si="53"/>
        <v>Normal</v>
      </c>
    </row>
    <row r="1144" spans="1:21" ht="23.25" customHeight="1" x14ac:dyDescent="0.35">
      <c r="A1144" t="s">
        <v>2263</v>
      </c>
      <c r="B1144" t="s">
        <v>2263</v>
      </c>
      <c r="C1144">
        <v>1000</v>
      </c>
      <c r="D1144">
        <v>0</v>
      </c>
      <c r="E1144" t="s">
        <v>2696</v>
      </c>
      <c r="F1144" t="s">
        <v>57</v>
      </c>
      <c r="G1144" t="s">
        <v>57</v>
      </c>
      <c r="H1144" t="s">
        <v>2697</v>
      </c>
      <c r="I1144"/>
      <c r="J1144"/>
      <c r="K1144"/>
      <c r="L1144"/>
      <c r="M1144"/>
      <c r="N1144"/>
      <c r="O1144"/>
      <c r="P1144"/>
      <c r="Q1144"/>
      <c r="R1144"/>
      <c r="S1144" s="56">
        <f t="shared" si="51"/>
        <v>3</v>
      </c>
      <c r="T1144" s="57" t="str">
        <f t="shared" si="52"/>
        <v>0-3 Days</v>
      </c>
      <c r="U1144" s="58" t="str">
        <f t="shared" si="53"/>
        <v>Normal</v>
      </c>
    </row>
    <row r="1145" spans="1:21" ht="23.25" customHeight="1" x14ac:dyDescent="0.35">
      <c r="A1145" t="s">
        <v>2263</v>
      </c>
      <c r="B1145" t="s">
        <v>2263</v>
      </c>
      <c r="C1145">
        <v>55</v>
      </c>
      <c r="D1145">
        <v>0</v>
      </c>
      <c r="E1145" t="s">
        <v>2698</v>
      </c>
      <c r="F1145" t="s">
        <v>57</v>
      </c>
      <c r="G1145" t="s">
        <v>57</v>
      </c>
      <c r="H1145" t="s">
        <v>2699</v>
      </c>
      <c r="I1145"/>
      <c r="J1145"/>
      <c r="K1145"/>
      <c r="L1145"/>
      <c r="M1145"/>
      <c r="N1145"/>
      <c r="O1145"/>
      <c r="P1145"/>
      <c r="Q1145"/>
      <c r="R1145"/>
      <c r="S1145" s="56">
        <f t="shared" si="51"/>
        <v>3</v>
      </c>
      <c r="T1145" s="57" t="str">
        <f t="shared" si="52"/>
        <v>0-3 Days</v>
      </c>
      <c r="U1145" s="58" t="str">
        <f t="shared" si="53"/>
        <v>Normal</v>
      </c>
    </row>
    <row r="1146" spans="1:21" ht="23.25" customHeight="1" x14ac:dyDescent="0.35">
      <c r="A1146" t="s">
        <v>2263</v>
      </c>
      <c r="B1146" t="s">
        <v>2263</v>
      </c>
      <c r="C1146">
        <v>8000</v>
      </c>
      <c r="D1146">
        <v>0</v>
      </c>
      <c r="E1146" t="s">
        <v>2700</v>
      </c>
      <c r="F1146" t="s">
        <v>2701</v>
      </c>
      <c r="G1146" t="s">
        <v>57</v>
      </c>
      <c r="H1146" t="s">
        <v>2702</v>
      </c>
      <c r="I1146"/>
      <c r="J1146"/>
      <c r="K1146"/>
      <c r="L1146"/>
      <c r="M1146"/>
      <c r="N1146"/>
      <c r="O1146"/>
      <c r="P1146"/>
      <c r="Q1146"/>
      <c r="R1146"/>
      <c r="S1146" s="56">
        <f t="shared" si="51"/>
        <v>3</v>
      </c>
      <c r="T1146" s="57" t="str">
        <f t="shared" si="52"/>
        <v>0-3 Days</v>
      </c>
      <c r="U1146" s="58" t="str">
        <f t="shared" si="53"/>
        <v>Normal</v>
      </c>
    </row>
    <row r="1147" spans="1:21" ht="23.25" customHeight="1" x14ac:dyDescent="0.35">
      <c r="A1147" t="s">
        <v>2263</v>
      </c>
      <c r="B1147" t="s">
        <v>2263</v>
      </c>
      <c r="C1147">
        <v>1236</v>
      </c>
      <c r="D1147">
        <v>0</v>
      </c>
      <c r="E1147" t="s">
        <v>2703</v>
      </c>
      <c r="F1147" t="s">
        <v>57</v>
      </c>
      <c r="G1147" t="s">
        <v>57</v>
      </c>
      <c r="H1147" t="s">
        <v>2704</v>
      </c>
      <c r="I1147"/>
      <c r="J1147"/>
      <c r="K1147"/>
      <c r="L1147"/>
      <c r="M1147"/>
      <c r="N1147"/>
      <c r="O1147"/>
      <c r="P1147"/>
      <c r="Q1147"/>
      <c r="R1147"/>
      <c r="S1147" s="56">
        <f t="shared" si="51"/>
        <v>3</v>
      </c>
      <c r="T1147" s="57" t="str">
        <f t="shared" si="52"/>
        <v>0-3 Days</v>
      </c>
      <c r="U1147" s="58" t="str">
        <f t="shared" si="53"/>
        <v>Normal</v>
      </c>
    </row>
    <row r="1148" spans="1:21" ht="23.25" customHeight="1" x14ac:dyDescent="0.35">
      <c r="A1148" t="s">
        <v>2263</v>
      </c>
      <c r="B1148" t="s">
        <v>2263</v>
      </c>
      <c r="C1148">
        <v>1000</v>
      </c>
      <c r="D1148">
        <v>0</v>
      </c>
      <c r="E1148" t="s">
        <v>2705</v>
      </c>
      <c r="F1148" t="s">
        <v>57</v>
      </c>
      <c r="G1148" t="s">
        <v>57</v>
      </c>
      <c r="H1148" t="s">
        <v>2706</v>
      </c>
      <c r="I1148"/>
      <c r="J1148"/>
      <c r="K1148"/>
      <c r="L1148"/>
      <c r="M1148"/>
      <c r="N1148"/>
      <c r="O1148"/>
      <c r="P1148"/>
      <c r="Q1148"/>
      <c r="R1148"/>
      <c r="S1148" s="56">
        <f t="shared" si="51"/>
        <v>3</v>
      </c>
      <c r="T1148" s="57" t="str">
        <f t="shared" si="52"/>
        <v>0-3 Days</v>
      </c>
      <c r="U1148" s="58" t="str">
        <f t="shared" si="53"/>
        <v>Normal</v>
      </c>
    </row>
    <row r="1149" spans="1:21" ht="23.25" customHeight="1" x14ac:dyDescent="0.35">
      <c r="A1149" t="s">
        <v>2263</v>
      </c>
      <c r="B1149" t="s">
        <v>2263</v>
      </c>
      <c r="C1149">
        <v>2050</v>
      </c>
      <c r="D1149">
        <v>0</v>
      </c>
      <c r="E1149" t="s">
        <v>2707</v>
      </c>
      <c r="F1149" t="s">
        <v>57</v>
      </c>
      <c r="G1149" t="s">
        <v>57</v>
      </c>
      <c r="H1149" t="s">
        <v>2708</v>
      </c>
      <c r="I1149"/>
      <c r="J1149"/>
      <c r="K1149"/>
      <c r="L1149"/>
      <c r="M1149"/>
      <c r="N1149"/>
      <c r="O1149"/>
      <c r="P1149"/>
      <c r="Q1149"/>
      <c r="R1149"/>
      <c r="S1149" s="56">
        <f t="shared" si="51"/>
        <v>3</v>
      </c>
      <c r="T1149" s="57" t="str">
        <f t="shared" si="52"/>
        <v>0-3 Days</v>
      </c>
      <c r="U1149" s="58" t="str">
        <f t="shared" si="53"/>
        <v>Normal</v>
      </c>
    </row>
    <row r="1150" spans="1:21" ht="23.25" customHeight="1" x14ac:dyDescent="0.35">
      <c r="A1150" t="s">
        <v>2263</v>
      </c>
      <c r="B1150" t="s">
        <v>2263</v>
      </c>
      <c r="C1150">
        <v>3050</v>
      </c>
      <c r="D1150">
        <v>0</v>
      </c>
      <c r="E1150" t="s">
        <v>2709</v>
      </c>
      <c r="F1150" t="s">
        <v>57</v>
      </c>
      <c r="G1150" t="s">
        <v>57</v>
      </c>
      <c r="H1150" t="s">
        <v>2710</v>
      </c>
      <c r="I1150"/>
      <c r="J1150"/>
      <c r="K1150"/>
      <c r="L1150"/>
      <c r="M1150"/>
      <c r="N1150"/>
      <c r="O1150"/>
      <c r="P1150"/>
      <c r="Q1150"/>
      <c r="R1150"/>
      <c r="S1150" s="56">
        <f t="shared" si="51"/>
        <v>3</v>
      </c>
      <c r="T1150" s="57" t="str">
        <f t="shared" si="52"/>
        <v>0-3 Days</v>
      </c>
      <c r="U1150" s="58" t="str">
        <f t="shared" si="53"/>
        <v>Normal</v>
      </c>
    </row>
    <row r="1151" spans="1:21" ht="23.25" customHeight="1" x14ac:dyDescent="0.35">
      <c r="A1151" t="s">
        <v>2263</v>
      </c>
      <c r="B1151" t="s">
        <v>2263</v>
      </c>
      <c r="C1151">
        <v>1000</v>
      </c>
      <c r="D1151">
        <v>0</v>
      </c>
      <c r="E1151" t="s">
        <v>2711</v>
      </c>
      <c r="F1151" t="s">
        <v>57</v>
      </c>
      <c r="G1151" t="s">
        <v>57</v>
      </c>
      <c r="H1151" t="s">
        <v>2712</v>
      </c>
      <c r="I1151"/>
      <c r="J1151"/>
      <c r="K1151"/>
      <c r="L1151"/>
      <c r="M1151"/>
      <c r="N1151"/>
      <c r="O1151"/>
      <c r="P1151"/>
      <c r="Q1151"/>
      <c r="R1151"/>
      <c r="S1151" s="56">
        <f t="shared" si="51"/>
        <v>3</v>
      </c>
      <c r="T1151" s="57" t="str">
        <f t="shared" si="52"/>
        <v>0-3 Days</v>
      </c>
      <c r="U1151" s="58" t="str">
        <f t="shared" si="53"/>
        <v>Normal</v>
      </c>
    </row>
    <row r="1152" spans="1:21" ht="23.25" customHeight="1" x14ac:dyDescent="0.35">
      <c r="A1152" t="s">
        <v>2263</v>
      </c>
      <c r="B1152" t="s">
        <v>2263</v>
      </c>
      <c r="C1152">
        <v>675</v>
      </c>
      <c r="D1152">
        <v>0</v>
      </c>
      <c r="E1152" t="s">
        <v>2713</v>
      </c>
      <c r="F1152" t="s">
        <v>57</v>
      </c>
      <c r="G1152" t="s">
        <v>57</v>
      </c>
      <c r="H1152" t="s">
        <v>2714</v>
      </c>
      <c r="I1152"/>
      <c r="J1152"/>
      <c r="K1152"/>
      <c r="L1152"/>
      <c r="M1152"/>
      <c r="N1152"/>
      <c r="O1152"/>
      <c r="P1152"/>
      <c r="Q1152"/>
      <c r="R1152"/>
      <c r="S1152" s="56">
        <f t="shared" si="51"/>
        <v>3</v>
      </c>
      <c r="T1152" s="57" t="str">
        <f t="shared" si="52"/>
        <v>0-3 Days</v>
      </c>
      <c r="U1152" s="58" t="str">
        <f t="shared" si="53"/>
        <v>Normal</v>
      </c>
    </row>
    <row r="1153" spans="1:21" ht="23.25" customHeight="1" x14ac:dyDescent="0.35">
      <c r="A1153" t="s">
        <v>2263</v>
      </c>
      <c r="B1153" t="s">
        <v>2263</v>
      </c>
      <c r="C1153">
        <v>1000</v>
      </c>
      <c r="D1153">
        <v>0</v>
      </c>
      <c r="E1153" t="s">
        <v>2715</v>
      </c>
      <c r="F1153" t="s">
        <v>57</v>
      </c>
      <c r="G1153" t="s">
        <v>57</v>
      </c>
      <c r="H1153" t="s">
        <v>2716</v>
      </c>
      <c r="I1153"/>
      <c r="J1153"/>
      <c r="K1153"/>
      <c r="L1153"/>
      <c r="M1153"/>
      <c r="N1153"/>
      <c r="O1153"/>
      <c r="P1153"/>
      <c r="Q1153"/>
      <c r="R1153"/>
      <c r="S1153" s="56">
        <f t="shared" si="51"/>
        <v>3</v>
      </c>
      <c r="T1153" s="57" t="str">
        <f t="shared" si="52"/>
        <v>0-3 Days</v>
      </c>
      <c r="U1153" s="58" t="str">
        <f t="shared" si="53"/>
        <v>Normal</v>
      </c>
    </row>
    <row r="1154" spans="1:21" ht="23.25" customHeight="1" x14ac:dyDescent="0.35">
      <c r="A1154" t="s">
        <v>2263</v>
      </c>
      <c r="B1154" t="s">
        <v>2263</v>
      </c>
      <c r="C1154">
        <v>2152</v>
      </c>
      <c r="D1154">
        <v>0</v>
      </c>
      <c r="E1154" t="s">
        <v>2717</v>
      </c>
      <c r="F1154" t="s">
        <v>57</v>
      </c>
      <c r="G1154" t="s">
        <v>57</v>
      </c>
      <c r="H1154" t="s">
        <v>2718</v>
      </c>
      <c r="I1154"/>
      <c r="J1154"/>
      <c r="K1154"/>
      <c r="L1154"/>
      <c r="M1154"/>
      <c r="N1154"/>
      <c r="O1154"/>
      <c r="P1154"/>
      <c r="Q1154"/>
      <c r="R1154"/>
      <c r="S1154" s="56">
        <f t="shared" si="51"/>
        <v>3</v>
      </c>
      <c r="T1154" s="57" t="str">
        <f t="shared" si="52"/>
        <v>0-3 Days</v>
      </c>
      <c r="U1154" s="58" t="str">
        <f t="shared" si="53"/>
        <v>Normal</v>
      </c>
    </row>
    <row r="1155" spans="1:21" ht="23.25" customHeight="1" x14ac:dyDescent="0.35">
      <c r="A1155" t="s">
        <v>2263</v>
      </c>
      <c r="B1155" t="s">
        <v>2263</v>
      </c>
      <c r="C1155">
        <v>2050</v>
      </c>
      <c r="D1155">
        <v>0</v>
      </c>
      <c r="E1155" t="s">
        <v>2719</v>
      </c>
      <c r="F1155" t="s">
        <v>57</v>
      </c>
      <c r="G1155" t="s">
        <v>57</v>
      </c>
      <c r="H1155" t="s">
        <v>2720</v>
      </c>
      <c r="I1155"/>
      <c r="J1155"/>
      <c r="K1155"/>
      <c r="L1155"/>
      <c r="M1155"/>
      <c r="N1155"/>
      <c r="O1155"/>
      <c r="P1155"/>
      <c r="Q1155"/>
      <c r="R1155"/>
      <c r="S1155" s="56">
        <f t="shared" si="51"/>
        <v>3</v>
      </c>
      <c r="T1155" s="57" t="str">
        <f t="shared" si="52"/>
        <v>0-3 Days</v>
      </c>
      <c r="U1155" s="58" t="str">
        <f t="shared" si="53"/>
        <v>Normal</v>
      </c>
    </row>
    <row r="1156" spans="1:21" ht="23.25" customHeight="1" x14ac:dyDescent="0.35">
      <c r="A1156" t="s">
        <v>2263</v>
      </c>
      <c r="B1156" t="s">
        <v>2263</v>
      </c>
      <c r="C1156">
        <v>1000</v>
      </c>
      <c r="D1156">
        <v>0</v>
      </c>
      <c r="E1156" t="s">
        <v>2721</v>
      </c>
      <c r="F1156" t="s">
        <v>57</v>
      </c>
      <c r="G1156" t="s">
        <v>57</v>
      </c>
      <c r="H1156" t="s">
        <v>2722</v>
      </c>
      <c r="I1156"/>
      <c r="J1156"/>
      <c r="K1156"/>
      <c r="L1156"/>
      <c r="M1156"/>
      <c r="N1156"/>
      <c r="O1156"/>
      <c r="P1156"/>
      <c r="Q1156"/>
      <c r="R1156"/>
      <c r="S1156" s="56">
        <f t="shared" si="51"/>
        <v>3</v>
      </c>
      <c r="T1156" s="57" t="str">
        <f t="shared" si="52"/>
        <v>0-3 Days</v>
      </c>
      <c r="U1156" s="58" t="str">
        <f t="shared" si="53"/>
        <v>Normal</v>
      </c>
    </row>
    <row r="1157" spans="1:21" ht="23.25" customHeight="1" x14ac:dyDescent="0.35">
      <c r="A1157" t="s">
        <v>2263</v>
      </c>
      <c r="B1157" t="s">
        <v>2263</v>
      </c>
      <c r="C1157">
        <v>644</v>
      </c>
      <c r="D1157">
        <v>0</v>
      </c>
      <c r="E1157" t="s">
        <v>2723</v>
      </c>
      <c r="F1157" t="s">
        <v>57</v>
      </c>
      <c r="G1157" t="s">
        <v>57</v>
      </c>
      <c r="H1157" t="s">
        <v>2724</v>
      </c>
      <c r="I1157"/>
      <c r="J1157"/>
      <c r="K1157"/>
      <c r="L1157"/>
      <c r="M1157"/>
      <c r="N1157"/>
      <c r="O1157"/>
      <c r="P1157"/>
      <c r="Q1157"/>
      <c r="R1157"/>
      <c r="S1157" s="56">
        <f t="shared" si="51"/>
        <v>3</v>
      </c>
      <c r="T1157" s="57" t="str">
        <f t="shared" si="52"/>
        <v>0-3 Days</v>
      </c>
      <c r="U1157" s="58" t="str">
        <f t="shared" si="53"/>
        <v>Normal</v>
      </c>
    </row>
    <row r="1158" spans="1:21" ht="23.25" customHeight="1" x14ac:dyDescent="0.35">
      <c r="A1158" t="s">
        <v>2263</v>
      </c>
      <c r="B1158" t="s">
        <v>2263</v>
      </c>
      <c r="C1158">
        <v>2650</v>
      </c>
      <c r="D1158">
        <v>0</v>
      </c>
      <c r="E1158" t="s">
        <v>2725</v>
      </c>
      <c r="F1158" t="s">
        <v>57</v>
      </c>
      <c r="G1158" t="s">
        <v>57</v>
      </c>
      <c r="H1158" t="s">
        <v>2726</v>
      </c>
      <c r="I1158"/>
      <c r="J1158"/>
      <c r="K1158"/>
      <c r="L1158"/>
      <c r="M1158"/>
      <c r="N1158"/>
      <c r="O1158"/>
      <c r="P1158"/>
      <c r="Q1158"/>
      <c r="R1158"/>
      <c r="S1158" s="56">
        <f t="shared" si="51"/>
        <v>3</v>
      </c>
      <c r="T1158" s="57" t="str">
        <f t="shared" si="52"/>
        <v>0-3 Days</v>
      </c>
      <c r="U1158" s="58" t="str">
        <f t="shared" si="53"/>
        <v>Normal</v>
      </c>
    </row>
    <row r="1159" spans="1:21" ht="23.25" customHeight="1" x14ac:dyDescent="0.35">
      <c r="A1159" t="s">
        <v>2263</v>
      </c>
      <c r="B1159" t="s">
        <v>2263</v>
      </c>
      <c r="C1159">
        <v>1640</v>
      </c>
      <c r="D1159">
        <v>0</v>
      </c>
      <c r="E1159" t="s">
        <v>2727</v>
      </c>
      <c r="F1159" t="s">
        <v>57</v>
      </c>
      <c r="G1159" t="s">
        <v>57</v>
      </c>
      <c r="H1159" t="s">
        <v>2728</v>
      </c>
      <c r="I1159"/>
      <c r="J1159"/>
      <c r="K1159"/>
      <c r="L1159"/>
      <c r="M1159"/>
      <c r="N1159"/>
      <c r="O1159"/>
      <c r="P1159"/>
      <c r="Q1159"/>
      <c r="R1159"/>
      <c r="S1159" s="56">
        <f t="shared" si="51"/>
        <v>3</v>
      </c>
      <c r="T1159" s="57" t="str">
        <f t="shared" si="52"/>
        <v>0-3 Days</v>
      </c>
      <c r="U1159" s="58" t="str">
        <f t="shared" si="53"/>
        <v>Normal</v>
      </c>
    </row>
    <row r="1160" spans="1:21" ht="23.25" customHeight="1" x14ac:dyDescent="0.35">
      <c r="A1160" t="s">
        <v>2263</v>
      </c>
      <c r="B1160" t="s">
        <v>2263</v>
      </c>
      <c r="C1160">
        <v>2050</v>
      </c>
      <c r="D1160">
        <v>0</v>
      </c>
      <c r="E1160" t="s">
        <v>2729</v>
      </c>
      <c r="F1160" t="s">
        <v>57</v>
      </c>
      <c r="G1160" t="s">
        <v>57</v>
      </c>
      <c r="H1160" t="s">
        <v>2730</v>
      </c>
      <c r="I1160"/>
      <c r="J1160"/>
      <c r="K1160"/>
      <c r="L1160"/>
      <c r="M1160"/>
      <c r="N1160"/>
      <c r="O1160"/>
      <c r="P1160"/>
      <c r="Q1160"/>
      <c r="R1160"/>
      <c r="S1160" s="56">
        <f t="shared" si="51"/>
        <v>3</v>
      </c>
      <c r="T1160" s="57" t="str">
        <f t="shared" si="52"/>
        <v>0-3 Days</v>
      </c>
      <c r="U1160" s="58" t="str">
        <f t="shared" si="53"/>
        <v>Normal</v>
      </c>
    </row>
    <row r="1161" spans="1:21" ht="23.25" customHeight="1" x14ac:dyDescent="0.35">
      <c r="A1161" t="s">
        <v>2263</v>
      </c>
      <c r="B1161" t="s">
        <v>2263</v>
      </c>
      <c r="C1161">
        <v>0</v>
      </c>
      <c r="D1161">
        <v>1000</v>
      </c>
      <c r="E1161" t="s">
        <v>2731</v>
      </c>
      <c r="F1161" t="s">
        <v>57</v>
      </c>
      <c r="G1161" t="s">
        <v>57</v>
      </c>
      <c r="H1161" t="s">
        <v>2732</v>
      </c>
      <c r="I1161"/>
      <c r="J1161"/>
      <c r="K1161"/>
      <c r="L1161"/>
      <c r="M1161"/>
      <c r="N1161"/>
      <c r="O1161"/>
      <c r="P1161"/>
      <c r="Q1161"/>
      <c r="R1161"/>
      <c r="S1161" s="56">
        <f t="shared" ref="S1161:S1224" si="54">IF(A1161="","",A$5-A1161)</f>
        <v>3</v>
      </c>
      <c r="T1161" s="57" t="str">
        <f t="shared" ref="T1161:T1224" si="55">IF(S1161="","",IF(S1161&lt;4,"0-3 Days",IF(S1161&lt;31,"4-30 Days",IF(S1161&lt;61,"31-60 Days",IF(S1161&lt;=90,"61-90 Days",IF(S1161&gt;90,"Above 90 Days","0"))))))</f>
        <v>0-3 Days</v>
      </c>
      <c r="U1161" s="58" t="str">
        <f t="shared" ref="U1161:U1224" si="56">IF(C1161="","",IF(C1161&gt;0,IF(S1161&lt;30,"Normal",IF(S1161&lt;60,"Especially Mentioned",IF(S1161&lt;90,"Substandard",IF(S1161&lt;=180,"Doubtful",IF(S1161&gt;180,"Loss","0"))))),"Not Applicable"))</f>
        <v>Not Applicable</v>
      </c>
    </row>
    <row r="1162" spans="1:21" ht="23.25" customHeight="1" x14ac:dyDescent="0.35">
      <c r="A1162" t="s">
        <v>2263</v>
      </c>
      <c r="B1162" t="s">
        <v>2263</v>
      </c>
      <c r="C1162">
        <v>2700</v>
      </c>
      <c r="D1162">
        <v>0</v>
      </c>
      <c r="E1162" t="s">
        <v>2733</v>
      </c>
      <c r="F1162" t="s">
        <v>57</v>
      </c>
      <c r="G1162" t="s">
        <v>57</v>
      </c>
      <c r="H1162" t="s">
        <v>2734</v>
      </c>
      <c r="I1162"/>
      <c r="J1162"/>
      <c r="K1162"/>
      <c r="L1162"/>
      <c r="M1162"/>
      <c r="N1162"/>
      <c r="O1162"/>
      <c r="P1162"/>
      <c r="Q1162"/>
      <c r="R1162"/>
      <c r="S1162" s="56">
        <f t="shared" si="54"/>
        <v>3</v>
      </c>
      <c r="T1162" s="57" t="str">
        <f t="shared" si="55"/>
        <v>0-3 Days</v>
      </c>
      <c r="U1162" s="58" t="str">
        <f t="shared" si="56"/>
        <v>Normal</v>
      </c>
    </row>
    <row r="1163" spans="1:21" ht="23.25" customHeight="1" x14ac:dyDescent="0.35">
      <c r="A1163" t="s">
        <v>2263</v>
      </c>
      <c r="B1163" t="s">
        <v>2263</v>
      </c>
      <c r="C1163">
        <v>2650</v>
      </c>
      <c r="D1163">
        <v>0</v>
      </c>
      <c r="E1163" t="s">
        <v>2735</v>
      </c>
      <c r="F1163" t="s">
        <v>57</v>
      </c>
      <c r="G1163" t="s">
        <v>57</v>
      </c>
      <c r="H1163" t="s">
        <v>2736</v>
      </c>
      <c r="I1163"/>
      <c r="J1163"/>
      <c r="K1163"/>
      <c r="L1163"/>
      <c r="M1163"/>
      <c r="N1163"/>
      <c r="O1163"/>
      <c r="P1163"/>
      <c r="Q1163"/>
      <c r="R1163"/>
      <c r="S1163" s="56">
        <f t="shared" si="54"/>
        <v>3</v>
      </c>
      <c r="T1163" s="57" t="str">
        <f t="shared" si="55"/>
        <v>0-3 Days</v>
      </c>
      <c r="U1163" s="58" t="str">
        <f t="shared" si="56"/>
        <v>Normal</v>
      </c>
    </row>
    <row r="1164" spans="1:21" ht="23.25" customHeight="1" x14ac:dyDescent="0.35">
      <c r="A1164" t="s">
        <v>2263</v>
      </c>
      <c r="B1164" t="s">
        <v>2263</v>
      </c>
      <c r="C1164">
        <v>0</v>
      </c>
      <c r="D1164">
        <v>2050</v>
      </c>
      <c r="E1164" t="s">
        <v>2737</v>
      </c>
      <c r="F1164" t="s">
        <v>57</v>
      </c>
      <c r="G1164" t="s">
        <v>57</v>
      </c>
      <c r="H1164" t="s">
        <v>2738</v>
      </c>
      <c r="I1164"/>
      <c r="J1164"/>
      <c r="K1164"/>
      <c r="L1164"/>
      <c r="M1164"/>
      <c r="N1164"/>
      <c r="O1164"/>
      <c r="P1164"/>
      <c r="Q1164"/>
      <c r="R1164"/>
      <c r="S1164" s="56">
        <f t="shared" si="54"/>
        <v>3</v>
      </c>
      <c r="T1164" s="57" t="str">
        <f t="shared" si="55"/>
        <v>0-3 Days</v>
      </c>
      <c r="U1164" s="58" t="str">
        <f t="shared" si="56"/>
        <v>Not Applicable</v>
      </c>
    </row>
    <row r="1165" spans="1:21" ht="23.25" customHeight="1" x14ac:dyDescent="0.35">
      <c r="A1165" t="s">
        <v>2263</v>
      </c>
      <c r="B1165" t="s">
        <v>2263</v>
      </c>
      <c r="C1165">
        <v>1000</v>
      </c>
      <c r="D1165">
        <v>0</v>
      </c>
      <c r="E1165" t="s">
        <v>2739</v>
      </c>
      <c r="F1165" t="s">
        <v>57</v>
      </c>
      <c r="G1165" t="s">
        <v>57</v>
      </c>
      <c r="H1165" t="s">
        <v>2740</v>
      </c>
      <c r="I1165"/>
      <c r="J1165"/>
      <c r="K1165"/>
      <c r="L1165"/>
      <c r="M1165"/>
      <c r="N1165"/>
      <c r="O1165"/>
      <c r="P1165"/>
      <c r="Q1165"/>
      <c r="R1165"/>
      <c r="S1165" s="56">
        <f t="shared" si="54"/>
        <v>3</v>
      </c>
      <c r="T1165" s="57" t="str">
        <f t="shared" si="55"/>
        <v>0-3 Days</v>
      </c>
      <c r="U1165" s="58" t="str">
        <f t="shared" si="56"/>
        <v>Normal</v>
      </c>
    </row>
    <row r="1166" spans="1:21" ht="23.25" customHeight="1" x14ac:dyDescent="0.35">
      <c r="A1166" t="s">
        <v>2263</v>
      </c>
      <c r="B1166" t="s">
        <v>2263</v>
      </c>
      <c r="C1166">
        <v>250</v>
      </c>
      <c r="D1166">
        <v>0</v>
      </c>
      <c r="E1166" t="s">
        <v>2741</v>
      </c>
      <c r="F1166" t="s">
        <v>57</v>
      </c>
      <c r="G1166" t="s">
        <v>57</v>
      </c>
      <c r="H1166" t="s">
        <v>2742</v>
      </c>
      <c r="I1166"/>
      <c r="J1166"/>
      <c r="K1166"/>
      <c r="L1166"/>
      <c r="M1166"/>
      <c r="N1166"/>
      <c r="O1166"/>
      <c r="P1166"/>
      <c r="Q1166"/>
      <c r="R1166"/>
      <c r="S1166" s="56">
        <f t="shared" si="54"/>
        <v>3</v>
      </c>
      <c r="T1166" s="57" t="str">
        <f t="shared" si="55"/>
        <v>0-3 Days</v>
      </c>
      <c r="U1166" s="58" t="str">
        <f t="shared" si="56"/>
        <v>Normal</v>
      </c>
    </row>
    <row r="1167" spans="1:21" ht="23.25" customHeight="1" x14ac:dyDescent="0.35">
      <c r="A1167" t="s">
        <v>2263</v>
      </c>
      <c r="B1167" t="s">
        <v>2263</v>
      </c>
      <c r="C1167">
        <v>1000</v>
      </c>
      <c r="D1167">
        <v>0</v>
      </c>
      <c r="E1167" t="s">
        <v>2743</v>
      </c>
      <c r="F1167" t="s">
        <v>57</v>
      </c>
      <c r="G1167" t="s">
        <v>57</v>
      </c>
      <c r="H1167" t="s">
        <v>2744</v>
      </c>
      <c r="I1167"/>
      <c r="J1167"/>
      <c r="K1167"/>
      <c r="L1167"/>
      <c r="M1167"/>
      <c r="N1167"/>
      <c r="O1167"/>
      <c r="P1167"/>
      <c r="Q1167"/>
      <c r="R1167"/>
      <c r="S1167" s="56">
        <f t="shared" si="54"/>
        <v>3</v>
      </c>
      <c r="T1167" s="57" t="str">
        <f t="shared" si="55"/>
        <v>0-3 Days</v>
      </c>
      <c r="U1167" s="58" t="str">
        <f t="shared" si="56"/>
        <v>Normal</v>
      </c>
    </row>
    <row r="1168" spans="1:21" ht="23.25" customHeight="1" x14ac:dyDescent="0.35">
      <c r="A1168" t="s">
        <v>2263</v>
      </c>
      <c r="B1168" t="s">
        <v>2263</v>
      </c>
      <c r="C1168">
        <v>250</v>
      </c>
      <c r="D1168">
        <v>0</v>
      </c>
      <c r="E1168" t="s">
        <v>2745</v>
      </c>
      <c r="F1168" t="s">
        <v>57</v>
      </c>
      <c r="G1168" t="s">
        <v>57</v>
      </c>
      <c r="H1168" t="s">
        <v>2746</v>
      </c>
      <c r="I1168"/>
      <c r="J1168"/>
      <c r="K1168"/>
      <c r="L1168"/>
      <c r="M1168"/>
      <c r="N1168"/>
      <c r="O1168"/>
      <c r="P1168"/>
      <c r="Q1168"/>
      <c r="R1168"/>
      <c r="S1168" s="56">
        <f t="shared" si="54"/>
        <v>3</v>
      </c>
      <c r="T1168" s="57" t="str">
        <f t="shared" si="55"/>
        <v>0-3 Days</v>
      </c>
      <c r="U1168" s="58" t="str">
        <f t="shared" si="56"/>
        <v>Normal</v>
      </c>
    </row>
    <row r="1169" spans="1:21" ht="23.25" customHeight="1" x14ac:dyDescent="0.35">
      <c r="A1169" t="s">
        <v>2263</v>
      </c>
      <c r="B1169" t="s">
        <v>2263</v>
      </c>
      <c r="C1169">
        <v>168</v>
      </c>
      <c r="D1169">
        <v>0</v>
      </c>
      <c r="E1169" t="s">
        <v>2747</v>
      </c>
      <c r="F1169" t="s">
        <v>57</v>
      </c>
      <c r="G1169" t="s">
        <v>57</v>
      </c>
      <c r="H1169" t="s">
        <v>2748</v>
      </c>
      <c r="I1169"/>
      <c r="J1169"/>
      <c r="K1169"/>
      <c r="L1169"/>
      <c r="M1169"/>
      <c r="N1169"/>
      <c r="O1169"/>
      <c r="P1169"/>
      <c r="Q1169"/>
      <c r="R1169"/>
      <c r="S1169" s="56">
        <f t="shared" si="54"/>
        <v>3</v>
      </c>
      <c r="T1169" s="57" t="str">
        <f t="shared" si="55"/>
        <v>0-3 Days</v>
      </c>
      <c r="U1169" s="58" t="str">
        <f t="shared" si="56"/>
        <v>Normal</v>
      </c>
    </row>
    <row r="1170" spans="1:21" ht="23.25" customHeight="1" x14ac:dyDescent="0.35">
      <c r="A1170" t="s">
        <v>2263</v>
      </c>
      <c r="B1170" t="s">
        <v>2263</v>
      </c>
      <c r="C1170">
        <v>2700</v>
      </c>
      <c r="D1170">
        <v>0</v>
      </c>
      <c r="E1170" t="s">
        <v>2749</v>
      </c>
      <c r="F1170" t="s">
        <v>57</v>
      </c>
      <c r="G1170" t="s">
        <v>57</v>
      </c>
      <c r="H1170" t="s">
        <v>2750</v>
      </c>
      <c r="I1170"/>
      <c r="J1170"/>
      <c r="K1170"/>
      <c r="L1170"/>
      <c r="M1170"/>
      <c r="N1170"/>
      <c r="O1170"/>
      <c r="P1170"/>
      <c r="Q1170"/>
      <c r="R1170"/>
      <c r="S1170" s="56">
        <f t="shared" si="54"/>
        <v>3</v>
      </c>
      <c r="T1170" s="57" t="str">
        <f t="shared" si="55"/>
        <v>0-3 Days</v>
      </c>
      <c r="U1170" s="58" t="str">
        <f t="shared" si="56"/>
        <v>Normal</v>
      </c>
    </row>
    <row r="1171" spans="1:21" ht="23.25" customHeight="1" x14ac:dyDescent="0.35">
      <c r="A1171" t="s">
        <v>2263</v>
      </c>
      <c r="B1171" t="s">
        <v>2263</v>
      </c>
      <c r="C1171">
        <v>1000</v>
      </c>
      <c r="D1171">
        <v>0</v>
      </c>
      <c r="E1171" t="s">
        <v>2751</v>
      </c>
      <c r="F1171" t="s">
        <v>57</v>
      </c>
      <c r="G1171" t="s">
        <v>57</v>
      </c>
      <c r="H1171" t="s">
        <v>2752</v>
      </c>
      <c r="I1171"/>
      <c r="J1171"/>
      <c r="K1171"/>
      <c r="L1171"/>
      <c r="M1171"/>
      <c r="N1171"/>
      <c r="O1171"/>
      <c r="P1171"/>
      <c r="Q1171"/>
      <c r="R1171"/>
      <c r="S1171" s="56">
        <f t="shared" si="54"/>
        <v>3</v>
      </c>
      <c r="T1171" s="57" t="str">
        <f t="shared" si="55"/>
        <v>0-3 Days</v>
      </c>
      <c r="U1171" s="58" t="str">
        <f t="shared" si="56"/>
        <v>Normal</v>
      </c>
    </row>
    <row r="1172" spans="1:21" ht="23.25" customHeight="1" x14ac:dyDescent="0.35">
      <c r="A1172" t="s">
        <v>2263</v>
      </c>
      <c r="B1172" t="s">
        <v>2263</v>
      </c>
      <c r="C1172">
        <v>0</v>
      </c>
      <c r="D1172">
        <v>828</v>
      </c>
      <c r="E1172" t="s">
        <v>2753</v>
      </c>
      <c r="F1172" t="s">
        <v>57</v>
      </c>
      <c r="G1172" t="s">
        <v>57</v>
      </c>
      <c r="H1172" t="s">
        <v>2754</v>
      </c>
      <c r="I1172"/>
      <c r="J1172"/>
      <c r="K1172"/>
      <c r="L1172"/>
      <c r="M1172"/>
      <c r="N1172"/>
      <c r="O1172"/>
      <c r="P1172"/>
      <c r="Q1172"/>
      <c r="R1172"/>
      <c r="S1172" s="56">
        <f t="shared" si="54"/>
        <v>3</v>
      </c>
      <c r="T1172" s="57" t="str">
        <f t="shared" si="55"/>
        <v>0-3 Days</v>
      </c>
      <c r="U1172" s="58" t="str">
        <f t="shared" si="56"/>
        <v>Not Applicable</v>
      </c>
    </row>
    <row r="1173" spans="1:21" ht="23.25" customHeight="1" x14ac:dyDescent="0.35">
      <c r="A1173" t="s">
        <v>2263</v>
      </c>
      <c r="B1173" t="s">
        <v>2263</v>
      </c>
      <c r="C1173">
        <v>1000</v>
      </c>
      <c r="D1173">
        <v>0</v>
      </c>
      <c r="E1173" t="s">
        <v>2755</v>
      </c>
      <c r="F1173" t="s">
        <v>57</v>
      </c>
      <c r="G1173" t="s">
        <v>57</v>
      </c>
      <c r="H1173" t="s">
        <v>2756</v>
      </c>
      <c r="I1173"/>
      <c r="J1173"/>
      <c r="K1173"/>
      <c r="L1173"/>
      <c r="M1173"/>
      <c r="N1173"/>
      <c r="O1173"/>
      <c r="P1173"/>
      <c r="Q1173"/>
      <c r="R1173"/>
      <c r="S1173" s="56">
        <f t="shared" si="54"/>
        <v>3</v>
      </c>
      <c r="T1173" s="57" t="str">
        <f t="shared" si="55"/>
        <v>0-3 Days</v>
      </c>
      <c r="U1173" s="58" t="str">
        <f t="shared" si="56"/>
        <v>Normal</v>
      </c>
    </row>
    <row r="1174" spans="1:21" ht="23.25" customHeight="1" x14ac:dyDescent="0.35">
      <c r="A1174" t="s">
        <v>2263</v>
      </c>
      <c r="B1174" t="s">
        <v>2263</v>
      </c>
      <c r="C1174">
        <v>2650</v>
      </c>
      <c r="D1174">
        <v>0</v>
      </c>
      <c r="E1174" t="s">
        <v>2757</v>
      </c>
      <c r="F1174" t="s">
        <v>57</v>
      </c>
      <c r="G1174" t="s">
        <v>57</v>
      </c>
      <c r="H1174" t="s">
        <v>2758</v>
      </c>
      <c r="I1174"/>
      <c r="J1174"/>
      <c r="K1174"/>
      <c r="L1174"/>
      <c r="M1174"/>
      <c r="N1174"/>
      <c r="O1174"/>
      <c r="P1174"/>
      <c r="Q1174"/>
      <c r="R1174"/>
      <c r="S1174" s="56">
        <f t="shared" si="54"/>
        <v>3</v>
      </c>
      <c r="T1174" s="57" t="str">
        <f t="shared" si="55"/>
        <v>0-3 Days</v>
      </c>
      <c r="U1174" s="58" t="str">
        <f t="shared" si="56"/>
        <v>Normal</v>
      </c>
    </row>
    <row r="1175" spans="1:21" ht="23.25" customHeight="1" x14ac:dyDescent="0.35">
      <c r="A1175" t="s">
        <v>2263</v>
      </c>
      <c r="B1175" t="s">
        <v>2263</v>
      </c>
      <c r="C1175">
        <v>600</v>
      </c>
      <c r="D1175">
        <v>0</v>
      </c>
      <c r="E1175" t="s">
        <v>2759</v>
      </c>
      <c r="F1175" t="s">
        <v>57</v>
      </c>
      <c r="G1175" t="s">
        <v>57</v>
      </c>
      <c r="H1175" t="s">
        <v>2760</v>
      </c>
      <c r="I1175"/>
      <c r="J1175"/>
      <c r="K1175"/>
      <c r="L1175"/>
      <c r="M1175"/>
      <c r="N1175"/>
      <c r="O1175"/>
      <c r="P1175"/>
      <c r="Q1175"/>
      <c r="R1175"/>
      <c r="S1175" s="56">
        <f t="shared" si="54"/>
        <v>3</v>
      </c>
      <c r="T1175" s="57" t="str">
        <f t="shared" si="55"/>
        <v>0-3 Days</v>
      </c>
      <c r="U1175" s="58" t="str">
        <f t="shared" si="56"/>
        <v>Normal</v>
      </c>
    </row>
    <row r="1176" spans="1:21" ht="23.25" customHeight="1" x14ac:dyDescent="0.35">
      <c r="A1176" t="s">
        <v>2263</v>
      </c>
      <c r="B1176" t="s">
        <v>2263</v>
      </c>
      <c r="C1176">
        <v>2650</v>
      </c>
      <c r="D1176">
        <v>0</v>
      </c>
      <c r="E1176" t="s">
        <v>2761</v>
      </c>
      <c r="F1176" t="s">
        <v>57</v>
      </c>
      <c r="G1176" t="s">
        <v>57</v>
      </c>
      <c r="H1176" t="s">
        <v>2762</v>
      </c>
      <c r="I1176"/>
      <c r="J1176"/>
      <c r="K1176"/>
      <c r="L1176"/>
      <c r="M1176"/>
      <c r="N1176"/>
      <c r="O1176"/>
      <c r="P1176"/>
      <c r="Q1176"/>
      <c r="R1176"/>
      <c r="S1176" s="56">
        <f t="shared" si="54"/>
        <v>3</v>
      </c>
      <c r="T1176" s="57" t="str">
        <f t="shared" si="55"/>
        <v>0-3 Days</v>
      </c>
      <c r="U1176" s="58" t="str">
        <f t="shared" si="56"/>
        <v>Normal</v>
      </c>
    </row>
    <row r="1177" spans="1:21" ht="23.25" customHeight="1" x14ac:dyDescent="0.35">
      <c r="A1177" t="s">
        <v>2263</v>
      </c>
      <c r="B1177" t="s">
        <v>2263</v>
      </c>
      <c r="C1177">
        <v>1587</v>
      </c>
      <c r="D1177">
        <v>0</v>
      </c>
      <c r="E1177" t="s">
        <v>2763</v>
      </c>
      <c r="F1177" t="s">
        <v>57</v>
      </c>
      <c r="G1177" t="s">
        <v>57</v>
      </c>
      <c r="H1177" t="s">
        <v>2764</v>
      </c>
      <c r="I1177"/>
      <c r="J1177"/>
      <c r="K1177"/>
      <c r="L1177"/>
      <c r="M1177"/>
      <c r="N1177"/>
      <c r="O1177"/>
      <c r="P1177"/>
      <c r="Q1177"/>
      <c r="R1177"/>
      <c r="S1177" s="56">
        <f t="shared" si="54"/>
        <v>3</v>
      </c>
      <c r="T1177" s="57" t="str">
        <f t="shared" si="55"/>
        <v>0-3 Days</v>
      </c>
      <c r="U1177" s="58" t="str">
        <f t="shared" si="56"/>
        <v>Normal</v>
      </c>
    </row>
    <row r="1178" spans="1:21" ht="23.25" customHeight="1" x14ac:dyDescent="0.35">
      <c r="A1178" t="s">
        <v>2263</v>
      </c>
      <c r="B1178" t="s">
        <v>2263</v>
      </c>
      <c r="C1178">
        <v>1000</v>
      </c>
      <c r="D1178">
        <v>0</v>
      </c>
      <c r="E1178" t="s">
        <v>2765</v>
      </c>
      <c r="F1178" t="s">
        <v>57</v>
      </c>
      <c r="G1178" t="s">
        <v>57</v>
      </c>
      <c r="H1178" t="s">
        <v>2766</v>
      </c>
      <c r="I1178"/>
      <c r="J1178"/>
      <c r="K1178"/>
      <c r="L1178"/>
      <c r="M1178"/>
      <c r="N1178"/>
      <c r="O1178"/>
      <c r="P1178"/>
      <c r="Q1178"/>
      <c r="R1178"/>
      <c r="S1178" s="56">
        <f t="shared" si="54"/>
        <v>3</v>
      </c>
      <c r="T1178" s="57" t="str">
        <f t="shared" si="55"/>
        <v>0-3 Days</v>
      </c>
      <c r="U1178" s="58" t="str">
        <f t="shared" si="56"/>
        <v>Normal</v>
      </c>
    </row>
    <row r="1179" spans="1:21" ht="23.25" customHeight="1" x14ac:dyDescent="0.35">
      <c r="A1179" t="s">
        <v>2263</v>
      </c>
      <c r="B1179" t="s">
        <v>2263</v>
      </c>
      <c r="C1179">
        <v>1416</v>
      </c>
      <c r="D1179">
        <v>0</v>
      </c>
      <c r="E1179" t="s">
        <v>2767</v>
      </c>
      <c r="F1179" t="s">
        <v>57</v>
      </c>
      <c r="G1179" t="s">
        <v>57</v>
      </c>
      <c r="H1179" t="s">
        <v>2768</v>
      </c>
      <c r="I1179"/>
      <c r="J1179"/>
      <c r="K1179"/>
      <c r="L1179"/>
      <c r="M1179"/>
      <c r="N1179"/>
      <c r="O1179"/>
      <c r="P1179"/>
      <c r="Q1179"/>
      <c r="R1179"/>
      <c r="S1179" s="56">
        <f t="shared" si="54"/>
        <v>3</v>
      </c>
      <c r="T1179" s="57" t="str">
        <f t="shared" si="55"/>
        <v>0-3 Days</v>
      </c>
      <c r="U1179" s="58" t="str">
        <f t="shared" si="56"/>
        <v>Normal</v>
      </c>
    </row>
    <row r="1180" spans="1:21" ht="23.25" customHeight="1" x14ac:dyDescent="0.35">
      <c r="A1180" t="s">
        <v>2263</v>
      </c>
      <c r="B1180" t="s">
        <v>2263</v>
      </c>
      <c r="C1180">
        <v>1416</v>
      </c>
      <c r="D1180">
        <v>0</v>
      </c>
      <c r="E1180" t="s">
        <v>2769</v>
      </c>
      <c r="F1180" t="s">
        <v>57</v>
      </c>
      <c r="G1180" t="s">
        <v>57</v>
      </c>
      <c r="H1180" t="s">
        <v>2770</v>
      </c>
      <c r="I1180"/>
      <c r="J1180"/>
      <c r="K1180"/>
      <c r="L1180"/>
      <c r="M1180"/>
      <c r="N1180"/>
      <c r="O1180"/>
      <c r="P1180"/>
      <c r="Q1180"/>
      <c r="R1180"/>
      <c r="S1180" s="56">
        <f t="shared" si="54"/>
        <v>3</v>
      </c>
      <c r="T1180" s="57" t="str">
        <f t="shared" si="55"/>
        <v>0-3 Days</v>
      </c>
      <c r="U1180" s="58" t="str">
        <f t="shared" si="56"/>
        <v>Normal</v>
      </c>
    </row>
    <row r="1181" spans="1:21" ht="23.25" customHeight="1" x14ac:dyDescent="0.35">
      <c r="A1181" t="s">
        <v>2263</v>
      </c>
      <c r="B1181" t="s">
        <v>2263</v>
      </c>
      <c r="C1181">
        <v>1000</v>
      </c>
      <c r="D1181">
        <v>0</v>
      </c>
      <c r="E1181" t="s">
        <v>2771</v>
      </c>
      <c r="F1181" t="s">
        <v>57</v>
      </c>
      <c r="G1181" t="s">
        <v>57</v>
      </c>
      <c r="H1181" t="s">
        <v>2772</v>
      </c>
      <c r="I1181"/>
      <c r="J1181"/>
      <c r="K1181"/>
      <c r="L1181"/>
      <c r="M1181"/>
      <c r="N1181"/>
      <c r="O1181"/>
      <c r="P1181"/>
      <c r="Q1181"/>
      <c r="R1181"/>
      <c r="S1181" s="56">
        <f t="shared" si="54"/>
        <v>3</v>
      </c>
      <c r="T1181" s="57" t="str">
        <f t="shared" si="55"/>
        <v>0-3 Days</v>
      </c>
      <c r="U1181" s="58" t="str">
        <f t="shared" si="56"/>
        <v>Normal</v>
      </c>
    </row>
    <row r="1182" spans="1:21" ht="23.25" customHeight="1" x14ac:dyDescent="0.35">
      <c r="A1182" t="s">
        <v>2263</v>
      </c>
      <c r="B1182" t="s">
        <v>2263</v>
      </c>
      <c r="C1182">
        <v>2150</v>
      </c>
      <c r="D1182">
        <v>0</v>
      </c>
      <c r="E1182" t="s">
        <v>2773</v>
      </c>
      <c r="F1182" t="s">
        <v>57</v>
      </c>
      <c r="G1182" t="s">
        <v>57</v>
      </c>
      <c r="H1182" t="s">
        <v>2774</v>
      </c>
      <c r="I1182"/>
      <c r="J1182"/>
      <c r="K1182"/>
      <c r="L1182"/>
      <c r="M1182"/>
      <c r="N1182"/>
      <c r="O1182"/>
      <c r="P1182"/>
      <c r="Q1182"/>
      <c r="R1182"/>
      <c r="S1182" s="56">
        <f t="shared" si="54"/>
        <v>3</v>
      </c>
      <c r="T1182" s="57" t="str">
        <f t="shared" si="55"/>
        <v>0-3 Days</v>
      </c>
      <c r="U1182" s="58" t="str">
        <f t="shared" si="56"/>
        <v>Normal</v>
      </c>
    </row>
    <row r="1183" spans="1:21" ht="23.25" customHeight="1" x14ac:dyDescent="0.35">
      <c r="A1183" t="s">
        <v>2263</v>
      </c>
      <c r="B1183" t="s">
        <v>2263</v>
      </c>
      <c r="C1183">
        <v>2050</v>
      </c>
      <c r="D1183">
        <v>0</v>
      </c>
      <c r="E1183" t="s">
        <v>2775</v>
      </c>
      <c r="F1183" t="s">
        <v>57</v>
      </c>
      <c r="G1183" t="s">
        <v>57</v>
      </c>
      <c r="H1183" t="s">
        <v>2776</v>
      </c>
      <c r="I1183"/>
      <c r="J1183"/>
      <c r="K1183"/>
      <c r="L1183"/>
      <c r="M1183"/>
      <c r="N1183"/>
      <c r="O1183"/>
      <c r="P1183"/>
      <c r="Q1183"/>
      <c r="R1183"/>
      <c r="S1183" s="56">
        <f t="shared" si="54"/>
        <v>3</v>
      </c>
      <c r="T1183" s="57" t="str">
        <f t="shared" si="55"/>
        <v>0-3 Days</v>
      </c>
      <c r="U1183" s="58" t="str">
        <f t="shared" si="56"/>
        <v>Normal</v>
      </c>
    </row>
    <row r="1184" spans="1:21" ht="23.25" customHeight="1" x14ac:dyDescent="0.35">
      <c r="A1184" t="s">
        <v>2263</v>
      </c>
      <c r="B1184" t="s">
        <v>2263</v>
      </c>
      <c r="C1184">
        <v>0</v>
      </c>
      <c r="D1184">
        <v>1000</v>
      </c>
      <c r="E1184" t="s">
        <v>2777</v>
      </c>
      <c r="F1184" t="s">
        <v>57</v>
      </c>
      <c r="G1184" t="s">
        <v>57</v>
      </c>
      <c r="H1184" t="s">
        <v>2778</v>
      </c>
      <c r="I1184"/>
      <c r="J1184"/>
      <c r="K1184"/>
      <c r="L1184"/>
      <c r="M1184"/>
      <c r="N1184"/>
      <c r="O1184"/>
      <c r="P1184"/>
      <c r="Q1184"/>
      <c r="R1184"/>
      <c r="S1184" s="56">
        <f t="shared" si="54"/>
        <v>3</v>
      </c>
      <c r="T1184" s="57" t="str">
        <f t="shared" si="55"/>
        <v>0-3 Days</v>
      </c>
      <c r="U1184" s="58" t="str">
        <f t="shared" si="56"/>
        <v>Not Applicable</v>
      </c>
    </row>
    <row r="1185" spans="1:21" ht="23.25" customHeight="1" x14ac:dyDescent="0.35">
      <c r="A1185" t="s">
        <v>2263</v>
      </c>
      <c r="B1185" t="s">
        <v>2263</v>
      </c>
      <c r="C1185">
        <v>250</v>
      </c>
      <c r="D1185">
        <v>0</v>
      </c>
      <c r="E1185" t="s">
        <v>2779</v>
      </c>
      <c r="F1185" t="s">
        <v>57</v>
      </c>
      <c r="G1185" t="s">
        <v>57</v>
      </c>
      <c r="H1185" t="s">
        <v>2780</v>
      </c>
      <c r="I1185"/>
      <c r="J1185"/>
      <c r="K1185"/>
      <c r="L1185"/>
      <c r="M1185"/>
      <c r="N1185"/>
      <c r="O1185"/>
      <c r="P1185"/>
      <c r="Q1185"/>
      <c r="R1185"/>
      <c r="S1185" s="56">
        <f t="shared" si="54"/>
        <v>3</v>
      </c>
      <c r="T1185" s="57" t="str">
        <f t="shared" si="55"/>
        <v>0-3 Days</v>
      </c>
      <c r="U1185" s="58" t="str">
        <f t="shared" si="56"/>
        <v>Normal</v>
      </c>
    </row>
    <row r="1186" spans="1:21" ht="23.25" customHeight="1" x14ac:dyDescent="0.35">
      <c r="A1186" t="s">
        <v>2263</v>
      </c>
      <c r="B1186" t="s">
        <v>2263</v>
      </c>
      <c r="C1186">
        <v>2050</v>
      </c>
      <c r="D1186">
        <v>0</v>
      </c>
      <c r="E1186" t="s">
        <v>2781</v>
      </c>
      <c r="F1186" t="s">
        <v>57</v>
      </c>
      <c r="G1186" t="s">
        <v>57</v>
      </c>
      <c r="H1186" t="s">
        <v>2782</v>
      </c>
      <c r="I1186"/>
      <c r="J1186"/>
      <c r="K1186"/>
      <c r="L1186"/>
      <c r="M1186"/>
      <c r="N1186"/>
      <c r="O1186"/>
      <c r="P1186"/>
      <c r="Q1186"/>
      <c r="R1186"/>
      <c r="S1186" s="56">
        <f t="shared" si="54"/>
        <v>3</v>
      </c>
      <c r="T1186" s="57" t="str">
        <f t="shared" si="55"/>
        <v>0-3 Days</v>
      </c>
      <c r="U1186" s="58" t="str">
        <f t="shared" si="56"/>
        <v>Normal</v>
      </c>
    </row>
    <row r="1187" spans="1:21" ht="23.25" customHeight="1" x14ac:dyDescent="0.35">
      <c r="A1187" t="s">
        <v>2263</v>
      </c>
      <c r="B1187" t="s">
        <v>2263</v>
      </c>
      <c r="C1187">
        <v>1082</v>
      </c>
      <c r="D1187">
        <v>0</v>
      </c>
      <c r="E1187" t="s">
        <v>2783</v>
      </c>
      <c r="F1187" t="s">
        <v>57</v>
      </c>
      <c r="G1187" t="s">
        <v>57</v>
      </c>
      <c r="H1187" t="s">
        <v>2784</v>
      </c>
      <c r="I1187"/>
      <c r="J1187"/>
      <c r="K1187"/>
      <c r="L1187"/>
      <c r="M1187"/>
      <c r="N1187"/>
      <c r="O1187"/>
      <c r="P1187"/>
      <c r="Q1187"/>
      <c r="R1187"/>
      <c r="S1187" s="56">
        <f t="shared" si="54"/>
        <v>3</v>
      </c>
      <c r="T1187" s="57" t="str">
        <f t="shared" si="55"/>
        <v>0-3 Days</v>
      </c>
      <c r="U1187" s="58" t="str">
        <f t="shared" si="56"/>
        <v>Normal</v>
      </c>
    </row>
    <row r="1188" spans="1:21" ht="23.25" customHeight="1" x14ac:dyDescent="0.35">
      <c r="A1188" t="s">
        <v>2263</v>
      </c>
      <c r="B1188" t="s">
        <v>2263</v>
      </c>
      <c r="C1188">
        <v>1000</v>
      </c>
      <c r="D1188">
        <v>0</v>
      </c>
      <c r="E1188" t="s">
        <v>2785</v>
      </c>
      <c r="F1188" t="s">
        <v>57</v>
      </c>
      <c r="G1188" t="s">
        <v>57</v>
      </c>
      <c r="H1188" t="s">
        <v>2786</v>
      </c>
      <c r="I1188"/>
      <c r="J1188"/>
      <c r="K1188"/>
      <c r="L1188"/>
      <c r="M1188"/>
      <c r="N1188"/>
      <c r="O1188"/>
      <c r="P1188"/>
      <c r="Q1188"/>
      <c r="R1188"/>
      <c r="S1188" s="56">
        <f t="shared" si="54"/>
        <v>3</v>
      </c>
      <c r="T1188" s="57" t="str">
        <f t="shared" si="55"/>
        <v>0-3 Days</v>
      </c>
      <c r="U1188" s="58" t="str">
        <f t="shared" si="56"/>
        <v>Normal</v>
      </c>
    </row>
    <row r="1189" spans="1:21" ht="23.25" customHeight="1" x14ac:dyDescent="0.35">
      <c r="A1189" t="s">
        <v>2263</v>
      </c>
      <c r="B1189" t="s">
        <v>2263</v>
      </c>
      <c r="C1189">
        <v>2050</v>
      </c>
      <c r="D1189">
        <v>0</v>
      </c>
      <c r="E1189" t="s">
        <v>2787</v>
      </c>
      <c r="F1189" t="s">
        <v>57</v>
      </c>
      <c r="G1189" t="s">
        <v>57</v>
      </c>
      <c r="H1189" t="s">
        <v>2788</v>
      </c>
      <c r="I1189"/>
      <c r="J1189"/>
      <c r="K1189"/>
      <c r="L1189"/>
      <c r="M1189"/>
      <c r="N1189"/>
      <c r="O1189"/>
      <c r="P1189"/>
      <c r="Q1189"/>
      <c r="R1189"/>
      <c r="S1189" s="56">
        <f t="shared" si="54"/>
        <v>3</v>
      </c>
      <c r="T1189" s="57" t="str">
        <f t="shared" si="55"/>
        <v>0-3 Days</v>
      </c>
      <c r="U1189" s="58" t="str">
        <f t="shared" si="56"/>
        <v>Normal</v>
      </c>
    </row>
    <row r="1190" spans="1:21" ht="23.25" customHeight="1" x14ac:dyDescent="0.35">
      <c r="A1190" t="s">
        <v>2263</v>
      </c>
      <c r="B1190" t="s">
        <v>2263</v>
      </c>
      <c r="C1190">
        <v>1000</v>
      </c>
      <c r="D1190">
        <v>0</v>
      </c>
      <c r="E1190" t="s">
        <v>2789</v>
      </c>
      <c r="F1190" t="s">
        <v>57</v>
      </c>
      <c r="G1190" t="s">
        <v>57</v>
      </c>
      <c r="H1190" t="s">
        <v>2790</v>
      </c>
      <c r="I1190"/>
      <c r="J1190"/>
      <c r="K1190"/>
      <c r="L1190"/>
      <c r="M1190"/>
      <c r="N1190"/>
      <c r="O1190"/>
      <c r="P1190"/>
      <c r="Q1190"/>
      <c r="R1190"/>
      <c r="S1190" s="56">
        <f t="shared" si="54"/>
        <v>3</v>
      </c>
      <c r="T1190" s="57" t="str">
        <f t="shared" si="55"/>
        <v>0-3 Days</v>
      </c>
      <c r="U1190" s="58" t="str">
        <f t="shared" si="56"/>
        <v>Normal</v>
      </c>
    </row>
    <row r="1191" spans="1:21" ht="23.25" customHeight="1" x14ac:dyDescent="0.35">
      <c r="A1191" t="s">
        <v>2263</v>
      </c>
      <c r="B1191" t="s">
        <v>2263</v>
      </c>
      <c r="C1191">
        <v>1000</v>
      </c>
      <c r="D1191">
        <v>0</v>
      </c>
      <c r="E1191" t="s">
        <v>2791</v>
      </c>
      <c r="F1191" t="s">
        <v>57</v>
      </c>
      <c r="G1191" t="s">
        <v>57</v>
      </c>
      <c r="H1191" t="s">
        <v>2792</v>
      </c>
      <c r="I1191"/>
      <c r="J1191"/>
      <c r="K1191"/>
      <c r="L1191"/>
      <c r="M1191"/>
      <c r="N1191"/>
      <c r="O1191"/>
      <c r="P1191"/>
      <c r="Q1191"/>
      <c r="R1191"/>
      <c r="S1191" s="56">
        <f t="shared" si="54"/>
        <v>3</v>
      </c>
      <c r="T1191" s="57" t="str">
        <f t="shared" si="55"/>
        <v>0-3 Days</v>
      </c>
      <c r="U1191" s="58" t="str">
        <f t="shared" si="56"/>
        <v>Normal</v>
      </c>
    </row>
    <row r="1192" spans="1:21" ht="23.25" customHeight="1" x14ac:dyDescent="0.35">
      <c r="A1192" t="s">
        <v>2263</v>
      </c>
      <c r="B1192" t="s">
        <v>2263</v>
      </c>
      <c r="C1192">
        <v>177</v>
      </c>
      <c r="D1192">
        <v>0</v>
      </c>
      <c r="E1192" t="s">
        <v>2793</v>
      </c>
      <c r="F1192" t="s">
        <v>57</v>
      </c>
      <c r="G1192" t="s">
        <v>57</v>
      </c>
      <c r="H1192" t="s">
        <v>2794</v>
      </c>
      <c r="I1192"/>
      <c r="J1192"/>
      <c r="K1192"/>
      <c r="L1192"/>
      <c r="M1192"/>
      <c r="N1192"/>
      <c r="O1192"/>
      <c r="P1192"/>
      <c r="Q1192"/>
      <c r="R1192"/>
      <c r="S1192" s="56">
        <f t="shared" si="54"/>
        <v>3</v>
      </c>
      <c r="T1192" s="57" t="str">
        <f t="shared" si="55"/>
        <v>0-3 Days</v>
      </c>
      <c r="U1192" s="58" t="str">
        <f t="shared" si="56"/>
        <v>Normal</v>
      </c>
    </row>
    <row r="1193" spans="1:21" ht="23.25" customHeight="1" x14ac:dyDescent="0.35">
      <c r="A1193" t="s">
        <v>2263</v>
      </c>
      <c r="B1193" t="s">
        <v>2263</v>
      </c>
      <c r="C1193">
        <v>0</v>
      </c>
      <c r="D1193">
        <v>2150</v>
      </c>
      <c r="E1193" t="s">
        <v>2795</v>
      </c>
      <c r="F1193" t="s">
        <v>57</v>
      </c>
      <c r="G1193" t="s">
        <v>57</v>
      </c>
      <c r="H1193" t="s">
        <v>2796</v>
      </c>
      <c r="I1193"/>
      <c r="J1193"/>
      <c r="K1193"/>
      <c r="L1193"/>
      <c r="M1193"/>
      <c r="N1193"/>
      <c r="O1193"/>
      <c r="P1193"/>
      <c r="Q1193"/>
      <c r="R1193"/>
      <c r="S1193" s="56">
        <f t="shared" si="54"/>
        <v>3</v>
      </c>
      <c r="T1193" s="57" t="str">
        <f t="shared" si="55"/>
        <v>0-3 Days</v>
      </c>
      <c r="U1193" s="58" t="str">
        <f t="shared" si="56"/>
        <v>Not Applicable</v>
      </c>
    </row>
    <row r="1194" spans="1:21" ht="23.25" customHeight="1" x14ac:dyDescent="0.35">
      <c r="A1194" t="s">
        <v>2263</v>
      </c>
      <c r="B1194" t="s">
        <v>2263</v>
      </c>
      <c r="C1194">
        <v>1000</v>
      </c>
      <c r="D1194">
        <v>0</v>
      </c>
      <c r="E1194" t="s">
        <v>2797</v>
      </c>
      <c r="F1194" t="s">
        <v>57</v>
      </c>
      <c r="G1194" t="s">
        <v>57</v>
      </c>
      <c r="H1194" t="s">
        <v>2798</v>
      </c>
      <c r="I1194"/>
      <c r="J1194"/>
      <c r="K1194"/>
      <c r="L1194"/>
      <c r="M1194"/>
      <c r="N1194"/>
      <c r="O1194"/>
      <c r="P1194"/>
      <c r="Q1194"/>
      <c r="R1194"/>
      <c r="S1194" s="56">
        <f t="shared" si="54"/>
        <v>3</v>
      </c>
      <c r="T1194" s="57" t="str">
        <f t="shared" si="55"/>
        <v>0-3 Days</v>
      </c>
      <c r="U1194" s="58" t="str">
        <f t="shared" si="56"/>
        <v>Normal</v>
      </c>
    </row>
    <row r="1195" spans="1:21" ht="23.25" customHeight="1" x14ac:dyDescent="0.35">
      <c r="A1195" t="s">
        <v>2263</v>
      </c>
      <c r="B1195" t="s">
        <v>2263</v>
      </c>
      <c r="C1195">
        <v>1000</v>
      </c>
      <c r="D1195">
        <v>0</v>
      </c>
      <c r="E1195" t="s">
        <v>2799</v>
      </c>
      <c r="F1195" t="s">
        <v>57</v>
      </c>
      <c r="G1195" t="s">
        <v>57</v>
      </c>
      <c r="H1195" t="s">
        <v>2800</v>
      </c>
      <c r="I1195"/>
      <c r="J1195"/>
      <c r="K1195"/>
      <c r="L1195"/>
      <c r="M1195"/>
      <c r="N1195"/>
      <c r="O1195"/>
      <c r="P1195"/>
      <c r="Q1195"/>
      <c r="R1195"/>
      <c r="S1195" s="56">
        <f t="shared" si="54"/>
        <v>3</v>
      </c>
      <c r="T1195" s="57" t="str">
        <f t="shared" si="55"/>
        <v>0-3 Days</v>
      </c>
      <c r="U1195" s="58" t="str">
        <f t="shared" si="56"/>
        <v>Normal</v>
      </c>
    </row>
    <row r="1196" spans="1:21" ht="23.25" customHeight="1" x14ac:dyDescent="0.35">
      <c r="A1196" t="s">
        <v>2263</v>
      </c>
      <c r="B1196" t="s">
        <v>2263</v>
      </c>
      <c r="C1196">
        <v>2050</v>
      </c>
      <c r="D1196">
        <v>0</v>
      </c>
      <c r="E1196" t="s">
        <v>2801</v>
      </c>
      <c r="F1196" t="s">
        <v>57</v>
      </c>
      <c r="G1196" t="s">
        <v>57</v>
      </c>
      <c r="H1196" t="s">
        <v>2802</v>
      </c>
      <c r="I1196"/>
      <c r="J1196"/>
      <c r="K1196"/>
      <c r="L1196"/>
      <c r="M1196"/>
      <c r="N1196"/>
      <c r="O1196"/>
      <c r="P1196"/>
      <c r="Q1196"/>
      <c r="R1196"/>
      <c r="S1196" s="56">
        <f t="shared" si="54"/>
        <v>3</v>
      </c>
      <c r="T1196" s="57" t="str">
        <f t="shared" si="55"/>
        <v>0-3 Days</v>
      </c>
      <c r="U1196" s="58" t="str">
        <f t="shared" si="56"/>
        <v>Normal</v>
      </c>
    </row>
    <row r="1197" spans="1:21" ht="23.25" customHeight="1" x14ac:dyDescent="0.35">
      <c r="A1197" t="s">
        <v>2263</v>
      </c>
      <c r="B1197" t="s">
        <v>2263</v>
      </c>
      <c r="C1197">
        <v>1000</v>
      </c>
      <c r="D1197">
        <v>0</v>
      </c>
      <c r="E1197" t="s">
        <v>2803</v>
      </c>
      <c r="F1197" t="s">
        <v>57</v>
      </c>
      <c r="G1197" t="s">
        <v>57</v>
      </c>
      <c r="H1197" t="s">
        <v>2804</v>
      </c>
      <c r="I1197"/>
      <c r="J1197"/>
      <c r="K1197"/>
      <c r="L1197"/>
      <c r="M1197"/>
      <c r="N1197"/>
      <c r="O1197"/>
      <c r="P1197"/>
      <c r="Q1197"/>
      <c r="R1197"/>
      <c r="S1197" s="56">
        <f t="shared" si="54"/>
        <v>3</v>
      </c>
      <c r="T1197" s="57" t="str">
        <f t="shared" si="55"/>
        <v>0-3 Days</v>
      </c>
      <c r="U1197" s="58" t="str">
        <f t="shared" si="56"/>
        <v>Normal</v>
      </c>
    </row>
    <row r="1198" spans="1:21" ht="23.25" customHeight="1" x14ac:dyDescent="0.35">
      <c r="A1198" t="s">
        <v>2263</v>
      </c>
      <c r="B1198" t="s">
        <v>2263</v>
      </c>
      <c r="C1198">
        <v>675</v>
      </c>
      <c r="D1198">
        <v>0</v>
      </c>
      <c r="E1198" t="s">
        <v>2805</v>
      </c>
      <c r="F1198" t="s">
        <v>57</v>
      </c>
      <c r="G1198" t="s">
        <v>57</v>
      </c>
      <c r="H1198" t="s">
        <v>2806</v>
      </c>
      <c r="I1198"/>
      <c r="J1198"/>
      <c r="K1198"/>
      <c r="L1198"/>
      <c r="M1198"/>
      <c r="N1198"/>
      <c r="O1198"/>
      <c r="P1198"/>
      <c r="Q1198"/>
      <c r="R1198"/>
      <c r="S1198" s="56">
        <f t="shared" si="54"/>
        <v>3</v>
      </c>
      <c r="T1198" s="57" t="str">
        <f t="shared" si="55"/>
        <v>0-3 Days</v>
      </c>
      <c r="U1198" s="58" t="str">
        <f t="shared" si="56"/>
        <v>Normal</v>
      </c>
    </row>
    <row r="1199" spans="1:21" ht="23.25" customHeight="1" x14ac:dyDescent="0.35">
      <c r="A1199" t="s">
        <v>2263</v>
      </c>
      <c r="B1199" t="s">
        <v>2263</v>
      </c>
      <c r="C1199">
        <v>2050</v>
      </c>
      <c r="D1199">
        <v>0</v>
      </c>
      <c r="E1199" t="s">
        <v>2807</v>
      </c>
      <c r="F1199" t="s">
        <v>57</v>
      </c>
      <c r="G1199" t="s">
        <v>57</v>
      </c>
      <c r="H1199" t="s">
        <v>2808</v>
      </c>
      <c r="I1199"/>
      <c r="J1199"/>
      <c r="K1199"/>
      <c r="L1199"/>
      <c r="M1199"/>
      <c r="N1199"/>
      <c r="O1199"/>
      <c r="P1199"/>
      <c r="Q1199"/>
      <c r="R1199"/>
      <c r="S1199" s="56">
        <f t="shared" si="54"/>
        <v>3</v>
      </c>
      <c r="T1199" s="57" t="str">
        <f t="shared" si="55"/>
        <v>0-3 Days</v>
      </c>
      <c r="U1199" s="58" t="str">
        <f t="shared" si="56"/>
        <v>Normal</v>
      </c>
    </row>
    <row r="1200" spans="1:21" ht="23.25" customHeight="1" x14ac:dyDescent="0.35">
      <c r="A1200" t="s">
        <v>2263</v>
      </c>
      <c r="B1200" t="s">
        <v>2263</v>
      </c>
      <c r="C1200">
        <v>1000</v>
      </c>
      <c r="D1200">
        <v>0</v>
      </c>
      <c r="E1200" t="s">
        <v>2809</v>
      </c>
      <c r="F1200" t="s">
        <v>57</v>
      </c>
      <c r="G1200" t="s">
        <v>57</v>
      </c>
      <c r="H1200" t="s">
        <v>2810</v>
      </c>
      <c r="I1200"/>
      <c r="J1200"/>
      <c r="K1200"/>
      <c r="L1200"/>
      <c r="M1200"/>
      <c r="N1200"/>
      <c r="O1200"/>
      <c r="P1200"/>
      <c r="Q1200"/>
      <c r="R1200"/>
      <c r="S1200" s="56">
        <f t="shared" si="54"/>
        <v>3</v>
      </c>
      <c r="T1200" s="57" t="str">
        <f t="shared" si="55"/>
        <v>0-3 Days</v>
      </c>
      <c r="U1200" s="58" t="str">
        <f t="shared" si="56"/>
        <v>Normal</v>
      </c>
    </row>
    <row r="1201" spans="1:21" ht="23.25" customHeight="1" x14ac:dyDescent="0.35">
      <c r="A1201" t="s">
        <v>2263</v>
      </c>
      <c r="B1201" t="s">
        <v>2263</v>
      </c>
      <c r="C1201">
        <v>1000</v>
      </c>
      <c r="D1201">
        <v>0</v>
      </c>
      <c r="E1201" t="s">
        <v>2811</v>
      </c>
      <c r="F1201" t="s">
        <v>57</v>
      </c>
      <c r="G1201" t="s">
        <v>57</v>
      </c>
      <c r="H1201" t="s">
        <v>2812</v>
      </c>
      <c r="I1201"/>
      <c r="J1201"/>
      <c r="K1201"/>
      <c r="L1201"/>
      <c r="M1201"/>
      <c r="N1201"/>
      <c r="O1201"/>
      <c r="P1201"/>
      <c r="Q1201"/>
      <c r="R1201"/>
      <c r="S1201" s="56">
        <f t="shared" si="54"/>
        <v>3</v>
      </c>
      <c r="T1201" s="57" t="str">
        <f t="shared" si="55"/>
        <v>0-3 Days</v>
      </c>
      <c r="U1201" s="58" t="str">
        <f t="shared" si="56"/>
        <v>Normal</v>
      </c>
    </row>
    <row r="1202" spans="1:21" ht="23.25" customHeight="1" x14ac:dyDescent="0.35">
      <c r="A1202" t="s">
        <v>2263</v>
      </c>
      <c r="B1202" t="s">
        <v>2263</v>
      </c>
      <c r="C1202">
        <v>4125</v>
      </c>
      <c r="D1202">
        <v>0</v>
      </c>
      <c r="E1202" t="s">
        <v>2813</v>
      </c>
      <c r="F1202" t="s">
        <v>57</v>
      </c>
      <c r="G1202" t="s">
        <v>57</v>
      </c>
      <c r="H1202" t="s">
        <v>2814</v>
      </c>
      <c r="I1202"/>
      <c r="J1202"/>
      <c r="K1202"/>
      <c r="L1202"/>
      <c r="M1202"/>
      <c r="N1202"/>
      <c r="O1202"/>
      <c r="P1202"/>
      <c r="Q1202"/>
      <c r="R1202"/>
      <c r="S1202" s="56">
        <f t="shared" si="54"/>
        <v>3</v>
      </c>
      <c r="T1202" s="57" t="str">
        <f t="shared" si="55"/>
        <v>0-3 Days</v>
      </c>
      <c r="U1202" s="58" t="str">
        <f t="shared" si="56"/>
        <v>Normal</v>
      </c>
    </row>
    <row r="1203" spans="1:21" ht="23.25" customHeight="1" x14ac:dyDescent="0.35">
      <c r="A1203" t="s">
        <v>2263</v>
      </c>
      <c r="B1203" t="s">
        <v>2263</v>
      </c>
      <c r="C1203">
        <v>1012</v>
      </c>
      <c r="D1203">
        <v>0</v>
      </c>
      <c r="E1203" t="s">
        <v>2815</v>
      </c>
      <c r="F1203" t="s">
        <v>57</v>
      </c>
      <c r="G1203" t="s">
        <v>57</v>
      </c>
      <c r="H1203" t="s">
        <v>2816</v>
      </c>
      <c r="I1203"/>
      <c r="J1203"/>
      <c r="K1203"/>
      <c r="L1203"/>
      <c r="M1203"/>
      <c r="N1203"/>
      <c r="O1203"/>
      <c r="P1203"/>
      <c r="Q1203"/>
      <c r="R1203"/>
      <c r="S1203" s="56">
        <f t="shared" si="54"/>
        <v>3</v>
      </c>
      <c r="T1203" s="57" t="str">
        <f t="shared" si="55"/>
        <v>0-3 Days</v>
      </c>
      <c r="U1203" s="58" t="str">
        <f t="shared" si="56"/>
        <v>Normal</v>
      </c>
    </row>
    <row r="1204" spans="1:21" ht="23.25" customHeight="1" x14ac:dyDescent="0.35">
      <c r="A1204" t="s">
        <v>2263</v>
      </c>
      <c r="B1204" t="s">
        <v>2263</v>
      </c>
      <c r="C1204">
        <v>2150</v>
      </c>
      <c r="D1204">
        <v>0</v>
      </c>
      <c r="E1204" t="s">
        <v>2817</v>
      </c>
      <c r="F1204" t="s">
        <v>57</v>
      </c>
      <c r="G1204" t="s">
        <v>57</v>
      </c>
      <c r="H1204" t="s">
        <v>2818</v>
      </c>
      <c r="I1204"/>
      <c r="J1204"/>
      <c r="K1204"/>
      <c r="L1204"/>
      <c r="M1204"/>
      <c r="N1204"/>
      <c r="O1204"/>
      <c r="P1204"/>
      <c r="Q1204"/>
      <c r="R1204"/>
      <c r="S1204" s="56">
        <f t="shared" si="54"/>
        <v>3</v>
      </c>
      <c r="T1204" s="57" t="str">
        <f t="shared" si="55"/>
        <v>0-3 Days</v>
      </c>
      <c r="U1204" s="58" t="str">
        <f t="shared" si="56"/>
        <v>Normal</v>
      </c>
    </row>
    <row r="1205" spans="1:21" ht="23.25" customHeight="1" x14ac:dyDescent="0.35">
      <c r="A1205" t="s">
        <v>2263</v>
      </c>
      <c r="B1205" t="s">
        <v>2263</v>
      </c>
      <c r="C1205">
        <v>2050</v>
      </c>
      <c r="D1205">
        <v>0</v>
      </c>
      <c r="E1205" t="s">
        <v>2819</v>
      </c>
      <c r="F1205" t="s">
        <v>57</v>
      </c>
      <c r="G1205" t="s">
        <v>57</v>
      </c>
      <c r="H1205" t="s">
        <v>2820</v>
      </c>
      <c r="I1205"/>
      <c r="J1205"/>
      <c r="K1205"/>
      <c r="L1205"/>
      <c r="M1205"/>
      <c r="N1205"/>
      <c r="O1205"/>
      <c r="P1205"/>
      <c r="Q1205"/>
      <c r="R1205"/>
      <c r="S1205" s="56">
        <f t="shared" si="54"/>
        <v>3</v>
      </c>
      <c r="T1205" s="57" t="str">
        <f t="shared" si="55"/>
        <v>0-3 Days</v>
      </c>
      <c r="U1205" s="58" t="str">
        <f t="shared" si="56"/>
        <v>Normal</v>
      </c>
    </row>
    <row r="1206" spans="1:21" ht="23.25" customHeight="1" x14ac:dyDescent="0.35">
      <c r="A1206" t="s">
        <v>2263</v>
      </c>
      <c r="B1206" t="s">
        <v>2263</v>
      </c>
      <c r="C1206">
        <v>250</v>
      </c>
      <c r="D1206">
        <v>0</v>
      </c>
      <c r="E1206" t="s">
        <v>2821</v>
      </c>
      <c r="F1206" t="s">
        <v>57</v>
      </c>
      <c r="G1206" t="s">
        <v>57</v>
      </c>
      <c r="H1206" t="s">
        <v>2822</v>
      </c>
      <c r="I1206"/>
      <c r="J1206"/>
      <c r="K1206"/>
      <c r="L1206"/>
      <c r="M1206"/>
      <c r="N1206"/>
      <c r="O1206"/>
      <c r="P1206"/>
      <c r="Q1206"/>
      <c r="R1206"/>
      <c r="S1206" s="56">
        <f t="shared" si="54"/>
        <v>3</v>
      </c>
      <c r="T1206" s="57" t="str">
        <f t="shared" si="55"/>
        <v>0-3 Days</v>
      </c>
      <c r="U1206" s="58" t="str">
        <f t="shared" si="56"/>
        <v>Normal</v>
      </c>
    </row>
    <row r="1207" spans="1:21" ht="23.25" customHeight="1" x14ac:dyDescent="0.35">
      <c r="A1207" t="s">
        <v>2263</v>
      </c>
      <c r="B1207" t="s">
        <v>2263</v>
      </c>
      <c r="C1207">
        <v>828</v>
      </c>
      <c r="D1207">
        <v>0</v>
      </c>
      <c r="E1207" t="s">
        <v>2823</v>
      </c>
      <c r="F1207" t="s">
        <v>57</v>
      </c>
      <c r="G1207" t="s">
        <v>57</v>
      </c>
      <c r="H1207" t="s">
        <v>2824</v>
      </c>
      <c r="I1207"/>
      <c r="J1207"/>
      <c r="K1207"/>
      <c r="L1207"/>
      <c r="M1207"/>
      <c r="N1207"/>
      <c r="O1207"/>
      <c r="P1207"/>
      <c r="Q1207"/>
      <c r="R1207"/>
      <c r="S1207" s="56">
        <f t="shared" si="54"/>
        <v>3</v>
      </c>
      <c r="T1207" s="57" t="str">
        <f t="shared" si="55"/>
        <v>0-3 Days</v>
      </c>
      <c r="U1207" s="58" t="str">
        <f t="shared" si="56"/>
        <v>Normal</v>
      </c>
    </row>
    <row r="1208" spans="1:21" ht="23.25" customHeight="1" x14ac:dyDescent="0.35">
      <c r="A1208" t="s">
        <v>2263</v>
      </c>
      <c r="B1208" t="s">
        <v>2263</v>
      </c>
      <c r="C1208">
        <v>1496</v>
      </c>
      <c r="D1208">
        <v>0</v>
      </c>
      <c r="E1208" t="s">
        <v>2825</v>
      </c>
      <c r="F1208" t="s">
        <v>57</v>
      </c>
      <c r="G1208" t="s">
        <v>57</v>
      </c>
      <c r="H1208" t="s">
        <v>2826</v>
      </c>
      <c r="I1208"/>
      <c r="J1208"/>
      <c r="K1208"/>
      <c r="L1208"/>
      <c r="M1208"/>
      <c r="N1208"/>
      <c r="O1208"/>
      <c r="P1208"/>
      <c r="Q1208"/>
      <c r="R1208"/>
      <c r="S1208" s="56">
        <f t="shared" si="54"/>
        <v>3</v>
      </c>
      <c r="T1208" s="57" t="str">
        <f t="shared" si="55"/>
        <v>0-3 Days</v>
      </c>
      <c r="U1208" s="58" t="str">
        <f t="shared" si="56"/>
        <v>Normal</v>
      </c>
    </row>
    <row r="1209" spans="1:21" ht="23.25" customHeight="1" x14ac:dyDescent="0.35">
      <c r="A1209" t="s">
        <v>2263</v>
      </c>
      <c r="B1209" t="s">
        <v>2263</v>
      </c>
      <c r="C1209">
        <v>2050</v>
      </c>
      <c r="D1209">
        <v>0</v>
      </c>
      <c r="E1209" t="s">
        <v>2827</v>
      </c>
      <c r="F1209" t="s">
        <v>57</v>
      </c>
      <c r="G1209" t="s">
        <v>57</v>
      </c>
      <c r="H1209" t="s">
        <v>2828</v>
      </c>
      <c r="I1209"/>
      <c r="J1209"/>
      <c r="K1209"/>
      <c r="L1209"/>
      <c r="M1209"/>
      <c r="N1209"/>
      <c r="O1209"/>
      <c r="P1209"/>
      <c r="Q1209"/>
      <c r="R1209"/>
      <c r="S1209" s="56">
        <f t="shared" si="54"/>
        <v>3</v>
      </c>
      <c r="T1209" s="57" t="str">
        <f t="shared" si="55"/>
        <v>0-3 Days</v>
      </c>
      <c r="U1209" s="58" t="str">
        <f t="shared" si="56"/>
        <v>Normal</v>
      </c>
    </row>
    <row r="1210" spans="1:21" ht="23.25" customHeight="1" x14ac:dyDescent="0.35">
      <c r="A1210" t="s">
        <v>2263</v>
      </c>
      <c r="B1210" t="s">
        <v>2263</v>
      </c>
      <c r="C1210">
        <v>1000</v>
      </c>
      <c r="D1210">
        <v>0</v>
      </c>
      <c r="E1210" t="s">
        <v>2829</v>
      </c>
      <c r="F1210" t="s">
        <v>57</v>
      </c>
      <c r="G1210" t="s">
        <v>57</v>
      </c>
      <c r="H1210" t="s">
        <v>2830</v>
      </c>
      <c r="I1210"/>
      <c r="J1210"/>
      <c r="K1210"/>
      <c r="L1210"/>
      <c r="M1210"/>
      <c r="N1210"/>
      <c r="O1210"/>
      <c r="P1210"/>
      <c r="Q1210"/>
      <c r="R1210"/>
      <c r="S1210" s="56">
        <f t="shared" si="54"/>
        <v>3</v>
      </c>
      <c r="T1210" s="57" t="str">
        <f t="shared" si="55"/>
        <v>0-3 Days</v>
      </c>
      <c r="U1210" s="58" t="str">
        <f t="shared" si="56"/>
        <v>Normal</v>
      </c>
    </row>
    <row r="1211" spans="1:21" ht="23.25" customHeight="1" x14ac:dyDescent="0.35">
      <c r="A1211" t="s">
        <v>2263</v>
      </c>
      <c r="B1211" t="s">
        <v>2263</v>
      </c>
      <c r="C1211">
        <v>0</v>
      </c>
      <c r="D1211">
        <v>1000</v>
      </c>
      <c r="E1211" t="s">
        <v>2831</v>
      </c>
      <c r="F1211" t="s">
        <v>57</v>
      </c>
      <c r="G1211" t="s">
        <v>57</v>
      </c>
      <c r="H1211" t="s">
        <v>2832</v>
      </c>
      <c r="I1211"/>
      <c r="J1211"/>
      <c r="K1211"/>
      <c r="L1211"/>
      <c r="M1211"/>
      <c r="N1211"/>
      <c r="O1211"/>
      <c r="P1211"/>
      <c r="Q1211"/>
      <c r="R1211"/>
      <c r="S1211" s="56">
        <f t="shared" si="54"/>
        <v>3</v>
      </c>
      <c r="T1211" s="57" t="str">
        <f t="shared" si="55"/>
        <v>0-3 Days</v>
      </c>
      <c r="U1211" s="58" t="str">
        <f t="shared" si="56"/>
        <v>Not Applicable</v>
      </c>
    </row>
    <row r="1212" spans="1:21" ht="23.25" customHeight="1" x14ac:dyDescent="0.35">
      <c r="A1212" t="s">
        <v>2263</v>
      </c>
      <c r="B1212" t="s">
        <v>2263</v>
      </c>
      <c r="C1212">
        <v>250</v>
      </c>
      <c r="D1212">
        <v>0</v>
      </c>
      <c r="E1212" t="s">
        <v>2833</v>
      </c>
      <c r="F1212" t="s">
        <v>57</v>
      </c>
      <c r="G1212" t="s">
        <v>57</v>
      </c>
      <c r="H1212" t="s">
        <v>2834</v>
      </c>
      <c r="I1212"/>
      <c r="J1212"/>
      <c r="K1212"/>
      <c r="L1212"/>
      <c r="M1212"/>
      <c r="N1212"/>
      <c r="O1212"/>
      <c r="P1212"/>
      <c r="Q1212"/>
      <c r="R1212"/>
      <c r="S1212" s="56">
        <f t="shared" si="54"/>
        <v>3</v>
      </c>
      <c r="T1212" s="57" t="str">
        <f t="shared" si="55"/>
        <v>0-3 Days</v>
      </c>
      <c r="U1212" s="58" t="str">
        <f t="shared" si="56"/>
        <v>Normal</v>
      </c>
    </row>
    <row r="1213" spans="1:21" ht="23.25" customHeight="1" x14ac:dyDescent="0.35">
      <c r="A1213" t="s">
        <v>2263</v>
      </c>
      <c r="B1213" t="s">
        <v>2263</v>
      </c>
      <c r="C1213">
        <v>141.6</v>
      </c>
      <c r="D1213">
        <v>0</v>
      </c>
      <c r="E1213" t="s">
        <v>2835</v>
      </c>
      <c r="F1213" t="s">
        <v>57</v>
      </c>
      <c r="G1213" t="s">
        <v>57</v>
      </c>
      <c r="H1213" t="s">
        <v>2836</v>
      </c>
      <c r="I1213"/>
      <c r="J1213"/>
      <c r="K1213"/>
      <c r="L1213"/>
      <c r="M1213"/>
      <c r="N1213"/>
      <c r="O1213"/>
      <c r="P1213"/>
      <c r="Q1213"/>
      <c r="R1213"/>
      <c r="S1213" s="56">
        <f t="shared" si="54"/>
        <v>3</v>
      </c>
      <c r="T1213" s="57" t="str">
        <f t="shared" si="55"/>
        <v>0-3 Days</v>
      </c>
      <c r="U1213" s="58" t="str">
        <f t="shared" si="56"/>
        <v>Normal</v>
      </c>
    </row>
    <row r="1214" spans="1:21" ht="23.25" customHeight="1" x14ac:dyDescent="0.35">
      <c r="A1214" t="s">
        <v>2263</v>
      </c>
      <c r="B1214" t="s">
        <v>2263</v>
      </c>
      <c r="C1214">
        <v>0</v>
      </c>
      <c r="D1214">
        <v>828</v>
      </c>
      <c r="E1214" t="s">
        <v>2837</v>
      </c>
      <c r="F1214" t="s">
        <v>57</v>
      </c>
      <c r="G1214" t="s">
        <v>57</v>
      </c>
      <c r="H1214" t="s">
        <v>2838</v>
      </c>
      <c r="I1214"/>
      <c r="J1214"/>
      <c r="K1214"/>
      <c r="L1214"/>
      <c r="M1214"/>
      <c r="N1214"/>
      <c r="O1214"/>
      <c r="P1214"/>
      <c r="Q1214"/>
      <c r="R1214"/>
      <c r="S1214" s="56">
        <f t="shared" si="54"/>
        <v>3</v>
      </c>
      <c r="T1214" s="57" t="str">
        <f t="shared" si="55"/>
        <v>0-3 Days</v>
      </c>
      <c r="U1214" s="58" t="str">
        <f t="shared" si="56"/>
        <v>Not Applicable</v>
      </c>
    </row>
    <row r="1215" spans="1:21" ht="23.25" customHeight="1" x14ac:dyDescent="0.35">
      <c r="A1215" t="s">
        <v>2263</v>
      </c>
      <c r="B1215" t="s">
        <v>2263</v>
      </c>
      <c r="C1215">
        <v>2050</v>
      </c>
      <c r="D1215">
        <v>0</v>
      </c>
      <c r="E1215" t="s">
        <v>2839</v>
      </c>
      <c r="F1215" t="s">
        <v>57</v>
      </c>
      <c r="G1215" t="s">
        <v>57</v>
      </c>
      <c r="H1215" t="s">
        <v>2840</v>
      </c>
      <c r="I1215"/>
      <c r="J1215"/>
      <c r="K1215"/>
      <c r="L1215"/>
      <c r="M1215"/>
      <c r="N1215"/>
      <c r="O1215"/>
      <c r="P1215"/>
      <c r="Q1215"/>
      <c r="R1215"/>
      <c r="S1215" s="56">
        <f t="shared" si="54"/>
        <v>3</v>
      </c>
      <c r="T1215" s="57" t="str">
        <f t="shared" si="55"/>
        <v>0-3 Days</v>
      </c>
      <c r="U1215" s="58" t="str">
        <f t="shared" si="56"/>
        <v>Normal</v>
      </c>
    </row>
    <row r="1216" spans="1:21" ht="23.25" customHeight="1" x14ac:dyDescent="0.35">
      <c r="A1216" t="s">
        <v>2263</v>
      </c>
      <c r="B1216" t="s">
        <v>2263</v>
      </c>
      <c r="C1216">
        <v>1000</v>
      </c>
      <c r="D1216">
        <v>0</v>
      </c>
      <c r="E1216" t="s">
        <v>2841</v>
      </c>
      <c r="F1216" t="s">
        <v>57</v>
      </c>
      <c r="G1216" t="s">
        <v>57</v>
      </c>
      <c r="H1216" t="s">
        <v>2842</v>
      </c>
      <c r="I1216"/>
      <c r="J1216"/>
      <c r="K1216"/>
      <c r="L1216"/>
      <c r="M1216"/>
      <c r="N1216"/>
      <c r="O1216"/>
      <c r="P1216"/>
      <c r="Q1216"/>
      <c r="R1216"/>
      <c r="S1216" s="56">
        <f t="shared" si="54"/>
        <v>3</v>
      </c>
      <c r="T1216" s="57" t="str">
        <f t="shared" si="55"/>
        <v>0-3 Days</v>
      </c>
      <c r="U1216" s="58" t="str">
        <f t="shared" si="56"/>
        <v>Normal</v>
      </c>
    </row>
    <row r="1217" spans="1:21" ht="23.25" customHeight="1" x14ac:dyDescent="0.35">
      <c r="A1217" t="s">
        <v>2263</v>
      </c>
      <c r="B1217" t="s">
        <v>2263</v>
      </c>
      <c r="C1217">
        <v>250</v>
      </c>
      <c r="D1217">
        <v>0</v>
      </c>
      <c r="E1217" t="s">
        <v>2843</v>
      </c>
      <c r="F1217" t="s">
        <v>57</v>
      </c>
      <c r="G1217" t="s">
        <v>57</v>
      </c>
      <c r="H1217" t="s">
        <v>2844</v>
      </c>
      <c r="I1217"/>
      <c r="J1217"/>
      <c r="K1217"/>
      <c r="L1217"/>
      <c r="M1217"/>
      <c r="N1217"/>
      <c r="O1217"/>
      <c r="P1217"/>
      <c r="Q1217"/>
      <c r="R1217"/>
      <c r="S1217" s="56">
        <f t="shared" si="54"/>
        <v>3</v>
      </c>
      <c r="T1217" s="57" t="str">
        <f t="shared" si="55"/>
        <v>0-3 Days</v>
      </c>
      <c r="U1217" s="58" t="str">
        <f t="shared" si="56"/>
        <v>Normal</v>
      </c>
    </row>
    <row r="1218" spans="1:21" ht="23.25" customHeight="1" x14ac:dyDescent="0.35">
      <c r="A1218" t="s">
        <v>2263</v>
      </c>
      <c r="B1218" t="s">
        <v>2263</v>
      </c>
      <c r="C1218">
        <v>1000</v>
      </c>
      <c r="D1218">
        <v>0</v>
      </c>
      <c r="E1218" t="s">
        <v>2845</v>
      </c>
      <c r="F1218" t="s">
        <v>57</v>
      </c>
      <c r="G1218" t="s">
        <v>57</v>
      </c>
      <c r="H1218" t="s">
        <v>2846</v>
      </c>
      <c r="I1218"/>
      <c r="J1218"/>
      <c r="K1218"/>
      <c r="L1218"/>
      <c r="M1218"/>
      <c r="N1218"/>
      <c r="O1218"/>
      <c r="P1218"/>
      <c r="Q1218"/>
      <c r="R1218"/>
      <c r="S1218" s="56">
        <f t="shared" si="54"/>
        <v>3</v>
      </c>
      <c r="T1218" s="57" t="str">
        <f t="shared" si="55"/>
        <v>0-3 Days</v>
      </c>
      <c r="U1218" s="58" t="str">
        <f t="shared" si="56"/>
        <v>Normal</v>
      </c>
    </row>
    <row r="1219" spans="1:21" ht="23.25" customHeight="1" x14ac:dyDescent="0.35">
      <c r="A1219" t="s">
        <v>2263</v>
      </c>
      <c r="B1219" t="s">
        <v>2263</v>
      </c>
      <c r="C1219">
        <v>2137</v>
      </c>
      <c r="D1219">
        <v>0</v>
      </c>
      <c r="E1219" t="s">
        <v>2847</v>
      </c>
      <c r="F1219" t="s">
        <v>57</v>
      </c>
      <c r="G1219" t="s">
        <v>57</v>
      </c>
      <c r="H1219" t="s">
        <v>2848</v>
      </c>
      <c r="I1219"/>
      <c r="J1219"/>
      <c r="K1219"/>
      <c r="L1219"/>
      <c r="M1219"/>
      <c r="N1219"/>
      <c r="O1219"/>
      <c r="P1219"/>
      <c r="Q1219"/>
      <c r="R1219"/>
      <c r="S1219" s="56">
        <f t="shared" si="54"/>
        <v>3</v>
      </c>
      <c r="T1219" s="57" t="str">
        <f t="shared" si="55"/>
        <v>0-3 Days</v>
      </c>
      <c r="U1219" s="58" t="str">
        <f t="shared" si="56"/>
        <v>Normal</v>
      </c>
    </row>
    <row r="1220" spans="1:21" ht="23.25" customHeight="1" x14ac:dyDescent="0.35">
      <c r="A1220" t="s">
        <v>2263</v>
      </c>
      <c r="B1220" t="s">
        <v>2263</v>
      </c>
      <c r="C1220">
        <v>1000</v>
      </c>
      <c r="D1220">
        <v>0</v>
      </c>
      <c r="E1220" t="s">
        <v>2849</v>
      </c>
      <c r="F1220" t="s">
        <v>57</v>
      </c>
      <c r="G1220" t="s">
        <v>57</v>
      </c>
      <c r="H1220" t="s">
        <v>2850</v>
      </c>
      <c r="I1220"/>
      <c r="J1220"/>
      <c r="K1220"/>
      <c r="L1220"/>
      <c r="M1220"/>
      <c r="N1220"/>
      <c r="O1220"/>
      <c r="P1220"/>
      <c r="Q1220"/>
      <c r="R1220"/>
      <c r="S1220" s="56">
        <f t="shared" si="54"/>
        <v>3</v>
      </c>
      <c r="T1220" s="57" t="str">
        <f t="shared" si="55"/>
        <v>0-3 Days</v>
      </c>
      <c r="U1220" s="58" t="str">
        <f t="shared" si="56"/>
        <v>Normal</v>
      </c>
    </row>
    <row r="1221" spans="1:21" ht="23.25" customHeight="1" x14ac:dyDescent="0.35">
      <c r="A1221" t="s">
        <v>2263</v>
      </c>
      <c r="B1221" t="s">
        <v>2263</v>
      </c>
      <c r="C1221">
        <v>0</v>
      </c>
      <c r="D1221">
        <v>1000</v>
      </c>
      <c r="E1221" t="s">
        <v>2851</v>
      </c>
      <c r="F1221" t="s">
        <v>57</v>
      </c>
      <c r="G1221" t="s">
        <v>57</v>
      </c>
      <c r="H1221" t="s">
        <v>2852</v>
      </c>
      <c r="I1221"/>
      <c r="J1221"/>
      <c r="K1221"/>
      <c r="L1221"/>
      <c r="M1221"/>
      <c r="N1221"/>
      <c r="O1221"/>
      <c r="P1221"/>
      <c r="Q1221"/>
      <c r="R1221"/>
      <c r="S1221" s="56">
        <f t="shared" si="54"/>
        <v>3</v>
      </c>
      <c r="T1221" s="57" t="str">
        <f t="shared" si="55"/>
        <v>0-3 Days</v>
      </c>
      <c r="U1221" s="58" t="str">
        <f t="shared" si="56"/>
        <v>Not Applicable</v>
      </c>
    </row>
    <row r="1222" spans="1:21" ht="23.25" customHeight="1" x14ac:dyDescent="0.35">
      <c r="A1222" t="s">
        <v>2263</v>
      </c>
      <c r="B1222" t="s">
        <v>2263</v>
      </c>
      <c r="C1222">
        <v>1000</v>
      </c>
      <c r="D1222">
        <v>0</v>
      </c>
      <c r="E1222" t="s">
        <v>2853</v>
      </c>
      <c r="F1222" t="s">
        <v>57</v>
      </c>
      <c r="G1222" t="s">
        <v>57</v>
      </c>
      <c r="H1222" t="s">
        <v>2854</v>
      </c>
      <c r="I1222"/>
      <c r="J1222"/>
      <c r="K1222"/>
      <c r="L1222"/>
      <c r="M1222"/>
      <c r="N1222"/>
      <c r="O1222"/>
      <c r="P1222"/>
      <c r="Q1222"/>
      <c r="R1222"/>
      <c r="S1222" s="56">
        <f t="shared" si="54"/>
        <v>3</v>
      </c>
      <c r="T1222" s="57" t="str">
        <f t="shared" si="55"/>
        <v>0-3 Days</v>
      </c>
      <c r="U1222" s="58" t="str">
        <f t="shared" si="56"/>
        <v>Normal</v>
      </c>
    </row>
    <row r="1223" spans="1:21" ht="23.25" customHeight="1" x14ac:dyDescent="0.35">
      <c r="A1223" t="s">
        <v>2263</v>
      </c>
      <c r="B1223" t="s">
        <v>2263</v>
      </c>
      <c r="C1223">
        <v>1000</v>
      </c>
      <c r="D1223">
        <v>0</v>
      </c>
      <c r="E1223" t="s">
        <v>2855</v>
      </c>
      <c r="F1223" t="s">
        <v>57</v>
      </c>
      <c r="G1223" t="s">
        <v>57</v>
      </c>
      <c r="H1223" t="s">
        <v>2856</v>
      </c>
      <c r="I1223"/>
      <c r="J1223"/>
      <c r="K1223"/>
      <c r="L1223"/>
      <c r="M1223"/>
      <c r="N1223"/>
      <c r="O1223"/>
      <c r="P1223"/>
      <c r="Q1223"/>
      <c r="R1223"/>
      <c r="S1223" s="56">
        <f t="shared" si="54"/>
        <v>3</v>
      </c>
      <c r="T1223" s="57" t="str">
        <f t="shared" si="55"/>
        <v>0-3 Days</v>
      </c>
      <c r="U1223" s="58" t="str">
        <f t="shared" si="56"/>
        <v>Normal</v>
      </c>
    </row>
    <row r="1224" spans="1:21" ht="23.25" customHeight="1" x14ac:dyDescent="0.35">
      <c r="A1224" t="s">
        <v>2263</v>
      </c>
      <c r="B1224" t="s">
        <v>2263</v>
      </c>
      <c r="C1224">
        <v>1000</v>
      </c>
      <c r="D1224">
        <v>0</v>
      </c>
      <c r="E1224" t="s">
        <v>2857</v>
      </c>
      <c r="F1224" t="s">
        <v>57</v>
      </c>
      <c r="G1224" t="s">
        <v>57</v>
      </c>
      <c r="H1224" t="s">
        <v>2858</v>
      </c>
      <c r="I1224"/>
      <c r="J1224"/>
      <c r="K1224"/>
      <c r="L1224"/>
      <c r="M1224"/>
      <c r="N1224"/>
      <c r="O1224"/>
      <c r="P1224"/>
      <c r="Q1224"/>
      <c r="R1224"/>
      <c r="S1224" s="56">
        <f t="shared" si="54"/>
        <v>3</v>
      </c>
      <c r="T1224" s="57" t="str">
        <f t="shared" si="55"/>
        <v>0-3 Days</v>
      </c>
      <c r="U1224" s="58" t="str">
        <f t="shared" si="56"/>
        <v>Normal</v>
      </c>
    </row>
    <row r="1225" spans="1:21" ht="23.25" customHeight="1" x14ac:dyDescent="0.35">
      <c r="A1225" t="s">
        <v>2263</v>
      </c>
      <c r="B1225" t="s">
        <v>2263</v>
      </c>
      <c r="C1225">
        <v>0</v>
      </c>
      <c r="D1225">
        <v>1000</v>
      </c>
      <c r="E1225" t="s">
        <v>2859</v>
      </c>
      <c r="F1225" t="s">
        <v>57</v>
      </c>
      <c r="G1225" t="s">
        <v>57</v>
      </c>
      <c r="H1225" t="s">
        <v>2860</v>
      </c>
      <c r="I1225"/>
      <c r="J1225"/>
      <c r="K1225"/>
      <c r="L1225"/>
      <c r="M1225"/>
      <c r="N1225"/>
      <c r="O1225"/>
      <c r="P1225"/>
      <c r="Q1225"/>
      <c r="R1225"/>
      <c r="S1225" s="56">
        <f t="shared" ref="S1225:S1288" si="57">IF(A1225="","",A$5-A1225)</f>
        <v>3</v>
      </c>
      <c r="T1225" s="57" t="str">
        <f t="shared" ref="T1225:T1288" si="58">IF(S1225="","",IF(S1225&lt;4,"0-3 Days",IF(S1225&lt;31,"4-30 Days",IF(S1225&lt;61,"31-60 Days",IF(S1225&lt;=90,"61-90 Days",IF(S1225&gt;90,"Above 90 Days","0"))))))</f>
        <v>0-3 Days</v>
      </c>
      <c r="U1225" s="58" t="str">
        <f t="shared" ref="U1225:U1288" si="59">IF(C1225="","",IF(C1225&gt;0,IF(S1225&lt;30,"Normal",IF(S1225&lt;60,"Especially Mentioned",IF(S1225&lt;90,"Substandard",IF(S1225&lt;=180,"Doubtful",IF(S1225&gt;180,"Loss","0"))))),"Not Applicable"))</f>
        <v>Not Applicable</v>
      </c>
    </row>
    <row r="1226" spans="1:21" ht="23.25" customHeight="1" x14ac:dyDescent="0.35">
      <c r="A1226" t="s">
        <v>2263</v>
      </c>
      <c r="B1226" t="s">
        <v>2263</v>
      </c>
      <c r="C1226">
        <v>1046</v>
      </c>
      <c r="D1226">
        <v>0</v>
      </c>
      <c r="E1226" t="s">
        <v>2861</v>
      </c>
      <c r="F1226" t="s">
        <v>57</v>
      </c>
      <c r="G1226" t="s">
        <v>57</v>
      </c>
      <c r="H1226" t="s">
        <v>2862</v>
      </c>
      <c r="I1226"/>
      <c r="J1226"/>
      <c r="K1226"/>
      <c r="L1226"/>
      <c r="M1226"/>
      <c r="N1226"/>
      <c r="O1226"/>
      <c r="P1226"/>
      <c r="Q1226"/>
      <c r="R1226"/>
      <c r="S1226" s="56">
        <f t="shared" si="57"/>
        <v>3</v>
      </c>
      <c r="T1226" s="57" t="str">
        <f t="shared" si="58"/>
        <v>0-3 Days</v>
      </c>
      <c r="U1226" s="58" t="str">
        <f t="shared" si="59"/>
        <v>Normal</v>
      </c>
    </row>
    <row r="1227" spans="1:21" ht="23.25" customHeight="1" x14ac:dyDescent="0.35">
      <c r="A1227" t="s">
        <v>2263</v>
      </c>
      <c r="B1227" t="s">
        <v>2263</v>
      </c>
      <c r="C1227">
        <v>1094</v>
      </c>
      <c r="D1227">
        <v>0</v>
      </c>
      <c r="E1227" t="s">
        <v>2863</v>
      </c>
      <c r="F1227" t="s">
        <v>57</v>
      </c>
      <c r="G1227" t="s">
        <v>57</v>
      </c>
      <c r="H1227" t="s">
        <v>2864</v>
      </c>
      <c r="I1227"/>
      <c r="J1227"/>
      <c r="K1227"/>
      <c r="L1227"/>
      <c r="M1227"/>
      <c r="N1227"/>
      <c r="O1227"/>
      <c r="P1227"/>
      <c r="Q1227"/>
      <c r="R1227"/>
      <c r="S1227" s="56">
        <f t="shared" si="57"/>
        <v>3</v>
      </c>
      <c r="T1227" s="57" t="str">
        <f t="shared" si="58"/>
        <v>0-3 Days</v>
      </c>
      <c r="U1227" s="58" t="str">
        <f t="shared" si="59"/>
        <v>Normal</v>
      </c>
    </row>
    <row r="1228" spans="1:21" ht="23.25" customHeight="1" x14ac:dyDescent="0.35">
      <c r="A1228" t="s">
        <v>2263</v>
      </c>
      <c r="B1228" t="s">
        <v>2263</v>
      </c>
      <c r="C1228">
        <v>1046</v>
      </c>
      <c r="D1228">
        <v>0</v>
      </c>
      <c r="E1228" t="s">
        <v>2865</v>
      </c>
      <c r="F1228" t="s">
        <v>57</v>
      </c>
      <c r="G1228" t="s">
        <v>57</v>
      </c>
      <c r="H1228" t="s">
        <v>2866</v>
      </c>
      <c r="I1228"/>
      <c r="J1228"/>
      <c r="K1228"/>
      <c r="L1228"/>
      <c r="M1228"/>
      <c r="N1228"/>
      <c r="O1228"/>
      <c r="P1228"/>
      <c r="Q1228"/>
      <c r="R1228"/>
      <c r="S1228" s="56">
        <f t="shared" si="57"/>
        <v>3</v>
      </c>
      <c r="T1228" s="57" t="str">
        <f t="shared" si="58"/>
        <v>0-3 Days</v>
      </c>
      <c r="U1228" s="58" t="str">
        <f t="shared" si="59"/>
        <v>Normal</v>
      </c>
    </row>
    <row r="1229" spans="1:21" ht="23.25" customHeight="1" x14ac:dyDescent="0.35">
      <c r="A1229" t="s">
        <v>2263</v>
      </c>
      <c r="B1229" t="s">
        <v>2263</v>
      </c>
      <c r="C1229">
        <v>1000</v>
      </c>
      <c r="D1229">
        <v>0</v>
      </c>
      <c r="E1229" t="s">
        <v>2867</v>
      </c>
      <c r="F1229" t="s">
        <v>57</v>
      </c>
      <c r="G1229" t="s">
        <v>57</v>
      </c>
      <c r="H1229" t="s">
        <v>2868</v>
      </c>
      <c r="I1229"/>
      <c r="J1229"/>
      <c r="K1229"/>
      <c r="L1229"/>
      <c r="M1229"/>
      <c r="N1229"/>
      <c r="O1229"/>
      <c r="P1229"/>
      <c r="Q1229"/>
      <c r="R1229"/>
      <c r="S1229" s="56">
        <f t="shared" si="57"/>
        <v>3</v>
      </c>
      <c r="T1229" s="57" t="str">
        <f t="shared" si="58"/>
        <v>0-3 Days</v>
      </c>
      <c r="U1229" s="58" t="str">
        <f t="shared" si="59"/>
        <v>Normal</v>
      </c>
    </row>
    <row r="1230" spans="1:21" ht="23.25" customHeight="1" x14ac:dyDescent="0.35">
      <c r="A1230" t="s">
        <v>2263</v>
      </c>
      <c r="B1230" t="s">
        <v>2263</v>
      </c>
      <c r="C1230">
        <v>828</v>
      </c>
      <c r="D1230">
        <v>0</v>
      </c>
      <c r="E1230" t="s">
        <v>2869</v>
      </c>
      <c r="F1230" t="s">
        <v>57</v>
      </c>
      <c r="G1230" t="s">
        <v>57</v>
      </c>
      <c r="H1230" t="s">
        <v>2870</v>
      </c>
      <c r="I1230"/>
      <c r="J1230"/>
      <c r="K1230"/>
      <c r="L1230"/>
      <c r="M1230"/>
      <c r="N1230"/>
      <c r="O1230"/>
      <c r="P1230"/>
      <c r="Q1230"/>
      <c r="R1230"/>
      <c r="S1230" s="56">
        <f t="shared" si="57"/>
        <v>3</v>
      </c>
      <c r="T1230" s="57" t="str">
        <f t="shared" si="58"/>
        <v>0-3 Days</v>
      </c>
      <c r="U1230" s="58" t="str">
        <f t="shared" si="59"/>
        <v>Normal</v>
      </c>
    </row>
    <row r="1231" spans="1:21" ht="23.25" customHeight="1" x14ac:dyDescent="0.35">
      <c r="A1231" t="s">
        <v>2263</v>
      </c>
      <c r="B1231" t="s">
        <v>2263</v>
      </c>
      <c r="C1231">
        <v>2050</v>
      </c>
      <c r="D1231">
        <v>0</v>
      </c>
      <c r="E1231" t="s">
        <v>2871</v>
      </c>
      <c r="F1231" t="s">
        <v>57</v>
      </c>
      <c r="G1231" t="s">
        <v>57</v>
      </c>
      <c r="H1231" t="s">
        <v>2872</v>
      </c>
      <c r="I1231"/>
      <c r="J1231"/>
      <c r="K1231"/>
      <c r="L1231"/>
      <c r="M1231"/>
      <c r="N1231"/>
      <c r="O1231"/>
      <c r="P1231"/>
      <c r="Q1231"/>
      <c r="R1231"/>
      <c r="S1231" s="56">
        <f t="shared" si="57"/>
        <v>3</v>
      </c>
      <c r="T1231" s="57" t="str">
        <f t="shared" si="58"/>
        <v>0-3 Days</v>
      </c>
      <c r="U1231" s="58" t="str">
        <f t="shared" si="59"/>
        <v>Normal</v>
      </c>
    </row>
    <row r="1232" spans="1:21" ht="23.25" customHeight="1" x14ac:dyDescent="0.35">
      <c r="A1232" t="s">
        <v>2263</v>
      </c>
      <c r="B1232" t="s">
        <v>2263</v>
      </c>
      <c r="C1232">
        <v>0</v>
      </c>
      <c r="D1232">
        <v>2050</v>
      </c>
      <c r="E1232" t="s">
        <v>2873</v>
      </c>
      <c r="F1232" t="s">
        <v>57</v>
      </c>
      <c r="G1232" t="s">
        <v>57</v>
      </c>
      <c r="H1232" t="s">
        <v>2874</v>
      </c>
      <c r="I1232"/>
      <c r="J1232"/>
      <c r="K1232"/>
      <c r="L1232"/>
      <c r="M1232"/>
      <c r="N1232"/>
      <c r="O1232"/>
      <c r="P1232"/>
      <c r="Q1232"/>
      <c r="R1232"/>
      <c r="S1232" s="56">
        <f t="shared" si="57"/>
        <v>3</v>
      </c>
      <c r="T1232" s="57" t="str">
        <f t="shared" si="58"/>
        <v>0-3 Days</v>
      </c>
      <c r="U1232" s="58" t="str">
        <f t="shared" si="59"/>
        <v>Not Applicable</v>
      </c>
    </row>
    <row r="1233" spans="1:21" ht="23.25" customHeight="1" x14ac:dyDescent="0.35">
      <c r="A1233" t="s">
        <v>2263</v>
      </c>
      <c r="B1233" t="s">
        <v>2263</v>
      </c>
      <c r="C1233">
        <v>1000</v>
      </c>
      <c r="D1233">
        <v>0</v>
      </c>
      <c r="E1233" t="s">
        <v>2875</v>
      </c>
      <c r="F1233" t="s">
        <v>57</v>
      </c>
      <c r="G1233" t="s">
        <v>57</v>
      </c>
      <c r="H1233" t="s">
        <v>2876</v>
      </c>
      <c r="I1233"/>
      <c r="J1233"/>
      <c r="K1233"/>
      <c r="L1233"/>
      <c r="M1233"/>
      <c r="N1233"/>
      <c r="O1233"/>
      <c r="P1233"/>
      <c r="Q1233"/>
      <c r="R1233"/>
      <c r="S1233" s="56">
        <f t="shared" si="57"/>
        <v>3</v>
      </c>
      <c r="T1233" s="57" t="str">
        <f t="shared" si="58"/>
        <v>0-3 Days</v>
      </c>
      <c r="U1233" s="58" t="str">
        <f t="shared" si="59"/>
        <v>Normal</v>
      </c>
    </row>
    <row r="1234" spans="1:21" ht="23.25" customHeight="1" x14ac:dyDescent="0.35">
      <c r="A1234" t="s">
        <v>2263</v>
      </c>
      <c r="B1234" t="s">
        <v>2263</v>
      </c>
      <c r="C1234">
        <v>244</v>
      </c>
      <c r="D1234">
        <v>0</v>
      </c>
      <c r="E1234" t="s">
        <v>2877</v>
      </c>
      <c r="F1234" t="s">
        <v>57</v>
      </c>
      <c r="G1234" t="s">
        <v>57</v>
      </c>
      <c r="H1234" t="s">
        <v>2878</v>
      </c>
      <c r="I1234"/>
      <c r="J1234"/>
      <c r="K1234"/>
      <c r="L1234"/>
      <c r="M1234"/>
      <c r="N1234"/>
      <c r="O1234"/>
      <c r="P1234"/>
      <c r="Q1234"/>
      <c r="R1234"/>
      <c r="S1234" s="56">
        <f t="shared" si="57"/>
        <v>3</v>
      </c>
      <c r="T1234" s="57" t="str">
        <f t="shared" si="58"/>
        <v>0-3 Days</v>
      </c>
      <c r="U1234" s="58" t="str">
        <f t="shared" si="59"/>
        <v>Normal</v>
      </c>
    </row>
    <row r="1235" spans="1:21" ht="23.25" customHeight="1" x14ac:dyDescent="0.35">
      <c r="A1235" t="s">
        <v>2263</v>
      </c>
      <c r="B1235" t="s">
        <v>2263</v>
      </c>
      <c r="C1235">
        <v>2050</v>
      </c>
      <c r="D1235">
        <v>0</v>
      </c>
      <c r="E1235" t="s">
        <v>2879</v>
      </c>
      <c r="F1235" t="s">
        <v>57</v>
      </c>
      <c r="G1235" t="s">
        <v>57</v>
      </c>
      <c r="H1235" t="s">
        <v>2880</v>
      </c>
      <c r="I1235"/>
      <c r="J1235"/>
      <c r="K1235"/>
      <c r="L1235"/>
      <c r="M1235"/>
      <c r="N1235"/>
      <c r="O1235"/>
      <c r="P1235"/>
      <c r="Q1235"/>
      <c r="R1235"/>
      <c r="S1235" s="56">
        <f t="shared" si="57"/>
        <v>3</v>
      </c>
      <c r="T1235" s="57" t="str">
        <f t="shared" si="58"/>
        <v>0-3 Days</v>
      </c>
      <c r="U1235" s="58" t="str">
        <f t="shared" si="59"/>
        <v>Normal</v>
      </c>
    </row>
    <row r="1236" spans="1:21" ht="23.25" customHeight="1" x14ac:dyDescent="0.35">
      <c r="A1236" t="s">
        <v>2263</v>
      </c>
      <c r="B1236" t="s">
        <v>2263</v>
      </c>
      <c r="C1236">
        <v>2150</v>
      </c>
      <c r="D1236">
        <v>0</v>
      </c>
      <c r="E1236" t="s">
        <v>2881</v>
      </c>
      <c r="F1236" t="s">
        <v>57</v>
      </c>
      <c r="G1236" t="s">
        <v>57</v>
      </c>
      <c r="H1236" t="s">
        <v>2882</v>
      </c>
      <c r="I1236"/>
      <c r="J1236"/>
      <c r="K1236"/>
      <c r="L1236"/>
      <c r="M1236"/>
      <c r="N1236"/>
      <c r="O1236"/>
      <c r="P1236"/>
      <c r="Q1236"/>
      <c r="R1236"/>
      <c r="S1236" s="56">
        <f t="shared" si="57"/>
        <v>3</v>
      </c>
      <c r="T1236" s="57" t="str">
        <f t="shared" si="58"/>
        <v>0-3 Days</v>
      </c>
      <c r="U1236" s="58" t="str">
        <f t="shared" si="59"/>
        <v>Normal</v>
      </c>
    </row>
    <row r="1237" spans="1:21" ht="23.25" customHeight="1" x14ac:dyDescent="0.35">
      <c r="A1237" t="s">
        <v>2263</v>
      </c>
      <c r="B1237" t="s">
        <v>2263</v>
      </c>
      <c r="C1237">
        <v>494</v>
      </c>
      <c r="D1237">
        <v>0</v>
      </c>
      <c r="E1237" t="s">
        <v>2883</v>
      </c>
      <c r="F1237" t="s">
        <v>57</v>
      </c>
      <c r="G1237" t="s">
        <v>57</v>
      </c>
      <c r="H1237" t="s">
        <v>2884</v>
      </c>
      <c r="I1237"/>
      <c r="J1237"/>
      <c r="K1237"/>
      <c r="L1237"/>
      <c r="M1237"/>
      <c r="N1237"/>
      <c r="O1237"/>
      <c r="P1237"/>
      <c r="Q1237"/>
      <c r="R1237"/>
      <c r="S1237" s="56">
        <f t="shared" si="57"/>
        <v>3</v>
      </c>
      <c r="T1237" s="57" t="str">
        <f t="shared" si="58"/>
        <v>0-3 Days</v>
      </c>
      <c r="U1237" s="58" t="str">
        <f t="shared" si="59"/>
        <v>Normal</v>
      </c>
    </row>
    <row r="1238" spans="1:21" ht="23.25" customHeight="1" x14ac:dyDescent="0.35">
      <c r="A1238" t="s">
        <v>2263</v>
      </c>
      <c r="B1238" t="s">
        <v>2263</v>
      </c>
      <c r="C1238">
        <v>2050</v>
      </c>
      <c r="D1238">
        <v>0</v>
      </c>
      <c r="E1238" t="s">
        <v>2885</v>
      </c>
      <c r="F1238" t="s">
        <v>57</v>
      </c>
      <c r="G1238" t="s">
        <v>57</v>
      </c>
      <c r="H1238" t="s">
        <v>2886</v>
      </c>
      <c r="I1238"/>
      <c r="J1238"/>
      <c r="K1238"/>
      <c r="L1238"/>
      <c r="M1238"/>
      <c r="N1238"/>
      <c r="O1238"/>
      <c r="P1238"/>
      <c r="Q1238"/>
      <c r="R1238"/>
      <c r="S1238" s="56">
        <f t="shared" si="57"/>
        <v>3</v>
      </c>
      <c r="T1238" s="57" t="str">
        <f t="shared" si="58"/>
        <v>0-3 Days</v>
      </c>
      <c r="U1238" s="58" t="str">
        <f t="shared" si="59"/>
        <v>Normal</v>
      </c>
    </row>
    <row r="1239" spans="1:21" ht="23.25" customHeight="1" x14ac:dyDescent="0.35">
      <c r="A1239" t="s">
        <v>2263</v>
      </c>
      <c r="B1239" t="s">
        <v>2263</v>
      </c>
      <c r="C1239">
        <v>250</v>
      </c>
      <c r="D1239">
        <v>0</v>
      </c>
      <c r="E1239" t="s">
        <v>2887</v>
      </c>
      <c r="F1239" t="s">
        <v>57</v>
      </c>
      <c r="G1239" t="s">
        <v>57</v>
      </c>
      <c r="H1239" t="s">
        <v>2888</v>
      </c>
      <c r="I1239"/>
      <c r="J1239"/>
      <c r="K1239"/>
      <c r="L1239"/>
      <c r="M1239"/>
      <c r="N1239"/>
      <c r="O1239"/>
      <c r="P1239"/>
      <c r="Q1239"/>
      <c r="R1239"/>
      <c r="S1239" s="56">
        <f t="shared" si="57"/>
        <v>3</v>
      </c>
      <c r="T1239" s="57" t="str">
        <f t="shared" si="58"/>
        <v>0-3 Days</v>
      </c>
      <c r="U1239" s="58" t="str">
        <f t="shared" si="59"/>
        <v>Normal</v>
      </c>
    </row>
    <row r="1240" spans="1:21" ht="23.25" customHeight="1" x14ac:dyDescent="0.35">
      <c r="A1240" t="s">
        <v>2263</v>
      </c>
      <c r="B1240" t="s">
        <v>2263</v>
      </c>
      <c r="C1240">
        <v>2050</v>
      </c>
      <c r="D1240">
        <v>0</v>
      </c>
      <c r="E1240" t="s">
        <v>2889</v>
      </c>
      <c r="F1240" t="s">
        <v>57</v>
      </c>
      <c r="G1240" t="s">
        <v>57</v>
      </c>
      <c r="H1240" t="s">
        <v>2890</v>
      </c>
      <c r="I1240"/>
      <c r="J1240"/>
      <c r="K1240"/>
      <c r="L1240"/>
      <c r="M1240"/>
      <c r="N1240"/>
      <c r="O1240"/>
      <c r="P1240"/>
      <c r="Q1240"/>
      <c r="R1240"/>
      <c r="S1240" s="56">
        <f t="shared" si="57"/>
        <v>3</v>
      </c>
      <c r="T1240" s="57" t="str">
        <f t="shared" si="58"/>
        <v>0-3 Days</v>
      </c>
      <c r="U1240" s="58" t="str">
        <f t="shared" si="59"/>
        <v>Normal</v>
      </c>
    </row>
    <row r="1241" spans="1:21" ht="23.25" customHeight="1" x14ac:dyDescent="0.35">
      <c r="A1241" t="s">
        <v>2263</v>
      </c>
      <c r="B1241" t="s">
        <v>2263</v>
      </c>
      <c r="C1241">
        <v>550</v>
      </c>
      <c r="D1241">
        <v>0</v>
      </c>
      <c r="E1241" t="s">
        <v>2891</v>
      </c>
      <c r="F1241" t="s">
        <v>57</v>
      </c>
      <c r="G1241" t="s">
        <v>57</v>
      </c>
      <c r="H1241" t="s">
        <v>2892</v>
      </c>
      <c r="I1241"/>
      <c r="J1241"/>
      <c r="K1241"/>
      <c r="L1241"/>
      <c r="M1241"/>
      <c r="N1241"/>
      <c r="O1241"/>
      <c r="P1241"/>
      <c r="Q1241"/>
      <c r="R1241"/>
      <c r="S1241" s="56">
        <f t="shared" si="57"/>
        <v>3</v>
      </c>
      <c r="T1241" s="57" t="str">
        <f t="shared" si="58"/>
        <v>0-3 Days</v>
      </c>
      <c r="U1241" s="58" t="str">
        <f t="shared" si="59"/>
        <v>Normal</v>
      </c>
    </row>
    <row r="1242" spans="1:21" ht="23.25" customHeight="1" x14ac:dyDescent="0.35">
      <c r="A1242" t="s">
        <v>2263</v>
      </c>
      <c r="B1242" t="s">
        <v>2263</v>
      </c>
      <c r="C1242">
        <v>1000</v>
      </c>
      <c r="D1242">
        <v>0</v>
      </c>
      <c r="E1242" t="s">
        <v>2893</v>
      </c>
      <c r="F1242" t="s">
        <v>57</v>
      </c>
      <c r="G1242" t="s">
        <v>57</v>
      </c>
      <c r="H1242" t="s">
        <v>2894</v>
      </c>
      <c r="I1242"/>
      <c r="J1242"/>
      <c r="K1242"/>
      <c r="L1242"/>
      <c r="M1242"/>
      <c r="N1242"/>
      <c r="O1242"/>
      <c r="P1242"/>
      <c r="Q1242"/>
      <c r="R1242"/>
      <c r="S1242" s="56">
        <f t="shared" si="57"/>
        <v>3</v>
      </c>
      <c r="T1242" s="57" t="str">
        <f t="shared" si="58"/>
        <v>0-3 Days</v>
      </c>
      <c r="U1242" s="58" t="str">
        <f t="shared" si="59"/>
        <v>Normal</v>
      </c>
    </row>
    <row r="1243" spans="1:21" ht="23.25" customHeight="1" x14ac:dyDescent="0.35">
      <c r="A1243" t="s">
        <v>2263</v>
      </c>
      <c r="B1243" t="s">
        <v>2263</v>
      </c>
      <c r="C1243">
        <v>1000</v>
      </c>
      <c r="D1243">
        <v>0</v>
      </c>
      <c r="E1243" t="s">
        <v>2895</v>
      </c>
      <c r="F1243" t="s">
        <v>57</v>
      </c>
      <c r="G1243" t="s">
        <v>57</v>
      </c>
      <c r="H1243" t="s">
        <v>2896</v>
      </c>
      <c r="I1243"/>
      <c r="J1243"/>
      <c r="K1243"/>
      <c r="L1243"/>
      <c r="M1243"/>
      <c r="N1243"/>
      <c r="O1243"/>
      <c r="P1243"/>
      <c r="Q1243"/>
      <c r="R1243"/>
      <c r="S1243" s="56">
        <f t="shared" si="57"/>
        <v>3</v>
      </c>
      <c r="T1243" s="57" t="str">
        <f t="shared" si="58"/>
        <v>0-3 Days</v>
      </c>
      <c r="U1243" s="58" t="str">
        <f t="shared" si="59"/>
        <v>Normal</v>
      </c>
    </row>
    <row r="1244" spans="1:21" ht="23.25" customHeight="1" x14ac:dyDescent="0.35">
      <c r="A1244" t="s">
        <v>2263</v>
      </c>
      <c r="B1244" t="s">
        <v>2263</v>
      </c>
      <c r="C1244">
        <v>205</v>
      </c>
      <c r="D1244">
        <v>0</v>
      </c>
      <c r="E1244" t="s">
        <v>2897</v>
      </c>
      <c r="F1244" t="s">
        <v>57</v>
      </c>
      <c r="G1244" t="s">
        <v>57</v>
      </c>
      <c r="H1244" t="s">
        <v>2898</v>
      </c>
      <c r="I1244"/>
      <c r="J1244"/>
      <c r="K1244"/>
      <c r="L1244"/>
      <c r="M1244"/>
      <c r="N1244"/>
      <c r="O1244"/>
      <c r="P1244"/>
      <c r="Q1244"/>
      <c r="R1244"/>
      <c r="S1244" s="56">
        <f t="shared" si="57"/>
        <v>3</v>
      </c>
      <c r="T1244" s="57" t="str">
        <f t="shared" si="58"/>
        <v>0-3 Days</v>
      </c>
      <c r="U1244" s="58" t="str">
        <f t="shared" si="59"/>
        <v>Normal</v>
      </c>
    </row>
    <row r="1245" spans="1:21" ht="23.25" customHeight="1" x14ac:dyDescent="0.35">
      <c r="A1245" t="s">
        <v>2263</v>
      </c>
      <c r="B1245" t="s">
        <v>2263</v>
      </c>
      <c r="C1245">
        <v>244</v>
      </c>
      <c r="D1245">
        <v>0</v>
      </c>
      <c r="E1245" t="s">
        <v>2899</v>
      </c>
      <c r="F1245" t="s">
        <v>57</v>
      </c>
      <c r="G1245" t="s">
        <v>57</v>
      </c>
      <c r="H1245" t="s">
        <v>2900</v>
      </c>
      <c r="I1245"/>
      <c r="J1245"/>
      <c r="K1245"/>
      <c r="L1245"/>
      <c r="M1245"/>
      <c r="N1245"/>
      <c r="O1245"/>
      <c r="P1245"/>
      <c r="Q1245"/>
      <c r="R1245"/>
      <c r="S1245" s="56">
        <f t="shared" si="57"/>
        <v>3</v>
      </c>
      <c r="T1245" s="57" t="str">
        <f t="shared" si="58"/>
        <v>0-3 Days</v>
      </c>
      <c r="U1245" s="58" t="str">
        <f t="shared" si="59"/>
        <v>Normal</v>
      </c>
    </row>
    <row r="1246" spans="1:21" ht="23.25" customHeight="1" x14ac:dyDescent="0.35">
      <c r="A1246" t="s">
        <v>2263</v>
      </c>
      <c r="B1246" t="s">
        <v>2263</v>
      </c>
      <c r="C1246">
        <v>2050</v>
      </c>
      <c r="D1246">
        <v>0</v>
      </c>
      <c r="E1246" t="s">
        <v>2901</v>
      </c>
      <c r="F1246" t="s">
        <v>57</v>
      </c>
      <c r="G1246" t="s">
        <v>57</v>
      </c>
      <c r="H1246" t="s">
        <v>2902</v>
      </c>
      <c r="I1246"/>
      <c r="J1246"/>
      <c r="K1246"/>
      <c r="L1246"/>
      <c r="M1246"/>
      <c r="N1246"/>
      <c r="O1246"/>
      <c r="P1246"/>
      <c r="Q1246"/>
      <c r="R1246"/>
      <c r="S1246" s="56">
        <f t="shared" si="57"/>
        <v>3</v>
      </c>
      <c r="T1246" s="57" t="str">
        <f t="shared" si="58"/>
        <v>0-3 Days</v>
      </c>
      <c r="U1246" s="58" t="str">
        <f t="shared" si="59"/>
        <v>Normal</v>
      </c>
    </row>
    <row r="1247" spans="1:21" ht="23.25" customHeight="1" x14ac:dyDescent="0.35">
      <c r="A1247" t="s">
        <v>2263</v>
      </c>
      <c r="B1247" t="s">
        <v>2263</v>
      </c>
      <c r="C1247">
        <v>2050</v>
      </c>
      <c r="D1247">
        <v>0</v>
      </c>
      <c r="E1247" t="s">
        <v>2903</v>
      </c>
      <c r="F1247" t="s">
        <v>57</v>
      </c>
      <c r="G1247" t="s">
        <v>57</v>
      </c>
      <c r="H1247" t="s">
        <v>2904</v>
      </c>
      <c r="I1247"/>
      <c r="J1247"/>
      <c r="K1247"/>
      <c r="L1247"/>
      <c r="M1247"/>
      <c r="N1247"/>
      <c r="O1247"/>
      <c r="P1247"/>
      <c r="Q1247"/>
      <c r="R1247"/>
      <c r="S1247" s="56">
        <f t="shared" si="57"/>
        <v>3</v>
      </c>
      <c r="T1247" s="57" t="str">
        <f t="shared" si="58"/>
        <v>0-3 Days</v>
      </c>
      <c r="U1247" s="58" t="str">
        <f t="shared" si="59"/>
        <v>Normal</v>
      </c>
    </row>
    <row r="1248" spans="1:21" ht="23.25" customHeight="1" x14ac:dyDescent="0.35">
      <c r="A1248" t="s">
        <v>2263</v>
      </c>
      <c r="B1248" t="s">
        <v>2263</v>
      </c>
      <c r="C1248">
        <v>1000</v>
      </c>
      <c r="D1248">
        <v>0</v>
      </c>
      <c r="E1248" t="s">
        <v>2905</v>
      </c>
      <c r="F1248" t="s">
        <v>57</v>
      </c>
      <c r="G1248" t="s">
        <v>57</v>
      </c>
      <c r="H1248" t="s">
        <v>2906</v>
      </c>
      <c r="I1248"/>
      <c r="J1248"/>
      <c r="K1248"/>
      <c r="L1248"/>
      <c r="M1248"/>
      <c r="N1248"/>
      <c r="O1248"/>
      <c r="P1248"/>
      <c r="Q1248"/>
      <c r="R1248"/>
      <c r="S1248" s="56">
        <f t="shared" si="57"/>
        <v>3</v>
      </c>
      <c r="T1248" s="57" t="str">
        <f t="shared" si="58"/>
        <v>0-3 Days</v>
      </c>
      <c r="U1248" s="58" t="str">
        <f t="shared" si="59"/>
        <v>Normal</v>
      </c>
    </row>
    <row r="1249" spans="1:21" ht="23.25" customHeight="1" x14ac:dyDescent="0.35">
      <c r="A1249" t="s">
        <v>2263</v>
      </c>
      <c r="B1249" t="s">
        <v>2263</v>
      </c>
      <c r="C1249">
        <v>1416</v>
      </c>
      <c r="D1249">
        <v>0</v>
      </c>
      <c r="E1249" t="s">
        <v>2907</v>
      </c>
      <c r="F1249" t="s">
        <v>57</v>
      </c>
      <c r="G1249" t="s">
        <v>57</v>
      </c>
      <c r="H1249" t="s">
        <v>2908</v>
      </c>
      <c r="I1249"/>
      <c r="J1249"/>
      <c r="K1249"/>
      <c r="L1249"/>
      <c r="M1249"/>
      <c r="N1249"/>
      <c r="O1249"/>
      <c r="P1249"/>
      <c r="Q1249"/>
      <c r="R1249"/>
      <c r="S1249" s="56">
        <f t="shared" si="57"/>
        <v>3</v>
      </c>
      <c r="T1249" s="57" t="str">
        <f t="shared" si="58"/>
        <v>0-3 Days</v>
      </c>
      <c r="U1249" s="58" t="str">
        <f t="shared" si="59"/>
        <v>Normal</v>
      </c>
    </row>
    <row r="1250" spans="1:21" ht="23.25" customHeight="1" x14ac:dyDescent="0.35">
      <c r="A1250" t="s">
        <v>2263</v>
      </c>
      <c r="B1250" t="s">
        <v>2263</v>
      </c>
      <c r="C1250">
        <v>250</v>
      </c>
      <c r="D1250">
        <v>0</v>
      </c>
      <c r="E1250" t="s">
        <v>2909</v>
      </c>
      <c r="F1250" t="s">
        <v>57</v>
      </c>
      <c r="G1250" t="s">
        <v>57</v>
      </c>
      <c r="H1250" t="s">
        <v>2910</v>
      </c>
      <c r="I1250"/>
      <c r="J1250"/>
      <c r="K1250"/>
      <c r="L1250"/>
      <c r="M1250"/>
      <c r="N1250"/>
      <c r="O1250"/>
      <c r="P1250"/>
      <c r="Q1250"/>
      <c r="R1250"/>
      <c r="S1250" s="56">
        <f t="shared" si="57"/>
        <v>3</v>
      </c>
      <c r="T1250" s="57" t="str">
        <f t="shared" si="58"/>
        <v>0-3 Days</v>
      </c>
      <c r="U1250" s="58" t="str">
        <f t="shared" si="59"/>
        <v>Normal</v>
      </c>
    </row>
    <row r="1251" spans="1:21" ht="23.25" customHeight="1" x14ac:dyDescent="0.35">
      <c r="A1251" t="s">
        <v>2263</v>
      </c>
      <c r="B1251" t="s">
        <v>2263</v>
      </c>
      <c r="C1251">
        <v>2050</v>
      </c>
      <c r="D1251">
        <v>0</v>
      </c>
      <c r="E1251" t="s">
        <v>2911</v>
      </c>
      <c r="F1251" t="s">
        <v>57</v>
      </c>
      <c r="G1251" t="s">
        <v>57</v>
      </c>
      <c r="H1251" t="s">
        <v>2912</v>
      </c>
      <c r="I1251"/>
      <c r="J1251"/>
      <c r="K1251"/>
      <c r="L1251"/>
      <c r="M1251"/>
      <c r="N1251"/>
      <c r="O1251"/>
      <c r="P1251"/>
      <c r="Q1251"/>
      <c r="R1251"/>
      <c r="S1251" s="56">
        <f t="shared" si="57"/>
        <v>3</v>
      </c>
      <c r="T1251" s="57" t="str">
        <f t="shared" si="58"/>
        <v>0-3 Days</v>
      </c>
      <c r="U1251" s="58" t="str">
        <f t="shared" si="59"/>
        <v>Normal</v>
      </c>
    </row>
    <row r="1252" spans="1:21" ht="23.25" customHeight="1" x14ac:dyDescent="0.35">
      <c r="A1252" t="s">
        <v>2263</v>
      </c>
      <c r="B1252" t="s">
        <v>2263</v>
      </c>
      <c r="C1252">
        <v>2055</v>
      </c>
      <c r="D1252">
        <v>0</v>
      </c>
      <c r="E1252" t="s">
        <v>2913</v>
      </c>
      <c r="F1252" t="s">
        <v>57</v>
      </c>
      <c r="G1252" t="s">
        <v>57</v>
      </c>
      <c r="H1252" t="s">
        <v>2914</v>
      </c>
      <c r="I1252"/>
      <c r="J1252"/>
      <c r="K1252"/>
      <c r="L1252"/>
      <c r="M1252"/>
      <c r="N1252"/>
      <c r="O1252"/>
      <c r="P1252"/>
      <c r="Q1252"/>
      <c r="R1252"/>
      <c r="S1252" s="56">
        <f t="shared" si="57"/>
        <v>3</v>
      </c>
      <c r="T1252" s="57" t="str">
        <f t="shared" si="58"/>
        <v>0-3 Days</v>
      </c>
      <c r="U1252" s="58" t="str">
        <f t="shared" si="59"/>
        <v>Normal</v>
      </c>
    </row>
    <row r="1253" spans="1:21" ht="23.25" customHeight="1" x14ac:dyDescent="0.35">
      <c r="A1253" t="s">
        <v>2263</v>
      </c>
      <c r="B1253" t="s">
        <v>2263</v>
      </c>
      <c r="C1253">
        <v>1524</v>
      </c>
      <c r="D1253">
        <v>0</v>
      </c>
      <c r="E1253" t="s">
        <v>2915</v>
      </c>
      <c r="F1253" t="s">
        <v>57</v>
      </c>
      <c r="G1253" t="s">
        <v>57</v>
      </c>
      <c r="H1253" t="s">
        <v>2916</v>
      </c>
      <c r="I1253"/>
      <c r="J1253"/>
      <c r="K1253"/>
      <c r="L1253"/>
      <c r="M1253"/>
      <c r="N1253"/>
      <c r="O1253"/>
      <c r="P1253"/>
      <c r="Q1253"/>
      <c r="R1253"/>
      <c r="S1253" s="56">
        <f t="shared" si="57"/>
        <v>3</v>
      </c>
      <c r="T1253" s="57" t="str">
        <f t="shared" si="58"/>
        <v>0-3 Days</v>
      </c>
      <c r="U1253" s="58" t="str">
        <f t="shared" si="59"/>
        <v>Normal</v>
      </c>
    </row>
    <row r="1254" spans="1:21" ht="23.25" customHeight="1" x14ac:dyDescent="0.35">
      <c r="A1254" t="s">
        <v>2263</v>
      </c>
      <c r="B1254" t="s">
        <v>2263</v>
      </c>
      <c r="C1254">
        <v>244</v>
      </c>
      <c r="D1254">
        <v>0</v>
      </c>
      <c r="E1254" t="s">
        <v>2917</v>
      </c>
      <c r="F1254" t="s">
        <v>57</v>
      </c>
      <c r="G1254" t="s">
        <v>57</v>
      </c>
      <c r="H1254" t="s">
        <v>2918</v>
      </c>
      <c r="I1254"/>
      <c r="J1254"/>
      <c r="K1254"/>
      <c r="L1254"/>
      <c r="M1254"/>
      <c r="N1254"/>
      <c r="O1254"/>
      <c r="P1254"/>
      <c r="Q1254"/>
      <c r="R1254"/>
      <c r="S1254" s="56">
        <f t="shared" si="57"/>
        <v>3</v>
      </c>
      <c r="T1254" s="57" t="str">
        <f t="shared" si="58"/>
        <v>0-3 Days</v>
      </c>
      <c r="U1254" s="58" t="str">
        <f t="shared" si="59"/>
        <v>Normal</v>
      </c>
    </row>
    <row r="1255" spans="1:21" ht="23.25" customHeight="1" x14ac:dyDescent="0.35">
      <c r="A1255" t="s">
        <v>2263</v>
      </c>
      <c r="B1255" t="s">
        <v>2263</v>
      </c>
      <c r="C1255">
        <v>608</v>
      </c>
      <c r="D1255">
        <v>0</v>
      </c>
      <c r="E1255" t="s">
        <v>2919</v>
      </c>
      <c r="F1255" t="s">
        <v>57</v>
      </c>
      <c r="G1255" t="s">
        <v>57</v>
      </c>
      <c r="H1255" t="s">
        <v>2920</v>
      </c>
      <c r="I1255"/>
      <c r="J1255"/>
      <c r="K1255"/>
      <c r="L1255"/>
      <c r="M1255"/>
      <c r="N1255"/>
      <c r="O1255"/>
      <c r="P1255"/>
      <c r="Q1255"/>
      <c r="R1255"/>
      <c r="S1255" s="56">
        <f t="shared" si="57"/>
        <v>3</v>
      </c>
      <c r="T1255" s="57" t="str">
        <f t="shared" si="58"/>
        <v>0-3 Days</v>
      </c>
      <c r="U1255" s="58" t="str">
        <f t="shared" si="59"/>
        <v>Normal</v>
      </c>
    </row>
    <row r="1256" spans="1:21" ht="23.25" customHeight="1" x14ac:dyDescent="0.35">
      <c r="A1256" t="s">
        <v>2263</v>
      </c>
      <c r="B1256" t="s">
        <v>2263</v>
      </c>
      <c r="C1256">
        <v>1000</v>
      </c>
      <c r="D1256">
        <v>0</v>
      </c>
      <c r="E1256" t="s">
        <v>2921</v>
      </c>
      <c r="F1256" t="s">
        <v>57</v>
      </c>
      <c r="G1256" t="s">
        <v>57</v>
      </c>
      <c r="H1256" t="s">
        <v>2922</v>
      </c>
      <c r="I1256"/>
      <c r="J1256"/>
      <c r="K1256"/>
      <c r="L1256"/>
      <c r="M1256"/>
      <c r="N1256"/>
      <c r="O1256"/>
      <c r="P1256"/>
      <c r="Q1256"/>
      <c r="R1256"/>
      <c r="S1256" s="56">
        <f t="shared" si="57"/>
        <v>3</v>
      </c>
      <c r="T1256" s="57" t="str">
        <f t="shared" si="58"/>
        <v>0-3 Days</v>
      </c>
      <c r="U1256" s="58" t="str">
        <f t="shared" si="59"/>
        <v>Normal</v>
      </c>
    </row>
    <row r="1257" spans="1:21" ht="23.25" customHeight="1" x14ac:dyDescent="0.35">
      <c r="A1257" t="s">
        <v>2263</v>
      </c>
      <c r="B1257" t="s">
        <v>2263</v>
      </c>
      <c r="C1257">
        <v>1000</v>
      </c>
      <c r="D1257">
        <v>0</v>
      </c>
      <c r="E1257" t="s">
        <v>2923</v>
      </c>
      <c r="F1257" t="s">
        <v>57</v>
      </c>
      <c r="G1257" t="s">
        <v>57</v>
      </c>
      <c r="H1257" t="s">
        <v>2924</v>
      </c>
      <c r="I1257"/>
      <c r="J1257"/>
      <c r="K1257"/>
      <c r="L1257"/>
      <c r="M1257"/>
      <c r="N1257"/>
      <c r="O1257"/>
      <c r="P1257"/>
      <c r="Q1257"/>
      <c r="R1257"/>
      <c r="S1257" s="56">
        <f t="shared" si="57"/>
        <v>3</v>
      </c>
      <c r="T1257" s="57" t="str">
        <f t="shared" si="58"/>
        <v>0-3 Days</v>
      </c>
      <c r="U1257" s="58" t="str">
        <f t="shared" si="59"/>
        <v>Normal</v>
      </c>
    </row>
    <row r="1258" spans="1:21" ht="23.25" customHeight="1" x14ac:dyDescent="0.35">
      <c r="A1258" t="s">
        <v>2263</v>
      </c>
      <c r="B1258" t="s">
        <v>2263</v>
      </c>
      <c r="C1258">
        <v>216</v>
      </c>
      <c r="D1258">
        <v>0</v>
      </c>
      <c r="E1258" t="s">
        <v>2925</v>
      </c>
      <c r="F1258" t="s">
        <v>57</v>
      </c>
      <c r="G1258" t="s">
        <v>57</v>
      </c>
      <c r="H1258" t="s">
        <v>2926</v>
      </c>
      <c r="I1258"/>
      <c r="J1258"/>
      <c r="K1258"/>
      <c r="L1258"/>
      <c r="M1258"/>
      <c r="N1258"/>
      <c r="O1258"/>
      <c r="P1258"/>
      <c r="Q1258"/>
      <c r="R1258"/>
      <c r="S1258" s="56">
        <f t="shared" si="57"/>
        <v>3</v>
      </c>
      <c r="T1258" s="57" t="str">
        <f t="shared" si="58"/>
        <v>0-3 Days</v>
      </c>
      <c r="U1258" s="58" t="str">
        <f t="shared" si="59"/>
        <v>Normal</v>
      </c>
    </row>
    <row r="1259" spans="1:21" ht="23.25" customHeight="1" x14ac:dyDescent="0.35">
      <c r="A1259" t="s">
        <v>2263</v>
      </c>
      <c r="B1259" t="s">
        <v>2263</v>
      </c>
      <c r="C1259">
        <v>0</v>
      </c>
      <c r="D1259">
        <v>1000</v>
      </c>
      <c r="E1259" t="s">
        <v>2927</v>
      </c>
      <c r="F1259" t="s">
        <v>57</v>
      </c>
      <c r="G1259" t="s">
        <v>57</v>
      </c>
      <c r="H1259" t="s">
        <v>2928</v>
      </c>
      <c r="I1259"/>
      <c r="J1259"/>
      <c r="K1259"/>
      <c r="L1259"/>
      <c r="M1259"/>
      <c r="N1259"/>
      <c r="O1259"/>
      <c r="P1259"/>
      <c r="Q1259"/>
      <c r="R1259"/>
      <c r="S1259" s="56">
        <f t="shared" si="57"/>
        <v>3</v>
      </c>
      <c r="T1259" s="57" t="str">
        <f t="shared" si="58"/>
        <v>0-3 Days</v>
      </c>
      <c r="U1259" s="58" t="str">
        <f t="shared" si="59"/>
        <v>Not Applicable</v>
      </c>
    </row>
    <row r="1260" spans="1:21" ht="23.25" customHeight="1" x14ac:dyDescent="0.35">
      <c r="A1260" t="s">
        <v>2263</v>
      </c>
      <c r="B1260" t="s">
        <v>2263</v>
      </c>
      <c r="C1260">
        <v>1000</v>
      </c>
      <c r="D1260">
        <v>0</v>
      </c>
      <c r="E1260" t="s">
        <v>2929</v>
      </c>
      <c r="F1260" t="s">
        <v>57</v>
      </c>
      <c r="G1260" t="s">
        <v>57</v>
      </c>
      <c r="H1260" t="s">
        <v>2930</v>
      </c>
      <c r="I1260"/>
      <c r="J1260"/>
      <c r="K1260"/>
      <c r="L1260"/>
      <c r="M1260"/>
      <c r="N1260"/>
      <c r="O1260"/>
      <c r="P1260"/>
      <c r="Q1260"/>
      <c r="R1260"/>
      <c r="S1260" s="56">
        <f t="shared" si="57"/>
        <v>3</v>
      </c>
      <c r="T1260" s="57" t="str">
        <f t="shared" si="58"/>
        <v>0-3 Days</v>
      </c>
      <c r="U1260" s="58" t="str">
        <f t="shared" si="59"/>
        <v>Normal</v>
      </c>
    </row>
    <row r="1261" spans="1:21" ht="23.25" customHeight="1" x14ac:dyDescent="0.35">
      <c r="A1261" t="s">
        <v>2263</v>
      </c>
      <c r="B1261" t="s">
        <v>2263</v>
      </c>
      <c r="C1261">
        <v>1000</v>
      </c>
      <c r="D1261">
        <v>0</v>
      </c>
      <c r="E1261" t="s">
        <v>2931</v>
      </c>
      <c r="F1261" t="s">
        <v>57</v>
      </c>
      <c r="G1261" t="s">
        <v>57</v>
      </c>
      <c r="H1261" t="s">
        <v>2932</v>
      </c>
      <c r="I1261"/>
      <c r="J1261"/>
      <c r="K1261"/>
      <c r="L1261"/>
      <c r="M1261"/>
      <c r="N1261"/>
      <c r="O1261"/>
      <c r="P1261"/>
      <c r="Q1261"/>
      <c r="R1261"/>
      <c r="S1261" s="56">
        <f t="shared" si="57"/>
        <v>3</v>
      </c>
      <c r="T1261" s="57" t="str">
        <f t="shared" si="58"/>
        <v>0-3 Days</v>
      </c>
      <c r="U1261" s="58" t="str">
        <f t="shared" si="59"/>
        <v>Normal</v>
      </c>
    </row>
    <row r="1262" spans="1:21" ht="23.25" customHeight="1" x14ac:dyDescent="0.35">
      <c r="A1262" t="s">
        <v>2263</v>
      </c>
      <c r="B1262" t="s">
        <v>2263</v>
      </c>
      <c r="C1262">
        <v>1000</v>
      </c>
      <c r="D1262">
        <v>0</v>
      </c>
      <c r="E1262" t="s">
        <v>2933</v>
      </c>
      <c r="F1262" t="s">
        <v>57</v>
      </c>
      <c r="G1262" t="s">
        <v>57</v>
      </c>
      <c r="H1262" t="s">
        <v>2934</v>
      </c>
      <c r="I1262"/>
      <c r="J1262"/>
      <c r="K1262"/>
      <c r="L1262"/>
      <c r="M1262"/>
      <c r="N1262"/>
      <c r="O1262"/>
      <c r="P1262"/>
      <c r="Q1262"/>
      <c r="R1262"/>
      <c r="S1262" s="56">
        <f t="shared" si="57"/>
        <v>3</v>
      </c>
      <c r="T1262" s="57" t="str">
        <f t="shared" si="58"/>
        <v>0-3 Days</v>
      </c>
      <c r="U1262" s="58" t="str">
        <f t="shared" si="59"/>
        <v>Normal</v>
      </c>
    </row>
    <row r="1263" spans="1:21" ht="23.25" customHeight="1" x14ac:dyDescent="0.35">
      <c r="A1263" t="s">
        <v>2263</v>
      </c>
      <c r="B1263" t="s">
        <v>2263</v>
      </c>
      <c r="C1263">
        <v>2050</v>
      </c>
      <c r="D1263">
        <v>0</v>
      </c>
      <c r="E1263" t="s">
        <v>2935</v>
      </c>
      <c r="F1263" t="s">
        <v>57</v>
      </c>
      <c r="G1263" t="s">
        <v>57</v>
      </c>
      <c r="H1263" t="s">
        <v>2936</v>
      </c>
      <c r="I1263"/>
      <c r="J1263"/>
      <c r="K1263"/>
      <c r="L1263"/>
      <c r="M1263"/>
      <c r="N1263"/>
      <c r="O1263"/>
      <c r="P1263"/>
      <c r="Q1263"/>
      <c r="R1263"/>
      <c r="S1263" s="56">
        <f t="shared" si="57"/>
        <v>3</v>
      </c>
      <c r="T1263" s="57" t="str">
        <f t="shared" si="58"/>
        <v>0-3 Days</v>
      </c>
      <c r="U1263" s="58" t="str">
        <f t="shared" si="59"/>
        <v>Normal</v>
      </c>
    </row>
    <row r="1264" spans="1:21" ht="23.25" customHeight="1" x14ac:dyDescent="0.35">
      <c r="A1264" t="s">
        <v>2263</v>
      </c>
      <c r="B1264" t="s">
        <v>2263</v>
      </c>
      <c r="C1264">
        <v>2650</v>
      </c>
      <c r="D1264">
        <v>0</v>
      </c>
      <c r="E1264" t="s">
        <v>2937</v>
      </c>
      <c r="F1264" t="s">
        <v>57</v>
      </c>
      <c r="G1264" t="s">
        <v>57</v>
      </c>
      <c r="H1264" t="s">
        <v>2938</v>
      </c>
      <c r="I1264"/>
      <c r="J1264"/>
      <c r="K1264"/>
      <c r="L1264"/>
      <c r="M1264"/>
      <c r="N1264"/>
      <c r="O1264"/>
      <c r="P1264"/>
      <c r="Q1264"/>
      <c r="R1264"/>
      <c r="S1264" s="56">
        <f t="shared" si="57"/>
        <v>3</v>
      </c>
      <c r="T1264" s="57" t="str">
        <f t="shared" si="58"/>
        <v>0-3 Days</v>
      </c>
      <c r="U1264" s="58" t="str">
        <f t="shared" si="59"/>
        <v>Normal</v>
      </c>
    </row>
    <row r="1265" spans="1:21" ht="23.25" customHeight="1" x14ac:dyDescent="0.35">
      <c r="A1265" t="s">
        <v>2263</v>
      </c>
      <c r="B1265" t="s">
        <v>2263</v>
      </c>
      <c r="C1265">
        <v>1000</v>
      </c>
      <c r="D1265">
        <v>0</v>
      </c>
      <c r="E1265" t="s">
        <v>2939</v>
      </c>
      <c r="F1265" t="s">
        <v>57</v>
      </c>
      <c r="G1265" t="s">
        <v>57</v>
      </c>
      <c r="H1265" t="s">
        <v>2940</v>
      </c>
      <c r="I1265"/>
      <c r="J1265"/>
      <c r="K1265"/>
      <c r="L1265"/>
      <c r="M1265"/>
      <c r="N1265"/>
      <c r="O1265"/>
      <c r="P1265"/>
      <c r="Q1265"/>
      <c r="R1265"/>
      <c r="S1265" s="56">
        <f t="shared" si="57"/>
        <v>3</v>
      </c>
      <c r="T1265" s="57" t="str">
        <f t="shared" si="58"/>
        <v>0-3 Days</v>
      </c>
      <c r="U1265" s="58" t="str">
        <f t="shared" si="59"/>
        <v>Normal</v>
      </c>
    </row>
    <row r="1266" spans="1:21" ht="23.25" customHeight="1" x14ac:dyDescent="0.35">
      <c r="A1266" t="s">
        <v>2263</v>
      </c>
      <c r="B1266" t="s">
        <v>2263</v>
      </c>
      <c r="C1266">
        <v>2650</v>
      </c>
      <c r="D1266">
        <v>0</v>
      </c>
      <c r="E1266" t="s">
        <v>2941</v>
      </c>
      <c r="F1266" t="s">
        <v>57</v>
      </c>
      <c r="G1266" t="s">
        <v>57</v>
      </c>
      <c r="H1266" t="s">
        <v>2942</v>
      </c>
      <c r="I1266"/>
      <c r="J1266"/>
      <c r="K1266"/>
      <c r="L1266"/>
      <c r="M1266"/>
      <c r="N1266"/>
      <c r="O1266"/>
      <c r="P1266"/>
      <c r="Q1266"/>
      <c r="R1266"/>
      <c r="S1266" s="56">
        <f t="shared" si="57"/>
        <v>3</v>
      </c>
      <c r="T1266" s="57" t="str">
        <f t="shared" si="58"/>
        <v>0-3 Days</v>
      </c>
      <c r="U1266" s="58" t="str">
        <f t="shared" si="59"/>
        <v>Normal</v>
      </c>
    </row>
    <row r="1267" spans="1:21" ht="23.25" customHeight="1" x14ac:dyDescent="0.35">
      <c r="A1267" t="s">
        <v>2263</v>
      </c>
      <c r="B1267" t="s">
        <v>2263</v>
      </c>
      <c r="C1267">
        <v>836</v>
      </c>
      <c r="D1267">
        <v>0</v>
      </c>
      <c r="E1267" t="s">
        <v>2943</v>
      </c>
      <c r="F1267" t="s">
        <v>57</v>
      </c>
      <c r="G1267" t="s">
        <v>57</v>
      </c>
      <c r="H1267" t="s">
        <v>2944</v>
      </c>
      <c r="I1267"/>
      <c r="J1267"/>
      <c r="K1267"/>
      <c r="L1267"/>
      <c r="M1267"/>
      <c r="N1267"/>
      <c r="O1267"/>
      <c r="P1267"/>
      <c r="Q1267"/>
      <c r="R1267"/>
      <c r="S1267" s="56">
        <f t="shared" si="57"/>
        <v>3</v>
      </c>
      <c r="T1267" s="57" t="str">
        <f t="shared" si="58"/>
        <v>0-3 Days</v>
      </c>
      <c r="U1267" s="58" t="str">
        <f t="shared" si="59"/>
        <v>Normal</v>
      </c>
    </row>
    <row r="1268" spans="1:21" ht="23.25" customHeight="1" x14ac:dyDescent="0.35">
      <c r="A1268" t="s">
        <v>2263</v>
      </c>
      <c r="B1268" t="s">
        <v>2263</v>
      </c>
      <c r="C1268">
        <v>2050</v>
      </c>
      <c r="D1268">
        <v>0</v>
      </c>
      <c r="E1268" t="s">
        <v>2945</v>
      </c>
      <c r="F1268" t="s">
        <v>57</v>
      </c>
      <c r="G1268" t="s">
        <v>57</v>
      </c>
      <c r="H1268" t="s">
        <v>2946</v>
      </c>
      <c r="I1268"/>
      <c r="J1268"/>
      <c r="K1268"/>
      <c r="L1268"/>
      <c r="M1268"/>
      <c r="N1268"/>
      <c r="O1268"/>
      <c r="P1268"/>
      <c r="Q1268"/>
      <c r="R1268"/>
      <c r="S1268" s="56">
        <f t="shared" si="57"/>
        <v>3</v>
      </c>
      <c r="T1268" s="57" t="str">
        <f t="shared" si="58"/>
        <v>0-3 Days</v>
      </c>
      <c r="U1268" s="58" t="str">
        <f t="shared" si="59"/>
        <v>Normal</v>
      </c>
    </row>
    <row r="1269" spans="1:21" ht="23.25" customHeight="1" x14ac:dyDescent="0.35">
      <c r="A1269" t="s">
        <v>2263</v>
      </c>
      <c r="B1269" t="s">
        <v>2263</v>
      </c>
      <c r="C1269">
        <v>2650</v>
      </c>
      <c r="D1269">
        <v>0</v>
      </c>
      <c r="E1269" t="s">
        <v>2947</v>
      </c>
      <c r="F1269" t="s">
        <v>57</v>
      </c>
      <c r="G1269" t="s">
        <v>57</v>
      </c>
      <c r="H1269" t="s">
        <v>2948</v>
      </c>
      <c r="I1269"/>
      <c r="J1269"/>
      <c r="K1269"/>
      <c r="L1269"/>
      <c r="M1269"/>
      <c r="N1269"/>
      <c r="O1269"/>
      <c r="P1269"/>
      <c r="Q1269"/>
      <c r="R1269"/>
      <c r="S1269" s="56">
        <f t="shared" si="57"/>
        <v>3</v>
      </c>
      <c r="T1269" s="57" t="str">
        <f t="shared" si="58"/>
        <v>0-3 Days</v>
      </c>
      <c r="U1269" s="58" t="str">
        <f t="shared" si="59"/>
        <v>Normal</v>
      </c>
    </row>
    <row r="1270" spans="1:21" ht="23.25" customHeight="1" x14ac:dyDescent="0.35">
      <c r="A1270" t="s">
        <v>2263</v>
      </c>
      <c r="B1270" t="s">
        <v>2263</v>
      </c>
      <c r="C1270">
        <v>2050</v>
      </c>
      <c r="D1270">
        <v>0</v>
      </c>
      <c r="E1270" t="s">
        <v>2949</v>
      </c>
      <c r="F1270" t="s">
        <v>57</v>
      </c>
      <c r="G1270" t="s">
        <v>57</v>
      </c>
      <c r="H1270" t="s">
        <v>2950</v>
      </c>
      <c r="I1270"/>
      <c r="J1270"/>
      <c r="K1270"/>
      <c r="L1270"/>
      <c r="M1270"/>
      <c r="N1270"/>
      <c r="O1270"/>
      <c r="P1270"/>
      <c r="Q1270"/>
      <c r="R1270"/>
      <c r="S1270" s="56">
        <f t="shared" si="57"/>
        <v>3</v>
      </c>
      <c r="T1270" s="57" t="str">
        <f t="shared" si="58"/>
        <v>0-3 Days</v>
      </c>
      <c r="U1270" s="58" t="str">
        <f t="shared" si="59"/>
        <v>Normal</v>
      </c>
    </row>
    <row r="1271" spans="1:21" ht="23.25" customHeight="1" x14ac:dyDescent="0.35">
      <c r="A1271" t="s">
        <v>2263</v>
      </c>
      <c r="B1271" t="s">
        <v>2263</v>
      </c>
      <c r="C1271">
        <v>0</v>
      </c>
      <c r="D1271">
        <v>1000</v>
      </c>
      <c r="E1271" t="s">
        <v>2951</v>
      </c>
      <c r="F1271" t="s">
        <v>57</v>
      </c>
      <c r="G1271" t="s">
        <v>57</v>
      </c>
      <c r="H1271" t="s">
        <v>2952</v>
      </c>
      <c r="I1271"/>
      <c r="J1271"/>
      <c r="K1271"/>
      <c r="L1271"/>
      <c r="M1271"/>
      <c r="N1271"/>
      <c r="O1271"/>
      <c r="P1271"/>
      <c r="Q1271"/>
      <c r="R1271"/>
      <c r="S1271" s="56">
        <f t="shared" si="57"/>
        <v>3</v>
      </c>
      <c r="T1271" s="57" t="str">
        <f t="shared" si="58"/>
        <v>0-3 Days</v>
      </c>
      <c r="U1271" s="58" t="str">
        <f t="shared" si="59"/>
        <v>Not Applicable</v>
      </c>
    </row>
    <row r="1272" spans="1:21" ht="23.25" customHeight="1" x14ac:dyDescent="0.35">
      <c r="A1272" t="s">
        <v>2263</v>
      </c>
      <c r="B1272" t="s">
        <v>2263</v>
      </c>
      <c r="C1272">
        <v>1000</v>
      </c>
      <c r="D1272">
        <v>0</v>
      </c>
      <c r="E1272" t="s">
        <v>2953</v>
      </c>
      <c r="F1272" t="s">
        <v>57</v>
      </c>
      <c r="G1272" t="s">
        <v>57</v>
      </c>
      <c r="H1272" t="s">
        <v>2954</v>
      </c>
      <c r="I1272"/>
      <c r="J1272"/>
      <c r="K1272"/>
      <c r="L1272"/>
      <c r="M1272"/>
      <c r="N1272"/>
      <c r="O1272"/>
      <c r="P1272"/>
      <c r="Q1272"/>
      <c r="R1272"/>
      <c r="S1272" s="56">
        <f t="shared" si="57"/>
        <v>3</v>
      </c>
      <c r="T1272" s="57" t="str">
        <f t="shared" si="58"/>
        <v>0-3 Days</v>
      </c>
      <c r="U1272" s="58" t="str">
        <f t="shared" si="59"/>
        <v>Normal</v>
      </c>
    </row>
    <row r="1273" spans="1:21" ht="23.25" customHeight="1" x14ac:dyDescent="0.35">
      <c r="A1273" t="s">
        <v>2263</v>
      </c>
      <c r="B1273" t="s">
        <v>2263</v>
      </c>
      <c r="C1273">
        <v>0</v>
      </c>
      <c r="D1273">
        <v>879354.61</v>
      </c>
      <c r="E1273" t="s">
        <v>2955</v>
      </c>
      <c r="F1273" t="s">
        <v>57</v>
      </c>
      <c r="G1273" t="s">
        <v>57</v>
      </c>
      <c r="H1273" t="s">
        <v>2956</v>
      </c>
      <c r="I1273"/>
      <c r="J1273"/>
      <c r="K1273"/>
      <c r="L1273"/>
      <c r="M1273"/>
      <c r="N1273"/>
      <c r="O1273"/>
      <c r="P1273"/>
      <c r="Q1273"/>
      <c r="R1273"/>
      <c r="S1273" s="56">
        <f t="shared" si="57"/>
        <v>3</v>
      </c>
      <c r="T1273" s="57" t="str">
        <f t="shared" si="58"/>
        <v>0-3 Days</v>
      </c>
      <c r="U1273" s="58" t="str">
        <f t="shared" si="59"/>
        <v>Not Applicable</v>
      </c>
    </row>
    <row r="1274" spans="1:21" ht="23.25" customHeight="1" x14ac:dyDescent="0.35">
      <c r="A1274" t="s">
        <v>2263</v>
      </c>
      <c r="B1274" t="s">
        <v>2263</v>
      </c>
      <c r="C1274">
        <v>1000</v>
      </c>
      <c r="D1274">
        <v>0</v>
      </c>
      <c r="E1274" t="s">
        <v>2957</v>
      </c>
      <c r="F1274" t="s">
        <v>57</v>
      </c>
      <c r="G1274" t="s">
        <v>57</v>
      </c>
      <c r="H1274" t="s">
        <v>2958</v>
      </c>
      <c r="I1274"/>
      <c r="J1274"/>
      <c r="K1274"/>
      <c r="L1274"/>
      <c r="M1274"/>
      <c r="N1274"/>
      <c r="O1274"/>
      <c r="P1274"/>
      <c r="Q1274"/>
      <c r="R1274"/>
      <c r="S1274" s="56">
        <f t="shared" si="57"/>
        <v>3</v>
      </c>
      <c r="T1274" s="57" t="str">
        <f t="shared" si="58"/>
        <v>0-3 Days</v>
      </c>
      <c r="U1274" s="58" t="str">
        <f t="shared" si="59"/>
        <v>Normal</v>
      </c>
    </row>
    <row r="1275" spans="1:21" ht="23.25" customHeight="1" x14ac:dyDescent="0.35">
      <c r="A1275" t="s">
        <v>2263</v>
      </c>
      <c r="B1275" t="s">
        <v>2263</v>
      </c>
      <c r="C1275">
        <v>0</v>
      </c>
      <c r="D1275">
        <v>828</v>
      </c>
      <c r="E1275" t="s">
        <v>2959</v>
      </c>
      <c r="F1275" t="s">
        <v>57</v>
      </c>
      <c r="G1275" t="s">
        <v>57</v>
      </c>
      <c r="H1275" t="s">
        <v>2960</v>
      </c>
      <c r="I1275"/>
      <c r="J1275"/>
      <c r="K1275"/>
      <c r="L1275"/>
      <c r="M1275"/>
      <c r="N1275"/>
      <c r="O1275"/>
      <c r="P1275"/>
      <c r="Q1275"/>
      <c r="R1275"/>
      <c r="S1275" s="56">
        <f t="shared" si="57"/>
        <v>3</v>
      </c>
      <c r="T1275" s="57" t="str">
        <f t="shared" si="58"/>
        <v>0-3 Days</v>
      </c>
      <c r="U1275" s="58" t="str">
        <f t="shared" si="59"/>
        <v>Not Applicable</v>
      </c>
    </row>
    <row r="1276" spans="1:21" ht="23.25" customHeight="1" x14ac:dyDescent="0.35">
      <c r="A1276" t="s">
        <v>2263</v>
      </c>
      <c r="B1276" t="s">
        <v>2263</v>
      </c>
      <c r="C1276">
        <v>1172</v>
      </c>
      <c r="D1276">
        <v>0</v>
      </c>
      <c r="E1276" t="s">
        <v>2961</v>
      </c>
      <c r="F1276" t="s">
        <v>57</v>
      </c>
      <c r="G1276" t="s">
        <v>57</v>
      </c>
      <c r="H1276" t="s">
        <v>2962</v>
      </c>
      <c r="I1276"/>
      <c r="J1276"/>
      <c r="K1276"/>
      <c r="L1276"/>
      <c r="M1276"/>
      <c r="N1276"/>
      <c r="O1276"/>
      <c r="P1276"/>
      <c r="Q1276"/>
      <c r="R1276"/>
      <c r="S1276" s="56">
        <f t="shared" si="57"/>
        <v>3</v>
      </c>
      <c r="T1276" s="57" t="str">
        <f t="shared" si="58"/>
        <v>0-3 Days</v>
      </c>
      <c r="U1276" s="58" t="str">
        <f t="shared" si="59"/>
        <v>Normal</v>
      </c>
    </row>
    <row r="1277" spans="1:21" ht="23.25" customHeight="1" x14ac:dyDescent="0.35">
      <c r="A1277" t="s">
        <v>2263</v>
      </c>
      <c r="B1277" t="s">
        <v>2263</v>
      </c>
      <c r="C1277">
        <v>550</v>
      </c>
      <c r="D1277">
        <v>0</v>
      </c>
      <c r="E1277" t="s">
        <v>2963</v>
      </c>
      <c r="F1277" t="s">
        <v>57</v>
      </c>
      <c r="G1277" t="s">
        <v>57</v>
      </c>
      <c r="H1277" t="s">
        <v>2964</v>
      </c>
      <c r="I1277"/>
      <c r="J1277"/>
      <c r="K1277"/>
      <c r="L1277"/>
      <c r="M1277"/>
      <c r="N1277"/>
      <c r="O1277"/>
      <c r="P1277"/>
      <c r="Q1277"/>
      <c r="R1277"/>
      <c r="S1277" s="56">
        <f t="shared" si="57"/>
        <v>3</v>
      </c>
      <c r="T1277" s="57" t="str">
        <f t="shared" si="58"/>
        <v>0-3 Days</v>
      </c>
      <c r="U1277" s="58" t="str">
        <f t="shared" si="59"/>
        <v>Normal</v>
      </c>
    </row>
    <row r="1278" spans="1:21" ht="23.25" customHeight="1" x14ac:dyDescent="0.35">
      <c r="A1278" t="s">
        <v>2263</v>
      </c>
      <c r="B1278" t="s">
        <v>2263</v>
      </c>
      <c r="C1278">
        <v>1000</v>
      </c>
      <c r="D1278">
        <v>0</v>
      </c>
      <c r="E1278" t="s">
        <v>2965</v>
      </c>
      <c r="F1278" t="s">
        <v>57</v>
      </c>
      <c r="G1278" t="s">
        <v>57</v>
      </c>
      <c r="H1278" t="s">
        <v>2966</v>
      </c>
      <c r="I1278"/>
      <c r="J1278"/>
      <c r="K1278"/>
      <c r="L1278"/>
      <c r="M1278"/>
      <c r="N1278"/>
      <c r="O1278"/>
      <c r="P1278"/>
      <c r="Q1278"/>
      <c r="R1278"/>
      <c r="S1278" s="56">
        <f t="shared" si="57"/>
        <v>3</v>
      </c>
      <c r="T1278" s="57" t="str">
        <f t="shared" si="58"/>
        <v>0-3 Days</v>
      </c>
      <c r="U1278" s="58" t="str">
        <f t="shared" si="59"/>
        <v>Normal</v>
      </c>
    </row>
    <row r="1279" spans="1:21" ht="23.25" customHeight="1" x14ac:dyDescent="0.35">
      <c r="A1279" t="s">
        <v>2263</v>
      </c>
      <c r="B1279" t="s">
        <v>2263</v>
      </c>
      <c r="C1279">
        <v>1416</v>
      </c>
      <c r="D1279">
        <v>0</v>
      </c>
      <c r="E1279" t="s">
        <v>2967</v>
      </c>
      <c r="F1279" t="s">
        <v>57</v>
      </c>
      <c r="G1279" t="s">
        <v>57</v>
      </c>
      <c r="H1279" t="s">
        <v>2968</v>
      </c>
      <c r="I1279"/>
      <c r="J1279"/>
      <c r="K1279"/>
      <c r="L1279"/>
      <c r="M1279"/>
      <c r="N1279"/>
      <c r="O1279"/>
      <c r="P1279"/>
      <c r="Q1279"/>
      <c r="R1279"/>
      <c r="S1279" s="56">
        <f t="shared" si="57"/>
        <v>3</v>
      </c>
      <c r="T1279" s="57" t="str">
        <f t="shared" si="58"/>
        <v>0-3 Days</v>
      </c>
      <c r="U1279" s="58" t="str">
        <f t="shared" si="59"/>
        <v>Normal</v>
      </c>
    </row>
    <row r="1280" spans="1:21" ht="23.25" customHeight="1" x14ac:dyDescent="0.35">
      <c r="A1280" t="s">
        <v>2263</v>
      </c>
      <c r="B1280" t="s">
        <v>2263</v>
      </c>
      <c r="C1280">
        <v>1000</v>
      </c>
      <c r="D1280">
        <v>0</v>
      </c>
      <c r="E1280" t="s">
        <v>2969</v>
      </c>
      <c r="F1280" t="s">
        <v>57</v>
      </c>
      <c r="G1280" t="s">
        <v>57</v>
      </c>
      <c r="H1280" t="s">
        <v>2970</v>
      </c>
      <c r="I1280"/>
      <c r="J1280"/>
      <c r="K1280"/>
      <c r="L1280"/>
      <c r="M1280"/>
      <c r="N1280"/>
      <c r="O1280"/>
      <c r="P1280"/>
      <c r="Q1280"/>
      <c r="R1280"/>
      <c r="S1280" s="56">
        <f t="shared" si="57"/>
        <v>3</v>
      </c>
      <c r="T1280" s="57" t="str">
        <f t="shared" si="58"/>
        <v>0-3 Days</v>
      </c>
      <c r="U1280" s="58" t="str">
        <f t="shared" si="59"/>
        <v>Normal</v>
      </c>
    </row>
    <row r="1281" spans="1:21" ht="23.25" customHeight="1" x14ac:dyDescent="0.35">
      <c r="A1281" t="s">
        <v>2263</v>
      </c>
      <c r="B1281" t="s">
        <v>2263</v>
      </c>
      <c r="C1281">
        <v>205</v>
      </c>
      <c r="D1281">
        <v>0</v>
      </c>
      <c r="E1281" t="s">
        <v>2971</v>
      </c>
      <c r="F1281" t="s">
        <v>57</v>
      </c>
      <c r="G1281" t="s">
        <v>57</v>
      </c>
      <c r="H1281" t="s">
        <v>2972</v>
      </c>
      <c r="I1281"/>
      <c r="J1281"/>
      <c r="K1281"/>
      <c r="L1281"/>
      <c r="M1281"/>
      <c r="N1281"/>
      <c r="O1281"/>
      <c r="P1281"/>
      <c r="Q1281"/>
      <c r="R1281"/>
      <c r="S1281" s="56">
        <f t="shared" si="57"/>
        <v>3</v>
      </c>
      <c r="T1281" s="57" t="str">
        <f t="shared" si="58"/>
        <v>0-3 Days</v>
      </c>
      <c r="U1281" s="58" t="str">
        <f t="shared" si="59"/>
        <v>Normal</v>
      </c>
    </row>
    <row r="1282" spans="1:21" ht="23.25" customHeight="1" x14ac:dyDescent="0.35">
      <c r="A1282" t="s">
        <v>2263</v>
      </c>
      <c r="B1282" t="s">
        <v>2263</v>
      </c>
      <c r="C1282">
        <v>250</v>
      </c>
      <c r="D1282">
        <v>0</v>
      </c>
      <c r="E1282" t="s">
        <v>2973</v>
      </c>
      <c r="F1282" t="s">
        <v>57</v>
      </c>
      <c r="G1282" t="s">
        <v>57</v>
      </c>
      <c r="H1282" t="s">
        <v>2974</v>
      </c>
      <c r="I1282"/>
      <c r="J1282"/>
      <c r="K1282"/>
      <c r="L1282"/>
      <c r="M1282"/>
      <c r="N1282"/>
      <c r="O1282"/>
      <c r="P1282"/>
      <c r="Q1282"/>
      <c r="R1282"/>
      <c r="S1282" s="56">
        <f t="shared" si="57"/>
        <v>3</v>
      </c>
      <c r="T1282" s="57" t="str">
        <f t="shared" si="58"/>
        <v>0-3 Days</v>
      </c>
      <c r="U1282" s="58" t="str">
        <f t="shared" si="59"/>
        <v>Normal</v>
      </c>
    </row>
    <row r="1283" spans="1:21" ht="23.25" customHeight="1" x14ac:dyDescent="0.35">
      <c r="A1283" t="s">
        <v>2263</v>
      </c>
      <c r="B1283" t="s">
        <v>2263</v>
      </c>
      <c r="C1283">
        <v>0</v>
      </c>
      <c r="D1283">
        <v>2050</v>
      </c>
      <c r="E1283" t="s">
        <v>2975</v>
      </c>
      <c r="F1283" t="s">
        <v>57</v>
      </c>
      <c r="G1283" t="s">
        <v>57</v>
      </c>
      <c r="H1283" t="s">
        <v>2976</v>
      </c>
      <c r="I1283"/>
      <c r="J1283"/>
      <c r="K1283"/>
      <c r="L1283"/>
      <c r="M1283"/>
      <c r="N1283"/>
      <c r="O1283"/>
      <c r="P1283"/>
      <c r="Q1283"/>
      <c r="R1283"/>
      <c r="S1283" s="56">
        <f t="shared" si="57"/>
        <v>3</v>
      </c>
      <c r="T1283" s="57" t="str">
        <f t="shared" si="58"/>
        <v>0-3 Days</v>
      </c>
      <c r="U1283" s="58" t="str">
        <f t="shared" si="59"/>
        <v>Not Applicable</v>
      </c>
    </row>
    <row r="1284" spans="1:21" ht="23.25" customHeight="1" x14ac:dyDescent="0.35">
      <c r="A1284" t="s">
        <v>2263</v>
      </c>
      <c r="B1284" t="s">
        <v>2263</v>
      </c>
      <c r="C1284">
        <v>2700</v>
      </c>
      <c r="D1284">
        <v>0</v>
      </c>
      <c r="E1284" t="s">
        <v>2977</v>
      </c>
      <c r="F1284" t="s">
        <v>57</v>
      </c>
      <c r="G1284" t="s">
        <v>57</v>
      </c>
      <c r="H1284" t="s">
        <v>2978</v>
      </c>
      <c r="I1284"/>
      <c r="J1284"/>
      <c r="K1284"/>
      <c r="L1284"/>
      <c r="M1284"/>
      <c r="N1284"/>
      <c r="O1284"/>
      <c r="P1284"/>
      <c r="Q1284"/>
      <c r="R1284"/>
      <c r="S1284" s="56">
        <f t="shared" si="57"/>
        <v>3</v>
      </c>
      <c r="T1284" s="57" t="str">
        <f t="shared" si="58"/>
        <v>0-3 Days</v>
      </c>
      <c r="U1284" s="58" t="str">
        <f t="shared" si="59"/>
        <v>Normal</v>
      </c>
    </row>
    <row r="1285" spans="1:21" ht="23.25" customHeight="1" x14ac:dyDescent="0.35">
      <c r="A1285" t="s">
        <v>2263</v>
      </c>
      <c r="B1285" t="s">
        <v>2263</v>
      </c>
      <c r="C1285">
        <v>2050</v>
      </c>
      <c r="D1285">
        <v>0</v>
      </c>
      <c r="E1285" t="s">
        <v>2979</v>
      </c>
      <c r="F1285" t="s">
        <v>57</v>
      </c>
      <c r="G1285" t="s">
        <v>57</v>
      </c>
      <c r="H1285" t="s">
        <v>2980</v>
      </c>
      <c r="I1285"/>
      <c r="J1285"/>
      <c r="K1285"/>
      <c r="L1285"/>
      <c r="M1285"/>
      <c r="N1285"/>
      <c r="O1285"/>
      <c r="P1285"/>
      <c r="Q1285"/>
      <c r="R1285"/>
      <c r="S1285" s="56">
        <f t="shared" si="57"/>
        <v>3</v>
      </c>
      <c r="T1285" s="57" t="str">
        <f t="shared" si="58"/>
        <v>0-3 Days</v>
      </c>
      <c r="U1285" s="58" t="str">
        <f t="shared" si="59"/>
        <v>Normal</v>
      </c>
    </row>
    <row r="1286" spans="1:21" ht="23.25" customHeight="1" x14ac:dyDescent="0.35">
      <c r="A1286" t="s">
        <v>2263</v>
      </c>
      <c r="B1286" t="s">
        <v>2263</v>
      </c>
      <c r="C1286">
        <v>0</v>
      </c>
      <c r="D1286">
        <v>1000</v>
      </c>
      <c r="E1286" t="s">
        <v>2981</v>
      </c>
      <c r="F1286" t="s">
        <v>57</v>
      </c>
      <c r="G1286" t="s">
        <v>57</v>
      </c>
      <c r="H1286" t="s">
        <v>2982</v>
      </c>
      <c r="I1286"/>
      <c r="J1286"/>
      <c r="K1286"/>
      <c r="L1286"/>
      <c r="M1286"/>
      <c r="N1286"/>
      <c r="O1286"/>
      <c r="P1286"/>
      <c r="Q1286"/>
      <c r="R1286"/>
      <c r="S1286" s="56">
        <f t="shared" si="57"/>
        <v>3</v>
      </c>
      <c r="T1286" s="57" t="str">
        <f t="shared" si="58"/>
        <v>0-3 Days</v>
      </c>
      <c r="U1286" s="58" t="str">
        <f t="shared" si="59"/>
        <v>Not Applicable</v>
      </c>
    </row>
    <row r="1287" spans="1:21" ht="23.25" customHeight="1" x14ac:dyDescent="0.35">
      <c r="A1287" t="s">
        <v>2263</v>
      </c>
      <c r="B1287" t="s">
        <v>2263</v>
      </c>
      <c r="C1287">
        <v>828</v>
      </c>
      <c r="D1287">
        <v>0</v>
      </c>
      <c r="E1287" t="s">
        <v>2983</v>
      </c>
      <c r="F1287" t="s">
        <v>57</v>
      </c>
      <c r="G1287" t="s">
        <v>57</v>
      </c>
      <c r="H1287" t="s">
        <v>2984</v>
      </c>
      <c r="I1287"/>
      <c r="J1287"/>
      <c r="K1287"/>
      <c r="L1287"/>
      <c r="M1287"/>
      <c r="N1287"/>
      <c r="O1287"/>
      <c r="P1287"/>
      <c r="Q1287"/>
      <c r="R1287"/>
      <c r="S1287" s="56">
        <f t="shared" si="57"/>
        <v>3</v>
      </c>
      <c r="T1287" s="57" t="str">
        <f t="shared" si="58"/>
        <v>0-3 Days</v>
      </c>
      <c r="U1287" s="58" t="str">
        <f t="shared" si="59"/>
        <v>Normal</v>
      </c>
    </row>
    <row r="1288" spans="1:21" ht="23.25" customHeight="1" x14ac:dyDescent="0.35">
      <c r="A1288" t="s">
        <v>2263</v>
      </c>
      <c r="B1288" t="s">
        <v>2263</v>
      </c>
      <c r="C1288">
        <v>1000</v>
      </c>
      <c r="D1288">
        <v>0</v>
      </c>
      <c r="E1288" t="s">
        <v>2985</v>
      </c>
      <c r="F1288" t="s">
        <v>57</v>
      </c>
      <c r="G1288" t="s">
        <v>57</v>
      </c>
      <c r="H1288" t="s">
        <v>2986</v>
      </c>
      <c r="I1288"/>
      <c r="J1288"/>
      <c r="K1288"/>
      <c r="L1288"/>
      <c r="M1288"/>
      <c r="N1288"/>
      <c r="O1288"/>
      <c r="P1288"/>
      <c r="Q1288"/>
      <c r="R1288"/>
      <c r="S1288" s="56">
        <f t="shared" si="57"/>
        <v>3</v>
      </c>
      <c r="T1288" s="57" t="str">
        <f t="shared" si="58"/>
        <v>0-3 Days</v>
      </c>
      <c r="U1288" s="58" t="str">
        <f t="shared" si="59"/>
        <v>Normal</v>
      </c>
    </row>
    <row r="1289" spans="1:21" ht="23.25" customHeight="1" x14ac:dyDescent="0.35">
      <c r="A1289" t="s">
        <v>2263</v>
      </c>
      <c r="B1289" t="s">
        <v>2263</v>
      </c>
      <c r="C1289">
        <v>2650</v>
      </c>
      <c r="D1289">
        <v>0</v>
      </c>
      <c r="E1289" t="s">
        <v>2987</v>
      </c>
      <c r="F1289" t="s">
        <v>57</v>
      </c>
      <c r="G1289" t="s">
        <v>57</v>
      </c>
      <c r="H1289" t="s">
        <v>2988</v>
      </c>
      <c r="I1289"/>
      <c r="J1289"/>
      <c r="K1289"/>
      <c r="L1289"/>
      <c r="M1289"/>
      <c r="N1289"/>
      <c r="O1289"/>
      <c r="P1289"/>
      <c r="Q1289"/>
      <c r="R1289"/>
      <c r="S1289" s="56">
        <f t="shared" ref="S1289:S1352" si="60">IF(A1289="","",A$5-A1289)</f>
        <v>3</v>
      </c>
      <c r="T1289" s="57" t="str">
        <f t="shared" ref="T1289:T1352" si="61">IF(S1289="","",IF(S1289&lt;4,"0-3 Days",IF(S1289&lt;31,"4-30 Days",IF(S1289&lt;61,"31-60 Days",IF(S1289&lt;=90,"61-90 Days",IF(S1289&gt;90,"Above 90 Days","0"))))))</f>
        <v>0-3 Days</v>
      </c>
      <c r="U1289" s="58" t="str">
        <f t="shared" ref="U1289:U1352" si="62">IF(C1289="","",IF(C1289&gt;0,IF(S1289&lt;30,"Normal",IF(S1289&lt;60,"Especially Mentioned",IF(S1289&lt;90,"Substandard",IF(S1289&lt;=180,"Doubtful",IF(S1289&gt;180,"Loss","0"))))),"Not Applicable"))</f>
        <v>Normal</v>
      </c>
    </row>
    <row r="1290" spans="1:21" ht="23.25" customHeight="1" x14ac:dyDescent="0.35">
      <c r="A1290" t="s">
        <v>2263</v>
      </c>
      <c r="B1290" t="s">
        <v>2263</v>
      </c>
      <c r="C1290">
        <v>2050</v>
      </c>
      <c r="D1290">
        <v>0</v>
      </c>
      <c r="E1290" t="s">
        <v>2989</v>
      </c>
      <c r="F1290" t="s">
        <v>57</v>
      </c>
      <c r="G1290" t="s">
        <v>57</v>
      </c>
      <c r="H1290" t="s">
        <v>2990</v>
      </c>
      <c r="I1290"/>
      <c r="J1290"/>
      <c r="K1290"/>
      <c r="L1290"/>
      <c r="M1290"/>
      <c r="N1290"/>
      <c r="O1290"/>
      <c r="P1290"/>
      <c r="Q1290"/>
      <c r="R1290"/>
      <c r="S1290" s="56">
        <f t="shared" si="60"/>
        <v>3</v>
      </c>
      <c r="T1290" s="57" t="str">
        <f t="shared" si="61"/>
        <v>0-3 Days</v>
      </c>
      <c r="U1290" s="58" t="str">
        <f t="shared" si="62"/>
        <v>Normal</v>
      </c>
    </row>
    <row r="1291" spans="1:21" ht="23.25" customHeight="1" x14ac:dyDescent="0.35">
      <c r="A1291" t="s">
        <v>2263</v>
      </c>
      <c r="B1291" t="s">
        <v>2263</v>
      </c>
      <c r="C1291">
        <v>0</v>
      </c>
      <c r="D1291">
        <v>550</v>
      </c>
      <c r="E1291" t="s">
        <v>2991</v>
      </c>
      <c r="F1291" t="s">
        <v>57</v>
      </c>
      <c r="G1291" t="s">
        <v>57</v>
      </c>
      <c r="H1291" t="s">
        <v>2992</v>
      </c>
      <c r="I1291"/>
      <c r="J1291"/>
      <c r="K1291"/>
      <c r="L1291"/>
      <c r="M1291"/>
      <c r="N1291"/>
      <c r="O1291"/>
      <c r="P1291"/>
      <c r="Q1291"/>
      <c r="R1291"/>
      <c r="S1291" s="56">
        <f t="shared" si="60"/>
        <v>3</v>
      </c>
      <c r="T1291" s="57" t="str">
        <f t="shared" si="61"/>
        <v>0-3 Days</v>
      </c>
      <c r="U1291" s="58" t="str">
        <f t="shared" si="62"/>
        <v>Not Applicable</v>
      </c>
    </row>
    <row r="1292" spans="1:21" ht="23.25" customHeight="1" x14ac:dyDescent="0.35">
      <c r="A1292" t="s">
        <v>2263</v>
      </c>
      <c r="B1292" t="s">
        <v>2263</v>
      </c>
      <c r="C1292">
        <v>708</v>
      </c>
      <c r="D1292">
        <v>0</v>
      </c>
      <c r="E1292" t="s">
        <v>2993</v>
      </c>
      <c r="F1292" t="s">
        <v>57</v>
      </c>
      <c r="G1292" t="s">
        <v>57</v>
      </c>
      <c r="H1292" t="s">
        <v>2994</v>
      </c>
      <c r="I1292"/>
      <c r="J1292"/>
      <c r="K1292"/>
      <c r="L1292"/>
      <c r="M1292"/>
      <c r="N1292"/>
      <c r="O1292"/>
      <c r="P1292"/>
      <c r="Q1292"/>
      <c r="R1292"/>
      <c r="S1292" s="56">
        <f t="shared" si="60"/>
        <v>3</v>
      </c>
      <c r="T1292" s="57" t="str">
        <f t="shared" si="61"/>
        <v>0-3 Days</v>
      </c>
      <c r="U1292" s="58" t="str">
        <f t="shared" si="62"/>
        <v>Normal</v>
      </c>
    </row>
    <row r="1293" spans="1:21" ht="23.25" customHeight="1" x14ac:dyDescent="0.35">
      <c r="A1293" t="s">
        <v>2263</v>
      </c>
      <c r="B1293" t="s">
        <v>2263</v>
      </c>
      <c r="C1293">
        <v>227</v>
      </c>
      <c r="D1293">
        <v>0</v>
      </c>
      <c r="E1293" t="s">
        <v>2995</v>
      </c>
      <c r="F1293" t="s">
        <v>57</v>
      </c>
      <c r="G1293" t="s">
        <v>57</v>
      </c>
      <c r="H1293" t="s">
        <v>2996</v>
      </c>
      <c r="I1293"/>
      <c r="J1293"/>
      <c r="K1293"/>
      <c r="L1293"/>
      <c r="M1293"/>
      <c r="N1293"/>
      <c r="O1293"/>
      <c r="P1293"/>
      <c r="Q1293"/>
      <c r="R1293"/>
      <c r="S1293" s="56">
        <f t="shared" si="60"/>
        <v>3</v>
      </c>
      <c r="T1293" s="57" t="str">
        <f t="shared" si="61"/>
        <v>0-3 Days</v>
      </c>
      <c r="U1293" s="58" t="str">
        <f t="shared" si="62"/>
        <v>Normal</v>
      </c>
    </row>
    <row r="1294" spans="1:21" ht="23.25" customHeight="1" x14ac:dyDescent="0.35">
      <c r="A1294" t="s">
        <v>2263</v>
      </c>
      <c r="B1294" t="s">
        <v>2263</v>
      </c>
      <c r="C1294">
        <v>250</v>
      </c>
      <c r="D1294">
        <v>0</v>
      </c>
      <c r="E1294" t="s">
        <v>2997</v>
      </c>
      <c r="F1294" t="s">
        <v>57</v>
      </c>
      <c r="G1294" t="s">
        <v>57</v>
      </c>
      <c r="H1294" t="s">
        <v>2998</v>
      </c>
      <c r="I1294"/>
      <c r="J1294"/>
      <c r="K1294"/>
      <c r="L1294"/>
      <c r="M1294"/>
      <c r="N1294"/>
      <c r="O1294"/>
      <c r="P1294"/>
      <c r="Q1294"/>
      <c r="R1294"/>
      <c r="S1294" s="56">
        <f t="shared" si="60"/>
        <v>3</v>
      </c>
      <c r="T1294" s="57" t="str">
        <f t="shared" si="61"/>
        <v>0-3 Days</v>
      </c>
      <c r="U1294" s="58" t="str">
        <f t="shared" si="62"/>
        <v>Normal</v>
      </c>
    </row>
    <row r="1295" spans="1:21" ht="23.25" customHeight="1" x14ac:dyDescent="0.35">
      <c r="A1295" t="s">
        <v>2263</v>
      </c>
      <c r="B1295" t="s">
        <v>2263</v>
      </c>
      <c r="C1295">
        <v>1000</v>
      </c>
      <c r="D1295">
        <v>0</v>
      </c>
      <c r="E1295" t="s">
        <v>2999</v>
      </c>
      <c r="F1295" t="s">
        <v>57</v>
      </c>
      <c r="G1295" t="s">
        <v>57</v>
      </c>
      <c r="H1295" t="s">
        <v>3000</v>
      </c>
      <c r="I1295"/>
      <c r="J1295"/>
      <c r="K1295"/>
      <c r="L1295"/>
      <c r="M1295"/>
      <c r="N1295"/>
      <c r="O1295"/>
      <c r="P1295"/>
      <c r="Q1295"/>
      <c r="R1295"/>
      <c r="S1295" s="56">
        <f t="shared" si="60"/>
        <v>3</v>
      </c>
      <c r="T1295" s="57" t="str">
        <f t="shared" si="61"/>
        <v>0-3 Days</v>
      </c>
      <c r="U1295" s="58" t="str">
        <f t="shared" si="62"/>
        <v>Normal</v>
      </c>
    </row>
    <row r="1296" spans="1:21" ht="23.25" customHeight="1" x14ac:dyDescent="0.35">
      <c r="A1296" t="s">
        <v>2263</v>
      </c>
      <c r="B1296" t="s">
        <v>2263</v>
      </c>
      <c r="C1296">
        <v>1000</v>
      </c>
      <c r="D1296">
        <v>0</v>
      </c>
      <c r="E1296" t="s">
        <v>3001</v>
      </c>
      <c r="F1296" t="s">
        <v>57</v>
      </c>
      <c r="G1296" t="s">
        <v>57</v>
      </c>
      <c r="H1296" t="s">
        <v>3002</v>
      </c>
      <c r="I1296"/>
      <c r="J1296"/>
      <c r="K1296"/>
      <c r="L1296"/>
      <c r="M1296"/>
      <c r="N1296"/>
      <c r="O1296"/>
      <c r="P1296"/>
      <c r="Q1296"/>
      <c r="R1296"/>
      <c r="S1296" s="56">
        <f t="shared" si="60"/>
        <v>3</v>
      </c>
      <c r="T1296" s="57" t="str">
        <f t="shared" si="61"/>
        <v>0-3 Days</v>
      </c>
      <c r="U1296" s="58" t="str">
        <f t="shared" si="62"/>
        <v>Normal</v>
      </c>
    </row>
    <row r="1297" spans="1:21" ht="23.25" customHeight="1" x14ac:dyDescent="0.35">
      <c r="A1297" t="s">
        <v>2263</v>
      </c>
      <c r="B1297" t="s">
        <v>2263</v>
      </c>
      <c r="C1297">
        <v>2050</v>
      </c>
      <c r="D1297">
        <v>0</v>
      </c>
      <c r="E1297" t="s">
        <v>3003</v>
      </c>
      <c r="F1297" t="s">
        <v>57</v>
      </c>
      <c r="G1297" t="s">
        <v>57</v>
      </c>
      <c r="H1297" t="s">
        <v>3004</v>
      </c>
      <c r="I1297"/>
      <c r="J1297"/>
      <c r="K1297"/>
      <c r="L1297"/>
      <c r="M1297"/>
      <c r="N1297"/>
      <c r="O1297"/>
      <c r="P1297"/>
      <c r="Q1297"/>
      <c r="R1297"/>
      <c r="S1297" s="56">
        <f t="shared" si="60"/>
        <v>3</v>
      </c>
      <c r="T1297" s="57" t="str">
        <f t="shared" si="61"/>
        <v>0-3 Days</v>
      </c>
      <c r="U1297" s="58" t="str">
        <f t="shared" si="62"/>
        <v>Normal</v>
      </c>
    </row>
    <row r="1298" spans="1:21" ht="23.25" customHeight="1" x14ac:dyDescent="0.35">
      <c r="A1298" t="s">
        <v>2263</v>
      </c>
      <c r="B1298" t="s">
        <v>2263</v>
      </c>
      <c r="C1298">
        <v>1000</v>
      </c>
      <c r="D1298">
        <v>0</v>
      </c>
      <c r="E1298" t="s">
        <v>3005</v>
      </c>
      <c r="F1298" t="s">
        <v>57</v>
      </c>
      <c r="G1298" t="s">
        <v>57</v>
      </c>
      <c r="H1298" t="s">
        <v>3006</v>
      </c>
      <c r="I1298"/>
      <c r="J1298"/>
      <c r="K1298"/>
      <c r="L1298"/>
      <c r="M1298"/>
      <c r="N1298"/>
      <c r="O1298"/>
      <c r="P1298"/>
      <c r="Q1298"/>
      <c r="R1298"/>
      <c r="S1298" s="56">
        <f t="shared" si="60"/>
        <v>3</v>
      </c>
      <c r="T1298" s="57" t="str">
        <f t="shared" si="61"/>
        <v>0-3 Days</v>
      </c>
      <c r="U1298" s="58" t="str">
        <f t="shared" si="62"/>
        <v>Normal</v>
      </c>
    </row>
    <row r="1299" spans="1:21" ht="23.25" customHeight="1" x14ac:dyDescent="0.35">
      <c r="A1299" t="s">
        <v>2263</v>
      </c>
      <c r="B1299" t="s">
        <v>2263</v>
      </c>
      <c r="C1299">
        <v>0</v>
      </c>
      <c r="D1299">
        <v>250</v>
      </c>
      <c r="E1299" t="s">
        <v>3007</v>
      </c>
      <c r="F1299" t="s">
        <v>57</v>
      </c>
      <c r="G1299" t="s">
        <v>57</v>
      </c>
      <c r="H1299" t="s">
        <v>3008</v>
      </c>
      <c r="I1299"/>
      <c r="J1299"/>
      <c r="K1299"/>
      <c r="L1299"/>
      <c r="M1299"/>
      <c r="N1299"/>
      <c r="O1299"/>
      <c r="P1299"/>
      <c r="Q1299"/>
      <c r="R1299"/>
      <c r="S1299" s="56">
        <f t="shared" si="60"/>
        <v>3</v>
      </c>
      <c r="T1299" s="57" t="str">
        <f t="shared" si="61"/>
        <v>0-3 Days</v>
      </c>
      <c r="U1299" s="58" t="str">
        <f t="shared" si="62"/>
        <v>Not Applicable</v>
      </c>
    </row>
    <row r="1300" spans="1:21" ht="23.25" customHeight="1" x14ac:dyDescent="0.35">
      <c r="A1300" t="s">
        <v>2263</v>
      </c>
      <c r="B1300" t="s">
        <v>2263</v>
      </c>
      <c r="C1300">
        <v>1000</v>
      </c>
      <c r="D1300">
        <v>0</v>
      </c>
      <c r="E1300" t="s">
        <v>3009</v>
      </c>
      <c r="F1300" t="s">
        <v>57</v>
      </c>
      <c r="G1300" t="s">
        <v>57</v>
      </c>
      <c r="H1300" t="s">
        <v>3010</v>
      </c>
      <c r="I1300"/>
      <c r="J1300"/>
      <c r="K1300"/>
      <c r="L1300"/>
      <c r="M1300"/>
      <c r="N1300"/>
      <c r="O1300"/>
      <c r="P1300"/>
      <c r="Q1300"/>
      <c r="R1300"/>
      <c r="S1300" s="56">
        <f t="shared" si="60"/>
        <v>3</v>
      </c>
      <c r="T1300" s="57" t="str">
        <f t="shared" si="61"/>
        <v>0-3 Days</v>
      </c>
      <c r="U1300" s="58" t="str">
        <f t="shared" si="62"/>
        <v>Normal</v>
      </c>
    </row>
    <row r="1301" spans="1:21" ht="23.25" customHeight="1" x14ac:dyDescent="0.35">
      <c r="A1301" t="s">
        <v>2263</v>
      </c>
      <c r="B1301" t="s">
        <v>2263</v>
      </c>
      <c r="C1301">
        <v>1000</v>
      </c>
      <c r="D1301">
        <v>0</v>
      </c>
      <c r="E1301" t="s">
        <v>3011</v>
      </c>
      <c r="F1301" t="s">
        <v>57</v>
      </c>
      <c r="G1301" t="s">
        <v>57</v>
      </c>
      <c r="H1301" t="s">
        <v>3012</v>
      </c>
      <c r="I1301"/>
      <c r="J1301"/>
      <c r="K1301"/>
      <c r="L1301"/>
      <c r="M1301"/>
      <c r="N1301"/>
      <c r="O1301"/>
      <c r="P1301"/>
      <c r="Q1301"/>
      <c r="R1301"/>
      <c r="S1301" s="56">
        <f t="shared" si="60"/>
        <v>3</v>
      </c>
      <c r="T1301" s="57" t="str">
        <f t="shared" si="61"/>
        <v>0-3 Days</v>
      </c>
      <c r="U1301" s="58" t="str">
        <f t="shared" si="62"/>
        <v>Normal</v>
      </c>
    </row>
    <row r="1302" spans="1:21" ht="23.25" customHeight="1" x14ac:dyDescent="0.35">
      <c r="A1302" t="s">
        <v>2263</v>
      </c>
      <c r="B1302" t="s">
        <v>2263</v>
      </c>
      <c r="C1302">
        <v>1000</v>
      </c>
      <c r="D1302">
        <v>0</v>
      </c>
      <c r="E1302" t="s">
        <v>3013</v>
      </c>
      <c r="F1302" t="s">
        <v>57</v>
      </c>
      <c r="G1302" t="s">
        <v>57</v>
      </c>
      <c r="H1302" t="s">
        <v>3014</v>
      </c>
      <c r="I1302"/>
      <c r="J1302"/>
      <c r="K1302"/>
      <c r="L1302"/>
      <c r="M1302"/>
      <c r="N1302"/>
      <c r="O1302"/>
      <c r="P1302"/>
      <c r="Q1302"/>
      <c r="R1302"/>
      <c r="S1302" s="56">
        <f t="shared" si="60"/>
        <v>3</v>
      </c>
      <c r="T1302" s="57" t="str">
        <f t="shared" si="61"/>
        <v>0-3 Days</v>
      </c>
      <c r="U1302" s="58" t="str">
        <f t="shared" si="62"/>
        <v>Normal</v>
      </c>
    </row>
    <row r="1303" spans="1:21" ht="23.25" customHeight="1" x14ac:dyDescent="0.35">
      <c r="A1303" t="s">
        <v>2263</v>
      </c>
      <c r="B1303" t="s">
        <v>2263</v>
      </c>
      <c r="C1303">
        <v>72</v>
      </c>
      <c r="D1303">
        <v>0</v>
      </c>
      <c r="E1303" t="s">
        <v>3015</v>
      </c>
      <c r="F1303" t="s">
        <v>57</v>
      </c>
      <c r="G1303" t="s">
        <v>57</v>
      </c>
      <c r="H1303" t="s">
        <v>3016</v>
      </c>
      <c r="I1303"/>
      <c r="J1303"/>
      <c r="K1303"/>
      <c r="L1303"/>
      <c r="M1303"/>
      <c r="N1303"/>
      <c r="O1303"/>
      <c r="P1303"/>
      <c r="Q1303"/>
      <c r="R1303"/>
      <c r="S1303" s="56">
        <f t="shared" si="60"/>
        <v>3</v>
      </c>
      <c r="T1303" s="57" t="str">
        <f t="shared" si="61"/>
        <v>0-3 Days</v>
      </c>
      <c r="U1303" s="58" t="str">
        <f t="shared" si="62"/>
        <v>Normal</v>
      </c>
    </row>
    <row r="1304" spans="1:21" ht="23.25" customHeight="1" x14ac:dyDescent="0.35">
      <c r="A1304" t="s">
        <v>2263</v>
      </c>
      <c r="B1304" t="s">
        <v>2263</v>
      </c>
      <c r="C1304">
        <v>1000</v>
      </c>
      <c r="D1304">
        <v>0</v>
      </c>
      <c r="E1304" t="s">
        <v>3017</v>
      </c>
      <c r="F1304" t="s">
        <v>57</v>
      </c>
      <c r="G1304" t="s">
        <v>57</v>
      </c>
      <c r="H1304" t="s">
        <v>3018</v>
      </c>
      <c r="I1304"/>
      <c r="J1304"/>
      <c r="K1304"/>
      <c r="L1304"/>
      <c r="M1304"/>
      <c r="N1304"/>
      <c r="O1304"/>
      <c r="P1304"/>
      <c r="Q1304"/>
      <c r="R1304"/>
      <c r="S1304" s="56">
        <f t="shared" si="60"/>
        <v>3</v>
      </c>
      <c r="T1304" s="57" t="str">
        <f t="shared" si="61"/>
        <v>0-3 Days</v>
      </c>
      <c r="U1304" s="58" t="str">
        <f t="shared" si="62"/>
        <v>Normal</v>
      </c>
    </row>
    <row r="1305" spans="1:21" ht="23.25" customHeight="1" x14ac:dyDescent="0.35">
      <c r="A1305" t="s">
        <v>2263</v>
      </c>
      <c r="B1305" t="s">
        <v>2263</v>
      </c>
      <c r="C1305">
        <v>250</v>
      </c>
      <c r="D1305">
        <v>0</v>
      </c>
      <c r="E1305" t="s">
        <v>3019</v>
      </c>
      <c r="F1305" t="s">
        <v>57</v>
      </c>
      <c r="G1305" t="s">
        <v>57</v>
      </c>
      <c r="H1305" t="s">
        <v>3020</v>
      </c>
      <c r="I1305"/>
      <c r="J1305"/>
      <c r="K1305"/>
      <c r="L1305"/>
      <c r="M1305"/>
      <c r="N1305"/>
      <c r="O1305"/>
      <c r="P1305"/>
      <c r="Q1305"/>
      <c r="R1305"/>
      <c r="S1305" s="56">
        <f t="shared" si="60"/>
        <v>3</v>
      </c>
      <c r="T1305" s="57" t="str">
        <f t="shared" si="61"/>
        <v>0-3 Days</v>
      </c>
      <c r="U1305" s="58" t="str">
        <f t="shared" si="62"/>
        <v>Normal</v>
      </c>
    </row>
    <row r="1306" spans="1:21" ht="23.25" customHeight="1" x14ac:dyDescent="0.35">
      <c r="A1306" t="s">
        <v>2263</v>
      </c>
      <c r="B1306" t="s">
        <v>2263</v>
      </c>
      <c r="C1306">
        <v>1000</v>
      </c>
      <c r="D1306">
        <v>0</v>
      </c>
      <c r="E1306" t="s">
        <v>3021</v>
      </c>
      <c r="F1306" t="s">
        <v>57</v>
      </c>
      <c r="G1306" t="s">
        <v>57</v>
      </c>
      <c r="H1306" t="s">
        <v>3022</v>
      </c>
      <c r="I1306"/>
      <c r="J1306"/>
      <c r="K1306"/>
      <c r="L1306"/>
      <c r="M1306"/>
      <c r="N1306"/>
      <c r="O1306"/>
      <c r="P1306"/>
      <c r="Q1306"/>
      <c r="R1306"/>
      <c r="S1306" s="56">
        <f t="shared" si="60"/>
        <v>3</v>
      </c>
      <c r="T1306" s="57" t="str">
        <f t="shared" si="61"/>
        <v>0-3 Days</v>
      </c>
      <c r="U1306" s="58" t="str">
        <f t="shared" si="62"/>
        <v>Normal</v>
      </c>
    </row>
    <row r="1307" spans="1:21" ht="23.25" customHeight="1" x14ac:dyDescent="0.35">
      <c r="A1307" t="s">
        <v>2263</v>
      </c>
      <c r="B1307" t="s">
        <v>2263</v>
      </c>
      <c r="C1307">
        <v>0</v>
      </c>
      <c r="D1307">
        <v>1000</v>
      </c>
      <c r="E1307" t="s">
        <v>3023</v>
      </c>
      <c r="F1307" t="s">
        <v>57</v>
      </c>
      <c r="G1307" t="s">
        <v>57</v>
      </c>
      <c r="H1307" t="s">
        <v>3024</v>
      </c>
      <c r="I1307"/>
      <c r="J1307"/>
      <c r="K1307"/>
      <c r="L1307"/>
      <c r="M1307"/>
      <c r="N1307"/>
      <c r="O1307"/>
      <c r="P1307"/>
      <c r="Q1307"/>
      <c r="R1307"/>
      <c r="S1307" s="56">
        <f t="shared" si="60"/>
        <v>3</v>
      </c>
      <c r="T1307" s="57" t="str">
        <f t="shared" si="61"/>
        <v>0-3 Days</v>
      </c>
      <c r="U1307" s="58" t="str">
        <f t="shared" si="62"/>
        <v>Not Applicable</v>
      </c>
    </row>
    <row r="1308" spans="1:21" ht="23.25" customHeight="1" x14ac:dyDescent="0.35">
      <c r="A1308" t="s">
        <v>2263</v>
      </c>
      <c r="B1308" t="s">
        <v>2263</v>
      </c>
      <c r="C1308">
        <v>1432</v>
      </c>
      <c r="D1308">
        <v>0</v>
      </c>
      <c r="E1308" t="s">
        <v>3025</v>
      </c>
      <c r="F1308" t="s">
        <v>57</v>
      </c>
      <c r="G1308" t="s">
        <v>57</v>
      </c>
      <c r="H1308" t="s">
        <v>3026</v>
      </c>
      <c r="I1308"/>
      <c r="J1308"/>
      <c r="K1308"/>
      <c r="L1308"/>
      <c r="M1308"/>
      <c r="N1308"/>
      <c r="O1308"/>
      <c r="P1308"/>
      <c r="Q1308"/>
      <c r="R1308"/>
      <c r="S1308" s="56">
        <f t="shared" si="60"/>
        <v>3</v>
      </c>
      <c r="T1308" s="57" t="str">
        <f t="shared" si="61"/>
        <v>0-3 Days</v>
      </c>
      <c r="U1308" s="58" t="str">
        <f t="shared" si="62"/>
        <v>Normal</v>
      </c>
    </row>
    <row r="1309" spans="1:21" ht="23.25" customHeight="1" x14ac:dyDescent="0.35">
      <c r="A1309" t="s">
        <v>2263</v>
      </c>
      <c r="B1309" t="s">
        <v>2263</v>
      </c>
      <c r="C1309">
        <v>72</v>
      </c>
      <c r="D1309">
        <v>0</v>
      </c>
      <c r="E1309" t="s">
        <v>3027</v>
      </c>
      <c r="F1309" t="s">
        <v>57</v>
      </c>
      <c r="G1309" t="s">
        <v>57</v>
      </c>
      <c r="H1309" t="s">
        <v>3028</v>
      </c>
      <c r="I1309"/>
      <c r="J1309"/>
      <c r="K1309"/>
      <c r="L1309"/>
      <c r="M1309"/>
      <c r="N1309"/>
      <c r="O1309"/>
      <c r="P1309"/>
      <c r="Q1309"/>
      <c r="R1309"/>
      <c r="S1309" s="56">
        <f t="shared" si="60"/>
        <v>3</v>
      </c>
      <c r="T1309" s="57" t="str">
        <f t="shared" si="61"/>
        <v>0-3 Days</v>
      </c>
      <c r="U1309" s="58" t="str">
        <f t="shared" si="62"/>
        <v>Normal</v>
      </c>
    </row>
    <row r="1310" spans="1:21" ht="23.25" customHeight="1" x14ac:dyDescent="0.35">
      <c r="A1310" t="s">
        <v>2263</v>
      </c>
      <c r="B1310" t="s">
        <v>2263</v>
      </c>
      <c r="C1310">
        <v>2175</v>
      </c>
      <c r="D1310">
        <v>0</v>
      </c>
      <c r="E1310" t="s">
        <v>3029</v>
      </c>
      <c r="F1310" t="s">
        <v>57</v>
      </c>
      <c r="G1310" t="s">
        <v>57</v>
      </c>
      <c r="H1310" t="s">
        <v>3030</v>
      </c>
      <c r="I1310"/>
      <c r="J1310"/>
      <c r="K1310"/>
      <c r="L1310"/>
      <c r="M1310"/>
      <c r="N1310"/>
      <c r="O1310"/>
      <c r="P1310"/>
      <c r="Q1310"/>
      <c r="R1310"/>
      <c r="S1310" s="56">
        <f t="shared" si="60"/>
        <v>3</v>
      </c>
      <c r="T1310" s="57" t="str">
        <f t="shared" si="61"/>
        <v>0-3 Days</v>
      </c>
      <c r="U1310" s="58" t="str">
        <f t="shared" si="62"/>
        <v>Normal</v>
      </c>
    </row>
    <row r="1311" spans="1:21" ht="23.25" customHeight="1" x14ac:dyDescent="0.35">
      <c r="A1311" t="s">
        <v>2263</v>
      </c>
      <c r="B1311" t="s">
        <v>2263</v>
      </c>
      <c r="C1311">
        <v>800</v>
      </c>
      <c r="D1311">
        <v>0</v>
      </c>
      <c r="E1311" t="s">
        <v>3031</v>
      </c>
      <c r="F1311" t="s">
        <v>57</v>
      </c>
      <c r="G1311" t="s">
        <v>57</v>
      </c>
      <c r="H1311" t="s">
        <v>3032</v>
      </c>
      <c r="I1311"/>
      <c r="J1311"/>
      <c r="K1311"/>
      <c r="L1311"/>
      <c r="M1311"/>
      <c r="N1311"/>
      <c r="O1311"/>
      <c r="P1311"/>
      <c r="Q1311"/>
      <c r="R1311"/>
      <c r="S1311" s="56">
        <f t="shared" si="60"/>
        <v>3</v>
      </c>
      <c r="T1311" s="57" t="str">
        <f t="shared" si="61"/>
        <v>0-3 Days</v>
      </c>
      <c r="U1311" s="58" t="str">
        <f t="shared" si="62"/>
        <v>Normal</v>
      </c>
    </row>
    <row r="1312" spans="1:21" ht="23.25" customHeight="1" x14ac:dyDescent="0.35">
      <c r="A1312" t="s">
        <v>2263</v>
      </c>
      <c r="B1312" t="s">
        <v>2263</v>
      </c>
      <c r="C1312">
        <v>1000</v>
      </c>
      <c r="D1312">
        <v>0</v>
      </c>
      <c r="E1312" t="s">
        <v>3033</v>
      </c>
      <c r="F1312" t="s">
        <v>57</v>
      </c>
      <c r="G1312" t="s">
        <v>57</v>
      </c>
      <c r="H1312" t="s">
        <v>3034</v>
      </c>
      <c r="I1312"/>
      <c r="J1312"/>
      <c r="K1312"/>
      <c r="L1312"/>
      <c r="M1312"/>
      <c r="N1312"/>
      <c r="O1312"/>
      <c r="P1312"/>
      <c r="Q1312"/>
      <c r="R1312"/>
      <c r="S1312" s="56">
        <f t="shared" si="60"/>
        <v>3</v>
      </c>
      <c r="T1312" s="57" t="str">
        <f t="shared" si="61"/>
        <v>0-3 Days</v>
      </c>
      <c r="U1312" s="58" t="str">
        <f t="shared" si="62"/>
        <v>Normal</v>
      </c>
    </row>
    <row r="1313" spans="1:21" ht="23.25" customHeight="1" x14ac:dyDescent="0.35">
      <c r="A1313" t="s">
        <v>2263</v>
      </c>
      <c r="B1313" t="s">
        <v>2263</v>
      </c>
      <c r="C1313">
        <v>1000</v>
      </c>
      <c r="D1313">
        <v>0</v>
      </c>
      <c r="E1313" t="s">
        <v>3035</v>
      </c>
      <c r="F1313" t="s">
        <v>57</v>
      </c>
      <c r="G1313" t="s">
        <v>57</v>
      </c>
      <c r="H1313" t="s">
        <v>3036</v>
      </c>
      <c r="I1313"/>
      <c r="J1313"/>
      <c r="K1313"/>
      <c r="L1313"/>
      <c r="M1313"/>
      <c r="N1313"/>
      <c r="O1313"/>
      <c r="P1313"/>
      <c r="Q1313"/>
      <c r="R1313"/>
      <c r="S1313" s="56">
        <f t="shared" si="60"/>
        <v>3</v>
      </c>
      <c r="T1313" s="57" t="str">
        <f t="shared" si="61"/>
        <v>0-3 Days</v>
      </c>
      <c r="U1313" s="58" t="str">
        <f t="shared" si="62"/>
        <v>Normal</v>
      </c>
    </row>
    <row r="1314" spans="1:21" ht="23.25" customHeight="1" x14ac:dyDescent="0.35">
      <c r="A1314" t="s">
        <v>2263</v>
      </c>
      <c r="B1314" t="s">
        <v>2263</v>
      </c>
      <c r="C1314">
        <v>1000</v>
      </c>
      <c r="D1314">
        <v>0</v>
      </c>
      <c r="E1314" t="s">
        <v>3037</v>
      </c>
      <c r="F1314" t="s">
        <v>57</v>
      </c>
      <c r="G1314" t="s">
        <v>57</v>
      </c>
      <c r="H1314" t="s">
        <v>3038</v>
      </c>
      <c r="I1314"/>
      <c r="J1314"/>
      <c r="K1314"/>
      <c r="L1314"/>
      <c r="M1314"/>
      <c r="N1314"/>
      <c r="O1314"/>
      <c r="P1314"/>
      <c r="Q1314"/>
      <c r="R1314"/>
      <c r="S1314" s="56">
        <f t="shared" si="60"/>
        <v>3</v>
      </c>
      <c r="T1314" s="57" t="str">
        <f t="shared" si="61"/>
        <v>0-3 Days</v>
      </c>
      <c r="U1314" s="58" t="str">
        <f t="shared" si="62"/>
        <v>Normal</v>
      </c>
    </row>
    <row r="1315" spans="1:21" ht="23.25" customHeight="1" x14ac:dyDescent="0.35">
      <c r="A1315" t="s">
        <v>2263</v>
      </c>
      <c r="B1315" t="s">
        <v>2263</v>
      </c>
      <c r="C1315">
        <v>1000</v>
      </c>
      <c r="D1315">
        <v>0</v>
      </c>
      <c r="E1315" t="s">
        <v>3039</v>
      </c>
      <c r="F1315" t="s">
        <v>57</v>
      </c>
      <c r="G1315" t="s">
        <v>57</v>
      </c>
      <c r="H1315" t="s">
        <v>3040</v>
      </c>
      <c r="I1315"/>
      <c r="J1315"/>
      <c r="K1315"/>
      <c r="L1315"/>
      <c r="M1315"/>
      <c r="N1315"/>
      <c r="O1315"/>
      <c r="P1315"/>
      <c r="Q1315"/>
      <c r="R1315"/>
      <c r="S1315" s="56">
        <f t="shared" si="60"/>
        <v>3</v>
      </c>
      <c r="T1315" s="57" t="str">
        <f t="shared" si="61"/>
        <v>0-3 Days</v>
      </c>
      <c r="U1315" s="58" t="str">
        <f t="shared" si="62"/>
        <v>Normal</v>
      </c>
    </row>
    <row r="1316" spans="1:21" ht="23.25" customHeight="1" x14ac:dyDescent="0.35">
      <c r="A1316" t="s">
        <v>2263</v>
      </c>
      <c r="B1316" t="s">
        <v>2263</v>
      </c>
      <c r="C1316">
        <v>600</v>
      </c>
      <c r="D1316">
        <v>0</v>
      </c>
      <c r="E1316" t="s">
        <v>3041</v>
      </c>
      <c r="F1316" t="s">
        <v>57</v>
      </c>
      <c r="G1316" t="s">
        <v>57</v>
      </c>
      <c r="H1316" t="s">
        <v>3042</v>
      </c>
      <c r="I1316"/>
      <c r="J1316"/>
      <c r="K1316"/>
      <c r="L1316"/>
      <c r="M1316"/>
      <c r="N1316"/>
      <c r="O1316"/>
      <c r="P1316"/>
      <c r="Q1316"/>
      <c r="R1316"/>
      <c r="S1316" s="56">
        <f t="shared" si="60"/>
        <v>3</v>
      </c>
      <c r="T1316" s="57" t="str">
        <f t="shared" si="61"/>
        <v>0-3 Days</v>
      </c>
      <c r="U1316" s="58" t="str">
        <f t="shared" si="62"/>
        <v>Normal</v>
      </c>
    </row>
    <row r="1317" spans="1:21" ht="23.25" customHeight="1" x14ac:dyDescent="0.35">
      <c r="A1317" t="s">
        <v>2263</v>
      </c>
      <c r="B1317" t="s">
        <v>2263</v>
      </c>
      <c r="C1317">
        <v>1000</v>
      </c>
      <c r="D1317">
        <v>0</v>
      </c>
      <c r="E1317" t="s">
        <v>3043</v>
      </c>
      <c r="F1317" t="s">
        <v>57</v>
      </c>
      <c r="G1317" t="s">
        <v>57</v>
      </c>
      <c r="H1317" t="s">
        <v>3044</v>
      </c>
      <c r="I1317"/>
      <c r="J1317"/>
      <c r="K1317"/>
      <c r="L1317"/>
      <c r="M1317"/>
      <c r="N1317"/>
      <c r="O1317"/>
      <c r="P1317"/>
      <c r="Q1317"/>
      <c r="R1317"/>
      <c r="S1317" s="56">
        <f t="shared" si="60"/>
        <v>3</v>
      </c>
      <c r="T1317" s="57" t="str">
        <f t="shared" si="61"/>
        <v>0-3 Days</v>
      </c>
      <c r="U1317" s="58" t="str">
        <f t="shared" si="62"/>
        <v>Normal</v>
      </c>
    </row>
    <row r="1318" spans="1:21" ht="23.25" customHeight="1" x14ac:dyDescent="0.35">
      <c r="A1318" t="s">
        <v>2263</v>
      </c>
      <c r="B1318" t="s">
        <v>2263</v>
      </c>
      <c r="C1318">
        <v>1000</v>
      </c>
      <c r="D1318">
        <v>0</v>
      </c>
      <c r="E1318" t="s">
        <v>3045</v>
      </c>
      <c r="F1318" t="s">
        <v>57</v>
      </c>
      <c r="G1318" t="s">
        <v>57</v>
      </c>
      <c r="H1318" t="s">
        <v>3046</v>
      </c>
      <c r="I1318"/>
      <c r="J1318"/>
      <c r="K1318"/>
      <c r="L1318"/>
      <c r="M1318"/>
      <c r="N1318"/>
      <c r="O1318"/>
      <c r="P1318"/>
      <c r="Q1318"/>
      <c r="R1318"/>
      <c r="S1318" s="56">
        <f t="shared" si="60"/>
        <v>3</v>
      </c>
      <c r="T1318" s="57" t="str">
        <f t="shared" si="61"/>
        <v>0-3 Days</v>
      </c>
      <c r="U1318" s="58" t="str">
        <f t="shared" si="62"/>
        <v>Normal</v>
      </c>
    </row>
    <row r="1319" spans="1:21" ht="23.25" customHeight="1" x14ac:dyDescent="0.35">
      <c r="A1319" t="s">
        <v>2263</v>
      </c>
      <c r="B1319" t="s">
        <v>2263</v>
      </c>
      <c r="C1319">
        <v>1046</v>
      </c>
      <c r="D1319">
        <v>0</v>
      </c>
      <c r="E1319" t="s">
        <v>3047</v>
      </c>
      <c r="F1319" t="s">
        <v>57</v>
      </c>
      <c r="G1319" t="s">
        <v>57</v>
      </c>
      <c r="H1319" t="s">
        <v>3048</v>
      </c>
      <c r="I1319"/>
      <c r="J1319"/>
      <c r="K1319"/>
      <c r="L1319"/>
      <c r="M1319"/>
      <c r="N1319"/>
      <c r="O1319"/>
      <c r="P1319"/>
      <c r="Q1319"/>
      <c r="R1319"/>
      <c r="S1319" s="56">
        <f t="shared" si="60"/>
        <v>3</v>
      </c>
      <c r="T1319" s="57" t="str">
        <f t="shared" si="61"/>
        <v>0-3 Days</v>
      </c>
      <c r="U1319" s="58" t="str">
        <f t="shared" si="62"/>
        <v>Normal</v>
      </c>
    </row>
    <row r="1320" spans="1:21" ht="23.25" customHeight="1" x14ac:dyDescent="0.35">
      <c r="A1320" t="s">
        <v>2263</v>
      </c>
      <c r="B1320" t="s">
        <v>2263</v>
      </c>
      <c r="C1320">
        <v>4932</v>
      </c>
      <c r="D1320">
        <v>0</v>
      </c>
      <c r="E1320" t="s">
        <v>3049</v>
      </c>
      <c r="F1320" t="s">
        <v>57</v>
      </c>
      <c r="G1320" t="s">
        <v>57</v>
      </c>
      <c r="H1320" t="s">
        <v>3050</v>
      </c>
      <c r="I1320"/>
      <c r="J1320"/>
      <c r="K1320"/>
      <c r="L1320"/>
      <c r="M1320"/>
      <c r="N1320"/>
      <c r="O1320"/>
      <c r="P1320"/>
      <c r="Q1320"/>
      <c r="R1320"/>
      <c r="S1320" s="56">
        <f t="shared" si="60"/>
        <v>3</v>
      </c>
      <c r="T1320" s="57" t="str">
        <f t="shared" si="61"/>
        <v>0-3 Days</v>
      </c>
      <c r="U1320" s="58" t="str">
        <f t="shared" si="62"/>
        <v>Normal</v>
      </c>
    </row>
    <row r="1321" spans="1:21" ht="23.25" customHeight="1" x14ac:dyDescent="0.35">
      <c r="A1321" t="s">
        <v>2263</v>
      </c>
      <c r="B1321" t="s">
        <v>2263</v>
      </c>
      <c r="C1321">
        <v>4615</v>
      </c>
      <c r="D1321">
        <v>0</v>
      </c>
      <c r="E1321" t="s">
        <v>3051</v>
      </c>
      <c r="F1321" t="s">
        <v>57</v>
      </c>
      <c r="G1321" t="s">
        <v>57</v>
      </c>
      <c r="H1321" t="s">
        <v>3052</v>
      </c>
      <c r="I1321"/>
      <c r="J1321"/>
      <c r="K1321"/>
      <c r="L1321"/>
      <c r="M1321"/>
      <c r="N1321"/>
      <c r="O1321"/>
      <c r="P1321"/>
      <c r="Q1321"/>
      <c r="R1321"/>
      <c r="S1321" s="56">
        <f t="shared" si="60"/>
        <v>3</v>
      </c>
      <c r="T1321" s="57" t="str">
        <f t="shared" si="61"/>
        <v>0-3 Days</v>
      </c>
      <c r="U1321" s="58" t="str">
        <f t="shared" si="62"/>
        <v>Normal</v>
      </c>
    </row>
    <row r="1322" spans="1:21" ht="23.25" customHeight="1" x14ac:dyDescent="0.35">
      <c r="A1322" t="s">
        <v>2263</v>
      </c>
      <c r="B1322" t="s">
        <v>2263</v>
      </c>
      <c r="C1322">
        <v>1000</v>
      </c>
      <c r="D1322">
        <v>0</v>
      </c>
      <c r="E1322" t="s">
        <v>3053</v>
      </c>
      <c r="F1322" t="s">
        <v>57</v>
      </c>
      <c r="G1322" t="s">
        <v>57</v>
      </c>
      <c r="H1322" t="s">
        <v>3054</v>
      </c>
      <c r="I1322"/>
      <c r="J1322"/>
      <c r="K1322"/>
      <c r="L1322"/>
      <c r="M1322"/>
      <c r="N1322"/>
      <c r="O1322"/>
      <c r="P1322"/>
      <c r="Q1322"/>
      <c r="R1322"/>
      <c r="S1322" s="56">
        <f t="shared" si="60"/>
        <v>3</v>
      </c>
      <c r="T1322" s="57" t="str">
        <f t="shared" si="61"/>
        <v>0-3 Days</v>
      </c>
      <c r="U1322" s="58" t="str">
        <f t="shared" si="62"/>
        <v>Normal</v>
      </c>
    </row>
    <row r="1323" spans="1:21" ht="23.25" customHeight="1" x14ac:dyDescent="0.35">
      <c r="A1323" t="s">
        <v>2263</v>
      </c>
      <c r="B1323" t="s">
        <v>2263</v>
      </c>
      <c r="C1323">
        <v>2050</v>
      </c>
      <c r="D1323">
        <v>0</v>
      </c>
      <c r="E1323" t="s">
        <v>3055</v>
      </c>
      <c r="F1323" t="s">
        <v>57</v>
      </c>
      <c r="G1323" t="s">
        <v>57</v>
      </c>
      <c r="H1323" t="s">
        <v>3056</v>
      </c>
      <c r="I1323"/>
      <c r="J1323"/>
      <c r="K1323"/>
      <c r="L1323"/>
      <c r="M1323"/>
      <c r="N1323"/>
      <c r="O1323"/>
      <c r="P1323"/>
      <c r="Q1323"/>
      <c r="R1323"/>
      <c r="S1323" s="56">
        <f t="shared" si="60"/>
        <v>3</v>
      </c>
      <c r="T1323" s="57" t="str">
        <f t="shared" si="61"/>
        <v>0-3 Days</v>
      </c>
      <c r="U1323" s="58" t="str">
        <f t="shared" si="62"/>
        <v>Normal</v>
      </c>
    </row>
    <row r="1324" spans="1:21" ht="23.25" customHeight="1" x14ac:dyDescent="0.35">
      <c r="A1324" t="s">
        <v>2263</v>
      </c>
      <c r="B1324" t="s">
        <v>2263</v>
      </c>
      <c r="C1324">
        <v>1000</v>
      </c>
      <c r="D1324">
        <v>0</v>
      </c>
      <c r="E1324" t="s">
        <v>3057</v>
      </c>
      <c r="F1324" t="s">
        <v>57</v>
      </c>
      <c r="G1324" t="s">
        <v>57</v>
      </c>
      <c r="H1324" t="s">
        <v>3058</v>
      </c>
      <c r="I1324"/>
      <c r="J1324"/>
      <c r="K1324"/>
      <c r="L1324"/>
      <c r="M1324"/>
      <c r="N1324"/>
      <c r="O1324"/>
      <c r="P1324"/>
      <c r="Q1324"/>
      <c r="R1324"/>
      <c r="S1324" s="56">
        <f t="shared" si="60"/>
        <v>3</v>
      </c>
      <c r="T1324" s="57" t="str">
        <f t="shared" si="61"/>
        <v>0-3 Days</v>
      </c>
      <c r="U1324" s="58" t="str">
        <f t="shared" si="62"/>
        <v>Normal</v>
      </c>
    </row>
    <row r="1325" spans="1:21" ht="23.25" customHeight="1" x14ac:dyDescent="0.35">
      <c r="A1325" t="s">
        <v>2263</v>
      </c>
      <c r="B1325" t="s">
        <v>2263</v>
      </c>
      <c r="C1325">
        <v>135439.81</v>
      </c>
      <c r="D1325">
        <v>0</v>
      </c>
      <c r="E1325" t="s">
        <v>3059</v>
      </c>
      <c r="F1325" t="s">
        <v>3060</v>
      </c>
      <c r="G1325" t="s">
        <v>3060</v>
      </c>
      <c r="H1325" t="s">
        <v>3061</v>
      </c>
      <c r="I1325" t="s">
        <v>3062</v>
      </c>
      <c r="J1325" t="s">
        <v>3063</v>
      </c>
      <c r="K1325" t="s">
        <v>3062</v>
      </c>
      <c r="L1325" t="s">
        <v>3062</v>
      </c>
      <c r="M1325"/>
      <c r="N1325"/>
      <c r="O1325" t="s">
        <v>3062</v>
      </c>
      <c r="P1325" t="s">
        <v>3064</v>
      </c>
      <c r="Q1325"/>
      <c r="R1325"/>
      <c r="S1325" s="56">
        <f t="shared" si="60"/>
        <v>3</v>
      </c>
      <c r="T1325" s="57" t="str">
        <f t="shared" si="61"/>
        <v>0-3 Days</v>
      </c>
      <c r="U1325" s="58" t="str">
        <f t="shared" si="62"/>
        <v>Normal</v>
      </c>
    </row>
    <row r="1326" spans="1:21" ht="23.25" customHeight="1" x14ac:dyDescent="0.35">
      <c r="A1326" t="s">
        <v>2263</v>
      </c>
      <c r="B1326" t="s">
        <v>2263</v>
      </c>
      <c r="C1326">
        <v>1524</v>
      </c>
      <c r="D1326">
        <v>0</v>
      </c>
      <c r="E1326" t="s">
        <v>3065</v>
      </c>
      <c r="F1326" t="s">
        <v>57</v>
      </c>
      <c r="G1326" t="s">
        <v>57</v>
      </c>
      <c r="H1326" t="s">
        <v>3066</v>
      </c>
      <c r="I1326"/>
      <c r="J1326"/>
      <c r="K1326"/>
      <c r="L1326"/>
      <c r="M1326"/>
      <c r="N1326"/>
      <c r="O1326"/>
      <c r="P1326"/>
      <c r="Q1326"/>
      <c r="R1326"/>
      <c r="S1326" s="56">
        <f t="shared" si="60"/>
        <v>3</v>
      </c>
      <c r="T1326" s="57" t="str">
        <f t="shared" si="61"/>
        <v>0-3 Days</v>
      </c>
      <c r="U1326" s="58" t="str">
        <f t="shared" si="62"/>
        <v>Normal</v>
      </c>
    </row>
    <row r="1327" spans="1:21" ht="23.25" customHeight="1" x14ac:dyDescent="0.35">
      <c r="A1327" t="s">
        <v>2263</v>
      </c>
      <c r="B1327" t="s">
        <v>2263</v>
      </c>
      <c r="C1327">
        <v>250</v>
      </c>
      <c r="D1327">
        <v>0</v>
      </c>
      <c r="E1327" t="s">
        <v>3067</v>
      </c>
      <c r="F1327" t="s">
        <v>57</v>
      </c>
      <c r="G1327" t="s">
        <v>57</v>
      </c>
      <c r="H1327" t="s">
        <v>3068</v>
      </c>
      <c r="I1327"/>
      <c r="J1327"/>
      <c r="K1327"/>
      <c r="L1327"/>
      <c r="M1327"/>
      <c r="N1327"/>
      <c r="O1327"/>
      <c r="P1327"/>
      <c r="Q1327"/>
      <c r="R1327"/>
      <c r="S1327" s="56">
        <f t="shared" si="60"/>
        <v>3</v>
      </c>
      <c r="T1327" s="57" t="str">
        <f t="shared" si="61"/>
        <v>0-3 Days</v>
      </c>
      <c r="U1327" s="58" t="str">
        <f t="shared" si="62"/>
        <v>Normal</v>
      </c>
    </row>
    <row r="1328" spans="1:21" ht="23.25" customHeight="1" x14ac:dyDescent="0.35">
      <c r="A1328" t="s">
        <v>2263</v>
      </c>
      <c r="B1328" t="s">
        <v>2263</v>
      </c>
      <c r="C1328">
        <v>1416</v>
      </c>
      <c r="D1328">
        <v>0</v>
      </c>
      <c r="E1328" t="s">
        <v>3069</v>
      </c>
      <c r="F1328" t="s">
        <v>57</v>
      </c>
      <c r="G1328" t="s">
        <v>57</v>
      </c>
      <c r="H1328" t="s">
        <v>3070</v>
      </c>
      <c r="I1328"/>
      <c r="J1328"/>
      <c r="K1328"/>
      <c r="L1328"/>
      <c r="M1328"/>
      <c r="N1328"/>
      <c r="O1328"/>
      <c r="P1328"/>
      <c r="Q1328"/>
      <c r="R1328"/>
      <c r="S1328" s="56">
        <f t="shared" si="60"/>
        <v>3</v>
      </c>
      <c r="T1328" s="57" t="str">
        <f t="shared" si="61"/>
        <v>0-3 Days</v>
      </c>
      <c r="U1328" s="58" t="str">
        <f t="shared" si="62"/>
        <v>Normal</v>
      </c>
    </row>
    <row r="1329" spans="1:21" ht="23.25" customHeight="1" x14ac:dyDescent="0.35">
      <c r="A1329" t="s">
        <v>2263</v>
      </c>
      <c r="B1329" t="s">
        <v>2263</v>
      </c>
      <c r="C1329">
        <v>1000</v>
      </c>
      <c r="D1329">
        <v>0</v>
      </c>
      <c r="E1329" t="s">
        <v>3071</v>
      </c>
      <c r="F1329" t="s">
        <v>57</v>
      </c>
      <c r="G1329" t="s">
        <v>57</v>
      </c>
      <c r="H1329" t="s">
        <v>3072</v>
      </c>
      <c r="I1329"/>
      <c r="J1329"/>
      <c r="K1329"/>
      <c r="L1329"/>
      <c r="M1329"/>
      <c r="N1329"/>
      <c r="O1329"/>
      <c r="P1329"/>
      <c r="Q1329"/>
      <c r="R1329"/>
      <c r="S1329" s="56">
        <f t="shared" si="60"/>
        <v>3</v>
      </c>
      <c r="T1329" s="57" t="str">
        <f t="shared" si="61"/>
        <v>0-3 Days</v>
      </c>
      <c r="U1329" s="58" t="str">
        <f t="shared" si="62"/>
        <v>Normal</v>
      </c>
    </row>
    <row r="1330" spans="1:21" ht="23.25" customHeight="1" x14ac:dyDescent="0.35">
      <c r="A1330" t="s">
        <v>2263</v>
      </c>
      <c r="B1330" t="s">
        <v>2263</v>
      </c>
      <c r="C1330">
        <v>1000</v>
      </c>
      <c r="D1330">
        <v>0</v>
      </c>
      <c r="E1330" t="s">
        <v>3073</v>
      </c>
      <c r="F1330" t="s">
        <v>57</v>
      </c>
      <c r="G1330" t="s">
        <v>57</v>
      </c>
      <c r="H1330" t="s">
        <v>3074</v>
      </c>
      <c r="I1330"/>
      <c r="J1330"/>
      <c r="K1330"/>
      <c r="L1330"/>
      <c r="M1330"/>
      <c r="N1330"/>
      <c r="O1330"/>
      <c r="P1330"/>
      <c r="Q1330"/>
      <c r="R1330"/>
      <c r="S1330" s="56">
        <f t="shared" si="60"/>
        <v>3</v>
      </c>
      <c r="T1330" s="57" t="str">
        <f t="shared" si="61"/>
        <v>0-3 Days</v>
      </c>
      <c r="U1330" s="58" t="str">
        <f t="shared" si="62"/>
        <v>Normal</v>
      </c>
    </row>
    <row r="1331" spans="1:21" ht="23.25" customHeight="1" x14ac:dyDescent="0.35">
      <c r="A1331" t="s">
        <v>2263</v>
      </c>
      <c r="B1331" t="s">
        <v>2263</v>
      </c>
      <c r="C1331">
        <v>1012</v>
      </c>
      <c r="D1331">
        <v>0</v>
      </c>
      <c r="E1331" t="s">
        <v>3075</v>
      </c>
      <c r="F1331" t="s">
        <v>57</v>
      </c>
      <c r="G1331" t="s">
        <v>57</v>
      </c>
      <c r="H1331" t="s">
        <v>3076</v>
      </c>
      <c r="I1331"/>
      <c r="J1331"/>
      <c r="K1331"/>
      <c r="L1331"/>
      <c r="M1331"/>
      <c r="N1331"/>
      <c r="O1331"/>
      <c r="P1331"/>
      <c r="Q1331"/>
      <c r="R1331"/>
      <c r="S1331" s="56">
        <f t="shared" si="60"/>
        <v>3</v>
      </c>
      <c r="T1331" s="57" t="str">
        <f t="shared" si="61"/>
        <v>0-3 Days</v>
      </c>
      <c r="U1331" s="58" t="str">
        <f t="shared" si="62"/>
        <v>Normal</v>
      </c>
    </row>
    <row r="1332" spans="1:21" ht="23.25" customHeight="1" x14ac:dyDescent="0.35">
      <c r="A1332" t="s">
        <v>2263</v>
      </c>
      <c r="B1332" t="s">
        <v>2263</v>
      </c>
      <c r="C1332">
        <v>250</v>
      </c>
      <c r="D1332">
        <v>0</v>
      </c>
      <c r="E1332" t="s">
        <v>3077</v>
      </c>
      <c r="F1332" t="s">
        <v>57</v>
      </c>
      <c r="G1332" t="s">
        <v>57</v>
      </c>
      <c r="H1332" t="s">
        <v>3078</v>
      </c>
      <c r="I1332"/>
      <c r="J1332"/>
      <c r="K1332"/>
      <c r="L1332"/>
      <c r="M1332"/>
      <c r="N1332"/>
      <c r="O1332"/>
      <c r="P1332"/>
      <c r="Q1332"/>
      <c r="R1332"/>
      <c r="S1332" s="56">
        <f t="shared" si="60"/>
        <v>3</v>
      </c>
      <c r="T1332" s="57" t="str">
        <f t="shared" si="61"/>
        <v>0-3 Days</v>
      </c>
      <c r="U1332" s="58" t="str">
        <f t="shared" si="62"/>
        <v>Normal</v>
      </c>
    </row>
    <row r="1333" spans="1:21" ht="23.25" customHeight="1" x14ac:dyDescent="0.35">
      <c r="A1333" t="s">
        <v>2263</v>
      </c>
      <c r="B1333" t="s">
        <v>2263</v>
      </c>
      <c r="C1333">
        <v>1000</v>
      </c>
      <c r="D1333">
        <v>0</v>
      </c>
      <c r="E1333" t="s">
        <v>3079</v>
      </c>
      <c r="F1333" t="s">
        <v>57</v>
      </c>
      <c r="G1333" t="s">
        <v>57</v>
      </c>
      <c r="H1333" t="s">
        <v>3080</v>
      </c>
      <c r="I1333"/>
      <c r="J1333"/>
      <c r="K1333"/>
      <c r="L1333"/>
      <c r="M1333"/>
      <c r="N1333"/>
      <c r="O1333"/>
      <c r="P1333"/>
      <c r="Q1333"/>
      <c r="R1333"/>
      <c r="S1333" s="56">
        <f t="shared" si="60"/>
        <v>3</v>
      </c>
      <c r="T1333" s="57" t="str">
        <f t="shared" si="61"/>
        <v>0-3 Days</v>
      </c>
      <c r="U1333" s="58" t="str">
        <f t="shared" si="62"/>
        <v>Normal</v>
      </c>
    </row>
    <row r="1334" spans="1:21" ht="23.25" customHeight="1" x14ac:dyDescent="0.35">
      <c r="A1334" t="s">
        <v>2263</v>
      </c>
      <c r="B1334" t="s">
        <v>2263</v>
      </c>
      <c r="C1334">
        <v>2050</v>
      </c>
      <c r="D1334">
        <v>0</v>
      </c>
      <c r="E1334" t="s">
        <v>3081</v>
      </c>
      <c r="F1334" t="s">
        <v>57</v>
      </c>
      <c r="G1334" t="s">
        <v>57</v>
      </c>
      <c r="H1334" t="s">
        <v>3082</v>
      </c>
      <c r="I1334"/>
      <c r="J1334"/>
      <c r="K1334"/>
      <c r="L1334"/>
      <c r="M1334"/>
      <c r="N1334"/>
      <c r="O1334"/>
      <c r="P1334"/>
      <c r="Q1334"/>
      <c r="R1334"/>
      <c r="S1334" s="56">
        <f t="shared" si="60"/>
        <v>3</v>
      </c>
      <c r="T1334" s="57" t="str">
        <f t="shared" si="61"/>
        <v>0-3 Days</v>
      </c>
      <c r="U1334" s="58" t="str">
        <f t="shared" si="62"/>
        <v>Normal</v>
      </c>
    </row>
    <row r="1335" spans="1:21" ht="23.25" customHeight="1" x14ac:dyDescent="0.35">
      <c r="A1335" t="s">
        <v>2263</v>
      </c>
      <c r="B1335" t="s">
        <v>2263</v>
      </c>
      <c r="C1335">
        <v>2050</v>
      </c>
      <c r="D1335">
        <v>0</v>
      </c>
      <c r="E1335" t="s">
        <v>3083</v>
      </c>
      <c r="F1335" t="s">
        <v>57</v>
      </c>
      <c r="G1335" t="s">
        <v>57</v>
      </c>
      <c r="H1335" t="s">
        <v>3084</v>
      </c>
      <c r="I1335"/>
      <c r="J1335"/>
      <c r="K1335"/>
      <c r="L1335"/>
      <c r="M1335"/>
      <c r="N1335"/>
      <c r="O1335"/>
      <c r="P1335"/>
      <c r="Q1335"/>
      <c r="R1335"/>
      <c r="S1335" s="56">
        <f t="shared" si="60"/>
        <v>3</v>
      </c>
      <c r="T1335" s="57" t="str">
        <f t="shared" si="61"/>
        <v>0-3 Days</v>
      </c>
      <c r="U1335" s="58" t="str">
        <f t="shared" si="62"/>
        <v>Normal</v>
      </c>
    </row>
    <row r="1336" spans="1:21" ht="23.25" customHeight="1" x14ac:dyDescent="0.35">
      <c r="A1336" t="s">
        <v>2263</v>
      </c>
      <c r="B1336" t="s">
        <v>2263</v>
      </c>
      <c r="C1336">
        <v>1082</v>
      </c>
      <c r="D1336">
        <v>0</v>
      </c>
      <c r="E1336" t="s">
        <v>3085</v>
      </c>
      <c r="F1336" t="s">
        <v>57</v>
      </c>
      <c r="G1336" t="s">
        <v>57</v>
      </c>
      <c r="H1336" t="s">
        <v>3086</v>
      </c>
      <c r="I1336"/>
      <c r="J1336"/>
      <c r="K1336"/>
      <c r="L1336"/>
      <c r="M1336"/>
      <c r="N1336"/>
      <c r="O1336"/>
      <c r="P1336"/>
      <c r="Q1336"/>
      <c r="R1336"/>
      <c r="S1336" s="56">
        <f t="shared" si="60"/>
        <v>3</v>
      </c>
      <c r="T1336" s="57" t="str">
        <f t="shared" si="61"/>
        <v>0-3 Days</v>
      </c>
      <c r="U1336" s="58" t="str">
        <f t="shared" si="62"/>
        <v>Normal</v>
      </c>
    </row>
    <row r="1337" spans="1:21" ht="23.25" customHeight="1" x14ac:dyDescent="0.35">
      <c r="A1337" t="s">
        <v>2263</v>
      </c>
      <c r="B1337" t="s">
        <v>2263</v>
      </c>
      <c r="C1337">
        <v>250</v>
      </c>
      <c r="D1337">
        <v>0</v>
      </c>
      <c r="E1337" t="s">
        <v>3087</v>
      </c>
      <c r="F1337" t="s">
        <v>57</v>
      </c>
      <c r="G1337" t="s">
        <v>57</v>
      </c>
      <c r="H1337" t="s">
        <v>3088</v>
      </c>
      <c r="I1337"/>
      <c r="J1337"/>
      <c r="K1337"/>
      <c r="L1337"/>
      <c r="M1337"/>
      <c r="N1337"/>
      <c r="O1337"/>
      <c r="P1337"/>
      <c r="Q1337"/>
      <c r="R1337"/>
      <c r="S1337" s="56">
        <f t="shared" si="60"/>
        <v>3</v>
      </c>
      <c r="T1337" s="57" t="str">
        <f t="shared" si="61"/>
        <v>0-3 Days</v>
      </c>
      <c r="U1337" s="58" t="str">
        <f t="shared" si="62"/>
        <v>Normal</v>
      </c>
    </row>
    <row r="1338" spans="1:21" ht="23.25" customHeight="1" x14ac:dyDescent="0.35">
      <c r="A1338" t="s">
        <v>2263</v>
      </c>
      <c r="B1338" t="s">
        <v>2263</v>
      </c>
      <c r="C1338">
        <v>1000</v>
      </c>
      <c r="D1338">
        <v>0</v>
      </c>
      <c r="E1338" t="s">
        <v>3089</v>
      </c>
      <c r="F1338" t="s">
        <v>57</v>
      </c>
      <c r="G1338" t="s">
        <v>57</v>
      </c>
      <c r="H1338" t="s">
        <v>3090</v>
      </c>
      <c r="I1338"/>
      <c r="J1338"/>
      <c r="K1338"/>
      <c r="L1338"/>
      <c r="M1338"/>
      <c r="N1338"/>
      <c r="O1338"/>
      <c r="P1338"/>
      <c r="Q1338"/>
      <c r="R1338"/>
      <c r="S1338" s="56">
        <f t="shared" si="60"/>
        <v>3</v>
      </c>
      <c r="T1338" s="57" t="str">
        <f t="shared" si="61"/>
        <v>0-3 Days</v>
      </c>
      <c r="U1338" s="58" t="str">
        <f t="shared" si="62"/>
        <v>Normal</v>
      </c>
    </row>
    <row r="1339" spans="1:21" ht="23.25" customHeight="1" x14ac:dyDescent="0.35">
      <c r="A1339" t="s">
        <v>2263</v>
      </c>
      <c r="B1339" t="s">
        <v>2263</v>
      </c>
      <c r="C1339">
        <v>205</v>
      </c>
      <c r="D1339">
        <v>0</v>
      </c>
      <c r="E1339" t="s">
        <v>3091</v>
      </c>
      <c r="F1339" t="s">
        <v>57</v>
      </c>
      <c r="G1339" t="s">
        <v>57</v>
      </c>
      <c r="H1339" t="s">
        <v>3092</v>
      </c>
      <c r="I1339"/>
      <c r="J1339"/>
      <c r="K1339"/>
      <c r="L1339"/>
      <c r="M1339"/>
      <c r="N1339"/>
      <c r="O1339"/>
      <c r="P1339"/>
      <c r="Q1339"/>
      <c r="R1339"/>
      <c r="S1339" s="56">
        <f t="shared" si="60"/>
        <v>3</v>
      </c>
      <c r="T1339" s="57" t="str">
        <f t="shared" si="61"/>
        <v>0-3 Days</v>
      </c>
      <c r="U1339" s="58" t="str">
        <f t="shared" si="62"/>
        <v>Normal</v>
      </c>
    </row>
    <row r="1340" spans="1:21" ht="23.25" customHeight="1" x14ac:dyDescent="0.35">
      <c r="A1340" t="s">
        <v>2263</v>
      </c>
      <c r="B1340" t="s">
        <v>2263</v>
      </c>
      <c r="C1340">
        <v>1000</v>
      </c>
      <c r="D1340">
        <v>0</v>
      </c>
      <c r="E1340" t="s">
        <v>3093</v>
      </c>
      <c r="F1340" t="s">
        <v>57</v>
      </c>
      <c r="G1340" t="s">
        <v>57</v>
      </c>
      <c r="H1340" t="s">
        <v>3094</v>
      </c>
      <c r="I1340"/>
      <c r="J1340"/>
      <c r="K1340"/>
      <c r="L1340"/>
      <c r="M1340"/>
      <c r="N1340"/>
      <c r="O1340"/>
      <c r="P1340"/>
      <c r="Q1340"/>
      <c r="R1340"/>
      <c r="S1340" s="56">
        <f t="shared" si="60"/>
        <v>3</v>
      </c>
      <c r="T1340" s="57" t="str">
        <f t="shared" si="61"/>
        <v>0-3 Days</v>
      </c>
      <c r="U1340" s="58" t="str">
        <f t="shared" si="62"/>
        <v>Normal</v>
      </c>
    </row>
    <row r="1341" spans="1:21" ht="23.25" customHeight="1" x14ac:dyDescent="0.35">
      <c r="A1341" t="s">
        <v>2263</v>
      </c>
      <c r="B1341" t="s">
        <v>2263</v>
      </c>
      <c r="C1341">
        <v>1132</v>
      </c>
      <c r="D1341">
        <v>0</v>
      </c>
      <c r="E1341" t="s">
        <v>3095</v>
      </c>
      <c r="F1341" t="s">
        <v>57</v>
      </c>
      <c r="G1341" t="s">
        <v>57</v>
      </c>
      <c r="H1341" t="s">
        <v>3096</v>
      </c>
      <c r="I1341"/>
      <c r="J1341"/>
      <c r="K1341"/>
      <c r="L1341"/>
      <c r="M1341"/>
      <c r="N1341"/>
      <c r="O1341"/>
      <c r="P1341"/>
      <c r="Q1341"/>
      <c r="R1341"/>
      <c r="S1341" s="56">
        <f t="shared" si="60"/>
        <v>3</v>
      </c>
      <c r="T1341" s="57" t="str">
        <f t="shared" si="61"/>
        <v>0-3 Days</v>
      </c>
      <c r="U1341" s="58" t="str">
        <f t="shared" si="62"/>
        <v>Normal</v>
      </c>
    </row>
    <row r="1342" spans="1:21" ht="23.25" customHeight="1" x14ac:dyDescent="0.35">
      <c r="A1342" t="s">
        <v>2263</v>
      </c>
      <c r="B1342" t="s">
        <v>2263</v>
      </c>
      <c r="C1342">
        <v>1000</v>
      </c>
      <c r="D1342">
        <v>0</v>
      </c>
      <c r="E1342" t="s">
        <v>3097</v>
      </c>
      <c r="F1342" t="s">
        <v>57</v>
      </c>
      <c r="G1342" t="s">
        <v>57</v>
      </c>
      <c r="H1342" t="s">
        <v>3098</v>
      </c>
      <c r="I1342"/>
      <c r="J1342"/>
      <c r="K1342"/>
      <c r="L1342"/>
      <c r="M1342"/>
      <c r="N1342"/>
      <c r="O1342"/>
      <c r="P1342"/>
      <c r="Q1342"/>
      <c r="R1342"/>
      <c r="S1342" s="56">
        <f t="shared" si="60"/>
        <v>3</v>
      </c>
      <c r="T1342" s="57" t="str">
        <f t="shared" si="61"/>
        <v>0-3 Days</v>
      </c>
      <c r="U1342" s="58" t="str">
        <f t="shared" si="62"/>
        <v>Normal</v>
      </c>
    </row>
    <row r="1343" spans="1:21" ht="23.25" customHeight="1" x14ac:dyDescent="0.35">
      <c r="A1343" t="s">
        <v>2263</v>
      </c>
      <c r="B1343" t="s">
        <v>2263</v>
      </c>
      <c r="C1343">
        <v>0</v>
      </c>
      <c r="D1343">
        <v>2050</v>
      </c>
      <c r="E1343" t="s">
        <v>3099</v>
      </c>
      <c r="F1343" t="s">
        <v>57</v>
      </c>
      <c r="G1343" t="s">
        <v>57</v>
      </c>
      <c r="H1343" t="s">
        <v>3100</v>
      </c>
      <c r="I1343"/>
      <c r="J1343"/>
      <c r="K1343"/>
      <c r="L1343"/>
      <c r="M1343"/>
      <c r="N1343"/>
      <c r="O1343"/>
      <c r="P1343"/>
      <c r="Q1343"/>
      <c r="R1343"/>
      <c r="S1343" s="56">
        <f t="shared" si="60"/>
        <v>3</v>
      </c>
      <c r="T1343" s="57" t="str">
        <f t="shared" si="61"/>
        <v>0-3 Days</v>
      </c>
      <c r="U1343" s="58" t="str">
        <f t="shared" si="62"/>
        <v>Not Applicable</v>
      </c>
    </row>
    <row r="1344" spans="1:21" ht="23.25" customHeight="1" x14ac:dyDescent="0.35">
      <c r="A1344" t="s">
        <v>2263</v>
      </c>
      <c r="B1344" t="s">
        <v>2263</v>
      </c>
      <c r="C1344">
        <v>250</v>
      </c>
      <c r="D1344">
        <v>0</v>
      </c>
      <c r="E1344" t="s">
        <v>3101</v>
      </c>
      <c r="F1344" t="s">
        <v>57</v>
      </c>
      <c r="G1344" t="s">
        <v>57</v>
      </c>
      <c r="H1344" t="s">
        <v>3102</v>
      </c>
      <c r="I1344"/>
      <c r="J1344"/>
      <c r="K1344"/>
      <c r="L1344"/>
      <c r="M1344"/>
      <c r="N1344"/>
      <c r="O1344"/>
      <c r="P1344"/>
      <c r="Q1344"/>
      <c r="R1344"/>
      <c r="S1344" s="56">
        <f t="shared" si="60"/>
        <v>3</v>
      </c>
      <c r="T1344" s="57" t="str">
        <f t="shared" si="61"/>
        <v>0-3 Days</v>
      </c>
      <c r="U1344" s="58" t="str">
        <f t="shared" si="62"/>
        <v>Normal</v>
      </c>
    </row>
    <row r="1345" spans="1:21" ht="23.25" customHeight="1" x14ac:dyDescent="0.35">
      <c r="A1345" t="s">
        <v>2263</v>
      </c>
      <c r="B1345" t="s">
        <v>2263</v>
      </c>
      <c r="C1345">
        <v>2650</v>
      </c>
      <c r="D1345">
        <v>0</v>
      </c>
      <c r="E1345" t="s">
        <v>3103</v>
      </c>
      <c r="F1345" t="s">
        <v>57</v>
      </c>
      <c r="G1345" t="s">
        <v>57</v>
      </c>
      <c r="H1345" t="s">
        <v>3104</v>
      </c>
      <c r="I1345"/>
      <c r="J1345"/>
      <c r="K1345"/>
      <c r="L1345"/>
      <c r="M1345"/>
      <c r="N1345"/>
      <c r="O1345"/>
      <c r="P1345"/>
      <c r="Q1345"/>
      <c r="R1345"/>
      <c r="S1345" s="56">
        <f t="shared" si="60"/>
        <v>3</v>
      </c>
      <c r="T1345" s="57" t="str">
        <f t="shared" si="61"/>
        <v>0-3 Days</v>
      </c>
      <c r="U1345" s="58" t="str">
        <f t="shared" si="62"/>
        <v>Normal</v>
      </c>
    </row>
    <row r="1346" spans="1:21" ht="23.25" customHeight="1" x14ac:dyDescent="0.35">
      <c r="A1346" t="s">
        <v>2263</v>
      </c>
      <c r="B1346" t="s">
        <v>2263</v>
      </c>
      <c r="C1346">
        <v>1082</v>
      </c>
      <c r="D1346">
        <v>0</v>
      </c>
      <c r="E1346" t="s">
        <v>3105</v>
      </c>
      <c r="F1346" t="s">
        <v>57</v>
      </c>
      <c r="G1346" t="s">
        <v>57</v>
      </c>
      <c r="H1346" t="s">
        <v>3106</v>
      </c>
      <c r="I1346"/>
      <c r="J1346"/>
      <c r="K1346"/>
      <c r="L1346"/>
      <c r="M1346"/>
      <c r="N1346"/>
      <c r="O1346"/>
      <c r="P1346"/>
      <c r="Q1346"/>
      <c r="R1346"/>
      <c r="S1346" s="56">
        <f t="shared" si="60"/>
        <v>3</v>
      </c>
      <c r="T1346" s="57" t="str">
        <f t="shared" si="61"/>
        <v>0-3 Days</v>
      </c>
      <c r="U1346" s="58" t="str">
        <f t="shared" si="62"/>
        <v>Normal</v>
      </c>
    </row>
    <row r="1347" spans="1:21" ht="23.25" customHeight="1" x14ac:dyDescent="0.35">
      <c r="A1347" t="s">
        <v>2263</v>
      </c>
      <c r="B1347" t="s">
        <v>2263</v>
      </c>
      <c r="C1347">
        <v>0</v>
      </c>
      <c r="D1347">
        <v>250</v>
      </c>
      <c r="E1347" t="s">
        <v>3107</v>
      </c>
      <c r="F1347" t="s">
        <v>57</v>
      </c>
      <c r="G1347" t="s">
        <v>57</v>
      </c>
      <c r="H1347" t="s">
        <v>3108</v>
      </c>
      <c r="I1347"/>
      <c r="J1347"/>
      <c r="K1347"/>
      <c r="L1347"/>
      <c r="M1347"/>
      <c r="N1347"/>
      <c r="O1347"/>
      <c r="P1347"/>
      <c r="Q1347"/>
      <c r="R1347"/>
      <c r="S1347" s="56">
        <f t="shared" si="60"/>
        <v>3</v>
      </c>
      <c r="T1347" s="57" t="str">
        <f t="shared" si="61"/>
        <v>0-3 Days</v>
      </c>
      <c r="U1347" s="58" t="str">
        <f t="shared" si="62"/>
        <v>Not Applicable</v>
      </c>
    </row>
    <row r="1348" spans="1:21" ht="23.25" customHeight="1" x14ac:dyDescent="0.35">
      <c r="A1348" t="s">
        <v>2263</v>
      </c>
      <c r="B1348" t="s">
        <v>2263</v>
      </c>
      <c r="C1348">
        <v>2050</v>
      </c>
      <c r="D1348">
        <v>0</v>
      </c>
      <c r="E1348" t="s">
        <v>3109</v>
      </c>
      <c r="F1348" t="s">
        <v>57</v>
      </c>
      <c r="G1348" t="s">
        <v>57</v>
      </c>
      <c r="H1348" t="s">
        <v>3110</v>
      </c>
      <c r="I1348"/>
      <c r="J1348"/>
      <c r="K1348"/>
      <c r="L1348"/>
      <c r="M1348"/>
      <c r="N1348"/>
      <c r="O1348"/>
      <c r="P1348"/>
      <c r="Q1348"/>
      <c r="R1348"/>
      <c r="S1348" s="56">
        <f t="shared" si="60"/>
        <v>3</v>
      </c>
      <c r="T1348" s="57" t="str">
        <f t="shared" si="61"/>
        <v>0-3 Days</v>
      </c>
      <c r="U1348" s="58" t="str">
        <f t="shared" si="62"/>
        <v>Normal</v>
      </c>
    </row>
    <row r="1349" spans="1:21" ht="23.25" customHeight="1" x14ac:dyDescent="0.35">
      <c r="A1349" t="s">
        <v>2263</v>
      </c>
      <c r="B1349" t="s">
        <v>2263</v>
      </c>
      <c r="C1349">
        <v>1000</v>
      </c>
      <c r="D1349">
        <v>0</v>
      </c>
      <c r="E1349" t="s">
        <v>3111</v>
      </c>
      <c r="F1349" t="s">
        <v>57</v>
      </c>
      <c r="G1349" t="s">
        <v>57</v>
      </c>
      <c r="H1349" t="s">
        <v>3112</v>
      </c>
      <c r="I1349"/>
      <c r="J1349"/>
      <c r="K1349"/>
      <c r="L1349"/>
      <c r="M1349"/>
      <c r="N1349"/>
      <c r="O1349"/>
      <c r="P1349"/>
      <c r="Q1349"/>
      <c r="R1349"/>
      <c r="S1349" s="56">
        <f t="shared" si="60"/>
        <v>3</v>
      </c>
      <c r="T1349" s="57" t="str">
        <f t="shared" si="61"/>
        <v>0-3 Days</v>
      </c>
      <c r="U1349" s="58" t="str">
        <f t="shared" si="62"/>
        <v>Normal</v>
      </c>
    </row>
    <row r="1350" spans="1:21" ht="23.25" customHeight="1" x14ac:dyDescent="0.35">
      <c r="A1350" t="s">
        <v>2263</v>
      </c>
      <c r="B1350" t="s">
        <v>2263</v>
      </c>
      <c r="C1350">
        <v>2050</v>
      </c>
      <c r="D1350">
        <v>0</v>
      </c>
      <c r="E1350" t="s">
        <v>3113</v>
      </c>
      <c r="F1350" t="s">
        <v>57</v>
      </c>
      <c r="G1350" t="s">
        <v>57</v>
      </c>
      <c r="H1350" t="s">
        <v>3114</v>
      </c>
      <c r="I1350"/>
      <c r="J1350"/>
      <c r="K1350"/>
      <c r="L1350"/>
      <c r="M1350"/>
      <c r="N1350"/>
      <c r="O1350"/>
      <c r="P1350"/>
      <c r="Q1350"/>
      <c r="R1350"/>
      <c r="S1350" s="56">
        <f t="shared" si="60"/>
        <v>3</v>
      </c>
      <c r="T1350" s="57" t="str">
        <f t="shared" si="61"/>
        <v>0-3 Days</v>
      </c>
      <c r="U1350" s="58" t="str">
        <f t="shared" si="62"/>
        <v>Normal</v>
      </c>
    </row>
    <row r="1351" spans="1:21" ht="23.25" customHeight="1" x14ac:dyDescent="0.35">
      <c r="A1351" t="s">
        <v>3115</v>
      </c>
      <c r="B1351" t="s">
        <v>3115</v>
      </c>
      <c r="C1351">
        <v>22481.78</v>
      </c>
      <c r="D1351">
        <v>0</v>
      </c>
      <c r="E1351" t="s">
        <v>3116</v>
      </c>
      <c r="F1351" t="s">
        <v>57</v>
      </c>
      <c r="G1351" t="s">
        <v>57</v>
      </c>
      <c r="H1351" t="s">
        <v>3117</v>
      </c>
      <c r="I1351"/>
      <c r="J1351"/>
      <c r="K1351"/>
      <c r="L1351"/>
      <c r="M1351"/>
      <c r="N1351"/>
      <c r="O1351"/>
      <c r="P1351"/>
      <c r="Q1351"/>
      <c r="R1351"/>
      <c r="S1351" s="56">
        <f t="shared" si="60"/>
        <v>2</v>
      </c>
      <c r="T1351" s="57" t="str">
        <f t="shared" si="61"/>
        <v>0-3 Days</v>
      </c>
      <c r="U1351" s="58" t="str">
        <f t="shared" si="62"/>
        <v>Normal</v>
      </c>
    </row>
    <row r="1352" spans="1:21" ht="23.25" customHeight="1" x14ac:dyDescent="0.35">
      <c r="A1352" t="s">
        <v>3115</v>
      </c>
      <c r="B1352" t="s">
        <v>3115</v>
      </c>
      <c r="C1352">
        <v>24772</v>
      </c>
      <c r="D1352">
        <v>0</v>
      </c>
      <c r="E1352" t="s">
        <v>3118</v>
      </c>
      <c r="F1352" t="s">
        <v>3119</v>
      </c>
      <c r="G1352" t="s">
        <v>57</v>
      </c>
      <c r="H1352" t="s">
        <v>3120</v>
      </c>
      <c r="I1352"/>
      <c r="J1352"/>
      <c r="K1352"/>
      <c r="L1352"/>
      <c r="M1352"/>
      <c r="N1352"/>
      <c r="O1352"/>
      <c r="P1352"/>
      <c r="Q1352"/>
      <c r="R1352"/>
      <c r="S1352" s="56">
        <f t="shared" si="60"/>
        <v>2</v>
      </c>
      <c r="T1352" s="57" t="str">
        <f t="shared" si="61"/>
        <v>0-3 Days</v>
      </c>
      <c r="U1352" s="58" t="str">
        <f t="shared" si="62"/>
        <v>Normal</v>
      </c>
    </row>
    <row r="1353" spans="1:21" ht="23.25" customHeight="1" x14ac:dyDescent="0.35">
      <c r="A1353" t="s">
        <v>3115</v>
      </c>
      <c r="B1353" t="s">
        <v>3115</v>
      </c>
      <c r="C1353">
        <v>0</v>
      </c>
      <c r="D1353">
        <v>24772</v>
      </c>
      <c r="E1353" t="s">
        <v>3121</v>
      </c>
      <c r="F1353" t="s">
        <v>3122</v>
      </c>
      <c r="G1353" t="s">
        <v>3123</v>
      </c>
      <c r="H1353" t="s">
        <v>3124</v>
      </c>
      <c r="I1353"/>
      <c r="J1353" t="s">
        <v>3119</v>
      </c>
      <c r="K1353"/>
      <c r="L1353"/>
      <c r="M1353" t="s">
        <v>3122</v>
      </c>
      <c r="N1353" t="s">
        <v>3122</v>
      </c>
      <c r="O1353"/>
      <c r="P1353"/>
      <c r="Q1353" t="s">
        <v>3125</v>
      </c>
      <c r="R1353"/>
      <c r="S1353" s="56">
        <f t="shared" ref="S1353:S1416" si="63">IF(A1353="","",A$5-A1353)</f>
        <v>2</v>
      </c>
      <c r="T1353" s="57" t="str">
        <f t="shared" ref="T1353:T1416" si="64">IF(S1353="","",IF(S1353&lt;4,"0-3 Days",IF(S1353&lt;31,"4-30 Days",IF(S1353&lt;61,"31-60 Days",IF(S1353&lt;=90,"61-90 Days",IF(S1353&gt;90,"Above 90 Days","0"))))))</f>
        <v>0-3 Days</v>
      </c>
      <c r="U1353" s="58" t="str">
        <f t="shared" ref="U1353:U1416" si="65">IF(C1353="","",IF(C1353&gt;0,IF(S1353&lt;30,"Normal",IF(S1353&lt;60,"Especially Mentioned",IF(S1353&lt;90,"Substandard",IF(S1353&lt;=180,"Doubtful",IF(S1353&gt;180,"Loss","0"))))),"Not Applicable"))</f>
        <v>Not Applicable</v>
      </c>
    </row>
    <row r="1354" spans="1:21" ht="23.25" customHeight="1" x14ac:dyDescent="0.35">
      <c r="A1354" t="s">
        <v>3126</v>
      </c>
      <c r="B1354" t="s">
        <v>3126</v>
      </c>
      <c r="C1354">
        <v>1000</v>
      </c>
      <c r="D1354">
        <v>0</v>
      </c>
      <c r="E1354" t="s">
        <v>3127</v>
      </c>
      <c r="F1354" t="s">
        <v>57</v>
      </c>
      <c r="G1354" t="s">
        <v>57</v>
      </c>
      <c r="H1354" t="s">
        <v>3128</v>
      </c>
      <c r="I1354"/>
      <c r="J1354"/>
      <c r="K1354"/>
      <c r="L1354"/>
      <c r="M1354"/>
      <c r="N1354"/>
      <c r="O1354"/>
      <c r="P1354"/>
      <c r="Q1354"/>
      <c r="R1354"/>
      <c r="S1354" s="56">
        <f t="shared" si="63"/>
        <v>0</v>
      </c>
      <c r="T1354" s="57" t="str">
        <f t="shared" si="64"/>
        <v>0-3 Days</v>
      </c>
      <c r="U1354" s="58" t="str">
        <f t="shared" si="65"/>
        <v>Normal</v>
      </c>
    </row>
    <row r="1355" spans="1:21" ht="23.25" customHeight="1" x14ac:dyDescent="0.35">
      <c r="A1355" t="s">
        <v>3126</v>
      </c>
      <c r="B1355" t="s">
        <v>3126</v>
      </c>
      <c r="C1355">
        <v>270</v>
      </c>
      <c r="D1355">
        <v>0</v>
      </c>
      <c r="E1355" t="s">
        <v>3129</v>
      </c>
      <c r="F1355" t="s">
        <v>57</v>
      </c>
      <c r="G1355" t="s">
        <v>57</v>
      </c>
      <c r="H1355" t="s">
        <v>3130</v>
      </c>
      <c r="I1355"/>
      <c r="J1355"/>
      <c r="K1355"/>
      <c r="L1355"/>
      <c r="M1355"/>
      <c r="N1355"/>
      <c r="O1355"/>
      <c r="P1355"/>
      <c r="Q1355"/>
      <c r="R1355"/>
      <c r="S1355" s="56">
        <f t="shared" si="63"/>
        <v>0</v>
      </c>
      <c r="T1355" s="57" t="str">
        <f t="shared" si="64"/>
        <v>0-3 Days</v>
      </c>
      <c r="U1355" s="58" t="str">
        <f t="shared" si="65"/>
        <v>Normal</v>
      </c>
    </row>
    <row r="1356" spans="1:21" ht="23.25" customHeight="1" x14ac:dyDescent="0.35">
      <c r="A1356" t="s">
        <v>3126</v>
      </c>
      <c r="B1356" t="s">
        <v>3126</v>
      </c>
      <c r="C1356">
        <v>250</v>
      </c>
      <c r="D1356">
        <v>0</v>
      </c>
      <c r="E1356" t="s">
        <v>3131</v>
      </c>
      <c r="F1356" t="s">
        <v>57</v>
      </c>
      <c r="G1356" t="s">
        <v>57</v>
      </c>
      <c r="H1356" t="s">
        <v>3132</v>
      </c>
      <c r="I1356"/>
      <c r="J1356"/>
      <c r="K1356"/>
      <c r="L1356"/>
      <c r="M1356"/>
      <c r="N1356"/>
      <c r="O1356"/>
      <c r="P1356"/>
      <c r="Q1356"/>
      <c r="R1356"/>
      <c r="S1356" s="56">
        <f t="shared" si="63"/>
        <v>0</v>
      </c>
      <c r="T1356" s="57" t="str">
        <f t="shared" si="64"/>
        <v>0-3 Days</v>
      </c>
      <c r="U1356" s="58" t="str">
        <f t="shared" si="65"/>
        <v>Normal</v>
      </c>
    </row>
    <row r="1357" spans="1:21" ht="23.25" customHeight="1" x14ac:dyDescent="0.35">
      <c r="A1357" t="s">
        <v>3126</v>
      </c>
      <c r="B1357" t="s">
        <v>3126</v>
      </c>
      <c r="C1357">
        <v>600</v>
      </c>
      <c r="D1357">
        <v>0</v>
      </c>
      <c r="E1357" t="s">
        <v>3133</v>
      </c>
      <c r="F1357" t="s">
        <v>57</v>
      </c>
      <c r="G1357" t="s">
        <v>57</v>
      </c>
      <c r="H1357" t="s">
        <v>3134</v>
      </c>
      <c r="I1357"/>
      <c r="J1357"/>
      <c r="K1357"/>
      <c r="L1357"/>
      <c r="M1357"/>
      <c r="N1357"/>
      <c r="O1357"/>
      <c r="P1357"/>
      <c r="Q1357"/>
      <c r="R1357"/>
      <c r="S1357" s="56">
        <f t="shared" si="63"/>
        <v>0</v>
      </c>
      <c r="T1357" s="57" t="str">
        <f t="shared" si="64"/>
        <v>0-3 Days</v>
      </c>
      <c r="U1357" s="58" t="str">
        <f t="shared" si="65"/>
        <v>Normal</v>
      </c>
    </row>
    <row r="1358" spans="1:21" ht="23.25" customHeight="1" x14ac:dyDescent="0.35">
      <c r="A1358" t="s">
        <v>3126</v>
      </c>
      <c r="B1358" t="s">
        <v>3126</v>
      </c>
      <c r="C1358">
        <v>600</v>
      </c>
      <c r="D1358">
        <v>0</v>
      </c>
      <c r="E1358" t="s">
        <v>3135</v>
      </c>
      <c r="F1358" t="s">
        <v>57</v>
      </c>
      <c r="G1358" t="s">
        <v>57</v>
      </c>
      <c r="H1358" t="s">
        <v>3136</v>
      </c>
      <c r="I1358"/>
      <c r="J1358"/>
      <c r="K1358"/>
      <c r="L1358"/>
      <c r="M1358"/>
      <c r="N1358"/>
      <c r="O1358"/>
      <c r="P1358"/>
      <c r="Q1358"/>
      <c r="R1358"/>
      <c r="S1358" s="56">
        <f t="shared" si="63"/>
        <v>0</v>
      </c>
      <c r="T1358" s="57" t="str">
        <f t="shared" si="64"/>
        <v>0-3 Days</v>
      </c>
      <c r="U1358" s="58" t="str">
        <f t="shared" si="65"/>
        <v>Normal</v>
      </c>
    </row>
    <row r="1359" spans="1:21" ht="23.25" customHeight="1" x14ac:dyDescent="0.35">
      <c r="A1359" t="s">
        <v>3126</v>
      </c>
      <c r="B1359" t="s">
        <v>3126</v>
      </c>
      <c r="C1359">
        <v>1000</v>
      </c>
      <c r="D1359">
        <v>0</v>
      </c>
      <c r="E1359" t="s">
        <v>3137</v>
      </c>
      <c r="F1359" t="s">
        <v>57</v>
      </c>
      <c r="G1359" t="s">
        <v>57</v>
      </c>
      <c r="H1359" t="s">
        <v>3138</v>
      </c>
      <c r="I1359"/>
      <c r="J1359"/>
      <c r="K1359"/>
      <c r="L1359"/>
      <c r="M1359"/>
      <c r="N1359"/>
      <c r="O1359"/>
      <c r="P1359"/>
      <c r="Q1359"/>
      <c r="R1359"/>
      <c r="S1359" s="56">
        <f t="shared" si="63"/>
        <v>0</v>
      </c>
      <c r="T1359" s="57" t="str">
        <f t="shared" si="64"/>
        <v>0-3 Days</v>
      </c>
      <c r="U1359" s="58" t="str">
        <f t="shared" si="65"/>
        <v>Normal</v>
      </c>
    </row>
    <row r="1360" spans="1:21" ht="23.25" customHeight="1" x14ac:dyDescent="0.35">
      <c r="A1360" t="s">
        <v>3126</v>
      </c>
      <c r="B1360" t="s">
        <v>3126</v>
      </c>
      <c r="C1360">
        <v>1000</v>
      </c>
      <c r="D1360">
        <v>0</v>
      </c>
      <c r="E1360" t="s">
        <v>3139</v>
      </c>
      <c r="F1360" t="s">
        <v>57</v>
      </c>
      <c r="G1360" t="s">
        <v>57</v>
      </c>
      <c r="H1360" t="s">
        <v>3140</v>
      </c>
      <c r="I1360"/>
      <c r="J1360"/>
      <c r="K1360"/>
      <c r="L1360"/>
      <c r="M1360"/>
      <c r="N1360"/>
      <c r="O1360"/>
      <c r="P1360"/>
      <c r="Q1360"/>
      <c r="R1360"/>
      <c r="S1360" s="56">
        <f t="shared" si="63"/>
        <v>0</v>
      </c>
      <c r="T1360" s="57" t="str">
        <f t="shared" si="64"/>
        <v>0-3 Days</v>
      </c>
      <c r="U1360" s="58" t="str">
        <f t="shared" si="65"/>
        <v>Normal</v>
      </c>
    </row>
    <row r="1361" spans="1:21" ht="23.25" customHeight="1" x14ac:dyDescent="0.35">
      <c r="A1361" t="s">
        <v>3126</v>
      </c>
      <c r="B1361" t="s">
        <v>3126</v>
      </c>
      <c r="C1361">
        <v>1190</v>
      </c>
      <c r="D1361">
        <v>0</v>
      </c>
      <c r="E1361" t="s">
        <v>3141</v>
      </c>
      <c r="F1361" t="s">
        <v>57</v>
      </c>
      <c r="G1361" t="s">
        <v>57</v>
      </c>
      <c r="H1361" t="s">
        <v>3142</v>
      </c>
      <c r="I1361"/>
      <c r="J1361"/>
      <c r="K1361"/>
      <c r="L1361"/>
      <c r="M1361"/>
      <c r="N1361"/>
      <c r="O1361"/>
      <c r="P1361"/>
      <c r="Q1361"/>
      <c r="R1361"/>
      <c r="S1361" s="56">
        <f t="shared" si="63"/>
        <v>0</v>
      </c>
      <c r="T1361" s="57" t="str">
        <f t="shared" si="64"/>
        <v>0-3 Days</v>
      </c>
      <c r="U1361" s="58" t="str">
        <f t="shared" si="65"/>
        <v>Normal</v>
      </c>
    </row>
    <row r="1362" spans="1:21" ht="23.25" customHeight="1" x14ac:dyDescent="0.35">
      <c r="A1362" t="s">
        <v>3126</v>
      </c>
      <c r="B1362" t="s">
        <v>3126</v>
      </c>
      <c r="C1362">
        <v>2650</v>
      </c>
      <c r="D1362">
        <v>0</v>
      </c>
      <c r="E1362" t="s">
        <v>3143</v>
      </c>
      <c r="F1362" t="s">
        <v>57</v>
      </c>
      <c r="G1362" t="s">
        <v>57</v>
      </c>
      <c r="H1362" t="s">
        <v>3144</v>
      </c>
      <c r="I1362"/>
      <c r="J1362"/>
      <c r="K1362"/>
      <c r="L1362"/>
      <c r="M1362"/>
      <c r="N1362"/>
      <c r="O1362"/>
      <c r="P1362"/>
      <c r="Q1362"/>
      <c r="R1362"/>
      <c r="S1362" s="56">
        <f t="shared" si="63"/>
        <v>0</v>
      </c>
      <c r="T1362" s="57" t="str">
        <f t="shared" si="64"/>
        <v>0-3 Days</v>
      </c>
      <c r="U1362" s="58" t="str">
        <f t="shared" si="65"/>
        <v>Normal</v>
      </c>
    </row>
    <row r="1363" spans="1:21" ht="23.25" customHeight="1" x14ac:dyDescent="0.35">
      <c r="A1363" t="s">
        <v>3126</v>
      </c>
      <c r="B1363" t="s">
        <v>3126</v>
      </c>
      <c r="C1363">
        <v>3050</v>
      </c>
      <c r="D1363">
        <v>0</v>
      </c>
      <c r="E1363" t="s">
        <v>3145</v>
      </c>
      <c r="F1363" t="s">
        <v>57</v>
      </c>
      <c r="G1363" t="s">
        <v>57</v>
      </c>
      <c r="H1363" t="s">
        <v>3146</v>
      </c>
      <c r="I1363"/>
      <c r="J1363"/>
      <c r="K1363"/>
      <c r="L1363"/>
      <c r="M1363"/>
      <c r="N1363"/>
      <c r="O1363"/>
      <c r="P1363"/>
      <c r="Q1363"/>
      <c r="R1363"/>
      <c r="S1363" s="56">
        <f t="shared" si="63"/>
        <v>0</v>
      </c>
      <c r="T1363" s="57" t="str">
        <f t="shared" si="64"/>
        <v>0-3 Days</v>
      </c>
      <c r="U1363" s="58" t="str">
        <f t="shared" si="65"/>
        <v>Normal</v>
      </c>
    </row>
    <row r="1364" spans="1:21" ht="23.25" customHeight="1" x14ac:dyDescent="0.35">
      <c r="A1364" t="s">
        <v>3126</v>
      </c>
      <c r="B1364" t="s">
        <v>3126</v>
      </c>
      <c r="C1364">
        <v>0</v>
      </c>
      <c r="D1364">
        <v>1660333.71</v>
      </c>
      <c r="E1364" t="s">
        <v>3147</v>
      </c>
      <c r="F1364" t="s">
        <v>57</v>
      </c>
      <c r="G1364" t="s">
        <v>57</v>
      </c>
      <c r="H1364" t="s">
        <v>3148</v>
      </c>
      <c r="I1364"/>
      <c r="J1364"/>
      <c r="K1364"/>
      <c r="L1364"/>
      <c r="M1364"/>
      <c r="N1364"/>
      <c r="O1364"/>
      <c r="P1364"/>
      <c r="Q1364"/>
      <c r="R1364"/>
      <c r="S1364" s="56">
        <f t="shared" si="63"/>
        <v>0</v>
      </c>
      <c r="T1364" s="57" t="str">
        <f t="shared" si="64"/>
        <v>0-3 Days</v>
      </c>
      <c r="U1364" s="58" t="str">
        <f t="shared" si="65"/>
        <v>Not Applicable</v>
      </c>
    </row>
    <row r="1365" spans="1:21" ht="23.25" customHeight="1" x14ac:dyDescent="0.35">
      <c r="A1365" t="s">
        <v>3126</v>
      </c>
      <c r="B1365" t="s">
        <v>3126</v>
      </c>
      <c r="C1365">
        <v>0</v>
      </c>
      <c r="D1365">
        <v>2955.56</v>
      </c>
      <c r="E1365" t="s">
        <v>3149</v>
      </c>
      <c r="F1365" t="s">
        <v>57</v>
      </c>
      <c r="G1365" t="s">
        <v>57</v>
      </c>
      <c r="H1365" t="s">
        <v>3150</v>
      </c>
      <c r="I1365"/>
      <c r="J1365"/>
      <c r="K1365"/>
      <c r="L1365"/>
      <c r="M1365"/>
      <c r="N1365"/>
      <c r="O1365"/>
      <c r="P1365"/>
      <c r="Q1365"/>
      <c r="R1365"/>
      <c r="S1365" s="56">
        <f t="shared" si="63"/>
        <v>0</v>
      </c>
      <c r="T1365" s="57" t="str">
        <f t="shared" si="64"/>
        <v>0-3 Days</v>
      </c>
      <c r="U1365" s="58" t="str">
        <f t="shared" si="65"/>
        <v>Not Applicable</v>
      </c>
    </row>
    <row r="1366" spans="1:21" ht="23.25" customHeight="1" x14ac:dyDescent="0.35">
      <c r="A1366" t="s">
        <v>3126</v>
      </c>
      <c r="B1366" t="s">
        <v>3126</v>
      </c>
      <c r="C1366">
        <v>1000</v>
      </c>
      <c r="D1366">
        <v>0</v>
      </c>
      <c r="E1366" t="s">
        <v>3151</v>
      </c>
      <c r="F1366" t="s">
        <v>57</v>
      </c>
      <c r="G1366" t="s">
        <v>57</v>
      </c>
      <c r="H1366" t="s">
        <v>3152</v>
      </c>
      <c r="I1366"/>
      <c r="J1366"/>
      <c r="K1366"/>
      <c r="L1366"/>
      <c r="M1366"/>
      <c r="N1366"/>
      <c r="O1366"/>
      <c r="P1366"/>
      <c r="Q1366"/>
      <c r="R1366"/>
      <c r="S1366" s="56">
        <f t="shared" si="63"/>
        <v>0</v>
      </c>
      <c r="T1366" s="57" t="str">
        <f t="shared" si="64"/>
        <v>0-3 Days</v>
      </c>
      <c r="U1366" s="58" t="str">
        <f t="shared" si="65"/>
        <v>Normal</v>
      </c>
    </row>
    <row r="1367" spans="1:21" ht="23.25" customHeight="1" x14ac:dyDescent="0.35">
      <c r="A1367" t="s">
        <v>3126</v>
      </c>
      <c r="B1367" t="s">
        <v>3126</v>
      </c>
      <c r="C1367">
        <v>550</v>
      </c>
      <c r="D1367">
        <v>0</v>
      </c>
      <c r="E1367" t="s">
        <v>3153</v>
      </c>
      <c r="F1367" t="s">
        <v>57</v>
      </c>
      <c r="G1367" t="s">
        <v>57</v>
      </c>
      <c r="H1367" t="s">
        <v>3154</v>
      </c>
      <c r="I1367"/>
      <c r="J1367"/>
      <c r="K1367"/>
      <c r="L1367"/>
      <c r="M1367"/>
      <c r="N1367"/>
      <c r="O1367"/>
      <c r="P1367"/>
      <c r="Q1367"/>
      <c r="R1367"/>
      <c r="S1367" s="56">
        <f t="shared" si="63"/>
        <v>0</v>
      </c>
      <c r="T1367" s="57" t="str">
        <f t="shared" si="64"/>
        <v>0-3 Days</v>
      </c>
      <c r="U1367" s="58" t="str">
        <f t="shared" si="65"/>
        <v>Normal</v>
      </c>
    </row>
    <row r="1368" spans="1:21" ht="23.25" customHeight="1" x14ac:dyDescent="0.35">
      <c r="A1368" t="s">
        <v>3126</v>
      </c>
      <c r="B1368" t="s">
        <v>3126</v>
      </c>
      <c r="C1368">
        <v>648</v>
      </c>
      <c r="D1368">
        <v>0</v>
      </c>
      <c r="E1368" t="s">
        <v>3155</v>
      </c>
      <c r="F1368" t="s">
        <v>57</v>
      </c>
      <c r="G1368" t="s">
        <v>57</v>
      </c>
      <c r="H1368" t="s">
        <v>3156</v>
      </c>
      <c r="I1368"/>
      <c r="J1368"/>
      <c r="K1368"/>
      <c r="L1368"/>
      <c r="M1368"/>
      <c r="N1368"/>
      <c r="O1368"/>
      <c r="P1368"/>
      <c r="Q1368"/>
      <c r="R1368"/>
      <c r="S1368" s="56">
        <f t="shared" si="63"/>
        <v>0</v>
      </c>
      <c r="T1368" s="57" t="str">
        <f t="shared" si="64"/>
        <v>0-3 Days</v>
      </c>
      <c r="U1368" s="58" t="str">
        <f t="shared" si="65"/>
        <v>Normal</v>
      </c>
    </row>
    <row r="1369" spans="1:21" ht="23.25" customHeight="1" x14ac:dyDescent="0.35">
      <c r="A1369" t="s">
        <v>3126</v>
      </c>
      <c r="B1369" t="s">
        <v>3126</v>
      </c>
      <c r="C1369">
        <v>0</v>
      </c>
      <c r="D1369">
        <v>10000</v>
      </c>
      <c r="E1369" t="s">
        <v>3157</v>
      </c>
      <c r="F1369" t="s">
        <v>3158</v>
      </c>
      <c r="G1369" t="s">
        <v>3159</v>
      </c>
      <c r="H1369" t="s">
        <v>3160</v>
      </c>
      <c r="I1369"/>
      <c r="J1369" t="s">
        <v>3161</v>
      </c>
      <c r="K1369"/>
      <c r="L1369"/>
      <c r="M1369" t="s">
        <v>3158</v>
      </c>
      <c r="N1369" t="s">
        <v>3158</v>
      </c>
      <c r="O1369"/>
      <c r="P1369"/>
      <c r="Q1369" t="s">
        <v>3162</v>
      </c>
      <c r="R1369" t="s">
        <v>3163</v>
      </c>
      <c r="S1369" s="56">
        <f t="shared" si="63"/>
        <v>0</v>
      </c>
      <c r="T1369" s="57" t="str">
        <f t="shared" si="64"/>
        <v>0-3 Days</v>
      </c>
      <c r="U1369" s="58" t="str">
        <f t="shared" si="65"/>
        <v>Not Applicable</v>
      </c>
    </row>
    <row r="1370" spans="1:21" ht="23.25" customHeight="1" x14ac:dyDescent="0.35">
      <c r="A1370" t="s">
        <v>3126</v>
      </c>
      <c r="B1370" t="s">
        <v>3126</v>
      </c>
      <c r="C1370">
        <v>2650</v>
      </c>
      <c r="D1370">
        <v>0</v>
      </c>
      <c r="E1370" t="s">
        <v>3164</v>
      </c>
      <c r="F1370" t="s">
        <v>57</v>
      </c>
      <c r="G1370" t="s">
        <v>57</v>
      </c>
      <c r="H1370" t="s">
        <v>3165</v>
      </c>
      <c r="I1370"/>
      <c r="J1370"/>
      <c r="K1370"/>
      <c r="L1370"/>
      <c r="M1370"/>
      <c r="N1370"/>
      <c r="O1370"/>
      <c r="P1370"/>
      <c r="Q1370"/>
      <c r="R1370"/>
      <c r="S1370" s="56">
        <f t="shared" si="63"/>
        <v>0</v>
      </c>
      <c r="T1370" s="57" t="str">
        <f t="shared" si="64"/>
        <v>0-3 Days</v>
      </c>
      <c r="U1370" s="58" t="str">
        <f t="shared" si="65"/>
        <v>Normal</v>
      </c>
    </row>
    <row r="1371" spans="1:21" ht="23.25" customHeight="1" x14ac:dyDescent="0.35">
      <c r="A1371" t="s">
        <v>3126</v>
      </c>
      <c r="B1371" t="s">
        <v>3126</v>
      </c>
      <c r="C1371">
        <v>2050</v>
      </c>
      <c r="D1371">
        <v>0</v>
      </c>
      <c r="E1371" t="s">
        <v>3166</v>
      </c>
      <c r="F1371" t="s">
        <v>57</v>
      </c>
      <c r="G1371" t="s">
        <v>57</v>
      </c>
      <c r="H1371" t="s">
        <v>3167</v>
      </c>
      <c r="I1371"/>
      <c r="J1371"/>
      <c r="K1371"/>
      <c r="L1371"/>
      <c r="M1371"/>
      <c r="N1371"/>
      <c r="O1371"/>
      <c r="P1371"/>
      <c r="Q1371"/>
      <c r="R1371"/>
      <c r="S1371" s="56">
        <f t="shared" si="63"/>
        <v>0</v>
      </c>
      <c r="T1371" s="57" t="str">
        <f t="shared" si="64"/>
        <v>0-3 Days</v>
      </c>
      <c r="U1371" s="58" t="str">
        <f t="shared" si="65"/>
        <v>Normal</v>
      </c>
    </row>
    <row r="1372" spans="1:21" ht="23.25" customHeight="1" x14ac:dyDescent="0.35">
      <c r="A1372" t="s">
        <v>3126</v>
      </c>
      <c r="B1372" t="s">
        <v>3126</v>
      </c>
      <c r="C1372">
        <v>1000</v>
      </c>
      <c r="D1372">
        <v>0</v>
      </c>
      <c r="E1372" t="s">
        <v>3168</v>
      </c>
      <c r="F1372" t="s">
        <v>57</v>
      </c>
      <c r="G1372" t="s">
        <v>57</v>
      </c>
      <c r="H1372" t="s">
        <v>3169</v>
      </c>
      <c r="I1372"/>
      <c r="J1372"/>
      <c r="K1372"/>
      <c r="L1372"/>
      <c r="M1372"/>
      <c r="N1372"/>
      <c r="O1372"/>
      <c r="P1372"/>
      <c r="Q1372"/>
      <c r="R1372"/>
      <c r="S1372" s="56">
        <f t="shared" si="63"/>
        <v>0</v>
      </c>
      <c r="T1372" s="57" t="str">
        <f t="shared" si="64"/>
        <v>0-3 Days</v>
      </c>
      <c r="U1372" s="58" t="str">
        <f t="shared" si="65"/>
        <v>Normal</v>
      </c>
    </row>
    <row r="1373" spans="1:21" ht="23.25" customHeight="1" x14ac:dyDescent="0.35">
      <c r="A1373" t="s">
        <v>3126</v>
      </c>
      <c r="B1373" t="s">
        <v>3126</v>
      </c>
      <c r="C1373">
        <v>2050</v>
      </c>
      <c r="D1373">
        <v>0</v>
      </c>
      <c r="E1373" t="s">
        <v>3170</v>
      </c>
      <c r="F1373" t="s">
        <v>57</v>
      </c>
      <c r="G1373" t="s">
        <v>57</v>
      </c>
      <c r="H1373" t="s">
        <v>3171</v>
      </c>
      <c r="I1373"/>
      <c r="J1373"/>
      <c r="K1373"/>
      <c r="L1373"/>
      <c r="M1373"/>
      <c r="N1373"/>
      <c r="O1373"/>
      <c r="P1373"/>
      <c r="Q1373"/>
      <c r="R1373"/>
      <c r="S1373" s="56">
        <f t="shared" si="63"/>
        <v>0</v>
      </c>
      <c r="T1373" s="57" t="str">
        <f t="shared" si="64"/>
        <v>0-3 Days</v>
      </c>
      <c r="U1373" s="58" t="str">
        <f t="shared" si="65"/>
        <v>Normal</v>
      </c>
    </row>
    <row r="1374" spans="1:21" ht="23.25" customHeight="1" x14ac:dyDescent="0.35">
      <c r="A1374" t="s">
        <v>3126</v>
      </c>
      <c r="B1374" t="s">
        <v>3126</v>
      </c>
      <c r="C1374">
        <v>90</v>
      </c>
      <c r="D1374">
        <v>0</v>
      </c>
      <c r="E1374" t="s">
        <v>3172</v>
      </c>
      <c r="F1374" t="s">
        <v>57</v>
      </c>
      <c r="G1374" t="s">
        <v>57</v>
      </c>
      <c r="H1374" t="s">
        <v>3173</v>
      </c>
      <c r="I1374"/>
      <c r="J1374"/>
      <c r="K1374"/>
      <c r="L1374"/>
      <c r="M1374"/>
      <c r="N1374"/>
      <c r="O1374"/>
      <c r="P1374"/>
      <c r="Q1374"/>
      <c r="R1374"/>
      <c r="S1374" s="56">
        <f t="shared" si="63"/>
        <v>0</v>
      </c>
      <c r="T1374" s="57" t="str">
        <f t="shared" si="64"/>
        <v>0-3 Days</v>
      </c>
      <c r="U1374" s="58" t="str">
        <f t="shared" si="65"/>
        <v>Normal</v>
      </c>
    </row>
    <row r="1375" spans="1:21" ht="23.25" customHeight="1" x14ac:dyDescent="0.35">
      <c r="A1375" t="s">
        <v>3126</v>
      </c>
      <c r="B1375" t="s">
        <v>3126</v>
      </c>
      <c r="C1375">
        <v>2605</v>
      </c>
      <c r="D1375">
        <v>0</v>
      </c>
      <c r="E1375" t="s">
        <v>3174</v>
      </c>
      <c r="F1375" t="s">
        <v>57</v>
      </c>
      <c r="G1375" t="s">
        <v>57</v>
      </c>
      <c r="H1375" t="s">
        <v>3175</v>
      </c>
      <c r="I1375"/>
      <c r="J1375"/>
      <c r="K1375"/>
      <c r="L1375"/>
      <c r="M1375"/>
      <c r="N1375"/>
      <c r="O1375"/>
      <c r="P1375"/>
      <c r="Q1375"/>
      <c r="R1375"/>
      <c r="S1375" s="56">
        <f t="shared" si="63"/>
        <v>0</v>
      </c>
      <c r="T1375" s="57" t="str">
        <f t="shared" si="64"/>
        <v>0-3 Days</v>
      </c>
      <c r="U1375" s="58" t="str">
        <f t="shared" si="65"/>
        <v>Normal</v>
      </c>
    </row>
    <row r="1376" spans="1:21" ht="23.25" customHeight="1" x14ac:dyDescent="0.35">
      <c r="A1376" t="s">
        <v>3126</v>
      </c>
      <c r="B1376" t="s">
        <v>3126</v>
      </c>
      <c r="C1376">
        <v>2050</v>
      </c>
      <c r="D1376">
        <v>0</v>
      </c>
      <c r="E1376" t="s">
        <v>3176</v>
      </c>
      <c r="F1376" t="s">
        <v>57</v>
      </c>
      <c r="G1376" t="s">
        <v>57</v>
      </c>
      <c r="H1376" t="s">
        <v>3177</v>
      </c>
      <c r="I1376"/>
      <c r="J1376"/>
      <c r="K1376"/>
      <c r="L1376"/>
      <c r="M1376"/>
      <c r="N1376"/>
      <c r="O1376"/>
      <c r="P1376"/>
      <c r="Q1376"/>
      <c r="R1376"/>
      <c r="S1376" s="56">
        <f t="shared" si="63"/>
        <v>0</v>
      </c>
      <c r="T1376" s="57" t="str">
        <f t="shared" si="64"/>
        <v>0-3 Days</v>
      </c>
      <c r="U1376" s="58" t="str">
        <f t="shared" si="65"/>
        <v>Normal</v>
      </c>
    </row>
    <row r="1377" spans="1:21" ht="23.25" customHeight="1" x14ac:dyDescent="0.35">
      <c r="A1377" t="s">
        <v>3126</v>
      </c>
      <c r="B1377" t="s">
        <v>3126</v>
      </c>
      <c r="C1377">
        <v>0</v>
      </c>
      <c r="D1377">
        <v>1228647.82</v>
      </c>
      <c r="E1377" t="s">
        <v>3178</v>
      </c>
      <c r="F1377" t="s">
        <v>57</v>
      </c>
      <c r="G1377" t="s">
        <v>57</v>
      </c>
      <c r="H1377" t="s">
        <v>3179</v>
      </c>
      <c r="I1377"/>
      <c r="J1377"/>
      <c r="K1377"/>
      <c r="L1377"/>
      <c r="M1377"/>
      <c r="N1377"/>
      <c r="O1377"/>
      <c r="P1377"/>
      <c r="Q1377"/>
      <c r="R1377"/>
      <c r="S1377" s="56">
        <f t="shared" si="63"/>
        <v>0</v>
      </c>
      <c r="T1377" s="57" t="str">
        <f t="shared" si="64"/>
        <v>0-3 Days</v>
      </c>
      <c r="U1377" s="58" t="str">
        <f t="shared" si="65"/>
        <v>Not Applicable</v>
      </c>
    </row>
    <row r="1378" spans="1:21" ht="23.25" customHeight="1" x14ac:dyDescent="0.35">
      <c r="A1378" t="s">
        <v>3126</v>
      </c>
      <c r="B1378" t="s">
        <v>3126</v>
      </c>
      <c r="C1378">
        <v>2614560.0699999998</v>
      </c>
      <c r="D1378">
        <v>0</v>
      </c>
      <c r="E1378" t="s">
        <v>3180</v>
      </c>
      <c r="F1378" t="s">
        <v>57</v>
      </c>
      <c r="G1378" t="s">
        <v>57</v>
      </c>
      <c r="H1378" t="s">
        <v>3181</v>
      </c>
      <c r="I1378"/>
      <c r="J1378"/>
      <c r="K1378"/>
      <c r="L1378"/>
      <c r="M1378"/>
      <c r="N1378"/>
      <c r="O1378"/>
      <c r="P1378"/>
      <c r="Q1378"/>
      <c r="R1378"/>
      <c r="S1378" s="56">
        <f t="shared" si="63"/>
        <v>0</v>
      </c>
      <c r="T1378" s="57" t="str">
        <f t="shared" si="64"/>
        <v>0-3 Days</v>
      </c>
      <c r="U1378" s="58" t="str">
        <f t="shared" si="65"/>
        <v>Normal</v>
      </c>
    </row>
    <row r="1379" spans="1:21" ht="23.25" customHeight="1" x14ac:dyDescent="0.35">
      <c r="A1379" t="s">
        <v>3126</v>
      </c>
      <c r="B1379" t="s">
        <v>3126</v>
      </c>
      <c r="C1379">
        <v>2700</v>
      </c>
      <c r="D1379">
        <v>0</v>
      </c>
      <c r="E1379" t="s">
        <v>3182</v>
      </c>
      <c r="F1379" t="s">
        <v>57</v>
      </c>
      <c r="G1379" t="s">
        <v>57</v>
      </c>
      <c r="H1379" t="s">
        <v>3183</v>
      </c>
      <c r="I1379"/>
      <c r="J1379"/>
      <c r="K1379"/>
      <c r="L1379"/>
      <c r="M1379"/>
      <c r="N1379"/>
      <c r="O1379"/>
      <c r="P1379"/>
      <c r="Q1379"/>
      <c r="R1379"/>
      <c r="S1379" s="56">
        <f t="shared" si="63"/>
        <v>0</v>
      </c>
      <c r="T1379" s="57" t="str">
        <f t="shared" si="64"/>
        <v>0-3 Days</v>
      </c>
      <c r="U1379" s="58" t="str">
        <f t="shared" si="65"/>
        <v>Normal</v>
      </c>
    </row>
    <row r="1380" spans="1:21" ht="23.25" customHeight="1" x14ac:dyDescent="0.35">
      <c r="A1380" t="s">
        <v>3126</v>
      </c>
      <c r="B1380" t="s">
        <v>3126</v>
      </c>
      <c r="C1380">
        <v>305</v>
      </c>
      <c r="D1380">
        <v>0</v>
      </c>
      <c r="E1380" t="s">
        <v>3184</v>
      </c>
      <c r="F1380" t="s">
        <v>57</v>
      </c>
      <c r="G1380" t="s">
        <v>57</v>
      </c>
      <c r="H1380" t="s">
        <v>3185</v>
      </c>
      <c r="I1380"/>
      <c r="J1380"/>
      <c r="K1380"/>
      <c r="L1380"/>
      <c r="M1380"/>
      <c r="N1380"/>
      <c r="O1380"/>
      <c r="P1380"/>
      <c r="Q1380"/>
      <c r="R1380"/>
      <c r="S1380" s="56">
        <f t="shared" si="63"/>
        <v>0</v>
      </c>
      <c r="T1380" s="57" t="str">
        <f t="shared" si="64"/>
        <v>0-3 Days</v>
      </c>
      <c r="U1380" s="58" t="str">
        <f t="shared" si="65"/>
        <v>Normal</v>
      </c>
    </row>
    <row r="1381" spans="1:21" ht="23.25" customHeight="1" x14ac:dyDescent="0.35">
      <c r="A1381" t="s">
        <v>3126</v>
      </c>
      <c r="B1381" t="s">
        <v>3126</v>
      </c>
      <c r="C1381">
        <v>1000</v>
      </c>
      <c r="D1381">
        <v>0</v>
      </c>
      <c r="E1381" t="s">
        <v>3186</v>
      </c>
      <c r="F1381" t="s">
        <v>57</v>
      </c>
      <c r="G1381" t="s">
        <v>57</v>
      </c>
      <c r="H1381" t="s">
        <v>3187</v>
      </c>
      <c r="I1381"/>
      <c r="J1381"/>
      <c r="K1381"/>
      <c r="L1381"/>
      <c r="M1381"/>
      <c r="N1381"/>
      <c r="O1381"/>
      <c r="P1381"/>
      <c r="Q1381"/>
      <c r="R1381"/>
      <c r="S1381" s="56">
        <f t="shared" si="63"/>
        <v>0</v>
      </c>
      <c r="T1381" s="57" t="str">
        <f t="shared" si="64"/>
        <v>0-3 Days</v>
      </c>
      <c r="U1381" s="58" t="str">
        <f t="shared" si="65"/>
        <v>Normal</v>
      </c>
    </row>
    <row r="1382" spans="1:21" ht="23.25" customHeight="1" x14ac:dyDescent="0.35">
      <c r="A1382" t="s">
        <v>3126</v>
      </c>
      <c r="B1382" t="s">
        <v>3126</v>
      </c>
      <c r="C1382">
        <v>250</v>
      </c>
      <c r="D1382">
        <v>0</v>
      </c>
      <c r="E1382" t="s">
        <v>3188</v>
      </c>
      <c r="F1382" t="s">
        <v>57</v>
      </c>
      <c r="G1382" t="s">
        <v>57</v>
      </c>
      <c r="H1382" t="s">
        <v>3189</v>
      </c>
      <c r="I1382"/>
      <c r="J1382"/>
      <c r="K1382"/>
      <c r="L1382"/>
      <c r="M1382"/>
      <c r="N1382"/>
      <c r="O1382"/>
      <c r="P1382"/>
      <c r="Q1382"/>
      <c r="R1382"/>
      <c r="S1382" s="56">
        <f t="shared" si="63"/>
        <v>0</v>
      </c>
      <c r="T1382" s="57" t="str">
        <f t="shared" si="64"/>
        <v>0-3 Days</v>
      </c>
      <c r="U1382" s="58" t="str">
        <f t="shared" si="65"/>
        <v>Normal</v>
      </c>
    </row>
    <row r="1383" spans="1:21" ht="23.25" customHeight="1" x14ac:dyDescent="0.35">
      <c r="A1383" t="s">
        <v>3126</v>
      </c>
      <c r="B1383" t="s">
        <v>3126</v>
      </c>
      <c r="C1383">
        <v>2650</v>
      </c>
      <c r="D1383">
        <v>0</v>
      </c>
      <c r="E1383" t="s">
        <v>3190</v>
      </c>
      <c r="F1383" t="s">
        <v>57</v>
      </c>
      <c r="G1383" t="s">
        <v>57</v>
      </c>
      <c r="H1383" t="s">
        <v>3191</v>
      </c>
      <c r="I1383"/>
      <c r="J1383"/>
      <c r="K1383"/>
      <c r="L1383"/>
      <c r="M1383"/>
      <c r="N1383"/>
      <c r="O1383"/>
      <c r="P1383"/>
      <c r="Q1383"/>
      <c r="R1383"/>
      <c r="S1383" s="56">
        <f t="shared" si="63"/>
        <v>0</v>
      </c>
      <c r="T1383" s="57" t="str">
        <f t="shared" si="64"/>
        <v>0-3 Days</v>
      </c>
      <c r="U1383" s="58" t="str">
        <f t="shared" si="65"/>
        <v>Normal</v>
      </c>
    </row>
    <row r="1384" spans="1:21" ht="23.25" customHeight="1" x14ac:dyDescent="0.35">
      <c r="A1384" t="s">
        <v>3126</v>
      </c>
      <c r="B1384" t="s">
        <v>3126</v>
      </c>
      <c r="C1384">
        <v>2650</v>
      </c>
      <c r="D1384">
        <v>0</v>
      </c>
      <c r="E1384" t="s">
        <v>3192</v>
      </c>
      <c r="F1384" t="s">
        <v>57</v>
      </c>
      <c r="G1384" t="s">
        <v>57</v>
      </c>
      <c r="H1384" t="s">
        <v>3193</v>
      </c>
      <c r="I1384"/>
      <c r="J1384"/>
      <c r="K1384"/>
      <c r="L1384"/>
      <c r="M1384"/>
      <c r="N1384"/>
      <c r="O1384"/>
      <c r="P1384"/>
      <c r="Q1384"/>
      <c r="R1384"/>
      <c r="S1384" s="56">
        <f t="shared" si="63"/>
        <v>0</v>
      </c>
      <c r="T1384" s="57" t="str">
        <f t="shared" si="64"/>
        <v>0-3 Days</v>
      </c>
      <c r="U1384" s="58" t="str">
        <f t="shared" si="65"/>
        <v>Normal</v>
      </c>
    </row>
    <row r="1385" spans="1:21" ht="23.25" customHeight="1" x14ac:dyDescent="0.35">
      <c r="A1385" t="s">
        <v>3126</v>
      </c>
      <c r="B1385" t="s">
        <v>3126</v>
      </c>
      <c r="C1385">
        <v>1000</v>
      </c>
      <c r="D1385">
        <v>0</v>
      </c>
      <c r="E1385" t="s">
        <v>3194</v>
      </c>
      <c r="F1385" t="s">
        <v>57</v>
      </c>
      <c r="G1385" t="s">
        <v>57</v>
      </c>
      <c r="H1385" t="s">
        <v>3195</v>
      </c>
      <c r="I1385"/>
      <c r="J1385"/>
      <c r="K1385"/>
      <c r="L1385"/>
      <c r="M1385"/>
      <c r="N1385"/>
      <c r="O1385"/>
      <c r="P1385"/>
      <c r="Q1385"/>
      <c r="R1385"/>
      <c r="S1385" s="56">
        <f t="shared" si="63"/>
        <v>0</v>
      </c>
      <c r="T1385" s="57" t="str">
        <f t="shared" si="64"/>
        <v>0-3 Days</v>
      </c>
      <c r="U1385" s="58" t="str">
        <f t="shared" si="65"/>
        <v>Normal</v>
      </c>
    </row>
    <row r="1386" spans="1:21" ht="23.25" customHeight="1" x14ac:dyDescent="0.35">
      <c r="A1386" t="s">
        <v>3126</v>
      </c>
      <c r="B1386" t="s">
        <v>3126</v>
      </c>
      <c r="C1386">
        <v>1000</v>
      </c>
      <c r="D1386">
        <v>0</v>
      </c>
      <c r="E1386" t="s">
        <v>3196</v>
      </c>
      <c r="F1386" t="s">
        <v>57</v>
      </c>
      <c r="G1386" t="s">
        <v>57</v>
      </c>
      <c r="H1386" t="s">
        <v>3197</v>
      </c>
      <c r="I1386"/>
      <c r="J1386"/>
      <c r="K1386"/>
      <c r="L1386"/>
      <c r="M1386"/>
      <c r="N1386"/>
      <c r="O1386"/>
      <c r="P1386"/>
      <c r="Q1386"/>
      <c r="R1386"/>
      <c r="S1386" s="56">
        <f t="shared" si="63"/>
        <v>0</v>
      </c>
      <c r="T1386" s="57" t="str">
        <f t="shared" si="64"/>
        <v>0-3 Days</v>
      </c>
      <c r="U1386" s="58" t="str">
        <f t="shared" si="65"/>
        <v>Normal</v>
      </c>
    </row>
    <row r="1387" spans="1:21" ht="23.25" customHeight="1" x14ac:dyDescent="0.35">
      <c r="A1387" t="s">
        <v>3126</v>
      </c>
      <c r="B1387" t="s">
        <v>3126</v>
      </c>
      <c r="C1387">
        <v>1000</v>
      </c>
      <c r="D1387">
        <v>0</v>
      </c>
      <c r="E1387" t="s">
        <v>3198</v>
      </c>
      <c r="F1387" t="s">
        <v>57</v>
      </c>
      <c r="G1387" t="s">
        <v>57</v>
      </c>
      <c r="H1387" t="s">
        <v>3199</v>
      </c>
      <c r="I1387"/>
      <c r="J1387"/>
      <c r="K1387"/>
      <c r="L1387"/>
      <c r="M1387"/>
      <c r="N1387"/>
      <c r="O1387"/>
      <c r="P1387"/>
      <c r="Q1387"/>
      <c r="R1387"/>
      <c r="S1387" s="56">
        <f t="shared" si="63"/>
        <v>0</v>
      </c>
      <c r="T1387" s="57" t="str">
        <f t="shared" si="64"/>
        <v>0-3 Days</v>
      </c>
      <c r="U1387" s="58" t="str">
        <f t="shared" si="65"/>
        <v>Normal</v>
      </c>
    </row>
    <row r="1388" spans="1:21" ht="23.25" customHeight="1" x14ac:dyDescent="0.35">
      <c r="A1388" t="s">
        <v>3126</v>
      </c>
      <c r="B1388" t="s">
        <v>3126</v>
      </c>
      <c r="C1388">
        <v>1000</v>
      </c>
      <c r="D1388">
        <v>0</v>
      </c>
      <c r="E1388" t="s">
        <v>3200</v>
      </c>
      <c r="F1388" t="s">
        <v>57</v>
      </c>
      <c r="G1388" t="s">
        <v>57</v>
      </c>
      <c r="H1388" t="s">
        <v>3201</v>
      </c>
      <c r="I1388"/>
      <c r="J1388"/>
      <c r="K1388"/>
      <c r="L1388"/>
      <c r="M1388"/>
      <c r="N1388"/>
      <c r="O1388"/>
      <c r="P1388"/>
      <c r="Q1388"/>
      <c r="R1388"/>
      <c r="S1388" s="56">
        <f t="shared" si="63"/>
        <v>0</v>
      </c>
      <c r="T1388" s="57" t="str">
        <f t="shared" si="64"/>
        <v>0-3 Days</v>
      </c>
      <c r="U1388" s="58" t="str">
        <f t="shared" si="65"/>
        <v>Normal</v>
      </c>
    </row>
    <row r="1389" spans="1:21" ht="23.25" customHeight="1" x14ac:dyDescent="0.35">
      <c r="A1389" t="s">
        <v>3126</v>
      </c>
      <c r="B1389" t="s">
        <v>3126</v>
      </c>
      <c r="C1389">
        <v>1000</v>
      </c>
      <c r="D1389">
        <v>0</v>
      </c>
      <c r="E1389" t="s">
        <v>3202</v>
      </c>
      <c r="F1389" t="s">
        <v>57</v>
      </c>
      <c r="G1389" t="s">
        <v>57</v>
      </c>
      <c r="H1389" t="s">
        <v>3203</v>
      </c>
      <c r="I1389"/>
      <c r="J1389"/>
      <c r="K1389"/>
      <c r="L1389"/>
      <c r="M1389"/>
      <c r="N1389"/>
      <c r="O1389"/>
      <c r="P1389"/>
      <c r="Q1389"/>
      <c r="R1389"/>
      <c r="S1389" s="56">
        <f t="shared" si="63"/>
        <v>0</v>
      </c>
      <c r="T1389" s="57" t="str">
        <f t="shared" si="64"/>
        <v>0-3 Days</v>
      </c>
      <c r="U1389" s="58" t="str">
        <f t="shared" si="65"/>
        <v>Normal</v>
      </c>
    </row>
    <row r="1390" spans="1:21" ht="23.25" customHeight="1" x14ac:dyDescent="0.35">
      <c r="A1390" t="s">
        <v>3126</v>
      </c>
      <c r="B1390" t="s">
        <v>3126</v>
      </c>
      <c r="C1390">
        <v>612</v>
      </c>
      <c r="D1390">
        <v>0</v>
      </c>
      <c r="E1390" t="s">
        <v>3204</v>
      </c>
      <c r="F1390" t="s">
        <v>57</v>
      </c>
      <c r="G1390" t="s">
        <v>57</v>
      </c>
      <c r="H1390" t="s">
        <v>3205</v>
      </c>
      <c r="I1390"/>
      <c r="J1390"/>
      <c r="K1390"/>
      <c r="L1390"/>
      <c r="M1390"/>
      <c r="N1390"/>
      <c r="O1390"/>
      <c r="P1390"/>
      <c r="Q1390"/>
      <c r="R1390"/>
      <c r="S1390" s="56">
        <f t="shared" si="63"/>
        <v>0</v>
      </c>
      <c r="T1390" s="57" t="str">
        <f t="shared" si="64"/>
        <v>0-3 Days</v>
      </c>
      <c r="U1390" s="58" t="str">
        <f t="shared" si="65"/>
        <v>Normal</v>
      </c>
    </row>
    <row r="1391" spans="1:21" ht="23.25" customHeight="1" x14ac:dyDescent="0.35">
      <c r="A1391" t="s">
        <v>3126</v>
      </c>
      <c r="B1391" t="s">
        <v>3126</v>
      </c>
      <c r="C1391">
        <v>1000</v>
      </c>
      <c r="D1391">
        <v>0</v>
      </c>
      <c r="E1391" t="s">
        <v>3206</v>
      </c>
      <c r="F1391" t="s">
        <v>57</v>
      </c>
      <c r="G1391" t="s">
        <v>57</v>
      </c>
      <c r="H1391" t="s">
        <v>3207</v>
      </c>
      <c r="I1391"/>
      <c r="J1391"/>
      <c r="K1391"/>
      <c r="L1391"/>
      <c r="M1391"/>
      <c r="N1391"/>
      <c r="O1391"/>
      <c r="P1391"/>
      <c r="Q1391"/>
      <c r="R1391"/>
      <c r="S1391" s="56">
        <f t="shared" si="63"/>
        <v>0</v>
      </c>
      <c r="T1391" s="57" t="str">
        <f t="shared" si="64"/>
        <v>0-3 Days</v>
      </c>
      <c r="U1391" s="58" t="str">
        <f t="shared" si="65"/>
        <v>Normal</v>
      </c>
    </row>
    <row r="1392" spans="1:21" ht="23.25" customHeight="1" x14ac:dyDescent="0.35">
      <c r="A1392" t="s">
        <v>3126</v>
      </c>
      <c r="B1392" t="s">
        <v>3126</v>
      </c>
      <c r="C1392">
        <v>2100</v>
      </c>
      <c r="D1392">
        <v>0</v>
      </c>
      <c r="E1392" t="s">
        <v>3208</v>
      </c>
      <c r="F1392" t="s">
        <v>57</v>
      </c>
      <c r="G1392" t="s">
        <v>57</v>
      </c>
      <c r="H1392" t="s">
        <v>3209</v>
      </c>
      <c r="I1392"/>
      <c r="J1392"/>
      <c r="K1392"/>
      <c r="L1392"/>
      <c r="M1392"/>
      <c r="N1392"/>
      <c r="O1392"/>
      <c r="P1392"/>
      <c r="Q1392"/>
      <c r="R1392"/>
      <c r="S1392" s="56">
        <f t="shared" si="63"/>
        <v>0</v>
      </c>
      <c r="T1392" s="57" t="str">
        <f t="shared" si="64"/>
        <v>0-3 Days</v>
      </c>
      <c r="U1392" s="58" t="str">
        <f t="shared" si="65"/>
        <v>Normal</v>
      </c>
    </row>
    <row r="1393" spans="1:21" ht="23.25" customHeight="1" x14ac:dyDescent="0.35">
      <c r="A1393" t="s">
        <v>3126</v>
      </c>
      <c r="B1393" t="s">
        <v>3126</v>
      </c>
      <c r="C1393">
        <v>600</v>
      </c>
      <c r="D1393">
        <v>0</v>
      </c>
      <c r="E1393" t="s">
        <v>3210</v>
      </c>
      <c r="F1393" t="s">
        <v>57</v>
      </c>
      <c r="G1393" t="s">
        <v>57</v>
      </c>
      <c r="H1393" t="s">
        <v>3211</v>
      </c>
      <c r="I1393"/>
      <c r="J1393"/>
      <c r="K1393"/>
      <c r="L1393"/>
      <c r="M1393"/>
      <c r="N1393"/>
      <c r="O1393"/>
      <c r="P1393"/>
      <c r="Q1393"/>
      <c r="R1393"/>
      <c r="S1393" s="56">
        <f t="shared" si="63"/>
        <v>0</v>
      </c>
      <c r="T1393" s="57" t="str">
        <f t="shared" si="64"/>
        <v>0-3 Days</v>
      </c>
      <c r="U1393" s="58" t="str">
        <f t="shared" si="65"/>
        <v>Normal</v>
      </c>
    </row>
    <row r="1394" spans="1:21" ht="23.25" customHeight="1" x14ac:dyDescent="0.35">
      <c r="A1394" t="s">
        <v>3126</v>
      </c>
      <c r="B1394" t="s">
        <v>3126</v>
      </c>
      <c r="C1394">
        <v>0</v>
      </c>
      <c r="D1394">
        <v>1179178.45</v>
      </c>
      <c r="E1394" t="s">
        <v>3212</v>
      </c>
      <c r="F1394" t="s">
        <v>57</v>
      </c>
      <c r="G1394" t="s">
        <v>57</v>
      </c>
      <c r="H1394" t="s">
        <v>3213</v>
      </c>
      <c r="I1394"/>
      <c r="J1394"/>
      <c r="K1394"/>
      <c r="L1394"/>
      <c r="M1394"/>
      <c r="N1394"/>
      <c r="O1394"/>
      <c r="P1394"/>
      <c r="Q1394"/>
      <c r="R1394"/>
      <c r="S1394" s="56">
        <f t="shared" si="63"/>
        <v>0</v>
      </c>
      <c r="T1394" s="57" t="str">
        <f t="shared" si="64"/>
        <v>0-3 Days</v>
      </c>
      <c r="U1394" s="58" t="str">
        <f t="shared" si="65"/>
        <v>Not Applicable</v>
      </c>
    </row>
    <row r="1395" spans="1:21" ht="23.25" customHeight="1" x14ac:dyDescent="0.35">
      <c r="A1395" t="s">
        <v>3126</v>
      </c>
      <c r="B1395" t="s">
        <v>3126</v>
      </c>
      <c r="C1395">
        <v>0</v>
      </c>
      <c r="D1395">
        <v>3800000</v>
      </c>
      <c r="E1395" t="s">
        <v>3214</v>
      </c>
      <c r="F1395" t="s">
        <v>57</v>
      </c>
      <c r="G1395" t="s">
        <v>57</v>
      </c>
      <c r="H1395" t="s">
        <v>3215</v>
      </c>
      <c r="I1395"/>
      <c r="J1395"/>
      <c r="K1395"/>
      <c r="L1395"/>
      <c r="M1395"/>
      <c r="N1395"/>
      <c r="O1395"/>
      <c r="P1395"/>
      <c r="Q1395"/>
      <c r="R1395"/>
      <c r="S1395" s="56">
        <f t="shared" si="63"/>
        <v>0</v>
      </c>
      <c r="T1395" s="57" t="str">
        <f t="shared" si="64"/>
        <v>0-3 Days</v>
      </c>
      <c r="U1395" s="58" t="str">
        <f t="shared" si="65"/>
        <v>Not Applicable</v>
      </c>
    </row>
    <row r="1396" spans="1:21" ht="23.25" customHeight="1" x14ac:dyDescent="0.35">
      <c r="A1396" t="s">
        <v>3126</v>
      </c>
      <c r="B1396" t="s">
        <v>3126</v>
      </c>
      <c r="C1396">
        <v>1000</v>
      </c>
      <c r="D1396">
        <v>0</v>
      </c>
      <c r="E1396" t="s">
        <v>3216</v>
      </c>
      <c r="F1396" t="s">
        <v>57</v>
      </c>
      <c r="G1396" t="s">
        <v>57</v>
      </c>
      <c r="H1396" t="s">
        <v>3217</v>
      </c>
      <c r="I1396"/>
      <c r="J1396"/>
      <c r="K1396"/>
      <c r="L1396"/>
      <c r="M1396"/>
      <c r="N1396"/>
      <c r="O1396"/>
      <c r="P1396"/>
      <c r="Q1396"/>
      <c r="R1396"/>
      <c r="S1396" s="56">
        <f t="shared" si="63"/>
        <v>0</v>
      </c>
      <c r="T1396" s="57" t="str">
        <f t="shared" si="64"/>
        <v>0-3 Days</v>
      </c>
      <c r="U1396" s="58" t="str">
        <f t="shared" si="65"/>
        <v>Normal</v>
      </c>
    </row>
    <row r="1397" spans="1:21" ht="23.25" customHeight="1" x14ac:dyDescent="0.35">
      <c r="A1397" t="s">
        <v>3126</v>
      </c>
      <c r="B1397" t="s">
        <v>3126</v>
      </c>
      <c r="C1397">
        <v>648</v>
      </c>
      <c r="D1397">
        <v>0</v>
      </c>
      <c r="E1397" t="s">
        <v>3218</v>
      </c>
      <c r="F1397" t="s">
        <v>57</v>
      </c>
      <c r="G1397" t="s">
        <v>57</v>
      </c>
      <c r="H1397" t="s">
        <v>3219</v>
      </c>
      <c r="I1397"/>
      <c r="J1397"/>
      <c r="K1397"/>
      <c r="L1397"/>
      <c r="M1397"/>
      <c r="N1397"/>
      <c r="O1397"/>
      <c r="P1397"/>
      <c r="Q1397"/>
      <c r="R1397"/>
      <c r="S1397" s="56">
        <f t="shared" si="63"/>
        <v>0</v>
      </c>
      <c r="T1397" s="57" t="str">
        <f t="shared" si="64"/>
        <v>0-3 Days</v>
      </c>
      <c r="U1397" s="58" t="str">
        <f t="shared" si="65"/>
        <v>Normal</v>
      </c>
    </row>
    <row r="1398" spans="1:21" ht="23.25" customHeight="1" x14ac:dyDescent="0.35">
      <c r="A1398" t="s">
        <v>3126</v>
      </c>
      <c r="B1398" t="s">
        <v>3126</v>
      </c>
      <c r="C1398">
        <v>1000</v>
      </c>
      <c r="D1398">
        <v>0</v>
      </c>
      <c r="E1398" t="s">
        <v>3220</v>
      </c>
      <c r="F1398" t="s">
        <v>57</v>
      </c>
      <c r="G1398" t="s">
        <v>57</v>
      </c>
      <c r="H1398" t="s">
        <v>3221</v>
      </c>
      <c r="I1398"/>
      <c r="J1398"/>
      <c r="K1398"/>
      <c r="L1398"/>
      <c r="M1398"/>
      <c r="N1398"/>
      <c r="O1398"/>
      <c r="P1398"/>
      <c r="Q1398"/>
      <c r="R1398"/>
      <c r="S1398" s="56">
        <f t="shared" si="63"/>
        <v>0</v>
      </c>
      <c r="T1398" s="57" t="str">
        <f t="shared" si="64"/>
        <v>0-3 Days</v>
      </c>
      <c r="U1398" s="58" t="str">
        <f t="shared" si="65"/>
        <v>Normal</v>
      </c>
    </row>
    <row r="1399" spans="1:21" ht="23.25" customHeight="1" x14ac:dyDescent="0.35">
      <c r="A1399" t="s">
        <v>3126</v>
      </c>
      <c r="B1399" t="s">
        <v>3126</v>
      </c>
      <c r="C1399">
        <v>1000</v>
      </c>
      <c r="D1399">
        <v>0</v>
      </c>
      <c r="E1399" t="s">
        <v>3222</v>
      </c>
      <c r="F1399" t="s">
        <v>57</v>
      </c>
      <c r="G1399" t="s">
        <v>57</v>
      </c>
      <c r="H1399" t="s">
        <v>3223</v>
      </c>
      <c r="I1399"/>
      <c r="J1399"/>
      <c r="K1399"/>
      <c r="L1399"/>
      <c r="M1399"/>
      <c r="N1399"/>
      <c r="O1399"/>
      <c r="P1399"/>
      <c r="Q1399"/>
      <c r="R1399"/>
      <c r="S1399" s="56">
        <f t="shared" si="63"/>
        <v>0</v>
      </c>
      <c r="T1399" s="57" t="str">
        <f t="shared" si="64"/>
        <v>0-3 Days</v>
      </c>
      <c r="U1399" s="58" t="str">
        <f t="shared" si="65"/>
        <v>Normal</v>
      </c>
    </row>
    <row r="1400" spans="1:21" ht="23.25" customHeight="1" x14ac:dyDescent="0.35">
      <c r="A1400" t="s">
        <v>3126</v>
      </c>
      <c r="B1400" t="s">
        <v>3126</v>
      </c>
      <c r="C1400">
        <v>0</v>
      </c>
      <c r="D1400">
        <v>1071980.6200000001</v>
      </c>
      <c r="E1400" t="s">
        <v>3224</v>
      </c>
      <c r="F1400" t="s">
        <v>57</v>
      </c>
      <c r="G1400" t="s">
        <v>57</v>
      </c>
      <c r="H1400" t="s">
        <v>3225</v>
      </c>
      <c r="I1400"/>
      <c r="J1400"/>
      <c r="K1400"/>
      <c r="L1400"/>
      <c r="M1400"/>
      <c r="N1400"/>
      <c r="O1400"/>
      <c r="P1400"/>
      <c r="Q1400"/>
      <c r="R1400"/>
      <c r="S1400" s="56">
        <f t="shared" si="63"/>
        <v>0</v>
      </c>
      <c r="T1400" s="57" t="str">
        <f t="shared" si="64"/>
        <v>0-3 Days</v>
      </c>
      <c r="U1400" s="58" t="str">
        <f t="shared" si="65"/>
        <v>Not Applicable</v>
      </c>
    </row>
    <row r="1401" spans="1:21" ht="23.25" customHeight="1" x14ac:dyDescent="0.35">
      <c r="A1401" t="s">
        <v>3126</v>
      </c>
      <c r="B1401" t="s">
        <v>3126</v>
      </c>
      <c r="C1401">
        <v>1000</v>
      </c>
      <c r="D1401">
        <v>0</v>
      </c>
      <c r="E1401" t="s">
        <v>3226</v>
      </c>
      <c r="F1401" t="s">
        <v>57</v>
      </c>
      <c r="G1401" t="s">
        <v>57</v>
      </c>
      <c r="H1401" t="s">
        <v>3227</v>
      </c>
      <c r="I1401"/>
      <c r="J1401"/>
      <c r="K1401"/>
      <c r="L1401"/>
      <c r="M1401"/>
      <c r="N1401"/>
      <c r="O1401"/>
      <c r="P1401"/>
      <c r="Q1401"/>
      <c r="R1401"/>
      <c r="S1401" s="56">
        <f t="shared" si="63"/>
        <v>0</v>
      </c>
      <c r="T1401" s="57" t="str">
        <f t="shared" si="64"/>
        <v>0-3 Days</v>
      </c>
      <c r="U1401" s="58" t="str">
        <f t="shared" si="65"/>
        <v>Normal</v>
      </c>
    </row>
    <row r="1402" spans="1:21" ht="23.25" customHeight="1" x14ac:dyDescent="0.35">
      <c r="A1402" t="s">
        <v>3126</v>
      </c>
      <c r="B1402" t="s">
        <v>3126</v>
      </c>
      <c r="C1402">
        <v>3050</v>
      </c>
      <c r="D1402">
        <v>0</v>
      </c>
      <c r="E1402" t="s">
        <v>3228</v>
      </c>
      <c r="F1402" t="s">
        <v>57</v>
      </c>
      <c r="G1402" t="s">
        <v>57</v>
      </c>
      <c r="H1402" t="s">
        <v>3229</v>
      </c>
      <c r="I1402"/>
      <c r="J1402"/>
      <c r="K1402"/>
      <c r="L1402"/>
      <c r="M1402"/>
      <c r="N1402"/>
      <c r="O1402"/>
      <c r="P1402"/>
      <c r="Q1402"/>
      <c r="R1402"/>
      <c r="S1402" s="56">
        <f t="shared" si="63"/>
        <v>0</v>
      </c>
      <c r="T1402" s="57" t="str">
        <f t="shared" si="64"/>
        <v>0-3 Days</v>
      </c>
      <c r="U1402" s="58" t="str">
        <f t="shared" si="65"/>
        <v>Normal</v>
      </c>
    </row>
    <row r="1403" spans="1:21" ht="23.25" customHeight="1" x14ac:dyDescent="0.35">
      <c r="A1403" t="s">
        <v>3126</v>
      </c>
      <c r="B1403" t="s">
        <v>3126</v>
      </c>
      <c r="C1403">
        <v>0</v>
      </c>
      <c r="D1403">
        <v>1607970.92</v>
      </c>
      <c r="E1403" t="s">
        <v>3230</v>
      </c>
      <c r="F1403" t="s">
        <v>57</v>
      </c>
      <c r="G1403" t="s">
        <v>57</v>
      </c>
      <c r="H1403" t="s">
        <v>3231</v>
      </c>
      <c r="I1403"/>
      <c r="J1403"/>
      <c r="K1403"/>
      <c r="L1403"/>
      <c r="M1403"/>
      <c r="N1403"/>
      <c r="O1403"/>
      <c r="P1403"/>
      <c r="Q1403"/>
      <c r="R1403"/>
      <c r="S1403" s="56">
        <f t="shared" si="63"/>
        <v>0</v>
      </c>
      <c r="T1403" s="57" t="str">
        <f t="shared" si="64"/>
        <v>0-3 Days</v>
      </c>
      <c r="U1403" s="58" t="str">
        <f t="shared" si="65"/>
        <v>Not Applicable</v>
      </c>
    </row>
    <row r="1404" spans="1:21" ht="23.25" customHeight="1" x14ac:dyDescent="0.35">
      <c r="A1404" t="s">
        <v>3126</v>
      </c>
      <c r="B1404" t="s">
        <v>3126</v>
      </c>
      <c r="C1404">
        <v>100</v>
      </c>
      <c r="D1404">
        <v>0</v>
      </c>
      <c r="E1404" t="s">
        <v>3232</v>
      </c>
      <c r="F1404" t="s">
        <v>57</v>
      </c>
      <c r="G1404" t="s">
        <v>57</v>
      </c>
      <c r="H1404" t="s">
        <v>3233</v>
      </c>
      <c r="I1404"/>
      <c r="J1404"/>
      <c r="K1404"/>
      <c r="L1404"/>
      <c r="M1404"/>
      <c r="N1404"/>
      <c r="O1404"/>
      <c r="P1404"/>
      <c r="Q1404"/>
      <c r="R1404"/>
      <c r="S1404" s="56">
        <f t="shared" si="63"/>
        <v>0</v>
      </c>
      <c r="T1404" s="57" t="str">
        <f t="shared" si="64"/>
        <v>0-3 Days</v>
      </c>
      <c r="U1404" s="58" t="str">
        <f t="shared" si="65"/>
        <v>Normal</v>
      </c>
    </row>
    <row r="1405" spans="1:21" ht="23.25" customHeight="1" x14ac:dyDescent="0.35">
      <c r="A1405" t="s">
        <v>3126</v>
      </c>
      <c r="B1405" t="s">
        <v>3126</v>
      </c>
      <c r="C1405">
        <v>2832</v>
      </c>
      <c r="D1405">
        <v>0</v>
      </c>
      <c r="E1405" t="s">
        <v>3234</v>
      </c>
      <c r="F1405" t="s">
        <v>57</v>
      </c>
      <c r="G1405" t="s">
        <v>57</v>
      </c>
      <c r="H1405" t="s">
        <v>3235</v>
      </c>
      <c r="I1405"/>
      <c r="J1405"/>
      <c r="K1405"/>
      <c r="L1405"/>
      <c r="M1405"/>
      <c r="N1405"/>
      <c r="O1405"/>
      <c r="P1405"/>
      <c r="Q1405"/>
      <c r="R1405"/>
      <c r="S1405" s="56">
        <f t="shared" si="63"/>
        <v>0</v>
      </c>
      <c r="T1405" s="57" t="str">
        <f t="shared" si="64"/>
        <v>0-3 Days</v>
      </c>
      <c r="U1405" s="58" t="str">
        <f t="shared" si="65"/>
        <v>Normal</v>
      </c>
    </row>
    <row r="1406" spans="1:21" ht="23.25" customHeight="1" x14ac:dyDescent="0.35">
      <c r="A1406" t="s">
        <v>3126</v>
      </c>
      <c r="B1406" t="s">
        <v>3126</v>
      </c>
      <c r="C1406">
        <v>1000</v>
      </c>
      <c r="D1406">
        <v>0</v>
      </c>
      <c r="E1406" t="s">
        <v>3236</v>
      </c>
      <c r="F1406" t="s">
        <v>57</v>
      </c>
      <c r="G1406" t="s">
        <v>57</v>
      </c>
      <c r="H1406" t="s">
        <v>3237</v>
      </c>
      <c r="I1406"/>
      <c r="J1406"/>
      <c r="K1406"/>
      <c r="L1406"/>
      <c r="M1406"/>
      <c r="N1406"/>
      <c r="O1406"/>
      <c r="P1406"/>
      <c r="Q1406"/>
      <c r="R1406"/>
      <c r="S1406" s="56">
        <f t="shared" si="63"/>
        <v>0</v>
      </c>
      <c r="T1406" s="57" t="str">
        <f t="shared" si="64"/>
        <v>0-3 Days</v>
      </c>
      <c r="U1406" s="58" t="str">
        <f t="shared" si="65"/>
        <v>Normal</v>
      </c>
    </row>
    <row r="1407" spans="1:21" ht="23.25" customHeight="1" x14ac:dyDescent="0.35">
      <c r="A1407" t="s">
        <v>3126</v>
      </c>
      <c r="B1407" t="s">
        <v>3126</v>
      </c>
      <c r="C1407">
        <v>1000</v>
      </c>
      <c r="D1407">
        <v>0</v>
      </c>
      <c r="E1407" t="s">
        <v>3238</v>
      </c>
      <c r="F1407" t="s">
        <v>57</v>
      </c>
      <c r="G1407" t="s">
        <v>57</v>
      </c>
      <c r="H1407" t="s">
        <v>3239</v>
      </c>
      <c r="I1407"/>
      <c r="J1407"/>
      <c r="K1407"/>
      <c r="L1407"/>
      <c r="M1407"/>
      <c r="N1407"/>
      <c r="O1407"/>
      <c r="P1407"/>
      <c r="Q1407"/>
      <c r="R1407"/>
      <c r="S1407" s="56">
        <f t="shared" si="63"/>
        <v>0</v>
      </c>
      <c r="T1407" s="57" t="str">
        <f t="shared" si="64"/>
        <v>0-3 Days</v>
      </c>
      <c r="U1407" s="58" t="str">
        <f t="shared" si="65"/>
        <v>Normal</v>
      </c>
    </row>
    <row r="1408" spans="1:21" ht="23.25" customHeight="1" x14ac:dyDescent="0.35">
      <c r="A1408" t="s">
        <v>3126</v>
      </c>
      <c r="B1408" t="s">
        <v>3126</v>
      </c>
      <c r="C1408">
        <v>250</v>
      </c>
      <c r="D1408">
        <v>0</v>
      </c>
      <c r="E1408" t="s">
        <v>3240</v>
      </c>
      <c r="F1408" t="s">
        <v>57</v>
      </c>
      <c r="G1408" t="s">
        <v>57</v>
      </c>
      <c r="H1408" t="s">
        <v>3241</v>
      </c>
      <c r="I1408"/>
      <c r="J1408"/>
      <c r="K1408"/>
      <c r="L1408"/>
      <c r="M1408"/>
      <c r="N1408"/>
      <c r="O1408"/>
      <c r="P1408"/>
      <c r="Q1408"/>
      <c r="R1408"/>
      <c r="S1408" s="56">
        <f t="shared" si="63"/>
        <v>0</v>
      </c>
      <c r="T1408" s="57" t="str">
        <f t="shared" si="64"/>
        <v>0-3 Days</v>
      </c>
      <c r="U1408" s="58" t="str">
        <f t="shared" si="65"/>
        <v>Normal</v>
      </c>
    </row>
    <row r="1409" spans="1:21" ht="23.25" customHeight="1" x14ac:dyDescent="0.35">
      <c r="A1409" t="s">
        <v>3126</v>
      </c>
      <c r="B1409" t="s">
        <v>3126</v>
      </c>
      <c r="C1409">
        <v>1000</v>
      </c>
      <c r="D1409">
        <v>0</v>
      </c>
      <c r="E1409" t="s">
        <v>3242</v>
      </c>
      <c r="F1409" t="s">
        <v>57</v>
      </c>
      <c r="G1409" t="s">
        <v>57</v>
      </c>
      <c r="H1409" t="s">
        <v>3243</v>
      </c>
      <c r="I1409"/>
      <c r="J1409"/>
      <c r="K1409"/>
      <c r="L1409"/>
      <c r="M1409"/>
      <c r="N1409"/>
      <c r="O1409"/>
      <c r="P1409"/>
      <c r="Q1409"/>
      <c r="R1409"/>
      <c r="S1409" s="56">
        <f t="shared" si="63"/>
        <v>0</v>
      </c>
      <c r="T1409" s="57" t="str">
        <f t="shared" si="64"/>
        <v>0-3 Days</v>
      </c>
      <c r="U1409" s="58" t="str">
        <f t="shared" si="65"/>
        <v>Normal</v>
      </c>
    </row>
    <row r="1410" spans="1:21" ht="23.25" customHeight="1" x14ac:dyDescent="0.35">
      <c r="A1410" t="s">
        <v>3126</v>
      </c>
      <c r="B1410" t="s">
        <v>3126</v>
      </c>
      <c r="C1410">
        <v>1000</v>
      </c>
      <c r="D1410">
        <v>0</v>
      </c>
      <c r="E1410" t="s">
        <v>3244</v>
      </c>
      <c r="F1410" t="s">
        <v>57</v>
      </c>
      <c r="G1410" t="s">
        <v>57</v>
      </c>
      <c r="H1410" t="s">
        <v>3245</v>
      </c>
      <c r="I1410"/>
      <c r="J1410"/>
      <c r="K1410"/>
      <c r="L1410"/>
      <c r="M1410"/>
      <c r="N1410"/>
      <c r="O1410"/>
      <c r="P1410"/>
      <c r="Q1410"/>
      <c r="R1410"/>
      <c r="S1410" s="56">
        <f t="shared" si="63"/>
        <v>0</v>
      </c>
      <c r="T1410" s="57" t="str">
        <f t="shared" si="64"/>
        <v>0-3 Days</v>
      </c>
      <c r="U1410" s="58" t="str">
        <f t="shared" si="65"/>
        <v>Normal</v>
      </c>
    </row>
    <row r="1411" spans="1:21" ht="23.25" customHeight="1" x14ac:dyDescent="0.35">
      <c r="A1411" t="s">
        <v>3126</v>
      </c>
      <c r="B1411" t="s">
        <v>3126</v>
      </c>
      <c r="C1411">
        <v>2100</v>
      </c>
      <c r="D1411">
        <v>0</v>
      </c>
      <c r="E1411" t="s">
        <v>3246</v>
      </c>
      <c r="F1411" t="s">
        <v>57</v>
      </c>
      <c r="G1411" t="s">
        <v>57</v>
      </c>
      <c r="H1411" t="s">
        <v>3247</v>
      </c>
      <c r="I1411"/>
      <c r="J1411"/>
      <c r="K1411"/>
      <c r="L1411"/>
      <c r="M1411"/>
      <c r="N1411"/>
      <c r="O1411"/>
      <c r="P1411"/>
      <c r="Q1411"/>
      <c r="R1411"/>
      <c r="S1411" s="56">
        <f t="shared" si="63"/>
        <v>0</v>
      </c>
      <c r="T1411" s="57" t="str">
        <f t="shared" si="64"/>
        <v>0-3 Days</v>
      </c>
      <c r="U1411" s="58" t="str">
        <f t="shared" si="65"/>
        <v>Normal</v>
      </c>
    </row>
    <row r="1412" spans="1:21" ht="23.25" customHeight="1" x14ac:dyDescent="0.35">
      <c r="A1412" t="s">
        <v>3126</v>
      </c>
      <c r="B1412" t="s">
        <v>3126</v>
      </c>
      <c r="C1412">
        <v>0</v>
      </c>
      <c r="D1412">
        <v>1660334.86</v>
      </c>
      <c r="E1412" t="s">
        <v>3248</v>
      </c>
      <c r="F1412" t="s">
        <v>57</v>
      </c>
      <c r="G1412" t="s">
        <v>57</v>
      </c>
      <c r="H1412" t="s">
        <v>3249</v>
      </c>
      <c r="I1412"/>
      <c r="J1412"/>
      <c r="K1412"/>
      <c r="L1412"/>
      <c r="M1412"/>
      <c r="N1412"/>
      <c r="O1412"/>
      <c r="P1412"/>
      <c r="Q1412"/>
      <c r="R1412"/>
      <c r="S1412" s="56">
        <f t="shared" si="63"/>
        <v>0</v>
      </c>
      <c r="T1412" s="57" t="str">
        <f t="shared" si="64"/>
        <v>0-3 Days</v>
      </c>
      <c r="U1412" s="58" t="str">
        <f t="shared" si="65"/>
        <v>Not Applicable</v>
      </c>
    </row>
    <row r="1413" spans="1:21" ht="23.25" customHeight="1" x14ac:dyDescent="0.35">
      <c r="A1413" t="s">
        <v>3126</v>
      </c>
      <c r="B1413" t="s">
        <v>3126</v>
      </c>
      <c r="C1413">
        <v>1000</v>
      </c>
      <c r="D1413">
        <v>0</v>
      </c>
      <c r="E1413" t="s">
        <v>3250</v>
      </c>
      <c r="F1413" t="s">
        <v>57</v>
      </c>
      <c r="G1413" t="s">
        <v>57</v>
      </c>
      <c r="H1413" t="s">
        <v>3251</v>
      </c>
      <c r="I1413"/>
      <c r="J1413"/>
      <c r="K1413"/>
      <c r="L1413"/>
      <c r="M1413"/>
      <c r="N1413"/>
      <c r="O1413"/>
      <c r="P1413"/>
      <c r="Q1413"/>
      <c r="R1413"/>
      <c r="S1413" s="56">
        <f t="shared" si="63"/>
        <v>0</v>
      </c>
      <c r="T1413" s="57" t="str">
        <f t="shared" si="64"/>
        <v>0-3 Days</v>
      </c>
      <c r="U1413" s="58" t="str">
        <f t="shared" si="65"/>
        <v>Normal</v>
      </c>
    </row>
    <row r="1414" spans="1:21" ht="23.25" customHeight="1" x14ac:dyDescent="0.35">
      <c r="A1414" t="s">
        <v>3126</v>
      </c>
      <c r="B1414" t="s">
        <v>3126</v>
      </c>
      <c r="C1414">
        <v>1000</v>
      </c>
      <c r="D1414">
        <v>0</v>
      </c>
      <c r="E1414" t="s">
        <v>3252</v>
      </c>
      <c r="F1414" t="s">
        <v>57</v>
      </c>
      <c r="G1414" t="s">
        <v>57</v>
      </c>
      <c r="H1414" t="s">
        <v>3253</v>
      </c>
      <c r="I1414"/>
      <c r="J1414"/>
      <c r="K1414"/>
      <c r="L1414"/>
      <c r="M1414"/>
      <c r="N1414"/>
      <c r="O1414"/>
      <c r="P1414"/>
      <c r="Q1414"/>
      <c r="R1414"/>
      <c r="S1414" s="56">
        <f t="shared" si="63"/>
        <v>0</v>
      </c>
      <c r="T1414" s="57" t="str">
        <f t="shared" si="64"/>
        <v>0-3 Days</v>
      </c>
      <c r="U1414" s="58" t="str">
        <f t="shared" si="65"/>
        <v>Normal</v>
      </c>
    </row>
    <row r="1415" spans="1:21" ht="23.25" customHeight="1" x14ac:dyDescent="0.35">
      <c r="A1415" t="s">
        <v>3126</v>
      </c>
      <c r="B1415" t="s">
        <v>3126</v>
      </c>
      <c r="C1415">
        <v>250</v>
      </c>
      <c r="D1415">
        <v>0</v>
      </c>
      <c r="E1415" t="s">
        <v>3254</v>
      </c>
      <c r="F1415" t="s">
        <v>57</v>
      </c>
      <c r="G1415" t="s">
        <v>57</v>
      </c>
      <c r="H1415" t="s">
        <v>3255</v>
      </c>
      <c r="I1415"/>
      <c r="J1415"/>
      <c r="K1415"/>
      <c r="L1415"/>
      <c r="M1415"/>
      <c r="N1415"/>
      <c r="O1415"/>
      <c r="P1415"/>
      <c r="Q1415"/>
      <c r="R1415"/>
      <c r="S1415" s="56">
        <f t="shared" si="63"/>
        <v>0</v>
      </c>
      <c r="T1415" s="57" t="str">
        <f t="shared" si="64"/>
        <v>0-3 Days</v>
      </c>
      <c r="U1415" s="58" t="str">
        <f t="shared" si="65"/>
        <v>Normal</v>
      </c>
    </row>
    <row r="1416" spans="1:21" ht="23.25" customHeight="1" x14ac:dyDescent="0.35">
      <c r="A1416" t="s">
        <v>3126</v>
      </c>
      <c r="B1416" t="s">
        <v>3126</v>
      </c>
      <c r="C1416">
        <v>1000</v>
      </c>
      <c r="D1416">
        <v>0</v>
      </c>
      <c r="E1416" t="s">
        <v>3256</v>
      </c>
      <c r="F1416" t="s">
        <v>57</v>
      </c>
      <c r="G1416" t="s">
        <v>57</v>
      </c>
      <c r="H1416" t="s">
        <v>3257</v>
      </c>
      <c r="I1416"/>
      <c r="J1416"/>
      <c r="K1416"/>
      <c r="L1416"/>
      <c r="M1416"/>
      <c r="N1416"/>
      <c r="O1416"/>
      <c r="P1416"/>
      <c r="Q1416"/>
      <c r="R1416"/>
      <c r="S1416" s="56">
        <f t="shared" si="63"/>
        <v>0</v>
      </c>
      <c r="T1416" s="57" t="str">
        <f t="shared" si="64"/>
        <v>0-3 Days</v>
      </c>
      <c r="U1416" s="58" t="str">
        <f t="shared" si="65"/>
        <v>Normal</v>
      </c>
    </row>
    <row r="1417" spans="1:21" ht="23.25" customHeight="1" x14ac:dyDescent="0.35">
      <c r="A1417" t="s">
        <v>3126</v>
      </c>
      <c r="B1417" t="s">
        <v>3126</v>
      </c>
      <c r="C1417">
        <v>1000</v>
      </c>
      <c r="D1417">
        <v>0</v>
      </c>
      <c r="E1417" t="s">
        <v>3258</v>
      </c>
      <c r="F1417" t="s">
        <v>57</v>
      </c>
      <c r="G1417" t="s">
        <v>57</v>
      </c>
      <c r="H1417" t="s">
        <v>3259</v>
      </c>
      <c r="I1417"/>
      <c r="J1417"/>
      <c r="K1417"/>
      <c r="L1417"/>
      <c r="M1417"/>
      <c r="N1417"/>
      <c r="O1417"/>
      <c r="P1417"/>
      <c r="Q1417"/>
      <c r="R1417"/>
      <c r="S1417" s="56">
        <f t="shared" ref="S1417:S1480" si="66">IF(A1417="","",A$5-A1417)</f>
        <v>0</v>
      </c>
      <c r="T1417" s="57" t="str">
        <f t="shared" ref="T1417:T1480" si="67">IF(S1417="","",IF(S1417&lt;4,"0-3 Days",IF(S1417&lt;31,"4-30 Days",IF(S1417&lt;61,"31-60 Days",IF(S1417&lt;=90,"61-90 Days",IF(S1417&gt;90,"Above 90 Days","0"))))))</f>
        <v>0-3 Days</v>
      </c>
      <c r="U1417" s="58" t="str">
        <f t="shared" ref="U1417:U1480" si="68">IF(C1417="","",IF(C1417&gt;0,IF(S1417&lt;30,"Normal",IF(S1417&lt;60,"Especially Mentioned",IF(S1417&lt;90,"Substandard",IF(S1417&lt;=180,"Doubtful",IF(S1417&gt;180,"Loss","0"))))),"Not Applicable"))</f>
        <v>Normal</v>
      </c>
    </row>
    <row r="1418" spans="1:21" ht="23.25" customHeight="1" x14ac:dyDescent="0.35">
      <c r="A1418" t="s">
        <v>3126</v>
      </c>
      <c r="B1418" t="s">
        <v>3126</v>
      </c>
      <c r="C1418">
        <v>250</v>
      </c>
      <c r="D1418">
        <v>0</v>
      </c>
      <c r="E1418" t="s">
        <v>3260</v>
      </c>
      <c r="F1418" t="s">
        <v>57</v>
      </c>
      <c r="G1418" t="s">
        <v>57</v>
      </c>
      <c r="H1418" t="s">
        <v>3261</v>
      </c>
      <c r="I1418"/>
      <c r="J1418"/>
      <c r="K1418"/>
      <c r="L1418"/>
      <c r="M1418"/>
      <c r="N1418"/>
      <c r="O1418"/>
      <c r="P1418"/>
      <c r="Q1418"/>
      <c r="R1418"/>
      <c r="S1418" s="56">
        <f t="shared" si="66"/>
        <v>0</v>
      </c>
      <c r="T1418" s="57" t="str">
        <f t="shared" si="67"/>
        <v>0-3 Days</v>
      </c>
      <c r="U1418" s="58" t="str">
        <f t="shared" si="68"/>
        <v>Normal</v>
      </c>
    </row>
    <row r="1419" spans="1:21" ht="23.25" customHeight="1" x14ac:dyDescent="0.35">
      <c r="A1419" t="s">
        <v>3126</v>
      </c>
      <c r="B1419" t="s">
        <v>3126</v>
      </c>
      <c r="C1419">
        <v>1000</v>
      </c>
      <c r="D1419">
        <v>0</v>
      </c>
      <c r="E1419" t="s">
        <v>3262</v>
      </c>
      <c r="F1419" t="s">
        <v>57</v>
      </c>
      <c r="G1419" t="s">
        <v>57</v>
      </c>
      <c r="H1419" t="s">
        <v>3263</v>
      </c>
      <c r="I1419"/>
      <c r="J1419"/>
      <c r="K1419"/>
      <c r="L1419"/>
      <c r="M1419"/>
      <c r="N1419"/>
      <c r="O1419"/>
      <c r="P1419"/>
      <c r="Q1419"/>
      <c r="R1419"/>
      <c r="S1419" s="56">
        <f t="shared" si="66"/>
        <v>0</v>
      </c>
      <c r="T1419" s="57" t="str">
        <f t="shared" si="67"/>
        <v>0-3 Days</v>
      </c>
      <c r="U1419" s="58" t="str">
        <f t="shared" si="68"/>
        <v>Normal</v>
      </c>
    </row>
    <row r="1420" spans="1:21" ht="23.25" customHeight="1" x14ac:dyDescent="0.35">
      <c r="A1420" t="s">
        <v>3126</v>
      </c>
      <c r="B1420" t="s">
        <v>3126</v>
      </c>
      <c r="C1420">
        <v>648</v>
      </c>
      <c r="D1420">
        <v>0</v>
      </c>
      <c r="E1420" t="s">
        <v>3264</v>
      </c>
      <c r="F1420" t="s">
        <v>57</v>
      </c>
      <c r="G1420" t="s">
        <v>57</v>
      </c>
      <c r="H1420" t="s">
        <v>3265</v>
      </c>
      <c r="I1420"/>
      <c r="J1420"/>
      <c r="K1420"/>
      <c r="L1420"/>
      <c r="M1420"/>
      <c r="N1420"/>
      <c r="O1420"/>
      <c r="P1420"/>
      <c r="Q1420"/>
      <c r="R1420"/>
      <c r="S1420" s="56">
        <f t="shared" si="66"/>
        <v>0</v>
      </c>
      <c r="T1420" s="57" t="str">
        <f t="shared" si="67"/>
        <v>0-3 Days</v>
      </c>
      <c r="U1420" s="58" t="str">
        <f t="shared" si="68"/>
        <v>Normal</v>
      </c>
    </row>
    <row r="1421" spans="1:21" ht="23.25" customHeight="1" x14ac:dyDescent="0.35">
      <c r="A1421" t="s">
        <v>3126</v>
      </c>
      <c r="B1421" t="s">
        <v>3126</v>
      </c>
      <c r="C1421">
        <v>42255</v>
      </c>
      <c r="D1421">
        <v>0</v>
      </c>
      <c r="E1421" t="s">
        <v>3266</v>
      </c>
      <c r="F1421" t="s">
        <v>57</v>
      </c>
      <c r="G1421" t="s">
        <v>57</v>
      </c>
      <c r="H1421" t="s">
        <v>3267</v>
      </c>
      <c r="I1421"/>
      <c r="J1421"/>
      <c r="K1421"/>
      <c r="L1421"/>
      <c r="M1421"/>
      <c r="N1421"/>
      <c r="O1421"/>
      <c r="P1421"/>
      <c r="Q1421"/>
      <c r="R1421"/>
      <c r="S1421" s="56">
        <f t="shared" si="66"/>
        <v>0</v>
      </c>
      <c r="T1421" s="57" t="str">
        <f t="shared" si="67"/>
        <v>0-3 Days</v>
      </c>
      <c r="U1421" s="58" t="str">
        <f t="shared" si="68"/>
        <v>Normal</v>
      </c>
    </row>
    <row r="1422" spans="1:21" ht="23.25" customHeight="1" x14ac:dyDescent="0.35">
      <c r="A1422" t="s">
        <v>3126</v>
      </c>
      <c r="B1422" t="s">
        <v>3126</v>
      </c>
      <c r="C1422">
        <v>1000</v>
      </c>
      <c r="D1422">
        <v>0</v>
      </c>
      <c r="E1422" t="s">
        <v>3268</v>
      </c>
      <c r="F1422" t="s">
        <v>57</v>
      </c>
      <c r="G1422" t="s">
        <v>57</v>
      </c>
      <c r="H1422" t="s">
        <v>3269</v>
      </c>
      <c r="I1422"/>
      <c r="J1422"/>
      <c r="K1422"/>
      <c r="L1422"/>
      <c r="M1422"/>
      <c r="N1422"/>
      <c r="O1422"/>
      <c r="P1422"/>
      <c r="Q1422"/>
      <c r="R1422"/>
      <c r="S1422" s="56">
        <f t="shared" si="66"/>
        <v>0</v>
      </c>
      <c r="T1422" s="57" t="str">
        <f t="shared" si="67"/>
        <v>0-3 Days</v>
      </c>
      <c r="U1422" s="58" t="str">
        <f t="shared" si="68"/>
        <v>Normal</v>
      </c>
    </row>
    <row r="1423" spans="1:21" ht="23.25" customHeight="1" x14ac:dyDescent="0.35">
      <c r="A1423" t="s">
        <v>3126</v>
      </c>
      <c r="B1423" t="s">
        <v>3126</v>
      </c>
      <c r="C1423">
        <v>1000</v>
      </c>
      <c r="D1423">
        <v>0</v>
      </c>
      <c r="E1423" t="s">
        <v>3270</v>
      </c>
      <c r="F1423" t="s">
        <v>57</v>
      </c>
      <c r="G1423" t="s">
        <v>57</v>
      </c>
      <c r="H1423" t="s">
        <v>3271</v>
      </c>
      <c r="I1423"/>
      <c r="J1423"/>
      <c r="K1423"/>
      <c r="L1423"/>
      <c r="M1423"/>
      <c r="N1423"/>
      <c r="O1423"/>
      <c r="P1423"/>
      <c r="Q1423"/>
      <c r="R1423"/>
      <c r="S1423" s="56">
        <f t="shared" si="66"/>
        <v>0</v>
      </c>
      <c r="T1423" s="57" t="str">
        <f t="shared" si="67"/>
        <v>0-3 Days</v>
      </c>
      <c r="U1423" s="58" t="str">
        <f t="shared" si="68"/>
        <v>Normal</v>
      </c>
    </row>
    <row r="1424" spans="1:21" ht="23.25" customHeight="1" x14ac:dyDescent="0.35">
      <c r="A1424" t="s">
        <v>3126</v>
      </c>
      <c r="B1424" t="s">
        <v>3126</v>
      </c>
      <c r="C1424">
        <v>2150</v>
      </c>
      <c r="D1424">
        <v>0</v>
      </c>
      <c r="E1424" t="s">
        <v>3272</v>
      </c>
      <c r="F1424" t="s">
        <v>57</v>
      </c>
      <c r="G1424" t="s">
        <v>57</v>
      </c>
      <c r="H1424" t="s">
        <v>3273</v>
      </c>
      <c r="I1424"/>
      <c r="J1424"/>
      <c r="K1424"/>
      <c r="L1424"/>
      <c r="M1424"/>
      <c r="N1424"/>
      <c r="O1424"/>
      <c r="P1424"/>
      <c r="Q1424"/>
      <c r="R1424"/>
      <c r="S1424" s="56">
        <f t="shared" si="66"/>
        <v>0</v>
      </c>
      <c r="T1424" s="57" t="str">
        <f t="shared" si="67"/>
        <v>0-3 Days</v>
      </c>
      <c r="U1424" s="58" t="str">
        <f t="shared" si="68"/>
        <v>Normal</v>
      </c>
    </row>
    <row r="1425" spans="1:21" ht="23.25" customHeight="1" x14ac:dyDescent="0.35">
      <c r="A1425" t="s">
        <v>3126</v>
      </c>
      <c r="B1425" t="s">
        <v>3126</v>
      </c>
      <c r="C1425">
        <v>250</v>
      </c>
      <c r="D1425">
        <v>0</v>
      </c>
      <c r="E1425" t="s">
        <v>3274</v>
      </c>
      <c r="F1425" t="s">
        <v>57</v>
      </c>
      <c r="G1425" t="s">
        <v>57</v>
      </c>
      <c r="H1425" t="s">
        <v>3275</v>
      </c>
      <c r="I1425"/>
      <c r="J1425"/>
      <c r="K1425"/>
      <c r="L1425"/>
      <c r="M1425"/>
      <c r="N1425"/>
      <c r="O1425"/>
      <c r="P1425"/>
      <c r="Q1425"/>
      <c r="R1425"/>
      <c r="S1425" s="56">
        <f t="shared" si="66"/>
        <v>0</v>
      </c>
      <c r="T1425" s="57" t="str">
        <f t="shared" si="67"/>
        <v>0-3 Days</v>
      </c>
      <c r="U1425" s="58" t="str">
        <f t="shared" si="68"/>
        <v>Normal</v>
      </c>
    </row>
    <row r="1426" spans="1:21" ht="23.25" customHeight="1" x14ac:dyDescent="0.35">
      <c r="A1426" t="s">
        <v>3126</v>
      </c>
      <c r="B1426" t="s">
        <v>3126</v>
      </c>
      <c r="C1426">
        <v>708</v>
      </c>
      <c r="D1426">
        <v>0</v>
      </c>
      <c r="E1426" t="s">
        <v>3276</v>
      </c>
      <c r="F1426" t="s">
        <v>57</v>
      </c>
      <c r="G1426" t="s">
        <v>57</v>
      </c>
      <c r="H1426" t="s">
        <v>3277</v>
      </c>
      <c r="I1426"/>
      <c r="J1426"/>
      <c r="K1426"/>
      <c r="L1426"/>
      <c r="M1426"/>
      <c r="N1426"/>
      <c r="O1426"/>
      <c r="P1426"/>
      <c r="Q1426"/>
      <c r="R1426"/>
      <c r="S1426" s="56">
        <f t="shared" si="66"/>
        <v>0</v>
      </c>
      <c r="T1426" s="57" t="str">
        <f t="shared" si="67"/>
        <v>0-3 Days</v>
      </c>
      <c r="U1426" s="58" t="str">
        <f t="shared" si="68"/>
        <v>Normal</v>
      </c>
    </row>
    <row r="1427" spans="1:21" ht="23.25" customHeight="1" x14ac:dyDescent="0.35">
      <c r="A1427" t="s">
        <v>3126</v>
      </c>
      <c r="B1427" t="s">
        <v>3126</v>
      </c>
      <c r="C1427">
        <v>1000</v>
      </c>
      <c r="D1427">
        <v>0</v>
      </c>
      <c r="E1427" t="s">
        <v>3278</v>
      </c>
      <c r="F1427" t="s">
        <v>57</v>
      </c>
      <c r="G1427" t="s">
        <v>57</v>
      </c>
      <c r="H1427" t="s">
        <v>3279</v>
      </c>
      <c r="I1427"/>
      <c r="J1427"/>
      <c r="K1427"/>
      <c r="L1427"/>
      <c r="M1427"/>
      <c r="N1427"/>
      <c r="O1427"/>
      <c r="P1427"/>
      <c r="Q1427"/>
      <c r="R1427"/>
      <c r="S1427" s="56">
        <f t="shared" si="66"/>
        <v>0</v>
      </c>
      <c r="T1427" s="57" t="str">
        <f t="shared" si="67"/>
        <v>0-3 Days</v>
      </c>
      <c r="U1427" s="58" t="str">
        <f t="shared" si="68"/>
        <v>Normal</v>
      </c>
    </row>
    <row r="1428" spans="1:21" ht="23.25" customHeight="1" x14ac:dyDescent="0.35">
      <c r="A1428" t="s">
        <v>3126</v>
      </c>
      <c r="B1428" t="s">
        <v>3126</v>
      </c>
      <c r="C1428">
        <v>2050</v>
      </c>
      <c r="D1428">
        <v>0</v>
      </c>
      <c r="E1428" t="s">
        <v>3280</v>
      </c>
      <c r="F1428" t="s">
        <v>57</v>
      </c>
      <c r="G1428" t="s">
        <v>57</v>
      </c>
      <c r="H1428" t="s">
        <v>3281</v>
      </c>
      <c r="I1428"/>
      <c r="J1428"/>
      <c r="K1428"/>
      <c r="L1428"/>
      <c r="M1428"/>
      <c r="N1428"/>
      <c r="O1428"/>
      <c r="P1428"/>
      <c r="Q1428"/>
      <c r="R1428"/>
      <c r="S1428" s="56">
        <f t="shared" si="66"/>
        <v>0</v>
      </c>
      <c r="T1428" s="57" t="str">
        <f t="shared" si="67"/>
        <v>0-3 Days</v>
      </c>
      <c r="U1428" s="58" t="str">
        <f t="shared" si="68"/>
        <v>Normal</v>
      </c>
    </row>
    <row r="1429" spans="1:21" ht="23.25" customHeight="1" x14ac:dyDescent="0.35">
      <c r="A1429" t="s">
        <v>3126</v>
      </c>
      <c r="B1429" t="s">
        <v>3126</v>
      </c>
      <c r="C1429">
        <v>100</v>
      </c>
      <c r="D1429">
        <v>0</v>
      </c>
      <c r="E1429" t="s">
        <v>3282</v>
      </c>
      <c r="F1429" t="s">
        <v>57</v>
      </c>
      <c r="G1429" t="s">
        <v>57</v>
      </c>
      <c r="H1429" t="s">
        <v>3283</v>
      </c>
      <c r="I1429"/>
      <c r="J1429"/>
      <c r="K1429"/>
      <c r="L1429"/>
      <c r="M1429"/>
      <c r="N1429"/>
      <c r="O1429"/>
      <c r="P1429"/>
      <c r="Q1429"/>
      <c r="R1429"/>
      <c r="S1429" s="56">
        <f t="shared" si="66"/>
        <v>0</v>
      </c>
      <c r="T1429" s="57" t="str">
        <f t="shared" si="67"/>
        <v>0-3 Days</v>
      </c>
      <c r="U1429" s="58" t="str">
        <f t="shared" si="68"/>
        <v>Normal</v>
      </c>
    </row>
    <row r="1430" spans="1:21" ht="23.25" customHeight="1" x14ac:dyDescent="0.35">
      <c r="A1430" t="s">
        <v>3126</v>
      </c>
      <c r="B1430" t="s">
        <v>3126</v>
      </c>
      <c r="C1430">
        <v>1000</v>
      </c>
      <c r="D1430">
        <v>0</v>
      </c>
      <c r="E1430" t="s">
        <v>3284</v>
      </c>
      <c r="F1430" t="s">
        <v>57</v>
      </c>
      <c r="G1430" t="s">
        <v>57</v>
      </c>
      <c r="H1430" t="s">
        <v>3285</v>
      </c>
      <c r="I1430"/>
      <c r="J1430"/>
      <c r="K1430"/>
      <c r="L1430"/>
      <c r="M1430"/>
      <c r="N1430"/>
      <c r="O1430"/>
      <c r="P1430"/>
      <c r="Q1430"/>
      <c r="R1430"/>
      <c r="S1430" s="56">
        <f t="shared" si="66"/>
        <v>0</v>
      </c>
      <c r="T1430" s="57" t="str">
        <f t="shared" si="67"/>
        <v>0-3 Days</v>
      </c>
      <c r="U1430" s="58" t="str">
        <f t="shared" si="68"/>
        <v>Normal</v>
      </c>
    </row>
    <row r="1431" spans="1:21" ht="23.25" customHeight="1" x14ac:dyDescent="0.35">
      <c r="A1431" t="s">
        <v>3126</v>
      </c>
      <c r="B1431" t="s">
        <v>3126</v>
      </c>
      <c r="C1431">
        <v>600</v>
      </c>
      <c r="D1431">
        <v>0</v>
      </c>
      <c r="E1431" t="s">
        <v>3286</v>
      </c>
      <c r="F1431" t="s">
        <v>57</v>
      </c>
      <c r="G1431" t="s">
        <v>57</v>
      </c>
      <c r="H1431" t="s">
        <v>3287</v>
      </c>
      <c r="I1431"/>
      <c r="J1431"/>
      <c r="K1431"/>
      <c r="L1431"/>
      <c r="M1431"/>
      <c r="N1431"/>
      <c r="O1431"/>
      <c r="P1431"/>
      <c r="Q1431"/>
      <c r="R1431"/>
      <c r="S1431" s="56">
        <f t="shared" si="66"/>
        <v>0</v>
      </c>
      <c r="T1431" s="57" t="str">
        <f t="shared" si="67"/>
        <v>0-3 Days</v>
      </c>
      <c r="U1431" s="58" t="str">
        <f t="shared" si="68"/>
        <v>Normal</v>
      </c>
    </row>
    <row r="1432" spans="1:21" ht="23.25" customHeight="1" x14ac:dyDescent="0.35">
      <c r="A1432" t="s">
        <v>3126</v>
      </c>
      <c r="B1432" t="s">
        <v>3126</v>
      </c>
      <c r="C1432">
        <v>205</v>
      </c>
      <c r="D1432">
        <v>0</v>
      </c>
      <c r="E1432" t="s">
        <v>3288</v>
      </c>
      <c r="F1432" t="s">
        <v>57</v>
      </c>
      <c r="G1432" t="s">
        <v>57</v>
      </c>
      <c r="H1432" t="s">
        <v>3289</v>
      </c>
      <c r="I1432"/>
      <c r="J1432"/>
      <c r="K1432"/>
      <c r="L1432"/>
      <c r="M1432"/>
      <c r="N1432"/>
      <c r="O1432"/>
      <c r="P1432"/>
      <c r="Q1432"/>
      <c r="R1432"/>
      <c r="S1432" s="56">
        <f t="shared" si="66"/>
        <v>0</v>
      </c>
      <c r="T1432" s="57" t="str">
        <f t="shared" si="67"/>
        <v>0-3 Days</v>
      </c>
      <c r="U1432" s="58" t="str">
        <f t="shared" si="68"/>
        <v>Normal</v>
      </c>
    </row>
    <row r="1433" spans="1:21" ht="23.25" customHeight="1" x14ac:dyDescent="0.35">
      <c r="A1433" t="s">
        <v>3126</v>
      </c>
      <c r="B1433" t="s">
        <v>3126</v>
      </c>
      <c r="C1433">
        <v>2050</v>
      </c>
      <c r="D1433">
        <v>0</v>
      </c>
      <c r="E1433" t="s">
        <v>3290</v>
      </c>
      <c r="F1433" t="s">
        <v>57</v>
      </c>
      <c r="G1433" t="s">
        <v>57</v>
      </c>
      <c r="H1433" t="s">
        <v>3291</v>
      </c>
      <c r="I1433"/>
      <c r="J1433"/>
      <c r="K1433"/>
      <c r="L1433"/>
      <c r="M1433"/>
      <c r="N1433"/>
      <c r="O1433"/>
      <c r="P1433"/>
      <c r="Q1433"/>
      <c r="R1433"/>
      <c r="S1433" s="56">
        <f t="shared" si="66"/>
        <v>0</v>
      </c>
      <c r="T1433" s="57" t="str">
        <f t="shared" si="67"/>
        <v>0-3 Days</v>
      </c>
      <c r="U1433" s="58" t="str">
        <f t="shared" si="68"/>
        <v>Normal</v>
      </c>
    </row>
    <row r="1434" spans="1:21" ht="23.25" customHeight="1" x14ac:dyDescent="0.35">
      <c r="A1434" t="s">
        <v>3126</v>
      </c>
      <c r="B1434" t="s">
        <v>3126</v>
      </c>
      <c r="C1434">
        <v>1000</v>
      </c>
      <c r="D1434">
        <v>0</v>
      </c>
      <c r="E1434" t="s">
        <v>3292</v>
      </c>
      <c r="F1434" t="s">
        <v>57</v>
      </c>
      <c r="G1434" t="s">
        <v>57</v>
      </c>
      <c r="H1434" t="s">
        <v>3293</v>
      </c>
      <c r="I1434"/>
      <c r="J1434"/>
      <c r="K1434"/>
      <c r="L1434"/>
      <c r="M1434"/>
      <c r="N1434"/>
      <c r="O1434"/>
      <c r="P1434"/>
      <c r="Q1434"/>
      <c r="R1434"/>
      <c r="S1434" s="56">
        <f t="shared" si="66"/>
        <v>0</v>
      </c>
      <c r="T1434" s="57" t="str">
        <f t="shared" si="67"/>
        <v>0-3 Days</v>
      </c>
      <c r="U1434" s="58" t="str">
        <f t="shared" si="68"/>
        <v>Normal</v>
      </c>
    </row>
    <row r="1435" spans="1:21" ht="23.25" customHeight="1" x14ac:dyDescent="0.35">
      <c r="A1435" t="s">
        <v>3126</v>
      </c>
      <c r="B1435" t="s">
        <v>3126</v>
      </c>
      <c r="C1435">
        <v>0</v>
      </c>
      <c r="D1435">
        <v>744305.34</v>
      </c>
      <c r="E1435" t="s">
        <v>3294</v>
      </c>
      <c r="F1435" t="s">
        <v>57</v>
      </c>
      <c r="G1435" t="s">
        <v>57</v>
      </c>
      <c r="H1435" t="s">
        <v>3295</v>
      </c>
      <c r="I1435"/>
      <c r="J1435"/>
      <c r="K1435"/>
      <c r="L1435"/>
      <c r="M1435"/>
      <c r="N1435"/>
      <c r="O1435"/>
      <c r="P1435"/>
      <c r="Q1435"/>
      <c r="R1435"/>
      <c r="S1435" s="56">
        <f t="shared" si="66"/>
        <v>0</v>
      </c>
      <c r="T1435" s="57" t="str">
        <f t="shared" si="67"/>
        <v>0-3 Days</v>
      </c>
      <c r="U1435" s="58" t="str">
        <f t="shared" si="68"/>
        <v>Not Applicable</v>
      </c>
    </row>
    <row r="1436" spans="1:21" ht="23.25" customHeight="1" x14ac:dyDescent="0.35">
      <c r="A1436" t="s">
        <v>3126</v>
      </c>
      <c r="B1436" t="s">
        <v>3126</v>
      </c>
      <c r="C1436">
        <v>100</v>
      </c>
      <c r="D1436">
        <v>0</v>
      </c>
      <c r="E1436" t="s">
        <v>3296</v>
      </c>
      <c r="F1436" t="s">
        <v>57</v>
      </c>
      <c r="G1436" t="s">
        <v>57</v>
      </c>
      <c r="H1436" t="s">
        <v>3297</v>
      </c>
      <c r="I1436"/>
      <c r="J1436"/>
      <c r="K1436"/>
      <c r="L1436"/>
      <c r="M1436"/>
      <c r="N1436"/>
      <c r="O1436"/>
      <c r="P1436"/>
      <c r="Q1436"/>
      <c r="R1436"/>
      <c r="S1436" s="56">
        <f t="shared" si="66"/>
        <v>0</v>
      </c>
      <c r="T1436" s="57" t="str">
        <f t="shared" si="67"/>
        <v>0-3 Days</v>
      </c>
      <c r="U1436" s="58" t="str">
        <f t="shared" si="68"/>
        <v>Normal</v>
      </c>
    </row>
    <row r="1437" spans="1:21" ht="23.25" customHeight="1" x14ac:dyDescent="0.35">
      <c r="A1437" t="s">
        <v>3126</v>
      </c>
      <c r="B1437" t="s">
        <v>3126</v>
      </c>
      <c r="C1437">
        <v>2650</v>
      </c>
      <c r="D1437">
        <v>0</v>
      </c>
      <c r="E1437" t="s">
        <v>3298</v>
      </c>
      <c r="F1437" t="s">
        <v>57</v>
      </c>
      <c r="G1437" t="s">
        <v>57</v>
      </c>
      <c r="H1437" t="s">
        <v>3299</v>
      </c>
      <c r="I1437"/>
      <c r="J1437"/>
      <c r="K1437"/>
      <c r="L1437"/>
      <c r="M1437"/>
      <c r="N1437"/>
      <c r="O1437"/>
      <c r="P1437"/>
      <c r="Q1437"/>
      <c r="R1437"/>
      <c r="S1437" s="56">
        <f t="shared" si="66"/>
        <v>0</v>
      </c>
      <c r="T1437" s="57" t="str">
        <f t="shared" si="67"/>
        <v>0-3 Days</v>
      </c>
      <c r="U1437" s="58" t="str">
        <f t="shared" si="68"/>
        <v>Normal</v>
      </c>
    </row>
    <row r="1438" spans="1:21" ht="23.25" customHeight="1" x14ac:dyDescent="0.35">
      <c r="A1438" t="s">
        <v>3126</v>
      </c>
      <c r="B1438" t="s">
        <v>3126</v>
      </c>
      <c r="C1438">
        <v>1000</v>
      </c>
      <c r="D1438">
        <v>0</v>
      </c>
      <c r="E1438" t="s">
        <v>3300</v>
      </c>
      <c r="F1438" t="s">
        <v>57</v>
      </c>
      <c r="G1438" t="s">
        <v>57</v>
      </c>
      <c r="H1438" t="s">
        <v>3301</v>
      </c>
      <c r="I1438"/>
      <c r="J1438"/>
      <c r="K1438"/>
      <c r="L1438"/>
      <c r="M1438"/>
      <c r="N1438"/>
      <c r="O1438"/>
      <c r="P1438"/>
      <c r="Q1438"/>
      <c r="R1438"/>
      <c r="S1438" s="56">
        <f t="shared" si="66"/>
        <v>0</v>
      </c>
      <c r="T1438" s="57" t="str">
        <f t="shared" si="67"/>
        <v>0-3 Days</v>
      </c>
      <c r="U1438" s="58" t="str">
        <f t="shared" si="68"/>
        <v>Normal</v>
      </c>
    </row>
    <row r="1439" spans="1:21" ht="23.25" customHeight="1" x14ac:dyDescent="0.35">
      <c r="A1439" t="s">
        <v>3126</v>
      </c>
      <c r="B1439" t="s">
        <v>3126</v>
      </c>
      <c r="C1439">
        <v>250</v>
      </c>
      <c r="D1439">
        <v>0</v>
      </c>
      <c r="E1439" t="s">
        <v>3302</v>
      </c>
      <c r="F1439" t="s">
        <v>57</v>
      </c>
      <c r="G1439" t="s">
        <v>57</v>
      </c>
      <c r="H1439" t="s">
        <v>3303</v>
      </c>
      <c r="I1439"/>
      <c r="J1439"/>
      <c r="K1439"/>
      <c r="L1439"/>
      <c r="M1439"/>
      <c r="N1439"/>
      <c r="O1439"/>
      <c r="P1439"/>
      <c r="Q1439"/>
      <c r="R1439"/>
      <c r="S1439" s="56">
        <f t="shared" si="66"/>
        <v>0</v>
      </c>
      <c r="T1439" s="57" t="str">
        <f t="shared" si="67"/>
        <v>0-3 Days</v>
      </c>
      <c r="U1439" s="58" t="str">
        <f t="shared" si="68"/>
        <v>Normal</v>
      </c>
    </row>
    <row r="1440" spans="1:21" ht="23.25" customHeight="1" x14ac:dyDescent="0.35">
      <c r="A1440" t="s">
        <v>3126</v>
      </c>
      <c r="B1440" t="s">
        <v>3126</v>
      </c>
      <c r="C1440">
        <v>56.64</v>
      </c>
      <c r="D1440">
        <v>0</v>
      </c>
      <c r="E1440" t="s">
        <v>3304</v>
      </c>
      <c r="F1440" t="s">
        <v>57</v>
      </c>
      <c r="G1440" t="s">
        <v>57</v>
      </c>
      <c r="H1440" t="s">
        <v>3305</v>
      </c>
      <c r="I1440"/>
      <c r="J1440"/>
      <c r="K1440"/>
      <c r="L1440"/>
      <c r="M1440"/>
      <c r="N1440"/>
      <c r="O1440"/>
      <c r="P1440"/>
      <c r="Q1440"/>
      <c r="R1440"/>
      <c r="S1440" s="56">
        <f t="shared" si="66"/>
        <v>0</v>
      </c>
      <c r="T1440" s="57" t="str">
        <f t="shared" si="67"/>
        <v>0-3 Days</v>
      </c>
      <c r="U1440" s="58" t="str">
        <f t="shared" si="68"/>
        <v>Normal</v>
      </c>
    </row>
    <row r="1441" spans="1:21" ht="23.25" customHeight="1" x14ac:dyDescent="0.35">
      <c r="A1441" t="s">
        <v>3126</v>
      </c>
      <c r="B1441" t="s">
        <v>3126</v>
      </c>
      <c r="C1441">
        <v>250</v>
      </c>
      <c r="D1441">
        <v>0</v>
      </c>
      <c r="E1441" t="s">
        <v>3306</v>
      </c>
      <c r="F1441" t="s">
        <v>57</v>
      </c>
      <c r="G1441" t="s">
        <v>57</v>
      </c>
      <c r="H1441" t="s">
        <v>3307</v>
      </c>
      <c r="I1441"/>
      <c r="J1441"/>
      <c r="K1441"/>
      <c r="L1441"/>
      <c r="M1441"/>
      <c r="N1441"/>
      <c r="O1441"/>
      <c r="P1441"/>
      <c r="Q1441"/>
      <c r="R1441"/>
      <c r="S1441" s="56">
        <f t="shared" si="66"/>
        <v>0</v>
      </c>
      <c r="T1441" s="57" t="str">
        <f t="shared" si="67"/>
        <v>0-3 Days</v>
      </c>
      <c r="U1441" s="58" t="str">
        <f t="shared" si="68"/>
        <v>Normal</v>
      </c>
    </row>
    <row r="1442" spans="1:21" ht="23.25" customHeight="1" x14ac:dyDescent="0.35">
      <c r="A1442" t="s">
        <v>3126</v>
      </c>
      <c r="B1442" t="s">
        <v>3126</v>
      </c>
      <c r="C1442">
        <v>14240</v>
      </c>
      <c r="D1442">
        <v>0</v>
      </c>
      <c r="E1442" t="s">
        <v>3308</v>
      </c>
      <c r="F1442" t="s">
        <v>3309</v>
      </c>
      <c r="G1442" t="s">
        <v>57</v>
      </c>
      <c r="H1442" t="s">
        <v>3310</v>
      </c>
      <c r="I1442"/>
      <c r="J1442"/>
      <c r="K1442"/>
      <c r="L1442"/>
      <c r="M1442"/>
      <c r="N1442"/>
      <c r="O1442"/>
      <c r="P1442"/>
      <c r="Q1442"/>
      <c r="R1442"/>
      <c r="S1442" s="56">
        <f t="shared" si="66"/>
        <v>0</v>
      </c>
      <c r="T1442" s="57" t="str">
        <f t="shared" si="67"/>
        <v>0-3 Days</v>
      </c>
      <c r="U1442" s="58" t="str">
        <f t="shared" si="68"/>
        <v>Normal</v>
      </c>
    </row>
    <row r="1443" spans="1:21" ht="23.25" customHeight="1" x14ac:dyDescent="0.35">
      <c r="A1443" t="s">
        <v>3126</v>
      </c>
      <c r="B1443" t="s">
        <v>3126</v>
      </c>
      <c r="C1443">
        <v>250</v>
      </c>
      <c r="D1443">
        <v>0</v>
      </c>
      <c r="E1443" t="s">
        <v>3311</v>
      </c>
      <c r="F1443" t="s">
        <v>57</v>
      </c>
      <c r="G1443" t="s">
        <v>57</v>
      </c>
      <c r="H1443" t="s">
        <v>3312</v>
      </c>
      <c r="I1443"/>
      <c r="J1443"/>
      <c r="K1443"/>
      <c r="L1443"/>
      <c r="M1443"/>
      <c r="N1443"/>
      <c r="O1443"/>
      <c r="P1443"/>
      <c r="Q1443"/>
      <c r="R1443"/>
      <c r="S1443" s="56">
        <f t="shared" si="66"/>
        <v>0</v>
      </c>
      <c r="T1443" s="57" t="str">
        <f t="shared" si="67"/>
        <v>0-3 Days</v>
      </c>
      <c r="U1443" s="58" t="str">
        <f t="shared" si="68"/>
        <v>Normal</v>
      </c>
    </row>
    <row r="1444" spans="1:21" ht="23.25" customHeight="1" x14ac:dyDescent="0.35">
      <c r="A1444" t="s">
        <v>3126</v>
      </c>
      <c r="B1444" t="s">
        <v>3126</v>
      </c>
      <c r="C1444">
        <v>1000</v>
      </c>
      <c r="D1444">
        <v>0</v>
      </c>
      <c r="E1444" t="s">
        <v>3313</v>
      </c>
      <c r="F1444" t="s">
        <v>57</v>
      </c>
      <c r="G1444" t="s">
        <v>57</v>
      </c>
      <c r="H1444" t="s">
        <v>3314</v>
      </c>
      <c r="I1444"/>
      <c r="J1444"/>
      <c r="K1444"/>
      <c r="L1444"/>
      <c r="M1444"/>
      <c r="N1444"/>
      <c r="O1444"/>
      <c r="P1444"/>
      <c r="Q1444"/>
      <c r="R1444"/>
      <c r="S1444" s="56">
        <f t="shared" si="66"/>
        <v>0</v>
      </c>
      <c r="T1444" s="57" t="str">
        <f t="shared" si="67"/>
        <v>0-3 Days</v>
      </c>
      <c r="U1444" s="58" t="str">
        <f t="shared" si="68"/>
        <v>Normal</v>
      </c>
    </row>
    <row r="1445" spans="1:21" ht="23.25" customHeight="1" x14ac:dyDescent="0.35">
      <c r="A1445" t="s">
        <v>3126</v>
      </c>
      <c r="B1445" t="s">
        <v>3126</v>
      </c>
      <c r="C1445">
        <v>1000</v>
      </c>
      <c r="D1445">
        <v>0</v>
      </c>
      <c r="E1445" t="s">
        <v>3315</v>
      </c>
      <c r="F1445" t="s">
        <v>57</v>
      </c>
      <c r="G1445" t="s">
        <v>57</v>
      </c>
      <c r="H1445" t="s">
        <v>3316</v>
      </c>
      <c r="I1445"/>
      <c r="J1445"/>
      <c r="K1445"/>
      <c r="L1445"/>
      <c r="M1445"/>
      <c r="N1445"/>
      <c r="O1445"/>
      <c r="P1445"/>
      <c r="Q1445"/>
      <c r="R1445"/>
      <c r="S1445" s="56">
        <f t="shared" si="66"/>
        <v>0</v>
      </c>
      <c r="T1445" s="57" t="str">
        <f t="shared" si="67"/>
        <v>0-3 Days</v>
      </c>
      <c r="U1445" s="58" t="str">
        <f t="shared" si="68"/>
        <v>Normal</v>
      </c>
    </row>
    <row r="1446" spans="1:21" ht="23.25" customHeight="1" x14ac:dyDescent="0.35">
      <c r="A1446" t="s">
        <v>3126</v>
      </c>
      <c r="B1446" t="s">
        <v>3126</v>
      </c>
      <c r="C1446">
        <v>0</v>
      </c>
      <c r="D1446">
        <v>20000</v>
      </c>
      <c r="E1446" t="s">
        <v>3317</v>
      </c>
      <c r="F1446" t="s">
        <v>3318</v>
      </c>
      <c r="G1446" t="s">
        <v>3319</v>
      </c>
      <c r="H1446" t="s">
        <v>3320</v>
      </c>
      <c r="I1446"/>
      <c r="J1446" t="s">
        <v>3318</v>
      </c>
      <c r="K1446"/>
      <c r="L1446"/>
      <c r="M1446" t="s">
        <v>3321</v>
      </c>
      <c r="N1446"/>
      <c r="O1446"/>
      <c r="P1446"/>
      <c r="Q1446" t="s">
        <v>3322</v>
      </c>
      <c r="R1446"/>
      <c r="S1446" s="56">
        <f t="shared" si="66"/>
        <v>0</v>
      </c>
      <c r="T1446" s="57" t="str">
        <f t="shared" si="67"/>
        <v>0-3 Days</v>
      </c>
      <c r="U1446" s="58" t="str">
        <f t="shared" si="68"/>
        <v>Not Applicable</v>
      </c>
    </row>
    <row r="1447" spans="1:21" ht="23.25" customHeight="1" x14ac:dyDescent="0.35">
      <c r="A1447" t="s">
        <v>3126</v>
      </c>
      <c r="B1447" t="s">
        <v>3126</v>
      </c>
      <c r="C1447">
        <v>1000</v>
      </c>
      <c r="D1447">
        <v>0</v>
      </c>
      <c r="E1447" t="s">
        <v>3323</v>
      </c>
      <c r="F1447" t="s">
        <v>57</v>
      </c>
      <c r="G1447" t="s">
        <v>57</v>
      </c>
      <c r="H1447" t="s">
        <v>3324</v>
      </c>
      <c r="I1447"/>
      <c r="J1447"/>
      <c r="K1447"/>
      <c r="L1447"/>
      <c r="M1447"/>
      <c r="N1447"/>
      <c r="O1447"/>
      <c r="P1447"/>
      <c r="Q1447"/>
      <c r="R1447"/>
      <c r="S1447" s="56">
        <f t="shared" si="66"/>
        <v>0</v>
      </c>
      <c r="T1447" s="57" t="str">
        <f t="shared" si="67"/>
        <v>0-3 Days</v>
      </c>
      <c r="U1447" s="58" t="str">
        <f t="shared" si="68"/>
        <v>Normal</v>
      </c>
    </row>
    <row r="1448" spans="1:21" ht="23.25" customHeight="1" x14ac:dyDescent="0.35">
      <c r="A1448" t="s">
        <v>3126</v>
      </c>
      <c r="B1448" t="s">
        <v>3126</v>
      </c>
      <c r="C1448">
        <v>1000</v>
      </c>
      <c r="D1448">
        <v>0</v>
      </c>
      <c r="E1448" t="s">
        <v>3325</v>
      </c>
      <c r="F1448" t="s">
        <v>57</v>
      </c>
      <c r="G1448" t="s">
        <v>57</v>
      </c>
      <c r="H1448" t="s">
        <v>3326</v>
      </c>
      <c r="I1448"/>
      <c r="J1448"/>
      <c r="K1448"/>
      <c r="L1448"/>
      <c r="M1448"/>
      <c r="N1448"/>
      <c r="O1448"/>
      <c r="P1448"/>
      <c r="Q1448"/>
      <c r="R1448"/>
      <c r="S1448" s="56">
        <f t="shared" si="66"/>
        <v>0</v>
      </c>
      <c r="T1448" s="57" t="str">
        <f t="shared" si="67"/>
        <v>0-3 Days</v>
      </c>
      <c r="U1448" s="58" t="str">
        <f t="shared" si="68"/>
        <v>Normal</v>
      </c>
    </row>
    <row r="1449" spans="1:21" ht="23.25" customHeight="1" x14ac:dyDescent="0.35">
      <c r="A1449" t="s">
        <v>3126</v>
      </c>
      <c r="B1449" t="s">
        <v>3126</v>
      </c>
      <c r="C1449">
        <v>0</v>
      </c>
      <c r="D1449">
        <v>1660333.71</v>
      </c>
      <c r="E1449" t="s">
        <v>3327</v>
      </c>
      <c r="F1449" t="s">
        <v>57</v>
      </c>
      <c r="G1449" t="s">
        <v>57</v>
      </c>
      <c r="H1449" t="s">
        <v>3328</v>
      </c>
      <c r="I1449"/>
      <c r="J1449"/>
      <c r="K1449"/>
      <c r="L1449"/>
      <c r="M1449"/>
      <c r="N1449"/>
      <c r="O1449"/>
      <c r="P1449"/>
      <c r="Q1449"/>
      <c r="R1449"/>
      <c r="S1449" s="56">
        <f t="shared" si="66"/>
        <v>0</v>
      </c>
      <c r="T1449" s="57" t="str">
        <f t="shared" si="67"/>
        <v>0-3 Days</v>
      </c>
      <c r="U1449" s="58" t="str">
        <f t="shared" si="68"/>
        <v>Not Applicable</v>
      </c>
    </row>
    <row r="1450" spans="1:21" ht="23.25" customHeight="1" x14ac:dyDescent="0.35">
      <c r="A1450" t="s">
        <v>3126</v>
      </c>
      <c r="B1450" t="s">
        <v>3126</v>
      </c>
      <c r="C1450">
        <v>1000</v>
      </c>
      <c r="D1450">
        <v>0</v>
      </c>
      <c r="E1450" t="s">
        <v>3329</v>
      </c>
      <c r="F1450" t="s">
        <v>57</v>
      </c>
      <c r="G1450" t="s">
        <v>57</v>
      </c>
      <c r="H1450" t="s">
        <v>3330</v>
      </c>
      <c r="I1450"/>
      <c r="J1450"/>
      <c r="K1450"/>
      <c r="L1450"/>
      <c r="M1450"/>
      <c r="N1450"/>
      <c r="O1450"/>
      <c r="P1450"/>
      <c r="Q1450"/>
      <c r="R1450"/>
      <c r="S1450" s="56">
        <f t="shared" si="66"/>
        <v>0</v>
      </c>
      <c r="T1450" s="57" t="str">
        <f t="shared" si="67"/>
        <v>0-3 Days</v>
      </c>
      <c r="U1450" s="58" t="str">
        <f t="shared" si="68"/>
        <v>Normal</v>
      </c>
    </row>
    <row r="1451" spans="1:21" ht="23.25" customHeight="1" x14ac:dyDescent="0.35">
      <c r="A1451" t="s">
        <v>3126</v>
      </c>
      <c r="B1451" t="s">
        <v>3126</v>
      </c>
      <c r="C1451">
        <v>644</v>
      </c>
      <c r="D1451">
        <v>0</v>
      </c>
      <c r="E1451" t="s">
        <v>3331</v>
      </c>
      <c r="F1451" t="s">
        <v>57</v>
      </c>
      <c r="G1451" t="s">
        <v>57</v>
      </c>
      <c r="H1451" t="s">
        <v>3332</v>
      </c>
      <c r="I1451"/>
      <c r="J1451"/>
      <c r="K1451"/>
      <c r="L1451"/>
      <c r="M1451"/>
      <c r="N1451"/>
      <c r="O1451"/>
      <c r="P1451"/>
      <c r="Q1451"/>
      <c r="R1451"/>
      <c r="S1451" s="56">
        <f t="shared" si="66"/>
        <v>0</v>
      </c>
      <c r="T1451" s="57" t="str">
        <f t="shared" si="67"/>
        <v>0-3 Days</v>
      </c>
      <c r="U1451" s="58" t="str">
        <f t="shared" si="68"/>
        <v>Normal</v>
      </c>
    </row>
    <row r="1452" spans="1:21" ht="23.25" customHeight="1" x14ac:dyDescent="0.35">
      <c r="A1452" t="s">
        <v>3126</v>
      </c>
      <c r="B1452" t="s">
        <v>3126</v>
      </c>
      <c r="C1452">
        <v>1369</v>
      </c>
      <c r="D1452">
        <v>0</v>
      </c>
      <c r="E1452" t="s">
        <v>3333</v>
      </c>
      <c r="F1452" t="s">
        <v>57</v>
      </c>
      <c r="G1452" t="s">
        <v>57</v>
      </c>
      <c r="H1452" t="s">
        <v>3334</v>
      </c>
      <c r="I1452"/>
      <c r="J1452"/>
      <c r="K1452"/>
      <c r="L1452"/>
      <c r="M1452"/>
      <c r="N1452"/>
      <c r="O1452"/>
      <c r="P1452"/>
      <c r="Q1452"/>
      <c r="R1452"/>
      <c r="S1452" s="56">
        <f t="shared" si="66"/>
        <v>0</v>
      </c>
      <c r="T1452" s="57" t="str">
        <f t="shared" si="67"/>
        <v>0-3 Days</v>
      </c>
      <c r="U1452" s="58" t="str">
        <f t="shared" si="68"/>
        <v>Normal</v>
      </c>
    </row>
    <row r="1453" spans="1:21" ht="23.25" customHeight="1" x14ac:dyDescent="0.35">
      <c r="A1453" t="s">
        <v>3126</v>
      </c>
      <c r="B1453" t="s">
        <v>3126</v>
      </c>
      <c r="C1453">
        <v>2050</v>
      </c>
      <c r="D1453">
        <v>0</v>
      </c>
      <c r="E1453" t="s">
        <v>3335</v>
      </c>
      <c r="F1453" t="s">
        <v>57</v>
      </c>
      <c r="G1453" t="s">
        <v>57</v>
      </c>
      <c r="H1453" t="s">
        <v>3336</v>
      </c>
      <c r="I1453"/>
      <c r="J1453"/>
      <c r="K1453"/>
      <c r="L1453"/>
      <c r="M1453"/>
      <c r="N1453"/>
      <c r="O1453"/>
      <c r="P1453"/>
      <c r="Q1453"/>
      <c r="R1453"/>
      <c r="S1453" s="56">
        <f t="shared" si="66"/>
        <v>0</v>
      </c>
      <c r="T1453" s="57" t="str">
        <f t="shared" si="67"/>
        <v>0-3 Days</v>
      </c>
      <c r="U1453" s="58" t="str">
        <f t="shared" si="68"/>
        <v>Normal</v>
      </c>
    </row>
    <row r="1454" spans="1:21" ht="23.25" customHeight="1" x14ac:dyDescent="0.35">
      <c r="A1454" t="s">
        <v>3126</v>
      </c>
      <c r="B1454" t="s">
        <v>3126</v>
      </c>
      <c r="C1454">
        <v>500000</v>
      </c>
      <c r="D1454">
        <v>0</v>
      </c>
      <c r="E1454" t="s">
        <v>3337</v>
      </c>
      <c r="F1454" t="s">
        <v>57</v>
      </c>
      <c r="G1454" t="s">
        <v>57</v>
      </c>
      <c r="H1454" t="s">
        <v>3338</v>
      </c>
      <c r="I1454"/>
      <c r="J1454"/>
      <c r="K1454"/>
      <c r="L1454"/>
      <c r="M1454"/>
      <c r="N1454"/>
      <c r="O1454"/>
      <c r="P1454"/>
      <c r="Q1454"/>
      <c r="R1454"/>
      <c r="S1454" s="56">
        <f t="shared" si="66"/>
        <v>0</v>
      </c>
      <c r="T1454" s="57" t="str">
        <f t="shared" si="67"/>
        <v>0-3 Days</v>
      </c>
      <c r="U1454" s="58" t="str">
        <f t="shared" si="68"/>
        <v>Normal</v>
      </c>
    </row>
    <row r="1455" spans="1:21" ht="23.25" customHeight="1" x14ac:dyDescent="0.35">
      <c r="A1455" t="s">
        <v>3126</v>
      </c>
      <c r="B1455" t="s">
        <v>3126</v>
      </c>
      <c r="C1455">
        <v>250</v>
      </c>
      <c r="D1455">
        <v>0</v>
      </c>
      <c r="E1455" t="s">
        <v>3339</v>
      </c>
      <c r="F1455" t="s">
        <v>57</v>
      </c>
      <c r="G1455" t="s">
        <v>57</v>
      </c>
      <c r="H1455" t="s">
        <v>3340</v>
      </c>
      <c r="I1455"/>
      <c r="J1455"/>
      <c r="K1455"/>
      <c r="L1455"/>
      <c r="M1455"/>
      <c r="N1455"/>
      <c r="O1455"/>
      <c r="P1455"/>
      <c r="Q1455"/>
      <c r="R1455"/>
      <c r="S1455" s="56">
        <f t="shared" si="66"/>
        <v>0</v>
      </c>
      <c r="T1455" s="57" t="str">
        <f t="shared" si="67"/>
        <v>0-3 Days</v>
      </c>
      <c r="U1455" s="58" t="str">
        <f t="shared" si="68"/>
        <v>Normal</v>
      </c>
    </row>
    <row r="1456" spans="1:21" ht="23.25" customHeight="1" x14ac:dyDescent="0.35">
      <c r="A1456" t="s">
        <v>3126</v>
      </c>
      <c r="B1456" t="s">
        <v>3126</v>
      </c>
      <c r="C1456">
        <v>2650</v>
      </c>
      <c r="D1456">
        <v>0</v>
      </c>
      <c r="E1456" t="s">
        <v>3341</v>
      </c>
      <c r="F1456" t="s">
        <v>57</v>
      </c>
      <c r="G1456" t="s">
        <v>57</v>
      </c>
      <c r="H1456" t="s">
        <v>3342</v>
      </c>
      <c r="I1456"/>
      <c r="J1456"/>
      <c r="K1456"/>
      <c r="L1456"/>
      <c r="M1456"/>
      <c r="N1456"/>
      <c r="O1456"/>
      <c r="P1456"/>
      <c r="Q1456"/>
      <c r="R1456"/>
      <c r="S1456" s="56">
        <f t="shared" si="66"/>
        <v>0</v>
      </c>
      <c r="T1456" s="57" t="str">
        <f t="shared" si="67"/>
        <v>0-3 Days</v>
      </c>
      <c r="U1456" s="58" t="str">
        <f t="shared" si="68"/>
        <v>Normal</v>
      </c>
    </row>
    <row r="1457" spans="1:21" ht="23.25" customHeight="1" x14ac:dyDescent="0.35">
      <c r="A1457" t="s">
        <v>3126</v>
      </c>
      <c r="B1457" t="s">
        <v>3126</v>
      </c>
      <c r="C1457">
        <v>0</v>
      </c>
      <c r="D1457">
        <v>3333.33</v>
      </c>
      <c r="E1457" t="s">
        <v>3343</v>
      </c>
      <c r="F1457" t="s">
        <v>57</v>
      </c>
      <c r="G1457" t="s">
        <v>57</v>
      </c>
      <c r="H1457" t="s">
        <v>3344</v>
      </c>
      <c r="I1457"/>
      <c r="J1457"/>
      <c r="K1457"/>
      <c r="L1457"/>
      <c r="M1457"/>
      <c r="N1457"/>
      <c r="O1457"/>
      <c r="P1457"/>
      <c r="Q1457"/>
      <c r="R1457"/>
      <c r="S1457" s="56">
        <f t="shared" si="66"/>
        <v>0</v>
      </c>
      <c r="T1457" s="57" t="str">
        <f t="shared" si="67"/>
        <v>0-3 Days</v>
      </c>
      <c r="U1457" s="58" t="str">
        <f t="shared" si="68"/>
        <v>Not Applicable</v>
      </c>
    </row>
    <row r="1458" spans="1:21" ht="23.25" customHeight="1" x14ac:dyDescent="0.35">
      <c r="A1458" t="s">
        <v>3126</v>
      </c>
      <c r="B1458" t="s">
        <v>3126</v>
      </c>
      <c r="C1458">
        <v>1000</v>
      </c>
      <c r="D1458">
        <v>0</v>
      </c>
      <c r="E1458" t="s">
        <v>3345</v>
      </c>
      <c r="F1458" t="s">
        <v>57</v>
      </c>
      <c r="G1458" t="s">
        <v>57</v>
      </c>
      <c r="H1458" t="s">
        <v>3346</v>
      </c>
      <c r="I1458"/>
      <c r="J1458"/>
      <c r="K1458"/>
      <c r="L1458"/>
      <c r="M1458"/>
      <c r="N1458"/>
      <c r="O1458"/>
      <c r="P1458"/>
      <c r="Q1458"/>
      <c r="R1458"/>
      <c r="S1458" s="56">
        <f t="shared" si="66"/>
        <v>0</v>
      </c>
      <c r="T1458" s="57" t="str">
        <f t="shared" si="67"/>
        <v>0-3 Days</v>
      </c>
      <c r="U1458" s="58" t="str">
        <f t="shared" si="68"/>
        <v>Normal</v>
      </c>
    </row>
    <row r="1459" spans="1:21" ht="23.25" customHeight="1" x14ac:dyDescent="0.35">
      <c r="A1459" t="s">
        <v>3126</v>
      </c>
      <c r="B1459" t="s">
        <v>3126</v>
      </c>
      <c r="C1459">
        <v>1000</v>
      </c>
      <c r="D1459">
        <v>0</v>
      </c>
      <c r="E1459" t="s">
        <v>3347</v>
      </c>
      <c r="F1459" t="s">
        <v>57</v>
      </c>
      <c r="G1459" t="s">
        <v>57</v>
      </c>
      <c r="H1459" t="s">
        <v>3348</v>
      </c>
      <c r="I1459"/>
      <c r="J1459"/>
      <c r="K1459"/>
      <c r="L1459"/>
      <c r="M1459"/>
      <c r="N1459"/>
      <c r="O1459"/>
      <c r="P1459"/>
      <c r="Q1459"/>
      <c r="R1459"/>
      <c r="S1459" s="56">
        <f t="shared" si="66"/>
        <v>0</v>
      </c>
      <c r="T1459" s="57" t="str">
        <f t="shared" si="67"/>
        <v>0-3 Days</v>
      </c>
      <c r="U1459" s="58" t="str">
        <f t="shared" si="68"/>
        <v>Normal</v>
      </c>
    </row>
    <row r="1460" spans="1:21" ht="23.25" customHeight="1" x14ac:dyDescent="0.35">
      <c r="A1460" t="s">
        <v>3126</v>
      </c>
      <c r="B1460" t="s">
        <v>3126</v>
      </c>
      <c r="C1460">
        <v>1000</v>
      </c>
      <c r="D1460">
        <v>0</v>
      </c>
      <c r="E1460" t="s">
        <v>3349</v>
      </c>
      <c r="F1460" t="s">
        <v>57</v>
      </c>
      <c r="G1460" t="s">
        <v>57</v>
      </c>
      <c r="H1460" t="s">
        <v>3350</v>
      </c>
      <c r="I1460"/>
      <c r="J1460"/>
      <c r="K1460"/>
      <c r="L1460"/>
      <c r="M1460"/>
      <c r="N1460"/>
      <c r="O1460"/>
      <c r="P1460"/>
      <c r="Q1460"/>
      <c r="R1460"/>
      <c r="S1460" s="56">
        <f t="shared" si="66"/>
        <v>0</v>
      </c>
      <c r="T1460" s="57" t="str">
        <f t="shared" si="67"/>
        <v>0-3 Days</v>
      </c>
      <c r="U1460" s="58" t="str">
        <f t="shared" si="68"/>
        <v>Normal</v>
      </c>
    </row>
    <row r="1461" spans="1:21" ht="23.25" customHeight="1" x14ac:dyDescent="0.35">
      <c r="A1461" t="s">
        <v>3126</v>
      </c>
      <c r="B1461" t="s">
        <v>3126</v>
      </c>
      <c r="C1461">
        <v>600</v>
      </c>
      <c r="D1461">
        <v>0</v>
      </c>
      <c r="E1461" t="s">
        <v>3351</v>
      </c>
      <c r="F1461" t="s">
        <v>57</v>
      </c>
      <c r="G1461" t="s">
        <v>57</v>
      </c>
      <c r="H1461" t="s">
        <v>3352</v>
      </c>
      <c r="I1461"/>
      <c r="J1461"/>
      <c r="K1461"/>
      <c r="L1461"/>
      <c r="M1461"/>
      <c r="N1461"/>
      <c r="O1461"/>
      <c r="P1461"/>
      <c r="Q1461"/>
      <c r="R1461"/>
      <c r="S1461" s="56">
        <f t="shared" si="66"/>
        <v>0</v>
      </c>
      <c r="T1461" s="57" t="str">
        <f t="shared" si="67"/>
        <v>0-3 Days</v>
      </c>
      <c r="U1461" s="58" t="str">
        <f t="shared" si="68"/>
        <v>Normal</v>
      </c>
    </row>
    <row r="1462" spans="1:21" ht="23.25" customHeight="1" x14ac:dyDescent="0.35">
      <c r="A1462" t="s">
        <v>3126</v>
      </c>
      <c r="B1462" t="s">
        <v>3126</v>
      </c>
      <c r="C1462">
        <v>2050</v>
      </c>
      <c r="D1462">
        <v>0</v>
      </c>
      <c r="E1462" t="s">
        <v>3353</v>
      </c>
      <c r="F1462" t="s">
        <v>57</v>
      </c>
      <c r="G1462" t="s">
        <v>57</v>
      </c>
      <c r="H1462" t="s">
        <v>3354</v>
      </c>
      <c r="I1462"/>
      <c r="J1462"/>
      <c r="K1462"/>
      <c r="L1462"/>
      <c r="M1462"/>
      <c r="N1462"/>
      <c r="O1462"/>
      <c r="P1462"/>
      <c r="Q1462"/>
      <c r="R1462"/>
      <c r="S1462" s="56">
        <f t="shared" si="66"/>
        <v>0</v>
      </c>
      <c r="T1462" s="57" t="str">
        <f t="shared" si="67"/>
        <v>0-3 Days</v>
      </c>
      <c r="U1462" s="58" t="str">
        <f t="shared" si="68"/>
        <v>Normal</v>
      </c>
    </row>
    <row r="1463" spans="1:21" ht="23.25" customHeight="1" x14ac:dyDescent="0.35">
      <c r="A1463" t="s">
        <v>3126</v>
      </c>
      <c r="B1463" t="s">
        <v>3126</v>
      </c>
      <c r="C1463">
        <v>1000</v>
      </c>
      <c r="D1463">
        <v>0</v>
      </c>
      <c r="E1463" t="s">
        <v>3355</v>
      </c>
      <c r="F1463" t="s">
        <v>57</v>
      </c>
      <c r="G1463" t="s">
        <v>57</v>
      </c>
      <c r="H1463" t="s">
        <v>3356</v>
      </c>
      <c r="I1463"/>
      <c r="J1463"/>
      <c r="K1463"/>
      <c r="L1463"/>
      <c r="M1463"/>
      <c r="N1463"/>
      <c r="O1463"/>
      <c r="P1463"/>
      <c r="Q1463"/>
      <c r="R1463"/>
      <c r="S1463" s="56">
        <f t="shared" si="66"/>
        <v>0</v>
      </c>
      <c r="T1463" s="57" t="str">
        <f t="shared" si="67"/>
        <v>0-3 Days</v>
      </c>
      <c r="U1463" s="58" t="str">
        <f t="shared" si="68"/>
        <v>Normal</v>
      </c>
    </row>
    <row r="1464" spans="1:21" ht="23.25" customHeight="1" x14ac:dyDescent="0.35">
      <c r="A1464" t="s">
        <v>3126</v>
      </c>
      <c r="B1464" t="s">
        <v>3126</v>
      </c>
      <c r="C1464">
        <v>250</v>
      </c>
      <c r="D1464">
        <v>0</v>
      </c>
      <c r="E1464" t="s">
        <v>3357</v>
      </c>
      <c r="F1464" t="s">
        <v>57</v>
      </c>
      <c r="G1464" t="s">
        <v>57</v>
      </c>
      <c r="H1464" t="s">
        <v>3358</v>
      </c>
      <c r="I1464"/>
      <c r="J1464"/>
      <c r="K1464"/>
      <c r="L1464"/>
      <c r="M1464"/>
      <c r="N1464"/>
      <c r="O1464"/>
      <c r="P1464"/>
      <c r="Q1464"/>
      <c r="R1464"/>
      <c r="S1464" s="56">
        <f t="shared" si="66"/>
        <v>0</v>
      </c>
      <c r="T1464" s="57" t="str">
        <f t="shared" si="67"/>
        <v>0-3 Days</v>
      </c>
      <c r="U1464" s="58" t="str">
        <f t="shared" si="68"/>
        <v>Normal</v>
      </c>
    </row>
    <row r="1465" spans="1:21" ht="23.25" customHeight="1" x14ac:dyDescent="0.35">
      <c r="A1465" t="s">
        <v>3126</v>
      </c>
      <c r="B1465" t="s">
        <v>3126</v>
      </c>
      <c r="C1465">
        <v>1000</v>
      </c>
      <c r="D1465">
        <v>0</v>
      </c>
      <c r="E1465" t="s">
        <v>3359</v>
      </c>
      <c r="F1465" t="s">
        <v>57</v>
      </c>
      <c r="G1465" t="s">
        <v>57</v>
      </c>
      <c r="H1465" t="s">
        <v>3360</v>
      </c>
      <c r="I1465"/>
      <c r="J1465"/>
      <c r="K1465"/>
      <c r="L1465"/>
      <c r="M1465"/>
      <c r="N1465"/>
      <c r="O1465"/>
      <c r="P1465"/>
      <c r="Q1465"/>
      <c r="R1465"/>
      <c r="S1465" s="56">
        <f t="shared" si="66"/>
        <v>0</v>
      </c>
      <c r="T1465" s="57" t="str">
        <f t="shared" si="67"/>
        <v>0-3 Days</v>
      </c>
      <c r="U1465" s="58" t="str">
        <f t="shared" si="68"/>
        <v>Normal</v>
      </c>
    </row>
    <row r="1466" spans="1:21" ht="23.25" customHeight="1" x14ac:dyDescent="0.35">
      <c r="A1466" t="s">
        <v>3126</v>
      </c>
      <c r="B1466" t="s">
        <v>3126</v>
      </c>
      <c r="C1466">
        <v>2190.0700000000002</v>
      </c>
      <c r="D1466">
        <v>0</v>
      </c>
      <c r="E1466" t="s">
        <v>3361</v>
      </c>
      <c r="F1466" t="s">
        <v>57</v>
      </c>
      <c r="G1466" t="s">
        <v>57</v>
      </c>
      <c r="H1466" t="s">
        <v>3362</v>
      </c>
      <c r="I1466"/>
      <c r="J1466"/>
      <c r="K1466"/>
      <c r="L1466"/>
      <c r="M1466"/>
      <c r="N1466"/>
      <c r="O1466"/>
      <c r="P1466"/>
      <c r="Q1466"/>
      <c r="R1466"/>
      <c r="S1466" s="56">
        <f t="shared" si="66"/>
        <v>0</v>
      </c>
      <c r="T1466" s="57" t="str">
        <f t="shared" si="67"/>
        <v>0-3 Days</v>
      </c>
      <c r="U1466" s="58" t="str">
        <f t="shared" si="68"/>
        <v>Normal</v>
      </c>
    </row>
    <row r="1467" spans="1:21" ht="23.25" customHeight="1" x14ac:dyDescent="0.35">
      <c r="A1467" t="s">
        <v>3126</v>
      </c>
      <c r="B1467" t="s">
        <v>3126</v>
      </c>
      <c r="C1467">
        <v>250</v>
      </c>
      <c r="D1467">
        <v>0</v>
      </c>
      <c r="E1467" t="s">
        <v>3363</v>
      </c>
      <c r="F1467" t="s">
        <v>57</v>
      </c>
      <c r="G1467" t="s">
        <v>57</v>
      </c>
      <c r="H1467" t="s">
        <v>3364</v>
      </c>
      <c r="I1467"/>
      <c r="J1467"/>
      <c r="K1467"/>
      <c r="L1467"/>
      <c r="M1467"/>
      <c r="N1467"/>
      <c r="O1467"/>
      <c r="P1467"/>
      <c r="Q1467"/>
      <c r="R1467"/>
      <c r="S1467" s="56">
        <f t="shared" si="66"/>
        <v>0</v>
      </c>
      <c r="T1467" s="57" t="str">
        <f t="shared" si="67"/>
        <v>0-3 Days</v>
      </c>
      <c r="U1467" s="58" t="str">
        <f t="shared" si="68"/>
        <v>Normal</v>
      </c>
    </row>
    <row r="1468" spans="1:21" ht="23.25" customHeight="1" x14ac:dyDescent="0.35">
      <c r="A1468" t="s">
        <v>3126</v>
      </c>
      <c r="B1468" t="s">
        <v>3126</v>
      </c>
      <c r="C1468">
        <v>2650</v>
      </c>
      <c r="D1468">
        <v>0</v>
      </c>
      <c r="E1468" t="s">
        <v>3365</v>
      </c>
      <c r="F1468" t="s">
        <v>57</v>
      </c>
      <c r="G1468" t="s">
        <v>57</v>
      </c>
      <c r="H1468" t="s">
        <v>3366</v>
      </c>
      <c r="I1468"/>
      <c r="J1468"/>
      <c r="K1468"/>
      <c r="L1468"/>
      <c r="M1468"/>
      <c r="N1468"/>
      <c r="O1468"/>
      <c r="P1468"/>
      <c r="Q1468"/>
      <c r="R1468"/>
      <c r="S1468" s="56">
        <f t="shared" si="66"/>
        <v>0</v>
      </c>
      <c r="T1468" s="57" t="str">
        <f t="shared" si="67"/>
        <v>0-3 Days</v>
      </c>
      <c r="U1468" s="58" t="str">
        <f t="shared" si="68"/>
        <v>Normal</v>
      </c>
    </row>
    <row r="1469" spans="1:21" ht="23.25" customHeight="1" x14ac:dyDescent="0.35">
      <c r="A1469" t="s">
        <v>3126</v>
      </c>
      <c r="B1469" t="s">
        <v>3126</v>
      </c>
      <c r="C1469">
        <v>1000</v>
      </c>
      <c r="D1469">
        <v>0</v>
      </c>
      <c r="E1469" t="s">
        <v>3367</v>
      </c>
      <c r="F1469" t="s">
        <v>57</v>
      </c>
      <c r="G1469" t="s">
        <v>57</v>
      </c>
      <c r="H1469" t="s">
        <v>3368</v>
      </c>
      <c r="I1469"/>
      <c r="J1469"/>
      <c r="K1469"/>
      <c r="L1469"/>
      <c r="M1469"/>
      <c r="N1469"/>
      <c r="O1469"/>
      <c r="P1469"/>
      <c r="Q1469"/>
      <c r="R1469"/>
      <c r="S1469" s="56">
        <f t="shared" si="66"/>
        <v>0</v>
      </c>
      <c r="T1469" s="57" t="str">
        <f t="shared" si="67"/>
        <v>0-3 Days</v>
      </c>
      <c r="U1469" s="58" t="str">
        <f t="shared" si="68"/>
        <v>Normal</v>
      </c>
    </row>
    <row r="1470" spans="1:21" ht="23.25" customHeight="1" x14ac:dyDescent="0.35">
      <c r="A1470" t="s">
        <v>3126</v>
      </c>
      <c r="B1470" t="s">
        <v>3126</v>
      </c>
      <c r="C1470">
        <v>10000</v>
      </c>
      <c r="D1470">
        <v>0</v>
      </c>
      <c r="E1470" t="s">
        <v>3369</v>
      </c>
      <c r="F1470" t="s">
        <v>3163</v>
      </c>
      <c r="G1470" t="s">
        <v>57</v>
      </c>
      <c r="H1470" t="s">
        <v>3370</v>
      </c>
      <c r="I1470"/>
      <c r="J1470"/>
      <c r="K1470"/>
      <c r="L1470"/>
      <c r="M1470"/>
      <c r="N1470"/>
      <c r="O1470"/>
      <c r="P1470"/>
      <c r="Q1470"/>
      <c r="R1470"/>
      <c r="S1470" s="56">
        <f t="shared" si="66"/>
        <v>0</v>
      </c>
      <c r="T1470" s="57" t="str">
        <f t="shared" si="67"/>
        <v>0-3 Days</v>
      </c>
      <c r="U1470" s="58" t="str">
        <f t="shared" si="68"/>
        <v>Normal</v>
      </c>
    </row>
    <row r="1471" spans="1:21" ht="23.25" customHeight="1" x14ac:dyDescent="0.35">
      <c r="A1471" t="s">
        <v>3126</v>
      </c>
      <c r="B1471" t="s">
        <v>3126</v>
      </c>
      <c r="C1471">
        <v>708</v>
      </c>
      <c r="D1471">
        <v>0</v>
      </c>
      <c r="E1471" t="s">
        <v>3371</v>
      </c>
      <c r="F1471" t="s">
        <v>57</v>
      </c>
      <c r="G1471" t="s">
        <v>57</v>
      </c>
      <c r="H1471" t="s">
        <v>3372</v>
      </c>
      <c r="I1471"/>
      <c r="J1471"/>
      <c r="K1471"/>
      <c r="L1471"/>
      <c r="M1471"/>
      <c r="N1471"/>
      <c r="O1471"/>
      <c r="P1471"/>
      <c r="Q1471"/>
      <c r="R1471"/>
      <c r="S1471" s="56">
        <f t="shared" si="66"/>
        <v>0</v>
      </c>
      <c r="T1471" s="57" t="str">
        <f t="shared" si="67"/>
        <v>0-3 Days</v>
      </c>
      <c r="U1471" s="58" t="str">
        <f t="shared" si="68"/>
        <v>Normal</v>
      </c>
    </row>
    <row r="1472" spans="1:21" ht="23.25" customHeight="1" x14ac:dyDescent="0.35">
      <c r="A1472" t="s">
        <v>3126</v>
      </c>
      <c r="B1472" t="s">
        <v>3126</v>
      </c>
      <c r="C1472">
        <v>0</v>
      </c>
      <c r="D1472">
        <v>3982730.81</v>
      </c>
      <c r="E1472" t="s">
        <v>3373</v>
      </c>
      <c r="F1472" t="s">
        <v>57</v>
      </c>
      <c r="G1472" t="s">
        <v>57</v>
      </c>
      <c r="H1472" t="s">
        <v>3374</v>
      </c>
      <c r="I1472"/>
      <c r="J1472"/>
      <c r="K1472"/>
      <c r="L1472"/>
      <c r="M1472"/>
      <c r="N1472"/>
      <c r="O1472"/>
      <c r="P1472"/>
      <c r="Q1472"/>
      <c r="R1472"/>
      <c r="S1472" s="56">
        <f t="shared" si="66"/>
        <v>0</v>
      </c>
      <c r="T1472" s="57" t="str">
        <f t="shared" si="67"/>
        <v>0-3 Days</v>
      </c>
      <c r="U1472" s="58" t="str">
        <f t="shared" si="68"/>
        <v>Not Applicable</v>
      </c>
    </row>
    <row r="1473" spans="1:21" ht="23.25" customHeight="1" x14ac:dyDescent="0.35">
      <c r="A1473" t="s">
        <v>3126</v>
      </c>
      <c r="B1473" t="s">
        <v>3126</v>
      </c>
      <c r="C1473">
        <v>1000</v>
      </c>
      <c r="D1473">
        <v>0</v>
      </c>
      <c r="E1473" t="s">
        <v>3375</v>
      </c>
      <c r="F1473" t="s">
        <v>57</v>
      </c>
      <c r="G1473" t="s">
        <v>57</v>
      </c>
      <c r="H1473" t="s">
        <v>3376</v>
      </c>
      <c r="I1473"/>
      <c r="J1473"/>
      <c r="K1473"/>
      <c r="L1473"/>
      <c r="M1473"/>
      <c r="N1473"/>
      <c r="O1473"/>
      <c r="P1473"/>
      <c r="Q1473"/>
      <c r="R1473"/>
      <c r="S1473" s="56">
        <f t="shared" si="66"/>
        <v>0</v>
      </c>
      <c r="T1473" s="57" t="str">
        <f t="shared" si="67"/>
        <v>0-3 Days</v>
      </c>
      <c r="U1473" s="58" t="str">
        <f t="shared" si="68"/>
        <v>Normal</v>
      </c>
    </row>
    <row r="1474" spans="1:21" ht="23.25" customHeight="1" x14ac:dyDescent="0.35">
      <c r="A1474" t="s">
        <v>3126</v>
      </c>
      <c r="B1474" t="s">
        <v>3126</v>
      </c>
      <c r="C1474">
        <v>1000</v>
      </c>
      <c r="D1474">
        <v>0</v>
      </c>
      <c r="E1474" t="s">
        <v>3377</v>
      </c>
      <c r="F1474" t="s">
        <v>57</v>
      </c>
      <c r="G1474" t="s">
        <v>57</v>
      </c>
      <c r="H1474" t="s">
        <v>3378</v>
      </c>
      <c r="I1474"/>
      <c r="J1474"/>
      <c r="K1474"/>
      <c r="L1474"/>
      <c r="M1474"/>
      <c r="N1474"/>
      <c r="O1474"/>
      <c r="P1474"/>
      <c r="Q1474"/>
      <c r="R1474"/>
      <c r="S1474" s="56">
        <f t="shared" si="66"/>
        <v>0</v>
      </c>
      <c r="T1474" s="57" t="str">
        <f t="shared" si="67"/>
        <v>0-3 Days</v>
      </c>
      <c r="U1474" s="58" t="str">
        <f t="shared" si="68"/>
        <v>Normal</v>
      </c>
    </row>
    <row r="1475" spans="1:21" ht="23.25" customHeight="1" x14ac:dyDescent="0.35">
      <c r="A1475" t="s">
        <v>3126</v>
      </c>
      <c r="B1475" t="s">
        <v>3126</v>
      </c>
      <c r="C1475">
        <v>612</v>
      </c>
      <c r="D1475">
        <v>0</v>
      </c>
      <c r="E1475" t="s">
        <v>3379</v>
      </c>
      <c r="F1475" t="s">
        <v>57</v>
      </c>
      <c r="G1475" t="s">
        <v>57</v>
      </c>
      <c r="H1475" t="s">
        <v>3380</v>
      </c>
      <c r="I1475"/>
      <c r="J1475"/>
      <c r="K1475"/>
      <c r="L1475"/>
      <c r="M1475"/>
      <c r="N1475"/>
      <c r="O1475"/>
      <c r="P1475"/>
      <c r="Q1475"/>
      <c r="R1475"/>
      <c r="S1475" s="56">
        <f t="shared" si="66"/>
        <v>0</v>
      </c>
      <c r="T1475" s="57" t="str">
        <f t="shared" si="67"/>
        <v>0-3 Days</v>
      </c>
      <c r="U1475" s="58" t="str">
        <f t="shared" si="68"/>
        <v>Normal</v>
      </c>
    </row>
    <row r="1476" spans="1:21" ht="23.25" customHeight="1" x14ac:dyDescent="0.35">
      <c r="A1476" t="s">
        <v>3126</v>
      </c>
      <c r="B1476" t="s">
        <v>3126</v>
      </c>
      <c r="C1476">
        <v>1000</v>
      </c>
      <c r="D1476">
        <v>0</v>
      </c>
      <c r="E1476" t="s">
        <v>3381</v>
      </c>
      <c r="F1476" t="s">
        <v>57</v>
      </c>
      <c r="G1476" t="s">
        <v>57</v>
      </c>
      <c r="H1476" t="s">
        <v>3382</v>
      </c>
      <c r="I1476"/>
      <c r="J1476"/>
      <c r="K1476"/>
      <c r="L1476"/>
      <c r="M1476"/>
      <c r="N1476"/>
      <c r="O1476"/>
      <c r="P1476"/>
      <c r="Q1476"/>
      <c r="R1476"/>
      <c r="S1476" s="56">
        <f t="shared" si="66"/>
        <v>0</v>
      </c>
      <c r="T1476" s="57" t="str">
        <f t="shared" si="67"/>
        <v>0-3 Days</v>
      </c>
      <c r="U1476" s="58" t="str">
        <f t="shared" si="68"/>
        <v>Normal</v>
      </c>
    </row>
    <row r="1477" spans="1:21" ht="23.25" customHeight="1" x14ac:dyDescent="0.35">
      <c r="A1477" t="s">
        <v>3126</v>
      </c>
      <c r="B1477" t="s">
        <v>3126</v>
      </c>
      <c r="C1477">
        <v>1000</v>
      </c>
      <c r="D1477">
        <v>0</v>
      </c>
      <c r="E1477" t="s">
        <v>3383</v>
      </c>
      <c r="F1477" t="s">
        <v>57</v>
      </c>
      <c r="G1477" t="s">
        <v>57</v>
      </c>
      <c r="H1477" t="s">
        <v>3384</v>
      </c>
      <c r="I1477"/>
      <c r="J1477"/>
      <c r="K1477"/>
      <c r="L1477"/>
      <c r="M1477"/>
      <c r="N1477"/>
      <c r="O1477"/>
      <c r="P1477"/>
      <c r="Q1477"/>
      <c r="R1477"/>
      <c r="S1477" s="56">
        <f t="shared" si="66"/>
        <v>0</v>
      </c>
      <c r="T1477" s="57" t="str">
        <f t="shared" si="67"/>
        <v>0-3 Days</v>
      </c>
      <c r="U1477" s="58" t="str">
        <f t="shared" si="68"/>
        <v>Normal</v>
      </c>
    </row>
    <row r="1478" spans="1:21" ht="23.25" customHeight="1" x14ac:dyDescent="0.35">
      <c r="A1478" t="s">
        <v>3126</v>
      </c>
      <c r="B1478" t="s">
        <v>3126</v>
      </c>
      <c r="C1478">
        <v>1000</v>
      </c>
      <c r="D1478">
        <v>0</v>
      </c>
      <c r="E1478" t="s">
        <v>3385</v>
      </c>
      <c r="F1478" t="s">
        <v>57</v>
      </c>
      <c r="G1478" t="s">
        <v>57</v>
      </c>
      <c r="H1478" t="s">
        <v>3386</v>
      </c>
      <c r="I1478"/>
      <c r="J1478"/>
      <c r="K1478"/>
      <c r="L1478"/>
      <c r="M1478"/>
      <c r="N1478"/>
      <c r="O1478"/>
      <c r="P1478"/>
      <c r="Q1478"/>
      <c r="R1478"/>
      <c r="S1478" s="56">
        <f t="shared" si="66"/>
        <v>0</v>
      </c>
      <c r="T1478" s="57" t="str">
        <f t="shared" si="67"/>
        <v>0-3 Days</v>
      </c>
      <c r="U1478" s="58" t="str">
        <f t="shared" si="68"/>
        <v>Normal</v>
      </c>
    </row>
    <row r="1479" spans="1:21" ht="23.25" customHeight="1" x14ac:dyDescent="0.35">
      <c r="A1479" t="s">
        <v>3126</v>
      </c>
      <c r="B1479" t="s">
        <v>3126</v>
      </c>
      <c r="C1479">
        <v>1000</v>
      </c>
      <c r="D1479">
        <v>0</v>
      </c>
      <c r="E1479" t="s">
        <v>3387</v>
      </c>
      <c r="F1479" t="s">
        <v>57</v>
      </c>
      <c r="G1479" t="s">
        <v>57</v>
      </c>
      <c r="H1479" t="s">
        <v>3388</v>
      </c>
      <c r="I1479"/>
      <c r="J1479"/>
      <c r="K1479"/>
      <c r="L1479"/>
      <c r="M1479"/>
      <c r="N1479"/>
      <c r="O1479"/>
      <c r="P1479"/>
      <c r="Q1479"/>
      <c r="R1479"/>
      <c r="S1479" s="56">
        <f t="shared" si="66"/>
        <v>0</v>
      </c>
      <c r="T1479" s="57" t="str">
        <f t="shared" si="67"/>
        <v>0-3 Days</v>
      </c>
      <c r="U1479" s="58" t="str">
        <f t="shared" si="68"/>
        <v>Normal</v>
      </c>
    </row>
    <row r="1480" spans="1:21" ht="23.25" customHeight="1" x14ac:dyDescent="0.35">
      <c r="A1480" t="s">
        <v>3126</v>
      </c>
      <c r="B1480" t="s">
        <v>3126</v>
      </c>
      <c r="C1480">
        <v>1000</v>
      </c>
      <c r="D1480">
        <v>0</v>
      </c>
      <c r="E1480" t="s">
        <v>3389</v>
      </c>
      <c r="F1480" t="s">
        <v>57</v>
      </c>
      <c r="G1480" t="s">
        <v>57</v>
      </c>
      <c r="H1480" t="s">
        <v>3390</v>
      </c>
      <c r="I1480"/>
      <c r="J1480"/>
      <c r="K1480"/>
      <c r="L1480"/>
      <c r="M1480"/>
      <c r="N1480"/>
      <c r="O1480"/>
      <c r="P1480"/>
      <c r="Q1480"/>
      <c r="R1480"/>
      <c r="S1480" s="56">
        <f t="shared" si="66"/>
        <v>0</v>
      </c>
      <c r="T1480" s="57" t="str">
        <f t="shared" si="67"/>
        <v>0-3 Days</v>
      </c>
      <c r="U1480" s="58" t="str">
        <f t="shared" si="68"/>
        <v>Normal</v>
      </c>
    </row>
    <row r="1481" spans="1:21" ht="23.25" customHeight="1" x14ac:dyDescent="0.35">
      <c r="A1481" t="s">
        <v>3126</v>
      </c>
      <c r="B1481" t="s">
        <v>3126</v>
      </c>
      <c r="C1481">
        <v>5003888.8899999997</v>
      </c>
      <c r="D1481">
        <v>0</v>
      </c>
      <c r="E1481" t="s">
        <v>3391</v>
      </c>
      <c r="F1481" t="s">
        <v>57</v>
      </c>
      <c r="G1481" t="s">
        <v>57</v>
      </c>
      <c r="H1481" t="s">
        <v>3392</v>
      </c>
      <c r="I1481"/>
      <c r="J1481"/>
      <c r="K1481"/>
      <c r="L1481"/>
      <c r="M1481"/>
      <c r="N1481"/>
      <c r="O1481"/>
      <c r="P1481"/>
      <c r="Q1481"/>
      <c r="R1481"/>
      <c r="S1481" s="56">
        <f t="shared" ref="S1481:S1544" si="69">IF(A1481="","",A$5-A1481)</f>
        <v>0</v>
      </c>
      <c r="T1481" s="57" t="str">
        <f t="shared" ref="T1481:T1544" si="70">IF(S1481="","",IF(S1481&lt;4,"0-3 Days",IF(S1481&lt;31,"4-30 Days",IF(S1481&lt;61,"31-60 Days",IF(S1481&lt;=90,"61-90 Days",IF(S1481&gt;90,"Above 90 Days","0"))))))</f>
        <v>0-3 Days</v>
      </c>
      <c r="U1481" s="58" t="str">
        <f t="shared" ref="U1481:U1544" si="71">IF(C1481="","",IF(C1481&gt;0,IF(S1481&lt;30,"Normal",IF(S1481&lt;60,"Especially Mentioned",IF(S1481&lt;90,"Substandard",IF(S1481&lt;=180,"Doubtful",IF(S1481&gt;180,"Loss","0"))))),"Not Applicable"))</f>
        <v>Normal</v>
      </c>
    </row>
    <row r="1482" spans="1:21" ht="23.25" customHeight="1" x14ac:dyDescent="0.35">
      <c r="A1482" t="s">
        <v>3126</v>
      </c>
      <c r="B1482" t="s">
        <v>3126</v>
      </c>
      <c r="C1482">
        <v>1000</v>
      </c>
      <c r="D1482">
        <v>0</v>
      </c>
      <c r="E1482" t="s">
        <v>3393</v>
      </c>
      <c r="F1482" t="s">
        <v>57</v>
      </c>
      <c r="G1482" t="s">
        <v>57</v>
      </c>
      <c r="H1482" t="s">
        <v>3394</v>
      </c>
      <c r="I1482"/>
      <c r="J1482"/>
      <c r="K1482"/>
      <c r="L1482"/>
      <c r="M1482"/>
      <c r="N1482"/>
      <c r="O1482"/>
      <c r="P1482"/>
      <c r="Q1482"/>
      <c r="R1482"/>
      <c r="S1482" s="56">
        <f t="shared" si="69"/>
        <v>0</v>
      </c>
      <c r="T1482" s="57" t="str">
        <f t="shared" si="70"/>
        <v>0-3 Days</v>
      </c>
      <c r="U1482" s="58" t="str">
        <f t="shared" si="71"/>
        <v>Normal</v>
      </c>
    </row>
    <row r="1483" spans="1:21" ht="23.25" customHeight="1" x14ac:dyDescent="0.35">
      <c r="A1483" t="s">
        <v>3126</v>
      </c>
      <c r="B1483" t="s">
        <v>3126</v>
      </c>
      <c r="C1483">
        <v>1000</v>
      </c>
      <c r="D1483">
        <v>0</v>
      </c>
      <c r="E1483" t="s">
        <v>3395</v>
      </c>
      <c r="F1483" t="s">
        <v>57</v>
      </c>
      <c r="G1483" t="s">
        <v>57</v>
      </c>
      <c r="H1483" t="s">
        <v>3396</v>
      </c>
      <c r="I1483"/>
      <c r="J1483"/>
      <c r="K1483"/>
      <c r="L1483"/>
      <c r="M1483"/>
      <c r="N1483"/>
      <c r="O1483"/>
      <c r="P1483"/>
      <c r="Q1483"/>
      <c r="R1483"/>
      <c r="S1483" s="56">
        <f t="shared" si="69"/>
        <v>0</v>
      </c>
      <c r="T1483" s="57" t="str">
        <f t="shared" si="70"/>
        <v>0-3 Days</v>
      </c>
      <c r="U1483" s="58" t="str">
        <f t="shared" si="71"/>
        <v>Normal</v>
      </c>
    </row>
    <row r="1484" spans="1:21" ht="23.25" customHeight="1" x14ac:dyDescent="0.35">
      <c r="A1484" t="s">
        <v>3126</v>
      </c>
      <c r="B1484" t="s">
        <v>3126</v>
      </c>
      <c r="C1484">
        <v>1550</v>
      </c>
      <c r="D1484">
        <v>0</v>
      </c>
      <c r="E1484" t="s">
        <v>3397</v>
      </c>
      <c r="F1484" t="s">
        <v>57</v>
      </c>
      <c r="G1484" t="s">
        <v>57</v>
      </c>
      <c r="H1484" t="s">
        <v>3398</v>
      </c>
      <c r="I1484"/>
      <c r="J1484"/>
      <c r="K1484"/>
      <c r="L1484"/>
      <c r="M1484"/>
      <c r="N1484"/>
      <c r="O1484"/>
      <c r="P1484"/>
      <c r="Q1484"/>
      <c r="R1484"/>
      <c r="S1484" s="56">
        <f t="shared" si="69"/>
        <v>0</v>
      </c>
      <c r="T1484" s="57" t="str">
        <f t="shared" si="70"/>
        <v>0-3 Days</v>
      </c>
      <c r="U1484" s="58" t="str">
        <f t="shared" si="71"/>
        <v>Normal</v>
      </c>
    </row>
    <row r="1485" spans="1:21" ht="23.25" customHeight="1" x14ac:dyDescent="0.35">
      <c r="A1485" t="s">
        <v>3126</v>
      </c>
      <c r="B1485" t="s">
        <v>3126</v>
      </c>
      <c r="C1485">
        <v>708</v>
      </c>
      <c r="D1485">
        <v>0</v>
      </c>
      <c r="E1485" t="s">
        <v>3399</v>
      </c>
      <c r="F1485" t="s">
        <v>57</v>
      </c>
      <c r="G1485" t="s">
        <v>57</v>
      </c>
      <c r="H1485" t="s">
        <v>3400</v>
      </c>
      <c r="I1485"/>
      <c r="J1485"/>
      <c r="K1485"/>
      <c r="L1485"/>
      <c r="M1485"/>
      <c r="N1485"/>
      <c r="O1485"/>
      <c r="P1485"/>
      <c r="Q1485"/>
      <c r="R1485"/>
      <c r="S1485" s="56">
        <f t="shared" si="69"/>
        <v>0</v>
      </c>
      <c r="T1485" s="57" t="str">
        <f t="shared" si="70"/>
        <v>0-3 Days</v>
      </c>
      <c r="U1485" s="58" t="str">
        <f t="shared" si="71"/>
        <v>Normal</v>
      </c>
    </row>
    <row r="1486" spans="1:21" ht="23.25" customHeight="1" x14ac:dyDescent="0.35">
      <c r="A1486" t="s">
        <v>3126</v>
      </c>
      <c r="B1486" t="s">
        <v>3126</v>
      </c>
      <c r="C1486">
        <v>1000</v>
      </c>
      <c r="D1486">
        <v>0</v>
      </c>
      <c r="E1486" t="s">
        <v>3401</v>
      </c>
      <c r="F1486" t="s">
        <v>57</v>
      </c>
      <c r="G1486" t="s">
        <v>57</v>
      </c>
      <c r="H1486" t="s">
        <v>3402</v>
      </c>
      <c r="I1486"/>
      <c r="J1486"/>
      <c r="K1486"/>
      <c r="L1486"/>
      <c r="M1486"/>
      <c r="N1486"/>
      <c r="O1486"/>
      <c r="P1486"/>
      <c r="Q1486"/>
      <c r="R1486"/>
      <c r="S1486" s="56">
        <f t="shared" si="69"/>
        <v>0</v>
      </c>
      <c r="T1486" s="57" t="str">
        <f t="shared" si="70"/>
        <v>0-3 Days</v>
      </c>
      <c r="U1486" s="58" t="str">
        <f t="shared" si="71"/>
        <v>Normal</v>
      </c>
    </row>
    <row r="1487" spans="1:21" ht="23.25" customHeight="1" x14ac:dyDescent="0.35">
      <c r="A1487" t="s">
        <v>3126</v>
      </c>
      <c r="B1487" t="s">
        <v>3126</v>
      </c>
      <c r="C1487">
        <v>1000</v>
      </c>
      <c r="D1487">
        <v>0</v>
      </c>
      <c r="E1487" t="s">
        <v>3403</v>
      </c>
      <c r="F1487" t="s">
        <v>57</v>
      </c>
      <c r="G1487" t="s">
        <v>57</v>
      </c>
      <c r="H1487" t="s">
        <v>3404</v>
      </c>
      <c r="I1487"/>
      <c r="J1487"/>
      <c r="K1487"/>
      <c r="L1487"/>
      <c r="M1487"/>
      <c r="N1487"/>
      <c r="O1487"/>
      <c r="P1487"/>
      <c r="Q1487"/>
      <c r="R1487"/>
      <c r="S1487" s="56">
        <f t="shared" si="69"/>
        <v>0</v>
      </c>
      <c r="T1487" s="57" t="str">
        <f t="shared" si="70"/>
        <v>0-3 Days</v>
      </c>
      <c r="U1487" s="58" t="str">
        <f t="shared" si="71"/>
        <v>Normal</v>
      </c>
    </row>
    <row r="1488" spans="1:21" ht="23.25" customHeight="1" x14ac:dyDescent="0.35">
      <c r="A1488" t="s">
        <v>3126</v>
      </c>
      <c r="B1488" t="s">
        <v>3126</v>
      </c>
      <c r="C1488">
        <v>1000</v>
      </c>
      <c r="D1488">
        <v>0</v>
      </c>
      <c r="E1488" t="s">
        <v>3405</v>
      </c>
      <c r="F1488" t="s">
        <v>57</v>
      </c>
      <c r="G1488" t="s">
        <v>57</v>
      </c>
      <c r="H1488" t="s">
        <v>3406</v>
      </c>
      <c r="I1488"/>
      <c r="J1488"/>
      <c r="K1488"/>
      <c r="L1488"/>
      <c r="M1488"/>
      <c r="N1488"/>
      <c r="O1488"/>
      <c r="P1488"/>
      <c r="Q1488"/>
      <c r="R1488"/>
      <c r="S1488" s="56">
        <f t="shared" si="69"/>
        <v>0</v>
      </c>
      <c r="T1488" s="57" t="str">
        <f t="shared" si="70"/>
        <v>0-3 Days</v>
      </c>
      <c r="U1488" s="58" t="str">
        <f t="shared" si="71"/>
        <v>Normal</v>
      </c>
    </row>
    <row r="1489" spans="1:21" ht="23.25" customHeight="1" x14ac:dyDescent="0.35">
      <c r="A1489" t="s">
        <v>3126</v>
      </c>
      <c r="B1489" t="s">
        <v>3126</v>
      </c>
      <c r="C1489">
        <v>0</v>
      </c>
      <c r="D1489">
        <v>3333.33</v>
      </c>
      <c r="E1489" t="s">
        <v>3407</v>
      </c>
      <c r="F1489" t="s">
        <v>57</v>
      </c>
      <c r="G1489" t="s">
        <v>57</v>
      </c>
      <c r="H1489" t="s">
        <v>3408</v>
      </c>
      <c r="I1489"/>
      <c r="J1489"/>
      <c r="K1489"/>
      <c r="L1489"/>
      <c r="M1489"/>
      <c r="N1489"/>
      <c r="O1489"/>
      <c r="P1489"/>
      <c r="Q1489"/>
      <c r="R1489"/>
      <c r="S1489" s="56">
        <f t="shared" si="69"/>
        <v>0</v>
      </c>
      <c r="T1489" s="57" t="str">
        <f t="shared" si="70"/>
        <v>0-3 Days</v>
      </c>
      <c r="U1489" s="58" t="str">
        <f t="shared" si="71"/>
        <v>Not Applicable</v>
      </c>
    </row>
    <row r="1490" spans="1:21" ht="23.25" customHeight="1" x14ac:dyDescent="0.35">
      <c r="A1490" t="s">
        <v>3126</v>
      </c>
      <c r="B1490" t="s">
        <v>3126</v>
      </c>
      <c r="C1490">
        <v>0</v>
      </c>
      <c r="D1490">
        <v>1660333.71</v>
      </c>
      <c r="E1490" t="s">
        <v>3409</v>
      </c>
      <c r="F1490" t="s">
        <v>57</v>
      </c>
      <c r="G1490" t="s">
        <v>57</v>
      </c>
      <c r="H1490" t="s">
        <v>3410</v>
      </c>
      <c r="I1490"/>
      <c r="J1490"/>
      <c r="K1490"/>
      <c r="L1490"/>
      <c r="M1490"/>
      <c r="N1490"/>
      <c r="O1490"/>
      <c r="P1490"/>
      <c r="Q1490"/>
      <c r="R1490"/>
      <c r="S1490" s="56">
        <f t="shared" si="69"/>
        <v>0</v>
      </c>
      <c r="T1490" s="57" t="str">
        <f t="shared" si="70"/>
        <v>0-3 Days</v>
      </c>
      <c r="U1490" s="58" t="str">
        <f t="shared" si="71"/>
        <v>Not Applicable</v>
      </c>
    </row>
    <row r="1491" spans="1:21" ht="23.25" customHeight="1" x14ac:dyDescent="0.35">
      <c r="A1491" t="s">
        <v>3126</v>
      </c>
      <c r="B1491" t="s">
        <v>3126</v>
      </c>
      <c r="C1491">
        <v>648</v>
      </c>
      <c r="D1491">
        <v>0</v>
      </c>
      <c r="E1491" t="s">
        <v>3411</v>
      </c>
      <c r="F1491" t="s">
        <v>57</v>
      </c>
      <c r="G1491" t="s">
        <v>57</v>
      </c>
      <c r="H1491" t="s">
        <v>3412</v>
      </c>
      <c r="I1491"/>
      <c r="J1491"/>
      <c r="K1491"/>
      <c r="L1491"/>
      <c r="M1491"/>
      <c r="N1491"/>
      <c r="O1491"/>
      <c r="P1491"/>
      <c r="Q1491"/>
      <c r="R1491"/>
      <c r="S1491" s="56">
        <f t="shared" si="69"/>
        <v>0</v>
      </c>
      <c r="T1491" s="57" t="str">
        <f t="shared" si="70"/>
        <v>0-3 Days</v>
      </c>
      <c r="U1491" s="58" t="str">
        <f t="shared" si="71"/>
        <v>Normal</v>
      </c>
    </row>
    <row r="1492" spans="1:21" ht="23.25" customHeight="1" x14ac:dyDescent="0.35">
      <c r="A1492" t="s">
        <v>3126</v>
      </c>
      <c r="B1492" t="s">
        <v>3126</v>
      </c>
      <c r="C1492">
        <v>612</v>
      </c>
      <c r="D1492">
        <v>0</v>
      </c>
      <c r="E1492" t="s">
        <v>3413</v>
      </c>
      <c r="F1492" t="s">
        <v>57</v>
      </c>
      <c r="G1492" t="s">
        <v>57</v>
      </c>
      <c r="H1492" t="s">
        <v>3414</v>
      </c>
      <c r="I1492"/>
      <c r="J1492"/>
      <c r="K1492"/>
      <c r="L1492"/>
      <c r="M1492"/>
      <c r="N1492"/>
      <c r="O1492"/>
      <c r="P1492"/>
      <c r="Q1492"/>
      <c r="R1492"/>
      <c r="S1492" s="56">
        <f t="shared" si="69"/>
        <v>0</v>
      </c>
      <c r="T1492" s="57" t="str">
        <f t="shared" si="70"/>
        <v>0-3 Days</v>
      </c>
      <c r="U1492" s="58" t="str">
        <f t="shared" si="71"/>
        <v>Normal</v>
      </c>
    </row>
    <row r="1493" spans="1:21" ht="23.25" customHeight="1" x14ac:dyDescent="0.35">
      <c r="A1493" t="s">
        <v>3126</v>
      </c>
      <c r="B1493" t="s">
        <v>3126</v>
      </c>
      <c r="C1493">
        <v>1000</v>
      </c>
      <c r="D1493">
        <v>0</v>
      </c>
      <c r="E1493" t="s">
        <v>3415</v>
      </c>
      <c r="F1493" t="s">
        <v>57</v>
      </c>
      <c r="G1493" t="s">
        <v>57</v>
      </c>
      <c r="H1493" t="s">
        <v>3416</v>
      </c>
      <c r="I1493"/>
      <c r="J1493"/>
      <c r="K1493"/>
      <c r="L1493"/>
      <c r="M1493"/>
      <c r="N1493"/>
      <c r="O1493"/>
      <c r="P1493"/>
      <c r="Q1493"/>
      <c r="R1493"/>
      <c r="S1493" s="56">
        <f t="shared" si="69"/>
        <v>0</v>
      </c>
      <c r="T1493" s="57" t="str">
        <f t="shared" si="70"/>
        <v>0-3 Days</v>
      </c>
      <c r="U1493" s="58" t="str">
        <f t="shared" si="71"/>
        <v>Normal</v>
      </c>
    </row>
    <row r="1494" spans="1:21" ht="23.25" customHeight="1" x14ac:dyDescent="0.35">
      <c r="A1494" t="s">
        <v>3126</v>
      </c>
      <c r="B1494" t="s">
        <v>3126</v>
      </c>
      <c r="C1494">
        <v>2650</v>
      </c>
      <c r="D1494">
        <v>0</v>
      </c>
      <c r="E1494" t="s">
        <v>3417</v>
      </c>
      <c r="F1494" t="s">
        <v>57</v>
      </c>
      <c r="G1494" t="s">
        <v>57</v>
      </c>
      <c r="H1494" t="s">
        <v>3418</v>
      </c>
      <c r="I1494"/>
      <c r="J1494"/>
      <c r="K1494"/>
      <c r="L1494"/>
      <c r="M1494"/>
      <c r="N1494"/>
      <c r="O1494"/>
      <c r="P1494"/>
      <c r="Q1494"/>
      <c r="R1494"/>
      <c r="S1494" s="56">
        <f t="shared" si="69"/>
        <v>0</v>
      </c>
      <c r="T1494" s="57" t="str">
        <f t="shared" si="70"/>
        <v>0-3 Days</v>
      </c>
      <c r="U1494" s="58" t="str">
        <f t="shared" si="71"/>
        <v>Normal</v>
      </c>
    </row>
    <row r="1495" spans="1:21" ht="23.25" customHeight="1" x14ac:dyDescent="0.35">
      <c r="A1495" t="s">
        <v>3126</v>
      </c>
      <c r="B1495" t="s">
        <v>3126</v>
      </c>
      <c r="C1495">
        <v>250</v>
      </c>
      <c r="D1495">
        <v>0</v>
      </c>
      <c r="E1495" t="s">
        <v>3419</v>
      </c>
      <c r="F1495" t="s">
        <v>57</v>
      </c>
      <c r="G1495" t="s">
        <v>57</v>
      </c>
      <c r="H1495" t="s">
        <v>3420</v>
      </c>
      <c r="I1495"/>
      <c r="J1495"/>
      <c r="K1495"/>
      <c r="L1495"/>
      <c r="M1495"/>
      <c r="N1495"/>
      <c r="O1495"/>
      <c r="P1495"/>
      <c r="Q1495"/>
      <c r="R1495"/>
      <c r="S1495" s="56">
        <f t="shared" si="69"/>
        <v>0</v>
      </c>
      <c r="T1495" s="57" t="str">
        <f t="shared" si="70"/>
        <v>0-3 Days</v>
      </c>
      <c r="U1495" s="58" t="str">
        <f t="shared" si="71"/>
        <v>Normal</v>
      </c>
    </row>
    <row r="1496" spans="1:21" ht="23.25" customHeight="1" x14ac:dyDescent="0.35">
      <c r="A1496" t="s">
        <v>3126</v>
      </c>
      <c r="B1496" t="s">
        <v>3126</v>
      </c>
      <c r="C1496">
        <v>2350</v>
      </c>
      <c r="D1496">
        <v>0</v>
      </c>
      <c r="E1496" t="s">
        <v>3421</v>
      </c>
      <c r="F1496" t="s">
        <v>57</v>
      </c>
      <c r="G1496" t="s">
        <v>57</v>
      </c>
      <c r="H1496" t="s">
        <v>3422</v>
      </c>
      <c r="I1496"/>
      <c r="J1496"/>
      <c r="K1496"/>
      <c r="L1496"/>
      <c r="M1496"/>
      <c r="N1496"/>
      <c r="O1496"/>
      <c r="P1496"/>
      <c r="Q1496"/>
      <c r="R1496"/>
      <c r="S1496" s="56">
        <f t="shared" si="69"/>
        <v>0</v>
      </c>
      <c r="T1496" s="57" t="str">
        <f t="shared" si="70"/>
        <v>0-3 Days</v>
      </c>
      <c r="U1496" s="58" t="str">
        <f t="shared" si="71"/>
        <v>Normal</v>
      </c>
    </row>
    <row r="1497" spans="1:21" ht="23.25" customHeight="1" x14ac:dyDescent="0.35">
      <c r="A1497" t="s">
        <v>3126</v>
      </c>
      <c r="B1497" t="s">
        <v>3126</v>
      </c>
      <c r="C1497">
        <v>2050</v>
      </c>
      <c r="D1497">
        <v>0</v>
      </c>
      <c r="E1497" t="s">
        <v>3423</v>
      </c>
      <c r="F1497" t="s">
        <v>57</v>
      </c>
      <c r="G1497" t="s">
        <v>57</v>
      </c>
      <c r="H1497" t="s">
        <v>3424</v>
      </c>
      <c r="I1497"/>
      <c r="J1497"/>
      <c r="K1497"/>
      <c r="L1497"/>
      <c r="M1497"/>
      <c r="N1497"/>
      <c r="O1497"/>
      <c r="P1497"/>
      <c r="Q1497"/>
      <c r="R1497"/>
      <c r="S1497" s="56">
        <f t="shared" si="69"/>
        <v>0</v>
      </c>
      <c r="T1497" s="57" t="str">
        <f t="shared" si="70"/>
        <v>0-3 Days</v>
      </c>
      <c r="U1497" s="58" t="str">
        <f t="shared" si="71"/>
        <v>Normal</v>
      </c>
    </row>
    <row r="1498" spans="1:21" ht="23.25" customHeight="1" x14ac:dyDescent="0.35">
      <c r="A1498" t="s">
        <v>3126</v>
      </c>
      <c r="B1498" t="s">
        <v>3126</v>
      </c>
      <c r="C1498">
        <v>2650</v>
      </c>
      <c r="D1498">
        <v>0</v>
      </c>
      <c r="E1498" t="s">
        <v>3425</v>
      </c>
      <c r="F1498" t="s">
        <v>57</v>
      </c>
      <c r="G1498" t="s">
        <v>57</v>
      </c>
      <c r="H1498" t="s">
        <v>3426</v>
      </c>
      <c r="I1498"/>
      <c r="J1498"/>
      <c r="K1498"/>
      <c r="L1498"/>
      <c r="M1498"/>
      <c r="N1498"/>
      <c r="O1498"/>
      <c r="P1498"/>
      <c r="Q1498"/>
      <c r="R1498"/>
      <c r="S1498" s="56">
        <f t="shared" si="69"/>
        <v>0</v>
      </c>
      <c r="T1498" s="57" t="str">
        <f t="shared" si="70"/>
        <v>0-3 Days</v>
      </c>
      <c r="U1498" s="58" t="str">
        <f t="shared" si="71"/>
        <v>Normal</v>
      </c>
    </row>
    <row r="1499" spans="1:21" ht="23.25" customHeight="1" x14ac:dyDescent="0.35">
      <c r="A1499" t="s">
        <v>3126</v>
      </c>
      <c r="B1499" t="s">
        <v>3126</v>
      </c>
      <c r="C1499">
        <v>1000</v>
      </c>
      <c r="D1499">
        <v>0</v>
      </c>
      <c r="E1499" t="s">
        <v>3427</v>
      </c>
      <c r="F1499" t="s">
        <v>57</v>
      </c>
      <c r="G1499" t="s">
        <v>57</v>
      </c>
      <c r="H1499" t="s">
        <v>3428</v>
      </c>
      <c r="I1499"/>
      <c r="J1499"/>
      <c r="K1499"/>
      <c r="L1499"/>
      <c r="M1499"/>
      <c r="N1499"/>
      <c r="O1499"/>
      <c r="P1499"/>
      <c r="Q1499"/>
      <c r="R1499"/>
      <c r="S1499" s="56">
        <f t="shared" si="69"/>
        <v>0</v>
      </c>
      <c r="T1499" s="57" t="str">
        <f t="shared" si="70"/>
        <v>0-3 Days</v>
      </c>
      <c r="U1499" s="58" t="str">
        <f t="shared" si="71"/>
        <v>Normal</v>
      </c>
    </row>
    <row r="1500" spans="1:21" ht="23.25" customHeight="1" x14ac:dyDescent="0.35">
      <c r="A1500" t="s">
        <v>3126</v>
      </c>
      <c r="B1500" t="s">
        <v>3126</v>
      </c>
      <c r="C1500">
        <v>2050</v>
      </c>
      <c r="D1500">
        <v>0</v>
      </c>
      <c r="E1500" t="s">
        <v>3429</v>
      </c>
      <c r="F1500" t="s">
        <v>57</v>
      </c>
      <c r="G1500" t="s">
        <v>57</v>
      </c>
      <c r="H1500" t="s">
        <v>3430</v>
      </c>
      <c r="I1500"/>
      <c r="J1500"/>
      <c r="K1500"/>
      <c r="L1500"/>
      <c r="M1500"/>
      <c r="N1500"/>
      <c r="O1500"/>
      <c r="P1500"/>
      <c r="Q1500"/>
      <c r="R1500"/>
      <c r="S1500" s="56">
        <f t="shared" si="69"/>
        <v>0</v>
      </c>
      <c r="T1500" s="57" t="str">
        <f t="shared" si="70"/>
        <v>0-3 Days</v>
      </c>
      <c r="U1500" s="58" t="str">
        <f t="shared" si="71"/>
        <v>Normal</v>
      </c>
    </row>
    <row r="1501" spans="1:21" ht="23.25" customHeight="1" x14ac:dyDescent="0.35">
      <c r="A1501" t="s">
        <v>3126</v>
      </c>
      <c r="B1501" t="s">
        <v>3126</v>
      </c>
      <c r="C1501">
        <v>648</v>
      </c>
      <c r="D1501">
        <v>0</v>
      </c>
      <c r="E1501" t="s">
        <v>3431</v>
      </c>
      <c r="F1501" t="s">
        <v>57</v>
      </c>
      <c r="G1501" t="s">
        <v>57</v>
      </c>
      <c r="H1501" t="s">
        <v>3432</v>
      </c>
      <c r="I1501"/>
      <c r="J1501"/>
      <c r="K1501"/>
      <c r="L1501"/>
      <c r="M1501"/>
      <c r="N1501"/>
      <c r="O1501"/>
      <c r="P1501"/>
      <c r="Q1501"/>
      <c r="R1501"/>
      <c r="S1501" s="56">
        <f t="shared" si="69"/>
        <v>0</v>
      </c>
      <c r="T1501" s="57" t="str">
        <f t="shared" si="70"/>
        <v>0-3 Days</v>
      </c>
      <c r="U1501" s="58" t="str">
        <f t="shared" si="71"/>
        <v>Normal</v>
      </c>
    </row>
    <row r="1502" spans="1:21" ht="23.25" customHeight="1" x14ac:dyDescent="0.35">
      <c r="A1502" t="s">
        <v>3126</v>
      </c>
      <c r="B1502" t="s">
        <v>3126</v>
      </c>
      <c r="C1502">
        <v>5003888.8899999997</v>
      </c>
      <c r="D1502">
        <v>0</v>
      </c>
      <c r="E1502" t="s">
        <v>3433</v>
      </c>
      <c r="F1502" t="s">
        <v>57</v>
      </c>
      <c r="G1502" t="s">
        <v>57</v>
      </c>
      <c r="H1502" t="s">
        <v>3434</v>
      </c>
      <c r="I1502"/>
      <c r="J1502"/>
      <c r="K1502"/>
      <c r="L1502"/>
      <c r="M1502"/>
      <c r="N1502"/>
      <c r="O1502"/>
      <c r="P1502"/>
      <c r="Q1502"/>
      <c r="R1502"/>
      <c r="S1502" s="56">
        <f t="shared" si="69"/>
        <v>0</v>
      </c>
      <c r="T1502" s="57" t="str">
        <f t="shared" si="70"/>
        <v>0-3 Days</v>
      </c>
      <c r="U1502" s="58" t="str">
        <f t="shared" si="71"/>
        <v>Normal</v>
      </c>
    </row>
    <row r="1503" spans="1:21" ht="23.25" customHeight="1" x14ac:dyDescent="0.35">
      <c r="A1503" t="s">
        <v>3126</v>
      </c>
      <c r="B1503" t="s">
        <v>3126</v>
      </c>
      <c r="C1503">
        <v>250</v>
      </c>
      <c r="D1503">
        <v>0</v>
      </c>
      <c r="E1503" t="s">
        <v>3435</v>
      </c>
      <c r="F1503" t="s">
        <v>57</v>
      </c>
      <c r="G1503" t="s">
        <v>57</v>
      </c>
      <c r="H1503" t="s">
        <v>3436</v>
      </c>
      <c r="I1503"/>
      <c r="J1503"/>
      <c r="K1503"/>
      <c r="L1503"/>
      <c r="M1503"/>
      <c r="N1503"/>
      <c r="O1503"/>
      <c r="P1503"/>
      <c r="Q1503"/>
      <c r="R1503"/>
      <c r="S1503" s="56">
        <f t="shared" si="69"/>
        <v>0</v>
      </c>
      <c r="T1503" s="57" t="str">
        <f t="shared" si="70"/>
        <v>0-3 Days</v>
      </c>
      <c r="U1503" s="58" t="str">
        <f t="shared" si="71"/>
        <v>Normal</v>
      </c>
    </row>
    <row r="1504" spans="1:21" ht="23.25" customHeight="1" x14ac:dyDescent="0.35">
      <c r="A1504" t="s">
        <v>3126</v>
      </c>
      <c r="B1504" t="s">
        <v>3437</v>
      </c>
      <c r="C1504">
        <v>0</v>
      </c>
      <c r="D1504">
        <v>243.2</v>
      </c>
      <c r="E1504" t="s">
        <v>3438</v>
      </c>
      <c r="F1504" t="s">
        <v>3439</v>
      </c>
      <c r="G1504" t="s">
        <v>3440</v>
      </c>
      <c r="H1504" t="s">
        <v>3441</v>
      </c>
      <c r="I1504"/>
      <c r="J1504"/>
      <c r="K1504"/>
      <c r="L1504"/>
      <c r="M1504"/>
      <c r="N1504"/>
      <c r="O1504"/>
      <c r="P1504"/>
      <c r="Q1504"/>
      <c r="R1504"/>
      <c r="S1504" s="56">
        <f t="shared" si="69"/>
        <v>0</v>
      </c>
      <c r="T1504" s="57" t="str">
        <f t="shared" si="70"/>
        <v>0-3 Days</v>
      </c>
      <c r="U1504" s="58" t="str">
        <f t="shared" si="71"/>
        <v>Not Applicable</v>
      </c>
    </row>
    <row r="1505" spans="1:21" ht="23.25" customHeight="1" x14ac:dyDescent="0.35">
      <c r="A1505" t="s">
        <v>3126</v>
      </c>
      <c r="B1505" t="s">
        <v>3437</v>
      </c>
      <c r="C1505">
        <v>0</v>
      </c>
      <c r="D1505">
        <v>267.60000000000002</v>
      </c>
      <c r="E1505" t="s">
        <v>3442</v>
      </c>
      <c r="F1505" t="s">
        <v>3443</v>
      </c>
      <c r="G1505" t="s">
        <v>3444</v>
      </c>
      <c r="H1505" t="s">
        <v>3445</v>
      </c>
      <c r="I1505"/>
      <c r="J1505"/>
      <c r="K1505"/>
      <c r="L1505"/>
      <c r="M1505"/>
      <c r="N1505"/>
      <c r="O1505"/>
      <c r="P1505"/>
      <c r="Q1505"/>
      <c r="R1505"/>
      <c r="S1505" s="56">
        <f t="shared" si="69"/>
        <v>0</v>
      </c>
      <c r="T1505" s="57" t="str">
        <f t="shared" si="70"/>
        <v>0-3 Days</v>
      </c>
      <c r="U1505" s="58" t="str">
        <f t="shared" si="71"/>
        <v>Not Applicable</v>
      </c>
    </row>
    <row r="1506" spans="1:21" ht="23.25" customHeight="1" x14ac:dyDescent="0.35">
      <c r="A1506" t="s">
        <v>3126</v>
      </c>
      <c r="B1506" t="s">
        <v>3437</v>
      </c>
      <c r="C1506">
        <v>0</v>
      </c>
      <c r="D1506">
        <v>1000</v>
      </c>
      <c r="E1506" t="s">
        <v>3446</v>
      </c>
      <c r="F1506" t="s">
        <v>3447</v>
      </c>
      <c r="G1506" t="s">
        <v>3448</v>
      </c>
      <c r="H1506" t="s">
        <v>3449</v>
      </c>
      <c r="I1506"/>
      <c r="J1506"/>
      <c r="K1506"/>
      <c r="L1506"/>
      <c r="M1506"/>
      <c r="N1506"/>
      <c r="O1506"/>
      <c r="P1506"/>
      <c r="Q1506"/>
      <c r="R1506"/>
      <c r="S1506" s="56">
        <f t="shared" si="69"/>
        <v>0</v>
      </c>
      <c r="T1506" s="57" t="str">
        <f t="shared" si="70"/>
        <v>0-3 Days</v>
      </c>
      <c r="U1506" s="58" t="str">
        <f t="shared" si="71"/>
        <v>Not Applicable</v>
      </c>
    </row>
    <row r="1507" spans="1:21" ht="23.25" customHeight="1" x14ac:dyDescent="0.35">
      <c r="S1507" s="56" t="str">
        <f t="shared" si="69"/>
        <v/>
      </c>
      <c r="T1507" s="57" t="str">
        <f t="shared" si="70"/>
        <v/>
      </c>
      <c r="U1507" s="58" t="str">
        <f t="shared" si="71"/>
        <v/>
      </c>
    </row>
    <row r="1508" spans="1:21" ht="23.25" customHeight="1" x14ac:dyDescent="0.35">
      <c r="S1508" s="56" t="str">
        <f t="shared" si="69"/>
        <v/>
      </c>
      <c r="T1508" s="57" t="str">
        <f t="shared" si="70"/>
        <v/>
      </c>
      <c r="U1508" s="58" t="str">
        <f t="shared" si="71"/>
        <v/>
      </c>
    </row>
    <row r="1509" spans="1:21" ht="23.25" customHeight="1" x14ac:dyDescent="0.35">
      <c r="S1509" s="56" t="str">
        <f t="shared" si="69"/>
        <v/>
      </c>
      <c r="T1509" s="57" t="str">
        <f t="shared" si="70"/>
        <v/>
      </c>
      <c r="U1509" s="58" t="str">
        <f t="shared" si="71"/>
        <v/>
      </c>
    </row>
    <row r="1510" spans="1:21" ht="23.25" customHeight="1" x14ac:dyDescent="0.35">
      <c r="S1510" s="56" t="str">
        <f t="shared" si="69"/>
        <v/>
      </c>
      <c r="T1510" s="57" t="str">
        <f t="shared" si="70"/>
        <v/>
      </c>
      <c r="U1510" s="58" t="str">
        <f t="shared" si="71"/>
        <v/>
      </c>
    </row>
    <row r="1511" spans="1:21" ht="23.25" customHeight="1" x14ac:dyDescent="0.35">
      <c r="S1511" s="56" t="str">
        <f t="shared" si="69"/>
        <v/>
      </c>
      <c r="T1511" s="57" t="str">
        <f t="shared" si="70"/>
        <v/>
      </c>
      <c r="U1511" s="58" t="str">
        <f t="shared" si="71"/>
        <v/>
      </c>
    </row>
    <row r="1512" spans="1:21" ht="23.25" customHeight="1" x14ac:dyDescent="0.35">
      <c r="S1512" s="56" t="str">
        <f t="shared" si="69"/>
        <v/>
      </c>
      <c r="T1512" s="57" t="str">
        <f t="shared" si="70"/>
        <v/>
      </c>
      <c r="U1512" s="58" t="str">
        <f t="shared" si="71"/>
        <v/>
      </c>
    </row>
    <row r="1513" spans="1:21" ht="23.25" customHeight="1" x14ac:dyDescent="0.35">
      <c r="S1513" s="56" t="str">
        <f t="shared" si="69"/>
        <v/>
      </c>
      <c r="T1513" s="57" t="str">
        <f t="shared" si="70"/>
        <v/>
      </c>
      <c r="U1513" s="58" t="str">
        <f t="shared" si="71"/>
        <v/>
      </c>
    </row>
    <row r="1514" spans="1:21" ht="23.25" customHeight="1" x14ac:dyDescent="0.35">
      <c r="S1514" s="56" t="str">
        <f t="shared" si="69"/>
        <v/>
      </c>
      <c r="T1514" s="57" t="str">
        <f t="shared" si="70"/>
        <v/>
      </c>
      <c r="U1514" s="58" t="str">
        <f t="shared" si="71"/>
        <v/>
      </c>
    </row>
    <row r="1515" spans="1:21" ht="23.25" customHeight="1" x14ac:dyDescent="0.35">
      <c r="S1515" s="56" t="str">
        <f t="shared" si="69"/>
        <v/>
      </c>
      <c r="T1515" s="57" t="str">
        <f t="shared" si="70"/>
        <v/>
      </c>
      <c r="U1515" s="58" t="str">
        <f t="shared" si="71"/>
        <v/>
      </c>
    </row>
    <row r="1516" spans="1:21" ht="23.25" customHeight="1" x14ac:dyDescent="0.35">
      <c r="S1516" s="56" t="str">
        <f t="shared" si="69"/>
        <v/>
      </c>
      <c r="T1516" s="57" t="str">
        <f t="shared" si="70"/>
        <v/>
      </c>
      <c r="U1516" s="58" t="str">
        <f t="shared" si="71"/>
        <v/>
      </c>
    </row>
    <row r="1517" spans="1:21" ht="23.25" customHeight="1" x14ac:dyDescent="0.35">
      <c r="S1517" s="56" t="str">
        <f t="shared" si="69"/>
        <v/>
      </c>
      <c r="T1517" s="57" t="str">
        <f t="shared" si="70"/>
        <v/>
      </c>
      <c r="U1517" s="58" t="str">
        <f t="shared" si="71"/>
        <v/>
      </c>
    </row>
    <row r="1518" spans="1:21" ht="23.25" customHeight="1" x14ac:dyDescent="0.35">
      <c r="S1518" s="56" t="str">
        <f t="shared" si="69"/>
        <v/>
      </c>
      <c r="T1518" s="57" t="str">
        <f t="shared" si="70"/>
        <v/>
      </c>
      <c r="U1518" s="58" t="str">
        <f t="shared" si="71"/>
        <v/>
      </c>
    </row>
    <row r="1519" spans="1:21" ht="23.25" customHeight="1" x14ac:dyDescent="0.35">
      <c r="S1519" s="56" t="str">
        <f t="shared" si="69"/>
        <v/>
      </c>
      <c r="T1519" s="57" t="str">
        <f t="shared" si="70"/>
        <v/>
      </c>
      <c r="U1519" s="58" t="str">
        <f t="shared" si="71"/>
        <v/>
      </c>
    </row>
    <row r="1520" spans="1:21" ht="23.25" customHeight="1" x14ac:dyDescent="0.35">
      <c r="S1520" s="56" t="str">
        <f t="shared" si="69"/>
        <v/>
      </c>
      <c r="T1520" s="57" t="str">
        <f t="shared" si="70"/>
        <v/>
      </c>
      <c r="U1520" s="58" t="str">
        <f t="shared" si="71"/>
        <v/>
      </c>
    </row>
    <row r="1521" spans="19:21" ht="23.25" customHeight="1" x14ac:dyDescent="0.35">
      <c r="S1521" s="56" t="str">
        <f t="shared" si="69"/>
        <v/>
      </c>
      <c r="T1521" s="57" t="str">
        <f t="shared" si="70"/>
        <v/>
      </c>
      <c r="U1521" s="58" t="str">
        <f t="shared" si="71"/>
        <v/>
      </c>
    </row>
    <row r="1522" spans="19:21" ht="23.25" customHeight="1" x14ac:dyDescent="0.35">
      <c r="S1522" s="56" t="str">
        <f t="shared" si="69"/>
        <v/>
      </c>
      <c r="T1522" s="57" t="str">
        <f t="shared" si="70"/>
        <v/>
      </c>
      <c r="U1522" s="58" t="str">
        <f t="shared" si="71"/>
        <v/>
      </c>
    </row>
    <row r="1523" spans="19:21" ht="23.25" customHeight="1" x14ac:dyDescent="0.35">
      <c r="S1523" s="56" t="str">
        <f t="shared" si="69"/>
        <v/>
      </c>
      <c r="T1523" s="57" t="str">
        <f t="shared" si="70"/>
        <v/>
      </c>
      <c r="U1523" s="58" t="str">
        <f t="shared" si="71"/>
        <v/>
      </c>
    </row>
    <row r="1524" spans="19:21" ht="23.25" customHeight="1" x14ac:dyDescent="0.35">
      <c r="S1524" s="56" t="str">
        <f t="shared" si="69"/>
        <v/>
      </c>
      <c r="T1524" s="57" t="str">
        <f t="shared" si="70"/>
        <v/>
      </c>
      <c r="U1524" s="58" t="str">
        <f t="shared" si="71"/>
        <v/>
      </c>
    </row>
    <row r="1525" spans="19:21" ht="23.25" customHeight="1" x14ac:dyDescent="0.35">
      <c r="S1525" s="56" t="str">
        <f t="shared" si="69"/>
        <v/>
      </c>
      <c r="T1525" s="57" t="str">
        <f t="shared" si="70"/>
        <v/>
      </c>
      <c r="U1525" s="58" t="str">
        <f t="shared" si="71"/>
        <v/>
      </c>
    </row>
    <row r="1526" spans="19:21" ht="23.25" customHeight="1" x14ac:dyDescent="0.35">
      <c r="S1526" s="56" t="str">
        <f t="shared" si="69"/>
        <v/>
      </c>
      <c r="T1526" s="57" t="str">
        <f t="shared" si="70"/>
        <v/>
      </c>
      <c r="U1526" s="58" t="str">
        <f t="shared" si="71"/>
        <v/>
      </c>
    </row>
    <row r="1527" spans="19:21" ht="23.25" customHeight="1" x14ac:dyDescent="0.35">
      <c r="S1527" s="56" t="str">
        <f t="shared" si="69"/>
        <v/>
      </c>
      <c r="T1527" s="57" t="str">
        <f t="shared" si="70"/>
        <v/>
      </c>
      <c r="U1527" s="58" t="str">
        <f t="shared" si="71"/>
        <v/>
      </c>
    </row>
    <row r="1528" spans="19:21" ht="23.25" customHeight="1" x14ac:dyDescent="0.35">
      <c r="S1528" s="56" t="str">
        <f t="shared" si="69"/>
        <v/>
      </c>
      <c r="T1528" s="57" t="str">
        <f t="shared" si="70"/>
        <v/>
      </c>
      <c r="U1528" s="58" t="str">
        <f t="shared" si="71"/>
        <v/>
      </c>
    </row>
    <row r="1529" spans="19:21" ht="23.25" customHeight="1" x14ac:dyDescent="0.35">
      <c r="S1529" s="56" t="str">
        <f t="shared" si="69"/>
        <v/>
      </c>
      <c r="T1529" s="57" t="str">
        <f t="shared" si="70"/>
        <v/>
      </c>
      <c r="U1529" s="58" t="str">
        <f t="shared" si="71"/>
        <v/>
      </c>
    </row>
    <row r="1530" spans="19:21" ht="23.25" customHeight="1" x14ac:dyDescent="0.35">
      <c r="S1530" s="56" t="str">
        <f t="shared" si="69"/>
        <v/>
      </c>
      <c r="T1530" s="57" t="str">
        <f t="shared" si="70"/>
        <v/>
      </c>
      <c r="U1530" s="58" t="str">
        <f t="shared" si="71"/>
        <v/>
      </c>
    </row>
    <row r="1531" spans="19:21" ht="23.25" customHeight="1" x14ac:dyDescent="0.35">
      <c r="S1531" s="56" t="str">
        <f t="shared" si="69"/>
        <v/>
      </c>
      <c r="T1531" s="57" t="str">
        <f t="shared" si="70"/>
        <v/>
      </c>
      <c r="U1531" s="58" t="str">
        <f t="shared" si="71"/>
        <v/>
      </c>
    </row>
    <row r="1532" spans="19:21" ht="23.25" customHeight="1" x14ac:dyDescent="0.35">
      <c r="S1532" s="56" t="str">
        <f t="shared" si="69"/>
        <v/>
      </c>
      <c r="T1532" s="57" t="str">
        <f t="shared" si="70"/>
        <v/>
      </c>
      <c r="U1532" s="58" t="str">
        <f t="shared" si="71"/>
        <v/>
      </c>
    </row>
    <row r="1533" spans="19:21" ht="23.25" customHeight="1" x14ac:dyDescent="0.35">
      <c r="S1533" s="56" t="str">
        <f t="shared" si="69"/>
        <v/>
      </c>
      <c r="T1533" s="57" t="str">
        <f t="shared" si="70"/>
        <v/>
      </c>
      <c r="U1533" s="58" t="str">
        <f t="shared" si="71"/>
        <v/>
      </c>
    </row>
    <row r="1534" spans="19:21" ht="23.25" customHeight="1" x14ac:dyDescent="0.35">
      <c r="S1534" s="56" t="str">
        <f t="shared" si="69"/>
        <v/>
      </c>
      <c r="T1534" s="57" t="str">
        <f t="shared" si="70"/>
        <v/>
      </c>
      <c r="U1534" s="58" t="str">
        <f t="shared" si="71"/>
        <v/>
      </c>
    </row>
    <row r="1535" spans="19:21" ht="23.25" customHeight="1" x14ac:dyDescent="0.35">
      <c r="S1535" s="56" t="str">
        <f t="shared" si="69"/>
        <v/>
      </c>
      <c r="T1535" s="57" t="str">
        <f t="shared" si="70"/>
        <v/>
      </c>
      <c r="U1535" s="58" t="str">
        <f t="shared" si="71"/>
        <v/>
      </c>
    </row>
    <row r="1536" spans="19:21" ht="23.25" customHeight="1" x14ac:dyDescent="0.35">
      <c r="S1536" s="56" t="str">
        <f t="shared" si="69"/>
        <v/>
      </c>
      <c r="T1536" s="57" t="str">
        <f t="shared" si="70"/>
        <v/>
      </c>
      <c r="U1536" s="58" t="str">
        <f t="shared" si="71"/>
        <v/>
      </c>
    </row>
    <row r="1537" spans="19:21" ht="23.25" customHeight="1" x14ac:dyDescent="0.35">
      <c r="S1537" s="56" t="str">
        <f t="shared" si="69"/>
        <v/>
      </c>
      <c r="T1537" s="57" t="str">
        <f t="shared" si="70"/>
        <v/>
      </c>
      <c r="U1537" s="58" t="str">
        <f t="shared" si="71"/>
        <v/>
      </c>
    </row>
    <row r="1538" spans="19:21" ht="23.25" customHeight="1" x14ac:dyDescent="0.35">
      <c r="S1538" s="56" t="str">
        <f t="shared" si="69"/>
        <v/>
      </c>
      <c r="T1538" s="57" t="str">
        <f t="shared" si="70"/>
        <v/>
      </c>
      <c r="U1538" s="58" t="str">
        <f t="shared" si="71"/>
        <v/>
      </c>
    </row>
    <row r="1539" spans="19:21" ht="23.25" customHeight="1" x14ac:dyDescent="0.35">
      <c r="S1539" s="56" t="str">
        <f t="shared" si="69"/>
        <v/>
      </c>
      <c r="T1539" s="57" t="str">
        <f t="shared" si="70"/>
        <v/>
      </c>
      <c r="U1539" s="58" t="str">
        <f t="shared" si="71"/>
        <v/>
      </c>
    </row>
    <row r="1540" spans="19:21" ht="23.25" customHeight="1" x14ac:dyDescent="0.35">
      <c r="S1540" s="56" t="str">
        <f t="shared" si="69"/>
        <v/>
      </c>
      <c r="T1540" s="57" t="str">
        <f t="shared" si="70"/>
        <v/>
      </c>
      <c r="U1540" s="58" t="str">
        <f t="shared" si="71"/>
        <v/>
      </c>
    </row>
    <row r="1541" spans="19:21" ht="23.25" customHeight="1" x14ac:dyDescent="0.35">
      <c r="S1541" s="56" t="str">
        <f t="shared" si="69"/>
        <v/>
      </c>
      <c r="T1541" s="57" t="str">
        <f t="shared" si="70"/>
        <v/>
      </c>
      <c r="U1541" s="58" t="str">
        <f t="shared" si="71"/>
        <v/>
      </c>
    </row>
    <row r="1542" spans="19:21" ht="23.25" customHeight="1" x14ac:dyDescent="0.35">
      <c r="S1542" s="56" t="str">
        <f t="shared" si="69"/>
        <v/>
      </c>
      <c r="T1542" s="57" t="str">
        <f t="shared" si="70"/>
        <v/>
      </c>
      <c r="U1542" s="58" t="str">
        <f t="shared" si="71"/>
        <v/>
      </c>
    </row>
    <row r="1543" spans="19:21" ht="23.25" customHeight="1" x14ac:dyDescent="0.35">
      <c r="S1543" s="56" t="str">
        <f t="shared" si="69"/>
        <v/>
      </c>
      <c r="T1543" s="57" t="str">
        <f t="shared" si="70"/>
        <v/>
      </c>
      <c r="U1543" s="58" t="str">
        <f t="shared" si="71"/>
        <v/>
      </c>
    </row>
    <row r="1544" spans="19:21" ht="23.25" customHeight="1" x14ac:dyDescent="0.35">
      <c r="S1544" s="56" t="str">
        <f t="shared" si="69"/>
        <v/>
      </c>
      <c r="T1544" s="57" t="str">
        <f t="shared" si="70"/>
        <v/>
      </c>
      <c r="U1544" s="58" t="str">
        <f t="shared" si="71"/>
        <v/>
      </c>
    </row>
    <row r="1545" spans="19:21" ht="23.25" customHeight="1" x14ac:dyDescent="0.35">
      <c r="S1545" s="56" t="str">
        <f t="shared" ref="S1545:S1608" si="72">IF(A1545="","",A$5-A1545)</f>
        <v/>
      </c>
      <c r="T1545" s="57" t="str">
        <f t="shared" ref="T1545:T1608" si="73">IF(S1545="","",IF(S1545&lt;4,"0-3 Days",IF(S1545&lt;31,"4-30 Days",IF(S1545&lt;61,"31-60 Days",IF(S1545&lt;=90,"61-90 Days",IF(S1545&gt;90,"Above 90 Days","0"))))))</f>
        <v/>
      </c>
      <c r="U1545" s="58" t="str">
        <f t="shared" ref="U1545:U1608" si="74">IF(C1545="","",IF(C1545&gt;0,IF(S1545&lt;30,"Normal",IF(S1545&lt;60,"Especially Mentioned",IF(S1545&lt;90,"Substandard",IF(S1545&lt;=180,"Doubtful",IF(S1545&gt;180,"Loss","0"))))),"Not Applicable"))</f>
        <v/>
      </c>
    </row>
    <row r="1546" spans="19:21" ht="23.25" customHeight="1" x14ac:dyDescent="0.35">
      <c r="S1546" s="56" t="str">
        <f t="shared" si="72"/>
        <v/>
      </c>
      <c r="T1546" s="57" t="str">
        <f t="shared" si="73"/>
        <v/>
      </c>
      <c r="U1546" s="58" t="str">
        <f t="shared" si="74"/>
        <v/>
      </c>
    </row>
    <row r="1547" spans="19:21" ht="23.25" customHeight="1" x14ac:dyDescent="0.35">
      <c r="S1547" s="56" t="str">
        <f t="shared" si="72"/>
        <v/>
      </c>
      <c r="T1547" s="57" t="str">
        <f t="shared" si="73"/>
        <v/>
      </c>
      <c r="U1547" s="58" t="str">
        <f t="shared" si="74"/>
        <v/>
      </c>
    </row>
    <row r="1548" spans="19:21" ht="23.25" customHeight="1" x14ac:dyDescent="0.35">
      <c r="S1548" s="56" t="str">
        <f t="shared" si="72"/>
        <v/>
      </c>
      <c r="T1548" s="57" t="str">
        <f t="shared" si="73"/>
        <v/>
      </c>
      <c r="U1548" s="58" t="str">
        <f t="shared" si="74"/>
        <v/>
      </c>
    </row>
    <row r="1549" spans="19:21" ht="23.25" customHeight="1" x14ac:dyDescent="0.35">
      <c r="S1549" s="56" t="str">
        <f t="shared" si="72"/>
        <v/>
      </c>
      <c r="T1549" s="57" t="str">
        <f t="shared" si="73"/>
        <v/>
      </c>
      <c r="U1549" s="58" t="str">
        <f t="shared" si="74"/>
        <v/>
      </c>
    </row>
    <row r="1550" spans="19:21" ht="23.25" customHeight="1" x14ac:dyDescent="0.35">
      <c r="S1550" s="56" t="str">
        <f t="shared" si="72"/>
        <v/>
      </c>
      <c r="T1550" s="57" t="str">
        <f t="shared" si="73"/>
        <v/>
      </c>
      <c r="U1550" s="58" t="str">
        <f t="shared" si="74"/>
        <v/>
      </c>
    </row>
    <row r="1551" spans="19:21" ht="23.25" customHeight="1" x14ac:dyDescent="0.35">
      <c r="S1551" s="56" t="str">
        <f t="shared" si="72"/>
        <v/>
      </c>
      <c r="T1551" s="57" t="str">
        <f t="shared" si="73"/>
        <v/>
      </c>
      <c r="U1551" s="58" t="str">
        <f t="shared" si="74"/>
        <v/>
      </c>
    </row>
    <row r="1552" spans="19:21" ht="23.25" customHeight="1" x14ac:dyDescent="0.35">
      <c r="S1552" s="56" t="str">
        <f t="shared" si="72"/>
        <v/>
      </c>
      <c r="T1552" s="57" t="str">
        <f t="shared" si="73"/>
        <v/>
      </c>
      <c r="U1552" s="58" t="str">
        <f t="shared" si="74"/>
        <v/>
      </c>
    </row>
    <row r="1553" spans="19:21" ht="23.25" customHeight="1" x14ac:dyDescent="0.35">
      <c r="S1553" s="56" t="str">
        <f t="shared" si="72"/>
        <v/>
      </c>
      <c r="T1553" s="57" t="str">
        <f t="shared" si="73"/>
        <v/>
      </c>
      <c r="U1553" s="58" t="str">
        <f t="shared" si="74"/>
        <v/>
      </c>
    </row>
    <row r="1554" spans="19:21" ht="23.25" customHeight="1" x14ac:dyDescent="0.35">
      <c r="S1554" s="56" t="str">
        <f t="shared" si="72"/>
        <v/>
      </c>
      <c r="T1554" s="57" t="str">
        <f t="shared" si="73"/>
        <v/>
      </c>
      <c r="U1554" s="58" t="str">
        <f t="shared" si="74"/>
        <v/>
      </c>
    </row>
    <row r="1555" spans="19:21" ht="23.25" customHeight="1" x14ac:dyDescent="0.35">
      <c r="S1555" s="56" t="str">
        <f t="shared" si="72"/>
        <v/>
      </c>
      <c r="T1555" s="57" t="str">
        <f t="shared" si="73"/>
        <v/>
      </c>
      <c r="U1555" s="58" t="str">
        <f t="shared" si="74"/>
        <v/>
      </c>
    </row>
    <row r="1556" spans="19:21" ht="23.25" customHeight="1" x14ac:dyDescent="0.35">
      <c r="S1556" s="56" t="str">
        <f t="shared" si="72"/>
        <v/>
      </c>
      <c r="T1556" s="57" t="str">
        <f t="shared" si="73"/>
        <v/>
      </c>
      <c r="U1556" s="58" t="str">
        <f t="shared" si="74"/>
        <v/>
      </c>
    </row>
    <row r="1557" spans="19:21" ht="23.25" customHeight="1" x14ac:dyDescent="0.35">
      <c r="S1557" s="56" t="str">
        <f t="shared" si="72"/>
        <v/>
      </c>
      <c r="T1557" s="57" t="str">
        <f t="shared" si="73"/>
        <v/>
      </c>
      <c r="U1557" s="58" t="str">
        <f t="shared" si="74"/>
        <v/>
      </c>
    </row>
    <row r="1558" spans="19:21" ht="23.25" customHeight="1" x14ac:dyDescent="0.35">
      <c r="S1558" s="56" t="str">
        <f t="shared" si="72"/>
        <v/>
      </c>
      <c r="T1558" s="57" t="str">
        <f t="shared" si="73"/>
        <v/>
      </c>
      <c r="U1558" s="58" t="str">
        <f t="shared" si="74"/>
        <v/>
      </c>
    </row>
    <row r="1559" spans="19:21" ht="23.25" customHeight="1" x14ac:dyDescent="0.35">
      <c r="S1559" s="56" t="str">
        <f t="shared" si="72"/>
        <v/>
      </c>
      <c r="T1559" s="57" t="str">
        <f t="shared" si="73"/>
        <v/>
      </c>
      <c r="U1559" s="58" t="str">
        <f t="shared" si="74"/>
        <v/>
      </c>
    </row>
    <row r="1560" spans="19:21" ht="23.25" customHeight="1" x14ac:dyDescent="0.35">
      <c r="S1560" s="56" t="str">
        <f t="shared" si="72"/>
        <v/>
      </c>
      <c r="T1560" s="57" t="str">
        <f t="shared" si="73"/>
        <v/>
      </c>
      <c r="U1560" s="58" t="str">
        <f t="shared" si="74"/>
        <v/>
      </c>
    </row>
    <row r="1561" spans="19:21" ht="23.25" customHeight="1" x14ac:dyDescent="0.35">
      <c r="S1561" s="56" t="str">
        <f t="shared" si="72"/>
        <v/>
      </c>
      <c r="T1561" s="57" t="str">
        <f t="shared" si="73"/>
        <v/>
      </c>
      <c r="U1561" s="58" t="str">
        <f t="shared" si="74"/>
        <v/>
      </c>
    </row>
    <row r="1562" spans="19:21" ht="23.25" customHeight="1" x14ac:dyDescent="0.35">
      <c r="S1562" s="56" t="str">
        <f t="shared" si="72"/>
        <v/>
      </c>
      <c r="T1562" s="57" t="str">
        <f t="shared" si="73"/>
        <v/>
      </c>
      <c r="U1562" s="58" t="str">
        <f t="shared" si="74"/>
        <v/>
      </c>
    </row>
    <row r="1563" spans="19:21" ht="23.25" customHeight="1" x14ac:dyDescent="0.35">
      <c r="S1563" s="56" t="str">
        <f t="shared" si="72"/>
        <v/>
      </c>
      <c r="T1563" s="57" t="str">
        <f t="shared" si="73"/>
        <v/>
      </c>
      <c r="U1563" s="58" t="str">
        <f t="shared" si="74"/>
        <v/>
      </c>
    </row>
    <row r="1564" spans="19:21" ht="23.25" customHeight="1" x14ac:dyDescent="0.35">
      <c r="S1564" s="56" t="str">
        <f t="shared" si="72"/>
        <v/>
      </c>
      <c r="T1564" s="57" t="str">
        <f t="shared" si="73"/>
        <v/>
      </c>
      <c r="U1564" s="58" t="str">
        <f t="shared" si="74"/>
        <v/>
      </c>
    </row>
    <row r="1565" spans="19:21" ht="23.25" customHeight="1" x14ac:dyDescent="0.35">
      <c r="S1565" s="56" t="str">
        <f t="shared" si="72"/>
        <v/>
      </c>
      <c r="T1565" s="57" t="str">
        <f t="shared" si="73"/>
        <v/>
      </c>
      <c r="U1565" s="58" t="str">
        <f t="shared" si="74"/>
        <v/>
      </c>
    </row>
    <row r="1566" spans="19:21" ht="23.25" customHeight="1" x14ac:dyDescent="0.35">
      <c r="S1566" s="56" t="str">
        <f t="shared" si="72"/>
        <v/>
      </c>
      <c r="T1566" s="57" t="str">
        <f t="shared" si="73"/>
        <v/>
      </c>
      <c r="U1566" s="58" t="str">
        <f t="shared" si="74"/>
        <v/>
      </c>
    </row>
    <row r="1567" spans="19:21" ht="23.25" customHeight="1" x14ac:dyDescent="0.35">
      <c r="S1567" s="56" t="str">
        <f t="shared" si="72"/>
        <v/>
      </c>
      <c r="T1567" s="57" t="str">
        <f t="shared" si="73"/>
        <v/>
      </c>
      <c r="U1567" s="58" t="str">
        <f t="shared" si="74"/>
        <v/>
      </c>
    </row>
    <row r="1568" spans="19:21" ht="23.25" customHeight="1" x14ac:dyDescent="0.35">
      <c r="S1568" s="56" t="str">
        <f t="shared" si="72"/>
        <v/>
      </c>
      <c r="T1568" s="57" t="str">
        <f t="shared" si="73"/>
        <v/>
      </c>
      <c r="U1568" s="58" t="str">
        <f t="shared" si="74"/>
        <v/>
      </c>
    </row>
    <row r="1569" spans="19:21" ht="23.25" customHeight="1" x14ac:dyDescent="0.35">
      <c r="S1569" s="56" t="str">
        <f t="shared" si="72"/>
        <v/>
      </c>
      <c r="T1569" s="57" t="str">
        <f t="shared" si="73"/>
        <v/>
      </c>
      <c r="U1569" s="58" t="str">
        <f t="shared" si="74"/>
        <v/>
      </c>
    </row>
    <row r="1570" spans="19:21" ht="23.25" customHeight="1" x14ac:dyDescent="0.35">
      <c r="S1570" s="56" t="str">
        <f t="shared" si="72"/>
        <v/>
      </c>
      <c r="T1570" s="57" t="str">
        <f t="shared" si="73"/>
        <v/>
      </c>
      <c r="U1570" s="58" t="str">
        <f t="shared" si="74"/>
        <v/>
      </c>
    </row>
    <row r="1571" spans="19:21" ht="23.25" customHeight="1" x14ac:dyDescent="0.35">
      <c r="S1571" s="56" t="str">
        <f t="shared" si="72"/>
        <v/>
      </c>
      <c r="T1571" s="57" t="str">
        <f t="shared" si="73"/>
        <v/>
      </c>
      <c r="U1571" s="58" t="str">
        <f t="shared" si="74"/>
        <v/>
      </c>
    </row>
    <row r="1572" spans="19:21" ht="23.25" customHeight="1" x14ac:dyDescent="0.35">
      <c r="S1572" s="56" t="str">
        <f t="shared" si="72"/>
        <v/>
      </c>
      <c r="T1572" s="57" t="str">
        <f t="shared" si="73"/>
        <v/>
      </c>
      <c r="U1572" s="58" t="str">
        <f t="shared" si="74"/>
        <v/>
      </c>
    </row>
    <row r="1573" spans="19:21" ht="23.25" customHeight="1" x14ac:dyDescent="0.35">
      <c r="S1573" s="56" t="str">
        <f t="shared" si="72"/>
        <v/>
      </c>
      <c r="T1573" s="57" t="str">
        <f t="shared" si="73"/>
        <v/>
      </c>
      <c r="U1573" s="58" t="str">
        <f t="shared" si="74"/>
        <v/>
      </c>
    </row>
    <row r="1574" spans="19:21" ht="23.25" customHeight="1" x14ac:dyDescent="0.35">
      <c r="S1574" s="56" t="str">
        <f t="shared" si="72"/>
        <v/>
      </c>
      <c r="T1574" s="57" t="str">
        <f t="shared" si="73"/>
        <v/>
      </c>
      <c r="U1574" s="58" t="str">
        <f t="shared" si="74"/>
        <v/>
      </c>
    </row>
    <row r="1575" spans="19:21" ht="23.25" customHeight="1" x14ac:dyDescent="0.35">
      <c r="S1575" s="56" t="str">
        <f t="shared" si="72"/>
        <v/>
      </c>
      <c r="T1575" s="57" t="str">
        <f t="shared" si="73"/>
        <v/>
      </c>
      <c r="U1575" s="58" t="str">
        <f t="shared" si="74"/>
        <v/>
      </c>
    </row>
    <row r="1576" spans="19:21" ht="23.25" customHeight="1" x14ac:dyDescent="0.35">
      <c r="S1576" s="56" t="str">
        <f t="shared" si="72"/>
        <v/>
      </c>
      <c r="T1576" s="57" t="str">
        <f t="shared" si="73"/>
        <v/>
      </c>
      <c r="U1576" s="58" t="str">
        <f t="shared" si="74"/>
        <v/>
      </c>
    </row>
    <row r="1577" spans="19:21" ht="23.25" customHeight="1" x14ac:dyDescent="0.35">
      <c r="S1577" s="56" t="str">
        <f t="shared" si="72"/>
        <v/>
      </c>
      <c r="T1577" s="57" t="str">
        <f t="shared" si="73"/>
        <v/>
      </c>
      <c r="U1577" s="58" t="str">
        <f t="shared" si="74"/>
        <v/>
      </c>
    </row>
    <row r="1578" spans="19:21" ht="23.25" customHeight="1" x14ac:dyDescent="0.35">
      <c r="S1578" s="56" t="str">
        <f t="shared" si="72"/>
        <v/>
      </c>
      <c r="T1578" s="57" t="str">
        <f t="shared" si="73"/>
        <v/>
      </c>
      <c r="U1578" s="58" t="str">
        <f t="shared" si="74"/>
        <v/>
      </c>
    </row>
    <row r="1579" spans="19:21" ht="23.25" customHeight="1" x14ac:dyDescent="0.35">
      <c r="S1579" s="56" t="str">
        <f t="shared" si="72"/>
        <v/>
      </c>
      <c r="T1579" s="57" t="str">
        <f t="shared" si="73"/>
        <v/>
      </c>
      <c r="U1579" s="58" t="str">
        <f t="shared" si="74"/>
        <v/>
      </c>
    </row>
    <row r="1580" spans="19:21" ht="23.25" customHeight="1" x14ac:dyDescent="0.35">
      <c r="S1580" s="56" t="str">
        <f t="shared" si="72"/>
        <v/>
      </c>
      <c r="T1580" s="57" t="str">
        <f t="shared" si="73"/>
        <v/>
      </c>
      <c r="U1580" s="58" t="str">
        <f t="shared" si="74"/>
        <v/>
      </c>
    </row>
    <row r="1581" spans="19:21" ht="23.25" customHeight="1" x14ac:dyDescent="0.35">
      <c r="S1581" s="56" t="str">
        <f t="shared" si="72"/>
        <v/>
      </c>
      <c r="T1581" s="57" t="str">
        <f t="shared" si="73"/>
        <v/>
      </c>
      <c r="U1581" s="58" t="str">
        <f t="shared" si="74"/>
        <v/>
      </c>
    </row>
    <row r="1582" spans="19:21" ht="23.25" customHeight="1" x14ac:dyDescent="0.35">
      <c r="S1582" s="56" t="str">
        <f t="shared" si="72"/>
        <v/>
      </c>
      <c r="T1582" s="57" t="str">
        <f t="shared" si="73"/>
        <v/>
      </c>
      <c r="U1582" s="58" t="str">
        <f t="shared" si="74"/>
        <v/>
      </c>
    </row>
    <row r="1583" spans="19:21" ht="23.25" customHeight="1" x14ac:dyDescent="0.35">
      <c r="S1583" s="56" t="str">
        <f t="shared" si="72"/>
        <v/>
      </c>
      <c r="T1583" s="57" t="str">
        <f t="shared" si="73"/>
        <v/>
      </c>
      <c r="U1583" s="58" t="str">
        <f t="shared" si="74"/>
        <v/>
      </c>
    </row>
    <row r="1584" spans="19:21" ht="23.25" customHeight="1" x14ac:dyDescent="0.35">
      <c r="S1584" s="56" t="str">
        <f t="shared" si="72"/>
        <v/>
      </c>
      <c r="T1584" s="57" t="str">
        <f t="shared" si="73"/>
        <v/>
      </c>
      <c r="U1584" s="58" t="str">
        <f t="shared" si="74"/>
        <v/>
      </c>
    </row>
    <row r="1585" spans="19:21" ht="23.25" customHeight="1" x14ac:dyDescent="0.35">
      <c r="S1585" s="56" t="str">
        <f t="shared" si="72"/>
        <v/>
      </c>
      <c r="T1585" s="57" t="str">
        <f t="shared" si="73"/>
        <v/>
      </c>
      <c r="U1585" s="58" t="str">
        <f t="shared" si="74"/>
        <v/>
      </c>
    </row>
    <row r="1586" spans="19:21" ht="23.25" customHeight="1" x14ac:dyDescent="0.35">
      <c r="S1586" s="56" t="str">
        <f t="shared" si="72"/>
        <v/>
      </c>
      <c r="T1586" s="57" t="str">
        <f t="shared" si="73"/>
        <v/>
      </c>
      <c r="U1586" s="58" t="str">
        <f t="shared" si="74"/>
        <v/>
      </c>
    </row>
    <row r="1587" spans="19:21" ht="23.25" customHeight="1" x14ac:dyDescent="0.35">
      <c r="S1587" s="56" t="str">
        <f t="shared" si="72"/>
        <v/>
      </c>
      <c r="T1587" s="57" t="str">
        <f t="shared" si="73"/>
        <v/>
      </c>
      <c r="U1587" s="58" t="str">
        <f t="shared" si="74"/>
        <v/>
      </c>
    </row>
    <row r="1588" spans="19:21" ht="23.25" customHeight="1" x14ac:dyDescent="0.35">
      <c r="S1588" s="56" t="str">
        <f t="shared" si="72"/>
        <v/>
      </c>
      <c r="T1588" s="57" t="str">
        <f t="shared" si="73"/>
        <v/>
      </c>
      <c r="U1588" s="58" t="str">
        <f t="shared" si="74"/>
        <v/>
      </c>
    </row>
    <row r="1589" spans="19:21" ht="23.25" customHeight="1" x14ac:dyDescent="0.35">
      <c r="S1589" s="56" t="str">
        <f t="shared" si="72"/>
        <v/>
      </c>
      <c r="T1589" s="57" t="str">
        <f t="shared" si="73"/>
        <v/>
      </c>
      <c r="U1589" s="58" t="str">
        <f t="shared" si="74"/>
        <v/>
      </c>
    </row>
    <row r="1590" spans="19:21" ht="23.25" customHeight="1" x14ac:dyDescent="0.35">
      <c r="S1590" s="56" t="str">
        <f t="shared" si="72"/>
        <v/>
      </c>
      <c r="T1590" s="57" t="str">
        <f t="shared" si="73"/>
        <v/>
      </c>
      <c r="U1590" s="58" t="str">
        <f t="shared" si="74"/>
        <v/>
      </c>
    </row>
    <row r="1591" spans="19:21" ht="23.25" customHeight="1" x14ac:dyDescent="0.35">
      <c r="S1591" s="56" t="str">
        <f t="shared" si="72"/>
        <v/>
      </c>
      <c r="T1591" s="57" t="str">
        <f t="shared" si="73"/>
        <v/>
      </c>
      <c r="U1591" s="58" t="str">
        <f t="shared" si="74"/>
        <v/>
      </c>
    </row>
    <row r="1592" spans="19:21" ht="23.25" customHeight="1" x14ac:dyDescent="0.35">
      <c r="S1592" s="56" t="str">
        <f t="shared" si="72"/>
        <v/>
      </c>
      <c r="T1592" s="57" t="str">
        <f t="shared" si="73"/>
        <v/>
      </c>
      <c r="U1592" s="58" t="str">
        <f t="shared" si="74"/>
        <v/>
      </c>
    </row>
    <row r="1593" spans="19:21" ht="23.25" customHeight="1" x14ac:dyDescent="0.35">
      <c r="S1593" s="56" t="str">
        <f t="shared" si="72"/>
        <v/>
      </c>
      <c r="T1593" s="57" t="str">
        <f t="shared" si="73"/>
        <v/>
      </c>
      <c r="U1593" s="58" t="str">
        <f t="shared" si="74"/>
        <v/>
      </c>
    </row>
    <row r="1594" spans="19:21" ht="23.25" customHeight="1" x14ac:dyDescent="0.35">
      <c r="S1594" s="56" t="str">
        <f t="shared" si="72"/>
        <v/>
      </c>
      <c r="T1594" s="57" t="str">
        <f t="shared" si="73"/>
        <v/>
      </c>
      <c r="U1594" s="58" t="str">
        <f t="shared" si="74"/>
        <v/>
      </c>
    </row>
    <row r="1595" spans="19:21" ht="23.25" customHeight="1" x14ac:dyDescent="0.35">
      <c r="S1595" s="56" t="str">
        <f t="shared" si="72"/>
        <v/>
      </c>
      <c r="T1595" s="57" t="str">
        <f t="shared" si="73"/>
        <v/>
      </c>
      <c r="U1595" s="58" t="str">
        <f t="shared" si="74"/>
        <v/>
      </c>
    </row>
    <row r="1596" spans="19:21" ht="23.25" customHeight="1" x14ac:dyDescent="0.35">
      <c r="S1596" s="56" t="str">
        <f t="shared" si="72"/>
        <v/>
      </c>
      <c r="T1596" s="57" t="str">
        <f t="shared" si="73"/>
        <v/>
      </c>
      <c r="U1596" s="58" t="str">
        <f t="shared" si="74"/>
        <v/>
      </c>
    </row>
    <row r="1597" spans="19:21" ht="23.25" customHeight="1" x14ac:dyDescent="0.35">
      <c r="S1597" s="56" t="str">
        <f t="shared" si="72"/>
        <v/>
      </c>
      <c r="T1597" s="57" t="str">
        <f t="shared" si="73"/>
        <v/>
      </c>
      <c r="U1597" s="58" t="str">
        <f t="shared" si="74"/>
        <v/>
      </c>
    </row>
    <row r="1598" spans="19:21" ht="23.25" customHeight="1" x14ac:dyDescent="0.35">
      <c r="S1598" s="56" t="str">
        <f t="shared" si="72"/>
        <v/>
      </c>
      <c r="T1598" s="57" t="str">
        <f t="shared" si="73"/>
        <v/>
      </c>
      <c r="U1598" s="58" t="str">
        <f t="shared" si="74"/>
        <v/>
      </c>
    </row>
    <row r="1599" spans="19:21" ht="23.25" customHeight="1" x14ac:dyDescent="0.35">
      <c r="S1599" s="56" t="str">
        <f t="shared" si="72"/>
        <v/>
      </c>
      <c r="T1599" s="57" t="str">
        <f t="shared" si="73"/>
        <v/>
      </c>
      <c r="U1599" s="58" t="str">
        <f t="shared" si="74"/>
        <v/>
      </c>
    </row>
    <row r="1600" spans="19:21" ht="23.25" customHeight="1" x14ac:dyDescent="0.35">
      <c r="S1600" s="56" t="str">
        <f t="shared" si="72"/>
        <v/>
      </c>
      <c r="T1600" s="57" t="str">
        <f t="shared" si="73"/>
        <v/>
      </c>
      <c r="U1600" s="58" t="str">
        <f t="shared" si="74"/>
        <v/>
      </c>
    </row>
    <row r="1601" spans="19:21" ht="23.25" customHeight="1" x14ac:dyDescent="0.35">
      <c r="S1601" s="56" t="str">
        <f t="shared" si="72"/>
        <v/>
      </c>
      <c r="T1601" s="57" t="str">
        <f t="shared" si="73"/>
        <v/>
      </c>
      <c r="U1601" s="58" t="str">
        <f t="shared" si="74"/>
        <v/>
      </c>
    </row>
    <row r="1602" spans="19:21" ht="23.25" customHeight="1" x14ac:dyDescent="0.35">
      <c r="S1602" s="56" t="str">
        <f t="shared" si="72"/>
        <v/>
      </c>
      <c r="T1602" s="57" t="str">
        <f t="shared" si="73"/>
        <v/>
      </c>
      <c r="U1602" s="58" t="str">
        <f t="shared" si="74"/>
        <v/>
      </c>
    </row>
    <row r="1603" spans="19:21" ht="23.25" customHeight="1" x14ac:dyDescent="0.35">
      <c r="S1603" s="56" t="str">
        <f t="shared" si="72"/>
        <v/>
      </c>
      <c r="T1603" s="57" t="str">
        <f t="shared" si="73"/>
        <v/>
      </c>
      <c r="U1603" s="58" t="str">
        <f t="shared" si="74"/>
        <v/>
      </c>
    </row>
    <row r="1604" spans="19:21" ht="23.25" customHeight="1" x14ac:dyDescent="0.35">
      <c r="S1604" s="56" t="str">
        <f t="shared" si="72"/>
        <v/>
      </c>
      <c r="T1604" s="57" t="str">
        <f t="shared" si="73"/>
        <v/>
      </c>
      <c r="U1604" s="58" t="str">
        <f t="shared" si="74"/>
        <v/>
      </c>
    </row>
    <row r="1605" spans="19:21" ht="23.25" customHeight="1" x14ac:dyDescent="0.35">
      <c r="S1605" s="56" t="str">
        <f t="shared" si="72"/>
        <v/>
      </c>
      <c r="T1605" s="57" t="str">
        <f t="shared" si="73"/>
        <v/>
      </c>
      <c r="U1605" s="58" t="str">
        <f t="shared" si="74"/>
        <v/>
      </c>
    </row>
    <row r="1606" spans="19:21" ht="23.25" customHeight="1" x14ac:dyDescent="0.35">
      <c r="S1606" s="56" t="str">
        <f t="shared" si="72"/>
        <v/>
      </c>
      <c r="T1606" s="57" t="str">
        <f t="shared" si="73"/>
        <v/>
      </c>
      <c r="U1606" s="58" t="str">
        <f t="shared" si="74"/>
        <v/>
      </c>
    </row>
    <row r="1607" spans="19:21" ht="23.25" customHeight="1" x14ac:dyDescent="0.35">
      <c r="S1607" s="56" t="str">
        <f t="shared" si="72"/>
        <v/>
      </c>
      <c r="T1607" s="57" t="str">
        <f t="shared" si="73"/>
        <v/>
      </c>
      <c r="U1607" s="58" t="str">
        <f t="shared" si="74"/>
        <v/>
      </c>
    </row>
    <row r="1608" spans="19:21" ht="23.25" customHeight="1" x14ac:dyDescent="0.35">
      <c r="S1608" s="56" t="str">
        <f t="shared" si="72"/>
        <v/>
      </c>
      <c r="T1608" s="57" t="str">
        <f t="shared" si="73"/>
        <v/>
      </c>
      <c r="U1608" s="58" t="str">
        <f t="shared" si="74"/>
        <v/>
      </c>
    </row>
    <row r="1609" spans="19:21" ht="23.25" customHeight="1" x14ac:dyDescent="0.35">
      <c r="S1609" s="56" t="str">
        <f t="shared" ref="S1609:S1672" si="75">IF(A1609="","",A$5-A1609)</f>
        <v/>
      </c>
      <c r="T1609" s="57" t="str">
        <f t="shared" ref="T1609:T1672" si="76">IF(S1609="","",IF(S1609&lt;4,"0-3 Days",IF(S1609&lt;31,"4-30 Days",IF(S1609&lt;61,"31-60 Days",IF(S1609&lt;=90,"61-90 Days",IF(S1609&gt;90,"Above 90 Days","0"))))))</f>
        <v/>
      </c>
      <c r="U1609" s="58" t="str">
        <f t="shared" ref="U1609:U1672" si="77">IF(C1609="","",IF(C1609&gt;0,IF(S1609&lt;30,"Normal",IF(S1609&lt;60,"Especially Mentioned",IF(S1609&lt;90,"Substandard",IF(S1609&lt;=180,"Doubtful",IF(S1609&gt;180,"Loss","0"))))),"Not Applicable"))</f>
        <v/>
      </c>
    </row>
    <row r="1610" spans="19:21" ht="23.25" customHeight="1" x14ac:dyDescent="0.35">
      <c r="S1610" s="56" t="str">
        <f t="shared" si="75"/>
        <v/>
      </c>
      <c r="T1610" s="57" t="str">
        <f t="shared" si="76"/>
        <v/>
      </c>
      <c r="U1610" s="58" t="str">
        <f t="shared" si="77"/>
        <v/>
      </c>
    </row>
    <row r="1611" spans="19:21" ht="23.25" customHeight="1" x14ac:dyDescent="0.35">
      <c r="S1611" s="56" t="str">
        <f t="shared" si="75"/>
        <v/>
      </c>
      <c r="T1611" s="57" t="str">
        <f t="shared" si="76"/>
        <v/>
      </c>
      <c r="U1611" s="58" t="str">
        <f t="shared" si="77"/>
        <v/>
      </c>
    </row>
    <row r="1612" spans="19:21" ht="23.25" customHeight="1" x14ac:dyDescent="0.35">
      <c r="S1612" s="56" t="str">
        <f t="shared" si="75"/>
        <v/>
      </c>
      <c r="T1612" s="57" t="str">
        <f t="shared" si="76"/>
        <v/>
      </c>
      <c r="U1612" s="58" t="str">
        <f t="shared" si="77"/>
        <v/>
      </c>
    </row>
    <row r="1613" spans="19:21" ht="23.25" customHeight="1" x14ac:dyDescent="0.35">
      <c r="S1613" s="56" t="str">
        <f t="shared" si="75"/>
        <v/>
      </c>
      <c r="T1613" s="57" t="str">
        <f t="shared" si="76"/>
        <v/>
      </c>
      <c r="U1613" s="58" t="str">
        <f t="shared" si="77"/>
        <v/>
      </c>
    </row>
    <row r="1614" spans="19:21" ht="23.25" customHeight="1" x14ac:dyDescent="0.35">
      <c r="S1614" s="56" t="str">
        <f t="shared" si="75"/>
        <v/>
      </c>
      <c r="T1614" s="57" t="str">
        <f t="shared" si="76"/>
        <v/>
      </c>
      <c r="U1614" s="58" t="str">
        <f t="shared" si="77"/>
        <v/>
      </c>
    </row>
    <row r="1615" spans="19:21" ht="23.25" customHeight="1" x14ac:dyDescent="0.35">
      <c r="S1615" s="56" t="str">
        <f t="shared" si="75"/>
        <v/>
      </c>
      <c r="T1615" s="57" t="str">
        <f t="shared" si="76"/>
        <v/>
      </c>
      <c r="U1615" s="58" t="str">
        <f t="shared" si="77"/>
        <v/>
      </c>
    </row>
    <row r="1616" spans="19:21" ht="23.25" customHeight="1" x14ac:dyDescent="0.35">
      <c r="S1616" s="56" t="str">
        <f t="shared" si="75"/>
        <v/>
      </c>
      <c r="T1616" s="57" t="str">
        <f t="shared" si="76"/>
        <v/>
      </c>
      <c r="U1616" s="58" t="str">
        <f t="shared" si="77"/>
        <v/>
      </c>
    </row>
    <row r="1617" spans="19:21" ht="23.25" customHeight="1" x14ac:dyDescent="0.35">
      <c r="S1617" s="56" t="str">
        <f t="shared" si="75"/>
        <v/>
      </c>
      <c r="T1617" s="57" t="str">
        <f t="shared" si="76"/>
        <v/>
      </c>
      <c r="U1617" s="58" t="str">
        <f t="shared" si="77"/>
        <v/>
      </c>
    </row>
    <row r="1618" spans="19:21" ht="23.25" customHeight="1" x14ac:dyDescent="0.35">
      <c r="S1618" s="56" t="str">
        <f t="shared" si="75"/>
        <v/>
      </c>
      <c r="T1618" s="57" t="str">
        <f t="shared" si="76"/>
        <v/>
      </c>
      <c r="U1618" s="58" t="str">
        <f t="shared" si="77"/>
        <v/>
      </c>
    </row>
    <row r="1619" spans="19:21" ht="23.25" customHeight="1" x14ac:dyDescent="0.35">
      <c r="S1619" s="56" t="str">
        <f t="shared" si="75"/>
        <v/>
      </c>
      <c r="T1619" s="57" t="str">
        <f t="shared" si="76"/>
        <v/>
      </c>
      <c r="U1619" s="58" t="str">
        <f t="shared" si="77"/>
        <v/>
      </c>
    </row>
    <row r="1620" spans="19:21" ht="23.25" customHeight="1" x14ac:dyDescent="0.35">
      <c r="S1620" s="56" t="str">
        <f t="shared" si="75"/>
        <v/>
      </c>
      <c r="T1620" s="57" t="str">
        <f t="shared" si="76"/>
        <v/>
      </c>
      <c r="U1620" s="58" t="str">
        <f t="shared" si="77"/>
        <v/>
      </c>
    </row>
    <row r="1621" spans="19:21" ht="23.25" customHeight="1" x14ac:dyDescent="0.35">
      <c r="S1621" s="56" t="str">
        <f t="shared" si="75"/>
        <v/>
      </c>
      <c r="T1621" s="57" t="str">
        <f t="shared" si="76"/>
        <v/>
      </c>
      <c r="U1621" s="58" t="str">
        <f t="shared" si="77"/>
        <v/>
      </c>
    </row>
    <row r="1622" spans="19:21" ht="23.25" customHeight="1" x14ac:dyDescent="0.35">
      <c r="S1622" s="56" t="str">
        <f t="shared" si="75"/>
        <v/>
      </c>
      <c r="T1622" s="57" t="str">
        <f t="shared" si="76"/>
        <v/>
      </c>
      <c r="U1622" s="58" t="str">
        <f t="shared" si="77"/>
        <v/>
      </c>
    </row>
    <row r="1623" spans="19:21" ht="23.25" customHeight="1" x14ac:dyDescent="0.35">
      <c r="S1623" s="56" t="str">
        <f t="shared" si="75"/>
        <v/>
      </c>
      <c r="T1623" s="57" t="str">
        <f t="shared" si="76"/>
        <v/>
      </c>
      <c r="U1623" s="58" t="str">
        <f t="shared" si="77"/>
        <v/>
      </c>
    </row>
    <row r="1624" spans="19:21" ht="23.25" customHeight="1" x14ac:dyDescent="0.35">
      <c r="S1624" s="56" t="str">
        <f t="shared" si="75"/>
        <v/>
      </c>
      <c r="T1624" s="57" t="str">
        <f t="shared" si="76"/>
        <v/>
      </c>
      <c r="U1624" s="58" t="str">
        <f t="shared" si="77"/>
        <v/>
      </c>
    </row>
    <row r="1625" spans="19:21" ht="23.25" customHeight="1" x14ac:dyDescent="0.35">
      <c r="S1625" s="56" t="str">
        <f t="shared" si="75"/>
        <v/>
      </c>
      <c r="T1625" s="57" t="str">
        <f t="shared" si="76"/>
        <v/>
      </c>
      <c r="U1625" s="58" t="str">
        <f t="shared" si="77"/>
        <v/>
      </c>
    </row>
    <row r="1626" spans="19:21" ht="23.25" customHeight="1" x14ac:dyDescent="0.35">
      <c r="S1626" s="56" t="str">
        <f t="shared" si="75"/>
        <v/>
      </c>
      <c r="T1626" s="57" t="str">
        <f t="shared" si="76"/>
        <v/>
      </c>
      <c r="U1626" s="58" t="str">
        <f t="shared" si="77"/>
        <v/>
      </c>
    </row>
    <row r="1627" spans="19:21" ht="23.25" customHeight="1" x14ac:dyDescent="0.35">
      <c r="S1627" s="56" t="str">
        <f t="shared" si="75"/>
        <v/>
      </c>
      <c r="T1627" s="57" t="str">
        <f t="shared" si="76"/>
        <v/>
      </c>
      <c r="U1627" s="58" t="str">
        <f t="shared" si="77"/>
        <v/>
      </c>
    </row>
    <row r="1628" spans="19:21" ht="23.25" customHeight="1" x14ac:dyDescent="0.35">
      <c r="S1628" s="56" t="str">
        <f t="shared" si="75"/>
        <v/>
      </c>
      <c r="T1628" s="57" t="str">
        <f t="shared" si="76"/>
        <v/>
      </c>
      <c r="U1628" s="58" t="str">
        <f t="shared" si="77"/>
        <v/>
      </c>
    </row>
    <row r="1629" spans="19:21" ht="23.25" customHeight="1" x14ac:dyDescent="0.35">
      <c r="S1629" s="56" t="str">
        <f t="shared" si="75"/>
        <v/>
      </c>
      <c r="T1629" s="57" t="str">
        <f t="shared" si="76"/>
        <v/>
      </c>
      <c r="U1629" s="58" t="str">
        <f t="shared" si="77"/>
        <v/>
      </c>
    </row>
    <row r="1630" spans="19:21" ht="23.25" customHeight="1" x14ac:dyDescent="0.35">
      <c r="S1630" s="56" t="str">
        <f t="shared" si="75"/>
        <v/>
      </c>
      <c r="T1630" s="57" t="str">
        <f t="shared" si="76"/>
        <v/>
      </c>
      <c r="U1630" s="58" t="str">
        <f t="shared" si="77"/>
        <v/>
      </c>
    </row>
    <row r="1631" spans="19:21" ht="23.25" customHeight="1" x14ac:dyDescent="0.35">
      <c r="S1631" s="56" t="str">
        <f t="shared" si="75"/>
        <v/>
      </c>
      <c r="T1631" s="57" t="str">
        <f t="shared" si="76"/>
        <v/>
      </c>
      <c r="U1631" s="58" t="str">
        <f t="shared" si="77"/>
        <v/>
      </c>
    </row>
    <row r="1632" spans="19:21" ht="23.25" customHeight="1" x14ac:dyDescent="0.35">
      <c r="S1632" s="56" t="str">
        <f t="shared" si="75"/>
        <v/>
      </c>
      <c r="T1632" s="57" t="str">
        <f t="shared" si="76"/>
        <v/>
      </c>
      <c r="U1632" s="58" t="str">
        <f t="shared" si="77"/>
        <v/>
      </c>
    </row>
    <row r="1633" spans="19:21" ht="23.25" customHeight="1" x14ac:dyDescent="0.35">
      <c r="S1633" s="56" t="str">
        <f t="shared" si="75"/>
        <v/>
      </c>
      <c r="T1633" s="57" t="str">
        <f t="shared" si="76"/>
        <v/>
      </c>
      <c r="U1633" s="58" t="str">
        <f t="shared" si="77"/>
        <v/>
      </c>
    </row>
    <row r="1634" spans="19:21" ht="23.25" customHeight="1" x14ac:dyDescent="0.35">
      <c r="S1634" s="56" t="str">
        <f t="shared" si="75"/>
        <v/>
      </c>
      <c r="T1634" s="57" t="str">
        <f t="shared" si="76"/>
        <v/>
      </c>
      <c r="U1634" s="58" t="str">
        <f t="shared" si="77"/>
        <v/>
      </c>
    </row>
    <row r="1635" spans="19:21" ht="23.25" customHeight="1" x14ac:dyDescent="0.35">
      <c r="S1635" s="56" t="str">
        <f t="shared" si="75"/>
        <v/>
      </c>
      <c r="T1635" s="57" t="str">
        <f t="shared" si="76"/>
        <v/>
      </c>
      <c r="U1635" s="58" t="str">
        <f t="shared" si="77"/>
        <v/>
      </c>
    </row>
    <row r="1636" spans="19:21" ht="23.25" customHeight="1" x14ac:dyDescent="0.35">
      <c r="S1636" s="56" t="str">
        <f t="shared" si="75"/>
        <v/>
      </c>
      <c r="T1636" s="57" t="str">
        <f t="shared" si="76"/>
        <v/>
      </c>
      <c r="U1636" s="58" t="str">
        <f t="shared" si="77"/>
        <v/>
      </c>
    </row>
    <row r="1637" spans="19:21" ht="23.25" customHeight="1" x14ac:dyDescent="0.35">
      <c r="S1637" s="56" t="str">
        <f t="shared" si="75"/>
        <v/>
      </c>
      <c r="T1637" s="57" t="str">
        <f t="shared" si="76"/>
        <v/>
      </c>
      <c r="U1637" s="58" t="str">
        <f t="shared" si="77"/>
        <v/>
      </c>
    </row>
    <row r="1638" spans="19:21" ht="23.25" customHeight="1" x14ac:dyDescent="0.35">
      <c r="S1638" s="56" t="str">
        <f t="shared" si="75"/>
        <v/>
      </c>
      <c r="T1638" s="57" t="str">
        <f t="shared" si="76"/>
        <v/>
      </c>
      <c r="U1638" s="58" t="str">
        <f t="shared" si="77"/>
        <v/>
      </c>
    </row>
    <row r="1639" spans="19:21" ht="23.25" customHeight="1" x14ac:dyDescent="0.35">
      <c r="S1639" s="56" t="str">
        <f t="shared" si="75"/>
        <v/>
      </c>
      <c r="T1639" s="57" t="str">
        <f t="shared" si="76"/>
        <v/>
      </c>
      <c r="U1639" s="58" t="str">
        <f t="shared" si="77"/>
        <v/>
      </c>
    </row>
    <row r="1640" spans="19:21" ht="23.25" customHeight="1" x14ac:dyDescent="0.35">
      <c r="S1640" s="56" t="str">
        <f t="shared" si="75"/>
        <v/>
      </c>
      <c r="T1640" s="57" t="str">
        <f t="shared" si="76"/>
        <v/>
      </c>
      <c r="U1640" s="58" t="str">
        <f t="shared" si="77"/>
        <v/>
      </c>
    </row>
    <row r="1641" spans="19:21" ht="23.25" customHeight="1" x14ac:dyDescent="0.35">
      <c r="S1641" s="56" t="str">
        <f t="shared" si="75"/>
        <v/>
      </c>
      <c r="T1641" s="57" t="str">
        <f t="shared" si="76"/>
        <v/>
      </c>
      <c r="U1641" s="58" t="str">
        <f t="shared" si="77"/>
        <v/>
      </c>
    </row>
    <row r="1642" spans="19:21" ht="23.25" customHeight="1" x14ac:dyDescent="0.35">
      <c r="S1642" s="56" t="str">
        <f t="shared" si="75"/>
        <v/>
      </c>
      <c r="T1642" s="57" t="str">
        <f t="shared" si="76"/>
        <v/>
      </c>
      <c r="U1642" s="58" t="str">
        <f t="shared" si="77"/>
        <v/>
      </c>
    </row>
    <row r="1643" spans="19:21" ht="23.25" customHeight="1" x14ac:dyDescent="0.35">
      <c r="S1643" s="56" t="str">
        <f t="shared" si="75"/>
        <v/>
      </c>
      <c r="T1643" s="57" t="str">
        <f t="shared" si="76"/>
        <v/>
      </c>
      <c r="U1643" s="58" t="str">
        <f t="shared" si="77"/>
        <v/>
      </c>
    </row>
    <row r="1644" spans="19:21" ht="23.25" customHeight="1" x14ac:dyDescent="0.35">
      <c r="S1644" s="56" t="str">
        <f t="shared" si="75"/>
        <v/>
      </c>
      <c r="T1644" s="57" t="str">
        <f t="shared" si="76"/>
        <v/>
      </c>
      <c r="U1644" s="58" t="str">
        <f t="shared" si="77"/>
        <v/>
      </c>
    </row>
    <row r="1645" spans="19:21" ht="23.25" customHeight="1" x14ac:dyDescent="0.35">
      <c r="S1645" s="56" t="str">
        <f t="shared" si="75"/>
        <v/>
      </c>
      <c r="T1645" s="57" t="str">
        <f t="shared" si="76"/>
        <v/>
      </c>
      <c r="U1645" s="58" t="str">
        <f t="shared" si="77"/>
        <v/>
      </c>
    </row>
    <row r="1646" spans="19:21" ht="23.25" customHeight="1" x14ac:dyDescent="0.35">
      <c r="S1646" s="56" t="str">
        <f t="shared" si="75"/>
        <v/>
      </c>
      <c r="T1646" s="57" t="str">
        <f t="shared" si="76"/>
        <v/>
      </c>
      <c r="U1646" s="58" t="str">
        <f t="shared" si="77"/>
        <v/>
      </c>
    </row>
    <row r="1647" spans="19:21" ht="23.25" customHeight="1" x14ac:dyDescent="0.35">
      <c r="S1647" s="56" t="str">
        <f t="shared" si="75"/>
        <v/>
      </c>
      <c r="T1647" s="57" t="str">
        <f t="shared" si="76"/>
        <v/>
      </c>
      <c r="U1647" s="58" t="str">
        <f t="shared" si="77"/>
        <v/>
      </c>
    </row>
    <row r="1648" spans="19:21" ht="23.25" customHeight="1" x14ac:dyDescent="0.35">
      <c r="S1648" s="56" t="str">
        <f t="shared" si="75"/>
        <v/>
      </c>
      <c r="T1648" s="57" t="str">
        <f t="shared" si="76"/>
        <v/>
      </c>
      <c r="U1648" s="58" t="str">
        <f t="shared" si="77"/>
        <v/>
      </c>
    </row>
    <row r="1649" spans="19:21" ht="23.25" customHeight="1" x14ac:dyDescent="0.35">
      <c r="S1649" s="56" t="str">
        <f t="shared" si="75"/>
        <v/>
      </c>
      <c r="T1649" s="57" t="str">
        <f t="shared" si="76"/>
        <v/>
      </c>
      <c r="U1649" s="58" t="str">
        <f t="shared" si="77"/>
        <v/>
      </c>
    </row>
    <row r="1650" spans="19:21" ht="23.25" customHeight="1" x14ac:dyDescent="0.35">
      <c r="S1650" s="56" t="str">
        <f t="shared" si="75"/>
        <v/>
      </c>
      <c r="T1650" s="57" t="str">
        <f t="shared" si="76"/>
        <v/>
      </c>
      <c r="U1650" s="58" t="str">
        <f t="shared" si="77"/>
        <v/>
      </c>
    </row>
    <row r="1651" spans="19:21" ht="23.25" customHeight="1" x14ac:dyDescent="0.35">
      <c r="S1651" s="56" t="str">
        <f t="shared" si="75"/>
        <v/>
      </c>
      <c r="T1651" s="57" t="str">
        <f t="shared" si="76"/>
        <v/>
      </c>
      <c r="U1651" s="58" t="str">
        <f t="shared" si="77"/>
        <v/>
      </c>
    </row>
    <row r="1652" spans="19:21" ht="23.25" customHeight="1" x14ac:dyDescent="0.35">
      <c r="S1652" s="56" t="str">
        <f t="shared" si="75"/>
        <v/>
      </c>
      <c r="T1652" s="57" t="str">
        <f t="shared" si="76"/>
        <v/>
      </c>
      <c r="U1652" s="58" t="str">
        <f t="shared" si="77"/>
        <v/>
      </c>
    </row>
    <row r="1653" spans="19:21" ht="23.25" customHeight="1" x14ac:dyDescent="0.35">
      <c r="S1653" s="56" t="str">
        <f t="shared" si="75"/>
        <v/>
      </c>
      <c r="T1653" s="57" t="str">
        <f t="shared" si="76"/>
        <v/>
      </c>
      <c r="U1653" s="58" t="str">
        <f t="shared" si="77"/>
        <v/>
      </c>
    </row>
    <row r="1654" spans="19:21" ht="23.25" customHeight="1" x14ac:dyDescent="0.35">
      <c r="S1654" s="56" t="str">
        <f t="shared" si="75"/>
        <v/>
      </c>
      <c r="T1654" s="57" t="str">
        <f t="shared" si="76"/>
        <v/>
      </c>
      <c r="U1654" s="58" t="str">
        <f t="shared" si="77"/>
        <v/>
      </c>
    </row>
    <row r="1655" spans="19:21" ht="23.25" customHeight="1" x14ac:dyDescent="0.35">
      <c r="S1655" s="56" t="str">
        <f t="shared" si="75"/>
        <v/>
      </c>
      <c r="T1655" s="57" t="str">
        <f t="shared" si="76"/>
        <v/>
      </c>
      <c r="U1655" s="58" t="str">
        <f t="shared" si="77"/>
        <v/>
      </c>
    </row>
    <row r="1656" spans="19:21" ht="23.25" customHeight="1" x14ac:dyDescent="0.35">
      <c r="S1656" s="56" t="str">
        <f t="shared" si="75"/>
        <v/>
      </c>
      <c r="T1656" s="57" t="str">
        <f t="shared" si="76"/>
        <v/>
      </c>
      <c r="U1656" s="58" t="str">
        <f t="shared" si="77"/>
        <v/>
      </c>
    </row>
    <row r="1657" spans="19:21" ht="23.25" customHeight="1" x14ac:dyDescent="0.35">
      <c r="S1657" s="56" t="str">
        <f t="shared" si="75"/>
        <v/>
      </c>
      <c r="T1657" s="57" t="str">
        <f t="shared" si="76"/>
        <v/>
      </c>
      <c r="U1657" s="58" t="str">
        <f t="shared" si="77"/>
        <v/>
      </c>
    </row>
    <row r="1658" spans="19:21" ht="23.25" customHeight="1" x14ac:dyDescent="0.35">
      <c r="S1658" s="56" t="str">
        <f t="shared" si="75"/>
        <v/>
      </c>
      <c r="T1658" s="57" t="str">
        <f t="shared" si="76"/>
        <v/>
      </c>
      <c r="U1658" s="58" t="str">
        <f t="shared" si="77"/>
        <v/>
      </c>
    </row>
    <row r="1659" spans="19:21" ht="23.25" customHeight="1" x14ac:dyDescent="0.35">
      <c r="S1659" s="56" t="str">
        <f t="shared" si="75"/>
        <v/>
      </c>
      <c r="T1659" s="57" t="str">
        <f t="shared" si="76"/>
        <v/>
      </c>
      <c r="U1659" s="58" t="str">
        <f t="shared" si="77"/>
        <v/>
      </c>
    </row>
    <row r="1660" spans="19:21" ht="23.25" customHeight="1" x14ac:dyDescent="0.35">
      <c r="S1660" s="56" t="str">
        <f t="shared" si="75"/>
        <v/>
      </c>
      <c r="T1660" s="57" t="str">
        <f t="shared" si="76"/>
        <v/>
      </c>
      <c r="U1660" s="58" t="str">
        <f t="shared" si="77"/>
        <v/>
      </c>
    </row>
    <row r="1661" spans="19:21" ht="23.25" customHeight="1" x14ac:dyDescent="0.35">
      <c r="S1661" s="56" t="str">
        <f t="shared" si="75"/>
        <v/>
      </c>
      <c r="T1661" s="57" t="str">
        <f t="shared" si="76"/>
        <v/>
      </c>
      <c r="U1661" s="58" t="str">
        <f t="shared" si="77"/>
        <v/>
      </c>
    </row>
    <row r="1662" spans="19:21" ht="23.25" customHeight="1" x14ac:dyDescent="0.35">
      <c r="S1662" s="56" t="str">
        <f t="shared" si="75"/>
        <v/>
      </c>
      <c r="T1662" s="57" t="str">
        <f t="shared" si="76"/>
        <v/>
      </c>
      <c r="U1662" s="58" t="str">
        <f t="shared" si="77"/>
        <v/>
      </c>
    </row>
    <row r="1663" spans="19:21" ht="23.25" customHeight="1" x14ac:dyDescent="0.35">
      <c r="S1663" s="56" t="str">
        <f t="shared" si="75"/>
        <v/>
      </c>
      <c r="T1663" s="57" t="str">
        <f t="shared" si="76"/>
        <v/>
      </c>
      <c r="U1663" s="58" t="str">
        <f t="shared" si="77"/>
        <v/>
      </c>
    </row>
    <row r="1664" spans="19:21" ht="23.25" customHeight="1" x14ac:dyDescent="0.35">
      <c r="S1664" s="56" t="str">
        <f t="shared" si="75"/>
        <v/>
      </c>
      <c r="T1664" s="57" t="str">
        <f t="shared" si="76"/>
        <v/>
      </c>
      <c r="U1664" s="58" t="str">
        <f t="shared" si="77"/>
        <v/>
      </c>
    </row>
    <row r="1665" spans="19:21" ht="23.25" customHeight="1" x14ac:dyDescent="0.35">
      <c r="S1665" s="56" t="str">
        <f t="shared" si="75"/>
        <v/>
      </c>
      <c r="T1665" s="57" t="str">
        <f t="shared" si="76"/>
        <v/>
      </c>
      <c r="U1665" s="58" t="str">
        <f t="shared" si="77"/>
        <v/>
      </c>
    </row>
    <row r="1666" spans="19:21" ht="23.25" customHeight="1" x14ac:dyDescent="0.35">
      <c r="S1666" s="56" t="str">
        <f t="shared" si="75"/>
        <v/>
      </c>
      <c r="T1666" s="57" t="str">
        <f t="shared" si="76"/>
        <v/>
      </c>
      <c r="U1666" s="58" t="str">
        <f t="shared" si="77"/>
        <v/>
      </c>
    </row>
    <row r="1667" spans="19:21" ht="23.25" customHeight="1" x14ac:dyDescent="0.35">
      <c r="S1667" s="56" t="str">
        <f t="shared" si="75"/>
        <v/>
      </c>
      <c r="T1667" s="57" t="str">
        <f t="shared" si="76"/>
        <v/>
      </c>
      <c r="U1667" s="58" t="str">
        <f t="shared" si="77"/>
        <v/>
      </c>
    </row>
    <row r="1668" spans="19:21" ht="23.25" customHeight="1" x14ac:dyDescent="0.35">
      <c r="S1668" s="56" t="str">
        <f t="shared" si="75"/>
        <v/>
      </c>
      <c r="T1668" s="57" t="str">
        <f t="shared" si="76"/>
        <v/>
      </c>
      <c r="U1668" s="58" t="str">
        <f t="shared" si="77"/>
        <v/>
      </c>
    </row>
    <row r="1669" spans="19:21" ht="23.25" customHeight="1" x14ac:dyDescent="0.35">
      <c r="S1669" s="56" t="str">
        <f t="shared" si="75"/>
        <v/>
      </c>
      <c r="T1669" s="57" t="str">
        <f t="shared" si="76"/>
        <v/>
      </c>
      <c r="U1669" s="58" t="str">
        <f t="shared" si="77"/>
        <v/>
      </c>
    </row>
    <row r="1670" spans="19:21" ht="23.25" customHeight="1" x14ac:dyDescent="0.35">
      <c r="S1670" s="56" t="str">
        <f t="shared" si="75"/>
        <v/>
      </c>
      <c r="T1670" s="57" t="str">
        <f t="shared" si="76"/>
        <v/>
      </c>
      <c r="U1670" s="58" t="str">
        <f t="shared" si="77"/>
        <v/>
      </c>
    </row>
    <row r="1671" spans="19:21" ht="23.25" customHeight="1" x14ac:dyDescent="0.35">
      <c r="S1671" s="56" t="str">
        <f t="shared" si="75"/>
        <v/>
      </c>
      <c r="T1671" s="57" t="str">
        <f t="shared" si="76"/>
        <v/>
      </c>
      <c r="U1671" s="58" t="str">
        <f t="shared" si="77"/>
        <v/>
      </c>
    </row>
    <row r="1672" spans="19:21" ht="23.25" customHeight="1" x14ac:dyDescent="0.35">
      <c r="S1672" s="56" t="str">
        <f t="shared" si="75"/>
        <v/>
      </c>
      <c r="T1672" s="57" t="str">
        <f t="shared" si="76"/>
        <v/>
      </c>
      <c r="U1672" s="58" t="str">
        <f t="shared" si="77"/>
        <v/>
      </c>
    </row>
    <row r="1673" spans="19:21" ht="23.25" customHeight="1" x14ac:dyDescent="0.35">
      <c r="S1673" s="56" t="str">
        <f t="shared" ref="S1673:S1736" si="78">IF(A1673="","",A$5-A1673)</f>
        <v/>
      </c>
      <c r="T1673" s="57" t="str">
        <f t="shared" ref="T1673:T1736" si="79">IF(S1673="","",IF(S1673&lt;4,"0-3 Days",IF(S1673&lt;31,"4-30 Days",IF(S1673&lt;61,"31-60 Days",IF(S1673&lt;=90,"61-90 Days",IF(S1673&gt;90,"Above 90 Days","0"))))))</f>
        <v/>
      </c>
      <c r="U1673" s="58" t="str">
        <f t="shared" ref="U1673:U1736" si="80">IF(C1673="","",IF(C1673&gt;0,IF(S1673&lt;30,"Normal",IF(S1673&lt;60,"Especially Mentioned",IF(S1673&lt;90,"Substandard",IF(S1673&lt;=180,"Doubtful",IF(S1673&gt;180,"Loss","0"))))),"Not Applicable"))</f>
        <v/>
      </c>
    </row>
    <row r="1674" spans="19:21" ht="23.25" customHeight="1" x14ac:dyDescent="0.35">
      <c r="S1674" s="56" t="str">
        <f t="shared" si="78"/>
        <v/>
      </c>
      <c r="T1674" s="57" t="str">
        <f t="shared" si="79"/>
        <v/>
      </c>
      <c r="U1674" s="58" t="str">
        <f t="shared" si="80"/>
        <v/>
      </c>
    </row>
    <row r="1675" spans="19:21" ht="23.25" customHeight="1" x14ac:dyDescent="0.35">
      <c r="S1675" s="56" t="str">
        <f t="shared" si="78"/>
        <v/>
      </c>
      <c r="T1675" s="57" t="str">
        <f t="shared" si="79"/>
        <v/>
      </c>
      <c r="U1675" s="58" t="str">
        <f t="shared" si="80"/>
        <v/>
      </c>
    </row>
    <row r="1676" spans="19:21" ht="23.25" customHeight="1" x14ac:dyDescent="0.35">
      <c r="S1676" s="56" t="str">
        <f t="shared" si="78"/>
        <v/>
      </c>
      <c r="T1676" s="57" t="str">
        <f t="shared" si="79"/>
        <v/>
      </c>
      <c r="U1676" s="58" t="str">
        <f t="shared" si="80"/>
        <v/>
      </c>
    </row>
    <row r="1677" spans="19:21" ht="23.25" customHeight="1" x14ac:dyDescent="0.35">
      <c r="S1677" s="56" t="str">
        <f t="shared" si="78"/>
        <v/>
      </c>
      <c r="T1677" s="57" t="str">
        <f t="shared" si="79"/>
        <v/>
      </c>
      <c r="U1677" s="58" t="str">
        <f t="shared" si="80"/>
        <v/>
      </c>
    </row>
    <row r="1678" spans="19:21" ht="23.25" customHeight="1" x14ac:dyDescent="0.35">
      <c r="S1678" s="56" t="str">
        <f t="shared" si="78"/>
        <v/>
      </c>
      <c r="T1678" s="57" t="str">
        <f t="shared" si="79"/>
        <v/>
      </c>
      <c r="U1678" s="58" t="str">
        <f t="shared" si="80"/>
        <v/>
      </c>
    </row>
    <row r="1679" spans="19:21" ht="23.25" customHeight="1" x14ac:dyDescent="0.35">
      <c r="S1679" s="56" t="str">
        <f t="shared" si="78"/>
        <v/>
      </c>
      <c r="T1679" s="57" t="str">
        <f t="shared" si="79"/>
        <v/>
      </c>
      <c r="U1679" s="58" t="str">
        <f t="shared" si="80"/>
        <v/>
      </c>
    </row>
    <row r="1680" spans="19:21" ht="23.25" customHeight="1" x14ac:dyDescent="0.35">
      <c r="S1680" s="56" t="str">
        <f t="shared" si="78"/>
        <v/>
      </c>
      <c r="T1680" s="57" t="str">
        <f t="shared" si="79"/>
        <v/>
      </c>
      <c r="U1680" s="58" t="str">
        <f t="shared" si="80"/>
        <v/>
      </c>
    </row>
    <row r="1681" spans="19:21" ht="23.25" customHeight="1" x14ac:dyDescent="0.35">
      <c r="S1681" s="56" t="str">
        <f t="shared" si="78"/>
        <v/>
      </c>
      <c r="T1681" s="57" t="str">
        <f t="shared" si="79"/>
        <v/>
      </c>
      <c r="U1681" s="58" t="str">
        <f t="shared" si="80"/>
        <v/>
      </c>
    </row>
    <row r="1682" spans="19:21" ht="23.25" customHeight="1" x14ac:dyDescent="0.35">
      <c r="S1682" s="56" t="str">
        <f t="shared" si="78"/>
        <v/>
      </c>
      <c r="T1682" s="57" t="str">
        <f t="shared" si="79"/>
        <v/>
      </c>
      <c r="U1682" s="58" t="str">
        <f t="shared" si="80"/>
        <v/>
      </c>
    </row>
    <row r="1683" spans="19:21" ht="23.25" customHeight="1" x14ac:dyDescent="0.35">
      <c r="S1683" s="56" t="str">
        <f t="shared" si="78"/>
        <v/>
      </c>
      <c r="T1683" s="57" t="str">
        <f t="shared" si="79"/>
        <v/>
      </c>
      <c r="U1683" s="58" t="str">
        <f t="shared" si="80"/>
        <v/>
      </c>
    </row>
    <row r="1684" spans="19:21" ht="23.25" customHeight="1" x14ac:dyDescent="0.35">
      <c r="S1684" s="56" t="str">
        <f t="shared" si="78"/>
        <v/>
      </c>
      <c r="T1684" s="57" t="str">
        <f t="shared" si="79"/>
        <v/>
      </c>
      <c r="U1684" s="58" t="str">
        <f t="shared" si="80"/>
        <v/>
      </c>
    </row>
    <row r="1685" spans="19:21" ht="23.25" customHeight="1" x14ac:dyDescent="0.35">
      <c r="S1685" s="56" t="str">
        <f t="shared" si="78"/>
        <v/>
      </c>
      <c r="T1685" s="57" t="str">
        <f t="shared" si="79"/>
        <v/>
      </c>
      <c r="U1685" s="58" t="str">
        <f t="shared" si="80"/>
        <v/>
      </c>
    </row>
    <row r="1686" spans="19:21" ht="23.25" customHeight="1" x14ac:dyDescent="0.35">
      <c r="S1686" s="56" t="str">
        <f t="shared" si="78"/>
        <v/>
      </c>
      <c r="T1686" s="57" t="str">
        <f t="shared" si="79"/>
        <v/>
      </c>
      <c r="U1686" s="58" t="str">
        <f t="shared" si="80"/>
        <v/>
      </c>
    </row>
    <row r="1687" spans="19:21" ht="23.25" customHeight="1" x14ac:dyDescent="0.35">
      <c r="S1687" s="56" t="str">
        <f t="shared" si="78"/>
        <v/>
      </c>
      <c r="T1687" s="57" t="str">
        <f t="shared" si="79"/>
        <v/>
      </c>
      <c r="U1687" s="58" t="str">
        <f t="shared" si="80"/>
        <v/>
      </c>
    </row>
    <row r="1688" spans="19:21" ht="23.25" customHeight="1" x14ac:dyDescent="0.35">
      <c r="S1688" s="56" t="str">
        <f t="shared" si="78"/>
        <v/>
      </c>
      <c r="T1688" s="57" t="str">
        <f t="shared" si="79"/>
        <v/>
      </c>
      <c r="U1688" s="58" t="str">
        <f t="shared" si="80"/>
        <v/>
      </c>
    </row>
    <row r="1689" spans="19:21" ht="23.25" customHeight="1" x14ac:dyDescent="0.35">
      <c r="S1689" s="56" t="str">
        <f t="shared" si="78"/>
        <v/>
      </c>
      <c r="T1689" s="57" t="str">
        <f t="shared" si="79"/>
        <v/>
      </c>
      <c r="U1689" s="58" t="str">
        <f t="shared" si="80"/>
        <v/>
      </c>
    </row>
    <row r="1690" spans="19:21" ht="23.25" customHeight="1" x14ac:dyDescent="0.35">
      <c r="S1690" s="56" t="str">
        <f t="shared" si="78"/>
        <v/>
      </c>
      <c r="T1690" s="57" t="str">
        <f t="shared" si="79"/>
        <v/>
      </c>
      <c r="U1690" s="58" t="str">
        <f t="shared" si="80"/>
        <v/>
      </c>
    </row>
    <row r="1691" spans="19:21" ht="23.25" customHeight="1" x14ac:dyDescent="0.35">
      <c r="S1691" s="56" t="str">
        <f t="shared" si="78"/>
        <v/>
      </c>
      <c r="T1691" s="57" t="str">
        <f t="shared" si="79"/>
        <v/>
      </c>
      <c r="U1691" s="58" t="str">
        <f t="shared" si="80"/>
        <v/>
      </c>
    </row>
    <row r="1692" spans="19:21" ht="23.25" customHeight="1" x14ac:dyDescent="0.35">
      <c r="S1692" s="56" t="str">
        <f t="shared" si="78"/>
        <v/>
      </c>
      <c r="T1692" s="57" t="str">
        <f t="shared" si="79"/>
        <v/>
      </c>
      <c r="U1692" s="58" t="str">
        <f t="shared" si="80"/>
        <v/>
      </c>
    </row>
    <row r="1693" spans="19:21" ht="23.25" customHeight="1" x14ac:dyDescent="0.35">
      <c r="S1693" s="56" t="str">
        <f t="shared" si="78"/>
        <v/>
      </c>
      <c r="T1693" s="57" t="str">
        <f t="shared" si="79"/>
        <v/>
      </c>
      <c r="U1693" s="58" t="str">
        <f t="shared" si="80"/>
        <v/>
      </c>
    </row>
    <row r="1694" spans="19:21" ht="23.25" customHeight="1" x14ac:dyDescent="0.35">
      <c r="S1694" s="56" t="str">
        <f t="shared" si="78"/>
        <v/>
      </c>
      <c r="T1694" s="57" t="str">
        <f t="shared" si="79"/>
        <v/>
      </c>
      <c r="U1694" s="58" t="str">
        <f t="shared" si="80"/>
        <v/>
      </c>
    </row>
    <row r="1695" spans="19:21" ht="23.25" customHeight="1" x14ac:dyDescent="0.35">
      <c r="S1695" s="56" t="str">
        <f t="shared" si="78"/>
        <v/>
      </c>
      <c r="T1695" s="57" t="str">
        <f t="shared" si="79"/>
        <v/>
      </c>
      <c r="U1695" s="58" t="str">
        <f t="shared" si="80"/>
        <v/>
      </c>
    </row>
    <row r="1696" spans="19:21" ht="23.25" customHeight="1" x14ac:dyDescent="0.35">
      <c r="S1696" s="56" t="str">
        <f t="shared" si="78"/>
        <v/>
      </c>
      <c r="T1696" s="57" t="str">
        <f t="shared" si="79"/>
        <v/>
      </c>
      <c r="U1696" s="58" t="str">
        <f t="shared" si="80"/>
        <v/>
      </c>
    </row>
    <row r="1697" spans="19:21" ht="23.25" customHeight="1" x14ac:dyDescent="0.35">
      <c r="S1697" s="56" t="str">
        <f t="shared" si="78"/>
        <v/>
      </c>
      <c r="T1697" s="57" t="str">
        <f t="shared" si="79"/>
        <v/>
      </c>
      <c r="U1697" s="58" t="str">
        <f t="shared" si="80"/>
        <v/>
      </c>
    </row>
    <row r="1698" spans="19:21" ht="23.25" customHeight="1" x14ac:dyDescent="0.35">
      <c r="S1698" s="56" t="str">
        <f t="shared" si="78"/>
        <v/>
      </c>
      <c r="T1698" s="57" t="str">
        <f t="shared" si="79"/>
        <v/>
      </c>
      <c r="U1698" s="58" t="str">
        <f t="shared" si="80"/>
        <v/>
      </c>
    </row>
    <row r="1699" spans="19:21" ht="23.25" customHeight="1" x14ac:dyDescent="0.35">
      <c r="S1699" s="56" t="str">
        <f t="shared" si="78"/>
        <v/>
      </c>
      <c r="T1699" s="57" t="str">
        <f t="shared" si="79"/>
        <v/>
      </c>
      <c r="U1699" s="58" t="str">
        <f t="shared" si="80"/>
        <v/>
      </c>
    </row>
    <row r="1700" spans="19:21" ht="23.25" customHeight="1" x14ac:dyDescent="0.35">
      <c r="S1700" s="56" t="str">
        <f t="shared" si="78"/>
        <v/>
      </c>
      <c r="T1700" s="57" t="str">
        <f t="shared" si="79"/>
        <v/>
      </c>
      <c r="U1700" s="58" t="str">
        <f t="shared" si="80"/>
        <v/>
      </c>
    </row>
    <row r="1701" spans="19:21" ht="23.25" customHeight="1" x14ac:dyDescent="0.35">
      <c r="S1701" s="56" t="str">
        <f t="shared" si="78"/>
        <v/>
      </c>
      <c r="T1701" s="57" t="str">
        <f t="shared" si="79"/>
        <v/>
      </c>
      <c r="U1701" s="58" t="str">
        <f t="shared" si="80"/>
        <v/>
      </c>
    </row>
    <row r="1702" spans="19:21" ht="23.25" customHeight="1" x14ac:dyDescent="0.35">
      <c r="S1702" s="56" t="str">
        <f t="shared" si="78"/>
        <v/>
      </c>
      <c r="T1702" s="57" t="str">
        <f t="shared" si="79"/>
        <v/>
      </c>
      <c r="U1702" s="58" t="str">
        <f t="shared" si="80"/>
        <v/>
      </c>
    </row>
    <row r="1703" spans="19:21" ht="23.25" customHeight="1" x14ac:dyDescent="0.35">
      <c r="S1703" s="56" t="str">
        <f t="shared" si="78"/>
        <v/>
      </c>
      <c r="T1703" s="57" t="str">
        <f t="shared" si="79"/>
        <v/>
      </c>
      <c r="U1703" s="58" t="str">
        <f t="shared" si="80"/>
        <v/>
      </c>
    </row>
    <row r="1704" spans="19:21" ht="23.25" customHeight="1" x14ac:dyDescent="0.35">
      <c r="S1704" s="56" t="str">
        <f t="shared" si="78"/>
        <v/>
      </c>
      <c r="T1704" s="57" t="str">
        <f t="shared" si="79"/>
        <v/>
      </c>
      <c r="U1704" s="58" t="str">
        <f t="shared" si="80"/>
        <v/>
      </c>
    </row>
    <row r="1705" spans="19:21" ht="23.25" customHeight="1" x14ac:dyDescent="0.35">
      <c r="S1705" s="56" t="str">
        <f t="shared" si="78"/>
        <v/>
      </c>
      <c r="T1705" s="57" t="str">
        <f t="shared" si="79"/>
        <v/>
      </c>
      <c r="U1705" s="58" t="str">
        <f t="shared" si="80"/>
        <v/>
      </c>
    </row>
    <row r="1706" spans="19:21" ht="23.25" customHeight="1" x14ac:dyDescent="0.35">
      <c r="S1706" s="56" t="str">
        <f t="shared" si="78"/>
        <v/>
      </c>
      <c r="T1706" s="57" t="str">
        <f t="shared" si="79"/>
        <v/>
      </c>
      <c r="U1706" s="58" t="str">
        <f t="shared" si="80"/>
        <v/>
      </c>
    </row>
    <row r="1707" spans="19:21" ht="23.25" customHeight="1" x14ac:dyDescent="0.35">
      <c r="S1707" s="56" t="str">
        <f t="shared" si="78"/>
        <v/>
      </c>
      <c r="T1707" s="57" t="str">
        <f t="shared" si="79"/>
        <v/>
      </c>
      <c r="U1707" s="58" t="str">
        <f t="shared" si="80"/>
        <v/>
      </c>
    </row>
    <row r="1708" spans="19:21" ht="23.25" customHeight="1" x14ac:dyDescent="0.35">
      <c r="S1708" s="56" t="str">
        <f t="shared" si="78"/>
        <v/>
      </c>
      <c r="T1708" s="57" t="str">
        <f t="shared" si="79"/>
        <v/>
      </c>
      <c r="U1708" s="58" t="str">
        <f t="shared" si="80"/>
        <v/>
      </c>
    </row>
    <row r="1709" spans="19:21" ht="23.25" customHeight="1" x14ac:dyDescent="0.35">
      <c r="S1709" s="56" t="str">
        <f t="shared" si="78"/>
        <v/>
      </c>
      <c r="T1709" s="57" t="str">
        <f t="shared" si="79"/>
        <v/>
      </c>
      <c r="U1709" s="58" t="str">
        <f t="shared" si="80"/>
        <v/>
      </c>
    </row>
    <row r="1710" spans="19:21" ht="23.25" customHeight="1" x14ac:dyDescent="0.35">
      <c r="S1710" s="56" t="str">
        <f t="shared" si="78"/>
        <v/>
      </c>
      <c r="T1710" s="57" t="str">
        <f t="shared" si="79"/>
        <v/>
      </c>
      <c r="U1710" s="58" t="str">
        <f t="shared" si="80"/>
        <v/>
      </c>
    </row>
    <row r="1711" spans="19:21" ht="23.25" customHeight="1" x14ac:dyDescent="0.35">
      <c r="S1711" s="56" t="str">
        <f t="shared" si="78"/>
        <v/>
      </c>
      <c r="T1711" s="57" t="str">
        <f t="shared" si="79"/>
        <v/>
      </c>
      <c r="U1711" s="58" t="str">
        <f t="shared" si="80"/>
        <v/>
      </c>
    </row>
    <row r="1712" spans="19:21" ht="23.25" customHeight="1" x14ac:dyDescent="0.35">
      <c r="S1712" s="56" t="str">
        <f t="shared" si="78"/>
        <v/>
      </c>
      <c r="T1712" s="57" t="str">
        <f t="shared" si="79"/>
        <v/>
      </c>
      <c r="U1712" s="58" t="str">
        <f t="shared" si="80"/>
        <v/>
      </c>
    </row>
    <row r="1713" spans="19:21" ht="23.25" customHeight="1" x14ac:dyDescent="0.35">
      <c r="S1713" s="56" t="str">
        <f t="shared" si="78"/>
        <v/>
      </c>
      <c r="T1713" s="57" t="str">
        <f t="shared" si="79"/>
        <v/>
      </c>
      <c r="U1713" s="58" t="str">
        <f t="shared" si="80"/>
        <v/>
      </c>
    </row>
    <row r="1714" spans="19:21" ht="23.25" customHeight="1" x14ac:dyDescent="0.35">
      <c r="S1714" s="56" t="str">
        <f t="shared" si="78"/>
        <v/>
      </c>
      <c r="T1714" s="57" t="str">
        <f t="shared" si="79"/>
        <v/>
      </c>
      <c r="U1714" s="58" t="str">
        <f t="shared" si="80"/>
        <v/>
      </c>
    </row>
    <row r="1715" spans="19:21" ht="23.25" customHeight="1" x14ac:dyDescent="0.35">
      <c r="S1715" s="56" t="str">
        <f t="shared" si="78"/>
        <v/>
      </c>
      <c r="T1715" s="57" t="str">
        <f t="shared" si="79"/>
        <v/>
      </c>
      <c r="U1715" s="58" t="str">
        <f t="shared" si="80"/>
        <v/>
      </c>
    </row>
    <row r="1716" spans="19:21" ht="23.25" customHeight="1" x14ac:dyDescent="0.35">
      <c r="S1716" s="56" t="str">
        <f t="shared" si="78"/>
        <v/>
      </c>
      <c r="T1716" s="57" t="str">
        <f t="shared" si="79"/>
        <v/>
      </c>
      <c r="U1716" s="58" t="str">
        <f t="shared" si="80"/>
        <v/>
      </c>
    </row>
    <row r="1717" spans="19:21" ht="23.25" customHeight="1" x14ac:dyDescent="0.35">
      <c r="S1717" s="56" t="str">
        <f t="shared" si="78"/>
        <v/>
      </c>
      <c r="T1717" s="57" t="str">
        <f t="shared" si="79"/>
        <v/>
      </c>
      <c r="U1717" s="58" t="str">
        <f t="shared" si="80"/>
        <v/>
      </c>
    </row>
    <row r="1718" spans="19:21" ht="23.25" customHeight="1" x14ac:dyDescent="0.35">
      <c r="S1718" s="56" t="str">
        <f t="shared" si="78"/>
        <v/>
      </c>
      <c r="T1718" s="57" t="str">
        <f t="shared" si="79"/>
        <v/>
      </c>
      <c r="U1718" s="58" t="str">
        <f t="shared" si="80"/>
        <v/>
      </c>
    </row>
    <row r="1719" spans="19:21" ht="23.25" customHeight="1" x14ac:dyDescent="0.35">
      <c r="S1719" s="56" t="str">
        <f t="shared" si="78"/>
        <v/>
      </c>
      <c r="T1719" s="57" t="str">
        <f t="shared" si="79"/>
        <v/>
      </c>
      <c r="U1719" s="58" t="str">
        <f t="shared" si="80"/>
        <v/>
      </c>
    </row>
    <row r="1720" spans="19:21" ht="23.25" customHeight="1" x14ac:dyDescent="0.35">
      <c r="S1720" s="56" t="str">
        <f t="shared" si="78"/>
        <v/>
      </c>
      <c r="T1720" s="57" t="str">
        <f t="shared" si="79"/>
        <v/>
      </c>
      <c r="U1720" s="58" t="str">
        <f t="shared" si="80"/>
        <v/>
      </c>
    </row>
    <row r="1721" spans="19:21" ht="23.25" customHeight="1" x14ac:dyDescent="0.35">
      <c r="S1721" s="56" t="str">
        <f t="shared" si="78"/>
        <v/>
      </c>
      <c r="T1721" s="57" t="str">
        <f t="shared" si="79"/>
        <v/>
      </c>
      <c r="U1721" s="58" t="str">
        <f t="shared" si="80"/>
        <v/>
      </c>
    </row>
    <row r="1722" spans="19:21" ht="23.25" customHeight="1" x14ac:dyDescent="0.35">
      <c r="S1722" s="56" t="str">
        <f t="shared" si="78"/>
        <v/>
      </c>
      <c r="T1722" s="57" t="str">
        <f t="shared" si="79"/>
        <v/>
      </c>
      <c r="U1722" s="58" t="str">
        <f t="shared" si="80"/>
        <v/>
      </c>
    </row>
    <row r="1723" spans="19:21" ht="23.25" customHeight="1" x14ac:dyDescent="0.35">
      <c r="S1723" s="56" t="str">
        <f t="shared" si="78"/>
        <v/>
      </c>
      <c r="T1723" s="57" t="str">
        <f t="shared" si="79"/>
        <v/>
      </c>
      <c r="U1723" s="58" t="str">
        <f t="shared" si="80"/>
        <v/>
      </c>
    </row>
    <row r="1724" spans="19:21" ht="23.25" customHeight="1" x14ac:dyDescent="0.35">
      <c r="S1724" s="56" t="str">
        <f t="shared" si="78"/>
        <v/>
      </c>
      <c r="T1724" s="57" t="str">
        <f t="shared" si="79"/>
        <v/>
      </c>
      <c r="U1724" s="58" t="str">
        <f t="shared" si="80"/>
        <v/>
      </c>
    </row>
    <row r="1725" spans="19:21" ht="23.25" customHeight="1" x14ac:dyDescent="0.35">
      <c r="S1725" s="56" t="str">
        <f t="shared" si="78"/>
        <v/>
      </c>
      <c r="T1725" s="57" t="str">
        <f t="shared" si="79"/>
        <v/>
      </c>
      <c r="U1725" s="58" t="str">
        <f t="shared" si="80"/>
        <v/>
      </c>
    </row>
    <row r="1726" spans="19:21" ht="23.25" customHeight="1" x14ac:dyDescent="0.35">
      <c r="S1726" s="56" t="str">
        <f t="shared" si="78"/>
        <v/>
      </c>
      <c r="T1726" s="57" t="str">
        <f t="shared" si="79"/>
        <v/>
      </c>
      <c r="U1726" s="58" t="str">
        <f t="shared" si="80"/>
        <v/>
      </c>
    </row>
    <row r="1727" spans="19:21" ht="23.25" customHeight="1" x14ac:dyDescent="0.35">
      <c r="S1727" s="56" t="str">
        <f t="shared" si="78"/>
        <v/>
      </c>
      <c r="T1727" s="57" t="str">
        <f t="shared" si="79"/>
        <v/>
      </c>
      <c r="U1727" s="58" t="str">
        <f t="shared" si="80"/>
        <v/>
      </c>
    </row>
    <row r="1728" spans="19:21" ht="23.25" customHeight="1" x14ac:dyDescent="0.35">
      <c r="S1728" s="56" t="str">
        <f t="shared" si="78"/>
        <v/>
      </c>
      <c r="T1728" s="57" t="str">
        <f t="shared" si="79"/>
        <v/>
      </c>
      <c r="U1728" s="58" t="str">
        <f t="shared" si="80"/>
        <v/>
      </c>
    </row>
    <row r="1729" spans="19:21" ht="23.25" customHeight="1" x14ac:dyDescent="0.35">
      <c r="S1729" s="56" t="str">
        <f t="shared" si="78"/>
        <v/>
      </c>
      <c r="T1729" s="57" t="str">
        <f t="shared" si="79"/>
        <v/>
      </c>
      <c r="U1729" s="58" t="str">
        <f t="shared" si="80"/>
        <v/>
      </c>
    </row>
    <row r="1730" spans="19:21" ht="23.25" customHeight="1" x14ac:dyDescent="0.35">
      <c r="S1730" s="56" t="str">
        <f t="shared" si="78"/>
        <v/>
      </c>
      <c r="T1730" s="57" t="str">
        <f t="shared" si="79"/>
        <v/>
      </c>
      <c r="U1730" s="58" t="str">
        <f t="shared" si="80"/>
        <v/>
      </c>
    </row>
    <row r="1731" spans="19:21" ht="23.25" customHeight="1" x14ac:dyDescent="0.35">
      <c r="S1731" s="56" t="str">
        <f t="shared" si="78"/>
        <v/>
      </c>
      <c r="T1731" s="57" t="str">
        <f t="shared" si="79"/>
        <v/>
      </c>
      <c r="U1731" s="58" t="str">
        <f t="shared" si="80"/>
        <v/>
      </c>
    </row>
    <row r="1732" spans="19:21" ht="23.25" customHeight="1" x14ac:dyDescent="0.35">
      <c r="S1732" s="56" t="str">
        <f t="shared" si="78"/>
        <v/>
      </c>
      <c r="T1732" s="57" t="str">
        <f t="shared" si="79"/>
        <v/>
      </c>
      <c r="U1732" s="58" t="str">
        <f t="shared" si="80"/>
        <v/>
      </c>
    </row>
    <row r="1733" spans="19:21" ht="23.25" customHeight="1" x14ac:dyDescent="0.35">
      <c r="S1733" s="56" t="str">
        <f t="shared" si="78"/>
        <v/>
      </c>
      <c r="T1733" s="57" t="str">
        <f t="shared" si="79"/>
        <v/>
      </c>
      <c r="U1733" s="58" t="str">
        <f t="shared" si="80"/>
        <v/>
      </c>
    </row>
    <row r="1734" spans="19:21" ht="23.25" customHeight="1" x14ac:dyDescent="0.35">
      <c r="S1734" s="56" t="str">
        <f t="shared" si="78"/>
        <v/>
      </c>
      <c r="T1734" s="57" t="str">
        <f t="shared" si="79"/>
        <v/>
      </c>
      <c r="U1734" s="58" t="str">
        <f t="shared" si="80"/>
        <v/>
      </c>
    </row>
    <row r="1735" spans="19:21" ht="23.25" customHeight="1" x14ac:dyDescent="0.35">
      <c r="S1735" s="56" t="str">
        <f t="shared" si="78"/>
        <v/>
      </c>
      <c r="T1735" s="57" t="str">
        <f t="shared" si="79"/>
        <v/>
      </c>
      <c r="U1735" s="58" t="str">
        <f t="shared" si="80"/>
        <v/>
      </c>
    </row>
    <row r="1736" spans="19:21" ht="23.25" customHeight="1" x14ac:dyDescent="0.35">
      <c r="S1736" s="56" t="str">
        <f t="shared" si="78"/>
        <v/>
      </c>
      <c r="T1736" s="57" t="str">
        <f t="shared" si="79"/>
        <v/>
      </c>
      <c r="U1736" s="58" t="str">
        <f t="shared" si="80"/>
        <v/>
      </c>
    </row>
    <row r="1737" spans="19:21" ht="23.25" customHeight="1" x14ac:dyDescent="0.35">
      <c r="S1737" s="56" t="str">
        <f t="shared" ref="S1737:S1800" si="81">IF(A1737="","",A$5-A1737)</f>
        <v/>
      </c>
      <c r="T1737" s="57" t="str">
        <f t="shared" ref="T1737:T1800" si="82">IF(S1737="","",IF(S1737&lt;4,"0-3 Days",IF(S1737&lt;31,"4-30 Days",IF(S1737&lt;61,"31-60 Days",IF(S1737&lt;=90,"61-90 Days",IF(S1737&gt;90,"Above 90 Days","0"))))))</f>
        <v/>
      </c>
      <c r="U1737" s="58" t="str">
        <f t="shared" ref="U1737:U1800" si="83">IF(C1737="","",IF(C1737&gt;0,IF(S1737&lt;30,"Normal",IF(S1737&lt;60,"Especially Mentioned",IF(S1737&lt;90,"Substandard",IF(S1737&lt;=180,"Doubtful",IF(S1737&gt;180,"Loss","0"))))),"Not Applicable"))</f>
        <v/>
      </c>
    </row>
    <row r="1738" spans="19:21" ht="23.25" customHeight="1" x14ac:dyDescent="0.35">
      <c r="S1738" s="56" t="str">
        <f t="shared" si="81"/>
        <v/>
      </c>
      <c r="T1738" s="57" t="str">
        <f t="shared" si="82"/>
        <v/>
      </c>
      <c r="U1738" s="58" t="str">
        <f t="shared" si="83"/>
        <v/>
      </c>
    </row>
    <row r="1739" spans="19:21" ht="23.25" customHeight="1" x14ac:dyDescent="0.35">
      <c r="S1739" s="56" t="str">
        <f t="shared" si="81"/>
        <v/>
      </c>
      <c r="T1739" s="57" t="str">
        <f t="shared" si="82"/>
        <v/>
      </c>
      <c r="U1739" s="58" t="str">
        <f t="shared" si="83"/>
        <v/>
      </c>
    </row>
    <row r="1740" spans="19:21" ht="23.25" customHeight="1" x14ac:dyDescent="0.35">
      <c r="S1740" s="56" t="str">
        <f t="shared" si="81"/>
        <v/>
      </c>
      <c r="T1740" s="57" t="str">
        <f t="shared" si="82"/>
        <v/>
      </c>
      <c r="U1740" s="58" t="str">
        <f t="shared" si="83"/>
        <v/>
      </c>
    </row>
    <row r="1741" spans="19:21" ht="23.25" customHeight="1" x14ac:dyDescent="0.35">
      <c r="S1741" s="56" t="str">
        <f t="shared" si="81"/>
        <v/>
      </c>
      <c r="T1741" s="57" t="str">
        <f t="shared" si="82"/>
        <v/>
      </c>
      <c r="U1741" s="58" t="str">
        <f t="shared" si="83"/>
        <v/>
      </c>
    </row>
    <row r="1742" spans="19:21" ht="23.25" customHeight="1" x14ac:dyDescent="0.35">
      <c r="S1742" s="56" t="str">
        <f t="shared" si="81"/>
        <v/>
      </c>
      <c r="T1742" s="57" t="str">
        <f t="shared" si="82"/>
        <v/>
      </c>
      <c r="U1742" s="58" t="str">
        <f t="shared" si="83"/>
        <v/>
      </c>
    </row>
    <row r="1743" spans="19:21" ht="23.25" customHeight="1" x14ac:dyDescent="0.35">
      <c r="S1743" s="56" t="str">
        <f t="shared" si="81"/>
        <v/>
      </c>
      <c r="T1743" s="57" t="str">
        <f t="shared" si="82"/>
        <v/>
      </c>
      <c r="U1743" s="58" t="str">
        <f t="shared" si="83"/>
        <v/>
      </c>
    </row>
    <row r="1744" spans="19:21" ht="23.25" customHeight="1" x14ac:dyDescent="0.35">
      <c r="S1744" s="56" t="str">
        <f t="shared" si="81"/>
        <v/>
      </c>
      <c r="T1744" s="57" t="str">
        <f t="shared" si="82"/>
        <v/>
      </c>
      <c r="U1744" s="58" t="str">
        <f t="shared" si="83"/>
        <v/>
      </c>
    </row>
    <row r="1745" spans="19:21" ht="23.25" customHeight="1" x14ac:dyDescent="0.35">
      <c r="S1745" s="56" t="str">
        <f t="shared" si="81"/>
        <v/>
      </c>
      <c r="T1745" s="57" t="str">
        <f t="shared" si="82"/>
        <v/>
      </c>
      <c r="U1745" s="58" t="str">
        <f t="shared" si="83"/>
        <v/>
      </c>
    </row>
    <row r="1746" spans="19:21" ht="23.25" customHeight="1" x14ac:dyDescent="0.35">
      <c r="S1746" s="56" t="str">
        <f t="shared" si="81"/>
        <v/>
      </c>
      <c r="T1746" s="57" t="str">
        <f t="shared" si="82"/>
        <v/>
      </c>
      <c r="U1746" s="58" t="str">
        <f t="shared" si="83"/>
        <v/>
      </c>
    </row>
    <row r="1747" spans="19:21" ht="23.25" customHeight="1" x14ac:dyDescent="0.35">
      <c r="S1747" s="56" t="str">
        <f t="shared" si="81"/>
        <v/>
      </c>
      <c r="T1747" s="57" t="str">
        <f t="shared" si="82"/>
        <v/>
      </c>
      <c r="U1747" s="58" t="str">
        <f t="shared" si="83"/>
        <v/>
      </c>
    </row>
    <row r="1748" spans="19:21" ht="23.25" customHeight="1" x14ac:dyDescent="0.35">
      <c r="S1748" s="56" t="str">
        <f t="shared" si="81"/>
        <v/>
      </c>
      <c r="T1748" s="57" t="str">
        <f t="shared" si="82"/>
        <v/>
      </c>
      <c r="U1748" s="58" t="str">
        <f t="shared" si="83"/>
        <v/>
      </c>
    </row>
    <row r="1749" spans="19:21" ht="23.25" customHeight="1" x14ac:dyDescent="0.35">
      <c r="S1749" s="56" t="str">
        <f t="shared" si="81"/>
        <v/>
      </c>
      <c r="T1749" s="57" t="str">
        <f t="shared" si="82"/>
        <v/>
      </c>
      <c r="U1749" s="58" t="str">
        <f t="shared" si="83"/>
        <v/>
      </c>
    </row>
    <row r="1750" spans="19:21" ht="23.25" customHeight="1" x14ac:dyDescent="0.35">
      <c r="S1750" s="56" t="str">
        <f t="shared" si="81"/>
        <v/>
      </c>
      <c r="T1750" s="57" t="str">
        <f t="shared" si="82"/>
        <v/>
      </c>
      <c r="U1750" s="58" t="str">
        <f t="shared" si="83"/>
        <v/>
      </c>
    </row>
    <row r="1751" spans="19:21" ht="23.25" customHeight="1" x14ac:dyDescent="0.35">
      <c r="S1751" s="56" t="str">
        <f t="shared" si="81"/>
        <v/>
      </c>
      <c r="T1751" s="57" t="str">
        <f t="shared" si="82"/>
        <v/>
      </c>
      <c r="U1751" s="58" t="str">
        <f t="shared" si="83"/>
        <v/>
      </c>
    </row>
    <row r="1752" spans="19:21" ht="23.25" customHeight="1" x14ac:dyDescent="0.35">
      <c r="S1752" s="56" t="str">
        <f t="shared" si="81"/>
        <v/>
      </c>
      <c r="T1752" s="57" t="str">
        <f t="shared" si="82"/>
        <v/>
      </c>
      <c r="U1752" s="58" t="str">
        <f t="shared" si="83"/>
        <v/>
      </c>
    </row>
    <row r="1753" spans="19:21" ht="23.25" customHeight="1" x14ac:dyDescent="0.35">
      <c r="S1753" s="56" t="str">
        <f t="shared" si="81"/>
        <v/>
      </c>
      <c r="T1753" s="57" t="str">
        <f t="shared" si="82"/>
        <v/>
      </c>
      <c r="U1753" s="58" t="str">
        <f t="shared" si="83"/>
        <v/>
      </c>
    </row>
    <row r="1754" spans="19:21" ht="23.25" customHeight="1" x14ac:dyDescent="0.35">
      <c r="S1754" s="56" t="str">
        <f t="shared" si="81"/>
        <v/>
      </c>
      <c r="T1754" s="57" t="str">
        <f t="shared" si="82"/>
        <v/>
      </c>
      <c r="U1754" s="58" t="str">
        <f t="shared" si="83"/>
        <v/>
      </c>
    </row>
    <row r="1755" spans="19:21" ht="23.25" customHeight="1" x14ac:dyDescent="0.35">
      <c r="S1755" s="56" t="str">
        <f t="shared" si="81"/>
        <v/>
      </c>
      <c r="T1755" s="57" t="str">
        <f t="shared" si="82"/>
        <v/>
      </c>
      <c r="U1755" s="58" t="str">
        <f t="shared" si="83"/>
        <v/>
      </c>
    </row>
    <row r="1756" spans="19:21" ht="23.25" customHeight="1" x14ac:dyDescent="0.35">
      <c r="S1756" s="56" t="str">
        <f t="shared" si="81"/>
        <v/>
      </c>
      <c r="T1756" s="57" t="str">
        <f t="shared" si="82"/>
        <v/>
      </c>
      <c r="U1756" s="58" t="str">
        <f t="shared" si="83"/>
        <v/>
      </c>
    </row>
    <row r="1757" spans="19:21" ht="23.25" customHeight="1" x14ac:dyDescent="0.35">
      <c r="S1757" s="56" t="str">
        <f t="shared" si="81"/>
        <v/>
      </c>
      <c r="T1757" s="57" t="str">
        <f t="shared" si="82"/>
        <v/>
      </c>
      <c r="U1757" s="58" t="str">
        <f t="shared" si="83"/>
        <v/>
      </c>
    </row>
    <row r="1758" spans="19:21" ht="23.25" customHeight="1" x14ac:dyDescent="0.35">
      <c r="S1758" s="56" t="str">
        <f t="shared" si="81"/>
        <v/>
      </c>
      <c r="T1758" s="57" t="str">
        <f t="shared" si="82"/>
        <v/>
      </c>
      <c r="U1758" s="58" t="str">
        <f t="shared" si="83"/>
        <v/>
      </c>
    </row>
    <row r="1759" spans="19:21" ht="23.25" customHeight="1" x14ac:dyDescent="0.35">
      <c r="S1759" s="56" t="str">
        <f t="shared" si="81"/>
        <v/>
      </c>
      <c r="T1759" s="57" t="str">
        <f t="shared" si="82"/>
        <v/>
      </c>
      <c r="U1759" s="58" t="str">
        <f t="shared" si="83"/>
        <v/>
      </c>
    </row>
    <row r="1760" spans="19:21" ht="23.25" customHeight="1" x14ac:dyDescent="0.35">
      <c r="S1760" s="56" t="str">
        <f t="shared" si="81"/>
        <v/>
      </c>
      <c r="T1760" s="57" t="str">
        <f t="shared" si="82"/>
        <v/>
      </c>
      <c r="U1760" s="58" t="str">
        <f t="shared" si="83"/>
        <v/>
      </c>
    </row>
    <row r="1761" spans="19:21" ht="23.25" customHeight="1" x14ac:dyDescent="0.35">
      <c r="S1761" s="56" t="str">
        <f t="shared" si="81"/>
        <v/>
      </c>
      <c r="T1761" s="57" t="str">
        <f t="shared" si="82"/>
        <v/>
      </c>
      <c r="U1761" s="58" t="str">
        <f t="shared" si="83"/>
        <v/>
      </c>
    </row>
    <row r="1762" spans="19:21" ht="23.25" customHeight="1" x14ac:dyDescent="0.35">
      <c r="S1762" s="56" t="str">
        <f t="shared" si="81"/>
        <v/>
      </c>
      <c r="T1762" s="57" t="str">
        <f t="shared" si="82"/>
        <v/>
      </c>
      <c r="U1762" s="58" t="str">
        <f t="shared" si="83"/>
        <v/>
      </c>
    </row>
    <row r="1763" spans="19:21" ht="23.25" customHeight="1" x14ac:dyDescent="0.35">
      <c r="S1763" s="56" t="str">
        <f t="shared" si="81"/>
        <v/>
      </c>
      <c r="T1763" s="57" t="str">
        <f t="shared" si="82"/>
        <v/>
      </c>
      <c r="U1763" s="58" t="str">
        <f t="shared" si="83"/>
        <v/>
      </c>
    </row>
    <row r="1764" spans="19:21" ht="23.25" customHeight="1" x14ac:dyDescent="0.35">
      <c r="S1764" s="56" t="str">
        <f t="shared" si="81"/>
        <v/>
      </c>
      <c r="T1764" s="57" t="str">
        <f t="shared" si="82"/>
        <v/>
      </c>
      <c r="U1764" s="58" t="str">
        <f t="shared" si="83"/>
        <v/>
      </c>
    </row>
    <row r="1765" spans="19:21" ht="23.25" customHeight="1" x14ac:dyDescent="0.35">
      <c r="S1765" s="56" t="str">
        <f t="shared" si="81"/>
        <v/>
      </c>
      <c r="T1765" s="57" t="str">
        <f t="shared" si="82"/>
        <v/>
      </c>
      <c r="U1765" s="58" t="str">
        <f t="shared" si="83"/>
        <v/>
      </c>
    </row>
    <row r="1766" spans="19:21" ht="23.25" customHeight="1" x14ac:dyDescent="0.35">
      <c r="S1766" s="56" t="str">
        <f t="shared" si="81"/>
        <v/>
      </c>
      <c r="T1766" s="57" t="str">
        <f t="shared" si="82"/>
        <v/>
      </c>
      <c r="U1766" s="58" t="str">
        <f t="shared" si="83"/>
        <v/>
      </c>
    </row>
    <row r="1767" spans="19:21" ht="23.25" customHeight="1" x14ac:dyDescent="0.35">
      <c r="S1767" s="56" t="str">
        <f t="shared" si="81"/>
        <v/>
      </c>
      <c r="T1767" s="57" t="str">
        <f t="shared" si="82"/>
        <v/>
      </c>
      <c r="U1767" s="58" t="str">
        <f t="shared" si="83"/>
        <v/>
      </c>
    </row>
    <row r="1768" spans="19:21" ht="23.25" customHeight="1" x14ac:dyDescent="0.35">
      <c r="S1768" s="56" t="str">
        <f t="shared" si="81"/>
        <v/>
      </c>
      <c r="T1768" s="57" t="str">
        <f t="shared" si="82"/>
        <v/>
      </c>
      <c r="U1768" s="58" t="str">
        <f t="shared" si="83"/>
        <v/>
      </c>
    </row>
    <row r="1769" spans="19:21" ht="23.25" customHeight="1" x14ac:dyDescent="0.35">
      <c r="S1769" s="56" t="str">
        <f t="shared" si="81"/>
        <v/>
      </c>
      <c r="T1769" s="57" t="str">
        <f t="shared" si="82"/>
        <v/>
      </c>
      <c r="U1769" s="58" t="str">
        <f t="shared" si="83"/>
        <v/>
      </c>
    </row>
    <row r="1770" spans="19:21" ht="23.25" customHeight="1" x14ac:dyDescent="0.35">
      <c r="S1770" s="56" t="str">
        <f t="shared" si="81"/>
        <v/>
      </c>
      <c r="T1770" s="57" t="str">
        <f t="shared" si="82"/>
        <v/>
      </c>
      <c r="U1770" s="58" t="str">
        <f t="shared" si="83"/>
        <v/>
      </c>
    </row>
    <row r="1771" spans="19:21" ht="23.25" customHeight="1" x14ac:dyDescent="0.35">
      <c r="S1771" s="56" t="str">
        <f t="shared" si="81"/>
        <v/>
      </c>
      <c r="T1771" s="57" t="str">
        <f t="shared" si="82"/>
        <v/>
      </c>
      <c r="U1771" s="58" t="str">
        <f t="shared" si="83"/>
        <v/>
      </c>
    </row>
    <row r="1772" spans="19:21" ht="23.25" customHeight="1" x14ac:dyDescent="0.35">
      <c r="S1772" s="56" t="str">
        <f t="shared" si="81"/>
        <v/>
      </c>
      <c r="T1772" s="57" t="str">
        <f t="shared" si="82"/>
        <v/>
      </c>
      <c r="U1772" s="58" t="str">
        <f t="shared" si="83"/>
        <v/>
      </c>
    </row>
    <row r="1773" spans="19:21" ht="23.25" customHeight="1" x14ac:dyDescent="0.35">
      <c r="S1773" s="56" t="str">
        <f t="shared" si="81"/>
        <v/>
      </c>
      <c r="T1773" s="57" t="str">
        <f t="shared" si="82"/>
        <v/>
      </c>
      <c r="U1773" s="58" t="str">
        <f t="shared" si="83"/>
        <v/>
      </c>
    </row>
    <row r="1774" spans="19:21" ht="23.25" customHeight="1" x14ac:dyDescent="0.35">
      <c r="S1774" s="56" t="str">
        <f t="shared" si="81"/>
        <v/>
      </c>
      <c r="T1774" s="57" t="str">
        <f t="shared" si="82"/>
        <v/>
      </c>
      <c r="U1774" s="58" t="str">
        <f t="shared" si="83"/>
        <v/>
      </c>
    </row>
    <row r="1775" spans="19:21" ht="23.25" customHeight="1" x14ac:dyDescent="0.35">
      <c r="S1775" s="56" t="str">
        <f t="shared" si="81"/>
        <v/>
      </c>
      <c r="T1775" s="57" t="str">
        <f t="shared" si="82"/>
        <v/>
      </c>
      <c r="U1775" s="58" t="str">
        <f t="shared" si="83"/>
        <v/>
      </c>
    </row>
    <row r="1776" spans="19:21" ht="23.25" customHeight="1" x14ac:dyDescent="0.35">
      <c r="S1776" s="56" t="str">
        <f t="shared" si="81"/>
        <v/>
      </c>
      <c r="T1776" s="57" t="str">
        <f t="shared" si="82"/>
        <v/>
      </c>
      <c r="U1776" s="58" t="str">
        <f t="shared" si="83"/>
        <v/>
      </c>
    </row>
    <row r="1777" spans="19:21" ht="23.25" customHeight="1" x14ac:dyDescent="0.35">
      <c r="S1777" s="56" t="str">
        <f t="shared" si="81"/>
        <v/>
      </c>
      <c r="T1777" s="57" t="str">
        <f t="shared" si="82"/>
        <v/>
      </c>
      <c r="U1777" s="58" t="str">
        <f t="shared" si="83"/>
        <v/>
      </c>
    </row>
    <row r="1778" spans="19:21" ht="23.25" customHeight="1" x14ac:dyDescent="0.35">
      <c r="S1778" s="56" t="str">
        <f t="shared" si="81"/>
        <v/>
      </c>
      <c r="T1778" s="57" t="str">
        <f t="shared" si="82"/>
        <v/>
      </c>
      <c r="U1778" s="58" t="str">
        <f t="shared" si="83"/>
        <v/>
      </c>
    </row>
    <row r="1779" spans="19:21" ht="23.25" customHeight="1" x14ac:dyDescent="0.35">
      <c r="S1779" s="56" t="str">
        <f t="shared" si="81"/>
        <v/>
      </c>
      <c r="T1779" s="57" t="str">
        <f t="shared" si="82"/>
        <v/>
      </c>
      <c r="U1779" s="58" t="str">
        <f t="shared" si="83"/>
        <v/>
      </c>
    </row>
    <row r="1780" spans="19:21" ht="23.25" customHeight="1" x14ac:dyDescent="0.35">
      <c r="S1780" s="56" t="str">
        <f t="shared" si="81"/>
        <v/>
      </c>
      <c r="T1780" s="57" t="str">
        <f t="shared" si="82"/>
        <v/>
      </c>
      <c r="U1780" s="58" t="str">
        <f t="shared" si="83"/>
        <v/>
      </c>
    </row>
    <row r="1781" spans="19:21" ht="23.25" customHeight="1" x14ac:dyDescent="0.35">
      <c r="S1781" s="56" t="str">
        <f t="shared" si="81"/>
        <v/>
      </c>
      <c r="T1781" s="57" t="str">
        <f t="shared" si="82"/>
        <v/>
      </c>
      <c r="U1781" s="58" t="str">
        <f t="shared" si="83"/>
        <v/>
      </c>
    </row>
    <row r="1782" spans="19:21" ht="23.25" customHeight="1" x14ac:dyDescent="0.35">
      <c r="S1782" s="56" t="str">
        <f t="shared" si="81"/>
        <v/>
      </c>
      <c r="T1782" s="57" t="str">
        <f t="shared" si="82"/>
        <v/>
      </c>
      <c r="U1782" s="58" t="str">
        <f t="shared" si="83"/>
        <v/>
      </c>
    </row>
    <row r="1783" spans="19:21" ht="23.25" customHeight="1" x14ac:dyDescent="0.35">
      <c r="S1783" s="56" t="str">
        <f t="shared" si="81"/>
        <v/>
      </c>
      <c r="T1783" s="57" t="str">
        <f t="shared" si="82"/>
        <v/>
      </c>
      <c r="U1783" s="58" t="str">
        <f t="shared" si="83"/>
        <v/>
      </c>
    </row>
    <row r="1784" spans="19:21" ht="23.25" customHeight="1" x14ac:dyDescent="0.35">
      <c r="S1784" s="56" t="str">
        <f t="shared" si="81"/>
        <v/>
      </c>
      <c r="T1784" s="57" t="str">
        <f t="shared" si="82"/>
        <v/>
      </c>
      <c r="U1784" s="58" t="str">
        <f t="shared" si="83"/>
        <v/>
      </c>
    </row>
    <row r="1785" spans="19:21" ht="23.25" customHeight="1" x14ac:dyDescent="0.35">
      <c r="S1785" s="56" t="str">
        <f t="shared" si="81"/>
        <v/>
      </c>
      <c r="T1785" s="57" t="str">
        <f t="shared" si="82"/>
        <v/>
      </c>
      <c r="U1785" s="58" t="str">
        <f t="shared" si="83"/>
        <v/>
      </c>
    </row>
    <row r="1786" spans="19:21" ht="23.25" customHeight="1" x14ac:dyDescent="0.35">
      <c r="S1786" s="56" t="str">
        <f t="shared" si="81"/>
        <v/>
      </c>
      <c r="T1786" s="57" t="str">
        <f t="shared" si="82"/>
        <v/>
      </c>
      <c r="U1786" s="58" t="str">
        <f t="shared" si="83"/>
        <v/>
      </c>
    </row>
    <row r="1787" spans="19:21" ht="23.25" customHeight="1" x14ac:dyDescent="0.35">
      <c r="S1787" s="56" t="str">
        <f t="shared" si="81"/>
        <v/>
      </c>
      <c r="T1787" s="57" t="str">
        <f t="shared" si="82"/>
        <v/>
      </c>
      <c r="U1787" s="58" t="str">
        <f t="shared" si="83"/>
        <v/>
      </c>
    </row>
    <row r="1788" spans="19:21" ht="23.25" customHeight="1" x14ac:dyDescent="0.35">
      <c r="S1788" s="56" t="str">
        <f t="shared" si="81"/>
        <v/>
      </c>
      <c r="T1788" s="57" t="str">
        <f t="shared" si="82"/>
        <v/>
      </c>
      <c r="U1788" s="58" t="str">
        <f t="shared" si="83"/>
        <v/>
      </c>
    </row>
    <row r="1789" spans="19:21" ht="23.25" customHeight="1" x14ac:dyDescent="0.35">
      <c r="S1789" s="56" t="str">
        <f t="shared" si="81"/>
        <v/>
      </c>
      <c r="T1789" s="57" t="str">
        <f t="shared" si="82"/>
        <v/>
      </c>
      <c r="U1789" s="58" t="str">
        <f t="shared" si="83"/>
        <v/>
      </c>
    </row>
    <row r="1790" spans="19:21" ht="23.25" customHeight="1" x14ac:dyDescent="0.35">
      <c r="S1790" s="56" t="str">
        <f t="shared" si="81"/>
        <v/>
      </c>
      <c r="T1790" s="57" t="str">
        <f t="shared" si="82"/>
        <v/>
      </c>
      <c r="U1790" s="58" t="str">
        <f t="shared" si="83"/>
        <v/>
      </c>
    </row>
    <row r="1791" spans="19:21" ht="23.25" customHeight="1" x14ac:dyDescent="0.35">
      <c r="S1791" s="56" t="str">
        <f t="shared" si="81"/>
        <v/>
      </c>
      <c r="T1791" s="57" t="str">
        <f t="shared" si="82"/>
        <v/>
      </c>
      <c r="U1791" s="58" t="str">
        <f t="shared" si="83"/>
        <v/>
      </c>
    </row>
    <row r="1792" spans="19:21" ht="23.25" customHeight="1" x14ac:dyDescent="0.35">
      <c r="S1792" s="56" t="str">
        <f t="shared" si="81"/>
        <v/>
      </c>
      <c r="T1792" s="57" t="str">
        <f t="shared" si="82"/>
        <v/>
      </c>
      <c r="U1792" s="58" t="str">
        <f t="shared" si="83"/>
        <v/>
      </c>
    </row>
    <row r="1793" spans="19:21" ht="23.25" customHeight="1" x14ac:dyDescent="0.35">
      <c r="S1793" s="56" t="str">
        <f t="shared" si="81"/>
        <v/>
      </c>
      <c r="T1793" s="57" t="str">
        <f t="shared" si="82"/>
        <v/>
      </c>
      <c r="U1793" s="58" t="str">
        <f t="shared" si="83"/>
        <v/>
      </c>
    </row>
    <row r="1794" spans="19:21" ht="23.25" customHeight="1" x14ac:dyDescent="0.35">
      <c r="S1794" s="56" t="str">
        <f t="shared" si="81"/>
        <v/>
      </c>
      <c r="T1794" s="57" t="str">
        <f t="shared" si="82"/>
        <v/>
      </c>
      <c r="U1794" s="58" t="str">
        <f t="shared" si="83"/>
        <v/>
      </c>
    </row>
    <row r="1795" spans="19:21" ht="23.25" customHeight="1" x14ac:dyDescent="0.35">
      <c r="S1795" s="56" t="str">
        <f t="shared" si="81"/>
        <v/>
      </c>
      <c r="T1795" s="57" t="str">
        <f t="shared" si="82"/>
        <v/>
      </c>
      <c r="U1795" s="58" t="str">
        <f t="shared" si="83"/>
        <v/>
      </c>
    </row>
    <row r="1796" spans="19:21" ht="23.25" customHeight="1" x14ac:dyDescent="0.35">
      <c r="S1796" s="56" t="str">
        <f t="shared" si="81"/>
        <v/>
      </c>
      <c r="T1796" s="57" t="str">
        <f t="shared" si="82"/>
        <v/>
      </c>
      <c r="U1796" s="58" t="str">
        <f t="shared" si="83"/>
        <v/>
      </c>
    </row>
    <row r="1797" spans="19:21" ht="23.25" customHeight="1" x14ac:dyDescent="0.35">
      <c r="S1797" s="56" t="str">
        <f t="shared" si="81"/>
        <v/>
      </c>
      <c r="T1797" s="57" t="str">
        <f t="shared" si="82"/>
        <v/>
      </c>
      <c r="U1797" s="58" t="str">
        <f t="shared" si="83"/>
        <v/>
      </c>
    </row>
    <row r="1798" spans="19:21" ht="23.25" customHeight="1" x14ac:dyDescent="0.35">
      <c r="S1798" s="56" t="str">
        <f t="shared" si="81"/>
        <v/>
      </c>
      <c r="T1798" s="57" t="str">
        <f t="shared" si="82"/>
        <v/>
      </c>
      <c r="U1798" s="58" t="str">
        <f t="shared" si="83"/>
        <v/>
      </c>
    </row>
    <row r="1799" spans="19:21" ht="23.25" customHeight="1" x14ac:dyDescent="0.35">
      <c r="S1799" s="56" t="str">
        <f t="shared" si="81"/>
        <v/>
      </c>
      <c r="T1799" s="57" t="str">
        <f t="shared" si="82"/>
        <v/>
      </c>
      <c r="U1799" s="58" t="str">
        <f t="shared" si="83"/>
        <v/>
      </c>
    </row>
    <row r="1800" spans="19:21" ht="23.25" customHeight="1" x14ac:dyDescent="0.35">
      <c r="S1800" s="56" t="str">
        <f t="shared" si="81"/>
        <v/>
      </c>
      <c r="T1800" s="57" t="str">
        <f t="shared" si="82"/>
        <v/>
      </c>
      <c r="U1800" s="58" t="str">
        <f t="shared" si="83"/>
        <v/>
      </c>
    </row>
    <row r="1801" spans="19:21" ht="23.25" customHeight="1" x14ac:dyDescent="0.35">
      <c r="S1801" s="56" t="str">
        <f t="shared" ref="S1801:S1864" si="84">IF(A1801="","",A$5-A1801)</f>
        <v/>
      </c>
      <c r="T1801" s="57" t="str">
        <f t="shared" ref="T1801:T1864" si="85">IF(S1801="","",IF(S1801&lt;4,"0-3 Days",IF(S1801&lt;31,"4-30 Days",IF(S1801&lt;61,"31-60 Days",IF(S1801&lt;=90,"61-90 Days",IF(S1801&gt;90,"Above 90 Days","0"))))))</f>
        <v/>
      </c>
      <c r="U1801" s="58" t="str">
        <f t="shared" ref="U1801:U1864" si="86">IF(C1801="","",IF(C1801&gt;0,IF(S1801&lt;30,"Normal",IF(S1801&lt;60,"Especially Mentioned",IF(S1801&lt;90,"Substandard",IF(S1801&lt;=180,"Doubtful",IF(S1801&gt;180,"Loss","0"))))),"Not Applicable"))</f>
        <v/>
      </c>
    </row>
    <row r="1802" spans="19:21" ht="23.25" customHeight="1" x14ac:dyDescent="0.35">
      <c r="S1802" s="56" t="str">
        <f t="shared" si="84"/>
        <v/>
      </c>
      <c r="T1802" s="57" t="str">
        <f t="shared" si="85"/>
        <v/>
      </c>
      <c r="U1802" s="58" t="str">
        <f t="shared" si="86"/>
        <v/>
      </c>
    </row>
    <row r="1803" spans="19:21" ht="23.25" customHeight="1" x14ac:dyDescent="0.35">
      <c r="S1803" s="56" t="str">
        <f t="shared" si="84"/>
        <v/>
      </c>
      <c r="T1803" s="57" t="str">
        <f t="shared" si="85"/>
        <v/>
      </c>
      <c r="U1803" s="58" t="str">
        <f t="shared" si="86"/>
        <v/>
      </c>
    </row>
    <row r="1804" spans="19:21" ht="23.25" customHeight="1" x14ac:dyDescent="0.35">
      <c r="S1804" s="56" t="str">
        <f t="shared" si="84"/>
        <v/>
      </c>
      <c r="T1804" s="57" t="str">
        <f t="shared" si="85"/>
        <v/>
      </c>
      <c r="U1804" s="58" t="str">
        <f t="shared" si="86"/>
        <v/>
      </c>
    </row>
    <row r="1805" spans="19:21" ht="23.25" customHeight="1" x14ac:dyDescent="0.35">
      <c r="S1805" s="56" t="str">
        <f t="shared" si="84"/>
        <v/>
      </c>
      <c r="T1805" s="57" t="str">
        <f t="shared" si="85"/>
        <v/>
      </c>
      <c r="U1805" s="58" t="str">
        <f t="shared" si="86"/>
        <v/>
      </c>
    </row>
    <row r="1806" spans="19:21" ht="23.25" customHeight="1" x14ac:dyDescent="0.35">
      <c r="S1806" s="56" t="str">
        <f t="shared" si="84"/>
        <v/>
      </c>
      <c r="T1806" s="57" t="str">
        <f t="shared" si="85"/>
        <v/>
      </c>
      <c r="U1806" s="58" t="str">
        <f t="shared" si="86"/>
        <v/>
      </c>
    </row>
    <row r="1807" spans="19:21" ht="23.25" customHeight="1" x14ac:dyDescent="0.35">
      <c r="S1807" s="56" t="str">
        <f t="shared" si="84"/>
        <v/>
      </c>
      <c r="T1807" s="57" t="str">
        <f t="shared" si="85"/>
        <v/>
      </c>
      <c r="U1807" s="58" t="str">
        <f t="shared" si="86"/>
        <v/>
      </c>
    </row>
    <row r="1808" spans="19:21" ht="23.25" customHeight="1" x14ac:dyDescent="0.35">
      <c r="S1808" s="56" t="str">
        <f t="shared" si="84"/>
        <v/>
      </c>
      <c r="T1808" s="57" t="str">
        <f t="shared" si="85"/>
        <v/>
      </c>
      <c r="U1808" s="58" t="str">
        <f t="shared" si="86"/>
        <v/>
      </c>
    </row>
    <row r="1809" spans="19:21" ht="23.25" customHeight="1" x14ac:dyDescent="0.35">
      <c r="S1809" s="56" t="str">
        <f t="shared" si="84"/>
        <v/>
      </c>
      <c r="T1809" s="57" t="str">
        <f t="shared" si="85"/>
        <v/>
      </c>
      <c r="U1809" s="58" t="str">
        <f t="shared" si="86"/>
        <v/>
      </c>
    </row>
    <row r="1810" spans="19:21" ht="23.25" customHeight="1" x14ac:dyDescent="0.35">
      <c r="S1810" s="56" t="str">
        <f t="shared" si="84"/>
        <v/>
      </c>
      <c r="T1810" s="57" t="str">
        <f t="shared" si="85"/>
        <v/>
      </c>
      <c r="U1810" s="58" t="str">
        <f t="shared" si="86"/>
        <v/>
      </c>
    </row>
    <row r="1811" spans="19:21" ht="23.25" customHeight="1" x14ac:dyDescent="0.35">
      <c r="S1811" s="56" t="str">
        <f t="shared" si="84"/>
        <v/>
      </c>
      <c r="T1811" s="57" t="str">
        <f t="shared" si="85"/>
        <v/>
      </c>
      <c r="U1811" s="58" t="str">
        <f t="shared" si="86"/>
        <v/>
      </c>
    </row>
    <row r="1812" spans="19:21" ht="23.25" customHeight="1" x14ac:dyDescent="0.35">
      <c r="S1812" s="56" t="str">
        <f t="shared" si="84"/>
        <v/>
      </c>
      <c r="T1812" s="57" t="str">
        <f t="shared" si="85"/>
        <v/>
      </c>
      <c r="U1812" s="58" t="str">
        <f t="shared" si="86"/>
        <v/>
      </c>
    </row>
    <row r="1813" spans="19:21" ht="23.25" customHeight="1" x14ac:dyDescent="0.35">
      <c r="S1813" s="56" t="str">
        <f t="shared" si="84"/>
        <v/>
      </c>
      <c r="T1813" s="57" t="str">
        <f t="shared" si="85"/>
        <v/>
      </c>
      <c r="U1813" s="58" t="str">
        <f t="shared" si="86"/>
        <v/>
      </c>
    </row>
    <row r="1814" spans="19:21" ht="23.25" customHeight="1" x14ac:dyDescent="0.35">
      <c r="S1814" s="56" t="str">
        <f t="shared" si="84"/>
        <v/>
      </c>
      <c r="T1814" s="57" t="str">
        <f t="shared" si="85"/>
        <v/>
      </c>
      <c r="U1814" s="58" t="str">
        <f t="shared" si="86"/>
        <v/>
      </c>
    </row>
    <row r="1815" spans="19:21" ht="23.25" customHeight="1" x14ac:dyDescent="0.35">
      <c r="S1815" s="56" t="str">
        <f t="shared" si="84"/>
        <v/>
      </c>
      <c r="T1815" s="57" t="str">
        <f t="shared" si="85"/>
        <v/>
      </c>
      <c r="U1815" s="58" t="str">
        <f t="shared" si="86"/>
        <v/>
      </c>
    </row>
    <row r="1816" spans="19:21" ht="23.25" customHeight="1" x14ac:dyDescent="0.35">
      <c r="S1816" s="56" t="str">
        <f t="shared" si="84"/>
        <v/>
      </c>
      <c r="T1816" s="57" t="str">
        <f t="shared" si="85"/>
        <v/>
      </c>
      <c r="U1816" s="58" t="str">
        <f t="shared" si="86"/>
        <v/>
      </c>
    </row>
    <row r="1817" spans="19:21" ht="23.25" customHeight="1" x14ac:dyDescent="0.35">
      <c r="S1817" s="56" t="str">
        <f t="shared" si="84"/>
        <v/>
      </c>
      <c r="T1817" s="57" t="str">
        <f t="shared" si="85"/>
        <v/>
      </c>
      <c r="U1817" s="58" t="str">
        <f t="shared" si="86"/>
        <v/>
      </c>
    </row>
    <row r="1818" spans="19:21" ht="23.25" customHeight="1" x14ac:dyDescent="0.35">
      <c r="S1818" s="56" t="str">
        <f t="shared" si="84"/>
        <v/>
      </c>
      <c r="T1818" s="57" t="str">
        <f t="shared" si="85"/>
        <v/>
      </c>
      <c r="U1818" s="58" t="str">
        <f t="shared" si="86"/>
        <v/>
      </c>
    </row>
    <row r="1819" spans="19:21" ht="23.25" customHeight="1" x14ac:dyDescent="0.35">
      <c r="S1819" s="56" t="str">
        <f t="shared" si="84"/>
        <v/>
      </c>
      <c r="T1819" s="57" t="str">
        <f t="shared" si="85"/>
        <v/>
      </c>
      <c r="U1819" s="58" t="str">
        <f t="shared" si="86"/>
        <v/>
      </c>
    </row>
    <row r="1820" spans="19:21" ht="23.25" customHeight="1" x14ac:dyDescent="0.35">
      <c r="S1820" s="56" t="str">
        <f t="shared" si="84"/>
        <v/>
      </c>
      <c r="T1820" s="57" t="str">
        <f t="shared" si="85"/>
        <v/>
      </c>
      <c r="U1820" s="58" t="str">
        <f t="shared" si="86"/>
        <v/>
      </c>
    </row>
    <row r="1821" spans="19:21" ht="23.25" customHeight="1" x14ac:dyDescent="0.35">
      <c r="S1821" s="56" t="str">
        <f t="shared" si="84"/>
        <v/>
      </c>
      <c r="T1821" s="57" t="str">
        <f t="shared" si="85"/>
        <v/>
      </c>
      <c r="U1821" s="58" t="str">
        <f t="shared" si="86"/>
        <v/>
      </c>
    </row>
    <row r="1822" spans="19:21" ht="23.25" customHeight="1" x14ac:dyDescent="0.35">
      <c r="S1822" s="56" t="str">
        <f t="shared" si="84"/>
        <v/>
      </c>
      <c r="T1822" s="57" t="str">
        <f t="shared" si="85"/>
        <v/>
      </c>
      <c r="U1822" s="58" t="str">
        <f t="shared" si="86"/>
        <v/>
      </c>
    </row>
    <row r="1823" spans="19:21" ht="23.25" customHeight="1" x14ac:dyDescent="0.35">
      <c r="S1823" s="56" t="str">
        <f t="shared" si="84"/>
        <v/>
      </c>
      <c r="T1823" s="57" t="str">
        <f t="shared" si="85"/>
        <v/>
      </c>
      <c r="U1823" s="58" t="str">
        <f t="shared" si="86"/>
        <v/>
      </c>
    </row>
    <row r="1824" spans="19:21" ht="23.25" customHeight="1" x14ac:dyDescent="0.35">
      <c r="S1824" s="56" t="str">
        <f t="shared" si="84"/>
        <v/>
      </c>
      <c r="T1824" s="57" t="str">
        <f t="shared" si="85"/>
        <v/>
      </c>
      <c r="U1824" s="58" t="str">
        <f t="shared" si="86"/>
        <v/>
      </c>
    </row>
    <row r="1825" spans="19:21" ht="23.25" customHeight="1" x14ac:dyDescent="0.35">
      <c r="S1825" s="56" t="str">
        <f t="shared" si="84"/>
        <v/>
      </c>
      <c r="T1825" s="57" t="str">
        <f t="shared" si="85"/>
        <v/>
      </c>
      <c r="U1825" s="58" t="str">
        <f t="shared" si="86"/>
        <v/>
      </c>
    </row>
    <row r="1826" spans="19:21" ht="23.25" customHeight="1" x14ac:dyDescent="0.35">
      <c r="S1826" s="56" t="str">
        <f t="shared" si="84"/>
        <v/>
      </c>
      <c r="T1826" s="57" t="str">
        <f t="shared" si="85"/>
        <v/>
      </c>
      <c r="U1826" s="58" t="str">
        <f t="shared" si="86"/>
        <v/>
      </c>
    </row>
    <row r="1827" spans="19:21" ht="23.25" customHeight="1" x14ac:dyDescent="0.35">
      <c r="S1827" s="56" t="str">
        <f t="shared" si="84"/>
        <v/>
      </c>
      <c r="T1827" s="57" t="str">
        <f t="shared" si="85"/>
        <v/>
      </c>
      <c r="U1827" s="58" t="str">
        <f t="shared" si="86"/>
        <v/>
      </c>
    </row>
    <row r="1828" spans="19:21" ht="23.25" customHeight="1" x14ac:dyDescent="0.35">
      <c r="S1828" s="56" t="str">
        <f t="shared" si="84"/>
        <v/>
      </c>
      <c r="T1828" s="57" t="str">
        <f t="shared" si="85"/>
        <v/>
      </c>
      <c r="U1828" s="58" t="str">
        <f t="shared" si="86"/>
        <v/>
      </c>
    </row>
    <row r="1829" spans="19:21" ht="23.25" customHeight="1" x14ac:dyDescent="0.35">
      <c r="S1829" s="56" t="str">
        <f t="shared" si="84"/>
        <v/>
      </c>
      <c r="T1829" s="57" t="str">
        <f t="shared" si="85"/>
        <v/>
      </c>
      <c r="U1829" s="58" t="str">
        <f t="shared" si="86"/>
        <v/>
      </c>
    </row>
    <row r="1830" spans="19:21" ht="23.25" customHeight="1" x14ac:dyDescent="0.35">
      <c r="S1830" s="56" t="str">
        <f t="shared" si="84"/>
        <v/>
      </c>
      <c r="T1830" s="57" t="str">
        <f t="shared" si="85"/>
        <v/>
      </c>
      <c r="U1830" s="58" t="str">
        <f t="shared" si="86"/>
        <v/>
      </c>
    </row>
    <row r="1831" spans="19:21" ht="23.25" customHeight="1" x14ac:dyDescent="0.35">
      <c r="S1831" s="56" t="str">
        <f t="shared" si="84"/>
        <v/>
      </c>
      <c r="T1831" s="57" t="str">
        <f t="shared" si="85"/>
        <v/>
      </c>
      <c r="U1831" s="58" t="str">
        <f t="shared" si="86"/>
        <v/>
      </c>
    </row>
    <row r="1832" spans="19:21" ht="23.25" customHeight="1" x14ac:dyDescent="0.35">
      <c r="S1832" s="56" t="str">
        <f t="shared" si="84"/>
        <v/>
      </c>
      <c r="T1832" s="57" t="str">
        <f t="shared" si="85"/>
        <v/>
      </c>
      <c r="U1832" s="58" t="str">
        <f t="shared" si="86"/>
        <v/>
      </c>
    </row>
    <row r="1833" spans="19:21" ht="23.25" customHeight="1" x14ac:dyDescent="0.35">
      <c r="S1833" s="56" t="str">
        <f t="shared" si="84"/>
        <v/>
      </c>
      <c r="T1833" s="57" t="str">
        <f t="shared" si="85"/>
        <v/>
      </c>
      <c r="U1833" s="58" t="str">
        <f t="shared" si="86"/>
        <v/>
      </c>
    </row>
    <row r="1834" spans="19:21" ht="23.25" customHeight="1" x14ac:dyDescent="0.35">
      <c r="S1834" s="56" t="str">
        <f t="shared" si="84"/>
        <v/>
      </c>
      <c r="T1834" s="57" t="str">
        <f t="shared" si="85"/>
        <v/>
      </c>
      <c r="U1834" s="58" t="str">
        <f t="shared" si="86"/>
        <v/>
      </c>
    </row>
    <row r="1835" spans="19:21" ht="23.25" customHeight="1" x14ac:dyDescent="0.35">
      <c r="S1835" s="56" t="str">
        <f t="shared" si="84"/>
        <v/>
      </c>
      <c r="T1835" s="57" t="str">
        <f t="shared" si="85"/>
        <v/>
      </c>
      <c r="U1835" s="58" t="str">
        <f t="shared" si="86"/>
        <v/>
      </c>
    </row>
    <row r="1836" spans="19:21" ht="23.25" customHeight="1" x14ac:dyDescent="0.35">
      <c r="S1836" s="56" t="str">
        <f t="shared" si="84"/>
        <v/>
      </c>
      <c r="T1836" s="57" t="str">
        <f t="shared" si="85"/>
        <v/>
      </c>
      <c r="U1836" s="58" t="str">
        <f t="shared" si="86"/>
        <v/>
      </c>
    </row>
    <row r="1837" spans="19:21" ht="23.25" customHeight="1" x14ac:dyDescent="0.35">
      <c r="S1837" s="56" t="str">
        <f t="shared" si="84"/>
        <v/>
      </c>
      <c r="T1837" s="57" t="str">
        <f t="shared" si="85"/>
        <v/>
      </c>
      <c r="U1837" s="58" t="str">
        <f t="shared" si="86"/>
        <v/>
      </c>
    </row>
    <row r="1838" spans="19:21" ht="23.25" customHeight="1" x14ac:dyDescent="0.35">
      <c r="S1838" s="56" t="str">
        <f t="shared" si="84"/>
        <v/>
      </c>
      <c r="T1838" s="57" t="str">
        <f t="shared" si="85"/>
        <v/>
      </c>
      <c r="U1838" s="58" t="str">
        <f t="shared" si="86"/>
        <v/>
      </c>
    </row>
    <row r="1839" spans="19:21" ht="23.25" customHeight="1" x14ac:dyDescent="0.35">
      <c r="S1839" s="56" t="str">
        <f t="shared" si="84"/>
        <v/>
      </c>
      <c r="T1839" s="57" t="str">
        <f t="shared" si="85"/>
        <v/>
      </c>
      <c r="U1839" s="58" t="str">
        <f t="shared" si="86"/>
        <v/>
      </c>
    </row>
    <row r="1840" spans="19:21" ht="23.25" customHeight="1" x14ac:dyDescent="0.35">
      <c r="S1840" s="56" t="str">
        <f t="shared" si="84"/>
        <v/>
      </c>
      <c r="T1840" s="57" t="str">
        <f t="shared" si="85"/>
        <v/>
      </c>
      <c r="U1840" s="58" t="str">
        <f t="shared" si="86"/>
        <v/>
      </c>
    </row>
    <row r="1841" spans="19:21" ht="23.25" customHeight="1" x14ac:dyDescent="0.35">
      <c r="S1841" s="56" t="str">
        <f t="shared" si="84"/>
        <v/>
      </c>
      <c r="T1841" s="57" t="str">
        <f t="shared" si="85"/>
        <v/>
      </c>
      <c r="U1841" s="58" t="str">
        <f t="shared" si="86"/>
        <v/>
      </c>
    </row>
    <row r="1842" spans="19:21" ht="23.25" customHeight="1" x14ac:dyDescent="0.35">
      <c r="S1842" s="56" t="str">
        <f t="shared" si="84"/>
        <v/>
      </c>
      <c r="T1842" s="57" t="str">
        <f t="shared" si="85"/>
        <v/>
      </c>
      <c r="U1842" s="58" t="str">
        <f t="shared" si="86"/>
        <v/>
      </c>
    </row>
    <row r="1843" spans="19:21" ht="23.25" customHeight="1" x14ac:dyDescent="0.35">
      <c r="S1843" s="56" t="str">
        <f t="shared" si="84"/>
        <v/>
      </c>
      <c r="T1843" s="57" t="str">
        <f t="shared" si="85"/>
        <v/>
      </c>
      <c r="U1843" s="58" t="str">
        <f t="shared" si="86"/>
        <v/>
      </c>
    </row>
    <row r="1844" spans="19:21" ht="23.25" customHeight="1" x14ac:dyDescent="0.35">
      <c r="S1844" s="56" t="str">
        <f t="shared" si="84"/>
        <v/>
      </c>
      <c r="T1844" s="57" t="str">
        <f t="shared" si="85"/>
        <v/>
      </c>
      <c r="U1844" s="58" t="str">
        <f t="shared" si="86"/>
        <v/>
      </c>
    </row>
    <row r="1845" spans="19:21" ht="23.25" customHeight="1" x14ac:dyDescent="0.35">
      <c r="S1845" s="56" t="str">
        <f t="shared" si="84"/>
        <v/>
      </c>
      <c r="T1845" s="57" t="str">
        <f t="shared" si="85"/>
        <v/>
      </c>
      <c r="U1845" s="58" t="str">
        <f t="shared" si="86"/>
        <v/>
      </c>
    </row>
    <row r="1846" spans="19:21" ht="23.25" customHeight="1" x14ac:dyDescent="0.35">
      <c r="S1846" s="56" t="str">
        <f t="shared" si="84"/>
        <v/>
      </c>
      <c r="T1846" s="57" t="str">
        <f t="shared" si="85"/>
        <v/>
      </c>
      <c r="U1846" s="58" t="str">
        <f t="shared" si="86"/>
        <v/>
      </c>
    </row>
    <row r="1847" spans="19:21" ht="23.25" customHeight="1" x14ac:dyDescent="0.35">
      <c r="S1847" s="56" t="str">
        <f t="shared" si="84"/>
        <v/>
      </c>
      <c r="T1847" s="57" t="str">
        <f t="shared" si="85"/>
        <v/>
      </c>
      <c r="U1847" s="58" t="str">
        <f t="shared" si="86"/>
        <v/>
      </c>
    </row>
    <row r="1848" spans="19:21" ht="23.25" customHeight="1" x14ac:dyDescent="0.35">
      <c r="S1848" s="56" t="str">
        <f t="shared" si="84"/>
        <v/>
      </c>
      <c r="T1848" s="57" t="str">
        <f t="shared" si="85"/>
        <v/>
      </c>
      <c r="U1848" s="58" t="str">
        <f t="shared" si="86"/>
        <v/>
      </c>
    </row>
    <row r="1849" spans="19:21" ht="23.25" customHeight="1" x14ac:dyDescent="0.35">
      <c r="S1849" s="56" t="str">
        <f t="shared" si="84"/>
        <v/>
      </c>
      <c r="T1849" s="57" t="str">
        <f t="shared" si="85"/>
        <v/>
      </c>
      <c r="U1849" s="58" t="str">
        <f t="shared" si="86"/>
        <v/>
      </c>
    </row>
    <row r="1850" spans="19:21" ht="23.25" customHeight="1" x14ac:dyDescent="0.35">
      <c r="S1850" s="56" t="str">
        <f t="shared" si="84"/>
        <v/>
      </c>
      <c r="T1850" s="57" t="str">
        <f t="shared" si="85"/>
        <v/>
      </c>
      <c r="U1850" s="58" t="str">
        <f t="shared" si="86"/>
        <v/>
      </c>
    </row>
    <row r="1851" spans="19:21" ht="23.25" customHeight="1" x14ac:dyDescent="0.35">
      <c r="S1851" s="56" t="str">
        <f t="shared" si="84"/>
        <v/>
      </c>
      <c r="T1851" s="57" t="str">
        <f t="shared" si="85"/>
        <v/>
      </c>
      <c r="U1851" s="58" t="str">
        <f t="shared" si="86"/>
        <v/>
      </c>
    </row>
    <row r="1852" spans="19:21" ht="23.25" customHeight="1" x14ac:dyDescent="0.35">
      <c r="S1852" s="56" t="str">
        <f t="shared" si="84"/>
        <v/>
      </c>
      <c r="T1852" s="57" t="str">
        <f t="shared" si="85"/>
        <v/>
      </c>
      <c r="U1852" s="58" t="str">
        <f t="shared" si="86"/>
        <v/>
      </c>
    </row>
    <row r="1853" spans="19:21" ht="23.25" customHeight="1" x14ac:dyDescent="0.35">
      <c r="S1853" s="56" t="str">
        <f t="shared" si="84"/>
        <v/>
      </c>
      <c r="T1853" s="57" t="str">
        <f t="shared" si="85"/>
        <v/>
      </c>
      <c r="U1853" s="58" t="str">
        <f t="shared" si="86"/>
        <v/>
      </c>
    </row>
    <row r="1854" spans="19:21" ht="23.25" customHeight="1" x14ac:dyDescent="0.35">
      <c r="S1854" s="56" t="str">
        <f t="shared" si="84"/>
        <v/>
      </c>
      <c r="T1854" s="57" t="str">
        <f t="shared" si="85"/>
        <v/>
      </c>
      <c r="U1854" s="58" t="str">
        <f t="shared" si="86"/>
        <v/>
      </c>
    </row>
    <row r="1855" spans="19:21" ht="23.25" customHeight="1" x14ac:dyDescent="0.35">
      <c r="S1855" s="56" t="str">
        <f t="shared" si="84"/>
        <v/>
      </c>
      <c r="T1855" s="57" t="str">
        <f t="shared" si="85"/>
        <v/>
      </c>
      <c r="U1855" s="58" t="str">
        <f t="shared" si="86"/>
        <v/>
      </c>
    </row>
    <row r="1856" spans="19:21" ht="23.25" customHeight="1" x14ac:dyDescent="0.35">
      <c r="S1856" s="56" t="str">
        <f t="shared" si="84"/>
        <v/>
      </c>
      <c r="T1856" s="57" t="str">
        <f t="shared" si="85"/>
        <v/>
      </c>
      <c r="U1856" s="58" t="str">
        <f t="shared" si="86"/>
        <v/>
      </c>
    </row>
    <row r="1857" spans="19:21" ht="23.25" customHeight="1" x14ac:dyDescent="0.35">
      <c r="S1857" s="56" t="str">
        <f t="shared" si="84"/>
        <v/>
      </c>
      <c r="T1857" s="57" t="str">
        <f t="shared" si="85"/>
        <v/>
      </c>
      <c r="U1857" s="58" t="str">
        <f t="shared" si="86"/>
        <v/>
      </c>
    </row>
    <row r="1858" spans="19:21" ht="23.25" customHeight="1" x14ac:dyDescent="0.35">
      <c r="S1858" s="56" t="str">
        <f t="shared" si="84"/>
        <v/>
      </c>
      <c r="T1858" s="57" t="str">
        <f t="shared" si="85"/>
        <v/>
      </c>
      <c r="U1858" s="58" t="str">
        <f t="shared" si="86"/>
        <v/>
      </c>
    </row>
    <row r="1859" spans="19:21" ht="23.25" customHeight="1" x14ac:dyDescent="0.35">
      <c r="S1859" s="56" t="str">
        <f t="shared" si="84"/>
        <v/>
      </c>
      <c r="T1859" s="57" t="str">
        <f t="shared" si="85"/>
        <v/>
      </c>
      <c r="U1859" s="58" t="str">
        <f t="shared" si="86"/>
        <v/>
      </c>
    </row>
    <row r="1860" spans="19:21" ht="23.25" customHeight="1" x14ac:dyDescent="0.35">
      <c r="S1860" s="56" t="str">
        <f t="shared" si="84"/>
        <v/>
      </c>
      <c r="T1860" s="57" t="str">
        <f t="shared" si="85"/>
        <v/>
      </c>
      <c r="U1860" s="58" t="str">
        <f t="shared" si="86"/>
        <v/>
      </c>
    </row>
    <row r="1861" spans="19:21" ht="23.25" customHeight="1" x14ac:dyDescent="0.35">
      <c r="S1861" s="56" t="str">
        <f t="shared" si="84"/>
        <v/>
      </c>
      <c r="T1861" s="57" t="str">
        <f t="shared" si="85"/>
        <v/>
      </c>
      <c r="U1861" s="58" t="str">
        <f t="shared" si="86"/>
        <v/>
      </c>
    </row>
    <row r="1862" spans="19:21" ht="23.25" customHeight="1" x14ac:dyDescent="0.35">
      <c r="S1862" s="56" t="str">
        <f t="shared" si="84"/>
        <v/>
      </c>
      <c r="T1862" s="57" t="str">
        <f t="shared" si="85"/>
        <v/>
      </c>
      <c r="U1862" s="58" t="str">
        <f t="shared" si="86"/>
        <v/>
      </c>
    </row>
    <row r="1863" spans="19:21" ht="23.25" customHeight="1" x14ac:dyDescent="0.35">
      <c r="S1863" s="56" t="str">
        <f t="shared" si="84"/>
        <v/>
      </c>
      <c r="T1863" s="57" t="str">
        <f t="shared" si="85"/>
        <v/>
      </c>
      <c r="U1863" s="58" t="str">
        <f t="shared" si="86"/>
        <v/>
      </c>
    </row>
    <row r="1864" spans="19:21" ht="23.25" customHeight="1" x14ac:dyDescent="0.35">
      <c r="S1864" s="56" t="str">
        <f t="shared" si="84"/>
        <v/>
      </c>
      <c r="T1864" s="57" t="str">
        <f t="shared" si="85"/>
        <v/>
      </c>
      <c r="U1864" s="58" t="str">
        <f t="shared" si="86"/>
        <v/>
      </c>
    </row>
    <row r="1865" spans="19:21" ht="23.25" customHeight="1" x14ac:dyDescent="0.35">
      <c r="S1865" s="56" t="str">
        <f t="shared" ref="S1865:S1928" si="87">IF(A1865="","",A$5-A1865)</f>
        <v/>
      </c>
      <c r="T1865" s="57" t="str">
        <f t="shared" ref="T1865:T1928" si="88">IF(S1865="","",IF(S1865&lt;4,"0-3 Days",IF(S1865&lt;31,"4-30 Days",IF(S1865&lt;61,"31-60 Days",IF(S1865&lt;=90,"61-90 Days",IF(S1865&gt;90,"Above 90 Days","0"))))))</f>
        <v/>
      </c>
      <c r="U1865" s="58" t="str">
        <f t="shared" ref="U1865:U1928" si="89">IF(C1865="","",IF(C1865&gt;0,IF(S1865&lt;30,"Normal",IF(S1865&lt;60,"Especially Mentioned",IF(S1865&lt;90,"Substandard",IF(S1865&lt;=180,"Doubtful",IF(S1865&gt;180,"Loss","0"))))),"Not Applicable"))</f>
        <v/>
      </c>
    </row>
    <row r="1866" spans="19:21" ht="23.25" customHeight="1" x14ac:dyDescent="0.35">
      <c r="S1866" s="56" t="str">
        <f t="shared" si="87"/>
        <v/>
      </c>
      <c r="T1866" s="57" t="str">
        <f t="shared" si="88"/>
        <v/>
      </c>
      <c r="U1866" s="58" t="str">
        <f t="shared" si="89"/>
        <v/>
      </c>
    </row>
    <row r="1867" spans="19:21" ht="23.25" customHeight="1" x14ac:dyDescent="0.35">
      <c r="S1867" s="56" t="str">
        <f t="shared" si="87"/>
        <v/>
      </c>
      <c r="T1867" s="57" t="str">
        <f t="shared" si="88"/>
        <v/>
      </c>
      <c r="U1867" s="58" t="str">
        <f t="shared" si="89"/>
        <v/>
      </c>
    </row>
    <row r="1868" spans="19:21" ht="23.25" customHeight="1" x14ac:dyDescent="0.35">
      <c r="S1868" s="56" t="str">
        <f t="shared" si="87"/>
        <v/>
      </c>
      <c r="T1868" s="57" t="str">
        <f t="shared" si="88"/>
        <v/>
      </c>
      <c r="U1868" s="58" t="str">
        <f t="shared" si="89"/>
        <v/>
      </c>
    </row>
    <row r="1869" spans="19:21" ht="23.25" customHeight="1" x14ac:dyDescent="0.35">
      <c r="S1869" s="56" t="str">
        <f t="shared" si="87"/>
        <v/>
      </c>
      <c r="T1869" s="57" t="str">
        <f t="shared" si="88"/>
        <v/>
      </c>
      <c r="U1869" s="58" t="str">
        <f t="shared" si="89"/>
        <v/>
      </c>
    </row>
    <row r="1870" spans="19:21" ht="23.25" customHeight="1" x14ac:dyDescent="0.35">
      <c r="S1870" s="56" t="str">
        <f t="shared" si="87"/>
        <v/>
      </c>
      <c r="T1870" s="57" t="str">
        <f t="shared" si="88"/>
        <v/>
      </c>
      <c r="U1870" s="58" t="str">
        <f t="shared" si="89"/>
        <v/>
      </c>
    </row>
    <row r="1871" spans="19:21" ht="23.25" customHeight="1" x14ac:dyDescent="0.35">
      <c r="S1871" s="56" t="str">
        <f t="shared" si="87"/>
        <v/>
      </c>
      <c r="T1871" s="57" t="str">
        <f t="shared" si="88"/>
        <v/>
      </c>
      <c r="U1871" s="58" t="str">
        <f t="shared" si="89"/>
        <v/>
      </c>
    </row>
    <row r="1872" spans="19:21" ht="23.25" customHeight="1" x14ac:dyDescent="0.35">
      <c r="S1872" s="56" t="str">
        <f t="shared" si="87"/>
        <v/>
      </c>
      <c r="T1872" s="57" t="str">
        <f t="shared" si="88"/>
        <v/>
      </c>
      <c r="U1872" s="58" t="str">
        <f t="shared" si="89"/>
        <v/>
      </c>
    </row>
    <row r="1873" spans="19:21" ht="23.25" customHeight="1" x14ac:dyDescent="0.35">
      <c r="S1873" s="56" t="str">
        <f t="shared" si="87"/>
        <v/>
      </c>
      <c r="T1873" s="57" t="str">
        <f t="shared" si="88"/>
        <v/>
      </c>
      <c r="U1873" s="58" t="str">
        <f t="shared" si="89"/>
        <v/>
      </c>
    </row>
    <row r="1874" spans="19:21" ht="23.25" customHeight="1" x14ac:dyDescent="0.35">
      <c r="S1874" s="56" t="str">
        <f t="shared" si="87"/>
        <v/>
      </c>
      <c r="T1874" s="57" t="str">
        <f t="shared" si="88"/>
        <v/>
      </c>
      <c r="U1874" s="58" t="str">
        <f t="shared" si="89"/>
        <v/>
      </c>
    </row>
    <row r="1875" spans="19:21" ht="23.25" customHeight="1" x14ac:dyDescent="0.35">
      <c r="S1875" s="56" t="str">
        <f t="shared" si="87"/>
        <v/>
      </c>
      <c r="T1875" s="57" t="str">
        <f t="shared" si="88"/>
        <v/>
      </c>
      <c r="U1875" s="58" t="str">
        <f t="shared" si="89"/>
        <v/>
      </c>
    </row>
    <row r="1876" spans="19:21" ht="23.25" customHeight="1" x14ac:dyDescent="0.35">
      <c r="S1876" s="56" t="str">
        <f t="shared" si="87"/>
        <v/>
      </c>
      <c r="T1876" s="57" t="str">
        <f t="shared" si="88"/>
        <v/>
      </c>
      <c r="U1876" s="58" t="str">
        <f t="shared" si="89"/>
        <v/>
      </c>
    </row>
    <row r="1877" spans="19:21" ht="23.25" customHeight="1" x14ac:dyDescent="0.35">
      <c r="S1877" s="56" t="str">
        <f t="shared" si="87"/>
        <v/>
      </c>
      <c r="T1877" s="57" t="str">
        <f t="shared" si="88"/>
        <v/>
      </c>
      <c r="U1877" s="58" t="str">
        <f t="shared" si="89"/>
        <v/>
      </c>
    </row>
    <row r="1878" spans="19:21" ht="23.25" customHeight="1" x14ac:dyDescent="0.35">
      <c r="S1878" s="56" t="str">
        <f t="shared" si="87"/>
        <v/>
      </c>
      <c r="T1878" s="57" t="str">
        <f t="shared" si="88"/>
        <v/>
      </c>
      <c r="U1878" s="58" t="str">
        <f t="shared" si="89"/>
        <v/>
      </c>
    </row>
    <row r="1879" spans="19:21" ht="23.25" customHeight="1" x14ac:dyDescent="0.35">
      <c r="S1879" s="56" t="str">
        <f t="shared" si="87"/>
        <v/>
      </c>
      <c r="T1879" s="57" t="str">
        <f t="shared" si="88"/>
        <v/>
      </c>
      <c r="U1879" s="58" t="str">
        <f t="shared" si="89"/>
        <v/>
      </c>
    </row>
    <row r="1880" spans="19:21" ht="23.25" customHeight="1" x14ac:dyDescent="0.35">
      <c r="S1880" s="56" t="str">
        <f t="shared" si="87"/>
        <v/>
      </c>
      <c r="T1880" s="57" t="str">
        <f t="shared" si="88"/>
        <v/>
      </c>
      <c r="U1880" s="58" t="str">
        <f t="shared" si="89"/>
        <v/>
      </c>
    </row>
    <row r="1881" spans="19:21" ht="23.25" customHeight="1" x14ac:dyDescent="0.35">
      <c r="S1881" s="56" t="str">
        <f t="shared" si="87"/>
        <v/>
      </c>
      <c r="T1881" s="57" t="str">
        <f t="shared" si="88"/>
        <v/>
      </c>
      <c r="U1881" s="58" t="str">
        <f t="shared" si="89"/>
        <v/>
      </c>
    </row>
    <row r="1882" spans="19:21" ht="23.25" customHeight="1" x14ac:dyDescent="0.35">
      <c r="S1882" s="56" t="str">
        <f t="shared" si="87"/>
        <v/>
      </c>
      <c r="T1882" s="57" t="str">
        <f t="shared" si="88"/>
        <v/>
      </c>
      <c r="U1882" s="58" t="str">
        <f t="shared" si="89"/>
        <v/>
      </c>
    </row>
    <row r="1883" spans="19:21" ht="23.25" customHeight="1" x14ac:dyDescent="0.35">
      <c r="S1883" s="56" t="str">
        <f t="shared" si="87"/>
        <v/>
      </c>
      <c r="T1883" s="57" t="str">
        <f t="shared" si="88"/>
        <v/>
      </c>
      <c r="U1883" s="58" t="str">
        <f t="shared" si="89"/>
        <v/>
      </c>
    </row>
    <row r="1884" spans="19:21" ht="23.25" customHeight="1" x14ac:dyDescent="0.35">
      <c r="S1884" s="56" t="str">
        <f t="shared" si="87"/>
        <v/>
      </c>
      <c r="T1884" s="57" t="str">
        <f t="shared" si="88"/>
        <v/>
      </c>
      <c r="U1884" s="58" t="str">
        <f t="shared" si="89"/>
        <v/>
      </c>
    </row>
    <row r="1885" spans="19:21" ht="23.25" customHeight="1" x14ac:dyDescent="0.35">
      <c r="S1885" s="56" t="str">
        <f t="shared" si="87"/>
        <v/>
      </c>
      <c r="T1885" s="57" t="str">
        <f t="shared" si="88"/>
        <v/>
      </c>
      <c r="U1885" s="58" t="str">
        <f t="shared" si="89"/>
        <v/>
      </c>
    </row>
    <row r="1886" spans="19:21" ht="23.25" customHeight="1" x14ac:dyDescent="0.35">
      <c r="S1886" s="56" t="str">
        <f t="shared" si="87"/>
        <v/>
      </c>
      <c r="T1886" s="57" t="str">
        <f t="shared" si="88"/>
        <v/>
      </c>
      <c r="U1886" s="58" t="str">
        <f t="shared" si="89"/>
        <v/>
      </c>
    </row>
    <row r="1887" spans="19:21" ht="23.25" customHeight="1" x14ac:dyDescent="0.35">
      <c r="S1887" s="56" t="str">
        <f t="shared" si="87"/>
        <v/>
      </c>
      <c r="T1887" s="57" t="str">
        <f t="shared" si="88"/>
        <v/>
      </c>
      <c r="U1887" s="58" t="str">
        <f t="shared" si="89"/>
        <v/>
      </c>
    </row>
    <row r="1888" spans="19:21" ht="23.25" customHeight="1" x14ac:dyDescent="0.35">
      <c r="S1888" s="56" t="str">
        <f t="shared" si="87"/>
        <v/>
      </c>
      <c r="T1888" s="57" t="str">
        <f t="shared" si="88"/>
        <v/>
      </c>
      <c r="U1888" s="58" t="str">
        <f t="shared" si="89"/>
        <v/>
      </c>
    </row>
    <row r="1889" spans="19:21" ht="23.25" customHeight="1" x14ac:dyDescent="0.35">
      <c r="S1889" s="56" t="str">
        <f t="shared" si="87"/>
        <v/>
      </c>
      <c r="T1889" s="57" t="str">
        <f t="shared" si="88"/>
        <v/>
      </c>
      <c r="U1889" s="58" t="str">
        <f t="shared" si="89"/>
        <v/>
      </c>
    </row>
    <row r="1890" spans="19:21" ht="23.25" customHeight="1" x14ac:dyDescent="0.35">
      <c r="S1890" s="56" t="str">
        <f t="shared" si="87"/>
        <v/>
      </c>
      <c r="T1890" s="57" t="str">
        <f t="shared" si="88"/>
        <v/>
      </c>
      <c r="U1890" s="58" t="str">
        <f t="shared" si="89"/>
        <v/>
      </c>
    </row>
    <row r="1891" spans="19:21" ht="23.25" customHeight="1" x14ac:dyDescent="0.35">
      <c r="S1891" s="56" t="str">
        <f t="shared" si="87"/>
        <v/>
      </c>
      <c r="T1891" s="57" t="str">
        <f t="shared" si="88"/>
        <v/>
      </c>
      <c r="U1891" s="58" t="str">
        <f t="shared" si="89"/>
        <v/>
      </c>
    </row>
    <row r="1892" spans="19:21" ht="23.25" customHeight="1" x14ac:dyDescent="0.35">
      <c r="S1892" s="56" t="str">
        <f t="shared" si="87"/>
        <v/>
      </c>
      <c r="T1892" s="57" t="str">
        <f t="shared" si="88"/>
        <v/>
      </c>
      <c r="U1892" s="58" t="str">
        <f t="shared" si="89"/>
        <v/>
      </c>
    </row>
    <row r="1893" spans="19:21" ht="23.25" customHeight="1" x14ac:dyDescent="0.35">
      <c r="S1893" s="56" t="str">
        <f t="shared" si="87"/>
        <v/>
      </c>
      <c r="T1893" s="57" t="str">
        <f t="shared" si="88"/>
        <v/>
      </c>
      <c r="U1893" s="58" t="str">
        <f t="shared" si="89"/>
        <v/>
      </c>
    </row>
    <row r="1894" spans="19:21" ht="23.25" customHeight="1" x14ac:dyDescent="0.35">
      <c r="S1894" s="56" t="str">
        <f t="shared" si="87"/>
        <v/>
      </c>
      <c r="T1894" s="57" t="str">
        <f t="shared" si="88"/>
        <v/>
      </c>
      <c r="U1894" s="58" t="str">
        <f t="shared" si="89"/>
        <v/>
      </c>
    </row>
    <row r="1895" spans="19:21" ht="23.25" customHeight="1" x14ac:dyDescent="0.35">
      <c r="S1895" s="56" t="str">
        <f t="shared" si="87"/>
        <v/>
      </c>
      <c r="T1895" s="57" t="str">
        <f t="shared" si="88"/>
        <v/>
      </c>
      <c r="U1895" s="58" t="str">
        <f t="shared" si="89"/>
        <v/>
      </c>
    </row>
    <row r="1896" spans="19:21" ht="23.25" customHeight="1" x14ac:dyDescent="0.35">
      <c r="S1896" s="56" t="str">
        <f t="shared" si="87"/>
        <v/>
      </c>
      <c r="T1896" s="57" t="str">
        <f t="shared" si="88"/>
        <v/>
      </c>
      <c r="U1896" s="58" t="str">
        <f t="shared" si="89"/>
        <v/>
      </c>
    </row>
    <row r="1897" spans="19:21" ht="23.25" customHeight="1" x14ac:dyDescent="0.35">
      <c r="S1897" s="56" t="str">
        <f t="shared" si="87"/>
        <v/>
      </c>
      <c r="T1897" s="57" t="str">
        <f t="shared" si="88"/>
        <v/>
      </c>
      <c r="U1897" s="58" t="str">
        <f t="shared" si="89"/>
        <v/>
      </c>
    </row>
    <row r="1898" spans="19:21" ht="23.25" customHeight="1" x14ac:dyDescent="0.35">
      <c r="S1898" s="56" t="str">
        <f t="shared" si="87"/>
        <v/>
      </c>
      <c r="T1898" s="57" t="str">
        <f t="shared" si="88"/>
        <v/>
      </c>
      <c r="U1898" s="58" t="str">
        <f t="shared" si="89"/>
        <v/>
      </c>
    </row>
    <row r="1899" spans="19:21" ht="23.25" customHeight="1" x14ac:dyDescent="0.35">
      <c r="S1899" s="56" t="str">
        <f t="shared" si="87"/>
        <v/>
      </c>
      <c r="T1899" s="57" t="str">
        <f t="shared" si="88"/>
        <v/>
      </c>
      <c r="U1899" s="58" t="str">
        <f t="shared" si="89"/>
        <v/>
      </c>
    </row>
    <row r="1900" spans="19:21" ht="23.25" customHeight="1" x14ac:dyDescent="0.35">
      <c r="S1900" s="56" t="str">
        <f t="shared" si="87"/>
        <v/>
      </c>
      <c r="T1900" s="57" t="str">
        <f t="shared" si="88"/>
        <v/>
      </c>
      <c r="U1900" s="58" t="str">
        <f t="shared" si="89"/>
        <v/>
      </c>
    </row>
    <row r="1901" spans="19:21" ht="23.25" customHeight="1" x14ac:dyDescent="0.35">
      <c r="S1901" s="56" t="str">
        <f t="shared" si="87"/>
        <v/>
      </c>
      <c r="T1901" s="57" t="str">
        <f t="shared" si="88"/>
        <v/>
      </c>
      <c r="U1901" s="58" t="str">
        <f t="shared" si="89"/>
        <v/>
      </c>
    </row>
    <row r="1902" spans="19:21" ht="23.25" customHeight="1" x14ac:dyDescent="0.35">
      <c r="S1902" s="56" t="str">
        <f t="shared" si="87"/>
        <v/>
      </c>
      <c r="T1902" s="57" t="str">
        <f t="shared" si="88"/>
        <v/>
      </c>
      <c r="U1902" s="58" t="str">
        <f t="shared" si="89"/>
        <v/>
      </c>
    </row>
    <row r="1903" spans="19:21" ht="23.25" customHeight="1" x14ac:dyDescent="0.35">
      <c r="S1903" s="56" t="str">
        <f t="shared" si="87"/>
        <v/>
      </c>
      <c r="T1903" s="57" t="str">
        <f t="shared" si="88"/>
        <v/>
      </c>
      <c r="U1903" s="58" t="str">
        <f t="shared" si="89"/>
        <v/>
      </c>
    </row>
    <row r="1904" spans="19:21" ht="23.25" customHeight="1" x14ac:dyDescent="0.35">
      <c r="S1904" s="56" t="str">
        <f t="shared" si="87"/>
        <v/>
      </c>
      <c r="T1904" s="57" t="str">
        <f t="shared" si="88"/>
        <v/>
      </c>
      <c r="U1904" s="58" t="str">
        <f t="shared" si="89"/>
        <v/>
      </c>
    </row>
    <row r="1905" spans="19:21" ht="23.25" customHeight="1" x14ac:dyDescent="0.35">
      <c r="S1905" s="56" t="str">
        <f t="shared" si="87"/>
        <v/>
      </c>
      <c r="T1905" s="57" t="str">
        <f t="shared" si="88"/>
        <v/>
      </c>
      <c r="U1905" s="58" t="str">
        <f t="shared" si="89"/>
        <v/>
      </c>
    </row>
    <row r="1906" spans="19:21" ht="23.25" customHeight="1" x14ac:dyDescent="0.35">
      <c r="S1906" s="56" t="str">
        <f t="shared" si="87"/>
        <v/>
      </c>
      <c r="T1906" s="57" t="str">
        <f t="shared" si="88"/>
        <v/>
      </c>
      <c r="U1906" s="58" t="str">
        <f t="shared" si="89"/>
        <v/>
      </c>
    </row>
    <row r="1907" spans="19:21" ht="23.25" customHeight="1" x14ac:dyDescent="0.35">
      <c r="S1907" s="56" t="str">
        <f t="shared" si="87"/>
        <v/>
      </c>
      <c r="T1907" s="57" t="str">
        <f t="shared" si="88"/>
        <v/>
      </c>
      <c r="U1907" s="58" t="str">
        <f t="shared" si="89"/>
        <v/>
      </c>
    </row>
    <row r="1908" spans="19:21" ht="23.25" customHeight="1" x14ac:dyDescent="0.35">
      <c r="S1908" s="56" t="str">
        <f t="shared" si="87"/>
        <v/>
      </c>
      <c r="T1908" s="57" t="str">
        <f t="shared" si="88"/>
        <v/>
      </c>
      <c r="U1908" s="58" t="str">
        <f t="shared" si="89"/>
        <v/>
      </c>
    </row>
    <row r="1909" spans="19:21" ht="23.25" customHeight="1" x14ac:dyDescent="0.35">
      <c r="S1909" s="56" t="str">
        <f t="shared" si="87"/>
        <v/>
      </c>
      <c r="T1909" s="57" t="str">
        <f t="shared" si="88"/>
        <v/>
      </c>
      <c r="U1909" s="58" t="str">
        <f t="shared" si="89"/>
        <v/>
      </c>
    </row>
    <row r="1910" spans="19:21" ht="23.25" customHeight="1" x14ac:dyDescent="0.35">
      <c r="S1910" s="56" t="str">
        <f t="shared" si="87"/>
        <v/>
      </c>
      <c r="T1910" s="57" t="str">
        <f t="shared" si="88"/>
        <v/>
      </c>
      <c r="U1910" s="58" t="str">
        <f t="shared" si="89"/>
        <v/>
      </c>
    </row>
    <row r="1911" spans="19:21" ht="23.25" customHeight="1" x14ac:dyDescent="0.35">
      <c r="S1911" s="56" t="str">
        <f t="shared" si="87"/>
        <v/>
      </c>
      <c r="T1911" s="57" t="str">
        <f t="shared" si="88"/>
        <v/>
      </c>
      <c r="U1911" s="58" t="str">
        <f t="shared" si="89"/>
        <v/>
      </c>
    </row>
    <row r="1912" spans="19:21" ht="23.25" customHeight="1" x14ac:dyDescent="0.35">
      <c r="S1912" s="56" t="str">
        <f t="shared" si="87"/>
        <v/>
      </c>
      <c r="T1912" s="57" t="str">
        <f t="shared" si="88"/>
        <v/>
      </c>
      <c r="U1912" s="58" t="str">
        <f t="shared" si="89"/>
        <v/>
      </c>
    </row>
    <row r="1913" spans="19:21" ht="23.25" customHeight="1" x14ac:dyDescent="0.35">
      <c r="S1913" s="56" t="str">
        <f t="shared" si="87"/>
        <v/>
      </c>
      <c r="T1913" s="57" t="str">
        <f t="shared" si="88"/>
        <v/>
      </c>
      <c r="U1913" s="58" t="str">
        <f t="shared" si="89"/>
        <v/>
      </c>
    </row>
    <row r="1914" spans="19:21" ht="23.25" customHeight="1" x14ac:dyDescent="0.35">
      <c r="S1914" s="56" t="str">
        <f t="shared" si="87"/>
        <v/>
      </c>
      <c r="T1914" s="57" t="str">
        <f t="shared" si="88"/>
        <v/>
      </c>
      <c r="U1914" s="58" t="str">
        <f t="shared" si="89"/>
        <v/>
      </c>
    </row>
    <row r="1915" spans="19:21" ht="23.25" customHeight="1" x14ac:dyDescent="0.35">
      <c r="S1915" s="56" t="str">
        <f t="shared" si="87"/>
        <v/>
      </c>
      <c r="T1915" s="57" t="str">
        <f t="shared" si="88"/>
        <v/>
      </c>
      <c r="U1915" s="58" t="str">
        <f t="shared" si="89"/>
        <v/>
      </c>
    </row>
    <row r="1916" spans="19:21" ht="23.25" customHeight="1" x14ac:dyDescent="0.35">
      <c r="S1916" s="56" t="str">
        <f t="shared" si="87"/>
        <v/>
      </c>
      <c r="T1916" s="57" t="str">
        <f t="shared" si="88"/>
        <v/>
      </c>
      <c r="U1916" s="58" t="str">
        <f t="shared" si="89"/>
        <v/>
      </c>
    </row>
    <row r="1917" spans="19:21" ht="23.25" customHeight="1" x14ac:dyDescent="0.35">
      <c r="S1917" s="56" t="str">
        <f t="shared" si="87"/>
        <v/>
      </c>
      <c r="T1917" s="57" t="str">
        <f t="shared" si="88"/>
        <v/>
      </c>
      <c r="U1917" s="58" t="str">
        <f t="shared" si="89"/>
        <v/>
      </c>
    </row>
    <row r="1918" spans="19:21" ht="23.25" customHeight="1" x14ac:dyDescent="0.35">
      <c r="S1918" s="56" t="str">
        <f t="shared" si="87"/>
        <v/>
      </c>
      <c r="T1918" s="57" t="str">
        <f t="shared" si="88"/>
        <v/>
      </c>
      <c r="U1918" s="58" t="str">
        <f t="shared" si="89"/>
        <v/>
      </c>
    </row>
    <row r="1919" spans="19:21" ht="23.25" customHeight="1" x14ac:dyDescent="0.35">
      <c r="S1919" s="56" t="str">
        <f t="shared" si="87"/>
        <v/>
      </c>
      <c r="T1919" s="57" t="str">
        <f t="shared" si="88"/>
        <v/>
      </c>
      <c r="U1919" s="58" t="str">
        <f t="shared" si="89"/>
        <v/>
      </c>
    </row>
    <row r="1920" spans="19:21" ht="23.25" customHeight="1" x14ac:dyDescent="0.35">
      <c r="S1920" s="56" t="str">
        <f t="shared" si="87"/>
        <v/>
      </c>
      <c r="T1920" s="57" t="str">
        <f t="shared" si="88"/>
        <v/>
      </c>
      <c r="U1920" s="58" t="str">
        <f t="shared" si="89"/>
        <v/>
      </c>
    </row>
    <row r="1921" spans="19:21" ht="23.25" customHeight="1" x14ac:dyDescent="0.35">
      <c r="S1921" s="56" t="str">
        <f t="shared" si="87"/>
        <v/>
      </c>
      <c r="T1921" s="57" t="str">
        <f t="shared" si="88"/>
        <v/>
      </c>
      <c r="U1921" s="58" t="str">
        <f t="shared" si="89"/>
        <v/>
      </c>
    </row>
    <row r="1922" spans="19:21" ht="23.25" customHeight="1" x14ac:dyDescent="0.35">
      <c r="S1922" s="56" t="str">
        <f t="shared" si="87"/>
        <v/>
      </c>
      <c r="T1922" s="57" t="str">
        <f t="shared" si="88"/>
        <v/>
      </c>
      <c r="U1922" s="58" t="str">
        <f t="shared" si="89"/>
        <v/>
      </c>
    </row>
    <row r="1923" spans="19:21" ht="23.25" customHeight="1" x14ac:dyDescent="0.35">
      <c r="S1923" s="56" t="str">
        <f t="shared" si="87"/>
        <v/>
      </c>
      <c r="T1923" s="57" t="str">
        <f t="shared" si="88"/>
        <v/>
      </c>
      <c r="U1923" s="58" t="str">
        <f t="shared" si="89"/>
        <v/>
      </c>
    </row>
    <row r="1924" spans="19:21" ht="23.25" customHeight="1" x14ac:dyDescent="0.35">
      <c r="S1924" s="56" t="str">
        <f t="shared" si="87"/>
        <v/>
      </c>
      <c r="T1924" s="57" t="str">
        <f t="shared" si="88"/>
        <v/>
      </c>
      <c r="U1924" s="58" t="str">
        <f t="shared" si="89"/>
        <v/>
      </c>
    </row>
    <row r="1925" spans="19:21" ht="23.25" customHeight="1" x14ac:dyDescent="0.35">
      <c r="S1925" s="56" t="str">
        <f t="shared" si="87"/>
        <v/>
      </c>
      <c r="T1925" s="57" t="str">
        <f t="shared" si="88"/>
        <v/>
      </c>
      <c r="U1925" s="58" t="str">
        <f t="shared" si="89"/>
        <v/>
      </c>
    </row>
    <row r="1926" spans="19:21" ht="23.25" customHeight="1" x14ac:dyDescent="0.35">
      <c r="S1926" s="56" t="str">
        <f t="shared" si="87"/>
        <v/>
      </c>
      <c r="T1926" s="57" t="str">
        <f t="shared" si="88"/>
        <v/>
      </c>
      <c r="U1926" s="58" t="str">
        <f t="shared" si="89"/>
        <v/>
      </c>
    </row>
    <row r="1927" spans="19:21" ht="23.25" customHeight="1" x14ac:dyDescent="0.35">
      <c r="S1927" s="56" t="str">
        <f t="shared" si="87"/>
        <v/>
      </c>
      <c r="T1927" s="57" t="str">
        <f t="shared" si="88"/>
        <v/>
      </c>
      <c r="U1927" s="58" t="str">
        <f t="shared" si="89"/>
        <v/>
      </c>
    </row>
    <row r="1928" spans="19:21" ht="23.25" customHeight="1" x14ac:dyDescent="0.35">
      <c r="S1928" s="56" t="str">
        <f t="shared" si="87"/>
        <v/>
      </c>
      <c r="T1928" s="57" t="str">
        <f t="shared" si="88"/>
        <v/>
      </c>
      <c r="U1928" s="58" t="str">
        <f t="shared" si="89"/>
        <v/>
      </c>
    </row>
    <row r="1929" spans="19:21" ht="23.25" customHeight="1" x14ac:dyDescent="0.35">
      <c r="S1929" s="56" t="str">
        <f t="shared" ref="S1929:S1992" si="90">IF(A1929="","",A$5-A1929)</f>
        <v/>
      </c>
      <c r="T1929" s="57" t="str">
        <f t="shared" ref="T1929:T1992" si="91">IF(S1929="","",IF(S1929&lt;4,"0-3 Days",IF(S1929&lt;31,"4-30 Days",IF(S1929&lt;61,"31-60 Days",IF(S1929&lt;=90,"61-90 Days",IF(S1929&gt;90,"Above 90 Days","0"))))))</f>
        <v/>
      </c>
      <c r="U1929" s="58" t="str">
        <f t="shared" ref="U1929:U1992" si="92">IF(C1929="","",IF(C1929&gt;0,IF(S1929&lt;30,"Normal",IF(S1929&lt;60,"Especially Mentioned",IF(S1929&lt;90,"Substandard",IF(S1929&lt;=180,"Doubtful",IF(S1929&gt;180,"Loss","0"))))),"Not Applicable"))</f>
        <v/>
      </c>
    </row>
    <row r="1930" spans="19:21" ht="23.25" customHeight="1" x14ac:dyDescent="0.35">
      <c r="S1930" s="56" t="str">
        <f t="shared" si="90"/>
        <v/>
      </c>
      <c r="T1930" s="57" t="str">
        <f t="shared" si="91"/>
        <v/>
      </c>
      <c r="U1930" s="58" t="str">
        <f t="shared" si="92"/>
        <v/>
      </c>
    </row>
    <row r="1931" spans="19:21" ht="23.25" customHeight="1" x14ac:dyDescent="0.35">
      <c r="S1931" s="56" t="str">
        <f t="shared" si="90"/>
        <v/>
      </c>
      <c r="T1931" s="57" t="str">
        <f t="shared" si="91"/>
        <v/>
      </c>
      <c r="U1931" s="58" t="str">
        <f t="shared" si="92"/>
        <v/>
      </c>
    </row>
    <row r="1932" spans="19:21" ht="23.25" customHeight="1" x14ac:dyDescent="0.35">
      <c r="S1932" s="56" t="str">
        <f t="shared" si="90"/>
        <v/>
      </c>
      <c r="T1932" s="57" t="str">
        <f t="shared" si="91"/>
        <v/>
      </c>
      <c r="U1932" s="58" t="str">
        <f t="shared" si="92"/>
        <v/>
      </c>
    </row>
    <row r="1933" spans="19:21" ht="23.25" customHeight="1" x14ac:dyDescent="0.35">
      <c r="S1933" s="56" t="str">
        <f t="shared" si="90"/>
        <v/>
      </c>
      <c r="T1933" s="57" t="str">
        <f t="shared" si="91"/>
        <v/>
      </c>
      <c r="U1933" s="58" t="str">
        <f t="shared" si="92"/>
        <v/>
      </c>
    </row>
    <row r="1934" spans="19:21" ht="23.25" customHeight="1" x14ac:dyDescent="0.35">
      <c r="S1934" s="56" t="str">
        <f t="shared" si="90"/>
        <v/>
      </c>
      <c r="T1934" s="57" t="str">
        <f t="shared" si="91"/>
        <v/>
      </c>
      <c r="U1934" s="58" t="str">
        <f t="shared" si="92"/>
        <v/>
      </c>
    </row>
    <row r="1935" spans="19:21" ht="23.25" customHeight="1" x14ac:dyDescent="0.35">
      <c r="S1935" s="56" t="str">
        <f t="shared" si="90"/>
        <v/>
      </c>
      <c r="T1935" s="57" t="str">
        <f t="shared" si="91"/>
        <v/>
      </c>
      <c r="U1935" s="58" t="str">
        <f t="shared" si="92"/>
        <v/>
      </c>
    </row>
    <row r="1936" spans="19:21" ht="23.25" customHeight="1" x14ac:dyDescent="0.35">
      <c r="S1936" s="56" t="str">
        <f t="shared" si="90"/>
        <v/>
      </c>
      <c r="T1936" s="57" t="str">
        <f t="shared" si="91"/>
        <v/>
      </c>
      <c r="U1936" s="58" t="str">
        <f t="shared" si="92"/>
        <v/>
      </c>
    </row>
    <row r="1937" spans="19:21" ht="23.25" customHeight="1" x14ac:dyDescent="0.35">
      <c r="S1937" s="56" t="str">
        <f t="shared" si="90"/>
        <v/>
      </c>
      <c r="T1937" s="57" t="str">
        <f t="shared" si="91"/>
        <v/>
      </c>
      <c r="U1937" s="58" t="str">
        <f t="shared" si="92"/>
        <v/>
      </c>
    </row>
    <row r="1938" spans="19:21" ht="23.25" customHeight="1" x14ac:dyDescent="0.35">
      <c r="S1938" s="56" t="str">
        <f t="shared" si="90"/>
        <v/>
      </c>
      <c r="T1938" s="57" t="str">
        <f t="shared" si="91"/>
        <v/>
      </c>
      <c r="U1938" s="58" t="str">
        <f t="shared" si="92"/>
        <v/>
      </c>
    </row>
    <row r="1939" spans="19:21" ht="23.25" customHeight="1" x14ac:dyDescent="0.35">
      <c r="S1939" s="56" t="str">
        <f t="shared" si="90"/>
        <v/>
      </c>
      <c r="T1939" s="57" t="str">
        <f t="shared" si="91"/>
        <v/>
      </c>
      <c r="U1939" s="58" t="str">
        <f t="shared" si="92"/>
        <v/>
      </c>
    </row>
    <row r="1940" spans="19:21" ht="23.25" customHeight="1" x14ac:dyDescent="0.35">
      <c r="S1940" s="56" t="str">
        <f t="shared" si="90"/>
        <v/>
      </c>
      <c r="T1940" s="57" t="str">
        <f t="shared" si="91"/>
        <v/>
      </c>
      <c r="U1940" s="58" t="str">
        <f t="shared" si="92"/>
        <v/>
      </c>
    </row>
    <row r="1941" spans="19:21" ht="23.25" customHeight="1" x14ac:dyDescent="0.35">
      <c r="S1941" s="56" t="str">
        <f t="shared" si="90"/>
        <v/>
      </c>
      <c r="T1941" s="57" t="str">
        <f t="shared" si="91"/>
        <v/>
      </c>
      <c r="U1941" s="58" t="str">
        <f t="shared" si="92"/>
        <v/>
      </c>
    </row>
    <row r="1942" spans="19:21" ht="23.25" customHeight="1" x14ac:dyDescent="0.35">
      <c r="S1942" s="56" t="str">
        <f t="shared" si="90"/>
        <v/>
      </c>
      <c r="T1942" s="57" t="str">
        <f t="shared" si="91"/>
        <v/>
      </c>
      <c r="U1942" s="58" t="str">
        <f t="shared" si="92"/>
        <v/>
      </c>
    </row>
    <row r="1943" spans="19:21" ht="23.25" customHeight="1" x14ac:dyDescent="0.35">
      <c r="S1943" s="56" t="str">
        <f t="shared" si="90"/>
        <v/>
      </c>
      <c r="T1943" s="57" t="str">
        <f t="shared" si="91"/>
        <v/>
      </c>
      <c r="U1943" s="58" t="str">
        <f t="shared" si="92"/>
        <v/>
      </c>
    </row>
    <row r="1944" spans="19:21" ht="23.25" customHeight="1" x14ac:dyDescent="0.35">
      <c r="S1944" s="56" t="str">
        <f t="shared" si="90"/>
        <v/>
      </c>
      <c r="T1944" s="57" t="str">
        <f t="shared" si="91"/>
        <v/>
      </c>
      <c r="U1944" s="58" t="str">
        <f t="shared" si="92"/>
        <v/>
      </c>
    </row>
    <row r="1945" spans="19:21" ht="23.25" customHeight="1" x14ac:dyDescent="0.35">
      <c r="S1945" s="56" t="str">
        <f t="shared" si="90"/>
        <v/>
      </c>
      <c r="T1945" s="57" t="str">
        <f t="shared" si="91"/>
        <v/>
      </c>
      <c r="U1945" s="58" t="str">
        <f t="shared" si="92"/>
        <v/>
      </c>
    </row>
    <row r="1946" spans="19:21" ht="23.25" customHeight="1" x14ac:dyDescent="0.35">
      <c r="S1946" s="56" t="str">
        <f t="shared" si="90"/>
        <v/>
      </c>
      <c r="T1946" s="57" t="str">
        <f t="shared" si="91"/>
        <v/>
      </c>
      <c r="U1946" s="58" t="str">
        <f t="shared" si="92"/>
        <v/>
      </c>
    </row>
    <row r="1947" spans="19:21" ht="23.25" customHeight="1" x14ac:dyDescent="0.35">
      <c r="S1947" s="56" t="str">
        <f t="shared" si="90"/>
        <v/>
      </c>
      <c r="T1947" s="57" t="str">
        <f t="shared" si="91"/>
        <v/>
      </c>
      <c r="U1947" s="58" t="str">
        <f t="shared" si="92"/>
        <v/>
      </c>
    </row>
    <row r="1948" spans="19:21" ht="23.25" customHeight="1" x14ac:dyDescent="0.35">
      <c r="S1948" s="56" t="str">
        <f t="shared" si="90"/>
        <v/>
      </c>
      <c r="T1948" s="57" t="str">
        <f t="shared" si="91"/>
        <v/>
      </c>
      <c r="U1948" s="58" t="str">
        <f t="shared" si="92"/>
        <v/>
      </c>
    </row>
    <row r="1949" spans="19:21" ht="23.25" customHeight="1" x14ac:dyDescent="0.35">
      <c r="S1949" s="56" t="str">
        <f t="shared" si="90"/>
        <v/>
      </c>
      <c r="T1949" s="57" t="str">
        <f t="shared" si="91"/>
        <v/>
      </c>
      <c r="U1949" s="58" t="str">
        <f t="shared" si="92"/>
        <v/>
      </c>
    </row>
    <row r="1950" spans="19:21" ht="23.25" customHeight="1" x14ac:dyDescent="0.35">
      <c r="S1950" s="56" t="str">
        <f t="shared" si="90"/>
        <v/>
      </c>
      <c r="T1950" s="57" t="str">
        <f t="shared" si="91"/>
        <v/>
      </c>
      <c r="U1950" s="58" t="str">
        <f t="shared" si="92"/>
        <v/>
      </c>
    </row>
    <row r="1951" spans="19:21" ht="23.25" customHeight="1" x14ac:dyDescent="0.35">
      <c r="S1951" s="56" t="str">
        <f t="shared" si="90"/>
        <v/>
      </c>
      <c r="T1951" s="57" t="str">
        <f t="shared" si="91"/>
        <v/>
      </c>
      <c r="U1951" s="58" t="str">
        <f t="shared" si="92"/>
        <v/>
      </c>
    </row>
    <row r="1952" spans="19:21" ht="23.25" customHeight="1" x14ac:dyDescent="0.35">
      <c r="S1952" s="56" t="str">
        <f t="shared" si="90"/>
        <v/>
      </c>
      <c r="T1952" s="57" t="str">
        <f t="shared" si="91"/>
        <v/>
      </c>
      <c r="U1952" s="58" t="str">
        <f t="shared" si="92"/>
        <v/>
      </c>
    </row>
    <row r="1953" spans="19:21" ht="23.25" customHeight="1" x14ac:dyDescent="0.35">
      <c r="S1953" s="56" t="str">
        <f t="shared" si="90"/>
        <v/>
      </c>
      <c r="T1953" s="57" t="str">
        <f t="shared" si="91"/>
        <v/>
      </c>
      <c r="U1953" s="58" t="str">
        <f t="shared" si="92"/>
        <v/>
      </c>
    </row>
    <row r="1954" spans="19:21" ht="23.25" customHeight="1" x14ac:dyDescent="0.35">
      <c r="S1954" s="56" t="str">
        <f t="shared" si="90"/>
        <v/>
      </c>
      <c r="T1954" s="57" t="str">
        <f t="shared" si="91"/>
        <v/>
      </c>
      <c r="U1954" s="58" t="str">
        <f t="shared" si="92"/>
        <v/>
      </c>
    </row>
    <row r="1955" spans="19:21" ht="23.25" customHeight="1" x14ac:dyDescent="0.35">
      <c r="S1955" s="56" t="str">
        <f t="shared" si="90"/>
        <v/>
      </c>
      <c r="T1955" s="57" t="str">
        <f t="shared" si="91"/>
        <v/>
      </c>
      <c r="U1955" s="58" t="str">
        <f t="shared" si="92"/>
        <v/>
      </c>
    </row>
    <row r="1956" spans="19:21" ht="23.25" customHeight="1" x14ac:dyDescent="0.35">
      <c r="S1956" s="56" t="str">
        <f t="shared" si="90"/>
        <v/>
      </c>
      <c r="T1956" s="57" t="str">
        <f t="shared" si="91"/>
        <v/>
      </c>
      <c r="U1956" s="58" t="str">
        <f t="shared" si="92"/>
        <v/>
      </c>
    </row>
    <row r="1957" spans="19:21" ht="23.25" customHeight="1" x14ac:dyDescent="0.35">
      <c r="S1957" s="56" t="str">
        <f t="shared" si="90"/>
        <v/>
      </c>
      <c r="T1957" s="57" t="str">
        <f t="shared" si="91"/>
        <v/>
      </c>
      <c r="U1957" s="58" t="str">
        <f t="shared" si="92"/>
        <v/>
      </c>
    </row>
    <row r="1958" spans="19:21" ht="23.25" customHeight="1" x14ac:dyDescent="0.35">
      <c r="S1958" s="56" t="str">
        <f t="shared" si="90"/>
        <v/>
      </c>
      <c r="T1958" s="57" t="str">
        <f t="shared" si="91"/>
        <v/>
      </c>
      <c r="U1958" s="58" t="str">
        <f t="shared" si="92"/>
        <v/>
      </c>
    </row>
    <row r="1959" spans="19:21" ht="23.25" customHeight="1" x14ac:dyDescent="0.35">
      <c r="S1959" s="56" t="str">
        <f t="shared" si="90"/>
        <v/>
      </c>
      <c r="T1959" s="57" t="str">
        <f t="shared" si="91"/>
        <v/>
      </c>
      <c r="U1959" s="58" t="str">
        <f t="shared" si="92"/>
        <v/>
      </c>
    </row>
    <row r="1960" spans="19:21" ht="23.25" customHeight="1" x14ac:dyDescent="0.35">
      <c r="S1960" s="56" t="str">
        <f t="shared" si="90"/>
        <v/>
      </c>
      <c r="T1960" s="57" t="str">
        <f t="shared" si="91"/>
        <v/>
      </c>
      <c r="U1960" s="58" t="str">
        <f t="shared" si="92"/>
        <v/>
      </c>
    </row>
    <row r="1961" spans="19:21" ht="23.25" customHeight="1" x14ac:dyDescent="0.35">
      <c r="S1961" s="56" t="str">
        <f t="shared" si="90"/>
        <v/>
      </c>
      <c r="T1961" s="57" t="str">
        <f t="shared" si="91"/>
        <v/>
      </c>
      <c r="U1961" s="58" t="str">
        <f t="shared" si="92"/>
        <v/>
      </c>
    </row>
    <row r="1962" spans="19:21" ht="23.25" customHeight="1" x14ac:dyDescent="0.35">
      <c r="S1962" s="56" t="str">
        <f t="shared" si="90"/>
        <v/>
      </c>
      <c r="T1962" s="57" t="str">
        <f t="shared" si="91"/>
        <v/>
      </c>
      <c r="U1962" s="58" t="str">
        <f t="shared" si="92"/>
        <v/>
      </c>
    </row>
    <row r="1963" spans="19:21" ht="23.25" customHeight="1" x14ac:dyDescent="0.35">
      <c r="S1963" s="56" t="str">
        <f t="shared" si="90"/>
        <v/>
      </c>
      <c r="T1963" s="57" t="str">
        <f t="shared" si="91"/>
        <v/>
      </c>
      <c r="U1963" s="58" t="str">
        <f t="shared" si="92"/>
        <v/>
      </c>
    </row>
    <row r="1964" spans="19:21" ht="23.25" customHeight="1" x14ac:dyDescent="0.35">
      <c r="S1964" s="56" t="str">
        <f t="shared" si="90"/>
        <v/>
      </c>
      <c r="T1964" s="57" t="str">
        <f t="shared" si="91"/>
        <v/>
      </c>
      <c r="U1964" s="58" t="str">
        <f t="shared" si="92"/>
        <v/>
      </c>
    </row>
    <row r="1965" spans="19:21" ht="23.25" customHeight="1" x14ac:dyDescent="0.35">
      <c r="S1965" s="56" t="str">
        <f t="shared" si="90"/>
        <v/>
      </c>
      <c r="T1965" s="57" t="str">
        <f t="shared" si="91"/>
        <v/>
      </c>
      <c r="U1965" s="58" t="str">
        <f t="shared" si="92"/>
        <v/>
      </c>
    </row>
    <row r="1966" spans="19:21" ht="23.25" customHeight="1" x14ac:dyDescent="0.35">
      <c r="S1966" s="56" t="str">
        <f t="shared" si="90"/>
        <v/>
      </c>
      <c r="T1966" s="57" t="str">
        <f t="shared" si="91"/>
        <v/>
      </c>
      <c r="U1966" s="58" t="str">
        <f t="shared" si="92"/>
        <v/>
      </c>
    </row>
    <row r="1967" spans="19:21" ht="23.25" customHeight="1" x14ac:dyDescent="0.35">
      <c r="S1967" s="56" t="str">
        <f t="shared" si="90"/>
        <v/>
      </c>
      <c r="T1967" s="57" t="str">
        <f t="shared" si="91"/>
        <v/>
      </c>
      <c r="U1967" s="58" t="str">
        <f t="shared" si="92"/>
        <v/>
      </c>
    </row>
    <row r="1968" spans="19:21" ht="23.25" customHeight="1" x14ac:dyDescent="0.35">
      <c r="S1968" s="56" t="str">
        <f t="shared" si="90"/>
        <v/>
      </c>
      <c r="T1968" s="57" t="str">
        <f t="shared" si="91"/>
        <v/>
      </c>
      <c r="U1968" s="58" t="str">
        <f t="shared" si="92"/>
        <v/>
      </c>
    </row>
    <row r="1969" spans="19:21" ht="23.25" customHeight="1" x14ac:dyDescent="0.35">
      <c r="S1969" s="56" t="str">
        <f t="shared" si="90"/>
        <v/>
      </c>
      <c r="T1969" s="57" t="str">
        <f t="shared" si="91"/>
        <v/>
      </c>
      <c r="U1969" s="58" t="str">
        <f t="shared" si="92"/>
        <v/>
      </c>
    </row>
    <row r="1970" spans="19:21" ht="23.25" customHeight="1" x14ac:dyDescent="0.35">
      <c r="S1970" s="56" t="str">
        <f t="shared" si="90"/>
        <v/>
      </c>
      <c r="T1970" s="57" t="str">
        <f t="shared" si="91"/>
        <v/>
      </c>
      <c r="U1970" s="58" t="str">
        <f t="shared" si="92"/>
        <v/>
      </c>
    </row>
    <row r="1971" spans="19:21" ht="23.25" customHeight="1" x14ac:dyDescent="0.35">
      <c r="S1971" s="56" t="str">
        <f t="shared" si="90"/>
        <v/>
      </c>
      <c r="T1971" s="57" t="str">
        <f t="shared" si="91"/>
        <v/>
      </c>
      <c r="U1971" s="58" t="str">
        <f t="shared" si="92"/>
        <v/>
      </c>
    </row>
    <row r="1972" spans="19:21" ht="23.25" customHeight="1" x14ac:dyDescent="0.35">
      <c r="S1972" s="56" t="str">
        <f t="shared" si="90"/>
        <v/>
      </c>
      <c r="T1972" s="57" t="str">
        <f t="shared" si="91"/>
        <v/>
      </c>
      <c r="U1972" s="58" t="str">
        <f t="shared" si="92"/>
        <v/>
      </c>
    </row>
    <row r="1973" spans="19:21" ht="23.25" customHeight="1" x14ac:dyDescent="0.35">
      <c r="S1973" s="56" t="str">
        <f t="shared" si="90"/>
        <v/>
      </c>
      <c r="T1973" s="57" t="str">
        <f t="shared" si="91"/>
        <v/>
      </c>
      <c r="U1973" s="58" t="str">
        <f t="shared" si="92"/>
        <v/>
      </c>
    </row>
    <row r="1974" spans="19:21" ht="23.25" customHeight="1" x14ac:dyDescent="0.35">
      <c r="S1974" s="56" t="str">
        <f t="shared" si="90"/>
        <v/>
      </c>
      <c r="T1974" s="57" t="str">
        <f t="shared" si="91"/>
        <v/>
      </c>
      <c r="U1974" s="58" t="str">
        <f t="shared" si="92"/>
        <v/>
      </c>
    </row>
    <row r="1975" spans="19:21" ht="23.25" customHeight="1" x14ac:dyDescent="0.35">
      <c r="S1975" s="56" t="str">
        <f t="shared" si="90"/>
        <v/>
      </c>
      <c r="T1975" s="57" t="str">
        <f t="shared" si="91"/>
        <v/>
      </c>
      <c r="U1975" s="58" t="str">
        <f t="shared" si="92"/>
        <v/>
      </c>
    </row>
    <row r="1976" spans="19:21" ht="23.25" customHeight="1" x14ac:dyDescent="0.35">
      <c r="S1976" s="56" t="str">
        <f t="shared" si="90"/>
        <v/>
      </c>
      <c r="T1976" s="57" t="str">
        <f t="shared" si="91"/>
        <v/>
      </c>
      <c r="U1976" s="58" t="str">
        <f t="shared" si="92"/>
        <v/>
      </c>
    </row>
    <row r="1977" spans="19:21" ht="23.25" customHeight="1" x14ac:dyDescent="0.35">
      <c r="S1977" s="56" t="str">
        <f t="shared" si="90"/>
        <v/>
      </c>
      <c r="T1977" s="57" t="str">
        <f t="shared" si="91"/>
        <v/>
      </c>
      <c r="U1977" s="58" t="str">
        <f t="shared" si="92"/>
        <v/>
      </c>
    </row>
    <row r="1978" spans="19:21" ht="23.25" customHeight="1" x14ac:dyDescent="0.35">
      <c r="S1978" s="56" t="str">
        <f t="shared" si="90"/>
        <v/>
      </c>
      <c r="T1978" s="57" t="str">
        <f t="shared" si="91"/>
        <v/>
      </c>
      <c r="U1978" s="58" t="str">
        <f t="shared" si="92"/>
        <v/>
      </c>
    </row>
    <row r="1979" spans="19:21" ht="23.25" customHeight="1" x14ac:dyDescent="0.35">
      <c r="S1979" s="56" t="str">
        <f t="shared" si="90"/>
        <v/>
      </c>
      <c r="T1979" s="57" t="str">
        <f t="shared" si="91"/>
        <v/>
      </c>
      <c r="U1979" s="58" t="str">
        <f t="shared" si="92"/>
        <v/>
      </c>
    </row>
    <row r="1980" spans="19:21" ht="23.25" customHeight="1" x14ac:dyDescent="0.35">
      <c r="S1980" s="56" t="str">
        <f t="shared" si="90"/>
        <v/>
      </c>
      <c r="T1980" s="57" t="str">
        <f t="shared" si="91"/>
        <v/>
      </c>
      <c r="U1980" s="58" t="str">
        <f t="shared" si="92"/>
        <v/>
      </c>
    </row>
    <row r="1981" spans="19:21" ht="23.25" customHeight="1" x14ac:dyDescent="0.35">
      <c r="S1981" s="56" t="str">
        <f t="shared" si="90"/>
        <v/>
      </c>
      <c r="T1981" s="57" t="str">
        <f t="shared" si="91"/>
        <v/>
      </c>
      <c r="U1981" s="58" t="str">
        <f t="shared" si="92"/>
        <v/>
      </c>
    </row>
    <row r="1982" spans="19:21" ht="23.25" customHeight="1" x14ac:dyDescent="0.35">
      <c r="S1982" s="56" t="str">
        <f t="shared" si="90"/>
        <v/>
      </c>
      <c r="T1982" s="57" t="str">
        <f t="shared" si="91"/>
        <v/>
      </c>
      <c r="U1982" s="58" t="str">
        <f t="shared" si="92"/>
        <v/>
      </c>
    </row>
    <row r="1983" spans="19:21" ht="23.25" customHeight="1" x14ac:dyDescent="0.35">
      <c r="S1983" s="56" t="str">
        <f t="shared" si="90"/>
        <v/>
      </c>
      <c r="T1983" s="57" t="str">
        <f t="shared" si="91"/>
        <v/>
      </c>
      <c r="U1983" s="58" t="str">
        <f t="shared" si="92"/>
        <v/>
      </c>
    </row>
    <row r="1984" spans="19:21" ht="23.25" customHeight="1" x14ac:dyDescent="0.35">
      <c r="S1984" s="56" t="str">
        <f t="shared" si="90"/>
        <v/>
      </c>
      <c r="T1984" s="57" t="str">
        <f t="shared" si="91"/>
        <v/>
      </c>
      <c r="U1984" s="58" t="str">
        <f t="shared" si="92"/>
        <v/>
      </c>
    </row>
    <row r="1985" spans="19:21" ht="23.25" customHeight="1" x14ac:dyDescent="0.35">
      <c r="S1985" s="56" t="str">
        <f t="shared" si="90"/>
        <v/>
      </c>
      <c r="T1985" s="57" t="str">
        <f t="shared" si="91"/>
        <v/>
      </c>
      <c r="U1985" s="58" t="str">
        <f t="shared" si="92"/>
        <v/>
      </c>
    </row>
    <row r="1986" spans="19:21" ht="23.25" customHeight="1" x14ac:dyDescent="0.35">
      <c r="S1986" s="56" t="str">
        <f t="shared" si="90"/>
        <v/>
      </c>
      <c r="T1986" s="57" t="str">
        <f t="shared" si="91"/>
        <v/>
      </c>
      <c r="U1986" s="58" t="str">
        <f t="shared" si="92"/>
        <v/>
      </c>
    </row>
    <row r="1987" spans="19:21" ht="23.25" customHeight="1" x14ac:dyDescent="0.35">
      <c r="S1987" s="56" t="str">
        <f t="shared" si="90"/>
        <v/>
      </c>
      <c r="T1987" s="57" t="str">
        <f t="shared" si="91"/>
        <v/>
      </c>
      <c r="U1987" s="58" t="str">
        <f t="shared" si="92"/>
        <v/>
      </c>
    </row>
    <row r="1988" spans="19:21" ht="23.25" customHeight="1" x14ac:dyDescent="0.35">
      <c r="S1988" s="56" t="str">
        <f t="shared" si="90"/>
        <v/>
      </c>
      <c r="T1988" s="57" t="str">
        <f t="shared" si="91"/>
        <v/>
      </c>
      <c r="U1988" s="58" t="str">
        <f t="shared" si="92"/>
        <v/>
      </c>
    </row>
    <row r="1989" spans="19:21" ht="23.25" customHeight="1" x14ac:dyDescent="0.35">
      <c r="S1989" s="56" t="str">
        <f t="shared" si="90"/>
        <v/>
      </c>
      <c r="T1989" s="57" t="str">
        <f t="shared" si="91"/>
        <v/>
      </c>
      <c r="U1989" s="58" t="str">
        <f t="shared" si="92"/>
        <v/>
      </c>
    </row>
    <row r="1990" spans="19:21" ht="23.25" customHeight="1" x14ac:dyDescent="0.35">
      <c r="S1990" s="56" t="str">
        <f t="shared" si="90"/>
        <v/>
      </c>
      <c r="T1990" s="57" t="str">
        <f t="shared" si="91"/>
        <v/>
      </c>
      <c r="U1990" s="58" t="str">
        <f t="shared" si="92"/>
        <v/>
      </c>
    </row>
    <row r="1991" spans="19:21" ht="23.25" customHeight="1" x14ac:dyDescent="0.35">
      <c r="S1991" s="56" t="str">
        <f t="shared" si="90"/>
        <v/>
      </c>
      <c r="T1991" s="57" t="str">
        <f t="shared" si="91"/>
        <v/>
      </c>
      <c r="U1991" s="58" t="str">
        <f t="shared" si="92"/>
        <v/>
      </c>
    </row>
    <row r="1992" spans="19:21" ht="23.25" customHeight="1" x14ac:dyDescent="0.35">
      <c r="S1992" s="56" t="str">
        <f t="shared" si="90"/>
        <v/>
      </c>
      <c r="T1992" s="57" t="str">
        <f t="shared" si="91"/>
        <v/>
      </c>
      <c r="U1992" s="58" t="str">
        <f t="shared" si="92"/>
        <v/>
      </c>
    </row>
    <row r="1993" spans="19:21" ht="23.25" customHeight="1" x14ac:dyDescent="0.35">
      <c r="S1993" s="56" t="str">
        <f t="shared" ref="S1993:S2056" si="93">IF(A1993="","",A$5-A1993)</f>
        <v/>
      </c>
      <c r="T1993" s="57" t="str">
        <f t="shared" ref="T1993:T2056" si="94">IF(S1993="","",IF(S1993&lt;4,"0-3 Days",IF(S1993&lt;31,"4-30 Days",IF(S1993&lt;61,"31-60 Days",IF(S1993&lt;=90,"61-90 Days",IF(S1993&gt;90,"Above 90 Days","0"))))))</f>
        <v/>
      </c>
      <c r="U1993" s="58" t="str">
        <f t="shared" ref="U1993:U2056" si="95">IF(C1993="","",IF(C1993&gt;0,IF(S1993&lt;30,"Normal",IF(S1993&lt;60,"Especially Mentioned",IF(S1993&lt;90,"Substandard",IF(S1993&lt;=180,"Doubtful",IF(S1993&gt;180,"Loss","0"))))),"Not Applicable"))</f>
        <v/>
      </c>
    </row>
    <row r="1994" spans="19:21" ht="23.25" customHeight="1" x14ac:dyDescent="0.35">
      <c r="S1994" s="56" t="str">
        <f t="shared" si="93"/>
        <v/>
      </c>
      <c r="T1994" s="57" t="str">
        <f t="shared" si="94"/>
        <v/>
      </c>
      <c r="U1994" s="58" t="str">
        <f t="shared" si="95"/>
        <v/>
      </c>
    </row>
    <row r="1995" spans="19:21" ht="23.25" customHeight="1" x14ac:dyDescent="0.35">
      <c r="S1995" s="56" t="str">
        <f t="shared" si="93"/>
        <v/>
      </c>
      <c r="T1995" s="57" t="str">
        <f t="shared" si="94"/>
        <v/>
      </c>
      <c r="U1995" s="58" t="str">
        <f t="shared" si="95"/>
        <v/>
      </c>
    </row>
    <row r="1996" spans="19:21" ht="23.25" customHeight="1" x14ac:dyDescent="0.35">
      <c r="S1996" s="56" t="str">
        <f t="shared" si="93"/>
        <v/>
      </c>
      <c r="T1996" s="57" t="str">
        <f t="shared" si="94"/>
        <v/>
      </c>
      <c r="U1996" s="58" t="str">
        <f t="shared" si="95"/>
        <v/>
      </c>
    </row>
    <row r="1997" spans="19:21" ht="23.25" customHeight="1" x14ac:dyDescent="0.35">
      <c r="S1997" s="56" t="str">
        <f t="shared" si="93"/>
        <v/>
      </c>
      <c r="T1997" s="57" t="str">
        <f t="shared" si="94"/>
        <v/>
      </c>
      <c r="U1997" s="58" t="str">
        <f t="shared" si="95"/>
        <v/>
      </c>
    </row>
    <row r="1998" spans="19:21" ht="23.25" customHeight="1" x14ac:dyDescent="0.35">
      <c r="S1998" s="56" t="str">
        <f t="shared" si="93"/>
        <v/>
      </c>
      <c r="T1998" s="57" t="str">
        <f t="shared" si="94"/>
        <v/>
      </c>
      <c r="U1998" s="58" t="str">
        <f t="shared" si="95"/>
        <v/>
      </c>
    </row>
    <row r="1999" spans="19:21" ht="23.25" customHeight="1" x14ac:dyDescent="0.35">
      <c r="S1999" s="56" t="str">
        <f t="shared" si="93"/>
        <v/>
      </c>
      <c r="T1999" s="57" t="str">
        <f t="shared" si="94"/>
        <v/>
      </c>
      <c r="U1999" s="58" t="str">
        <f t="shared" si="95"/>
        <v/>
      </c>
    </row>
    <row r="2000" spans="19:21" ht="23.25" customHeight="1" x14ac:dyDescent="0.35">
      <c r="S2000" s="56" t="str">
        <f t="shared" si="93"/>
        <v/>
      </c>
      <c r="T2000" s="57" t="str">
        <f t="shared" si="94"/>
        <v/>
      </c>
      <c r="U2000" s="58" t="str">
        <f t="shared" si="95"/>
        <v/>
      </c>
    </row>
    <row r="2001" spans="19:21" ht="23.25" customHeight="1" x14ac:dyDescent="0.35">
      <c r="S2001" s="56" t="str">
        <f t="shared" si="93"/>
        <v/>
      </c>
      <c r="T2001" s="57" t="str">
        <f t="shared" si="94"/>
        <v/>
      </c>
      <c r="U2001" s="58" t="str">
        <f t="shared" si="95"/>
        <v/>
      </c>
    </row>
    <row r="2002" spans="19:21" ht="23.25" customHeight="1" x14ac:dyDescent="0.35">
      <c r="S2002" s="56" t="str">
        <f t="shared" si="93"/>
        <v/>
      </c>
      <c r="T2002" s="57" t="str">
        <f t="shared" si="94"/>
        <v/>
      </c>
      <c r="U2002" s="58" t="str">
        <f t="shared" si="95"/>
        <v/>
      </c>
    </row>
    <row r="2003" spans="19:21" ht="23.25" customHeight="1" x14ac:dyDescent="0.35">
      <c r="S2003" s="56" t="str">
        <f t="shared" si="93"/>
        <v/>
      </c>
      <c r="T2003" s="57" t="str">
        <f t="shared" si="94"/>
        <v/>
      </c>
      <c r="U2003" s="58" t="str">
        <f t="shared" si="95"/>
        <v/>
      </c>
    </row>
    <row r="2004" spans="19:21" ht="23.25" customHeight="1" x14ac:dyDescent="0.35">
      <c r="S2004" s="56" t="str">
        <f t="shared" si="93"/>
        <v/>
      </c>
      <c r="T2004" s="57" t="str">
        <f t="shared" si="94"/>
        <v/>
      </c>
      <c r="U2004" s="58" t="str">
        <f t="shared" si="95"/>
        <v/>
      </c>
    </row>
    <row r="2005" spans="19:21" ht="23.25" customHeight="1" x14ac:dyDescent="0.35">
      <c r="S2005" s="56" t="str">
        <f t="shared" si="93"/>
        <v/>
      </c>
      <c r="T2005" s="57" t="str">
        <f t="shared" si="94"/>
        <v/>
      </c>
      <c r="U2005" s="58" t="str">
        <f t="shared" si="95"/>
        <v/>
      </c>
    </row>
    <row r="2006" spans="19:21" ht="23.25" customHeight="1" x14ac:dyDescent="0.35">
      <c r="S2006" s="56" t="str">
        <f t="shared" si="93"/>
        <v/>
      </c>
      <c r="T2006" s="57" t="str">
        <f t="shared" si="94"/>
        <v/>
      </c>
      <c r="U2006" s="58" t="str">
        <f t="shared" si="95"/>
        <v/>
      </c>
    </row>
    <row r="2007" spans="19:21" ht="23.25" customHeight="1" x14ac:dyDescent="0.35">
      <c r="S2007" s="56" t="str">
        <f t="shared" si="93"/>
        <v/>
      </c>
      <c r="T2007" s="57" t="str">
        <f t="shared" si="94"/>
        <v/>
      </c>
      <c r="U2007" s="58" t="str">
        <f t="shared" si="95"/>
        <v/>
      </c>
    </row>
    <row r="2008" spans="19:21" ht="23.25" customHeight="1" x14ac:dyDescent="0.35">
      <c r="S2008" s="56" t="str">
        <f t="shared" si="93"/>
        <v/>
      </c>
      <c r="T2008" s="57" t="str">
        <f t="shared" si="94"/>
        <v/>
      </c>
      <c r="U2008" s="58" t="str">
        <f t="shared" si="95"/>
        <v/>
      </c>
    </row>
    <row r="2009" spans="19:21" ht="23.25" customHeight="1" x14ac:dyDescent="0.35">
      <c r="S2009" s="56" t="str">
        <f t="shared" si="93"/>
        <v/>
      </c>
      <c r="T2009" s="57" t="str">
        <f t="shared" si="94"/>
        <v/>
      </c>
      <c r="U2009" s="58" t="str">
        <f t="shared" si="95"/>
        <v/>
      </c>
    </row>
    <row r="2010" spans="19:21" ht="23.25" customHeight="1" x14ac:dyDescent="0.35">
      <c r="S2010" s="56" t="str">
        <f t="shared" si="93"/>
        <v/>
      </c>
      <c r="T2010" s="57" t="str">
        <f t="shared" si="94"/>
        <v/>
      </c>
      <c r="U2010" s="58" t="str">
        <f t="shared" si="95"/>
        <v/>
      </c>
    </row>
    <row r="2011" spans="19:21" ht="23.25" customHeight="1" x14ac:dyDescent="0.35">
      <c r="S2011" s="56" t="str">
        <f t="shared" si="93"/>
        <v/>
      </c>
      <c r="T2011" s="57" t="str">
        <f t="shared" si="94"/>
        <v/>
      </c>
      <c r="U2011" s="58" t="str">
        <f t="shared" si="95"/>
        <v/>
      </c>
    </row>
    <row r="2012" spans="19:21" ht="23.25" customHeight="1" x14ac:dyDescent="0.35">
      <c r="S2012" s="56" t="str">
        <f t="shared" si="93"/>
        <v/>
      </c>
      <c r="T2012" s="57" t="str">
        <f t="shared" si="94"/>
        <v/>
      </c>
      <c r="U2012" s="58" t="str">
        <f t="shared" si="95"/>
        <v/>
      </c>
    </row>
    <row r="2013" spans="19:21" ht="23.25" customHeight="1" x14ac:dyDescent="0.35">
      <c r="S2013" s="56" t="str">
        <f t="shared" si="93"/>
        <v/>
      </c>
      <c r="T2013" s="57" t="str">
        <f t="shared" si="94"/>
        <v/>
      </c>
      <c r="U2013" s="58" t="str">
        <f t="shared" si="95"/>
        <v/>
      </c>
    </row>
    <row r="2014" spans="19:21" ht="23.25" customHeight="1" x14ac:dyDescent="0.35">
      <c r="S2014" s="56" t="str">
        <f t="shared" si="93"/>
        <v/>
      </c>
      <c r="T2014" s="57" t="str">
        <f t="shared" si="94"/>
        <v/>
      </c>
      <c r="U2014" s="58" t="str">
        <f t="shared" si="95"/>
        <v/>
      </c>
    </row>
    <row r="2015" spans="19:21" ht="23.25" customHeight="1" x14ac:dyDescent="0.35">
      <c r="S2015" s="56" t="str">
        <f t="shared" si="93"/>
        <v/>
      </c>
      <c r="T2015" s="57" t="str">
        <f t="shared" si="94"/>
        <v/>
      </c>
      <c r="U2015" s="58" t="str">
        <f t="shared" si="95"/>
        <v/>
      </c>
    </row>
    <row r="2016" spans="19:21" ht="23.25" customHeight="1" x14ac:dyDescent="0.35">
      <c r="S2016" s="56" t="str">
        <f t="shared" si="93"/>
        <v/>
      </c>
      <c r="T2016" s="57" t="str">
        <f t="shared" si="94"/>
        <v/>
      </c>
      <c r="U2016" s="58" t="str">
        <f t="shared" si="95"/>
        <v/>
      </c>
    </row>
    <row r="2017" spans="19:21" ht="23.25" customHeight="1" x14ac:dyDescent="0.35">
      <c r="S2017" s="56" t="str">
        <f t="shared" si="93"/>
        <v/>
      </c>
      <c r="T2017" s="57" t="str">
        <f t="shared" si="94"/>
        <v/>
      </c>
      <c r="U2017" s="58" t="str">
        <f t="shared" si="95"/>
        <v/>
      </c>
    </row>
    <row r="2018" spans="19:21" ht="23.25" customHeight="1" x14ac:dyDescent="0.35">
      <c r="S2018" s="56" t="str">
        <f t="shared" si="93"/>
        <v/>
      </c>
      <c r="T2018" s="57" t="str">
        <f t="shared" si="94"/>
        <v/>
      </c>
      <c r="U2018" s="58" t="str">
        <f t="shared" si="95"/>
        <v/>
      </c>
    </row>
    <row r="2019" spans="19:21" ht="23.25" customHeight="1" x14ac:dyDescent="0.35">
      <c r="S2019" s="56" t="str">
        <f t="shared" si="93"/>
        <v/>
      </c>
      <c r="T2019" s="57" t="str">
        <f t="shared" si="94"/>
        <v/>
      </c>
      <c r="U2019" s="58" t="str">
        <f t="shared" si="95"/>
        <v/>
      </c>
    </row>
    <row r="2020" spans="19:21" ht="23.25" customHeight="1" x14ac:dyDescent="0.35">
      <c r="S2020" s="56" t="str">
        <f t="shared" si="93"/>
        <v/>
      </c>
      <c r="T2020" s="57" t="str">
        <f t="shared" si="94"/>
        <v/>
      </c>
      <c r="U2020" s="58" t="str">
        <f t="shared" si="95"/>
        <v/>
      </c>
    </row>
    <row r="2021" spans="19:21" ht="23.25" customHeight="1" x14ac:dyDescent="0.35">
      <c r="S2021" s="56" t="str">
        <f t="shared" si="93"/>
        <v/>
      </c>
      <c r="T2021" s="57" t="str">
        <f t="shared" si="94"/>
        <v/>
      </c>
      <c r="U2021" s="58" t="str">
        <f t="shared" si="95"/>
        <v/>
      </c>
    </row>
    <row r="2022" spans="19:21" ht="23.25" customHeight="1" x14ac:dyDescent="0.35">
      <c r="S2022" s="56" t="str">
        <f t="shared" si="93"/>
        <v/>
      </c>
      <c r="T2022" s="57" t="str">
        <f t="shared" si="94"/>
        <v/>
      </c>
      <c r="U2022" s="58" t="str">
        <f t="shared" si="95"/>
        <v/>
      </c>
    </row>
    <row r="2023" spans="19:21" ht="23.25" customHeight="1" x14ac:dyDescent="0.35">
      <c r="S2023" s="56" t="str">
        <f t="shared" si="93"/>
        <v/>
      </c>
      <c r="T2023" s="57" t="str">
        <f t="shared" si="94"/>
        <v/>
      </c>
      <c r="U2023" s="58" t="str">
        <f t="shared" si="95"/>
        <v/>
      </c>
    </row>
    <row r="2024" spans="19:21" ht="23.25" customHeight="1" x14ac:dyDescent="0.35">
      <c r="S2024" s="56" t="str">
        <f t="shared" si="93"/>
        <v/>
      </c>
      <c r="T2024" s="57" t="str">
        <f t="shared" si="94"/>
        <v/>
      </c>
      <c r="U2024" s="58" t="str">
        <f t="shared" si="95"/>
        <v/>
      </c>
    </row>
    <row r="2025" spans="19:21" ht="23.25" customHeight="1" x14ac:dyDescent="0.35">
      <c r="S2025" s="56" t="str">
        <f t="shared" si="93"/>
        <v/>
      </c>
      <c r="T2025" s="57" t="str">
        <f t="shared" si="94"/>
        <v/>
      </c>
      <c r="U2025" s="58" t="str">
        <f t="shared" si="95"/>
        <v/>
      </c>
    </row>
    <row r="2026" spans="19:21" ht="23.25" customHeight="1" x14ac:dyDescent="0.35">
      <c r="S2026" s="56" t="str">
        <f t="shared" si="93"/>
        <v/>
      </c>
      <c r="T2026" s="57" t="str">
        <f t="shared" si="94"/>
        <v/>
      </c>
      <c r="U2026" s="58" t="str">
        <f t="shared" si="95"/>
        <v/>
      </c>
    </row>
    <row r="2027" spans="19:21" ht="23.25" customHeight="1" x14ac:dyDescent="0.35">
      <c r="S2027" s="56" t="str">
        <f t="shared" si="93"/>
        <v/>
      </c>
      <c r="T2027" s="57" t="str">
        <f t="shared" si="94"/>
        <v/>
      </c>
      <c r="U2027" s="58" t="str">
        <f t="shared" si="95"/>
        <v/>
      </c>
    </row>
    <row r="2028" spans="19:21" ht="23.25" customHeight="1" x14ac:dyDescent="0.35">
      <c r="S2028" s="56" t="str">
        <f t="shared" si="93"/>
        <v/>
      </c>
      <c r="T2028" s="57" t="str">
        <f t="shared" si="94"/>
        <v/>
      </c>
      <c r="U2028" s="58" t="str">
        <f t="shared" si="95"/>
        <v/>
      </c>
    </row>
    <row r="2029" spans="19:21" ht="23.25" customHeight="1" x14ac:dyDescent="0.35">
      <c r="S2029" s="56" t="str">
        <f t="shared" si="93"/>
        <v/>
      </c>
      <c r="T2029" s="57" t="str">
        <f t="shared" si="94"/>
        <v/>
      </c>
      <c r="U2029" s="58" t="str">
        <f t="shared" si="95"/>
        <v/>
      </c>
    </row>
    <row r="2030" spans="19:21" ht="23.25" customHeight="1" x14ac:dyDescent="0.35">
      <c r="S2030" s="56" t="str">
        <f t="shared" si="93"/>
        <v/>
      </c>
      <c r="T2030" s="57" t="str">
        <f t="shared" si="94"/>
        <v/>
      </c>
      <c r="U2030" s="58" t="str">
        <f t="shared" si="95"/>
        <v/>
      </c>
    </row>
    <row r="2031" spans="19:21" ht="23.25" customHeight="1" x14ac:dyDescent="0.35">
      <c r="S2031" s="56" t="str">
        <f t="shared" si="93"/>
        <v/>
      </c>
      <c r="T2031" s="57" t="str">
        <f t="shared" si="94"/>
        <v/>
      </c>
      <c r="U2031" s="58" t="str">
        <f t="shared" si="95"/>
        <v/>
      </c>
    </row>
    <row r="2032" spans="19:21" ht="23.25" customHeight="1" x14ac:dyDescent="0.35">
      <c r="S2032" s="56" t="str">
        <f t="shared" si="93"/>
        <v/>
      </c>
      <c r="T2032" s="57" t="str">
        <f t="shared" si="94"/>
        <v/>
      </c>
      <c r="U2032" s="58" t="str">
        <f t="shared" si="95"/>
        <v/>
      </c>
    </row>
    <row r="2033" spans="19:21" ht="23.25" customHeight="1" x14ac:dyDescent="0.35">
      <c r="S2033" s="56" t="str">
        <f t="shared" si="93"/>
        <v/>
      </c>
      <c r="T2033" s="57" t="str">
        <f t="shared" si="94"/>
        <v/>
      </c>
      <c r="U2033" s="58" t="str">
        <f t="shared" si="95"/>
        <v/>
      </c>
    </row>
    <row r="2034" spans="19:21" ht="23.25" customHeight="1" x14ac:dyDescent="0.35">
      <c r="S2034" s="56" t="str">
        <f t="shared" si="93"/>
        <v/>
      </c>
      <c r="T2034" s="57" t="str">
        <f t="shared" si="94"/>
        <v/>
      </c>
      <c r="U2034" s="58" t="str">
        <f t="shared" si="95"/>
        <v/>
      </c>
    </row>
    <row r="2035" spans="19:21" ht="23.25" customHeight="1" x14ac:dyDescent="0.35">
      <c r="S2035" s="56" t="str">
        <f t="shared" si="93"/>
        <v/>
      </c>
      <c r="T2035" s="57" t="str">
        <f t="shared" si="94"/>
        <v/>
      </c>
      <c r="U2035" s="58" t="str">
        <f t="shared" si="95"/>
        <v/>
      </c>
    </row>
    <row r="2036" spans="19:21" ht="23.25" customHeight="1" x14ac:dyDescent="0.35">
      <c r="S2036" s="56" t="str">
        <f t="shared" si="93"/>
        <v/>
      </c>
      <c r="T2036" s="57" t="str">
        <f t="shared" si="94"/>
        <v/>
      </c>
      <c r="U2036" s="58" t="str">
        <f t="shared" si="95"/>
        <v/>
      </c>
    </row>
    <row r="2037" spans="19:21" ht="23.25" customHeight="1" x14ac:dyDescent="0.35">
      <c r="S2037" s="56" t="str">
        <f t="shared" si="93"/>
        <v/>
      </c>
      <c r="T2037" s="57" t="str">
        <f t="shared" si="94"/>
        <v/>
      </c>
      <c r="U2037" s="58" t="str">
        <f t="shared" si="95"/>
        <v/>
      </c>
    </row>
    <row r="2038" spans="19:21" ht="23.25" customHeight="1" x14ac:dyDescent="0.35">
      <c r="S2038" s="56" t="str">
        <f t="shared" si="93"/>
        <v/>
      </c>
      <c r="T2038" s="57" t="str">
        <f t="shared" si="94"/>
        <v/>
      </c>
      <c r="U2038" s="58" t="str">
        <f t="shared" si="95"/>
        <v/>
      </c>
    </row>
    <row r="2039" spans="19:21" ht="23.25" customHeight="1" x14ac:dyDescent="0.35">
      <c r="S2039" s="56" t="str">
        <f t="shared" si="93"/>
        <v/>
      </c>
      <c r="T2039" s="57" t="str">
        <f t="shared" si="94"/>
        <v/>
      </c>
      <c r="U2039" s="58" t="str">
        <f t="shared" si="95"/>
        <v/>
      </c>
    </row>
    <row r="2040" spans="19:21" ht="23.25" customHeight="1" x14ac:dyDescent="0.35">
      <c r="S2040" s="56" t="str">
        <f t="shared" si="93"/>
        <v/>
      </c>
      <c r="T2040" s="57" t="str">
        <f t="shared" si="94"/>
        <v/>
      </c>
      <c r="U2040" s="58" t="str">
        <f t="shared" si="95"/>
        <v/>
      </c>
    </row>
    <row r="2041" spans="19:21" ht="23.25" customHeight="1" x14ac:dyDescent="0.35">
      <c r="S2041" s="56" t="str">
        <f t="shared" si="93"/>
        <v/>
      </c>
      <c r="T2041" s="57" t="str">
        <f t="shared" si="94"/>
        <v/>
      </c>
      <c r="U2041" s="58" t="str">
        <f t="shared" si="95"/>
        <v/>
      </c>
    </row>
    <row r="2042" spans="19:21" ht="23.25" customHeight="1" x14ac:dyDescent="0.35">
      <c r="S2042" s="56" t="str">
        <f t="shared" si="93"/>
        <v/>
      </c>
      <c r="T2042" s="57" t="str">
        <f t="shared" si="94"/>
        <v/>
      </c>
      <c r="U2042" s="58" t="str">
        <f t="shared" si="95"/>
        <v/>
      </c>
    </row>
    <row r="2043" spans="19:21" ht="23.25" customHeight="1" x14ac:dyDescent="0.35">
      <c r="S2043" s="56" t="str">
        <f t="shared" si="93"/>
        <v/>
      </c>
      <c r="T2043" s="57" t="str">
        <f t="shared" si="94"/>
        <v/>
      </c>
      <c r="U2043" s="58" t="str">
        <f t="shared" si="95"/>
        <v/>
      </c>
    </row>
    <row r="2044" spans="19:21" ht="23.25" customHeight="1" x14ac:dyDescent="0.35">
      <c r="S2044" s="56" t="str">
        <f t="shared" si="93"/>
        <v/>
      </c>
      <c r="T2044" s="57" t="str">
        <f t="shared" si="94"/>
        <v/>
      </c>
      <c r="U2044" s="58" t="str">
        <f t="shared" si="95"/>
        <v/>
      </c>
    </row>
    <row r="2045" spans="19:21" ht="23.25" customHeight="1" x14ac:dyDescent="0.35">
      <c r="S2045" s="56" t="str">
        <f t="shared" si="93"/>
        <v/>
      </c>
      <c r="T2045" s="57" t="str">
        <f t="shared" si="94"/>
        <v/>
      </c>
      <c r="U2045" s="58" t="str">
        <f t="shared" si="95"/>
        <v/>
      </c>
    </row>
    <row r="2046" spans="19:21" ht="23.25" customHeight="1" x14ac:dyDescent="0.35">
      <c r="S2046" s="56" t="str">
        <f t="shared" si="93"/>
        <v/>
      </c>
      <c r="T2046" s="57" t="str">
        <f t="shared" si="94"/>
        <v/>
      </c>
      <c r="U2046" s="58" t="str">
        <f t="shared" si="95"/>
        <v/>
      </c>
    </row>
    <row r="2047" spans="19:21" ht="23.25" customHeight="1" x14ac:dyDescent="0.35">
      <c r="S2047" s="56" t="str">
        <f t="shared" si="93"/>
        <v/>
      </c>
      <c r="T2047" s="57" t="str">
        <f t="shared" si="94"/>
        <v/>
      </c>
      <c r="U2047" s="58" t="str">
        <f t="shared" si="95"/>
        <v/>
      </c>
    </row>
    <row r="2048" spans="19:21" ht="23.25" customHeight="1" x14ac:dyDescent="0.35">
      <c r="S2048" s="56" t="str">
        <f t="shared" si="93"/>
        <v/>
      </c>
      <c r="T2048" s="57" t="str">
        <f t="shared" si="94"/>
        <v/>
      </c>
      <c r="U2048" s="58" t="str">
        <f t="shared" si="95"/>
        <v/>
      </c>
    </row>
    <row r="2049" spans="19:21" ht="23.25" customHeight="1" x14ac:dyDescent="0.35">
      <c r="S2049" s="56" t="str">
        <f t="shared" si="93"/>
        <v/>
      </c>
      <c r="T2049" s="57" t="str">
        <f t="shared" si="94"/>
        <v/>
      </c>
      <c r="U2049" s="58" t="str">
        <f t="shared" si="95"/>
        <v/>
      </c>
    </row>
    <row r="2050" spans="19:21" ht="23.25" customHeight="1" x14ac:dyDescent="0.35">
      <c r="S2050" s="56" t="str">
        <f t="shared" si="93"/>
        <v/>
      </c>
      <c r="T2050" s="57" t="str">
        <f t="shared" si="94"/>
        <v/>
      </c>
      <c r="U2050" s="58" t="str">
        <f t="shared" si="95"/>
        <v/>
      </c>
    </row>
    <row r="2051" spans="19:21" ht="23.25" customHeight="1" x14ac:dyDescent="0.35">
      <c r="S2051" s="56" t="str">
        <f t="shared" si="93"/>
        <v/>
      </c>
      <c r="T2051" s="57" t="str">
        <f t="shared" si="94"/>
        <v/>
      </c>
      <c r="U2051" s="58" t="str">
        <f t="shared" si="95"/>
        <v/>
      </c>
    </row>
    <row r="2052" spans="19:21" ht="23.25" customHeight="1" x14ac:dyDescent="0.35">
      <c r="S2052" s="56" t="str">
        <f t="shared" si="93"/>
        <v/>
      </c>
      <c r="T2052" s="57" t="str">
        <f t="shared" si="94"/>
        <v/>
      </c>
      <c r="U2052" s="58" t="str">
        <f t="shared" si="95"/>
        <v/>
      </c>
    </row>
    <row r="2053" spans="19:21" ht="23.25" customHeight="1" x14ac:dyDescent="0.35">
      <c r="S2053" s="56" t="str">
        <f t="shared" si="93"/>
        <v/>
      </c>
      <c r="T2053" s="57" t="str">
        <f t="shared" si="94"/>
        <v/>
      </c>
      <c r="U2053" s="58" t="str">
        <f t="shared" si="95"/>
        <v/>
      </c>
    </row>
    <row r="2054" spans="19:21" ht="23.25" customHeight="1" x14ac:dyDescent="0.35">
      <c r="S2054" s="56" t="str">
        <f t="shared" si="93"/>
        <v/>
      </c>
      <c r="T2054" s="57" t="str">
        <f t="shared" si="94"/>
        <v/>
      </c>
      <c r="U2054" s="58" t="str">
        <f t="shared" si="95"/>
        <v/>
      </c>
    </row>
    <row r="2055" spans="19:21" ht="23.25" customHeight="1" x14ac:dyDescent="0.35">
      <c r="S2055" s="56" t="str">
        <f t="shared" si="93"/>
        <v/>
      </c>
      <c r="T2055" s="57" t="str">
        <f t="shared" si="94"/>
        <v/>
      </c>
      <c r="U2055" s="58" t="str">
        <f t="shared" si="95"/>
        <v/>
      </c>
    </row>
    <row r="2056" spans="19:21" ht="23.25" customHeight="1" x14ac:dyDescent="0.35">
      <c r="S2056" s="56" t="str">
        <f t="shared" si="93"/>
        <v/>
      </c>
      <c r="T2056" s="57" t="str">
        <f t="shared" si="94"/>
        <v/>
      </c>
      <c r="U2056" s="58" t="str">
        <f t="shared" si="95"/>
        <v/>
      </c>
    </row>
    <row r="2057" spans="19:21" ht="23.25" customHeight="1" x14ac:dyDescent="0.35">
      <c r="S2057" s="56" t="str">
        <f t="shared" ref="S2057:S2120" si="96">IF(A2057="","",A$5-A2057)</f>
        <v/>
      </c>
      <c r="T2057" s="57" t="str">
        <f t="shared" ref="T2057:T2120" si="97">IF(S2057="","",IF(S2057&lt;4,"0-3 Days",IF(S2057&lt;31,"4-30 Days",IF(S2057&lt;61,"31-60 Days",IF(S2057&lt;=90,"61-90 Days",IF(S2057&gt;90,"Above 90 Days","0"))))))</f>
        <v/>
      </c>
      <c r="U2057" s="58" t="str">
        <f t="shared" ref="U2057:U2120" si="98">IF(C2057="","",IF(C2057&gt;0,IF(S2057&lt;30,"Normal",IF(S2057&lt;60,"Especially Mentioned",IF(S2057&lt;90,"Substandard",IF(S2057&lt;=180,"Doubtful",IF(S2057&gt;180,"Loss","0"))))),"Not Applicable"))</f>
        <v/>
      </c>
    </row>
    <row r="2058" spans="19:21" ht="23.25" customHeight="1" x14ac:dyDescent="0.35">
      <c r="S2058" s="56" t="str">
        <f t="shared" si="96"/>
        <v/>
      </c>
      <c r="T2058" s="57" t="str">
        <f t="shared" si="97"/>
        <v/>
      </c>
      <c r="U2058" s="58" t="str">
        <f t="shared" si="98"/>
        <v/>
      </c>
    </row>
    <row r="2059" spans="19:21" ht="23.25" customHeight="1" x14ac:dyDescent="0.35">
      <c r="S2059" s="56" t="str">
        <f t="shared" si="96"/>
        <v/>
      </c>
      <c r="T2059" s="57" t="str">
        <f t="shared" si="97"/>
        <v/>
      </c>
      <c r="U2059" s="58" t="str">
        <f t="shared" si="98"/>
        <v/>
      </c>
    </row>
    <row r="2060" spans="19:21" ht="23.25" customHeight="1" x14ac:dyDescent="0.35">
      <c r="S2060" s="56" t="str">
        <f t="shared" si="96"/>
        <v/>
      </c>
      <c r="T2060" s="57" t="str">
        <f t="shared" si="97"/>
        <v/>
      </c>
      <c r="U2060" s="58" t="str">
        <f t="shared" si="98"/>
        <v/>
      </c>
    </row>
    <row r="2061" spans="19:21" ht="23.25" customHeight="1" x14ac:dyDescent="0.35">
      <c r="S2061" s="56" t="str">
        <f t="shared" si="96"/>
        <v/>
      </c>
      <c r="T2061" s="57" t="str">
        <f t="shared" si="97"/>
        <v/>
      </c>
      <c r="U2061" s="58" t="str">
        <f t="shared" si="98"/>
        <v/>
      </c>
    </row>
    <row r="2062" spans="19:21" ht="23.25" customHeight="1" x14ac:dyDescent="0.35">
      <c r="S2062" s="56" t="str">
        <f t="shared" si="96"/>
        <v/>
      </c>
      <c r="T2062" s="57" t="str">
        <f t="shared" si="97"/>
        <v/>
      </c>
      <c r="U2062" s="58" t="str">
        <f t="shared" si="98"/>
        <v/>
      </c>
    </row>
    <row r="2063" spans="19:21" ht="23.25" customHeight="1" x14ac:dyDescent="0.35">
      <c r="S2063" s="56" t="str">
        <f t="shared" si="96"/>
        <v/>
      </c>
      <c r="T2063" s="57" t="str">
        <f t="shared" si="97"/>
        <v/>
      </c>
      <c r="U2063" s="58" t="str">
        <f t="shared" si="98"/>
        <v/>
      </c>
    </row>
    <row r="2064" spans="19:21" ht="23.25" customHeight="1" x14ac:dyDescent="0.35">
      <c r="S2064" s="56" t="str">
        <f t="shared" si="96"/>
        <v/>
      </c>
      <c r="T2064" s="57" t="str">
        <f t="shared" si="97"/>
        <v/>
      </c>
      <c r="U2064" s="58" t="str">
        <f t="shared" si="98"/>
        <v/>
      </c>
    </row>
    <row r="2065" spans="19:21" ht="23.25" customHeight="1" x14ac:dyDescent="0.35">
      <c r="S2065" s="56" t="str">
        <f t="shared" si="96"/>
        <v/>
      </c>
      <c r="T2065" s="57" t="str">
        <f t="shared" si="97"/>
        <v/>
      </c>
      <c r="U2065" s="58" t="str">
        <f t="shared" si="98"/>
        <v/>
      </c>
    </row>
    <row r="2066" spans="19:21" ht="23.25" customHeight="1" x14ac:dyDescent="0.35">
      <c r="S2066" s="56" t="str">
        <f t="shared" si="96"/>
        <v/>
      </c>
      <c r="T2066" s="57" t="str">
        <f t="shared" si="97"/>
        <v/>
      </c>
      <c r="U2066" s="58" t="str">
        <f t="shared" si="98"/>
        <v/>
      </c>
    </row>
    <row r="2067" spans="19:21" ht="23.25" customHeight="1" x14ac:dyDescent="0.35">
      <c r="S2067" s="56" t="str">
        <f t="shared" si="96"/>
        <v/>
      </c>
      <c r="T2067" s="57" t="str">
        <f t="shared" si="97"/>
        <v/>
      </c>
      <c r="U2067" s="58" t="str">
        <f t="shared" si="98"/>
        <v/>
      </c>
    </row>
    <row r="2068" spans="19:21" ht="23.25" customHeight="1" x14ac:dyDescent="0.35">
      <c r="S2068" s="56" t="str">
        <f t="shared" si="96"/>
        <v/>
      </c>
      <c r="T2068" s="57" t="str">
        <f t="shared" si="97"/>
        <v/>
      </c>
      <c r="U2068" s="58" t="str">
        <f t="shared" si="98"/>
        <v/>
      </c>
    </row>
    <row r="2069" spans="19:21" ht="23.25" customHeight="1" x14ac:dyDescent="0.35">
      <c r="S2069" s="56" t="str">
        <f t="shared" si="96"/>
        <v/>
      </c>
      <c r="T2069" s="57" t="str">
        <f t="shared" si="97"/>
        <v/>
      </c>
      <c r="U2069" s="58" t="str">
        <f t="shared" si="98"/>
        <v/>
      </c>
    </row>
    <row r="2070" spans="19:21" ht="23.25" customHeight="1" x14ac:dyDescent="0.35">
      <c r="S2070" s="56" t="str">
        <f t="shared" si="96"/>
        <v/>
      </c>
      <c r="T2070" s="57" t="str">
        <f t="shared" si="97"/>
        <v/>
      </c>
      <c r="U2070" s="58" t="str">
        <f t="shared" si="98"/>
        <v/>
      </c>
    </row>
    <row r="2071" spans="19:21" ht="23.25" customHeight="1" x14ac:dyDescent="0.35">
      <c r="S2071" s="56" t="str">
        <f t="shared" si="96"/>
        <v/>
      </c>
      <c r="T2071" s="57" t="str">
        <f t="shared" si="97"/>
        <v/>
      </c>
      <c r="U2071" s="58" t="str">
        <f t="shared" si="98"/>
        <v/>
      </c>
    </row>
    <row r="2072" spans="19:21" ht="23.25" customHeight="1" x14ac:dyDescent="0.35">
      <c r="S2072" s="56" t="str">
        <f t="shared" si="96"/>
        <v/>
      </c>
      <c r="T2072" s="57" t="str">
        <f t="shared" si="97"/>
        <v/>
      </c>
      <c r="U2072" s="58" t="str">
        <f t="shared" si="98"/>
        <v/>
      </c>
    </row>
    <row r="2073" spans="19:21" ht="23.25" customHeight="1" x14ac:dyDescent="0.35">
      <c r="S2073" s="56" t="str">
        <f t="shared" si="96"/>
        <v/>
      </c>
      <c r="T2073" s="57" t="str">
        <f t="shared" si="97"/>
        <v/>
      </c>
      <c r="U2073" s="58" t="str">
        <f t="shared" si="98"/>
        <v/>
      </c>
    </row>
    <row r="2074" spans="19:21" ht="23.25" customHeight="1" x14ac:dyDescent="0.35">
      <c r="S2074" s="56" t="str">
        <f t="shared" si="96"/>
        <v/>
      </c>
      <c r="T2074" s="57" t="str">
        <f t="shared" si="97"/>
        <v/>
      </c>
      <c r="U2074" s="58" t="str">
        <f t="shared" si="98"/>
        <v/>
      </c>
    </row>
    <row r="2075" spans="19:21" ht="23.25" customHeight="1" x14ac:dyDescent="0.35">
      <c r="S2075" s="56" t="str">
        <f t="shared" si="96"/>
        <v/>
      </c>
      <c r="T2075" s="57" t="str">
        <f t="shared" si="97"/>
        <v/>
      </c>
      <c r="U2075" s="58" t="str">
        <f t="shared" si="98"/>
        <v/>
      </c>
    </row>
    <row r="2076" spans="19:21" ht="23.25" customHeight="1" x14ac:dyDescent="0.35">
      <c r="S2076" s="56" t="str">
        <f t="shared" si="96"/>
        <v/>
      </c>
      <c r="T2076" s="57" t="str">
        <f t="shared" si="97"/>
        <v/>
      </c>
      <c r="U2076" s="58" t="str">
        <f t="shared" si="98"/>
        <v/>
      </c>
    </row>
    <row r="2077" spans="19:21" ht="23.25" customHeight="1" x14ac:dyDescent="0.35">
      <c r="S2077" s="56" t="str">
        <f t="shared" si="96"/>
        <v/>
      </c>
      <c r="T2077" s="57" t="str">
        <f t="shared" si="97"/>
        <v/>
      </c>
      <c r="U2077" s="58" t="str">
        <f t="shared" si="98"/>
        <v/>
      </c>
    </row>
    <row r="2078" spans="19:21" ht="23.25" customHeight="1" x14ac:dyDescent="0.35">
      <c r="S2078" s="56" t="str">
        <f t="shared" si="96"/>
        <v/>
      </c>
      <c r="T2078" s="57" t="str">
        <f t="shared" si="97"/>
        <v/>
      </c>
      <c r="U2078" s="58" t="str">
        <f t="shared" si="98"/>
        <v/>
      </c>
    </row>
    <row r="2079" spans="19:21" ht="23.25" customHeight="1" x14ac:dyDescent="0.35">
      <c r="S2079" s="56" t="str">
        <f t="shared" si="96"/>
        <v/>
      </c>
      <c r="T2079" s="57" t="str">
        <f t="shared" si="97"/>
        <v/>
      </c>
      <c r="U2079" s="58" t="str">
        <f t="shared" si="98"/>
        <v/>
      </c>
    </row>
    <row r="2080" spans="19:21" ht="23.25" customHeight="1" x14ac:dyDescent="0.35">
      <c r="S2080" s="56" t="str">
        <f t="shared" si="96"/>
        <v/>
      </c>
      <c r="T2080" s="57" t="str">
        <f t="shared" si="97"/>
        <v/>
      </c>
      <c r="U2080" s="58" t="str">
        <f t="shared" si="98"/>
        <v/>
      </c>
    </row>
    <row r="2081" spans="19:21" ht="23.25" customHeight="1" x14ac:dyDescent="0.35">
      <c r="S2081" s="56" t="str">
        <f t="shared" si="96"/>
        <v/>
      </c>
      <c r="T2081" s="57" t="str">
        <f t="shared" si="97"/>
        <v/>
      </c>
      <c r="U2081" s="58" t="str">
        <f t="shared" si="98"/>
        <v/>
      </c>
    </row>
    <row r="2082" spans="19:21" ht="23.25" customHeight="1" x14ac:dyDescent="0.35">
      <c r="S2082" s="56" t="str">
        <f t="shared" si="96"/>
        <v/>
      </c>
      <c r="T2082" s="57" t="str">
        <f t="shared" si="97"/>
        <v/>
      </c>
      <c r="U2082" s="58" t="str">
        <f t="shared" si="98"/>
        <v/>
      </c>
    </row>
    <row r="2083" spans="19:21" ht="23.25" customHeight="1" x14ac:dyDescent="0.35">
      <c r="S2083" s="56" t="str">
        <f t="shared" si="96"/>
        <v/>
      </c>
      <c r="T2083" s="57" t="str">
        <f t="shared" si="97"/>
        <v/>
      </c>
      <c r="U2083" s="58" t="str">
        <f t="shared" si="98"/>
        <v/>
      </c>
    </row>
    <row r="2084" spans="19:21" ht="23.25" customHeight="1" x14ac:dyDescent="0.35">
      <c r="S2084" s="56" t="str">
        <f t="shared" si="96"/>
        <v/>
      </c>
      <c r="T2084" s="57" t="str">
        <f t="shared" si="97"/>
        <v/>
      </c>
      <c r="U2084" s="58" t="str">
        <f t="shared" si="98"/>
        <v/>
      </c>
    </row>
    <row r="2085" spans="19:21" ht="23.25" customHeight="1" x14ac:dyDescent="0.35">
      <c r="S2085" s="56" t="str">
        <f t="shared" si="96"/>
        <v/>
      </c>
      <c r="T2085" s="57" t="str">
        <f t="shared" si="97"/>
        <v/>
      </c>
      <c r="U2085" s="58" t="str">
        <f t="shared" si="98"/>
        <v/>
      </c>
    </row>
    <row r="2086" spans="19:21" ht="23.25" customHeight="1" x14ac:dyDescent="0.35">
      <c r="S2086" s="56" t="str">
        <f t="shared" si="96"/>
        <v/>
      </c>
      <c r="T2086" s="57" t="str">
        <f t="shared" si="97"/>
        <v/>
      </c>
      <c r="U2086" s="58" t="str">
        <f t="shared" si="98"/>
        <v/>
      </c>
    </row>
    <row r="2087" spans="19:21" ht="23.25" customHeight="1" x14ac:dyDescent="0.35">
      <c r="S2087" s="56" t="str">
        <f t="shared" si="96"/>
        <v/>
      </c>
      <c r="T2087" s="57" t="str">
        <f t="shared" si="97"/>
        <v/>
      </c>
      <c r="U2087" s="58" t="str">
        <f t="shared" si="98"/>
        <v/>
      </c>
    </row>
    <row r="2088" spans="19:21" ht="23.25" customHeight="1" x14ac:dyDescent="0.35">
      <c r="S2088" s="56" t="str">
        <f t="shared" si="96"/>
        <v/>
      </c>
      <c r="T2088" s="57" t="str">
        <f t="shared" si="97"/>
        <v/>
      </c>
      <c r="U2088" s="58" t="str">
        <f t="shared" si="98"/>
        <v/>
      </c>
    </row>
    <row r="2089" spans="19:21" ht="23.25" customHeight="1" x14ac:dyDescent="0.35">
      <c r="S2089" s="56" t="str">
        <f t="shared" si="96"/>
        <v/>
      </c>
      <c r="T2089" s="57" t="str">
        <f t="shared" si="97"/>
        <v/>
      </c>
      <c r="U2089" s="58" t="str">
        <f t="shared" si="98"/>
        <v/>
      </c>
    </row>
    <row r="2090" spans="19:21" ht="23.25" customHeight="1" x14ac:dyDescent="0.35">
      <c r="S2090" s="56" t="str">
        <f t="shared" si="96"/>
        <v/>
      </c>
      <c r="T2090" s="57" t="str">
        <f t="shared" si="97"/>
        <v/>
      </c>
      <c r="U2090" s="58" t="str">
        <f t="shared" si="98"/>
        <v/>
      </c>
    </row>
    <row r="2091" spans="19:21" ht="23.25" customHeight="1" x14ac:dyDescent="0.35">
      <c r="S2091" s="56" t="str">
        <f t="shared" si="96"/>
        <v/>
      </c>
      <c r="T2091" s="57" t="str">
        <f t="shared" si="97"/>
        <v/>
      </c>
      <c r="U2091" s="58" t="str">
        <f t="shared" si="98"/>
        <v/>
      </c>
    </row>
    <row r="2092" spans="19:21" ht="23.25" customHeight="1" x14ac:dyDescent="0.35">
      <c r="S2092" s="56" t="str">
        <f t="shared" si="96"/>
        <v/>
      </c>
      <c r="T2092" s="57" t="str">
        <f t="shared" si="97"/>
        <v/>
      </c>
      <c r="U2092" s="58" t="str">
        <f t="shared" si="98"/>
        <v/>
      </c>
    </row>
    <row r="2093" spans="19:21" ht="23.25" customHeight="1" x14ac:dyDescent="0.35">
      <c r="S2093" s="56" t="str">
        <f t="shared" si="96"/>
        <v/>
      </c>
      <c r="T2093" s="57" t="str">
        <f t="shared" si="97"/>
        <v/>
      </c>
      <c r="U2093" s="58" t="str">
        <f t="shared" si="98"/>
        <v/>
      </c>
    </row>
    <row r="2094" spans="19:21" ht="23.25" customHeight="1" x14ac:dyDescent="0.35">
      <c r="S2094" s="56" t="str">
        <f t="shared" si="96"/>
        <v/>
      </c>
      <c r="T2094" s="57" t="str">
        <f t="shared" si="97"/>
        <v/>
      </c>
      <c r="U2094" s="58" t="str">
        <f t="shared" si="98"/>
        <v/>
      </c>
    </row>
    <row r="2095" spans="19:21" ht="23.25" customHeight="1" x14ac:dyDescent="0.35">
      <c r="S2095" s="56" t="str">
        <f t="shared" si="96"/>
        <v/>
      </c>
      <c r="T2095" s="57" t="str">
        <f t="shared" si="97"/>
        <v/>
      </c>
      <c r="U2095" s="58" t="str">
        <f t="shared" si="98"/>
        <v/>
      </c>
    </row>
    <row r="2096" spans="19:21" ht="23.25" customHeight="1" x14ac:dyDescent="0.35">
      <c r="S2096" s="56" t="str">
        <f t="shared" si="96"/>
        <v/>
      </c>
      <c r="T2096" s="57" t="str">
        <f t="shared" si="97"/>
        <v/>
      </c>
      <c r="U2096" s="58" t="str">
        <f t="shared" si="98"/>
        <v/>
      </c>
    </row>
    <row r="2097" spans="19:21" ht="23.25" customHeight="1" x14ac:dyDescent="0.35">
      <c r="S2097" s="56" t="str">
        <f t="shared" si="96"/>
        <v/>
      </c>
      <c r="T2097" s="57" t="str">
        <f t="shared" si="97"/>
        <v/>
      </c>
      <c r="U2097" s="58" t="str">
        <f t="shared" si="98"/>
        <v/>
      </c>
    </row>
    <row r="2098" spans="19:21" ht="23.25" customHeight="1" x14ac:dyDescent="0.35">
      <c r="S2098" s="56" t="str">
        <f t="shared" si="96"/>
        <v/>
      </c>
      <c r="T2098" s="57" t="str">
        <f t="shared" si="97"/>
        <v/>
      </c>
      <c r="U2098" s="58" t="str">
        <f t="shared" si="98"/>
        <v/>
      </c>
    </row>
    <row r="2099" spans="19:21" ht="23.25" customHeight="1" x14ac:dyDescent="0.35">
      <c r="S2099" s="56" t="str">
        <f t="shared" si="96"/>
        <v/>
      </c>
      <c r="T2099" s="57" t="str">
        <f t="shared" si="97"/>
        <v/>
      </c>
      <c r="U2099" s="58" t="str">
        <f t="shared" si="98"/>
        <v/>
      </c>
    </row>
    <row r="2100" spans="19:21" ht="23.25" customHeight="1" x14ac:dyDescent="0.35">
      <c r="S2100" s="56" t="str">
        <f t="shared" si="96"/>
        <v/>
      </c>
      <c r="T2100" s="57" t="str">
        <f t="shared" si="97"/>
        <v/>
      </c>
      <c r="U2100" s="58" t="str">
        <f t="shared" si="98"/>
        <v/>
      </c>
    </row>
    <row r="2101" spans="19:21" ht="23.25" customHeight="1" x14ac:dyDescent="0.35">
      <c r="S2101" s="56" t="str">
        <f t="shared" si="96"/>
        <v/>
      </c>
      <c r="T2101" s="57" t="str">
        <f t="shared" si="97"/>
        <v/>
      </c>
      <c r="U2101" s="58" t="str">
        <f t="shared" si="98"/>
        <v/>
      </c>
    </row>
    <row r="2102" spans="19:21" ht="23.25" customHeight="1" x14ac:dyDescent="0.35">
      <c r="S2102" s="56" t="str">
        <f t="shared" si="96"/>
        <v/>
      </c>
      <c r="T2102" s="57" t="str">
        <f t="shared" si="97"/>
        <v/>
      </c>
      <c r="U2102" s="58" t="str">
        <f t="shared" si="98"/>
        <v/>
      </c>
    </row>
    <row r="2103" spans="19:21" ht="23.25" customHeight="1" x14ac:dyDescent="0.35">
      <c r="S2103" s="56" t="str">
        <f t="shared" si="96"/>
        <v/>
      </c>
      <c r="T2103" s="57" t="str">
        <f t="shared" si="97"/>
        <v/>
      </c>
      <c r="U2103" s="58" t="str">
        <f t="shared" si="98"/>
        <v/>
      </c>
    </row>
    <row r="2104" spans="19:21" ht="23.25" customHeight="1" x14ac:dyDescent="0.35">
      <c r="S2104" s="56" t="str">
        <f t="shared" si="96"/>
        <v/>
      </c>
      <c r="T2104" s="57" t="str">
        <f t="shared" si="97"/>
        <v/>
      </c>
      <c r="U2104" s="58" t="str">
        <f t="shared" si="98"/>
        <v/>
      </c>
    </row>
    <row r="2105" spans="19:21" ht="23.25" customHeight="1" x14ac:dyDescent="0.35">
      <c r="S2105" s="56" t="str">
        <f t="shared" si="96"/>
        <v/>
      </c>
      <c r="T2105" s="57" t="str">
        <f t="shared" si="97"/>
        <v/>
      </c>
      <c r="U2105" s="58" t="str">
        <f t="shared" si="98"/>
        <v/>
      </c>
    </row>
    <row r="2106" spans="19:21" ht="23.25" customHeight="1" x14ac:dyDescent="0.35">
      <c r="S2106" s="56" t="str">
        <f t="shared" si="96"/>
        <v/>
      </c>
      <c r="T2106" s="57" t="str">
        <f t="shared" si="97"/>
        <v/>
      </c>
      <c r="U2106" s="58" t="str">
        <f t="shared" si="98"/>
        <v/>
      </c>
    </row>
    <row r="2107" spans="19:21" ht="23.25" customHeight="1" x14ac:dyDescent="0.35">
      <c r="S2107" s="56" t="str">
        <f t="shared" si="96"/>
        <v/>
      </c>
      <c r="T2107" s="57" t="str">
        <f t="shared" si="97"/>
        <v/>
      </c>
      <c r="U2107" s="58" t="str">
        <f t="shared" si="98"/>
        <v/>
      </c>
    </row>
    <row r="2108" spans="19:21" ht="23.25" customHeight="1" x14ac:dyDescent="0.35">
      <c r="S2108" s="56" t="str">
        <f t="shared" si="96"/>
        <v/>
      </c>
      <c r="T2108" s="57" t="str">
        <f t="shared" si="97"/>
        <v/>
      </c>
      <c r="U2108" s="58" t="str">
        <f t="shared" si="98"/>
        <v/>
      </c>
    </row>
    <row r="2109" spans="19:21" ht="23.25" customHeight="1" x14ac:dyDescent="0.35">
      <c r="S2109" s="56" t="str">
        <f t="shared" si="96"/>
        <v/>
      </c>
      <c r="T2109" s="57" t="str">
        <f t="shared" si="97"/>
        <v/>
      </c>
      <c r="U2109" s="58" t="str">
        <f t="shared" si="98"/>
        <v/>
      </c>
    </row>
    <row r="2110" spans="19:21" ht="23.25" customHeight="1" x14ac:dyDescent="0.35">
      <c r="S2110" s="56" t="str">
        <f t="shared" si="96"/>
        <v/>
      </c>
      <c r="T2110" s="57" t="str">
        <f t="shared" si="97"/>
        <v/>
      </c>
      <c r="U2110" s="58" t="str">
        <f t="shared" si="98"/>
        <v/>
      </c>
    </row>
    <row r="2111" spans="19:21" ht="23.25" customHeight="1" x14ac:dyDescent="0.35">
      <c r="S2111" s="56" t="str">
        <f t="shared" si="96"/>
        <v/>
      </c>
      <c r="T2111" s="57" t="str">
        <f t="shared" si="97"/>
        <v/>
      </c>
      <c r="U2111" s="58" t="str">
        <f t="shared" si="98"/>
        <v/>
      </c>
    </row>
    <row r="2112" spans="19:21" ht="23.25" customHeight="1" x14ac:dyDescent="0.35">
      <c r="S2112" s="56" t="str">
        <f t="shared" si="96"/>
        <v/>
      </c>
      <c r="T2112" s="57" t="str">
        <f t="shared" si="97"/>
        <v/>
      </c>
      <c r="U2112" s="58" t="str">
        <f t="shared" si="98"/>
        <v/>
      </c>
    </row>
    <row r="2113" spans="19:21" ht="23.25" customHeight="1" x14ac:dyDescent="0.35">
      <c r="S2113" s="56" t="str">
        <f t="shared" si="96"/>
        <v/>
      </c>
      <c r="T2113" s="57" t="str">
        <f t="shared" si="97"/>
        <v/>
      </c>
      <c r="U2113" s="58" t="str">
        <f t="shared" si="98"/>
        <v/>
      </c>
    </row>
    <row r="2114" spans="19:21" ht="23.25" customHeight="1" x14ac:dyDescent="0.35">
      <c r="S2114" s="56" t="str">
        <f t="shared" si="96"/>
        <v/>
      </c>
      <c r="T2114" s="57" t="str">
        <f t="shared" si="97"/>
        <v/>
      </c>
      <c r="U2114" s="58" t="str">
        <f t="shared" si="98"/>
        <v/>
      </c>
    </row>
    <row r="2115" spans="19:21" ht="23.25" customHeight="1" x14ac:dyDescent="0.35">
      <c r="S2115" s="56" t="str">
        <f t="shared" si="96"/>
        <v/>
      </c>
      <c r="T2115" s="57" t="str">
        <f t="shared" si="97"/>
        <v/>
      </c>
      <c r="U2115" s="58" t="str">
        <f t="shared" si="98"/>
        <v/>
      </c>
    </row>
    <row r="2116" spans="19:21" ht="23.25" customHeight="1" x14ac:dyDescent="0.35">
      <c r="S2116" s="56" t="str">
        <f t="shared" si="96"/>
        <v/>
      </c>
      <c r="T2116" s="57" t="str">
        <f t="shared" si="97"/>
        <v/>
      </c>
      <c r="U2116" s="58" t="str">
        <f t="shared" si="98"/>
        <v/>
      </c>
    </row>
    <row r="2117" spans="19:21" ht="23.25" customHeight="1" x14ac:dyDescent="0.35">
      <c r="S2117" s="56" t="str">
        <f t="shared" si="96"/>
        <v/>
      </c>
      <c r="T2117" s="57" t="str">
        <f t="shared" si="97"/>
        <v/>
      </c>
      <c r="U2117" s="58" t="str">
        <f t="shared" si="98"/>
        <v/>
      </c>
    </row>
    <row r="2118" spans="19:21" ht="23.25" customHeight="1" x14ac:dyDescent="0.35">
      <c r="S2118" s="56" t="str">
        <f t="shared" si="96"/>
        <v/>
      </c>
      <c r="T2118" s="57" t="str">
        <f t="shared" si="97"/>
        <v/>
      </c>
      <c r="U2118" s="58" t="str">
        <f t="shared" si="98"/>
        <v/>
      </c>
    </row>
    <row r="2119" spans="19:21" ht="23.25" customHeight="1" x14ac:dyDescent="0.35">
      <c r="S2119" s="56" t="str">
        <f t="shared" si="96"/>
        <v/>
      </c>
      <c r="T2119" s="57" t="str">
        <f t="shared" si="97"/>
        <v/>
      </c>
      <c r="U2119" s="58" t="str">
        <f t="shared" si="98"/>
        <v/>
      </c>
    </row>
    <row r="2120" spans="19:21" ht="23.25" customHeight="1" x14ac:dyDescent="0.35">
      <c r="S2120" s="56" t="str">
        <f t="shared" si="96"/>
        <v/>
      </c>
      <c r="T2120" s="57" t="str">
        <f t="shared" si="97"/>
        <v/>
      </c>
      <c r="U2120" s="58" t="str">
        <f t="shared" si="98"/>
        <v/>
      </c>
    </row>
    <row r="2121" spans="19:21" ht="23.25" customHeight="1" x14ac:dyDescent="0.35">
      <c r="S2121" s="56" t="str">
        <f t="shared" ref="S2121:S2184" si="99">IF(A2121="","",A$5-A2121)</f>
        <v/>
      </c>
      <c r="T2121" s="57" t="str">
        <f t="shared" ref="T2121:T2184" si="100">IF(S2121="","",IF(S2121&lt;4,"0-3 Days",IF(S2121&lt;31,"4-30 Days",IF(S2121&lt;61,"31-60 Days",IF(S2121&lt;=90,"61-90 Days",IF(S2121&gt;90,"Above 90 Days","0"))))))</f>
        <v/>
      </c>
      <c r="U2121" s="58" t="str">
        <f t="shared" ref="U2121:U2184" si="101">IF(C2121="","",IF(C2121&gt;0,IF(S2121&lt;30,"Normal",IF(S2121&lt;60,"Especially Mentioned",IF(S2121&lt;90,"Substandard",IF(S2121&lt;=180,"Doubtful",IF(S2121&gt;180,"Loss","0"))))),"Not Applicable"))</f>
        <v/>
      </c>
    </row>
    <row r="2122" spans="19:21" ht="23.25" customHeight="1" x14ac:dyDescent="0.35">
      <c r="S2122" s="56" t="str">
        <f t="shared" si="99"/>
        <v/>
      </c>
      <c r="T2122" s="57" t="str">
        <f t="shared" si="100"/>
        <v/>
      </c>
      <c r="U2122" s="58" t="str">
        <f t="shared" si="101"/>
        <v/>
      </c>
    </row>
    <row r="2123" spans="19:21" ht="23.25" customHeight="1" x14ac:dyDescent="0.35">
      <c r="S2123" s="56" t="str">
        <f t="shared" si="99"/>
        <v/>
      </c>
      <c r="T2123" s="57" t="str">
        <f t="shared" si="100"/>
        <v/>
      </c>
      <c r="U2123" s="58" t="str">
        <f t="shared" si="101"/>
        <v/>
      </c>
    </row>
    <row r="2124" spans="19:21" ht="23.25" customHeight="1" x14ac:dyDescent="0.35">
      <c r="S2124" s="56" t="str">
        <f t="shared" si="99"/>
        <v/>
      </c>
      <c r="T2124" s="57" t="str">
        <f t="shared" si="100"/>
        <v/>
      </c>
      <c r="U2124" s="58" t="str">
        <f t="shared" si="101"/>
        <v/>
      </c>
    </row>
    <row r="2125" spans="19:21" ht="23.25" customHeight="1" x14ac:dyDescent="0.35">
      <c r="S2125" s="56" t="str">
        <f t="shared" si="99"/>
        <v/>
      </c>
      <c r="T2125" s="57" t="str">
        <f t="shared" si="100"/>
        <v/>
      </c>
      <c r="U2125" s="58" t="str">
        <f t="shared" si="101"/>
        <v/>
      </c>
    </row>
    <row r="2126" spans="19:21" ht="23.25" customHeight="1" x14ac:dyDescent="0.35">
      <c r="S2126" s="56" t="str">
        <f t="shared" si="99"/>
        <v/>
      </c>
      <c r="T2126" s="57" t="str">
        <f t="shared" si="100"/>
        <v/>
      </c>
      <c r="U2126" s="58" t="str">
        <f t="shared" si="101"/>
        <v/>
      </c>
    </row>
    <row r="2127" spans="19:21" ht="23.25" customHeight="1" x14ac:dyDescent="0.35">
      <c r="S2127" s="56" t="str">
        <f t="shared" si="99"/>
        <v/>
      </c>
      <c r="T2127" s="57" t="str">
        <f t="shared" si="100"/>
        <v/>
      </c>
      <c r="U2127" s="58" t="str">
        <f t="shared" si="101"/>
        <v/>
      </c>
    </row>
    <row r="2128" spans="19:21" ht="23.25" customHeight="1" x14ac:dyDescent="0.35">
      <c r="S2128" s="56" t="str">
        <f t="shared" si="99"/>
        <v/>
      </c>
      <c r="T2128" s="57" t="str">
        <f t="shared" si="100"/>
        <v/>
      </c>
      <c r="U2128" s="58" t="str">
        <f t="shared" si="101"/>
        <v/>
      </c>
    </row>
    <row r="2129" spans="19:21" ht="23.25" customHeight="1" x14ac:dyDescent="0.35">
      <c r="S2129" s="56" t="str">
        <f t="shared" si="99"/>
        <v/>
      </c>
      <c r="T2129" s="57" t="str">
        <f t="shared" si="100"/>
        <v/>
      </c>
      <c r="U2129" s="58" t="str">
        <f t="shared" si="101"/>
        <v/>
      </c>
    </row>
    <row r="2130" spans="19:21" ht="23.25" customHeight="1" x14ac:dyDescent="0.35">
      <c r="S2130" s="56" t="str">
        <f t="shared" si="99"/>
        <v/>
      </c>
      <c r="T2130" s="57" t="str">
        <f t="shared" si="100"/>
        <v/>
      </c>
      <c r="U2130" s="58" t="str">
        <f t="shared" si="101"/>
        <v/>
      </c>
    </row>
    <row r="2131" spans="19:21" ht="23.25" customHeight="1" x14ac:dyDescent="0.35">
      <c r="S2131" s="56" t="str">
        <f t="shared" si="99"/>
        <v/>
      </c>
      <c r="T2131" s="57" t="str">
        <f t="shared" si="100"/>
        <v/>
      </c>
      <c r="U2131" s="58" t="str">
        <f t="shared" si="101"/>
        <v/>
      </c>
    </row>
    <row r="2132" spans="19:21" ht="23.25" customHeight="1" x14ac:dyDescent="0.35">
      <c r="S2132" s="56" t="str">
        <f t="shared" si="99"/>
        <v/>
      </c>
      <c r="T2132" s="57" t="str">
        <f t="shared" si="100"/>
        <v/>
      </c>
      <c r="U2132" s="58" t="str">
        <f t="shared" si="101"/>
        <v/>
      </c>
    </row>
    <row r="2133" spans="19:21" ht="23.25" customHeight="1" x14ac:dyDescent="0.35">
      <c r="S2133" s="56" t="str">
        <f t="shared" si="99"/>
        <v/>
      </c>
      <c r="T2133" s="57" t="str">
        <f t="shared" si="100"/>
        <v/>
      </c>
      <c r="U2133" s="58" t="str">
        <f t="shared" si="101"/>
        <v/>
      </c>
    </row>
    <row r="2134" spans="19:21" ht="23.25" customHeight="1" x14ac:dyDescent="0.35">
      <c r="S2134" s="56" t="str">
        <f t="shared" si="99"/>
        <v/>
      </c>
      <c r="T2134" s="57" t="str">
        <f t="shared" si="100"/>
        <v/>
      </c>
      <c r="U2134" s="58" t="str">
        <f t="shared" si="101"/>
        <v/>
      </c>
    </row>
    <row r="2135" spans="19:21" ht="23.25" customHeight="1" x14ac:dyDescent="0.35">
      <c r="S2135" s="56" t="str">
        <f t="shared" si="99"/>
        <v/>
      </c>
      <c r="T2135" s="57" t="str">
        <f t="shared" si="100"/>
        <v/>
      </c>
      <c r="U2135" s="58" t="str">
        <f t="shared" si="101"/>
        <v/>
      </c>
    </row>
    <row r="2136" spans="19:21" ht="23.25" customHeight="1" x14ac:dyDescent="0.35">
      <c r="S2136" s="56" t="str">
        <f t="shared" si="99"/>
        <v/>
      </c>
      <c r="T2136" s="57" t="str">
        <f t="shared" si="100"/>
        <v/>
      </c>
      <c r="U2136" s="58" t="str">
        <f t="shared" si="101"/>
        <v/>
      </c>
    </row>
    <row r="2137" spans="19:21" ht="23.25" customHeight="1" x14ac:dyDescent="0.35">
      <c r="S2137" s="56" t="str">
        <f t="shared" si="99"/>
        <v/>
      </c>
      <c r="T2137" s="57" t="str">
        <f t="shared" si="100"/>
        <v/>
      </c>
      <c r="U2137" s="58" t="str">
        <f t="shared" si="101"/>
        <v/>
      </c>
    </row>
    <row r="2138" spans="19:21" ht="23.25" customHeight="1" x14ac:dyDescent="0.35">
      <c r="S2138" s="56" t="str">
        <f t="shared" si="99"/>
        <v/>
      </c>
      <c r="T2138" s="57" t="str">
        <f t="shared" si="100"/>
        <v/>
      </c>
      <c r="U2138" s="58" t="str">
        <f t="shared" si="101"/>
        <v/>
      </c>
    </row>
    <row r="2139" spans="19:21" ht="23.25" customHeight="1" x14ac:dyDescent="0.35">
      <c r="S2139" s="56" t="str">
        <f t="shared" si="99"/>
        <v/>
      </c>
      <c r="T2139" s="57" t="str">
        <f t="shared" si="100"/>
        <v/>
      </c>
      <c r="U2139" s="58" t="str">
        <f t="shared" si="101"/>
        <v/>
      </c>
    </row>
    <row r="2140" spans="19:21" ht="23.25" customHeight="1" x14ac:dyDescent="0.35">
      <c r="S2140" s="56" t="str">
        <f t="shared" si="99"/>
        <v/>
      </c>
      <c r="T2140" s="57" t="str">
        <f t="shared" si="100"/>
        <v/>
      </c>
      <c r="U2140" s="58" t="str">
        <f t="shared" si="101"/>
        <v/>
      </c>
    </row>
    <row r="2141" spans="19:21" ht="23.25" customHeight="1" x14ac:dyDescent="0.35">
      <c r="S2141" s="56" t="str">
        <f t="shared" si="99"/>
        <v/>
      </c>
      <c r="T2141" s="57" t="str">
        <f t="shared" si="100"/>
        <v/>
      </c>
      <c r="U2141" s="58" t="str">
        <f t="shared" si="101"/>
        <v/>
      </c>
    </row>
    <row r="2142" spans="19:21" ht="23.25" customHeight="1" x14ac:dyDescent="0.35">
      <c r="S2142" s="56" t="str">
        <f t="shared" si="99"/>
        <v/>
      </c>
      <c r="T2142" s="57" t="str">
        <f t="shared" si="100"/>
        <v/>
      </c>
      <c r="U2142" s="58" t="str">
        <f t="shared" si="101"/>
        <v/>
      </c>
    </row>
    <row r="2143" spans="19:21" ht="23.25" customHeight="1" x14ac:dyDescent="0.35">
      <c r="S2143" s="56" t="str">
        <f t="shared" si="99"/>
        <v/>
      </c>
      <c r="T2143" s="57" t="str">
        <f t="shared" si="100"/>
        <v/>
      </c>
      <c r="U2143" s="58" t="str">
        <f t="shared" si="101"/>
        <v/>
      </c>
    </row>
    <row r="2144" spans="19:21" ht="23.25" customHeight="1" x14ac:dyDescent="0.35">
      <c r="S2144" s="56" t="str">
        <f t="shared" si="99"/>
        <v/>
      </c>
      <c r="T2144" s="57" t="str">
        <f t="shared" si="100"/>
        <v/>
      </c>
      <c r="U2144" s="58" t="str">
        <f t="shared" si="101"/>
        <v/>
      </c>
    </row>
    <row r="2145" spans="19:21" ht="23.25" customHeight="1" x14ac:dyDescent="0.35">
      <c r="S2145" s="56" t="str">
        <f t="shared" si="99"/>
        <v/>
      </c>
      <c r="T2145" s="57" t="str">
        <f t="shared" si="100"/>
        <v/>
      </c>
      <c r="U2145" s="58" t="str">
        <f t="shared" si="101"/>
        <v/>
      </c>
    </row>
    <row r="2146" spans="19:21" ht="23.25" customHeight="1" x14ac:dyDescent="0.35">
      <c r="S2146" s="56" t="str">
        <f t="shared" si="99"/>
        <v/>
      </c>
      <c r="T2146" s="57" t="str">
        <f t="shared" si="100"/>
        <v/>
      </c>
      <c r="U2146" s="58" t="str">
        <f t="shared" si="101"/>
        <v/>
      </c>
    </row>
    <row r="2147" spans="19:21" ht="23.25" customHeight="1" x14ac:dyDescent="0.35">
      <c r="S2147" s="56" t="str">
        <f t="shared" si="99"/>
        <v/>
      </c>
      <c r="T2147" s="57" t="str">
        <f t="shared" si="100"/>
        <v/>
      </c>
      <c r="U2147" s="58" t="str">
        <f t="shared" si="101"/>
        <v/>
      </c>
    </row>
    <row r="2148" spans="19:21" ht="23.25" customHeight="1" x14ac:dyDescent="0.35">
      <c r="S2148" s="56" t="str">
        <f t="shared" si="99"/>
        <v/>
      </c>
      <c r="T2148" s="57" t="str">
        <f t="shared" si="100"/>
        <v/>
      </c>
      <c r="U2148" s="58" t="str">
        <f t="shared" si="101"/>
        <v/>
      </c>
    </row>
    <row r="2149" spans="19:21" ht="23.25" customHeight="1" x14ac:dyDescent="0.35">
      <c r="S2149" s="56" t="str">
        <f t="shared" si="99"/>
        <v/>
      </c>
      <c r="T2149" s="57" t="str">
        <f t="shared" si="100"/>
        <v/>
      </c>
      <c r="U2149" s="58" t="str">
        <f t="shared" si="101"/>
        <v/>
      </c>
    </row>
    <row r="2150" spans="19:21" ht="23.25" customHeight="1" x14ac:dyDescent="0.35">
      <c r="S2150" s="56" t="str">
        <f t="shared" si="99"/>
        <v/>
      </c>
      <c r="T2150" s="57" t="str">
        <f t="shared" si="100"/>
        <v/>
      </c>
      <c r="U2150" s="58" t="str">
        <f t="shared" si="101"/>
        <v/>
      </c>
    </row>
    <row r="2151" spans="19:21" ht="23.25" customHeight="1" x14ac:dyDescent="0.35">
      <c r="S2151" s="56" t="str">
        <f t="shared" si="99"/>
        <v/>
      </c>
      <c r="T2151" s="57" t="str">
        <f t="shared" si="100"/>
        <v/>
      </c>
      <c r="U2151" s="58" t="str">
        <f t="shared" si="101"/>
        <v/>
      </c>
    </row>
    <row r="2152" spans="19:21" ht="23.25" customHeight="1" x14ac:dyDescent="0.35">
      <c r="S2152" s="56" t="str">
        <f t="shared" si="99"/>
        <v/>
      </c>
      <c r="T2152" s="57" t="str">
        <f t="shared" si="100"/>
        <v/>
      </c>
      <c r="U2152" s="58" t="str">
        <f t="shared" si="101"/>
        <v/>
      </c>
    </row>
    <row r="2153" spans="19:21" ht="23.25" customHeight="1" x14ac:dyDescent="0.35">
      <c r="S2153" s="56" t="str">
        <f t="shared" si="99"/>
        <v/>
      </c>
      <c r="T2153" s="57" t="str">
        <f t="shared" si="100"/>
        <v/>
      </c>
      <c r="U2153" s="58" t="str">
        <f t="shared" si="101"/>
        <v/>
      </c>
    </row>
    <row r="2154" spans="19:21" ht="23.25" customHeight="1" x14ac:dyDescent="0.35">
      <c r="S2154" s="56" t="str">
        <f t="shared" si="99"/>
        <v/>
      </c>
      <c r="T2154" s="57" t="str">
        <f t="shared" si="100"/>
        <v/>
      </c>
      <c r="U2154" s="58" t="str">
        <f t="shared" si="101"/>
        <v/>
      </c>
    </row>
    <row r="2155" spans="19:21" ht="23.25" customHeight="1" x14ac:dyDescent="0.35">
      <c r="S2155" s="56" t="str">
        <f t="shared" si="99"/>
        <v/>
      </c>
      <c r="T2155" s="57" t="str">
        <f t="shared" si="100"/>
        <v/>
      </c>
      <c r="U2155" s="58" t="str">
        <f t="shared" si="101"/>
        <v/>
      </c>
    </row>
    <row r="2156" spans="19:21" ht="23.25" customHeight="1" x14ac:dyDescent="0.35">
      <c r="S2156" s="56" t="str">
        <f t="shared" si="99"/>
        <v/>
      </c>
      <c r="T2156" s="57" t="str">
        <f t="shared" si="100"/>
        <v/>
      </c>
      <c r="U2156" s="58" t="str">
        <f t="shared" si="101"/>
        <v/>
      </c>
    </row>
    <row r="2157" spans="19:21" ht="23.25" customHeight="1" x14ac:dyDescent="0.35">
      <c r="S2157" s="56" t="str">
        <f t="shared" si="99"/>
        <v/>
      </c>
      <c r="T2157" s="57" t="str">
        <f t="shared" si="100"/>
        <v/>
      </c>
      <c r="U2157" s="58" t="str">
        <f t="shared" si="101"/>
        <v/>
      </c>
    </row>
    <row r="2158" spans="19:21" ht="23.25" customHeight="1" x14ac:dyDescent="0.35">
      <c r="S2158" s="56" t="str">
        <f t="shared" si="99"/>
        <v/>
      </c>
      <c r="T2158" s="57" t="str">
        <f t="shared" si="100"/>
        <v/>
      </c>
      <c r="U2158" s="58" t="str">
        <f t="shared" si="101"/>
        <v/>
      </c>
    </row>
    <row r="2159" spans="19:21" ht="23.25" customHeight="1" x14ac:dyDescent="0.35">
      <c r="S2159" s="56" t="str">
        <f t="shared" si="99"/>
        <v/>
      </c>
      <c r="T2159" s="57" t="str">
        <f t="shared" si="100"/>
        <v/>
      </c>
      <c r="U2159" s="58" t="str">
        <f t="shared" si="101"/>
        <v/>
      </c>
    </row>
    <row r="2160" spans="19:21" ht="23.25" customHeight="1" x14ac:dyDescent="0.35">
      <c r="S2160" s="56" t="str">
        <f t="shared" si="99"/>
        <v/>
      </c>
      <c r="T2160" s="57" t="str">
        <f t="shared" si="100"/>
        <v/>
      </c>
      <c r="U2160" s="58" t="str">
        <f t="shared" si="101"/>
        <v/>
      </c>
    </row>
    <row r="2161" spans="19:21" ht="23.25" customHeight="1" x14ac:dyDescent="0.35">
      <c r="S2161" s="56" t="str">
        <f t="shared" si="99"/>
        <v/>
      </c>
      <c r="T2161" s="57" t="str">
        <f t="shared" si="100"/>
        <v/>
      </c>
      <c r="U2161" s="58" t="str">
        <f t="shared" si="101"/>
        <v/>
      </c>
    </row>
    <row r="2162" spans="19:21" ht="23.25" customHeight="1" x14ac:dyDescent="0.35">
      <c r="S2162" s="56" t="str">
        <f t="shared" si="99"/>
        <v/>
      </c>
      <c r="T2162" s="57" t="str">
        <f t="shared" si="100"/>
        <v/>
      </c>
      <c r="U2162" s="58" t="str">
        <f t="shared" si="101"/>
        <v/>
      </c>
    </row>
    <row r="2163" spans="19:21" ht="23.25" customHeight="1" x14ac:dyDescent="0.35">
      <c r="S2163" s="56" t="str">
        <f t="shared" si="99"/>
        <v/>
      </c>
      <c r="T2163" s="57" t="str">
        <f t="shared" si="100"/>
        <v/>
      </c>
      <c r="U2163" s="58" t="str">
        <f t="shared" si="101"/>
        <v/>
      </c>
    </row>
    <row r="2164" spans="19:21" ht="23.25" customHeight="1" x14ac:dyDescent="0.35">
      <c r="S2164" s="56" t="str">
        <f t="shared" si="99"/>
        <v/>
      </c>
      <c r="T2164" s="57" t="str">
        <f t="shared" si="100"/>
        <v/>
      </c>
      <c r="U2164" s="58" t="str">
        <f t="shared" si="101"/>
        <v/>
      </c>
    </row>
    <row r="2165" spans="19:21" ht="23.25" customHeight="1" x14ac:dyDescent="0.35">
      <c r="S2165" s="56" t="str">
        <f t="shared" si="99"/>
        <v/>
      </c>
      <c r="T2165" s="57" t="str">
        <f t="shared" si="100"/>
        <v/>
      </c>
      <c r="U2165" s="58" t="str">
        <f t="shared" si="101"/>
        <v/>
      </c>
    </row>
    <row r="2166" spans="19:21" ht="23.25" customHeight="1" x14ac:dyDescent="0.35">
      <c r="S2166" s="56" t="str">
        <f t="shared" si="99"/>
        <v/>
      </c>
      <c r="T2166" s="57" t="str">
        <f t="shared" si="100"/>
        <v/>
      </c>
      <c r="U2166" s="58" t="str">
        <f t="shared" si="101"/>
        <v/>
      </c>
    </row>
    <row r="2167" spans="19:21" ht="23.25" customHeight="1" x14ac:dyDescent="0.35">
      <c r="S2167" s="56" t="str">
        <f t="shared" si="99"/>
        <v/>
      </c>
      <c r="T2167" s="57" t="str">
        <f t="shared" si="100"/>
        <v/>
      </c>
      <c r="U2167" s="58" t="str">
        <f t="shared" si="101"/>
        <v/>
      </c>
    </row>
    <row r="2168" spans="19:21" ht="23.25" customHeight="1" x14ac:dyDescent="0.35">
      <c r="S2168" s="56" t="str">
        <f t="shared" si="99"/>
        <v/>
      </c>
      <c r="T2168" s="57" t="str">
        <f t="shared" si="100"/>
        <v/>
      </c>
      <c r="U2168" s="58" t="str">
        <f t="shared" si="101"/>
        <v/>
      </c>
    </row>
    <row r="2169" spans="19:21" ht="23.25" customHeight="1" x14ac:dyDescent="0.35">
      <c r="S2169" s="56" t="str">
        <f t="shared" si="99"/>
        <v/>
      </c>
      <c r="T2169" s="57" t="str">
        <f t="shared" si="100"/>
        <v/>
      </c>
      <c r="U2169" s="58" t="str">
        <f t="shared" si="101"/>
        <v/>
      </c>
    </row>
    <row r="2170" spans="19:21" ht="23.25" customHeight="1" x14ac:dyDescent="0.35">
      <c r="S2170" s="56" t="str">
        <f t="shared" si="99"/>
        <v/>
      </c>
      <c r="T2170" s="57" t="str">
        <f t="shared" si="100"/>
        <v/>
      </c>
      <c r="U2170" s="58" t="str">
        <f t="shared" si="101"/>
        <v/>
      </c>
    </row>
    <row r="2171" spans="19:21" ht="23.25" customHeight="1" x14ac:dyDescent="0.35">
      <c r="S2171" s="56" t="str">
        <f t="shared" si="99"/>
        <v/>
      </c>
      <c r="T2171" s="57" t="str">
        <f t="shared" si="100"/>
        <v/>
      </c>
      <c r="U2171" s="58" t="str">
        <f t="shared" si="101"/>
        <v/>
      </c>
    </row>
    <row r="2172" spans="19:21" ht="23.25" customHeight="1" x14ac:dyDescent="0.35">
      <c r="S2172" s="56" t="str">
        <f t="shared" si="99"/>
        <v/>
      </c>
      <c r="T2172" s="57" t="str">
        <f t="shared" si="100"/>
        <v/>
      </c>
      <c r="U2172" s="58" t="str">
        <f t="shared" si="101"/>
        <v/>
      </c>
    </row>
    <row r="2173" spans="19:21" ht="23.25" customHeight="1" x14ac:dyDescent="0.35">
      <c r="S2173" s="56" t="str">
        <f t="shared" si="99"/>
        <v/>
      </c>
      <c r="T2173" s="57" t="str">
        <f t="shared" si="100"/>
        <v/>
      </c>
      <c r="U2173" s="58" t="str">
        <f t="shared" si="101"/>
        <v/>
      </c>
    </row>
    <row r="2174" spans="19:21" ht="23.25" customHeight="1" x14ac:dyDescent="0.35">
      <c r="S2174" s="56" t="str">
        <f t="shared" si="99"/>
        <v/>
      </c>
      <c r="T2174" s="57" t="str">
        <f t="shared" si="100"/>
        <v/>
      </c>
      <c r="U2174" s="58" t="str">
        <f t="shared" si="101"/>
        <v/>
      </c>
    </row>
    <row r="2175" spans="19:21" ht="23.25" customHeight="1" x14ac:dyDescent="0.35">
      <c r="S2175" s="56" t="str">
        <f t="shared" si="99"/>
        <v/>
      </c>
      <c r="T2175" s="57" t="str">
        <f t="shared" si="100"/>
        <v/>
      </c>
      <c r="U2175" s="58" t="str">
        <f t="shared" si="101"/>
        <v/>
      </c>
    </row>
    <row r="2176" spans="19:21" ht="23.25" customHeight="1" x14ac:dyDescent="0.35">
      <c r="S2176" s="56" t="str">
        <f t="shared" si="99"/>
        <v/>
      </c>
      <c r="T2176" s="57" t="str">
        <f t="shared" si="100"/>
        <v/>
      </c>
      <c r="U2176" s="58" t="str">
        <f t="shared" si="101"/>
        <v/>
      </c>
    </row>
    <row r="2177" spans="19:21" ht="23.25" customHeight="1" x14ac:dyDescent="0.35">
      <c r="S2177" s="56" t="str">
        <f t="shared" si="99"/>
        <v/>
      </c>
      <c r="T2177" s="57" t="str">
        <f t="shared" si="100"/>
        <v/>
      </c>
      <c r="U2177" s="58" t="str">
        <f t="shared" si="101"/>
        <v/>
      </c>
    </row>
    <row r="2178" spans="19:21" ht="23.25" customHeight="1" x14ac:dyDescent="0.35">
      <c r="S2178" s="56" t="str">
        <f t="shared" si="99"/>
        <v/>
      </c>
      <c r="T2178" s="57" t="str">
        <f t="shared" si="100"/>
        <v/>
      </c>
      <c r="U2178" s="58" t="str">
        <f t="shared" si="101"/>
        <v/>
      </c>
    </row>
    <row r="2179" spans="19:21" ht="23.25" customHeight="1" x14ac:dyDescent="0.35">
      <c r="S2179" s="56" t="str">
        <f t="shared" si="99"/>
        <v/>
      </c>
      <c r="T2179" s="57" t="str">
        <f t="shared" si="100"/>
        <v/>
      </c>
      <c r="U2179" s="58" t="str">
        <f t="shared" si="101"/>
        <v/>
      </c>
    </row>
    <row r="2180" spans="19:21" ht="23.25" customHeight="1" x14ac:dyDescent="0.35">
      <c r="S2180" s="56" t="str">
        <f t="shared" si="99"/>
        <v/>
      </c>
      <c r="T2180" s="57" t="str">
        <f t="shared" si="100"/>
        <v/>
      </c>
      <c r="U2180" s="58" t="str">
        <f t="shared" si="101"/>
        <v/>
      </c>
    </row>
    <row r="2181" spans="19:21" ht="23.25" customHeight="1" x14ac:dyDescent="0.35">
      <c r="S2181" s="56" t="str">
        <f t="shared" si="99"/>
        <v/>
      </c>
      <c r="T2181" s="57" t="str">
        <f t="shared" si="100"/>
        <v/>
      </c>
      <c r="U2181" s="58" t="str">
        <f t="shared" si="101"/>
        <v/>
      </c>
    </row>
    <row r="2182" spans="19:21" ht="23.25" customHeight="1" x14ac:dyDescent="0.35">
      <c r="S2182" s="56" t="str">
        <f t="shared" si="99"/>
        <v/>
      </c>
      <c r="T2182" s="57" t="str">
        <f t="shared" si="100"/>
        <v/>
      </c>
      <c r="U2182" s="58" t="str">
        <f t="shared" si="101"/>
        <v/>
      </c>
    </row>
    <row r="2183" spans="19:21" ht="23.25" customHeight="1" x14ac:dyDescent="0.35">
      <c r="S2183" s="56" t="str">
        <f t="shared" si="99"/>
        <v/>
      </c>
      <c r="T2183" s="57" t="str">
        <f t="shared" si="100"/>
        <v/>
      </c>
      <c r="U2183" s="58" t="str">
        <f t="shared" si="101"/>
        <v/>
      </c>
    </row>
    <row r="2184" spans="19:21" ht="23.25" customHeight="1" x14ac:dyDescent="0.35">
      <c r="S2184" s="56" t="str">
        <f t="shared" si="99"/>
        <v/>
      </c>
      <c r="T2184" s="57" t="str">
        <f t="shared" si="100"/>
        <v/>
      </c>
      <c r="U2184" s="58" t="str">
        <f t="shared" si="101"/>
        <v/>
      </c>
    </row>
    <row r="2185" spans="19:21" ht="23.25" customHeight="1" x14ac:dyDescent="0.35">
      <c r="S2185" s="56" t="str">
        <f t="shared" ref="S2185:S2248" si="102">IF(A2185="","",A$5-A2185)</f>
        <v/>
      </c>
      <c r="T2185" s="57" t="str">
        <f t="shared" ref="T2185:T2248" si="103">IF(S2185="","",IF(S2185&lt;4,"0-3 Days",IF(S2185&lt;31,"4-30 Days",IF(S2185&lt;61,"31-60 Days",IF(S2185&lt;=90,"61-90 Days",IF(S2185&gt;90,"Above 90 Days","0"))))))</f>
        <v/>
      </c>
      <c r="U2185" s="58" t="str">
        <f t="shared" ref="U2185:U2248" si="104">IF(C2185="","",IF(C2185&gt;0,IF(S2185&lt;30,"Normal",IF(S2185&lt;60,"Especially Mentioned",IF(S2185&lt;90,"Substandard",IF(S2185&lt;=180,"Doubtful",IF(S2185&gt;180,"Loss","0"))))),"Not Applicable"))</f>
        <v/>
      </c>
    </row>
    <row r="2186" spans="19:21" ht="23.25" customHeight="1" x14ac:dyDescent="0.35">
      <c r="S2186" s="56" t="str">
        <f t="shared" si="102"/>
        <v/>
      </c>
      <c r="T2186" s="57" t="str">
        <f t="shared" si="103"/>
        <v/>
      </c>
      <c r="U2186" s="58" t="str">
        <f t="shared" si="104"/>
        <v/>
      </c>
    </row>
    <row r="2187" spans="19:21" ht="23.25" customHeight="1" x14ac:dyDescent="0.35">
      <c r="S2187" s="56" t="str">
        <f t="shared" si="102"/>
        <v/>
      </c>
      <c r="T2187" s="57" t="str">
        <f t="shared" si="103"/>
        <v/>
      </c>
      <c r="U2187" s="58" t="str">
        <f t="shared" si="104"/>
        <v/>
      </c>
    </row>
    <row r="2188" spans="19:21" ht="23.25" customHeight="1" x14ac:dyDescent="0.35">
      <c r="S2188" s="56" t="str">
        <f t="shared" si="102"/>
        <v/>
      </c>
      <c r="T2188" s="57" t="str">
        <f t="shared" si="103"/>
        <v/>
      </c>
      <c r="U2188" s="58" t="str">
        <f t="shared" si="104"/>
        <v/>
      </c>
    </row>
    <row r="2189" spans="19:21" ht="23.25" customHeight="1" x14ac:dyDescent="0.35">
      <c r="S2189" s="56" t="str">
        <f t="shared" si="102"/>
        <v/>
      </c>
      <c r="T2189" s="57" t="str">
        <f t="shared" si="103"/>
        <v/>
      </c>
      <c r="U2189" s="58" t="str">
        <f t="shared" si="104"/>
        <v/>
      </c>
    </row>
    <row r="2190" spans="19:21" ht="23.25" customHeight="1" x14ac:dyDescent="0.35">
      <c r="S2190" s="56" t="str">
        <f t="shared" si="102"/>
        <v/>
      </c>
      <c r="T2190" s="57" t="str">
        <f t="shared" si="103"/>
        <v/>
      </c>
      <c r="U2190" s="58" t="str">
        <f t="shared" si="104"/>
        <v/>
      </c>
    </row>
    <row r="2191" spans="19:21" ht="23.25" customHeight="1" x14ac:dyDescent="0.35">
      <c r="S2191" s="56" t="str">
        <f t="shared" si="102"/>
        <v/>
      </c>
      <c r="T2191" s="57" t="str">
        <f t="shared" si="103"/>
        <v/>
      </c>
      <c r="U2191" s="58" t="str">
        <f t="shared" si="104"/>
        <v/>
      </c>
    </row>
    <row r="2192" spans="19:21" ht="23.25" customHeight="1" x14ac:dyDescent="0.35">
      <c r="S2192" s="56" t="str">
        <f t="shared" si="102"/>
        <v/>
      </c>
      <c r="T2192" s="57" t="str">
        <f t="shared" si="103"/>
        <v/>
      </c>
      <c r="U2192" s="58" t="str">
        <f t="shared" si="104"/>
        <v/>
      </c>
    </row>
    <row r="2193" spans="19:21" ht="23.25" customHeight="1" x14ac:dyDescent="0.35">
      <c r="S2193" s="56" t="str">
        <f t="shared" si="102"/>
        <v/>
      </c>
      <c r="T2193" s="57" t="str">
        <f t="shared" si="103"/>
        <v/>
      </c>
      <c r="U2193" s="58" t="str">
        <f t="shared" si="104"/>
        <v/>
      </c>
    </row>
    <row r="2194" spans="19:21" ht="23.25" customHeight="1" x14ac:dyDescent="0.35">
      <c r="S2194" s="56" t="str">
        <f t="shared" si="102"/>
        <v/>
      </c>
      <c r="T2194" s="57" t="str">
        <f t="shared" si="103"/>
        <v/>
      </c>
      <c r="U2194" s="58" t="str">
        <f t="shared" si="104"/>
        <v/>
      </c>
    </row>
    <row r="2195" spans="19:21" ht="23.25" customHeight="1" x14ac:dyDescent="0.35">
      <c r="S2195" s="56" t="str">
        <f t="shared" si="102"/>
        <v/>
      </c>
      <c r="T2195" s="57" t="str">
        <f t="shared" si="103"/>
        <v/>
      </c>
      <c r="U2195" s="58" t="str">
        <f t="shared" si="104"/>
        <v/>
      </c>
    </row>
    <row r="2196" spans="19:21" ht="23.25" customHeight="1" x14ac:dyDescent="0.35">
      <c r="S2196" s="56" t="str">
        <f t="shared" si="102"/>
        <v/>
      </c>
      <c r="T2196" s="57" t="str">
        <f t="shared" si="103"/>
        <v/>
      </c>
      <c r="U2196" s="58" t="str">
        <f t="shared" si="104"/>
        <v/>
      </c>
    </row>
    <row r="2197" spans="19:21" ht="23.25" customHeight="1" x14ac:dyDescent="0.35">
      <c r="S2197" s="56" t="str">
        <f t="shared" si="102"/>
        <v/>
      </c>
      <c r="T2197" s="57" t="str">
        <f t="shared" si="103"/>
        <v/>
      </c>
      <c r="U2197" s="58" t="str">
        <f t="shared" si="104"/>
        <v/>
      </c>
    </row>
    <row r="2198" spans="19:21" ht="23.25" customHeight="1" x14ac:dyDescent="0.35">
      <c r="S2198" s="56" t="str">
        <f t="shared" si="102"/>
        <v/>
      </c>
      <c r="T2198" s="57" t="str">
        <f t="shared" si="103"/>
        <v/>
      </c>
      <c r="U2198" s="58" t="str">
        <f t="shared" si="104"/>
        <v/>
      </c>
    </row>
    <row r="2199" spans="19:21" ht="23.25" customHeight="1" x14ac:dyDescent="0.35">
      <c r="S2199" s="56" t="str">
        <f t="shared" si="102"/>
        <v/>
      </c>
      <c r="T2199" s="57" t="str">
        <f t="shared" si="103"/>
        <v/>
      </c>
      <c r="U2199" s="58" t="str">
        <f t="shared" si="104"/>
        <v/>
      </c>
    </row>
    <row r="2200" spans="19:21" ht="23.25" customHeight="1" x14ac:dyDescent="0.35">
      <c r="S2200" s="56" t="str">
        <f t="shared" si="102"/>
        <v/>
      </c>
      <c r="T2200" s="57" t="str">
        <f t="shared" si="103"/>
        <v/>
      </c>
      <c r="U2200" s="58" t="str">
        <f t="shared" si="104"/>
        <v/>
      </c>
    </row>
    <row r="2201" spans="19:21" ht="23.25" customHeight="1" x14ac:dyDescent="0.35">
      <c r="S2201" s="56" t="str">
        <f t="shared" si="102"/>
        <v/>
      </c>
      <c r="T2201" s="57" t="str">
        <f t="shared" si="103"/>
        <v/>
      </c>
      <c r="U2201" s="58" t="str">
        <f t="shared" si="104"/>
        <v/>
      </c>
    </row>
    <row r="2202" spans="19:21" ht="23.25" customHeight="1" x14ac:dyDescent="0.35">
      <c r="S2202" s="56" t="str">
        <f t="shared" si="102"/>
        <v/>
      </c>
      <c r="T2202" s="57" t="str">
        <f t="shared" si="103"/>
        <v/>
      </c>
      <c r="U2202" s="58" t="str">
        <f t="shared" si="104"/>
        <v/>
      </c>
    </row>
    <row r="2203" spans="19:21" ht="23.25" customHeight="1" x14ac:dyDescent="0.35">
      <c r="S2203" s="56" t="str">
        <f t="shared" si="102"/>
        <v/>
      </c>
      <c r="T2203" s="57" t="str">
        <f t="shared" si="103"/>
        <v/>
      </c>
      <c r="U2203" s="58" t="str">
        <f t="shared" si="104"/>
        <v/>
      </c>
    </row>
    <row r="2204" spans="19:21" ht="23.25" customHeight="1" x14ac:dyDescent="0.35">
      <c r="S2204" s="56" t="str">
        <f t="shared" si="102"/>
        <v/>
      </c>
      <c r="T2204" s="57" t="str">
        <f t="shared" si="103"/>
        <v/>
      </c>
      <c r="U2204" s="58" t="str">
        <f t="shared" si="104"/>
        <v/>
      </c>
    </row>
    <row r="2205" spans="19:21" ht="23.25" customHeight="1" x14ac:dyDescent="0.35">
      <c r="S2205" s="56" t="str">
        <f t="shared" si="102"/>
        <v/>
      </c>
      <c r="T2205" s="57" t="str">
        <f t="shared" si="103"/>
        <v/>
      </c>
      <c r="U2205" s="58" t="str">
        <f t="shared" si="104"/>
        <v/>
      </c>
    </row>
    <row r="2206" spans="19:21" ht="23.25" customHeight="1" x14ac:dyDescent="0.35">
      <c r="S2206" s="56" t="str">
        <f t="shared" si="102"/>
        <v/>
      </c>
      <c r="T2206" s="57" t="str">
        <f t="shared" si="103"/>
        <v/>
      </c>
      <c r="U2206" s="58" t="str">
        <f t="shared" si="104"/>
        <v/>
      </c>
    </row>
    <row r="2207" spans="19:21" ht="23.25" customHeight="1" x14ac:dyDescent="0.35">
      <c r="S2207" s="56" t="str">
        <f t="shared" si="102"/>
        <v/>
      </c>
      <c r="T2207" s="57" t="str">
        <f t="shared" si="103"/>
        <v/>
      </c>
      <c r="U2207" s="58" t="str">
        <f t="shared" si="104"/>
        <v/>
      </c>
    </row>
    <row r="2208" spans="19:21" ht="23.25" customHeight="1" x14ac:dyDescent="0.35">
      <c r="S2208" s="56" t="str">
        <f t="shared" si="102"/>
        <v/>
      </c>
      <c r="T2208" s="57" t="str">
        <f t="shared" si="103"/>
        <v/>
      </c>
      <c r="U2208" s="58" t="str">
        <f t="shared" si="104"/>
        <v/>
      </c>
    </row>
    <row r="2209" spans="19:21" ht="23.25" customHeight="1" x14ac:dyDescent="0.35">
      <c r="S2209" s="56" t="str">
        <f t="shared" si="102"/>
        <v/>
      </c>
      <c r="T2209" s="57" t="str">
        <f t="shared" si="103"/>
        <v/>
      </c>
      <c r="U2209" s="58" t="str">
        <f t="shared" si="104"/>
        <v/>
      </c>
    </row>
    <row r="2210" spans="19:21" ht="23.25" customHeight="1" x14ac:dyDescent="0.35">
      <c r="S2210" s="56" t="str">
        <f t="shared" si="102"/>
        <v/>
      </c>
      <c r="T2210" s="57" t="str">
        <f t="shared" si="103"/>
        <v/>
      </c>
      <c r="U2210" s="58" t="str">
        <f t="shared" si="104"/>
        <v/>
      </c>
    </row>
    <row r="2211" spans="19:21" ht="23.25" customHeight="1" x14ac:dyDescent="0.35">
      <c r="S2211" s="56" t="str">
        <f t="shared" si="102"/>
        <v/>
      </c>
      <c r="T2211" s="57" t="str">
        <f t="shared" si="103"/>
        <v/>
      </c>
      <c r="U2211" s="58" t="str">
        <f t="shared" si="104"/>
        <v/>
      </c>
    </row>
    <row r="2212" spans="19:21" ht="23.25" customHeight="1" x14ac:dyDescent="0.35">
      <c r="S2212" s="56" t="str">
        <f t="shared" si="102"/>
        <v/>
      </c>
      <c r="T2212" s="57" t="str">
        <f t="shared" si="103"/>
        <v/>
      </c>
      <c r="U2212" s="58" t="str">
        <f t="shared" si="104"/>
        <v/>
      </c>
    </row>
    <row r="2213" spans="19:21" ht="23.25" customHeight="1" x14ac:dyDescent="0.35">
      <c r="S2213" s="56" t="str">
        <f t="shared" si="102"/>
        <v/>
      </c>
      <c r="T2213" s="57" t="str">
        <f t="shared" si="103"/>
        <v/>
      </c>
      <c r="U2213" s="58" t="str">
        <f t="shared" si="104"/>
        <v/>
      </c>
    </row>
    <row r="2214" spans="19:21" ht="23.25" customHeight="1" x14ac:dyDescent="0.35">
      <c r="S2214" s="56" t="str">
        <f t="shared" si="102"/>
        <v/>
      </c>
      <c r="T2214" s="57" t="str">
        <f t="shared" si="103"/>
        <v/>
      </c>
      <c r="U2214" s="58" t="str">
        <f t="shared" si="104"/>
        <v/>
      </c>
    </row>
    <row r="2215" spans="19:21" ht="23.25" customHeight="1" x14ac:dyDescent="0.35">
      <c r="S2215" s="56" t="str">
        <f t="shared" si="102"/>
        <v/>
      </c>
      <c r="T2215" s="57" t="str">
        <f t="shared" si="103"/>
        <v/>
      </c>
      <c r="U2215" s="58" t="str">
        <f t="shared" si="104"/>
        <v/>
      </c>
    </row>
    <row r="2216" spans="19:21" ht="23.25" customHeight="1" x14ac:dyDescent="0.35">
      <c r="S2216" s="56" t="str">
        <f t="shared" si="102"/>
        <v/>
      </c>
      <c r="T2216" s="57" t="str">
        <f t="shared" si="103"/>
        <v/>
      </c>
      <c r="U2216" s="58" t="str">
        <f t="shared" si="104"/>
        <v/>
      </c>
    </row>
    <row r="2217" spans="19:21" ht="23.25" customHeight="1" x14ac:dyDescent="0.35">
      <c r="S2217" s="56" t="str">
        <f t="shared" si="102"/>
        <v/>
      </c>
      <c r="T2217" s="57" t="str">
        <f t="shared" si="103"/>
        <v/>
      </c>
      <c r="U2217" s="58" t="str">
        <f t="shared" si="104"/>
        <v/>
      </c>
    </row>
    <row r="2218" spans="19:21" ht="23.25" customHeight="1" x14ac:dyDescent="0.35">
      <c r="S2218" s="56" t="str">
        <f t="shared" si="102"/>
        <v/>
      </c>
      <c r="T2218" s="57" t="str">
        <f t="shared" si="103"/>
        <v/>
      </c>
      <c r="U2218" s="58" t="str">
        <f t="shared" si="104"/>
        <v/>
      </c>
    </row>
    <row r="2219" spans="19:21" ht="23.25" customHeight="1" x14ac:dyDescent="0.35">
      <c r="S2219" s="56" t="str">
        <f t="shared" si="102"/>
        <v/>
      </c>
      <c r="T2219" s="57" t="str">
        <f t="shared" si="103"/>
        <v/>
      </c>
      <c r="U2219" s="58" t="str">
        <f t="shared" si="104"/>
        <v/>
      </c>
    </row>
    <row r="2220" spans="19:21" ht="23.25" customHeight="1" x14ac:dyDescent="0.35">
      <c r="S2220" s="56" t="str">
        <f t="shared" si="102"/>
        <v/>
      </c>
      <c r="T2220" s="57" t="str">
        <f t="shared" si="103"/>
        <v/>
      </c>
      <c r="U2220" s="58" t="str">
        <f t="shared" si="104"/>
        <v/>
      </c>
    </row>
    <row r="2221" spans="19:21" ht="23.25" customHeight="1" x14ac:dyDescent="0.35">
      <c r="S2221" s="56" t="str">
        <f t="shared" si="102"/>
        <v/>
      </c>
      <c r="T2221" s="57" t="str">
        <f t="shared" si="103"/>
        <v/>
      </c>
      <c r="U2221" s="58" t="str">
        <f t="shared" si="104"/>
        <v/>
      </c>
    </row>
    <row r="2222" spans="19:21" ht="23.25" customHeight="1" x14ac:dyDescent="0.35">
      <c r="S2222" s="56" t="str">
        <f t="shared" si="102"/>
        <v/>
      </c>
      <c r="T2222" s="57" t="str">
        <f t="shared" si="103"/>
        <v/>
      </c>
      <c r="U2222" s="58" t="str">
        <f t="shared" si="104"/>
        <v/>
      </c>
    </row>
    <row r="2223" spans="19:21" ht="23.25" customHeight="1" x14ac:dyDescent="0.35">
      <c r="S2223" s="56" t="str">
        <f t="shared" si="102"/>
        <v/>
      </c>
      <c r="T2223" s="57" t="str">
        <f t="shared" si="103"/>
        <v/>
      </c>
      <c r="U2223" s="58" t="str">
        <f t="shared" si="104"/>
        <v/>
      </c>
    </row>
    <row r="2224" spans="19:21" ht="23.25" customHeight="1" x14ac:dyDescent="0.35">
      <c r="S2224" s="56" t="str">
        <f t="shared" si="102"/>
        <v/>
      </c>
      <c r="T2224" s="57" t="str">
        <f t="shared" si="103"/>
        <v/>
      </c>
      <c r="U2224" s="58" t="str">
        <f t="shared" si="104"/>
        <v/>
      </c>
    </row>
    <row r="2225" spans="19:21" ht="23.25" customHeight="1" x14ac:dyDescent="0.35">
      <c r="S2225" s="56" t="str">
        <f t="shared" si="102"/>
        <v/>
      </c>
      <c r="T2225" s="57" t="str">
        <f t="shared" si="103"/>
        <v/>
      </c>
      <c r="U2225" s="58" t="str">
        <f t="shared" si="104"/>
        <v/>
      </c>
    </row>
    <row r="2226" spans="19:21" ht="23.25" customHeight="1" x14ac:dyDescent="0.35">
      <c r="S2226" s="56" t="str">
        <f t="shared" si="102"/>
        <v/>
      </c>
      <c r="T2226" s="57" t="str">
        <f t="shared" si="103"/>
        <v/>
      </c>
      <c r="U2226" s="58" t="str">
        <f t="shared" si="104"/>
        <v/>
      </c>
    </row>
    <row r="2227" spans="19:21" ht="23.25" customHeight="1" x14ac:dyDescent="0.35">
      <c r="S2227" s="56" t="str">
        <f t="shared" si="102"/>
        <v/>
      </c>
      <c r="T2227" s="57" t="str">
        <f t="shared" si="103"/>
        <v/>
      </c>
      <c r="U2227" s="58" t="str">
        <f t="shared" si="104"/>
        <v/>
      </c>
    </row>
    <row r="2228" spans="19:21" ht="23.25" customHeight="1" x14ac:dyDescent="0.35">
      <c r="S2228" s="56" t="str">
        <f t="shared" si="102"/>
        <v/>
      </c>
      <c r="T2228" s="57" t="str">
        <f t="shared" si="103"/>
        <v/>
      </c>
      <c r="U2228" s="58" t="str">
        <f t="shared" si="104"/>
        <v/>
      </c>
    </row>
    <row r="2229" spans="19:21" ht="23.25" customHeight="1" x14ac:dyDescent="0.35">
      <c r="S2229" s="56" t="str">
        <f t="shared" si="102"/>
        <v/>
      </c>
      <c r="T2229" s="57" t="str">
        <f t="shared" si="103"/>
        <v/>
      </c>
      <c r="U2229" s="58" t="str">
        <f t="shared" si="104"/>
        <v/>
      </c>
    </row>
    <row r="2230" spans="19:21" ht="23.25" customHeight="1" x14ac:dyDescent="0.35">
      <c r="S2230" s="56" t="str">
        <f t="shared" si="102"/>
        <v/>
      </c>
      <c r="T2230" s="57" t="str">
        <f t="shared" si="103"/>
        <v/>
      </c>
      <c r="U2230" s="58" t="str">
        <f t="shared" si="104"/>
        <v/>
      </c>
    </row>
    <row r="2231" spans="19:21" ht="23.25" customHeight="1" x14ac:dyDescent="0.35">
      <c r="S2231" s="56" t="str">
        <f t="shared" si="102"/>
        <v/>
      </c>
      <c r="T2231" s="57" t="str">
        <f t="shared" si="103"/>
        <v/>
      </c>
      <c r="U2231" s="58" t="str">
        <f t="shared" si="104"/>
        <v/>
      </c>
    </row>
    <row r="2232" spans="19:21" ht="23.25" customHeight="1" x14ac:dyDescent="0.35">
      <c r="S2232" s="56" t="str">
        <f t="shared" si="102"/>
        <v/>
      </c>
      <c r="T2232" s="57" t="str">
        <f t="shared" si="103"/>
        <v/>
      </c>
      <c r="U2232" s="58" t="str">
        <f t="shared" si="104"/>
        <v/>
      </c>
    </row>
    <row r="2233" spans="19:21" ht="23.25" customHeight="1" x14ac:dyDescent="0.35">
      <c r="S2233" s="56" t="str">
        <f t="shared" si="102"/>
        <v/>
      </c>
      <c r="T2233" s="57" t="str">
        <f t="shared" si="103"/>
        <v/>
      </c>
      <c r="U2233" s="58" t="str">
        <f t="shared" si="104"/>
        <v/>
      </c>
    </row>
    <row r="2234" spans="19:21" ht="23.25" customHeight="1" x14ac:dyDescent="0.35">
      <c r="S2234" s="56" t="str">
        <f t="shared" si="102"/>
        <v/>
      </c>
      <c r="T2234" s="57" t="str">
        <f t="shared" si="103"/>
        <v/>
      </c>
      <c r="U2234" s="58" t="str">
        <f t="shared" si="104"/>
        <v/>
      </c>
    </row>
    <row r="2235" spans="19:21" ht="23.25" customHeight="1" x14ac:dyDescent="0.35">
      <c r="S2235" s="56" t="str">
        <f t="shared" si="102"/>
        <v/>
      </c>
      <c r="T2235" s="57" t="str">
        <f t="shared" si="103"/>
        <v/>
      </c>
      <c r="U2235" s="58" t="str">
        <f t="shared" si="104"/>
        <v/>
      </c>
    </row>
    <row r="2236" spans="19:21" ht="23.25" customHeight="1" x14ac:dyDescent="0.35">
      <c r="S2236" s="56" t="str">
        <f t="shared" si="102"/>
        <v/>
      </c>
      <c r="T2236" s="57" t="str">
        <f t="shared" si="103"/>
        <v/>
      </c>
      <c r="U2236" s="58" t="str">
        <f t="shared" si="104"/>
        <v/>
      </c>
    </row>
    <row r="2237" spans="19:21" ht="23.25" customHeight="1" x14ac:dyDescent="0.35">
      <c r="S2237" s="56" t="str">
        <f t="shared" si="102"/>
        <v/>
      </c>
      <c r="T2237" s="57" t="str">
        <f t="shared" si="103"/>
        <v/>
      </c>
      <c r="U2237" s="58" t="str">
        <f t="shared" si="104"/>
        <v/>
      </c>
    </row>
    <row r="2238" spans="19:21" ht="23.25" customHeight="1" x14ac:dyDescent="0.35">
      <c r="S2238" s="56" t="str">
        <f t="shared" si="102"/>
        <v/>
      </c>
      <c r="T2238" s="57" t="str">
        <f t="shared" si="103"/>
        <v/>
      </c>
      <c r="U2238" s="58" t="str">
        <f t="shared" si="104"/>
        <v/>
      </c>
    </row>
    <row r="2239" spans="19:21" ht="23.25" customHeight="1" x14ac:dyDescent="0.35">
      <c r="S2239" s="56" t="str">
        <f t="shared" si="102"/>
        <v/>
      </c>
      <c r="T2239" s="57" t="str">
        <f t="shared" si="103"/>
        <v/>
      </c>
      <c r="U2239" s="58" t="str">
        <f t="shared" si="104"/>
        <v/>
      </c>
    </row>
    <row r="2240" spans="19:21" ht="23.25" customHeight="1" x14ac:dyDescent="0.35">
      <c r="S2240" s="56" t="str">
        <f t="shared" si="102"/>
        <v/>
      </c>
      <c r="T2240" s="57" t="str">
        <f t="shared" si="103"/>
        <v/>
      </c>
      <c r="U2240" s="58" t="str">
        <f t="shared" si="104"/>
        <v/>
      </c>
    </row>
    <row r="2241" spans="19:21" ht="23.25" customHeight="1" x14ac:dyDescent="0.35">
      <c r="S2241" s="56" t="str">
        <f t="shared" si="102"/>
        <v/>
      </c>
      <c r="T2241" s="57" t="str">
        <f t="shared" si="103"/>
        <v/>
      </c>
      <c r="U2241" s="58" t="str">
        <f t="shared" si="104"/>
        <v/>
      </c>
    </row>
    <row r="2242" spans="19:21" ht="23.25" customHeight="1" x14ac:dyDescent="0.35">
      <c r="S2242" s="56" t="str">
        <f t="shared" si="102"/>
        <v/>
      </c>
      <c r="T2242" s="57" t="str">
        <f t="shared" si="103"/>
        <v/>
      </c>
      <c r="U2242" s="58" t="str">
        <f t="shared" si="104"/>
        <v/>
      </c>
    </row>
    <row r="2243" spans="19:21" ht="23.25" customHeight="1" x14ac:dyDescent="0.35">
      <c r="S2243" s="56" t="str">
        <f t="shared" si="102"/>
        <v/>
      </c>
      <c r="T2243" s="57" t="str">
        <f t="shared" si="103"/>
        <v/>
      </c>
      <c r="U2243" s="58" t="str">
        <f t="shared" si="104"/>
        <v/>
      </c>
    </row>
    <row r="2244" spans="19:21" ht="23.25" customHeight="1" x14ac:dyDescent="0.35">
      <c r="S2244" s="56" t="str">
        <f t="shared" si="102"/>
        <v/>
      </c>
      <c r="T2244" s="57" t="str">
        <f t="shared" si="103"/>
        <v/>
      </c>
      <c r="U2244" s="58" t="str">
        <f t="shared" si="104"/>
        <v/>
      </c>
    </row>
    <row r="2245" spans="19:21" ht="23.25" customHeight="1" x14ac:dyDescent="0.35">
      <c r="S2245" s="56" t="str">
        <f t="shared" si="102"/>
        <v/>
      </c>
      <c r="T2245" s="57" t="str">
        <f t="shared" si="103"/>
        <v/>
      </c>
      <c r="U2245" s="58" t="str">
        <f t="shared" si="104"/>
        <v/>
      </c>
    </row>
    <row r="2246" spans="19:21" ht="23.25" customHeight="1" x14ac:dyDescent="0.35">
      <c r="S2246" s="56" t="str">
        <f t="shared" si="102"/>
        <v/>
      </c>
      <c r="T2246" s="57" t="str">
        <f t="shared" si="103"/>
        <v/>
      </c>
      <c r="U2246" s="58" t="str">
        <f t="shared" si="104"/>
        <v/>
      </c>
    </row>
    <row r="2247" spans="19:21" ht="23.25" customHeight="1" x14ac:dyDescent="0.35">
      <c r="S2247" s="56" t="str">
        <f t="shared" si="102"/>
        <v/>
      </c>
      <c r="T2247" s="57" t="str">
        <f t="shared" si="103"/>
        <v/>
      </c>
      <c r="U2247" s="58" t="str">
        <f t="shared" si="104"/>
        <v/>
      </c>
    </row>
    <row r="2248" spans="19:21" ht="23.25" customHeight="1" x14ac:dyDescent="0.35">
      <c r="S2248" s="56" t="str">
        <f t="shared" si="102"/>
        <v/>
      </c>
      <c r="T2248" s="57" t="str">
        <f t="shared" si="103"/>
        <v/>
      </c>
      <c r="U2248" s="58" t="str">
        <f t="shared" si="104"/>
        <v/>
      </c>
    </row>
    <row r="2249" spans="19:21" ht="23.25" customHeight="1" x14ac:dyDescent="0.35">
      <c r="S2249" s="56" t="str">
        <f t="shared" ref="S2249:S2312" si="105">IF(A2249="","",A$5-A2249)</f>
        <v/>
      </c>
      <c r="T2249" s="57" t="str">
        <f t="shared" ref="T2249:T2312" si="106">IF(S2249="","",IF(S2249&lt;4,"0-3 Days",IF(S2249&lt;31,"4-30 Days",IF(S2249&lt;61,"31-60 Days",IF(S2249&lt;=90,"61-90 Days",IF(S2249&gt;90,"Above 90 Days","0"))))))</f>
        <v/>
      </c>
      <c r="U2249" s="58" t="str">
        <f t="shared" ref="U2249:U2312" si="107">IF(C2249="","",IF(C2249&gt;0,IF(S2249&lt;30,"Normal",IF(S2249&lt;60,"Especially Mentioned",IF(S2249&lt;90,"Substandard",IF(S2249&lt;=180,"Doubtful",IF(S2249&gt;180,"Loss","0"))))),"Not Applicable"))</f>
        <v/>
      </c>
    </row>
    <row r="2250" spans="19:21" ht="23.25" customHeight="1" x14ac:dyDescent="0.35">
      <c r="S2250" s="56" t="str">
        <f t="shared" si="105"/>
        <v/>
      </c>
      <c r="T2250" s="57" t="str">
        <f t="shared" si="106"/>
        <v/>
      </c>
      <c r="U2250" s="58" t="str">
        <f t="shared" si="107"/>
        <v/>
      </c>
    </row>
    <row r="2251" spans="19:21" ht="23.25" customHeight="1" x14ac:dyDescent="0.35">
      <c r="S2251" s="56" t="str">
        <f t="shared" si="105"/>
        <v/>
      </c>
      <c r="T2251" s="57" t="str">
        <f t="shared" si="106"/>
        <v/>
      </c>
      <c r="U2251" s="58" t="str">
        <f t="shared" si="107"/>
        <v/>
      </c>
    </row>
    <row r="2252" spans="19:21" ht="23.25" customHeight="1" x14ac:dyDescent="0.35">
      <c r="S2252" s="56" t="str">
        <f t="shared" si="105"/>
        <v/>
      </c>
      <c r="T2252" s="57" t="str">
        <f t="shared" si="106"/>
        <v/>
      </c>
      <c r="U2252" s="58" t="str">
        <f t="shared" si="107"/>
        <v/>
      </c>
    </row>
    <row r="2253" spans="19:21" ht="23.25" customHeight="1" x14ac:dyDescent="0.35">
      <c r="S2253" s="56" t="str">
        <f t="shared" si="105"/>
        <v/>
      </c>
      <c r="T2253" s="57" t="str">
        <f t="shared" si="106"/>
        <v/>
      </c>
      <c r="U2253" s="58" t="str">
        <f t="shared" si="107"/>
        <v/>
      </c>
    </row>
    <row r="2254" spans="19:21" ht="23.25" customHeight="1" x14ac:dyDescent="0.35">
      <c r="S2254" s="56" t="str">
        <f t="shared" si="105"/>
        <v/>
      </c>
      <c r="T2254" s="57" t="str">
        <f t="shared" si="106"/>
        <v/>
      </c>
      <c r="U2254" s="58" t="str">
        <f t="shared" si="107"/>
        <v/>
      </c>
    </row>
    <row r="2255" spans="19:21" ht="23.25" customHeight="1" x14ac:dyDescent="0.35">
      <c r="S2255" s="56" t="str">
        <f t="shared" si="105"/>
        <v/>
      </c>
      <c r="T2255" s="57" t="str">
        <f t="shared" si="106"/>
        <v/>
      </c>
      <c r="U2255" s="58" t="str">
        <f t="shared" si="107"/>
        <v/>
      </c>
    </row>
    <row r="2256" spans="19:21" ht="23.25" customHeight="1" x14ac:dyDescent="0.35">
      <c r="S2256" s="56" t="str">
        <f t="shared" si="105"/>
        <v/>
      </c>
      <c r="T2256" s="57" t="str">
        <f t="shared" si="106"/>
        <v/>
      </c>
      <c r="U2256" s="58" t="str">
        <f t="shared" si="107"/>
        <v/>
      </c>
    </row>
    <row r="2257" spans="19:21" ht="23.25" customHeight="1" x14ac:dyDescent="0.35">
      <c r="S2257" s="56" t="str">
        <f t="shared" si="105"/>
        <v/>
      </c>
      <c r="T2257" s="57" t="str">
        <f t="shared" si="106"/>
        <v/>
      </c>
      <c r="U2257" s="58" t="str">
        <f t="shared" si="107"/>
        <v/>
      </c>
    </row>
    <row r="2258" spans="19:21" ht="23.25" customHeight="1" x14ac:dyDescent="0.35">
      <c r="S2258" s="56" t="str">
        <f t="shared" si="105"/>
        <v/>
      </c>
      <c r="T2258" s="57" t="str">
        <f t="shared" si="106"/>
        <v/>
      </c>
      <c r="U2258" s="58" t="str">
        <f t="shared" si="107"/>
        <v/>
      </c>
    </row>
    <row r="2259" spans="19:21" ht="23.25" customHeight="1" x14ac:dyDescent="0.35">
      <c r="S2259" s="56" t="str">
        <f t="shared" si="105"/>
        <v/>
      </c>
      <c r="T2259" s="57" t="str">
        <f t="shared" si="106"/>
        <v/>
      </c>
      <c r="U2259" s="58" t="str">
        <f t="shared" si="107"/>
        <v/>
      </c>
    </row>
    <row r="2260" spans="19:21" ht="23.25" customHeight="1" x14ac:dyDescent="0.35">
      <c r="S2260" s="56" t="str">
        <f t="shared" si="105"/>
        <v/>
      </c>
      <c r="T2260" s="57" t="str">
        <f t="shared" si="106"/>
        <v/>
      </c>
      <c r="U2260" s="58" t="str">
        <f t="shared" si="107"/>
        <v/>
      </c>
    </row>
    <row r="2261" spans="19:21" ht="23.25" customHeight="1" x14ac:dyDescent="0.35">
      <c r="S2261" s="56" t="str">
        <f t="shared" si="105"/>
        <v/>
      </c>
      <c r="T2261" s="57" t="str">
        <f t="shared" si="106"/>
        <v/>
      </c>
      <c r="U2261" s="58" t="str">
        <f t="shared" si="107"/>
        <v/>
      </c>
    </row>
    <row r="2262" spans="19:21" ht="23.25" customHeight="1" x14ac:dyDescent="0.35">
      <c r="S2262" s="56" t="str">
        <f t="shared" si="105"/>
        <v/>
      </c>
      <c r="T2262" s="57" t="str">
        <f t="shared" si="106"/>
        <v/>
      </c>
      <c r="U2262" s="58" t="str">
        <f t="shared" si="107"/>
        <v/>
      </c>
    </row>
    <row r="2263" spans="19:21" ht="23.25" customHeight="1" x14ac:dyDescent="0.35">
      <c r="S2263" s="56" t="str">
        <f t="shared" si="105"/>
        <v/>
      </c>
      <c r="T2263" s="57" t="str">
        <f t="shared" si="106"/>
        <v/>
      </c>
      <c r="U2263" s="58" t="str">
        <f t="shared" si="107"/>
        <v/>
      </c>
    </row>
    <row r="2264" spans="19:21" ht="23.25" customHeight="1" x14ac:dyDescent="0.35">
      <c r="S2264" s="56" t="str">
        <f t="shared" si="105"/>
        <v/>
      </c>
      <c r="T2264" s="57" t="str">
        <f t="shared" si="106"/>
        <v/>
      </c>
      <c r="U2264" s="58" t="str">
        <f t="shared" si="107"/>
        <v/>
      </c>
    </row>
    <row r="2265" spans="19:21" ht="23.25" customHeight="1" x14ac:dyDescent="0.35">
      <c r="S2265" s="56" t="str">
        <f t="shared" si="105"/>
        <v/>
      </c>
      <c r="T2265" s="57" t="str">
        <f t="shared" si="106"/>
        <v/>
      </c>
      <c r="U2265" s="58" t="str">
        <f t="shared" si="107"/>
        <v/>
      </c>
    </row>
    <row r="2266" spans="19:21" ht="23.25" customHeight="1" x14ac:dyDescent="0.35">
      <c r="S2266" s="56" t="str">
        <f t="shared" si="105"/>
        <v/>
      </c>
      <c r="T2266" s="57" t="str">
        <f t="shared" si="106"/>
        <v/>
      </c>
      <c r="U2266" s="58" t="str">
        <f t="shared" si="107"/>
        <v/>
      </c>
    </row>
    <row r="2267" spans="19:21" ht="23.25" customHeight="1" x14ac:dyDescent="0.35">
      <c r="S2267" s="56" t="str">
        <f t="shared" si="105"/>
        <v/>
      </c>
      <c r="T2267" s="57" t="str">
        <f t="shared" si="106"/>
        <v/>
      </c>
      <c r="U2267" s="58" t="str">
        <f t="shared" si="107"/>
        <v/>
      </c>
    </row>
    <row r="2268" spans="19:21" ht="23.25" customHeight="1" x14ac:dyDescent="0.35">
      <c r="S2268" s="56" t="str">
        <f t="shared" si="105"/>
        <v/>
      </c>
      <c r="T2268" s="57" t="str">
        <f t="shared" si="106"/>
        <v/>
      </c>
      <c r="U2268" s="58" t="str">
        <f t="shared" si="107"/>
        <v/>
      </c>
    </row>
    <row r="2269" spans="19:21" ht="23.25" customHeight="1" x14ac:dyDescent="0.35">
      <c r="S2269" s="56" t="str">
        <f t="shared" si="105"/>
        <v/>
      </c>
      <c r="T2269" s="57" t="str">
        <f t="shared" si="106"/>
        <v/>
      </c>
      <c r="U2269" s="58" t="str">
        <f t="shared" si="107"/>
        <v/>
      </c>
    </row>
    <row r="2270" spans="19:21" ht="23.25" customHeight="1" x14ac:dyDescent="0.35">
      <c r="S2270" s="56" t="str">
        <f t="shared" si="105"/>
        <v/>
      </c>
      <c r="T2270" s="57" t="str">
        <f t="shared" si="106"/>
        <v/>
      </c>
      <c r="U2270" s="58" t="str">
        <f t="shared" si="107"/>
        <v/>
      </c>
    </row>
    <row r="2271" spans="19:21" ht="23.25" customHeight="1" x14ac:dyDescent="0.35">
      <c r="S2271" s="56" t="str">
        <f t="shared" si="105"/>
        <v/>
      </c>
      <c r="T2271" s="57" t="str">
        <f t="shared" si="106"/>
        <v/>
      </c>
      <c r="U2271" s="58" t="str">
        <f t="shared" si="107"/>
        <v/>
      </c>
    </row>
    <row r="2272" spans="19:21" ht="23.25" customHeight="1" x14ac:dyDescent="0.35">
      <c r="S2272" s="56" t="str">
        <f t="shared" si="105"/>
        <v/>
      </c>
      <c r="T2272" s="57" t="str">
        <f t="shared" si="106"/>
        <v/>
      </c>
      <c r="U2272" s="58" t="str">
        <f t="shared" si="107"/>
        <v/>
      </c>
    </row>
    <row r="2273" spans="19:21" ht="23.25" customHeight="1" x14ac:dyDescent="0.35">
      <c r="S2273" s="56" t="str">
        <f t="shared" si="105"/>
        <v/>
      </c>
      <c r="T2273" s="57" t="str">
        <f t="shared" si="106"/>
        <v/>
      </c>
      <c r="U2273" s="58" t="str">
        <f t="shared" si="107"/>
        <v/>
      </c>
    </row>
    <row r="2274" spans="19:21" ht="23.25" customHeight="1" x14ac:dyDescent="0.35">
      <c r="S2274" s="56" t="str">
        <f t="shared" si="105"/>
        <v/>
      </c>
      <c r="T2274" s="57" t="str">
        <f t="shared" si="106"/>
        <v/>
      </c>
      <c r="U2274" s="58" t="str">
        <f t="shared" si="107"/>
        <v/>
      </c>
    </row>
    <row r="2275" spans="19:21" ht="23.25" customHeight="1" x14ac:dyDescent="0.35">
      <c r="S2275" s="56" t="str">
        <f t="shared" si="105"/>
        <v/>
      </c>
      <c r="T2275" s="57" t="str">
        <f t="shared" si="106"/>
        <v/>
      </c>
      <c r="U2275" s="58" t="str">
        <f t="shared" si="107"/>
        <v/>
      </c>
    </row>
    <row r="2276" spans="19:21" ht="23.25" customHeight="1" x14ac:dyDescent="0.35">
      <c r="S2276" s="56" t="str">
        <f t="shared" si="105"/>
        <v/>
      </c>
      <c r="T2276" s="57" t="str">
        <f t="shared" si="106"/>
        <v/>
      </c>
      <c r="U2276" s="58" t="str">
        <f t="shared" si="107"/>
        <v/>
      </c>
    </row>
    <row r="2277" spans="19:21" ht="23.25" customHeight="1" x14ac:dyDescent="0.35">
      <c r="S2277" s="56" t="str">
        <f t="shared" si="105"/>
        <v/>
      </c>
      <c r="T2277" s="57" t="str">
        <f t="shared" si="106"/>
        <v/>
      </c>
      <c r="U2277" s="58" t="str">
        <f t="shared" si="107"/>
        <v/>
      </c>
    </row>
    <row r="2278" spans="19:21" ht="23.25" customHeight="1" x14ac:dyDescent="0.35">
      <c r="S2278" s="56" t="str">
        <f t="shared" si="105"/>
        <v/>
      </c>
      <c r="T2278" s="57" t="str">
        <f t="shared" si="106"/>
        <v/>
      </c>
      <c r="U2278" s="58" t="str">
        <f t="shared" si="107"/>
        <v/>
      </c>
    </row>
    <row r="2279" spans="19:21" ht="23.25" customHeight="1" x14ac:dyDescent="0.35">
      <c r="S2279" s="56" t="str">
        <f t="shared" si="105"/>
        <v/>
      </c>
      <c r="T2279" s="57" t="str">
        <f t="shared" si="106"/>
        <v/>
      </c>
      <c r="U2279" s="58" t="str">
        <f t="shared" si="107"/>
        <v/>
      </c>
    </row>
    <row r="2280" spans="19:21" ht="23.25" customHeight="1" x14ac:dyDescent="0.35">
      <c r="S2280" s="56" t="str">
        <f t="shared" si="105"/>
        <v/>
      </c>
      <c r="T2280" s="57" t="str">
        <f t="shared" si="106"/>
        <v/>
      </c>
      <c r="U2280" s="58" t="str">
        <f t="shared" si="107"/>
        <v/>
      </c>
    </row>
    <row r="2281" spans="19:21" ht="23.25" customHeight="1" x14ac:dyDescent="0.35">
      <c r="S2281" s="56" t="str">
        <f t="shared" si="105"/>
        <v/>
      </c>
      <c r="T2281" s="57" t="str">
        <f t="shared" si="106"/>
        <v/>
      </c>
      <c r="U2281" s="58" t="str">
        <f t="shared" si="107"/>
        <v/>
      </c>
    </row>
    <row r="2282" spans="19:21" ht="23.25" customHeight="1" x14ac:dyDescent="0.35">
      <c r="S2282" s="56" t="str">
        <f t="shared" si="105"/>
        <v/>
      </c>
      <c r="T2282" s="57" t="str">
        <f t="shared" si="106"/>
        <v/>
      </c>
      <c r="U2282" s="58" t="str">
        <f t="shared" si="107"/>
        <v/>
      </c>
    </row>
    <row r="2283" spans="19:21" ht="23.25" customHeight="1" x14ac:dyDescent="0.35">
      <c r="S2283" s="56" t="str">
        <f t="shared" si="105"/>
        <v/>
      </c>
      <c r="T2283" s="57" t="str">
        <f t="shared" si="106"/>
        <v/>
      </c>
      <c r="U2283" s="58" t="str">
        <f t="shared" si="107"/>
        <v/>
      </c>
    </row>
    <row r="2284" spans="19:21" ht="23.25" customHeight="1" x14ac:dyDescent="0.35">
      <c r="S2284" s="56" t="str">
        <f t="shared" si="105"/>
        <v/>
      </c>
      <c r="T2284" s="57" t="str">
        <f t="shared" si="106"/>
        <v/>
      </c>
      <c r="U2284" s="58" t="str">
        <f t="shared" si="107"/>
        <v/>
      </c>
    </row>
    <row r="2285" spans="19:21" ht="23.25" customHeight="1" x14ac:dyDescent="0.35">
      <c r="S2285" s="56" t="str">
        <f t="shared" si="105"/>
        <v/>
      </c>
      <c r="T2285" s="57" t="str">
        <f t="shared" si="106"/>
        <v/>
      </c>
      <c r="U2285" s="58" t="str">
        <f t="shared" si="107"/>
        <v/>
      </c>
    </row>
    <row r="2286" spans="19:21" ht="23.25" customHeight="1" x14ac:dyDescent="0.35">
      <c r="S2286" s="56" t="str">
        <f t="shared" si="105"/>
        <v/>
      </c>
      <c r="T2286" s="57" t="str">
        <f t="shared" si="106"/>
        <v/>
      </c>
      <c r="U2286" s="58" t="str">
        <f t="shared" si="107"/>
        <v/>
      </c>
    </row>
    <row r="2287" spans="19:21" ht="23.25" customHeight="1" x14ac:dyDescent="0.35">
      <c r="S2287" s="56" t="str">
        <f t="shared" si="105"/>
        <v/>
      </c>
      <c r="T2287" s="57" t="str">
        <f t="shared" si="106"/>
        <v/>
      </c>
      <c r="U2287" s="58" t="str">
        <f t="shared" si="107"/>
        <v/>
      </c>
    </row>
    <row r="2288" spans="19:21" ht="23.25" customHeight="1" x14ac:dyDescent="0.35">
      <c r="S2288" s="56" t="str">
        <f t="shared" si="105"/>
        <v/>
      </c>
      <c r="T2288" s="57" t="str">
        <f t="shared" si="106"/>
        <v/>
      </c>
      <c r="U2288" s="58" t="str">
        <f t="shared" si="107"/>
        <v/>
      </c>
    </row>
    <row r="2289" spans="19:21" ht="23.25" customHeight="1" x14ac:dyDescent="0.35">
      <c r="S2289" s="56" t="str">
        <f t="shared" si="105"/>
        <v/>
      </c>
      <c r="T2289" s="57" t="str">
        <f t="shared" si="106"/>
        <v/>
      </c>
      <c r="U2289" s="58" t="str">
        <f t="shared" si="107"/>
        <v/>
      </c>
    </row>
    <row r="2290" spans="19:21" ht="23.25" customHeight="1" x14ac:dyDescent="0.35">
      <c r="S2290" s="56" t="str">
        <f t="shared" si="105"/>
        <v/>
      </c>
      <c r="T2290" s="57" t="str">
        <f t="shared" si="106"/>
        <v/>
      </c>
      <c r="U2290" s="58" t="str">
        <f t="shared" si="107"/>
        <v/>
      </c>
    </row>
    <row r="2291" spans="19:21" ht="23.25" customHeight="1" x14ac:dyDescent="0.35">
      <c r="S2291" s="56" t="str">
        <f t="shared" si="105"/>
        <v/>
      </c>
      <c r="T2291" s="57" t="str">
        <f t="shared" si="106"/>
        <v/>
      </c>
      <c r="U2291" s="58" t="str">
        <f t="shared" si="107"/>
        <v/>
      </c>
    </row>
    <row r="2292" spans="19:21" ht="23.25" customHeight="1" x14ac:dyDescent="0.35">
      <c r="S2292" s="56" t="str">
        <f t="shared" si="105"/>
        <v/>
      </c>
      <c r="T2292" s="57" t="str">
        <f t="shared" si="106"/>
        <v/>
      </c>
      <c r="U2292" s="58" t="str">
        <f t="shared" si="107"/>
        <v/>
      </c>
    </row>
    <row r="2293" spans="19:21" ht="23.25" customHeight="1" x14ac:dyDescent="0.35">
      <c r="S2293" s="56" t="str">
        <f t="shared" si="105"/>
        <v/>
      </c>
      <c r="T2293" s="57" t="str">
        <f t="shared" si="106"/>
        <v/>
      </c>
      <c r="U2293" s="58" t="str">
        <f t="shared" si="107"/>
        <v/>
      </c>
    </row>
    <row r="2294" spans="19:21" ht="23.25" customHeight="1" x14ac:dyDescent="0.35">
      <c r="S2294" s="56" t="str">
        <f t="shared" si="105"/>
        <v/>
      </c>
      <c r="T2294" s="57" t="str">
        <f t="shared" si="106"/>
        <v/>
      </c>
      <c r="U2294" s="58" t="str">
        <f t="shared" si="107"/>
        <v/>
      </c>
    </row>
    <row r="2295" spans="19:21" ht="23.25" customHeight="1" x14ac:dyDescent="0.35">
      <c r="S2295" s="56" t="str">
        <f t="shared" si="105"/>
        <v/>
      </c>
      <c r="T2295" s="57" t="str">
        <f t="shared" si="106"/>
        <v/>
      </c>
      <c r="U2295" s="58" t="str">
        <f t="shared" si="107"/>
        <v/>
      </c>
    </row>
    <row r="2296" spans="19:21" ht="23.25" customHeight="1" x14ac:dyDescent="0.35">
      <c r="S2296" s="56" t="str">
        <f t="shared" si="105"/>
        <v/>
      </c>
      <c r="T2296" s="57" t="str">
        <f t="shared" si="106"/>
        <v/>
      </c>
      <c r="U2296" s="58" t="str">
        <f t="shared" si="107"/>
        <v/>
      </c>
    </row>
    <row r="2297" spans="19:21" ht="23.25" customHeight="1" x14ac:dyDescent="0.35">
      <c r="S2297" s="56" t="str">
        <f t="shared" si="105"/>
        <v/>
      </c>
      <c r="T2297" s="57" t="str">
        <f t="shared" si="106"/>
        <v/>
      </c>
      <c r="U2297" s="58" t="str">
        <f t="shared" si="107"/>
        <v/>
      </c>
    </row>
    <row r="2298" spans="19:21" ht="23.25" customHeight="1" x14ac:dyDescent="0.35">
      <c r="S2298" s="56" t="str">
        <f t="shared" si="105"/>
        <v/>
      </c>
      <c r="T2298" s="57" t="str">
        <f t="shared" si="106"/>
        <v/>
      </c>
      <c r="U2298" s="58" t="str">
        <f t="shared" si="107"/>
        <v/>
      </c>
    </row>
    <row r="2299" spans="19:21" ht="23.25" customHeight="1" x14ac:dyDescent="0.35">
      <c r="S2299" s="56" t="str">
        <f t="shared" si="105"/>
        <v/>
      </c>
      <c r="T2299" s="57" t="str">
        <f t="shared" si="106"/>
        <v/>
      </c>
      <c r="U2299" s="58" t="str">
        <f t="shared" si="107"/>
        <v/>
      </c>
    </row>
    <row r="2300" spans="19:21" ht="23.25" customHeight="1" x14ac:dyDescent="0.35">
      <c r="S2300" s="56" t="str">
        <f t="shared" si="105"/>
        <v/>
      </c>
      <c r="T2300" s="57" t="str">
        <f t="shared" si="106"/>
        <v/>
      </c>
      <c r="U2300" s="58" t="str">
        <f t="shared" si="107"/>
        <v/>
      </c>
    </row>
    <row r="2301" spans="19:21" ht="23.25" customHeight="1" x14ac:dyDescent="0.35">
      <c r="S2301" s="56" t="str">
        <f t="shared" si="105"/>
        <v/>
      </c>
      <c r="T2301" s="57" t="str">
        <f t="shared" si="106"/>
        <v/>
      </c>
      <c r="U2301" s="58" t="str">
        <f t="shared" si="107"/>
        <v/>
      </c>
    </row>
    <row r="2302" spans="19:21" ht="23.25" customHeight="1" x14ac:dyDescent="0.35">
      <c r="S2302" s="56" t="str">
        <f t="shared" si="105"/>
        <v/>
      </c>
      <c r="T2302" s="57" t="str">
        <f t="shared" si="106"/>
        <v/>
      </c>
      <c r="U2302" s="58" t="str">
        <f t="shared" si="107"/>
        <v/>
      </c>
    </row>
    <row r="2303" spans="19:21" ht="23.25" customHeight="1" x14ac:dyDescent="0.35">
      <c r="S2303" s="56" t="str">
        <f t="shared" si="105"/>
        <v/>
      </c>
      <c r="T2303" s="57" t="str">
        <f t="shared" si="106"/>
        <v/>
      </c>
      <c r="U2303" s="58" t="str">
        <f t="shared" si="107"/>
        <v/>
      </c>
    </row>
    <row r="2304" spans="19:21" ht="23.25" customHeight="1" x14ac:dyDescent="0.35">
      <c r="S2304" s="56" t="str">
        <f t="shared" si="105"/>
        <v/>
      </c>
      <c r="T2304" s="57" t="str">
        <f t="shared" si="106"/>
        <v/>
      </c>
      <c r="U2304" s="58" t="str">
        <f t="shared" si="107"/>
        <v/>
      </c>
    </row>
    <row r="2305" spans="19:21" ht="23.25" customHeight="1" x14ac:dyDescent="0.35">
      <c r="S2305" s="56" t="str">
        <f t="shared" si="105"/>
        <v/>
      </c>
      <c r="T2305" s="57" t="str">
        <f t="shared" si="106"/>
        <v/>
      </c>
      <c r="U2305" s="58" t="str">
        <f t="shared" si="107"/>
        <v/>
      </c>
    </row>
    <row r="2306" spans="19:21" ht="23.25" customHeight="1" x14ac:dyDescent="0.35">
      <c r="S2306" s="56" t="str">
        <f t="shared" si="105"/>
        <v/>
      </c>
      <c r="T2306" s="57" t="str">
        <f t="shared" si="106"/>
        <v/>
      </c>
      <c r="U2306" s="58" t="str">
        <f t="shared" si="107"/>
        <v/>
      </c>
    </row>
    <row r="2307" spans="19:21" ht="23.25" customHeight="1" x14ac:dyDescent="0.35">
      <c r="S2307" s="56" t="str">
        <f t="shared" si="105"/>
        <v/>
      </c>
      <c r="T2307" s="57" t="str">
        <f t="shared" si="106"/>
        <v/>
      </c>
      <c r="U2307" s="58" t="str">
        <f t="shared" si="107"/>
        <v/>
      </c>
    </row>
    <row r="2308" spans="19:21" ht="23.25" customHeight="1" x14ac:dyDescent="0.35">
      <c r="S2308" s="56" t="str">
        <f t="shared" si="105"/>
        <v/>
      </c>
      <c r="T2308" s="57" t="str">
        <f t="shared" si="106"/>
        <v/>
      </c>
      <c r="U2308" s="58" t="str">
        <f t="shared" si="107"/>
        <v/>
      </c>
    </row>
    <row r="2309" spans="19:21" ht="23.25" customHeight="1" x14ac:dyDescent="0.35">
      <c r="S2309" s="56" t="str">
        <f t="shared" si="105"/>
        <v/>
      </c>
      <c r="T2309" s="57" t="str">
        <f t="shared" si="106"/>
        <v/>
      </c>
      <c r="U2309" s="58" t="str">
        <f t="shared" si="107"/>
        <v/>
      </c>
    </row>
    <row r="2310" spans="19:21" ht="23.25" customHeight="1" x14ac:dyDescent="0.35">
      <c r="S2310" s="56" t="str">
        <f t="shared" si="105"/>
        <v/>
      </c>
      <c r="T2310" s="57" t="str">
        <f t="shared" si="106"/>
        <v/>
      </c>
      <c r="U2310" s="58" t="str">
        <f t="shared" si="107"/>
        <v/>
      </c>
    </row>
    <row r="2311" spans="19:21" ht="23.25" customHeight="1" x14ac:dyDescent="0.35">
      <c r="S2311" s="56" t="str">
        <f t="shared" si="105"/>
        <v/>
      </c>
      <c r="T2311" s="57" t="str">
        <f t="shared" si="106"/>
        <v/>
      </c>
      <c r="U2311" s="58" t="str">
        <f t="shared" si="107"/>
        <v/>
      </c>
    </row>
    <row r="2312" spans="19:21" ht="23.25" customHeight="1" x14ac:dyDescent="0.35">
      <c r="S2312" s="56" t="str">
        <f t="shared" si="105"/>
        <v/>
      </c>
      <c r="T2312" s="57" t="str">
        <f t="shared" si="106"/>
        <v/>
      </c>
      <c r="U2312" s="58" t="str">
        <f t="shared" si="107"/>
        <v/>
      </c>
    </row>
    <row r="2313" spans="19:21" ht="23.25" customHeight="1" x14ac:dyDescent="0.35">
      <c r="S2313" s="56" t="str">
        <f t="shared" ref="S2313:S2376" si="108">IF(A2313="","",A$5-A2313)</f>
        <v/>
      </c>
      <c r="T2313" s="57" t="str">
        <f t="shared" ref="T2313:T2376" si="109">IF(S2313="","",IF(S2313&lt;4,"0-3 Days",IF(S2313&lt;31,"4-30 Days",IF(S2313&lt;61,"31-60 Days",IF(S2313&lt;=90,"61-90 Days",IF(S2313&gt;90,"Above 90 Days","0"))))))</f>
        <v/>
      </c>
      <c r="U2313" s="58" t="str">
        <f t="shared" ref="U2313:U2376" si="110">IF(C2313="","",IF(C2313&gt;0,IF(S2313&lt;30,"Normal",IF(S2313&lt;60,"Especially Mentioned",IF(S2313&lt;90,"Substandard",IF(S2313&lt;=180,"Doubtful",IF(S2313&gt;180,"Loss","0"))))),"Not Applicable"))</f>
        <v/>
      </c>
    </row>
    <row r="2314" spans="19:21" ht="23.25" customHeight="1" x14ac:dyDescent="0.35">
      <c r="S2314" s="56" t="str">
        <f t="shared" si="108"/>
        <v/>
      </c>
      <c r="T2314" s="57" t="str">
        <f t="shared" si="109"/>
        <v/>
      </c>
      <c r="U2314" s="58" t="str">
        <f t="shared" si="110"/>
        <v/>
      </c>
    </row>
    <row r="2315" spans="19:21" ht="23.25" customHeight="1" x14ac:dyDescent="0.35">
      <c r="S2315" s="56" t="str">
        <f t="shared" si="108"/>
        <v/>
      </c>
      <c r="T2315" s="57" t="str">
        <f t="shared" si="109"/>
        <v/>
      </c>
      <c r="U2315" s="58" t="str">
        <f t="shared" si="110"/>
        <v/>
      </c>
    </row>
    <row r="2316" spans="19:21" ht="23.25" customHeight="1" x14ac:dyDescent="0.35">
      <c r="S2316" s="56" t="str">
        <f t="shared" si="108"/>
        <v/>
      </c>
      <c r="T2316" s="57" t="str">
        <f t="shared" si="109"/>
        <v/>
      </c>
      <c r="U2316" s="58" t="str">
        <f t="shared" si="110"/>
        <v/>
      </c>
    </row>
    <row r="2317" spans="19:21" ht="23.25" customHeight="1" x14ac:dyDescent="0.35">
      <c r="S2317" s="56" t="str">
        <f t="shared" si="108"/>
        <v/>
      </c>
      <c r="T2317" s="57" t="str">
        <f t="shared" si="109"/>
        <v/>
      </c>
      <c r="U2317" s="58" t="str">
        <f t="shared" si="110"/>
        <v/>
      </c>
    </row>
    <row r="2318" spans="19:21" ht="23.25" customHeight="1" x14ac:dyDescent="0.35">
      <c r="S2318" s="56" t="str">
        <f t="shared" si="108"/>
        <v/>
      </c>
      <c r="T2318" s="57" t="str">
        <f t="shared" si="109"/>
        <v/>
      </c>
      <c r="U2318" s="58" t="str">
        <f t="shared" si="110"/>
        <v/>
      </c>
    </row>
    <row r="2319" spans="19:21" ht="23.25" customHeight="1" x14ac:dyDescent="0.35">
      <c r="S2319" s="56" t="str">
        <f t="shared" si="108"/>
        <v/>
      </c>
      <c r="T2319" s="57" t="str">
        <f t="shared" si="109"/>
        <v/>
      </c>
      <c r="U2319" s="58" t="str">
        <f t="shared" si="110"/>
        <v/>
      </c>
    </row>
    <row r="2320" spans="19:21" ht="23.25" customHeight="1" x14ac:dyDescent="0.35">
      <c r="S2320" s="56" t="str">
        <f t="shared" si="108"/>
        <v/>
      </c>
      <c r="T2320" s="57" t="str">
        <f t="shared" si="109"/>
        <v/>
      </c>
      <c r="U2320" s="58" t="str">
        <f t="shared" si="110"/>
        <v/>
      </c>
    </row>
    <row r="2321" spans="19:21" ht="23.25" customHeight="1" x14ac:dyDescent="0.35">
      <c r="S2321" s="56" t="str">
        <f t="shared" si="108"/>
        <v/>
      </c>
      <c r="T2321" s="57" t="str">
        <f t="shared" si="109"/>
        <v/>
      </c>
      <c r="U2321" s="58" t="str">
        <f t="shared" si="110"/>
        <v/>
      </c>
    </row>
    <row r="2322" spans="19:21" ht="23.25" customHeight="1" x14ac:dyDescent="0.35">
      <c r="S2322" s="56" t="str">
        <f t="shared" si="108"/>
        <v/>
      </c>
      <c r="T2322" s="57" t="str">
        <f t="shared" si="109"/>
        <v/>
      </c>
      <c r="U2322" s="58" t="str">
        <f t="shared" si="110"/>
        <v/>
      </c>
    </row>
    <row r="2323" spans="19:21" ht="23.25" customHeight="1" x14ac:dyDescent="0.35">
      <c r="S2323" s="56" t="str">
        <f t="shared" si="108"/>
        <v/>
      </c>
      <c r="T2323" s="57" t="str">
        <f t="shared" si="109"/>
        <v/>
      </c>
      <c r="U2323" s="58" t="str">
        <f t="shared" si="110"/>
        <v/>
      </c>
    </row>
    <row r="2324" spans="19:21" ht="23.25" customHeight="1" x14ac:dyDescent="0.35">
      <c r="S2324" s="56" t="str">
        <f t="shared" si="108"/>
        <v/>
      </c>
      <c r="T2324" s="57" t="str">
        <f t="shared" si="109"/>
        <v/>
      </c>
      <c r="U2324" s="58" t="str">
        <f t="shared" si="110"/>
        <v/>
      </c>
    </row>
    <row r="2325" spans="19:21" ht="23.25" customHeight="1" x14ac:dyDescent="0.35">
      <c r="S2325" s="56" t="str">
        <f t="shared" si="108"/>
        <v/>
      </c>
      <c r="T2325" s="57" t="str">
        <f t="shared" si="109"/>
        <v/>
      </c>
      <c r="U2325" s="58" t="str">
        <f t="shared" si="110"/>
        <v/>
      </c>
    </row>
    <row r="2326" spans="19:21" ht="23.25" customHeight="1" x14ac:dyDescent="0.35">
      <c r="S2326" s="56" t="str">
        <f t="shared" si="108"/>
        <v/>
      </c>
      <c r="T2326" s="57" t="str">
        <f t="shared" si="109"/>
        <v/>
      </c>
      <c r="U2326" s="58" t="str">
        <f t="shared" si="110"/>
        <v/>
      </c>
    </row>
    <row r="2327" spans="19:21" ht="23.25" customHeight="1" x14ac:dyDescent="0.35">
      <c r="S2327" s="56" t="str">
        <f t="shared" si="108"/>
        <v/>
      </c>
      <c r="T2327" s="57" t="str">
        <f t="shared" si="109"/>
        <v/>
      </c>
      <c r="U2327" s="58" t="str">
        <f t="shared" si="110"/>
        <v/>
      </c>
    </row>
    <row r="2328" spans="19:21" ht="23.25" customHeight="1" x14ac:dyDescent="0.35">
      <c r="S2328" s="56" t="str">
        <f t="shared" si="108"/>
        <v/>
      </c>
      <c r="T2328" s="57" t="str">
        <f t="shared" si="109"/>
        <v/>
      </c>
      <c r="U2328" s="58" t="str">
        <f t="shared" si="110"/>
        <v/>
      </c>
    </row>
    <row r="2329" spans="19:21" ht="23.25" customHeight="1" x14ac:dyDescent="0.35">
      <c r="S2329" s="56" t="str">
        <f t="shared" si="108"/>
        <v/>
      </c>
      <c r="T2329" s="57" t="str">
        <f t="shared" si="109"/>
        <v/>
      </c>
      <c r="U2329" s="58" t="str">
        <f t="shared" si="110"/>
        <v/>
      </c>
    </row>
    <row r="2330" spans="19:21" ht="23.25" customHeight="1" x14ac:dyDescent="0.35">
      <c r="S2330" s="56" t="str">
        <f t="shared" si="108"/>
        <v/>
      </c>
      <c r="T2330" s="57" t="str">
        <f t="shared" si="109"/>
        <v/>
      </c>
      <c r="U2330" s="58" t="str">
        <f t="shared" si="110"/>
        <v/>
      </c>
    </row>
    <row r="2331" spans="19:21" ht="23.25" customHeight="1" x14ac:dyDescent="0.35">
      <c r="S2331" s="56" t="str">
        <f t="shared" si="108"/>
        <v/>
      </c>
      <c r="T2331" s="57" t="str">
        <f t="shared" si="109"/>
        <v/>
      </c>
      <c r="U2331" s="58" t="str">
        <f t="shared" si="110"/>
        <v/>
      </c>
    </row>
    <row r="2332" spans="19:21" ht="23.25" customHeight="1" x14ac:dyDescent="0.35">
      <c r="S2332" s="56" t="str">
        <f t="shared" si="108"/>
        <v/>
      </c>
      <c r="T2332" s="57" t="str">
        <f t="shared" si="109"/>
        <v/>
      </c>
      <c r="U2332" s="58" t="str">
        <f t="shared" si="110"/>
        <v/>
      </c>
    </row>
    <row r="2333" spans="19:21" ht="23.25" customHeight="1" x14ac:dyDescent="0.35">
      <c r="S2333" s="56" t="str">
        <f t="shared" si="108"/>
        <v/>
      </c>
      <c r="T2333" s="57" t="str">
        <f t="shared" si="109"/>
        <v/>
      </c>
      <c r="U2333" s="58" t="str">
        <f t="shared" si="110"/>
        <v/>
      </c>
    </row>
    <row r="2334" spans="19:21" ht="23.25" customHeight="1" x14ac:dyDescent="0.35">
      <c r="S2334" s="56" t="str">
        <f t="shared" si="108"/>
        <v/>
      </c>
      <c r="T2334" s="57" t="str">
        <f t="shared" si="109"/>
        <v/>
      </c>
      <c r="U2334" s="58" t="str">
        <f t="shared" si="110"/>
        <v/>
      </c>
    </row>
    <row r="2335" spans="19:21" ht="23.25" customHeight="1" x14ac:dyDescent="0.35">
      <c r="S2335" s="56" t="str">
        <f t="shared" si="108"/>
        <v/>
      </c>
      <c r="T2335" s="57" t="str">
        <f t="shared" si="109"/>
        <v/>
      </c>
      <c r="U2335" s="58" t="str">
        <f t="shared" si="110"/>
        <v/>
      </c>
    </row>
    <row r="2336" spans="19:21" ht="23.25" customHeight="1" x14ac:dyDescent="0.35">
      <c r="S2336" s="56" t="str">
        <f t="shared" si="108"/>
        <v/>
      </c>
      <c r="T2336" s="57" t="str">
        <f t="shared" si="109"/>
        <v/>
      </c>
      <c r="U2336" s="58" t="str">
        <f t="shared" si="110"/>
        <v/>
      </c>
    </row>
    <row r="2337" spans="19:21" ht="23.25" customHeight="1" x14ac:dyDescent="0.35">
      <c r="S2337" s="56" t="str">
        <f t="shared" si="108"/>
        <v/>
      </c>
      <c r="T2337" s="57" t="str">
        <f t="shared" si="109"/>
        <v/>
      </c>
      <c r="U2337" s="58" t="str">
        <f t="shared" si="110"/>
        <v/>
      </c>
    </row>
    <row r="2338" spans="19:21" ht="23.25" customHeight="1" x14ac:dyDescent="0.35">
      <c r="S2338" s="56" t="str">
        <f t="shared" si="108"/>
        <v/>
      </c>
      <c r="T2338" s="57" t="str">
        <f t="shared" si="109"/>
        <v/>
      </c>
      <c r="U2338" s="58" t="str">
        <f t="shared" si="110"/>
        <v/>
      </c>
    </row>
    <row r="2339" spans="19:21" ht="23.25" customHeight="1" x14ac:dyDescent="0.35">
      <c r="S2339" s="56" t="str">
        <f t="shared" si="108"/>
        <v/>
      </c>
      <c r="T2339" s="57" t="str">
        <f t="shared" si="109"/>
        <v/>
      </c>
      <c r="U2339" s="58" t="str">
        <f t="shared" si="110"/>
        <v/>
      </c>
    </row>
    <row r="2340" spans="19:21" ht="23.25" customHeight="1" x14ac:dyDescent="0.35">
      <c r="S2340" s="56" t="str">
        <f t="shared" si="108"/>
        <v/>
      </c>
      <c r="T2340" s="57" t="str">
        <f t="shared" si="109"/>
        <v/>
      </c>
      <c r="U2340" s="58" t="str">
        <f t="shared" si="110"/>
        <v/>
      </c>
    </row>
    <row r="2341" spans="19:21" ht="23.25" customHeight="1" x14ac:dyDescent="0.35">
      <c r="S2341" s="56" t="str">
        <f t="shared" si="108"/>
        <v/>
      </c>
      <c r="T2341" s="57" t="str">
        <f t="shared" si="109"/>
        <v/>
      </c>
      <c r="U2341" s="58" t="str">
        <f t="shared" si="110"/>
        <v/>
      </c>
    </row>
    <row r="2342" spans="19:21" ht="23.25" customHeight="1" x14ac:dyDescent="0.35">
      <c r="S2342" s="56" t="str">
        <f t="shared" si="108"/>
        <v/>
      </c>
      <c r="T2342" s="57" t="str">
        <f t="shared" si="109"/>
        <v/>
      </c>
      <c r="U2342" s="58" t="str">
        <f t="shared" si="110"/>
        <v/>
      </c>
    </row>
    <row r="2343" spans="19:21" ht="23.25" customHeight="1" x14ac:dyDescent="0.35">
      <c r="S2343" s="56" t="str">
        <f t="shared" si="108"/>
        <v/>
      </c>
      <c r="T2343" s="57" t="str">
        <f t="shared" si="109"/>
        <v/>
      </c>
      <c r="U2343" s="58" t="str">
        <f t="shared" si="110"/>
        <v/>
      </c>
    </row>
    <row r="2344" spans="19:21" ht="23.25" customHeight="1" x14ac:dyDescent="0.35">
      <c r="S2344" s="56" t="str">
        <f t="shared" si="108"/>
        <v/>
      </c>
      <c r="T2344" s="57" t="str">
        <f t="shared" si="109"/>
        <v/>
      </c>
      <c r="U2344" s="58" t="str">
        <f t="shared" si="110"/>
        <v/>
      </c>
    </row>
    <row r="2345" spans="19:21" ht="23.25" customHeight="1" x14ac:dyDescent="0.35">
      <c r="S2345" s="56" t="str">
        <f t="shared" si="108"/>
        <v/>
      </c>
      <c r="T2345" s="57" t="str">
        <f t="shared" si="109"/>
        <v/>
      </c>
      <c r="U2345" s="58" t="str">
        <f t="shared" si="110"/>
        <v/>
      </c>
    </row>
    <row r="2346" spans="19:21" ht="23.25" customHeight="1" x14ac:dyDescent="0.35">
      <c r="S2346" s="56" t="str">
        <f t="shared" si="108"/>
        <v/>
      </c>
      <c r="T2346" s="57" t="str">
        <f t="shared" si="109"/>
        <v/>
      </c>
      <c r="U2346" s="58" t="str">
        <f t="shared" si="110"/>
        <v/>
      </c>
    </row>
    <row r="2347" spans="19:21" ht="23.25" customHeight="1" x14ac:dyDescent="0.35">
      <c r="S2347" s="56" t="str">
        <f t="shared" si="108"/>
        <v/>
      </c>
      <c r="T2347" s="57" t="str">
        <f t="shared" si="109"/>
        <v/>
      </c>
      <c r="U2347" s="58" t="str">
        <f t="shared" si="110"/>
        <v/>
      </c>
    </row>
    <row r="2348" spans="19:21" ht="23.25" customHeight="1" x14ac:dyDescent="0.35">
      <c r="S2348" s="56" t="str">
        <f t="shared" si="108"/>
        <v/>
      </c>
      <c r="T2348" s="57" t="str">
        <f t="shared" si="109"/>
        <v/>
      </c>
      <c r="U2348" s="58" t="str">
        <f t="shared" si="110"/>
        <v/>
      </c>
    </row>
    <row r="2349" spans="19:21" ht="23.25" customHeight="1" x14ac:dyDescent="0.35">
      <c r="S2349" s="56" t="str">
        <f t="shared" si="108"/>
        <v/>
      </c>
      <c r="T2349" s="57" t="str">
        <f t="shared" si="109"/>
        <v/>
      </c>
      <c r="U2349" s="58" t="str">
        <f t="shared" si="110"/>
        <v/>
      </c>
    </row>
    <row r="2350" spans="19:21" ht="23.25" customHeight="1" x14ac:dyDescent="0.35">
      <c r="S2350" s="56" t="str">
        <f t="shared" si="108"/>
        <v/>
      </c>
      <c r="T2350" s="57" t="str">
        <f t="shared" si="109"/>
        <v/>
      </c>
      <c r="U2350" s="58" t="str">
        <f t="shared" si="110"/>
        <v/>
      </c>
    </row>
    <row r="2351" spans="19:21" ht="23.25" customHeight="1" x14ac:dyDescent="0.35">
      <c r="S2351" s="56" t="str">
        <f t="shared" si="108"/>
        <v/>
      </c>
      <c r="T2351" s="57" t="str">
        <f t="shared" si="109"/>
        <v/>
      </c>
      <c r="U2351" s="58" t="str">
        <f t="shared" si="110"/>
        <v/>
      </c>
    </row>
    <row r="2352" spans="19:21" ht="23.25" customHeight="1" x14ac:dyDescent="0.35">
      <c r="S2352" s="56" t="str">
        <f t="shared" si="108"/>
        <v/>
      </c>
      <c r="T2352" s="57" t="str">
        <f t="shared" si="109"/>
        <v/>
      </c>
      <c r="U2352" s="58" t="str">
        <f t="shared" si="110"/>
        <v/>
      </c>
    </row>
    <row r="2353" spans="19:21" ht="23.25" customHeight="1" x14ac:dyDescent="0.35">
      <c r="S2353" s="56" t="str">
        <f t="shared" si="108"/>
        <v/>
      </c>
      <c r="T2353" s="57" t="str">
        <f t="shared" si="109"/>
        <v/>
      </c>
      <c r="U2353" s="58" t="str">
        <f t="shared" si="110"/>
        <v/>
      </c>
    </row>
    <row r="2354" spans="19:21" ht="23.25" customHeight="1" x14ac:dyDescent="0.35">
      <c r="S2354" s="56" t="str">
        <f t="shared" si="108"/>
        <v/>
      </c>
      <c r="T2354" s="57" t="str">
        <f t="shared" si="109"/>
        <v/>
      </c>
      <c r="U2354" s="58" t="str">
        <f t="shared" si="110"/>
        <v/>
      </c>
    </row>
    <row r="2355" spans="19:21" ht="23.25" customHeight="1" x14ac:dyDescent="0.35">
      <c r="S2355" s="56" t="str">
        <f t="shared" si="108"/>
        <v/>
      </c>
      <c r="T2355" s="57" t="str">
        <f t="shared" si="109"/>
        <v/>
      </c>
      <c r="U2355" s="58" t="str">
        <f t="shared" si="110"/>
        <v/>
      </c>
    </row>
    <row r="2356" spans="19:21" ht="23.25" customHeight="1" x14ac:dyDescent="0.35">
      <c r="S2356" s="56" t="str">
        <f t="shared" si="108"/>
        <v/>
      </c>
      <c r="T2356" s="57" t="str">
        <f t="shared" si="109"/>
        <v/>
      </c>
      <c r="U2356" s="58" t="str">
        <f t="shared" si="110"/>
        <v/>
      </c>
    </row>
    <row r="2357" spans="19:21" ht="23.25" customHeight="1" x14ac:dyDescent="0.35">
      <c r="S2357" s="56" t="str">
        <f t="shared" si="108"/>
        <v/>
      </c>
      <c r="T2357" s="57" t="str">
        <f t="shared" si="109"/>
        <v/>
      </c>
      <c r="U2357" s="58" t="str">
        <f t="shared" si="110"/>
        <v/>
      </c>
    </row>
    <row r="2358" spans="19:21" ht="23.25" customHeight="1" x14ac:dyDescent="0.35">
      <c r="S2358" s="56" t="str">
        <f t="shared" si="108"/>
        <v/>
      </c>
      <c r="T2358" s="57" t="str">
        <f t="shared" si="109"/>
        <v/>
      </c>
      <c r="U2358" s="58" t="str">
        <f t="shared" si="110"/>
        <v/>
      </c>
    </row>
    <row r="2359" spans="19:21" ht="23.25" customHeight="1" x14ac:dyDescent="0.35">
      <c r="S2359" s="56" t="str">
        <f t="shared" si="108"/>
        <v/>
      </c>
      <c r="T2359" s="57" t="str">
        <f t="shared" si="109"/>
        <v/>
      </c>
      <c r="U2359" s="58" t="str">
        <f t="shared" si="110"/>
        <v/>
      </c>
    </row>
    <row r="2360" spans="19:21" ht="23.25" customHeight="1" x14ac:dyDescent="0.35">
      <c r="S2360" s="56" t="str">
        <f t="shared" si="108"/>
        <v/>
      </c>
      <c r="T2360" s="57" t="str">
        <f t="shared" si="109"/>
        <v/>
      </c>
      <c r="U2360" s="58" t="str">
        <f t="shared" si="110"/>
        <v/>
      </c>
    </row>
    <row r="2361" spans="19:21" ht="23.25" customHeight="1" x14ac:dyDescent="0.35">
      <c r="S2361" s="56" t="str">
        <f t="shared" si="108"/>
        <v/>
      </c>
      <c r="T2361" s="57" t="str">
        <f t="shared" si="109"/>
        <v/>
      </c>
      <c r="U2361" s="58" t="str">
        <f t="shared" si="110"/>
        <v/>
      </c>
    </row>
    <row r="2362" spans="19:21" ht="23.25" customHeight="1" x14ac:dyDescent="0.35">
      <c r="S2362" s="56" t="str">
        <f t="shared" si="108"/>
        <v/>
      </c>
      <c r="T2362" s="57" t="str">
        <f t="shared" si="109"/>
        <v/>
      </c>
      <c r="U2362" s="58" t="str">
        <f t="shared" si="110"/>
        <v/>
      </c>
    </row>
    <row r="2363" spans="19:21" ht="23.25" customHeight="1" x14ac:dyDescent="0.35">
      <c r="S2363" s="56" t="str">
        <f t="shared" si="108"/>
        <v/>
      </c>
      <c r="T2363" s="57" t="str">
        <f t="shared" si="109"/>
        <v/>
      </c>
      <c r="U2363" s="58" t="str">
        <f t="shared" si="110"/>
        <v/>
      </c>
    </row>
    <row r="2364" spans="19:21" ht="23.25" customHeight="1" x14ac:dyDescent="0.35">
      <c r="S2364" s="56" t="str">
        <f t="shared" si="108"/>
        <v/>
      </c>
      <c r="T2364" s="57" t="str">
        <f t="shared" si="109"/>
        <v/>
      </c>
      <c r="U2364" s="58" t="str">
        <f t="shared" si="110"/>
        <v/>
      </c>
    </row>
    <row r="2365" spans="19:21" ht="23.25" customHeight="1" x14ac:dyDescent="0.35">
      <c r="S2365" s="56" t="str">
        <f t="shared" si="108"/>
        <v/>
      </c>
      <c r="T2365" s="57" t="str">
        <f t="shared" si="109"/>
        <v/>
      </c>
      <c r="U2365" s="58" t="str">
        <f t="shared" si="110"/>
        <v/>
      </c>
    </row>
    <row r="2366" spans="19:21" ht="23.25" customHeight="1" x14ac:dyDescent="0.35">
      <c r="S2366" s="56" t="str">
        <f t="shared" si="108"/>
        <v/>
      </c>
      <c r="T2366" s="57" t="str">
        <f t="shared" si="109"/>
        <v/>
      </c>
      <c r="U2366" s="58" t="str">
        <f t="shared" si="110"/>
        <v/>
      </c>
    </row>
    <row r="2367" spans="19:21" ht="23.25" customHeight="1" x14ac:dyDescent="0.35">
      <c r="S2367" s="56" t="str">
        <f t="shared" si="108"/>
        <v/>
      </c>
      <c r="T2367" s="57" t="str">
        <f t="shared" si="109"/>
        <v/>
      </c>
      <c r="U2367" s="58" t="str">
        <f t="shared" si="110"/>
        <v/>
      </c>
    </row>
    <row r="2368" spans="19:21" ht="23.25" customHeight="1" x14ac:dyDescent="0.35">
      <c r="S2368" s="56" t="str">
        <f t="shared" si="108"/>
        <v/>
      </c>
      <c r="T2368" s="57" t="str">
        <f t="shared" si="109"/>
        <v/>
      </c>
      <c r="U2368" s="58" t="str">
        <f t="shared" si="110"/>
        <v/>
      </c>
    </row>
    <row r="2369" spans="19:21" ht="23.25" customHeight="1" x14ac:dyDescent="0.35">
      <c r="S2369" s="56" t="str">
        <f t="shared" si="108"/>
        <v/>
      </c>
      <c r="T2369" s="57" t="str">
        <f t="shared" si="109"/>
        <v/>
      </c>
      <c r="U2369" s="58" t="str">
        <f t="shared" si="110"/>
        <v/>
      </c>
    </row>
    <row r="2370" spans="19:21" ht="23.25" customHeight="1" x14ac:dyDescent="0.35">
      <c r="S2370" s="56" t="str">
        <f t="shared" si="108"/>
        <v/>
      </c>
      <c r="T2370" s="57" t="str">
        <f t="shared" si="109"/>
        <v/>
      </c>
      <c r="U2370" s="58" t="str">
        <f t="shared" si="110"/>
        <v/>
      </c>
    </row>
    <row r="2371" spans="19:21" ht="23.25" customHeight="1" x14ac:dyDescent="0.35">
      <c r="S2371" s="56" t="str">
        <f t="shared" si="108"/>
        <v/>
      </c>
      <c r="T2371" s="57" t="str">
        <f t="shared" si="109"/>
        <v/>
      </c>
      <c r="U2371" s="58" t="str">
        <f t="shared" si="110"/>
        <v/>
      </c>
    </row>
    <row r="2372" spans="19:21" ht="23.25" customHeight="1" x14ac:dyDescent="0.35">
      <c r="S2372" s="56" t="str">
        <f t="shared" si="108"/>
        <v/>
      </c>
      <c r="T2372" s="57" t="str">
        <f t="shared" si="109"/>
        <v/>
      </c>
      <c r="U2372" s="58" t="str">
        <f t="shared" si="110"/>
        <v/>
      </c>
    </row>
    <row r="2373" spans="19:21" ht="23.25" customHeight="1" x14ac:dyDescent="0.35">
      <c r="S2373" s="56" t="str">
        <f t="shared" si="108"/>
        <v/>
      </c>
      <c r="T2373" s="57" t="str">
        <f t="shared" si="109"/>
        <v/>
      </c>
      <c r="U2373" s="58" t="str">
        <f t="shared" si="110"/>
        <v/>
      </c>
    </row>
    <row r="2374" spans="19:21" ht="23.25" customHeight="1" x14ac:dyDescent="0.35">
      <c r="S2374" s="56" t="str">
        <f t="shared" si="108"/>
        <v/>
      </c>
      <c r="T2374" s="57" t="str">
        <f t="shared" si="109"/>
        <v/>
      </c>
      <c r="U2374" s="58" t="str">
        <f t="shared" si="110"/>
        <v/>
      </c>
    </row>
    <row r="2375" spans="19:21" ht="23.25" customHeight="1" x14ac:dyDescent="0.35">
      <c r="S2375" s="56" t="str">
        <f t="shared" si="108"/>
        <v/>
      </c>
      <c r="T2375" s="57" t="str">
        <f t="shared" si="109"/>
        <v/>
      </c>
      <c r="U2375" s="58" t="str">
        <f t="shared" si="110"/>
        <v/>
      </c>
    </row>
    <row r="2376" spans="19:21" ht="23.25" customHeight="1" x14ac:dyDescent="0.35">
      <c r="S2376" s="56" t="str">
        <f t="shared" si="108"/>
        <v/>
      </c>
      <c r="T2376" s="57" t="str">
        <f t="shared" si="109"/>
        <v/>
      </c>
      <c r="U2376" s="58" t="str">
        <f t="shared" si="110"/>
        <v/>
      </c>
    </row>
    <row r="2377" spans="19:21" ht="23.25" customHeight="1" x14ac:dyDescent="0.35">
      <c r="S2377" s="56" t="str">
        <f t="shared" ref="S2377:S2440" si="111">IF(A2377="","",A$5-A2377)</f>
        <v/>
      </c>
      <c r="T2377" s="57" t="str">
        <f t="shared" ref="T2377:T2440" si="112">IF(S2377="","",IF(S2377&lt;4,"0-3 Days",IF(S2377&lt;31,"4-30 Days",IF(S2377&lt;61,"31-60 Days",IF(S2377&lt;=90,"61-90 Days",IF(S2377&gt;90,"Above 90 Days","0"))))))</f>
        <v/>
      </c>
      <c r="U2377" s="58" t="str">
        <f t="shared" ref="U2377:U2440" si="113">IF(C2377="","",IF(C2377&gt;0,IF(S2377&lt;30,"Normal",IF(S2377&lt;60,"Especially Mentioned",IF(S2377&lt;90,"Substandard",IF(S2377&lt;=180,"Doubtful",IF(S2377&gt;180,"Loss","0"))))),"Not Applicable"))</f>
        <v/>
      </c>
    </row>
    <row r="2378" spans="19:21" ht="23.25" customHeight="1" x14ac:dyDescent="0.35">
      <c r="S2378" s="56" t="str">
        <f t="shared" si="111"/>
        <v/>
      </c>
      <c r="T2378" s="57" t="str">
        <f t="shared" si="112"/>
        <v/>
      </c>
      <c r="U2378" s="58" t="str">
        <f t="shared" si="113"/>
        <v/>
      </c>
    </row>
    <row r="2379" spans="19:21" ht="23.25" customHeight="1" x14ac:dyDescent="0.35">
      <c r="S2379" s="56" t="str">
        <f t="shared" si="111"/>
        <v/>
      </c>
      <c r="T2379" s="57" t="str">
        <f t="shared" si="112"/>
        <v/>
      </c>
      <c r="U2379" s="58" t="str">
        <f t="shared" si="113"/>
        <v/>
      </c>
    </row>
    <row r="2380" spans="19:21" ht="23.25" customHeight="1" x14ac:dyDescent="0.35">
      <c r="S2380" s="56" t="str">
        <f t="shared" si="111"/>
        <v/>
      </c>
      <c r="T2380" s="57" t="str">
        <f t="shared" si="112"/>
        <v/>
      </c>
      <c r="U2380" s="58" t="str">
        <f t="shared" si="113"/>
        <v/>
      </c>
    </row>
    <row r="2381" spans="19:21" ht="23.25" customHeight="1" x14ac:dyDescent="0.35">
      <c r="S2381" s="56" t="str">
        <f t="shared" si="111"/>
        <v/>
      </c>
      <c r="T2381" s="57" t="str">
        <f t="shared" si="112"/>
        <v/>
      </c>
      <c r="U2381" s="58" t="str">
        <f t="shared" si="113"/>
        <v/>
      </c>
    </row>
    <row r="2382" spans="19:21" ht="23.25" customHeight="1" x14ac:dyDescent="0.35">
      <c r="S2382" s="56" t="str">
        <f t="shared" si="111"/>
        <v/>
      </c>
      <c r="T2382" s="57" t="str">
        <f t="shared" si="112"/>
        <v/>
      </c>
      <c r="U2382" s="58" t="str">
        <f t="shared" si="113"/>
        <v/>
      </c>
    </row>
    <row r="2383" spans="19:21" ht="23.25" customHeight="1" x14ac:dyDescent="0.35">
      <c r="S2383" s="56" t="str">
        <f t="shared" si="111"/>
        <v/>
      </c>
      <c r="T2383" s="57" t="str">
        <f t="shared" si="112"/>
        <v/>
      </c>
      <c r="U2383" s="58" t="str">
        <f t="shared" si="113"/>
        <v/>
      </c>
    </row>
    <row r="2384" spans="19:21" ht="23.25" customHeight="1" x14ac:dyDescent="0.35">
      <c r="S2384" s="56" t="str">
        <f t="shared" si="111"/>
        <v/>
      </c>
      <c r="T2384" s="57" t="str">
        <f t="shared" si="112"/>
        <v/>
      </c>
      <c r="U2384" s="58" t="str">
        <f t="shared" si="113"/>
        <v/>
      </c>
    </row>
    <row r="2385" spans="19:21" ht="23.25" customHeight="1" x14ac:dyDescent="0.35">
      <c r="S2385" s="56" t="str">
        <f t="shared" si="111"/>
        <v/>
      </c>
      <c r="T2385" s="57" t="str">
        <f t="shared" si="112"/>
        <v/>
      </c>
      <c r="U2385" s="58" t="str">
        <f t="shared" si="113"/>
        <v/>
      </c>
    </row>
    <row r="2386" spans="19:21" ht="23.25" customHeight="1" x14ac:dyDescent="0.35">
      <c r="S2386" s="56" t="str">
        <f t="shared" si="111"/>
        <v/>
      </c>
      <c r="T2386" s="57" t="str">
        <f t="shared" si="112"/>
        <v/>
      </c>
      <c r="U2386" s="58" t="str">
        <f t="shared" si="113"/>
        <v/>
      </c>
    </row>
    <row r="2387" spans="19:21" ht="23.25" customHeight="1" x14ac:dyDescent="0.35">
      <c r="S2387" s="56" t="str">
        <f t="shared" si="111"/>
        <v/>
      </c>
      <c r="T2387" s="57" t="str">
        <f t="shared" si="112"/>
        <v/>
      </c>
      <c r="U2387" s="58" t="str">
        <f t="shared" si="113"/>
        <v/>
      </c>
    </row>
    <row r="2388" spans="19:21" ht="23.25" customHeight="1" x14ac:dyDescent="0.35">
      <c r="S2388" s="56" t="str">
        <f t="shared" si="111"/>
        <v/>
      </c>
      <c r="T2388" s="57" t="str">
        <f t="shared" si="112"/>
        <v/>
      </c>
      <c r="U2388" s="58" t="str">
        <f t="shared" si="113"/>
        <v/>
      </c>
    </row>
    <row r="2389" spans="19:21" ht="23.25" customHeight="1" x14ac:dyDescent="0.35">
      <c r="S2389" s="56" t="str">
        <f t="shared" si="111"/>
        <v/>
      </c>
      <c r="T2389" s="57" t="str">
        <f t="shared" si="112"/>
        <v/>
      </c>
      <c r="U2389" s="58" t="str">
        <f t="shared" si="113"/>
        <v/>
      </c>
    </row>
    <row r="2390" spans="19:21" ht="23.25" customHeight="1" x14ac:dyDescent="0.35">
      <c r="S2390" s="56" t="str">
        <f t="shared" si="111"/>
        <v/>
      </c>
      <c r="T2390" s="57" t="str">
        <f t="shared" si="112"/>
        <v/>
      </c>
      <c r="U2390" s="58" t="str">
        <f t="shared" si="113"/>
        <v/>
      </c>
    </row>
    <row r="2391" spans="19:21" ht="23.25" customHeight="1" x14ac:dyDescent="0.35">
      <c r="S2391" s="56" t="str">
        <f t="shared" si="111"/>
        <v/>
      </c>
      <c r="T2391" s="57" t="str">
        <f t="shared" si="112"/>
        <v/>
      </c>
      <c r="U2391" s="58" t="str">
        <f t="shared" si="113"/>
        <v/>
      </c>
    </row>
    <row r="2392" spans="19:21" ht="23.25" customHeight="1" x14ac:dyDescent="0.35">
      <c r="S2392" s="56" t="str">
        <f t="shared" si="111"/>
        <v/>
      </c>
      <c r="T2392" s="57" t="str">
        <f t="shared" si="112"/>
        <v/>
      </c>
      <c r="U2392" s="58" t="str">
        <f t="shared" si="113"/>
        <v/>
      </c>
    </row>
    <row r="2393" spans="19:21" ht="23.25" customHeight="1" x14ac:dyDescent="0.35">
      <c r="S2393" s="56" t="str">
        <f t="shared" si="111"/>
        <v/>
      </c>
      <c r="T2393" s="57" t="str">
        <f t="shared" si="112"/>
        <v/>
      </c>
      <c r="U2393" s="58" t="str">
        <f t="shared" si="113"/>
        <v/>
      </c>
    </row>
    <row r="2394" spans="19:21" ht="23.25" customHeight="1" x14ac:dyDescent="0.35">
      <c r="S2394" s="56" t="str">
        <f t="shared" si="111"/>
        <v/>
      </c>
      <c r="T2394" s="57" t="str">
        <f t="shared" si="112"/>
        <v/>
      </c>
      <c r="U2394" s="58" t="str">
        <f t="shared" si="113"/>
        <v/>
      </c>
    </row>
    <row r="2395" spans="19:21" ht="23.25" customHeight="1" x14ac:dyDescent="0.35">
      <c r="S2395" s="56" t="str">
        <f t="shared" si="111"/>
        <v/>
      </c>
      <c r="T2395" s="57" t="str">
        <f t="shared" si="112"/>
        <v/>
      </c>
      <c r="U2395" s="58" t="str">
        <f t="shared" si="113"/>
        <v/>
      </c>
    </row>
    <row r="2396" spans="19:21" ht="23.25" customHeight="1" x14ac:dyDescent="0.35">
      <c r="S2396" s="56" t="str">
        <f t="shared" si="111"/>
        <v/>
      </c>
      <c r="T2396" s="57" t="str">
        <f t="shared" si="112"/>
        <v/>
      </c>
      <c r="U2396" s="58" t="str">
        <f t="shared" si="113"/>
        <v/>
      </c>
    </row>
    <row r="2397" spans="19:21" ht="23.25" customHeight="1" x14ac:dyDescent="0.35">
      <c r="S2397" s="56" t="str">
        <f t="shared" si="111"/>
        <v/>
      </c>
      <c r="T2397" s="57" t="str">
        <f t="shared" si="112"/>
        <v/>
      </c>
      <c r="U2397" s="58" t="str">
        <f t="shared" si="113"/>
        <v/>
      </c>
    </row>
    <row r="2398" spans="19:21" ht="23.25" customHeight="1" x14ac:dyDescent="0.35">
      <c r="S2398" s="56" t="str">
        <f t="shared" si="111"/>
        <v/>
      </c>
      <c r="T2398" s="57" t="str">
        <f t="shared" si="112"/>
        <v/>
      </c>
      <c r="U2398" s="58" t="str">
        <f t="shared" si="113"/>
        <v/>
      </c>
    </row>
    <row r="2399" spans="19:21" ht="23.25" customHeight="1" x14ac:dyDescent="0.35">
      <c r="S2399" s="56" t="str">
        <f t="shared" si="111"/>
        <v/>
      </c>
      <c r="T2399" s="57" t="str">
        <f t="shared" si="112"/>
        <v/>
      </c>
      <c r="U2399" s="58" t="str">
        <f t="shared" si="113"/>
        <v/>
      </c>
    </row>
    <row r="2400" spans="19:21" ht="23.25" customHeight="1" x14ac:dyDescent="0.35">
      <c r="S2400" s="56" t="str">
        <f t="shared" si="111"/>
        <v/>
      </c>
      <c r="T2400" s="57" t="str">
        <f t="shared" si="112"/>
        <v/>
      </c>
      <c r="U2400" s="58" t="str">
        <f t="shared" si="113"/>
        <v/>
      </c>
    </row>
    <row r="2401" spans="19:21" ht="23.25" customHeight="1" x14ac:dyDescent="0.35">
      <c r="S2401" s="56" t="str">
        <f t="shared" si="111"/>
        <v/>
      </c>
      <c r="T2401" s="57" t="str">
        <f t="shared" si="112"/>
        <v/>
      </c>
      <c r="U2401" s="58" t="str">
        <f t="shared" si="113"/>
        <v/>
      </c>
    </row>
    <row r="2402" spans="19:21" ht="23.25" customHeight="1" x14ac:dyDescent="0.35">
      <c r="S2402" s="56" t="str">
        <f t="shared" si="111"/>
        <v/>
      </c>
      <c r="T2402" s="57" t="str">
        <f t="shared" si="112"/>
        <v/>
      </c>
      <c r="U2402" s="58" t="str">
        <f t="shared" si="113"/>
        <v/>
      </c>
    </row>
    <row r="2403" spans="19:21" ht="23.25" customHeight="1" x14ac:dyDescent="0.35">
      <c r="S2403" s="56" t="str">
        <f t="shared" si="111"/>
        <v/>
      </c>
      <c r="T2403" s="57" t="str">
        <f t="shared" si="112"/>
        <v/>
      </c>
      <c r="U2403" s="58" t="str">
        <f t="shared" si="113"/>
        <v/>
      </c>
    </row>
    <row r="2404" spans="19:21" ht="23.25" customHeight="1" x14ac:dyDescent="0.35">
      <c r="S2404" s="56" t="str">
        <f t="shared" si="111"/>
        <v/>
      </c>
      <c r="T2404" s="57" t="str">
        <f t="shared" si="112"/>
        <v/>
      </c>
      <c r="U2404" s="58" t="str">
        <f t="shared" si="113"/>
        <v/>
      </c>
    </row>
    <row r="2405" spans="19:21" ht="23.25" customHeight="1" x14ac:dyDescent="0.35">
      <c r="S2405" s="56" t="str">
        <f t="shared" si="111"/>
        <v/>
      </c>
      <c r="T2405" s="57" t="str">
        <f t="shared" si="112"/>
        <v/>
      </c>
      <c r="U2405" s="58" t="str">
        <f t="shared" si="113"/>
        <v/>
      </c>
    </row>
    <row r="2406" spans="19:21" ht="23.25" customHeight="1" x14ac:dyDescent="0.35">
      <c r="S2406" s="56" t="str">
        <f t="shared" si="111"/>
        <v/>
      </c>
      <c r="T2406" s="57" t="str">
        <f t="shared" si="112"/>
        <v/>
      </c>
      <c r="U2406" s="58" t="str">
        <f t="shared" si="113"/>
        <v/>
      </c>
    </row>
    <row r="2407" spans="19:21" ht="23.25" customHeight="1" x14ac:dyDescent="0.35">
      <c r="S2407" s="56" t="str">
        <f t="shared" si="111"/>
        <v/>
      </c>
      <c r="T2407" s="57" t="str">
        <f t="shared" si="112"/>
        <v/>
      </c>
      <c r="U2407" s="58" t="str">
        <f t="shared" si="113"/>
        <v/>
      </c>
    </row>
    <row r="2408" spans="19:21" ht="23.25" customHeight="1" x14ac:dyDescent="0.35">
      <c r="S2408" s="56" t="str">
        <f t="shared" si="111"/>
        <v/>
      </c>
      <c r="T2408" s="57" t="str">
        <f t="shared" si="112"/>
        <v/>
      </c>
      <c r="U2408" s="58" t="str">
        <f t="shared" si="113"/>
        <v/>
      </c>
    </row>
    <row r="2409" spans="19:21" ht="23.25" customHeight="1" x14ac:dyDescent="0.35">
      <c r="S2409" s="56" t="str">
        <f t="shared" si="111"/>
        <v/>
      </c>
      <c r="T2409" s="57" t="str">
        <f t="shared" si="112"/>
        <v/>
      </c>
      <c r="U2409" s="58" t="str">
        <f t="shared" si="113"/>
        <v/>
      </c>
    </row>
    <row r="2410" spans="19:21" ht="23.25" customHeight="1" x14ac:dyDescent="0.35">
      <c r="S2410" s="56" t="str">
        <f t="shared" si="111"/>
        <v/>
      </c>
      <c r="T2410" s="57" t="str">
        <f t="shared" si="112"/>
        <v/>
      </c>
      <c r="U2410" s="58" t="str">
        <f t="shared" si="113"/>
        <v/>
      </c>
    </row>
    <row r="2411" spans="19:21" ht="23.25" customHeight="1" x14ac:dyDescent="0.35">
      <c r="S2411" s="56" t="str">
        <f t="shared" si="111"/>
        <v/>
      </c>
      <c r="T2411" s="57" t="str">
        <f t="shared" si="112"/>
        <v/>
      </c>
      <c r="U2411" s="58" t="str">
        <f t="shared" si="113"/>
        <v/>
      </c>
    </row>
    <row r="2412" spans="19:21" ht="23.25" customHeight="1" x14ac:dyDescent="0.35">
      <c r="S2412" s="56" t="str">
        <f t="shared" si="111"/>
        <v/>
      </c>
      <c r="T2412" s="57" t="str">
        <f t="shared" si="112"/>
        <v/>
      </c>
      <c r="U2412" s="58" t="str">
        <f t="shared" si="113"/>
        <v/>
      </c>
    </row>
    <row r="2413" spans="19:21" ht="23.25" customHeight="1" x14ac:dyDescent="0.35">
      <c r="S2413" s="56" t="str">
        <f t="shared" si="111"/>
        <v/>
      </c>
      <c r="T2413" s="57" t="str">
        <f t="shared" si="112"/>
        <v/>
      </c>
      <c r="U2413" s="58" t="str">
        <f t="shared" si="113"/>
        <v/>
      </c>
    </row>
    <row r="2414" spans="19:21" ht="23.25" customHeight="1" x14ac:dyDescent="0.35">
      <c r="S2414" s="56" t="str">
        <f t="shared" si="111"/>
        <v/>
      </c>
      <c r="T2414" s="57" t="str">
        <f t="shared" si="112"/>
        <v/>
      </c>
      <c r="U2414" s="58" t="str">
        <f t="shared" si="113"/>
        <v/>
      </c>
    </row>
    <row r="2415" spans="19:21" ht="23.25" customHeight="1" x14ac:dyDescent="0.35">
      <c r="S2415" s="56" t="str">
        <f t="shared" si="111"/>
        <v/>
      </c>
      <c r="T2415" s="57" t="str">
        <f t="shared" si="112"/>
        <v/>
      </c>
      <c r="U2415" s="58" t="str">
        <f t="shared" si="113"/>
        <v/>
      </c>
    </row>
    <row r="2416" spans="19:21" ht="23.25" customHeight="1" x14ac:dyDescent="0.35">
      <c r="S2416" s="56" t="str">
        <f t="shared" si="111"/>
        <v/>
      </c>
      <c r="T2416" s="57" t="str">
        <f t="shared" si="112"/>
        <v/>
      </c>
      <c r="U2416" s="58" t="str">
        <f t="shared" si="113"/>
        <v/>
      </c>
    </row>
    <row r="2417" spans="19:21" ht="23.25" customHeight="1" x14ac:dyDescent="0.35">
      <c r="S2417" s="56" t="str">
        <f t="shared" si="111"/>
        <v/>
      </c>
      <c r="T2417" s="57" t="str">
        <f t="shared" si="112"/>
        <v/>
      </c>
      <c r="U2417" s="58" t="str">
        <f t="shared" si="113"/>
        <v/>
      </c>
    </row>
    <row r="2418" spans="19:21" ht="23.25" customHeight="1" x14ac:dyDescent="0.35">
      <c r="S2418" s="56" t="str">
        <f t="shared" si="111"/>
        <v/>
      </c>
      <c r="T2418" s="57" t="str">
        <f t="shared" si="112"/>
        <v/>
      </c>
      <c r="U2418" s="58" t="str">
        <f t="shared" si="113"/>
        <v/>
      </c>
    </row>
    <row r="2419" spans="19:21" ht="23.25" customHeight="1" x14ac:dyDescent="0.35">
      <c r="S2419" s="56" t="str">
        <f t="shared" si="111"/>
        <v/>
      </c>
      <c r="T2419" s="57" t="str">
        <f t="shared" si="112"/>
        <v/>
      </c>
      <c r="U2419" s="58" t="str">
        <f t="shared" si="113"/>
        <v/>
      </c>
    </row>
    <row r="2420" spans="19:21" ht="23.25" customHeight="1" x14ac:dyDescent="0.35">
      <c r="S2420" s="56" t="str">
        <f t="shared" si="111"/>
        <v/>
      </c>
      <c r="T2420" s="57" t="str">
        <f t="shared" si="112"/>
        <v/>
      </c>
      <c r="U2420" s="58" t="str">
        <f t="shared" si="113"/>
        <v/>
      </c>
    </row>
    <row r="2421" spans="19:21" ht="23.25" customHeight="1" x14ac:dyDescent="0.35">
      <c r="S2421" s="56" t="str">
        <f t="shared" si="111"/>
        <v/>
      </c>
      <c r="T2421" s="57" t="str">
        <f t="shared" si="112"/>
        <v/>
      </c>
      <c r="U2421" s="58" t="str">
        <f t="shared" si="113"/>
        <v/>
      </c>
    </row>
    <row r="2422" spans="19:21" ht="23.25" customHeight="1" x14ac:dyDescent="0.35">
      <c r="S2422" s="56" t="str">
        <f t="shared" si="111"/>
        <v/>
      </c>
      <c r="T2422" s="57" t="str">
        <f t="shared" si="112"/>
        <v/>
      </c>
      <c r="U2422" s="58" t="str">
        <f t="shared" si="113"/>
        <v/>
      </c>
    </row>
    <row r="2423" spans="19:21" ht="23.25" customHeight="1" x14ac:dyDescent="0.35">
      <c r="S2423" s="56" t="str">
        <f t="shared" si="111"/>
        <v/>
      </c>
      <c r="T2423" s="57" t="str">
        <f t="shared" si="112"/>
        <v/>
      </c>
      <c r="U2423" s="58" t="str">
        <f t="shared" si="113"/>
        <v/>
      </c>
    </row>
    <row r="2424" spans="19:21" ht="23.25" customHeight="1" x14ac:dyDescent="0.35">
      <c r="S2424" s="56" t="str">
        <f t="shared" si="111"/>
        <v/>
      </c>
      <c r="T2424" s="57" t="str">
        <f t="shared" si="112"/>
        <v/>
      </c>
      <c r="U2424" s="58" t="str">
        <f t="shared" si="113"/>
        <v/>
      </c>
    </row>
    <row r="2425" spans="19:21" ht="23.25" customHeight="1" x14ac:dyDescent="0.35">
      <c r="S2425" s="56" t="str">
        <f t="shared" si="111"/>
        <v/>
      </c>
      <c r="T2425" s="57" t="str">
        <f t="shared" si="112"/>
        <v/>
      </c>
      <c r="U2425" s="58" t="str">
        <f t="shared" si="113"/>
        <v/>
      </c>
    </row>
    <row r="2426" spans="19:21" ht="23.25" customHeight="1" x14ac:dyDescent="0.35">
      <c r="S2426" s="56" t="str">
        <f t="shared" si="111"/>
        <v/>
      </c>
      <c r="T2426" s="57" t="str">
        <f t="shared" si="112"/>
        <v/>
      </c>
      <c r="U2426" s="58" t="str">
        <f t="shared" si="113"/>
        <v/>
      </c>
    </row>
    <row r="2427" spans="19:21" ht="23.25" customHeight="1" x14ac:dyDescent="0.35">
      <c r="S2427" s="56" t="str">
        <f t="shared" si="111"/>
        <v/>
      </c>
      <c r="T2427" s="57" t="str">
        <f t="shared" si="112"/>
        <v/>
      </c>
      <c r="U2427" s="58" t="str">
        <f t="shared" si="113"/>
        <v/>
      </c>
    </row>
    <row r="2428" spans="19:21" ht="23.25" customHeight="1" x14ac:dyDescent="0.35">
      <c r="S2428" s="56" t="str">
        <f t="shared" si="111"/>
        <v/>
      </c>
      <c r="T2428" s="57" t="str">
        <f t="shared" si="112"/>
        <v/>
      </c>
      <c r="U2428" s="58" t="str">
        <f t="shared" si="113"/>
        <v/>
      </c>
    </row>
    <row r="2429" spans="19:21" ht="23.25" customHeight="1" x14ac:dyDescent="0.35">
      <c r="S2429" s="56" t="str">
        <f t="shared" si="111"/>
        <v/>
      </c>
      <c r="T2429" s="57" t="str">
        <f t="shared" si="112"/>
        <v/>
      </c>
      <c r="U2429" s="58" t="str">
        <f t="shared" si="113"/>
        <v/>
      </c>
    </row>
    <row r="2430" spans="19:21" ht="23.25" customHeight="1" x14ac:dyDescent="0.35">
      <c r="S2430" s="56" t="str">
        <f t="shared" si="111"/>
        <v/>
      </c>
      <c r="T2430" s="57" t="str">
        <f t="shared" si="112"/>
        <v/>
      </c>
      <c r="U2430" s="58" t="str">
        <f t="shared" si="113"/>
        <v/>
      </c>
    </row>
    <row r="2431" spans="19:21" ht="23.25" customHeight="1" x14ac:dyDescent="0.35">
      <c r="S2431" s="56" t="str">
        <f t="shared" si="111"/>
        <v/>
      </c>
      <c r="T2431" s="57" t="str">
        <f t="shared" si="112"/>
        <v/>
      </c>
      <c r="U2431" s="58" t="str">
        <f t="shared" si="113"/>
        <v/>
      </c>
    </row>
    <row r="2432" spans="19:21" ht="23.25" customHeight="1" x14ac:dyDescent="0.35">
      <c r="S2432" s="56" t="str">
        <f t="shared" si="111"/>
        <v/>
      </c>
      <c r="T2432" s="57" t="str">
        <f t="shared" si="112"/>
        <v/>
      </c>
      <c r="U2432" s="58" t="str">
        <f t="shared" si="113"/>
        <v/>
      </c>
    </row>
    <row r="2433" spans="19:21" ht="23.25" customHeight="1" x14ac:dyDescent="0.35">
      <c r="S2433" s="56" t="str">
        <f t="shared" si="111"/>
        <v/>
      </c>
      <c r="T2433" s="57" t="str">
        <f t="shared" si="112"/>
        <v/>
      </c>
      <c r="U2433" s="58" t="str">
        <f t="shared" si="113"/>
        <v/>
      </c>
    </row>
    <row r="2434" spans="19:21" ht="23.25" customHeight="1" x14ac:dyDescent="0.35">
      <c r="S2434" s="56" t="str">
        <f t="shared" si="111"/>
        <v/>
      </c>
      <c r="T2434" s="57" t="str">
        <f t="shared" si="112"/>
        <v/>
      </c>
      <c r="U2434" s="58" t="str">
        <f t="shared" si="113"/>
        <v/>
      </c>
    </row>
    <row r="2435" spans="19:21" ht="23.25" customHeight="1" x14ac:dyDescent="0.35">
      <c r="S2435" s="56" t="str">
        <f t="shared" si="111"/>
        <v/>
      </c>
      <c r="T2435" s="57" t="str">
        <f t="shared" si="112"/>
        <v/>
      </c>
      <c r="U2435" s="58" t="str">
        <f t="shared" si="113"/>
        <v/>
      </c>
    </row>
    <row r="2436" spans="19:21" ht="23.25" customHeight="1" x14ac:dyDescent="0.35">
      <c r="S2436" s="56" t="str">
        <f t="shared" si="111"/>
        <v/>
      </c>
      <c r="T2436" s="57" t="str">
        <f t="shared" si="112"/>
        <v/>
      </c>
      <c r="U2436" s="58" t="str">
        <f t="shared" si="113"/>
        <v/>
      </c>
    </row>
    <row r="2437" spans="19:21" ht="23.25" customHeight="1" x14ac:dyDescent="0.35">
      <c r="S2437" s="56" t="str">
        <f t="shared" si="111"/>
        <v/>
      </c>
      <c r="T2437" s="57" t="str">
        <f t="shared" si="112"/>
        <v/>
      </c>
      <c r="U2437" s="58" t="str">
        <f t="shared" si="113"/>
        <v/>
      </c>
    </row>
    <row r="2438" spans="19:21" ht="23.25" customHeight="1" x14ac:dyDescent="0.35">
      <c r="S2438" s="56" t="str">
        <f t="shared" si="111"/>
        <v/>
      </c>
      <c r="T2438" s="57" t="str">
        <f t="shared" si="112"/>
        <v/>
      </c>
      <c r="U2438" s="58" t="str">
        <f t="shared" si="113"/>
        <v/>
      </c>
    </row>
    <row r="2439" spans="19:21" ht="23.25" customHeight="1" x14ac:dyDescent="0.35">
      <c r="S2439" s="56" t="str">
        <f t="shared" si="111"/>
        <v/>
      </c>
      <c r="T2439" s="57" t="str">
        <f t="shared" si="112"/>
        <v/>
      </c>
      <c r="U2439" s="58" t="str">
        <f t="shared" si="113"/>
        <v/>
      </c>
    </row>
    <row r="2440" spans="19:21" ht="23.25" customHeight="1" x14ac:dyDescent="0.35">
      <c r="S2440" s="56" t="str">
        <f t="shared" si="111"/>
        <v/>
      </c>
      <c r="T2440" s="57" t="str">
        <f t="shared" si="112"/>
        <v/>
      </c>
      <c r="U2440" s="58" t="str">
        <f t="shared" si="113"/>
        <v/>
      </c>
    </row>
    <row r="2441" spans="19:21" ht="23.25" customHeight="1" x14ac:dyDescent="0.35">
      <c r="S2441" s="56" t="str">
        <f t="shared" ref="S2441:S2504" si="114">IF(A2441="","",A$5-A2441)</f>
        <v/>
      </c>
      <c r="T2441" s="57" t="str">
        <f t="shared" ref="T2441:T2504" si="115">IF(S2441="","",IF(S2441&lt;4,"0-3 Days",IF(S2441&lt;31,"4-30 Days",IF(S2441&lt;61,"31-60 Days",IF(S2441&lt;=90,"61-90 Days",IF(S2441&gt;90,"Above 90 Days","0"))))))</f>
        <v/>
      </c>
      <c r="U2441" s="58" t="str">
        <f t="shared" ref="U2441:U2504" si="116">IF(C2441="","",IF(C2441&gt;0,IF(S2441&lt;30,"Normal",IF(S2441&lt;60,"Especially Mentioned",IF(S2441&lt;90,"Substandard",IF(S2441&lt;=180,"Doubtful",IF(S2441&gt;180,"Loss","0"))))),"Not Applicable"))</f>
        <v/>
      </c>
    </row>
    <row r="2442" spans="19:21" ht="23.25" customHeight="1" x14ac:dyDescent="0.35">
      <c r="S2442" s="56" t="str">
        <f t="shared" si="114"/>
        <v/>
      </c>
      <c r="T2442" s="57" t="str">
        <f t="shared" si="115"/>
        <v/>
      </c>
      <c r="U2442" s="58" t="str">
        <f t="shared" si="116"/>
        <v/>
      </c>
    </row>
    <row r="2443" spans="19:21" ht="23.25" customHeight="1" x14ac:dyDescent="0.35">
      <c r="S2443" s="56" t="str">
        <f t="shared" si="114"/>
        <v/>
      </c>
      <c r="T2443" s="57" t="str">
        <f t="shared" si="115"/>
        <v/>
      </c>
      <c r="U2443" s="58" t="str">
        <f t="shared" si="116"/>
        <v/>
      </c>
    </row>
    <row r="2444" spans="19:21" ht="23.25" customHeight="1" x14ac:dyDescent="0.35">
      <c r="S2444" s="56" t="str">
        <f t="shared" si="114"/>
        <v/>
      </c>
      <c r="T2444" s="57" t="str">
        <f t="shared" si="115"/>
        <v/>
      </c>
      <c r="U2444" s="58" t="str">
        <f t="shared" si="116"/>
        <v/>
      </c>
    </row>
    <row r="2445" spans="19:21" ht="23.25" customHeight="1" x14ac:dyDescent="0.35">
      <c r="S2445" s="56" t="str">
        <f t="shared" si="114"/>
        <v/>
      </c>
      <c r="T2445" s="57" t="str">
        <f t="shared" si="115"/>
        <v/>
      </c>
      <c r="U2445" s="58" t="str">
        <f t="shared" si="116"/>
        <v/>
      </c>
    </row>
    <row r="2446" spans="19:21" ht="23.25" customHeight="1" x14ac:dyDescent="0.35">
      <c r="S2446" s="56" t="str">
        <f t="shared" si="114"/>
        <v/>
      </c>
      <c r="T2446" s="57" t="str">
        <f t="shared" si="115"/>
        <v/>
      </c>
      <c r="U2446" s="58" t="str">
        <f t="shared" si="116"/>
        <v/>
      </c>
    </row>
    <row r="2447" spans="19:21" ht="23.25" customHeight="1" x14ac:dyDescent="0.35">
      <c r="S2447" s="56" t="str">
        <f t="shared" si="114"/>
        <v/>
      </c>
      <c r="T2447" s="57" t="str">
        <f t="shared" si="115"/>
        <v/>
      </c>
      <c r="U2447" s="58" t="str">
        <f t="shared" si="116"/>
        <v/>
      </c>
    </row>
    <row r="2448" spans="19:21" ht="23.25" customHeight="1" x14ac:dyDescent="0.35">
      <c r="S2448" s="56" t="str">
        <f t="shared" si="114"/>
        <v/>
      </c>
      <c r="T2448" s="57" t="str">
        <f t="shared" si="115"/>
        <v/>
      </c>
      <c r="U2448" s="58" t="str">
        <f t="shared" si="116"/>
        <v/>
      </c>
    </row>
    <row r="2449" spans="19:21" ht="23.25" customHeight="1" x14ac:dyDescent="0.35">
      <c r="S2449" s="56" t="str">
        <f t="shared" si="114"/>
        <v/>
      </c>
      <c r="T2449" s="57" t="str">
        <f t="shared" si="115"/>
        <v/>
      </c>
      <c r="U2449" s="58" t="str">
        <f t="shared" si="116"/>
        <v/>
      </c>
    </row>
    <row r="2450" spans="19:21" ht="23.25" customHeight="1" x14ac:dyDescent="0.35">
      <c r="S2450" s="56" t="str">
        <f t="shared" si="114"/>
        <v/>
      </c>
      <c r="T2450" s="57" t="str">
        <f t="shared" si="115"/>
        <v/>
      </c>
      <c r="U2450" s="58" t="str">
        <f t="shared" si="116"/>
        <v/>
      </c>
    </row>
    <row r="2451" spans="19:21" ht="23.25" customHeight="1" x14ac:dyDescent="0.35">
      <c r="S2451" s="56" t="str">
        <f t="shared" si="114"/>
        <v/>
      </c>
      <c r="T2451" s="57" t="str">
        <f t="shared" si="115"/>
        <v/>
      </c>
      <c r="U2451" s="58" t="str">
        <f t="shared" si="116"/>
        <v/>
      </c>
    </row>
    <row r="2452" spans="19:21" ht="23.25" customHeight="1" x14ac:dyDescent="0.35">
      <c r="S2452" s="56" t="str">
        <f t="shared" si="114"/>
        <v/>
      </c>
      <c r="T2452" s="57" t="str">
        <f t="shared" si="115"/>
        <v/>
      </c>
      <c r="U2452" s="58" t="str">
        <f t="shared" si="116"/>
        <v/>
      </c>
    </row>
    <row r="2453" spans="19:21" ht="23.25" customHeight="1" x14ac:dyDescent="0.35">
      <c r="S2453" s="56" t="str">
        <f t="shared" si="114"/>
        <v/>
      </c>
      <c r="T2453" s="57" t="str">
        <f t="shared" si="115"/>
        <v/>
      </c>
      <c r="U2453" s="58" t="str">
        <f t="shared" si="116"/>
        <v/>
      </c>
    </row>
    <row r="2454" spans="19:21" ht="23.25" customHeight="1" x14ac:dyDescent="0.35">
      <c r="S2454" s="56" t="str">
        <f t="shared" si="114"/>
        <v/>
      </c>
      <c r="T2454" s="57" t="str">
        <f t="shared" si="115"/>
        <v/>
      </c>
      <c r="U2454" s="58" t="str">
        <f t="shared" si="116"/>
        <v/>
      </c>
    </row>
    <row r="2455" spans="19:21" ht="23.25" customHeight="1" x14ac:dyDescent="0.35">
      <c r="S2455" s="56" t="str">
        <f t="shared" si="114"/>
        <v/>
      </c>
      <c r="T2455" s="57" t="str">
        <f t="shared" si="115"/>
        <v/>
      </c>
      <c r="U2455" s="58" t="str">
        <f t="shared" si="116"/>
        <v/>
      </c>
    </row>
    <row r="2456" spans="19:21" ht="23.25" customHeight="1" x14ac:dyDescent="0.35">
      <c r="S2456" s="56" t="str">
        <f t="shared" si="114"/>
        <v/>
      </c>
      <c r="T2456" s="57" t="str">
        <f t="shared" si="115"/>
        <v/>
      </c>
      <c r="U2456" s="58" t="str">
        <f t="shared" si="116"/>
        <v/>
      </c>
    </row>
    <row r="2457" spans="19:21" ht="23.25" customHeight="1" x14ac:dyDescent="0.35">
      <c r="S2457" s="56" t="str">
        <f t="shared" si="114"/>
        <v/>
      </c>
      <c r="T2457" s="57" t="str">
        <f t="shared" si="115"/>
        <v/>
      </c>
      <c r="U2457" s="58" t="str">
        <f t="shared" si="116"/>
        <v/>
      </c>
    </row>
    <row r="2458" spans="19:21" ht="23.25" customHeight="1" x14ac:dyDescent="0.35">
      <c r="S2458" s="56" t="str">
        <f t="shared" si="114"/>
        <v/>
      </c>
      <c r="T2458" s="57" t="str">
        <f t="shared" si="115"/>
        <v/>
      </c>
      <c r="U2458" s="58" t="str">
        <f t="shared" si="116"/>
        <v/>
      </c>
    </row>
    <row r="2459" spans="19:21" ht="23.25" customHeight="1" x14ac:dyDescent="0.35">
      <c r="S2459" s="56" t="str">
        <f t="shared" si="114"/>
        <v/>
      </c>
      <c r="T2459" s="57" t="str">
        <f t="shared" si="115"/>
        <v/>
      </c>
      <c r="U2459" s="58" t="str">
        <f t="shared" si="116"/>
        <v/>
      </c>
    </row>
    <row r="2460" spans="19:21" ht="23.25" customHeight="1" x14ac:dyDescent="0.35">
      <c r="S2460" s="56" t="str">
        <f t="shared" si="114"/>
        <v/>
      </c>
      <c r="T2460" s="57" t="str">
        <f t="shared" si="115"/>
        <v/>
      </c>
      <c r="U2460" s="58" t="str">
        <f t="shared" si="116"/>
        <v/>
      </c>
    </row>
    <row r="2461" spans="19:21" ht="23.25" customHeight="1" x14ac:dyDescent="0.35">
      <c r="S2461" s="56" t="str">
        <f t="shared" si="114"/>
        <v/>
      </c>
      <c r="T2461" s="57" t="str">
        <f t="shared" si="115"/>
        <v/>
      </c>
      <c r="U2461" s="58" t="str">
        <f t="shared" si="116"/>
        <v/>
      </c>
    </row>
    <row r="2462" spans="19:21" ht="23.25" customHeight="1" x14ac:dyDescent="0.35">
      <c r="S2462" s="56" t="str">
        <f t="shared" si="114"/>
        <v/>
      </c>
      <c r="T2462" s="57" t="str">
        <f t="shared" si="115"/>
        <v/>
      </c>
      <c r="U2462" s="58" t="str">
        <f t="shared" si="116"/>
        <v/>
      </c>
    </row>
    <row r="2463" spans="19:21" ht="23.25" customHeight="1" x14ac:dyDescent="0.35">
      <c r="S2463" s="56" t="str">
        <f t="shared" si="114"/>
        <v/>
      </c>
      <c r="T2463" s="57" t="str">
        <f t="shared" si="115"/>
        <v/>
      </c>
      <c r="U2463" s="58" t="str">
        <f t="shared" si="116"/>
        <v/>
      </c>
    </row>
    <row r="2464" spans="19:21" ht="23.25" customHeight="1" x14ac:dyDescent="0.35">
      <c r="S2464" s="56" t="str">
        <f t="shared" si="114"/>
        <v/>
      </c>
      <c r="T2464" s="57" t="str">
        <f t="shared" si="115"/>
        <v/>
      </c>
      <c r="U2464" s="58" t="str">
        <f t="shared" si="116"/>
        <v/>
      </c>
    </row>
    <row r="2465" spans="19:21" ht="23.25" customHeight="1" x14ac:dyDescent="0.35">
      <c r="S2465" s="56" t="str">
        <f t="shared" si="114"/>
        <v/>
      </c>
      <c r="T2465" s="57" t="str">
        <f t="shared" si="115"/>
        <v/>
      </c>
      <c r="U2465" s="58" t="str">
        <f t="shared" si="116"/>
        <v/>
      </c>
    </row>
    <row r="2466" spans="19:21" ht="23.25" customHeight="1" x14ac:dyDescent="0.35">
      <c r="S2466" s="56" t="str">
        <f t="shared" si="114"/>
        <v/>
      </c>
      <c r="T2466" s="57" t="str">
        <f t="shared" si="115"/>
        <v/>
      </c>
      <c r="U2466" s="58" t="str">
        <f t="shared" si="116"/>
        <v/>
      </c>
    </row>
    <row r="2467" spans="19:21" ht="23.25" customHeight="1" x14ac:dyDescent="0.35">
      <c r="S2467" s="56" t="str">
        <f t="shared" si="114"/>
        <v/>
      </c>
      <c r="T2467" s="57" t="str">
        <f t="shared" si="115"/>
        <v/>
      </c>
      <c r="U2467" s="58" t="str">
        <f t="shared" si="116"/>
        <v/>
      </c>
    </row>
    <row r="2468" spans="19:21" ht="23.25" customHeight="1" x14ac:dyDescent="0.35">
      <c r="S2468" s="56" t="str">
        <f t="shared" si="114"/>
        <v/>
      </c>
      <c r="T2468" s="57" t="str">
        <f t="shared" si="115"/>
        <v/>
      </c>
      <c r="U2468" s="58" t="str">
        <f t="shared" si="116"/>
        <v/>
      </c>
    </row>
    <row r="2469" spans="19:21" ht="23.25" customHeight="1" x14ac:dyDescent="0.35">
      <c r="S2469" s="56" t="str">
        <f t="shared" si="114"/>
        <v/>
      </c>
      <c r="T2469" s="57" t="str">
        <f t="shared" si="115"/>
        <v/>
      </c>
      <c r="U2469" s="58" t="str">
        <f t="shared" si="116"/>
        <v/>
      </c>
    </row>
    <row r="2470" spans="19:21" ht="23.25" customHeight="1" x14ac:dyDescent="0.35">
      <c r="S2470" s="56" t="str">
        <f t="shared" si="114"/>
        <v/>
      </c>
      <c r="T2470" s="57" t="str">
        <f t="shared" si="115"/>
        <v/>
      </c>
      <c r="U2470" s="58" t="str">
        <f t="shared" si="116"/>
        <v/>
      </c>
    </row>
    <row r="2471" spans="19:21" ht="23.25" customHeight="1" x14ac:dyDescent="0.35">
      <c r="S2471" s="56" t="str">
        <f t="shared" si="114"/>
        <v/>
      </c>
      <c r="T2471" s="57" t="str">
        <f t="shared" si="115"/>
        <v/>
      </c>
      <c r="U2471" s="58" t="str">
        <f t="shared" si="116"/>
        <v/>
      </c>
    </row>
    <row r="2472" spans="19:21" ht="23.25" customHeight="1" x14ac:dyDescent="0.35">
      <c r="S2472" s="56" t="str">
        <f t="shared" si="114"/>
        <v/>
      </c>
      <c r="T2472" s="57" t="str">
        <f t="shared" si="115"/>
        <v/>
      </c>
      <c r="U2472" s="58" t="str">
        <f t="shared" si="116"/>
        <v/>
      </c>
    </row>
    <row r="2473" spans="19:21" ht="23.25" customHeight="1" x14ac:dyDescent="0.35">
      <c r="S2473" s="56" t="str">
        <f t="shared" si="114"/>
        <v/>
      </c>
      <c r="T2473" s="57" t="str">
        <f t="shared" si="115"/>
        <v/>
      </c>
      <c r="U2473" s="58" t="str">
        <f t="shared" si="116"/>
        <v/>
      </c>
    </row>
    <row r="2474" spans="19:21" ht="23.25" customHeight="1" x14ac:dyDescent="0.35">
      <c r="S2474" s="56" t="str">
        <f t="shared" si="114"/>
        <v/>
      </c>
      <c r="T2474" s="57" t="str">
        <f t="shared" si="115"/>
        <v/>
      </c>
      <c r="U2474" s="58" t="str">
        <f t="shared" si="116"/>
        <v/>
      </c>
    </row>
    <row r="2475" spans="19:21" ht="23.25" customHeight="1" x14ac:dyDescent="0.35">
      <c r="S2475" s="56" t="str">
        <f t="shared" si="114"/>
        <v/>
      </c>
      <c r="T2475" s="57" t="str">
        <f t="shared" si="115"/>
        <v/>
      </c>
      <c r="U2475" s="58" t="str">
        <f t="shared" si="116"/>
        <v/>
      </c>
    </row>
    <row r="2476" spans="19:21" ht="23.25" customHeight="1" x14ac:dyDescent="0.35">
      <c r="S2476" s="56" t="str">
        <f t="shared" si="114"/>
        <v/>
      </c>
      <c r="T2476" s="57" t="str">
        <f t="shared" si="115"/>
        <v/>
      </c>
      <c r="U2476" s="58" t="str">
        <f t="shared" si="116"/>
        <v/>
      </c>
    </row>
    <row r="2477" spans="19:21" ht="23.25" customHeight="1" x14ac:dyDescent="0.35">
      <c r="S2477" s="56" t="str">
        <f t="shared" si="114"/>
        <v/>
      </c>
      <c r="T2477" s="57" t="str">
        <f t="shared" si="115"/>
        <v/>
      </c>
      <c r="U2477" s="58" t="str">
        <f t="shared" si="116"/>
        <v/>
      </c>
    </row>
    <row r="2478" spans="19:21" ht="23.25" customHeight="1" x14ac:dyDescent="0.35">
      <c r="S2478" s="56" t="str">
        <f t="shared" si="114"/>
        <v/>
      </c>
      <c r="T2478" s="57" t="str">
        <f t="shared" si="115"/>
        <v/>
      </c>
      <c r="U2478" s="58" t="str">
        <f t="shared" si="116"/>
        <v/>
      </c>
    </row>
    <row r="2479" spans="19:21" ht="23.25" customHeight="1" x14ac:dyDescent="0.35">
      <c r="S2479" s="56" t="str">
        <f t="shared" si="114"/>
        <v/>
      </c>
      <c r="T2479" s="57" t="str">
        <f t="shared" si="115"/>
        <v/>
      </c>
      <c r="U2479" s="58" t="str">
        <f t="shared" si="116"/>
        <v/>
      </c>
    </row>
    <row r="2480" spans="19:21" ht="23.25" customHeight="1" x14ac:dyDescent="0.35">
      <c r="S2480" s="56" t="str">
        <f t="shared" si="114"/>
        <v/>
      </c>
      <c r="T2480" s="57" t="str">
        <f t="shared" si="115"/>
        <v/>
      </c>
      <c r="U2480" s="58" t="str">
        <f t="shared" si="116"/>
        <v/>
      </c>
    </row>
    <row r="2481" spans="19:21" ht="23.25" customHeight="1" x14ac:dyDescent="0.35">
      <c r="S2481" s="56" t="str">
        <f t="shared" si="114"/>
        <v/>
      </c>
      <c r="T2481" s="57" t="str">
        <f t="shared" si="115"/>
        <v/>
      </c>
      <c r="U2481" s="58" t="str">
        <f t="shared" si="116"/>
        <v/>
      </c>
    </row>
    <row r="2482" spans="19:21" ht="23.25" customHeight="1" x14ac:dyDescent="0.35">
      <c r="S2482" s="56" t="str">
        <f t="shared" si="114"/>
        <v/>
      </c>
      <c r="T2482" s="57" t="str">
        <f t="shared" si="115"/>
        <v/>
      </c>
      <c r="U2482" s="58" t="str">
        <f t="shared" si="116"/>
        <v/>
      </c>
    </row>
    <row r="2483" spans="19:21" ht="23.25" customHeight="1" x14ac:dyDescent="0.35">
      <c r="S2483" s="56" t="str">
        <f t="shared" si="114"/>
        <v/>
      </c>
      <c r="T2483" s="57" t="str">
        <f t="shared" si="115"/>
        <v/>
      </c>
      <c r="U2483" s="58" t="str">
        <f t="shared" si="116"/>
        <v/>
      </c>
    </row>
    <row r="2484" spans="19:21" ht="23.25" customHeight="1" x14ac:dyDescent="0.35">
      <c r="S2484" s="56" t="str">
        <f t="shared" si="114"/>
        <v/>
      </c>
      <c r="T2484" s="57" t="str">
        <f t="shared" si="115"/>
        <v/>
      </c>
      <c r="U2484" s="58" t="str">
        <f t="shared" si="116"/>
        <v/>
      </c>
    </row>
    <row r="2485" spans="19:21" ht="23.25" customHeight="1" x14ac:dyDescent="0.35">
      <c r="S2485" s="56" t="str">
        <f t="shared" si="114"/>
        <v/>
      </c>
      <c r="T2485" s="57" t="str">
        <f t="shared" si="115"/>
        <v/>
      </c>
      <c r="U2485" s="58" t="str">
        <f t="shared" si="116"/>
        <v/>
      </c>
    </row>
    <row r="2486" spans="19:21" ht="23.25" customHeight="1" x14ac:dyDescent="0.35">
      <c r="S2486" s="56" t="str">
        <f t="shared" si="114"/>
        <v/>
      </c>
      <c r="T2486" s="57" t="str">
        <f t="shared" si="115"/>
        <v/>
      </c>
      <c r="U2486" s="58" t="str">
        <f t="shared" si="116"/>
        <v/>
      </c>
    </row>
    <row r="2487" spans="19:21" ht="23.25" customHeight="1" x14ac:dyDescent="0.35">
      <c r="S2487" s="56" t="str">
        <f t="shared" si="114"/>
        <v/>
      </c>
      <c r="T2487" s="57" t="str">
        <f t="shared" si="115"/>
        <v/>
      </c>
      <c r="U2487" s="58" t="str">
        <f t="shared" si="116"/>
        <v/>
      </c>
    </row>
    <row r="2488" spans="19:21" ht="23.25" customHeight="1" x14ac:dyDescent="0.35">
      <c r="S2488" s="56" t="str">
        <f t="shared" si="114"/>
        <v/>
      </c>
      <c r="T2488" s="57" t="str">
        <f t="shared" si="115"/>
        <v/>
      </c>
      <c r="U2488" s="58" t="str">
        <f t="shared" si="116"/>
        <v/>
      </c>
    </row>
    <row r="2489" spans="19:21" ht="23.25" customHeight="1" x14ac:dyDescent="0.35">
      <c r="S2489" s="56" t="str">
        <f t="shared" si="114"/>
        <v/>
      </c>
      <c r="T2489" s="57" t="str">
        <f t="shared" si="115"/>
        <v/>
      </c>
      <c r="U2489" s="58" t="str">
        <f t="shared" si="116"/>
        <v/>
      </c>
    </row>
    <row r="2490" spans="19:21" ht="23.25" customHeight="1" x14ac:dyDescent="0.35">
      <c r="S2490" s="56" t="str">
        <f t="shared" si="114"/>
        <v/>
      </c>
      <c r="T2490" s="57" t="str">
        <f t="shared" si="115"/>
        <v/>
      </c>
      <c r="U2490" s="58" t="str">
        <f t="shared" si="116"/>
        <v/>
      </c>
    </row>
    <row r="2491" spans="19:21" ht="23.25" customHeight="1" x14ac:dyDescent="0.35">
      <c r="S2491" s="56" t="str">
        <f t="shared" si="114"/>
        <v/>
      </c>
      <c r="T2491" s="57" t="str">
        <f t="shared" si="115"/>
        <v/>
      </c>
      <c r="U2491" s="58" t="str">
        <f t="shared" si="116"/>
        <v/>
      </c>
    </row>
    <row r="2492" spans="19:21" ht="23.25" customHeight="1" x14ac:dyDescent="0.35">
      <c r="S2492" s="56" t="str">
        <f t="shared" si="114"/>
        <v/>
      </c>
      <c r="T2492" s="57" t="str">
        <f t="shared" si="115"/>
        <v/>
      </c>
      <c r="U2492" s="58" t="str">
        <f t="shared" si="116"/>
        <v/>
      </c>
    </row>
    <row r="2493" spans="19:21" ht="23.25" customHeight="1" x14ac:dyDescent="0.35">
      <c r="S2493" s="56" t="str">
        <f t="shared" si="114"/>
        <v/>
      </c>
      <c r="T2493" s="57" t="str">
        <f t="shared" si="115"/>
        <v/>
      </c>
      <c r="U2493" s="58" t="str">
        <f t="shared" si="116"/>
        <v/>
      </c>
    </row>
    <row r="2494" spans="19:21" ht="23.25" customHeight="1" x14ac:dyDescent="0.35">
      <c r="S2494" s="56" t="str">
        <f t="shared" si="114"/>
        <v/>
      </c>
      <c r="T2494" s="57" t="str">
        <f t="shared" si="115"/>
        <v/>
      </c>
      <c r="U2494" s="58" t="str">
        <f t="shared" si="116"/>
        <v/>
      </c>
    </row>
    <row r="2495" spans="19:21" ht="23.25" customHeight="1" x14ac:dyDescent="0.35">
      <c r="S2495" s="56" t="str">
        <f t="shared" si="114"/>
        <v/>
      </c>
      <c r="T2495" s="57" t="str">
        <f t="shared" si="115"/>
        <v/>
      </c>
      <c r="U2495" s="58" t="str">
        <f t="shared" si="116"/>
        <v/>
      </c>
    </row>
    <row r="2496" spans="19:21" ht="23.25" customHeight="1" x14ac:dyDescent="0.35">
      <c r="S2496" s="56" t="str">
        <f t="shared" si="114"/>
        <v/>
      </c>
      <c r="T2496" s="57" t="str">
        <f t="shared" si="115"/>
        <v/>
      </c>
      <c r="U2496" s="58" t="str">
        <f t="shared" si="116"/>
        <v/>
      </c>
    </row>
    <row r="2497" spans="19:21" ht="23.25" customHeight="1" x14ac:dyDescent="0.35">
      <c r="S2497" s="56" t="str">
        <f t="shared" si="114"/>
        <v/>
      </c>
      <c r="T2497" s="57" t="str">
        <f t="shared" si="115"/>
        <v/>
      </c>
      <c r="U2497" s="58" t="str">
        <f t="shared" si="116"/>
        <v/>
      </c>
    </row>
    <row r="2498" spans="19:21" ht="23.25" customHeight="1" x14ac:dyDescent="0.35">
      <c r="S2498" s="56" t="str">
        <f t="shared" si="114"/>
        <v/>
      </c>
      <c r="T2498" s="57" t="str">
        <f t="shared" si="115"/>
        <v/>
      </c>
      <c r="U2498" s="58" t="str">
        <f t="shared" si="116"/>
        <v/>
      </c>
    </row>
    <row r="2499" spans="19:21" ht="23.25" customHeight="1" x14ac:dyDescent="0.35">
      <c r="S2499" s="56" t="str">
        <f t="shared" si="114"/>
        <v/>
      </c>
      <c r="T2499" s="57" t="str">
        <f t="shared" si="115"/>
        <v/>
      </c>
      <c r="U2499" s="58" t="str">
        <f t="shared" si="116"/>
        <v/>
      </c>
    </row>
    <row r="2500" spans="19:21" ht="23.25" customHeight="1" x14ac:dyDescent="0.35">
      <c r="S2500" s="56" t="str">
        <f t="shared" si="114"/>
        <v/>
      </c>
      <c r="T2500" s="57" t="str">
        <f t="shared" si="115"/>
        <v/>
      </c>
      <c r="U2500" s="58" t="str">
        <f t="shared" si="116"/>
        <v/>
      </c>
    </row>
    <row r="2501" spans="19:21" ht="23.25" customHeight="1" x14ac:dyDescent="0.35">
      <c r="S2501" s="56" t="str">
        <f t="shared" si="114"/>
        <v/>
      </c>
      <c r="T2501" s="57" t="str">
        <f t="shared" si="115"/>
        <v/>
      </c>
      <c r="U2501" s="58" t="str">
        <f t="shared" si="116"/>
        <v/>
      </c>
    </row>
    <row r="2502" spans="19:21" ht="23.25" customHeight="1" x14ac:dyDescent="0.35">
      <c r="S2502" s="56" t="str">
        <f t="shared" si="114"/>
        <v/>
      </c>
      <c r="T2502" s="57" t="str">
        <f t="shared" si="115"/>
        <v/>
      </c>
      <c r="U2502" s="58" t="str">
        <f t="shared" si="116"/>
        <v/>
      </c>
    </row>
    <row r="2503" spans="19:21" ht="23.25" customHeight="1" x14ac:dyDescent="0.35">
      <c r="S2503" s="56" t="str">
        <f t="shared" si="114"/>
        <v/>
      </c>
      <c r="T2503" s="57" t="str">
        <f t="shared" si="115"/>
        <v/>
      </c>
      <c r="U2503" s="58" t="str">
        <f t="shared" si="116"/>
        <v/>
      </c>
    </row>
    <row r="2504" spans="19:21" ht="23.25" customHeight="1" x14ac:dyDescent="0.35">
      <c r="S2504" s="56" t="str">
        <f t="shared" si="114"/>
        <v/>
      </c>
      <c r="T2504" s="57" t="str">
        <f t="shared" si="115"/>
        <v/>
      </c>
      <c r="U2504" s="58" t="str">
        <f t="shared" si="116"/>
        <v/>
      </c>
    </row>
    <row r="2505" spans="19:21" ht="23.25" customHeight="1" x14ac:dyDescent="0.35">
      <c r="S2505" s="56" t="str">
        <f t="shared" ref="S2505:S2568" si="117">IF(A2505="","",A$5-A2505)</f>
        <v/>
      </c>
      <c r="T2505" s="57" t="str">
        <f t="shared" ref="T2505:T2568" si="118">IF(S2505="","",IF(S2505&lt;4,"0-3 Days",IF(S2505&lt;31,"4-30 Days",IF(S2505&lt;61,"31-60 Days",IF(S2505&lt;=90,"61-90 Days",IF(S2505&gt;90,"Above 90 Days","0"))))))</f>
        <v/>
      </c>
      <c r="U2505" s="58" t="str">
        <f t="shared" ref="U2505:U2568" si="119">IF(C2505="","",IF(C2505&gt;0,IF(S2505&lt;30,"Normal",IF(S2505&lt;60,"Especially Mentioned",IF(S2505&lt;90,"Substandard",IF(S2505&lt;=180,"Doubtful",IF(S2505&gt;180,"Loss","0"))))),"Not Applicable"))</f>
        <v/>
      </c>
    </row>
    <row r="2506" spans="19:21" ht="23.25" customHeight="1" x14ac:dyDescent="0.35">
      <c r="S2506" s="56" t="str">
        <f t="shared" si="117"/>
        <v/>
      </c>
      <c r="T2506" s="57" t="str">
        <f t="shared" si="118"/>
        <v/>
      </c>
      <c r="U2506" s="58" t="str">
        <f t="shared" si="119"/>
        <v/>
      </c>
    </row>
    <row r="2507" spans="19:21" ht="23.25" customHeight="1" x14ac:dyDescent="0.35">
      <c r="S2507" s="56" t="str">
        <f t="shared" si="117"/>
        <v/>
      </c>
      <c r="T2507" s="57" t="str">
        <f t="shared" si="118"/>
        <v/>
      </c>
      <c r="U2507" s="58" t="str">
        <f t="shared" si="119"/>
        <v/>
      </c>
    </row>
    <row r="2508" spans="19:21" ht="23.25" customHeight="1" x14ac:dyDescent="0.35">
      <c r="S2508" s="56" t="str">
        <f t="shared" si="117"/>
        <v/>
      </c>
      <c r="T2508" s="57" t="str">
        <f t="shared" si="118"/>
        <v/>
      </c>
      <c r="U2508" s="58" t="str">
        <f t="shared" si="119"/>
        <v/>
      </c>
    </row>
    <row r="2509" spans="19:21" ht="23.25" customHeight="1" x14ac:dyDescent="0.35">
      <c r="S2509" s="56" t="str">
        <f t="shared" si="117"/>
        <v/>
      </c>
      <c r="T2509" s="57" t="str">
        <f t="shared" si="118"/>
        <v/>
      </c>
      <c r="U2509" s="58" t="str">
        <f t="shared" si="119"/>
        <v/>
      </c>
    </row>
    <row r="2510" spans="19:21" ht="23.25" customHeight="1" x14ac:dyDescent="0.35">
      <c r="S2510" s="56" t="str">
        <f t="shared" si="117"/>
        <v/>
      </c>
      <c r="T2510" s="57" t="str">
        <f t="shared" si="118"/>
        <v/>
      </c>
      <c r="U2510" s="58" t="str">
        <f t="shared" si="119"/>
        <v/>
      </c>
    </row>
    <row r="2511" spans="19:21" ht="23.25" customHeight="1" x14ac:dyDescent="0.35">
      <c r="S2511" s="56" t="str">
        <f t="shared" si="117"/>
        <v/>
      </c>
      <c r="T2511" s="57" t="str">
        <f t="shared" si="118"/>
        <v/>
      </c>
      <c r="U2511" s="58" t="str">
        <f t="shared" si="119"/>
        <v/>
      </c>
    </row>
    <row r="2512" spans="19:21" ht="23.25" customHeight="1" x14ac:dyDescent="0.35">
      <c r="S2512" s="56" t="str">
        <f t="shared" si="117"/>
        <v/>
      </c>
      <c r="T2512" s="57" t="str">
        <f t="shared" si="118"/>
        <v/>
      </c>
      <c r="U2512" s="58" t="str">
        <f t="shared" si="119"/>
        <v/>
      </c>
    </row>
    <row r="2513" spans="19:21" ht="23.25" customHeight="1" x14ac:dyDescent="0.35">
      <c r="S2513" s="56" t="str">
        <f t="shared" si="117"/>
        <v/>
      </c>
      <c r="T2513" s="57" t="str">
        <f t="shared" si="118"/>
        <v/>
      </c>
      <c r="U2513" s="58" t="str">
        <f t="shared" si="119"/>
        <v/>
      </c>
    </row>
    <row r="2514" spans="19:21" ht="23.25" customHeight="1" x14ac:dyDescent="0.35">
      <c r="S2514" s="56" t="str">
        <f t="shared" si="117"/>
        <v/>
      </c>
      <c r="T2514" s="57" t="str">
        <f t="shared" si="118"/>
        <v/>
      </c>
      <c r="U2514" s="58" t="str">
        <f t="shared" si="119"/>
        <v/>
      </c>
    </row>
    <row r="2515" spans="19:21" ht="23.25" customHeight="1" x14ac:dyDescent="0.35">
      <c r="S2515" s="56" t="str">
        <f t="shared" si="117"/>
        <v/>
      </c>
      <c r="T2515" s="57" t="str">
        <f t="shared" si="118"/>
        <v/>
      </c>
      <c r="U2515" s="58" t="str">
        <f t="shared" si="119"/>
        <v/>
      </c>
    </row>
    <row r="2516" spans="19:21" ht="23.25" customHeight="1" x14ac:dyDescent="0.35">
      <c r="S2516" s="56" t="str">
        <f t="shared" si="117"/>
        <v/>
      </c>
      <c r="T2516" s="57" t="str">
        <f t="shared" si="118"/>
        <v/>
      </c>
      <c r="U2516" s="58" t="str">
        <f t="shared" si="119"/>
        <v/>
      </c>
    </row>
    <row r="2517" spans="19:21" ht="23.25" customHeight="1" x14ac:dyDescent="0.35">
      <c r="S2517" s="56" t="str">
        <f t="shared" si="117"/>
        <v/>
      </c>
      <c r="T2517" s="57" t="str">
        <f t="shared" si="118"/>
        <v/>
      </c>
      <c r="U2517" s="58" t="str">
        <f t="shared" si="119"/>
        <v/>
      </c>
    </row>
    <row r="2518" spans="19:21" ht="23.25" customHeight="1" x14ac:dyDescent="0.35">
      <c r="S2518" s="56" t="str">
        <f t="shared" si="117"/>
        <v/>
      </c>
      <c r="T2518" s="57" t="str">
        <f t="shared" si="118"/>
        <v/>
      </c>
      <c r="U2518" s="58" t="str">
        <f t="shared" si="119"/>
        <v/>
      </c>
    </row>
    <row r="2519" spans="19:21" ht="23.25" customHeight="1" x14ac:dyDescent="0.35">
      <c r="S2519" s="56" t="str">
        <f t="shared" si="117"/>
        <v/>
      </c>
      <c r="T2519" s="57" t="str">
        <f t="shared" si="118"/>
        <v/>
      </c>
      <c r="U2519" s="58" t="str">
        <f t="shared" si="119"/>
        <v/>
      </c>
    </row>
    <row r="2520" spans="19:21" ht="23.25" customHeight="1" x14ac:dyDescent="0.35">
      <c r="S2520" s="56" t="str">
        <f t="shared" si="117"/>
        <v/>
      </c>
      <c r="T2520" s="57" t="str">
        <f t="shared" si="118"/>
        <v/>
      </c>
      <c r="U2520" s="58" t="str">
        <f t="shared" si="119"/>
        <v/>
      </c>
    </row>
    <row r="2521" spans="19:21" ht="23.25" customHeight="1" x14ac:dyDescent="0.35">
      <c r="S2521" s="56" t="str">
        <f t="shared" si="117"/>
        <v/>
      </c>
      <c r="T2521" s="57" t="str">
        <f t="shared" si="118"/>
        <v/>
      </c>
      <c r="U2521" s="58" t="str">
        <f t="shared" si="119"/>
        <v/>
      </c>
    </row>
    <row r="2522" spans="19:21" ht="23.25" customHeight="1" x14ac:dyDescent="0.35">
      <c r="S2522" s="56" t="str">
        <f t="shared" si="117"/>
        <v/>
      </c>
      <c r="T2522" s="57" t="str">
        <f t="shared" si="118"/>
        <v/>
      </c>
      <c r="U2522" s="58" t="str">
        <f t="shared" si="119"/>
        <v/>
      </c>
    </row>
    <row r="2523" spans="19:21" ht="23.25" customHeight="1" x14ac:dyDescent="0.35">
      <c r="S2523" s="56" t="str">
        <f t="shared" si="117"/>
        <v/>
      </c>
      <c r="T2523" s="57" t="str">
        <f t="shared" si="118"/>
        <v/>
      </c>
      <c r="U2523" s="58" t="str">
        <f t="shared" si="119"/>
        <v/>
      </c>
    </row>
    <row r="2524" spans="19:21" ht="23.25" customHeight="1" x14ac:dyDescent="0.35">
      <c r="S2524" s="56" t="str">
        <f t="shared" si="117"/>
        <v/>
      </c>
      <c r="T2524" s="57" t="str">
        <f t="shared" si="118"/>
        <v/>
      </c>
      <c r="U2524" s="58" t="str">
        <f t="shared" si="119"/>
        <v/>
      </c>
    </row>
    <row r="2525" spans="19:21" ht="23.25" customHeight="1" x14ac:dyDescent="0.35">
      <c r="S2525" s="56" t="str">
        <f t="shared" si="117"/>
        <v/>
      </c>
      <c r="T2525" s="57" t="str">
        <f t="shared" si="118"/>
        <v/>
      </c>
      <c r="U2525" s="58" t="str">
        <f t="shared" si="119"/>
        <v/>
      </c>
    </row>
    <row r="2526" spans="19:21" ht="23.25" customHeight="1" x14ac:dyDescent="0.35">
      <c r="S2526" s="56" t="str">
        <f t="shared" si="117"/>
        <v/>
      </c>
      <c r="T2526" s="57" t="str">
        <f t="shared" si="118"/>
        <v/>
      </c>
      <c r="U2526" s="58" t="str">
        <f t="shared" si="119"/>
        <v/>
      </c>
    </row>
    <row r="2527" spans="19:21" ht="23.25" customHeight="1" x14ac:dyDescent="0.35">
      <c r="S2527" s="56" t="str">
        <f t="shared" si="117"/>
        <v/>
      </c>
      <c r="T2527" s="57" t="str">
        <f t="shared" si="118"/>
        <v/>
      </c>
      <c r="U2527" s="58" t="str">
        <f t="shared" si="119"/>
        <v/>
      </c>
    </row>
    <row r="2528" spans="19:21" ht="23.25" customHeight="1" x14ac:dyDescent="0.35">
      <c r="S2528" s="56" t="str">
        <f t="shared" si="117"/>
        <v/>
      </c>
      <c r="T2528" s="57" t="str">
        <f t="shared" si="118"/>
        <v/>
      </c>
      <c r="U2528" s="58" t="str">
        <f t="shared" si="119"/>
        <v/>
      </c>
    </row>
    <row r="2529" spans="19:21" ht="23.25" customHeight="1" x14ac:dyDescent="0.35">
      <c r="S2529" s="56" t="str">
        <f t="shared" si="117"/>
        <v/>
      </c>
      <c r="T2529" s="57" t="str">
        <f t="shared" si="118"/>
        <v/>
      </c>
      <c r="U2529" s="58" t="str">
        <f t="shared" si="119"/>
        <v/>
      </c>
    </row>
    <row r="2530" spans="19:21" ht="23.25" customHeight="1" x14ac:dyDescent="0.35">
      <c r="S2530" s="56" t="str">
        <f t="shared" si="117"/>
        <v/>
      </c>
      <c r="T2530" s="57" t="str">
        <f t="shared" si="118"/>
        <v/>
      </c>
      <c r="U2530" s="58" t="str">
        <f t="shared" si="119"/>
        <v/>
      </c>
    </row>
    <row r="2531" spans="19:21" ht="23.25" customHeight="1" x14ac:dyDescent="0.35">
      <c r="S2531" s="56" t="str">
        <f t="shared" si="117"/>
        <v/>
      </c>
      <c r="T2531" s="57" t="str">
        <f t="shared" si="118"/>
        <v/>
      </c>
      <c r="U2531" s="58" t="str">
        <f t="shared" si="119"/>
        <v/>
      </c>
    </row>
    <row r="2532" spans="19:21" ht="23.25" customHeight="1" x14ac:dyDescent="0.35">
      <c r="S2532" s="56" t="str">
        <f t="shared" si="117"/>
        <v/>
      </c>
      <c r="T2532" s="57" t="str">
        <f t="shared" si="118"/>
        <v/>
      </c>
      <c r="U2532" s="58" t="str">
        <f t="shared" si="119"/>
        <v/>
      </c>
    </row>
    <row r="2533" spans="19:21" ht="23.25" customHeight="1" x14ac:dyDescent="0.35">
      <c r="S2533" s="56" t="str">
        <f t="shared" si="117"/>
        <v/>
      </c>
      <c r="T2533" s="57" t="str">
        <f t="shared" si="118"/>
        <v/>
      </c>
      <c r="U2533" s="58" t="str">
        <f t="shared" si="119"/>
        <v/>
      </c>
    </row>
    <row r="2534" spans="19:21" ht="23.25" customHeight="1" x14ac:dyDescent="0.35">
      <c r="S2534" s="56" t="str">
        <f t="shared" si="117"/>
        <v/>
      </c>
      <c r="T2534" s="57" t="str">
        <f t="shared" si="118"/>
        <v/>
      </c>
      <c r="U2534" s="58" t="str">
        <f t="shared" si="119"/>
        <v/>
      </c>
    </row>
    <row r="2535" spans="19:21" ht="23.25" customHeight="1" x14ac:dyDescent="0.35">
      <c r="S2535" s="56" t="str">
        <f t="shared" si="117"/>
        <v/>
      </c>
      <c r="T2535" s="57" t="str">
        <f t="shared" si="118"/>
        <v/>
      </c>
      <c r="U2535" s="58" t="str">
        <f t="shared" si="119"/>
        <v/>
      </c>
    </row>
    <row r="2536" spans="19:21" ht="23.25" customHeight="1" x14ac:dyDescent="0.35">
      <c r="S2536" s="56" t="str">
        <f t="shared" si="117"/>
        <v/>
      </c>
      <c r="T2536" s="57" t="str">
        <f t="shared" si="118"/>
        <v/>
      </c>
      <c r="U2536" s="58" t="str">
        <f t="shared" si="119"/>
        <v/>
      </c>
    </row>
    <row r="2537" spans="19:21" ht="23.25" customHeight="1" x14ac:dyDescent="0.35">
      <c r="S2537" s="56" t="str">
        <f t="shared" si="117"/>
        <v/>
      </c>
      <c r="T2537" s="57" t="str">
        <f t="shared" si="118"/>
        <v/>
      </c>
      <c r="U2537" s="58" t="str">
        <f t="shared" si="119"/>
        <v/>
      </c>
    </row>
    <row r="2538" spans="19:21" ht="23.25" customHeight="1" x14ac:dyDescent="0.35">
      <c r="S2538" s="56" t="str">
        <f t="shared" si="117"/>
        <v/>
      </c>
      <c r="T2538" s="57" t="str">
        <f t="shared" si="118"/>
        <v/>
      </c>
      <c r="U2538" s="58" t="str">
        <f t="shared" si="119"/>
        <v/>
      </c>
    </row>
    <row r="2539" spans="19:21" ht="23.25" customHeight="1" x14ac:dyDescent="0.35">
      <c r="S2539" s="56" t="str">
        <f t="shared" si="117"/>
        <v/>
      </c>
      <c r="T2539" s="57" t="str">
        <f t="shared" si="118"/>
        <v/>
      </c>
      <c r="U2539" s="58" t="str">
        <f t="shared" si="119"/>
        <v/>
      </c>
    </row>
    <row r="2540" spans="19:21" ht="23.25" customHeight="1" x14ac:dyDescent="0.35">
      <c r="S2540" s="56" t="str">
        <f t="shared" si="117"/>
        <v/>
      </c>
      <c r="T2540" s="57" t="str">
        <f t="shared" si="118"/>
        <v/>
      </c>
      <c r="U2540" s="58" t="str">
        <f t="shared" si="119"/>
        <v/>
      </c>
    </row>
    <row r="2541" spans="19:21" ht="23.25" customHeight="1" x14ac:dyDescent="0.35">
      <c r="S2541" s="56" t="str">
        <f t="shared" si="117"/>
        <v/>
      </c>
      <c r="T2541" s="57" t="str">
        <f t="shared" si="118"/>
        <v/>
      </c>
      <c r="U2541" s="58" t="str">
        <f t="shared" si="119"/>
        <v/>
      </c>
    </row>
    <row r="2542" spans="19:21" ht="23.25" customHeight="1" x14ac:dyDescent="0.35">
      <c r="S2542" s="56" t="str">
        <f t="shared" si="117"/>
        <v/>
      </c>
      <c r="T2542" s="57" t="str">
        <f t="shared" si="118"/>
        <v/>
      </c>
      <c r="U2542" s="58" t="str">
        <f t="shared" si="119"/>
        <v/>
      </c>
    </row>
    <row r="2543" spans="19:21" ht="23.25" customHeight="1" x14ac:dyDescent="0.35">
      <c r="S2543" s="56" t="str">
        <f t="shared" si="117"/>
        <v/>
      </c>
      <c r="T2543" s="57" t="str">
        <f t="shared" si="118"/>
        <v/>
      </c>
      <c r="U2543" s="58" t="str">
        <f t="shared" si="119"/>
        <v/>
      </c>
    </row>
    <row r="2544" spans="19:21" ht="23.25" customHeight="1" x14ac:dyDescent="0.35">
      <c r="S2544" s="56" t="str">
        <f t="shared" si="117"/>
        <v/>
      </c>
      <c r="T2544" s="57" t="str">
        <f t="shared" si="118"/>
        <v/>
      </c>
      <c r="U2544" s="58" t="str">
        <f t="shared" si="119"/>
        <v/>
      </c>
    </row>
    <row r="2545" spans="19:21" ht="23.25" customHeight="1" x14ac:dyDescent="0.35">
      <c r="S2545" s="56" t="str">
        <f t="shared" si="117"/>
        <v/>
      </c>
      <c r="T2545" s="57" t="str">
        <f t="shared" si="118"/>
        <v/>
      </c>
      <c r="U2545" s="58" t="str">
        <f t="shared" si="119"/>
        <v/>
      </c>
    </row>
    <row r="2546" spans="19:21" ht="23.25" customHeight="1" x14ac:dyDescent="0.35">
      <c r="S2546" s="56" t="str">
        <f t="shared" si="117"/>
        <v/>
      </c>
      <c r="T2546" s="57" t="str">
        <f t="shared" si="118"/>
        <v/>
      </c>
      <c r="U2546" s="58" t="str">
        <f t="shared" si="119"/>
        <v/>
      </c>
    </row>
    <row r="2547" spans="19:21" ht="23.25" customHeight="1" x14ac:dyDescent="0.35">
      <c r="S2547" s="56" t="str">
        <f t="shared" si="117"/>
        <v/>
      </c>
      <c r="T2547" s="57" t="str">
        <f t="shared" si="118"/>
        <v/>
      </c>
      <c r="U2547" s="58" t="str">
        <f t="shared" si="119"/>
        <v/>
      </c>
    </row>
    <row r="2548" spans="19:21" ht="23.25" customHeight="1" x14ac:dyDescent="0.35">
      <c r="S2548" s="56" t="str">
        <f t="shared" si="117"/>
        <v/>
      </c>
      <c r="T2548" s="57" t="str">
        <f t="shared" si="118"/>
        <v/>
      </c>
      <c r="U2548" s="58" t="str">
        <f t="shared" si="119"/>
        <v/>
      </c>
    </row>
    <row r="2549" spans="19:21" ht="23.25" customHeight="1" x14ac:dyDescent="0.35">
      <c r="S2549" s="56" t="str">
        <f t="shared" si="117"/>
        <v/>
      </c>
      <c r="T2549" s="57" t="str">
        <f t="shared" si="118"/>
        <v/>
      </c>
      <c r="U2549" s="58" t="str">
        <f t="shared" si="119"/>
        <v/>
      </c>
    </row>
    <row r="2550" spans="19:21" ht="23.25" customHeight="1" x14ac:dyDescent="0.35">
      <c r="S2550" s="56" t="str">
        <f t="shared" si="117"/>
        <v/>
      </c>
      <c r="T2550" s="57" t="str">
        <f t="shared" si="118"/>
        <v/>
      </c>
      <c r="U2550" s="58" t="str">
        <f t="shared" si="119"/>
        <v/>
      </c>
    </row>
    <row r="2551" spans="19:21" ht="23.25" customHeight="1" x14ac:dyDescent="0.35">
      <c r="S2551" s="56" t="str">
        <f t="shared" si="117"/>
        <v/>
      </c>
      <c r="T2551" s="57" t="str">
        <f t="shared" si="118"/>
        <v/>
      </c>
      <c r="U2551" s="58" t="str">
        <f t="shared" si="119"/>
        <v/>
      </c>
    </row>
    <row r="2552" spans="19:21" ht="23.25" customHeight="1" x14ac:dyDescent="0.35">
      <c r="S2552" s="56" t="str">
        <f t="shared" si="117"/>
        <v/>
      </c>
      <c r="T2552" s="57" t="str">
        <f t="shared" si="118"/>
        <v/>
      </c>
      <c r="U2552" s="58" t="str">
        <f t="shared" si="119"/>
        <v/>
      </c>
    </row>
    <row r="2553" spans="19:21" ht="23.25" customHeight="1" x14ac:dyDescent="0.35">
      <c r="S2553" s="56" t="str">
        <f t="shared" si="117"/>
        <v/>
      </c>
      <c r="T2553" s="57" t="str">
        <f t="shared" si="118"/>
        <v/>
      </c>
      <c r="U2553" s="58" t="str">
        <f t="shared" si="119"/>
        <v/>
      </c>
    </row>
    <row r="2554" spans="19:21" ht="23.25" customHeight="1" x14ac:dyDescent="0.35">
      <c r="S2554" s="56" t="str">
        <f t="shared" si="117"/>
        <v/>
      </c>
      <c r="T2554" s="57" t="str">
        <f t="shared" si="118"/>
        <v/>
      </c>
      <c r="U2554" s="58" t="str">
        <f t="shared" si="119"/>
        <v/>
      </c>
    </row>
    <row r="2555" spans="19:21" ht="23.25" customHeight="1" x14ac:dyDescent="0.35">
      <c r="S2555" s="56" t="str">
        <f t="shared" si="117"/>
        <v/>
      </c>
      <c r="T2555" s="57" t="str">
        <f t="shared" si="118"/>
        <v/>
      </c>
      <c r="U2555" s="58" t="str">
        <f t="shared" si="119"/>
        <v/>
      </c>
    </row>
    <row r="2556" spans="19:21" ht="23.25" customHeight="1" x14ac:dyDescent="0.35">
      <c r="S2556" s="56" t="str">
        <f t="shared" si="117"/>
        <v/>
      </c>
      <c r="T2556" s="57" t="str">
        <f t="shared" si="118"/>
        <v/>
      </c>
      <c r="U2556" s="58" t="str">
        <f t="shared" si="119"/>
        <v/>
      </c>
    </row>
    <row r="2557" spans="19:21" ht="23.25" customHeight="1" x14ac:dyDescent="0.35">
      <c r="S2557" s="56" t="str">
        <f t="shared" si="117"/>
        <v/>
      </c>
      <c r="T2557" s="57" t="str">
        <f t="shared" si="118"/>
        <v/>
      </c>
      <c r="U2557" s="58" t="str">
        <f t="shared" si="119"/>
        <v/>
      </c>
    </row>
    <row r="2558" spans="19:21" ht="23.25" customHeight="1" x14ac:dyDescent="0.35">
      <c r="S2558" s="56" t="str">
        <f t="shared" si="117"/>
        <v/>
      </c>
      <c r="T2558" s="57" t="str">
        <f t="shared" si="118"/>
        <v/>
      </c>
      <c r="U2558" s="58" t="str">
        <f t="shared" si="119"/>
        <v/>
      </c>
    </row>
    <row r="2559" spans="19:21" ht="23.25" customHeight="1" x14ac:dyDescent="0.35">
      <c r="S2559" s="56" t="str">
        <f t="shared" si="117"/>
        <v/>
      </c>
      <c r="T2559" s="57" t="str">
        <f t="shared" si="118"/>
        <v/>
      </c>
      <c r="U2559" s="58" t="str">
        <f t="shared" si="119"/>
        <v/>
      </c>
    </row>
    <row r="2560" spans="19:21" ht="23.25" customHeight="1" x14ac:dyDescent="0.35">
      <c r="S2560" s="56" t="str">
        <f t="shared" si="117"/>
        <v/>
      </c>
      <c r="T2560" s="57" t="str">
        <f t="shared" si="118"/>
        <v/>
      </c>
      <c r="U2560" s="58" t="str">
        <f t="shared" si="119"/>
        <v/>
      </c>
    </row>
    <row r="2561" spans="19:21" ht="23.25" customHeight="1" x14ac:dyDescent="0.35">
      <c r="S2561" s="56" t="str">
        <f t="shared" si="117"/>
        <v/>
      </c>
      <c r="T2561" s="57" t="str">
        <f t="shared" si="118"/>
        <v/>
      </c>
      <c r="U2561" s="58" t="str">
        <f t="shared" si="119"/>
        <v/>
      </c>
    </row>
    <row r="2562" spans="19:21" ht="23.25" customHeight="1" x14ac:dyDescent="0.35">
      <c r="S2562" s="56" t="str">
        <f t="shared" si="117"/>
        <v/>
      </c>
      <c r="T2562" s="57" t="str">
        <f t="shared" si="118"/>
        <v/>
      </c>
      <c r="U2562" s="58" t="str">
        <f t="shared" si="119"/>
        <v/>
      </c>
    </row>
    <row r="2563" spans="19:21" ht="23.25" customHeight="1" x14ac:dyDescent="0.35">
      <c r="S2563" s="56" t="str">
        <f t="shared" si="117"/>
        <v/>
      </c>
      <c r="T2563" s="57" t="str">
        <f t="shared" si="118"/>
        <v/>
      </c>
      <c r="U2563" s="58" t="str">
        <f t="shared" si="119"/>
        <v/>
      </c>
    </row>
    <row r="2564" spans="19:21" ht="23.25" customHeight="1" x14ac:dyDescent="0.35">
      <c r="S2564" s="56" t="str">
        <f t="shared" si="117"/>
        <v/>
      </c>
      <c r="T2564" s="57" t="str">
        <f t="shared" si="118"/>
        <v/>
      </c>
      <c r="U2564" s="58" t="str">
        <f t="shared" si="119"/>
        <v/>
      </c>
    </row>
    <row r="2565" spans="19:21" ht="23.25" customHeight="1" x14ac:dyDescent="0.35">
      <c r="S2565" s="56" t="str">
        <f t="shared" si="117"/>
        <v/>
      </c>
      <c r="T2565" s="57" t="str">
        <f t="shared" si="118"/>
        <v/>
      </c>
      <c r="U2565" s="58" t="str">
        <f t="shared" si="119"/>
        <v/>
      </c>
    </row>
    <row r="2566" spans="19:21" ht="23.25" customHeight="1" x14ac:dyDescent="0.35">
      <c r="S2566" s="56" t="str">
        <f t="shared" si="117"/>
        <v/>
      </c>
      <c r="T2566" s="57" t="str">
        <f t="shared" si="118"/>
        <v/>
      </c>
      <c r="U2566" s="58" t="str">
        <f t="shared" si="119"/>
        <v/>
      </c>
    </row>
    <row r="2567" spans="19:21" ht="23.25" customHeight="1" x14ac:dyDescent="0.35">
      <c r="S2567" s="56" t="str">
        <f t="shared" si="117"/>
        <v/>
      </c>
      <c r="T2567" s="57" t="str">
        <f t="shared" si="118"/>
        <v/>
      </c>
      <c r="U2567" s="58" t="str">
        <f t="shared" si="119"/>
        <v/>
      </c>
    </row>
    <row r="2568" spans="19:21" ht="23.25" customHeight="1" x14ac:dyDescent="0.35">
      <c r="S2568" s="56" t="str">
        <f t="shared" si="117"/>
        <v/>
      </c>
      <c r="T2568" s="57" t="str">
        <f t="shared" si="118"/>
        <v/>
      </c>
      <c r="U2568" s="58" t="str">
        <f t="shared" si="119"/>
        <v/>
      </c>
    </row>
    <row r="2569" spans="19:21" ht="23.25" customHeight="1" x14ac:dyDescent="0.35">
      <c r="S2569" s="56" t="str">
        <f t="shared" ref="S2569:S2632" si="120">IF(A2569="","",A$5-A2569)</f>
        <v/>
      </c>
      <c r="T2569" s="57" t="str">
        <f t="shared" ref="T2569:T2632" si="121">IF(S2569="","",IF(S2569&lt;4,"0-3 Days",IF(S2569&lt;31,"4-30 Days",IF(S2569&lt;61,"31-60 Days",IF(S2569&lt;=90,"61-90 Days",IF(S2569&gt;90,"Above 90 Days","0"))))))</f>
        <v/>
      </c>
      <c r="U2569" s="58" t="str">
        <f t="shared" ref="U2569:U2632" si="122">IF(C2569="","",IF(C2569&gt;0,IF(S2569&lt;30,"Normal",IF(S2569&lt;60,"Especially Mentioned",IF(S2569&lt;90,"Substandard",IF(S2569&lt;=180,"Doubtful",IF(S2569&gt;180,"Loss","0"))))),"Not Applicable"))</f>
        <v/>
      </c>
    </row>
    <row r="2570" spans="19:21" ht="23.25" customHeight="1" x14ac:dyDescent="0.35">
      <c r="S2570" s="56" t="str">
        <f t="shared" si="120"/>
        <v/>
      </c>
      <c r="T2570" s="57" t="str">
        <f t="shared" si="121"/>
        <v/>
      </c>
      <c r="U2570" s="58" t="str">
        <f t="shared" si="122"/>
        <v/>
      </c>
    </row>
    <row r="2571" spans="19:21" ht="23.25" customHeight="1" x14ac:dyDescent="0.35">
      <c r="S2571" s="56" t="str">
        <f t="shared" si="120"/>
        <v/>
      </c>
      <c r="T2571" s="57" t="str">
        <f t="shared" si="121"/>
        <v/>
      </c>
      <c r="U2571" s="58" t="str">
        <f t="shared" si="122"/>
        <v/>
      </c>
    </row>
    <row r="2572" spans="19:21" ht="23.25" customHeight="1" x14ac:dyDescent="0.35">
      <c r="S2572" s="56" t="str">
        <f t="shared" si="120"/>
        <v/>
      </c>
      <c r="T2572" s="57" t="str">
        <f t="shared" si="121"/>
        <v/>
      </c>
      <c r="U2572" s="58" t="str">
        <f t="shared" si="122"/>
        <v/>
      </c>
    </row>
    <row r="2573" spans="19:21" ht="23.25" customHeight="1" x14ac:dyDescent="0.35">
      <c r="S2573" s="56" t="str">
        <f t="shared" si="120"/>
        <v/>
      </c>
      <c r="T2573" s="57" t="str">
        <f t="shared" si="121"/>
        <v/>
      </c>
      <c r="U2573" s="58" t="str">
        <f t="shared" si="122"/>
        <v/>
      </c>
    </row>
    <row r="2574" spans="19:21" ht="23.25" customHeight="1" x14ac:dyDescent="0.35">
      <c r="S2574" s="56" t="str">
        <f t="shared" si="120"/>
        <v/>
      </c>
      <c r="T2574" s="57" t="str">
        <f t="shared" si="121"/>
        <v/>
      </c>
      <c r="U2574" s="58" t="str">
        <f t="shared" si="122"/>
        <v/>
      </c>
    </row>
    <row r="2575" spans="19:21" ht="23.25" customHeight="1" x14ac:dyDescent="0.35">
      <c r="S2575" s="56" t="str">
        <f t="shared" si="120"/>
        <v/>
      </c>
      <c r="T2575" s="57" t="str">
        <f t="shared" si="121"/>
        <v/>
      </c>
      <c r="U2575" s="58" t="str">
        <f t="shared" si="122"/>
        <v/>
      </c>
    </row>
    <row r="2576" spans="19:21" ht="23.25" customHeight="1" x14ac:dyDescent="0.35">
      <c r="S2576" s="56" t="str">
        <f t="shared" si="120"/>
        <v/>
      </c>
      <c r="T2576" s="57" t="str">
        <f t="shared" si="121"/>
        <v/>
      </c>
      <c r="U2576" s="58" t="str">
        <f t="shared" si="122"/>
        <v/>
      </c>
    </row>
    <row r="2577" spans="19:21" ht="23.25" customHeight="1" x14ac:dyDescent="0.35">
      <c r="S2577" s="56" t="str">
        <f t="shared" si="120"/>
        <v/>
      </c>
      <c r="T2577" s="57" t="str">
        <f t="shared" si="121"/>
        <v/>
      </c>
      <c r="U2577" s="58" t="str">
        <f t="shared" si="122"/>
        <v/>
      </c>
    </row>
    <row r="2578" spans="19:21" ht="23.25" customHeight="1" x14ac:dyDescent="0.35">
      <c r="S2578" s="56" t="str">
        <f t="shared" si="120"/>
        <v/>
      </c>
      <c r="T2578" s="57" t="str">
        <f t="shared" si="121"/>
        <v/>
      </c>
      <c r="U2578" s="58" t="str">
        <f t="shared" si="122"/>
        <v/>
      </c>
    </row>
    <row r="2579" spans="19:21" ht="23.25" customHeight="1" x14ac:dyDescent="0.35">
      <c r="S2579" s="56" t="str">
        <f t="shared" si="120"/>
        <v/>
      </c>
      <c r="T2579" s="57" t="str">
        <f t="shared" si="121"/>
        <v/>
      </c>
      <c r="U2579" s="58" t="str">
        <f t="shared" si="122"/>
        <v/>
      </c>
    </row>
    <row r="2580" spans="19:21" ht="23.25" customHeight="1" x14ac:dyDescent="0.35">
      <c r="S2580" s="56" t="str">
        <f t="shared" si="120"/>
        <v/>
      </c>
      <c r="T2580" s="57" t="str">
        <f t="shared" si="121"/>
        <v/>
      </c>
      <c r="U2580" s="58" t="str">
        <f t="shared" si="122"/>
        <v/>
      </c>
    </row>
    <row r="2581" spans="19:21" ht="23.25" customHeight="1" x14ac:dyDescent="0.35">
      <c r="S2581" s="56" t="str">
        <f t="shared" si="120"/>
        <v/>
      </c>
      <c r="T2581" s="57" t="str">
        <f t="shared" si="121"/>
        <v/>
      </c>
      <c r="U2581" s="58" t="str">
        <f t="shared" si="122"/>
        <v/>
      </c>
    </row>
    <row r="2582" spans="19:21" ht="23.25" customHeight="1" x14ac:dyDescent="0.35">
      <c r="S2582" s="56" t="str">
        <f t="shared" si="120"/>
        <v/>
      </c>
      <c r="T2582" s="57" t="str">
        <f t="shared" si="121"/>
        <v/>
      </c>
      <c r="U2582" s="58" t="str">
        <f t="shared" si="122"/>
        <v/>
      </c>
    </row>
    <row r="2583" spans="19:21" ht="23.25" customHeight="1" x14ac:dyDescent="0.35">
      <c r="S2583" s="56" t="str">
        <f t="shared" si="120"/>
        <v/>
      </c>
      <c r="T2583" s="57" t="str">
        <f t="shared" si="121"/>
        <v/>
      </c>
      <c r="U2583" s="58" t="str">
        <f t="shared" si="122"/>
        <v/>
      </c>
    </row>
    <row r="2584" spans="19:21" ht="23.25" customHeight="1" x14ac:dyDescent="0.35">
      <c r="S2584" s="56" t="str">
        <f t="shared" si="120"/>
        <v/>
      </c>
      <c r="T2584" s="57" t="str">
        <f t="shared" si="121"/>
        <v/>
      </c>
      <c r="U2584" s="58" t="str">
        <f t="shared" si="122"/>
        <v/>
      </c>
    </row>
    <row r="2585" spans="19:21" ht="23.25" customHeight="1" x14ac:dyDescent="0.35">
      <c r="S2585" s="56" t="str">
        <f t="shared" si="120"/>
        <v/>
      </c>
      <c r="T2585" s="57" t="str">
        <f t="shared" si="121"/>
        <v/>
      </c>
      <c r="U2585" s="58" t="str">
        <f t="shared" si="122"/>
        <v/>
      </c>
    </row>
    <row r="2586" spans="19:21" ht="23.25" customHeight="1" x14ac:dyDescent="0.35">
      <c r="S2586" s="56" t="str">
        <f t="shared" si="120"/>
        <v/>
      </c>
      <c r="T2586" s="57" t="str">
        <f t="shared" si="121"/>
        <v/>
      </c>
      <c r="U2586" s="58" t="str">
        <f t="shared" si="122"/>
        <v/>
      </c>
    </row>
    <row r="2587" spans="19:21" ht="23.25" customHeight="1" x14ac:dyDescent="0.35">
      <c r="S2587" s="56" t="str">
        <f t="shared" si="120"/>
        <v/>
      </c>
      <c r="T2587" s="57" t="str">
        <f t="shared" si="121"/>
        <v/>
      </c>
      <c r="U2587" s="58" t="str">
        <f t="shared" si="122"/>
        <v/>
      </c>
    </row>
    <row r="2588" spans="19:21" ht="23.25" customHeight="1" x14ac:dyDescent="0.35">
      <c r="S2588" s="56" t="str">
        <f t="shared" si="120"/>
        <v/>
      </c>
      <c r="T2588" s="57" t="str">
        <f t="shared" si="121"/>
        <v/>
      </c>
      <c r="U2588" s="58" t="str">
        <f t="shared" si="122"/>
        <v/>
      </c>
    </row>
    <row r="2589" spans="19:21" ht="23.25" customHeight="1" x14ac:dyDescent="0.35">
      <c r="S2589" s="56" t="str">
        <f t="shared" si="120"/>
        <v/>
      </c>
      <c r="T2589" s="57" t="str">
        <f t="shared" si="121"/>
        <v/>
      </c>
      <c r="U2589" s="58" t="str">
        <f t="shared" si="122"/>
        <v/>
      </c>
    </row>
    <row r="2590" spans="19:21" ht="23.25" customHeight="1" x14ac:dyDescent="0.35">
      <c r="S2590" s="56" t="str">
        <f t="shared" si="120"/>
        <v/>
      </c>
      <c r="T2590" s="57" t="str">
        <f t="shared" si="121"/>
        <v/>
      </c>
      <c r="U2590" s="58" t="str">
        <f t="shared" si="122"/>
        <v/>
      </c>
    </row>
    <row r="2591" spans="19:21" ht="23.25" customHeight="1" x14ac:dyDescent="0.35">
      <c r="S2591" s="56" t="str">
        <f t="shared" si="120"/>
        <v/>
      </c>
      <c r="T2591" s="57" t="str">
        <f t="shared" si="121"/>
        <v/>
      </c>
      <c r="U2591" s="58" t="str">
        <f t="shared" si="122"/>
        <v/>
      </c>
    </row>
    <row r="2592" spans="19:21" ht="23.25" customHeight="1" x14ac:dyDescent="0.35">
      <c r="S2592" s="56" t="str">
        <f t="shared" si="120"/>
        <v/>
      </c>
      <c r="T2592" s="57" t="str">
        <f t="shared" si="121"/>
        <v/>
      </c>
      <c r="U2592" s="58" t="str">
        <f t="shared" si="122"/>
        <v/>
      </c>
    </row>
    <row r="2593" spans="19:21" ht="23.25" customHeight="1" x14ac:dyDescent="0.35">
      <c r="S2593" s="56" t="str">
        <f t="shared" si="120"/>
        <v/>
      </c>
      <c r="T2593" s="57" t="str">
        <f t="shared" si="121"/>
        <v/>
      </c>
      <c r="U2593" s="58" t="str">
        <f t="shared" si="122"/>
        <v/>
      </c>
    </row>
    <row r="2594" spans="19:21" ht="23.25" customHeight="1" x14ac:dyDescent="0.35">
      <c r="S2594" s="56" t="str">
        <f t="shared" si="120"/>
        <v/>
      </c>
      <c r="T2594" s="57" t="str">
        <f t="shared" si="121"/>
        <v/>
      </c>
      <c r="U2594" s="58" t="str">
        <f t="shared" si="122"/>
        <v/>
      </c>
    </row>
    <row r="2595" spans="19:21" ht="23.25" customHeight="1" x14ac:dyDescent="0.35">
      <c r="S2595" s="56" t="str">
        <f t="shared" si="120"/>
        <v/>
      </c>
      <c r="T2595" s="57" t="str">
        <f t="shared" si="121"/>
        <v/>
      </c>
      <c r="U2595" s="58" t="str">
        <f t="shared" si="122"/>
        <v/>
      </c>
    </row>
    <row r="2596" spans="19:21" ht="23.25" customHeight="1" x14ac:dyDescent="0.35">
      <c r="S2596" s="56" t="str">
        <f t="shared" si="120"/>
        <v/>
      </c>
      <c r="T2596" s="57" t="str">
        <f t="shared" si="121"/>
        <v/>
      </c>
      <c r="U2596" s="58" t="str">
        <f t="shared" si="122"/>
        <v/>
      </c>
    </row>
    <row r="2597" spans="19:21" ht="23.25" customHeight="1" x14ac:dyDescent="0.35">
      <c r="S2597" s="56" t="str">
        <f t="shared" si="120"/>
        <v/>
      </c>
      <c r="T2597" s="57" t="str">
        <f t="shared" si="121"/>
        <v/>
      </c>
      <c r="U2597" s="58" t="str">
        <f t="shared" si="122"/>
        <v/>
      </c>
    </row>
    <row r="2598" spans="19:21" ht="23.25" customHeight="1" x14ac:dyDescent="0.35">
      <c r="S2598" s="56" t="str">
        <f t="shared" si="120"/>
        <v/>
      </c>
      <c r="T2598" s="57" t="str">
        <f t="shared" si="121"/>
        <v/>
      </c>
      <c r="U2598" s="58" t="str">
        <f t="shared" si="122"/>
        <v/>
      </c>
    </row>
    <row r="2599" spans="19:21" ht="23.25" customHeight="1" x14ac:dyDescent="0.35">
      <c r="S2599" s="56" t="str">
        <f t="shared" si="120"/>
        <v/>
      </c>
      <c r="T2599" s="57" t="str">
        <f t="shared" si="121"/>
        <v/>
      </c>
      <c r="U2599" s="58" t="str">
        <f t="shared" si="122"/>
        <v/>
      </c>
    </row>
    <row r="2600" spans="19:21" ht="23.25" customHeight="1" x14ac:dyDescent="0.35">
      <c r="S2600" s="56" t="str">
        <f t="shared" si="120"/>
        <v/>
      </c>
      <c r="T2600" s="57" t="str">
        <f t="shared" si="121"/>
        <v/>
      </c>
      <c r="U2600" s="58" t="str">
        <f t="shared" si="122"/>
        <v/>
      </c>
    </row>
    <row r="2601" spans="19:21" ht="23.25" customHeight="1" x14ac:dyDescent="0.35">
      <c r="S2601" s="56" t="str">
        <f t="shared" si="120"/>
        <v/>
      </c>
      <c r="T2601" s="57" t="str">
        <f t="shared" si="121"/>
        <v/>
      </c>
      <c r="U2601" s="58" t="str">
        <f t="shared" si="122"/>
        <v/>
      </c>
    </row>
    <row r="2602" spans="19:21" ht="23.25" customHeight="1" x14ac:dyDescent="0.35">
      <c r="S2602" s="56" t="str">
        <f t="shared" si="120"/>
        <v/>
      </c>
      <c r="T2602" s="57" t="str">
        <f t="shared" si="121"/>
        <v/>
      </c>
      <c r="U2602" s="58" t="str">
        <f t="shared" si="122"/>
        <v/>
      </c>
    </row>
    <row r="2603" spans="19:21" ht="23.25" customHeight="1" x14ac:dyDescent="0.35">
      <c r="S2603" s="56" t="str">
        <f t="shared" si="120"/>
        <v/>
      </c>
      <c r="T2603" s="57" t="str">
        <f t="shared" si="121"/>
        <v/>
      </c>
      <c r="U2603" s="58" t="str">
        <f t="shared" si="122"/>
        <v/>
      </c>
    </row>
    <row r="2604" spans="19:21" ht="23.25" customHeight="1" x14ac:dyDescent="0.35">
      <c r="S2604" s="56" t="str">
        <f t="shared" si="120"/>
        <v/>
      </c>
      <c r="T2604" s="57" t="str">
        <f t="shared" si="121"/>
        <v/>
      </c>
      <c r="U2604" s="58" t="str">
        <f t="shared" si="122"/>
        <v/>
      </c>
    </row>
    <row r="2605" spans="19:21" ht="23.25" customHeight="1" x14ac:dyDescent="0.35">
      <c r="S2605" s="56" t="str">
        <f t="shared" si="120"/>
        <v/>
      </c>
      <c r="T2605" s="57" t="str">
        <f t="shared" si="121"/>
        <v/>
      </c>
      <c r="U2605" s="58" t="str">
        <f t="shared" si="122"/>
        <v/>
      </c>
    </row>
    <row r="2606" spans="19:21" ht="23.25" customHeight="1" x14ac:dyDescent="0.35">
      <c r="S2606" s="56" t="str">
        <f t="shared" si="120"/>
        <v/>
      </c>
      <c r="T2606" s="57" t="str">
        <f t="shared" si="121"/>
        <v/>
      </c>
      <c r="U2606" s="58" t="str">
        <f t="shared" si="122"/>
        <v/>
      </c>
    </row>
    <row r="2607" spans="19:21" ht="23.25" customHeight="1" x14ac:dyDescent="0.35">
      <c r="S2607" s="56" t="str">
        <f t="shared" si="120"/>
        <v/>
      </c>
      <c r="T2607" s="57" t="str">
        <f t="shared" si="121"/>
        <v/>
      </c>
      <c r="U2607" s="58" t="str">
        <f t="shared" si="122"/>
        <v/>
      </c>
    </row>
    <row r="2608" spans="19:21" ht="23.25" customHeight="1" x14ac:dyDescent="0.35">
      <c r="S2608" s="56" t="str">
        <f t="shared" si="120"/>
        <v/>
      </c>
      <c r="T2608" s="57" t="str">
        <f t="shared" si="121"/>
        <v/>
      </c>
      <c r="U2608" s="58" t="str">
        <f t="shared" si="122"/>
        <v/>
      </c>
    </row>
    <row r="2609" spans="19:21" ht="23.25" customHeight="1" x14ac:dyDescent="0.35">
      <c r="S2609" s="56" t="str">
        <f t="shared" si="120"/>
        <v/>
      </c>
      <c r="T2609" s="57" t="str">
        <f t="shared" si="121"/>
        <v/>
      </c>
      <c r="U2609" s="58" t="str">
        <f t="shared" si="122"/>
        <v/>
      </c>
    </row>
    <row r="2610" spans="19:21" ht="23.25" customHeight="1" x14ac:dyDescent="0.35">
      <c r="S2610" s="56" t="str">
        <f t="shared" si="120"/>
        <v/>
      </c>
      <c r="T2610" s="57" t="str">
        <f t="shared" si="121"/>
        <v/>
      </c>
      <c r="U2610" s="58" t="str">
        <f t="shared" si="122"/>
        <v/>
      </c>
    </row>
    <row r="2611" spans="19:21" ht="23.25" customHeight="1" x14ac:dyDescent="0.35">
      <c r="S2611" s="56" t="str">
        <f t="shared" si="120"/>
        <v/>
      </c>
      <c r="T2611" s="57" t="str">
        <f t="shared" si="121"/>
        <v/>
      </c>
      <c r="U2611" s="58" t="str">
        <f t="shared" si="122"/>
        <v/>
      </c>
    </row>
    <row r="2612" spans="19:21" ht="23.25" customHeight="1" x14ac:dyDescent="0.35">
      <c r="S2612" s="56" t="str">
        <f t="shared" si="120"/>
        <v/>
      </c>
      <c r="T2612" s="57" t="str">
        <f t="shared" si="121"/>
        <v/>
      </c>
      <c r="U2612" s="58" t="str">
        <f t="shared" si="122"/>
        <v/>
      </c>
    </row>
    <row r="2613" spans="19:21" ht="23.25" customHeight="1" x14ac:dyDescent="0.35">
      <c r="S2613" s="56" t="str">
        <f t="shared" si="120"/>
        <v/>
      </c>
      <c r="T2613" s="57" t="str">
        <f t="shared" si="121"/>
        <v/>
      </c>
      <c r="U2613" s="58" t="str">
        <f t="shared" si="122"/>
        <v/>
      </c>
    </row>
    <row r="2614" spans="19:21" ht="23.25" customHeight="1" x14ac:dyDescent="0.35">
      <c r="S2614" s="56" t="str">
        <f t="shared" si="120"/>
        <v/>
      </c>
      <c r="T2614" s="57" t="str">
        <f t="shared" si="121"/>
        <v/>
      </c>
      <c r="U2614" s="58" t="str">
        <f t="shared" si="122"/>
        <v/>
      </c>
    </row>
    <row r="2615" spans="19:21" ht="23.25" customHeight="1" x14ac:dyDescent="0.35">
      <c r="S2615" s="56" t="str">
        <f t="shared" si="120"/>
        <v/>
      </c>
      <c r="T2615" s="57" t="str">
        <f t="shared" si="121"/>
        <v/>
      </c>
      <c r="U2615" s="58" t="str">
        <f t="shared" si="122"/>
        <v/>
      </c>
    </row>
    <row r="2616" spans="19:21" ht="23.25" customHeight="1" x14ac:dyDescent="0.35">
      <c r="S2616" s="56" t="str">
        <f t="shared" si="120"/>
        <v/>
      </c>
      <c r="T2616" s="57" t="str">
        <f t="shared" si="121"/>
        <v/>
      </c>
      <c r="U2616" s="58" t="str">
        <f t="shared" si="122"/>
        <v/>
      </c>
    </row>
    <row r="2617" spans="19:21" ht="23.25" customHeight="1" x14ac:dyDescent="0.35">
      <c r="S2617" s="56" t="str">
        <f t="shared" si="120"/>
        <v/>
      </c>
      <c r="T2617" s="57" t="str">
        <f t="shared" si="121"/>
        <v/>
      </c>
      <c r="U2617" s="58" t="str">
        <f t="shared" si="122"/>
        <v/>
      </c>
    </row>
    <row r="2618" spans="19:21" ht="23.25" customHeight="1" x14ac:dyDescent="0.35">
      <c r="S2618" s="56" t="str">
        <f t="shared" si="120"/>
        <v/>
      </c>
      <c r="T2618" s="57" t="str">
        <f t="shared" si="121"/>
        <v/>
      </c>
      <c r="U2618" s="58" t="str">
        <f t="shared" si="122"/>
        <v/>
      </c>
    </row>
    <row r="2619" spans="19:21" ht="23.25" customHeight="1" x14ac:dyDescent="0.35">
      <c r="S2619" s="56" t="str">
        <f t="shared" si="120"/>
        <v/>
      </c>
      <c r="T2619" s="57" t="str">
        <f t="shared" si="121"/>
        <v/>
      </c>
      <c r="U2619" s="58" t="str">
        <f t="shared" si="122"/>
        <v/>
      </c>
    </row>
    <row r="2620" spans="19:21" ht="23.25" customHeight="1" x14ac:dyDescent="0.35">
      <c r="S2620" s="56" t="str">
        <f t="shared" si="120"/>
        <v/>
      </c>
      <c r="T2620" s="57" t="str">
        <f t="shared" si="121"/>
        <v/>
      </c>
      <c r="U2620" s="58" t="str">
        <f t="shared" si="122"/>
        <v/>
      </c>
    </row>
    <row r="2621" spans="19:21" ht="23.25" customHeight="1" x14ac:dyDescent="0.35">
      <c r="S2621" s="56" t="str">
        <f t="shared" si="120"/>
        <v/>
      </c>
      <c r="T2621" s="57" t="str">
        <f t="shared" si="121"/>
        <v/>
      </c>
      <c r="U2621" s="58" t="str">
        <f t="shared" si="122"/>
        <v/>
      </c>
    </row>
    <row r="2622" spans="19:21" ht="23.25" customHeight="1" x14ac:dyDescent="0.35">
      <c r="S2622" s="56" t="str">
        <f t="shared" si="120"/>
        <v/>
      </c>
      <c r="T2622" s="57" t="str">
        <f t="shared" si="121"/>
        <v/>
      </c>
      <c r="U2622" s="58" t="str">
        <f t="shared" si="122"/>
        <v/>
      </c>
    </row>
    <row r="2623" spans="19:21" ht="23.25" customHeight="1" x14ac:dyDescent="0.35">
      <c r="S2623" s="56" t="str">
        <f t="shared" si="120"/>
        <v/>
      </c>
      <c r="T2623" s="57" t="str">
        <f t="shared" si="121"/>
        <v/>
      </c>
      <c r="U2623" s="58" t="str">
        <f t="shared" si="122"/>
        <v/>
      </c>
    </row>
    <row r="2624" spans="19:21" ht="23.25" customHeight="1" x14ac:dyDescent="0.35">
      <c r="S2624" s="56" t="str">
        <f t="shared" si="120"/>
        <v/>
      </c>
      <c r="T2624" s="57" t="str">
        <f t="shared" si="121"/>
        <v/>
      </c>
      <c r="U2624" s="58" t="str">
        <f t="shared" si="122"/>
        <v/>
      </c>
    </row>
    <row r="2625" spans="19:21" ht="23.25" customHeight="1" x14ac:dyDescent="0.35">
      <c r="S2625" s="56" t="str">
        <f t="shared" si="120"/>
        <v/>
      </c>
      <c r="T2625" s="57" t="str">
        <f t="shared" si="121"/>
        <v/>
      </c>
      <c r="U2625" s="58" t="str">
        <f t="shared" si="122"/>
        <v/>
      </c>
    </row>
    <row r="2626" spans="19:21" ht="23.25" customHeight="1" x14ac:dyDescent="0.35">
      <c r="S2626" s="56" t="str">
        <f t="shared" si="120"/>
        <v/>
      </c>
      <c r="T2626" s="57" t="str">
        <f t="shared" si="121"/>
        <v/>
      </c>
      <c r="U2626" s="58" t="str">
        <f t="shared" si="122"/>
        <v/>
      </c>
    </row>
    <row r="2627" spans="19:21" ht="23.25" customHeight="1" x14ac:dyDescent="0.35">
      <c r="S2627" s="56" t="str">
        <f t="shared" si="120"/>
        <v/>
      </c>
      <c r="T2627" s="57" t="str">
        <f t="shared" si="121"/>
        <v/>
      </c>
      <c r="U2627" s="58" t="str">
        <f t="shared" si="122"/>
        <v/>
      </c>
    </row>
    <row r="2628" spans="19:21" ht="23.25" customHeight="1" x14ac:dyDescent="0.35">
      <c r="S2628" s="56" t="str">
        <f t="shared" si="120"/>
        <v/>
      </c>
      <c r="T2628" s="57" t="str">
        <f t="shared" si="121"/>
        <v/>
      </c>
      <c r="U2628" s="58" t="str">
        <f t="shared" si="122"/>
        <v/>
      </c>
    </row>
    <row r="2629" spans="19:21" ht="23.25" customHeight="1" x14ac:dyDescent="0.35">
      <c r="S2629" s="56" t="str">
        <f t="shared" si="120"/>
        <v/>
      </c>
      <c r="T2629" s="57" t="str">
        <f t="shared" si="121"/>
        <v/>
      </c>
      <c r="U2629" s="58" t="str">
        <f t="shared" si="122"/>
        <v/>
      </c>
    </row>
    <row r="2630" spans="19:21" ht="23.25" customHeight="1" x14ac:dyDescent="0.35">
      <c r="S2630" s="56" t="str">
        <f t="shared" si="120"/>
        <v/>
      </c>
      <c r="T2630" s="57" t="str">
        <f t="shared" si="121"/>
        <v/>
      </c>
      <c r="U2630" s="58" t="str">
        <f t="shared" si="122"/>
        <v/>
      </c>
    </row>
    <row r="2631" spans="19:21" ht="23.25" customHeight="1" x14ac:dyDescent="0.35">
      <c r="S2631" s="56" t="str">
        <f t="shared" si="120"/>
        <v/>
      </c>
      <c r="T2631" s="57" t="str">
        <f t="shared" si="121"/>
        <v/>
      </c>
      <c r="U2631" s="58" t="str">
        <f t="shared" si="122"/>
        <v/>
      </c>
    </row>
    <row r="2632" spans="19:21" ht="23.25" customHeight="1" x14ac:dyDescent="0.35">
      <c r="S2632" s="56" t="str">
        <f t="shared" si="120"/>
        <v/>
      </c>
      <c r="T2632" s="57" t="str">
        <f t="shared" si="121"/>
        <v/>
      </c>
      <c r="U2632" s="58" t="str">
        <f t="shared" si="122"/>
        <v/>
      </c>
    </row>
    <row r="2633" spans="19:21" ht="23.25" customHeight="1" x14ac:dyDescent="0.35">
      <c r="S2633" s="56" t="str">
        <f t="shared" ref="S2633:S2696" si="123">IF(A2633="","",A$5-A2633)</f>
        <v/>
      </c>
      <c r="T2633" s="57" t="str">
        <f t="shared" ref="T2633:T2696" si="124">IF(S2633="","",IF(S2633&lt;4,"0-3 Days",IF(S2633&lt;31,"4-30 Days",IF(S2633&lt;61,"31-60 Days",IF(S2633&lt;=90,"61-90 Days",IF(S2633&gt;90,"Above 90 Days","0"))))))</f>
        <v/>
      </c>
      <c r="U2633" s="58" t="str">
        <f t="shared" ref="U2633:U2696" si="125">IF(C2633="","",IF(C2633&gt;0,IF(S2633&lt;30,"Normal",IF(S2633&lt;60,"Especially Mentioned",IF(S2633&lt;90,"Substandard",IF(S2633&lt;=180,"Doubtful",IF(S2633&gt;180,"Loss","0"))))),"Not Applicable"))</f>
        <v/>
      </c>
    </row>
    <row r="2634" spans="19:21" ht="23.25" customHeight="1" x14ac:dyDescent="0.35">
      <c r="S2634" s="56" t="str">
        <f t="shared" si="123"/>
        <v/>
      </c>
      <c r="T2634" s="57" t="str">
        <f t="shared" si="124"/>
        <v/>
      </c>
      <c r="U2634" s="58" t="str">
        <f t="shared" si="125"/>
        <v/>
      </c>
    </row>
    <row r="2635" spans="19:21" ht="23.25" customHeight="1" x14ac:dyDescent="0.35">
      <c r="S2635" s="56" t="str">
        <f t="shared" si="123"/>
        <v/>
      </c>
      <c r="T2635" s="57" t="str">
        <f t="shared" si="124"/>
        <v/>
      </c>
      <c r="U2635" s="58" t="str">
        <f t="shared" si="125"/>
        <v/>
      </c>
    </row>
    <row r="2636" spans="19:21" ht="23.25" customHeight="1" x14ac:dyDescent="0.35">
      <c r="S2636" s="56" t="str">
        <f t="shared" si="123"/>
        <v/>
      </c>
      <c r="T2636" s="57" t="str">
        <f t="shared" si="124"/>
        <v/>
      </c>
      <c r="U2636" s="58" t="str">
        <f t="shared" si="125"/>
        <v/>
      </c>
    </row>
    <row r="2637" spans="19:21" ht="23.25" customHeight="1" x14ac:dyDescent="0.35">
      <c r="S2637" s="56" t="str">
        <f t="shared" si="123"/>
        <v/>
      </c>
      <c r="T2637" s="57" t="str">
        <f t="shared" si="124"/>
        <v/>
      </c>
      <c r="U2637" s="58" t="str">
        <f t="shared" si="125"/>
        <v/>
      </c>
    </row>
    <row r="2638" spans="19:21" ht="23.25" customHeight="1" x14ac:dyDescent="0.35">
      <c r="S2638" s="56" t="str">
        <f t="shared" si="123"/>
        <v/>
      </c>
      <c r="T2638" s="57" t="str">
        <f t="shared" si="124"/>
        <v/>
      </c>
      <c r="U2638" s="58" t="str">
        <f t="shared" si="125"/>
        <v/>
      </c>
    </row>
    <row r="2639" spans="19:21" ht="23.25" customHeight="1" x14ac:dyDescent="0.35">
      <c r="S2639" s="56" t="str">
        <f t="shared" si="123"/>
        <v/>
      </c>
      <c r="T2639" s="57" t="str">
        <f t="shared" si="124"/>
        <v/>
      </c>
      <c r="U2639" s="58" t="str">
        <f t="shared" si="125"/>
        <v/>
      </c>
    </row>
    <row r="2640" spans="19:21" ht="23.25" customHeight="1" x14ac:dyDescent="0.35">
      <c r="S2640" s="56" t="str">
        <f t="shared" si="123"/>
        <v/>
      </c>
      <c r="T2640" s="57" t="str">
        <f t="shared" si="124"/>
        <v/>
      </c>
      <c r="U2640" s="58" t="str">
        <f t="shared" si="125"/>
        <v/>
      </c>
    </row>
    <row r="2641" spans="19:21" ht="23.25" customHeight="1" x14ac:dyDescent="0.35">
      <c r="S2641" s="56" t="str">
        <f t="shared" si="123"/>
        <v/>
      </c>
      <c r="T2641" s="57" t="str">
        <f t="shared" si="124"/>
        <v/>
      </c>
      <c r="U2641" s="58" t="str">
        <f t="shared" si="125"/>
        <v/>
      </c>
    </row>
    <row r="2642" spans="19:21" ht="23.25" customHeight="1" x14ac:dyDescent="0.35">
      <c r="S2642" s="56" t="str">
        <f t="shared" si="123"/>
        <v/>
      </c>
      <c r="T2642" s="57" t="str">
        <f t="shared" si="124"/>
        <v/>
      </c>
      <c r="U2642" s="58" t="str">
        <f t="shared" si="125"/>
        <v/>
      </c>
    </row>
    <row r="2643" spans="19:21" ht="23.25" customHeight="1" x14ac:dyDescent="0.35">
      <c r="S2643" s="56" t="str">
        <f t="shared" si="123"/>
        <v/>
      </c>
      <c r="T2643" s="57" t="str">
        <f t="shared" si="124"/>
        <v/>
      </c>
      <c r="U2643" s="58" t="str">
        <f t="shared" si="125"/>
        <v/>
      </c>
    </row>
    <row r="2644" spans="19:21" ht="23.25" customHeight="1" x14ac:dyDescent="0.35">
      <c r="S2644" s="56" t="str">
        <f t="shared" si="123"/>
        <v/>
      </c>
      <c r="T2644" s="57" t="str">
        <f t="shared" si="124"/>
        <v/>
      </c>
      <c r="U2644" s="58" t="str">
        <f t="shared" si="125"/>
        <v/>
      </c>
    </row>
    <row r="2645" spans="19:21" ht="23.25" customHeight="1" x14ac:dyDescent="0.35">
      <c r="S2645" s="56" t="str">
        <f t="shared" si="123"/>
        <v/>
      </c>
      <c r="T2645" s="57" t="str">
        <f t="shared" si="124"/>
        <v/>
      </c>
      <c r="U2645" s="58" t="str">
        <f t="shared" si="125"/>
        <v/>
      </c>
    </row>
    <row r="2646" spans="19:21" ht="23.25" customHeight="1" x14ac:dyDescent="0.35">
      <c r="S2646" s="56" t="str">
        <f t="shared" si="123"/>
        <v/>
      </c>
      <c r="T2646" s="57" t="str">
        <f t="shared" si="124"/>
        <v/>
      </c>
      <c r="U2646" s="58" t="str">
        <f t="shared" si="125"/>
        <v/>
      </c>
    </row>
    <row r="2647" spans="19:21" ht="23.25" customHeight="1" x14ac:dyDescent="0.35">
      <c r="S2647" s="56" t="str">
        <f t="shared" si="123"/>
        <v/>
      </c>
      <c r="T2647" s="57" t="str">
        <f t="shared" si="124"/>
        <v/>
      </c>
      <c r="U2647" s="58" t="str">
        <f t="shared" si="125"/>
        <v/>
      </c>
    </row>
    <row r="2648" spans="19:21" ht="23.25" customHeight="1" x14ac:dyDescent="0.35">
      <c r="S2648" s="56" t="str">
        <f t="shared" si="123"/>
        <v/>
      </c>
      <c r="T2648" s="57" t="str">
        <f t="shared" si="124"/>
        <v/>
      </c>
      <c r="U2648" s="58" t="str">
        <f t="shared" si="125"/>
        <v/>
      </c>
    </row>
    <row r="2649" spans="19:21" ht="23.25" customHeight="1" x14ac:dyDescent="0.35">
      <c r="S2649" s="56" t="str">
        <f t="shared" si="123"/>
        <v/>
      </c>
      <c r="T2649" s="57" t="str">
        <f t="shared" si="124"/>
        <v/>
      </c>
      <c r="U2649" s="58" t="str">
        <f t="shared" si="125"/>
        <v/>
      </c>
    </row>
    <row r="2650" spans="19:21" ht="23.25" customHeight="1" x14ac:dyDescent="0.35">
      <c r="S2650" s="56" t="str">
        <f t="shared" si="123"/>
        <v/>
      </c>
      <c r="T2650" s="57" t="str">
        <f t="shared" si="124"/>
        <v/>
      </c>
      <c r="U2650" s="58" t="str">
        <f t="shared" si="125"/>
        <v/>
      </c>
    </row>
    <row r="2651" spans="19:21" ht="23.25" customHeight="1" x14ac:dyDescent="0.35">
      <c r="S2651" s="56" t="str">
        <f t="shared" si="123"/>
        <v/>
      </c>
      <c r="T2651" s="57" t="str">
        <f t="shared" si="124"/>
        <v/>
      </c>
      <c r="U2651" s="58" t="str">
        <f t="shared" si="125"/>
        <v/>
      </c>
    </row>
    <row r="2652" spans="19:21" ht="23.25" customHeight="1" x14ac:dyDescent="0.35">
      <c r="S2652" s="56" t="str">
        <f t="shared" si="123"/>
        <v/>
      </c>
      <c r="T2652" s="57" t="str">
        <f t="shared" si="124"/>
        <v/>
      </c>
      <c r="U2652" s="58" t="str">
        <f t="shared" si="125"/>
        <v/>
      </c>
    </row>
    <row r="2653" spans="19:21" ht="23.25" customHeight="1" x14ac:dyDescent="0.35">
      <c r="S2653" s="56" t="str">
        <f t="shared" si="123"/>
        <v/>
      </c>
      <c r="T2653" s="57" t="str">
        <f t="shared" si="124"/>
        <v/>
      </c>
      <c r="U2653" s="58" t="str">
        <f t="shared" si="125"/>
        <v/>
      </c>
    </row>
    <row r="2654" spans="19:21" ht="23.25" customHeight="1" x14ac:dyDescent="0.35">
      <c r="S2654" s="56" t="str">
        <f t="shared" si="123"/>
        <v/>
      </c>
      <c r="T2654" s="57" t="str">
        <f t="shared" si="124"/>
        <v/>
      </c>
      <c r="U2654" s="58" t="str">
        <f t="shared" si="125"/>
        <v/>
      </c>
    </row>
    <row r="2655" spans="19:21" ht="23.25" customHeight="1" x14ac:dyDescent="0.35">
      <c r="S2655" s="56" t="str">
        <f t="shared" si="123"/>
        <v/>
      </c>
      <c r="T2655" s="57" t="str">
        <f t="shared" si="124"/>
        <v/>
      </c>
      <c r="U2655" s="58" t="str">
        <f t="shared" si="125"/>
        <v/>
      </c>
    </row>
    <row r="2656" spans="19:21" ht="23.25" customHeight="1" x14ac:dyDescent="0.35">
      <c r="S2656" s="56" t="str">
        <f t="shared" si="123"/>
        <v/>
      </c>
      <c r="T2656" s="57" t="str">
        <f t="shared" si="124"/>
        <v/>
      </c>
      <c r="U2656" s="58" t="str">
        <f t="shared" si="125"/>
        <v/>
      </c>
    </row>
    <row r="2657" spans="19:21" ht="23.25" customHeight="1" x14ac:dyDescent="0.35">
      <c r="S2657" s="56" t="str">
        <f t="shared" si="123"/>
        <v/>
      </c>
      <c r="T2657" s="57" t="str">
        <f t="shared" si="124"/>
        <v/>
      </c>
      <c r="U2657" s="58" t="str">
        <f t="shared" si="125"/>
        <v/>
      </c>
    </row>
    <row r="2658" spans="19:21" ht="23.25" customHeight="1" x14ac:dyDescent="0.35">
      <c r="S2658" s="56" t="str">
        <f t="shared" si="123"/>
        <v/>
      </c>
      <c r="T2658" s="57" t="str">
        <f t="shared" si="124"/>
        <v/>
      </c>
      <c r="U2658" s="58" t="str">
        <f t="shared" si="125"/>
        <v/>
      </c>
    </row>
    <row r="2659" spans="19:21" ht="23.25" customHeight="1" x14ac:dyDescent="0.35">
      <c r="S2659" s="56" t="str">
        <f t="shared" si="123"/>
        <v/>
      </c>
      <c r="T2659" s="57" t="str">
        <f t="shared" si="124"/>
        <v/>
      </c>
      <c r="U2659" s="58" t="str">
        <f t="shared" si="125"/>
        <v/>
      </c>
    </row>
    <row r="2660" spans="19:21" ht="23.25" customHeight="1" x14ac:dyDescent="0.35">
      <c r="S2660" s="56" t="str">
        <f t="shared" si="123"/>
        <v/>
      </c>
      <c r="T2660" s="57" t="str">
        <f t="shared" si="124"/>
        <v/>
      </c>
      <c r="U2660" s="58" t="str">
        <f t="shared" si="125"/>
        <v/>
      </c>
    </row>
    <row r="2661" spans="19:21" ht="23.25" customHeight="1" x14ac:dyDescent="0.35">
      <c r="S2661" s="56" t="str">
        <f t="shared" si="123"/>
        <v/>
      </c>
      <c r="T2661" s="57" t="str">
        <f t="shared" si="124"/>
        <v/>
      </c>
      <c r="U2661" s="58" t="str">
        <f t="shared" si="125"/>
        <v/>
      </c>
    </row>
    <row r="2662" spans="19:21" ht="23.25" customHeight="1" x14ac:dyDescent="0.35">
      <c r="S2662" s="56" t="str">
        <f t="shared" si="123"/>
        <v/>
      </c>
      <c r="T2662" s="57" t="str">
        <f t="shared" si="124"/>
        <v/>
      </c>
      <c r="U2662" s="58" t="str">
        <f t="shared" si="125"/>
        <v/>
      </c>
    </row>
    <row r="2663" spans="19:21" ht="23.25" customHeight="1" x14ac:dyDescent="0.35">
      <c r="S2663" s="56" t="str">
        <f t="shared" si="123"/>
        <v/>
      </c>
      <c r="T2663" s="57" t="str">
        <f t="shared" si="124"/>
        <v/>
      </c>
      <c r="U2663" s="58" t="str">
        <f t="shared" si="125"/>
        <v/>
      </c>
    </row>
    <row r="2664" spans="19:21" ht="23.25" customHeight="1" x14ac:dyDescent="0.35">
      <c r="S2664" s="56" t="str">
        <f t="shared" si="123"/>
        <v/>
      </c>
      <c r="T2664" s="57" t="str">
        <f t="shared" si="124"/>
        <v/>
      </c>
      <c r="U2664" s="58" t="str">
        <f t="shared" si="125"/>
        <v/>
      </c>
    </row>
    <row r="2665" spans="19:21" ht="23.25" customHeight="1" x14ac:dyDescent="0.35">
      <c r="S2665" s="56" t="str">
        <f t="shared" si="123"/>
        <v/>
      </c>
      <c r="T2665" s="57" t="str">
        <f t="shared" si="124"/>
        <v/>
      </c>
      <c r="U2665" s="58" t="str">
        <f t="shared" si="125"/>
        <v/>
      </c>
    </row>
    <row r="2666" spans="19:21" ht="23.25" customHeight="1" x14ac:dyDescent="0.35">
      <c r="S2666" s="56" t="str">
        <f t="shared" si="123"/>
        <v/>
      </c>
      <c r="T2666" s="57" t="str">
        <f t="shared" si="124"/>
        <v/>
      </c>
      <c r="U2666" s="58" t="str">
        <f t="shared" si="125"/>
        <v/>
      </c>
    </row>
    <row r="2667" spans="19:21" ht="23.25" customHeight="1" x14ac:dyDescent="0.35">
      <c r="S2667" s="56" t="str">
        <f t="shared" si="123"/>
        <v/>
      </c>
      <c r="T2667" s="57" t="str">
        <f t="shared" si="124"/>
        <v/>
      </c>
      <c r="U2667" s="58" t="str">
        <f t="shared" si="125"/>
        <v/>
      </c>
    </row>
    <row r="2668" spans="19:21" ht="23.25" customHeight="1" x14ac:dyDescent="0.35">
      <c r="S2668" s="56" t="str">
        <f t="shared" si="123"/>
        <v/>
      </c>
      <c r="T2668" s="57" t="str">
        <f t="shared" si="124"/>
        <v/>
      </c>
      <c r="U2668" s="58" t="str">
        <f t="shared" si="125"/>
        <v/>
      </c>
    </row>
    <row r="2669" spans="19:21" ht="23.25" customHeight="1" x14ac:dyDescent="0.35">
      <c r="S2669" s="56" t="str">
        <f t="shared" si="123"/>
        <v/>
      </c>
      <c r="T2669" s="57" t="str">
        <f t="shared" si="124"/>
        <v/>
      </c>
      <c r="U2669" s="58" t="str">
        <f t="shared" si="125"/>
        <v/>
      </c>
    </row>
    <row r="2670" spans="19:21" ht="23.25" customHeight="1" x14ac:dyDescent="0.35">
      <c r="S2670" s="56" t="str">
        <f t="shared" si="123"/>
        <v/>
      </c>
      <c r="T2670" s="57" t="str">
        <f t="shared" si="124"/>
        <v/>
      </c>
      <c r="U2670" s="58" t="str">
        <f t="shared" si="125"/>
        <v/>
      </c>
    </row>
    <row r="2671" spans="19:21" ht="23.25" customHeight="1" x14ac:dyDescent="0.35">
      <c r="S2671" s="56" t="str">
        <f t="shared" si="123"/>
        <v/>
      </c>
      <c r="T2671" s="57" t="str">
        <f t="shared" si="124"/>
        <v/>
      </c>
      <c r="U2671" s="58" t="str">
        <f t="shared" si="125"/>
        <v/>
      </c>
    </row>
    <row r="2672" spans="19:21" ht="23.25" customHeight="1" x14ac:dyDescent="0.35">
      <c r="S2672" s="56" t="str">
        <f t="shared" si="123"/>
        <v/>
      </c>
      <c r="T2672" s="57" t="str">
        <f t="shared" si="124"/>
        <v/>
      </c>
      <c r="U2672" s="58" t="str">
        <f t="shared" si="125"/>
        <v/>
      </c>
    </row>
    <row r="2673" spans="19:21" ht="23.25" customHeight="1" x14ac:dyDescent="0.35">
      <c r="S2673" s="56" t="str">
        <f t="shared" si="123"/>
        <v/>
      </c>
      <c r="T2673" s="57" t="str">
        <f t="shared" si="124"/>
        <v/>
      </c>
      <c r="U2673" s="58" t="str">
        <f t="shared" si="125"/>
        <v/>
      </c>
    </row>
    <row r="2674" spans="19:21" ht="23.25" customHeight="1" x14ac:dyDescent="0.35">
      <c r="S2674" s="56" t="str">
        <f t="shared" si="123"/>
        <v/>
      </c>
      <c r="T2674" s="57" t="str">
        <f t="shared" si="124"/>
        <v/>
      </c>
      <c r="U2674" s="58" t="str">
        <f t="shared" si="125"/>
        <v/>
      </c>
    </row>
    <row r="2675" spans="19:21" ht="23.25" customHeight="1" x14ac:dyDescent="0.35">
      <c r="S2675" s="56" t="str">
        <f t="shared" si="123"/>
        <v/>
      </c>
      <c r="T2675" s="57" t="str">
        <f t="shared" si="124"/>
        <v/>
      </c>
      <c r="U2675" s="58" t="str">
        <f t="shared" si="125"/>
        <v/>
      </c>
    </row>
    <row r="2676" spans="19:21" ht="23.25" customHeight="1" x14ac:dyDescent="0.35">
      <c r="S2676" s="56" t="str">
        <f t="shared" si="123"/>
        <v/>
      </c>
      <c r="T2676" s="57" t="str">
        <f t="shared" si="124"/>
        <v/>
      </c>
      <c r="U2676" s="58" t="str">
        <f t="shared" si="125"/>
        <v/>
      </c>
    </row>
    <row r="2677" spans="19:21" ht="23.25" customHeight="1" x14ac:dyDescent="0.35">
      <c r="S2677" s="56" t="str">
        <f t="shared" si="123"/>
        <v/>
      </c>
      <c r="T2677" s="57" t="str">
        <f t="shared" si="124"/>
        <v/>
      </c>
      <c r="U2677" s="58" t="str">
        <f t="shared" si="125"/>
        <v/>
      </c>
    </row>
    <row r="2678" spans="19:21" ht="23.25" customHeight="1" x14ac:dyDescent="0.35">
      <c r="S2678" s="56" t="str">
        <f t="shared" si="123"/>
        <v/>
      </c>
      <c r="T2678" s="57" t="str">
        <f t="shared" si="124"/>
        <v/>
      </c>
      <c r="U2678" s="58" t="str">
        <f t="shared" si="125"/>
        <v/>
      </c>
    </row>
    <row r="2679" spans="19:21" ht="23.25" customHeight="1" x14ac:dyDescent="0.35">
      <c r="S2679" s="56" t="str">
        <f t="shared" si="123"/>
        <v/>
      </c>
      <c r="T2679" s="57" t="str">
        <f t="shared" si="124"/>
        <v/>
      </c>
      <c r="U2679" s="58" t="str">
        <f t="shared" si="125"/>
        <v/>
      </c>
    </row>
    <row r="2680" spans="19:21" ht="23.25" customHeight="1" x14ac:dyDescent="0.35">
      <c r="S2680" s="56" t="str">
        <f t="shared" si="123"/>
        <v/>
      </c>
      <c r="T2680" s="57" t="str">
        <f t="shared" si="124"/>
        <v/>
      </c>
      <c r="U2680" s="58" t="str">
        <f t="shared" si="125"/>
        <v/>
      </c>
    </row>
    <row r="2681" spans="19:21" ht="23.25" customHeight="1" x14ac:dyDescent="0.35">
      <c r="S2681" s="56" t="str">
        <f t="shared" si="123"/>
        <v/>
      </c>
      <c r="T2681" s="57" t="str">
        <f t="shared" si="124"/>
        <v/>
      </c>
      <c r="U2681" s="58" t="str">
        <f t="shared" si="125"/>
        <v/>
      </c>
    </row>
    <row r="2682" spans="19:21" ht="23.25" customHeight="1" x14ac:dyDescent="0.35">
      <c r="S2682" s="56" t="str">
        <f t="shared" si="123"/>
        <v/>
      </c>
      <c r="T2682" s="57" t="str">
        <f t="shared" si="124"/>
        <v/>
      </c>
      <c r="U2682" s="58" t="str">
        <f t="shared" si="125"/>
        <v/>
      </c>
    </row>
    <row r="2683" spans="19:21" ht="23.25" customHeight="1" x14ac:dyDescent="0.35">
      <c r="S2683" s="56" t="str">
        <f t="shared" si="123"/>
        <v/>
      </c>
      <c r="T2683" s="57" t="str">
        <f t="shared" si="124"/>
        <v/>
      </c>
      <c r="U2683" s="58" t="str">
        <f t="shared" si="125"/>
        <v/>
      </c>
    </row>
    <row r="2684" spans="19:21" ht="23.25" customHeight="1" x14ac:dyDescent="0.35">
      <c r="S2684" s="56" t="str">
        <f t="shared" si="123"/>
        <v/>
      </c>
      <c r="T2684" s="57" t="str">
        <f t="shared" si="124"/>
        <v/>
      </c>
      <c r="U2684" s="58" t="str">
        <f t="shared" si="125"/>
        <v/>
      </c>
    </row>
    <row r="2685" spans="19:21" ht="23.25" customHeight="1" x14ac:dyDescent="0.35">
      <c r="S2685" s="56" t="str">
        <f t="shared" si="123"/>
        <v/>
      </c>
      <c r="T2685" s="57" t="str">
        <f t="shared" si="124"/>
        <v/>
      </c>
      <c r="U2685" s="58" t="str">
        <f t="shared" si="125"/>
        <v/>
      </c>
    </row>
    <row r="2686" spans="19:21" ht="23.25" customHeight="1" x14ac:dyDescent="0.35">
      <c r="S2686" s="56" t="str">
        <f t="shared" si="123"/>
        <v/>
      </c>
      <c r="T2686" s="57" t="str">
        <f t="shared" si="124"/>
        <v/>
      </c>
      <c r="U2686" s="58" t="str">
        <f t="shared" si="125"/>
        <v/>
      </c>
    </row>
    <row r="2687" spans="19:21" ht="23.25" customHeight="1" x14ac:dyDescent="0.35">
      <c r="S2687" s="56" t="str">
        <f t="shared" si="123"/>
        <v/>
      </c>
      <c r="T2687" s="57" t="str">
        <f t="shared" si="124"/>
        <v/>
      </c>
      <c r="U2687" s="58" t="str">
        <f t="shared" si="125"/>
        <v/>
      </c>
    </row>
    <row r="2688" spans="19:21" ht="23.25" customHeight="1" x14ac:dyDescent="0.35">
      <c r="S2688" s="56" t="str">
        <f t="shared" si="123"/>
        <v/>
      </c>
      <c r="T2688" s="57" t="str">
        <f t="shared" si="124"/>
        <v/>
      </c>
      <c r="U2688" s="58" t="str">
        <f t="shared" si="125"/>
        <v/>
      </c>
    </row>
    <row r="2689" spans="19:21" ht="23.25" customHeight="1" x14ac:dyDescent="0.35">
      <c r="S2689" s="56" t="str">
        <f t="shared" si="123"/>
        <v/>
      </c>
      <c r="T2689" s="57" t="str">
        <f t="shared" si="124"/>
        <v/>
      </c>
      <c r="U2689" s="58" t="str">
        <f t="shared" si="125"/>
        <v/>
      </c>
    </row>
    <row r="2690" spans="19:21" ht="23.25" customHeight="1" x14ac:dyDescent="0.35">
      <c r="S2690" s="56" t="str">
        <f t="shared" si="123"/>
        <v/>
      </c>
      <c r="T2690" s="57" t="str">
        <f t="shared" si="124"/>
        <v/>
      </c>
      <c r="U2690" s="58" t="str">
        <f t="shared" si="125"/>
        <v/>
      </c>
    </row>
    <row r="2691" spans="19:21" ht="23.25" customHeight="1" x14ac:dyDescent="0.35">
      <c r="S2691" s="56" t="str">
        <f t="shared" si="123"/>
        <v/>
      </c>
      <c r="T2691" s="57" t="str">
        <f t="shared" si="124"/>
        <v/>
      </c>
      <c r="U2691" s="58" t="str">
        <f t="shared" si="125"/>
        <v/>
      </c>
    </row>
    <row r="2692" spans="19:21" ht="23.25" customHeight="1" x14ac:dyDescent="0.35">
      <c r="S2692" s="56" t="str">
        <f t="shared" si="123"/>
        <v/>
      </c>
      <c r="T2692" s="57" t="str">
        <f t="shared" si="124"/>
        <v/>
      </c>
      <c r="U2692" s="58" t="str">
        <f t="shared" si="125"/>
        <v/>
      </c>
    </row>
    <row r="2693" spans="19:21" ht="23.25" customHeight="1" x14ac:dyDescent="0.35">
      <c r="S2693" s="56" t="str">
        <f t="shared" si="123"/>
        <v/>
      </c>
      <c r="T2693" s="57" t="str">
        <f t="shared" si="124"/>
        <v/>
      </c>
      <c r="U2693" s="58" t="str">
        <f t="shared" si="125"/>
        <v/>
      </c>
    </row>
    <row r="2694" spans="19:21" ht="23.25" customHeight="1" x14ac:dyDescent="0.35">
      <c r="S2694" s="56" t="str">
        <f t="shared" si="123"/>
        <v/>
      </c>
      <c r="T2694" s="57" t="str">
        <f t="shared" si="124"/>
        <v/>
      </c>
      <c r="U2694" s="58" t="str">
        <f t="shared" si="125"/>
        <v/>
      </c>
    </row>
    <row r="2695" spans="19:21" ht="23.25" customHeight="1" x14ac:dyDescent="0.35">
      <c r="S2695" s="56" t="str">
        <f t="shared" si="123"/>
        <v/>
      </c>
      <c r="T2695" s="57" t="str">
        <f t="shared" si="124"/>
        <v/>
      </c>
      <c r="U2695" s="58" t="str">
        <f t="shared" si="125"/>
        <v/>
      </c>
    </row>
    <row r="2696" spans="19:21" ht="23.25" customHeight="1" x14ac:dyDescent="0.35">
      <c r="S2696" s="56" t="str">
        <f t="shared" si="123"/>
        <v/>
      </c>
      <c r="T2696" s="57" t="str">
        <f t="shared" si="124"/>
        <v/>
      </c>
      <c r="U2696" s="58" t="str">
        <f t="shared" si="125"/>
        <v/>
      </c>
    </row>
    <row r="2697" spans="19:21" ht="23.25" customHeight="1" x14ac:dyDescent="0.35">
      <c r="S2697" s="56" t="str">
        <f t="shared" ref="S2697:S2760" si="126">IF(A2697="","",A$5-A2697)</f>
        <v/>
      </c>
      <c r="T2697" s="57" t="str">
        <f t="shared" ref="T2697:T2760" si="127">IF(S2697="","",IF(S2697&lt;4,"0-3 Days",IF(S2697&lt;31,"4-30 Days",IF(S2697&lt;61,"31-60 Days",IF(S2697&lt;=90,"61-90 Days",IF(S2697&gt;90,"Above 90 Days","0"))))))</f>
        <v/>
      </c>
      <c r="U2697" s="58" t="str">
        <f t="shared" ref="U2697:U2760" si="128">IF(C2697="","",IF(C2697&gt;0,IF(S2697&lt;30,"Normal",IF(S2697&lt;60,"Especially Mentioned",IF(S2697&lt;90,"Substandard",IF(S2697&lt;=180,"Doubtful",IF(S2697&gt;180,"Loss","0"))))),"Not Applicable"))</f>
        <v/>
      </c>
    </row>
    <row r="2698" spans="19:21" ht="23.25" customHeight="1" x14ac:dyDescent="0.35">
      <c r="S2698" s="56" t="str">
        <f t="shared" si="126"/>
        <v/>
      </c>
      <c r="T2698" s="57" t="str">
        <f t="shared" si="127"/>
        <v/>
      </c>
      <c r="U2698" s="58" t="str">
        <f t="shared" si="128"/>
        <v/>
      </c>
    </row>
    <row r="2699" spans="19:21" ht="23.25" customHeight="1" x14ac:dyDescent="0.35">
      <c r="S2699" s="56" t="str">
        <f t="shared" si="126"/>
        <v/>
      </c>
      <c r="T2699" s="57" t="str">
        <f t="shared" si="127"/>
        <v/>
      </c>
      <c r="U2699" s="58" t="str">
        <f t="shared" si="128"/>
        <v/>
      </c>
    </row>
    <row r="2700" spans="19:21" ht="23.25" customHeight="1" x14ac:dyDescent="0.35">
      <c r="S2700" s="56" t="str">
        <f t="shared" si="126"/>
        <v/>
      </c>
      <c r="T2700" s="57" t="str">
        <f t="shared" si="127"/>
        <v/>
      </c>
      <c r="U2700" s="58" t="str">
        <f t="shared" si="128"/>
        <v/>
      </c>
    </row>
    <row r="2701" spans="19:21" ht="23.25" customHeight="1" x14ac:dyDescent="0.35">
      <c r="S2701" s="56" t="str">
        <f t="shared" si="126"/>
        <v/>
      </c>
      <c r="T2701" s="57" t="str">
        <f t="shared" si="127"/>
        <v/>
      </c>
      <c r="U2701" s="58" t="str">
        <f t="shared" si="128"/>
        <v/>
      </c>
    </row>
    <row r="2702" spans="19:21" ht="23.25" customHeight="1" x14ac:dyDescent="0.35">
      <c r="S2702" s="56" t="str">
        <f t="shared" si="126"/>
        <v/>
      </c>
      <c r="T2702" s="57" t="str">
        <f t="shared" si="127"/>
        <v/>
      </c>
      <c r="U2702" s="58" t="str">
        <f t="shared" si="128"/>
        <v/>
      </c>
    </row>
    <row r="2703" spans="19:21" ht="23.25" customHeight="1" x14ac:dyDescent="0.35">
      <c r="S2703" s="56" t="str">
        <f t="shared" si="126"/>
        <v/>
      </c>
      <c r="T2703" s="57" t="str">
        <f t="shared" si="127"/>
        <v/>
      </c>
      <c r="U2703" s="58" t="str">
        <f t="shared" si="128"/>
        <v/>
      </c>
    </row>
    <row r="2704" spans="19:21" ht="23.25" customHeight="1" x14ac:dyDescent="0.35">
      <c r="S2704" s="56" t="str">
        <f t="shared" si="126"/>
        <v/>
      </c>
      <c r="T2704" s="57" t="str">
        <f t="shared" si="127"/>
        <v/>
      </c>
      <c r="U2704" s="58" t="str">
        <f t="shared" si="128"/>
        <v/>
      </c>
    </row>
    <row r="2705" spans="19:21" ht="23.25" customHeight="1" x14ac:dyDescent="0.35">
      <c r="S2705" s="56" t="str">
        <f t="shared" si="126"/>
        <v/>
      </c>
      <c r="T2705" s="57" t="str">
        <f t="shared" si="127"/>
        <v/>
      </c>
      <c r="U2705" s="58" t="str">
        <f t="shared" si="128"/>
        <v/>
      </c>
    </row>
    <row r="2706" spans="19:21" ht="23.25" customHeight="1" x14ac:dyDescent="0.35">
      <c r="S2706" s="56" t="str">
        <f t="shared" si="126"/>
        <v/>
      </c>
      <c r="T2706" s="57" t="str">
        <f t="shared" si="127"/>
        <v/>
      </c>
      <c r="U2706" s="58" t="str">
        <f t="shared" si="128"/>
        <v/>
      </c>
    </row>
    <row r="2707" spans="19:21" ht="23.25" customHeight="1" x14ac:dyDescent="0.35">
      <c r="S2707" s="56" t="str">
        <f t="shared" si="126"/>
        <v/>
      </c>
      <c r="T2707" s="57" t="str">
        <f t="shared" si="127"/>
        <v/>
      </c>
      <c r="U2707" s="58" t="str">
        <f t="shared" si="128"/>
        <v/>
      </c>
    </row>
    <row r="2708" spans="19:21" ht="23.25" customHeight="1" x14ac:dyDescent="0.35">
      <c r="S2708" s="56" t="str">
        <f t="shared" si="126"/>
        <v/>
      </c>
      <c r="T2708" s="57" t="str">
        <f t="shared" si="127"/>
        <v/>
      </c>
      <c r="U2708" s="58" t="str">
        <f t="shared" si="128"/>
        <v/>
      </c>
    </row>
    <row r="2709" spans="19:21" ht="23.25" customHeight="1" x14ac:dyDescent="0.35">
      <c r="S2709" s="56" t="str">
        <f t="shared" si="126"/>
        <v/>
      </c>
      <c r="T2709" s="57" t="str">
        <f t="shared" si="127"/>
        <v/>
      </c>
      <c r="U2709" s="58" t="str">
        <f t="shared" si="128"/>
        <v/>
      </c>
    </row>
    <row r="2710" spans="19:21" ht="23.25" customHeight="1" x14ac:dyDescent="0.35">
      <c r="S2710" s="56" t="str">
        <f t="shared" si="126"/>
        <v/>
      </c>
      <c r="T2710" s="57" t="str">
        <f t="shared" si="127"/>
        <v/>
      </c>
      <c r="U2710" s="58" t="str">
        <f t="shared" si="128"/>
        <v/>
      </c>
    </row>
    <row r="2711" spans="19:21" ht="23.25" customHeight="1" x14ac:dyDescent="0.35">
      <c r="S2711" s="56" t="str">
        <f t="shared" si="126"/>
        <v/>
      </c>
      <c r="T2711" s="57" t="str">
        <f t="shared" si="127"/>
        <v/>
      </c>
      <c r="U2711" s="58" t="str">
        <f t="shared" si="128"/>
        <v/>
      </c>
    </row>
    <row r="2712" spans="19:21" ht="23.25" customHeight="1" x14ac:dyDescent="0.35">
      <c r="S2712" s="56" t="str">
        <f t="shared" si="126"/>
        <v/>
      </c>
      <c r="T2712" s="57" t="str">
        <f t="shared" si="127"/>
        <v/>
      </c>
      <c r="U2712" s="58" t="str">
        <f t="shared" si="128"/>
        <v/>
      </c>
    </row>
    <row r="2713" spans="19:21" ht="23.25" customHeight="1" x14ac:dyDescent="0.35">
      <c r="S2713" s="56" t="str">
        <f t="shared" si="126"/>
        <v/>
      </c>
      <c r="T2713" s="57" t="str">
        <f t="shared" si="127"/>
        <v/>
      </c>
      <c r="U2713" s="58" t="str">
        <f t="shared" si="128"/>
        <v/>
      </c>
    </row>
    <row r="2714" spans="19:21" ht="23.25" customHeight="1" x14ac:dyDescent="0.35">
      <c r="S2714" s="56" t="str">
        <f t="shared" si="126"/>
        <v/>
      </c>
      <c r="T2714" s="57" t="str">
        <f t="shared" si="127"/>
        <v/>
      </c>
      <c r="U2714" s="58" t="str">
        <f t="shared" si="128"/>
        <v/>
      </c>
    </row>
    <row r="2715" spans="19:21" ht="23.25" customHeight="1" x14ac:dyDescent="0.35">
      <c r="S2715" s="56" t="str">
        <f t="shared" si="126"/>
        <v/>
      </c>
      <c r="T2715" s="57" t="str">
        <f t="shared" si="127"/>
        <v/>
      </c>
      <c r="U2715" s="58" t="str">
        <f t="shared" si="128"/>
        <v/>
      </c>
    </row>
    <row r="2716" spans="19:21" ht="23.25" customHeight="1" x14ac:dyDescent="0.35">
      <c r="S2716" s="56" t="str">
        <f t="shared" si="126"/>
        <v/>
      </c>
      <c r="T2716" s="57" t="str">
        <f t="shared" si="127"/>
        <v/>
      </c>
      <c r="U2716" s="58" t="str">
        <f t="shared" si="128"/>
        <v/>
      </c>
    </row>
    <row r="2717" spans="19:21" ht="23.25" customHeight="1" x14ac:dyDescent="0.35">
      <c r="S2717" s="56" t="str">
        <f t="shared" si="126"/>
        <v/>
      </c>
      <c r="T2717" s="57" t="str">
        <f t="shared" si="127"/>
        <v/>
      </c>
      <c r="U2717" s="58" t="str">
        <f t="shared" si="128"/>
        <v/>
      </c>
    </row>
    <row r="2718" spans="19:21" ht="23.25" customHeight="1" x14ac:dyDescent="0.35">
      <c r="S2718" s="56" t="str">
        <f t="shared" si="126"/>
        <v/>
      </c>
      <c r="T2718" s="57" t="str">
        <f t="shared" si="127"/>
        <v/>
      </c>
      <c r="U2718" s="58" t="str">
        <f t="shared" si="128"/>
        <v/>
      </c>
    </row>
    <row r="2719" spans="19:21" ht="23.25" customHeight="1" x14ac:dyDescent="0.35">
      <c r="S2719" s="56" t="str">
        <f t="shared" si="126"/>
        <v/>
      </c>
      <c r="T2719" s="57" t="str">
        <f t="shared" si="127"/>
        <v/>
      </c>
      <c r="U2719" s="58" t="str">
        <f t="shared" si="128"/>
        <v/>
      </c>
    </row>
    <row r="2720" spans="19:21" ht="23.25" customHeight="1" x14ac:dyDescent="0.35">
      <c r="S2720" s="56" t="str">
        <f t="shared" si="126"/>
        <v/>
      </c>
      <c r="T2720" s="57" t="str">
        <f t="shared" si="127"/>
        <v/>
      </c>
      <c r="U2720" s="58" t="str">
        <f t="shared" si="128"/>
        <v/>
      </c>
    </row>
    <row r="2721" spans="19:21" ht="23.25" customHeight="1" x14ac:dyDescent="0.35">
      <c r="S2721" s="56" t="str">
        <f t="shared" si="126"/>
        <v/>
      </c>
      <c r="T2721" s="57" t="str">
        <f t="shared" si="127"/>
        <v/>
      </c>
      <c r="U2721" s="58" t="str">
        <f t="shared" si="128"/>
        <v/>
      </c>
    </row>
    <row r="2722" spans="19:21" ht="23.25" customHeight="1" x14ac:dyDescent="0.35">
      <c r="S2722" s="56" t="str">
        <f t="shared" si="126"/>
        <v/>
      </c>
      <c r="T2722" s="57" t="str">
        <f t="shared" si="127"/>
        <v/>
      </c>
      <c r="U2722" s="58" t="str">
        <f t="shared" si="128"/>
        <v/>
      </c>
    </row>
    <row r="2723" spans="19:21" ht="23.25" customHeight="1" x14ac:dyDescent="0.35">
      <c r="S2723" s="56" t="str">
        <f t="shared" si="126"/>
        <v/>
      </c>
      <c r="T2723" s="57" t="str">
        <f t="shared" si="127"/>
        <v/>
      </c>
      <c r="U2723" s="58" t="str">
        <f t="shared" si="128"/>
        <v/>
      </c>
    </row>
    <row r="2724" spans="19:21" ht="23.25" customHeight="1" x14ac:dyDescent="0.35">
      <c r="S2724" s="56" t="str">
        <f t="shared" si="126"/>
        <v/>
      </c>
      <c r="T2724" s="57" t="str">
        <f t="shared" si="127"/>
        <v/>
      </c>
      <c r="U2724" s="58" t="str">
        <f t="shared" si="128"/>
        <v/>
      </c>
    </row>
    <row r="2725" spans="19:21" ht="23.25" customHeight="1" x14ac:dyDescent="0.35">
      <c r="S2725" s="56" t="str">
        <f t="shared" si="126"/>
        <v/>
      </c>
      <c r="T2725" s="57" t="str">
        <f t="shared" si="127"/>
        <v/>
      </c>
      <c r="U2725" s="58" t="str">
        <f t="shared" si="128"/>
        <v/>
      </c>
    </row>
    <row r="2726" spans="19:21" ht="23.25" customHeight="1" x14ac:dyDescent="0.35">
      <c r="S2726" s="56" t="str">
        <f t="shared" si="126"/>
        <v/>
      </c>
      <c r="T2726" s="57" t="str">
        <f t="shared" si="127"/>
        <v/>
      </c>
      <c r="U2726" s="58" t="str">
        <f t="shared" si="128"/>
        <v/>
      </c>
    </row>
    <row r="2727" spans="19:21" ht="23.25" customHeight="1" x14ac:dyDescent="0.35">
      <c r="S2727" s="56" t="str">
        <f t="shared" si="126"/>
        <v/>
      </c>
      <c r="T2727" s="57" t="str">
        <f t="shared" si="127"/>
        <v/>
      </c>
      <c r="U2727" s="58" t="str">
        <f t="shared" si="128"/>
        <v/>
      </c>
    </row>
    <row r="2728" spans="19:21" ht="23.25" customHeight="1" x14ac:dyDescent="0.35">
      <c r="S2728" s="56" t="str">
        <f t="shared" si="126"/>
        <v/>
      </c>
      <c r="T2728" s="57" t="str">
        <f t="shared" si="127"/>
        <v/>
      </c>
      <c r="U2728" s="58" t="str">
        <f t="shared" si="128"/>
        <v/>
      </c>
    </row>
    <row r="2729" spans="19:21" ht="23.25" customHeight="1" x14ac:dyDescent="0.35">
      <c r="S2729" s="56" t="str">
        <f t="shared" si="126"/>
        <v/>
      </c>
      <c r="T2729" s="57" t="str">
        <f t="shared" si="127"/>
        <v/>
      </c>
      <c r="U2729" s="58" t="str">
        <f t="shared" si="128"/>
        <v/>
      </c>
    </row>
    <row r="2730" spans="19:21" ht="23.25" customHeight="1" x14ac:dyDescent="0.35">
      <c r="S2730" s="56" t="str">
        <f t="shared" si="126"/>
        <v/>
      </c>
      <c r="T2730" s="57" t="str">
        <f t="shared" si="127"/>
        <v/>
      </c>
      <c r="U2730" s="58" t="str">
        <f t="shared" si="128"/>
        <v/>
      </c>
    </row>
    <row r="2731" spans="19:21" ht="23.25" customHeight="1" x14ac:dyDescent="0.35">
      <c r="S2731" s="56" t="str">
        <f t="shared" si="126"/>
        <v/>
      </c>
      <c r="T2731" s="57" t="str">
        <f t="shared" si="127"/>
        <v/>
      </c>
      <c r="U2731" s="58" t="str">
        <f t="shared" si="128"/>
        <v/>
      </c>
    </row>
    <row r="2732" spans="19:21" ht="23.25" customHeight="1" x14ac:dyDescent="0.35">
      <c r="S2732" s="56" t="str">
        <f t="shared" si="126"/>
        <v/>
      </c>
      <c r="T2732" s="57" t="str">
        <f t="shared" si="127"/>
        <v/>
      </c>
      <c r="U2732" s="58" t="str">
        <f t="shared" si="128"/>
        <v/>
      </c>
    </row>
    <row r="2733" spans="19:21" ht="23.25" customHeight="1" x14ac:dyDescent="0.35">
      <c r="S2733" s="56" t="str">
        <f t="shared" si="126"/>
        <v/>
      </c>
      <c r="T2733" s="57" t="str">
        <f t="shared" si="127"/>
        <v/>
      </c>
      <c r="U2733" s="58" t="str">
        <f t="shared" si="128"/>
        <v/>
      </c>
    </row>
    <row r="2734" spans="19:21" ht="23.25" customHeight="1" x14ac:dyDescent="0.35">
      <c r="S2734" s="56" t="str">
        <f t="shared" si="126"/>
        <v/>
      </c>
      <c r="T2734" s="57" t="str">
        <f t="shared" si="127"/>
        <v/>
      </c>
      <c r="U2734" s="58" t="str">
        <f t="shared" si="128"/>
        <v/>
      </c>
    </row>
    <row r="2735" spans="19:21" ht="23.25" customHeight="1" x14ac:dyDescent="0.35">
      <c r="S2735" s="56" t="str">
        <f t="shared" si="126"/>
        <v/>
      </c>
      <c r="T2735" s="57" t="str">
        <f t="shared" si="127"/>
        <v/>
      </c>
      <c r="U2735" s="58" t="str">
        <f t="shared" si="128"/>
        <v/>
      </c>
    </row>
    <row r="2736" spans="19:21" ht="23.25" customHeight="1" x14ac:dyDescent="0.35">
      <c r="S2736" s="56" t="str">
        <f t="shared" si="126"/>
        <v/>
      </c>
      <c r="T2736" s="57" t="str">
        <f t="shared" si="127"/>
        <v/>
      </c>
      <c r="U2736" s="58" t="str">
        <f t="shared" si="128"/>
        <v/>
      </c>
    </row>
    <row r="2737" spans="19:21" ht="23.25" customHeight="1" x14ac:dyDescent="0.35">
      <c r="S2737" s="56" t="str">
        <f t="shared" si="126"/>
        <v/>
      </c>
      <c r="T2737" s="57" t="str">
        <f t="shared" si="127"/>
        <v/>
      </c>
      <c r="U2737" s="58" t="str">
        <f t="shared" si="128"/>
        <v/>
      </c>
    </row>
    <row r="2738" spans="19:21" ht="23.25" customHeight="1" x14ac:dyDescent="0.35">
      <c r="S2738" s="56" t="str">
        <f t="shared" si="126"/>
        <v/>
      </c>
      <c r="T2738" s="57" t="str">
        <f t="shared" si="127"/>
        <v/>
      </c>
      <c r="U2738" s="58" t="str">
        <f t="shared" si="128"/>
        <v/>
      </c>
    </row>
    <row r="2739" spans="19:21" ht="23.25" customHeight="1" x14ac:dyDescent="0.35">
      <c r="S2739" s="56" t="str">
        <f t="shared" si="126"/>
        <v/>
      </c>
      <c r="T2739" s="57" t="str">
        <f t="shared" si="127"/>
        <v/>
      </c>
      <c r="U2739" s="58" t="str">
        <f t="shared" si="128"/>
        <v/>
      </c>
    </row>
    <row r="2740" spans="19:21" ht="23.25" customHeight="1" x14ac:dyDescent="0.35">
      <c r="S2740" s="56" t="str">
        <f t="shared" si="126"/>
        <v/>
      </c>
      <c r="T2740" s="57" t="str">
        <f t="shared" si="127"/>
        <v/>
      </c>
      <c r="U2740" s="58" t="str">
        <f t="shared" si="128"/>
        <v/>
      </c>
    </row>
    <row r="2741" spans="19:21" ht="23.25" customHeight="1" x14ac:dyDescent="0.35">
      <c r="S2741" s="56" t="str">
        <f t="shared" si="126"/>
        <v/>
      </c>
      <c r="T2741" s="57" t="str">
        <f t="shared" si="127"/>
        <v/>
      </c>
      <c r="U2741" s="58" t="str">
        <f t="shared" si="128"/>
        <v/>
      </c>
    </row>
    <row r="2742" spans="19:21" ht="23.25" customHeight="1" x14ac:dyDescent="0.35">
      <c r="S2742" s="56" t="str">
        <f t="shared" si="126"/>
        <v/>
      </c>
      <c r="T2742" s="57" t="str">
        <f t="shared" si="127"/>
        <v/>
      </c>
      <c r="U2742" s="58" t="str">
        <f t="shared" si="128"/>
        <v/>
      </c>
    </row>
    <row r="2743" spans="19:21" ht="23.25" customHeight="1" x14ac:dyDescent="0.35">
      <c r="S2743" s="56" t="str">
        <f t="shared" si="126"/>
        <v/>
      </c>
      <c r="T2743" s="57" t="str">
        <f t="shared" si="127"/>
        <v/>
      </c>
      <c r="U2743" s="58" t="str">
        <f t="shared" si="128"/>
        <v/>
      </c>
    </row>
    <row r="2744" spans="19:21" ht="23.25" customHeight="1" x14ac:dyDescent="0.35">
      <c r="S2744" s="56" t="str">
        <f t="shared" si="126"/>
        <v/>
      </c>
      <c r="T2744" s="57" t="str">
        <f t="shared" si="127"/>
        <v/>
      </c>
      <c r="U2744" s="58" t="str">
        <f t="shared" si="128"/>
        <v/>
      </c>
    </row>
    <row r="2745" spans="19:21" ht="23.25" customHeight="1" x14ac:dyDescent="0.35">
      <c r="S2745" s="56" t="str">
        <f t="shared" si="126"/>
        <v/>
      </c>
      <c r="T2745" s="57" t="str">
        <f t="shared" si="127"/>
        <v/>
      </c>
      <c r="U2745" s="58" t="str">
        <f t="shared" si="128"/>
        <v/>
      </c>
    </row>
    <row r="2746" spans="19:21" ht="23.25" customHeight="1" x14ac:dyDescent="0.35">
      <c r="S2746" s="56" t="str">
        <f t="shared" si="126"/>
        <v/>
      </c>
      <c r="T2746" s="57" t="str">
        <f t="shared" si="127"/>
        <v/>
      </c>
      <c r="U2746" s="58" t="str">
        <f t="shared" si="128"/>
        <v/>
      </c>
    </row>
    <row r="2747" spans="19:21" ht="23.25" customHeight="1" x14ac:dyDescent="0.35">
      <c r="S2747" s="56" t="str">
        <f t="shared" si="126"/>
        <v/>
      </c>
      <c r="T2747" s="57" t="str">
        <f t="shared" si="127"/>
        <v/>
      </c>
      <c r="U2747" s="58" t="str">
        <f t="shared" si="128"/>
        <v/>
      </c>
    </row>
    <row r="2748" spans="19:21" ht="23.25" customHeight="1" x14ac:dyDescent="0.35">
      <c r="S2748" s="56" t="str">
        <f t="shared" si="126"/>
        <v/>
      </c>
      <c r="T2748" s="57" t="str">
        <f t="shared" si="127"/>
        <v/>
      </c>
      <c r="U2748" s="58" t="str">
        <f t="shared" si="128"/>
        <v/>
      </c>
    </row>
    <row r="2749" spans="19:21" ht="23.25" customHeight="1" x14ac:dyDescent="0.35">
      <c r="S2749" s="56" t="str">
        <f t="shared" si="126"/>
        <v/>
      </c>
      <c r="T2749" s="57" t="str">
        <f t="shared" si="127"/>
        <v/>
      </c>
      <c r="U2749" s="58" t="str">
        <f t="shared" si="128"/>
        <v/>
      </c>
    </row>
    <row r="2750" spans="19:21" ht="23.25" customHeight="1" x14ac:dyDescent="0.35">
      <c r="S2750" s="56" t="str">
        <f t="shared" si="126"/>
        <v/>
      </c>
      <c r="T2750" s="57" t="str">
        <f t="shared" si="127"/>
        <v/>
      </c>
      <c r="U2750" s="58" t="str">
        <f t="shared" si="128"/>
        <v/>
      </c>
    </row>
    <row r="2751" spans="19:21" ht="23.25" customHeight="1" x14ac:dyDescent="0.35">
      <c r="S2751" s="56" t="str">
        <f t="shared" si="126"/>
        <v/>
      </c>
      <c r="T2751" s="57" t="str">
        <f t="shared" si="127"/>
        <v/>
      </c>
      <c r="U2751" s="58" t="str">
        <f t="shared" si="128"/>
        <v/>
      </c>
    </row>
    <row r="2752" spans="19:21" ht="23.25" customHeight="1" x14ac:dyDescent="0.35">
      <c r="S2752" s="56" t="str">
        <f t="shared" si="126"/>
        <v/>
      </c>
      <c r="T2752" s="57" t="str">
        <f t="shared" si="127"/>
        <v/>
      </c>
      <c r="U2752" s="58" t="str">
        <f t="shared" si="128"/>
        <v/>
      </c>
    </row>
    <row r="2753" spans="19:21" ht="23.25" customHeight="1" x14ac:dyDescent="0.35">
      <c r="S2753" s="56" t="str">
        <f t="shared" si="126"/>
        <v/>
      </c>
      <c r="T2753" s="57" t="str">
        <f t="shared" si="127"/>
        <v/>
      </c>
      <c r="U2753" s="58" t="str">
        <f t="shared" si="128"/>
        <v/>
      </c>
    </row>
    <row r="2754" spans="19:21" ht="23.25" customHeight="1" x14ac:dyDescent="0.35">
      <c r="S2754" s="56" t="str">
        <f t="shared" si="126"/>
        <v/>
      </c>
      <c r="T2754" s="57" t="str">
        <f t="shared" si="127"/>
        <v/>
      </c>
      <c r="U2754" s="58" t="str">
        <f t="shared" si="128"/>
        <v/>
      </c>
    </row>
    <row r="2755" spans="19:21" ht="23.25" customHeight="1" x14ac:dyDescent="0.35">
      <c r="S2755" s="56" t="str">
        <f t="shared" si="126"/>
        <v/>
      </c>
      <c r="T2755" s="57" t="str">
        <f t="shared" si="127"/>
        <v/>
      </c>
      <c r="U2755" s="58" t="str">
        <f t="shared" si="128"/>
        <v/>
      </c>
    </row>
    <row r="2756" spans="19:21" ht="23.25" customHeight="1" x14ac:dyDescent="0.35">
      <c r="S2756" s="56" t="str">
        <f t="shared" si="126"/>
        <v/>
      </c>
      <c r="T2756" s="57" t="str">
        <f t="shared" si="127"/>
        <v/>
      </c>
      <c r="U2756" s="58" t="str">
        <f t="shared" si="128"/>
        <v/>
      </c>
    </row>
    <row r="2757" spans="19:21" ht="23.25" customHeight="1" x14ac:dyDescent="0.35">
      <c r="S2757" s="56" t="str">
        <f t="shared" si="126"/>
        <v/>
      </c>
      <c r="T2757" s="57" t="str">
        <f t="shared" si="127"/>
        <v/>
      </c>
      <c r="U2757" s="58" t="str">
        <f t="shared" si="128"/>
        <v/>
      </c>
    </row>
    <row r="2758" spans="19:21" ht="23.25" customHeight="1" x14ac:dyDescent="0.35">
      <c r="S2758" s="56" t="str">
        <f t="shared" si="126"/>
        <v/>
      </c>
      <c r="T2758" s="57" t="str">
        <f t="shared" si="127"/>
        <v/>
      </c>
      <c r="U2758" s="58" t="str">
        <f t="shared" si="128"/>
        <v/>
      </c>
    </row>
    <row r="2759" spans="19:21" ht="23.25" customHeight="1" x14ac:dyDescent="0.35">
      <c r="S2759" s="56" t="str">
        <f t="shared" si="126"/>
        <v/>
      </c>
      <c r="T2759" s="57" t="str">
        <f t="shared" si="127"/>
        <v/>
      </c>
      <c r="U2759" s="58" t="str">
        <f t="shared" si="128"/>
        <v/>
      </c>
    </row>
    <row r="2760" spans="19:21" ht="23.25" customHeight="1" x14ac:dyDescent="0.35">
      <c r="S2760" s="56" t="str">
        <f t="shared" si="126"/>
        <v/>
      </c>
      <c r="T2760" s="57" t="str">
        <f t="shared" si="127"/>
        <v/>
      </c>
      <c r="U2760" s="58" t="str">
        <f t="shared" si="128"/>
        <v/>
      </c>
    </row>
    <row r="2761" spans="19:21" ht="23.25" customHeight="1" x14ac:dyDescent="0.35">
      <c r="S2761" s="56" t="str">
        <f t="shared" ref="S2761:S2824" si="129">IF(A2761="","",A$5-A2761)</f>
        <v/>
      </c>
      <c r="T2761" s="57" t="str">
        <f t="shared" ref="T2761:T2824" si="130">IF(S2761="","",IF(S2761&lt;4,"0-3 Days",IF(S2761&lt;31,"4-30 Days",IF(S2761&lt;61,"31-60 Days",IF(S2761&lt;=90,"61-90 Days",IF(S2761&gt;90,"Above 90 Days","0"))))))</f>
        <v/>
      </c>
      <c r="U2761" s="58" t="str">
        <f t="shared" ref="U2761:U2824" si="131">IF(C2761="","",IF(C2761&gt;0,IF(S2761&lt;30,"Normal",IF(S2761&lt;60,"Especially Mentioned",IF(S2761&lt;90,"Substandard",IF(S2761&lt;=180,"Doubtful",IF(S2761&gt;180,"Loss","0"))))),"Not Applicable"))</f>
        <v/>
      </c>
    </row>
    <row r="2762" spans="19:21" ht="23.25" customHeight="1" x14ac:dyDescent="0.35">
      <c r="S2762" s="56" t="str">
        <f t="shared" si="129"/>
        <v/>
      </c>
      <c r="T2762" s="57" t="str">
        <f t="shared" si="130"/>
        <v/>
      </c>
      <c r="U2762" s="58" t="str">
        <f t="shared" si="131"/>
        <v/>
      </c>
    </row>
    <row r="2763" spans="19:21" ht="23.25" customHeight="1" x14ac:dyDescent="0.35">
      <c r="S2763" s="56" t="str">
        <f t="shared" si="129"/>
        <v/>
      </c>
      <c r="T2763" s="57" t="str">
        <f t="shared" si="130"/>
        <v/>
      </c>
      <c r="U2763" s="58" t="str">
        <f t="shared" si="131"/>
        <v/>
      </c>
    </row>
    <row r="2764" spans="19:21" ht="23.25" customHeight="1" x14ac:dyDescent="0.35">
      <c r="S2764" s="56" t="str">
        <f t="shared" si="129"/>
        <v/>
      </c>
      <c r="T2764" s="57" t="str">
        <f t="shared" si="130"/>
        <v/>
      </c>
      <c r="U2764" s="58" t="str">
        <f t="shared" si="131"/>
        <v/>
      </c>
    </row>
    <row r="2765" spans="19:21" ht="23.25" customHeight="1" x14ac:dyDescent="0.35">
      <c r="S2765" s="56" t="str">
        <f t="shared" si="129"/>
        <v/>
      </c>
      <c r="T2765" s="57" t="str">
        <f t="shared" si="130"/>
        <v/>
      </c>
      <c r="U2765" s="58" t="str">
        <f t="shared" si="131"/>
        <v/>
      </c>
    </row>
    <row r="2766" spans="19:21" ht="23.25" customHeight="1" x14ac:dyDescent="0.35">
      <c r="S2766" s="56" t="str">
        <f t="shared" si="129"/>
        <v/>
      </c>
      <c r="T2766" s="57" t="str">
        <f t="shared" si="130"/>
        <v/>
      </c>
      <c r="U2766" s="58" t="str">
        <f t="shared" si="131"/>
        <v/>
      </c>
    </row>
    <row r="2767" spans="19:21" ht="23.25" customHeight="1" x14ac:dyDescent="0.35">
      <c r="S2767" s="56" t="str">
        <f t="shared" si="129"/>
        <v/>
      </c>
      <c r="T2767" s="57" t="str">
        <f t="shared" si="130"/>
        <v/>
      </c>
      <c r="U2767" s="58" t="str">
        <f t="shared" si="131"/>
        <v/>
      </c>
    </row>
    <row r="2768" spans="19:21" ht="23.25" customHeight="1" x14ac:dyDescent="0.35">
      <c r="S2768" s="56" t="str">
        <f t="shared" si="129"/>
        <v/>
      </c>
      <c r="T2768" s="57" t="str">
        <f t="shared" si="130"/>
        <v/>
      </c>
      <c r="U2768" s="58" t="str">
        <f t="shared" si="131"/>
        <v/>
      </c>
    </row>
    <row r="2769" spans="19:21" ht="23.25" customHeight="1" x14ac:dyDescent="0.35">
      <c r="S2769" s="56" t="str">
        <f t="shared" si="129"/>
        <v/>
      </c>
      <c r="T2769" s="57" t="str">
        <f t="shared" si="130"/>
        <v/>
      </c>
      <c r="U2769" s="58" t="str">
        <f t="shared" si="131"/>
        <v/>
      </c>
    </row>
    <row r="2770" spans="19:21" ht="23.25" customHeight="1" x14ac:dyDescent="0.35">
      <c r="S2770" s="56" t="str">
        <f t="shared" si="129"/>
        <v/>
      </c>
      <c r="T2770" s="57" t="str">
        <f t="shared" si="130"/>
        <v/>
      </c>
      <c r="U2770" s="58" t="str">
        <f t="shared" si="131"/>
        <v/>
      </c>
    </row>
    <row r="2771" spans="19:21" ht="23.25" customHeight="1" x14ac:dyDescent="0.35">
      <c r="S2771" s="56" t="str">
        <f t="shared" si="129"/>
        <v/>
      </c>
      <c r="T2771" s="57" t="str">
        <f t="shared" si="130"/>
        <v/>
      </c>
      <c r="U2771" s="58" t="str">
        <f t="shared" si="131"/>
        <v/>
      </c>
    </row>
    <row r="2772" spans="19:21" ht="23.25" customHeight="1" x14ac:dyDescent="0.35">
      <c r="S2772" s="56" t="str">
        <f t="shared" si="129"/>
        <v/>
      </c>
      <c r="T2772" s="57" t="str">
        <f t="shared" si="130"/>
        <v/>
      </c>
      <c r="U2772" s="58" t="str">
        <f t="shared" si="131"/>
        <v/>
      </c>
    </row>
    <row r="2773" spans="19:21" ht="23.25" customHeight="1" x14ac:dyDescent="0.35">
      <c r="S2773" s="56" t="str">
        <f t="shared" si="129"/>
        <v/>
      </c>
      <c r="T2773" s="57" t="str">
        <f t="shared" si="130"/>
        <v/>
      </c>
      <c r="U2773" s="58" t="str">
        <f t="shared" si="131"/>
        <v/>
      </c>
    </row>
    <row r="2774" spans="19:21" ht="23.25" customHeight="1" x14ac:dyDescent="0.35">
      <c r="S2774" s="56" t="str">
        <f t="shared" si="129"/>
        <v/>
      </c>
      <c r="T2774" s="57" t="str">
        <f t="shared" si="130"/>
        <v/>
      </c>
      <c r="U2774" s="58" t="str">
        <f t="shared" si="131"/>
        <v/>
      </c>
    </row>
    <row r="2775" spans="19:21" ht="23.25" customHeight="1" x14ac:dyDescent="0.35">
      <c r="S2775" s="56" t="str">
        <f t="shared" si="129"/>
        <v/>
      </c>
      <c r="T2775" s="57" t="str">
        <f t="shared" si="130"/>
        <v/>
      </c>
      <c r="U2775" s="58" t="str">
        <f t="shared" si="131"/>
        <v/>
      </c>
    </row>
    <row r="2776" spans="19:21" ht="23.25" customHeight="1" x14ac:dyDescent="0.35">
      <c r="S2776" s="56" t="str">
        <f t="shared" si="129"/>
        <v/>
      </c>
      <c r="T2776" s="57" t="str">
        <f t="shared" si="130"/>
        <v/>
      </c>
      <c r="U2776" s="58" t="str">
        <f t="shared" si="131"/>
        <v/>
      </c>
    </row>
    <row r="2777" spans="19:21" ht="23.25" customHeight="1" x14ac:dyDescent="0.35">
      <c r="S2777" s="56" t="str">
        <f t="shared" si="129"/>
        <v/>
      </c>
      <c r="T2777" s="57" t="str">
        <f t="shared" si="130"/>
        <v/>
      </c>
      <c r="U2777" s="58" t="str">
        <f t="shared" si="131"/>
        <v/>
      </c>
    </row>
    <row r="2778" spans="19:21" ht="23.25" customHeight="1" x14ac:dyDescent="0.35">
      <c r="S2778" s="56" t="str">
        <f t="shared" si="129"/>
        <v/>
      </c>
      <c r="T2778" s="57" t="str">
        <f t="shared" si="130"/>
        <v/>
      </c>
      <c r="U2778" s="58" t="str">
        <f t="shared" si="131"/>
        <v/>
      </c>
    </row>
    <row r="2779" spans="19:21" ht="23.25" customHeight="1" x14ac:dyDescent="0.35">
      <c r="S2779" s="56" t="str">
        <f t="shared" si="129"/>
        <v/>
      </c>
      <c r="T2779" s="57" t="str">
        <f t="shared" si="130"/>
        <v/>
      </c>
      <c r="U2779" s="58" t="str">
        <f t="shared" si="131"/>
        <v/>
      </c>
    </row>
    <row r="2780" spans="19:21" ht="23.25" customHeight="1" x14ac:dyDescent="0.35">
      <c r="S2780" s="56" t="str">
        <f t="shared" si="129"/>
        <v/>
      </c>
      <c r="T2780" s="57" t="str">
        <f t="shared" si="130"/>
        <v/>
      </c>
      <c r="U2780" s="58" t="str">
        <f t="shared" si="131"/>
        <v/>
      </c>
    </row>
    <row r="2781" spans="19:21" ht="23.25" customHeight="1" x14ac:dyDescent="0.35">
      <c r="S2781" s="56" t="str">
        <f t="shared" si="129"/>
        <v/>
      </c>
      <c r="T2781" s="57" t="str">
        <f t="shared" si="130"/>
        <v/>
      </c>
      <c r="U2781" s="58" t="str">
        <f t="shared" si="131"/>
        <v/>
      </c>
    </row>
    <row r="2782" spans="19:21" ht="23.25" customHeight="1" x14ac:dyDescent="0.35">
      <c r="S2782" s="56" t="str">
        <f t="shared" si="129"/>
        <v/>
      </c>
      <c r="T2782" s="57" t="str">
        <f t="shared" si="130"/>
        <v/>
      </c>
      <c r="U2782" s="58" t="str">
        <f t="shared" si="131"/>
        <v/>
      </c>
    </row>
    <row r="2783" spans="19:21" ht="23.25" customHeight="1" x14ac:dyDescent="0.35">
      <c r="S2783" s="56" t="str">
        <f t="shared" si="129"/>
        <v/>
      </c>
      <c r="T2783" s="57" t="str">
        <f t="shared" si="130"/>
        <v/>
      </c>
      <c r="U2783" s="58" t="str">
        <f t="shared" si="131"/>
        <v/>
      </c>
    </row>
    <row r="2784" spans="19:21" ht="23.25" customHeight="1" x14ac:dyDescent="0.35">
      <c r="S2784" s="56" t="str">
        <f t="shared" si="129"/>
        <v/>
      </c>
      <c r="T2784" s="57" t="str">
        <f t="shared" si="130"/>
        <v/>
      </c>
      <c r="U2784" s="58" t="str">
        <f t="shared" si="131"/>
        <v/>
      </c>
    </row>
    <row r="2785" spans="19:21" ht="23.25" customHeight="1" x14ac:dyDescent="0.35">
      <c r="S2785" s="56" t="str">
        <f t="shared" si="129"/>
        <v/>
      </c>
      <c r="T2785" s="57" t="str">
        <f t="shared" si="130"/>
        <v/>
      </c>
      <c r="U2785" s="58" t="str">
        <f t="shared" si="131"/>
        <v/>
      </c>
    </row>
    <row r="2786" spans="19:21" ht="23.25" customHeight="1" x14ac:dyDescent="0.35">
      <c r="S2786" s="56" t="str">
        <f t="shared" si="129"/>
        <v/>
      </c>
      <c r="T2786" s="57" t="str">
        <f t="shared" si="130"/>
        <v/>
      </c>
      <c r="U2786" s="58" t="str">
        <f t="shared" si="131"/>
        <v/>
      </c>
    </row>
    <row r="2787" spans="19:21" ht="23.25" customHeight="1" x14ac:dyDescent="0.35">
      <c r="S2787" s="56" t="str">
        <f t="shared" si="129"/>
        <v/>
      </c>
      <c r="T2787" s="57" t="str">
        <f t="shared" si="130"/>
        <v/>
      </c>
      <c r="U2787" s="58" t="str">
        <f t="shared" si="131"/>
        <v/>
      </c>
    </row>
    <row r="2788" spans="19:21" ht="23.25" customHeight="1" x14ac:dyDescent="0.35">
      <c r="S2788" s="56" t="str">
        <f t="shared" si="129"/>
        <v/>
      </c>
      <c r="T2788" s="57" t="str">
        <f t="shared" si="130"/>
        <v/>
      </c>
      <c r="U2788" s="58" t="str">
        <f t="shared" si="131"/>
        <v/>
      </c>
    </row>
    <row r="2789" spans="19:21" ht="23.25" customHeight="1" x14ac:dyDescent="0.35">
      <c r="S2789" s="56" t="str">
        <f t="shared" si="129"/>
        <v/>
      </c>
      <c r="T2789" s="57" t="str">
        <f t="shared" si="130"/>
        <v/>
      </c>
      <c r="U2789" s="58" t="str">
        <f t="shared" si="131"/>
        <v/>
      </c>
    </row>
    <row r="2790" spans="19:21" ht="23.25" customHeight="1" x14ac:dyDescent="0.35">
      <c r="S2790" s="56" t="str">
        <f t="shared" si="129"/>
        <v/>
      </c>
      <c r="T2790" s="57" t="str">
        <f t="shared" si="130"/>
        <v/>
      </c>
      <c r="U2790" s="58" t="str">
        <f t="shared" si="131"/>
        <v/>
      </c>
    </row>
    <row r="2791" spans="19:21" ht="23.25" customHeight="1" x14ac:dyDescent="0.35">
      <c r="S2791" s="56" t="str">
        <f t="shared" si="129"/>
        <v/>
      </c>
      <c r="T2791" s="57" t="str">
        <f t="shared" si="130"/>
        <v/>
      </c>
      <c r="U2791" s="58" t="str">
        <f t="shared" si="131"/>
        <v/>
      </c>
    </row>
    <row r="2792" spans="19:21" ht="23.25" customHeight="1" x14ac:dyDescent="0.35">
      <c r="S2792" s="56" t="str">
        <f t="shared" si="129"/>
        <v/>
      </c>
      <c r="T2792" s="57" t="str">
        <f t="shared" si="130"/>
        <v/>
      </c>
      <c r="U2792" s="58" t="str">
        <f t="shared" si="131"/>
        <v/>
      </c>
    </row>
    <row r="2793" spans="19:21" ht="23.25" customHeight="1" x14ac:dyDescent="0.35">
      <c r="S2793" s="56" t="str">
        <f t="shared" si="129"/>
        <v/>
      </c>
      <c r="T2793" s="57" t="str">
        <f t="shared" si="130"/>
        <v/>
      </c>
      <c r="U2793" s="58" t="str">
        <f t="shared" si="131"/>
        <v/>
      </c>
    </row>
    <row r="2794" spans="19:21" ht="23.25" customHeight="1" x14ac:dyDescent="0.35">
      <c r="S2794" s="56" t="str">
        <f t="shared" si="129"/>
        <v/>
      </c>
      <c r="T2794" s="57" t="str">
        <f t="shared" si="130"/>
        <v/>
      </c>
      <c r="U2794" s="58" t="str">
        <f t="shared" si="131"/>
        <v/>
      </c>
    </row>
    <row r="2795" spans="19:21" ht="23.25" customHeight="1" x14ac:dyDescent="0.35">
      <c r="S2795" s="56" t="str">
        <f t="shared" si="129"/>
        <v/>
      </c>
      <c r="T2795" s="57" t="str">
        <f t="shared" si="130"/>
        <v/>
      </c>
      <c r="U2795" s="58" t="str">
        <f t="shared" si="131"/>
        <v/>
      </c>
    </row>
    <row r="2796" spans="19:21" ht="23.25" customHeight="1" x14ac:dyDescent="0.35">
      <c r="S2796" s="56" t="str">
        <f t="shared" si="129"/>
        <v/>
      </c>
      <c r="T2796" s="57" t="str">
        <f t="shared" si="130"/>
        <v/>
      </c>
      <c r="U2796" s="58" t="str">
        <f t="shared" si="131"/>
        <v/>
      </c>
    </row>
    <row r="2797" spans="19:21" ht="23.25" customHeight="1" x14ac:dyDescent="0.35">
      <c r="S2797" s="56" t="str">
        <f t="shared" si="129"/>
        <v/>
      </c>
      <c r="T2797" s="57" t="str">
        <f t="shared" si="130"/>
        <v/>
      </c>
      <c r="U2797" s="58" t="str">
        <f t="shared" si="131"/>
        <v/>
      </c>
    </row>
    <row r="2798" spans="19:21" ht="23.25" customHeight="1" x14ac:dyDescent="0.35">
      <c r="S2798" s="56" t="str">
        <f t="shared" si="129"/>
        <v/>
      </c>
      <c r="T2798" s="57" t="str">
        <f t="shared" si="130"/>
        <v/>
      </c>
      <c r="U2798" s="58" t="str">
        <f t="shared" si="131"/>
        <v/>
      </c>
    </row>
    <row r="2799" spans="19:21" ht="23.25" customHeight="1" x14ac:dyDescent="0.35">
      <c r="S2799" s="56" t="str">
        <f t="shared" si="129"/>
        <v/>
      </c>
      <c r="T2799" s="57" t="str">
        <f t="shared" si="130"/>
        <v/>
      </c>
      <c r="U2799" s="58" t="str">
        <f t="shared" si="131"/>
        <v/>
      </c>
    </row>
    <row r="2800" spans="19:21" ht="23.25" customHeight="1" x14ac:dyDescent="0.35">
      <c r="S2800" s="56" t="str">
        <f t="shared" si="129"/>
        <v/>
      </c>
      <c r="T2800" s="57" t="str">
        <f t="shared" si="130"/>
        <v/>
      </c>
      <c r="U2800" s="58" t="str">
        <f t="shared" si="131"/>
        <v/>
      </c>
    </row>
    <row r="2801" spans="19:21" ht="23.25" customHeight="1" x14ac:dyDescent="0.35">
      <c r="S2801" s="56" t="str">
        <f t="shared" si="129"/>
        <v/>
      </c>
      <c r="T2801" s="57" t="str">
        <f t="shared" si="130"/>
        <v/>
      </c>
      <c r="U2801" s="58" t="str">
        <f t="shared" si="131"/>
        <v/>
      </c>
    </row>
    <row r="2802" spans="19:21" ht="23.25" customHeight="1" x14ac:dyDescent="0.35">
      <c r="S2802" s="56" t="str">
        <f t="shared" si="129"/>
        <v/>
      </c>
      <c r="T2802" s="57" t="str">
        <f t="shared" si="130"/>
        <v/>
      </c>
      <c r="U2802" s="58" t="str">
        <f t="shared" si="131"/>
        <v/>
      </c>
    </row>
    <row r="2803" spans="19:21" ht="23.25" customHeight="1" x14ac:dyDescent="0.35">
      <c r="S2803" s="56" t="str">
        <f t="shared" si="129"/>
        <v/>
      </c>
      <c r="T2803" s="57" t="str">
        <f t="shared" si="130"/>
        <v/>
      </c>
      <c r="U2803" s="58" t="str">
        <f t="shared" si="131"/>
        <v/>
      </c>
    </row>
    <row r="2804" spans="19:21" ht="23.25" customHeight="1" x14ac:dyDescent="0.35">
      <c r="S2804" s="56" t="str">
        <f t="shared" si="129"/>
        <v/>
      </c>
      <c r="T2804" s="57" t="str">
        <f t="shared" si="130"/>
        <v/>
      </c>
      <c r="U2804" s="58" t="str">
        <f t="shared" si="131"/>
        <v/>
      </c>
    </row>
    <row r="2805" spans="19:21" ht="23.25" customHeight="1" x14ac:dyDescent="0.35">
      <c r="S2805" s="56" t="str">
        <f t="shared" si="129"/>
        <v/>
      </c>
      <c r="T2805" s="57" t="str">
        <f t="shared" si="130"/>
        <v/>
      </c>
      <c r="U2805" s="58" t="str">
        <f t="shared" si="131"/>
        <v/>
      </c>
    </row>
    <row r="2806" spans="19:21" ht="23.25" customHeight="1" x14ac:dyDescent="0.35">
      <c r="S2806" s="56" t="str">
        <f t="shared" si="129"/>
        <v/>
      </c>
      <c r="T2806" s="57" t="str">
        <f t="shared" si="130"/>
        <v/>
      </c>
      <c r="U2806" s="58" t="str">
        <f t="shared" si="131"/>
        <v/>
      </c>
    </row>
    <row r="2807" spans="19:21" ht="23.25" customHeight="1" x14ac:dyDescent="0.35">
      <c r="S2807" s="56" t="str">
        <f t="shared" si="129"/>
        <v/>
      </c>
      <c r="T2807" s="57" t="str">
        <f t="shared" si="130"/>
        <v/>
      </c>
      <c r="U2807" s="58" t="str">
        <f t="shared" si="131"/>
        <v/>
      </c>
    </row>
    <row r="2808" spans="19:21" ht="23.25" customHeight="1" x14ac:dyDescent="0.35">
      <c r="S2808" s="56" t="str">
        <f t="shared" si="129"/>
        <v/>
      </c>
      <c r="T2808" s="57" t="str">
        <f t="shared" si="130"/>
        <v/>
      </c>
      <c r="U2808" s="58" t="str">
        <f t="shared" si="131"/>
        <v/>
      </c>
    </row>
    <row r="2809" spans="19:21" ht="23.25" customHeight="1" x14ac:dyDescent="0.35">
      <c r="S2809" s="56" t="str">
        <f t="shared" si="129"/>
        <v/>
      </c>
      <c r="T2809" s="57" t="str">
        <f t="shared" si="130"/>
        <v/>
      </c>
      <c r="U2809" s="58" t="str">
        <f t="shared" si="131"/>
        <v/>
      </c>
    </row>
    <row r="2810" spans="19:21" ht="23.25" customHeight="1" x14ac:dyDescent="0.35">
      <c r="S2810" s="56" t="str">
        <f t="shared" si="129"/>
        <v/>
      </c>
      <c r="T2810" s="57" t="str">
        <f t="shared" si="130"/>
        <v/>
      </c>
      <c r="U2810" s="58" t="str">
        <f t="shared" si="131"/>
        <v/>
      </c>
    </row>
    <row r="2811" spans="19:21" ht="23.25" customHeight="1" x14ac:dyDescent="0.35">
      <c r="S2811" s="56" t="str">
        <f t="shared" si="129"/>
        <v/>
      </c>
      <c r="T2811" s="57" t="str">
        <f t="shared" si="130"/>
        <v/>
      </c>
      <c r="U2811" s="58" t="str">
        <f t="shared" si="131"/>
        <v/>
      </c>
    </row>
    <row r="2812" spans="19:21" ht="23.25" customHeight="1" x14ac:dyDescent="0.35">
      <c r="S2812" s="56" t="str">
        <f t="shared" si="129"/>
        <v/>
      </c>
      <c r="T2812" s="57" t="str">
        <f t="shared" si="130"/>
        <v/>
      </c>
      <c r="U2812" s="58" t="str">
        <f t="shared" si="131"/>
        <v/>
      </c>
    </row>
    <row r="2813" spans="19:21" ht="23.25" customHeight="1" x14ac:dyDescent="0.35">
      <c r="S2813" s="56" t="str">
        <f t="shared" si="129"/>
        <v/>
      </c>
      <c r="T2813" s="57" t="str">
        <f t="shared" si="130"/>
        <v/>
      </c>
      <c r="U2813" s="58" t="str">
        <f t="shared" si="131"/>
        <v/>
      </c>
    </row>
    <row r="2814" spans="19:21" ht="23.25" customHeight="1" x14ac:dyDescent="0.35">
      <c r="S2814" s="56" t="str">
        <f t="shared" si="129"/>
        <v/>
      </c>
      <c r="T2814" s="57" t="str">
        <f t="shared" si="130"/>
        <v/>
      </c>
      <c r="U2814" s="58" t="str">
        <f t="shared" si="131"/>
        <v/>
      </c>
    </row>
    <row r="2815" spans="19:21" ht="23.25" customHeight="1" x14ac:dyDescent="0.35">
      <c r="S2815" s="56" t="str">
        <f t="shared" si="129"/>
        <v/>
      </c>
      <c r="T2815" s="57" t="str">
        <f t="shared" si="130"/>
        <v/>
      </c>
      <c r="U2815" s="58" t="str">
        <f t="shared" si="131"/>
        <v/>
      </c>
    </row>
    <row r="2816" spans="19:21" ht="23.25" customHeight="1" x14ac:dyDescent="0.35">
      <c r="S2816" s="56" t="str">
        <f t="shared" si="129"/>
        <v/>
      </c>
      <c r="T2816" s="57" t="str">
        <f t="shared" si="130"/>
        <v/>
      </c>
      <c r="U2816" s="58" t="str">
        <f t="shared" si="131"/>
        <v/>
      </c>
    </row>
    <row r="2817" spans="19:21" ht="23.25" customHeight="1" x14ac:dyDescent="0.35">
      <c r="S2817" s="56" t="str">
        <f t="shared" si="129"/>
        <v/>
      </c>
      <c r="T2817" s="57" t="str">
        <f t="shared" si="130"/>
        <v/>
      </c>
      <c r="U2817" s="58" t="str">
        <f t="shared" si="131"/>
        <v/>
      </c>
    </row>
    <row r="2818" spans="19:21" ht="23.25" customHeight="1" x14ac:dyDescent="0.35">
      <c r="S2818" s="56" t="str">
        <f t="shared" si="129"/>
        <v/>
      </c>
      <c r="T2818" s="57" t="str">
        <f t="shared" si="130"/>
        <v/>
      </c>
      <c r="U2818" s="58" t="str">
        <f t="shared" si="131"/>
        <v/>
      </c>
    </row>
    <row r="2819" spans="19:21" ht="23.25" customHeight="1" x14ac:dyDescent="0.35">
      <c r="S2819" s="56" t="str">
        <f t="shared" si="129"/>
        <v/>
      </c>
      <c r="T2819" s="57" t="str">
        <f t="shared" si="130"/>
        <v/>
      </c>
      <c r="U2819" s="58" t="str">
        <f t="shared" si="131"/>
        <v/>
      </c>
    </row>
    <row r="2820" spans="19:21" ht="23.25" customHeight="1" x14ac:dyDescent="0.35">
      <c r="S2820" s="56" t="str">
        <f t="shared" si="129"/>
        <v/>
      </c>
      <c r="T2820" s="57" t="str">
        <f t="shared" si="130"/>
        <v/>
      </c>
      <c r="U2820" s="58" t="str">
        <f t="shared" si="131"/>
        <v/>
      </c>
    </row>
    <row r="2821" spans="19:21" ht="23.25" customHeight="1" x14ac:dyDescent="0.35">
      <c r="S2821" s="56" t="str">
        <f t="shared" si="129"/>
        <v/>
      </c>
      <c r="T2821" s="57" t="str">
        <f t="shared" si="130"/>
        <v/>
      </c>
      <c r="U2821" s="58" t="str">
        <f t="shared" si="131"/>
        <v/>
      </c>
    </row>
    <row r="2822" spans="19:21" ht="23.25" customHeight="1" x14ac:dyDescent="0.35">
      <c r="S2822" s="56" t="str">
        <f t="shared" si="129"/>
        <v/>
      </c>
      <c r="T2822" s="57" t="str">
        <f t="shared" si="130"/>
        <v/>
      </c>
      <c r="U2822" s="58" t="str">
        <f t="shared" si="131"/>
        <v/>
      </c>
    </row>
    <row r="2823" spans="19:21" ht="23.25" customHeight="1" x14ac:dyDescent="0.35">
      <c r="S2823" s="56" t="str">
        <f t="shared" si="129"/>
        <v/>
      </c>
      <c r="T2823" s="57" t="str">
        <f t="shared" si="130"/>
        <v/>
      </c>
      <c r="U2823" s="58" t="str">
        <f t="shared" si="131"/>
        <v/>
      </c>
    </row>
    <row r="2824" spans="19:21" ht="23.25" customHeight="1" x14ac:dyDescent="0.35">
      <c r="S2824" s="56" t="str">
        <f t="shared" si="129"/>
        <v/>
      </c>
      <c r="T2824" s="57" t="str">
        <f t="shared" si="130"/>
        <v/>
      </c>
      <c r="U2824" s="58" t="str">
        <f t="shared" si="131"/>
        <v/>
      </c>
    </row>
    <row r="2825" spans="19:21" ht="23.25" customHeight="1" x14ac:dyDescent="0.35">
      <c r="S2825" s="56" t="str">
        <f t="shared" ref="S2825:S2888" si="132">IF(A2825="","",A$5-A2825)</f>
        <v/>
      </c>
      <c r="T2825" s="57" t="str">
        <f t="shared" ref="T2825:T2888" si="133">IF(S2825="","",IF(S2825&lt;4,"0-3 Days",IF(S2825&lt;31,"4-30 Days",IF(S2825&lt;61,"31-60 Days",IF(S2825&lt;=90,"61-90 Days",IF(S2825&gt;90,"Above 90 Days","0"))))))</f>
        <v/>
      </c>
      <c r="U2825" s="58" t="str">
        <f t="shared" ref="U2825:U2888" si="134">IF(C2825="","",IF(C2825&gt;0,IF(S2825&lt;30,"Normal",IF(S2825&lt;60,"Especially Mentioned",IF(S2825&lt;90,"Substandard",IF(S2825&lt;=180,"Doubtful",IF(S2825&gt;180,"Loss","0"))))),"Not Applicable"))</f>
        <v/>
      </c>
    </row>
    <row r="2826" spans="19:21" ht="23.25" customHeight="1" x14ac:dyDescent="0.35">
      <c r="S2826" s="56" t="str">
        <f t="shared" si="132"/>
        <v/>
      </c>
      <c r="T2826" s="57" t="str">
        <f t="shared" si="133"/>
        <v/>
      </c>
      <c r="U2826" s="58" t="str">
        <f t="shared" si="134"/>
        <v/>
      </c>
    </row>
    <row r="2827" spans="19:21" ht="23.25" customHeight="1" x14ac:dyDescent="0.35">
      <c r="S2827" s="56" t="str">
        <f t="shared" si="132"/>
        <v/>
      </c>
      <c r="T2827" s="57" t="str">
        <f t="shared" si="133"/>
        <v/>
      </c>
      <c r="U2827" s="58" t="str">
        <f t="shared" si="134"/>
        <v/>
      </c>
    </row>
    <row r="2828" spans="19:21" ht="23.25" customHeight="1" x14ac:dyDescent="0.35">
      <c r="S2828" s="56" t="str">
        <f t="shared" si="132"/>
        <v/>
      </c>
      <c r="T2828" s="57" t="str">
        <f t="shared" si="133"/>
        <v/>
      </c>
      <c r="U2828" s="58" t="str">
        <f t="shared" si="134"/>
        <v/>
      </c>
    </row>
    <row r="2829" spans="19:21" ht="23.25" customHeight="1" x14ac:dyDescent="0.35">
      <c r="S2829" s="56" t="str">
        <f t="shared" si="132"/>
        <v/>
      </c>
      <c r="T2829" s="57" t="str">
        <f t="shared" si="133"/>
        <v/>
      </c>
      <c r="U2829" s="58" t="str">
        <f t="shared" si="134"/>
        <v/>
      </c>
    </row>
    <row r="2830" spans="19:21" ht="23.25" customHeight="1" x14ac:dyDescent="0.35">
      <c r="S2830" s="56" t="str">
        <f t="shared" si="132"/>
        <v/>
      </c>
      <c r="T2830" s="57" t="str">
        <f t="shared" si="133"/>
        <v/>
      </c>
      <c r="U2830" s="58" t="str">
        <f t="shared" si="134"/>
        <v/>
      </c>
    </row>
    <row r="2831" spans="19:21" ht="23.25" customHeight="1" x14ac:dyDescent="0.35">
      <c r="S2831" s="56" t="str">
        <f t="shared" si="132"/>
        <v/>
      </c>
      <c r="T2831" s="57" t="str">
        <f t="shared" si="133"/>
        <v/>
      </c>
      <c r="U2831" s="58" t="str">
        <f t="shared" si="134"/>
        <v/>
      </c>
    </row>
    <row r="2832" spans="19:21" ht="23.25" customHeight="1" x14ac:dyDescent="0.35">
      <c r="S2832" s="56" t="str">
        <f t="shared" si="132"/>
        <v/>
      </c>
      <c r="T2832" s="57" t="str">
        <f t="shared" si="133"/>
        <v/>
      </c>
      <c r="U2832" s="58" t="str">
        <f t="shared" si="134"/>
        <v/>
      </c>
    </row>
    <row r="2833" spans="19:21" ht="23.25" customHeight="1" x14ac:dyDescent="0.35">
      <c r="S2833" s="56" t="str">
        <f t="shared" si="132"/>
        <v/>
      </c>
      <c r="T2833" s="57" t="str">
        <f t="shared" si="133"/>
        <v/>
      </c>
      <c r="U2833" s="58" t="str">
        <f t="shared" si="134"/>
        <v/>
      </c>
    </row>
    <row r="2834" spans="19:21" ht="23.25" customHeight="1" x14ac:dyDescent="0.35">
      <c r="S2834" s="56" t="str">
        <f t="shared" si="132"/>
        <v/>
      </c>
      <c r="T2834" s="57" t="str">
        <f t="shared" si="133"/>
        <v/>
      </c>
      <c r="U2834" s="58" t="str">
        <f t="shared" si="134"/>
        <v/>
      </c>
    </row>
    <row r="2835" spans="19:21" ht="23.25" customHeight="1" x14ac:dyDescent="0.35">
      <c r="S2835" s="56" t="str">
        <f t="shared" si="132"/>
        <v/>
      </c>
      <c r="T2835" s="57" t="str">
        <f t="shared" si="133"/>
        <v/>
      </c>
      <c r="U2835" s="58" t="str">
        <f t="shared" si="134"/>
        <v/>
      </c>
    </row>
    <row r="2836" spans="19:21" ht="23.25" customHeight="1" x14ac:dyDescent="0.35">
      <c r="S2836" s="56" t="str">
        <f t="shared" si="132"/>
        <v/>
      </c>
      <c r="T2836" s="57" t="str">
        <f t="shared" si="133"/>
        <v/>
      </c>
      <c r="U2836" s="58" t="str">
        <f t="shared" si="134"/>
        <v/>
      </c>
    </row>
    <row r="2837" spans="19:21" ht="23.25" customHeight="1" x14ac:dyDescent="0.35">
      <c r="S2837" s="56" t="str">
        <f t="shared" si="132"/>
        <v/>
      </c>
      <c r="T2837" s="57" t="str">
        <f t="shared" si="133"/>
        <v/>
      </c>
      <c r="U2837" s="58" t="str">
        <f t="shared" si="134"/>
        <v/>
      </c>
    </row>
    <row r="2838" spans="19:21" ht="23.25" customHeight="1" x14ac:dyDescent="0.35">
      <c r="S2838" s="56" t="str">
        <f t="shared" si="132"/>
        <v/>
      </c>
      <c r="T2838" s="57" t="str">
        <f t="shared" si="133"/>
        <v/>
      </c>
      <c r="U2838" s="58" t="str">
        <f t="shared" si="134"/>
        <v/>
      </c>
    </row>
    <row r="2839" spans="19:21" ht="23.25" customHeight="1" x14ac:dyDescent="0.35">
      <c r="S2839" s="56" t="str">
        <f t="shared" si="132"/>
        <v/>
      </c>
      <c r="T2839" s="57" t="str">
        <f t="shared" si="133"/>
        <v/>
      </c>
      <c r="U2839" s="58" t="str">
        <f t="shared" si="134"/>
        <v/>
      </c>
    </row>
    <row r="2840" spans="19:21" ht="23.25" customHeight="1" x14ac:dyDescent="0.35">
      <c r="S2840" s="56" t="str">
        <f t="shared" si="132"/>
        <v/>
      </c>
      <c r="T2840" s="57" t="str">
        <f t="shared" si="133"/>
        <v/>
      </c>
      <c r="U2840" s="58" t="str">
        <f t="shared" si="134"/>
        <v/>
      </c>
    </row>
    <row r="2841" spans="19:21" ht="23.25" customHeight="1" x14ac:dyDescent="0.35">
      <c r="S2841" s="56" t="str">
        <f t="shared" si="132"/>
        <v/>
      </c>
      <c r="T2841" s="57" t="str">
        <f t="shared" si="133"/>
        <v/>
      </c>
      <c r="U2841" s="58" t="str">
        <f t="shared" si="134"/>
        <v/>
      </c>
    </row>
    <row r="2842" spans="19:21" ht="23.25" customHeight="1" x14ac:dyDescent="0.35">
      <c r="S2842" s="56" t="str">
        <f t="shared" si="132"/>
        <v/>
      </c>
      <c r="T2842" s="57" t="str">
        <f t="shared" si="133"/>
        <v/>
      </c>
      <c r="U2842" s="58" t="str">
        <f t="shared" si="134"/>
        <v/>
      </c>
    </row>
    <row r="2843" spans="19:21" ht="23.25" customHeight="1" x14ac:dyDescent="0.35">
      <c r="S2843" s="56" t="str">
        <f t="shared" si="132"/>
        <v/>
      </c>
      <c r="T2843" s="57" t="str">
        <f t="shared" si="133"/>
        <v/>
      </c>
      <c r="U2843" s="58" t="str">
        <f t="shared" si="134"/>
        <v/>
      </c>
    </row>
    <row r="2844" spans="19:21" ht="23.25" customHeight="1" x14ac:dyDescent="0.35">
      <c r="S2844" s="56" t="str">
        <f t="shared" si="132"/>
        <v/>
      </c>
      <c r="T2844" s="57" t="str">
        <f t="shared" si="133"/>
        <v/>
      </c>
      <c r="U2844" s="58" t="str">
        <f t="shared" si="134"/>
        <v/>
      </c>
    </row>
    <row r="2845" spans="19:21" ht="23.25" customHeight="1" x14ac:dyDescent="0.35">
      <c r="S2845" s="56" t="str">
        <f t="shared" si="132"/>
        <v/>
      </c>
      <c r="T2845" s="57" t="str">
        <f t="shared" si="133"/>
        <v/>
      </c>
      <c r="U2845" s="58" t="str">
        <f t="shared" si="134"/>
        <v/>
      </c>
    </row>
    <row r="2846" spans="19:21" ht="23.25" customHeight="1" x14ac:dyDescent="0.35">
      <c r="S2846" s="56" t="str">
        <f t="shared" si="132"/>
        <v/>
      </c>
      <c r="T2846" s="57" t="str">
        <f t="shared" si="133"/>
        <v/>
      </c>
      <c r="U2846" s="58" t="str">
        <f t="shared" si="134"/>
        <v/>
      </c>
    </row>
    <row r="2847" spans="19:21" ht="23.25" customHeight="1" x14ac:dyDescent="0.35">
      <c r="S2847" s="56" t="str">
        <f t="shared" si="132"/>
        <v/>
      </c>
      <c r="T2847" s="57" t="str">
        <f t="shared" si="133"/>
        <v/>
      </c>
      <c r="U2847" s="58" t="str">
        <f t="shared" si="134"/>
        <v/>
      </c>
    </row>
    <row r="2848" spans="19:21" ht="23.25" customHeight="1" x14ac:dyDescent="0.35">
      <c r="S2848" s="56" t="str">
        <f t="shared" si="132"/>
        <v/>
      </c>
      <c r="T2848" s="57" t="str">
        <f t="shared" si="133"/>
        <v/>
      </c>
      <c r="U2848" s="58" t="str">
        <f t="shared" si="134"/>
        <v/>
      </c>
    </row>
    <row r="2849" spans="19:21" ht="23.25" customHeight="1" x14ac:dyDescent="0.35">
      <c r="S2849" s="56" t="str">
        <f t="shared" si="132"/>
        <v/>
      </c>
      <c r="T2849" s="57" t="str">
        <f t="shared" si="133"/>
        <v/>
      </c>
      <c r="U2849" s="58" t="str">
        <f t="shared" si="134"/>
        <v/>
      </c>
    </row>
    <row r="2850" spans="19:21" ht="23.25" customHeight="1" x14ac:dyDescent="0.35">
      <c r="S2850" s="56" t="str">
        <f t="shared" si="132"/>
        <v/>
      </c>
      <c r="T2850" s="57" t="str">
        <f t="shared" si="133"/>
        <v/>
      </c>
      <c r="U2850" s="58" t="str">
        <f t="shared" si="134"/>
        <v/>
      </c>
    </row>
    <row r="2851" spans="19:21" ht="23.25" customHeight="1" x14ac:dyDescent="0.35">
      <c r="S2851" s="56" t="str">
        <f t="shared" si="132"/>
        <v/>
      </c>
      <c r="T2851" s="57" t="str">
        <f t="shared" si="133"/>
        <v/>
      </c>
      <c r="U2851" s="58" t="str">
        <f t="shared" si="134"/>
        <v/>
      </c>
    </row>
    <row r="2852" spans="19:21" ht="23.25" customHeight="1" x14ac:dyDescent="0.35">
      <c r="S2852" s="56" t="str">
        <f t="shared" si="132"/>
        <v/>
      </c>
      <c r="T2852" s="57" t="str">
        <f t="shared" si="133"/>
        <v/>
      </c>
      <c r="U2852" s="58" t="str">
        <f t="shared" si="134"/>
        <v/>
      </c>
    </row>
    <row r="2853" spans="19:21" ht="23.25" customHeight="1" x14ac:dyDescent="0.35">
      <c r="S2853" s="56" t="str">
        <f t="shared" si="132"/>
        <v/>
      </c>
      <c r="T2853" s="57" t="str">
        <f t="shared" si="133"/>
        <v/>
      </c>
      <c r="U2853" s="58" t="str">
        <f t="shared" si="134"/>
        <v/>
      </c>
    </row>
    <row r="2854" spans="19:21" ht="23.25" customHeight="1" x14ac:dyDescent="0.35">
      <c r="S2854" s="56" t="str">
        <f t="shared" si="132"/>
        <v/>
      </c>
      <c r="T2854" s="57" t="str">
        <f t="shared" si="133"/>
        <v/>
      </c>
      <c r="U2854" s="58" t="str">
        <f t="shared" si="134"/>
        <v/>
      </c>
    </row>
    <row r="2855" spans="19:21" ht="23.25" customHeight="1" x14ac:dyDescent="0.35">
      <c r="S2855" s="56" t="str">
        <f t="shared" si="132"/>
        <v/>
      </c>
      <c r="T2855" s="57" t="str">
        <f t="shared" si="133"/>
        <v/>
      </c>
      <c r="U2855" s="58" t="str">
        <f t="shared" si="134"/>
        <v/>
      </c>
    </row>
    <row r="2856" spans="19:21" ht="23.25" customHeight="1" x14ac:dyDescent="0.35">
      <c r="S2856" s="56" t="str">
        <f t="shared" si="132"/>
        <v/>
      </c>
      <c r="T2856" s="57" t="str">
        <f t="shared" si="133"/>
        <v/>
      </c>
      <c r="U2856" s="58" t="str">
        <f t="shared" si="134"/>
        <v/>
      </c>
    </row>
    <row r="2857" spans="19:21" ht="23.25" customHeight="1" x14ac:dyDescent="0.35">
      <c r="S2857" s="56" t="str">
        <f t="shared" si="132"/>
        <v/>
      </c>
      <c r="T2857" s="57" t="str">
        <f t="shared" si="133"/>
        <v/>
      </c>
      <c r="U2857" s="58" t="str">
        <f t="shared" si="134"/>
        <v/>
      </c>
    </row>
    <row r="2858" spans="19:21" ht="23.25" customHeight="1" x14ac:dyDescent="0.35">
      <c r="S2858" s="56" t="str">
        <f t="shared" si="132"/>
        <v/>
      </c>
      <c r="T2858" s="57" t="str">
        <f t="shared" si="133"/>
        <v/>
      </c>
      <c r="U2858" s="58" t="str">
        <f t="shared" si="134"/>
        <v/>
      </c>
    </row>
    <row r="2859" spans="19:21" ht="23.25" customHeight="1" x14ac:dyDescent="0.35">
      <c r="S2859" s="56" t="str">
        <f t="shared" si="132"/>
        <v/>
      </c>
      <c r="T2859" s="57" t="str">
        <f t="shared" si="133"/>
        <v/>
      </c>
      <c r="U2859" s="58" t="str">
        <f t="shared" si="134"/>
        <v/>
      </c>
    </row>
    <row r="2860" spans="19:21" ht="23.25" customHeight="1" x14ac:dyDescent="0.35">
      <c r="S2860" s="56" t="str">
        <f t="shared" si="132"/>
        <v/>
      </c>
      <c r="T2860" s="57" t="str">
        <f t="shared" si="133"/>
        <v/>
      </c>
      <c r="U2860" s="58" t="str">
        <f t="shared" si="134"/>
        <v/>
      </c>
    </row>
    <row r="2861" spans="19:21" ht="23.25" customHeight="1" x14ac:dyDescent="0.35">
      <c r="S2861" s="56" t="str">
        <f t="shared" si="132"/>
        <v/>
      </c>
      <c r="T2861" s="57" t="str">
        <f t="shared" si="133"/>
        <v/>
      </c>
      <c r="U2861" s="58" t="str">
        <f t="shared" si="134"/>
        <v/>
      </c>
    </row>
    <row r="2862" spans="19:21" ht="23.25" customHeight="1" x14ac:dyDescent="0.35">
      <c r="S2862" s="56" t="str">
        <f t="shared" si="132"/>
        <v/>
      </c>
      <c r="T2862" s="57" t="str">
        <f t="shared" si="133"/>
        <v/>
      </c>
      <c r="U2862" s="58" t="str">
        <f t="shared" si="134"/>
        <v/>
      </c>
    </row>
    <row r="2863" spans="19:21" ht="23.25" customHeight="1" x14ac:dyDescent="0.35">
      <c r="S2863" s="56" t="str">
        <f t="shared" si="132"/>
        <v/>
      </c>
      <c r="T2863" s="57" t="str">
        <f t="shared" si="133"/>
        <v/>
      </c>
      <c r="U2863" s="58" t="str">
        <f t="shared" si="134"/>
        <v/>
      </c>
    </row>
    <row r="2864" spans="19:21" ht="23.25" customHeight="1" x14ac:dyDescent="0.35">
      <c r="S2864" s="56" t="str">
        <f t="shared" si="132"/>
        <v/>
      </c>
      <c r="T2864" s="57" t="str">
        <f t="shared" si="133"/>
        <v/>
      </c>
      <c r="U2864" s="58" t="str">
        <f t="shared" si="134"/>
        <v/>
      </c>
    </row>
    <row r="2865" spans="19:21" ht="23.25" customHeight="1" x14ac:dyDescent="0.35">
      <c r="S2865" s="56" t="str">
        <f t="shared" si="132"/>
        <v/>
      </c>
      <c r="T2865" s="57" t="str">
        <f t="shared" si="133"/>
        <v/>
      </c>
      <c r="U2865" s="58" t="str">
        <f t="shared" si="134"/>
        <v/>
      </c>
    </row>
    <row r="2866" spans="19:21" ht="23.25" customHeight="1" x14ac:dyDescent="0.35">
      <c r="S2866" s="56" t="str">
        <f t="shared" si="132"/>
        <v/>
      </c>
      <c r="T2866" s="57" t="str">
        <f t="shared" si="133"/>
        <v/>
      </c>
      <c r="U2866" s="58" t="str">
        <f t="shared" si="134"/>
        <v/>
      </c>
    </row>
    <row r="2867" spans="19:21" ht="23.25" customHeight="1" x14ac:dyDescent="0.35">
      <c r="S2867" s="56" t="str">
        <f t="shared" si="132"/>
        <v/>
      </c>
      <c r="T2867" s="57" t="str">
        <f t="shared" si="133"/>
        <v/>
      </c>
      <c r="U2867" s="58" t="str">
        <f t="shared" si="134"/>
        <v/>
      </c>
    </row>
    <row r="2868" spans="19:21" ht="23.25" customHeight="1" x14ac:dyDescent="0.35">
      <c r="S2868" s="56" t="str">
        <f t="shared" si="132"/>
        <v/>
      </c>
      <c r="T2868" s="57" t="str">
        <f t="shared" si="133"/>
        <v/>
      </c>
      <c r="U2868" s="58" t="str">
        <f t="shared" si="134"/>
        <v/>
      </c>
    </row>
    <row r="2869" spans="19:21" ht="23.25" customHeight="1" x14ac:dyDescent="0.35">
      <c r="S2869" s="56" t="str">
        <f t="shared" si="132"/>
        <v/>
      </c>
      <c r="T2869" s="57" t="str">
        <f t="shared" si="133"/>
        <v/>
      </c>
      <c r="U2869" s="58" t="str">
        <f t="shared" si="134"/>
        <v/>
      </c>
    </row>
    <row r="2870" spans="19:21" ht="23.25" customHeight="1" x14ac:dyDescent="0.35">
      <c r="S2870" s="56" t="str">
        <f t="shared" si="132"/>
        <v/>
      </c>
      <c r="T2870" s="57" t="str">
        <f t="shared" si="133"/>
        <v/>
      </c>
      <c r="U2870" s="58" t="str">
        <f t="shared" si="134"/>
        <v/>
      </c>
    </row>
    <row r="2871" spans="19:21" ht="23.25" customHeight="1" x14ac:dyDescent="0.35">
      <c r="S2871" s="56" t="str">
        <f t="shared" si="132"/>
        <v/>
      </c>
      <c r="T2871" s="57" t="str">
        <f t="shared" si="133"/>
        <v/>
      </c>
      <c r="U2871" s="58" t="str">
        <f t="shared" si="134"/>
        <v/>
      </c>
    </row>
    <row r="2872" spans="19:21" ht="23.25" customHeight="1" x14ac:dyDescent="0.35">
      <c r="S2872" s="56" t="str">
        <f t="shared" si="132"/>
        <v/>
      </c>
      <c r="T2872" s="57" t="str">
        <f t="shared" si="133"/>
        <v/>
      </c>
      <c r="U2872" s="58" t="str">
        <f t="shared" si="134"/>
        <v/>
      </c>
    </row>
    <row r="2873" spans="19:21" ht="23.25" customHeight="1" x14ac:dyDescent="0.35">
      <c r="S2873" s="56" t="str">
        <f t="shared" si="132"/>
        <v/>
      </c>
      <c r="T2873" s="57" t="str">
        <f t="shared" si="133"/>
        <v/>
      </c>
      <c r="U2873" s="58" t="str">
        <f t="shared" si="134"/>
        <v/>
      </c>
    </row>
    <row r="2874" spans="19:21" ht="23.25" customHeight="1" x14ac:dyDescent="0.35">
      <c r="S2874" s="56" t="str">
        <f t="shared" si="132"/>
        <v/>
      </c>
      <c r="T2874" s="57" t="str">
        <f t="shared" si="133"/>
        <v/>
      </c>
      <c r="U2874" s="58" t="str">
        <f t="shared" si="134"/>
        <v/>
      </c>
    </row>
    <row r="2875" spans="19:21" ht="23.25" customHeight="1" x14ac:dyDescent="0.35">
      <c r="S2875" s="56" t="str">
        <f t="shared" si="132"/>
        <v/>
      </c>
      <c r="T2875" s="57" t="str">
        <f t="shared" si="133"/>
        <v/>
      </c>
      <c r="U2875" s="58" t="str">
        <f t="shared" si="134"/>
        <v/>
      </c>
    </row>
    <row r="2876" spans="19:21" ht="23.25" customHeight="1" x14ac:dyDescent="0.35">
      <c r="S2876" s="56" t="str">
        <f t="shared" si="132"/>
        <v/>
      </c>
      <c r="T2876" s="57" t="str">
        <f t="shared" si="133"/>
        <v/>
      </c>
      <c r="U2876" s="58" t="str">
        <f t="shared" si="134"/>
        <v/>
      </c>
    </row>
    <row r="2877" spans="19:21" ht="23.25" customHeight="1" x14ac:dyDescent="0.35">
      <c r="S2877" s="56" t="str">
        <f t="shared" si="132"/>
        <v/>
      </c>
      <c r="T2877" s="57" t="str">
        <f t="shared" si="133"/>
        <v/>
      </c>
      <c r="U2877" s="58" t="str">
        <f t="shared" si="134"/>
        <v/>
      </c>
    </row>
    <row r="2878" spans="19:21" ht="23.25" customHeight="1" x14ac:dyDescent="0.35">
      <c r="S2878" s="56" t="str">
        <f t="shared" si="132"/>
        <v/>
      </c>
      <c r="T2878" s="57" t="str">
        <f t="shared" si="133"/>
        <v/>
      </c>
      <c r="U2878" s="58" t="str">
        <f t="shared" si="134"/>
        <v/>
      </c>
    </row>
    <row r="2879" spans="19:21" ht="23.25" customHeight="1" x14ac:dyDescent="0.35">
      <c r="S2879" s="56" t="str">
        <f t="shared" si="132"/>
        <v/>
      </c>
      <c r="T2879" s="57" t="str">
        <f t="shared" si="133"/>
        <v/>
      </c>
      <c r="U2879" s="58" t="str">
        <f t="shared" si="134"/>
        <v/>
      </c>
    </row>
    <row r="2880" spans="19:21" ht="23.25" customHeight="1" x14ac:dyDescent="0.35">
      <c r="S2880" s="56" t="str">
        <f t="shared" si="132"/>
        <v/>
      </c>
      <c r="T2880" s="57" t="str">
        <f t="shared" si="133"/>
        <v/>
      </c>
      <c r="U2880" s="58" t="str">
        <f t="shared" si="134"/>
        <v/>
      </c>
    </row>
    <row r="2881" spans="19:21" ht="23.25" customHeight="1" x14ac:dyDescent="0.35">
      <c r="S2881" s="56" t="str">
        <f t="shared" si="132"/>
        <v/>
      </c>
      <c r="T2881" s="57" t="str">
        <f t="shared" si="133"/>
        <v/>
      </c>
      <c r="U2881" s="58" t="str">
        <f t="shared" si="134"/>
        <v/>
      </c>
    </row>
    <row r="2882" spans="19:21" ht="23.25" customHeight="1" x14ac:dyDescent="0.35">
      <c r="S2882" s="56" t="str">
        <f t="shared" si="132"/>
        <v/>
      </c>
      <c r="T2882" s="57" t="str">
        <f t="shared" si="133"/>
        <v/>
      </c>
      <c r="U2882" s="58" t="str">
        <f t="shared" si="134"/>
        <v/>
      </c>
    </row>
    <row r="2883" spans="19:21" ht="23.25" customHeight="1" x14ac:dyDescent="0.35">
      <c r="S2883" s="56" t="str">
        <f t="shared" si="132"/>
        <v/>
      </c>
      <c r="T2883" s="57" t="str">
        <f t="shared" si="133"/>
        <v/>
      </c>
      <c r="U2883" s="58" t="str">
        <f t="shared" si="134"/>
        <v/>
      </c>
    </row>
    <row r="2884" spans="19:21" ht="23.25" customHeight="1" x14ac:dyDescent="0.35">
      <c r="S2884" s="56" t="str">
        <f t="shared" si="132"/>
        <v/>
      </c>
      <c r="T2884" s="57" t="str">
        <f t="shared" si="133"/>
        <v/>
      </c>
      <c r="U2884" s="58" t="str">
        <f t="shared" si="134"/>
        <v/>
      </c>
    </row>
    <row r="2885" spans="19:21" ht="23.25" customHeight="1" x14ac:dyDescent="0.35">
      <c r="S2885" s="56" t="str">
        <f t="shared" si="132"/>
        <v/>
      </c>
      <c r="T2885" s="57" t="str">
        <f t="shared" si="133"/>
        <v/>
      </c>
      <c r="U2885" s="58" t="str">
        <f t="shared" si="134"/>
        <v/>
      </c>
    </row>
    <row r="2886" spans="19:21" ht="23.25" customHeight="1" x14ac:dyDescent="0.35">
      <c r="S2886" s="56" t="str">
        <f t="shared" si="132"/>
        <v/>
      </c>
      <c r="T2886" s="57" t="str">
        <f t="shared" si="133"/>
        <v/>
      </c>
      <c r="U2886" s="58" t="str">
        <f t="shared" si="134"/>
        <v/>
      </c>
    </row>
    <row r="2887" spans="19:21" ht="23.25" customHeight="1" x14ac:dyDescent="0.35">
      <c r="S2887" s="56" t="str">
        <f t="shared" si="132"/>
        <v/>
      </c>
      <c r="T2887" s="57" t="str">
        <f t="shared" si="133"/>
        <v/>
      </c>
      <c r="U2887" s="58" t="str">
        <f t="shared" si="134"/>
        <v/>
      </c>
    </row>
    <row r="2888" spans="19:21" ht="23.25" customHeight="1" x14ac:dyDescent="0.35">
      <c r="S2888" s="56" t="str">
        <f t="shared" si="132"/>
        <v/>
      </c>
      <c r="T2888" s="57" t="str">
        <f t="shared" si="133"/>
        <v/>
      </c>
      <c r="U2888" s="58" t="str">
        <f t="shared" si="134"/>
        <v/>
      </c>
    </row>
    <row r="2889" spans="19:21" ht="23.25" customHeight="1" x14ac:dyDescent="0.35">
      <c r="S2889" s="56" t="str">
        <f t="shared" ref="S2889:S2952" si="135">IF(A2889="","",A$5-A2889)</f>
        <v/>
      </c>
      <c r="T2889" s="57" t="str">
        <f t="shared" ref="T2889:T2952" si="136">IF(S2889="","",IF(S2889&lt;4,"0-3 Days",IF(S2889&lt;31,"4-30 Days",IF(S2889&lt;61,"31-60 Days",IF(S2889&lt;=90,"61-90 Days",IF(S2889&gt;90,"Above 90 Days","0"))))))</f>
        <v/>
      </c>
      <c r="U2889" s="58" t="str">
        <f t="shared" ref="U2889:U2952" si="137">IF(C2889="","",IF(C2889&gt;0,IF(S2889&lt;30,"Normal",IF(S2889&lt;60,"Especially Mentioned",IF(S2889&lt;90,"Substandard",IF(S2889&lt;=180,"Doubtful",IF(S2889&gt;180,"Loss","0"))))),"Not Applicable"))</f>
        <v/>
      </c>
    </row>
    <row r="2890" spans="19:21" ht="23.25" customHeight="1" x14ac:dyDescent="0.35">
      <c r="S2890" s="56" t="str">
        <f t="shared" si="135"/>
        <v/>
      </c>
      <c r="T2890" s="57" t="str">
        <f t="shared" si="136"/>
        <v/>
      </c>
      <c r="U2890" s="58" t="str">
        <f t="shared" si="137"/>
        <v/>
      </c>
    </row>
    <row r="2891" spans="19:21" ht="23.25" customHeight="1" x14ac:dyDescent="0.35">
      <c r="S2891" s="56" t="str">
        <f t="shared" si="135"/>
        <v/>
      </c>
      <c r="T2891" s="57" t="str">
        <f t="shared" si="136"/>
        <v/>
      </c>
      <c r="U2891" s="58" t="str">
        <f t="shared" si="137"/>
        <v/>
      </c>
    </row>
    <row r="2892" spans="19:21" ht="23.25" customHeight="1" x14ac:dyDescent="0.35">
      <c r="S2892" s="56" t="str">
        <f t="shared" si="135"/>
        <v/>
      </c>
      <c r="T2892" s="57" t="str">
        <f t="shared" si="136"/>
        <v/>
      </c>
      <c r="U2892" s="58" t="str">
        <f t="shared" si="137"/>
        <v/>
      </c>
    </row>
    <row r="2893" spans="19:21" ht="23.25" customHeight="1" x14ac:dyDescent="0.35">
      <c r="S2893" s="56" t="str">
        <f t="shared" si="135"/>
        <v/>
      </c>
      <c r="T2893" s="57" t="str">
        <f t="shared" si="136"/>
        <v/>
      </c>
      <c r="U2893" s="58" t="str">
        <f t="shared" si="137"/>
        <v/>
      </c>
    </row>
    <row r="2894" spans="19:21" ht="23.25" customHeight="1" x14ac:dyDescent="0.35">
      <c r="S2894" s="56" t="str">
        <f t="shared" si="135"/>
        <v/>
      </c>
      <c r="T2894" s="57" t="str">
        <f t="shared" si="136"/>
        <v/>
      </c>
      <c r="U2894" s="58" t="str">
        <f t="shared" si="137"/>
        <v/>
      </c>
    </row>
    <row r="2895" spans="19:21" ht="23.25" customHeight="1" x14ac:dyDescent="0.35">
      <c r="S2895" s="56" t="str">
        <f t="shared" si="135"/>
        <v/>
      </c>
      <c r="T2895" s="57" t="str">
        <f t="shared" si="136"/>
        <v/>
      </c>
      <c r="U2895" s="58" t="str">
        <f t="shared" si="137"/>
        <v/>
      </c>
    </row>
    <row r="2896" spans="19:21" ht="23.25" customHeight="1" x14ac:dyDescent="0.35">
      <c r="S2896" s="56" t="str">
        <f t="shared" si="135"/>
        <v/>
      </c>
      <c r="T2896" s="57" t="str">
        <f t="shared" si="136"/>
        <v/>
      </c>
      <c r="U2896" s="58" t="str">
        <f t="shared" si="137"/>
        <v/>
      </c>
    </row>
    <row r="2897" spans="19:21" ht="23.25" customHeight="1" x14ac:dyDescent="0.35">
      <c r="S2897" s="56" t="str">
        <f t="shared" si="135"/>
        <v/>
      </c>
      <c r="T2897" s="57" t="str">
        <f t="shared" si="136"/>
        <v/>
      </c>
      <c r="U2897" s="58" t="str">
        <f t="shared" si="137"/>
        <v/>
      </c>
    </row>
    <row r="2898" spans="19:21" ht="23.25" customHeight="1" x14ac:dyDescent="0.35">
      <c r="S2898" s="56" t="str">
        <f t="shared" si="135"/>
        <v/>
      </c>
      <c r="T2898" s="57" t="str">
        <f t="shared" si="136"/>
        <v/>
      </c>
      <c r="U2898" s="58" t="str">
        <f t="shared" si="137"/>
        <v/>
      </c>
    </row>
    <row r="2899" spans="19:21" ht="23.25" customHeight="1" x14ac:dyDescent="0.35">
      <c r="S2899" s="56" t="str">
        <f t="shared" si="135"/>
        <v/>
      </c>
      <c r="T2899" s="57" t="str">
        <f t="shared" si="136"/>
        <v/>
      </c>
      <c r="U2899" s="58" t="str">
        <f t="shared" si="137"/>
        <v/>
      </c>
    </row>
    <row r="2900" spans="19:21" ht="23.25" customHeight="1" x14ac:dyDescent="0.35">
      <c r="S2900" s="56" t="str">
        <f t="shared" si="135"/>
        <v/>
      </c>
      <c r="T2900" s="57" t="str">
        <f t="shared" si="136"/>
        <v/>
      </c>
      <c r="U2900" s="58" t="str">
        <f t="shared" si="137"/>
        <v/>
      </c>
    </row>
    <row r="2901" spans="19:21" ht="23.25" customHeight="1" x14ac:dyDescent="0.35">
      <c r="S2901" s="56" t="str">
        <f t="shared" si="135"/>
        <v/>
      </c>
      <c r="T2901" s="57" t="str">
        <f t="shared" si="136"/>
        <v/>
      </c>
      <c r="U2901" s="58" t="str">
        <f t="shared" si="137"/>
        <v/>
      </c>
    </row>
    <row r="2902" spans="19:21" ht="23.25" customHeight="1" x14ac:dyDescent="0.35">
      <c r="S2902" s="56" t="str">
        <f t="shared" si="135"/>
        <v/>
      </c>
      <c r="T2902" s="57" t="str">
        <f t="shared" si="136"/>
        <v/>
      </c>
      <c r="U2902" s="58" t="str">
        <f t="shared" si="137"/>
        <v/>
      </c>
    </row>
    <row r="2903" spans="19:21" ht="23.25" customHeight="1" x14ac:dyDescent="0.35">
      <c r="S2903" s="56" t="str">
        <f t="shared" si="135"/>
        <v/>
      </c>
      <c r="T2903" s="57" t="str">
        <f t="shared" si="136"/>
        <v/>
      </c>
      <c r="U2903" s="58" t="str">
        <f t="shared" si="137"/>
        <v/>
      </c>
    </row>
    <row r="2904" spans="19:21" ht="23.25" customHeight="1" x14ac:dyDescent="0.35">
      <c r="S2904" s="56" t="str">
        <f t="shared" si="135"/>
        <v/>
      </c>
      <c r="T2904" s="57" t="str">
        <f t="shared" si="136"/>
        <v/>
      </c>
      <c r="U2904" s="58" t="str">
        <f t="shared" si="137"/>
        <v/>
      </c>
    </row>
    <row r="2905" spans="19:21" ht="23.25" customHeight="1" x14ac:dyDescent="0.35">
      <c r="S2905" s="56" t="str">
        <f t="shared" si="135"/>
        <v/>
      </c>
      <c r="T2905" s="57" t="str">
        <f t="shared" si="136"/>
        <v/>
      </c>
      <c r="U2905" s="58" t="str">
        <f t="shared" si="137"/>
        <v/>
      </c>
    </row>
    <row r="2906" spans="19:21" ht="23.25" customHeight="1" x14ac:dyDescent="0.35">
      <c r="S2906" s="56" t="str">
        <f t="shared" si="135"/>
        <v/>
      </c>
      <c r="T2906" s="57" t="str">
        <f t="shared" si="136"/>
        <v/>
      </c>
      <c r="U2906" s="58" t="str">
        <f t="shared" si="137"/>
        <v/>
      </c>
    </row>
    <row r="2907" spans="19:21" ht="23.25" customHeight="1" x14ac:dyDescent="0.35">
      <c r="S2907" s="56" t="str">
        <f t="shared" si="135"/>
        <v/>
      </c>
      <c r="T2907" s="57" t="str">
        <f t="shared" si="136"/>
        <v/>
      </c>
      <c r="U2907" s="58" t="str">
        <f t="shared" si="137"/>
        <v/>
      </c>
    </row>
    <row r="2908" spans="19:21" ht="23.25" customHeight="1" x14ac:dyDescent="0.35">
      <c r="S2908" s="56" t="str">
        <f t="shared" si="135"/>
        <v/>
      </c>
      <c r="T2908" s="57" t="str">
        <f t="shared" si="136"/>
        <v/>
      </c>
      <c r="U2908" s="58" t="str">
        <f t="shared" si="137"/>
        <v/>
      </c>
    </row>
    <row r="2909" spans="19:21" ht="23.25" customHeight="1" x14ac:dyDescent="0.35">
      <c r="S2909" s="56" t="str">
        <f t="shared" si="135"/>
        <v/>
      </c>
      <c r="T2909" s="57" t="str">
        <f t="shared" si="136"/>
        <v/>
      </c>
      <c r="U2909" s="58" t="str">
        <f t="shared" si="137"/>
        <v/>
      </c>
    </row>
    <row r="2910" spans="19:21" ht="23.25" customHeight="1" x14ac:dyDescent="0.35">
      <c r="S2910" s="56" t="str">
        <f t="shared" si="135"/>
        <v/>
      </c>
      <c r="T2910" s="57" t="str">
        <f t="shared" si="136"/>
        <v/>
      </c>
      <c r="U2910" s="58" t="str">
        <f t="shared" si="137"/>
        <v/>
      </c>
    </row>
    <row r="2911" spans="19:21" ht="23.25" customHeight="1" x14ac:dyDescent="0.35">
      <c r="S2911" s="56" t="str">
        <f t="shared" si="135"/>
        <v/>
      </c>
      <c r="T2911" s="57" t="str">
        <f t="shared" si="136"/>
        <v/>
      </c>
      <c r="U2911" s="58" t="str">
        <f t="shared" si="137"/>
        <v/>
      </c>
    </row>
    <row r="2912" spans="19:21" ht="23.25" customHeight="1" x14ac:dyDescent="0.35">
      <c r="S2912" s="56" t="str">
        <f t="shared" si="135"/>
        <v/>
      </c>
      <c r="T2912" s="57" t="str">
        <f t="shared" si="136"/>
        <v/>
      </c>
      <c r="U2912" s="58" t="str">
        <f t="shared" si="137"/>
        <v/>
      </c>
    </row>
    <row r="2913" spans="19:21" ht="23.25" customHeight="1" x14ac:dyDescent="0.35">
      <c r="S2913" s="56" t="str">
        <f t="shared" si="135"/>
        <v/>
      </c>
      <c r="T2913" s="57" t="str">
        <f t="shared" si="136"/>
        <v/>
      </c>
      <c r="U2913" s="58" t="str">
        <f t="shared" si="137"/>
        <v/>
      </c>
    </row>
    <row r="2914" spans="19:21" ht="23.25" customHeight="1" x14ac:dyDescent="0.35">
      <c r="S2914" s="56" t="str">
        <f t="shared" si="135"/>
        <v/>
      </c>
      <c r="T2914" s="57" t="str">
        <f t="shared" si="136"/>
        <v/>
      </c>
      <c r="U2914" s="58" t="str">
        <f t="shared" si="137"/>
        <v/>
      </c>
    </row>
    <row r="2915" spans="19:21" ht="23.25" customHeight="1" x14ac:dyDescent="0.35">
      <c r="S2915" s="56" t="str">
        <f t="shared" si="135"/>
        <v/>
      </c>
      <c r="T2915" s="57" t="str">
        <f t="shared" si="136"/>
        <v/>
      </c>
      <c r="U2915" s="58" t="str">
        <f t="shared" si="137"/>
        <v/>
      </c>
    </row>
    <row r="2916" spans="19:21" ht="23.25" customHeight="1" x14ac:dyDescent="0.35">
      <c r="S2916" s="56" t="str">
        <f t="shared" si="135"/>
        <v/>
      </c>
      <c r="T2916" s="57" t="str">
        <f t="shared" si="136"/>
        <v/>
      </c>
      <c r="U2916" s="58" t="str">
        <f t="shared" si="137"/>
        <v/>
      </c>
    </row>
    <row r="2917" spans="19:21" ht="23.25" customHeight="1" x14ac:dyDescent="0.35">
      <c r="S2917" s="56" t="str">
        <f t="shared" si="135"/>
        <v/>
      </c>
      <c r="T2917" s="57" t="str">
        <f t="shared" si="136"/>
        <v/>
      </c>
      <c r="U2917" s="58" t="str">
        <f t="shared" si="137"/>
        <v/>
      </c>
    </row>
    <row r="2918" spans="19:21" ht="23.25" customHeight="1" x14ac:dyDescent="0.35">
      <c r="S2918" s="56" t="str">
        <f t="shared" si="135"/>
        <v/>
      </c>
      <c r="T2918" s="57" t="str">
        <f t="shared" si="136"/>
        <v/>
      </c>
      <c r="U2918" s="58" t="str">
        <f t="shared" si="137"/>
        <v/>
      </c>
    </row>
    <row r="2919" spans="19:21" ht="23.25" customHeight="1" x14ac:dyDescent="0.35">
      <c r="S2919" s="56" t="str">
        <f t="shared" si="135"/>
        <v/>
      </c>
      <c r="T2919" s="57" t="str">
        <f t="shared" si="136"/>
        <v/>
      </c>
      <c r="U2919" s="58" t="str">
        <f t="shared" si="137"/>
        <v/>
      </c>
    </row>
    <row r="2920" spans="19:21" ht="23.25" customHeight="1" x14ac:dyDescent="0.35">
      <c r="S2920" s="56" t="str">
        <f t="shared" si="135"/>
        <v/>
      </c>
      <c r="T2920" s="57" t="str">
        <f t="shared" si="136"/>
        <v/>
      </c>
      <c r="U2920" s="58" t="str">
        <f t="shared" si="137"/>
        <v/>
      </c>
    </row>
    <row r="2921" spans="19:21" ht="23.25" customHeight="1" x14ac:dyDescent="0.35">
      <c r="S2921" s="56" t="str">
        <f t="shared" si="135"/>
        <v/>
      </c>
      <c r="T2921" s="57" t="str">
        <f t="shared" si="136"/>
        <v/>
      </c>
      <c r="U2921" s="58" t="str">
        <f t="shared" si="137"/>
        <v/>
      </c>
    </row>
    <row r="2922" spans="19:21" ht="23.25" customHeight="1" x14ac:dyDescent="0.35">
      <c r="S2922" s="56" t="str">
        <f t="shared" si="135"/>
        <v/>
      </c>
      <c r="T2922" s="57" t="str">
        <f t="shared" si="136"/>
        <v/>
      </c>
      <c r="U2922" s="58" t="str">
        <f t="shared" si="137"/>
        <v/>
      </c>
    </row>
    <row r="2923" spans="19:21" ht="23.25" customHeight="1" x14ac:dyDescent="0.35">
      <c r="S2923" s="56" t="str">
        <f t="shared" si="135"/>
        <v/>
      </c>
      <c r="T2923" s="57" t="str">
        <f t="shared" si="136"/>
        <v/>
      </c>
      <c r="U2923" s="58" t="str">
        <f t="shared" si="137"/>
        <v/>
      </c>
    </row>
    <row r="2924" spans="19:21" ht="23.25" customHeight="1" x14ac:dyDescent="0.35">
      <c r="S2924" s="56" t="str">
        <f t="shared" si="135"/>
        <v/>
      </c>
      <c r="T2924" s="57" t="str">
        <f t="shared" si="136"/>
        <v/>
      </c>
      <c r="U2924" s="58" t="str">
        <f t="shared" si="137"/>
        <v/>
      </c>
    </row>
    <row r="2925" spans="19:21" ht="23.25" customHeight="1" x14ac:dyDescent="0.35">
      <c r="S2925" s="56" t="str">
        <f t="shared" si="135"/>
        <v/>
      </c>
      <c r="T2925" s="57" t="str">
        <f t="shared" si="136"/>
        <v/>
      </c>
      <c r="U2925" s="58" t="str">
        <f t="shared" si="137"/>
        <v/>
      </c>
    </row>
    <row r="2926" spans="19:21" ht="23.25" customHeight="1" x14ac:dyDescent="0.35">
      <c r="S2926" s="56" t="str">
        <f t="shared" si="135"/>
        <v/>
      </c>
      <c r="T2926" s="57" t="str">
        <f t="shared" si="136"/>
        <v/>
      </c>
      <c r="U2926" s="58" t="str">
        <f t="shared" si="137"/>
        <v/>
      </c>
    </row>
    <row r="2927" spans="19:21" ht="23.25" customHeight="1" x14ac:dyDescent="0.35">
      <c r="S2927" s="56" t="str">
        <f t="shared" si="135"/>
        <v/>
      </c>
      <c r="T2927" s="57" t="str">
        <f t="shared" si="136"/>
        <v/>
      </c>
      <c r="U2927" s="58" t="str">
        <f t="shared" si="137"/>
        <v/>
      </c>
    </row>
    <row r="2928" spans="19:21" ht="23.25" customHeight="1" x14ac:dyDescent="0.35">
      <c r="S2928" s="56" t="str">
        <f t="shared" si="135"/>
        <v/>
      </c>
      <c r="T2928" s="57" t="str">
        <f t="shared" si="136"/>
        <v/>
      </c>
      <c r="U2928" s="58" t="str">
        <f t="shared" si="137"/>
        <v/>
      </c>
    </row>
    <row r="2929" spans="19:21" ht="23.25" customHeight="1" x14ac:dyDescent="0.35">
      <c r="S2929" s="56" t="str">
        <f t="shared" si="135"/>
        <v/>
      </c>
      <c r="T2929" s="57" t="str">
        <f t="shared" si="136"/>
        <v/>
      </c>
      <c r="U2929" s="58" t="str">
        <f t="shared" si="137"/>
        <v/>
      </c>
    </row>
    <row r="2930" spans="19:21" ht="23.25" customHeight="1" x14ac:dyDescent="0.35">
      <c r="S2930" s="56" t="str">
        <f t="shared" si="135"/>
        <v/>
      </c>
      <c r="T2930" s="57" t="str">
        <f t="shared" si="136"/>
        <v/>
      </c>
      <c r="U2930" s="58" t="str">
        <f t="shared" si="137"/>
        <v/>
      </c>
    </row>
    <row r="2931" spans="19:21" ht="23.25" customHeight="1" x14ac:dyDescent="0.35">
      <c r="S2931" s="56" t="str">
        <f t="shared" si="135"/>
        <v/>
      </c>
      <c r="T2931" s="57" t="str">
        <f t="shared" si="136"/>
        <v/>
      </c>
      <c r="U2931" s="58" t="str">
        <f t="shared" si="137"/>
        <v/>
      </c>
    </row>
    <row r="2932" spans="19:21" ht="23.25" customHeight="1" x14ac:dyDescent="0.35">
      <c r="S2932" s="56" t="str">
        <f t="shared" si="135"/>
        <v/>
      </c>
      <c r="T2932" s="57" t="str">
        <f t="shared" si="136"/>
        <v/>
      </c>
      <c r="U2932" s="58" t="str">
        <f t="shared" si="137"/>
        <v/>
      </c>
    </row>
    <row r="2933" spans="19:21" ht="23.25" customHeight="1" x14ac:dyDescent="0.35">
      <c r="S2933" s="56" t="str">
        <f t="shared" si="135"/>
        <v/>
      </c>
      <c r="T2933" s="57" t="str">
        <f t="shared" si="136"/>
        <v/>
      </c>
      <c r="U2933" s="58" t="str">
        <f t="shared" si="137"/>
        <v/>
      </c>
    </row>
    <row r="2934" spans="19:21" ht="23.25" customHeight="1" x14ac:dyDescent="0.35">
      <c r="S2934" s="56" t="str">
        <f t="shared" si="135"/>
        <v/>
      </c>
      <c r="T2934" s="57" t="str">
        <f t="shared" si="136"/>
        <v/>
      </c>
      <c r="U2934" s="58" t="str">
        <f t="shared" si="137"/>
        <v/>
      </c>
    </row>
    <row r="2935" spans="19:21" ht="23.25" customHeight="1" x14ac:dyDescent="0.35">
      <c r="S2935" s="56" t="str">
        <f t="shared" si="135"/>
        <v/>
      </c>
      <c r="T2935" s="57" t="str">
        <f t="shared" si="136"/>
        <v/>
      </c>
      <c r="U2935" s="58" t="str">
        <f t="shared" si="137"/>
        <v/>
      </c>
    </row>
    <row r="2936" spans="19:21" ht="23.25" customHeight="1" x14ac:dyDescent="0.35">
      <c r="S2936" s="56" t="str">
        <f t="shared" si="135"/>
        <v/>
      </c>
      <c r="T2936" s="57" t="str">
        <f t="shared" si="136"/>
        <v/>
      </c>
      <c r="U2936" s="58" t="str">
        <f t="shared" si="137"/>
        <v/>
      </c>
    </row>
    <row r="2937" spans="19:21" ht="23.25" customHeight="1" x14ac:dyDescent="0.35">
      <c r="S2937" s="56" t="str">
        <f t="shared" si="135"/>
        <v/>
      </c>
      <c r="T2937" s="57" t="str">
        <f t="shared" si="136"/>
        <v/>
      </c>
      <c r="U2937" s="58" t="str">
        <f t="shared" si="137"/>
        <v/>
      </c>
    </row>
    <row r="2938" spans="19:21" ht="23.25" customHeight="1" x14ac:dyDescent="0.35">
      <c r="S2938" s="56" t="str">
        <f t="shared" si="135"/>
        <v/>
      </c>
      <c r="T2938" s="57" t="str">
        <f t="shared" si="136"/>
        <v/>
      </c>
      <c r="U2938" s="58" t="str">
        <f t="shared" si="137"/>
        <v/>
      </c>
    </row>
    <row r="2939" spans="19:21" ht="23.25" customHeight="1" x14ac:dyDescent="0.35">
      <c r="S2939" s="56" t="str">
        <f t="shared" si="135"/>
        <v/>
      </c>
      <c r="T2939" s="57" t="str">
        <f t="shared" si="136"/>
        <v/>
      </c>
      <c r="U2939" s="58" t="str">
        <f t="shared" si="137"/>
        <v/>
      </c>
    </row>
    <row r="2940" spans="19:21" ht="23.25" customHeight="1" x14ac:dyDescent="0.35">
      <c r="S2940" s="56" t="str">
        <f t="shared" si="135"/>
        <v/>
      </c>
      <c r="T2940" s="57" t="str">
        <f t="shared" si="136"/>
        <v/>
      </c>
      <c r="U2940" s="58" t="str">
        <f t="shared" si="137"/>
        <v/>
      </c>
    </row>
    <row r="2941" spans="19:21" ht="23.25" customHeight="1" x14ac:dyDescent="0.35">
      <c r="S2941" s="56" t="str">
        <f t="shared" si="135"/>
        <v/>
      </c>
      <c r="T2941" s="57" t="str">
        <f t="shared" si="136"/>
        <v/>
      </c>
      <c r="U2941" s="58" t="str">
        <f t="shared" si="137"/>
        <v/>
      </c>
    </row>
    <row r="2942" spans="19:21" ht="23.25" customHeight="1" x14ac:dyDescent="0.35">
      <c r="S2942" s="56" t="str">
        <f t="shared" si="135"/>
        <v/>
      </c>
      <c r="T2942" s="57" t="str">
        <f t="shared" si="136"/>
        <v/>
      </c>
      <c r="U2942" s="58" t="str">
        <f t="shared" si="137"/>
        <v/>
      </c>
    </row>
    <row r="2943" spans="19:21" ht="23.25" customHeight="1" x14ac:dyDescent="0.35">
      <c r="S2943" s="56" t="str">
        <f t="shared" si="135"/>
        <v/>
      </c>
      <c r="T2943" s="57" t="str">
        <f t="shared" si="136"/>
        <v/>
      </c>
      <c r="U2943" s="58" t="str">
        <f t="shared" si="137"/>
        <v/>
      </c>
    </row>
    <row r="2944" spans="19:21" ht="23.25" customHeight="1" x14ac:dyDescent="0.35">
      <c r="S2944" s="56" t="str">
        <f t="shared" si="135"/>
        <v/>
      </c>
      <c r="T2944" s="57" t="str">
        <f t="shared" si="136"/>
        <v/>
      </c>
      <c r="U2944" s="58" t="str">
        <f t="shared" si="137"/>
        <v/>
      </c>
    </row>
    <row r="2945" spans="19:21" ht="23.25" customHeight="1" x14ac:dyDescent="0.35">
      <c r="S2945" s="56" t="str">
        <f t="shared" si="135"/>
        <v/>
      </c>
      <c r="T2945" s="57" t="str">
        <f t="shared" si="136"/>
        <v/>
      </c>
      <c r="U2945" s="58" t="str">
        <f t="shared" si="137"/>
        <v/>
      </c>
    </row>
    <row r="2946" spans="19:21" ht="23.25" customHeight="1" x14ac:dyDescent="0.35">
      <c r="S2946" s="56" t="str">
        <f t="shared" si="135"/>
        <v/>
      </c>
      <c r="T2946" s="57" t="str">
        <f t="shared" si="136"/>
        <v/>
      </c>
      <c r="U2946" s="58" t="str">
        <f t="shared" si="137"/>
        <v/>
      </c>
    </row>
    <row r="2947" spans="19:21" ht="23.25" customHeight="1" x14ac:dyDescent="0.35">
      <c r="S2947" s="56" t="str">
        <f t="shared" si="135"/>
        <v/>
      </c>
      <c r="T2947" s="57" t="str">
        <f t="shared" si="136"/>
        <v/>
      </c>
      <c r="U2947" s="58" t="str">
        <f t="shared" si="137"/>
        <v/>
      </c>
    </row>
    <row r="2948" spans="19:21" ht="23.25" customHeight="1" x14ac:dyDescent="0.35">
      <c r="S2948" s="56" t="str">
        <f t="shared" si="135"/>
        <v/>
      </c>
      <c r="T2948" s="57" t="str">
        <f t="shared" si="136"/>
        <v/>
      </c>
      <c r="U2948" s="58" t="str">
        <f t="shared" si="137"/>
        <v/>
      </c>
    </row>
    <row r="2949" spans="19:21" ht="23.25" customHeight="1" x14ac:dyDescent="0.35">
      <c r="S2949" s="56" t="str">
        <f t="shared" si="135"/>
        <v/>
      </c>
      <c r="T2949" s="57" t="str">
        <f t="shared" si="136"/>
        <v/>
      </c>
      <c r="U2949" s="58" t="str">
        <f t="shared" si="137"/>
        <v/>
      </c>
    </row>
    <row r="2950" spans="19:21" ht="23.25" customHeight="1" x14ac:dyDescent="0.35">
      <c r="S2950" s="56" t="str">
        <f t="shared" si="135"/>
        <v/>
      </c>
      <c r="T2950" s="57" t="str">
        <f t="shared" si="136"/>
        <v/>
      </c>
      <c r="U2950" s="58" t="str">
        <f t="shared" si="137"/>
        <v/>
      </c>
    </row>
    <row r="2951" spans="19:21" ht="23.25" customHeight="1" x14ac:dyDescent="0.35">
      <c r="S2951" s="56" t="str">
        <f t="shared" si="135"/>
        <v/>
      </c>
      <c r="T2951" s="57" t="str">
        <f t="shared" si="136"/>
        <v/>
      </c>
      <c r="U2951" s="58" t="str">
        <f t="shared" si="137"/>
        <v/>
      </c>
    </row>
    <row r="2952" spans="19:21" ht="23.25" customHeight="1" x14ac:dyDescent="0.35">
      <c r="S2952" s="56" t="str">
        <f t="shared" si="135"/>
        <v/>
      </c>
      <c r="T2952" s="57" t="str">
        <f t="shared" si="136"/>
        <v/>
      </c>
      <c r="U2952" s="58" t="str">
        <f t="shared" si="137"/>
        <v/>
      </c>
    </row>
    <row r="2953" spans="19:21" ht="23.25" customHeight="1" x14ac:dyDescent="0.35">
      <c r="S2953" s="56" t="str">
        <f t="shared" ref="S2953:S3016" si="138">IF(A2953="","",A$5-A2953)</f>
        <v/>
      </c>
      <c r="T2953" s="57" t="str">
        <f t="shared" ref="T2953:T3016" si="139">IF(S2953="","",IF(S2953&lt;4,"0-3 Days",IF(S2953&lt;31,"4-30 Days",IF(S2953&lt;61,"31-60 Days",IF(S2953&lt;=90,"61-90 Days",IF(S2953&gt;90,"Above 90 Days","0"))))))</f>
        <v/>
      </c>
      <c r="U2953" s="58" t="str">
        <f t="shared" ref="U2953:U3016" si="140">IF(C2953="","",IF(C2953&gt;0,IF(S2953&lt;30,"Normal",IF(S2953&lt;60,"Especially Mentioned",IF(S2953&lt;90,"Substandard",IF(S2953&lt;=180,"Doubtful",IF(S2953&gt;180,"Loss","0"))))),"Not Applicable"))</f>
        <v/>
      </c>
    </row>
    <row r="2954" spans="19:21" ht="23.25" customHeight="1" x14ac:dyDescent="0.35">
      <c r="S2954" s="56" t="str">
        <f t="shared" si="138"/>
        <v/>
      </c>
      <c r="T2954" s="57" t="str">
        <f t="shared" si="139"/>
        <v/>
      </c>
      <c r="U2954" s="58" t="str">
        <f t="shared" si="140"/>
        <v/>
      </c>
    </row>
    <row r="2955" spans="19:21" ht="23.25" customHeight="1" x14ac:dyDescent="0.35">
      <c r="S2955" s="56" t="str">
        <f t="shared" si="138"/>
        <v/>
      </c>
      <c r="T2955" s="57" t="str">
        <f t="shared" si="139"/>
        <v/>
      </c>
      <c r="U2955" s="58" t="str">
        <f t="shared" si="140"/>
        <v/>
      </c>
    </row>
    <row r="2956" spans="19:21" ht="23.25" customHeight="1" x14ac:dyDescent="0.35">
      <c r="S2956" s="56" t="str">
        <f t="shared" si="138"/>
        <v/>
      </c>
      <c r="T2956" s="57" t="str">
        <f t="shared" si="139"/>
        <v/>
      </c>
      <c r="U2956" s="58" t="str">
        <f t="shared" si="140"/>
        <v/>
      </c>
    </row>
    <row r="2957" spans="19:21" ht="23.25" customHeight="1" x14ac:dyDescent="0.35">
      <c r="S2957" s="56" t="str">
        <f t="shared" si="138"/>
        <v/>
      </c>
      <c r="T2957" s="57" t="str">
        <f t="shared" si="139"/>
        <v/>
      </c>
      <c r="U2957" s="58" t="str">
        <f t="shared" si="140"/>
        <v/>
      </c>
    </row>
    <row r="2958" spans="19:21" ht="23.25" customHeight="1" x14ac:dyDescent="0.35">
      <c r="S2958" s="56" t="str">
        <f t="shared" si="138"/>
        <v/>
      </c>
      <c r="T2958" s="57" t="str">
        <f t="shared" si="139"/>
        <v/>
      </c>
      <c r="U2958" s="58" t="str">
        <f t="shared" si="140"/>
        <v/>
      </c>
    </row>
    <row r="2959" spans="19:21" ht="23.25" customHeight="1" x14ac:dyDescent="0.35">
      <c r="S2959" s="56" t="str">
        <f t="shared" si="138"/>
        <v/>
      </c>
      <c r="T2959" s="57" t="str">
        <f t="shared" si="139"/>
        <v/>
      </c>
      <c r="U2959" s="58" t="str">
        <f t="shared" si="140"/>
        <v/>
      </c>
    </row>
    <row r="2960" spans="19:21" ht="23.25" customHeight="1" x14ac:dyDescent="0.35">
      <c r="S2960" s="56" t="str">
        <f t="shared" si="138"/>
        <v/>
      </c>
      <c r="T2960" s="57" t="str">
        <f t="shared" si="139"/>
        <v/>
      </c>
      <c r="U2960" s="58" t="str">
        <f t="shared" si="140"/>
        <v/>
      </c>
    </row>
    <row r="2961" spans="19:21" ht="23.25" customHeight="1" x14ac:dyDescent="0.35">
      <c r="S2961" s="56" t="str">
        <f t="shared" si="138"/>
        <v/>
      </c>
      <c r="T2961" s="57" t="str">
        <f t="shared" si="139"/>
        <v/>
      </c>
      <c r="U2961" s="58" t="str">
        <f t="shared" si="140"/>
        <v/>
      </c>
    </row>
    <row r="2962" spans="19:21" ht="23.25" customHeight="1" x14ac:dyDescent="0.35">
      <c r="S2962" s="56" t="str">
        <f t="shared" si="138"/>
        <v/>
      </c>
      <c r="T2962" s="57" t="str">
        <f t="shared" si="139"/>
        <v/>
      </c>
      <c r="U2962" s="58" t="str">
        <f t="shared" si="140"/>
        <v/>
      </c>
    </row>
    <row r="2963" spans="19:21" ht="23.25" customHeight="1" x14ac:dyDescent="0.35">
      <c r="S2963" s="56" t="str">
        <f t="shared" si="138"/>
        <v/>
      </c>
      <c r="T2963" s="57" t="str">
        <f t="shared" si="139"/>
        <v/>
      </c>
      <c r="U2963" s="58" t="str">
        <f t="shared" si="140"/>
        <v/>
      </c>
    </row>
    <row r="2964" spans="19:21" ht="23.25" customHeight="1" x14ac:dyDescent="0.35">
      <c r="S2964" s="56" t="str">
        <f t="shared" si="138"/>
        <v/>
      </c>
      <c r="T2964" s="57" t="str">
        <f t="shared" si="139"/>
        <v/>
      </c>
      <c r="U2964" s="58" t="str">
        <f t="shared" si="140"/>
        <v/>
      </c>
    </row>
    <row r="2965" spans="19:21" ht="23.25" customHeight="1" x14ac:dyDescent="0.35">
      <c r="S2965" s="56" t="str">
        <f t="shared" si="138"/>
        <v/>
      </c>
      <c r="T2965" s="57" t="str">
        <f t="shared" si="139"/>
        <v/>
      </c>
      <c r="U2965" s="58" t="str">
        <f t="shared" si="140"/>
        <v/>
      </c>
    </row>
    <row r="2966" spans="19:21" ht="23.25" customHeight="1" x14ac:dyDescent="0.35">
      <c r="S2966" s="56" t="str">
        <f t="shared" si="138"/>
        <v/>
      </c>
      <c r="T2966" s="57" t="str">
        <f t="shared" si="139"/>
        <v/>
      </c>
      <c r="U2966" s="58" t="str">
        <f t="shared" si="140"/>
        <v/>
      </c>
    </row>
    <row r="2967" spans="19:21" ht="23.25" customHeight="1" x14ac:dyDescent="0.35">
      <c r="S2967" s="56" t="str">
        <f t="shared" si="138"/>
        <v/>
      </c>
      <c r="T2967" s="57" t="str">
        <f t="shared" si="139"/>
        <v/>
      </c>
      <c r="U2967" s="58" t="str">
        <f t="shared" si="140"/>
        <v/>
      </c>
    </row>
    <row r="2968" spans="19:21" ht="23.25" customHeight="1" x14ac:dyDescent="0.35">
      <c r="S2968" s="56" t="str">
        <f t="shared" si="138"/>
        <v/>
      </c>
      <c r="T2968" s="57" t="str">
        <f t="shared" si="139"/>
        <v/>
      </c>
      <c r="U2968" s="58" t="str">
        <f t="shared" si="140"/>
        <v/>
      </c>
    </row>
    <row r="2969" spans="19:21" ht="23.25" customHeight="1" x14ac:dyDescent="0.35">
      <c r="S2969" s="56" t="str">
        <f t="shared" si="138"/>
        <v/>
      </c>
      <c r="T2969" s="57" t="str">
        <f t="shared" si="139"/>
        <v/>
      </c>
      <c r="U2969" s="58" t="str">
        <f t="shared" si="140"/>
        <v/>
      </c>
    </row>
    <row r="2970" spans="19:21" ht="23.25" customHeight="1" x14ac:dyDescent="0.35">
      <c r="S2970" s="56" t="str">
        <f t="shared" si="138"/>
        <v/>
      </c>
      <c r="T2970" s="57" t="str">
        <f t="shared" si="139"/>
        <v/>
      </c>
      <c r="U2970" s="58" t="str">
        <f t="shared" si="140"/>
        <v/>
      </c>
    </row>
    <row r="2971" spans="19:21" ht="23.25" customHeight="1" x14ac:dyDescent="0.35">
      <c r="S2971" s="56" t="str">
        <f t="shared" si="138"/>
        <v/>
      </c>
      <c r="T2971" s="57" t="str">
        <f t="shared" si="139"/>
        <v/>
      </c>
      <c r="U2971" s="58" t="str">
        <f t="shared" si="140"/>
        <v/>
      </c>
    </row>
    <row r="2972" spans="19:21" ht="23.25" customHeight="1" x14ac:dyDescent="0.35">
      <c r="S2972" s="56" t="str">
        <f t="shared" si="138"/>
        <v/>
      </c>
      <c r="T2972" s="57" t="str">
        <f t="shared" si="139"/>
        <v/>
      </c>
      <c r="U2972" s="58" t="str">
        <f t="shared" si="140"/>
        <v/>
      </c>
    </row>
    <row r="2973" spans="19:21" ht="23.25" customHeight="1" x14ac:dyDescent="0.35">
      <c r="S2973" s="56" t="str">
        <f t="shared" si="138"/>
        <v/>
      </c>
      <c r="T2973" s="57" t="str">
        <f t="shared" si="139"/>
        <v/>
      </c>
      <c r="U2973" s="58" t="str">
        <f t="shared" si="140"/>
        <v/>
      </c>
    </row>
    <row r="2974" spans="19:21" ht="23.25" customHeight="1" x14ac:dyDescent="0.35">
      <c r="S2974" s="56" t="str">
        <f t="shared" si="138"/>
        <v/>
      </c>
      <c r="T2974" s="57" t="str">
        <f t="shared" si="139"/>
        <v/>
      </c>
      <c r="U2974" s="58" t="str">
        <f t="shared" si="140"/>
        <v/>
      </c>
    </row>
    <row r="2975" spans="19:21" ht="23.25" customHeight="1" x14ac:dyDescent="0.35">
      <c r="S2975" s="56" t="str">
        <f t="shared" si="138"/>
        <v/>
      </c>
      <c r="T2975" s="57" t="str">
        <f t="shared" si="139"/>
        <v/>
      </c>
      <c r="U2975" s="58" t="str">
        <f t="shared" si="140"/>
        <v/>
      </c>
    </row>
    <row r="2976" spans="19:21" ht="23.25" customHeight="1" x14ac:dyDescent="0.35">
      <c r="S2976" s="56" t="str">
        <f t="shared" si="138"/>
        <v/>
      </c>
      <c r="T2976" s="57" t="str">
        <f t="shared" si="139"/>
        <v/>
      </c>
      <c r="U2976" s="58" t="str">
        <f t="shared" si="140"/>
        <v/>
      </c>
    </row>
    <row r="2977" spans="19:21" ht="23.25" customHeight="1" x14ac:dyDescent="0.35">
      <c r="S2977" s="56" t="str">
        <f t="shared" si="138"/>
        <v/>
      </c>
      <c r="T2977" s="57" t="str">
        <f t="shared" si="139"/>
        <v/>
      </c>
      <c r="U2977" s="58" t="str">
        <f t="shared" si="140"/>
        <v/>
      </c>
    </row>
    <row r="2978" spans="19:21" ht="23.25" customHeight="1" x14ac:dyDescent="0.35">
      <c r="S2978" s="56" t="str">
        <f t="shared" si="138"/>
        <v/>
      </c>
      <c r="T2978" s="57" t="str">
        <f t="shared" si="139"/>
        <v/>
      </c>
      <c r="U2978" s="58" t="str">
        <f t="shared" si="140"/>
        <v/>
      </c>
    </row>
    <row r="2979" spans="19:21" ht="23.25" customHeight="1" x14ac:dyDescent="0.35">
      <c r="S2979" s="56" t="str">
        <f t="shared" si="138"/>
        <v/>
      </c>
      <c r="T2979" s="57" t="str">
        <f t="shared" si="139"/>
        <v/>
      </c>
      <c r="U2979" s="58" t="str">
        <f t="shared" si="140"/>
        <v/>
      </c>
    </row>
    <row r="2980" spans="19:21" ht="23.25" customHeight="1" x14ac:dyDescent="0.35">
      <c r="S2980" s="56" t="str">
        <f t="shared" si="138"/>
        <v/>
      </c>
      <c r="T2980" s="57" t="str">
        <f t="shared" si="139"/>
        <v/>
      </c>
      <c r="U2980" s="58" t="str">
        <f t="shared" si="140"/>
        <v/>
      </c>
    </row>
    <row r="2981" spans="19:21" ht="23.25" customHeight="1" x14ac:dyDescent="0.35">
      <c r="S2981" s="56" t="str">
        <f t="shared" si="138"/>
        <v/>
      </c>
      <c r="T2981" s="57" t="str">
        <f t="shared" si="139"/>
        <v/>
      </c>
      <c r="U2981" s="58" t="str">
        <f t="shared" si="140"/>
        <v/>
      </c>
    </row>
    <row r="2982" spans="19:21" ht="23.25" customHeight="1" x14ac:dyDescent="0.35">
      <c r="S2982" s="56" t="str">
        <f t="shared" si="138"/>
        <v/>
      </c>
      <c r="T2982" s="57" t="str">
        <f t="shared" si="139"/>
        <v/>
      </c>
      <c r="U2982" s="58" t="str">
        <f t="shared" si="140"/>
        <v/>
      </c>
    </row>
    <row r="2983" spans="19:21" ht="23.25" customHeight="1" x14ac:dyDescent="0.35">
      <c r="S2983" s="56" t="str">
        <f t="shared" si="138"/>
        <v/>
      </c>
      <c r="T2983" s="57" t="str">
        <f t="shared" si="139"/>
        <v/>
      </c>
      <c r="U2983" s="58" t="str">
        <f t="shared" si="140"/>
        <v/>
      </c>
    </row>
    <row r="2984" spans="19:21" ht="23.25" customHeight="1" x14ac:dyDescent="0.35">
      <c r="S2984" s="56" t="str">
        <f t="shared" si="138"/>
        <v/>
      </c>
      <c r="T2984" s="57" t="str">
        <f t="shared" si="139"/>
        <v/>
      </c>
      <c r="U2984" s="58" t="str">
        <f t="shared" si="140"/>
        <v/>
      </c>
    </row>
    <row r="2985" spans="19:21" ht="23.25" customHeight="1" x14ac:dyDescent="0.35">
      <c r="S2985" s="56" t="str">
        <f t="shared" si="138"/>
        <v/>
      </c>
      <c r="T2985" s="57" t="str">
        <f t="shared" si="139"/>
        <v/>
      </c>
      <c r="U2985" s="58" t="str">
        <f t="shared" si="140"/>
        <v/>
      </c>
    </row>
    <row r="2986" spans="19:21" ht="23.25" customHeight="1" x14ac:dyDescent="0.35">
      <c r="S2986" s="56" t="str">
        <f t="shared" si="138"/>
        <v/>
      </c>
      <c r="T2986" s="57" t="str">
        <f t="shared" si="139"/>
        <v/>
      </c>
      <c r="U2986" s="58" t="str">
        <f t="shared" si="140"/>
        <v/>
      </c>
    </row>
    <row r="2987" spans="19:21" ht="23.25" customHeight="1" x14ac:dyDescent="0.35">
      <c r="S2987" s="56" t="str">
        <f t="shared" si="138"/>
        <v/>
      </c>
      <c r="T2987" s="57" t="str">
        <f t="shared" si="139"/>
        <v/>
      </c>
      <c r="U2987" s="58" t="str">
        <f t="shared" si="140"/>
        <v/>
      </c>
    </row>
    <row r="2988" spans="19:21" ht="23.25" customHeight="1" x14ac:dyDescent="0.35">
      <c r="S2988" s="56" t="str">
        <f t="shared" si="138"/>
        <v/>
      </c>
      <c r="T2988" s="57" t="str">
        <f t="shared" si="139"/>
        <v/>
      </c>
      <c r="U2988" s="58" t="str">
        <f t="shared" si="140"/>
        <v/>
      </c>
    </row>
    <row r="2989" spans="19:21" ht="23.25" customHeight="1" x14ac:dyDescent="0.35">
      <c r="S2989" s="56" t="str">
        <f t="shared" si="138"/>
        <v/>
      </c>
      <c r="T2989" s="57" t="str">
        <f t="shared" si="139"/>
        <v/>
      </c>
      <c r="U2989" s="58" t="str">
        <f t="shared" si="140"/>
        <v/>
      </c>
    </row>
    <row r="2990" spans="19:21" ht="23.25" customHeight="1" x14ac:dyDescent="0.35">
      <c r="S2990" s="56" t="str">
        <f t="shared" si="138"/>
        <v/>
      </c>
      <c r="T2990" s="57" t="str">
        <f t="shared" si="139"/>
        <v/>
      </c>
      <c r="U2990" s="58" t="str">
        <f t="shared" si="140"/>
        <v/>
      </c>
    </row>
    <row r="2991" spans="19:21" ht="23.25" customHeight="1" x14ac:dyDescent="0.35">
      <c r="S2991" s="56" t="str">
        <f t="shared" si="138"/>
        <v/>
      </c>
      <c r="T2991" s="57" t="str">
        <f t="shared" si="139"/>
        <v/>
      </c>
      <c r="U2991" s="58" t="str">
        <f t="shared" si="140"/>
        <v/>
      </c>
    </row>
    <row r="2992" spans="19:21" ht="23.25" customHeight="1" x14ac:dyDescent="0.35">
      <c r="S2992" s="56" t="str">
        <f t="shared" si="138"/>
        <v/>
      </c>
      <c r="T2992" s="57" t="str">
        <f t="shared" si="139"/>
        <v/>
      </c>
      <c r="U2992" s="58" t="str">
        <f t="shared" si="140"/>
        <v/>
      </c>
    </row>
    <row r="2993" spans="19:21" ht="23.25" customHeight="1" x14ac:dyDescent="0.35">
      <c r="S2993" s="56" t="str">
        <f t="shared" si="138"/>
        <v/>
      </c>
      <c r="T2993" s="57" t="str">
        <f t="shared" si="139"/>
        <v/>
      </c>
      <c r="U2993" s="58" t="str">
        <f t="shared" si="140"/>
        <v/>
      </c>
    </row>
    <row r="2994" spans="19:21" ht="23.25" customHeight="1" x14ac:dyDescent="0.35">
      <c r="S2994" s="56" t="str">
        <f t="shared" si="138"/>
        <v/>
      </c>
      <c r="T2994" s="57" t="str">
        <f t="shared" si="139"/>
        <v/>
      </c>
      <c r="U2994" s="58" t="str">
        <f t="shared" si="140"/>
        <v/>
      </c>
    </row>
    <row r="2995" spans="19:21" ht="23.25" customHeight="1" x14ac:dyDescent="0.35">
      <c r="S2995" s="56" t="str">
        <f t="shared" si="138"/>
        <v/>
      </c>
      <c r="T2995" s="57" t="str">
        <f t="shared" si="139"/>
        <v/>
      </c>
      <c r="U2995" s="58" t="str">
        <f t="shared" si="140"/>
        <v/>
      </c>
    </row>
    <row r="2996" spans="19:21" ht="23.25" customHeight="1" x14ac:dyDescent="0.35">
      <c r="S2996" s="56" t="str">
        <f t="shared" si="138"/>
        <v/>
      </c>
      <c r="T2996" s="57" t="str">
        <f t="shared" si="139"/>
        <v/>
      </c>
      <c r="U2996" s="58" t="str">
        <f t="shared" si="140"/>
        <v/>
      </c>
    </row>
    <row r="2997" spans="19:21" ht="23.25" customHeight="1" x14ac:dyDescent="0.35">
      <c r="S2997" s="56" t="str">
        <f t="shared" si="138"/>
        <v/>
      </c>
      <c r="T2997" s="57" t="str">
        <f t="shared" si="139"/>
        <v/>
      </c>
      <c r="U2997" s="58" t="str">
        <f t="shared" si="140"/>
        <v/>
      </c>
    </row>
    <row r="2998" spans="19:21" ht="23.25" customHeight="1" x14ac:dyDescent="0.35">
      <c r="S2998" s="56" t="str">
        <f t="shared" si="138"/>
        <v/>
      </c>
      <c r="T2998" s="57" t="str">
        <f t="shared" si="139"/>
        <v/>
      </c>
      <c r="U2998" s="58" t="str">
        <f t="shared" si="140"/>
        <v/>
      </c>
    </row>
    <row r="2999" spans="19:21" ht="23.25" customHeight="1" x14ac:dyDescent="0.35">
      <c r="S2999" s="56" t="str">
        <f t="shared" si="138"/>
        <v/>
      </c>
      <c r="T2999" s="57" t="str">
        <f t="shared" si="139"/>
        <v/>
      </c>
      <c r="U2999" s="58" t="str">
        <f t="shared" si="140"/>
        <v/>
      </c>
    </row>
    <row r="3000" spans="19:21" ht="23.25" customHeight="1" x14ac:dyDescent="0.35">
      <c r="S3000" s="56" t="str">
        <f t="shared" si="138"/>
        <v/>
      </c>
      <c r="T3000" s="57" t="str">
        <f t="shared" si="139"/>
        <v/>
      </c>
      <c r="U3000" s="58" t="str">
        <f t="shared" si="140"/>
        <v/>
      </c>
    </row>
    <row r="3001" spans="19:21" ht="23.25" customHeight="1" x14ac:dyDescent="0.35">
      <c r="S3001" s="56" t="str">
        <f t="shared" si="138"/>
        <v/>
      </c>
      <c r="T3001" s="57" t="str">
        <f t="shared" si="139"/>
        <v/>
      </c>
      <c r="U3001" s="58" t="str">
        <f t="shared" si="140"/>
        <v/>
      </c>
    </row>
    <row r="3002" spans="19:21" ht="23.25" customHeight="1" x14ac:dyDescent="0.35">
      <c r="S3002" s="56" t="str">
        <f t="shared" si="138"/>
        <v/>
      </c>
      <c r="T3002" s="57" t="str">
        <f t="shared" si="139"/>
        <v/>
      </c>
      <c r="U3002" s="58" t="str">
        <f t="shared" si="140"/>
        <v/>
      </c>
    </row>
    <row r="3003" spans="19:21" ht="23.25" customHeight="1" x14ac:dyDescent="0.35">
      <c r="S3003" s="56" t="str">
        <f t="shared" si="138"/>
        <v/>
      </c>
      <c r="T3003" s="57" t="str">
        <f t="shared" si="139"/>
        <v/>
      </c>
      <c r="U3003" s="58" t="str">
        <f t="shared" si="140"/>
        <v/>
      </c>
    </row>
    <row r="3004" spans="19:21" ht="23.25" customHeight="1" x14ac:dyDescent="0.35">
      <c r="S3004" s="56" t="str">
        <f t="shared" si="138"/>
        <v/>
      </c>
      <c r="T3004" s="57" t="str">
        <f t="shared" si="139"/>
        <v/>
      </c>
      <c r="U3004" s="58" t="str">
        <f t="shared" si="140"/>
        <v/>
      </c>
    </row>
    <row r="3005" spans="19:21" ht="23.25" customHeight="1" x14ac:dyDescent="0.35">
      <c r="S3005" s="56" t="str">
        <f t="shared" si="138"/>
        <v/>
      </c>
      <c r="T3005" s="57" t="str">
        <f t="shared" si="139"/>
        <v/>
      </c>
      <c r="U3005" s="58" t="str">
        <f t="shared" si="140"/>
        <v/>
      </c>
    </row>
    <row r="3006" spans="19:21" ht="23.25" customHeight="1" x14ac:dyDescent="0.35">
      <c r="S3006" s="56" t="str">
        <f t="shared" si="138"/>
        <v/>
      </c>
      <c r="T3006" s="57" t="str">
        <f t="shared" si="139"/>
        <v/>
      </c>
      <c r="U3006" s="58" t="str">
        <f t="shared" si="140"/>
        <v/>
      </c>
    </row>
    <row r="3007" spans="19:21" ht="23.25" customHeight="1" x14ac:dyDescent="0.35">
      <c r="S3007" s="56" t="str">
        <f t="shared" si="138"/>
        <v/>
      </c>
      <c r="T3007" s="57" t="str">
        <f t="shared" si="139"/>
        <v/>
      </c>
      <c r="U3007" s="58" t="str">
        <f t="shared" si="140"/>
        <v/>
      </c>
    </row>
    <row r="3008" spans="19:21" ht="23.25" customHeight="1" x14ac:dyDescent="0.35">
      <c r="S3008" s="56" t="str">
        <f t="shared" si="138"/>
        <v/>
      </c>
      <c r="T3008" s="57" t="str">
        <f t="shared" si="139"/>
        <v/>
      </c>
      <c r="U3008" s="58" t="str">
        <f t="shared" si="140"/>
        <v/>
      </c>
    </row>
    <row r="3009" spans="19:21" ht="23.25" customHeight="1" x14ac:dyDescent="0.35">
      <c r="S3009" s="56" t="str">
        <f t="shared" si="138"/>
        <v/>
      </c>
      <c r="T3009" s="57" t="str">
        <f t="shared" si="139"/>
        <v/>
      </c>
      <c r="U3009" s="58" t="str">
        <f t="shared" si="140"/>
        <v/>
      </c>
    </row>
    <row r="3010" spans="19:21" ht="23.25" customHeight="1" x14ac:dyDescent="0.35">
      <c r="S3010" s="56" t="str">
        <f t="shared" si="138"/>
        <v/>
      </c>
      <c r="T3010" s="57" t="str">
        <f t="shared" si="139"/>
        <v/>
      </c>
      <c r="U3010" s="58" t="str">
        <f t="shared" si="140"/>
        <v/>
      </c>
    </row>
    <row r="3011" spans="19:21" ht="23.25" customHeight="1" x14ac:dyDescent="0.35">
      <c r="S3011" s="56" t="str">
        <f t="shared" si="138"/>
        <v/>
      </c>
      <c r="T3011" s="57" t="str">
        <f t="shared" si="139"/>
        <v/>
      </c>
      <c r="U3011" s="58" t="str">
        <f t="shared" si="140"/>
        <v/>
      </c>
    </row>
    <row r="3012" spans="19:21" ht="23.25" customHeight="1" x14ac:dyDescent="0.35">
      <c r="S3012" s="56" t="str">
        <f t="shared" si="138"/>
        <v/>
      </c>
      <c r="T3012" s="57" t="str">
        <f t="shared" si="139"/>
        <v/>
      </c>
      <c r="U3012" s="58" t="str">
        <f t="shared" si="140"/>
        <v/>
      </c>
    </row>
    <row r="3013" spans="19:21" ht="23.25" customHeight="1" x14ac:dyDescent="0.35">
      <c r="S3013" s="56" t="str">
        <f t="shared" si="138"/>
        <v/>
      </c>
      <c r="T3013" s="57" t="str">
        <f t="shared" si="139"/>
        <v/>
      </c>
      <c r="U3013" s="58" t="str">
        <f t="shared" si="140"/>
        <v/>
      </c>
    </row>
    <row r="3014" spans="19:21" ht="23.25" customHeight="1" x14ac:dyDescent="0.35">
      <c r="S3014" s="56" t="str">
        <f t="shared" si="138"/>
        <v/>
      </c>
      <c r="T3014" s="57" t="str">
        <f t="shared" si="139"/>
        <v/>
      </c>
      <c r="U3014" s="58" t="str">
        <f t="shared" si="140"/>
        <v/>
      </c>
    </row>
    <row r="3015" spans="19:21" ht="23.25" customHeight="1" x14ac:dyDescent="0.35">
      <c r="S3015" s="56" t="str">
        <f t="shared" si="138"/>
        <v/>
      </c>
      <c r="T3015" s="57" t="str">
        <f t="shared" si="139"/>
        <v/>
      </c>
      <c r="U3015" s="58" t="str">
        <f t="shared" si="140"/>
        <v/>
      </c>
    </row>
    <row r="3016" spans="19:21" ht="23.25" customHeight="1" x14ac:dyDescent="0.35">
      <c r="S3016" s="56" t="str">
        <f t="shared" si="138"/>
        <v/>
      </c>
      <c r="T3016" s="57" t="str">
        <f t="shared" si="139"/>
        <v/>
      </c>
      <c r="U3016" s="58" t="str">
        <f t="shared" si="140"/>
        <v/>
      </c>
    </row>
    <row r="3017" spans="19:21" ht="23.25" customHeight="1" x14ac:dyDescent="0.35">
      <c r="S3017" s="56" t="str">
        <f t="shared" ref="S3017:S3080" si="141">IF(A3017="","",A$5-A3017)</f>
        <v/>
      </c>
      <c r="T3017" s="57" t="str">
        <f t="shared" ref="T3017:T3080" si="142">IF(S3017="","",IF(S3017&lt;4,"0-3 Days",IF(S3017&lt;31,"4-30 Days",IF(S3017&lt;61,"31-60 Days",IF(S3017&lt;=90,"61-90 Days",IF(S3017&gt;90,"Above 90 Days","0"))))))</f>
        <v/>
      </c>
      <c r="U3017" s="58" t="str">
        <f t="shared" ref="U3017:U3080" si="143">IF(C3017="","",IF(C3017&gt;0,IF(S3017&lt;30,"Normal",IF(S3017&lt;60,"Especially Mentioned",IF(S3017&lt;90,"Substandard",IF(S3017&lt;=180,"Doubtful",IF(S3017&gt;180,"Loss","0"))))),"Not Applicable"))</f>
        <v/>
      </c>
    </row>
    <row r="3018" spans="19:21" ht="23.25" customHeight="1" x14ac:dyDescent="0.35">
      <c r="S3018" s="56" t="str">
        <f t="shared" si="141"/>
        <v/>
      </c>
      <c r="T3018" s="57" t="str">
        <f t="shared" si="142"/>
        <v/>
      </c>
      <c r="U3018" s="58" t="str">
        <f t="shared" si="143"/>
        <v/>
      </c>
    </row>
    <row r="3019" spans="19:21" ht="23.25" customHeight="1" x14ac:dyDescent="0.35">
      <c r="S3019" s="56" t="str">
        <f t="shared" si="141"/>
        <v/>
      </c>
      <c r="T3019" s="57" t="str">
        <f t="shared" si="142"/>
        <v/>
      </c>
      <c r="U3019" s="58" t="str">
        <f t="shared" si="143"/>
        <v/>
      </c>
    </row>
    <row r="3020" spans="19:21" ht="23.25" customHeight="1" x14ac:dyDescent="0.35">
      <c r="S3020" s="56" t="str">
        <f t="shared" si="141"/>
        <v/>
      </c>
      <c r="T3020" s="57" t="str">
        <f t="shared" si="142"/>
        <v/>
      </c>
      <c r="U3020" s="58" t="str">
        <f t="shared" si="143"/>
        <v/>
      </c>
    </row>
    <row r="3021" spans="19:21" ht="23.25" customHeight="1" x14ac:dyDescent="0.35">
      <c r="S3021" s="56" t="str">
        <f t="shared" si="141"/>
        <v/>
      </c>
      <c r="T3021" s="57" t="str">
        <f t="shared" si="142"/>
        <v/>
      </c>
      <c r="U3021" s="58" t="str">
        <f t="shared" si="143"/>
        <v/>
      </c>
    </row>
    <row r="3022" spans="19:21" ht="23.25" customHeight="1" x14ac:dyDescent="0.35">
      <c r="S3022" s="56" t="str">
        <f t="shared" si="141"/>
        <v/>
      </c>
      <c r="T3022" s="57" t="str">
        <f t="shared" si="142"/>
        <v/>
      </c>
      <c r="U3022" s="58" t="str">
        <f t="shared" si="143"/>
        <v/>
      </c>
    </row>
    <row r="3023" spans="19:21" ht="23.25" customHeight="1" x14ac:dyDescent="0.35">
      <c r="S3023" s="56" t="str">
        <f t="shared" si="141"/>
        <v/>
      </c>
      <c r="T3023" s="57" t="str">
        <f t="shared" si="142"/>
        <v/>
      </c>
      <c r="U3023" s="58" t="str">
        <f t="shared" si="143"/>
        <v/>
      </c>
    </row>
    <row r="3024" spans="19:21" ht="23.25" customHeight="1" x14ac:dyDescent="0.35">
      <c r="S3024" s="56" t="str">
        <f t="shared" si="141"/>
        <v/>
      </c>
      <c r="T3024" s="57" t="str">
        <f t="shared" si="142"/>
        <v/>
      </c>
      <c r="U3024" s="58" t="str">
        <f t="shared" si="143"/>
        <v/>
      </c>
    </row>
    <row r="3025" spans="19:21" ht="23.25" customHeight="1" x14ac:dyDescent="0.35">
      <c r="S3025" s="56" t="str">
        <f t="shared" si="141"/>
        <v/>
      </c>
      <c r="T3025" s="57" t="str">
        <f t="shared" si="142"/>
        <v/>
      </c>
      <c r="U3025" s="58" t="str">
        <f t="shared" si="143"/>
        <v/>
      </c>
    </row>
    <row r="3026" spans="19:21" ht="23.25" customHeight="1" x14ac:dyDescent="0.35">
      <c r="S3026" s="56" t="str">
        <f t="shared" si="141"/>
        <v/>
      </c>
      <c r="T3026" s="57" t="str">
        <f t="shared" si="142"/>
        <v/>
      </c>
      <c r="U3026" s="58" t="str">
        <f t="shared" si="143"/>
        <v/>
      </c>
    </row>
    <row r="3027" spans="19:21" ht="23.25" customHeight="1" x14ac:dyDescent="0.35">
      <c r="S3027" s="56" t="str">
        <f t="shared" si="141"/>
        <v/>
      </c>
      <c r="T3027" s="57" t="str">
        <f t="shared" si="142"/>
        <v/>
      </c>
      <c r="U3027" s="58" t="str">
        <f t="shared" si="143"/>
        <v/>
      </c>
    </row>
    <row r="3028" spans="19:21" ht="23.25" customHeight="1" x14ac:dyDescent="0.35">
      <c r="S3028" s="56" t="str">
        <f t="shared" si="141"/>
        <v/>
      </c>
      <c r="T3028" s="57" t="str">
        <f t="shared" si="142"/>
        <v/>
      </c>
      <c r="U3028" s="58" t="str">
        <f t="shared" si="143"/>
        <v/>
      </c>
    </row>
    <row r="3029" spans="19:21" ht="23.25" customHeight="1" x14ac:dyDescent="0.35">
      <c r="S3029" s="56" t="str">
        <f t="shared" si="141"/>
        <v/>
      </c>
      <c r="T3029" s="57" t="str">
        <f t="shared" si="142"/>
        <v/>
      </c>
      <c r="U3029" s="58" t="str">
        <f t="shared" si="143"/>
        <v/>
      </c>
    </row>
    <row r="3030" spans="19:21" ht="23.25" customHeight="1" x14ac:dyDescent="0.35">
      <c r="S3030" s="56" t="str">
        <f t="shared" si="141"/>
        <v/>
      </c>
      <c r="T3030" s="57" t="str">
        <f t="shared" si="142"/>
        <v/>
      </c>
      <c r="U3030" s="58" t="str">
        <f t="shared" si="143"/>
        <v/>
      </c>
    </row>
    <row r="3031" spans="19:21" ht="23.25" customHeight="1" x14ac:dyDescent="0.35">
      <c r="S3031" s="56" t="str">
        <f t="shared" si="141"/>
        <v/>
      </c>
      <c r="T3031" s="57" t="str">
        <f t="shared" si="142"/>
        <v/>
      </c>
      <c r="U3031" s="58" t="str">
        <f t="shared" si="143"/>
        <v/>
      </c>
    </row>
    <row r="3032" spans="19:21" ht="23.25" customHeight="1" x14ac:dyDescent="0.35">
      <c r="S3032" s="56" t="str">
        <f t="shared" si="141"/>
        <v/>
      </c>
      <c r="T3032" s="57" t="str">
        <f t="shared" si="142"/>
        <v/>
      </c>
      <c r="U3032" s="58" t="str">
        <f t="shared" si="143"/>
        <v/>
      </c>
    </row>
    <row r="3033" spans="19:21" ht="23.25" customHeight="1" x14ac:dyDescent="0.35">
      <c r="S3033" s="56" t="str">
        <f t="shared" si="141"/>
        <v/>
      </c>
      <c r="T3033" s="57" t="str">
        <f t="shared" si="142"/>
        <v/>
      </c>
      <c r="U3033" s="58" t="str">
        <f t="shared" si="143"/>
        <v/>
      </c>
    </row>
    <row r="3034" spans="19:21" ht="23.25" customHeight="1" x14ac:dyDescent="0.35">
      <c r="S3034" s="56" t="str">
        <f t="shared" si="141"/>
        <v/>
      </c>
      <c r="T3034" s="57" t="str">
        <f t="shared" si="142"/>
        <v/>
      </c>
      <c r="U3034" s="58" t="str">
        <f t="shared" si="143"/>
        <v/>
      </c>
    </row>
    <row r="3035" spans="19:21" ht="23.25" customHeight="1" x14ac:dyDescent="0.35">
      <c r="S3035" s="56" t="str">
        <f t="shared" si="141"/>
        <v/>
      </c>
      <c r="T3035" s="57" t="str">
        <f t="shared" si="142"/>
        <v/>
      </c>
      <c r="U3035" s="58" t="str">
        <f t="shared" si="143"/>
        <v/>
      </c>
    </row>
    <row r="3036" spans="19:21" ht="23.25" customHeight="1" x14ac:dyDescent="0.35">
      <c r="S3036" s="56" t="str">
        <f t="shared" si="141"/>
        <v/>
      </c>
      <c r="T3036" s="57" t="str">
        <f t="shared" si="142"/>
        <v/>
      </c>
      <c r="U3036" s="58" t="str">
        <f t="shared" si="143"/>
        <v/>
      </c>
    </row>
    <row r="3037" spans="19:21" ht="23.25" customHeight="1" x14ac:dyDescent="0.35">
      <c r="S3037" s="56" t="str">
        <f t="shared" si="141"/>
        <v/>
      </c>
      <c r="T3037" s="57" t="str">
        <f t="shared" si="142"/>
        <v/>
      </c>
      <c r="U3037" s="58" t="str">
        <f t="shared" si="143"/>
        <v/>
      </c>
    </row>
    <row r="3038" spans="19:21" ht="23.25" customHeight="1" x14ac:dyDescent="0.35">
      <c r="S3038" s="56" t="str">
        <f t="shared" si="141"/>
        <v/>
      </c>
      <c r="T3038" s="57" t="str">
        <f t="shared" si="142"/>
        <v/>
      </c>
      <c r="U3038" s="58" t="str">
        <f t="shared" si="143"/>
        <v/>
      </c>
    </row>
    <row r="3039" spans="19:21" ht="23.25" customHeight="1" x14ac:dyDescent="0.35">
      <c r="S3039" s="56" t="str">
        <f t="shared" si="141"/>
        <v/>
      </c>
      <c r="T3039" s="57" t="str">
        <f t="shared" si="142"/>
        <v/>
      </c>
      <c r="U3039" s="58" t="str">
        <f t="shared" si="143"/>
        <v/>
      </c>
    </row>
    <row r="3040" spans="19:21" ht="23.25" customHeight="1" x14ac:dyDescent="0.35">
      <c r="S3040" s="56" t="str">
        <f t="shared" si="141"/>
        <v/>
      </c>
      <c r="T3040" s="57" t="str">
        <f t="shared" si="142"/>
        <v/>
      </c>
      <c r="U3040" s="58" t="str">
        <f t="shared" si="143"/>
        <v/>
      </c>
    </row>
    <row r="3041" spans="19:21" ht="23.25" customHeight="1" x14ac:dyDescent="0.35">
      <c r="S3041" s="56" t="str">
        <f t="shared" si="141"/>
        <v/>
      </c>
      <c r="T3041" s="57" t="str">
        <f t="shared" si="142"/>
        <v/>
      </c>
      <c r="U3041" s="58" t="str">
        <f t="shared" si="143"/>
        <v/>
      </c>
    </row>
    <row r="3042" spans="19:21" ht="23.25" customHeight="1" x14ac:dyDescent="0.35">
      <c r="S3042" s="56" t="str">
        <f t="shared" si="141"/>
        <v/>
      </c>
      <c r="T3042" s="57" t="str">
        <f t="shared" si="142"/>
        <v/>
      </c>
      <c r="U3042" s="58" t="str">
        <f t="shared" si="143"/>
        <v/>
      </c>
    </row>
    <row r="3043" spans="19:21" ht="23.25" customHeight="1" x14ac:dyDescent="0.35">
      <c r="S3043" s="56" t="str">
        <f t="shared" si="141"/>
        <v/>
      </c>
      <c r="T3043" s="57" t="str">
        <f t="shared" si="142"/>
        <v/>
      </c>
      <c r="U3043" s="58" t="str">
        <f t="shared" si="143"/>
        <v/>
      </c>
    </row>
    <row r="3044" spans="19:21" ht="23.25" customHeight="1" x14ac:dyDescent="0.35">
      <c r="S3044" s="56" t="str">
        <f t="shared" si="141"/>
        <v/>
      </c>
      <c r="T3044" s="57" t="str">
        <f t="shared" si="142"/>
        <v/>
      </c>
      <c r="U3044" s="58" t="str">
        <f t="shared" si="143"/>
        <v/>
      </c>
    </row>
    <row r="3045" spans="19:21" ht="23.25" customHeight="1" x14ac:dyDescent="0.35">
      <c r="S3045" s="56" t="str">
        <f t="shared" si="141"/>
        <v/>
      </c>
      <c r="T3045" s="57" t="str">
        <f t="shared" si="142"/>
        <v/>
      </c>
      <c r="U3045" s="58" t="str">
        <f t="shared" si="143"/>
        <v/>
      </c>
    </row>
    <row r="3046" spans="19:21" ht="23.25" customHeight="1" x14ac:dyDescent="0.35">
      <c r="S3046" s="56" t="str">
        <f t="shared" si="141"/>
        <v/>
      </c>
      <c r="T3046" s="57" t="str">
        <f t="shared" si="142"/>
        <v/>
      </c>
      <c r="U3046" s="58" t="str">
        <f t="shared" si="143"/>
        <v/>
      </c>
    </row>
    <row r="3047" spans="19:21" ht="23.25" customHeight="1" x14ac:dyDescent="0.35">
      <c r="S3047" s="56" t="str">
        <f t="shared" si="141"/>
        <v/>
      </c>
      <c r="T3047" s="57" t="str">
        <f t="shared" si="142"/>
        <v/>
      </c>
      <c r="U3047" s="58" t="str">
        <f t="shared" si="143"/>
        <v/>
      </c>
    </row>
    <row r="3048" spans="19:21" ht="23.25" customHeight="1" x14ac:dyDescent="0.35">
      <c r="S3048" s="56" t="str">
        <f t="shared" si="141"/>
        <v/>
      </c>
      <c r="T3048" s="57" t="str">
        <f t="shared" si="142"/>
        <v/>
      </c>
      <c r="U3048" s="58" t="str">
        <f t="shared" si="143"/>
        <v/>
      </c>
    </row>
    <row r="3049" spans="19:21" ht="23.25" customHeight="1" x14ac:dyDescent="0.35">
      <c r="S3049" s="56" t="str">
        <f t="shared" si="141"/>
        <v/>
      </c>
      <c r="T3049" s="57" t="str">
        <f t="shared" si="142"/>
        <v/>
      </c>
      <c r="U3049" s="58" t="str">
        <f t="shared" si="143"/>
        <v/>
      </c>
    </row>
    <row r="3050" spans="19:21" ht="23.25" customHeight="1" x14ac:dyDescent="0.35">
      <c r="S3050" s="56" t="str">
        <f t="shared" si="141"/>
        <v/>
      </c>
      <c r="T3050" s="57" t="str">
        <f t="shared" si="142"/>
        <v/>
      </c>
      <c r="U3050" s="58" t="str">
        <f t="shared" si="143"/>
        <v/>
      </c>
    </row>
    <row r="3051" spans="19:21" ht="23.25" customHeight="1" x14ac:dyDescent="0.35">
      <c r="S3051" s="56" t="str">
        <f t="shared" si="141"/>
        <v/>
      </c>
      <c r="T3051" s="57" t="str">
        <f t="shared" si="142"/>
        <v/>
      </c>
      <c r="U3051" s="58" t="str">
        <f t="shared" si="143"/>
        <v/>
      </c>
    </row>
    <row r="3052" spans="19:21" ht="23.25" customHeight="1" x14ac:dyDescent="0.35">
      <c r="S3052" s="56" t="str">
        <f t="shared" si="141"/>
        <v/>
      </c>
      <c r="T3052" s="57" t="str">
        <f t="shared" si="142"/>
        <v/>
      </c>
      <c r="U3052" s="58" t="str">
        <f t="shared" si="143"/>
        <v/>
      </c>
    </row>
    <row r="3053" spans="19:21" ht="23.25" customHeight="1" x14ac:dyDescent="0.35">
      <c r="S3053" s="56" t="str">
        <f t="shared" si="141"/>
        <v/>
      </c>
      <c r="T3053" s="57" t="str">
        <f t="shared" si="142"/>
        <v/>
      </c>
      <c r="U3053" s="58" t="str">
        <f t="shared" si="143"/>
        <v/>
      </c>
    </row>
    <row r="3054" spans="19:21" ht="23.25" customHeight="1" x14ac:dyDescent="0.35">
      <c r="S3054" s="56" t="str">
        <f t="shared" si="141"/>
        <v/>
      </c>
      <c r="T3054" s="57" t="str">
        <f t="shared" si="142"/>
        <v/>
      </c>
      <c r="U3054" s="58" t="str">
        <f t="shared" si="143"/>
        <v/>
      </c>
    </row>
    <row r="3055" spans="19:21" ht="23.25" customHeight="1" x14ac:dyDescent="0.35">
      <c r="S3055" s="56" t="str">
        <f t="shared" si="141"/>
        <v/>
      </c>
      <c r="T3055" s="57" t="str">
        <f t="shared" si="142"/>
        <v/>
      </c>
      <c r="U3055" s="58" t="str">
        <f t="shared" si="143"/>
        <v/>
      </c>
    </row>
    <row r="3056" spans="19:21" ht="23.25" customHeight="1" x14ac:dyDescent="0.35">
      <c r="S3056" s="56" t="str">
        <f t="shared" si="141"/>
        <v/>
      </c>
      <c r="T3056" s="57" t="str">
        <f t="shared" si="142"/>
        <v/>
      </c>
      <c r="U3056" s="58" t="str">
        <f t="shared" si="143"/>
        <v/>
      </c>
    </row>
    <row r="3057" spans="19:21" ht="23.25" customHeight="1" x14ac:dyDescent="0.35">
      <c r="S3057" s="56" t="str">
        <f t="shared" si="141"/>
        <v/>
      </c>
      <c r="T3057" s="57" t="str">
        <f t="shared" si="142"/>
        <v/>
      </c>
      <c r="U3057" s="58" t="str">
        <f t="shared" si="143"/>
        <v/>
      </c>
    </row>
    <row r="3058" spans="19:21" ht="23.25" customHeight="1" x14ac:dyDescent="0.35">
      <c r="S3058" s="56" t="str">
        <f t="shared" si="141"/>
        <v/>
      </c>
      <c r="T3058" s="57" t="str">
        <f t="shared" si="142"/>
        <v/>
      </c>
      <c r="U3058" s="58" t="str">
        <f t="shared" si="143"/>
        <v/>
      </c>
    </row>
    <row r="3059" spans="19:21" ht="23.25" customHeight="1" x14ac:dyDescent="0.35">
      <c r="S3059" s="56" t="str">
        <f t="shared" si="141"/>
        <v/>
      </c>
      <c r="T3059" s="57" t="str">
        <f t="shared" si="142"/>
        <v/>
      </c>
      <c r="U3059" s="58" t="str">
        <f t="shared" si="143"/>
        <v/>
      </c>
    </row>
    <row r="3060" spans="19:21" ht="23.25" customHeight="1" x14ac:dyDescent="0.35">
      <c r="S3060" s="56" t="str">
        <f t="shared" si="141"/>
        <v/>
      </c>
      <c r="T3060" s="57" t="str">
        <f t="shared" si="142"/>
        <v/>
      </c>
      <c r="U3060" s="58" t="str">
        <f t="shared" si="143"/>
        <v/>
      </c>
    </row>
    <row r="3061" spans="19:21" ht="23.25" customHeight="1" x14ac:dyDescent="0.35">
      <c r="S3061" s="56" t="str">
        <f t="shared" si="141"/>
        <v/>
      </c>
      <c r="T3061" s="57" t="str">
        <f t="shared" si="142"/>
        <v/>
      </c>
      <c r="U3061" s="58" t="str">
        <f t="shared" si="143"/>
        <v/>
      </c>
    </row>
    <row r="3062" spans="19:21" ht="23.25" customHeight="1" x14ac:dyDescent="0.35">
      <c r="S3062" s="56" t="str">
        <f t="shared" si="141"/>
        <v/>
      </c>
      <c r="T3062" s="57" t="str">
        <f t="shared" si="142"/>
        <v/>
      </c>
      <c r="U3062" s="58" t="str">
        <f t="shared" si="143"/>
        <v/>
      </c>
    </row>
    <row r="3063" spans="19:21" ht="23.25" customHeight="1" x14ac:dyDescent="0.35">
      <c r="S3063" s="56" t="str">
        <f t="shared" si="141"/>
        <v/>
      </c>
      <c r="T3063" s="57" t="str">
        <f t="shared" si="142"/>
        <v/>
      </c>
      <c r="U3063" s="58" t="str">
        <f t="shared" si="143"/>
        <v/>
      </c>
    </row>
    <row r="3064" spans="19:21" ht="23.25" customHeight="1" x14ac:dyDescent="0.35">
      <c r="S3064" s="56" t="str">
        <f t="shared" si="141"/>
        <v/>
      </c>
      <c r="T3064" s="57" t="str">
        <f t="shared" si="142"/>
        <v/>
      </c>
      <c r="U3064" s="58" t="str">
        <f t="shared" si="143"/>
        <v/>
      </c>
    </row>
    <row r="3065" spans="19:21" ht="23.25" customHeight="1" x14ac:dyDescent="0.35">
      <c r="S3065" s="56" t="str">
        <f t="shared" si="141"/>
        <v/>
      </c>
      <c r="T3065" s="57" t="str">
        <f t="shared" si="142"/>
        <v/>
      </c>
      <c r="U3065" s="58" t="str">
        <f t="shared" si="143"/>
        <v/>
      </c>
    </row>
    <row r="3066" spans="19:21" ht="23.25" customHeight="1" x14ac:dyDescent="0.35">
      <c r="S3066" s="56" t="str">
        <f t="shared" si="141"/>
        <v/>
      </c>
      <c r="T3066" s="57" t="str">
        <f t="shared" si="142"/>
        <v/>
      </c>
      <c r="U3066" s="58" t="str">
        <f t="shared" si="143"/>
        <v/>
      </c>
    </row>
    <row r="3067" spans="19:21" ht="23.25" customHeight="1" x14ac:dyDescent="0.35">
      <c r="S3067" s="56" t="str">
        <f t="shared" si="141"/>
        <v/>
      </c>
      <c r="T3067" s="57" t="str">
        <f t="shared" si="142"/>
        <v/>
      </c>
      <c r="U3067" s="58" t="str">
        <f t="shared" si="143"/>
        <v/>
      </c>
    </row>
    <row r="3068" spans="19:21" ht="23.25" customHeight="1" x14ac:dyDescent="0.35">
      <c r="S3068" s="56" t="str">
        <f t="shared" si="141"/>
        <v/>
      </c>
      <c r="T3068" s="57" t="str">
        <f t="shared" si="142"/>
        <v/>
      </c>
      <c r="U3068" s="58" t="str">
        <f t="shared" si="143"/>
        <v/>
      </c>
    </row>
    <row r="3069" spans="19:21" ht="23.25" customHeight="1" x14ac:dyDescent="0.35">
      <c r="S3069" s="56" t="str">
        <f t="shared" si="141"/>
        <v/>
      </c>
      <c r="T3069" s="57" t="str">
        <f t="shared" si="142"/>
        <v/>
      </c>
      <c r="U3069" s="58" t="str">
        <f t="shared" si="143"/>
        <v/>
      </c>
    </row>
    <row r="3070" spans="19:21" ht="23.25" customHeight="1" x14ac:dyDescent="0.35">
      <c r="S3070" s="56" t="str">
        <f t="shared" si="141"/>
        <v/>
      </c>
      <c r="T3070" s="57" t="str">
        <f t="shared" si="142"/>
        <v/>
      </c>
      <c r="U3070" s="58" t="str">
        <f t="shared" si="143"/>
        <v/>
      </c>
    </row>
    <row r="3071" spans="19:21" ht="23.25" customHeight="1" x14ac:dyDescent="0.35">
      <c r="S3071" s="56" t="str">
        <f t="shared" si="141"/>
        <v/>
      </c>
      <c r="T3071" s="57" t="str">
        <f t="shared" si="142"/>
        <v/>
      </c>
      <c r="U3071" s="58" t="str">
        <f t="shared" si="143"/>
        <v/>
      </c>
    </row>
    <row r="3072" spans="19:21" ht="23.25" customHeight="1" x14ac:dyDescent="0.35">
      <c r="S3072" s="56" t="str">
        <f t="shared" si="141"/>
        <v/>
      </c>
      <c r="T3072" s="57" t="str">
        <f t="shared" si="142"/>
        <v/>
      </c>
      <c r="U3072" s="58" t="str">
        <f t="shared" si="143"/>
        <v/>
      </c>
    </row>
    <row r="3073" spans="19:21" ht="23.25" customHeight="1" x14ac:dyDescent="0.35">
      <c r="S3073" s="56" t="str">
        <f t="shared" si="141"/>
        <v/>
      </c>
      <c r="T3073" s="57" t="str">
        <f t="shared" si="142"/>
        <v/>
      </c>
      <c r="U3073" s="58" t="str">
        <f t="shared" si="143"/>
        <v/>
      </c>
    </row>
    <row r="3074" spans="19:21" ht="23.25" customHeight="1" x14ac:dyDescent="0.35">
      <c r="S3074" s="56" t="str">
        <f t="shared" si="141"/>
        <v/>
      </c>
      <c r="T3074" s="57" t="str">
        <f t="shared" si="142"/>
        <v/>
      </c>
      <c r="U3074" s="58" t="str">
        <f t="shared" si="143"/>
        <v/>
      </c>
    </row>
    <row r="3075" spans="19:21" ht="23.25" customHeight="1" x14ac:dyDescent="0.35">
      <c r="S3075" s="56" t="str">
        <f t="shared" si="141"/>
        <v/>
      </c>
      <c r="T3075" s="57" t="str">
        <f t="shared" si="142"/>
        <v/>
      </c>
      <c r="U3075" s="58" t="str">
        <f t="shared" si="143"/>
        <v/>
      </c>
    </row>
    <row r="3076" spans="19:21" ht="23.25" customHeight="1" x14ac:dyDescent="0.35">
      <c r="S3076" s="56" t="str">
        <f t="shared" si="141"/>
        <v/>
      </c>
      <c r="T3076" s="57" t="str">
        <f t="shared" si="142"/>
        <v/>
      </c>
      <c r="U3076" s="58" t="str">
        <f t="shared" si="143"/>
        <v/>
      </c>
    </row>
    <row r="3077" spans="19:21" ht="23.25" customHeight="1" x14ac:dyDescent="0.35">
      <c r="S3077" s="56" t="str">
        <f t="shared" si="141"/>
        <v/>
      </c>
      <c r="T3077" s="57" t="str">
        <f t="shared" si="142"/>
        <v/>
      </c>
      <c r="U3077" s="58" t="str">
        <f t="shared" si="143"/>
        <v/>
      </c>
    </row>
    <row r="3078" spans="19:21" ht="23.25" customHeight="1" x14ac:dyDescent="0.35">
      <c r="S3078" s="56" t="str">
        <f t="shared" si="141"/>
        <v/>
      </c>
      <c r="T3078" s="57" t="str">
        <f t="shared" si="142"/>
        <v/>
      </c>
      <c r="U3078" s="58" t="str">
        <f t="shared" si="143"/>
        <v/>
      </c>
    </row>
    <row r="3079" spans="19:21" ht="23.25" customHeight="1" x14ac:dyDescent="0.35">
      <c r="S3079" s="56" t="str">
        <f t="shared" si="141"/>
        <v/>
      </c>
      <c r="T3079" s="57" t="str">
        <f t="shared" si="142"/>
        <v/>
      </c>
      <c r="U3079" s="58" t="str">
        <f t="shared" si="143"/>
        <v/>
      </c>
    </row>
    <row r="3080" spans="19:21" ht="23.25" customHeight="1" x14ac:dyDescent="0.35">
      <c r="S3080" s="56" t="str">
        <f t="shared" si="141"/>
        <v/>
      </c>
      <c r="T3080" s="57" t="str">
        <f t="shared" si="142"/>
        <v/>
      </c>
      <c r="U3080" s="58" t="str">
        <f t="shared" si="143"/>
        <v/>
      </c>
    </row>
    <row r="3081" spans="19:21" ht="23.25" customHeight="1" x14ac:dyDescent="0.35">
      <c r="S3081" s="56" t="str">
        <f t="shared" ref="S3081:S3144" si="144">IF(A3081="","",A$5-A3081)</f>
        <v/>
      </c>
      <c r="T3081" s="57" t="str">
        <f t="shared" ref="T3081:T3144" si="145">IF(S3081="","",IF(S3081&lt;4,"0-3 Days",IF(S3081&lt;31,"4-30 Days",IF(S3081&lt;61,"31-60 Days",IF(S3081&lt;=90,"61-90 Days",IF(S3081&gt;90,"Above 90 Days","0"))))))</f>
        <v/>
      </c>
      <c r="U3081" s="58" t="str">
        <f t="shared" ref="U3081:U3144" si="146">IF(C3081="","",IF(C3081&gt;0,IF(S3081&lt;30,"Normal",IF(S3081&lt;60,"Especially Mentioned",IF(S3081&lt;90,"Substandard",IF(S3081&lt;=180,"Doubtful",IF(S3081&gt;180,"Loss","0"))))),"Not Applicable"))</f>
        <v/>
      </c>
    </row>
    <row r="3082" spans="19:21" ht="23.25" customHeight="1" x14ac:dyDescent="0.35">
      <c r="S3082" s="56" t="str">
        <f t="shared" si="144"/>
        <v/>
      </c>
      <c r="T3082" s="57" t="str">
        <f t="shared" si="145"/>
        <v/>
      </c>
      <c r="U3082" s="58" t="str">
        <f t="shared" si="146"/>
        <v/>
      </c>
    </row>
    <row r="3083" spans="19:21" ht="23.25" customHeight="1" x14ac:dyDescent="0.35">
      <c r="S3083" s="56" t="str">
        <f t="shared" si="144"/>
        <v/>
      </c>
      <c r="T3083" s="57" t="str">
        <f t="shared" si="145"/>
        <v/>
      </c>
      <c r="U3083" s="58" t="str">
        <f t="shared" si="146"/>
        <v/>
      </c>
    </row>
    <row r="3084" spans="19:21" ht="23.25" customHeight="1" x14ac:dyDescent="0.35">
      <c r="S3084" s="56" t="str">
        <f t="shared" si="144"/>
        <v/>
      </c>
      <c r="T3084" s="57" t="str">
        <f t="shared" si="145"/>
        <v/>
      </c>
      <c r="U3084" s="58" t="str">
        <f t="shared" si="146"/>
        <v/>
      </c>
    </row>
    <row r="3085" spans="19:21" ht="23.25" customHeight="1" x14ac:dyDescent="0.35">
      <c r="S3085" s="56" t="str">
        <f t="shared" si="144"/>
        <v/>
      </c>
      <c r="T3085" s="57" t="str">
        <f t="shared" si="145"/>
        <v/>
      </c>
      <c r="U3085" s="58" t="str">
        <f t="shared" si="146"/>
        <v/>
      </c>
    </row>
    <row r="3086" spans="19:21" ht="23.25" customHeight="1" x14ac:dyDescent="0.35">
      <c r="S3086" s="56" t="str">
        <f t="shared" si="144"/>
        <v/>
      </c>
      <c r="T3086" s="57" t="str">
        <f t="shared" si="145"/>
        <v/>
      </c>
      <c r="U3086" s="58" t="str">
        <f t="shared" si="146"/>
        <v/>
      </c>
    </row>
    <row r="3087" spans="19:21" ht="23.25" customHeight="1" x14ac:dyDescent="0.35">
      <c r="S3087" s="56" t="str">
        <f t="shared" si="144"/>
        <v/>
      </c>
      <c r="T3087" s="57" t="str">
        <f t="shared" si="145"/>
        <v/>
      </c>
      <c r="U3087" s="58" t="str">
        <f t="shared" si="146"/>
        <v/>
      </c>
    </row>
    <row r="3088" spans="19:21" ht="23.25" customHeight="1" x14ac:dyDescent="0.35">
      <c r="S3088" s="56" t="str">
        <f t="shared" si="144"/>
        <v/>
      </c>
      <c r="T3088" s="57" t="str">
        <f t="shared" si="145"/>
        <v/>
      </c>
      <c r="U3088" s="58" t="str">
        <f t="shared" si="146"/>
        <v/>
      </c>
    </row>
    <row r="3089" spans="19:21" ht="23.25" customHeight="1" x14ac:dyDescent="0.35">
      <c r="S3089" s="56" t="str">
        <f t="shared" si="144"/>
        <v/>
      </c>
      <c r="T3089" s="57" t="str">
        <f t="shared" si="145"/>
        <v/>
      </c>
      <c r="U3089" s="58" t="str">
        <f t="shared" si="146"/>
        <v/>
      </c>
    </row>
    <row r="3090" spans="19:21" ht="23.25" customHeight="1" x14ac:dyDescent="0.35">
      <c r="S3090" s="56" t="str">
        <f t="shared" si="144"/>
        <v/>
      </c>
      <c r="T3090" s="57" t="str">
        <f t="shared" si="145"/>
        <v/>
      </c>
      <c r="U3090" s="58" t="str">
        <f t="shared" si="146"/>
        <v/>
      </c>
    </row>
    <row r="3091" spans="19:21" ht="23.25" customHeight="1" x14ac:dyDescent="0.35">
      <c r="S3091" s="56" t="str">
        <f t="shared" si="144"/>
        <v/>
      </c>
      <c r="T3091" s="57" t="str">
        <f t="shared" si="145"/>
        <v/>
      </c>
      <c r="U3091" s="58" t="str">
        <f t="shared" si="146"/>
        <v/>
      </c>
    </row>
    <row r="3092" spans="19:21" ht="23.25" customHeight="1" x14ac:dyDescent="0.35">
      <c r="S3092" s="56" t="str">
        <f t="shared" si="144"/>
        <v/>
      </c>
      <c r="T3092" s="57" t="str">
        <f t="shared" si="145"/>
        <v/>
      </c>
      <c r="U3092" s="58" t="str">
        <f t="shared" si="146"/>
        <v/>
      </c>
    </row>
    <row r="3093" spans="19:21" ht="23.25" customHeight="1" x14ac:dyDescent="0.35">
      <c r="S3093" s="56" t="str">
        <f t="shared" si="144"/>
        <v/>
      </c>
      <c r="T3093" s="57" t="str">
        <f t="shared" si="145"/>
        <v/>
      </c>
      <c r="U3093" s="58" t="str">
        <f t="shared" si="146"/>
        <v/>
      </c>
    </row>
    <row r="3094" spans="19:21" ht="23.25" customHeight="1" x14ac:dyDescent="0.35">
      <c r="S3094" s="56" t="str">
        <f t="shared" si="144"/>
        <v/>
      </c>
      <c r="T3094" s="57" t="str">
        <f t="shared" si="145"/>
        <v/>
      </c>
      <c r="U3094" s="58" t="str">
        <f t="shared" si="146"/>
        <v/>
      </c>
    </row>
    <row r="3095" spans="19:21" ht="23.25" customHeight="1" x14ac:dyDescent="0.35">
      <c r="S3095" s="56" t="str">
        <f t="shared" si="144"/>
        <v/>
      </c>
      <c r="T3095" s="57" t="str">
        <f t="shared" si="145"/>
        <v/>
      </c>
      <c r="U3095" s="58" t="str">
        <f t="shared" si="146"/>
        <v/>
      </c>
    </row>
    <row r="3096" spans="19:21" ht="23.25" customHeight="1" x14ac:dyDescent="0.35">
      <c r="S3096" s="56" t="str">
        <f t="shared" si="144"/>
        <v/>
      </c>
      <c r="T3096" s="57" t="str">
        <f t="shared" si="145"/>
        <v/>
      </c>
      <c r="U3096" s="58" t="str">
        <f t="shared" si="146"/>
        <v/>
      </c>
    </row>
    <row r="3097" spans="19:21" ht="23.25" customHeight="1" x14ac:dyDescent="0.35">
      <c r="S3097" s="56" t="str">
        <f t="shared" si="144"/>
        <v/>
      </c>
      <c r="T3097" s="57" t="str">
        <f t="shared" si="145"/>
        <v/>
      </c>
      <c r="U3097" s="58" t="str">
        <f t="shared" si="146"/>
        <v/>
      </c>
    </row>
    <row r="3098" spans="19:21" ht="23.25" customHeight="1" x14ac:dyDescent="0.35">
      <c r="S3098" s="56" t="str">
        <f t="shared" si="144"/>
        <v/>
      </c>
      <c r="T3098" s="57" t="str">
        <f t="shared" si="145"/>
        <v/>
      </c>
      <c r="U3098" s="58" t="str">
        <f t="shared" si="146"/>
        <v/>
      </c>
    </row>
    <row r="3099" spans="19:21" ht="23.25" customHeight="1" x14ac:dyDescent="0.35">
      <c r="S3099" s="56" t="str">
        <f t="shared" si="144"/>
        <v/>
      </c>
      <c r="T3099" s="57" t="str">
        <f t="shared" si="145"/>
        <v/>
      </c>
      <c r="U3099" s="58" t="str">
        <f t="shared" si="146"/>
        <v/>
      </c>
    </row>
    <row r="3100" spans="19:21" ht="23.25" customHeight="1" x14ac:dyDescent="0.35">
      <c r="S3100" s="56" t="str">
        <f t="shared" si="144"/>
        <v/>
      </c>
      <c r="T3100" s="57" t="str">
        <f t="shared" si="145"/>
        <v/>
      </c>
      <c r="U3100" s="58" t="str">
        <f t="shared" si="146"/>
        <v/>
      </c>
    </row>
    <row r="3101" spans="19:21" ht="23.25" customHeight="1" x14ac:dyDescent="0.35">
      <c r="S3101" s="56" t="str">
        <f t="shared" si="144"/>
        <v/>
      </c>
      <c r="T3101" s="57" t="str">
        <f t="shared" si="145"/>
        <v/>
      </c>
      <c r="U3101" s="58" t="str">
        <f t="shared" si="146"/>
        <v/>
      </c>
    </row>
    <row r="3102" spans="19:21" ht="23.25" customHeight="1" x14ac:dyDescent="0.35">
      <c r="S3102" s="56" t="str">
        <f t="shared" si="144"/>
        <v/>
      </c>
      <c r="T3102" s="57" t="str">
        <f t="shared" si="145"/>
        <v/>
      </c>
      <c r="U3102" s="58" t="str">
        <f t="shared" si="146"/>
        <v/>
      </c>
    </row>
    <row r="3103" spans="19:21" ht="23.25" customHeight="1" x14ac:dyDescent="0.35">
      <c r="S3103" s="56" t="str">
        <f t="shared" si="144"/>
        <v/>
      </c>
      <c r="T3103" s="57" t="str">
        <f t="shared" si="145"/>
        <v/>
      </c>
      <c r="U3103" s="58" t="str">
        <f t="shared" si="146"/>
        <v/>
      </c>
    </row>
    <row r="3104" spans="19:21" ht="23.25" customHeight="1" x14ac:dyDescent="0.35">
      <c r="S3104" s="56" t="str">
        <f t="shared" si="144"/>
        <v/>
      </c>
      <c r="T3104" s="57" t="str">
        <f t="shared" si="145"/>
        <v/>
      </c>
      <c r="U3104" s="58" t="str">
        <f t="shared" si="146"/>
        <v/>
      </c>
    </row>
    <row r="3105" spans="19:21" ht="23.25" customHeight="1" x14ac:dyDescent="0.35">
      <c r="S3105" s="56" t="str">
        <f t="shared" si="144"/>
        <v/>
      </c>
      <c r="T3105" s="57" t="str">
        <f t="shared" si="145"/>
        <v/>
      </c>
      <c r="U3105" s="58" t="str">
        <f t="shared" si="146"/>
        <v/>
      </c>
    </row>
    <row r="3106" spans="19:21" ht="23.25" customHeight="1" x14ac:dyDescent="0.35">
      <c r="S3106" s="56" t="str">
        <f t="shared" si="144"/>
        <v/>
      </c>
      <c r="T3106" s="57" t="str">
        <f t="shared" si="145"/>
        <v/>
      </c>
      <c r="U3106" s="58" t="str">
        <f t="shared" si="146"/>
        <v/>
      </c>
    </row>
    <row r="3107" spans="19:21" ht="23.25" customHeight="1" x14ac:dyDescent="0.35">
      <c r="S3107" s="56" t="str">
        <f t="shared" si="144"/>
        <v/>
      </c>
      <c r="T3107" s="57" t="str">
        <f t="shared" si="145"/>
        <v/>
      </c>
      <c r="U3107" s="58" t="str">
        <f t="shared" si="146"/>
        <v/>
      </c>
    </row>
    <row r="3108" spans="19:21" ht="23.25" customHeight="1" x14ac:dyDescent="0.35">
      <c r="S3108" s="56" t="str">
        <f t="shared" si="144"/>
        <v/>
      </c>
      <c r="T3108" s="57" t="str">
        <f t="shared" si="145"/>
        <v/>
      </c>
      <c r="U3108" s="58" t="str">
        <f t="shared" si="146"/>
        <v/>
      </c>
    </row>
    <row r="3109" spans="19:21" ht="23.25" customHeight="1" x14ac:dyDescent="0.35">
      <c r="S3109" s="56" t="str">
        <f t="shared" si="144"/>
        <v/>
      </c>
      <c r="T3109" s="57" t="str">
        <f t="shared" si="145"/>
        <v/>
      </c>
      <c r="U3109" s="58" t="str">
        <f t="shared" si="146"/>
        <v/>
      </c>
    </row>
    <row r="3110" spans="19:21" ht="23.25" customHeight="1" x14ac:dyDescent="0.35">
      <c r="S3110" s="56" t="str">
        <f t="shared" si="144"/>
        <v/>
      </c>
      <c r="T3110" s="57" t="str">
        <f t="shared" si="145"/>
        <v/>
      </c>
      <c r="U3110" s="58" t="str">
        <f t="shared" si="146"/>
        <v/>
      </c>
    </row>
    <row r="3111" spans="19:21" ht="23.25" customHeight="1" x14ac:dyDescent="0.35">
      <c r="S3111" s="56" t="str">
        <f t="shared" si="144"/>
        <v/>
      </c>
      <c r="T3111" s="57" t="str">
        <f t="shared" si="145"/>
        <v/>
      </c>
      <c r="U3111" s="58" t="str">
        <f t="shared" si="146"/>
        <v/>
      </c>
    </row>
    <row r="3112" spans="19:21" ht="23.25" customHeight="1" x14ac:dyDescent="0.35">
      <c r="S3112" s="56" t="str">
        <f t="shared" si="144"/>
        <v/>
      </c>
      <c r="T3112" s="57" t="str">
        <f t="shared" si="145"/>
        <v/>
      </c>
      <c r="U3112" s="58" t="str">
        <f t="shared" si="146"/>
        <v/>
      </c>
    </row>
    <row r="3113" spans="19:21" ht="23.25" customHeight="1" x14ac:dyDescent="0.35">
      <c r="S3113" s="56" t="str">
        <f t="shared" si="144"/>
        <v/>
      </c>
      <c r="T3113" s="57" t="str">
        <f t="shared" si="145"/>
        <v/>
      </c>
      <c r="U3113" s="58" t="str">
        <f t="shared" si="146"/>
        <v/>
      </c>
    </row>
    <row r="3114" spans="19:21" ht="23.25" customHeight="1" x14ac:dyDescent="0.35">
      <c r="S3114" s="56" t="str">
        <f t="shared" si="144"/>
        <v/>
      </c>
      <c r="T3114" s="57" t="str">
        <f t="shared" si="145"/>
        <v/>
      </c>
      <c r="U3114" s="58" t="str">
        <f t="shared" si="146"/>
        <v/>
      </c>
    </row>
    <row r="3115" spans="19:21" ht="23.25" customHeight="1" x14ac:dyDescent="0.35">
      <c r="S3115" s="56" t="str">
        <f t="shared" si="144"/>
        <v/>
      </c>
      <c r="T3115" s="57" t="str">
        <f t="shared" si="145"/>
        <v/>
      </c>
      <c r="U3115" s="58" t="str">
        <f t="shared" si="146"/>
        <v/>
      </c>
    </row>
    <row r="3116" spans="19:21" ht="23.25" customHeight="1" x14ac:dyDescent="0.35">
      <c r="S3116" s="56" t="str">
        <f t="shared" si="144"/>
        <v/>
      </c>
      <c r="T3116" s="57" t="str">
        <f t="shared" si="145"/>
        <v/>
      </c>
      <c r="U3116" s="58" t="str">
        <f t="shared" si="146"/>
        <v/>
      </c>
    </row>
    <row r="3117" spans="19:21" ht="23.25" customHeight="1" x14ac:dyDescent="0.35">
      <c r="S3117" s="56" t="str">
        <f t="shared" si="144"/>
        <v/>
      </c>
      <c r="T3117" s="57" t="str">
        <f t="shared" si="145"/>
        <v/>
      </c>
      <c r="U3117" s="58" t="str">
        <f t="shared" si="146"/>
        <v/>
      </c>
    </row>
    <row r="3118" spans="19:21" ht="23.25" customHeight="1" x14ac:dyDescent="0.35">
      <c r="S3118" s="56" t="str">
        <f t="shared" si="144"/>
        <v/>
      </c>
      <c r="T3118" s="57" t="str">
        <f t="shared" si="145"/>
        <v/>
      </c>
      <c r="U3118" s="58" t="str">
        <f t="shared" si="146"/>
        <v/>
      </c>
    </row>
    <row r="3119" spans="19:21" ht="23.25" customHeight="1" x14ac:dyDescent="0.35">
      <c r="S3119" s="56" t="str">
        <f t="shared" si="144"/>
        <v/>
      </c>
      <c r="T3119" s="57" t="str">
        <f t="shared" si="145"/>
        <v/>
      </c>
      <c r="U3119" s="58" t="str">
        <f t="shared" si="146"/>
        <v/>
      </c>
    </row>
    <row r="3120" spans="19:21" ht="23.25" customHeight="1" x14ac:dyDescent="0.35">
      <c r="S3120" s="56" t="str">
        <f t="shared" si="144"/>
        <v/>
      </c>
      <c r="T3120" s="57" t="str">
        <f t="shared" si="145"/>
        <v/>
      </c>
      <c r="U3120" s="58" t="str">
        <f t="shared" si="146"/>
        <v/>
      </c>
    </row>
    <row r="3121" spans="19:21" ht="23.25" customHeight="1" x14ac:dyDescent="0.35">
      <c r="S3121" s="56" t="str">
        <f t="shared" si="144"/>
        <v/>
      </c>
      <c r="T3121" s="57" t="str">
        <f t="shared" si="145"/>
        <v/>
      </c>
      <c r="U3121" s="58" t="str">
        <f t="shared" si="146"/>
        <v/>
      </c>
    </row>
    <row r="3122" spans="19:21" ht="23.25" customHeight="1" x14ac:dyDescent="0.35">
      <c r="S3122" s="56" t="str">
        <f t="shared" si="144"/>
        <v/>
      </c>
      <c r="T3122" s="57" t="str">
        <f t="shared" si="145"/>
        <v/>
      </c>
      <c r="U3122" s="58" t="str">
        <f t="shared" si="146"/>
        <v/>
      </c>
    </row>
    <row r="3123" spans="19:21" ht="23.25" customHeight="1" x14ac:dyDescent="0.35">
      <c r="S3123" s="56" t="str">
        <f t="shared" si="144"/>
        <v/>
      </c>
      <c r="T3123" s="57" t="str">
        <f t="shared" si="145"/>
        <v/>
      </c>
      <c r="U3123" s="58" t="str">
        <f t="shared" si="146"/>
        <v/>
      </c>
    </row>
    <row r="3124" spans="19:21" ht="23.25" customHeight="1" x14ac:dyDescent="0.35">
      <c r="S3124" s="56" t="str">
        <f t="shared" si="144"/>
        <v/>
      </c>
      <c r="T3124" s="57" t="str">
        <f t="shared" si="145"/>
        <v/>
      </c>
      <c r="U3124" s="58" t="str">
        <f t="shared" si="146"/>
        <v/>
      </c>
    </row>
    <row r="3125" spans="19:21" ht="23.25" customHeight="1" x14ac:dyDescent="0.35">
      <c r="S3125" s="56" t="str">
        <f t="shared" si="144"/>
        <v/>
      </c>
      <c r="T3125" s="57" t="str">
        <f t="shared" si="145"/>
        <v/>
      </c>
      <c r="U3125" s="58" t="str">
        <f t="shared" si="146"/>
        <v/>
      </c>
    </row>
    <row r="3126" spans="19:21" ht="23.25" customHeight="1" x14ac:dyDescent="0.35">
      <c r="S3126" s="56" t="str">
        <f t="shared" si="144"/>
        <v/>
      </c>
      <c r="T3126" s="57" t="str">
        <f t="shared" si="145"/>
        <v/>
      </c>
      <c r="U3126" s="58" t="str">
        <f t="shared" si="146"/>
        <v/>
      </c>
    </row>
    <row r="3127" spans="19:21" ht="23.25" customHeight="1" x14ac:dyDescent="0.35">
      <c r="S3127" s="56" t="str">
        <f t="shared" si="144"/>
        <v/>
      </c>
      <c r="T3127" s="57" t="str">
        <f t="shared" si="145"/>
        <v/>
      </c>
      <c r="U3127" s="58" t="str">
        <f t="shared" si="146"/>
        <v/>
      </c>
    </row>
    <row r="3128" spans="19:21" ht="23.25" customHeight="1" x14ac:dyDescent="0.35">
      <c r="S3128" s="56" t="str">
        <f t="shared" si="144"/>
        <v/>
      </c>
      <c r="T3128" s="57" t="str">
        <f t="shared" si="145"/>
        <v/>
      </c>
      <c r="U3128" s="58" t="str">
        <f t="shared" si="146"/>
        <v/>
      </c>
    </row>
    <row r="3129" spans="19:21" ht="23.25" customHeight="1" x14ac:dyDescent="0.35">
      <c r="S3129" s="56" t="str">
        <f t="shared" si="144"/>
        <v/>
      </c>
      <c r="T3129" s="57" t="str">
        <f t="shared" si="145"/>
        <v/>
      </c>
      <c r="U3129" s="58" t="str">
        <f t="shared" si="146"/>
        <v/>
      </c>
    </row>
    <row r="3130" spans="19:21" ht="23.25" customHeight="1" x14ac:dyDescent="0.35">
      <c r="S3130" s="56" t="str">
        <f t="shared" si="144"/>
        <v/>
      </c>
      <c r="T3130" s="57" t="str">
        <f t="shared" si="145"/>
        <v/>
      </c>
      <c r="U3130" s="58" t="str">
        <f t="shared" si="146"/>
        <v/>
      </c>
    </row>
    <row r="3131" spans="19:21" ht="23.25" customHeight="1" x14ac:dyDescent="0.35">
      <c r="S3131" s="56" t="str">
        <f t="shared" si="144"/>
        <v/>
      </c>
      <c r="T3131" s="57" t="str">
        <f t="shared" si="145"/>
        <v/>
      </c>
      <c r="U3131" s="58" t="str">
        <f t="shared" si="146"/>
        <v/>
      </c>
    </row>
    <row r="3132" spans="19:21" ht="23.25" customHeight="1" x14ac:dyDescent="0.35">
      <c r="S3132" s="56" t="str">
        <f t="shared" si="144"/>
        <v/>
      </c>
      <c r="T3132" s="57" t="str">
        <f t="shared" si="145"/>
        <v/>
      </c>
      <c r="U3132" s="58" t="str">
        <f t="shared" si="146"/>
        <v/>
      </c>
    </row>
    <row r="3133" spans="19:21" ht="23.25" customHeight="1" x14ac:dyDescent="0.35">
      <c r="S3133" s="56" t="str">
        <f t="shared" si="144"/>
        <v/>
      </c>
      <c r="T3133" s="57" t="str">
        <f t="shared" si="145"/>
        <v/>
      </c>
      <c r="U3133" s="58" t="str">
        <f t="shared" si="146"/>
        <v/>
      </c>
    </row>
    <row r="3134" spans="19:21" ht="23.25" customHeight="1" x14ac:dyDescent="0.35">
      <c r="S3134" s="56" t="str">
        <f t="shared" si="144"/>
        <v/>
      </c>
      <c r="T3134" s="57" t="str">
        <f t="shared" si="145"/>
        <v/>
      </c>
      <c r="U3134" s="58" t="str">
        <f t="shared" si="146"/>
        <v/>
      </c>
    </row>
    <row r="3135" spans="19:21" ht="23.25" customHeight="1" x14ac:dyDescent="0.35">
      <c r="S3135" s="56" t="str">
        <f t="shared" si="144"/>
        <v/>
      </c>
      <c r="T3135" s="57" t="str">
        <f t="shared" si="145"/>
        <v/>
      </c>
      <c r="U3135" s="58" t="str">
        <f t="shared" si="146"/>
        <v/>
      </c>
    </row>
    <row r="3136" spans="19:21" ht="23.25" customHeight="1" x14ac:dyDescent="0.35">
      <c r="S3136" s="56" t="str">
        <f t="shared" si="144"/>
        <v/>
      </c>
      <c r="T3136" s="57" t="str">
        <f t="shared" si="145"/>
        <v/>
      </c>
      <c r="U3136" s="58" t="str">
        <f t="shared" si="146"/>
        <v/>
      </c>
    </row>
    <row r="3137" spans="19:21" ht="23.25" customHeight="1" x14ac:dyDescent="0.35">
      <c r="S3137" s="56" t="str">
        <f t="shared" si="144"/>
        <v/>
      </c>
      <c r="T3137" s="57" t="str">
        <f t="shared" si="145"/>
        <v/>
      </c>
      <c r="U3137" s="58" t="str">
        <f t="shared" si="146"/>
        <v/>
      </c>
    </row>
    <row r="3138" spans="19:21" ht="23.25" customHeight="1" x14ac:dyDescent="0.35">
      <c r="S3138" s="56" t="str">
        <f t="shared" si="144"/>
        <v/>
      </c>
      <c r="T3138" s="57" t="str">
        <f t="shared" si="145"/>
        <v/>
      </c>
      <c r="U3138" s="58" t="str">
        <f t="shared" si="146"/>
        <v/>
      </c>
    </row>
    <row r="3139" spans="19:21" ht="23.25" customHeight="1" x14ac:dyDescent="0.35">
      <c r="S3139" s="56" t="str">
        <f t="shared" si="144"/>
        <v/>
      </c>
      <c r="T3139" s="57" t="str">
        <f t="shared" si="145"/>
        <v/>
      </c>
      <c r="U3139" s="58" t="str">
        <f t="shared" si="146"/>
        <v/>
      </c>
    </row>
    <row r="3140" spans="19:21" ht="23.25" customHeight="1" x14ac:dyDescent="0.35">
      <c r="S3140" s="56" t="str">
        <f t="shared" si="144"/>
        <v/>
      </c>
      <c r="T3140" s="57" t="str">
        <f t="shared" si="145"/>
        <v/>
      </c>
      <c r="U3140" s="58" t="str">
        <f t="shared" si="146"/>
        <v/>
      </c>
    </row>
    <row r="3141" spans="19:21" ht="23.25" customHeight="1" x14ac:dyDescent="0.35">
      <c r="S3141" s="56" t="str">
        <f t="shared" si="144"/>
        <v/>
      </c>
      <c r="T3141" s="57" t="str">
        <f t="shared" si="145"/>
        <v/>
      </c>
      <c r="U3141" s="58" t="str">
        <f t="shared" si="146"/>
        <v/>
      </c>
    </row>
    <row r="3142" spans="19:21" ht="23.25" customHeight="1" x14ac:dyDescent="0.35">
      <c r="S3142" s="56" t="str">
        <f t="shared" si="144"/>
        <v/>
      </c>
      <c r="T3142" s="57" t="str">
        <f t="shared" si="145"/>
        <v/>
      </c>
      <c r="U3142" s="58" t="str">
        <f t="shared" si="146"/>
        <v/>
      </c>
    </row>
    <row r="3143" spans="19:21" ht="23.25" customHeight="1" x14ac:dyDescent="0.35">
      <c r="S3143" s="56" t="str">
        <f t="shared" si="144"/>
        <v/>
      </c>
      <c r="T3143" s="57" t="str">
        <f t="shared" si="145"/>
        <v/>
      </c>
      <c r="U3143" s="58" t="str">
        <f t="shared" si="146"/>
        <v/>
      </c>
    </row>
    <row r="3144" spans="19:21" ht="23.25" customHeight="1" x14ac:dyDescent="0.35">
      <c r="S3144" s="56" t="str">
        <f t="shared" si="144"/>
        <v/>
      </c>
      <c r="T3144" s="57" t="str">
        <f t="shared" si="145"/>
        <v/>
      </c>
      <c r="U3144" s="58" t="str">
        <f t="shared" si="146"/>
        <v/>
      </c>
    </row>
    <row r="3145" spans="19:21" ht="23.25" customHeight="1" x14ac:dyDescent="0.35">
      <c r="S3145" s="56" t="str">
        <f t="shared" ref="S3145:S3208" si="147">IF(A3145="","",A$5-A3145)</f>
        <v/>
      </c>
      <c r="T3145" s="57" t="str">
        <f t="shared" ref="T3145:T3208" si="148">IF(S3145="","",IF(S3145&lt;4,"0-3 Days",IF(S3145&lt;31,"4-30 Days",IF(S3145&lt;61,"31-60 Days",IF(S3145&lt;=90,"61-90 Days",IF(S3145&gt;90,"Above 90 Days","0"))))))</f>
        <v/>
      </c>
      <c r="U3145" s="58" t="str">
        <f t="shared" ref="U3145:U3208" si="149">IF(C3145="","",IF(C3145&gt;0,IF(S3145&lt;30,"Normal",IF(S3145&lt;60,"Especially Mentioned",IF(S3145&lt;90,"Substandard",IF(S3145&lt;=180,"Doubtful",IF(S3145&gt;180,"Loss","0"))))),"Not Applicable"))</f>
        <v/>
      </c>
    </row>
    <row r="3146" spans="19:21" ht="23.25" customHeight="1" x14ac:dyDescent="0.35">
      <c r="S3146" s="56" t="str">
        <f t="shared" si="147"/>
        <v/>
      </c>
      <c r="T3146" s="57" t="str">
        <f t="shared" si="148"/>
        <v/>
      </c>
      <c r="U3146" s="58" t="str">
        <f t="shared" si="149"/>
        <v/>
      </c>
    </row>
    <row r="3147" spans="19:21" ht="23.25" customHeight="1" x14ac:dyDescent="0.35">
      <c r="S3147" s="56" t="str">
        <f t="shared" si="147"/>
        <v/>
      </c>
      <c r="T3147" s="57" t="str">
        <f t="shared" si="148"/>
        <v/>
      </c>
      <c r="U3147" s="58" t="str">
        <f t="shared" si="149"/>
        <v/>
      </c>
    </row>
    <row r="3148" spans="19:21" ht="23.25" customHeight="1" x14ac:dyDescent="0.35">
      <c r="S3148" s="56" t="str">
        <f t="shared" si="147"/>
        <v/>
      </c>
      <c r="T3148" s="57" t="str">
        <f t="shared" si="148"/>
        <v/>
      </c>
      <c r="U3148" s="58" t="str">
        <f t="shared" si="149"/>
        <v/>
      </c>
    </row>
    <row r="3149" spans="19:21" ht="23.25" customHeight="1" x14ac:dyDescent="0.35">
      <c r="S3149" s="56" t="str">
        <f t="shared" si="147"/>
        <v/>
      </c>
      <c r="T3149" s="57" t="str">
        <f t="shared" si="148"/>
        <v/>
      </c>
      <c r="U3149" s="58" t="str">
        <f t="shared" si="149"/>
        <v/>
      </c>
    </row>
    <row r="3150" spans="19:21" ht="23.25" customHeight="1" x14ac:dyDescent="0.35">
      <c r="S3150" s="56" t="str">
        <f t="shared" si="147"/>
        <v/>
      </c>
      <c r="T3150" s="57" t="str">
        <f t="shared" si="148"/>
        <v/>
      </c>
      <c r="U3150" s="58" t="str">
        <f t="shared" si="149"/>
        <v/>
      </c>
    </row>
    <row r="3151" spans="19:21" ht="23.25" customHeight="1" x14ac:dyDescent="0.35">
      <c r="S3151" s="56" t="str">
        <f t="shared" si="147"/>
        <v/>
      </c>
      <c r="T3151" s="57" t="str">
        <f t="shared" si="148"/>
        <v/>
      </c>
      <c r="U3151" s="58" t="str">
        <f t="shared" si="149"/>
        <v/>
      </c>
    </row>
    <row r="3152" spans="19:21" ht="23.25" customHeight="1" x14ac:dyDescent="0.35">
      <c r="S3152" s="56" t="str">
        <f t="shared" si="147"/>
        <v/>
      </c>
      <c r="T3152" s="57" t="str">
        <f t="shared" si="148"/>
        <v/>
      </c>
      <c r="U3152" s="58" t="str">
        <f t="shared" si="149"/>
        <v/>
      </c>
    </row>
    <row r="3153" spans="19:21" ht="23.25" customHeight="1" x14ac:dyDescent="0.35">
      <c r="S3153" s="56" t="str">
        <f t="shared" si="147"/>
        <v/>
      </c>
      <c r="T3153" s="57" t="str">
        <f t="shared" si="148"/>
        <v/>
      </c>
      <c r="U3153" s="58" t="str">
        <f t="shared" si="149"/>
        <v/>
      </c>
    </row>
    <row r="3154" spans="19:21" ht="23.25" customHeight="1" x14ac:dyDescent="0.35">
      <c r="S3154" s="56" t="str">
        <f t="shared" si="147"/>
        <v/>
      </c>
      <c r="T3154" s="57" t="str">
        <f t="shared" si="148"/>
        <v/>
      </c>
      <c r="U3154" s="58" t="str">
        <f t="shared" si="149"/>
        <v/>
      </c>
    </row>
    <row r="3155" spans="19:21" ht="23.25" customHeight="1" x14ac:dyDescent="0.35">
      <c r="S3155" s="56" t="str">
        <f t="shared" si="147"/>
        <v/>
      </c>
      <c r="T3155" s="57" t="str">
        <f t="shared" si="148"/>
        <v/>
      </c>
      <c r="U3155" s="58" t="str">
        <f t="shared" si="149"/>
        <v/>
      </c>
    </row>
    <row r="3156" spans="19:21" ht="23.25" customHeight="1" x14ac:dyDescent="0.35">
      <c r="S3156" s="56" t="str">
        <f t="shared" si="147"/>
        <v/>
      </c>
      <c r="T3156" s="57" t="str">
        <f t="shared" si="148"/>
        <v/>
      </c>
      <c r="U3156" s="58" t="str">
        <f t="shared" si="149"/>
        <v/>
      </c>
    </row>
    <row r="3157" spans="19:21" ht="23.25" customHeight="1" x14ac:dyDescent="0.35">
      <c r="S3157" s="56" t="str">
        <f t="shared" si="147"/>
        <v/>
      </c>
      <c r="T3157" s="57" t="str">
        <f t="shared" si="148"/>
        <v/>
      </c>
      <c r="U3157" s="58" t="str">
        <f t="shared" si="149"/>
        <v/>
      </c>
    </row>
    <row r="3158" spans="19:21" ht="23.25" customHeight="1" x14ac:dyDescent="0.35">
      <c r="S3158" s="56" t="str">
        <f t="shared" si="147"/>
        <v/>
      </c>
      <c r="T3158" s="57" t="str">
        <f t="shared" si="148"/>
        <v/>
      </c>
      <c r="U3158" s="58" t="str">
        <f t="shared" si="149"/>
        <v/>
      </c>
    </row>
    <row r="3159" spans="19:21" ht="23.25" customHeight="1" x14ac:dyDescent="0.35">
      <c r="S3159" s="56" t="str">
        <f t="shared" si="147"/>
        <v/>
      </c>
      <c r="T3159" s="57" t="str">
        <f t="shared" si="148"/>
        <v/>
      </c>
      <c r="U3159" s="58" t="str">
        <f t="shared" si="149"/>
        <v/>
      </c>
    </row>
    <row r="3160" spans="19:21" ht="23.25" customHeight="1" x14ac:dyDescent="0.35">
      <c r="S3160" s="56" t="str">
        <f t="shared" si="147"/>
        <v/>
      </c>
      <c r="T3160" s="57" t="str">
        <f t="shared" si="148"/>
        <v/>
      </c>
      <c r="U3160" s="58" t="str">
        <f t="shared" si="149"/>
        <v/>
      </c>
    </row>
    <row r="3161" spans="19:21" ht="23.25" customHeight="1" x14ac:dyDescent="0.35">
      <c r="S3161" s="56" t="str">
        <f t="shared" si="147"/>
        <v/>
      </c>
      <c r="T3161" s="57" t="str">
        <f t="shared" si="148"/>
        <v/>
      </c>
      <c r="U3161" s="58" t="str">
        <f t="shared" si="149"/>
        <v/>
      </c>
    </row>
    <row r="3162" spans="19:21" ht="23.25" customHeight="1" x14ac:dyDescent="0.35">
      <c r="S3162" s="56" t="str">
        <f t="shared" si="147"/>
        <v/>
      </c>
      <c r="T3162" s="57" t="str">
        <f t="shared" si="148"/>
        <v/>
      </c>
      <c r="U3162" s="58" t="str">
        <f t="shared" si="149"/>
        <v/>
      </c>
    </row>
    <row r="3163" spans="19:21" ht="23.25" customHeight="1" x14ac:dyDescent="0.35">
      <c r="S3163" s="56" t="str">
        <f t="shared" si="147"/>
        <v/>
      </c>
      <c r="T3163" s="57" t="str">
        <f t="shared" si="148"/>
        <v/>
      </c>
      <c r="U3163" s="58" t="str">
        <f t="shared" si="149"/>
        <v/>
      </c>
    </row>
    <row r="3164" spans="19:21" ht="23.25" customHeight="1" x14ac:dyDescent="0.35">
      <c r="S3164" s="56" t="str">
        <f t="shared" si="147"/>
        <v/>
      </c>
      <c r="T3164" s="57" t="str">
        <f t="shared" si="148"/>
        <v/>
      </c>
      <c r="U3164" s="58" t="str">
        <f t="shared" si="149"/>
        <v/>
      </c>
    </row>
    <row r="3165" spans="19:21" ht="23.25" customHeight="1" x14ac:dyDescent="0.35">
      <c r="S3165" s="56" t="str">
        <f t="shared" si="147"/>
        <v/>
      </c>
      <c r="T3165" s="57" t="str">
        <f t="shared" si="148"/>
        <v/>
      </c>
      <c r="U3165" s="58" t="str">
        <f t="shared" si="149"/>
        <v/>
      </c>
    </row>
    <row r="3166" spans="19:21" ht="23.25" customHeight="1" x14ac:dyDescent="0.35">
      <c r="S3166" s="56" t="str">
        <f t="shared" si="147"/>
        <v/>
      </c>
      <c r="T3166" s="57" t="str">
        <f t="shared" si="148"/>
        <v/>
      </c>
      <c r="U3166" s="58" t="str">
        <f t="shared" si="149"/>
        <v/>
      </c>
    </row>
    <row r="3167" spans="19:21" ht="23.25" customHeight="1" x14ac:dyDescent="0.35">
      <c r="S3167" s="56" t="str">
        <f t="shared" si="147"/>
        <v/>
      </c>
      <c r="T3167" s="57" t="str">
        <f t="shared" si="148"/>
        <v/>
      </c>
      <c r="U3167" s="58" t="str">
        <f t="shared" si="149"/>
        <v/>
      </c>
    </row>
    <row r="3168" spans="19:21" ht="23.25" customHeight="1" x14ac:dyDescent="0.35">
      <c r="S3168" s="56" t="str">
        <f t="shared" si="147"/>
        <v/>
      </c>
      <c r="T3168" s="57" t="str">
        <f t="shared" si="148"/>
        <v/>
      </c>
      <c r="U3168" s="58" t="str">
        <f t="shared" si="149"/>
        <v/>
      </c>
    </row>
    <row r="3169" spans="19:21" ht="23.25" customHeight="1" x14ac:dyDescent="0.35">
      <c r="S3169" s="56" t="str">
        <f t="shared" si="147"/>
        <v/>
      </c>
      <c r="T3169" s="57" t="str">
        <f t="shared" si="148"/>
        <v/>
      </c>
      <c r="U3169" s="58" t="str">
        <f t="shared" si="149"/>
        <v/>
      </c>
    </row>
    <row r="3170" spans="19:21" ht="23.25" customHeight="1" x14ac:dyDescent="0.35">
      <c r="S3170" s="56" t="str">
        <f t="shared" si="147"/>
        <v/>
      </c>
      <c r="T3170" s="57" t="str">
        <f t="shared" si="148"/>
        <v/>
      </c>
      <c r="U3170" s="58" t="str">
        <f t="shared" si="149"/>
        <v/>
      </c>
    </row>
    <row r="3171" spans="19:21" ht="23.25" customHeight="1" x14ac:dyDescent="0.35">
      <c r="S3171" s="56" t="str">
        <f t="shared" si="147"/>
        <v/>
      </c>
      <c r="T3171" s="57" t="str">
        <f t="shared" si="148"/>
        <v/>
      </c>
      <c r="U3171" s="58" t="str">
        <f t="shared" si="149"/>
        <v/>
      </c>
    </row>
    <row r="3172" spans="19:21" ht="23.25" customHeight="1" x14ac:dyDescent="0.35">
      <c r="S3172" s="56" t="str">
        <f t="shared" si="147"/>
        <v/>
      </c>
      <c r="T3172" s="57" t="str">
        <f t="shared" si="148"/>
        <v/>
      </c>
      <c r="U3172" s="58" t="str">
        <f t="shared" si="149"/>
        <v/>
      </c>
    </row>
    <row r="3173" spans="19:21" ht="23.25" customHeight="1" x14ac:dyDescent="0.35">
      <c r="S3173" s="56" t="str">
        <f t="shared" si="147"/>
        <v/>
      </c>
      <c r="T3173" s="57" t="str">
        <f t="shared" si="148"/>
        <v/>
      </c>
      <c r="U3173" s="58" t="str">
        <f t="shared" si="149"/>
        <v/>
      </c>
    </row>
    <row r="3174" spans="19:21" ht="23.25" customHeight="1" x14ac:dyDescent="0.35">
      <c r="S3174" s="56" t="str">
        <f t="shared" si="147"/>
        <v/>
      </c>
      <c r="T3174" s="57" t="str">
        <f t="shared" si="148"/>
        <v/>
      </c>
      <c r="U3174" s="58" t="str">
        <f t="shared" si="149"/>
        <v/>
      </c>
    </row>
    <row r="3175" spans="19:21" ht="23.25" customHeight="1" x14ac:dyDescent="0.35">
      <c r="S3175" s="56" t="str">
        <f t="shared" si="147"/>
        <v/>
      </c>
      <c r="T3175" s="57" t="str">
        <f t="shared" si="148"/>
        <v/>
      </c>
      <c r="U3175" s="58" t="str">
        <f t="shared" si="149"/>
        <v/>
      </c>
    </row>
    <row r="3176" spans="19:21" ht="23.25" customHeight="1" x14ac:dyDescent="0.35">
      <c r="S3176" s="56" t="str">
        <f t="shared" si="147"/>
        <v/>
      </c>
      <c r="T3176" s="57" t="str">
        <f t="shared" si="148"/>
        <v/>
      </c>
      <c r="U3176" s="58" t="str">
        <f t="shared" si="149"/>
        <v/>
      </c>
    </row>
    <row r="3177" spans="19:21" ht="23.25" customHeight="1" x14ac:dyDescent="0.35">
      <c r="S3177" s="56" t="str">
        <f t="shared" si="147"/>
        <v/>
      </c>
      <c r="T3177" s="57" t="str">
        <f t="shared" si="148"/>
        <v/>
      </c>
      <c r="U3177" s="58" t="str">
        <f t="shared" si="149"/>
        <v/>
      </c>
    </row>
    <row r="3178" spans="19:21" ht="23.25" customHeight="1" x14ac:dyDescent="0.35">
      <c r="S3178" s="56" t="str">
        <f t="shared" si="147"/>
        <v/>
      </c>
      <c r="T3178" s="57" t="str">
        <f t="shared" si="148"/>
        <v/>
      </c>
      <c r="U3178" s="58" t="str">
        <f t="shared" si="149"/>
        <v/>
      </c>
    </row>
    <row r="3179" spans="19:21" ht="23.25" customHeight="1" x14ac:dyDescent="0.35">
      <c r="S3179" s="56" t="str">
        <f t="shared" si="147"/>
        <v/>
      </c>
      <c r="T3179" s="57" t="str">
        <f t="shared" si="148"/>
        <v/>
      </c>
      <c r="U3179" s="58" t="str">
        <f t="shared" si="149"/>
        <v/>
      </c>
    </row>
    <row r="3180" spans="19:21" ht="23.25" customHeight="1" x14ac:dyDescent="0.35">
      <c r="S3180" s="56" t="str">
        <f t="shared" si="147"/>
        <v/>
      </c>
      <c r="T3180" s="57" t="str">
        <f t="shared" si="148"/>
        <v/>
      </c>
      <c r="U3180" s="58" t="str">
        <f t="shared" si="149"/>
        <v/>
      </c>
    </row>
    <row r="3181" spans="19:21" ht="23.25" customHeight="1" x14ac:dyDescent="0.35">
      <c r="S3181" s="56" t="str">
        <f t="shared" si="147"/>
        <v/>
      </c>
      <c r="T3181" s="57" t="str">
        <f t="shared" si="148"/>
        <v/>
      </c>
      <c r="U3181" s="58" t="str">
        <f t="shared" si="149"/>
        <v/>
      </c>
    </row>
    <row r="3182" spans="19:21" ht="23.25" customHeight="1" x14ac:dyDescent="0.35">
      <c r="S3182" s="56" t="str">
        <f t="shared" si="147"/>
        <v/>
      </c>
      <c r="T3182" s="57" t="str">
        <f t="shared" si="148"/>
        <v/>
      </c>
      <c r="U3182" s="58" t="str">
        <f t="shared" si="149"/>
        <v/>
      </c>
    </row>
    <row r="3183" spans="19:21" ht="23.25" customHeight="1" x14ac:dyDescent="0.35">
      <c r="S3183" s="56" t="str">
        <f t="shared" si="147"/>
        <v/>
      </c>
      <c r="T3183" s="57" t="str">
        <f t="shared" si="148"/>
        <v/>
      </c>
      <c r="U3183" s="58" t="str">
        <f t="shared" si="149"/>
        <v/>
      </c>
    </row>
    <row r="3184" spans="19:21" ht="23.25" customHeight="1" x14ac:dyDescent="0.35">
      <c r="S3184" s="56" t="str">
        <f t="shared" si="147"/>
        <v/>
      </c>
      <c r="T3184" s="57" t="str">
        <f t="shared" si="148"/>
        <v/>
      </c>
      <c r="U3184" s="58" t="str">
        <f t="shared" si="149"/>
        <v/>
      </c>
    </row>
    <row r="3185" spans="19:21" ht="23.25" customHeight="1" x14ac:dyDescent="0.35">
      <c r="S3185" s="56" t="str">
        <f t="shared" si="147"/>
        <v/>
      </c>
      <c r="T3185" s="57" t="str">
        <f t="shared" si="148"/>
        <v/>
      </c>
      <c r="U3185" s="58" t="str">
        <f t="shared" si="149"/>
        <v/>
      </c>
    </row>
    <row r="3186" spans="19:21" ht="23.25" customHeight="1" x14ac:dyDescent="0.35">
      <c r="S3186" s="56" t="str">
        <f t="shared" si="147"/>
        <v/>
      </c>
      <c r="T3186" s="57" t="str">
        <f t="shared" si="148"/>
        <v/>
      </c>
      <c r="U3186" s="58" t="str">
        <f t="shared" si="149"/>
        <v/>
      </c>
    </row>
    <row r="3187" spans="19:21" ht="23.25" customHeight="1" x14ac:dyDescent="0.35">
      <c r="S3187" s="56" t="str">
        <f t="shared" si="147"/>
        <v/>
      </c>
      <c r="T3187" s="57" t="str">
        <f t="shared" si="148"/>
        <v/>
      </c>
      <c r="U3187" s="58" t="str">
        <f t="shared" si="149"/>
        <v/>
      </c>
    </row>
    <row r="3188" spans="19:21" ht="23.25" customHeight="1" x14ac:dyDescent="0.35">
      <c r="S3188" s="56" t="str">
        <f t="shared" si="147"/>
        <v/>
      </c>
      <c r="T3188" s="57" t="str">
        <f t="shared" si="148"/>
        <v/>
      </c>
      <c r="U3188" s="58" t="str">
        <f t="shared" si="149"/>
        <v/>
      </c>
    </row>
    <row r="3189" spans="19:21" ht="23.25" customHeight="1" x14ac:dyDescent="0.35">
      <c r="S3189" s="56" t="str">
        <f t="shared" si="147"/>
        <v/>
      </c>
      <c r="T3189" s="57" t="str">
        <f t="shared" si="148"/>
        <v/>
      </c>
      <c r="U3189" s="58" t="str">
        <f t="shared" si="149"/>
        <v/>
      </c>
    </row>
    <row r="3190" spans="19:21" ht="23.25" customHeight="1" x14ac:dyDescent="0.35">
      <c r="S3190" s="56" t="str">
        <f t="shared" si="147"/>
        <v/>
      </c>
      <c r="T3190" s="57" t="str">
        <f t="shared" si="148"/>
        <v/>
      </c>
      <c r="U3190" s="58" t="str">
        <f t="shared" si="149"/>
        <v/>
      </c>
    </row>
    <row r="3191" spans="19:21" ht="23.25" customHeight="1" x14ac:dyDescent="0.35">
      <c r="S3191" s="56" t="str">
        <f t="shared" si="147"/>
        <v/>
      </c>
      <c r="T3191" s="57" t="str">
        <f t="shared" si="148"/>
        <v/>
      </c>
      <c r="U3191" s="58" t="str">
        <f t="shared" si="149"/>
        <v/>
      </c>
    </row>
    <row r="3192" spans="19:21" ht="23.25" customHeight="1" x14ac:dyDescent="0.35">
      <c r="S3192" s="56" t="str">
        <f t="shared" si="147"/>
        <v/>
      </c>
      <c r="T3192" s="57" t="str">
        <f t="shared" si="148"/>
        <v/>
      </c>
      <c r="U3192" s="58" t="str">
        <f t="shared" si="149"/>
        <v/>
      </c>
    </row>
    <row r="3193" spans="19:21" ht="23.25" customHeight="1" x14ac:dyDescent="0.35">
      <c r="S3193" s="56" t="str">
        <f t="shared" si="147"/>
        <v/>
      </c>
      <c r="T3193" s="57" t="str">
        <f t="shared" si="148"/>
        <v/>
      </c>
      <c r="U3193" s="58" t="str">
        <f t="shared" si="149"/>
        <v/>
      </c>
    </row>
    <row r="3194" spans="19:21" ht="23.25" customHeight="1" x14ac:dyDescent="0.35">
      <c r="S3194" s="56" t="str">
        <f t="shared" si="147"/>
        <v/>
      </c>
      <c r="T3194" s="57" t="str">
        <f t="shared" si="148"/>
        <v/>
      </c>
      <c r="U3194" s="58" t="str">
        <f t="shared" si="149"/>
        <v/>
      </c>
    </row>
    <row r="3195" spans="19:21" ht="23.25" customHeight="1" x14ac:dyDescent="0.35">
      <c r="S3195" s="56" t="str">
        <f t="shared" si="147"/>
        <v/>
      </c>
      <c r="T3195" s="57" t="str">
        <f t="shared" si="148"/>
        <v/>
      </c>
      <c r="U3195" s="58" t="str">
        <f t="shared" si="149"/>
        <v/>
      </c>
    </row>
    <row r="3196" spans="19:21" ht="23.25" customHeight="1" x14ac:dyDescent="0.35">
      <c r="S3196" s="56" t="str">
        <f t="shared" si="147"/>
        <v/>
      </c>
      <c r="T3196" s="57" t="str">
        <f t="shared" si="148"/>
        <v/>
      </c>
      <c r="U3196" s="58" t="str">
        <f t="shared" si="149"/>
        <v/>
      </c>
    </row>
    <row r="3197" spans="19:21" ht="23.25" customHeight="1" x14ac:dyDescent="0.35">
      <c r="S3197" s="56" t="str">
        <f t="shared" si="147"/>
        <v/>
      </c>
      <c r="T3197" s="57" t="str">
        <f t="shared" si="148"/>
        <v/>
      </c>
      <c r="U3197" s="58" t="str">
        <f t="shared" si="149"/>
        <v/>
      </c>
    </row>
    <row r="3198" spans="19:21" ht="23.25" customHeight="1" x14ac:dyDescent="0.35">
      <c r="S3198" s="56" t="str">
        <f t="shared" si="147"/>
        <v/>
      </c>
      <c r="T3198" s="57" t="str">
        <f t="shared" si="148"/>
        <v/>
      </c>
      <c r="U3198" s="58" t="str">
        <f t="shared" si="149"/>
        <v/>
      </c>
    </row>
    <row r="3199" spans="19:21" ht="23.25" customHeight="1" x14ac:dyDescent="0.35">
      <c r="S3199" s="56" t="str">
        <f t="shared" si="147"/>
        <v/>
      </c>
      <c r="T3199" s="57" t="str">
        <f t="shared" si="148"/>
        <v/>
      </c>
      <c r="U3199" s="58" t="str">
        <f t="shared" si="149"/>
        <v/>
      </c>
    </row>
    <row r="3200" spans="19:21" ht="23.25" customHeight="1" x14ac:dyDescent="0.35">
      <c r="S3200" s="56" t="str">
        <f t="shared" si="147"/>
        <v/>
      </c>
      <c r="T3200" s="57" t="str">
        <f t="shared" si="148"/>
        <v/>
      </c>
      <c r="U3200" s="58" t="str">
        <f t="shared" si="149"/>
        <v/>
      </c>
    </row>
    <row r="3201" spans="19:21" ht="23.25" customHeight="1" x14ac:dyDescent="0.35">
      <c r="S3201" s="56" t="str">
        <f t="shared" si="147"/>
        <v/>
      </c>
      <c r="T3201" s="57" t="str">
        <f t="shared" si="148"/>
        <v/>
      </c>
      <c r="U3201" s="58" t="str">
        <f t="shared" si="149"/>
        <v/>
      </c>
    </row>
    <row r="3202" spans="19:21" ht="23.25" customHeight="1" x14ac:dyDescent="0.35">
      <c r="S3202" s="56" t="str">
        <f t="shared" si="147"/>
        <v/>
      </c>
      <c r="T3202" s="57" t="str">
        <f t="shared" si="148"/>
        <v/>
      </c>
      <c r="U3202" s="58" t="str">
        <f t="shared" si="149"/>
        <v/>
      </c>
    </row>
    <row r="3203" spans="19:21" ht="23.25" customHeight="1" x14ac:dyDescent="0.35">
      <c r="S3203" s="56" t="str">
        <f t="shared" si="147"/>
        <v/>
      </c>
      <c r="T3203" s="57" t="str">
        <f t="shared" si="148"/>
        <v/>
      </c>
      <c r="U3203" s="58" t="str">
        <f t="shared" si="149"/>
        <v/>
      </c>
    </row>
    <row r="3204" spans="19:21" ht="23.25" customHeight="1" x14ac:dyDescent="0.35">
      <c r="S3204" s="56" t="str">
        <f t="shared" si="147"/>
        <v/>
      </c>
      <c r="T3204" s="57" t="str">
        <f t="shared" si="148"/>
        <v/>
      </c>
      <c r="U3204" s="58" t="str">
        <f t="shared" si="149"/>
        <v/>
      </c>
    </row>
    <row r="3205" spans="19:21" ht="23.25" customHeight="1" x14ac:dyDescent="0.35">
      <c r="S3205" s="56" t="str">
        <f t="shared" si="147"/>
        <v/>
      </c>
      <c r="T3205" s="57" t="str">
        <f t="shared" si="148"/>
        <v/>
      </c>
      <c r="U3205" s="58" t="str">
        <f t="shared" si="149"/>
        <v/>
      </c>
    </row>
    <row r="3206" spans="19:21" ht="23.25" customHeight="1" x14ac:dyDescent="0.35">
      <c r="S3206" s="56" t="str">
        <f t="shared" si="147"/>
        <v/>
      </c>
      <c r="T3206" s="57" t="str">
        <f t="shared" si="148"/>
        <v/>
      </c>
      <c r="U3206" s="58" t="str">
        <f t="shared" si="149"/>
        <v/>
      </c>
    </row>
    <row r="3207" spans="19:21" ht="23.25" customHeight="1" x14ac:dyDescent="0.35">
      <c r="S3207" s="56" t="str">
        <f t="shared" si="147"/>
        <v/>
      </c>
      <c r="T3207" s="57" t="str">
        <f t="shared" si="148"/>
        <v/>
      </c>
      <c r="U3207" s="58" t="str">
        <f t="shared" si="149"/>
        <v/>
      </c>
    </row>
    <row r="3208" spans="19:21" ht="23.25" customHeight="1" x14ac:dyDescent="0.35">
      <c r="S3208" s="56" t="str">
        <f t="shared" si="147"/>
        <v/>
      </c>
      <c r="T3208" s="57" t="str">
        <f t="shared" si="148"/>
        <v/>
      </c>
      <c r="U3208" s="58" t="str">
        <f t="shared" si="149"/>
        <v/>
      </c>
    </row>
    <row r="3209" spans="19:21" ht="23.25" customHeight="1" x14ac:dyDescent="0.35">
      <c r="S3209" s="56" t="str">
        <f t="shared" ref="S3209:S3272" si="150">IF(A3209="","",A$5-A3209)</f>
        <v/>
      </c>
      <c r="T3209" s="57" t="str">
        <f t="shared" ref="T3209:T3272" si="151">IF(S3209="","",IF(S3209&lt;4,"0-3 Days",IF(S3209&lt;31,"4-30 Days",IF(S3209&lt;61,"31-60 Days",IF(S3209&lt;=90,"61-90 Days",IF(S3209&gt;90,"Above 90 Days","0"))))))</f>
        <v/>
      </c>
      <c r="U3209" s="58" t="str">
        <f t="shared" ref="U3209:U3272" si="152">IF(C3209="","",IF(C3209&gt;0,IF(S3209&lt;30,"Normal",IF(S3209&lt;60,"Especially Mentioned",IF(S3209&lt;90,"Substandard",IF(S3209&lt;=180,"Doubtful",IF(S3209&gt;180,"Loss","0"))))),"Not Applicable"))</f>
        <v/>
      </c>
    </row>
    <row r="3210" spans="19:21" ht="23.25" customHeight="1" x14ac:dyDescent="0.35">
      <c r="S3210" s="56" t="str">
        <f t="shared" si="150"/>
        <v/>
      </c>
      <c r="T3210" s="57" t="str">
        <f t="shared" si="151"/>
        <v/>
      </c>
      <c r="U3210" s="58" t="str">
        <f t="shared" si="152"/>
        <v/>
      </c>
    </row>
    <row r="3211" spans="19:21" ht="23.25" customHeight="1" x14ac:dyDescent="0.35">
      <c r="S3211" s="56" t="str">
        <f t="shared" si="150"/>
        <v/>
      </c>
      <c r="T3211" s="57" t="str">
        <f t="shared" si="151"/>
        <v/>
      </c>
      <c r="U3211" s="58" t="str">
        <f t="shared" si="152"/>
        <v/>
      </c>
    </row>
    <row r="3212" spans="19:21" ht="23.25" customHeight="1" x14ac:dyDescent="0.35">
      <c r="S3212" s="56" t="str">
        <f t="shared" si="150"/>
        <v/>
      </c>
      <c r="T3212" s="57" t="str">
        <f t="shared" si="151"/>
        <v/>
      </c>
      <c r="U3212" s="58" t="str">
        <f t="shared" si="152"/>
        <v/>
      </c>
    </row>
    <row r="3213" spans="19:21" ht="23.25" customHeight="1" x14ac:dyDescent="0.35">
      <c r="S3213" s="56" t="str">
        <f t="shared" si="150"/>
        <v/>
      </c>
      <c r="T3213" s="57" t="str">
        <f t="shared" si="151"/>
        <v/>
      </c>
      <c r="U3213" s="58" t="str">
        <f t="shared" si="152"/>
        <v/>
      </c>
    </row>
    <row r="3214" spans="19:21" ht="23.25" customHeight="1" x14ac:dyDescent="0.35">
      <c r="S3214" s="56" t="str">
        <f t="shared" si="150"/>
        <v/>
      </c>
      <c r="T3214" s="57" t="str">
        <f t="shared" si="151"/>
        <v/>
      </c>
      <c r="U3214" s="58" t="str">
        <f t="shared" si="152"/>
        <v/>
      </c>
    </row>
    <row r="3215" spans="19:21" ht="23.25" customHeight="1" x14ac:dyDescent="0.35">
      <c r="S3215" s="56" t="str">
        <f t="shared" si="150"/>
        <v/>
      </c>
      <c r="T3215" s="57" t="str">
        <f t="shared" si="151"/>
        <v/>
      </c>
      <c r="U3215" s="58" t="str">
        <f t="shared" si="152"/>
        <v/>
      </c>
    </row>
    <row r="3216" spans="19:21" ht="23.25" customHeight="1" x14ac:dyDescent="0.35">
      <c r="S3216" s="56" t="str">
        <f t="shared" si="150"/>
        <v/>
      </c>
      <c r="T3216" s="57" t="str">
        <f t="shared" si="151"/>
        <v/>
      </c>
      <c r="U3216" s="58" t="str">
        <f t="shared" si="152"/>
        <v/>
      </c>
    </row>
    <row r="3217" spans="19:21" ht="23.25" customHeight="1" x14ac:dyDescent="0.35">
      <c r="S3217" s="56" t="str">
        <f t="shared" si="150"/>
        <v/>
      </c>
      <c r="T3217" s="57" t="str">
        <f t="shared" si="151"/>
        <v/>
      </c>
      <c r="U3217" s="58" t="str">
        <f t="shared" si="152"/>
        <v/>
      </c>
    </row>
    <row r="3218" spans="19:21" ht="23.25" customHeight="1" x14ac:dyDescent="0.35">
      <c r="S3218" s="56" t="str">
        <f t="shared" si="150"/>
        <v/>
      </c>
      <c r="T3218" s="57" t="str">
        <f t="shared" si="151"/>
        <v/>
      </c>
      <c r="U3218" s="58" t="str">
        <f t="shared" si="152"/>
        <v/>
      </c>
    </row>
    <row r="3219" spans="19:21" ht="23.25" customHeight="1" x14ac:dyDescent="0.35">
      <c r="S3219" s="56" t="str">
        <f t="shared" si="150"/>
        <v/>
      </c>
      <c r="T3219" s="57" t="str">
        <f t="shared" si="151"/>
        <v/>
      </c>
      <c r="U3219" s="58" t="str">
        <f t="shared" si="152"/>
        <v/>
      </c>
    </row>
    <row r="3220" spans="19:21" ht="23.25" customHeight="1" x14ac:dyDescent="0.35">
      <c r="S3220" s="56" t="str">
        <f t="shared" si="150"/>
        <v/>
      </c>
      <c r="T3220" s="57" t="str">
        <f t="shared" si="151"/>
        <v/>
      </c>
      <c r="U3220" s="58" t="str">
        <f t="shared" si="152"/>
        <v/>
      </c>
    </row>
    <row r="3221" spans="19:21" ht="23.25" customHeight="1" x14ac:dyDescent="0.35">
      <c r="S3221" s="56" t="str">
        <f t="shared" si="150"/>
        <v/>
      </c>
      <c r="T3221" s="57" t="str">
        <f t="shared" si="151"/>
        <v/>
      </c>
      <c r="U3221" s="58" t="str">
        <f t="shared" si="152"/>
        <v/>
      </c>
    </row>
    <row r="3222" spans="19:21" ht="23.25" customHeight="1" x14ac:dyDescent="0.35">
      <c r="S3222" s="56" t="str">
        <f t="shared" si="150"/>
        <v/>
      </c>
      <c r="T3222" s="57" t="str">
        <f t="shared" si="151"/>
        <v/>
      </c>
      <c r="U3222" s="58" t="str">
        <f t="shared" si="152"/>
        <v/>
      </c>
    </row>
    <row r="3223" spans="19:21" ht="23.25" customHeight="1" x14ac:dyDescent="0.35">
      <c r="S3223" s="56" t="str">
        <f t="shared" si="150"/>
        <v/>
      </c>
      <c r="T3223" s="57" t="str">
        <f t="shared" si="151"/>
        <v/>
      </c>
      <c r="U3223" s="58" t="str">
        <f t="shared" si="152"/>
        <v/>
      </c>
    </row>
    <row r="3224" spans="19:21" ht="23.25" customHeight="1" x14ac:dyDescent="0.35">
      <c r="S3224" s="56" t="str">
        <f t="shared" si="150"/>
        <v/>
      </c>
      <c r="T3224" s="57" t="str">
        <f t="shared" si="151"/>
        <v/>
      </c>
      <c r="U3224" s="58" t="str">
        <f t="shared" si="152"/>
        <v/>
      </c>
    </row>
    <row r="3225" spans="19:21" ht="23.25" customHeight="1" x14ac:dyDescent="0.35">
      <c r="S3225" s="56" t="str">
        <f t="shared" si="150"/>
        <v/>
      </c>
      <c r="T3225" s="57" t="str">
        <f t="shared" si="151"/>
        <v/>
      </c>
      <c r="U3225" s="58" t="str">
        <f t="shared" si="152"/>
        <v/>
      </c>
    </row>
    <row r="3226" spans="19:21" ht="23.25" customHeight="1" x14ac:dyDescent="0.35">
      <c r="S3226" s="56" t="str">
        <f t="shared" si="150"/>
        <v/>
      </c>
      <c r="T3226" s="57" t="str">
        <f t="shared" si="151"/>
        <v/>
      </c>
      <c r="U3226" s="58" t="str">
        <f t="shared" si="152"/>
        <v/>
      </c>
    </row>
    <row r="3227" spans="19:21" ht="23.25" customHeight="1" x14ac:dyDescent="0.35">
      <c r="S3227" s="56" t="str">
        <f t="shared" si="150"/>
        <v/>
      </c>
      <c r="T3227" s="57" t="str">
        <f t="shared" si="151"/>
        <v/>
      </c>
      <c r="U3227" s="58" t="str">
        <f t="shared" si="152"/>
        <v/>
      </c>
    </row>
    <row r="3228" spans="19:21" ht="23.25" customHeight="1" x14ac:dyDescent="0.35">
      <c r="S3228" s="56" t="str">
        <f t="shared" si="150"/>
        <v/>
      </c>
      <c r="T3228" s="57" t="str">
        <f t="shared" si="151"/>
        <v/>
      </c>
      <c r="U3228" s="58" t="str">
        <f t="shared" si="152"/>
        <v/>
      </c>
    </row>
    <row r="3229" spans="19:21" ht="23.25" customHeight="1" x14ac:dyDescent="0.35">
      <c r="S3229" s="56" t="str">
        <f t="shared" si="150"/>
        <v/>
      </c>
      <c r="T3229" s="57" t="str">
        <f t="shared" si="151"/>
        <v/>
      </c>
      <c r="U3229" s="58" t="str">
        <f t="shared" si="152"/>
        <v/>
      </c>
    </row>
    <row r="3230" spans="19:21" ht="23.25" customHeight="1" x14ac:dyDescent="0.35">
      <c r="S3230" s="56" t="str">
        <f t="shared" si="150"/>
        <v/>
      </c>
      <c r="T3230" s="57" t="str">
        <f t="shared" si="151"/>
        <v/>
      </c>
      <c r="U3230" s="58" t="str">
        <f t="shared" si="152"/>
        <v/>
      </c>
    </row>
    <row r="3231" spans="19:21" ht="23.25" customHeight="1" x14ac:dyDescent="0.35">
      <c r="S3231" s="56" t="str">
        <f t="shared" si="150"/>
        <v/>
      </c>
      <c r="T3231" s="57" t="str">
        <f t="shared" si="151"/>
        <v/>
      </c>
      <c r="U3231" s="58" t="str">
        <f t="shared" si="152"/>
        <v/>
      </c>
    </row>
    <row r="3232" spans="19:21" ht="23.25" customHeight="1" x14ac:dyDescent="0.35">
      <c r="S3232" s="56" t="str">
        <f t="shared" si="150"/>
        <v/>
      </c>
      <c r="T3232" s="57" t="str">
        <f t="shared" si="151"/>
        <v/>
      </c>
      <c r="U3232" s="58" t="str">
        <f t="shared" si="152"/>
        <v/>
      </c>
    </row>
    <row r="3233" spans="19:21" ht="23.25" customHeight="1" x14ac:dyDescent="0.35">
      <c r="S3233" s="56" t="str">
        <f t="shared" si="150"/>
        <v/>
      </c>
      <c r="T3233" s="57" t="str">
        <f t="shared" si="151"/>
        <v/>
      </c>
      <c r="U3233" s="58" t="str">
        <f t="shared" si="152"/>
        <v/>
      </c>
    </row>
    <row r="3234" spans="19:21" ht="23.25" customHeight="1" x14ac:dyDescent="0.35">
      <c r="S3234" s="56" t="str">
        <f t="shared" si="150"/>
        <v/>
      </c>
      <c r="T3234" s="57" t="str">
        <f t="shared" si="151"/>
        <v/>
      </c>
      <c r="U3234" s="58" t="str">
        <f t="shared" si="152"/>
        <v/>
      </c>
    </row>
    <row r="3235" spans="19:21" ht="23.25" customHeight="1" x14ac:dyDescent="0.35">
      <c r="S3235" s="56" t="str">
        <f t="shared" si="150"/>
        <v/>
      </c>
      <c r="T3235" s="57" t="str">
        <f t="shared" si="151"/>
        <v/>
      </c>
      <c r="U3235" s="58" t="str">
        <f t="shared" si="152"/>
        <v/>
      </c>
    </row>
    <row r="3236" spans="19:21" ht="23.25" customHeight="1" x14ac:dyDescent="0.35">
      <c r="S3236" s="56" t="str">
        <f t="shared" si="150"/>
        <v/>
      </c>
      <c r="T3236" s="57" t="str">
        <f t="shared" si="151"/>
        <v/>
      </c>
      <c r="U3236" s="58" t="str">
        <f t="shared" si="152"/>
        <v/>
      </c>
    </row>
    <row r="3237" spans="19:21" ht="23.25" customHeight="1" x14ac:dyDescent="0.35">
      <c r="S3237" s="56" t="str">
        <f t="shared" si="150"/>
        <v/>
      </c>
      <c r="T3237" s="57" t="str">
        <f t="shared" si="151"/>
        <v/>
      </c>
      <c r="U3237" s="58" t="str">
        <f t="shared" si="152"/>
        <v/>
      </c>
    </row>
    <row r="3238" spans="19:21" ht="23.25" customHeight="1" x14ac:dyDescent="0.35">
      <c r="S3238" s="56" t="str">
        <f t="shared" si="150"/>
        <v/>
      </c>
      <c r="T3238" s="57" t="str">
        <f t="shared" si="151"/>
        <v/>
      </c>
      <c r="U3238" s="58" t="str">
        <f t="shared" si="152"/>
        <v/>
      </c>
    </row>
    <row r="3239" spans="19:21" ht="23.25" customHeight="1" x14ac:dyDescent="0.35">
      <c r="S3239" s="56" t="str">
        <f t="shared" si="150"/>
        <v/>
      </c>
      <c r="T3239" s="57" t="str">
        <f t="shared" si="151"/>
        <v/>
      </c>
      <c r="U3239" s="58" t="str">
        <f t="shared" si="152"/>
        <v/>
      </c>
    </row>
    <row r="3240" spans="19:21" ht="23.25" customHeight="1" x14ac:dyDescent="0.35">
      <c r="S3240" s="56" t="str">
        <f t="shared" si="150"/>
        <v/>
      </c>
      <c r="T3240" s="57" t="str">
        <f t="shared" si="151"/>
        <v/>
      </c>
      <c r="U3240" s="58" t="str">
        <f t="shared" si="152"/>
        <v/>
      </c>
    </row>
    <row r="3241" spans="19:21" ht="23.25" customHeight="1" x14ac:dyDescent="0.35">
      <c r="S3241" s="56" t="str">
        <f t="shared" si="150"/>
        <v/>
      </c>
      <c r="T3241" s="57" t="str">
        <f t="shared" si="151"/>
        <v/>
      </c>
      <c r="U3241" s="58" t="str">
        <f t="shared" si="152"/>
        <v/>
      </c>
    </row>
    <row r="3242" spans="19:21" ht="23.25" customHeight="1" x14ac:dyDescent="0.35">
      <c r="S3242" s="56" t="str">
        <f t="shared" si="150"/>
        <v/>
      </c>
      <c r="T3242" s="57" t="str">
        <f t="shared" si="151"/>
        <v/>
      </c>
      <c r="U3242" s="58" t="str">
        <f t="shared" si="152"/>
        <v/>
      </c>
    </row>
    <row r="3243" spans="19:21" ht="23.25" customHeight="1" x14ac:dyDescent="0.35">
      <c r="S3243" s="56" t="str">
        <f t="shared" si="150"/>
        <v/>
      </c>
      <c r="T3243" s="57" t="str">
        <f t="shared" si="151"/>
        <v/>
      </c>
      <c r="U3243" s="58" t="str">
        <f t="shared" si="152"/>
        <v/>
      </c>
    </row>
    <row r="3244" spans="19:21" ht="23.25" customHeight="1" x14ac:dyDescent="0.35">
      <c r="S3244" s="56" t="str">
        <f t="shared" si="150"/>
        <v/>
      </c>
      <c r="T3244" s="57" t="str">
        <f t="shared" si="151"/>
        <v/>
      </c>
      <c r="U3244" s="58" t="str">
        <f t="shared" si="152"/>
        <v/>
      </c>
    </row>
    <row r="3245" spans="19:21" ht="23.25" customHeight="1" x14ac:dyDescent="0.35">
      <c r="S3245" s="56" t="str">
        <f t="shared" si="150"/>
        <v/>
      </c>
      <c r="T3245" s="57" t="str">
        <f t="shared" si="151"/>
        <v/>
      </c>
      <c r="U3245" s="58" t="str">
        <f t="shared" si="152"/>
        <v/>
      </c>
    </row>
    <row r="3246" spans="19:21" ht="23.25" customHeight="1" x14ac:dyDescent="0.35">
      <c r="S3246" s="56" t="str">
        <f t="shared" si="150"/>
        <v/>
      </c>
      <c r="T3246" s="57" t="str">
        <f t="shared" si="151"/>
        <v/>
      </c>
      <c r="U3246" s="58" t="str">
        <f t="shared" si="152"/>
        <v/>
      </c>
    </row>
    <row r="3247" spans="19:21" ht="23.25" customHeight="1" x14ac:dyDescent="0.35">
      <c r="S3247" s="56" t="str">
        <f t="shared" si="150"/>
        <v/>
      </c>
      <c r="T3247" s="57" t="str">
        <f t="shared" si="151"/>
        <v/>
      </c>
      <c r="U3247" s="58" t="str">
        <f t="shared" si="152"/>
        <v/>
      </c>
    </row>
    <row r="3248" spans="19:21" ht="23.25" customHeight="1" x14ac:dyDescent="0.35">
      <c r="S3248" s="56" t="str">
        <f t="shared" si="150"/>
        <v/>
      </c>
      <c r="T3248" s="57" t="str">
        <f t="shared" si="151"/>
        <v/>
      </c>
      <c r="U3248" s="58" t="str">
        <f t="shared" si="152"/>
        <v/>
      </c>
    </row>
    <row r="3249" spans="19:21" ht="23.25" customHeight="1" x14ac:dyDescent="0.35">
      <c r="S3249" s="56" t="str">
        <f t="shared" si="150"/>
        <v/>
      </c>
      <c r="T3249" s="57" t="str">
        <f t="shared" si="151"/>
        <v/>
      </c>
      <c r="U3249" s="58" t="str">
        <f t="shared" si="152"/>
        <v/>
      </c>
    </row>
    <row r="3250" spans="19:21" ht="23.25" customHeight="1" x14ac:dyDescent="0.35">
      <c r="S3250" s="56" t="str">
        <f t="shared" si="150"/>
        <v/>
      </c>
      <c r="T3250" s="57" t="str">
        <f t="shared" si="151"/>
        <v/>
      </c>
      <c r="U3250" s="58" t="str">
        <f t="shared" si="152"/>
        <v/>
      </c>
    </row>
    <row r="3251" spans="19:21" ht="23.25" customHeight="1" x14ac:dyDescent="0.35">
      <c r="S3251" s="56" t="str">
        <f t="shared" si="150"/>
        <v/>
      </c>
      <c r="T3251" s="57" t="str">
        <f t="shared" si="151"/>
        <v/>
      </c>
      <c r="U3251" s="58" t="str">
        <f t="shared" si="152"/>
        <v/>
      </c>
    </row>
    <row r="3252" spans="19:21" ht="23.25" customHeight="1" x14ac:dyDescent="0.35">
      <c r="S3252" s="56" t="str">
        <f t="shared" si="150"/>
        <v/>
      </c>
      <c r="T3252" s="57" t="str">
        <f t="shared" si="151"/>
        <v/>
      </c>
      <c r="U3252" s="58" t="str">
        <f t="shared" si="152"/>
        <v/>
      </c>
    </row>
    <row r="3253" spans="19:21" ht="23.25" customHeight="1" x14ac:dyDescent="0.35">
      <c r="S3253" s="56" t="str">
        <f t="shared" si="150"/>
        <v/>
      </c>
      <c r="T3253" s="57" t="str">
        <f t="shared" si="151"/>
        <v/>
      </c>
      <c r="U3253" s="58" t="str">
        <f t="shared" si="152"/>
        <v/>
      </c>
    </row>
    <row r="3254" spans="19:21" ht="23.25" customHeight="1" x14ac:dyDescent="0.35">
      <c r="S3254" s="56" t="str">
        <f t="shared" si="150"/>
        <v/>
      </c>
      <c r="T3254" s="57" t="str">
        <f t="shared" si="151"/>
        <v/>
      </c>
      <c r="U3254" s="58" t="str">
        <f t="shared" si="152"/>
        <v/>
      </c>
    </row>
    <row r="3255" spans="19:21" ht="23.25" customHeight="1" x14ac:dyDescent="0.35">
      <c r="S3255" s="56" t="str">
        <f t="shared" si="150"/>
        <v/>
      </c>
      <c r="T3255" s="57" t="str">
        <f t="shared" si="151"/>
        <v/>
      </c>
      <c r="U3255" s="58" t="str">
        <f t="shared" si="152"/>
        <v/>
      </c>
    </row>
    <row r="3256" spans="19:21" ht="23.25" customHeight="1" x14ac:dyDescent="0.35">
      <c r="S3256" s="56" t="str">
        <f t="shared" si="150"/>
        <v/>
      </c>
      <c r="T3256" s="57" t="str">
        <f t="shared" si="151"/>
        <v/>
      </c>
      <c r="U3256" s="58" t="str">
        <f t="shared" si="152"/>
        <v/>
      </c>
    </row>
    <row r="3257" spans="19:21" ht="23.25" customHeight="1" x14ac:dyDescent="0.35">
      <c r="S3257" s="56" t="str">
        <f t="shared" si="150"/>
        <v/>
      </c>
      <c r="T3257" s="57" t="str">
        <f t="shared" si="151"/>
        <v/>
      </c>
      <c r="U3257" s="58" t="str">
        <f t="shared" si="152"/>
        <v/>
      </c>
    </row>
    <row r="3258" spans="19:21" ht="23.25" customHeight="1" x14ac:dyDescent="0.35">
      <c r="S3258" s="56" t="str">
        <f t="shared" si="150"/>
        <v/>
      </c>
      <c r="T3258" s="57" t="str">
        <f t="shared" si="151"/>
        <v/>
      </c>
      <c r="U3258" s="58" t="str">
        <f t="shared" si="152"/>
        <v/>
      </c>
    </row>
    <row r="3259" spans="19:21" ht="23.25" customHeight="1" x14ac:dyDescent="0.35">
      <c r="S3259" s="56" t="str">
        <f t="shared" si="150"/>
        <v/>
      </c>
      <c r="T3259" s="57" t="str">
        <f t="shared" si="151"/>
        <v/>
      </c>
      <c r="U3259" s="58" t="str">
        <f t="shared" si="152"/>
        <v/>
      </c>
    </row>
    <row r="3260" spans="19:21" ht="23.25" customHeight="1" x14ac:dyDescent="0.35">
      <c r="S3260" s="56" t="str">
        <f t="shared" si="150"/>
        <v/>
      </c>
      <c r="T3260" s="57" t="str">
        <f t="shared" si="151"/>
        <v/>
      </c>
      <c r="U3260" s="58" t="str">
        <f t="shared" si="152"/>
        <v/>
      </c>
    </row>
    <row r="3261" spans="19:21" ht="23.25" customHeight="1" x14ac:dyDescent="0.35">
      <c r="S3261" s="56" t="str">
        <f t="shared" si="150"/>
        <v/>
      </c>
      <c r="T3261" s="57" t="str">
        <f t="shared" si="151"/>
        <v/>
      </c>
      <c r="U3261" s="58" t="str">
        <f t="shared" si="152"/>
        <v/>
      </c>
    </row>
    <row r="3262" spans="19:21" ht="23.25" customHeight="1" x14ac:dyDescent="0.35">
      <c r="S3262" s="56" t="str">
        <f t="shared" si="150"/>
        <v/>
      </c>
      <c r="T3262" s="57" t="str">
        <f t="shared" si="151"/>
        <v/>
      </c>
      <c r="U3262" s="58" t="str">
        <f t="shared" si="152"/>
        <v/>
      </c>
    </row>
    <row r="3263" spans="19:21" ht="23.25" customHeight="1" x14ac:dyDescent="0.35">
      <c r="S3263" s="56" t="str">
        <f t="shared" si="150"/>
        <v/>
      </c>
      <c r="T3263" s="57" t="str">
        <f t="shared" si="151"/>
        <v/>
      </c>
      <c r="U3263" s="58" t="str">
        <f t="shared" si="152"/>
        <v/>
      </c>
    </row>
    <row r="3264" spans="19:21" ht="23.25" customHeight="1" x14ac:dyDescent="0.35">
      <c r="S3264" s="56" t="str">
        <f t="shared" si="150"/>
        <v/>
      </c>
      <c r="T3264" s="57" t="str">
        <f t="shared" si="151"/>
        <v/>
      </c>
      <c r="U3264" s="58" t="str">
        <f t="shared" si="152"/>
        <v/>
      </c>
    </row>
    <row r="3265" spans="19:21" ht="23.25" customHeight="1" x14ac:dyDescent="0.35">
      <c r="S3265" s="56" t="str">
        <f t="shared" si="150"/>
        <v/>
      </c>
      <c r="T3265" s="57" t="str">
        <f t="shared" si="151"/>
        <v/>
      </c>
      <c r="U3265" s="58" t="str">
        <f t="shared" si="152"/>
        <v/>
      </c>
    </row>
    <row r="3266" spans="19:21" ht="23.25" customHeight="1" x14ac:dyDescent="0.35">
      <c r="S3266" s="56" t="str">
        <f t="shared" si="150"/>
        <v/>
      </c>
      <c r="T3266" s="57" t="str">
        <f t="shared" si="151"/>
        <v/>
      </c>
      <c r="U3266" s="58" t="str">
        <f t="shared" si="152"/>
        <v/>
      </c>
    </row>
    <row r="3267" spans="19:21" ht="23.25" customHeight="1" x14ac:dyDescent="0.35">
      <c r="S3267" s="56" t="str">
        <f t="shared" si="150"/>
        <v/>
      </c>
      <c r="T3267" s="57" t="str">
        <f t="shared" si="151"/>
        <v/>
      </c>
      <c r="U3267" s="58" t="str">
        <f t="shared" si="152"/>
        <v/>
      </c>
    </row>
    <row r="3268" spans="19:21" ht="23.25" customHeight="1" x14ac:dyDescent="0.35">
      <c r="S3268" s="56" t="str">
        <f t="shared" si="150"/>
        <v/>
      </c>
      <c r="T3268" s="57" t="str">
        <f t="shared" si="151"/>
        <v/>
      </c>
      <c r="U3268" s="58" t="str">
        <f t="shared" si="152"/>
        <v/>
      </c>
    </row>
    <row r="3269" spans="19:21" ht="23.25" customHeight="1" x14ac:dyDescent="0.35">
      <c r="S3269" s="56" t="str">
        <f t="shared" si="150"/>
        <v/>
      </c>
      <c r="T3269" s="57" t="str">
        <f t="shared" si="151"/>
        <v/>
      </c>
      <c r="U3269" s="58" t="str">
        <f t="shared" si="152"/>
        <v/>
      </c>
    </row>
    <row r="3270" spans="19:21" ht="23.25" customHeight="1" x14ac:dyDescent="0.35">
      <c r="S3270" s="56" t="str">
        <f t="shared" si="150"/>
        <v/>
      </c>
      <c r="T3270" s="57" t="str">
        <f t="shared" si="151"/>
        <v/>
      </c>
      <c r="U3270" s="58" t="str">
        <f t="shared" si="152"/>
        <v/>
      </c>
    </row>
    <row r="3271" spans="19:21" ht="23.25" customHeight="1" x14ac:dyDescent="0.35">
      <c r="S3271" s="56" t="str">
        <f t="shared" si="150"/>
        <v/>
      </c>
      <c r="T3271" s="57" t="str">
        <f t="shared" si="151"/>
        <v/>
      </c>
      <c r="U3271" s="58" t="str">
        <f t="shared" si="152"/>
        <v/>
      </c>
    </row>
    <row r="3272" spans="19:21" ht="23.25" customHeight="1" x14ac:dyDescent="0.35">
      <c r="S3272" s="56" t="str">
        <f t="shared" si="150"/>
        <v/>
      </c>
      <c r="T3272" s="57" t="str">
        <f t="shared" si="151"/>
        <v/>
      </c>
      <c r="U3272" s="58" t="str">
        <f t="shared" si="152"/>
        <v/>
      </c>
    </row>
    <row r="3273" spans="19:21" ht="23.25" customHeight="1" x14ac:dyDescent="0.35">
      <c r="S3273" s="56" t="str">
        <f t="shared" ref="S3273:S3336" si="153">IF(A3273="","",A$5-A3273)</f>
        <v/>
      </c>
      <c r="T3273" s="57" t="str">
        <f t="shared" ref="T3273:T3336" si="154">IF(S3273="","",IF(S3273&lt;4,"0-3 Days",IF(S3273&lt;31,"4-30 Days",IF(S3273&lt;61,"31-60 Days",IF(S3273&lt;=90,"61-90 Days",IF(S3273&gt;90,"Above 90 Days","0"))))))</f>
        <v/>
      </c>
      <c r="U3273" s="58" t="str">
        <f t="shared" ref="U3273:U3336" si="155">IF(C3273="","",IF(C3273&gt;0,IF(S3273&lt;30,"Normal",IF(S3273&lt;60,"Especially Mentioned",IF(S3273&lt;90,"Substandard",IF(S3273&lt;=180,"Doubtful",IF(S3273&gt;180,"Loss","0"))))),"Not Applicable"))</f>
        <v/>
      </c>
    </row>
    <row r="3274" spans="19:21" ht="23.25" customHeight="1" x14ac:dyDescent="0.35">
      <c r="S3274" s="56" t="str">
        <f t="shared" si="153"/>
        <v/>
      </c>
      <c r="T3274" s="57" t="str">
        <f t="shared" si="154"/>
        <v/>
      </c>
      <c r="U3274" s="58" t="str">
        <f t="shared" si="155"/>
        <v/>
      </c>
    </row>
    <row r="3275" spans="19:21" ht="23.25" customHeight="1" x14ac:dyDescent="0.35">
      <c r="S3275" s="56" t="str">
        <f t="shared" si="153"/>
        <v/>
      </c>
      <c r="T3275" s="57" t="str">
        <f t="shared" si="154"/>
        <v/>
      </c>
      <c r="U3275" s="58" t="str">
        <f t="shared" si="155"/>
        <v/>
      </c>
    </row>
    <row r="3276" spans="19:21" ht="23.25" customHeight="1" x14ac:dyDescent="0.35">
      <c r="S3276" s="56" t="str">
        <f t="shared" si="153"/>
        <v/>
      </c>
      <c r="T3276" s="57" t="str">
        <f t="shared" si="154"/>
        <v/>
      </c>
      <c r="U3276" s="58" t="str">
        <f t="shared" si="155"/>
        <v/>
      </c>
    </row>
    <row r="3277" spans="19:21" ht="23.25" customHeight="1" x14ac:dyDescent="0.35">
      <c r="S3277" s="56" t="str">
        <f t="shared" si="153"/>
        <v/>
      </c>
      <c r="T3277" s="57" t="str">
        <f t="shared" si="154"/>
        <v/>
      </c>
      <c r="U3277" s="58" t="str">
        <f t="shared" si="155"/>
        <v/>
      </c>
    </row>
    <row r="3278" spans="19:21" ht="23.25" customHeight="1" x14ac:dyDescent="0.35">
      <c r="S3278" s="56" t="str">
        <f t="shared" si="153"/>
        <v/>
      </c>
      <c r="T3278" s="57" t="str">
        <f t="shared" si="154"/>
        <v/>
      </c>
      <c r="U3278" s="58" t="str">
        <f t="shared" si="155"/>
        <v/>
      </c>
    </row>
    <row r="3279" spans="19:21" ht="23.25" customHeight="1" x14ac:dyDescent="0.35">
      <c r="S3279" s="56" t="str">
        <f t="shared" si="153"/>
        <v/>
      </c>
      <c r="T3279" s="57" t="str">
        <f t="shared" si="154"/>
        <v/>
      </c>
      <c r="U3279" s="58" t="str">
        <f t="shared" si="155"/>
        <v/>
      </c>
    </row>
    <row r="3280" spans="19:21" ht="23.25" customHeight="1" x14ac:dyDescent="0.35">
      <c r="S3280" s="56" t="str">
        <f t="shared" si="153"/>
        <v/>
      </c>
      <c r="T3280" s="57" t="str">
        <f t="shared" si="154"/>
        <v/>
      </c>
      <c r="U3280" s="58" t="str">
        <f t="shared" si="155"/>
        <v/>
      </c>
    </row>
    <row r="3281" spans="19:21" ht="23.25" customHeight="1" x14ac:dyDescent="0.35">
      <c r="S3281" s="56" t="str">
        <f t="shared" si="153"/>
        <v/>
      </c>
      <c r="T3281" s="57" t="str">
        <f t="shared" si="154"/>
        <v/>
      </c>
      <c r="U3281" s="58" t="str">
        <f t="shared" si="155"/>
        <v/>
      </c>
    </row>
    <row r="3282" spans="19:21" ht="23.25" customHeight="1" x14ac:dyDescent="0.35">
      <c r="S3282" s="56" t="str">
        <f t="shared" si="153"/>
        <v/>
      </c>
      <c r="T3282" s="57" t="str">
        <f t="shared" si="154"/>
        <v/>
      </c>
      <c r="U3282" s="58" t="str">
        <f t="shared" si="155"/>
        <v/>
      </c>
    </row>
    <row r="3283" spans="19:21" ht="23.25" customHeight="1" x14ac:dyDescent="0.35">
      <c r="S3283" s="56" t="str">
        <f t="shared" si="153"/>
        <v/>
      </c>
      <c r="T3283" s="57" t="str">
        <f t="shared" si="154"/>
        <v/>
      </c>
      <c r="U3283" s="58" t="str">
        <f t="shared" si="155"/>
        <v/>
      </c>
    </row>
    <row r="3284" spans="19:21" ht="23.25" customHeight="1" x14ac:dyDescent="0.35">
      <c r="S3284" s="56" t="str">
        <f t="shared" si="153"/>
        <v/>
      </c>
      <c r="T3284" s="57" t="str">
        <f t="shared" si="154"/>
        <v/>
      </c>
      <c r="U3284" s="58" t="str">
        <f t="shared" si="155"/>
        <v/>
      </c>
    </row>
    <row r="3285" spans="19:21" ht="23.25" customHeight="1" x14ac:dyDescent="0.35">
      <c r="S3285" s="56" t="str">
        <f t="shared" si="153"/>
        <v/>
      </c>
      <c r="T3285" s="57" t="str">
        <f t="shared" si="154"/>
        <v/>
      </c>
      <c r="U3285" s="58" t="str">
        <f t="shared" si="155"/>
        <v/>
      </c>
    </row>
    <row r="3286" spans="19:21" ht="23.25" customHeight="1" x14ac:dyDescent="0.35">
      <c r="S3286" s="56" t="str">
        <f t="shared" si="153"/>
        <v/>
      </c>
      <c r="T3286" s="57" t="str">
        <f t="shared" si="154"/>
        <v/>
      </c>
      <c r="U3286" s="58" t="str">
        <f t="shared" si="155"/>
        <v/>
      </c>
    </row>
    <row r="3287" spans="19:21" ht="23.25" customHeight="1" x14ac:dyDescent="0.35">
      <c r="S3287" s="56" t="str">
        <f t="shared" si="153"/>
        <v/>
      </c>
      <c r="T3287" s="57" t="str">
        <f t="shared" si="154"/>
        <v/>
      </c>
      <c r="U3287" s="58" t="str">
        <f t="shared" si="155"/>
        <v/>
      </c>
    </row>
    <row r="3288" spans="19:21" ht="23.25" customHeight="1" x14ac:dyDescent="0.35">
      <c r="S3288" s="56" t="str">
        <f t="shared" si="153"/>
        <v/>
      </c>
      <c r="T3288" s="57" t="str">
        <f t="shared" si="154"/>
        <v/>
      </c>
      <c r="U3288" s="58" t="str">
        <f t="shared" si="155"/>
        <v/>
      </c>
    </row>
    <row r="3289" spans="19:21" ht="23.25" customHeight="1" x14ac:dyDescent="0.35">
      <c r="S3289" s="56" t="str">
        <f t="shared" si="153"/>
        <v/>
      </c>
      <c r="T3289" s="57" t="str">
        <f t="shared" si="154"/>
        <v/>
      </c>
      <c r="U3289" s="58" t="str">
        <f t="shared" si="155"/>
        <v/>
      </c>
    </row>
    <row r="3290" spans="19:21" ht="23.25" customHeight="1" x14ac:dyDescent="0.35">
      <c r="S3290" s="56" t="str">
        <f t="shared" si="153"/>
        <v/>
      </c>
      <c r="T3290" s="57" t="str">
        <f t="shared" si="154"/>
        <v/>
      </c>
      <c r="U3290" s="58" t="str">
        <f t="shared" si="155"/>
        <v/>
      </c>
    </row>
    <row r="3291" spans="19:21" ht="23.25" customHeight="1" x14ac:dyDescent="0.35">
      <c r="S3291" s="56" t="str">
        <f t="shared" si="153"/>
        <v/>
      </c>
      <c r="T3291" s="57" t="str">
        <f t="shared" si="154"/>
        <v/>
      </c>
      <c r="U3291" s="58" t="str">
        <f t="shared" si="155"/>
        <v/>
      </c>
    </row>
    <row r="3292" spans="19:21" ht="23.25" customHeight="1" x14ac:dyDescent="0.35">
      <c r="S3292" s="56" t="str">
        <f t="shared" si="153"/>
        <v/>
      </c>
      <c r="T3292" s="57" t="str">
        <f t="shared" si="154"/>
        <v/>
      </c>
      <c r="U3292" s="58" t="str">
        <f t="shared" si="155"/>
        <v/>
      </c>
    </row>
    <row r="3293" spans="19:21" ht="23.25" customHeight="1" x14ac:dyDescent="0.35">
      <c r="S3293" s="56" t="str">
        <f t="shared" si="153"/>
        <v/>
      </c>
      <c r="T3293" s="57" t="str">
        <f t="shared" si="154"/>
        <v/>
      </c>
      <c r="U3293" s="58" t="str">
        <f t="shared" si="155"/>
        <v/>
      </c>
    </row>
    <row r="3294" spans="19:21" ht="23.25" customHeight="1" x14ac:dyDescent="0.35">
      <c r="S3294" s="56" t="str">
        <f t="shared" si="153"/>
        <v/>
      </c>
      <c r="T3294" s="57" t="str">
        <f t="shared" si="154"/>
        <v/>
      </c>
      <c r="U3294" s="58" t="str">
        <f t="shared" si="155"/>
        <v/>
      </c>
    </row>
    <row r="3295" spans="19:21" ht="23.25" customHeight="1" x14ac:dyDescent="0.35">
      <c r="S3295" s="56" t="str">
        <f t="shared" si="153"/>
        <v/>
      </c>
      <c r="T3295" s="57" t="str">
        <f t="shared" si="154"/>
        <v/>
      </c>
      <c r="U3295" s="58" t="str">
        <f t="shared" si="155"/>
        <v/>
      </c>
    </row>
    <row r="3296" spans="19:21" ht="23.25" customHeight="1" x14ac:dyDescent="0.35">
      <c r="S3296" s="56" t="str">
        <f t="shared" si="153"/>
        <v/>
      </c>
      <c r="T3296" s="57" t="str">
        <f t="shared" si="154"/>
        <v/>
      </c>
      <c r="U3296" s="58" t="str">
        <f t="shared" si="155"/>
        <v/>
      </c>
    </row>
    <row r="3297" spans="19:21" ht="23.25" customHeight="1" x14ac:dyDescent="0.35">
      <c r="S3297" s="56" t="str">
        <f t="shared" si="153"/>
        <v/>
      </c>
      <c r="T3297" s="57" t="str">
        <f t="shared" si="154"/>
        <v/>
      </c>
      <c r="U3297" s="58" t="str">
        <f t="shared" si="155"/>
        <v/>
      </c>
    </row>
    <row r="3298" spans="19:21" ht="23.25" customHeight="1" x14ac:dyDescent="0.35">
      <c r="S3298" s="56" t="str">
        <f t="shared" si="153"/>
        <v/>
      </c>
      <c r="T3298" s="57" t="str">
        <f t="shared" si="154"/>
        <v/>
      </c>
      <c r="U3298" s="58" t="str">
        <f t="shared" si="155"/>
        <v/>
      </c>
    </row>
    <row r="3299" spans="19:21" ht="23.25" customHeight="1" x14ac:dyDescent="0.35">
      <c r="S3299" s="56" t="str">
        <f t="shared" si="153"/>
        <v/>
      </c>
      <c r="T3299" s="57" t="str">
        <f t="shared" si="154"/>
        <v/>
      </c>
      <c r="U3299" s="58" t="str">
        <f t="shared" si="155"/>
        <v/>
      </c>
    </row>
    <row r="3300" spans="19:21" ht="23.25" customHeight="1" x14ac:dyDescent="0.35">
      <c r="S3300" s="56" t="str">
        <f t="shared" si="153"/>
        <v/>
      </c>
      <c r="T3300" s="57" t="str">
        <f t="shared" si="154"/>
        <v/>
      </c>
      <c r="U3300" s="58" t="str">
        <f t="shared" si="155"/>
        <v/>
      </c>
    </row>
    <row r="3301" spans="19:21" ht="23.25" customHeight="1" x14ac:dyDescent="0.35">
      <c r="S3301" s="56" t="str">
        <f t="shared" si="153"/>
        <v/>
      </c>
      <c r="T3301" s="57" t="str">
        <f t="shared" si="154"/>
        <v/>
      </c>
      <c r="U3301" s="58" t="str">
        <f t="shared" si="155"/>
        <v/>
      </c>
    </row>
    <row r="3302" spans="19:21" ht="23.25" customHeight="1" x14ac:dyDescent="0.35">
      <c r="S3302" s="56" t="str">
        <f t="shared" si="153"/>
        <v/>
      </c>
      <c r="T3302" s="57" t="str">
        <f t="shared" si="154"/>
        <v/>
      </c>
      <c r="U3302" s="58" t="str">
        <f t="shared" si="155"/>
        <v/>
      </c>
    </row>
    <row r="3303" spans="19:21" ht="23.25" customHeight="1" x14ac:dyDescent="0.35">
      <c r="S3303" s="56" t="str">
        <f t="shared" si="153"/>
        <v/>
      </c>
      <c r="T3303" s="57" t="str">
        <f t="shared" si="154"/>
        <v/>
      </c>
      <c r="U3303" s="58" t="str">
        <f t="shared" si="155"/>
        <v/>
      </c>
    </row>
    <row r="3304" spans="19:21" ht="23.25" customHeight="1" x14ac:dyDescent="0.35">
      <c r="S3304" s="56" t="str">
        <f t="shared" si="153"/>
        <v/>
      </c>
      <c r="T3304" s="57" t="str">
        <f t="shared" si="154"/>
        <v/>
      </c>
      <c r="U3304" s="58" t="str">
        <f t="shared" si="155"/>
        <v/>
      </c>
    </row>
    <row r="3305" spans="19:21" ht="23.25" customHeight="1" x14ac:dyDescent="0.35">
      <c r="S3305" s="56" t="str">
        <f t="shared" si="153"/>
        <v/>
      </c>
      <c r="T3305" s="57" t="str">
        <f t="shared" si="154"/>
        <v/>
      </c>
      <c r="U3305" s="58" t="str">
        <f t="shared" si="155"/>
        <v/>
      </c>
    </row>
    <row r="3306" spans="19:21" ht="23.25" customHeight="1" x14ac:dyDescent="0.35">
      <c r="S3306" s="56" t="str">
        <f t="shared" si="153"/>
        <v/>
      </c>
      <c r="T3306" s="57" t="str">
        <f t="shared" si="154"/>
        <v/>
      </c>
      <c r="U3306" s="58" t="str">
        <f t="shared" si="155"/>
        <v/>
      </c>
    </row>
    <row r="3307" spans="19:21" ht="23.25" customHeight="1" x14ac:dyDescent="0.35">
      <c r="S3307" s="56" t="str">
        <f t="shared" si="153"/>
        <v/>
      </c>
      <c r="T3307" s="57" t="str">
        <f t="shared" si="154"/>
        <v/>
      </c>
      <c r="U3307" s="58" t="str">
        <f t="shared" si="155"/>
        <v/>
      </c>
    </row>
    <row r="3308" spans="19:21" ht="23.25" customHeight="1" x14ac:dyDescent="0.35">
      <c r="S3308" s="56" t="str">
        <f t="shared" si="153"/>
        <v/>
      </c>
      <c r="T3308" s="57" t="str">
        <f t="shared" si="154"/>
        <v/>
      </c>
      <c r="U3308" s="58" t="str">
        <f t="shared" si="155"/>
        <v/>
      </c>
    </row>
    <row r="3309" spans="19:21" ht="23.25" customHeight="1" x14ac:dyDescent="0.35">
      <c r="S3309" s="56" t="str">
        <f t="shared" si="153"/>
        <v/>
      </c>
      <c r="T3309" s="57" t="str">
        <f t="shared" si="154"/>
        <v/>
      </c>
      <c r="U3309" s="58" t="str">
        <f t="shared" si="155"/>
        <v/>
      </c>
    </row>
    <row r="3310" spans="19:21" ht="23.25" customHeight="1" x14ac:dyDescent="0.35">
      <c r="S3310" s="56" t="str">
        <f t="shared" si="153"/>
        <v/>
      </c>
      <c r="T3310" s="57" t="str">
        <f t="shared" si="154"/>
        <v/>
      </c>
      <c r="U3310" s="58" t="str">
        <f t="shared" si="155"/>
        <v/>
      </c>
    </row>
    <row r="3311" spans="19:21" ht="23.25" customHeight="1" x14ac:dyDescent="0.35">
      <c r="S3311" s="56" t="str">
        <f t="shared" si="153"/>
        <v/>
      </c>
      <c r="T3311" s="57" t="str">
        <f t="shared" si="154"/>
        <v/>
      </c>
      <c r="U3311" s="58" t="str">
        <f t="shared" si="155"/>
        <v/>
      </c>
    </row>
    <row r="3312" spans="19:21" ht="23.25" customHeight="1" x14ac:dyDescent="0.35">
      <c r="S3312" s="56" t="str">
        <f t="shared" si="153"/>
        <v/>
      </c>
      <c r="T3312" s="57" t="str">
        <f t="shared" si="154"/>
        <v/>
      </c>
      <c r="U3312" s="58" t="str">
        <f t="shared" si="155"/>
        <v/>
      </c>
    </row>
    <row r="3313" spans="19:21" ht="23.25" customHeight="1" x14ac:dyDescent="0.35">
      <c r="S3313" s="56" t="str">
        <f t="shared" si="153"/>
        <v/>
      </c>
      <c r="T3313" s="57" t="str">
        <f t="shared" si="154"/>
        <v/>
      </c>
      <c r="U3313" s="58" t="str">
        <f t="shared" si="155"/>
        <v/>
      </c>
    </row>
    <row r="3314" spans="19:21" ht="23.25" customHeight="1" x14ac:dyDescent="0.35">
      <c r="S3314" s="56" t="str">
        <f t="shared" si="153"/>
        <v/>
      </c>
      <c r="T3314" s="57" t="str">
        <f t="shared" si="154"/>
        <v/>
      </c>
      <c r="U3314" s="58" t="str">
        <f t="shared" si="155"/>
        <v/>
      </c>
    </row>
    <row r="3315" spans="19:21" ht="23.25" customHeight="1" x14ac:dyDescent="0.35">
      <c r="S3315" s="56" t="str">
        <f t="shared" si="153"/>
        <v/>
      </c>
      <c r="T3315" s="57" t="str">
        <f t="shared" si="154"/>
        <v/>
      </c>
      <c r="U3315" s="58" t="str">
        <f t="shared" si="155"/>
        <v/>
      </c>
    </row>
    <row r="3316" spans="19:21" ht="23.25" customHeight="1" x14ac:dyDescent="0.35">
      <c r="S3316" s="56" t="str">
        <f t="shared" si="153"/>
        <v/>
      </c>
      <c r="T3316" s="57" t="str">
        <f t="shared" si="154"/>
        <v/>
      </c>
      <c r="U3316" s="58" t="str">
        <f t="shared" si="155"/>
        <v/>
      </c>
    </row>
    <row r="3317" spans="19:21" ht="23.25" customHeight="1" x14ac:dyDescent="0.35">
      <c r="S3317" s="56" t="str">
        <f t="shared" si="153"/>
        <v/>
      </c>
      <c r="T3317" s="57" t="str">
        <f t="shared" si="154"/>
        <v/>
      </c>
      <c r="U3317" s="58" t="str">
        <f t="shared" si="155"/>
        <v/>
      </c>
    </row>
    <row r="3318" spans="19:21" ht="23.25" customHeight="1" x14ac:dyDescent="0.35">
      <c r="S3318" s="56" t="str">
        <f t="shared" si="153"/>
        <v/>
      </c>
      <c r="T3318" s="57" t="str">
        <f t="shared" si="154"/>
        <v/>
      </c>
      <c r="U3318" s="58" t="str">
        <f t="shared" si="155"/>
        <v/>
      </c>
    </row>
    <row r="3319" spans="19:21" ht="23.25" customHeight="1" x14ac:dyDescent="0.35">
      <c r="S3319" s="56" t="str">
        <f t="shared" si="153"/>
        <v/>
      </c>
      <c r="T3319" s="57" t="str">
        <f t="shared" si="154"/>
        <v/>
      </c>
      <c r="U3319" s="58" t="str">
        <f t="shared" si="155"/>
        <v/>
      </c>
    </row>
    <row r="3320" spans="19:21" ht="23.25" customHeight="1" x14ac:dyDescent="0.35">
      <c r="S3320" s="56" t="str">
        <f t="shared" si="153"/>
        <v/>
      </c>
      <c r="T3320" s="57" t="str">
        <f t="shared" si="154"/>
        <v/>
      </c>
      <c r="U3320" s="58" t="str">
        <f t="shared" si="155"/>
        <v/>
      </c>
    </row>
    <row r="3321" spans="19:21" ht="23.25" customHeight="1" x14ac:dyDescent="0.35">
      <c r="S3321" s="56" t="str">
        <f t="shared" si="153"/>
        <v/>
      </c>
      <c r="T3321" s="57" t="str">
        <f t="shared" si="154"/>
        <v/>
      </c>
      <c r="U3321" s="58" t="str">
        <f t="shared" si="155"/>
        <v/>
      </c>
    </row>
    <row r="3322" spans="19:21" ht="23.25" customHeight="1" x14ac:dyDescent="0.35">
      <c r="S3322" s="56" t="str">
        <f t="shared" si="153"/>
        <v/>
      </c>
      <c r="T3322" s="57" t="str">
        <f t="shared" si="154"/>
        <v/>
      </c>
      <c r="U3322" s="58" t="str">
        <f t="shared" si="155"/>
        <v/>
      </c>
    </row>
    <row r="3323" spans="19:21" ht="23.25" customHeight="1" x14ac:dyDescent="0.35">
      <c r="S3323" s="56" t="str">
        <f t="shared" si="153"/>
        <v/>
      </c>
      <c r="T3323" s="57" t="str">
        <f t="shared" si="154"/>
        <v/>
      </c>
      <c r="U3323" s="58" t="str">
        <f t="shared" si="155"/>
        <v/>
      </c>
    </row>
    <row r="3324" spans="19:21" ht="23.25" customHeight="1" x14ac:dyDescent="0.35">
      <c r="S3324" s="56" t="str">
        <f t="shared" si="153"/>
        <v/>
      </c>
      <c r="T3324" s="57" t="str">
        <f t="shared" si="154"/>
        <v/>
      </c>
      <c r="U3324" s="58" t="str">
        <f t="shared" si="155"/>
        <v/>
      </c>
    </row>
    <row r="3325" spans="19:21" ht="23.25" customHeight="1" x14ac:dyDescent="0.35">
      <c r="S3325" s="56" t="str">
        <f t="shared" si="153"/>
        <v/>
      </c>
      <c r="T3325" s="57" t="str">
        <f t="shared" si="154"/>
        <v/>
      </c>
      <c r="U3325" s="58" t="str">
        <f t="shared" si="155"/>
        <v/>
      </c>
    </row>
    <row r="3326" spans="19:21" ht="23.25" customHeight="1" x14ac:dyDescent="0.35">
      <c r="S3326" s="56" t="str">
        <f t="shared" si="153"/>
        <v/>
      </c>
      <c r="T3326" s="57" t="str">
        <f t="shared" si="154"/>
        <v/>
      </c>
      <c r="U3326" s="58" t="str">
        <f t="shared" si="155"/>
        <v/>
      </c>
    </row>
    <row r="3327" spans="19:21" ht="23.25" customHeight="1" x14ac:dyDescent="0.35">
      <c r="S3327" s="56" t="str">
        <f t="shared" si="153"/>
        <v/>
      </c>
      <c r="T3327" s="57" t="str">
        <f t="shared" si="154"/>
        <v/>
      </c>
      <c r="U3327" s="58" t="str">
        <f t="shared" si="155"/>
        <v/>
      </c>
    </row>
    <row r="3328" spans="19:21" ht="23.25" customHeight="1" x14ac:dyDescent="0.35">
      <c r="S3328" s="56" t="str">
        <f t="shared" si="153"/>
        <v/>
      </c>
      <c r="T3328" s="57" t="str">
        <f t="shared" si="154"/>
        <v/>
      </c>
      <c r="U3328" s="58" t="str">
        <f t="shared" si="155"/>
        <v/>
      </c>
    </row>
    <row r="3329" spans="19:21" ht="23.25" customHeight="1" x14ac:dyDescent="0.35">
      <c r="S3329" s="56" t="str">
        <f t="shared" si="153"/>
        <v/>
      </c>
      <c r="T3329" s="57" t="str">
        <f t="shared" si="154"/>
        <v/>
      </c>
      <c r="U3329" s="58" t="str">
        <f t="shared" si="155"/>
        <v/>
      </c>
    </row>
    <row r="3330" spans="19:21" ht="23.25" customHeight="1" x14ac:dyDescent="0.35">
      <c r="S3330" s="56" t="str">
        <f t="shared" si="153"/>
        <v/>
      </c>
      <c r="T3330" s="57" t="str">
        <f t="shared" si="154"/>
        <v/>
      </c>
      <c r="U3330" s="58" t="str">
        <f t="shared" si="155"/>
        <v/>
      </c>
    </row>
    <row r="3331" spans="19:21" ht="23.25" customHeight="1" x14ac:dyDescent="0.35">
      <c r="S3331" s="56" t="str">
        <f t="shared" si="153"/>
        <v/>
      </c>
      <c r="T3331" s="57" t="str">
        <f t="shared" si="154"/>
        <v/>
      </c>
      <c r="U3331" s="58" t="str">
        <f t="shared" si="155"/>
        <v/>
      </c>
    </row>
    <row r="3332" spans="19:21" ht="23.25" customHeight="1" x14ac:dyDescent="0.35">
      <c r="S3332" s="56" t="str">
        <f t="shared" si="153"/>
        <v/>
      </c>
      <c r="T3332" s="57" t="str">
        <f t="shared" si="154"/>
        <v/>
      </c>
      <c r="U3332" s="58" t="str">
        <f t="shared" si="155"/>
        <v/>
      </c>
    </row>
    <row r="3333" spans="19:21" ht="23.25" customHeight="1" x14ac:dyDescent="0.35">
      <c r="S3333" s="56" t="str">
        <f t="shared" si="153"/>
        <v/>
      </c>
      <c r="T3333" s="57" t="str">
        <f t="shared" si="154"/>
        <v/>
      </c>
      <c r="U3333" s="58" t="str">
        <f t="shared" si="155"/>
        <v/>
      </c>
    </row>
    <row r="3334" spans="19:21" ht="23.25" customHeight="1" x14ac:dyDescent="0.35">
      <c r="S3334" s="56" t="str">
        <f t="shared" si="153"/>
        <v/>
      </c>
      <c r="T3334" s="57" t="str">
        <f t="shared" si="154"/>
        <v/>
      </c>
      <c r="U3334" s="58" t="str">
        <f t="shared" si="155"/>
        <v/>
      </c>
    </row>
    <row r="3335" spans="19:21" ht="23.25" customHeight="1" x14ac:dyDescent="0.35">
      <c r="S3335" s="56" t="str">
        <f t="shared" si="153"/>
        <v/>
      </c>
      <c r="T3335" s="57" t="str">
        <f t="shared" si="154"/>
        <v/>
      </c>
      <c r="U3335" s="58" t="str">
        <f t="shared" si="155"/>
        <v/>
      </c>
    </row>
    <row r="3336" spans="19:21" ht="23.25" customHeight="1" x14ac:dyDescent="0.35">
      <c r="S3336" s="56" t="str">
        <f t="shared" si="153"/>
        <v/>
      </c>
      <c r="T3336" s="57" t="str">
        <f t="shared" si="154"/>
        <v/>
      </c>
      <c r="U3336" s="58" t="str">
        <f t="shared" si="155"/>
        <v/>
      </c>
    </row>
    <row r="3337" spans="19:21" ht="23.25" customHeight="1" x14ac:dyDescent="0.35">
      <c r="S3337" s="56" t="str">
        <f t="shared" ref="S3337:S3400" si="156">IF(A3337="","",A$5-A3337)</f>
        <v/>
      </c>
      <c r="T3337" s="57" t="str">
        <f t="shared" ref="T3337:T3400" si="157">IF(S3337="","",IF(S3337&lt;4,"0-3 Days",IF(S3337&lt;31,"4-30 Days",IF(S3337&lt;61,"31-60 Days",IF(S3337&lt;=90,"61-90 Days",IF(S3337&gt;90,"Above 90 Days","0"))))))</f>
        <v/>
      </c>
      <c r="U3337" s="58" t="str">
        <f t="shared" ref="U3337:U3400" si="158">IF(C3337="","",IF(C3337&gt;0,IF(S3337&lt;30,"Normal",IF(S3337&lt;60,"Especially Mentioned",IF(S3337&lt;90,"Substandard",IF(S3337&lt;=180,"Doubtful",IF(S3337&gt;180,"Loss","0"))))),"Not Applicable"))</f>
        <v/>
      </c>
    </row>
    <row r="3338" spans="19:21" ht="23.25" customHeight="1" x14ac:dyDescent="0.35">
      <c r="S3338" s="56" t="str">
        <f t="shared" si="156"/>
        <v/>
      </c>
      <c r="T3338" s="57" t="str">
        <f t="shared" si="157"/>
        <v/>
      </c>
      <c r="U3338" s="58" t="str">
        <f t="shared" si="158"/>
        <v/>
      </c>
    </row>
    <row r="3339" spans="19:21" ht="23.25" customHeight="1" x14ac:dyDescent="0.35">
      <c r="S3339" s="56" t="str">
        <f t="shared" si="156"/>
        <v/>
      </c>
      <c r="T3339" s="57" t="str">
        <f t="shared" si="157"/>
        <v/>
      </c>
      <c r="U3339" s="58" t="str">
        <f t="shared" si="158"/>
        <v/>
      </c>
    </row>
    <row r="3340" spans="19:21" ht="23.25" customHeight="1" x14ac:dyDescent="0.35">
      <c r="S3340" s="56" t="str">
        <f t="shared" si="156"/>
        <v/>
      </c>
      <c r="T3340" s="57" t="str">
        <f t="shared" si="157"/>
        <v/>
      </c>
      <c r="U3340" s="58" t="str">
        <f t="shared" si="158"/>
        <v/>
      </c>
    </row>
    <row r="3341" spans="19:21" ht="23.25" customHeight="1" x14ac:dyDescent="0.35">
      <c r="S3341" s="56" t="str">
        <f t="shared" si="156"/>
        <v/>
      </c>
      <c r="T3341" s="57" t="str">
        <f t="shared" si="157"/>
        <v/>
      </c>
      <c r="U3341" s="58" t="str">
        <f t="shared" si="158"/>
        <v/>
      </c>
    </row>
    <row r="3342" spans="19:21" ht="23.25" customHeight="1" x14ac:dyDescent="0.35">
      <c r="S3342" s="56" t="str">
        <f t="shared" si="156"/>
        <v/>
      </c>
      <c r="T3342" s="57" t="str">
        <f t="shared" si="157"/>
        <v/>
      </c>
      <c r="U3342" s="58" t="str">
        <f t="shared" si="158"/>
        <v/>
      </c>
    </row>
    <row r="3343" spans="19:21" ht="23.25" customHeight="1" x14ac:dyDescent="0.35">
      <c r="S3343" s="56" t="str">
        <f t="shared" si="156"/>
        <v/>
      </c>
      <c r="T3343" s="57" t="str">
        <f t="shared" si="157"/>
        <v/>
      </c>
      <c r="U3343" s="58" t="str">
        <f t="shared" si="158"/>
        <v/>
      </c>
    </row>
    <row r="3344" spans="19:21" ht="23.25" customHeight="1" x14ac:dyDescent="0.35">
      <c r="S3344" s="56" t="str">
        <f t="shared" si="156"/>
        <v/>
      </c>
      <c r="T3344" s="57" t="str">
        <f t="shared" si="157"/>
        <v/>
      </c>
      <c r="U3344" s="58" t="str">
        <f t="shared" si="158"/>
        <v/>
      </c>
    </row>
    <row r="3345" spans="19:21" ht="23.25" customHeight="1" x14ac:dyDescent="0.35">
      <c r="S3345" s="56" t="str">
        <f t="shared" si="156"/>
        <v/>
      </c>
      <c r="T3345" s="57" t="str">
        <f t="shared" si="157"/>
        <v/>
      </c>
      <c r="U3345" s="58" t="str">
        <f t="shared" si="158"/>
        <v/>
      </c>
    </row>
    <row r="3346" spans="19:21" ht="23.25" customHeight="1" x14ac:dyDescent="0.35">
      <c r="S3346" s="56" t="str">
        <f t="shared" si="156"/>
        <v/>
      </c>
      <c r="T3346" s="57" t="str">
        <f t="shared" si="157"/>
        <v/>
      </c>
      <c r="U3346" s="58" t="str">
        <f t="shared" si="158"/>
        <v/>
      </c>
    </row>
    <row r="3347" spans="19:21" ht="23.25" customHeight="1" x14ac:dyDescent="0.35">
      <c r="S3347" s="56" t="str">
        <f t="shared" si="156"/>
        <v/>
      </c>
      <c r="T3347" s="57" t="str">
        <f t="shared" si="157"/>
        <v/>
      </c>
      <c r="U3347" s="58" t="str">
        <f t="shared" si="158"/>
        <v/>
      </c>
    </row>
    <row r="3348" spans="19:21" ht="23.25" customHeight="1" x14ac:dyDescent="0.35">
      <c r="S3348" s="56" t="str">
        <f t="shared" si="156"/>
        <v/>
      </c>
      <c r="T3348" s="57" t="str">
        <f t="shared" si="157"/>
        <v/>
      </c>
      <c r="U3348" s="58" t="str">
        <f t="shared" si="158"/>
        <v/>
      </c>
    </row>
    <row r="3349" spans="19:21" ht="23.25" customHeight="1" x14ac:dyDescent="0.35">
      <c r="S3349" s="56" t="str">
        <f t="shared" si="156"/>
        <v/>
      </c>
      <c r="T3349" s="57" t="str">
        <f t="shared" si="157"/>
        <v/>
      </c>
      <c r="U3349" s="58" t="str">
        <f t="shared" si="158"/>
        <v/>
      </c>
    </row>
    <row r="3350" spans="19:21" ht="23.25" customHeight="1" x14ac:dyDescent="0.35">
      <c r="S3350" s="56" t="str">
        <f t="shared" si="156"/>
        <v/>
      </c>
      <c r="T3350" s="57" t="str">
        <f t="shared" si="157"/>
        <v/>
      </c>
      <c r="U3350" s="58" t="str">
        <f t="shared" si="158"/>
        <v/>
      </c>
    </row>
    <row r="3351" spans="19:21" ht="23.25" customHeight="1" x14ac:dyDescent="0.35">
      <c r="S3351" s="56" t="str">
        <f t="shared" si="156"/>
        <v/>
      </c>
      <c r="T3351" s="57" t="str">
        <f t="shared" si="157"/>
        <v/>
      </c>
      <c r="U3351" s="58" t="str">
        <f t="shared" si="158"/>
        <v/>
      </c>
    </row>
    <row r="3352" spans="19:21" ht="23.25" customHeight="1" x14ac:dyDescent="0.35">
      <c r="S3352" s="56" t="str">
        <f t="shared" si="156"/>
        <v/>
      </c>
      <c r="T3352" s="57" t="str">
        <f t="shared" si="157"/>
        <v/>
      </c>
      <c r="U3352" s="58" t="str">
        <f t="shared" si="158"/>
        <v/>
      </c>
    </row>
    <row r="3353" spans="19:21" ht="23.25" customHeight="1" x14ac:dyDescent="0.35">
      <c r="S3353" s="56" t="str">
        <f t="shared" si="156"/>
        <v/>
      </c>
      <c r="T3353" s="57" t="str">
        <f t="shared" si="157"/>
        <v/>
      </c>
      <c r="U3353" s="58" t="str">
        <f t="shared" si="158"/>
        <v/>
      </c>
    </row>
    <row r="3354" spans="19:21" ht="23.25" customHeight="1" x14ac:dyDescent="0.35">
      <c r="S3354" s="56" t="str">
        <f t="shared" si="156"/>
        <v/>
      </c>
      <c r="T3354" s="57" t="str">
        <f t="shared" si="157"/>
        <v/>
      </c>
      <c r="U3354" s="58" t="str">
        <f t="shared" si="158"/>
        <v/>
      </c>
    </row>
    <row r="3355" spans="19:21" ht="23.25" customHeight="1" x14ac:dyDescent="0.35">
      <c r="S3355" s="56" t="str">
        <f t="shared" si="156"/>
        <v/>
      </c>
      <c r="T3355" s="57" t="str">
        <f t="shared" si="157"/>
        <v/>
      </c>
      <c r="U3355" s="58" t="str">
        <f t="shared" si="158"/>
        <v/>
      </c>
    </row>
    <row r="3356" spans="19:21" ht="23.25" customHeight="1" x14ac:dyDescent="0.35">
      <c r="S3356" s="56" t="str">
        <f t="shared" si="156"/>
        <v/>
      </c>
      <c r="T3356" s="57" t="str">
        <f t="shared" si="157"/>
        <v/>
      </c>
      <c r="U3356" s="58" t="str">
        <f t="shared" si="158"/>
        <v/>
      </c>
    </row>
    <row r="3357" spans="19:21" ht="23.25" customHeight="1" x14ac:dyDescent="0.35">
      <c r="S3357" s="56" t="str">
        <f t="shared" si="156"/>
        <v/>
      </c>
      <c r="T3357" s="57" t="str">
        <f t="shared" si="157"/>
        <v/>
      </c>
      <c r="U3357" s="58" t="str">
        <f t="shared" si="158"/>
        <v/>
      </c>
    </row>
    <row r="3358" spans="19:21" ht="23.25" customHeight="1" x14ac:dyDescent="0.35">
      <c r="S3358" s="56" t="str">
        <f t="shared" si="156"/>
        <v/>
      </c>
      <c r="T3358" s="57" t="str">
        <f t="shared" si="157"/>
        <v/>
      </c>
      <c r="U3358" s="58" t="str">
        <f t="shared" si="158"/>
        <v/>
      </c>
    </row>
    <row r="3359" spans="19:21" ht="23.25" customHeight="1" x14ac:dyDescent="0.35">
      <c r="S3359" s="56" t="str">
        <f t="shared" si="156"/>
        <v/>
      </c>
      <c r="T3359" s="57" t="str">
        <f t="shared" si="157"/>
        <v/>
      </c>
      <c r="U3359" s="58" t="str">
        <f t="shared" si="158"/>
        <v/>
      </c>
    </row>
    <row r="3360" spans="19:21" ht="23.25" customHeight="1" x14ac:dyDescent="0.35">
      <c r="S3360" s="56" t="str">
        <f t="shared" si="156"/>
        <v/>
      </c>
      <c r="T3360" s="57" t="str">
        <f t="shared" si="157"/>
        <v/>
      </c>
      <c r="U3360" s="58" t="str">
        <f t="shared" si="158"/>
        <v/>
      </c>
    </row>
    <row r="3361" spans="19:21" ht="23.25" customHeight="1" x14ac:dyDescent="0.35">
      <c r="S3361" s="56" t="str">
        <f t="shared" si="156"/>
        <v/>
      </c>
      <c r="T3361" s="57" t="str">
        <f t="shared" si="157"/>
        <v/>
      </c>
      <c r="U3361" s="58" t="str">
        <f t="shared" si="158"/>
        <v/>
      </c>
    </row>
    <row r="3362" spans="19:21" ht="23.25" customHeight="1" x14ac:dyDescent="0.35">
      <c r="S3362" s="56" t="str">
        <f t="shared" si="156"/>
        <v/>
      </c>
      <c r="T3362" s="57" t="str">
        <f t="shared" si="157"/>
        <v/>
      </c>
      <c r="U3362" s="58" t="str">
        <f t="shared" si="158"/>
        <v/>
      </c>
    </row>
    <row r="3363" spans="19:21" ht="23.25" customHeight="1" x14ac:dyDescent="0.35">
      <c r="S3363" s="56" t="str">
        <f t="shared" si="156"/>
        <v/>
      </c>
      <c r="T3363" s="57" t="str">
        <f t="shared" si="157"/>
        <v/>
      </c>
      <c r="U3363" s="58" t="str">
        <f t="shared" si="158"/>
        <v/>
      </c>
    </row>
    <row r="3364" spans="19:21" ht="23.25" customHeight="1" x14ac:dyDescent="0.35">
      <c r="S3364" s="56" t="str">
        <f t="shared" si="156"/>
        <v/>
      </c>
      <c r="T3364" s="57" t="str">
        <f t="shared" si="157"/>
        <v/>
      </c>
      <c r="U3364" s="58" t="str">
        <f t="shared" si="158"/>
        <v/>
      </c>
    </row>
    <row r="3365" spans="19:21" ht="23.25" customHeight="1" x14ac:dyDescent="0.35">
      <c r="S3365" s="56" t="str">
        <f t="shared" si="156"/>
        <v/>
      </c>
      <c r="T3365" s="57" t="str">
        <f t="shared" si="157"/>
        <v/>
      </c>
      <c r="U3365" s="58" t="str">
        <f t="shared" si="158"/>
        <v/>
      </c>
    </row>
    <row r="3366" spans="19:21" ht="23.25" customHeight="1" x14ac:dyDescent="0.35">
      <c r="S3366" s="56" t="str">
        <f t="shared" si="156"/>
        <v/>
      </c>
      <c r="T3366" s="57" t="str">
        <f t="shared" si="157"/>
        <v/>
      </c>
      <c r="U3366" s="58" t="str">
        <f t="shared" si="158"/>
        <v/>
      </c>
    </row>
    <row r="3367" spans="19:21" ht="23.25" customHeight="1" x14ac:dyDescent="0.35">
      <c r="S3367" s="56" t="str">
        <f t="shared" si="156"/>
        <v/>
      </c>
      <c r="T3367" s="57" t="str">
        <f t="shared" si="157"/>
        <v/>
      </c>
      <c r="U3367" s="58" t="str">
        <f t="shared" si="158"/>
        <v/>
      </c>
    </row>
    <row r="3368" spans="19:21" ht="23.25" customHeight="1" x14ac:dyDescent="0.35">
      <c r="S3368" s="56" t="str">
        <f t="shared" si="156"/>
        <v/>
      </c>
      <c r="T3368" s="57" t="str">
        <f t="shared" si="157"/>
        <v/>
      </c>
      <c r="U3368" s="58" t="str">
        <f t="shared" si="158"/>
        <v/>
      </c>
    </row>
    <row r="3369" spans="19:21" ht="23.25" customHeight="1" x14ac:dyDescent="0.35">
      <c r="S3369" s="56" t="str">
        <f t="shared" si="156"/>
        <v/>
      </c>
      <c r="T3369" s="57" t="str">
        <f t="shared" si="157"/>
        <v/>
      </c>
      <c r="U3369" s="58" t="str">
        <f t="shared" si="158"/>
        <v/>
      </c>
    </row>
    <row r="3370" spans="19:21" ht="23.25" customHeight="1" x14ac:dyDescent="0.35">
      <c r="S3370" s="56" t="str">
        <f t="shared" si="156"/>
        <v/>
      </c>
      <c r="T3370" s="57" t="str">
        <f t="shared" si="157"/>
        <v/>
      </c>
      <c r="U3370" s="58" t="str">
        <f t="shared" si="158"/>
        <v/>
      </c>
    </row>
    <row r="3371" spans="19:21" ht="23.25" customHeight="1" x14ac:dyDescent="0.35">
      <c r="S3371" s="56" t="str">
        <f t="shared" si="156"/>
        <v/>
      </c>
      <c r="T3371" s="57" t="str">
        <f t="shared" si="157"/>
        <v/>
      </c>
      <c r="U3371" s="58" t="str">
        <f t="shared" si="158"/>
        <v/>
      </c>
    </row>
    <row r="3372" spans="19:21" ht="23.25" customHeight="1" x14ac:dyDescent="0.35">
      <c r="S3372" s="56" t="str">
        <f t="shared" si="156"/>
        <v/>
      </c>
      <c r="T3372" s="57" t="str">
        <f t="shared" si="157"/>
        <v/>
      </c>
      <c r="U3372" s="58" t="str">
        <f t="shared" si="158"/>
        <v/>
      </c>
    </row>
    <row r="3373" spans="19:21" ht="23.25" customHeight="1" x14ac:dyDescent="0.35">
      <c r="S3373" s="56" t="str">
        <f t="shared" si="156"/>
        <v/>
      </c>
      <c r="T3373" s="57" t="str">
        <f t="shared" si="157"/>
        <v/>
      </c>
      <c r="U3373" s="58" t="str">
        <f t="shared" si="158"/>
        <v/>
      </c>
    </row>
    <row r="3374" spans="19:21" ht="23.25" customHeight="1" x14ac:dyDescent="0.35">
      <c r="S3374" s="56" t="str">
        <f t="shared" si="156"/>
        <v/>
      </c>
      <c r="T3374" s="57" t="str">
        <f t="shared" si="157"/>
        <v/>
      </c>
      <c r="U3374" s="58" t="str">
        <f t="shared" si="158"/>
        <v/>
      </c>
    </row>
    <row r="3375" spans="19:21" ht="23.25" customHeight="1" x14ac:dyDescent="0.35">
      <c r="S3375" s="56" t="str">
        <f t="shared" si="156"/>
        <v/>
      </c>
      <c r="T3375" s="57" t="str">
        <f t="shared" si="157"/>
        <v/>
      </c>
      <c r="U3375" s="58" t="str">
        <f t="shared" si="158"/>
        <v/>
      </c>
    </row>
    <row r="3376" spans="19:21" ht="23.25" customHeight="1" x14ac:dyDescent="0.35">
      <c r="S3376" s="56" t="str">
        <f t="shared" si="156"/>
        <v/>
      </c>
      <c r="T3376" s="57" t="str">
        <f t="shared" si="157"/>
        <v/>
      </c>
      <c r="U3376" s="58" t="str">
        <f t="shared" si="158"/>
        <v/>
      </c>
    </row>
    <row r="3377" spans="19:21" ht="23.25" customHeight="1" x14ac:dyDescent="0.35">
      <c r="S3377" s="56" t="str">
        <f t="shared" si="156"/>
        <v/>
      </c>
      <c r="T3377" s="57" t="str">
        <f t="shared" si="157"/>
        <v/>
      </c>
      <c r="U3377" s="58" t="str">
        <f t="shared" si="158"/>
        <v/>
      </c>
    </row>
    <row r="3378" spans="19:21" ht="23.25" customHeight="1" x14ac:dyDescent="0.35">
      <c r="S3378" s="56" t="str">
        <f t="shared" si="156"/>
        <v/>
      </c>
      <c r="T3378" s="57" t="str">
        <f t="shared" si="157"/>
        <v/>
      </c>
      <c r="U3378" s="58" t="str">
        <f t="shared" si="158"/>
        <v/>
      </c>
    </row>
    <row r="3379" spans="19:21" ht="23.25" customHeight="1" x14ac:dyDescent="0.35">
      <c r="S3379" s="56" t="str">
        <f t="shared" si="156"/>
        <v/>
      </c>
      <c r="T3379" s="57" t="str">
        <f t="shared" si="157"/>
        <v/>
      </c>
      <c r="U3379" s="58" t="str">
        <f t="shared" si="158"/>
        <v/>
      </c>
    </row>
    <row r="3380" spans="19:21" ht="23.25" customHeight="1" x14ac:dyDescent="0.35">
      <c r="S3380" s="56" t="str">
        <f t="shared" si="156"/>
        <v/>
      </c>
      <c r="T3380" s="57" t="str">
        <f t="shared" si="157"/>
        <v/>
      </c>
      <c r="U3380" s="58" t="str">
        <f t="shared" si="158"/>
        <v/>
      </c>
    </row>
    <row r="3381" spans="19:21" ht="23.25" customHeight="1" x14ac:dyDescent="0.35">
      <c r="S3381" s="56" t="str">
        <f t="shared" si="156"/>
        <v/>
      </c>
      <c r="T3381" s="57" t="str">
        <f t="shared" si="157"/>
        <v/>
      </c>
      <c r="U3381" s="58" t="str">
        <f t="shared" si="158"/>
        <v/>
      </c>
    </row>
    <row r="3382" spans="19:21" ht="23.25" customHeight="1" x14ac:dyDescent="0.35">
      <c r="S3382" s="56" t="str">
        <f t="shared" si="156"/>
        <v/>
      </c>
      <c r="T3382" s="57" t="str">
        <f t="shared" si="157"/>
        <v/>
      </c>
      <c r="U3382" s="58" t="str">
        <f t="shared" si="158"/>
        <v/>
      </c>
    </row>
    <row r="3383" spans="19:21" ht="23.25" customHeight="1" x14ac:dyDescent="0.35">
      <c r="S3383" s="56" t="str">
        <f t="shared" si="156"/>
        <v/>
      </c>
      <c r="T3383" s="57" t="str">
        <f t="shared" si="157"/>
        <v/>
      </c>
      <c r="U3383" s="58" t="str">
        <f t="shared" si="158"/>
        <v/>
      </c>
    </row>
    <row r="3384" spans="19:21" ht="23.25" customHeight="1" x14ac:dyDescent="0.35">
      <c r="S3384" s="56" t="str">
        <f t="shared" si="156"/>
        <v/>
      </c>
      <c r="T3384" s="57" t="str">
        <f t="shared" si="157"/>
        <v/>
      </c>
      <c r="U3384" s="58" t="str">
        <f t="shared" si="158"/>
        <v/>
      </c>
    </row>
    <row r="3385" spans="19:21" ht="23.25" customHeight="1" x14ac:dyDescent="0.35">
      <c r="S3385" s="56" t="str">
        <f t="shared" si="156"/>
        <v/>
      </c>
      <c r="T3385" s="57" t="str">
        <f t="shared" si="157"/>
        <v/>
      </c>
      <c r="U3385" s="58" t="str">
        <f t="shared" si="158"/>
        <v/>
      </c>
    </row>
    <row r="3386" spans="19:21" ht="23.25" customHeight="1" x14ac:dyDescent="0.35">
      <c r="S3386" s="56" t="str">
        <f t="shared" si="156"/>
        <v/>
      </c>
      <c r="T3386" s="57" t="str">
        <f t="shared" si="157"/>
        <v/>
      </c>
      <c r="U3386" s="58" t="str">
        <f t="shared" si="158"/>
        <v/>
      </c>
    </row>
    <row r="3387" spans="19:21" ht="23.25" customHeight="1" x14ac:dyDescent="0.35">
      <c r="S3387" s="56" t="str">
        <f t="shared" si="156"/>
        <v/>
      </c>
      <c r="T3387" s="57" t="str">
        <f t="shared" si="157"/>
        <v/>
      </c>
      <c r="U3387" s="58" t="str">
        <f t="shared" si="158"/>
        <v/>
      </c>
    </row>
    <row r="3388" spans="19:21" ht="23.25" customHeight="1" x14ac:dyDescent="0.35">
      <c r="S3388" s="56" t="str">
        <f t="shared" si="156"/>
        <v/>
      </c>
      <c r="T3388" s="57" t="str">
        <f t="shared" si="157"/>
        <v/>
      </c>
      <c r="U3388" s="58" t="str">
        <f t="shared" si="158"/>
        <v/>
      </c>
    </row>
    <row r="3389" spans="19:21" ht="23.25" customHeight="1" x14ac:dyDescent="0.35">
      <c r="S3389" s="56" t="str">
        <f t="shared" si="156"/>
        <v/>
      </c>
      <c r="T3389" s="57" t="str">
        <f t="shared" si="157"/>
        <v/>
      </c>
      <c r="U3389" s="58" t="str">
        <f t="shared" si="158"/>
        <v/>
      </c>
    </row>
    <row r="3390" spans="19:21" ht="23.25" customHeight="1" x14ac:dyDescent="0.35">
      <c r="S3390" s="56" t="str">
        <f t="shared" si="156"/>
        <v/>
      </c>
      <c r="T3390" s="57" t="str">
        <f t="shared" si="157"/>
        <v/>
      </c>
      <c r="U3390" s="58" t="str">
        <f t="shared" si="158"/>
        <v/>
      </c>
    </row>
    <row r="3391" spans="19:21" ht="23.25" customHeight="1" x14ac:dyDescent="0.35">
      <c r="S3391" s="56" t="str">
        <f t="shared" si="156"/>
        <v/>
      </c>
      <c r="T3391" s="57" t="str">
        <f t="shared" si="157"/>
        <v/>
      </c>
      <c r="U3391" s="58" t="str">
        <f t="shared" si="158"/>
        <v/>
      </c>
    </row>
    <row r="3392" spans="19:21" ht="23.25" customHeight="1" x14ac:dyDescent="0.35">
      <c r="S3392" s="56" t="str">
        <f t="shared" si="156"/>
        <v/>
      </c>
      <c r="T3392" s="57" t="str">
        <f t="shared" si="157"/>
        <v/>
      </c>
      <c r="U3392" s="58" t="str">
        <f t="shared" si="158"/>
        <v/>
      </c>
    </row>
    <row r="3393" spans="19:21" ht="23.25" customHeight="1" x14ac:dyDescent="0.35">
      <c r="S3393" s="56" t="str">
        <f t="shared" si="156"/>
        <v/>
      </c>
      <c r="T3393" s="57" t="str">
        <f t="shared" si="157"/>
        <v/>
      </c>
      <c r="U3393" s="58" t="str">
        <f t="shared" si="158"/>
        <v/>
      </c>
    </row>
    <row r="3394" spans="19:21" ht="23.25" customHeight="1" x14ac:dyDescent="0.35">
      <c r="S3394" s="56" t="str">
        <f t="shared" si="156"/>
        <v/>
      </c>
      <c r="T3394" s="57" t="str">
        <f t="shared" si="157"/>
        <v/>
      </c>
      <c r="U3394" s="58" t="str">
        <f t="shared" si="158"/>
        <v/>
      </c>
    </row>
    <row r="3395" spans="19:21" ht="23.25" customHeight="1" x14ac:dyDescent="0.35">
      <c r="S3395" s="56" t="str">
        <f t="shared" si="156"/>
        <v/>
      </c>
      <c r="T3395" s="57" t="str">
        <f t="shared" si="157"/>
        <v/>
      </c>
      <c r="U3395" s="58" t="str">
        <f t="shared" si="158"/>
        <v/>
      </c>
    </row>
    <row r="3396" spans="19:21" ht="23.25" customHeight="1" x14ac:dyDescent="0.35">
      <c r="S3396" s="56" t="str">
        <f t="shared" si="156"/>
        <v/>
      </c>
      <c r="T3396" s="57" t="str">
        <f t="shared" si="157"/>
        <v/>
      </c>
      <c r="U3396" s="58" t="str">
        <f t="shared" si="158"/>
        <v/>
      </c>
    </row>
    <row r="3397" spans="19:21" ht="23.25" customHeight="1" x14ac:dyDescent="0.35">
      <c r="S3397" s="56" t="str">
        <f t="shared" si="156"/>
        <v/>
      </c>
      <c r="T3397" s="57" t="str">
        <f t="shared" si="157"/>
        <v/>
      </c>
      <c r="U3397" s="58" t="str">
        <f t="shared" si="158"/>
        <v/>
      </c>
    </row>
    <row r="3398" spans="19:21" ht="23.25" customHeight="1" x14ac:dyDescent="0.35">
      <c r="S3398" s="56" t="str">
        <f t="shared" si="156"/>
        <v/>
      </c>
      <c r="T3398" s="57" t="str">
        <f t="shared" si="157"/>
        <v/>
      </c>
      <c r="U3398" s="58" t="str">
        <f t="shared" si="158"/>
        <v/>
      </c>
    </row>
    <row r="3399" spans="19:21" ht="23.25" customHeight="1" x14ac:dyDescent="0.35">
      <c r="S3399" s="56" t="str">
        <f t="shared" si="156"/>
        <v/>
      </c>
      <c r="T3399" s="57" t="str">
        <f t="shared" si="157"/>
        <v/>
      </c>
      <c r="U3399" s="58" t="str">
        <f t="shared" si="158"/>
        <v/>
      </c>
    </row>
    <row r="3400" spans="19:21" ht="23.25" customHeight="1" x14ac:dyDescent="0.35">
      <c r="S3400" s="56" t="str">
        <f t="shared" si="156"/>
        <v/>
      </c>
      <c r="T3400" s="57" t="str">
        <f t="shared" si="157"/>
        <v/>
      </c>
      <c r="U3400" s="58" t="str">
        <f t="shared" si="158"/>
        <v/>
      </c>
    </row>
    <row r="3401" spans="19:21" ht="23.25" customHeight="1" x14ac:dyDescent="0.35">
      <c r="S3401" s="56" t="str">
        <f t="shared" ref="S3401:S3464" si="159">IF(A3401="","",A$5-A3401)</f>
        <v/>
      </c>
      <c r="T3401" s="57" t="str">
        <f t="shared" ref="T3401:T3464" si="160">IF(S3401="","",IF(S3401&lt;4,"0-3 Days",IF(S3401&lt;31,"4-30 Days",IF(S3401&lt;61,"31-60 Days",IF(S3401&lt;=90,"61-90 Days",IF(S3401&gt;90,"Above 90 Days","0"))))))</f>
        <v/>
      </c>
      <c r="U3401" s="58" t="str">
        <f t="shared" ref="U3401:U3464" si="161">IF(C3401="","",IF(C3401&gt;0,IF(S3401&lt;30,"Normal",IF(S3401&lt;60,"Especially Mentioned",IF(S3401&lt;90,"Substandard",IF(S3401&lt;=180,"Doubtful",IF(S3401&gt;180,"Loss","0"))))),"Not Applicable"))</f>
        <v/>
      </c>
    </row>
    <row r="3402" spans="19:21" ht="23.25" customHeight="1" x14ac:dyDescent="0.35">
      <c r="S3402" s="56" t="str">
        <f t="shared" si="159"/>
        <v/>
      </c>
      <c r="T3402" s="57" t="str">
        <f t="shared" si="160"/>
        <v/>
      </c>
      <c r="U3402" s="58" t="str">
        <f t="shared" si="161"/>
        <v/>
      </c>
    </row>
    <row r="3403" spans="19:21" ht="23.25" customHeight="1" x14ac:dyDescent="0.35">
      <c r="S3403" s="56" t="str">
        <f t="shared" si="159"/>
        <v/>
      </c>
      <c r="T3403" s="57" t="str">
        <f t="shared" si="160"/>
        <v/>
      </c>
      <c r="U3403" s="58" t="str">
        <f t="shared" si="161"/>
        <v/>
      </c>
    </row>
    <row r="3404" spans="19:21" ht="23.25" customHeight="1" x14ac:dyDescent="0.35">
      <c r="S3404" s="56" t="str">
        <f t="shared" si="159"/>
        <v/>
      </c>
      <c r="T3404" s="57" t="str">
        <f t="shared" si="160"/>
        <v/>
      </c>
      <c r="U3404" s="58" t="str">
        <f t="shared" si="161"/>
        <v/>
      </c>
    </row>
    <row r="3405" spans="19:21" ht="23.25" customHeight="1" x14ac:dyDescent="0.35">
      <c r="S3405" s="56" t="str">
        <f t="shared" si="159"/>
        <v/>
      </c>
      <c r="T3405" s="57" t="str">
        <f t="shared" si="160"/>
        <v/>
      </c>
      <c r="U3405" s="58" t="str">
        <f t="shared" si="161"/>
        <v/>
      </c>
    </row>
    <row r="3406" spans="19:21" ht="23.25" customHeight="1" x14ac:dyDescent="0.35">
      <c r="S3406" s="56" t="str">
        <f t="shared" si="159"/>
        <v/>
      </c>
      <c r="T3406" s="57" t="str">
        <f t="shared" si="160"/>
        <v/>
      </c>
      <c r="U3406" s="58" t="str">
        <f t="shared" si="161"/>
        <v/>
      </c>
    </row>
    <row r="3407" spans="19:21" ht="23.25" customHeight="1" x14ac:dyDescent="0.35">
      <c r="S3407" s="56" t="str">
        <f t="shared" si="159"/>
        <v/>
      </c>
      <c r="T3407" s="57" t="str">
        <f t="shared" si="160"/>
        <v/>
      </c>
      <c r="U3407" s="58" t="str">
        <f t="shared" si="161"/>
        <v/>
      </c>
    </row>
    <row r="3408" spans="19:21" ht="23.25" customHeight="1" x14ac:dyDescent="0.35">
      <c r="S3408" s="56" t="str">
        <f t="shared" si="159"/>
        <v/>
      </c>
      <c r="T3408" s="57" t="str">
        <f t="shared" si="160"/>
        <v/>
      </c>
      <c r="U3408" s="58" t="str">
        <f t="shared" si="161"/>
        <v/>
      </c>
    </row>
    <row r="3409" spans="19:21" ht="23.25" customHeight="1" x14ac:dyDescent="0.35">
      <c r="S3409" s="56" t="str">
        <f t="shared" si="159"/>
        <v/>
      </c>
      <c r="T3409" s="57" t="str">
        <f t="shared" si="160"/>
        <v/>
      </c>
      <c r="U3409" s="58" t="str">
        <f t="shared" si="161"/>
        <v/>
      </c>
    </row>
    <row r="3410" spans="19:21" ht="23.25" customHeight="1" x14ac:dyDescent="0.35">
      <c r="S3410" s="56" t="str">
        <f t="shared" si="159"/>
        <v/>
      </c>
      <c r="T3410" s="57" t="str">
        <f t="shared" si="160"/>
        <v/>
      </c>
      <c r="U3410" s="58" t="str">
        <f t="shared" si="161"/>
        <v/>
      </c>
    </row>
    <row r="3411" spans="19:21" ht="23.25" customHeight="1" x14ac:dyDescent="0.35">
      <c r="S3411" s="56" t="str">
        <f t="shared" si="159"/>
        <v/>
      </c>
      <c r="T3411" s="57" t="str">
        <f t="shared" si="160"/>
        <v/>
      </c>
      <c r="U3411" s="58" t="str">
        <f t="shared" si="161"/>
        <v/>
      </c>
    </row>
    <row r="3412" spans="19:21" ht="23.25" customHeight="1" x14ac:dyDescent="0.35">
      <c r="S3412" s="56" t="str">
        <f t="shared" si="159"/>
        <v/>
      </c>
      <c r="T3412" s="57" t="str">
        <f t="shared" si="160"/>
        <v/>
      </c>
      <c r="U3412" s="58" t="str">
        <f t="shared" si="161"/>
        <v/>
      </c>
    </row>
    <row r="3413" spans="19:21" ht="23.25" customHeight="1" x14ac:dyDescent="0.35">
      <c r="S3413" s="56" t="str">
        <f t="shared" si="159"/>
        <v/>
      </c>
      <c r="T3413" s="57" t="str">
        <f t="shared" si="160"/>
        <v/>
      </c>
      <c r="U3413" s="58" t="str">
        <f t="shared" si="161"/>
        <v/>
      </c>
    </row>
    <row r="3414" spans="19:21" ht="23.25" customHeight="1" x14ac:dyDescent="0.35">
      <c r="S3414" s="56" t="str">
        <f t="shared" si="159"/>
        <v/>
      </c>
      <c r="T3414" s="57" t="str">
        <f t="shared" si="160"/>
        <v/>
      </c>
      <c r="U3414" s="58" t="str">
        <f t="shared" si="161"/>
        <v/>
      </c>
    </row>
    <row r="3415" spans="19:21" ht="23.25" customHeight="1" x14ac:dyDescent="0.35">
      <c r="S3415" s="56" t="str">
        <f t="shared" si="159"/>
        <v/>
      </c>
      <c r="T3415" s="57" t="str">
        <f t="shared" si="160"/>
        <v/>
      </c>
      <c r="U3415" s="58" t="str">
        <f t="shared" si="161"/>
        <v/>
      </c>
    </row>
    <row r="3416" spans="19:21" ht="23.25" customHeight="1" x14ac:dyDescent="0.35">
      <c r="S3416" s="56" t="str">
        <f t="shared" si="159"/>
        <v/>
      </c>
      <c r="T3416" s="57" t="str">
        <f t="shared" si="160"/>
        <v/>
      </c>
      <c r="U3416" s="58" t="str">
        <f t="shared" si="161"/>
        <v/>
      </c>
    </row>
    <row r="3417" spans="19:21" ht="23.25" customHeight="1" x14ac:dyDescent="0.35">
      <c r="S3417" s="56" t="str">
        <f t="shared" si="159"/>
        <v/>
      </c>
      <c r="T3417" s="57" t="str">
        <f t="shared" si="160"/>
        <v/>
      </c>
      <c r="U3417" s="58" t="str">
        <f t="shared" si="161"/>
        <v/>
      </c>
    </row>
    <row r="3418" spans="19:21" ht="23.25" customHeight="1" x14ac:dyDescent="0.35">
      <c r="S3418" s="56" t="str">
        <f t="shared" si="159"/>
        <v/>
      </c>
      <c r="T3418" s="57" t="str">
        <f t="shared" si="160"/>
        <v/>
      </c>
      <c r="U3418" s="58" t="str">
        <f t="shared" si="161"/>
        <v/>
      </c>
    </row>
    <row r="3419" spans="19:21" ht="23.25" customHeight="1" x14ac:dyDescent="0.35">
      <c r="S3419" s="56" t="str">
        <f t="shared" si="159"/>
        <v/>
      </c>
      <c r="T3419" s="57" t="str">
        <f t="shared" si="160"/>
        <v/>
      </c>
      <c r="U3419" s="58" t="str">
        <f t="shared" si="161"/>
        <v/>
      </c>
    </row>
    <row r="3420" spans="19:21" ht="23.25" customHeight="1" x14ac:dyDescent="0.35">
      <c r="S3420" s="56" t="str">
        <f t="shared" si="159"/>
        <v/>
      </c>
      <c r="T3420" s="57" t="str">
        <f t="shared" si="160"/>
        <v/>
      </c>
      <c r="U3420" s="58" t="str">
        <f t="shared" si="161"/>
        <v/>
      </c>
    </row>
    <row r="3421" spans="19:21" ht="23.25" customHeight="1" x14ac:dyDescent="0.35">
      <c r="S3421" s="56" t="str">
        <f t="shared" si="159"/>
        <v/>
      </c>
      <c r="T3421" s="57" t="str">
        <f t="shared" si="160"/>
        <v/>
      </c>
      <c r="U3421" s="58" t="str">
        <f t="shared" si="161"/>
        <v/>
      </c>
    </row>
    <row r="3422" spans="19:21" ht="23.25" customHeight="1" x14ac:dyDescent="0.35">
      <c r="S3422" s="56" t="str">
        <f t="shared" si="159"/>
        <v/>
      </c>
      <c r="T3422" s="57" t="str">
        <f t="shared" si="160"/>
        <v/>
      </c>
      <c r="U3422" s="58" t="str">
        <f t="shared" si="161"/>
        <v/>
      </c>
    </row>
    <row r="3423" spans="19:21" ht="23.25" customHeight="1" x14ac:dyDescent="0.35">
      <c r="S3423" s="56" t="str">
        <f t="shared" si="159"/>
        <v/>
      </c>
      <c r="T3423" s="57" t="str">
        <f t="shared" si="160"/>
        <v/>
      </c>
      <c r="U3423" s="58" t="str">
        <f t="shared" si="161"/>
        <v/>
      </c>
    </row>
    <row r="3424" spans="19:21" ht="23.25" customHeight="1" x14ac:dyDescent="0.35">
      <c r="S3424" s="56" t="str">
        <f t="shared" si="159"/>
        <v/>
      </c>
      <c r="T3424" s="57" t="str">
        <f t="shared" si="160"/>
        <v/>
      </c>
      <c r="U3424" s="58" t="str">
        <f t="shared" si="161"/>
        <v/>
      </c>
    </row>
    <row r="3425" spans="19:21" ht="23.25" customHeight="1" x14ac:dyDescent="0.35">
      <c r="S3425" s="56" t="str">
        <f t="shared" si="159"/>
        <v/>
      </c>
      <c r="T3425" s="57" t="str">
        <f t="shared" si="160"/>
        <v/>
      </c>
      <c r="U3425" s="58" t="str">
        <f t="shared" si="161"/>
        <v/>
      </c>
    </row>
    <row r="3426" spans="19:21" ht="23.25" customHeight="1" x14ac:dyDescent="0.35">
      <c r="S3426" s="56" t="str">
        <f t="shared" si="159"/>
        <v/>
      </c>
      <c r="T3426" s="57" t="str">
        <f t="shared" si="160"/>
        <v/>
      </c>
      <c r="U3426" s="58" t="str">
        <f t="shared" si="161"/>
        <v/>
      </c>
    </row>
    <row r="3427" spans="19:21" ht="23.25" customHeight="1" x14ac:dyDescent="0.35">
      <c r="S3427" s="56" t="str">
        <f t="shared" si="159"/>
        <v/>
      </c>
      <c r="T3427" s="57" t="str">
        <f t="shared" si="160"/>
        <v/>
      </c>
      <c r="U3427" s="58" t="str">
        <f t="shared" si="161"/>
        <v/>
      </c>
    </row>
    <row r="3428" spans="19:21" ht="23.25" customHeight="1" x14ac:dyDescent="0.35">
      <c r="S3428" s="56" t="str">
        <f t="shared" si="159"/>
        <v/>
      </c>
      <c r="T3428" s="57" t="str">
        <f t="shared" si="160"/>
        <v/>
      </c>
      <c r="U3428" s="58" t="str">
        <f t="shared" si="161"/>
        <v/>
      </c>
    </row>
    <row r="3429" spans="19:21" ht="23.25" customHeight="1" x14ac:dyDescent="0.35">
      <c r="S3429" s="56" t="str">
        <f t="shared" si="159"/>
        <v/>
      </c>
      <c r="T3429" s="57" t="str">
        <f t="shared" si="160"/>
        <v/>
      </c>
      <c r="U3429" s="58" t="str">
        <f t="shared" si="161"/>
        <v/>
      </c>
    </row>
    <row r="3430" spans="19:21" ht="23.25" customHeight="1" x14ac:dyDescent="0.35">
      <c r="S3430" s="56" t="str">
        <f t="shared" si="159"/>
        <v/>
      </c>
      <c r="T3430" s="57" t="str">
        <f t="shared" si="160"/>
        <v/>
      </c>
      <c r="U3430" s="58" t="str">
        <f t="shared" si="161"/>
        <v/>
      </c>
    </row>
    <row r="3431" spans="19:21" ht="23.25" customHeight="1" x14ac:dyDescent="0.35">
      <c r="S3431" s="56" t="str">
        <f t="shared" si="159"/>
        <v/>
      </c>
      <c r="T3431" s="57" t="str">
        <f t="shared" si="160"/>
        <v/>
      </c>
      <c r="U3431" s="58" t="str">
        <f t="shared" si="161"/>
        <v/>
      </c>
    </row>
    <row r="3432" spans="19:21" ht="23.25" customHeight="1" x14ac:dyDescent="0.35">
      <c r="S3432" s="56" t="str">
        <f t="shared" si="159"/>
        <v/>
      </c>
      <c r="T3432" s="57" t="str">
        <f t="shared" si="160"/>
        <v/>
      </c>
      <c r="U3432" s="58" t="str">
        <f t="shared" si="161"/>
        <v/>
      </c>
    </row>
    <row r="3433" spans="19:21" ht="23.25" customHeight="1" x14ac:dyDescent="0.35">
      <c r="S3433" s="56" t="str">
        <f t="shared" si="159"/>
        <v/>
      </c>
      <c r="T3433" s="57" t="str">
        <f t="shared" si="160"/>
        <v/>
      </c>
      <c r="U3433" s="58" t="str">
        <f t="shared" si="161"/>
        <v/>
      </c>
    </row>
    <row r="3434" spans="19:21" ht="23.25" customHeight="1" x14ac:dyDescent="0.35">
      <c r="S3434" s="56" t="str">
        <f t="shared" si="159"/>
        <v/>
      </c>
      <c r="T3434" s="57" t="str">
        <f t="shared" si="160"/>
        <v/>
      </c>
      <c r="U3434" s="58" t="str">
        <f t="shared" si="161"/>
        <v/>
      </c>
    </row>
    <row r="3435" spans="19:21" ht="23.25" customHeight="1" x14ac:dyDescent="0.35">
      <c r="S3435" s="56" t="str">
        <f t="shared" si="159"/>
        <v/>
      </c>
      <c r="T3435" s="57" t="str">
        <f t="shared" si="160"/>
        <v/>
      </c>
      <c r="U3435" s="58" t="str">
        <f t="shared" si="161"/>
        <v/>
      </c>
    </row>
    <row r="3436" spans="19:21" ht="23.25" customHeight="1" x14ac:dyDescent="0.35">
      <c r="S3436" s="56" t="str">
        <f t="shared" si="159"/>
        <v/>
      </c>
      <c r="T3436" s="57" t="str">
        <f t="shared" si="160"/>
        <v/>
      </c>
      <c r="U3436" s="58" t="str">
        <f t="shared" si="161"/>
        <v/>
      </c>
    </row>
    <row r="3437" spans="19:21" ht="23.25" customHeight="1" x14ac:dyDescent="0.35">
      <c r="S3437" s="56" t="str">
        <f t="shared" si="159"/>
        <v/>
      </c>
      <c r="T3437" s="57" t="str">
        <f t="shared" si="160"/>
        <v/>
      </c>
      <c r="U3437" s="58" t="str">
        <f t="shared" si="161"/>
        <v/>
      </c>
    </row>
    <row r="3438" spans="19:21" ht="23.25" customHeight="1" x14ac:dyDescent="0.35">
      <c r="S3438" s="56" t="str">
        <f t="shared" si="159"/>
        <v/>
      </c>
      <c r="T3438" s="57" t="str">
        <f t="shared" si="160"/>
        <v/>
      </c>
      <c r="U3438" s="58" t="str">
        <f t="shared" si="161"/>
        <v/>
      </c>
    </row>
    <row r="3439" spans="19:21" ht="23.25" customHeight="1" x14ac:dyDescent="0.35">
      <c r="S3439" s="56" t="str">
        <f t="shared" si="159"/>
        <v/>
      </c>
      <c r="T3439" s="57" t="str">
        <f t="shared" si="160"/>
        <v/>
      </c>
      <c r="U3439" s="58" t="str">
        <f t="shared" si="161"/>
        <v/>
      </c>
    </row>
    <row r="3440" spans="19:21" ht="23.25" customHeight="1" x14ac:dyDescent="0.35">
      <c r="S3440" s="56" t="str">
        <f t="shared" si="159"/>
        <v/>
      </c>
      <c r="T3440" s="57" t="str">
        <f t="shared" si="160"/>
        <v/>
      </c>
      <c r="U3440" s="58" t="str">
        <f t="shared" si="161"/>
        <v/>
      </c>
    </row>
    <row r="3441" spans="19:21" ht="23.25" customHeight="1" x14ac:dyDescent="0.35">
      <c r="S3441" s="56" t="str">
        <f t="shared" si="159"/>
        <v/>
      </c>
      <c r="T3441" s="57" t="str">
        <f t="shared" si="160"/>
        <v/>
      </c>
      <c r="U3441" s="58" t="str">
        <f t="shared" si="161"/>
        <v/>
      </c>
    </row>
    <row r="3442" spans="19:21" ht="23.25" customHeight="1" x14ac:dyDescent="0.35">
      <c r="S3442" s="56" t="str">
        <f t="shared" si="159"/>
        <v/>
      </c>
      <c r="T3442" s="57" t="str">
        <f t="shared" si="160"/>
        <v/>
      </c>
      <c r="U3442" s="58" t="str">
        <f t="shared" si="161"/>
        <v/>
      </c>
    </row>
    <row r="3443" spans="19:21" ht="23.25" customHeight="1" x14ac:dyDescent="0.35">
      <c r="S3443" s="56" t="str">
        <f t="shared" si="159"/>
        <v/>
      </c>
      <c r="T3443" s="57" t="str">
        <f t="shared" si="160"/>
        <v/>
      </c>
      <c r="U3443" s="58" t="str">
        <f t="shared" si="161"/>
        <v/>
      </c>
    </row>
    <row r="3444" spans="19:21" ht="23.25" customHeight="1" x14ac:dyDescent="0.35">
      <c r="S3444" s="56" t="str">
        <f t="shared" si="159"/>
        <v/>
      </c>
      <c r="T3444" s="57" t="str">
        <f t="shared" si="160"/>
        <v/>
      </c>
      <c r="U3444" s="58" t="str">
        <f t="shared" si="161"/>
        <v/>
      </c>
    </row>
    <row r="3445" spans="19:21" ht="23.25" customHeight="1" x14ac:dyDescent="0.35">
      <c r="S3445" s="56" t="str">
        <f t="shared" si="159"/>
        <v/>
      </c>
      <c r="T3445" s="57" t="str">
        <f t="shared" si="160"/>
        <v/>
      </c>
      <c r="U3445" s="58" t="str">
        <f t="shared" si="161"/>
        <v/>
      </c>
    </row>
    <row r="3446" spans="19:21" ht="23.25" customHeight="1" x14ac:dyDescent="0.35">
      <c r="S3446" s="56" t="str">
        <f t="shared" si="159"/>
        <v/>
      </c>
      <c r="T3446" s="57" t="str">
        <f t="shared" si="160"/>
        <v/>
      </c>
      <c r="U3446" s="58" t="str">
        <f t="shared" si="161"/>
        <v/>
      </c>
    </row>
    <row r="3447" spans="19:21" ht="23.25" customHeight="1" x14ac:dyDescent="0.35">
      <c r="S3447" s="56" t="str">
        <f t="shared" si="159"/>
        <v/>
      </c>
      <c r="T3447" s="57" t="str">
        <f t="shared" si="160"/>
        <v/>
      </c>
      <c r="U3447" s="58" t="str">
        <f t="shared" si="161"/>
        <v/>
      </c>
    </row>
    <row r="3448" spans="19:21" ht="23.25" customHeight="1" x14ac:dyDescent="0.35">
      <c r="S3448" s="56" t="str">
        <f t="shared" si="159"/>
        <v/>
      </c>
      <c r="T3448" s="57" t="str">
        <f t="shared" si="160"/>
        <v/>
      </c>
      <c r="U3448" s="58" t="str">
        <f t="shared" si="161"/>
        <v/>
      </c>
    </row>
    <row r="3449" spans="19:21" ht="23.25" customHeight="1" x14ac:dyDescent="0.35">
      <c r="S3449" s="56" t="str">
        <f t="shared" si="159"/>
        <v/>
      </c>
      <c r="T3449" s="57" t="str">
        <f t="shared" si="160"/>
        <v/>
      </c>
      <c r="U3449" s="58" t="str">
        <f t="shared" si="161"/>
        <v/>
      </c>
    </row>
    <row r="3450" spans="19:21" ht="23.25" customHeight="1" x14ac:dyDescent="0.35">
      <c r="S3450" s="56" t="str">
        <f t="shared" si="159"/>
        <v/>
      </c>
      <c r="T3450" s="57" t="str">
        <f t="shared" si="160"/>
        <v/>
      </c>
      <c r="U3450" s="58" t="str">
        <f t="shared" si="161"/>
        <v/>
      </c>
    </row>
    <row r="3451" spans="19:21" ht="23.25" customHeight="1" x14ac:dyDescent="0.35">
      <c r="S3451" s="56" t="str">
        <f t="shared" si="159"/>
        <v/>
      </c>
      <c r="T3451" s="57" t="str">
        <f t="shared" si="160"/>
        <v/>
      </c>
      <c r="U3451" s="58" t="str">
        <f t="shared" si="161"/>
        <v/>
      </c>
    </row>
    <row r="3452" spans="19:21" ht="23.25" customHeight="1" x14ac:dyDescent="0.35">
      <c r="S3452" s="56" t="str">
        <f t="shared" si="159"/>
        <v/>
      </c>
      <c r="T3452" s="57" t="str">
        <f t="shared" si="160"/>
        <v/>
      </c>
      <c r="U3452" s="58" t="str">
        <f t="shared" si="161"/>
        <v/>
      </c>
    </row>
    <row r="3453" spans="19:21" ht="23.25" customHeight="1" x14ac:dyDescent="0.35">
      <c r="S3453" s="56" t="str">
        <f t="shared" si="159"/>
        <v/>
      </c>
      <c r="T3453" s="57" t="str">
        <f t="shared" si="160"/>
        <v/>
      </c>
      <c r="U3453" s="58" t="str">
        <f t="shared" si="161"/>
        <v/>
      </c>
    </row>
    <row r="3454" spans="19:21" ht="23.25" customHeight="1" x14ac:dyDescent="0.35">
      <c r="S3454" s="56" t="str">
        <f t="shared" si="159"/>
        <v/>
      </c>
      <c r="T3454" s="57" t="str">
        <f t="shared" si="160"/>
        <v/>
      </c>
      <c r="U3454" s="58" t="str">
        <f t="shared" si="161"/>
        <v/>
      </c>
    </row>
    <row r="3455" spans="19:21" ht="23.25" customHeight="1" x14ac:dyDescent="0.35">
      <c r="S3455" s="56" t="str">
        <f t="shared" si="159"/>
        <v/>
      </c>
      <c r="T3455" s="57" t="str">
        <f t="shared" si="160"/>
        <v/>
      </c>
      <c r="U3455" s="58" t="str">
        <f t="shared" si="161"/>
        <v/>
      </c>
    </row>
    <row r="3456" spans="19:21" ht="23.25" customHeight="1" x14ac:dyDescent="0.35">
      <c r="S3456" s="56" t="str">
        <f t="shared" si="159"/>
        <v/>
      </c>
      <c r="T3456" s="57" t="str">
        <f t="shared" si="160"/>
        <v/>
      </c>
      <c r="U3456" s="58" t="str">
        <f t="shared" si="161"/>
        <v/>
      </c>
    </row>
    <row r="3457" spans="19:21" ht="23.25" customHeight="1" x14ac:dyDescent="0.35">
      <c r="S3457" s="56" t="str">
        <f t="shared" si="159"/>
        <v/>
      </c>
      <c r="T3457" s="57" t="str">
        <f t="shared" si="160"/>
        <v/>
      </c>
      <c r="U3457" s="58" t="str">
        <f t="shared" si="161"/>
        <v/>
      </c>
    </row>
    <row r="3458" spans="19:21" ht="23.25" customHeight="1" x14ac:dyDescent="0.35">
      <c r="S3458" s="56" t="str">
        <f t="shared" si="159"/>
        <v/>
      </c>
      <c r="T3458" s="57" t="str">
        <f t="shared" si="160"/>
        <v/>
      </c>
      <c r="U3458" s="58" t="str">
        <f t="shared" si="161"/>
        <v/>
      </c>
    </row>
    <row r="3459" spans="19:21" ht="23.25" customHeight="1" x14ac:dyDescent="0.35">
      <c r="S3459" s="56" t="str">
        <f t="shared" si="159"/>
        <v/>
      </c>
      <c r="T3459" s="57" t="str">
        <f t="shared" si="160"/>
        <v/>
      </c>
      <c r="U3459" s="58" t="str">
        <f t="shared" si="161"/>
        <v/>
      </c>
    </row>
    <row r="3460" spans="19:21" ht="23.25" customHeight="1" x14ac:dyDescent="0.35">
      <c r="S3460" s="56" t="str">
        <f t="shared" si="159"/>
        <v/>
      </c>
      <c r="T3460" s="57" t="str">
        <f t="shared" si="160"/>
        <v/>
      </c>
      <c r="U3460" s="58" t="str">
        <f t="shared" si="161"/>
        <v/>
      </c>
    </row>
    <row r="3461" spans="19:21" ht="23.25" customHeight="1" x14ac:dyDescent="0.35">
      <c r="S3461" s="56" t="str">
        <f t="shared" si="159"/>
        <v/>
      </c>
      <c r="T3461" s="57" t="str">
        <f t="shared" si="160"/>
        <v/>
      </c>
      <c r="U3461" s="58" t="str">
        <f t="shared" si="161"/>
        <v/>
      </c>
    </row>
    <row r="3462" spans="19:21" ht="23.25" customHeight="1" x14ac:dyDescent="0.35">
      <c r="S3462" s="56" t="str">
        <f t="shared" si="159"/>
        <v/>
      </c>
      <c r="T3462" s="57" t="str">
        <f t="shared" si="160"/>
        <v/>
      </c>
      <c r="U3462" s="58" t="str">
        <f t="shared" si="161"/>
        <v/>
      </c>
    </row>
    <row r="3463" spans="19:21" ht="23.25" customHeight="1" x14ac:dyDescent="0.35">
      <c r="S3463" s="56" t="str">
        <f t="shared" si="159"/>
        <v/>
      </c>
      <c r="T3463" s="57" t="str">
        <f t="shared" si="160"/>
        <v/>
      </c>
      <c r="U3463" s="58" t="str">
        <f t="shared" si="161"/>
        <v/>
      </c>
    </row>
    <row r="3464" spans="19:21" ht="23.25" customHeight="1" x14ac:dyDescent="0.35">
      <c r="S3464" s="56" t="str">
        <f t="shared" si="159"/>
        <v/>
      </c>
      <c r="T3464" s="57" t="str">
        <f t="shared" si="160"/>
        <v/>
      </c>
      <c r="U3464" s="58" t="str">
        <f t="shared" si="161"/>
        <v/>
      </c>
    </row>
    <row r="3465" spans="19:21" ht="23.25" customHeight="1" x14ac:dyDescent="0.35">
      <c r="S3465" s="56" t="str">
        <f t="shared" ref="S3465:S3528" si="162">IF(A3465="","",A$5-A3465)</f>
        <v/>
      </c>
      <c r="T3465" s="57" t="str">
        <f t="shared" ref="T3465:T3528" si="163">IF(S3465="","",IF(S3465&lt;4,"0-3 Days",IF(S3465&lt;31,"4-30 Days",IF(S3465&lt;61,"31-60 Days",IF(S3465&lt;=90,"61-90 Days",IF(S3465&gt;90,"Above 90 Days","0"))))))</f>
        <v/>
      </c>
      <c r="U3465" s="58" t="str">
        <f t="shared" ref="U3465:U3528" si="164">IF(C3465="","",IF(C3465&gt;0,IF(S3465&lt;30,"Normal",IF(S3465&lt;60,"Especially Mentioned",IF(S3465&lt;90,"Substandard",IF(S3465&lt;=180,"Doubtful",IF(S3465&gt;180,"Loss","0"))))),"Not Applicable"))</f>
        <v/>
      </c>
    </row>
    <row r="3466" spans="19:21" ht="23.25" customHeight="1" x14ac:dyDescent="0.35">
      <c r="S3466" s="56" t="str">
        <f t="shared" si="162"/>
        <v/>
      </c>
      <c r="T3466" s="57" t="str">
        <f t="shared" si="163"/>
        <v/>
      </c>
      <c r="U3466" s="58" t="str">
        <f t="shared" si="164"/>
        <v/>
      </c>
    </row>
    <row r="3467" spans="19:21" ht="23.25" customHeight="1" x14ac:dyDescent="0.35">
      <c r="S3467" s="56" t="str">
        <f t="shared" si="162"/>
        <v/>
      </c>
      <c r="T3467" s="57" t="str">
        <f t="shared" si="163"/>
        <v/>
      </c>
      <c r="U3467" s="58" t="str">
        <f t="shared" si="164"/>
        <v/>
      </c>
    </row>
    <row r="3468" spans="19:21" ht="23.25" customHeight="1" x14ac:dyDescent="0.35">
      <c r="S3468" s="56" t="str">
        <f t="shared" si="162"/>
        <v/>
      </c>
      <c r="T3468" s="57" t="str">
        <f t="shared" si="163"/>
        <v/>
      </c>
      <c r="U3468" s="58" t="str">
        <f t="shared" si="164"/>
        <v/>
      </c>
    </row>
    <row r="3469" spans="19:21" ht="23.25" customHeight="1" x14ac:dyDescent="0.35">
      <c r="S3469" s="56" t="str">
        <f t="shared" si="162"/>
        <v/>
      </c>
      <c r="T3469" s="57" t="str">
        <f t="shared" si="163"/>
        <v/>
      </c>
      <c r="U3469" s="58" t="str">
        <f t="shared" si="164"/>
        <v/>
      </c>
    </row>
    <row r="3470" spans="19:21" ht="23.25" customHeight="1" x14ac:dyDescent="0.35">
      <c r="S3470" s="56" t="str">
        <f t="shared" si="162"/>
        <v/>
      </c>
      <c r="T3470" s="57" t="str">
        <f t="shared" si="163"/>
        <v/>
      </c>
      <c r="U3470" s="58" t="str">
        <f t="shared" si="164"/>
        <v/>
      </c>
    </row>
    <row r="3471" spans="19:21" ht="23.25" customHeight="1" x14ac:dyDescent="0.35">
      <c r="S3471" s="56" t="str">
        <f t="shared" si="162"/>
        <v/>
      </c>
      <c r="T3471" s="57" t="str">
        <f t="shared" si="163"/>
        <v/>
      </c>
      <c r="U3471" s="58" t="str">
        <f t="shared" si="164"/>
        <v/>
      </c>
    </row>
    <row r="3472" spans="19:21" ht="23.25" customHeight="1" x14ac:dyDescent="0.35">
      <c r="S3472" s="56" t="str">
        <f t="shared" si="162"/>
        <v/>
      </c>
      <c r="T3472" s="57" t="str">
        <f t="shared" si="163"/>
        <v/>
      </c>
      <c r="U3472" s="58" t="str">
        <f t="shared" si="164"/>
        <v/>
      </c>
    </row>
    <row r="3473" spans="19:21" ht="23.25" customHeight="1" x14ac:dyDescent="0.35">
      <c r="S3473" s="56" t="str">
        <f t="shared" si="162"/>
        <v/>
      </c>
      <c r="T3473" s="57" t="str">
        <f t="shared" si="163"/>
        <v/>
      </c>
      <c r="U3473" s="58" t="str">
        <f t="shared" si="164"/>
        <v/>
      </c>
    </row>
    <row r="3474" spans="19:21" ht="23.25" customHeight="1" x14ac:dyDescent="0.35">
      <c r="S3474" s="56" t="str">
        <f t="shared" si="162"/>
        <v/>
      </c>
      <c r="T3474" s="57" t="str">
        <f t="shared" si="163"/>
        <v/>
      </c>
      <c r="U3474" s="58" t="str">
        <f t="shared" si="164"/>
        <v/>
      </c>
    </row>
    <row r="3475" spans="19:21" ht="23.25" customHeight="1" x14ac:dyDescent="0.35">
      <c r="S3475" s="56" t="str">
        <f t="shared" si="162"/>
        <v/>
      </c>
      <c r="T3475" s="57" t="str">
        <f t="shared" si="163"/>
        <v/>
      </c>
      <c r="U3475" s="58" t="str">
        <f t="shared" si="164"/>
        <v/>
      </c>
    </row>
    <row r="3476" spans="19:21" ht="23.25" customHeight="1" x14ac:dyDescent="0.35">
      <c r="S3476" s="56" t="str">
        <f t="shared" si="162"/>
        <v/>
      </c>
      <c r="T3476" s="57" t="str">
        <f t="shared" si="163"/>
        <v/>
      </c>
      <c r="U3476" s="58" t="str">
        <f t="shared" si="164"/>
        <v/>
      </c>
    </row>
    <row r="3477" spans="19:21" ht="23.25" customHeight="1" x14ac:dyDescent="0.35">
      <c r="S3477" s="56" t="str">
        <f t="shared" si="162"/>
        <v/>
      </c>
      <c r="T3477" s="57" t="str">
        <f t="shared" si="163"/>
        <v/>
      </c>
      <c r="U3477" s="58" t="str">
        <f t="shared" si="164"/>
        <v/>
      </c>
    </row>
    <row r="3478" spans="19:21" ht="23.25" customHeight="1" x14ac:dyDescent="0.35">
      <c r="S3478" s="56" t="str">
        <f t="shared" si="162"/>
        <v/>
      </c>
      <c r="T3478" s="57" t="str">
        <f t="shared" si="163"/>
        <v/>
      </c>
      <c r="U3478" s="58" t="str">
        <f t="shared" si="164"/>
        <v/>
      </c>
    </row>
    <row r="3479" spans="19:21" ht="23.25" customHeight="1" x14ac:dyDescent="0.35">
      <c r="S3479" s="56" t="str">
        <f t="shared" si="162"/>
        <v/>
      </c>
      <c r="T3479" s="57" t="str">
        <f t="shared" si="163"/>
        <v/>
      </c>
      <c r="U3479" s="58" t="str">
        <f t="shared" si="164"/>
        <v/>
      </c>
    </row>
    <row r="3480" spans="19:21" ht="23.25" customHeight="1" x14ac:dyDescent="0.35">
      <c r="S3480" s="56" t="str">
        <f t="shared" si="162"/>
        <v/>
      </c>
      <c r="T3480" s="57" t="str">
        <f t="shared" si="163"/>
        <v/>
      </c>
      <c r="U3480" s="58" t="str">
        <f t="shared" si="164"/>
        <v/>
      </c>
    </row>
    <row r="3481" spans="19:21" ht="23.25" customHeight="1" x14ac:dyDescent="0.35">
      <c r="S3481" s="56" t="str">
        <f t="shared" si="162"/>
        <v/>
      </c>
      <c r="T3481" s="57" t="str">
        <f t="shared" si="163"/>
        <v/>
      </c>
      <c r="U3481" s="58" t="str">
        <f t="shared" si="164"/>
        <v/>
      </c>
    </row>
    <row r="3482" spans="19:21" ht="23.25" customHeight="1" x14ac:dyDescent="0.35">
      <c r="S3482" s="56" t="str">
        <f t="shared" si="162"/>
        <v/>
      </c>
      <c r="T3482" s="57" t="str">
        <f t="shared" si="163"/>
        <v/>
      </c>
      <c r="U3482" s="58" t="str">
        <f t="shared" si="164"/>
        <v/>
      </c>
    </row>
    <row r="3483" spans="19:21" ht="23.25" customHeight="1" x14ac:dyDescent="0.35">
      <c r="S3483" s="56" t="str">
        <f t="shared" si="162"/>
        <v/>
      </c>
      <c r="T3483" s="57" t="str">
        <f t="shared" si="163"/>
        <v/>
      </c>
      <c r="U3483" s="58" t="str">
        <f t="shared" si="164"/>
        <v/>
      </c>
    </row>
    <row r="3484" spans="19:21" ht="23.25" customHeight="1" x14ac:dyDescent="0.35">
      <c r="S3484" s="56" t="str">
        <f t="shared" si="162"/>
        <v/>
      </c>
      <c r="T3484" s="57" t="str">
        <f t="shared" si="163"/>
        <v/>
      </c>
      <c r="U3484" s="58" t="str">
        <f t="shared" si="164"/>
        <v/>
      </c>
    </row>
    <row r="3485" spans="19:21" ht="23.25" customHeight="1" x14ac:dyDescent="0.35">
      <c r="S3485" s="56" t="str">
        <f t="shared" si="162"/>
        <v/>
      </c>
      <c r="T3485" s="57" t="str">
        <f t="shared" si="163"/>
        <v/>
      </c>
      <c r="U3485" s="58" t="str">
        <f t="shared" si="164"/>
        <v/>
      </c>
    </row>
    <row r="3486" spans="19:21" ht="23.25" customHeight="1" x14ac:dyDescent="0.35">
      <c r="S3486" s="56" t="str">
        <f t="shared" si="162"/>
        <v/>
      </c>
      <c r="T3486" s="57" t="str">
        <f t="shared" si="163"/>
        <v/>
      </c>
      <c r="U3486" s="58" t="str">
        <f t="shared" si="164"/>
        <v/>
      </c>
    </row>
    <row r="3487" spans="19:21" ht="23.25" customHeight="1" x14ac:dyDescent="0.35">
      <c r="S3487" s="56" t="str">
        <f t="shared" si="162"/>
        <v/>
      </c>
      <c r="T3487" s="57" t="str">
        <f t="shared" si="163"/>
        <v/>
      </c>
      <c r="U3487" s="58" t="str">
        <f t="shared" si="164"/>
        <v/>
      </c>
    </row>
    <row r="3488" spans="19:21" ht="23.25" customHeight="1" x14ac:dyDescent="0.35">
      <c r="S3488" s="56" t="str">
        <f t="shared" si="162"/>
        <v/>
      </c>
      <c r="T3488" s="57" t="str">
        <f t="shared" si="163"/>
        <v/>
      </c>
      <c r="U3488" s="58" t="str">
        <f t="shared" si="164"/>
        <v/>
      </c>
    </row>
    <row r="3489" spans="19:21" ht="23.25" customHeight="1" x14ac:dyDescent="0.35">
      <c r="S3489" s="56" t="str">
        <f t="shared" si="162"/>
        <v/>
      </c>
      <c r="T3489" s="57" t="str">
        <f t="shared" si="163"/>
        <v/>
      </c>
      <c r="U3489" s="58" t="str">
        <f t="shared" si="164"/>
        <v/>
      </c>
    </row>
    <row r="3490" spans="19:21" ht="23.25" customHeight="1" x14ac:dyDescent="0.35">
      <c r="S3490" s="56" t="str">
        <f t="shared" si="162"/>
        <v/>
      </c>
      <c r="T3490" s="57" t="str">
        <f t="shared" si="163"/>
        <v/>
      </c>
      <c r="U3490" s="58" t="str">
        <f t="shared" si="164"/>
        <v/>
      </c>
    </row>
    <row r="3491" spans="19:21" ht="23.25" customHeight="1" x14ac:dyDescent="0.35">
      <c r="S3491" s="56" t="str">
        <f t="shared" si="162"/>
        <v/>
      </c>
      <c r="T3491" s="57" t="str">
        <f t="shared" si="163"/>
        <v/>
      </c>
      <c r="U3491" s="58" t="str">
        <f t="shared" si="164"/>
        <v/>
      </c>
    </row>
    <row r="3492" spans="19:21" ht="23.25" customHeight="1" x14ac:dyDescent="0.35">
      <c r="S3492" s="56" t="str">
        <f t="shared" si="162"/>
        <v/>
      </c>
      <c r="T3492" s="57" t="str">
        <f t="shared" si="163"/>
        <v/>
      </c>
      <c r="U3492" s="58" t="str">
        <f t="shared" si="164"/>
        <v/>
      </c>
    </row>
    <row r="3493" spans="19:21" ht="23.25" customHeight="1" x14ac:dyDescent="0.35">
      <c r="S3493" s="56" t="str">
        <f t="shared" si="162"/>
        <v/>
      </c>
      <c r="T3493" s="57" t="str">
        <f t="shared" si="163"/>
        <v/>
      </c>
      <c r="U3493" s="58" t="str">
        <f t="shared" si="164"/>
        <v/>
      </c>
    </row>
    <row r="3494" spans="19:21" ht="23.25" customHeight="1" x14ac:dyDescent="0.35">
      <c r="S3494" s="56" t="str">
        <f t="shared" si="162"/>
        <v/>
      </c>
      <c r="T3494" s="57" t="str">
        <f t="shared" si="163"/>
        <v/>
      </c>
      <c r="U3494" s="58" t="str">
        <f t="shared" si="164"/>
        <v/>
      </c>
    </row>
    <row r="3495" spans="19:21" ht="23.25" customHeight="1" x14ac:dyDescent="0.35">
      <c r="S3495" s="56" t="str">
        <f t="shared" si="162"/>
        <v/>
      </c>
      <c r="T3495" s="57" t="str">
        <f t="shared" si="163"/>
        <v/>
      </c>
      <c r="U3495" s="58" t="str">
        <f t="shared" si="164"/>
        <v/>
      </c>
    </row>
    <row r="3496" spans="19:21" ht="23.25" customHeight="1" x14ac:dyDescent="0.35">
      <c r="S3496" s="56" t="str">
        <f t="shared" si="162"/>
        <v/>
      </c>
      <c r="T3496" s="57" t="str">
        <f t="shared" si="163"/>
        <v/>
      </c>
      <c r="U3496" s="58" t="str">
        <f t="shared" si="164"/>
        <v/>
      </c>
    </row>
    <row r="3497" spans="19:21" ht="23.25" customHeight="1" x14ac:dyDescent="0.35">
      <c r="S3497" s="56" t="str">
        <f t="shared" si="162"/>
        <v/>
      </c>
      <c r="T3497" s="57" t="str">
        <f t="shared" si="163"/>
        <v/>
      </c>
      <c r="U3497" s="58" t="str">
        <f t="shared" si="164"/>
        <v/>
      </c>
    </row>
    <row r="3498" spans="19:21" ht="23.25" customHeight="1" x14ac:dyDescent="0.35">
      <c r="S3498" s="56" t="str">
        <f t="shared" si="162"/>
        <v/>
      </c>
      <c r="T3498" s="57" t="str">
        <f t="shared" si="163"/>
        <v/>
      </c>
      <c r="U3498" s="58" t="str">
        <f t="shared" si="164"/>
        <v/>
      </c>
    </row>
    <row r="3499" spans="19:21" ht="23.25" customHeight="1" x14ac:dyDescent="0.35">
      <c r="S3499" s="56" t="str">
        <f t="shared" si="162"/>
        <v/>
      </c>
      <c r="T3499" s="57" t="str">
        <f t="shared" si="163"/>
        <v/>
      </c>
      <c r="U3499" s="58" t="str">
        <f t="shared" si="164"/>
        <v/>
      </c>
    </row>
    <row r="3500" spans="19:21" ht="23.25" customHeight="1" x14ac:dyDescent="0.35">
      <c r="S3500" s="56" t="str">
        <f t="shared" si="162"/>
        <v/>
      </c>
      <c r="T3500" s="57" t="str">
        <f t="shared" si="163"/>
        <v/>
      </c>
      <c r="U3500" s="58" t="str">
        <f t="shared" si="164"/>
        <v/>
      </c>
    </row>
    <row r="3501" spans="19:21" ht="23.25" customHeight="1" x14ac:dyDescent="0.35">
      <c r="S3501" s="56" t="str">
        <f t="shared" si="162"/>
        <v/>
      </c>
      <c r="T3501" s="57" t="str">
        <f t="shared" si="163"/>
        <v/>
      </c>
      <c r="U3501" s="58" t="str">
        <f t="shared" si="164"/>
        <v/>
      </c>
    </row>
    <row r="3502" spans="19:21" ht="23.25" customHeight="1" x14ac:dyDescent="0.35">
      <c r="S3502" s="56" t="str">
        <f t="shared" si="162"/>
        <v/>
      </c>
      <c r="T3502" s="57" t="str">
        <f t="shared" si="163"/>
        <v/>
      </c>
      <c r="U3502" s="58" t="str">
        <f t="shared" si="164"/>
        <v/>
      </c>
    </row>
    <row r="3503" spans="19:21" ht="23.25" customHeight="1" x14ac:dyDescent="0.35">
      <c r="S3503" s="56" t="str">
        <f t="shared" si="162"/>
        <v/>
      </c>
      <c r="T3503" s="57" t="str">
        <f t="shared" si="163"/>
        <v/>
      </c>
      <c r="U3503" s="58" t="str">
        <f t="shared" si="164"/>
        <v/>
      </c>
    </row>
    <row r="3504" spans="19:21" ht="23.25" customHeight="1" x14ac:dyDescent="0.35">
      <c r="S3504" s="56" t="str">
        <f t="shared" si="162"/>
        <v/>
      </c>
      <c r="T3504" s="57" t="str">
        <f t="shared" si="163"/>
        <v/>
      </c>
      <c r="U3504" s="58" t="str">
        <f t="shared" si="164"/>
        <v/>
      </c>
    </row>
    <row r="3505" spans="19:21" ht="23.25" customHeight="1" x14ac:dyDescent="0.35">
      <c r="S3505" s="56" t="str">
        <f t="shared" si="162"/>
        <v/>
      </c>
      <c r="T3505" s="57" t="str">
        <f t="shared" si="163"/>
        <v/>
      </c>
      <c r="U3505" s="58" t="str">
        <f t="shared" si="164"/>
        <v/>
      </c>
    </row>
    <row r="3506" spans="19:21" ht="23.25" customHeight="1" x14ac:dyDescent="0.35">
      <c r="S3506" s="56" t="str">
        <f t="shared" si="162"/>
        <v/>
      </c>
      <c r="T3506" s="57" t="str">
        <f t="shared" si="163"/>
        <v/>
      </c>
      <c r="U3506" s="58" t="str">
        <f t="shared" si="164"/>
        <v/>
      </c>
    </row>
    <row r="3507" spans="19:21" ht="23.25" customHeight="1" x14ac:dyDescent="0.35">
      <c r="S3507" s="56" t="str">
        <f t="shared" si="162"/>
        <v/>
      </c>
      <c r="T3507" s="57" t="str">
        <f t="shared" si="163"/>
        <v/>
      </c>
      <c r="U3507" s="58" t="str">
        <f t="shared" si="164"/>
        <v/>
      </c>
    </row>
    <row r="3508" spans="19:21" ht="23.25" customHeight="1" x14ac:dyDescent="0.35">
      <c r="S3508" s="56" t="str">
        <f t="shared" si="162"/>
        <v/>
      </c>
      <c r="T3508" s="57" t="str">
        <f t="shared" si="163"/>
        <v/>
      </c>
      <c r="U3508" s="58" t="str">
        <f t="shared" si="164"/>
        <v/>
      </c>
    </row>
    <row r="3509" spans="19:21" ht="23.25" customHeight="1" x14ac:dyDescent="0.35">
      <c r="S3509" s="56" t="str">
        <f t="shared" si="162"/>
        <v/>
      </c>
      <c r="T3509" s="57" t="str">
        <f t="shared" si="163"/>
        <v/>
      </c>
      <c r="U3509" s="58" t="str">
        <f t="shared" si="164"/>
        <v/>
      </c>
    </row>
    <row r="3510" spans="19:21" ht="23.25" customHeight="1" x14ac:dyDescent="0.35">
      <c r="S3510" s="56" t="str">
        <f t="shared" si="162"/>
        <v/>
      </c>
      <c r="T3510" s="57" t="str">
        <f t="shared" si="163"/>
        <v/>
      </c>
      <c r="U3510" s="58" t="str">
        <f t="shared" si="164"/>
        <v/>
      </c>
    </row>
    <row r="3511" spans="19:21" ht="23.25" customHeight="1" x14ac:dyDescent="0.35">
      <c r="S3511" s="56" t="str">
        <f t="shared" si="162"/>
        <v/>
      </c>
      <c r="T3511" s="57" t="str">
        <f t="shared" si="163"/>
        <v/>
      </c>
      <c r="U3511" s="58" t="str">
        <f t="shared" si="164"/>
        <v/>
      </c>
    </row>
    <row r="3512" spans="19:21" ht="23.25" customHeight="1" x14ac:dyDescent="0.35">
      <c r="S3512" s="56" t="str">
        <f t="shared" si="162"/>
        <v/>
      </c>
      <c r="T3512" s="57" t="str">
        <f t="shared" si="163"/>
        <v/>
      </c>
      <c r="U3512" s="58" t="str">
        <f t="shared" si="164"/>
        <v/>
      </c>
    </row>
    <row r="3513" spans="19:21" ht="23.25" customHeight="1" x14ac:dyDescent="0.35">
      <c r="S3513" s="56" t="str">
        <f t="shared" si="162"/>
        <v/>
      </c>
      <c r="T3513" s="57" t="str">
        <f t="shared" si="163"/>
        <v/>
      </c>
      <c r="U3513" s="58" t="str">
        <f t="shared" si="164"/>
        <v/>
      </c>
    </row>
    <row r="3514" spans="19:21" ht="23.25" customHeight="1" x14ac:dyDescent="0.35">
      <c r="S3514" s="56" t="str">
        <f t="shared" si="162"/>
        <v/>
      </c>
      <c r="T3514" s="57" t="str">
        <f t="shared" si="163"/>
        <v/>
      </c>
      <c r="U3514" s="58" t="str">
        <f t="shared" si="164"/>
        <v/>
      </c>
    </row>
    <row r="3515" spans="19:21" ht="23.25" customHeight="1" x14ac:dyDescent="0.35">
      <c r="S3515" s="56" t="str">
        <f t="shared" si="162"/>
        <v/>
      </c>
      <c r="T3515" s="57" t="str">
        <f t="shared" si="163"/>
        <v/>
      </c>
      <c r="U3515" s="58" t="str">
        <f t="shared" si="164"/>
        <v/>
      </c>
    </row>
    <row r="3516" spans="19:21" ht="23.25" customHeight="1" x14ac:dyDescent="0.35">
      <c r="S3516" s="56" t="str">
        <f t="shared" si="162"/>
        <v/>
      </c>
      <c r="T3516" s="57" t="str">
        <f t="shared" si="163"/>
        <v/>
      </c>
      <c r="U3516" s="58" t="str">
        <f t="shared" si="164"/>
        <v/>
      </c>
    </row>
    <row r="3517" spans="19:21" ht="23.25" customHeight="1" x14ac:dyDescent="0.35">
      <c r="S3517" s="56" t="str">
        <f t="shared" si="162"/>
        <v/>
      </c>
      <c r="T3517" s="57" t="str">
        <f t="shared" si="163"/>
        <v/>
      </c>
      <c r="U3517" s="58" t="str">
        <f t="shared" si="164"/>
        <v/>
      </c>
    </row>
    <row r="3518" spans="19:21" ht="23.25" customHeight="1" x14ac:dyDescent="0.35">
      <c r="S3518" s="56" t="str">
        <f t="shared" si="162"/>
        <v/>
      </c>
      <c r="T3518" s="57" t="str">
        <f t="shared" si="163"/>
        <v/>
      </c>
      <c r="U3518" s="58" t="str">
        <f t="shared" si="164"/>
        <v/>
      </c>
    </row>
    <row r="3519" spans="19:21" ht="23.25" customHeight="1" x14ac:dyDescent="0.35">
      <c r="S3519" s="56" t="str">
        <f t="shared" si="162"/>
        <v/>
      </c>
      <c r="T3519" s="57" t="str">
        <f t="shared" si="163"/>
        <v/>
      </c>
      <c r="U3519" s="58" t="str">
        <f t="shared" si="164"/>
        <v/>
      </c>
    </row>
    <row r="3520" spans="19:21" ht="23.25" customHeight="1" x14ac:dyDescent="0.35">
      <c r="S3520" s="56" t="str">
        <f t="shared" si="162"/>
        <v/>
      </c>
      <c r="T3520" s="57" t="str">
        <f t="shared" si="163"/>
        <v/>
      </c>
      <c r="U3520" s="58" t="str">
        <f t="shared" si="164"/>
        <v/>
      </c>
    </row>
    <row r="3521" spans="19:21" ht="23.25" customHeight="1" x14ac:dyDescent="0.35">
      <c r="S3521" s="56" t="str">
        <f t="shared" si="162"/>
        <v/>
      </c>
      <c r="T3521" s="57" t="str">
        <f t="shared" si="163"/>
        <v/>
      </c>
      <c r="U3521" s="58" t="str">
        <f t="shared" si="164"/>
        <v/>
      </c>
    </row>
    <row r="3522" spans="19:21" ht="23.25" customHeight="1" x14ac:dyDescent="0.35">
      <c r="S3522" s="56" t="str">
        <f t="shared" si="162"/>
        <v/>
      </c>
      <c r="T3522" s="57" t="str">
        <f t="shared" si="163"/>
        <v/>
      </c>
      <c r="U3522" s="58" t="str">
        <f t="shared" si="164"/>
        <v/>
      </c>
    </row>
    <row r="3523" spans="19:21" ht="23.25" customHeight="1" x14ac:dyDescent="0.35">
      <c r="S3523" s="56" t="str">
        <f t="shared" si="162"/>
        <v/>
      </c>
      <c r="T3523" s="57" t="str">
        <f t="shared" si="163"/>
        <v/>
      </c>
      <c r="U3523" s="58" t="str">
        <f t="shared" si="164"/>
        <v/>
      </c>
    </row>
    <row r="3524" spans="19:21" ht="23.25" customHeight="1" x14ac:dyDescent="0.35">
      <c r="S3524" s="56" t="str">
        <f t="shared" si="162"/>
        <v/>
      </c>
      <c r="T3524" s="57" t="str">
        <f t="shared" si="163"/>
        <v/>
      </c>
      <c r="U3524" s="58" t="str">
        <f t="shared" si="164"/>
        <v/>
      </c>
    </row>
    <row r="3525" spans="19:21" ht="23.25" customHeight="1" x14ac:dyDescent="0.35">
      <c r="S3525" s="56" t="str">
        <f t="shared" si="162"/>
        <v/>
      </c>
      <c r="T3525" s="57" t="str">
        <f t="shared" si="163"/>
        <v/>
      </c>
      <c r="U3525" s="58" t="str">
        <f t="shared" si="164"/>
        <v/>
      </c>
    </row>
    <row r="3526" spans="19:21" ht="23.25" customHeight="1" x14ac:dyDescent="0.35">
      <c r="S3526" s="56" t="str">
        <f t="shared" si="162"/>
        <v/>
      </c>
      <c r="T3526" s="57" t="str">
        <f t="shared" si="163"/>
        <v/>
      </c>
      <c r="U3526" s="58" t="str">
        <f t="shared" si="164"/>
        <v/>
      </c>
    </row>
    <row r="3527" spans="19:21" ht="23.25" customHeight="1" x14ac:dyDescent="0.35">
      <c r="S3527" s="56" t="str">
        <f t="shared" si="162"/>
        <v/>
      </c>
      <c r="T3527" s="57" t="str">
        <f t="shared" si="163"/>
        <v/>
      </c>
      <c r="U3527" s="58" t="str">
        <f t="shared" si="164"/>
        <v/>
      </c>
    </row>
    <row r="3528" spans="19:21" ht="23.25" customHeight="1" x14ac:dyDescent="0.35">
      <c r="S3528" s="56" t="str">
        <f t="shared" si="162"/>
        <v/>
      </c>
      <c r="T3528" s="57" t="str">
        <f t="shared" si="163"/>
        <v/>
      </c>
      <c r="U3528" s="58" t="str">
        <f t="shared" si="164"/>
        <v/>
      </c>
    </row>
    <row r="3529" spans="19:21" ht="23.25" customHeight="1" x14ac:dyDescent="0.35">
      <c r="S3529" s="56" t="str">
        <f t="shared" ref="S3529:S3592" si="165">IF(A3529="","",A$5-A3529)</f>
        <v/>
      </c>
      <c r="T3529" s="57" t="str">
        <f t="shared" ref="T3529:T3592" si="166">IF(S3529="","",IF(S3529&lt;4,"0-3 Days",IF(S3529&lt;31,"4-30 Days",IF(S3529&lt;61,"31-60 Days",IF(S3529&lt;=90,"61-90 Days",IF(S3529&gt;90,"Above 90 Days","0"))))))</f>
        <v/>
      </c>
      <c r="U3529" s="58" t="str">
        <f t="shared" ref="U3529:U3592" si="167">IF(C3529="","",IF(C3529&gt;0,IF(S3529&lt;30,"Normal",IF(S3529&lt;60,"Especially Mentioned",IF(S3529&lt;90,"Substandard",IF(S3529&lt;=180,"Doubtful",IF(S3529&gt;180,"Loss","0"))))),"Not Applicable"))</f>
        <v/>
      </c>
    </row>
    <row r="3530" spans="19:21" ht="23.25" customHeight="1" x14ac:dyDescent="0.35">
      <c r="S3530" s="56" t="str">
        <f t="shared" si="165"/>
        <v/>
      </c>
      <c r="T3530" s="57" t="str">
        <f t="shared" si="166"/>
        <v/>
      </c>
      <c r="U3530" s="58" t="str">
        <f t="shared" si="167"/>
        <v/>
      </c>
    </row>
    <row r="3531" spans="19:21" ht="23.25" customHeight="1" x14ac:dyDescent="0.35">
      <c r="S3531" s="56" t="str">
        <f t="shared" si="165"/>
        <v/>
      </c>
      <c r="T3531" s="57" t="str">
        <f t="shared" si="166"/>
        <v/>
      </c>
      <c r="U3531" s="58" t="str">
        <f t="shared" si="167"/>
        <v/>
      </c>
    </row>
    <row r="3532" spans="19:21" ht="23.25" customHeight="1" x14ac:dyDescent="0.35">
      <c r="S3532" s="56" t="str">
        <f t="shared" si="165"/>
        <v/>
      </c>
      <c r="T3532" s="57" t="str">
        <f t="shared" si="166"/>
        <v/>
      </c>
      <c r="U3532" s="58" t="str">
        <f t="shared" si="167"/>
        <v/>
      </c>
    </row>
    <row r="3533" spans="19:21" ht="23.25" customHeight="1" x14ac:dyDescent="0.35">
      <c r="S3533" s="56" t="str">
        <f t="shared" si="165"/>
        <v/>
      </c>
      <c r="T3533" s="57" t="str">
        <f t="shared" si="166"/>
        <v/>
      </c>
      <c r="U3533" s="58" t="str">
        <f t="shared" si="167"/>
        <v/>
      </c>
    </row>
    <row r="3534" spans="19:21" ht="23.25" customHeight="1" x14ac:dyDescent="0.35">
      <c r="S3534" s="56" t="str">
        <f t="shared" si="165"/>
        <v/>
      </c>
      <c r="T3534" s="57" t="str">
        <f t="shared" si="166"/>
        <v/>
      </c>
      <c r="U3534" s="58" t="str">
        <f t="shared" si="167"/>
        <v/>
      </c>
    </row>
    <row r="3535" spans="19:21" ht="23.25" customHeight="1" x14ac:dyDescent="0.35">
      <c r="S3535" s="56" t="str">
        <f t="shared" si="165"/>
        <v/>
      </c>
      <c r="T3535" s="57" t="str">
        <f t="shared" si="166"/>
        <v/>
      </c>
      <c r="U3535" s="58" t="str">
        <f t="shared" si="167"/>
        <v/>
      </c>
    </row>
    <row r="3536" spans="19:21" ht="23.25" customHeight="1" x14ac:dyDescent="0.35">
      <c r="S3536" s="56" t="str">
        <f t="shared" si="165"/>
        <v/>
      </c>
      <c r="T3536" s="57" t="str">
        <f t="shared" si="166"/>
        <v/>
      </c>
      <c r="U3536" s="58" t="str">
        <f t="shared" si="167"/>
        <v/>
      </c>
    </row>
    <row r="3537" spans="19:21" ht="23.25" customHeight="1" x14ac:dyDescent="0.35">
      <c r="S3537" s="56" t="str">
        <f t="shared" si="165"/>
        <v/>
      </c>
      <c r="T3537" s="57" t="str">
        <f t="shared" si="166"/>
        <v/>
      </c>
      <c r="U3537" s="58" t="str">
        <f t="shared" si="167"/>
        <v/>
      </c>
    </row>
    <row r="3538" spans="19:21" ht="23.25" customHeight="1" x14ac:dyDescent="0.35">
      <c r="S3538" s="56" t="str">
        <f t="shared" si="165"/>
        <v/>
      </c>
      <c r="T3538" s="57" t="str">
        <f t="shared" si="166"/>
        <v/>
      </c>
      <c r="U3538" s="58" t="str">
        <f t="shared" si="167"/>
        <v/>
      </c>
    </row>
    <row r="3539" spans="19:21" ht="23.25" customHeight="1" x14ac:dyDescent="0.35">
      <c r="S3539" s="56" t="str">
        <f t="shared" si="165"/>
        <v/>
      </c>
      <c r="T3539" s="57" t="str">
        <f t="shared" si="166"/>
        <v/>
      </c>
      <c r="U3539" s="58" t="str">
        <f t="shared" si="167"/>
        <v/>
      </c>
    </row>
    <row r="3540" spans="19:21" ht="23.25" customHeight="1" x14ac:dyDescent="0.35">
      <c r="S3540" s="56" t="str">
        <f t="shared" si="165"/>
        <v/>
      </c>
      <c r="T3540" s="57" t="str">
        <f t="shared" si="166"/>
        <v/>
      </c>
      <c r="U3540" s="58" t="str">
        <f t="shared" si="167"/>
        <v/>
      </c>
    </row>
    <row r="3541" spans="19:21" ht="23.25" customHeight="1" x14ac:dyDescent="0.35">
      <c r="S3541" s="56" t="str">
        <f t="shared" si="165"/>
        <v/>
      </c>
      <c r="T3541" s="57" t="str">
        <f t="shared" si="166"/>
        <v/>
      </c>
      <c r="U3541" s="58" t="str">
        <f t="shared" si="167"/>
        <v/>
      </c>
    </row>
    <row r="3542" spans="19:21" ht="23.25" customHeight="1" x14ac:dyDescent="0.35">
      <c r="S3542" s="56" t="str">
        <f t="shared" si="165"/>
        <v/>
      </c>
      <c r="T3542" s="57" t="str">
        <f t="shared" si="166"/>
        <v/>
      </c>
      <c r="U3542" s="58" t="str">
        <f t="shared" si="167"/>
        <v/>
      </c>
    </row>
    <row r="3543" spans="19:21" ht="23.25" customHeight="1" x14ac:dyDescent="0.35">
      <c r="S3543" s="56" t="str">
        <f t="shared" si="165"/>
        <v/>
      </c>
      <c r="T3543" s="57" t="str">
        <f t="shared" si="166"/>
        <v/>
      </c>
      <c r="U3543" s="58" t="str">
        <f t="shared" si="167"/>
        <v/>
      </c>
    </row>
    <row r="3544" spans="19:21" ht="23.25" customHeight="1" x14ac:dyDescent="0.35">
      <c r="S3544" s="56" t="str">
        <f t="shared" si="165"/>
        <v/>
      </c>
      <c r="T3544" s="57" t="str">
        <f t="shared" si="166"/>
        <v/>
      </c>
      <c r="U3544" s="58" t="str">
        <f t="shared" si="167"/>
        <v/>
      </c>
    </row>
    <row r="3545" spans="19:21" ht="23.25" customHeight="1" x14ac:dyDescent="0.35">
      <c r="S3545" s="56" t="str">
        <f t="shared" si="165"/>
        <v/>
      </c>
      <c r="T3545" s="57" t="str">
        <f t="shared" si="166"/>
        <v/>
      </c>
      <c r="U3545" s="58" t="str">
        <f t="shared" si="167"/>
        <v/>
      </c>
    </row>
    <row r="3546" spans="19:21" ht="23.25" customHeight="1" x14ac:dyDescent="0.35">
      <c r="S3546" s="56" t="str">
        <f t="shared" si="165"/>
        <v/>
      </c>
      <c r="T3546" s="57" t="str">
        <f t="shared" si="166"/>
        <v/>
      </c>
      <c r="U3546" s="58" t="str">
        <f t="shared" si="167"/>
        <v/>
      </c>
    </row>
    <row r="3547" spans="19:21" ht="23.25" customHeight="1" x14ac:dyDescent="0.35">
      <c r="S3547" s="56" t="str">
        <f t="shared" si="165"/>
        <v/>
      </c>
      <c r="T3547" s="57" t="str">
        <f t="shared" si="166"/>
        <v/>
      </c>
      <c r="U3547" s="58" t="str">
        <f t="shared" si="167"/>
        <v/>
      </c>
    </row>
    <row r="3548" spans="19:21" ht="23.25" customHeight="1" x14ac:dyDescent="0.35">
      <c r="S3548" s="56" t="str">
        <f t="shared" si="165"/>
        <v/>
      </c>
      <c r="T3548" s="57" t="str">
        <f t="shared" si="166"/>
        <v/>
      </c>
      <c r="U3548" s="58" t="str">
        <f t="shared" si="167"/>
        <v/>
      </c>
    </row>
    <row r="3549" spans="19:21" ht="23.25" customHeight="1" x14ac:dyDescent="0.35">
      <c r="S3549" s="56" t="str">
        <f t="shared" si="165"/>
        <v/>
      </c>
      <c r="T3549" s="57" t="str">
        <f t="shared" si="166"/>
        <v/>
      </c>
      <c r="U3549" s="58" t="str">
        <f t="shared" si="167"/>
        <v/>
      </c>
    </row>
    <row r="3550" spans="19:21" ht="23.25" customHeight="1" x14ac:dyDescent="0.35">
      <c r="S3550" s="56" t="str">
        <f t="shared" si="165"/>
        <v/>
      </c>
      <c r="T3550" s="57" t="str">
        <f t="shared" si="166"/>
        <v/>
      </c>
      <c r="U3550" s="58" t="str">
        <f t="shared" si="167"/>
        <v/>
      </c>
    </row>
    <row r="3551" spans="19:21" ht="23.25" customHeight="1" x14ac:dyDescent="0.35">
      <c r="S3551" s="56" t="str">
        <f t="shared" si="165"/>
        <v/>
      </c>
      <c r="T3551" s="57" t="str">
        <f t="shared" si="166"/>
        <v/>
      </c>
      <c r="U3551" s="58" t="str">
        <f t="shared" si="167"/>
        <v/>
      </c>
    </row>
    <row r="3552" spans="19:21" ht="23.25" customHeight="1" x14ac:dyDescent="0.35">
      <c r="S3552" s="56" t="str">
        <f t="shared" si="165"/>
        <v/>
      </c>
      <c r="T3552" s="57" t="str">
        <f t="shared" si="166"/>
        <v/>
      </c>
      <c r="U3552" s="58" t="str">
        <f t="shared" si="167"/>
        <v/>
      </c>
    </row>
    <row r="3553" spans="19:21" ht="23.25" customHeight="1" x14ac:dyDescent="0.35">
      <c r="S3553" s="56" t="str">
        <f t="shared" si="165"/>
        <v/>
      </c>
      <c r="T3553" s="57" t="str">
        <f t="shared" si="166"/>
        <v/>
      </c>
      <c r="U3553" s="58" t="str">
        <f t="shared" si="167"/>
        <v/>
      </c>
    </row>
    <row r="3554" spans="19:21" ht="23.25" customHeight="1" x14ac:dyDescent="0.35">
      <c r="S3554" s="56" t="str">
        <f t="shared" si="165"/>
        <v/>
      </c>
      <c r="T3554" s="57" t="str">
        <f t="shared" si="166"/>
        <v/>
      </c>
      <c r="U3554" s="58" t="str">
        <f t="shared" si="167"/>
        <v/>
      </c>
    </row>
    <row r="3555" spans="19:21" ht="23.25" customHeight="1" x14ac:dyDescent="0.35">
      <c r="S3555" s="56" t="str">
        <f t="shared" si="165"/>
        <v/>
      </c>
      <c r="T3555" s="57" t="str">
        <f t="shared" si="166"/>
        <v/>
      </c>
      <c r="U3555" s="58" t="str">
        <f t="shared" si="167"/>
        <v/>
      </c>
    </row>
    <row r="3556" spans="19:21" ht="23.25" customHeight="1" x14ac:dyDescent="0.35">
      <c r="S3556" s="56" t="str">
        <f t="shared" si="165"/>
        <v/>
      </c>
      <c r="T3556" s="57" t="str">
        <f t="shared" si="166"/>
        <v/>
      </c>
      <c r="U3556" s="58" t="str">
        <f t="shared" si="167"/>
        <v/>
      </c>
    </row>
    <row r="3557" spans="19:21" ht="23.25" customHeight="1" x14ac:dyDescent="0.35">
      <c r="S3557" s="56" t="str">
        <f t="shared" si="165"/>
        <v/>
      </c>
      <c r="T3557" s="57" t="str">
        <f t="shared" si="166"/>
        <v/>
      </c>
      <c r="U3557" s="58" t="str">
        <f t="shared" si="167"/>
        <v/>
      </c>
    </row>
    <row r="3558" spans="19:21" ht="23.25" customHeight="1" x14ac:dyDescent="0.35">
      <c r="S3558" s="56" t="str">
        <f t="shared" si="165"/>
        <v/>
      </c>
      <c r="T3558" s="57" t="str">
        <f t="shared" si="166"/>
        <v/>
      </c>
      <c r="U3558" s="58" t="str">
        <f t="shared" si="167"/>
        <v/>
      </c>
    </row>
    <row r="3559" spans="19:21" ht="23.25" customHeight="1" x14ac:dyDescent="0.35">
      <c r="S3559" s="56" t="str">
        <f t="shared" si="165"/>
        <v/>
      </c>
      <c r="T3559" s="57" t="str">
        <f t="shared" si="166"/>
        <v/>
      </c>
      <c r="U3559" s="58" t="str">
        <f t="shared" si="167"/>
        <v/>
      </c>
    </row>
    <row r="3560" spans="19:21" ht="23.25" customHeight="1" x14ac:dyDescent="0.35">
      <c r="S3560" s="56" t="str">
        <f t="shared" si="165"/>
        <v/>
      </c>
      <c r="T3560" s="57" t="str">
        <f t="shared" si="166"/>
        <v/>
      </c>
      <c r="U3560" s="58" t="str">
        <f t="shared" si="167"/>
        <v/>
      </c>
    </row>
    <row r="3561" spans="19:21" ht="23.25" customHeight="1" x14ac:dyDescent="0.35">
      <c r="S3561" s="56" t="str">
        <f t="shared" si="165"/>
        <v/>
      </c>
      <c r="T3561" s="57" t="str">
        <f t="shared" si="166"/>
        <v/>
      </c>
      <c r="U3561" s="58" t="str">
        <f t="shared" si="167"/>
        <v/>
      </c>
    </row>
    <row r="3562" spans="19:21" ht="23.25" customHeight="1" x14ac:dyDescent="0.35">
      <c r="S3562" s="56" t="str">
        <f t="shared" si="165"/>
        <v/>
      </c>
      <c r="T3562" s="57" t="str">
        <f t="shared" si="166"/>
        <v/>
      </c>
      <c r="U3562" s="58" t="str">
        <f t="shared" si="167"/>
        <v/>
      </c>
    </row>
    <row r="3563" spans="19:21" ht="23.25" customHeight="1" x14ac:dyDescent="0.35">
      <c r="S3563" s="56" t="str">
        <f t="shared" si="165"/>
        <v/>
      </c>
      <c r="T3563" s="57" t="str">
        <f t="shared" si="166"/>
        <v/>
      </c>
      <c r="U3563" s="58" t="str">
        <f t="shared" si="167"/>
        <v/>
      </c>
    </row>
    <row r="3564" spans="19:21" ht="23.25" customHeight="1" x14ac:dyDescent="0.35">
      <c r="S3564" s="56" t="str">
        <f t="shared" si="165"/>
        <v/>
      </c>
      <c r="T3564" s="57" t="str">
        <f t="shared" si="166"/>
        <v/>
      </c>
      <c r="U3564" s="58" t="str">
        <f t="shared" si="167"/>
        <v/>
      </c>
    </row>
    <row r="3565" spans="19:21" ht="23.25" customHeight="1" x14ac:dyDescent="0.35">
      <c r="S3565" s="56" t="str">
        <f t="shared" si="165"/>
        <v/>
      </c>
      <c r="T3565" s="57" t="str">
        <f t="shared" si="166"/>
        <v/>
      </c>
      <c r="U3565" s="58" t="str">
        <f t="shared" si="167"/>
        <v/>
      </c>
    </row>
    <row r="3566" spans="19:21" ht="23.25" customHeight="1" x14ac:dyDescent="0.35">
      <c r="S3566" s="56" t="str">
        <f t="shared" si="165"/>
        <v/>
      </c>
      <c r="T3566" s="57" t="str">
        <f t="shared" si="166"/>
        <v/>
      </c>
      <c r="U3566" s="58" t="str">
        <f t="shared" si="167"/>
        <v/>
      </c>
    </row>
    <row r="3567" spans="19:21" ht="23.25" customHeight="1" x14ac:dyDescent="0.35">
      <c r="S3567" s="56" t="str">
        <f t="shared" si="165"/>
        <v/>
      </c>
      <c r="T3567" s="57" t="str">
        <f t="shared" si="166"/>
        <v/>
      </c>
      <c r="U3567" s="58" t="str">
        <f t="shared" si="167"/>
        <v/>
      </c>
    </row>
    <row r="3568" spans="19:21" ht="23.25" customHeight="1" x14ac:dyDescent="0.35">
      <c r="S3568" s="56" t="str">
        <f t="shared" si="165"/>
        <v/>
      </c>
      <c r="T3568" s="57" t="str">
        <f t="shared" si="166"/>
        <v/>
      </c>
      <c r="U3568" s="58" t="str">
        <f t="shared" si="167"/>
        <v/>
      </c>
    </row>
    <row r="3569" spans="19:21" ht="23.25" customHeight="1" x14ac:dyDescent="0.35">
      <c r="S3569" s="56" t="str">
        <f t="shared" si="165"/>
        <v/>
      </c>
      <c r="T3569" s="57" t="str">
        <f t="shared" si="166"/>
        <v/>
      </c>
      <c r="U3569" s="58" t="str">
        <f t="shared" si="167"/>
        <v/>
      </c>
    </row>
    <row r="3570" spans="19:21" ht="23.25" customHeight="1" x14ac:dyDescent="0.35">
      <c r="S3570" s="56" t="str">
        <f t="shared" si="165"/>
        <v/>
      </c>
      <c r="T3570" s="57" t="str">
        <f t="shared" si="166"/>
        <v/>
      </c>
      <c r="U3570" s="58" t="str">
        <f t="shared" si="167"/>
        <v/>
      </c>
    </row>
    <row r="3571" spans="19:21" ht="23.25" customHeight="1" x14ac:dyDescent="0.35">
      <c r="S3571" s="56" t="str">
        <f t="shared" si="165"/>
        <v/>
      </c>
      <c r="T3571" s="57" t="str">
        <f t="shared" si="166"/>
        <v/>
      </c>
      <c r="U3571" s="58" t="str">
        <f t="shared" si="167"/>
        <v/>
      </c>
    </row>
    <row r="3572" spans="19:21" ht="23.25" customHeight="1" x14ac:dyDescent="0.35">
      <c r="S3572" s="56" t="str">
        <f t="shared" si="165"/>
        <v/>
      </c>
      <c r="T3572" s="57" t="str">
        <f t="shared" si="166"/>
        <v/>
      </c>
      <c r="U3572" s="58" t="str">
        <f t="shared" si="167"/>
        <v/>
      </c>
    </row>
    <row r="3573" spans="19:21" ht="23.25" customHeight="1" x14ac:dyDescent="0.35">
      <c r="S3573" s="56" t="str">
        <f t="shared" si="165"/>
        <v/>
      </c>
      <c r="T3573" s="57" t="str">
        <f t="shared" si="166"/>
        <v/>
      </c>
      <c r="U3573" s="58" t="str">
        <f t="shared" si="167"/>
        <v/>
      </c>
    </row>
    <row r="3574" spans="19:21" ht="23.25" customHeight="1" x14ac:dyDescent="0.35">
      <c r="S3574" s="56" t="str">
        <f t="shared" si="165"/>
        <v/>
      </c>
      <c r="T3574" s="57" t="str">
        <f t="shared" si="166"/>
        <v/>
      </c>
      <c r="U3574" s="58" t="str">
        <f t="shared" si="167"/>
        <v/>
      </c>
    </row>
    <row r="3575" spans="19:21" ht="23.25" customHeight="1" x14ac:dyDescent="0.35">
      <c r="S3575" s="56" t="str">
        <f t="shared" si="165"/>
        <v/>
      </c>
      <c r="T3575" s="57" t="str">
        <f t="shared" si="166"/>
        <v/>
      </c>
      <c r="U3575" s="58" t="str">
        <f t="shared" si="167"/>
        <v/>
      </c>
    </row>
    <row r="3576" spans="19:21" ht="23.25" customHeight="1" x14ac:dyDescent="0.35">
      <c r="S3576" s="56" t="str">
        <f t="shared" si="165"/>
        <v/>
      </c>
      <c r="T3576" s="57" t="str">
        <f t="shared" si="166"/>
        <v/>
      </c>
      <c r="U3576" s="58" t="str">
        <f t="shared" si="167"/>
        <v/>
      </c>
    </row>
    <row r="3577" spans="19:21" ht="23.25" customHeight="1" x14ac:dyDescent="0.35">
      <c r="S3577" s="56" t="str">
        <f t="shared" si="165"/>
        <v/>
      </c>
      <c r="T3577" s="57" t="str">
        <f t="shared" si="166"/>
        <v/>
      </c>
      <c r="U3577" s="58" t="str">
        <f t="shared" si="167"/>
        <v/>
      </c>
    </row>
    <row r="3578" spans="19:21" ht="23.25" customHeight="1" x14ac:dyDescent="0.35">
      <c r="S3578" s="56" t="str">
        <f t="shared" si="165"/>
        <v/>
      </c>
      <c r="T3578" s="57" t="str">
        <f t="shared" si="166"/>
        <v/>
      </c>
      <c r="U3578" s="58" t="str">
        <f t="shared" si="167"/>
        <v/>
      </c>
    </row>
    <row r="3579" spans="19:21" ht="23.25" customHeight="1" x14ac:dyDescent="0.35">
      <c r="S3579" s="56" t="str">
        <f t="shared" si="165"/>
        <v/>
      </c>
      <c r="T3579" s="57" t="str">
        <f t="shared" si="166"/>
        <v/>
      </c>
      <c r="U3579" s="58" t="str">
        <f t="shared" si="167"/>
        <v/>
      </c>
    </row>
    <row r="3580" spans="19:21" ht="23.25" customHeight="1" x14ac:dyDescent="0.35">
      <c r="S3580" s="56" t="str">
        <f t="shared" si="165"/>
        <v/>
      </c>
      <c r="T3580" s="57" t="str">
        <f t="shared" si="166"/>
        <v/>
      </c>
      <c r="U3580" s="58" t="str">
        <f t="shared" si="167"/>
        <v/>
      </c>
    </row>
    <row r="3581" spans="19:21" ht="23.25" customHeight="1" x14ac:dyDescent="0.35">
      <c r="S3581" s="56" t="str">
        <f t="shared" si="165"/>
        <v/>
      </c>
      <c r="T3581" s="57" t="str">
        <f t="shared" si="166"/>
        <v/>
      </c>
      <c r="U3581" s="58" t="str">
        <f t="shared" si="167"/>
        <v/>
      </c>
    </row>
    <row r="3582" spans="19:21" ht="23.25" customHeight="1" x14ac:dyDescent="0.35">
      <c r="S3582" s="56" t="str">
        <f t="shared" si="165"/>
        <v/>
      </c>
      <c r="T3582" s="57" t="str">
        <f t="shared" si="166"/>
        <v/>
      </c>
      <c r="U3582" s="58" t="str">
        <f t="shared" si="167"/>
        <v/>
      </c>
    </row>
    <row r="3583" spans="19:21" ht="23.25" customHeight="1" x14ac:dyDescent="0.35">
      <c r="S3583" s="56" t="str">
        <f t="shared" si="165"/>
        <v/>
      </c>
      <c r="T3583" s="57" t="str">
        <f t="shared" si="166"/>
        <v/>
      </c>
      <c r="U3583" s="58" t="str">
        <f t="shared" si="167"/>
        <v/>
      </c>
    </row>
    <row r="3584" spans="19:21" ht="23.25" customHeight="1" x14ac:dyDescent="0.35">
      <c r="S3584" s="56" t="str">
        <f t="shared" si="165"/>
        <v/>
      </c>
      <c r="T3584" s="57" t="str">
        <f t="shared" si="166"/>
        <v/>
      </c>
      <c r="U3584" s="58" t="str">
        <f t="shared" si="167"/>
        <v/>
      </c>
    </row>
    <row r="3585" spans="19:21" ht="23.25" customHeight="1" x14ac:dyDescent="0.35">
      <c r="S3585" s="56" t="str">
        <f t="shared" si="165"/>
        <v/>
      </c>
      <c r="T3585" s="57" t="str">
        <f t="shared" si="166"/>
        <v/>
      </c>
      <c r="U3585" s="58" t="str">
        <f t="shared" si="167"/>
        <v/>
      </c>
    </row>
    <row r="3586" spans="19:21" ht="23.25" customHeight="1" x14ac:dyDescent="0.35">
      <c r="S3586" s="56" t="str">
        <f t="shared" si="165"/>
        <v/>
      </c>
      <c r="T3586" s="57" t="str">
        <f t="shared" si="166"/>
        <v/>
      </c>
      <c r="U3586" s="58" t="str">
        <f t="shared" si="167"/>
        <v/>
      </c>
    </row>
    <row r="3587" spans="19:21" ht="23.25" customHeight="1" x14ac:dyDescent="0.35">
      <c r="S3587" s="56" t="str">
        <f t="shared" si="165"/>
        <v/>
      </c>
      <c r="T3587" s="57" t="str">
        <f t="shared" si="166"/>
        <v/>
      </c>
      <c r="U3587" s="58" t="str">
        <f t="shared" si="167"/>
        <v/>
      </c>
    </row>
    <row r="3588" spans="19:21" ht="23.25" customHeight="1" x14ac:dyDescent="0.35">
      <c r="S3588" s="56" t="str">
        <f t="shared" si="165"/>
        <v/>
      </c>
      <c r="T3588" s="57" t="str">
        <f t="shared" si="166"/>
        <v/>
      </c>
      <c r="U3588" s="58" t="str">
        <f t="shared" si="167"/>
        <v/>
      </c>
    </row>
    <row r="3589" spans="19:21" ht="23.25" customHeight="1" x14ac:dyDescent="0.35">
      <c r="S3589" s="56" t="str">
        <f t="shared" si="165"/>
        <v/>
      </c>
      <c r="T3589" s="57" t="str">
        <f t="shared" si="166"/>
        <v/>
      </c>
      <c r="U3589" s="58" t="str">
        <f t="shared" si="167"/>
        <v/>
      </c>
    </row>
    <row r="3590" spans="19:21" ht="23.25" customHeight="1" x14ac:dyDescent="0.35">
      <c r="S3590" s="56" t="str">
        <f t="shared" si="165"/>
        <v/>
      </c>
      <c r="T3590" s="57" t="str">
        <f t="shared" si="166"/>
        <v/>
      </c>
      <c r="U3590" s="58" t="str">
        <f t="shared" si="167"/>
        <v/>
      </c>
    </row>
    <row r="3591" spans="19:21" ht="23.25" customHeight="1" x14ac:dyDescent="0.35">
      <c r="S3591" s="56" t="str">
        <f t="shared" si="165"/>
        <v/>
      </c>
      <c r="T3591" s="57" t="str">
        <f t="shared" si="166"/>
        <v/>
      </c>
      <c r="U3591" s="58" t="str">
        <f t="shared" si="167"/>
        <v/>
      </c>
    </row>
    <row r="3592" spans="19:21" ht="23.25" customHeight="1" x14ac:dyDescent="0.35">
      <c r="S3592" s="56" t="str">
        <f t="shared" si="165"/>
        <v/>
      </c>
      <c r="T3592" s="57" t="str">
        <f t="shared" si="166"/>
        <v/>
      </c>
      <c r="U3592" s="58" t="str">
        <f t="shared" si="167"/>
        <v/>
      </c>
    </row>
    <row r="3593" spans="19:21" ht="23.25" customHeight="1" x14ac:dyDescent="0.35">
      <c r="S3593" s="56" t="str">
        <f t="shared" ref="S3593:S3656" si="168">IF(A3593="","",A$5-A3593)</f>
        <v/>
      </c>
      <c r="T3593" s="57" t="str">
        <f t="shared" ref="T3593:T3656" si="169">IF(S3593="","",IF(S3593&lt;4,"0-3 Days",IF(S3593&lt;31,"4-30 Days",IF(S3593&lt;61,"31-60 Days",IF(S3593&lt;=90,"61-90 Days",IF(S3593&gt;90,"Above 90 Days","0"))))))</f>
        <v/>
      </c>
      <c r="U3593" s="58" t="str">
        <f t="shared" ref="U3593:U3656" si="170">IF(C3593="","",IF(C3593&gt;0,IF(S3593&lt;30,"Normal",IF(S3593&lt;60,"Especially Mentioned",IF(S3593&lt;90,"Substandard",IF(S3593&lt;=180,"Doubtful",IF(S3593&gt;180,"Loss","0"))))),"Not Applicable"))</f>
        <v/>
      </c>
    </row>
    <row r="3594" spans="19:21" ht="23.25" customHeight="1" x14ac:dyDescent="0.35">
      <c r="S3594" s="56" t="str">
        <f t="shared" si="168"/>
        <v/>
      </c>
      <c r="T3594" s="57" t="str">
        <f t="shared" si="169"/>
        <v/>
      </c>
      <c r="U3594" s="58" t="str">
        <f t="shared" si="170"/>
        <v/>
      </c>
    </row>
    <row r="3595" spans="19:21" ht="23.25" customHeight="1" x14ac:dyDescent="0.35">
      <c r="S3595" s="56" t="str">
        <f t="shared" si="168"/>
        <v/>
      </c>
      <c r="T3595" s="57" t="str">
        <f t="shared" si="169"/>
        <v/>
      </c>
      <c r="U3595" s="58" t="str">
        <f t="shared" si="170"/>
        <v/>
      </c>
    </row>
    <row r="3596" spans="19:21" ht="23.25" customHeight="1" x14ac:dyDescent="0.35">
      <c r="S3596" s="56" t="str">
        <f t="shared" si="168"/>
        <v/>
      </c>
      <c r="T3596" s="57" t="str">
        <f t="shared" si="169"/>
        <v/>
      </c>
      <c r="U3596" s="58" t="str">
        <f t="shared" si="170"/>
        <v/>
      </c>
    </row>
    <row r="3597" spans="19:21" ht="23.25" customHeight="1" x14ac:dyDescent="0.35">
      <c r="S3597" s="56" t="str">
        <f t="shared" si="168"/>
        <v/>
      </c>
      <c r="T3597" s="57" t="str">
        <f t="shared" si="169"/>
        <v/>
      </c>
      <c r="U3597" s="58" t="str">
        <f t="shared" si="170"/>
        <v/>
      </c>
    </row>
    <row r="3598" spans="19:21" ht="23.25" customHeight="1" x14ac:dyDescent="0.35">
      <c r="S3598" s="56" t="str">
        <f t="shared" si="168"/>
        <v/>
      </c>
      <c r="T3598" s="57" t="str">
        <f t="shared" si="169"/>
        <v/>
      </c>
      <c r="U3598" s="58" t="str">
        <f t="shared" si="170"/>
        <v/>
      </c>
    </row>
    <row r="3599" spans="19:21" ht="23.25" customHeight="1" x14ac:dyDescent="0.35">
      <c r="S3599" s="56" t="str">
        <f t="shared" si="168"/>
        <v/>
      </c>
      <c r="T3599" s="57" t="str">
        <f t="shared" si="169"/>
        <v/>
      </c>
      <c r="U3599" s="58" t="str">
        <f t="shared" si="170"/>
        <v/>
      </c>
    </row>
    <row r="3600" spans="19:21" ht="23.25" customHeight="1" x14ac:dyDescent="0.35">
      <c r="S3600" s="56" t="str">
        <f t="shared" si="168"/>
        <v/>
      </c>
      <c r="T3600" s="57" t="str">
        <f t="shared" si="169"/>
        <v/>
      </c>
      <c r="U3600" s="58" t="str">
        <f t="shared" si="170"/>
        <v/>
      </c>
    </row>
    <row r="3601" spans="19:21" ht="23.25" customHeight="1" x14ac:dyDescent="0.35">
      <c r="S3601" s="56" t="str">
        <f t="shared" si="168"/>
        <v/>
      </c>
      <c r="T3601" s="57" t="str">
        <f t="shared" si="169"/>
        <v/>
      </c>
      <c r="U3601" s="58" t="str">
        <f t="shared" si="170"/>
        <v/>
      </c>
    </row>
    <row r="3602" spans="19:21" ht="23.25" customHeight="1" x14ac:dyDescent="0.35">
      <c r="S3602" s="56" t="str">
        <f t="shared" si="168"/>
        <v/>
      </c>
      <c r="T3602" s="57" t="str">
        <f t="shared" si="169"/>
        <v/>
      </c>
      <c r="U3602" s="58" t="str">
        <f t="shared" si="170"/>
        <v/>
      </c>
    </row>
    <row r="3603" spans="19:21" ht="23.25" customHeight="1" x14ac:dyDescent="0.35">
      <c r="S3603" s="56" t="str">
        <f t="shared" si="168"/>
        <v/>
      </c>
      <c r="T3603" s="57" t="str">
        <f t="shared" si="169"/>
        <v/>
      </c>
      <c r="U3603" s="58" t="str">
        <f t="shared" si="170"/>
        <v/>
      </c>
    </row>
    <row r="3604" spans="19:21" ht="23.25" customHeight="1" x14ac:dyDescent="0.35">
      <c r="S3604" s="56" t="str">
        <f t="shared" si="168"/>
        <v/>
      </c>
      <c r="T3604" s="57" t="str">
        <f t="shared" si="169"/>
        <v/>
      </c>
      <c r="U3604" s="58" t="str">
        <f t="shared" si="170"/>
        <v/>
      </c>
    </row>
    <row r="3605" spans="19:21" ht="23.25" customHeight="1" x14ac:dyDescent="0.35">
      <c r="S3605" s="56" t="str">
        <f t="shared" si="168"/>
        <v/>
      </c>
      <c r="T3605" s="57" t="str">
        <f t="shared" si="169"/>
        <v/>
      </c>
      <c r="U3605" s="58" t="str">
        <f t="shared" si="170"/>
        <v/>
      </c>
    </row>
    <row r="3606" spans="19:21" ht="23.25" customHeight="1" x14ac:dyDescent="0.35">
      <c r="S3606" s="56" t="str">
        <f t="shared" si="168"/>
        <v/>
      </c>
      <c r="T3606" s="57" t="str">
        <f t="shared" si="169"/>
        <v/>
      </c>
      <c r="U3606" s="58" t="str">
        <f t="shared" si="170"/>
        <v/>
      </c>
    </row>
    <row r="3607" spans="19:21" ht="23.25" customHeight="1" x14ac:dyDescent="0.35">
      <c r="S3607" s="56" t="str">
        <f t="shared" si="168"/>
        <v/>
      </c>
      <c r="T3607" s="57" t="str">
        <f t="shared" si="169"/>
        <v/>
      </c>
      <c r="U3607" s="58" t="str">
        <f t="shared" si="170"/>
        <v/>
      </c>
    </row>
    <row r="3608" spans="19:21" ht="23.25" customHeight="1" x14ac:dyDescent="0.35">
      <c r="S3608" s="56" t="str">
        <f t="shared" si="168"/>
        <v/>
      </c>
      <c r="T3608" s="57" t="str">
        <f t="shared" si="169"/>
        <v/>
      </c>
      <c r="U3608" s="58" t="str">
        <f t="shared" si="170"/>
        <v/>
      </c>
    </row>
    <row r="3609" spans="19:21" ht="23.25" customHeight="1" x14ac:dyDescent="0.35">
      <c r="S3609" s="56" t="str">
        <f t="shared" si="168"/>
        <v/>
      </c>
      <c r="T3609" s="57" t="str">
        <f t="shared" si="169"/>
        <v/>
      </c>
      <c r="U3609" s="58" t="str">
        <f t="shared" si="170"/>
        <v/>
      </c>
    </row>
    <row r="3610" spans="19:21" ht="23.25" customHeight="1" x14ac:dyDescent="0.35">
      <c r="S3610" s="56" t="str">
        <f t="shared" si="168"/>
        <v/>
      </c>
      <c r="T3610" s="57" t="str">
        <f t="shared" si="169"/>
        <v/>
      </c>
      <c r="U3610" s="58" t="str">
        <f t="shared" si="170"/>
        <v/>
      </c>
    </row>
    <row r="3611" spans="19:21" ht="23.25" customHeight="1" x14ac:dyDescent="0.35">
      <c r="S3611" s="56" t="str">
        <f t="shared" si="168"/>
        <v/>
      </c>
      <c r="T3611" s="57" t="str">
        <f t="shared" si="169"/>
        <v/>
      </c>
      <c r="U3611" s="58" t="str">
        <f t="shared" si="170"/>
        <v/>
      </c>
    </row>
    <row r="3612" spans="19:21" ht="23.25" customHeight="1" x14ac:dyDescent="0.35">
      <c r="S3612" s="56" t="str">
        <f t="shared" si="168"/>
        <v/>
      </c>
      <c r="T3612" s="57" t="str">
        <f t="shared" si="169"/>
        <v/>
      </c>
      <c r="U3612" s="58" t="str">
        <f t="shared" si="170"/>
        <v/>
      </c>
    </row>
    <row r="3613" spans="19:21" ht="23.25" customHeight="1" x14ac:dyDescent="0.35">
      <c r="S3613" s="56" t="str">
        <f t="shared" si="168"/>
        <v/>
      </c>
      <c r="T3613" s="57" t="str">
        <f t="shared" si="169"/>
        <v/>
      </c>
      <c r="U3613" s="58" t="str">
        <f t="shared" si="170"/>
        <v/>
      </c>
    </row>
    <row r="3614" spans="19:21" ht="23.25" customHeight="1" x14ac:dyDescent="0.35">
      <c r="S3614" s="56" t="str">
        <f t="shared" si="168"/>
        <v/>
      </c>
      <c r="T3614" s="57" t="str">
        <f t="shared" si="169"/>
        <v/>
      </c>
      <c r="U3614" s="58" t="str">
        <f t="shared" si="170"/>
        <v/>
      </c>
    </row>
    <row r="3615" spans="19:21" ht="23.25" customHeight="1" x14ac:dyDescent="0.35">
      <c r="S3615" s="56" t="str">
        <f t="shared" si="168"/>
        <v/>
      </c>
      <c r="T3615" s="57" t="str">
        <f t="shared" si="169"/>
        <v/>
      </c>
      <c r="U3615" s="58" t="str">
        <f t="shared" si="170"/>
        <v/>
      </c>
    </row>
    <row r="3616" spans="19:21" ht="23.25" customHeight="1" x14ac:dyDescent="0.35">
      <c r="S3616" s="56" t="str">
        <f t="shared" si="168"/>
        <v/>
      </c>
      <c r="T3616" s="57" t="str">
        <f t="shared" si="169"/>
        <v/>
      </c>
      <c r="U3616" s="58" t="str">
        <f t="shared" si="170"/>
        <v/>
      </c>
    </row>
    <row r="3617" spans="19:21" ht="23.25" customHeight="1" x14ac:dyDescent="0.35">
      <c r="S3617" s="56" t="str">
        <f t="shared" si="168"/>
        <v/>
      </c>
      <c r="T3617" s="57" t="str">
        <f t="shared" si="169"/>
        <v/>
      </c>
      <c r="U3617" s="58" t="str">
        <f t="shared" si="170"/>
        <v/>
      </c>
    </row>
    <row r="3618" spans="19:21" ht="23.25" customHeight="1" x14ac:dyDescent="0.35">
      <c r="S3618" s="56" t="str">
        <f t="shared" si="168"/>
        <v/>
      </c>
      <c r="T3618" s="57" t="str">
        <f t="shared" si="169"/>
        <v/>
      </c>
      <c r="U3618" s="58" t="str">
        <f t="shared" si="170"/>
        <v/>
      </c>
    </row>
    <row r="3619" spans="19:21" ht="23.25" customHeight="1" x14ac:dyDescent="0.35">
      <c r="S3619" s="56" t="str">
        <f t="shared" si="168"/>
        <v/>
      </c>
      <c r="T3619" s="57" t="str">
        <f t="shared" si="169"/>
        <v/>
      </c>
      <c r="U3619" s="58" t="str">
        <f t="shared" si="170"/>
        <v/>
      </c>
    </row>
    <row r="3620" spans="19:21" ht="23.25" customHeight="1" x14ac:dyDescent="0.35">
      <c r="S3620" s="56" t="str">
        <f t="shared" si="168"/>
        <v/>
      </c>
      <c r="T3620" s="57" t="str">
        <f t="shared" si="169"/>
        <v/>
      </c>
      <c r="U3620" s="58" t="str">
        <f t="shared" si="170"/>
        <v/>
      </c>
    </row>
    <row r="3621" spans="19:21" ht="23.25" customHeight="1" x14ac:dyDescent="0.35">
      <c r="S3621" s="56" t="str">
        <f t="shared" si="168"/>
        <v/>
      </c>
      <c r="T3621" s="57" t="str">
        <f t="shared" si="169"/>
        <v/>
      </c>
      <c r="U3621" s="58" t="str">
        <f t="shared" si="170"/>
        <v/>
      </c>
    </row>
    <row r="3622" spans="19:21" ht="23.25" customHeight="1" x14ac:dyDescent="0.35">
      <c r="S3622" s="56" t="str">
        <f t="shared" si="168"/>
        <v/>
      </c>
      <c r="T3622" s="57" t="str">
        <f t="shared" si="169"/>
        <v/>
      </c>
      <c r="U3622" s="58" t="str">
        <f t="shared" si="170"/>
        <v/>
      </c>
    </row>
    <row r="3623" spans="19:21" ht="23.25" customHeight="1" x14ac:dyDescent="0.35">
      <c r="S3623" s="56" t="str">
        <f t="shared" si="168"/>
        <v/>
      </c>
      <c r="T3623" s="57" t="str">
        <f t="shared" si="169"/>
        <v/>
      </c>
      <c r="U3623" s="58" t="str">
        <f t="shared" si="170"/>
        <v/>
      </c>
    </row>
    <row r="3624" spans="19:21" ht="23.25" customHeight="1" x14ac:dyDescent="0.35">
      <c r="S3624" s="56" t="str">
        <f t="shared" si="168"/>
        <v/>
      </c>
      <c r="T3624" s="57" t="str">
        <f t="shared" si="169"/>
        <v/>
      </c>
      <c r="U3624" s="58" t="str">
        <f t="shared" si="170"/>
        <v/>
      </c>
    </row>
    <row r="3625" spans="19:21" ht="23.25" customHeight="1" x14ac:dyDescent="0.35">
      <c r="S3625" s="56" t="str">
        <f t="shared" si="168"/>
        <v/>
      </c>
      <c r="T3625" s="57" t="str">
        <f t="shared" si="169"/>
        <v/>
      </c>
      <c r="U3625" s="58" t="str">
        <f t="shared" si="170"/>
        <v/>
      </c>
    </row>
    <row r="3626" spans="19:21" ht="23.25" customHeight="1" x14ac:dyDescent="0.35">
      <c r="S3626" s="56" t="str">
        <f t="shared" si="168"/>
        <v/>
      </c>
      <c r="T3626" s="57" t="str">
        <f t="shared" si="169"/>
        <v/>
      </c>
      <c r="U3626" s="58" t="str">
        <f t="shared" si="170"/>
        <v/>
      </c>
    </row>
    <row r="3627" spans="19:21" ht="23.25" customHeight="1" x14ac:dyDescent="0.35">
      <c r="S3627" s="56" t="str">
        <f t="shared" si="168"/>
        <v/>
      </c>
      <c r="T3627" s="57" t="str">
        <f t="shared" si="169"/>
        <v/>
      </c>
      <c r="U3627" s="58" t="str">
        <f t="shared" si="170"/>
        <v/>
      </c>
    </row>
    <row r="3628" spans="19:21" ht="23.25" customHeight="1" x14ac:dyDescent="0.35">
      <c r="S3628" s="56" t="str">
        <f t="shared" si="168"/>
        <v/>
      </c>
      <c r="T3628" s="57" t="str">
        <f t="shared" si="169"/>
        <v/>
      </c>
      <c r="U3628" s="58" t="str">
        <f t="shared" si="170"/>
        <v/>
      </c>
    </row>
    <row r="3629" spans="19:21" ht="23.25" customHeight="1" x14ac:dyDescent="0.35">
      <c r="S3629" s="56" t="str">
        <f t="shared" si="168"/>
        <v/>
      </c>
      <c r="T3629" s="57" t="str">
        <f t="shared" si="169"/>
        <v/>
      </c>
      <c r="U3629" s="58" t="str">
        <f t="shared" si="170"/>
        <v/>
      </c>
    </row>
    <row r="3630" spans="19:21" ht="23.25" customHeight="1" x14ac:dyDescent="0.35">
      <c r="S3630" s="56" t="str">
        <f t="shared" si="168"/>
        <v/>
      </c>
      <c r="T3630" s="57" t="str">
        <f t="shared" si="169"/>
        <v/>
      </c>
      <c r="U3630" s="58" t="str">
        <f t="shared" si="170"/>
        <v/>
      </c>
    </row>
    <row r="3631" spans="19:21" ht="23.25" customHeight="1" x14ac:dyDescent="0.35">
      <c r="S3631" s="56" t="str">
        <f t="shared" si="168"/>
        <v/>
      </c>
      <c r="T3631" s="57" t="str">
        <f t="shared" si="169"/>
        <v/>
      </c>
      <c r="U3631" s="58" t="str">
        <f t="shared" si="170"/>
        <v/>
      </c>
    </row>
    <row r="3632" spans="19:21" ht="23.25" customHeight="1" x14ac:dyDescent="0.35">
      <c r="S3632" s="56" t="str">
        <f t="shared" si="168"/>
        <v/>
      </c>
      <c r="T3632" s="57" t="str">
        <f t="shared" si="169"/>
        <v/>
      </c>
      <c r="U3632" s="58" t="str">
        <f t="shared" si="170"/>
        <v/>
      </c>
    </row>
    <row r="3633" spans="19:21" ht="23.25" customHeight="1" x14ac:dyDescent="0.35">
      <c r="S3633" s="56" t="str">
        <f t="shared" si="168"/>
        <v/>
      </c>
      <c r="T3633" s="57" t="str">
        <f t="shared" si="169"/>
        <v/>
      </c>
      <c r="U3633" s="58" t="str">
        <f t="shared" si="170"/>
        <v/>
      </c>
    </row>
    <row r="3634" spans="19:21" ht="23.25" customHeight="1" x14ac:dyDescent="0.35">
      <c r="S3634" s="56" t="str">
        <f t="shared" si="168"/>
        <v/>
      </c>
      <c r="T3634" s="57" t="str">
        <f t="shared" si="169"/>
        <v/>
      </c>
      <c r="U3634" s="58" t="str">
        <f t="shared" si="170"/>
        <v/>
      </c>
    </row>
    <row r="3635" spans="19:21" ht="23.25" customHeight="1" x14ac:dyDescent="0.35">
      <c r="S3635" s="56" t="str">
        <f t="shared" si="168"/>
        <v/>
      </c>
      <c r="T3635" s="57" t="str">
        <f t="shared" si="169"/>
        <v/>
      </c>
      <c r="U3635" s="58" t="str">
        <f t="shared" si="170"/>
        <v/>
      </c>
    </row>
    <row r="3636" spans="19:21" ht="23.25" customHeight="1" x14ac:dyDescent="0.35">
      <c r="S3636" s="56" t="str">
        <f t="shared" si="168"/>
        <v/>
      </c>
      <c r="T3636" s="57" t="str">
        <f t="shared" si="169"/>
        <v/>
      </c>
      <c r="U3636" s="58" t="str">
        <f t="shared" si="170"/>
        <v/>
      </c>
    </row>
    <row r="3637" spans="19:21" ht="23.25" customHeight="1" x14ac:dyDescent="0.35">
      <c r="S3637" s="56" t="str">
        <f t="shared" si="168"/>
        <v/>
      </c>
      <c r="T3637" s="57" t="str">
        <f t="shared" si="169"/>
        <v/>
      </c>
      <c r="U3637" s="58" t="str">
        <f t="shared" si="170"/>
        <v/>
      </c>
    </row>
    <row r="3638" spans="19:21" ht="23.25" customHeight="1" x14ac:dyDescent="0.35">
      <c r="S3638" s="56" t="str">
        <f t="shared" si="168"/>
        <v/>
      </c>
      <c r="T3638" s="57" t="str">
        <f t="shared" si="169"/>
        <v/>
      </c>
      <c r="U3638" s="58" t="str">
        <f t="shared" si="170"/>
        <v/>
      </c>
    </row>
    <row r="3639" spans="19:21" ht="23.25" customHeight="1" x14ac:dyDescent="0.35">
      <c r="S3639" s="56" t="str">
        <f t="shared" si="168"/>
        <v/>
      </c>
      <c r="T3639" s="57" t="str">
        <f t="shared" si="169"/>
        <v/>
      </c>
      <c r="U3639" s="58" t="str">
        <f t="shared" si="170"/>
        <v/>
      </c>
    </row>
    <row r="3640" spans="19:21" ht="23.25" customHeight="1" x14ac:dyDescent="0.35">
      <c r="S3640" s="56" t="str">
        <f t="shared" si="168"/>
        <v/>
      </c>
      <c r="T3640" s="57" t="str">
        <f t="shared" si="169"/>
        <v/>
      </c>
      <c r="U3640" s="58" t="str">
        <f t="shared" si="170"/>
        <v/>
      </c>
    </row>
    <row r="3641" spans="19:21" ht="23.25" customHeight="1" x14ac:dyDescent="0.35">
      <c r="S3641" s="56" t="str">
        <f t="shared" si="168"/>
        <v/>
      </c>
      <c r="T3641" s="57" t="str">
        <f t="shared" si="169"/>
        <v/>
      </c>
      <c r="U3641" s="58" t="str">
        <f t="shared" si="170"/>
        <v/>
      </c>
    </row>
    <row r="3642" spans="19:21" ht="23.25" customHeight="1" x14ac:dyDescent="0.35">
      <c r="S3642" s="56" t="str">
        <f t="shared" si="168"/>
        <v/>
      </c>
      <c r="T3642" s="57" t="str">
        <f t="shared" si="169"/>
        <v/>
      </c>
      <c r="U3642" s="58" t="str">
        <f t="shared" si="170"/>
        <v/>
      </c>
    </row>
    <row r="3643" spans="19:21" ht="23.25" customHeight="1" x14ac:dyDescent="0.35">
      <c r="S3643" s="56" t="str">
        <f t="shared" si="168"/>
        <v/>
      </c>
      <c r="T3643" s="57" t="str">
        <f t="shared" si="169"/>
        <v/>
      </c>
      <c r="U3643" s="58" t="str">
        <f t="shared" si="170"/>
        <v/>
      </c>
    </row>
    <row r="3644" spans="19:21" ht="23.25" customHeight="1" x14ac:dyDescent="0.35">
      <c r="S3644" s="56" t="str">
        <f t="shared" si="168"/>
        <v/>
      </c>
      <c r="T3644" s="57" t="str">
        <f t="shared" si="169"/>
        <v/>
      </c>
      <c r="U3644" s="58" t="str">
        <f t="shared" si="170"/>
        <v/>
      </c>
    </row>
    <row r="3645" spans="19:21" ht="23.25" customHeight="1" x14ac:dyDescent="0.35">
      <c r="S3645" s="56" t="str">
        <f t="shared" si="168"/>
        <v/>
      </c>
      <c r="T3645" s="57" t="str">
        <f t="shared" si="169"/>
        <v/>
      </c>
      <c r="U3645" s="58" t="str">
        <f t="shared" si="170"/>
        <v/>
      </c>
    </row>
    <row r="3646" spans="19:21" ht="23.25" customHeight="1" x14ac:dyDescent="0.35">
      <c r="S3646" s="56" t="str">
        <f t="shared" si="168"/>
        <v/>
      </c>
      <c r="T3646" s="57" t="str">
        <f t="shared" si="169"/>
        <v/>
      </c>
      <c r="U3646" s="58" t="str">
        <f t="shared" si="170"/>
        <v/>
      </c>
    </row>
    <row r="3647" spans="19:21" ht="23.25" customHeight="1" x14ac:dyDescent="0.35">
      <c r="S3647" s="56" t="str">
        <f t="shared" si="168"/>
        <v/>
      </c>
      <c r="T3647" s="57" t="str">
        <f t="shared" si="169"/>
        <v/>
      </c>
      <c r="U3647" s="58" t="str">
        <f t="shared" si="170"/>
        <v/>
      </c>
    </row>
    <row r="3648" spans="19:21" ht="23.25" customHeight="1" x14ac:dyDescent="0.35">
      <c r="S3648" s="56" t="str">
        <f t="shared" si="168"/>
        <v/>
      </c>
      <c r="T3648" s="57" t="str">
        <f t="shared" si="169"/>
        <v/>
      </c>
      <c r="U3648" s="58" t="str">
        <f t="shared" si="170"/>
        <v/>
      </c>
    </row>
    <row r="3649" spans="19:21" ht="23.25" customHeight="1" x14ac:dyDescent="0.35">
      <c r="S3649" s="56" t="str">
        <f t="shared" si="168"/>
        <v/>
      </c>
      <c r="T3649" s="57" t="str">
        <f t="shared" si="169"/>
        <v/>
      </c>
      <c r="U3649" s="58" t="str">
        <f t="shared" si="170"/>
        <v/>
      </c>
    </row>
    <row r="3650" spans="19:21" ht="23.25" customHeight="1" x14ac:dyDescent="0.35">
      <c r="S3650" s="56" t="str">
        <f t="shared" si="168"/>
        <v/>
      </c>
      <c r="T3650" s="57" t="str">
        <f t="shared" si="169"/>
        <v/>
      </c>
      <c r="U3650" s="58" t="str">
        <f t="shared" si="170"/>
        <v/>
      </c>
    </row>
    <row r="3651" spans="19:21" ht="23.25" customHeight="1" x14ac:dyDescent="0.35">
      <c r="S3651" s="56" t="str">
        <f t="shared" si="168"/>
        <v/>
      </c>
      <c r="T3651" s="57" t="str">
        <f t="shared" si="169"/>
        <v/>
      </c>
      <c r="U3651" s="58" t="str">
        <f t="shared" si="170"/>
        <v/>
      </c>
    </row>
    <row r="3652" spans="19:21" ht="23.25" customHeight="1" x14ac:dyDescent="0.35">
      <c r="S3652" s="56" t="str">
        <f t="shared" si="168"/>
        <v/>
      </c>
      <c r="T3652" s="57" t="str">
        <f t="shared" si="169"/>
        <v/>
      </c>
      <c r="U3652" s="58" t="str">
        <f t="shared" si="170"/>
        <v/>
      </c>
    </row>
    <row r="3653" spans="19:21" ht="23.25" customHeight="1" x14ac:dyDescent="0.35">
      <c r="S3653" s="56" t="str">
        <f t="shared" si="168"/>
        <v/>
      </c>
      <c r="T3653" s="57" t="str">
        <f t="shared" si="169"/>
        <v/>
      </c>
      <c r="U3653" s="58" t="str">
        <f t="shared" si="170"/>
        <v/>
      </c>
    </row>
    <row r="3654" spans="19:21" ht="23.25" customHeight="1" x14ac:dyDescent="0.35">
      <c r="S3654" s="56" t="str">
        <f t="shared" si="168"/>
        <v/>
      </c>
      <c r="T3654" s="57" t="str">
        <f t="shared" si="169"/>
        <v/>
      </c>
      <c r="U3654" s="58" t="str">
        <f t="shared" si="170"/>
        <v/>
      </c>
    </row>
    <row r="3655" spans="19:21" ht="23.25" customHeight="1" x14ac:dyDescent="0.35">
      <c r="S3655" s="56" t="str">
        <f t="shared" si="168"/>
        <v/>
      </c>
      <c r="T3655" s="57" t="str">
        <f t="shared" si="169"/>
        <v/>
      </c>
      <c r="U3655" s="58" t="str">
        <f t="shared" si="170"/>
        <v/>
      </c>
    </row>
    <row r="3656" spans="19:21" ht="23.25" customHeight="1" x14ac:dyDescent="0.35">
      <c r="S3656" s="56" t="str">
        <f t="shared" si="168"/>
        <v/>
      </c>
      <c r="T3656" s="57" t="str">
        <f t="shared" si="169"/>
        <v/>
      </c>
      <c r="U3656" s="58" t="str">
        <f t="shared" si="170"/>
        <v/>
      </c>
    </row>
    <row r="3657" spans="19:21" ht="23.25" customHeight="1" x14ac:dyDescent="0.35">
      <c r="S3657" s="56" t="str">
        <f t="shared" ref="S3657:S3720" si="171">IF(A3657="","",A$5-A3657)</f>
        <v/>
      </c>
      <c r="T3657" s="57" t="str">
        <f t="shared" ref="T3657:T3720" si="172">IF(S3657="","",IF(S3657&lt;4,"0-3 Days",IF(S3657&lt;31,"4-30 Days",IF(S3657&lt;61,"31-60 Days",IF(S3657&lt;=90,"61-90 Days",IF(S3657&gt;90,"Above 90 Days","0"))))))</f>
        <v/>
      </c>
      <c r="U3657" s="58" t="str">
        <f t="shared" ref="U3657:U3720" si="173">IF(C3657="","",IF(C3657&gt;0,IF(S3657&lt;30,"Normal",IF(S3657&lt;60,"Especially Mentioned",IF(S3657&lt;90,"Substandard",IF(S3657&lt;=180,"Doubtful",IF(S3657&gt;180,"Loss","0"))))),"Not Applicable"))</f>
        <v/>
      </c>
    </row>
    <row r="3658" spans="19:21" ht="23.25" customHeight="1" x14ac:dyDescent="0.35">
      <c r="S3658" s="56" t="str">
        <f t="shared" si="171"/>
        <v/>
      </c>
      <c r="T3658" s="57" t="str">
        <f t="shared" si="172"/>
        <v/>
      </c>
      <c r="U3658" s="58" t="str">
        <f t="shared" si="173"/>
        <v/>
      </c>
    </row>
    <row r="3659" spans="19:21" ht="23.25" customHeight="1" x14ac:dyDescent="0.35">
      <c r="S3659" s="56" t="str">
        <f t="shared" si="171"/>
        <v/>
      </c>
      <c r="T3659" s="57" t="str">
        <f t="shared" si="172"/>
        <v/>
      </c>
      <c r="U3659" s="58" t="str">
        <f t="shared" si="173"/>
        <v/>
      </c>
    </row>
    <row r="3660" spans="19:21" ht="23.25" customHeight="1" x14ac:dyDescent="0.35">
      <c r="S3660" s="56" t="str">
        <f t="shared" si="171"/>
        <v/>
      </c>
      <c r="T3660" s="57" t="str">
        <f t="shared" si="172"/>
        <v/>
      </c>
      <c r="U3660" s="58" t="str">
        <f t="shared" si="173"/>
        <v/>
      </c>
    </row>
    <row r="3661" spans="19:21" ht="23.25" customHeight="1" x14ac:dyDescent="0.35">
      <c r="S3661" s="56" t="str">
        <f t="shared" si="171"/>
        <v/>
      </c>
      <c r="T3661" s="57" t="str">
        <f t="shared" si="172"/>
        <v/>
      </c>
      <c r="U3661" s="58" t="str">
        <f t="shared" si="173"/>
        <v/>
      </c>
    </row>
    <row r="3662" spans="19:21" ht="23.25" customHeight="1" x14ac:dyDescent="0.35">
      <c r="S3662" s="56" t="str">
        <f t="shared" si="171"/>
        <v/>
      </c>
      <c r="T3662" s="57" t="str">
        <f t="shared" si="172"/>
        <v/>
      </c>
      <c r="U3662" s="58" t="str">
        <f t="shared" si="173"/>
        <v/>
      </c>
    </row>
    <row r="3663" spans="19:21" ht="23.25" customHeight="1" x14ac:dyDescent="0.35">
      <c r="S3663" s="56" t="str">
        <f t="shared" si="171"/>
        <v/>
      </c>
      <c r="T3663" s="57" t="str">
        <f t="shared" si="172"/>
        <v/>
      </c>
      <c r="U3663" s="58" t="str">
        <f t="shared" si="173"/>
        <v/>
      </c>
    </row>
    <row r="3664" spans="19:21" ht="23.25" customHeight="1" x14ac:dyDescent="0.35">
      <c r="S3664" s="56" t="str">
        <f t="shared" si="171"/>
        <v/>
      </c>
      <c r="T3664" s="57" t="str">
        <f t="shared" si="172"/>
        <v/>
      </c>
      <c r="U3664" s="58" t="str">
        <f t="shared" si="173"/>
        <v/>
      </c>
    </row>
    <row r="3665" spans="19:21" ht="23.25" customHeight="1" x14ac:dyDescent="0.35">
      <c r="S3665" s="56" t="str">
        <f t="shared" si="171"/>
        <v/>
      </c>
      <c r="T3665" s="57" t="str">
        <f t="shared" si="172"/>
        <v/>
      </c>
      <c r="U3665" s="58" t="str">
        <f t="shared" si="173"/>
        <v/>
      </c>
    </row>
    <row r="3666" spans="19:21" ht="23.25" customHeight="1" x14ac:dyDescent="0.35">
      <c r="S3666" s="56" t="str">
        <f t="shared" si="171"/>
        <v/>
      </c>
      <c r="T3666" s="57" t="str">
        <f t="shared" si="172"/>
        <v/>
      </c>
      <c r="U3666" s="58" t="str">
        <f t="shared" si="173"/>
        <v/>
      </c>
    </row>
    <row r="3667" spans="19:21" ht="23.25" customHeight="1" x14ac:dyDescent="0.35">
      <c r="S3667" s="56" t="str">
        <f t="shared" si="171"/>
        <v/>
      </c>
      <c r="T3667" s="57" t="str">
        <f t="shared" si="172"/>
        <v/>
      </c>
      <c r="U3667" s="58" t="str">
        <f t="shared" si="173"/>
        <v/>
      </c>
    </row>
    <row r="3668" spans="19:21" ht="23.25" customHeight="1" x14ac:dyDescent="0.35">
      <c r="S3668" s="56" t="str">
        <f t="shared" si="171"/>
        <v/>
      </c>
      <c r="T3668" s="57" t="str">
        <f t="shared" si="172"/>
        <v/>
      </c>
      <c r="U3668" s="58" t="str">
        <f t="shared" si="173"/>
        <v/>
      </c>
    </row>
    <row r="3669" spans="19:21" ht="23.25" customHeight="1" x14ac:dyDescent="0.35">
      <c r="S3669" s="56" t="str">
        <f t="shared" si="171"/>
        <v/>
      </c>
      <c r="T3669" s="57" t="str">
        <f t="shared" si="172"/>
        <v/>
      </c>
      <c r="U3669" s="58" t="str">
        <f t="shared" si="173"/>
        <v/>
      </c>
    </row>
    <row r="3670" spans="19:21" ht="23.25" customHeight="1" x14ac:dyDescent="0.35">
      <c r="S3670" s="56" t="str">
        <f t="shared" si="171"/>
        <v/>
      </c>
      <c r="T3670" s="57" t="str">
        <f t="shared" si="172"/>
        <v/>
      </c>
      <c r="U3670" s="58" t="str">
        <f t="shared" si="173"/>
        <v/>
      </c>
    </row>
    <row r="3671" spans="19:21" ht="23.25" customHeight="1" x14ac:dyDescent="0.35">
      <c r="S3671" s="56" t="str">
        <f t="shared" si="171"/>
        <v/>
      </c>
      <c r="T3671" s="57" t="str">
        <f t="shared" si="172"/>
        <v/>
      </c>
      <c r="U3671" s="58" t="str">
        <f t="shared" si="173"/>
        <v/>
      </c>
    </row>
    <row r="3672" spans="19:21" ht="23.25" customHeight="1" x14ac:dyDescent="0.35">
      <c r="S3672" s="56" t="str">
        <f t="shared" si="171"/>
        <v/>
      </c>
      <c r="T3672" s="57" t="str">
        <f t="shared" si="172"/>
        <v/>
      </c>
      <c r="U3672" s="58" t="str">
        <f t="shared" si="173"/>
        <v/>
      </c>
    </row>
    <row r="3673" spans="19:21" ht="23.25" customHeight="1" x14ac:dyDescent="0.35">
      <c r="S3673" s="56" t="str">
        <f t="shared" si="171"/>
        <v/>
      </c>
      <c r="T3673" s="57" t="str">
        <f t="shared" si="172"/>
        <v/>
      </c>
      <c r="U3673" s="58" t="str">
        <f t="shared" si="173"/>
        <v/>
      </c>
    </row>
    <row r="3674" spans="19:21" ht="23.25" customHeight="1" x14ac:dyDescent="0.35">
      <c r="S3674" s="56" t="str">
        <f t="shared" si="171"/>
        <v/>
      </c>
      <c r="T3674" s="57" t="str">
        <f t="shared" si="172"/>
        <v/>
      </c>
      <c r="U3674" s="58" t="str">
        <f t="shared" si="173"/>
        <v/>
      </c>
    </row>
    <row r="3675" spans="19:21" ht="23.25" customHeight="1" x14ac:dyDescent="0.35">
      <c r="S3675" s="56" t="str">
        <f t="shared" si="171"/>
        <v/>
      </c>
      <c r="T3675" s="57" t="str">
        <f t="shared" si="172"/>
        <v/>
      </c>
      <c r="U3675" s="58" t="str">
        <f t="shared" si="173"/>
        <v/>
      </c>
    </row>
    <row r="3676" spans="19:21" ht="23.25" customHeight="1" x14ac:dyDescent="0.35">
      <c r="S3676" s="56" t="str">
        <f t="shared" si="171"/>
        <v/>
      </c>
      <c r="T3676" s="57" t="str">
        <f t="shared" si="172"/>
        <v/>
      </c>
      <c r="U3676" s="58" t="str">
        <f t="shared" si="173"/>
        <v/>
      </c>
    </row>
    <row r="3677" spans="19:21" ht="23.25" customHeight="1" x14ac:dyDescent="0.35">
      <c r="S3677" s="56" t="str">
        <f t="shared" si="171"/>
        <v/>
      </c>
      <c r="T3677" s="57" t="str">
        <f t="shared" si="172"/>
        <v/>
      </c>
      <c r="U3677" s="58" t="str">
        <f t="shared" si="173"/>
        <v/>
      </c>
    </row>
    <row r="3678" spans="19:21" ht="23.25" customHeight="1" x14ac:dyDescent="0.35">
      <c r="S3678" s="56" t="str">
        <f t="shared" si="171"/>
        <v/>
      </c>
      <c r="T3678" s="57" t="str">
        <f t="shared" si="172"/>
        <v/>
      </c>
      <c r="U3678" s="58" t="str">
        <f t="shared" si="173"/>
        <v/>
      </c>
    </row>
    <row r="3679" spans="19:21" ht="23.25" customHeight="1" x14ac:dyDescent="0.35">
      <c r="S3679" s="56" t="str">
        <f t="shared" si="171"/>
        <v/>
      </c>
      <c r="T3679" s="57" t="str">
        <f t="shared" si="172"/>
        <v/>
      </c>
      <c r="U3679" s="58" t="str">
        <f t="shared" si="173"/>
        <v/>
      </c>
    </row>
    <row r="3680" spans="19:21" ht="23.25" customHeight="1" x14ac:dyDescent="0.35">
      <c r="S3680" s="56" t="str">
        <f t="shared" si="171"/>
        <v/>
      </c>
      <c r="T3680" s="57" t="str">
        <f t="shared" si="172"/>
        <v/>
      </c>
      <c r="U3680" s="58" t="str">
        <f t="shared" si="173"/>
        <v/>
      </c>
    </row>
    <row r="3681" spans="19:21" ht="23.25" customHeight="1" x14ac:dyDescent="0.35">
      <c r="S3681" s="56" t="str">
        <f t="shared" si="171"/>
        <v/>
      </c>
      <c r="T3681" s="57" t="str">
        <f t="shared" si="172"/>
        <v/>
      </c>
      <c r="U3681" s="58" t="str">
        <f t="shared" si="173"/>
        <v/>
      </c>
    </row>
    <row r="3682" spans="19:21" ht="23.25" customHeight="1" x14ac:dyDescent="0.35">
      <c r="S3682" s="56" t="str">
        <f t="shared" si="171"/>
        <v/>
      </c>
      <c r="T3682" s="57" t="str">
        <f t="shared" si="172"/>
        <v/>
      </c>
      <c r="U3682" s="58" t="str">
        <f t="shared" si="173"/>
        <v/>
      </c>
    </row>
    <row r="3683" spans="19:21" ht="23.25" customHeight="1" x14ac:dyDescent="0.35">
      <c r="S3683" s="56" t="str">
        <f t="shared" si="171"/>
        <v/>
      </c>
      <c r="T3683" s="57" t="str">
        <f t="shared" si="172"/>
        <v/>
      </c>
      <c r="U3683" s="58" t="str">
        <f t="shared" si="173"/>
        <v/>
      </c>
    </row>
    <row r="3684" spans="19:21" ht="23.25" customHeight="1" x14ac:dyDescent="0.35">
      <c r="S3684" s="56" t="str">
        <f t="shared" si="171"/>
        <v/>
      </c>
      <c r="T3684" s="57" t="str">
        <f t="shared" si="172"/>
        <v/>
      </c>
      <c r="U3684" s="58" t="str">
        <f t="shared" si="173"/>
        <v/>
      </c>
    </row>
    <row r="3685" spans="19:21" ht="23.25" customHeight="1" x14ac:dyDescent="0.35">
      <c r="S3685" s="56" t="str">
        <f t="shared" si="171"/>
        <v/>
      </c>
      <c r="T3685" s="57" t="str">
        <f t="shared" si="172"/>
        <v/>
      </c>
      <c r="U3685" s="58" t="str">
        <f t="shared" si="173"/>
        <v/>
      </c>
    </row>
    <row r="3686" spans="19:21" ht="23.25" customHeight="1" x14ac:dyDescent="0.35">
      <c r="S3686" s="56" t="str">
        <f t="shared" si="171"/>
        <v/>
      </c>
      <c r="T3686" s="57" t="str">
        <f t="shared" si="172"/>
        <v/>
      </c>
      <c r="U3686" s="58" t="str">
        <f t="shared" si="173"/>
        <v/>
      </c>
    </row>
    <row r="3687" spans="19:21" ht="23.25" customHeight="1" x14ac:dyDescent="0.35">
      <c r="S3687" s="56" t="str">
        <f t="shared" si="171"/>
        <v/>
      </c>
      <c r="T3687" s="57" t="str">
        <f t="shared" si="172"/>
        <v/>
      </c>
      <c r="U3687" s="58" t="str">
        <f t="shared" si="173"/>
        <v/>
      </c>
    </row>
    <row r="3688" spans="19:21" ht="23.25" customHeight="1" x14ac:dyDescent="0.35">
      <c r="S3688" s="56" t="str">
        <f t="shared" si="171"/>
        <v/>
      </c>
      <c r="T3688" s="57" t="str">
        <f t="shared" si="172"/>
        <v/>
      </c>
      <c r="U3688" s="58" t="str">
        <f t="shared" si="173"/>
        <v/>
      </c>
    </row>
    <row r="3689" spans="19:21" ht="23.25" customHeight="1" x14ac:dyDescent="0.35">
      <c r="S3689" s="56" t="str">
        <f t="shared" si="171"/>
        <v/>
      </c>
      <c r="T3689" s="57" t="str">
        <f t="shared" si="172"/>
        <v/>
      </c>
      <c r="U3689" s="58" t="str">
        <f t="shared" si="173"/>
        <v/>
      </c>
    </row>
    <row r="3690" spans="19:21" ht="23.25" customHeight="1" x14ac:dyDescent="0.35">
      <c r="S3690" s="56" t="str">
        <f t="shared" si="171"/>
        <v/>
      </c>
      <c r="T3690" s="57" t="str">
        <f t="shared" si="172"/>
        <v/>
      </c>
      <c r="U3690" s="58" t="str">
        <f t="shared" si="173"/>
        <v/>
      </c>
    </row>
    <row r="3691" spans="19:21" ht="23.25" customHeight="1" x14ac:dyDescent="0.35">
      <c r="S3691" s="56" t="str">
        <f t="shared" si="171"/>
        <v/>
      </c>
      <c r="T3691" s="57" t="str">
        <f t="shared" si="172"/>
        <v/>
      </c>
      <c r="U3691" s="58" t="str">
        <f t="shared" si="173"/>
        <v/>
      </c>
    </row>
    <row r="3692" spans="19:21" ht="23.25" customHeight="1" x14ac:dyDescent="0.35">
      <c r="S3692" s="56" t="str">
        <f t="shared" si="171"/>
        <v/>
      </c>
      <c r="T3692" s="57" t="str">
        <f t="shared" si="172"/>
        <v/>
      </c>
      <c r="U3692" s="58" t="str">
        <f t="shared" si="173"/>
        <v/>
      </c>
    </row>
    <row r="3693" spans="19:21" ht="23.25" customHeight="1" x14ac:dyDescent="0.35">
      <c r="S3693" s="56" t="str">
        <f t="shared" si="171"/>
        <v/>
      </c>
      <c r="T3693" s="57" t="str">
        <f t="shared" si="172"/>
        <v/>
      </c>
      <c r="U3693" s="58" t="str">
        <f t="shared" si="173"/>
        <v/>
      </c>
    </row>
    <row r="3694" spans="19:21" ht="23.25" customHeight="1" x14ac:dyDescent="0.35">
      <c r="S3694" s="56" t="str">
        <f t="shared" si="171"/>
        <v/>
      </c>
      <c r="T3694" s="57" t="str">
        <f t="shared" si="172"/>
        <v/>
      </c>
      <c r="U3694" s="58" t="str">
        <f t="shared" si="173"/>
        <v/>
      </c>
    </row>
    <row r="3695" spans="19:21" ht="23.25" customHeight="1" x14ac:dyDescent="0.35">
      <c r="S3695" s="56" t="str">
        <f t="shared" si="171"/>
        <v/>
      </c>
      <c r="T3695" s="57" t="str">
        <f t="shared" si="172"/>
        <v/>
      </c>
      <c r="U3695" s="58" t="str">
        <f t="shared" si="173"/>
        <v/>
      </c>
    </row>
    <row r="3696" spans="19:21" ht="23.25" customHeight="1" x14ac:dyDescent="0.35">
      <c r="S3696" s="56" t="str">
        <f t="shared" si="171"/>
        <v/>
      </c>
      <c r="T3696" s="57" t="str">
        <f t="shared" si="172"/>
        <v/>
      </c>
      <c r="U3696" s="58" t="str">
        <f t="shared" si="173"/>
        <v/>
      </c>
    </row>
    <row r="3697" spans="19:21" ht="23.25" customHeight="1" x14ac:dyDescent="0.35">
      <c r="S3697" s="56" t="str">
        <f t="shared" si="171"/>
        <v/>
      </c>
      <c r="T3697" s="57" t="str">
        <f t="shared" si="172"/>
        <v/>
      </c>
      <c r="U3697" s="58" t="str">
        <f t="shared" si="173"/>
        <v/>
      </c>
    </row>
    <row r="3698" spans="19:21" ht="23.25" customHeight="1" x14ac:dyDescent="0.35">
      <c r="S3698" s="56" t="str">
        <f t="shared" si="171"/>
        <v/>
      </c>
      <c r="T3698" s="57" t="str">
        <f t="shared" si="172"/>
        <v/>
      </c>
      <c r="U3698" s="58" t="str">
        <f t="shared" si="173"/>
        <v/>
      </c>
    </row>
    <row r="3699" spans="19:21" ht="23.25" customHeight="1" x14ac:dyDescent="0.35">
      <c r="S3699" s="56" t="str">
        <f t="shared" si="171"/>
        <v/>
      </c>
      <c r="T3699" s="57" t="str">
        <f t="shared" si="172"/>
        <v/>
      </c>
      <c r="U3699" s="58" t="str">
        <f t="shared" si="173"/>
        <v/>
      </c>
    </row>
    <row r="3700" spans="19:21" ht="23.25" customHeight="1" x14ac:dyDescent="0.35">
      <c r="S3700" s="56" t="str">
        <f t="shared" si="171"/>
        <v/>
      </c>
      <c r="T3700" s="57" t="str">
        <f t="shared" si="172"/>
        <v/>
      </c>
      <c r="U3700" s="58" t="str">
        <f t="shared" si="173"/>
        <v/>
      </c>
    </row>
    <row r="3701" spans="19:21" ht="23.25" customHeight="1" x14ac:dyDescent="0.35">
      <c r="S3701" s="56" t="str">
        <f t="shared" si="171"/>
        <v/>
      </c>
      <c r="T3701" s="57" t="str">
        <f t="shared" si="172"/>
        <v/>
      </c>
      <c r="U3701" s="58" t="str">
        <f t="shared" si="173"/>
        <v/>
      </c>
    </row>
    <row r="3702" spans="19:21" ht="23.25" customHeight="1" x14ac:dyDescent="0.35">
      <c r="S3702" s="56" t="str">
        <f t="shared" si="171"/>
        <v/>
      </c>
      <c r="T3702" s="57" t="str">
        <f t="shared" si="172"/>
        <v/>
      </c>
      <c r="U3702" s="58" t="str">
        <f t="shared" si="173"/>
        <v/>
      </c>
    </row>
    <row r="3703" spans="19:21" ht="23.25" customHeight="1" x14ac:dyDescent="0.35">
      <c r="S3703" s="56" t="str">
        <f t="shared" si="171"/>
        <v/>
      </c>
      <c r="T3703" s="57" t="str">
        <f t="shared" si="172"/>
        <v/>
      </c>
      <c r="U3703" s="58" t="str">
        <f t="shared" si="173"/>
        <v/>
      </c>
    </row>
    <row r="3704" spans="19:21" ht="23.25" customHeight="1" x14ac:dyDescent="0.35">
      <c r="S3704" s="56" t="str">
        <f t="shared" si="171"/>
        <v/>
      </c>
      <c r="T3704" s="57" t="str">
        <f t="shared" si="172"/>
        <v/>
      </c>
      <c r="U3704" s="58" t="str">
        <f t="shared" si="173"/>
        <v/>
      </c>
    </row>
    <row r="3705" spans="19:21" ht="23.25" customHeight="1" x14ac:dyDescent="0.35">
      <c r="S3705" s="56" t="str">
        <f t="shared" si="171"/>
        <v/>
      </c>
      <c r="T3705" s="57" t="str">
        <f t="shared" si="172"/>
        <v/>
      </c>
      <c r="U3705" s="58" t="str">
        <f t="shared" si="173"/>
        <v/>
      </c>
    </row>
    <row r="3706" spans="19:21" ht="23.25" customHeight="1" x14ac:dyDescent="0.35">
      <c r="S3706" s="56" t="str">
        <f t="shared" si="171"/>
        <v/>
      </c>
      <c r="T3706" s="57" t="str">
        <f t="shared" si="172"/>
        <v/>
      </c>
      <c r="U3706" s="58" t="str">
        <f t="shared" si="173"/>
        <v/>
      </c>
    </row>
    <row r="3707" spans="19:21" ht="23.25" customHeight="1" x14ac:dyDescent="0.35">
      <c r="S3707" s="56" t="str">
        <f t="shared" si="171"/>
        <v/>
      </c>
      <c r="T3707" s="57" t="str">
        <f t="shared" si="172"/>
        <v/>
      </c>
      <c r="U3707" s="58" t="str">
        <f t="shared" si="173"/>
        <v/>
      </c>
    </row>
    <row r="3708" spans="19:21" ht="23.25" customHeight="1" x14ac:dyDescent="0.35">
      <c r="S3708" s="56" t="str">
        <f t="shared" si="171"/>
        <v/>
      </c>
      <c r="T3708" s="57" t="str">
        <f t="shared" si="172"/>
        <v/>
      </c>
      <c r="U3708" s="58" t="str">
        <f t="shared" si="173"/>
        <v/>
      </c>
    </row>
    <row r="3709" spans="19:21" ht="23.25" customHeight="1" x14ac:dyDescent="0.35">
      <c r="S3709" s="56" t="str">
        <f t="shared" si="171"/>
        <v/>
      </c>
      <c r="T3709" s="57" t="str">
        <f t="shared" si="172"/>
        <v/>
      </c>
      <c r="U3709" s="58" t="str">
        <f t="shared" si="173"/>
        <v/>
      </c>
    </row>
    <row r="3710" spans="19:21" ht="23.25" customHeight="1" x14ac:dyDescent="0.35">
      <c r="S3710" s="56" t="str">
        <f t="shared" si="171"/>
        <v/>
      </c>
      <c r="T3710" s="57" t="str">
        <f t="shared" si="172"/>
        <v/>
      </c>
      <c r="U3710" s="58" t="str">
        <f t="shared" si="173"/>
        <v/>
      </c>
    </row>
    <row r="3711" spans="19:21" ht="23.25" customHeight="1" x14ac:dyDescent="0.35">
      <c r="S3711" s="56" t="str">
        <f t="shared" si="171"/>
        <v/>
      </c>
      <c r="T3711" s="57" t="str">
        <f t="shared" si="172"/>
        <v/>
      </c>
      <c r="U3711" s="58" t="str">
        <f t="shared" si="173"/>
        <v/>
      </c>
    </row>
    <row r="3712" spans="19:21" ht="23.25" customHeight="1" x14ac:dyDescent="0.35">
      <c r="S3712" s="56" t="str">
        <f t="shared" si="171"/>
        <v/>
      </c>
      <c r="T3712" s="57" t="str">
        <f t="shared" si="172"/>
        <v/>
      </c>
      <c r="U3712" s="58" t="str">
        <f t="shared" si="173"/>
        <v/>
      </c>
    </row>
    <row r="3713" spans="19:21" ht="23.25" customHeight="1" x14ac:dyDescent="0.35">
      <c r="S3713" s="56" t="str">
        <f t="shared" si="171"/>
        <v/>
      </c>
      <c r="T3713" s="57" t="str">
        <f t="shared" si="172"/>
        <v/>
      </c>
      <c r="U3713" s="58" t="str">
        <f t="shared" si="173"/>
        <v/>
      </c>
    </row>
    <row r="3714" spans="19:21" ht="23.25" customHeight="1" x14ac:dyDescent="0.35">
      <c r="S3714" s="56" t="str">
        <f t="shared" si="171"/>
        <v/>
      </c>
      <c r="T3714" s="57" t="str">
        <f t="shared" si="172"/>
        <v/>
      </c>
      <c r="U3714" s="58" t="str">
        <f t="shared" si="173"/>
        <v/>
      </c>
    </row>
    <row r="3715" spans="19:21" ht="23.25" customHeight="1" x14ac:dyDescent="0.35">
      <c r="S3715" s="56" t="str">
        <f t="shared" si="171"/>
        <v/>
      </c>
      <c r="T3715" s="57" t="str">
        <f t="shared" si="172"/>
        <v/>
      </c>
      <c r="U3715" s="58" t="str">
        <f t="shared" si="173"/>
        <v/>
      </c>
    </row>
    <row r="3716" spans="19:21" ht="23.25" customHeight="1" x14ac:dyDescent="0.35">
      <c r="S3716" s="56" t="str">
        <f t="shared" si="171"/>
        <v/>
      </c>
      <c r="T3716" s="57" t="str">
        <f t="shared" si="172"/>
        <v/>
      </c>
      <c r="U3716" s="58" t="str">
        <f t="shared" si="173"/>
        <v/>
      </c>
    </row>
    <row r="3717" spans="19:21" ht="23.25" customHeight="1" x14ac:dyDescent="0.35">
      <c r="S3717" s="56" t="str">
        <f t="shared" si="171"/>
        <v/>
      </c>
      <c r="T3717" s="57" t="str">
        <f t="shared" si="172"/>
        <v/>
      </c>
      <c r="U3717" s="58" t="str">
        <f t="shared" si="173"/>
        <v/>
      </c>
    </row>
    <row r="3718" spans="19:21" ht="23.25" customHeight="1" x14ac:dyDescent="0.35">
      <c r="S3718" s="56" t="str">
        <f t="shared" si="171"/>
        <v/>
      </c>
      <c r="T3718" s="57" t="str">
        <f t="shared" si="172"/>
        <v/>
      </c>
      <c r="U3718" s="58" t="str">
        <f t="shared" si="173"/>
        <v/>
      </c>
    </row>
    <row r="3719" spans="19:21" ht="23.25" customHeight="1" x14ac:dyDescent="0.35">
      <c r="S3719" s="56" t="str">
        <f t="shared" si="171"/>
        <v/>
      </c>
      <c r="T3719" s="57" t="str">
        <f t="shared" si="172"/>
        <v/>
      </c>
      <c r="U3719" s="58" t="str">
        <f t="shared" si="173"/>
        <v/>
      </c>
    </row>
    <row r="3720" spans="19:21" ht="23.25" customHeight="1" x14ac:dyDescent="0.35">
      <c r="S3720" s="56" t="str">
        <f t="shared" si="171"/>
        <v/>
      </c>
      <c r="T3720" s="57" t="str">
        <f t="shared" si="172"/>
        <v/>
      </c>
      <c r="U3720" s="58" t="str">
        <f t="shared" si="173"/>
        <v/>
      </c>
    </row>
    <row r="3721" spans="19:21" ht="23.25" customHeight="1" x14ac:dyDescent="0.35">
      <c r="S3721" s="56" t="str">
        <f t="shared" ref="S3721:S3784" si="174">IF(A3721="","",A$5-A3721)</f>
        <v/>
      </c>
      <c r="T3721" s="57" t="str">
        <f t="shared" ref="T3721:T3784" si="175">IF(S3721="","",IF(S3721&lt;4,"0-3 Days",IF(S3721&lt;31,"4-30 Days",IF(S3721&lt;61,"31-60 Days",IF(S3721&lt;=90,"61-90 Days",IF(S3721&gt;90,"Above 90 Days","0"))))))</f>
        <v/>
      </c>
      <c r="U3721" s="58" t="str">
        <f t="shared" ref="U3721:U3784" si="176">IF(C3721="","",IF(C3721&gt;0,IF(S3721&lt;30,"Normal",IF(S3721&lt;60,"Especially Mentioned",IF(S3721&lt;90,"Substandard",IF(S3721&lt;=180,"Doubtful",IF(S3721&gt;180,"Loss","0"))))),"Not Applicable"))</f>
        <v/>
      </c>
    </row>
    <row r="3722" spans="19:21" ht="23.25" customHeight="1" x14ac:dyDescent="0.35">
      <c r="S3722" s="56" t="str">
        <f t="shared" si="174"/>
        <v/>
      </c>
      <c r="T3722" s="57" t="str">
        <f t="shared" si="175"/>
        <v/>
      </c>
      <c r="U3722" s="58" t="str">
        <f t="shared" si="176"/>
        <v/>
      </c>
    </row>
    <row r="3723" spans="19:21" ht="23.25" customHeight="1" x14ac:dyDescent="0.35">
      <c r="S3723" s="56" t="str">
        <f t="shared" si="174"/>
        <v/>
      </c>
      <c r="T3723" s="57" t="str">
        <f t="shared" si="175"/>
        <v/>
      </c>
      <c r="U3723" s="58" t="str">
        <f t="shared" si="176"/>
        <v/>
      </c>
    </row>
    <row r="3724" spans="19:21" ht="23.25" customHeight="1" x14ac:dyDescent="0.35">
      <c r="S3724" s="56" t="str">
        <f t="shared" si="174"/>
        <v/>
      </c>
      <c r="T3724" s="57" t="str">
        <f t="shared" si="175"/>
        <v/>
      </c>
      <c r="U3724" s="58" t="str">
        <f t="shared" si="176"/>
        <v/>
      </c>
    </row>
    <row r="3725" spans="19:21" ht="23.25" customHeight="1" x14ac:dyDescent="0.35">
      <c r="S3725" s="56" t="str">
        <f t="shared" si="174"/>
        <v/>
      </c>
      <c r="T3725" s="57" t="str">
        <f t="shared" si="175"/>
        <v/>
      </c>
      <c r="U3725" s="58" t="str">
        <f t="shared" si="176"/>
        <v/>
      </c>
    </row>
    <row r="3726" spans="19:21" ht="23.25" customHeight="1" x14ac:dyDescent="0.35">
      <c r="S3726" s="56" t="str">
        <f t="shared" si="174"/>
        <v/>
      </c>
      <c r="T3726" s="57" t="str">
        <f t="shared" si="175"/>
        <v/>
      </c>
      <c r="U3726" s="58" t="str">
        <f t="shared" si="176"/>
        <v/>
      </c>
    </row>
    <row r="3727" spans="19:21" ht="23.25" customHeight="1" x14ac:dyDescent="0.35">
      <c r="S3727" s="56" t="str">
        <f t="shared" si="174"/>
        <v/>
      </c>
      <c r="T3727" s="57" t="str">
        <f t="shared" si="175"/>
        <v/>
      </c>
      <c r="U3727" s="58" t="str">
        <f t="shared" si="176"/>
        <v/>
      </c>
    </row>
    <row r="3728" spans="19:21" ht="23.25" customHeight="1" x14ac:dyDescent="0.35">
      <c r="S3728" s="56" t="str">
        <f t="shared" si="174"/>
        <v/>
      </c>
      <c r="T3728" s="57" t="str">
        <f t="shared" si="175"/>
        <v/>
      </c>
      <c r="U3728" s="58" t="str">
        <f t="shared" si="176"/>
        <v/>
      </c>
    </row>
    <row r="3729" spans="19:21" ht="23.25" customHeight="1" x14ac:dyDescent="0.35">
      <c r="S3729" s="56" t="str">
        <f t="shared" si="174"/>
        <v/>
      </c>
      <c r="T3729" s="57" t="str">
        <f t="shared" si="175"/>
        <v/>
      </c>
      <c r="U3729" s="58" t="str">
        <f t="shared" si="176"/>
        <v/>
      </c>
    </row>
    <row r="3730" spans="19:21" ht="23.25" customHeight="1" x14ac:dyDescent="0.35">
      <c r="S3730" s="56" t="str">
        <f t="shared" si="174"/>
        <v/>
      </c>
      <c r="T3730" s="57" t="str">
        <f t="shared" si="175"/>
        <v/>
      </c>
      <c r="U3730" s="58" t="str">
        <f t="shared" si="176"/>
        <v/>
      </c>
    </row>
    <row r="3731" spans="19:21" ht="23.25" customHeight="1" x14ac:dyDescent="0.35">
      <c r="S3731" s="56" t="str">
        <f t="shared" si="174"/>
        <v/>
      </c>
      <c r="T3731" s="57" t="str">
        <f t="shared" si="175"/>
        <v/>
      </c>
      <c r="U3731" s="58" t="str">
        <f t="shared" si="176"/>
        <v/>
      </c>
    </row>
    <row r="3732" spans="19:21" ht="23.25" customHeight="1" x14ac:dyDescent="0.35">
      <c r="S3732" s="56" t="str">
        <f t="shared" si="174"/>
        <v/>
      </c>
      <c r="T3732" s="57" t="str">
        <f t="shared" si="175"/>
        <v/>
      </c>
      <c r="U3732" s="58" t="str">
        <f t="shared" si="176"/>
        <v/>
      </c>
    </row>
    <row r="3733" spans="19:21" ht="23.25" customHeight="1" x14ac:dyDescent="0.35">
      <c r="S3733" s="56" t="str">
        <f t="shared" si="174"/>
        <v/>
      </c>
      <c r="T3733" s="57" t="str">
        <f t="shared" si="175"/>
        <v/>
      </c>
      <c r="U3733" s="58" t="str">
        <f t="shared" si="176"/>
        <v/>
      </c>
    </row>
    <row r="3734" spans="19:21" ht="23.25" customHeight="1" x14ac:dyDescent="0.35">
      <c r="S3734" s="56" t="str">
        <f t="shared" si="174"/>
        <v/>
      </c>
      <c r="T3734" s="57" t="str">
        <f t="shared" si="175"/>
        <v/>
      </c>
      <c r="U3734" s="58" t="str">
        <f t="shared" si="176"/>
        <v/>
      </c>
    </row>
    <row r="3735" spans="19:21" ht="23.25" customHeight="1" x14ac:dyDescent="0.35">
      <c r="S3735" s="56" t="str">
        <f t="shared" si="174"/>
        <v/>
      </c>
      <c r="T3735" s="57" t="str">
        <f t="shared" si="175"/>
        <v/>
      </c>
      <c r="U3735" s="58" t="str">
        <f t="shared" si="176"/>
        <v/>
      </c>
    </row>
    <row r="3736" spans="19:21" ht="23.25" customHeight="1" x14ac:dyDescent="0.35">
      <c r="S3736" s="56" t="str">
        <f t="shared" si="174"/>
        <v/>
      </c>
      <c r="T3736" s="57" t="str">
        <f t="shared" si="175"/>
        <v/>
      </c>
      <c r="U3736" s="58" t="str">
        <f t="shared" si="176"/>
        <v/>
      </c>
    </row>
    <row r="3737" spans="19:21" ht="23.25" customHeight="1" x14ac:dyDescent="0.35">
      <c r="S3737" s="56" t="str">
        <f t="shared" si="174"/>
        <v/>
      </c>
      <c r="T3737" s="57" t="str">
        <f t="shared" si="175"/>
        <v/>
      </c>
      <c r="U3737" s="58" t="str">
        <f t="shared" si="176"/>
        <v/>
      </c>
    </row>
    <row r="3738" spans="19:21" ht="23.25" customHeight="1" x14ac:dyDescent="0.35">
      <c r="S3738" s="56" t="str">
        <f t="shared" si="174"/>
        <v/>
      </c>
      <c r="T3738" s="57" t="str">
        <f t="shared" si="175"/>
        <v/>
      </c>
      <c r="U3738" s="58" t="str">
        <f t="shared" si="176"/>
        <v/>
      </c>
    </row>
    <row r="3739" spans="19:21" ht="23.25" customHeight="1" x14ac:dyDescent="0.35">
      <c r="S3739" s="56" t="str">
        <f t="shared" si="174"/>
        <v/>
      </c>
      <c r="T3739" s="57" t="str">
        <f t="shared" si="175"/>
        <v/>
      </c>
      <c r="U3739" s="58" t="str">
        <f t="shared" si="176"/>
        <v/>
      </c>
    </row>
    <row r="3740" spans="19:21" ht="23.25" customHeight="1" x14ac:dyDescent="0.35">
      <c r="S3740" s="56" t="str">
        <f t="shared" si="174"/>
        <v/>
      </c>
      <c r="T3740" s="57" t="str">
        <f t="shared" si="175"/>
        <v/>
      </c>
      <c r="U3740" s="58" t="str">
        <f t="shared" si="176"/>
        <v/>
      </c>
    </row>
    <row r="3741" spans="19:21" ht="23.25" customHeight="1" x14ac:dyDescent="0.35">
      <c r="S3741" s="56" t="str">
        <f t="shared" si="174"/>
        <v/>
      </c>
      <c r="T3741" s="57" t="str">
        <f t="shared" si="175"/>
        <v/>
      </c>
      <c r="U3741" s="58" t="str">
        <f t="shared" si="176"/>
        <v/>
      </c>
    </row>
    <row r="3742" spans="19:21" ht="23.25" customHeight="1" x14ac:dyDescent="0.35">
      <c r="S3742" s="56" t="str">
        <f t="shared" si="174"/>
        <v/>
      </c>
      <c r="T3742" s="57" t="str">
        <f t="shared" si="175"/>
        <v/>
      </c>
      <c r="U3742" s="58" t="str">
        <f t="shared" si="176"/>
        <v/>
      </c>
    </row>
    <row r="3743" spans="19:21" ht="23.25" customHeight="1" x14ac:dyDescent="0.35">
      <c r="S3743" s="56" t="str">
        <f t="shared" si="174"/>
        <v/>
      </c>
      <c r="T3743" s="57" t="str">
        <f t="shared" si="175"/>
        <v/>
      </c>
      <c r="U3743" s="58" t="str">
        <f t="shared" si="176"/>
        <v/>
      </c>
    </row>
    <row r="3744" spans="19:21" ht="23.25" customHeight="1" x14ac:dyDescent="0.35">
      <c r="S3744" s="56" t="str">
        <f t="shared" si="174"/>
        <v/>
      </c>
      <c r="T3744" s="57" t="str">
        <f t="shared" si="175"/>
        <v/>
      </c>
      <c r="U3744" s="58" t="str">
        <f t="shared" si="176"/>
        <v/>
      </c>
    </row>
    <row r="3745" spans="19:21" ht="23.25" customHeight="1" x14ac:dyDescent="0.35">
      <c r="S3745" s="56" t="str">
        <f t="shared" si="174"/>
        <v/>
      </c>
      <c r="T3745" s="57" t="str">
        <f t="shared" si="175"/>
        <v/>
      </c>
      <c r="U3745" s="58" t="str">
        <f t="shared" si="176"/>
        <v/>
      </c>
    </row>
    <row r="3746" spans="19:21" ht="23.25" customHeight="1" x14ac:dyDescent="0.35">
      <c r="S3746" s="56" t="str">
        <f t="shared" si="174"/>
        <v/>
      </c>
      <c r="T3746" s="57" t="str">
        <f t="shared" si="175"/>
        <v/>
      </c>
      <c r="U3746" s="58" t="str">
        <f t="shared" si="176"/>
        <v/>
      </c>
    </row>
    <row r="3747" spans="19:21" ht="23.25" customHeight="1" x14ac:dyDescent="0.35">
      <c r="S3747" s="56" t="str">
        <f t="shared" si="174"/>
        <v/>
      </c>
      <c r="T3747" s="57" t="str">
        <f t="shared" si="175"/>
        <v/>
      </c>
      <c r="U3747" s="58" t="str">
        <f t="shared" si="176"/>
        <v/>
      </c>
    </row>
    <row r="3748" spans="19:21" ht="23.25" customHeight="1" x14ac:dyDescent="0.35">
      <c r="S3748" s="56" t="str">
        <f t="shared" si="174"/>
        <v/>
      </c>
      <c r="T3748" s="57" t="str">
        <f t="shared" si="175"/>
        <v/>
      </c>
      <c r="U3748" s="58" t="str">
        <f t="shared" si="176"/>
        <v/>
      </c>
    </row>
    <row r="3749" spans="19:21" ht="23.25" customHeight="1" x14ac:dyDescent="0.35">
      <c r="S3749" s="56" t="str">
        <f t="shared" si="174"/>
        <v/>
      </c>
      <c r="T3749" s="57" t="str">
        <f t="shared" si="175"/>
        <v/>
      </c>
      <c r="U3749" s="58" t="str">
        <f t="shared" si="176"/>
        <v/>
      </c>
    </row>
    <row r="3750" spans="19:21" ht="23.25" customHeight="1" x14ac:dyDescent="0.35">
      <c r="S3750" s="56" t="str">
        <f t="shared" si="174"/>
        <v/>
      </c>
      <c r="T3750" s="57" t="str">
        <f t="shared" si="175"/>
        <v/>
      </c>
      <c r="U3750" s="58" t="str">
        <f t="shared" si="176"/>
        <v/>
      </c>
    </row>
    <row r="3751" spans="19:21" ht="23.25" customHeight="1" x14ac:dyDescent="0.35">
      <c r="S3751" s="56" t="str">
        <f t="shared" si="174"/>
        <v/>
      </c>
      <c r="T3751" s="57" t="str">
        <f t="shared" si="175"/>
        <v/>
      </c>
      <c r="U3751" s="58" t="str">
        <f t="shared" si="176"/>
        <v/>
      </c>
    </row>
    <row r="3752" spans="19:21" ht="23.25" customHeight="1" x14ac:dyDescent="0.35">
      <c r="S3752" s="56" t="str">
        <f t="shared" si="174"/>
        <v/>
      </c>
      <c r="T3752" s="57" t="str">
        <f t="shared" si="175"/>
        <v/>
      </c>
      <c r="U3752" s="58" t="str">
        <f t="shared" si="176"/>
        <v/>
      </c>
    </row>
    <row r="3753" spans="19:21" ht="23.25" customHeight="1" x14ac:dyDescent="0.35">
      <c r="S3753" s="56" t="str">
        <f t="shared" si="174"/>
        <v/>
      </c>
      <c r="T3753" s="57" t="str">
        <f t="shared" si="175"/>
        <v/>
      </c>
      <c r="U3753" s="58" t="str">
        <f t="shared" si="176"/>
        <v/>
      </c>
    </row>
    <row r="3754" spans="19:21" ht="23.25" customHeight="1" x14ac:dyDescent="0.35">
      <c r="S3754" s="56" t="str">
        <f t="shared" si="174"/>
        <v/>
      </c>
      <c r="T3754" s="57" t="str">
        <f t="shared" si="175"/>
        <v/>
      </c>
      <c r="U3754" s="58" t="str">
        <f t="shared" si="176"/>
        <v/>
      </c>
    </row>
    <row r="3755" spans="19:21" ht="23.25" customHeight="1" x14ac:dyDescent="0.35">
      <c r="S3755" s="56" t="str">
        <f t="shared" si="174"/>
        <v/>
      </c>
      <c r="T3755" s="57" t="str">
        <f t="shared" si="175"/>
        <v/>
      </c>
      <c r="U3755" s="58" t="str">
        <f t="shared" si="176"/>
        <v/>
      </c>
    </row>
    <row r="3756" spans="19:21" ht="23.25" customHeight="1" x14ac:dyDescent="0.35">
      <c r="S3756" s="56" t="str">
        <f t="shared" si="174"/>
        <v/>
      </c>
      <c r="T3756" s="57" t="str">
        <f t="shared" si="175"/>
        <v/>
      </c>
      <c r="U3756" s="58" t="str">
        <f t="shared" si="176"/>
        <v/>
      </c>
    </row>
    <row r="3757" spans="19:21" ht="23.25" customHeight="1" x14ac:dyDescent="0.35">
      <c r="S3757" s="56" t="str">
        <f t="shared" si="174"/>
        <v/>
      </c>
      <c r="T3757" s="57" t="str">
        <f t="shared" si="175"/>
        <v/>
      </c>
      <c r="U3757" s="58" t="str">
        <f t="shared" si="176"/>
        <v/>
      </c>
    </row>
    <row r="3758" spans="19:21" ht="23.25" customHeight="1" x14ac:dyDescent="0.35">
      <c r="S3758" s="56" t="str">
        <f t="shared" si="174"/>
        <v/>
      </c>
      <c r="T3758" s="57" t="str">
        <f t="shared" si="175"/>
        <v/>
      </c>
      <c r="U3758" s="58" t="str">
        <f t="shared" si="176"/>
        <v/>
      </c>
    </row>
    <row r="3759" spans="19:21" ht="23.25" customHeight="1" x14ac:dyDescent="0.35">
      <c r="S3759" s="56" t="str">
        <f t="shared" si="174"/>
        <v/>
      </c>
      <c r="T3759" s="57" t="str">
        <f t="shared" si="175"/>
        <v/>
      </c>
      <c r="U3759" s="58" t="str">
        <f t="shared" si="176"/>
        <v/>
      </c>
    </row>
    <row r="3760" spans="19:21" ht="23.25" customHeight="1" x14ac:dyDescent="0.35">
      <c r="S3760" s="56" t="str">
        <f t="shared" si="174"/>
        <v/>
      </c>
      <c r="T3760" s="57" t="str">
        <f t="shared" si="175"/>
        <v/>
      </c>
      <c r="U3760" s="58" t="str">
        <f t="shared" si="176"/>
        <v/>
      </c>
    </row>
    <row r="3761" spans="19:21" ht="23.25" customHeight="1" x14ac:dyDescent="0.35">
      <c r="S3761" s="56" t="str">
        <f t="shared" si="174"/>
        <v/>
      </c>
      <c r="T3761" s="57" t="str">
        <f t="shared" si="175"/>
        <v/>
      </c>
      <c r="U3761" s="58" t="str">
        <f t="shared" si="176"/>
        <v/>
      </c>
    </row>
    <row r="3762" spans="19:21" ht="23.25" customHeight="1" x14ac:dyDescent="0.35">
      <c r="S3762" s="56" t="str">
        <f t="shared" si="174"/>
        <v/>
      </c>
      <c r="T3762" s="57" t="str">
        <f t="shared" si="175"/>
        <v/>
      </c>
      <c r="U3762" s="58" t="str">
        <f t="shared" si="176"/>
        <v/>
      </c>
    </row>
    <row r="3763" spans="19:21" ht="23.25" customHeight="1" x14ac:dyDescent="0.35">
      <c r="S3763" s="56" t="str">
        <f t="shared" si="174"/>
        <v/>
      </c>
      <c r="T3763" s="57" t="str">
        <f t="shared" si="175"/>
        <v/>
      </c>
      <c r="U3763" s="58" t="str">
        <f t="shared" si="176"/>
        <v/>
      </c>
    </row>
    <row r="3764" spans="19:21" ht="23.25" customHeight="1" x14ac:dyDescent="0.35">
      <c r="S3764" s="56" t="str">
        <f t="shared" si="174"/>
        <v/>
      </c>
      <c r="T3764" s="57" t="str">
        <f t="shared" si="175"/>
        <v/>
      </c>
      <c r="U3764" s="58" t="str">
        <f t="shared" si="176"/>
        <v/>
      </c>
    </row>
    <row r="3765" spans="19:21" ht="23.25" customHeight="1" x14ac:dyDescent="0.35">
      <c r="S3765" s="56" t="str">
        <f t="shared" si="174"/>
        <v/>
      </c>
      <c r="T3765" s="57" t="str">
        <f t="shared" si="175"/>
        <v/>
      </c>
      <c r="U3765" s="58" t="str">
        <f t="shared" si="176"/>
        <v/>
      </c>
    </row>
    <row r="3766" spans="19:21" ht="23.25" customHeight="1" x14ac:dyDescent="0.35">
      <c r="S3766" s="56" t="str">
        <f t="shared" si="174"/>
        <v/>
      </c>
      <c r="T3766" s="57" t="str">
        <f t="shared" si="175"/>
        <v/>
      </c>
      <c r="U3766" s="58" t="str">
        <f t="shared" si="176"/>
        <v/>
      </c>
    </row>
    <row r="3767" spans="19:21" ht="23.25" customHeight="1" x14ac:dyDescent="0.35">
      <c r="S3767" s="56" t="str">
        <f t="shared" si="174"/>
        <v/>
      </c>
      <c r="T3767" s="57" t="str">
        <f t="shared" si="175"/>
        <v/>
      </c>
      <c r="U3767" s="58" t="str">
        <f t="shared" si="176"/>
        <v/>
      </c>
    </row>
    <row r="3768" spans="19:21" ht="23.25" customHeight="1" x14ac:dyDescent="0.35">
      <c r="S3768" s="56" t="str">
        <f t="shared" si="174"/>
        <v/>
      </c>
      <c r="T3768" s="57" t="str">
        <f t="shared" si="175"/>
        <v/>
      </c>
      <c r="U3768" s="58" t="str">
        <f t="shared" si="176"/>
        <v/>
      </c>
    </row>
    <row r="3769" spans="19:21" ht="23.25" customHeight="1" x14ac:dyDescent="0.35">
      <c r="S3769" s="56" t="str">
        <f t="shared" si="174"/>
        <v/>
      </c>
      <c r="T3769" s="57" t="str">
        <f t="shared" si="175"/>
        <v/>
      </c>
      <c r="U3769" s="58" t="str">
        <f t="shared" si="176"/>
        <v/>
      </c>
    </row>
    <row r="3770" spans="19:21" ht="23.25" customHeight="1" x14ac:dyDescent="0.35">
      <c r="S3770" s="56" t="str">
        <f t="shared" si="174"/>
        <v/>
      </c>
      <c r="T3770" s="57" t="str">
        <f t="shared" si="175"/>
        <v/>
      </c>
      <c r="U3770" s="58" t="str">
        <f t="shared" si="176"/>
        <v/>
      </c>
    </row>
    <row r="3771" spans="19:21" ht="23.25" customHeight="1" x14ac:dyDescent="0.35">
      <c r="S3771" s="56" t="str">
        <f t="shared" si="174"/>
        <v/>
      </c>
      <c r="T3771" s="57" t="str">
        <f t="shared" si="175"/>
        <v/>
      </c>
      <c r="U3771" s="58" t="str">
        <f t="shared" si="176"/>
        <v/>
      </c>
    </row>
    <row r="3772" spans="19:21" ht="23.25" customHeight="1" x14ac:dyDescent="0.35">
      <c r="S3772" s="56" t="str">
        <f t="shared" si="174"/>
        <v/>
      </c>
      <c r="T3772" s="57" t="str">
        <f t="shared" si="175"/>
        <v/>
      </c>
      <c r="U3772" s="58" t="str">
        <f t="shared" si="176"/>
        <v/>
      </c>
    </row>
    <row r="3773" spans="19:21" ht="23.25" customHeight="1" x14ac:dyDescent="0.35">
      <c r="S3773" s="56" t="str">
        <f t="shared" si="174"/>
        <v/>
      </c>
      <c r="T3773" s="57" t="str">
        <f t="shared" si="175"/>
        <v/>
      </c>
      <c r="U3773" s="58" t="str">
        <f t="shared" si="176"/>
        <v/>
      </c>
    </row>
    <row r="3774" spans="19:21" ht="23.25" customHeight="1" x14ac:dyDescent="0.35">
      <c r="S3774" s="56" t="str">
        <f t="shared" si="174"/>
        <v/>
      </c>
      <c r="T3774" s="57" t="str">
        <f t="shared" si="175"/>
        <v/>
      </c>
      <c r="U3774" s="58" t="str">
        <f t="shared" si="176"/>
        <v/>
      </c>
    </row>
    <row r="3775" spans="19:21" ht="23.25" customHeight="1" x14ac:dyDescent="0.35">
      <c r="S3775" s="56" t="str">
        <f t="shared" si="174"/>
        <v/>
      </c>
      <c r="T3775" s="57" t="str">
        <f t="shared" si="175"/>
        <v/>
      </c>
      <c r="U3775" s="58" t="str">
        <f t="shared" si="176"/>
        <v/>
      </c>
    </row>
    <row r="3776" spans="19:21" ht="23.25" customHeight="1" x14ac:dyDescent="0.35">
      <c r="S3776" s="56" t="str">
        <f t="shared" si="174"/>
        <v/>
      </c>
      <c r="T3776" s="57" t="str">
        <f t="shared" si="175"/>
        <v/>
      </c>
      <c r="U3776" s="58" t="str">
        <f t="shared" si="176"/>
        <v/>
      </c>
    </row>
    <row r="3777" spans="19:21" ht="23.25" customHeight="1" x14ac:dyDescent="0.35">
      <c r="S3777" s="56" t="str">
        <f t="shared" si="174"/>
        <v/>
      </c>
      <c r="T3777" s="57" t="str">
        <f t="shared" si="175"/>
        <v/>
      </c>
      <c r="U3777" s="58" t="str">
        <f t="shared" si="176"/>
        <v/>
      </c>
    </row>
    <row r="3778" spans="19:21" ht="23.25" customHeight="1" x14ac:dyDescent="0.35">
      <c r="S3778" s="56" t="str">
        <f t="shared" si="174"/>
        <v/>
      </c>
      <c r="T3778" s="57" t="str">
        <f t="shared" si="175"/>
        <v/>
      </c>
      <c r="U3778" s="58" t="str">
        <f t="shared" si="176"/>
        <v/>
      </c>
    </row>
    <row r="3779" spans="19:21" ht="23.25" customHeight="1" x14ac:dyDescent="0.35">
      <c r="S3779" s="56" t="str">
        <f t="shared" si="174"/>
        <v/>
      </c>
      <c r="T3779" s="57" t="str">
        <f t="shared" si="175"/>
        <v/>
      </c>
      <c r="U3779" s="58" t="str">
        <f t="shared" si="176"/>
        <v/>
      </c>
    </row>
    <row r="3780" spans="19:21" ht="23.25" customHeight="1" x14ac:dyDescent="0.35">
      <c r="S3780" s="56" t="str">
        <f t="shared" si="174"/>
        <v/>
      </c>
      <c r="T3780" s="57" t="str">
        <f t="shared" si="175"/>
        <v/>
      </c>
      <c r="U3780" s="58" t="str">
        <f t="shared" si="176"/>
        <v/>
      </c>
    </row>
    <row r="3781" spans="19:21" ht="23.25" customHeight="1" x14ac:dyDescent="0.35">
      <c r="S3781" s="56" t="str">
        <f t="shared" si="174"/>
        <v/>
      </c>
      <c r="T3781" s="57" t="str">
        <f t="shared" si="175"/>
        <v/>
      </c>
      <c r="U3781" s="58" t="str">
        <f t="shared" si="176"/>
        <v/>
      </c>
    </row>
    <row r="3782" spans="19:21" ht="23.25" customHeight="1" x14ac:dyDescent="0.35">
      <c r="S3782" s="56" t="str">
        <f t="shared" si="174"/>
        <v/>
      </c>
      <c r="T3782" s="57" t="str">
        <f t="shared" si="175"/>
        <v/>
      </c>
      <c r="U3782" s="58" t="str">
        <f t="shared" si="176"/>
        <v/>
      </c>
    </row>
    <row r="3783" spans="19:21" ht="23.25" customHeight="1" x14ac:dyDescent="0.35">
      <c r="S3783" s="56" t="str">
        <f t="shared" si="174"/>
        <v/>
      </c>
      <c r="T3783" s="57" t="str">
        <f t="shared" si="175"/>
        <v/>
      </c>
      <c r="U3783" s="58" t="str">
        <f t="shared" si="176"/>
        <v/>
      </c>
    </row>
    <row r="3784" spans="19:21" ht="23.25" customHeight="1" x14ac:dyDescent="0.35">
      <c r="S3784" s="56" t="str">
        <f t="shared" si="174"/>
        <v/>
      </c>
      <c r="T3784" s="57" t="str">
        <f t="shared" si="175"/>
        <v/>
      </c>
      <c r="U3784" s="58" t="str">
        <f t="shared" si="176"/>
        <v/>
      </c>
    </row>
    <row r="3785" spans="19:21" ht="23.25" customHeight="1" x14ac:dyDescent="0.35">
      <c r="S3785" s="56" t="str">
        <f t="shared" ref="S3785:S3848" si="177">IF(A3785="","",A$5-A3785)</f>
        <v/>
      </c>
      <c r="T3785" s="57" t="str">
        <f t="shared" ref="T3785:T3848" si="178">IF(S3785="","",IF(S3785&lt;4,"0-3 Days",IF(S3785&lt;31,"4-30 Days",IF(S3785&lt;61,"31-60 Days",IF(S3785&lt;=90,"61-90 Days",IF(S3785&gt;90,"Above 90 Days","0"))))))</f>
        <v/>
      </c>
      <c r="U3785" s="58" t="str">
        <f t="shared" ref="U3785:U3848" si="179">IF(C3785="","",IF(C3785&gt;0,IF(S3785&lt;30,"Normal",IF(S3785&lt;60,"Especially Mentioned",IF(S3785&lt;90,"Substandard",IF(S3785&lt;=180,"Doubtful",IF(S3785&gt;180,"Loss","0"))))),"Not Applicable"))</f>
        <v/>
      </c>
    </row>
    <row r="3786" spans="19:21" ht="23.25" customHeight="1" x14ac:dyDescent="0.35">
      <c r="S3786" s="56" t="str">
        <f t="shared" si="177"/>
        <v/>
      </c>
      <c r="T3786" s="57" t="str">
        <f t="shared" si="178"/>
        <v/>
      </c>
      <c r="U3786" s="58" t="str">
        <f t="shared" si="179"/>
        <v/>
      </c>
    </row>
    <row r="3787" spans="19:21" ht="23.25" customHeight="1" x14ac:dyDescent="0.35">
      <c r="S3787" s="56" t="str">
        <f t="shared" si="177"/>
        <v/>
      </c>
      <c r="T3787" s="57" t="str">
        <f t="shared" si="178"/>
        <v/>
      </c>
      <c r="U3787" s="58" t="str">
        <f t="shared" si="179"/>
        <v/>
      </c>
    </row>
    <row r="3788" spans="19:21" ht="23.25" customHeight="1" x14ac:dyDescent="0.35">
      <c r="S3788" s="56" t="str">
        <f t="shared" si="177"/>
        <v/>
      </c>
      <c r="T3788" s="57" t="str">
        <f t="shared" si="178"/>
        <v/>
      </c>
      <c r="U3788" s="58" t="str">
        <f t="shared" si="179"/>
        <v/>
      </c>
    </row>
    <row r="3789" spans="19:21" ht="23.25" customHeight="1" x14ac:dyDescent="0.35">
      <c r="S3789" s="56" t="str">
        <f t="shared" si="177"/>
        <v/>
      </c>
      <c r="T3789" s="57" t="str">
        <f t="shared" si="178"/>
        <v/>
      </c>
      <c r="U3789" s="58" t="str">
        <f t="shared" si="179"/>
        <v/>
      </c>
    </row>
    <row r="3790" spans="19:21" ht="23.25" customHeight="1" x14ac:dyDescent="0.35">
      <c r="S3790" s="56" t="str">
        <f t="shared" si="177"/>
        <v/>
      </c>
      <c r="T3790" s="57" t="str">
        <f t="shared" si="178"/>
        <v/>
      </c>
      <c r="U3790" s="58" t="str">
        <f t="shared" si="179"/>
        <v/>
      </c>
    </row>
    <row r="3791" spans="19:21" ht="23.25" customHeight="1" x14ac:dyDescent="0.35">
      <c r="S3791" s="56" t="str">
        <f t="shared" si="177"/>
        <v/>
      </c>
      <c r="T3791" s="57" t="str">
        <f t="shared" si="178"/>
        <v/>
      </c>
      <c r="U3791" s="58" t="str">
        <f t="shared" si="179"/>
        <v/>
      </c>
    </row>
    <row r="3792" spans="19:21" ht="23.25" customHeight="1" x14ac:dyDescent="0.35">
      <c r="S3792" s="56" t="str">
        <f t="shared" si="177"/>
        <v/>
      </c>
      <c r="T3792" s="57" t="str">
        <f t="shared" si="178"/>
        <v/>
      </c>
      <c r="U3792" s="58" t="str">
        <f t="shared" si="179"/>
        <v/>
      </c>
    </row>
    <row r="3793" spans="19:21" ht="23.25" customHeight="1" x14ac:dyDescent="0.35">
      <c r="S3793" s="56" t="str">
        <f t="shared" si="177"/>
        <v/>
      </c>
      <c r="T3793" s="57" t="str">
        <f t="shared" si="178"/>
        <v/>
      </c>
      <c r="U3793" s="58" t="str">
        <f t="shared" si="179"/>
        <v/>
      </c>
    </row>
    <row r="3794" spans="19:21" ht="23.25" customHeight="1" x14ac:dyDescent="0.35">
      <c r="S3794" s="56" t="str">
        <f t="shared" si="177"/>
        <v/>
      </c>
      <c r="T3794" s="57" t="str">
        <f t="shared" si="178"/>
        <v/>
      </c>
      <c r="U3794" s="58" t="str">
        <f t="shared" si="179"/>
        <v/>
      </c>
    </row>
    <row r="3795" spans="19:21" ht="23.25" customHeight="1" x14ac:dyDescent="0.35">
      <c r="S3795" s="56" t="str">
        <f t="shared" si="177"/>
        <v/>
      </c>
      <c r="T3795" s="57" t="str">
        <f t="shared" si="178"/>
        <v/>
      </c>
      <c r="U3795" s="58" t="str">
        <f t="shared" si="179"/>
        <v/>
      </c>
    </row>
    <row r="3796" spans="19:21" ht="23.25" customHeight="1" x14ac:dyDescent="0.35">
      <c r="S3796" s="56" t="str">
        <f t="shared" si="177"/>
        <v/>
      </c>
      <c r="T3796" s="57" t="str">
        <f t="shared" si="178"/>
        <v/>
      </c>
      <c r="U3796" s="58" t="str">
        <f t="shared" si="179"/>
        <v/>
      </c>
    </row>
    <row r="3797" spans="19:21" ht="23.25" customHeight="1" x14ac:dyDescent="0.35">
      <c r="S3797" s="56" t="str">
        <f t="shared" si="177"/>
        <v/>
      </c>
      <c r="T3797" s="57" t="str">
        <f t="shared" si="178"/>
        <v/>
      </c>
      <c r="U3797" s="58" t="str">
        <f t="shared" si="179"/>
        <v/>
      </c>
    </row>
    <row r="3798" spans="19:21" ht="23.25" customHeight="1" x14ac:dyDescent="0.35">
      <c r="S3798" s="56" t="str">
        <f t="shared" si="177"/>
        <v/>
      </c>
      <c r="T3798" s="57" t="str">
        <f t="shared" si="178"/>
        <v/>
      </c>
      <c r="U3798" s="58" t="str">
        <f t="shared" si="179"/>
        <v/>
      </c>
    </row>
    <row r="3799" spans="19:21" ht="23.25" customHeight="1" x14ac:dyDescent="0.35">
      <c r="S3799" s="56" t="str">
        <f t="shared" si="177"/>
        <v/>
      </c>
      <c r="T3799" s="57" t="str">
        <f t="shared" si="178"/>
        <v/>
      </c>
      <c r="U3799" s="58" t="str">
        <f t="shared" si="179"/>
        <v/>
      </c>
    </row>
    <row r="3800" spans="19:21" ht="23.25" customHeight="1" x14ac:dyDescent="0.35">
      <c r="S3800" s="56" t="str">
        <f t="shared" si="177"/>
        <v/>
      </c>
      <c r="T3800" s="57" t="str">
        <f t="shared" si="178"/>
        <v/>
      </c>
      <c r="U3800" s="58" t="str">
        <f t="shared" si="179"/>
        <v/>
      </c>
    </row>
    <row r="3801" spans="19:21" ht="23.25" customHeight="1" x14ac:dyDescent="0.35">
      <c r="S3801" s="56" t="str">
        <f t="shared" si="177"/>
        <v/>
      </c>
      <c r="T3801" s="57" t="str">
        <f t="shared" si="178"/>
        <v/>
      </c>
      <c r="U3801" s="58" t="str">
        <f t="shared" si="179"/>
        <v/>
      </c>
    </row>
    <row r="3802" spans="19:21" ht="23.25" customHeight="1" x14ac:dyDescent="0.35">
      <c r="S3802" s="56" t="str">
        <f t="shared" si="177"/>
        <v/>
      </c>
      <c r="T3802" s="57" t="str">
        <f t="shared" si="178"/>
        <v/>
      </c>
      <c r="U3802" s="58" t="str">
        <f t="shared" si="179"/>
        <v/>
      </c>
    </row>
    <row r="3803" spans="19:21" ht="23.25" customHeight="1" x14ac:dyDescent="0.35">
      <c r="S3803" s="56" t="str">
        <f t="shared" si="177"/>
        <v/>
      </c>
      <c r="T3803" s="57" t="str">
        <f t="shared" si="178"/>
        <v/>
      </c>
      <c r="U3803" s="58" t="str">
        <f t="shared" si="179"/>
        <v/>
      </c>
    </row>
    <row r="3804" spans="19:21" ht="23.25" customHeight="1" x14ac:dyDescent="0.35">
      <c r="S3804" s="56" t="str">
        <f t="shared" si="177"/>
        <v/>
      </c>
      <c r="T3804" s="57" t="str">
        <f t="shared" si="178"/>
        <v/>
      </c>
      <c r="U3804" s="58" t="str">
        <f t="shared" si="179"/>
        <v/>
      </c>
    </row>
    <row r="3805" spans="19:21" ht="23.25" customHeight="1" x14ac:dyDescent="0.35">
      <c r="S3805" s="56" t="str">
        <f t="shared" si="177"/>
        <v/>
      </c>
      <c r="T3805" s="57" t="str">
        <f t="shared" si="178"/>
        <v/>
      </c>
      <c r="U3805" s="58" t="str">
        <f t="shared" si="179"/>
        <v/>
      </c>
    </row>
    <row r="3806" spans="19:21" ht="23.25" customHeight="1" x14ac:dyDescent="0.35">
      <c r="S3806" s="56" t="str">
        <f t="shared" si="177"/>
        <v/>
      </c>
      <c r="T3806" s="57" t="str">
        <f t="shared" si="178"/>
        <v/>
      </c>
      <c r="U3806" s="58" t="str">
        <f t="shared" si="179"/>
        <v/>
      </c>
    </row>
    <row r="3807" spans="19:21" ht="23.25" customHeight="1" x14ac:dyDescent="0.35">
      <c r="S3807" s="56" t="str">
        <f t="shared" si="177"/>
        <v/>
      </c>
      <c r="T3807" s="57" t="str">
        <f t="shared" si="178"/>
        <v/>
      </c>
      <c r="U3807" s="58" t="str">
        <f t="shared" si="179"/>
        <v/>
      </c>
    </row>
    <row r="3808" spans="19:21" ht="23.25" customHeight="1" x14ac:dyDescent="0.35">
      <c r="S3808" s="56" t="str">
        <f t="shared" si="177"/>
        <v/>
      </c>
      <c r="T3808" s="57" t="str">
        <f t="shared" si="178"/>
        <v/>
      </c>
      <c r="U3808" s="58" t="str">
        <f t="shared" si="179"/>
        <v/>
      </c>
    </row>
    <row r="3809" spans="19:21" ht="23.25" customHeight="1" x14ac:dyDescent="0.35">
      <c r="S3809" s="56" t="str">
        <f t="shared" si="177"/>
        <v/>
      </c>
      <c r="T3809" s="57" t="str">
        <f t="shared" si="178"/>
        <v/>
      </c>
      <c r="U3809" s="58" t="str">
        <f t="shared" si="179"/>
        <v/>
      </c>
    </row>
    <row r="3810" spans="19:21" ht="23.25" customHeight="1" x14ac:dyDescent="0.35">
      <c r="S3810" s="56" t="str">
        <f t="shared" si="177"/>
        <v/>
      </c>
      <c r="T3810" s="57" t="str">
        <f t="shared" si="178"/>
        <v/>
      </c>
      <c r="U3810" s="58" t="str">
        <f t="shared" si="179"/>
        <v/>
      </c>
    </row>
    <row r="3811" spans="19:21" ht="23.25" customHeight="1" x14ac:dyDescent="0.35">
      <c r="S3811" s="56" t="str">
        <f t="shared" si="177"/>
        <v/>
      </c>
      <c r="T3811" s="57" t="str">
        <f t="shared" si="178"/>
        <v/>
      </c>
      <c r="U3811" s="58" t="str">
        <f t="shared" si="179"/>
        <v/>
      </c>
    </row>
    <row r="3812" spans="19:21" ht="23.25" customHeight="1" x14ac:dyDescent="0.35">
      <c r="S3812" s="56" t="str">
        <f t="shared" si="177"/>
        <v/>
      </c>
      <c r="T3812" s="57" t="str">
        <f t="shared" si="178"/>
        <v/>
      </c>
      <c r="U3812" s="58" t="str">
        <f t="shared" si="179"/>
        <v/>
      </c>
    </row>
    <row r="3813" spans="19:21" ht="23.25" customHeight="1" x14ac:dyDescent="0.35">
      <c r="S3813" s="56" t="str">
        <f t="shared" si="177"/>
        <v/>
      </c>
      <c r="T3813" s="57" t="str">
        <f t="shared" si="178"/>
        <v/>
      </c>
      <c r="U3813" s="58" t="str">
        <f t="shared" si="179"/>
        <v/>
      </c>
    </row>
    <row r="3814" spans="19:21" ht="23.25" customHeight="1" x14ac:dyDescent="0.35">
      <c r="S3814" s="56" t="str">
        <f t="shared" si="177"/>
        <v/>
      </c>
      <c r="T3814" s="57" t="str">
        <f t="shared" si="178"/>
        <v/>
      </c>
      <c r="U3814" s="58" t="str">
        <f t="shared" si="179"/>
        <v/>
      </c>
    </row>
    <row r="3815" spans="19:21" ht="23.25" customHeight="1" x14ac:dyDescent="0.35">
      <c r="S3815" s="56" t="str">
        <f t="shared" si="177"/>
        <v/>
      </c>
      <c r="T3815" s="57" t="str">
        <f t="shared" si="178"/>
        <v/>
      </c>
      <c r="U3815" s="58" t="str">
        <f t="shared" si="179"/>
        <v/>
      </c>
    </row>
    <row r="3816" spans="19:21" ht="23.25" customHeight="1" x14ac:dyDescent="0.35">
      <c r="S3816" s="56" t="str">
        <f t="shared" si="177"/>
        <v/>
      </c>
      <c r="T3816" s="57" t="str">
        <f t="shared" si="178"/>
        <v/>
      </c>
      <c r="U3816" s="58" t="str">
        <f t="shared" si="179"/>
        <v/>
      </c>
    </row>
    <row r="3817" spans="19:21" ht="23.25" customHeight="1" x14ac:dyDescent="0.35">
      <c r="S3817" s="56" t="str">
        <f t="shared" si="177"/>
        <v/>
      </c>
      <c r="T3817" s="57" t="str">
        <f t="shared" si="178"/>
        <v/>
      </c>
      <c r="U3817" s="58" t="str">
        <f t="shared" si="179"/>
        <v/>
      </c>
    </row>
    <row r="3818" spans="19:21" ht="23.25" customHeight="1" x14ac:dyDescent="0.35">
      <c r="S3818" s="56" t="str">
        <f t="shared" si="177"/>
        <v/>
      </c>
      <c r="T3818" s="57" t="str">
        <f t="shared" si="178"/>
        <v/>
      </c>
      <c r="U3818" s="58" t="str">
        <f t="shared" si="179"/>
        <v/>
      </c>
    </row>
    <row r="3819" spans="19:21" ht="23.25" customHeight="1" x14ac:dyDescent="0.35">
      <c r="S3819" s="56" t="str">
        <f t="shared" si="177"/>
        <v/>
      </c>
      <c r="T3819" s="57" t="str">
        <f t="shared" si="178"/>
        <v/>
      </c>
      <c r="U3819" s="58" t="str">
        <f t="shared" si="179"/>
        <v/>
      </c>
    </row>
    <row r="3820" spans="19:21" ht="23.25" customHeight="1" x14ac:dyDescent="0.35">
      <c r="S3820" s="56" t="str">
        <f t="shared" si="177"/>
        <v/>
      </c>
      <c r="T3820" s="57" t="str">
        <f t="shared" si="178"/>
        <v/>
      </c>
      <c r="U3820" s="58" t="str">
        <f t="shared" si="179"/>
        <v/>
      </c>
    </row>
    <row r="3821" spans="19:21" ht="23.25" customHeight="1" x14ac:dyDescent="0.35">
      <c r="S3821" s="56" t="str">
        <f t="shared" si="177"/>
        <v/>
      </c>
      <c r="T3821" s="57" t="str">
        <f t="shared" si="178"/>
        <v/>
      </c>
      <c r="U3821" s="58" t="str">
        <f t="shared" si="179"/>
        <v/>
      </c>
    </row>
    <row r="3822" spans="19:21" ht="23.25" customHeight="1" x14ac:dyDescent="0.35">
      <c r="S3822" s="56" t="str">
        <f t="shared" si="177"/>
        <v/>
      </c>
      <c r="T3822" s="57" t="str">
        <f t="shared" si="178"/>
        <v/>
      </c>
      <c r="U3822" s="58" t="str">
        <f t="shared" si="179"/>
        <v/>
      </c>
    </row>
    <row r="3823" spans="19:21" ht="23.25" customHeight="1" x14ac:dyDescent="0.35">
      <c r="S3823" s="56" t="str">
        <f t="shared" si="177"/>
        <v/>
      </c>
      <c r="T3823" s="57" t="str">
        <f t="shared" si="178"/>
        <v/>
      </c>
      <c r="U3823" s="58" t="str">
        <f t="shared" si="179"/>
        <v/>
      </c>
    </row>
    <row r="3824" spans="19:21" ht="23.25" customHeight="1" x14ac:dyDescent="0.35">
      <c r="S3824" s="56" t="str">
        <f t="shared" si="177"/>
        <v/>
      </c>
      <c r="T3824" s="57" t="str">
        <f t="shared" si="178"/>
        <v/>
      </c>
      <c r="U3824" s="58" t="str">
        <f t="shared" si="179"/>
        <v/>
      </c>
    </row>
    <row r="3825" spans="19:21" ht="23.25" customHeight="1" x14ac:dyDescent="0.35">
      <c r="S3825" s="56" t="str">
        <f t="shared" si="177"/>
        <v/>
      </c>
      <c r="T3825" s="57" t="str">
        <f t="shared" si="178"/>
        <v/>
      </c>
      <c r="U3825" s="58" t="str">
        <f t="shared" si="179"/>
        <v/>
      </c>
    </row>
    <row r="3826" spans="19:21" ht="23.25" customHeight="1" x14ac:dyDescent="0.35">
      <c r="S3826" s="56" t="str">
        <f t="shared" si="177"/>
        <v/>
      </c>
      <c r="T3826" s="57" t="str">
        <f t="shared" si="178"/>
        <v/>
      </c>
      <c r="U3826" s="58" t="str">
        <f t="shared" si="179"/>
        <v/>
      </c>
    </row>
    <row r="3827" spans="19:21" ht="23.25" customHeight="1" x14ac:dyDescent="0.35">
      <c r="S3827" s="56" t="str">
        <f t="shared" si="177"/>
        <v/>
      </c>
      <c r="T3827" s="57" t="str">
        <f t="shared" si="178"/>
        <v/>
      </c>
      <c r="U3827" s="58" t="str">
        <f t="shared" si="179"/>
        <v/>
      </c>
    </row>
    <row r="3828" spans="19:21" ht="23.25" customHeight="1" x14ac:dyDescent="0.35">
      <c r="S3828" s="56" t="str">
        <f t="shared" si="177"/>
        <v/>
      </c>
      <c r="T3828" s="57" t="str">
        <f t="shared" si="178"/>
        <v/>
      </c>
      <c r="U3828" s="58" t="str">
        <f t="shared" si="179"/>
        <v/>
      </c>
    </row>
    <row r="3829" spans="19:21" ht="23.25" customHeight="1" x14ac:dyDescent="0.35">
      <c r="S3829" s="56" t="str">
        <f t="shared" si="177"/>
        <v/>
      </c>
      <c r="T3829" s="57" t="str">
        <f t="shared" si="178"/>
        <v/>
      </c>
      <c r="U3829" s="58" t="str">
        <f t="shared" si="179"/>
        <v/>
      </c>
    </row>
    <row r="3830" spans="19:21" ht="23.25" customHeight="1" x14ac:dyDescent="0.35">
      <c r="S3830" s="56" t="str">
        <f t="shared" si="177"/>
        <v/>
      </c>
      <c r="T3830" s="57" t="str">
        <f t="shared" si="178"/>
        <v/>
      </c>
      <c r="U3830" s="58" t="str">
        <f t="shared" si="179"/>
        <v/>
      </c>
    </row>
    <row r="3831" spans="19:21" ht="23.25" customHeight="1" x14ac:dyDescent="0.35">
      <c r="S3831" s="56" t="str">
        <f t="shared" si="177"/>
        <v/>
      </c>
      <c r="T3831" s="57" t="str">
        <f t="shared" si="178"/>
        <v/>
      </c>
      <c r="U3831" s="58" t="str">
        <f t="shared" si="179"/>
        <v/>
      </c>
    </row>
    <row r="3832" spans="19:21" ht="23.25" customHeight="1" x14ac:dyDescent="0.35">
      <c r="S3832" s="56" t="str">
        <f t="shared" si="177"/>
        <v/>
      </c>
      <c r="T3832" s="57" t="str">
        <f t="shared" si="178"/>
        <v/>
      </c>
      <c r="U3832" s="58" t="str">
        <f t="shared" si="179"/>
        <v/>
      </c>
    </row>
    <row r="3833" spans="19:21" ht="23.25" customHeight="1" x14ac:dyDescent="0.35">
      <c r="S3833" s="56" t="str">
        <f t="shared" si="177"/>
        <v/>
      </c>
      <c r="T3833" s="57" t="str">
        <f t="shared" si="178"/>
        <v/>
      </c>
      <c r="U3833" s="58" t="str">
        <f t="shared" si="179"/>
        <v/>
      </c>
    </row>
    <row r="3834" spans="19:21" ht="23.25" customHeight="1" x14ac:dyDescent="0.35">
      <c r="S3834" s="56" t="str">
        <f t="shared" si="177"/>
        <v/>
      </c>
      <c r="T3834" s="57" t="str">
        <f t="shared" si="178"/>
        <v/>
      </c>
      <c r="U3834" s="58" t="str">
        <f t="shared" si="179"/>
        <v/>
      </c>
    </row>
    <row r="3835" spans="19:21" ht="23.25" customHeight="1" x14ac:dyDescent="0.35">
      <c r="S3835" s="56" t="str">
        <f t="shared" si="177"/>
        <v/>
      </c>
      <c r="T3835" s="57" t="str">
        <f t="shared" si="178"/>
        <v/>
      </c>
      <c r="U3835" s="58" t="str">
        <f t="shared" si="179"/>
        <v/>
      </c>
    </row>
    <row r="3836" spans="19:21" ht="23.25" customHeight="1" x14ac:dyDescent="0.35">
      <c r="S3836" s="56" t="str">
        <f t="shared" si="177"/>
        <v/>
      </c>
      <c r="T3836" s="57" t="str">
        <f t="shared" si="178"/>
        <v/>
      </c>
      <c r="U3836" s="58" t="str">
        <f t="shared" si="179"/>
        <v/>
      </c>
    </row>
    <row r="3837" spans="19:21" ht="23.25" customHeight="1" x14ac:dyDescent="0.35">
      <c r="S3837" s="56" t="str">
        <f t="shared" si="177"/>
        <v/>
      </c>
      <c r="T3837" s="57" t="str">
        <f t="shared" si="178"/>
        <v/>
      </c>
      <c r="U3837" s="58" t="str">
        <f t="shared" si="179"/>
        <v/>
      </c>
    </row>
    <row r="3838" spans="19:21" ht="23.25" customHeight="1" x14ac:dyDescent="0.35">
      <c r="S3838" s="56" t="str">
        <f t="shared" si="177"/>
        <v/>
      </c>
      <c r="T3838" s="57" t="str">
        <f t="shared" si="178"/>
        <v/>
      </c>
      <c r="U3838" s="58" t="str">
        <f t="shared" si="179"/>
        <v/>
      </c>
    </row>
    <row r="3839" spans="19:21" ht="23.25" customHeight="1" x14ac:dyDescent="0.35">
      <c r="S3839" s="56" t="str">
        <f t="shared" si="177"/>
        <v/>
      </c>
      <c r="T3839" s="57" t="str">
        <f t="shared" si="178"/>
        <v/>
      </c>
      <c r="U3839" s="58" t="str">
        <f t="shared" si="179"/>
        <v/>
      </c>
    </row>
    <row r="3840" spans="19:21" ht="23.25" customHeight="1" x14ac:dyDescent="0.35">
      <c r="S3840" s="56" t="str">
        <f t="shared" si="177"/>
        <v/>
      </c>
      <c r="T3840" s="57" t="str">
        <f t="shared" si="178"/>
        <v/>
      </c>
      <c r="U3840" s="58" t="str">
        <f t="shared" si="179"/>
        <v/>
      </c>
    </row>
    <row r="3841" spans="19:21" ht="23.25" customHeight="1" x14ac:dyDescent="0.35">
      <c r="S3841" s="56" t="str">
        <f t="shared" si="177"/>
        <v/>
      </c>
      <c r="T3841" s="57" t="str">
        <f t="shared" si="178"/>
        <v/>
      </c>
      <c r="U3841" s="58" t="str">
        <f t="shared" si="179"/>
        <v/>
      </c>
    </row>
    <row r="3842" spans="19:21" ht="23.25" customHeight="1" x14ac:dyDescent="0.35">
      <c r="S3842" s="56" t="str">
        <f t="shared" si="177"/>
        <v/>
      </c>
      <c r="T3842" s="57" t="str">
        <f t="shared" si="178"/>
        <v/>
      </c>
      <c r="U3842" s="58" t="str">
        <f t="shared" si="179"/>
        <v/>
      </c>
    </row>
    <row r="3843" spans="19:21" ht="23.25" customHeight="1" x14ac:dyDescent="0.35">
      <c r="S3843" s="56" t="str">
        <f t="shared" si="177"/>
        <v/>
      </c>
      <c r="T3843" s="57" t="str">
        <f t="shared" si="178"/>
        <v/>
      </c>
      <c r="U3843" s="58" t="str">
        <f t="shared" si="179"/>
        <v/>
      </c>
    </row>
    <row r="3844" spans="19:21" ht="23.25" customHeight="1" x14ac:dyDescent="0.35">
      <c r="S3844" s="56" t="str">
        <f t="shared" si="177"/>
        <v/>
      </c>
      <c r="T3844" s="57" t="str">
        <f t="shared" si="178"/>
        <v/>
      </c>
      <c r="U3844" s="58" t="str">
        <f t="shared" si="179"/>
        <v/>
      </c>
    </row>
    <row r="3845" spans="19:21" ht="23.25" customHeight="1" x14ac:dyDescent="0.35">
      <c r="S3845" s="56" t="str">
        <f t="shared" si="177"/>
        <v/>
      </c>
      <c r="T3845" s="57" t="str">
        <f t="shared" si="178"/>
        <v/>
      </c>
      <c r="U3845" s="58" t="str">
        <f t="shared" si="179"/>
        <v/>
      </c>
    </row>
    <row r="3846" spans="19:21" ht="23.25" customHeight="1" x14ac:dyDescent="0.35">
      <c r="S3846" s="56" t="str">
        <f t="shared" si="177"/>
        <v/>
      </c>
      <c r="T3846" s="57" t="str">
        <f t="shared" si="178"/>
        <v/>
      </c>
      <c r="U3846" s="58" t="str">
        <f t="shared" si="179"/>
        <v/>
      </c>
    </row>
    <row r="3847" spans="19:21" ht="23.25" customHeight="1" x14ac:dyDescent="0.35">
      <c r="S3847" s="56" t="str">
        <f t="shared" si="177"/>
        <v/>
      </c>
      <c r="T3847" s="57" t="str">
        <f t="shared" si="178"/>
        <v/>
      </c>
      <c r="U3847" s="58" t="str">
        <f t="shared" si="179"/>
        <v/>
      </c>
    </row>
    <row r="3848" spans="19:21" ht="23.25" customHeight="1" x14ac:dyDescent="0.35">
      <c r="S3848" s="56" t="str">
        <f t="shared" si="177"/>
        <v/>
      </c>
      <c r="T3848" s="57" t="str">
        <f t="shared" si="178"/>
        <v/>
      </c>
      <c r="U3848" s="58" t="str">
        <f t="shared" si="179"/>
        <v/>
      </c>
    </row>
    <row r="3849" spans="19:21" ht="23.25" customHeight="1" x14ac:dyDescent="0.35">
      <c r="S3849" s="56" t="str">
        <f t="shared" ref="S3849:S3912" si="180">IF(A3849="","",A$5-A3849)</f>
        <v/>
      </c>
      <c r="T3849" s="57" t="str">
        <f t="shared" ref="T3849:T3912" si="181">IF(S3849="","",IF(S3849&lt;4,"0-3 Days",IF(S3849&lt;31,"4-30 Days",IF(S3849&lt;61,"31-60 Days",IF(S3849&lt;=90,"61-90 Days",IF(S3849&gt;90,"Above 90 Days","0"))))))</f>
        <v/>
      </c>
      <c r="U3849" s="58" t="str">
        <f t="shared" ref="U3849:U3912" si="182">IF(C3849="","",IF(C3849&gt;0,IF(S3849&lt;30,"Normal",IF(S3849&lt;60,"Especially Mentioned",IF(S3849&lt;90,"Substandard",IF(S3849&lt;=180,"Doubtful",IF(S3849&gt;180,"Loss","0"))))),"Not Applicable"))</f>
        <v/>
      </c>
    </row>
    <row r="3850" spans="19:21" ht="23.25" customHeight="1" x14ac:dyDescent="0.35">
      <c r="S3850" s="56" t="str">
        <f t="shared" si="180"/>
        <v/>
      </c>
      <c r="T3850" s="57" t="str">
        <f t="shared" si="181"/>
        <v/>
      </c>
      <c r="U3850" s="58" t="str">
        <f t="shared" si="182"/>
        <v/>
      </c>
    </row>
    <row r="3851" spans="19:21" ht="23.25" customHeight="1" x14ac:dyDescent="0.35">
      <c r="S3851" s="56" t="str">
        <f t="shared" si="180"/>
        <v/>
      </c>
      <c r="T3851" s="57" t="str">
        <f t="shared" si="181"/>
        <v/>
      </c>
      <c r="U3851" s="58" t="str">
        <f t="shared" si="182"/>
        <v/>
      </c>
    </row>
    <row r="3852" spans="19:21" ht="23.25" customHeight="1" x14ac:dyDescent="0.35">
      <c r="S3852" s="56" t="str">
        <f t="shared" si="180"/>
        <v/>
      </c>
      <c r="T3852" s="57" t="str">
        <f t="shared" si="181"/>
        <v/>
      </c>
      <c r="U3852" s="58" t="str">
        <f t="shared" si="182"/>
        <v/>
      </c>
    </row>
    <row r="3853" spans="19:21" ht="23.25" customHeight="1" x14ac:dyDescent="0.35">
      <c r="S3853" s="56" t="str">
        <f t="shared" si="180"/>
        <v/>
      </c>
      <c r="T3853" s="57" t="str">
        <f t="shared" si="181"/>
        <v/>
      </c>
      <c r="U3853" s="58" t="str">
        <f t="shared" si="182"/>
        <v/>
      </c>
    </row>
    <row r="3854" spans="19:21" ht="23.25" customHeight="1" x14ac:dyDescent="0.35">
      <c r="S3854" s="56" t="str">
        <f t="shared" si="180"/>
        <v/>
      </c>
      <c r="T3854" s="57" t="str">
        <f t="shared" si="181"/>
        <v/>
      </c>
      <c r="U3854" s="58" t="str">
        <f t="shared" si="182"/>
        <v/>
      </c>
    </row>
    <row r="3855" spans="19:21" ht="23.25" customHeight="1" x14ac:dyDescent="0.35">
      <c r="S3855" s="56" t="str">
        <f t="shared" si="180"/>
        <v/>
      </c>
      <c r="T3855" s="57" t="str">
        <f t="shared" si="181"/>
        <v/>
      </c>
      <c r="U3855" s="58" t="str">
        <f t="shared" si="182"/>
        <v/>
      </c>
    </row>
    <row r="3856" spans="19:21" ht="23.25" customHeight="1" x14ac:dyDescent="0.35">
      <c r="S3856" s="56" t="str">
        <f t="shared" si="180"/>
        <v/>
      </c>
      <c r="T3856" s="57" t="str">
        <f t="shared" si="181"/>
        <v/>
      </c>
      <c r="U3856" s="58" t="str">
        <f t="shared" si="182"/>
        <v/>
      </c>
    </row>
    <row r="3857" spans="19:21" ht="23.25" customHeight="1" x14ac:dyDescent="0.35">
      <c r="S3857" s="56" t="str">
        <f t="shared" si="180"/>
        <v/>
      </c>
      <c r="T3857" s="57" t="str">
        <f t="shared" si="181"/>
        <v/>
      </c>
      <c r="U3857" s="58" t="str">
        <f t="shared" si="182"/>
        <v/>
      </c>
    </row>
    <row r="3858" spans="19:21" ht="23.25" customHeight="1" x14ac:dyDescent="0.35">
      <c r="S3858" s="56" t="str">
        <f t="shared" si="180"/>
        <v/>
      </c>
      <c r="T3858" s="57" t="str">
        <f t="shared" si="181"/>
        <v/>
      </c>
      <c r="U3858" s="58" t="str">
        <f t="shared" si="182"/>
        <v/>
      </c>
    </row>
    <row r="3859" spans="19:21" ht="23.25" customHeight="1" x14ac:dyDescent="0.35">
      <c r="S3859" s="56" t="str">
        <f t="shared" si="180"/>
        <v/>
      </c>
      <c r="T3859" s="57" t="str">
        <f t="shared" si="181"/>
        <v/>
      </c>
      <c r="U3859" s="58" t="str">
        <f t="shared" si="182"/>
        <v/>
      </c>
    </row>
    <row r="3860" spans="19:21" ht="23.25" customHeight="1" x14ac:dyDescent="0.35">
      <c r="S3860" s="56" t="str">
        <f t="shared" si="180"/>
        <v/>
      </c>
      <c r="T3860" s="57" t="str">
        <f t="shared" si="181"/>
        <v/>
      </c>
      <c r="U3860" s="58" t="str">
        <f t="shared" si="182"/>
        <v/>
      </c>
    </row>
    <row r="3861" spans="19:21" ht="23.25" customHeight="1" x14ac:dyDescent="0.35">
      <c r="S3861" s="56" t="str">
        <f t="shared" si="180"/>
        <v/>
      </c>
      <c r="T3861" s="57" t="str">
        <f t="shared" si="181"/>
        <v/>
      </c>
      <c r="U3861" s="58" t="str">
        <f t="shared" si="182"/>
        <v/>
      </c>
    </row>
    <row r="3862" spans="19:21" ht="23.25" customHeight="1" x14ac:dyDescent="0.35">
      <c r="S3862" s="56" t="str">
        <f t="shared" si="180"/>
        <v/>
      </c>
      <c r="T3862" s="57" t="str">
        <f t="shared" si="181"/>
        <v/>
      </c>
      <c r="U3862" s="58" t="str">
        <f t="shared" si="182"/>
        <v/>
      </c>
    </row>
    <row r="3863" spans="19:21" ht="23.25" customHeight="1" x14ac:dyDescent="0.35">
      <c r="S3863" s="56" t="str">
        <f t="shared" si="180"/>
        <v/>
      </c>
      <c r="T3863" s="57" t="str">
        <f t="shared" si="181"/>
        <v/>
      </c>
      <c r="U3863" s="58" t="str">
        <f t="shared" si="182"/>
        <v/>
      </c>
    </row>
    <row r="3864" spans="19:21" ht="23.25" customHeight="1" x14ac:dyDescent="0.35">
      <c r="S3864" s="56" t="str">
        <f t="shared" si="180"/>
        <v/>
      </c>
      <c r="T3864" s="57" t="str">
        <f t="shared" si="181"/>
        <v/>
      </c>
      <c r="U3864" s="58" t="str">
        <f t="shared" si="182"/>
        <v/>
      </c>
    </row>
    <row r="3865" spans="19:21" ht="23.25" customHeight="1" x14ac:dyDescent="0.35">
      <c r="S3865" s="56" t="str">
        <f t="shared" si="180"/>
        <v/>
      </c>
      <c r="T3865" s="57" t="str">
        <f t="shared" si="181"/>
        <v/>
      </c>
      <c r="U3865" s="58" t="str">
        <f t="shared" si="182"/>
        <v/>
      </c>
    </row>
    <row r="3866" spans="19:21" ht="23.25" customHeight="1" x14ac:dyDescent="0.35">
      <c r="S3866" s="56" t="str">
        <f t="shared" si="180"/>
        <v/>
      </c>
      <c r="T3866" s="57" t="str">
        <f t="shared" si="181"/>
        <v/>
      </c>
      <c r="U3866" s="58" t="str">
        <f t="shared" si="182"/>
        <v/>
      </c>
    </row>
    <row r="3867" spans="19:21" ht="23.25" customHeight="1" x14ac:dyDescent="0.35">
      <c r="S3867" s="56" t="str">
        <f t="shared" si="180"/>
        <v/>
      </c>
      <c r="T3867" s="57" t="str">
        <f t="shared" si="181"/>
        <v/>
      </c>
      <c r="U3867" s="58" t="str">
        <f t="shared" si="182"/>
        <v/>
      </c>
    </row>
    <row r="3868" spans="19:21" ht="23.25" customHeight="1" x14ac:dyDescent="0.35">
      <c r="S3868" s="56" t="str">
        <f t="shared" si="180"/>
        <v/>
      </c>
      <c r="T3868" s="57" t="str">
        <f t="shared" si="181"/>
        <v/>
      </c>
      <c r="U3868" s="58" t="str">
        <f t="shared" si="182"/>
        <v/>
      </c>
    </row>
    <row r="3869" spans="19:21" ht="23.25" customHeight="1" x14ac:dyDescent="0.35">
      <c r="S3869" s="56" t="str">
        <f t="shared" si="180"/>
        <v/>
      </c>
      <c r="T3869" s="57" t="str">
        <f t="shared" si="181"/>
        <v/>
      </c>
      <c r="U3869" s="58" t="str">
        <f t="shared" si="182"/>
        <v/>
      </c>
    </row>
    <row r="3870" spans="19:21" ht="23.25" customHeight="1" x14ac:dyDescent="0.35">
      <c r="S3870" s="56" t="str">
        <f t="shared" si="180"/>
        <v/>
      </c>
      <c r="T3870" s="57" t="str">
        <f t="shared" si="181"/>
        <v/>
      </c>
      <c r="U3870" s="58" t="str">
        <f t="shared" si="182"/>
        <v/>
      </c>
    </row>
    <row r="3871" spans="19:21" ht="23.25" customHeight="1" x14ac:dyDescent="0.35">
      <c r="S3871" s="56" t="str">
        <f t="shared" si="180"/>
        <v/>
      </c>
      <c r="T3871" s="57" t="str">
        <f t="shared" si="181"/>
        <v/>
      </c>
      <c r="U3871" s="58" t="str">
        <f t="shared" si="182"/>
        <v/>
      </c>
    </row>
    <row r="3872" spans="19:21" ht="23.25" customHeight="1" x14ac:dyDescent="0.35">
      <c r="S3872" s="56" t="str">
        <f t="shared" si="180"/>
        <v/>
      </c>
      <c r="T3872" s="57" t="str">
        <f t="shared" si="181"/>
        <v/>
      </c>
      <c r="U3872" s="58" t="str">
        <f t="shared" si="182"/>
        <v/>
      </c>
    </row>
    <row r="3873" spans="19:21" ht="23.25" customHeight="1" x14ac:dyDescent="0.35">
      <c r="S3873" s="56" t="str">
        <f t="shared" si="180"/>
        <v/>
      </c>
      <c r="T3873" s="57" t="str">
        <f t="shared" si="181"/>
        <v/>
      </c>
      <c r="U3873" s="58" t="str">
        <f t="shared" si="182"/>
        <v/>
      </c>
    </row>
    <row r="3874" spans="19:21" ht="23.25" customHeight="1" x14ac:dyDescent="0.35">
      <c r="S3874" s="56" t="str">
        <f t="shared" si="180"/>
        <v/>
      </c>
      <c r="T3874" s="57" t="str">
        <f t="shared" si="181"/>
        <v/>
      </c>
      <c r="U3874" s="58" t="str">
        <f t="shared" si="182"/>
        <v/>
      </c>
    </row>
    <row r="3875" spans="19:21" ht="23.25" customHeight="1" x14ac:dyDescent="0.35">
      <c r="S3875" s="56" t="str">
        <f t="shared" si="180"/>
        <v/>
      </c>
      <c r="T3875" s="57" t="str">
        <f t="shared" si="181"/>
        <v/>
      </c>
      <c r="U3875" s="58" t="str">
        <f t="shared" si="182"/>
        <v/>
      </c>
    </row>
    <row r="3876" spans="19:21" ht="23.25" customHeight="1" x14ac:dyDescent="0.35">
      <c r="S3876" s="56" t="str">
        <f t="shared" si="180"/>
        <v/>
      </c>
      <c r="T3876" s="57" t="str">
        <f t="shared" si="181"/>
        <v/>
      </c>
      <c r="U3876" s="58" t="str">
        <f t="shared" si="182"/>
        <v/>
      </c>
    </row>
    <row r="3877" spans="19:21" ht="23.25" customHeight="1" x14ac:dyDescent="0.35">
      <c r="S3877" s="56" t="str">
        <f t="shared" si="180"/>
        <v/>
      </c>
      <c r="T3877" s="57" t="str">
        <f t="shared" si="181"/>
        <v/>
      </c>
      <c r="U3877" s="58" t="str">
        <f t="shared" si="182"/>
        <v/>
      </c>
    </row>
    <row r="3878" spans="19:21" ht="23.25" customHeight="1" x14ac:dyDescent="0.35">
      <c r="S3878" s="56" t="str">
        <f t="shared" si="180"/>
        <v/>
      </c>
      <c r="T3878" s="57" t="str">
        <f t="shared" si="181"/>
        <v/>
      </c>
      <c r="U3878" s="58" t="str">
        <f t="shared" si="182"/>
        <v/>
      </c>
    </row>
    <row r="3879" spans="19:21" ht="23.25" customHeight="1" x14ac:dyDescent="0.35">
      <c r="S3879" s="56" t="str">
        <f t="shared" si="180"/>
        <v/>
      </c>
      <c r="T3879" s="57" t="str">
        <f t="shared" si="181"/>
        <v/>
      </c>
      <c r="U3879" s="58" t="str">
        <f t="shared" si="182"/>
        <v/>
      </c>
    </row>
    <row r="3880" spans="19:21" ht="23.25" customHeight="1" x14ac:dyDescent="0.35">
      <c r="S3880" s="56" t="str">
        <f t="shared" si="180"/>
        <v/>
      </c>
      <c r="T3880" s="57" t="str">
        <f t="shared" si="181"/>
        <v/>
      </c>
      <c r="U3880" s="58" t="str">
        <f t="shared" si="182"/>
        <v/>
      </c>
    </row>
    <row r="3881" spans="19:21" ht="23.25" customHeight="1" x14ac:dyDescent="0.35">
      <c r="S3881" s="56" t="str">
        <f t="shared" si="180"/>
        <v/>
      </c>
      <c r="T3881" s="57" t="str">
        <f t="shared" si="181"/>
        <v/>
      </c>
      <c r="U3881" s="58" t="str">
        <f t="shared" si="182"/>
        <v/>
      </c>
    </row>
    <row r="3882" spans="19:21" ht="23.25" customHeight="1" x14ac:dyDescent="0.35">
      <c r="S3882" s="56" t="str">
        <f t="shared" si="180"/>
        <v/>
      </c>
      <c r="T3882" s="57" t="str">
        <f t="shared" si="181"/>
        <v/>
      </c>
      <c r="U3882" s="58" t="str">
        <f t="shared" si="182"/>
        <v/>
      </c>
    </row>
    <row r="3883" spans="19:21" ht="23.25" customHeight="1" x14ac:dyDescent="0.35">
      <c r="S3883" s="56" t="str">
        <f t="shared" si="180"/>
        <v/>
      </c>
      <c r="T3883" s="57" t="str">
        <f t="shared" si="181"/>
        <v/>
      </c>
      <c r="U3883" s="58" t="str">
        <f t="shared" si="182"/>
        <v/>
      </c>
    </row>
    <row r="3884" spans="19:21" ht="23.25" customHeight="1" x14ac:dyDescent="0.35">
      <c r="S3884" s="56" t="str">
        <f t="shared" si="180"/>
        <v/>
      </c>
      <c r="T3884" s="57" t="str">
        <f t="shared" si="181"/>
        <v/>
      </c>
      <c r="U3884" s="58" t="str">
        <f t="shared" si="182"/>
        <v/>
      </c>
    </row>
    <row r="3885" spans="19:21" ht="23.25" customHeight="1" x14ac:dyDescent="0.35">
      <c r="S3885" s="56" t="str">
        <f t="shared" si="180"/>
        <v/>
      </c>
      <c r="T3885" s="57" t="str">
        <f t="shared" si="181"/>
        <v/>
      </c>
      <c r="U3885" s="58" t="str">
        <f t="shared" si="182"/>
        <v/>
      </c>
    </row>
    <row r="3886" spans="19:21" ht="23.25" customHeight="1" x14ac:dyDescent="0.35">
      <c r="S3886" s="56" t="str">
        <f t="shared" si="180"/>
        <v/>
      </c>
      <c r="T3886" s="57" t="str">
        <f t="shared" si="181"/>
        <v/>
      </c>
      <c r="U3886" s="58" t="str">
        <f t="shared" si="182"/>
        <v/>
      </c>
    </row>
    <row r="3887" spans="19:21" ht="23.25" customHeight="1" x14ac:dyDescent="0.35">
      <c r="S3887" s="56" t="str">
        <f t="shared" si="180"/>
        <v/>
      </c>
      <c r="T3887" s="57" t="str">
        <f t="shared" si="181"/>
        <v/>
      </c>
      <c r="U3887" s="58" t="str">
        <f t="shared" si="182"/>
        <v/>
      </c>
    </row>
    <row r="3888" spans="19:21" ht="23.25" customHeight="1" x14ac:dyDescent="0.35">
      <c r="S3888" s="56" t="str">
        <f t="shared" si="180"/>
        <v/>
      </c>
      <c r="T3888" s="57" t="str">
        <f t="shared" si="181"/>
        <v/>
      </c>
      <c r="U3888" s="58" t="str">
        <f t="shared" si="182"/>
        <v/>
      </c>
    </row>
    <row r="3889" spans="19:21" ht="23.25" customHeight="1" x14ac:dyDescent="0.35">
      <c r="S3889" s="56" t="str">
        <f t="shared" si="180"/>
        <v/>
      </c>
      <c r="T3889" s="57" t="str">
        <f t="shared" si="181"/>
        <v/>
      </c>
      <c r="U3889" s="58" t="str">
        <f t="shared" si="182"/>
        <v/>
      </c>
    </row>
    <row r="3890" spans="19:21" ht="23.25" customHeight="1" x14ac:dyDescent="0.35">
      <c r="S3890" s="56" t="str">
        <f t="shared" si="180"/>
        <v/>
      </c>
      <c r="T3890" s="57" t="str">
        <f t="shared" si="181"/>
        <v/>
      </c>
      <c r="U3890" s="58" t="str">
        <f t="shared" si="182"/>
        <v/>
      </c>
    </row>
    <row r="3891" spans="19:21" ht="23.25" customHeight="1" x14ac:dyDescent="0.35">
      <c r="S3891" s="56" t="str">
        <f t="shared" si="180"/>
        <v/>
      </c>
      <c r="T3891" s="57" t="str">
        <f t="shared" si="181"/>
        <v/>
      </c>
      <c r="U3891" s="58" t="str">
        <f t="shared" si="182"/>
        <v/>
      </c>
    </row>
    <row r="3892" spans="19:21" ht="23.25" customHeight="1" x14ac:dyDescent="0.35">
      <c r="S3892" s="56" t="str">
        <f t="shared" si="180"/>
        <v/>
      </c>
      <c r="T3892" s="57" t="str">
        <f t="shared" si="181"/>
        <v/>
      </c>
      <c r="U3892" s="58" t="str">
        <f t="shared" si="182"/>
        <v/>
      </c>
    </row>
    <row r="3893" spans="19:21" ht="23.25" customHeight="1" x14ac:dyDescent="0.35">
      <c r="S3893" s="56" t="str">
        <f t="shared" si="180"/>
        <v/>
      </c>
      <c r="T3893" s="57" t="str">
        <f t="shared" si="181"/>
        <v/>
      </c>
      <c r="U3893" s="58" t="str">
        <f t="shared" si="182"/>
        <v/>
      </c>
    </row>
    <row r="3894" spans="19:21" ht="23.25" customHeight="1" x14ac:dyDescent="0.35">
      <c r="S3894" s="56" t="str">
        <f t="shared" si="180"/>
        <v/>
      </c>
      <c r="T3894" s="57" t="str">
        <f t="shared" si="181"/>
        <v/>
      </c>
      <c r="U3894" s="58" t="str">
        <f t="shared" si="182"/>
        <v/>
      </c>
    </row>
    <row r="3895" spans="19:21" ht="23.25" customHeight="1" x14ac:dyDescent="0.35">
      <c r="S3895" s="56" t="str">
        <f t="shared" si="180"/>
        <v/>
      </c>
      <c r="T3895" s="57" t="str">
        <f t="shared" si="181"/>
        <v/>
      </c>
      <c r="U3895" s="58" t="str">
        <f t="shared" si="182"/>
        <v/>
      </c>
    </row>
    <row r="3896" spans="19:21" ht="23.25" customHeight="1" x14ac:dyDescent="0.35">
      <c r="S3896" s="56" t="str">
        <f t="shared" si="180"/>
        <v/>
      </c>
      <c r="T3896" s="57" t="str">
        <f t="shared" si="181"/>
        <v/>
      </c>
      <c r="U3896" s="58" t="str">
        <f t="shared" si="182"/>
        <v/>
      </c>
    </row>
    <row r="3897" spans="19:21" ht="23.25" customHeight="1" x14ac:dyDescent="0.35">
      <c r="S3897" s="56" t="str">
        <f t="shared" si="180"/>
        <v/>
      </c>
      <c r="T3897" s="57" t="str">
        <f t="shared" si="181"/>
        <v/>
      </c>
      <c r="U3897" s="58" t="str">
        <f t="shared" si="182"/>
        <v/>
      </c>
    </row>
    <row r="3898" spans="19:21" ht="23.25" customHeight="1" x14ac:dyDescent="0.35">
      <c r="S3898" s="56" t="str">
        <f t="shared" si="180"/>
        <v/>
      </c>
      <c r="T3898" s="57" t="str">
        <f t="shared" si="181"/>
        <v/>
      </c>
      <c r="U3898" s="58" t="str">
        <f t="shared" si="182"/>
        <v/>
      </c>
    </row>
    <row r="3899" spans="19:21" ht="23.25" customHeight="1" x14ac:dyDescent="0.35">
      <c r="S3899" s="56" t="str">
        <f t="shared" si="180"/>
        <v/>
      </c>
      <c r="T3899" s="57" t="str">
        <f t="shared" si="181"/>
        <v/>
      </c>
      <c r="U3899" s="58" t="str">
        <f t="shared" si="182"/>
        <v/>
      </c>
    </row>
    <row r="3900" spans="19:21" ht="23.25" customHeight="1" x14ac:dyDescent="0.35">
      <c r="S3900" s="56" t="str">
        <f t="shared" si="180"/>
        <v/>
      </c>
      <c r="T3900" s="57" t="str">
        <f t="shared" si="181"/>
        <v/>
      </c>
      <c r="U3900" s="58" t="str">
        <f t="shared" si="182"/>
        <v/>
      </c>
    </row>
    <row r="3901" spans="19:21" ht="23.25" customHeight="1" x14ac:dyDescent="0.35">
      <c r="S3901" s="56" t="str">
        <f t="shared" si="180"/>
        <v/>
      </c>
      <c r="T3901" s="57" t="str">
        <f t="shared" si="181"/>
        <v/>
      </c>
      <c r="U3901" s="58" t="str">
        <f t="shared" si="182"/>
        <v/>
      </c>
    </row>
    <row r="3902" spans="19:21" ht="23.25" customHeight="1" x14ac:dyDescent="0.35">
      <c r="S3902" s="56" t="str">
        <f t="shared" si="180"/>
        <v/>
      </c>
      <c r="T3902" s="57" t="str">
        <f t="shared" si="181"/>
        <v/>
      </c>
      <c r="U3902" s="58" t="str">
        <f t="shared" si="182"/>
        <v/>
      </c>
    </row>
    <row r="3903" spans="19:21" ht="23.25" customHeight="1" x14ac:dyDescent="0.35">
      <c r="S3903" s="56" t="str">
        <f t="shared" si="180"/>
        <v/>
      </c>
      <c r="T3903" s="57" t="str">
        <f t="shared" si="181"/>
        <v/>
      </c>
      <c r="U3903" s="58" t="str">
        <f t="shared" si="182"/>
        <v/>
      </c>
    </row>
    <row r="3904" spans="19:21" ht="23.25" customHeight="1" x14ac:dyDescent="0.35">
      <c r="S3904" s="56" t="str">
        <f t="shared" si="180"/>
        <v/>
      </c>
      <c r="T3904" s="57" t="str">
        <f t="shared" si="181"/>
        <v/>
      </c>
      <c r="U3904" s="58" t="str">
        <f t="shared" si="182"/>
        <v/>
      </c>
    </row>
    <row r="3905" spans="19:21" ht="23.25" customHeight="1" x14ac:dyDescent="0.35">
      <c r="S3905" s="56" t="str">
        <f t="shared" si="180"/>
        <v/>
      </c>
      <c r="T3905" s="57" t="str">
        <f t="shared" si="181"/>
        <v/>
      </c>
      <c r="U3905" s="58" t="str">
        <f t="shared" si="182"/>
        <v/>
      </c>
    </row>
    <row r="3906" spans="19:21" ht="23.25" customHeight="1" x14ac:dyDescent="0.35">
      <c r="S3906" s="56" t="str">
        <f t="shared" si="180"/>
        <v/>
      </c>
      <c r="T3906" s="57" t="str">
        <f t="shared" si="181"/>
        <v/>
      </c>
      <c r="U3906" s="58" t="str">
        <f t="shared" si="182"/>
        <v/>
      </c>
    </row>
    <row r="3907" spans="19:21" ht="23.25" customHeight="1" x14ac:dyDescent="0.35">
      <c r="S3907" s="56" t="str">
        <f t="shared" si="180"/>
        <v/>
      </c>
      <c r="T3907" s="57" t="str">
        <f t="shared" si="181"/>
        <v/>
      </c>
      <c r="U3907" s="58" t="str">
        <f t="shared" si="182"/>
        <v/>
      </c>
    </row>
    <row r="3908" spans="19:21" ht="23.25" customHeight="1" x14ac:dyDescent="0.35">
      <c r="S3908" s="56" t="str">
        <f t="shared" si="180"/>
        <v/>
      </c>
      <c r="T3908" s="57" t="str">
        <f t="shared" si="181"/>
        <v/>
      </c>
      <c r="U3908" s="58" t="str">
        <f t="shared" si="182"/>
        <v/>
      </c>
    </row>
    <row r="3909" spans="19:21" ht="23.25" customHeight="1" x14ac:dyDescent="0.35">
      <c r="S3909" s="56" t="str">
        <f t="shared" si="180"/>
        <v/>
      </c>
      <c r="T3909" s="57" t="str">
        <f t="shared" si="181"/>
        <v/>
      </c>
      <c r="U3909" s="58" t="str">
        <f t="shared" si="182"/>
        <v/>
      </c>
    </row>
    <row r="3910" spans="19:21" ht="23.25" customHeight="1" x14ac:dyDescent="0.35">
      <c r="S3910" s="56" t="str">
        <f t="shared" si="180"/>
        <v/>
      </c>
      <c r="T3910" s="57" t="str">
        <f t="shared" si="181"/>
        <v/>
      </c>
      <c r="U3910" s="58" t="str">
        <f t="shared" si="182"/>
        <v/>
      </c>
    </row>
    <row r="3911" spans="19:21" ht="23.25" customHeight="1" x14ac:dyDescent="0.35">
      <c r="S3911" s="56" t="str">
        <f t="shared" si="180"/>
        <v/>
      </c>
      <c r="T3911" s="57" t="str">
        <f t="shared" si="181"/>
        <v/>
      </c>
      <c r="U3911" s="58" t="str">
        <f t="shared" si="182"/>
        <v/>
      </c>
    </row>
    <row r="3912" spans="19:21" ht="23.25" customHeight="1" x14ac:dyDescent="0.35">
      <c r="S3912" s="56" t="str">
        <f t="shared" si="180"/>
        <v/>
      </c>
      <c r="T3912" s="57" t="str">
        <f t="shared" si="181"/>
        <v/>
      </c>
      <c r="U3912" s="58" t="str">
        <f t="shared" si="182"/>
        <v/>
      </c>
    </row>
    <row r="3913" spans="19:21" ht="23.25" customHeight="1" x14ac:dyDescent="0.35">
      <c r="S3913" s="56" t="str">
        <f t="shared" ref="S3913:S3976" si="183">IF(A3913="","",A$5-A3913)</f>
        <v/>
      </c>
      <c r="T3913" s="57" t="str">
        <f t="shared" ref="T3913:T3976" si="184">IF(S3913="","",IF(S3913&lt;4,"0-3 Days",IF(S3913&lt;31,"4-30 Days",IF(S3913&lt;61,"31-60 Days",IF(S3913&lt;=90,"61-90 Days",IF(S3913&gt;90,"Above 90 Days","0"))))))</f>
        <v/>
      </c>
      <c r="U3913" s="58" t="str">
        <f t="shared" ref="U3913:U3976" si="185">IF(C3913="","",IF(C3913&gt;0,IF(S3913&lt;30,"Normal",IF(S3913&lt;60,"Especially Mentioned",IF(S3913&lt;90,"Substandard",IF(S3913&lt;=180,"Doubtful",IF(S3913&gt;180,"Loss","0"))))),"Not Applicable"))</f>
        <v/>
      </c>
    </row>
    <row r="3914" spans="19:21" ht="23.25" customHeight="1" x14ac:dyDescent="0.35">
      <c r="S3914" s="56" t="str">
        <f t="shared" si="183"/>
        <v/>
      </c>
      <c r="T3914" s="57" t="str">
        <f t="shared" si="184"/>
        <v/>
      </c>
      <c r="U3914" s="58" t="str">
        <f t="shared" si="185"/>
        <v/>
      </c>
    </row>
    <row r="3915" spans="19:21" ht="23.25" customHeight="1" x14ac:dyDescent="0.35">
      <c r="S3915" s="56" t="str">
        <f t="shared" si="183"/>
        <v/>
      </c>
      <c r="T3915" s="57" t="str">
        <f t="shared" si="184"/>
        <v/>
      </c>
      <c r="U3915" s="58" t="str">
        <f t="shared" si="185"/>
        <v/>
      </c>
    </row>
    <row r="3916" spans="19:21" ht="23.25" customHeight="1" x14ac:dyDescent="0.35">
      <c r="S3916" s="56" t="str">
        <f t="shared" si="183"/>
        <v/>
      </c>
      <c r="T3916" s="57" t="str">
        <f t="shared" si="184"/>
        <v/>
      </c>
      <c r="U3916" s="58" t="str">
        <f t="shared" si="185"/>
        <v/>
      </c>
    </row>
    <row r="3917" spans="19:21" ht="23.25" customHeight="1" x14ac:dyDescent="0.35">
      <c r="S3917" s="56" t="str">
        <f t="shared" si="183"/>
        <v/>
      </c>
      <c r="T3917" s="57" t="str">
        <f t="shared" si="184"/>
        <v/>
      </c>
      <c r="U3917" s="58" t="str">
        <f t="shared" si="185"/>
        <v/>
      </c>
    </row>
    <row r="3918" spans="19:21" ht="23.25" customHeight="1" x14ac:dyDescent="0.35">
      <c r="S3918" s="56" t="str">
        <f t="shared" si="183"/>
        <v/>
      </c>
      <c r="T3918" s="57" t="str">
        <f t="shared" si="184"/>
        <v/>
      </c>
      <c r="U3918" s="58" t="str">
        <f t="shared" si="185"/>
        <v/>
      </c>
    </row>
    <row r="3919" spans="19:21" ht="23.25" customHeight="1" x14ac:dyDescent="0.35">
      <c r="S3919" s="56" t="str">
        <f t="shared" si="183"/>
        <v/>
      </c>
      <c r="T3919" s="57" t="str">
        <f t="shared" si="184"/>
        <v/>
      </c>
      <c r="U3919" s="58" t="str">
        <f t="shared" si="185"/>
        <v/>
      </c>
    </row>
    <row r="3920" spans="19:21" ht="23.25" customHeight="1" x14ac:dyDescent="0.35">
      <c r="S3920" s="56" t="str">
        <f t="shared" si="183"/>
        <v/>
      </c>
      <c r="T3920" s="57" t="str">
        <f t="shared" si="184"/>
        <v/>
      </c>
      <c r="U3920" s="58" t="str">
        <f t="shared" si="185"/>
        <v/>
      </c>
    </row>
    <row r="3921" spans="19:21" ht="23.25" customHeight="1" x14ac:dyDescent="0.35">
      <c r="S3921" s="56" t="str">
        <f t="shared" si="183"/>
        <v/>
      </c>
      <c r="T3921" s="57" t="str">
        <f t="shared" si="184"/>
        <v/>
      </c>
      <c r="U3921" s="58" t="str">
        <f t="shared" si="185"/>
        <v/>
      </c>
    </row>
    <row r="3922" spans="19:21" ht="23.25" customHeight="1" x14ac:dyDescent="0.35">
      <c r="S3922" s="56" t="str">
        <f t="shared" si="183"/>
        <v/>
      </c>
      <c r="T3922" s="57" t="str">
        <f t="shared" si="184"/>
        <v/>
      </c>
      <c r="U3922" s="58" t="str">
        <f t="shared" si="185"/>
        <v/>
      </c>
    </row>
    <row r="3923" spans="19:21" ht="23.25" customHeight="1" x14ac:dyDescent="0.35">
      <c r="S3923" s="56" t="str">
        <f t="shared" si="183"/>
        <v/>
      </c>
      <c r="T3923" s="57" t="str">
        <f t="shared" si="184"/>
        <v/>
      </c>
      <c r="U3923" s="58" t="str">
        <f t="shared" si="185"/>
        <v/>
      </c>
    </row>
    <row r="3924" spans="19:21" ht="23.25" customHeight="1" x14ac:dyDescent="0.35">
      <c r="S3924" s="56" t="str">
        <f t="shared" si="183"/>
        <v/>
      </c>
      <c r="T3924" s="57" t="str">
        <f t="shared" si="184"/>
        <v/>
      </c>
      <c r="U3924" s="58" t="str">
        <f t="shared" si="185"/>
        <v/>
      </c>
    </row>
    <row r="3925" spans="19:21" ht="23.25" customHeight="1" x14ac:dyDescent="0.35">
      <c r="S3925" s="56" t="str">
        <f t="shared" si="183"/>
        <v/>
      </c>
      <c r="T3925" s="57" t="str">
        <f t="shared" si="184"/>
        <v/>
      </c>
      <c r="U3925" s="58" t="str">
        <f t="shared" si="185"/>
        <v/>
      </c>
    </row>
    <row r="3926" spans="19:21" ht="23.25" customHeight="1" x14ac:dyDescent="0.35">
      <c r="S3926" s="56" t="str">
        <f t="shared" si="183"/>
        <v/>
      </c>
      <c r="T3926" s="57" t="str">
        <f t="shared" si="184"/>
        <v/>
      </c>
      <c r="U3926" s="58" t="str">
        <f t="shared" si="185"/>
        <v/>
      </c>
    </row>
    <row r="3927" spans="19:21" ht="23.25" customHeight="1" x14ac:dyDescent="0.35">
      <c r="S3927" s="56" t="str">
        <f t="shared" si="183"/>
        <v/>
      </c>
      <c r="T3927" s="57" t="str">
        <f t="shared" si="184"/>
        <v/>
      </c>
      <c r="U3927" s="58" t="str">
        <f t="shared" si="185"/>
        <v/>
      </c>
    </row>
    <row r="3928" spans="19:21" ht="23.25" customHeight="1" x14ac:dyDescent="0.35">
      <c r="S3928" s="56" t="str">
        <f t="shared" si="183"/>
        <v/>
      </c>
      <c r="T3928" s="57" t="str">
        <f t="shared" si="184"/>
        <v/>
      </c>
      <c r="U3928" s="58" t="str">
        <f t="shared" si="185"/>
        <v/>
      </c>
    </row>
    <row r="3929" spans="19:21" ht="23.25" customHeight="1" x14ac:dyDescent="0.35">
      <c r="S3929" s="56" t="str">
        <f t="shared" si="183"/>
        <v/>
      </c>
      <c r="T3929" s="57" t="str">
        <f t="shared" si="184"/>
        <v/>
      </c>
      <c r="U3929" s="58" t="str">
        <f t="shared" si="185"/>
        <v/>
      </c>
    </row>
    <row r="3930" spans="19:21" ht="23.25" customHeight="1" x14ac:dyDescent="0.35">
      <c r="S3930" s="56" t="str">
        <f t="shared" si="183"/>
        <v/>
      </c>
      <c r="T3930" s="57" t="str">
        <f t="shared" si="184"/>
        <v/>
      </c>
      <c r="U3930" s="58" t="str">
        <f t="shared" si="185"/>
        <v/>
      </c>
    </row>
    <row r="3931" spans="19:21" ht="23.25" customHeight="1" x14ac:dyDescent="0.35">
      <c r="S3931" s="56" t="str">
        <f t="shared" si="183"/>
        <v/>
      </c>
      <c r="T3931" s="57" t="str">
        <f t="shared" si="184"/>
        <v/>
      </c>
      <c r="U3931" s="58" t="str">
        <f t="shared" si="185"/>
        <v/>
      </c>
    </row>
    <row r="3932" spans="19:21" ht="23.25" customHeight="1" x14ac:dyDescent="0.35">
      <c r="S3932" s="56" t="str">
        <f t="shared" si="183"/>
        <v/>
      </c>
      <c r="T3932" s="57" t="str">
        <f t="shared" si="184"/>
        <v/>
      </c>
      <c r="U3932" s="58" t="str">
        <f t="shared" si="185"/>
        <v/>
      </c>
    </row>
    <row r="3933" spans="19:21" ht="23.25" customHeight="1" x14ac:dyDescent="0.35">
      <c r="S3933" s="56" t="str">
        <f t="shared" si="183"/>
        <v/>
      </c>
      <c r="T3933" s="57" t="str">
        <f t="shared" si="184"/>
        <v/>
      </c>
      <c r="U3933" s="58" t="str">
        <f t="shared" si="185"/>
        <v/>
      </c>
    </row>
    <row r="3934" spans="19:21" ht="23.25" customHeight="1" x14ac:dyDescent="0.35">
      <c r="S3934" s="56" t="str">
        <f t="shared" si="183"/>
        <v/>
      </c>
      <c r="T3934" s="57" t="str">
        <f t="shared" si="184"/>
        <v/>
      </c>
      <c r="U3934" s="58" t="str">
        <f t="shared" si="185"/>
        <v/>
      </c>
    </row>
    <row r="3935" spans="19:21" ht="23.25" customHeight="1" x14ac:dyDescent="0.35">
      <c r="S3935" s="56" t="str">
        <f t="shared" si="183"/>
        <v/>
      </c>
      <c r="T3935" s="57" t="str">
        <f t="shared" si="184"/>
        <v/>
      </c>
      <c r="U3935" s="58" t="str">
        <f t="shared" si="185"/>
        <v/>
      </c>
    </row>
    <row r="3936" spans="19:21" ht="23.25" customHeight="1" x14ac:dyDescent="0.35">
      <c r="S3936" s="56" t="str">
        <f t="shared" si="183"/>
        <v/>
      </c>
      <c r="T3936" s="57" t="str">
        <f t="shared" si="184"/>
        <v/>
      </c>
      <c r="U3936" s="58" t="str">
        <f t="shared" si="185"/>
        <v/>
      </c>
    </row>
    <row r="3937" spans="19:21" ht="23.25" customHeight="1" x14ac:dyDescent="0.35">
      <c r="S3937" s="56" t="str">
        <f t="shared" si="183"/>
        <v/>
      </c>
      <c r="T3937" s="57" t="str">
        <f t="shared" si="184"/>
        <v/>
      </c>
      <c r="U3937" s="58" t="str">
        <f t="shared" si="185"/>
        <v/>
      </c>
    </row>
    <row r="3938" spans="19:21" ht="23.25" customHeight="1" x14ac:dyDescent="0.35">
      <c r="S3938" s="56" t="str">
        <f t="shared" si="183"/>
        <v/>
      </c>
      <c r="T3938" s="57" t="str">
        <f t="shared" si="184"/>
        <v/>
      </c>
      <c r="U3938" s="58" t="str">
        <f t="shared" si="185"/>
        <v/>
      </c>
    </row>
    <row r="3939" spans="19:21" ht="23.25" customHeight="1" x14ac:dyDescent="0.35">
      <c r="S3939" s="56" t="str">
        <f t="shared" si="183"/>
        <v/>
      </c>
      <c r="T3939" s="57" t="str">
        <f t="shared" si="184"/>
        <v/>
      </c>
      <c r="U3939" s="58" t="str">
        <f t="shared" si="185"/>
        <v/>
      </c>
    </row>
    <row r="3940" spans="19:21" ht="23.25" customHeight="1" x14ac:dyDescent="0.35">
      <c r="S3940" s="56" t="str">
        <f t="shared" si="183"/>
        <v/>
      </c>
      <c r="T3940" s="57" t="str">
        <f t="shared" si="184"/>
        <v/>
      </c>
      <c r="U3940" s="58" t="str">
        <f t="shared" si="185"/>
        <v/>
      </c>
    </row>
    <row r="3941" spans="19:21" ht="23.25" customHeight="1" x14ac:dyDescent="0.35">
      <c r="S3941" s="56" t="str">
        <f t="shared" si="183"/>
        <v/>
      </c>
      <c r="T3941" s="57" t="str">
        <f t="shared" si="184"/>
        <v/>
      </c>
      <c r="U3941" s="58" t="str">
        <f t="shared" si="185"/>
        <v/>
      </c>
    </row>
    <row r="3942" spans="19:21" ht="23.25" customHeight="1" x14ac:dyDescent="0.35">
      <c r="S3942" s="56" t="str">
        <f t="shared" si="183"/>
        <v/>
      </c>
      <c r="T3942" s="57" t="str">
        <f t="shared" si="184"/>
        <v/>
      </c>
      <c r="U3942" s="58" t="str">
        <f t="shared" si="185"/>
        <v/>
      </c>
    </row>
    <row r="3943" spans="19:21" ht="23.25" customHeight="1" x14ac:dyDescent="0.35">
      <c r="S3943" s="56" t="str">
        <f t="shared" si="183"/>
        <v/>
      </c>
      <c r="T3943" s="57" t="str">
        <f t="shared" si="184"/>
        <v/>
      </c>
      <c r="U3943" s="58" t="str">
        <f t="shared" si="185"/>
        <v/>
      </c>
    </row>
    <row r="3944" spans="19:21" ht="23.25" customHeight="1" x14ac:dyDescent="0.35">
      <c r="S3944" s="56" t="str">
        <f t="shared" si="183"/>
        <v/>
      </c>
      <c r="T3944" s="57" t="str">
        <f t="shared" si="184"/>
        <v/>
      </c>
      <c r="U3944" s="58" t="str">
        <f t="shared" si="185"/>
        <v/>
      </c>
    </row>
    <row r="3945" spans="19:21" ht="23.25" customHeight="1" x14ac:dyDescent="0.35">
      <c r="S3945" s="56" t="str">
        <f t="shared" si="183"/>
        <v/>
      </c>
      <c r="T3945" s="57" t="str">
        <f t="shared" si="184"/>
        <v/>
      </c>
      <c r="U3945" s="58" t="str">
        <f t="shared" si="185"/>
        <v/>
      </c>
    </row>
    <row r="3946" spans="19:21" ht="23.25" customHeight="1" x14ac:dyDescent="0.35">
      <c r="S3946" s="56" t="str">
        <f t="shared" si="183"/>
        <v/>
      </c>
      <c r="T3946" s="57" t="str">
        <f t="shared" si="184"/>
        <v/>
      </c>
      <c r="U3946" s="58" t="str">
        <f t="shared" si="185"/>
        <v/>
      </c>
    </row>
    <row r="3947" spans="19:21" ht="23.25" customHeight="1" x14ac:dyDescent="0.35">
      <c r="S3947" s="56" t="str">
        <f t="shared" si="183"/>
        <v/>
      </c>
      <c r="T3947" s="57" t="str">
        <f t="shared" si="184"/>
        <v/>
      </c>
      <c r="U3947" s="58" t="str">
        <f t="shared" si="185"/>
        <v/>
      </c>
    </row>
    <row r="3948" spans="19:21" ht="23.25" customHeight="1" x14ac:dyDescent="0.35">
      <c r="S3948" s="56" t="str">
        <f t="shared" si="183"/>
        <v/>
      </c>
      <c r="T3948" s="57" t="str">
        <f t="shared" si="184"/>
        <v/>
      </c>
      <c r="U3948" s="58" t="str">
        <f t="shared" si="185"/>
        <v/>
      </c>
    </row>
    <row r="3949" spans="19:21" ht="23.25" customHeight="1" x14ac:dyDescent="0.35">
      <c r="S3949" s="56" t="str">
        <f t="shared" si="183"/>
        <v/>
      </c>
      <c r="T3949" s="57" t="str">
        <f t="shared" si="184"/>
        <v/>
      </c>
      <c r="U3949" s="58" t="str">
        <f t="shared" si="185"/>
        <v/>
      </c>
    </row>
    <row r="3950" spans="19:21" ht="23.25" customHeight="1" x14ac:dyDescent="0.35">
      <c r="S3950" s="56" t="str">
        <f t="shared" si="183"/>
        <v/>
      </c>
      <c r="T3950" s="57" t="str">
        <f t="shared" si="184"/>
        <v/>
      </c>
      <c r="U3950" s="58" t="str">
        <f t="shared" si="185"/>
        <v/>
      </c>
    </row>
    <row r="3951" spans="19:21" ht="23.25" customHeight="1" x14ac:dyDescent="0.35">
      <c r="S3951" s="56" t="str">
        <f t="shared" si="183"/>
        <v/>
      </c>
      <c r="T3951" s="57" t="str">
        <f t="shared" si="184"/>
        <v/>
      </c>
      <c r="U3951" s="58" t="str">
        <f t="shared" si="185"/>
        <v/>
      </c>
    </row>
    <row r="3952" spans="19:21" ht="23.25" customHeight="1" x14ac:dyDescent="0.35">
      <c r="S3952" s="56" t="str">
        <f t="shared" si="183"/>
        <v/>
      </c>
      <c r="T3952" s="57" t="str">
        <f t="shared" si="184"/>
        <v/>
      </c>
      <c r="U3952" s="58" t="str">
        <f t="shared" si="185"/>
        <v/>
      </c>
    </row>
    <row r="3953" spans="19:21" ht="23.25" customHeight="1" x14ac:dyDescent="0.35">
      <c r="S3953" s="56" t="str">
        <f t="shared" si="183"/>
        <v/>
      </c>
      <c r="T3953" s="57" t="str">
        <f t="shared" si="184"/>
        <v/>
      </c>
      <c r="U3953" s="58" t="str">
        <f t="shared" si="185"/>
        <v/>
      </c>
    </row>
    <row r="3954" spans="19:21" ht="23.25" customHeight="1" x14ac:dyDescent="0.35">
      <c r="S3954" s="56" t="str">
        <f t="shared" si="183"/>
        <v/>
      </c>
      <c r="T3954" s="57" t="str">
        <f t="shared" si="184"/>
        <v/>
      </c>
      <c r="U3954" s="58" t="str">
        <f t="shared" si="185"/>
        <v/>
      </c>
    </row>
    <row r="3955" spans="19:21" ht="23.25" customHeight="1" x14ac:dyDescent="0.35">
      <c r="S3955" s="56" t="str">
        <f t="shared" si="183"/>
        <v/>
      </c>
      <c r="T3955" s="57" t="str">
        <f t="shared" si="184"/>
        <v/>
      </c>
      <c r="U3955" s="58" t="str">
        <f t="shared" si="185"/>
        <v/>
      </c>
    </row>
    <row r="3956" spans="19:21" ht="23.25" customHeight="1" x14ac:dyDescent="0.35">
      <c r="S3956" s="56" t="str">
        <f t="shared" si="183"/>
        <v/>
      </c>
      <c r="T3956" s="57" t="str">
        <f t="shared" si="184"/>
        <v/>
      </c>
      <c r="U3956" s="58" t="str">
        <f t="shared" si="185"/>
        <v/>
      </c>
    </row>
    <row r="3957" spans="19:21" ht="23.25" customHeight="1" x14ac:dyDescent="0.35">
      <c r="S3957" s="56" t="str">
        <f t="shared" si="183"/>
        <v/>
      </c>
      <c r="T3957" s="57" t="str">
        <f t="shared" si="184"/>
        <v/>
      </c>
      <c r="U3957" s="58" t="str">
        <f t="shared" si="185"/>
        <v/>
      </c>
    </row>
    <row r="3958" spans="19:21" ht="23.25" customHeight="1" x14ac:dyDescent="0.35">
      <c r="S3958" s="56" t="str">
        <f t="shared" si="183"/>
        <v/>
      </c>
      <c r="T3958" s="57" t="str">
        <f t="shared" si="184"/>
        <v/>
      </c>
      <c r="U3958" s="58" t="str">
        <f t="shared" si="185"/>
        <v/>
      </c>
    </row>
    <row r="3959" spans="19:21" ht="23.25" customHeight="1" x14ac:dyDescent="0.35">
      <c r="S3959" s="56" t="str">
        <f t="shared" si="183"/>
        <v/>
      </c>
      <c r="T3959" s="57" t="str">
        <f t="shared" si="184"/>
        <v/>
      </c>
      <c r="U3959" s="58" t="str">
        <f t="shared" si="185"/>
        <v/>
      </c>
    </row>
    <row r="3960" spans="19:21" ht="23.25" customHeight="1" x14ac:dyDescent="0.35">
      <c r="S3960" s="56" t="str">
        <f t="shared" si="183"/>
        <v/>
      </c>
      <c r="T3960" s="57" t="str">
        <f t="shared" si="184"/>
        <v/>
      </c>
      <c r="U3960" s="58" t="str">
        <f t="shared" si="185"/>
        <v/>
      </c>
    </row>
    <row r="3961" spans="19:21" ht="23.25" customHeight="1" x14ac:dyDescent="0.35">
      <c r="S3961" s="56" t="str">
        <f t="shared" si="183"/>
        <v/>
      </c>
      <c r="T3961" s="57" t="str">
        <f t="shared" si="184"/>
        <v/>
      </c>
      <c r="U3961" s="58" t="str">
        <f t="shared" si="185"/>
        <v/>
      </c>
    </row>
    <row r="3962" spans="19:21" ht="23.25" customHeight="1" x14ac:dyDescent="0.35">
      <c r="S3962" s="56" t="str">
        <f t="shared" si="183"/>
        <v/>
      </c>
      <c r="T3962" s="57" t="str">
        <f t="shared" si="184"/>
        <v/>
      </c>
      <c r="U3962" s="58" t="str">
        <f t="shared" si="185"/>
        <v/>
      </c>
    </row>
    <row r="3963" spans="19:21" ht="23.25" customHeight="1" x14ac:dyDescent="0.35">
      <c r="S3963" s="56" t="str">
        <f t="shared" si="183"/>
        <v/>
      </c>
      <c r="T3963" s="57" t="str">
        <f t="shared" si="184"/>
        <v/>
      </c>
      <c r="U3963" s="58" t="str">
        <f t="shared" si="185"/>
        <v/>
      </c>
    </row>
    <row r="3964" spans="19:21" ht="23.25" customHeight="1" x14ac:dyDescent="0.35">
      <c r="S3964" s="56" t="str">
        <f t="shared" si="183"/>
        <v/>
      </c>
      <c r="T3964" s="57" t="str">
        <f t="shared" si="184"/>
        <v/>
      </c>
      <c r="U3964" s="58" t="str">
        <f t="shared" si="185"/>
        <v/>
      </c>
    </row>
    <row r="3965" spans="19:21" ht="23.25" customHeight="1" x14ac:dyDescent="0.35">
      <c r="S3965" s="56" t="str">
        <f t="shared" si="183"/>
        <v/>
      </c>
      <c r="T3965" s="57" t="str">
        <f t="shared" si="184"/>
        <v/>
      </c>
      <c r="U3965" s="58" t="str">
        <f t="shared" si="185"/>
        <v/>
      </c>
    </row>
    <row r="3966" spans="19:21" ht="23.25" customHeight="1" x14ac:dyDescent="0.35">
      <c r="S3966" s="56" t="str">
        <f t="shared" si="183"/>
        <v/>
      </c>
      <c r="T3966" s="57" t="str">
        <f t="shared" si="184"/>
        <v/>
      </c>
      <c r="U3966" s="58" t="str">
        <f t="shared" si="185"/>
        <v/>
      </c>
    </row>
    <row r="3967" spans="19:21" ht="23.25" customHeight="1" x14ac:dyDescent="0.35">
      <c r="S3967" s="56" t="str">
        <f t="shared" si="183"/>
        <v/>
      </c>
      <c r="T3967" s="57" t="str">
        <f t="shared" si="184"/>
        <v/>
      </c>
      <c r="U3967" s="58" t="str">
        <f t="shared" si="185"/>
        <v/>
      </c>
    </row>
    <row r="3968" spans="19:21" ht="23.25" customHeight="1" x14ac:dyDescent="0.35">
      <c r="S3968" s="56" t="str">
        <f t="shared" si="183"/>
        <v/>
      </c>
      <c r="T3968" s="57" t="str">
        <f t="shared" si="184"/>
        <v/>
      </c>
      <c r="U3968" s="58" t="str">
        <f t="shared" si="185"/>
        <v/>
      </c>
    </row>
    <row r="3969" spans="19:21" ht="23.25" customHeight="1" x14ac:dyDescent="0.35">
      <c r="S3969" s="56" t="str">
        <f t="shared" si="183"/>
        <v/>
      </c>
      <c r="T3969" s="57" t="str">
        <f t="shared" si="184"/>
        <v/>
      </c>
      <c r="U3969" s="58" t="str">
        <f t="shared" si="185"/>
        <v/>
      </c>
    </row>
    <row r="3970" spans="19:21" ht="23.25" customHeight="1" x14ac:dyDescent="0.35">
      <c r="S3970" s="56" t="str">
        <f t="shared" si="183"/>
        <v/>
      </c>
      <c r="T3970" s="57" t="str">
        <f t="shared" si="184"/>
        <v/>
      </c>
      <c r="U3970" s="58" t="str">
        <f t="shared" si="185"/>
        <v/>
      </c>
    </row>
    <row r="3971" spans="19:21" ht="23.25" customHeight="1" x14ac:dyDescent="0.35">
      <c r="S3971" s="56" t="str">
        <f t="shared" si="183"/>
        <v/>
      </c>
      <c r="T3971" s="57" t="str">
        <f t="shared" si="184"/>
        <v/>
      </c>
      <c r="U3971" s="58" t="str">
        <f t="shared" si="185"/>
        <v/>
      </c>
    </row>
    <row r="3972" spans="19:21" ht="23.25" customHeight="1" x14ac:dyDescent="0.35">
      <c r="S3972" s="56" t="str">
        <f t="shared" si="183"/>
        <v/>
      </c>
      <c r="T3972" s="57" t="str">
        <f t="shared" si="184"/>
        <v/>
      </c>
      <c r="U3972" s="58" t="str">
        <f t="shared" si="185"/>
        <v/>
      </c>
    </row>
    <row r="3973" spans="19:21" ht="23.25" customHeight="1" x14ac:dyDescent="0.35">
      <c r="S3973" s="56" t="str">
        <f t="shared" si="183"/>
        <v/>
      </c>
      <c r="T3973" s="57" t="str">
        <f t="shared" si="184"/>
        <v/>
      </c>
      <c r="U3973" s="58" t="str">
        <f t="shared" si="185"/>
        <v/>
      </c>
    </row>
    <row r="3974" spans="19:21" ht="23.25" customHeight="1" x14ac:dyDescent="0.35">
      <c r="S3974" s="56" t="str">
        <f t="shared" si="183"/>
        <v/>
      </c>
      <c r="T3974" s="57" t="str">
        <f t="shared" si="184"/>
        <v/>
      </c>
      <c r="U3974" s="58" t="str">
        <f t="shared" si="185"/>
        <v/>
      </c>
    </row>
    <row r="3975" spans="19:21" ht="23.25" customHeight="1" x14ac:dyDescent="0.35">
      <c r="S3975" s="56" t="str">
        <f t="shared" si="183"/>
        <v/>
      </c>
      <c r="T3975" s="57" t="str">
        <f t="shared" si="184"/>
        <v/>
      </c>
      <c r="U3975" s="58" t="str">
        <f t="shared" si="185"/>
        <v/>
      </c>
    </row>
    <row r="3976" spans="19:21" ht="23.25" customHeight="1" x14ac:dyDescent="0.35">
      <c r="S3976" s="56" t="str">
        <f t="shared" si="183"/>
        <v/>
      </c>
      <c r="T3976" s="57" t="str">
        <f t="shared" si="184"/>
        <v/>
      </c>
      <c r="U3976" s="58" t="str">
        <f t="shared" si="185"/>
        <v/>
      </c>
    </row>
    <row r="3977" spans="19:21" ht="23.25" customHeight="1" x14ac:dyDescent="0.35">
      <c r="S3977" s="56" t="str">
        <f t="shared" ref="S3977:S4040" si="186">IF(A3977="","",A$5-A3977)</f>
        <v/>
      </c>
      <c r="T3977" s="57" t="str">
        <f t="shared" ref="T3977:T4040" si="187">IF(S3977="","",IF(S3977&lt;4,"0-3 Days",IF(S3977&lt;31,"4-30 Days",IF(S3977&lt;61,"31-60 Days",IF(S3977&lt;=90,"61-90 Days",IF(S3977&gt;90,"Above 90 Days","0"))))))</f>
        <v/>
      </c>
      <c r="U3977" s="58" t="str">
        <f t="shared" ref="U3977:U4040" si="188">IF(C3977="","",IF(C3977&gt;0,IF(S3977&lt;30,"Normal",IF(S3977&lt;60,"Especially Mentioned",IF(S3977&lt;90,"Substandard",IF(S3977&lt;=180,"Doubtful",IF(S3977&gt;180,"Loss","0"))))),"Not Applicable"))</f>
        <v/>
      </c>
    </row>
    <row r="3978" spans="19:21" ht="23.25" customHeight="1" x14ac:dyDescent="0.35">
      <c r="S3978" s="56" t="str">
        <f t="shared" si="186"/>
        <v/>
      </c>
      <c r="T3978" s="57" t="str">
        <f t="shared" si="187"/>
        <v/>
      </c>
      <c r="U3978" s="58" t="str">
        <f t="shared" si="188"/>
        <v/>
      </c>
    </row>
    <row r="3979" spans="19:21" ht="23.25" customHeight="1" x14ac:dyDescent="0.35">
      <c r="S3979" s="56" t="str">
        <f t="shared" si="186"/>
        <v/>
      </c>
      <c r="T3979" s="57" t="str">
        <f t="shared" si="187"/>
        <v/>
      </c>
      <c r="U3979" s="58" t="str">
        <f t="shared" si="188"/>
        <v/>
      </c>
    </row>
    <row r="3980" spans="19:21" ht="23.25" customHeight="1" x14ac:dyDescent="0.35">
      <c r="S3980" s="56" t="str">
        <f t="shared" si="186"/>
        <v/>
      </c>
      <c r="T3980" s="57" t="str">
        <f t="shared" si="187"/>
        <v/>
      </c>
      <c r="U3980" s="58" t="str">
        <f t="shared" si="188"/>
        <v/>
      </c>
    </row>
    <row r="3981" spans="19:21" ht="23.25" customHeight="1" x14ac:dyDescent="0.35">
      <c r="S3981" s="56" t="str">
        <f t="shared" si="186"/>
        <v/>
      </c>
      <c r="T3981" s="57" t="str">
        <f t="shared" si="187"/>
        <v/>
      </c>
      <c r="U3981" s="58" t="str">
        <f t="shared" si="188"/>
        <v/>
      </c>
    </row>
    <row r="3982" spans="19:21" ht="23.25" customHeight="1" x14ac:dyDescent="0.35">
      <c r="S3982" s="56" t="str">
        <f t="shared" si="186"/>
        <v/>
      </c>
      <c r="T3982" s="57" t="str">
        <f t="shared" si="187"/>
        <v/>
      </c>
      <c r="U3982" s="58" t="str">
        <f t="shared" si="188"/>
        <v/>
      </c>
    </row>
    <row r="3983" spans="19:21" ht="23.25" customHeight="1" x14ac:dyDescent="0.35">
      <c r="S3983" s="56" t="str">
        <f t="shared" si="186"/>
        <v/>
      </c>
      <c r="T3983" s="57" t="str">
        <f t="shared" si="187"/>
        <v/>
      </c>
      <c r="U3983" s="58" t="str">
        <f t="shared" si="188"/>
        <v/>
      </c>
    </row>
    <row r="3984" spans="19:21" ht="23.25" customHeight="1" x14ac:dyDescent="0.35">
      <c r="S3984" s="56" t="str">
        <f t="shared" si="186"/>
        <v/>
      </c>
      <c r="T3984" s="57" t="str">
        <f t="shared" si="187"/>
        <v/>
      </c>
      <c r="U3984" s="58" t="str">
        <f t="shared" si="188"/>
        <v/>
      </c>
    </row>
    <row r="3985" spans="19:21" ht="23.25" customHeight="1" x14ac:dyDescent="0.35">
      <c r="S3985" s="56" t="str">
        <f t="shared" si="186"/>
        <v/>
      </c>
      <c r="T3985" s="57" t="str">
        <f t="shared" si="187"/>
        <v/>
      </c>
      <c r="U3985" s="58" t="str">
        <f t="shared" si="188"/>
        <v/>
      </c>
    </row>
    <row r="3986" spans="19:21" ht="23.25" customHeight="1" x14ac:dyDescent="0.35">
      <c r="S3986" s="56" t="str">
        <f t="shared" si="186"/>
        <v/>
      </c>
      <c r="T3986" s="57" t="str">
        <f t="shared" si="187"/>
        <v/>
      </c>
      <c r="U3986" s="58" t="str">
        <f t="shared" si="188"/>
        <v/>
      </c>
    </row>
    <row r="3987" spans="19:21" ht="23.25" customHeight="1" x14ac:dyDescent="0.35">
      <c r="S3987" s="56" t="str">
        <f t="shared" si="186"/>
        <v/>
      </c>
      <c r="T3987" s="57" t="str">
        <f t="shared" si="187"/>
        <v/>
      </c>
      <c r="U3987" s="58" t="str">
        <f t="shared" si="188"/>
        <v/>
      </c>
    </row>
    <row r="3988" spans="19:21" ht="23.25" customHeight="1" x14ac:dyDescent="0.35">
      <c r="S3988" s="56" t="str">
        <f t="shared" si="186"/>
        <v/>
      </c>
      <c r="T3988" s="57" t="str">
        <f t="shared" si="187"/>
        <v/>
      </c>
      <c r="U3988" s="58" t="str">
        <f t="shared" si="188"/>
        <v/>
      </c>
    </row>
    <row r="3989" spans="19:21" ht="23.25" customHeight="1" x14ac:dyDescent="0.35">
      <c r="S3989" s="56" t="str">
        <f t="shared" si="186"/>
        <v/>
      </c>
      <c r="T3989" s="57" t="str">
        <f t="shared" si="187"/>
        <v/>
      </c>
      <c r="U3989" s="58" t="str">
        <f t="shared" si="188"/>
        <v/>
      </c>
    </row>
    <row r="3990" spans="19:21" ht="23.25" customHeight="1" x14ac:dyDescent="0.35">
      <c r="S3990" s="56" t="str">
        <f t="shared" si="186"/>
        <v/>
      </c>
      <c r="T3990" s="57" t="str">
        <f t="shared" si="187"/>
        <v/>
      </c>
      <c r="U3990" s="58" t="str">
        <f t="shared" si="188"/>
        <v/>
      </c>
    </row>
    <row r="3991" spans="19:21" ht="23.25" customHeight="1" x14ac:dyDescent="0.35">
      <c r="S3991" s="56" t="str">
        <f t="shared" si="186"/>
        <v/>
      </c>
      <c r="T3991" s="57" t="str">
        <f t="shared" si="187"/>
        <v/>
      </c>
      <c r="U3991" s="58" t="str">
        <f t="shared" si="188"/>
        <v/>
      </c>
    </row>
    <row r="3992" spans="19:21" ht="23.25" customHeight="1" x14ac:dyDescent="0.35">
      <c r="S3992" s="56" t="str">
        <f t="shared" si="186"/>
        <v/>
      </c>
      <c r="T3992" s="57" t="str">
        <f t="shared" si="187"/>
        <v/>
      </c>
      <c r="U3992" s="58" t="str">
        <f t="shared" si="188"/>
        <v/>
      </c>
    </row>
    <row r="3993" spans="19:21" ht="23.25" customHeight="1" x14ac:dyDescent="0.35">
      <c r="S3993" s="56" t="str">
        <f t="shared" si="186"/>
        <v/>
      </c>
      <c r="T3993" s="57" t="str">
        <f t="shared" si="187"/>
        <v/>
      </c>
      <c r="U3993" s="58" t="str">
        <f t="shared" si="188"/>
        <v/>
      </c>
    </row>
    <row r="3994" spans="19:21" ht="23.25" customHeight="1" x14ac:dyDescent="0.35">
      <c r="S3994" s="56" t="str">
        <f t="shared" si="186"/>
        <v/>
      </c>
      <c r="T3994" s="57" t="str">
        <f t="shared" si="187"/>
        <v/>
      </c>
      <c r="U3994" s="58" t="str">
        <f t="shared" si="188"/>
        <v/>
      </c>
    </row>
    <row r="3995" spans="19:21" ht="23.25" customHeight="1" x14ac:dyDescent="0.35">
      <c r="S3995" s="56" t="str">
        <f t="shared" si="186"/>
        <v/>
      </c>
      <c r="T3995" s="57" t="str">
        <f t="shared" si="187"/>
        <v/>
      </c>
      <c r="U3995" s="58" t="str">
        <f t="shared" si="188"/>
        <v/>
      </c>
    </row>
    <row r="3996" spans="19:21" ht="23.25" customHeight="1" x14ac:dyDescent="0.35">
      <c r="S3996" s="56" t="str">
        <f t="shared" si="186"/>
        <v/>
      </c>
      <c r="T3996" s="57" t="str">
        <f t="shared" si="187"/>
        <v/>
      </c>
      <c r="U3996" s="58" t="str">
        <f t="shared" si="188"/>
        <v/>
      </c>
    </row>
    <row r="3997" spans="19:21" ht="23.25" customHeight="1" x14ac:dyDescent="0.35">
      <c r="S3997" s="56" t="str">
        <f t="shared" si="186"/>
        <v/>
      </c>
      <c r="T3997" s="57" t="str">
        <f t="shared" si="187"/>
        <v/>
      </c>
      <c r="U3997" s="58" t="str">
        <f t="shared" si="188"/>
        <v/>
      </c>
    </row>
    <row r="3998" spans="19:21" ht="23.25" customHeight="1" x14ac:dyDescent="0.35">
      <c r="S3998" s="56" t="str">
        <f t="shared" si="186"/>
        <v/>
      </c>
      <c r="T3998" s="57" t="str">
        <f t="shared" si="187"/>
        <v/>
      </c>
      <c r="U3998" s="58" t="str">
        <f t="shared" si="188"/>
        <v/>
      </c>
    </row>
    <row r="3999" spans="19:21" ht="23.25" customHeight="1" x14ac:dyDescent="0.35">
      <c r="S3999" s="56" t="str">
        <f t="shared" si="186"/>
        <v/>
      </c>
      <c r="T3999" s="57" t="str">
        <f t="shared" si="187"/>
        <v/>
      </c>
      <c r="U3999" s="58" t="str">
        <f t="shared" si="188"/>
        <v/>
      </c>
    </row>
    <row r="4000" spans="19:21" ht="23.25" customHeight="1" x14ac:dyDescent="0.35">
      <c r="S4000" s="56" t="str">
        <f t="shared" si="186"/>
        <v/>
      </c>
      <c r="T4000" s="57" t="str">
        <f t="shared" si="187"/>
        <v/>
      </c>
      <c r="U4000" s="58" t="str">
        <f t="shared" si="188"/>
        <v/>
      </c>
    </row>
    <row r="4001" spans="19:21" ht="23.25" customHeight="1" x14ac:dyDescent="0.35">
      <c r="S4001" s="56" t="str">
        <f t="shared" si="186"/>
        <v/>
      </c>
      <c r="T4001" s="57" t="str">
        <f t="shared" si="187"/>
        <v/>
      </c>
      <c r="U4001" s="58" t="str">
        <f t="shared" si="188"/>
        <v/>
      </c>
    </row>
    <row r="4002" spans="19:21" ht="23.25" customHeight="1" x14ac:dyDescent="0.35">
      <c r="S4002" s="56" t="str">
        <f t="shared" si="186"/>
        <v/>
      </c>
      <c r="T4002" s="57" t="str">
        <f t="shared" si="187"/>
        <v/>
      </c>
      <c r="U4002" s="58" t="str">
        <f t="shared" si="188"/>
        <v/>
      </c>
    </row>
    <row r="4003" spans="19:21" ht="23.25" customHeight="1" x14ac:dyDescent="0.35">
      <c r="S4003" s="56" t="str">
        <f t="shared" si="186"/>
        <v/>
      </c>
      <c r="T4003" s="57" t="str">
        <f t="shared" si="187"/>
        <v/>
      </c>
      <c r="U4003" s="58" t="str">
        <f t="shared" si="188"/>
        <v/>
      </c>
    </row>
    <row r="4004" spans="19:21" ht="23.25" customHeight="1" x14ac:dyDescent="0.35">
      <c r="S4004" s="56" t="str">
        <f t="shared" si="186"/>
        <v/>
      </c>
      <c r="T4004" s="57" t="str">
        <f t="shared" si="187"/>
        <v/>
      </c>
      <c r="U4004" s="58" t="str">
        <f t="shared" si="188"/>
        <v/>
      </c>
    </row>
    <row r="4005" spans="19:21" ht="23.25" customHeight="1" x14ac:dyDescent="0.35">
      <c r="S4005" s="56" t="str">
        <f t="shared" si="186"/>
        <v/>
      </c>
      <c r="T4005" s="57" t="str">
        <f t="shared" si="187"/>
        <v/>
      </c>
      <c r="U4005" s="58" t="str">
        <f t="shared" si="188"/>
        <v/>
      </c>
    </row>
    <row r="4006" spans="19:21" ht="23.25" customHeight="1" x14ac:dyDescent="0.35">
      <c r="S4006" s="56" t="str">
        <f t="shared" si="186"/>
        <v/>
      </c>
      <c r="T4006" s="57" t="str">
        <f t="shared" si="187"/>
        <v/>
      </c>
      <c r="U4006" s="58" t="str">
        <f t="shared" si="188"/>
        <v/>
      </c>
    </row>
    <row r="4007" spans="19:21" ht="23.25" customHeight="1" x14ac:dyDescent="0.35">
      <c r="S4007" s="56" t="str">
        <f t="shared" si="186"/>
        <v/>
      </c>
      <c r="T4007" s="57" t="str">
        <f t="shared" si="187"/>
        <v/>
      </c>
      <c r="U4007" s="58" t="str">
        <f t="shared" si="188"/>
        <v/>
      </c>
    </row>
    <row r="4008" spans="19:21" ht="23.25" customHeight="1" x14ac:dyDescent="0.35">
      <c r="S4008" s="56" t="str">
        <f t="shared" si="186"/>
        <v/>
      </c>
      <c r="T4008" s="57" t="str">
        <f t="shared" si="187"/>
        <v/>
      </c>
      <c r="U4008" s="58" t="str">
        <f t="shared" si="188"/>
        <v/>
      </c>
    </row>
    <row r="4009" spans="19:21" ht="23.25" customHeight="1" x14ac:dyDescent="0.35">
      <c r="S4009" s="56" t="str">
        <f t="shared" si="186"/>
        <v/>
      </c>
      <c r="T4009" s="57" t="str">
        <f t="shared" si="187"/>
        <v/>
      </c>
      <c r="U4009" s="58" t="str">
        <f t="shared" si="188"/>
        <v/>
      </c>
    </row>
    <row r="4010" spans="19:21" ht="23.25" customHeight="1" x14ac:dyDescent="0.35">
      <c r="S4010" s="56" t="str">
        <f t="shared" si="186"/>
        <v/>
      </c>
      <c r="T4010" s="57" t="str">
        <f t="shared" si="187"/>
        <v/>
      </c>
      <c r="U4010" s="58" t="str">
        <f t="shared" si="188"/>
        <v/>
      </c>
    </row>
    <row r="4011" spans="19:21" ht="23.25" customHeight="1" x14ac:dyDescent="0.35">
      <c r="S4011" s="56" t="str">
        <f t="shared" si="186"/>
        <v/>
      </c>
      <c r="T4011" s="57" t="str">
        <f t="shared" si="187"/>
        <v/>
      </c>
      <c r="U4011" s="58" t="str">
        <f t="shared" si="188"/>
        <v/>
      </c>
    </row>
    <row r="4012" spans="19:21" ht="23.25" customHeight="1" x14ac:dyDescent="0.35">
      <c r="S4012" s="56" t="str">
        <f t="shared" si="186"/>
        <v/>
      </c>
      <c r="T4012" s="57" t="str">
        <f t="shared" si="187"/>
        <v/>
      </c>
      <c r="U4012" s="58" t="str">
        <f t="shared" si="188"/>
        <v/>
      </c>
    </row>
    <row r="4013" spans="19:21" ht="23.25" customHeight="1" x14ac:dyDescent="0.35">
      <c r="S4013" s="56" t="str">
        <f t="shared" si="186"/>
        <v/>
      </c>
      <c r="T4013" s="57" t="str">
        <f t="shared" si="187"/>
        <v/>
      </c>
      <c r="U4013" s="58" t="str">
        <f t="shared" si="188"/>
        <v/>
      </c>
    </row>
    <row r="4014" spans="19:21" ht="23.25" customHeight="1" x14ac:dyDescent="0.35">
      <c r="S4014" s="56" t="str">
        <f t="shared" si="186"/>
        <v/>
      </c>
      <c r="T4014" s="57" t="str">
        <f t="shared" si="187"/>
        <v/>
      </c>
      <c r="U4014" s="58" t="str">
        <f t="shared" si="188"/>
        <v/>
      </c>
    </row>
    <row r="4015" spans="19:21" ht="23.25" customHeight="1" x14ac:dyDescent="0.35">
      <c r="S4015" s="56" t="str">
        <f t="shared" si="186"/>
        <v/>
      </c>
      <c r="T4015" s="57" t="str">
        <f t="shared" si="187"/>
        <v/>
      </c>
      <c r="U4015" s="58" t="str">
        <f t="shared" si="188"/>
        <v/>
      </c>
    </row>
    <row r="4016" spans="19:21" ht="23.25" customHeight="1" x14ac:dyDescent="0.35">
      <c r="S4016" s="56" t="str">
        <f t="shared" si="186"/>
        <v/>
      </c>
      <c r="T4016" s="57" t="str">
        <f t="shared" si="187"/>
        <v/>
      </c>
      <c r="U4016" s="58" t="str">
        <f t="shared" si="188"/>
        <v/>
      </c>
    </row>
    <row r="4017" spans="19:21" ht="23.25" customHeight="1" x14ac:dyDescent="0.35">
      <c r="S4017" s="56" t="str">
        <f t="shared" si="186"/>
        <v/>
      </c>
      <c r="T4017" s="57" t="str">
        <f t="shared" si="187"/>
        <v/>
      </c>
      <c r="U4017" s="58" t="str">
        <f t="shared" si="188"/>
        <v/>
      </c>
    </row>
    <row r="4018" spans="19:21" ht="23.25" customHeight="1" x14ac:dyDescent="0.35">
      <c r="S4018" s="56" t="str">
        <f t="shared" si="186"/>
        <v/>
      </c>
      <c r="T4018" s="57" t="str">
        <f t="shared" si="187"/>
        <v/>
      </c>
      <c r="U4018" s="58" t="str">
        <f t="shared" si="188"/>
        <v/>
      </c>
    </row>
    <row r="4019" spans="19:21" ht="23.25" customHeight="1" x14ac:dyDescent="0.35">
      <c r="S4019" s="56" t="str">
        <f t="shared" si="186"/>
        <v/>
      </c>
      <c r="T4019" s="57" t="str">
        <f t="shared" si="187"/>
        <v/>
      </c>
      <c r="U4019" s="58" t="str">
        <f t="shared" si="188"/>
        <v/>
      </c>
    </row>
    <row r="4020" spans="19:21" ht="23.25" customHeight="1" x14ac:dyDescent="0.35">
      <c r="S4020" s="56" t="str">
        <f t="shared" si="186"/>
        <v/>
      </c>
      <c r="T4020" s="57" t="str">
        <f t="shared" si="187"/>
        <v/>
      </c>
      <c r="U4020" s="58" t="str">
        <f t="shared" si="188"/>
        <v/>
      </c>
    </row>
    <row r="4021" spans="19:21" ht="23.25" customHeight="1" x14ac:dyDescent="0.35">
      <c r="S4021" s="56" t="str">
        <f t="shared" si="186"/>
        <v/>
      </c>
      <c r="T4021" s="57" t="str">
        <f t="shared" si="187"/>
        <v/>
      </c>
      <c r="U4021" s="58" t="str">
        <f t="shared" si="188"/>
        <v/>
      </c>
    </row>
    <row r="4022" spans="19:21" ht="23.25" customHeight="1" x14ac:dyDescent="0.35">
      <c r="S4022" s="56" t="str">
        <f t="shared" si="186"/>
        <v/>
      </c>
      <c r="T4022" s="57" t="str">
        <f t="shared" si="187"/>
        <v/>
      </c>
      <c r="U4022" s="58" t="str">
        <f t="shared" si="188"/>
        <v/>
      </c>
    </row>
    <row r="4023" spans="19:21" ht="23.25" customHeight="1" x14ac:dyDescent="0.35">
      <c r="S4023" s="56" t="str">
        <f t="shared" si="186"/>
        <v/>
      </c>
      <c r="T4023" s="57" t="str">
        <f t="shared" si="187"/>
        <v/>
      </c>
      <c r="U4023" s="58" t="str">
        <f t="shared" si="188"/>
        <v/>
      </c>
    </row>
    <row r="4024" spans="19:21" ht="23.25" customHeight="1" x14ac:dyDescent="0.35">
      <c r="S4024" s="56" t="str">
        <f t="shared" si="186"/>
        <v/>
      </c>
      <c r="T4024" s="57" t="str">
        <f t="shared" si="187"/>
        <v/>
      </c>
      <c r="U4024" s="58" t="str">
        <f t="shared" si="188"/>
        <v/>
      </c>
    </row>
    <row r="4025" spans="19:21" ht="23.25" customHeight="1" x14ac:dyDescent="0.35">
      <c r="S4025" s="56" t="str">
        <f t="shared" si="186"/>
        <v/>
      </c>
      <c r="T4025" s="57" t="str">
        <f t="shared" si="187"/>
        <v/>
      </c>
      <c r="U4025" s="58" t="str">
        <f t="shared" si="188"/>
        <v/>
      </c>
    </row>
    <row r="4026" spans="19:21" ht="23.25" customHeight="1" x14ac:dyDescent="0.35">
      <c r="S4026" s="56" t="str">
        <f t="shared" si="186"/>
        <v/>
      </c>
      <c r="T4026" s="57" t="str">
        <f t="shared" si="187"/>
        <v/>
      </c>
      <c r="U4026" s="58" t="str">
        <f t="shared" si="188"/>
        <v/>
      </c>
    </row>
    <row r="4027" spans="19:21" ht="23.25" customHeight="1" x14ac:dyDescent="0.35">
      <c r="S4027" s="56" t="str">
        <f t="shared" si="186"/>
        <v/>
      </c>
      <c r="T4027" s="57" t="str">
        <f t="shared" si="187"/>
        <v/>
      </c>
      <c r="U4027" s="58" t="str">
        <f t="shared" si="188"/>
        <v/>
      </c>
    </row>
    <row r="4028" spans="19:21" ht="23.25" customHeight="1" x14ac:dyDescent="0.35">
      <c r="S4028" s="56" t="str">
        <f t="shared" si="186"/>
        <v/>
      </c>
      <c r="T4028" s="57" t="str">
        <f t="shared" si="187"/>
        <v/>
      </c>
      <c r="U4028" s="58" t="str">
        <f t="shared" si="188"/>
        <v/>
      </c>
    </row>
    <row r="4029" spans="19:21" ht="23.25" customHeight="1" x14ac:dyDescent="0.35">
      <c r="S4029" s="56" t="str">
        <f t="shared" si="186"/>
        <v/>
      </c>
      <c r="T4029" s="57" t="str">
        <f t="shared" si="187"/>
        <v/>
      </c>
      <c r="U4029" s="58" t="str">
        <f t="shared" si="188"/>
        <v/>
      </c>
    </row>
    <row r="4030" spans="19:21" ht="23.25" customHeight="1" x14ac:dyDescent="0.35">
      <c r="S4030" s="56" t="str">
        <f t="shared" si="186"/>
        <v/>
      </c>
      <c r="T4030" s="57" t="str">
        <f t="shared" si="187"/>
        <v/>
      </c>
      <c r="U4030" s="58" t="str">
        <f t="shared" si="188"/>
        <v/>
      </c>
    </row>
    <row r="4031" spans="19:21" ht="23.25" customHeight="1" x14ac:dyDescent="0.35">
      <c r="S4031" s="56" t="str">
        <f t="shared" si="186"/>
        <v/>
      </c>
      <c r="T4031" s="57" t="str">
        <f t="shared" si="187"/>
        <v/>
      </c>
      <c r="U4031" s="58" t="str">
        <f t="shared" si="188"/>
        <v/>
      </c>
    </row>
    <row r="4032" spans="19:21" ht="23.25" customHeight="1" x14ac:dyDescent="0.35">
      <c r="S4032" s="56" t="str">
        <f t="shared" si="186"/>
        <v/>
      </c>
      <c r="T4032" s="57" t="str">
        <f t="shared" si="187"/>
        <v/>
      </c>
      <c r="U4032" s="58" t="str">
        <f t="shared" si="188"/>
        <v/>
      </c>
    </row>
    <row r="4033" spans="19:21" ht="23.25" customHeight="1" x14ac:dyDescent="0.35">
      <c r="S4033" s="56" t="str">
        <f t="shared" si="186"/>
        <v/>
      </c>
      <c r="T4033" s="57" t="str">
        <f t="shared" si="187"/>
        <v/>
      </c>
      <c r="U4033" s="58" t="str">
        <f t="shared" si="188"/>
        <v/>
      </c>
    </row>
    <row r="4034" spans="19:21" ht="23.25" customHeight="1" x14ac:dyDescent="0.35">
      <c r="S4034" s="56" t="str">
        <f t="shared" si="186"/>
        <v/>
      </c>
      <c r="T4034" s="57" t="str">
        <f t="shared" si="187"/>
        <v/>
      </c>
      <c r="U4034" s="58" t="str">
        <f t="shared" si="188"/>
        <v/>
      </c>
    </row>
    <row r="4035" spans="19:21" ht="23.25" customHeight="1" x14ac:dyDescent="0.35">
      <c r="S4035" s="56" t="str">
        <f t="shared" si="186"/>
        <v/>
      </c>
      <c r="T4035" s="57" t="str">
        <f t="shared" si="187"/>
        <v/>
      </c>
      <c r="U4035" s="58" t="str">
        <f t="shared" si="188"/>
        <v/>
      </c>
    </row>
    <row r="4036" spans="19:21" ht="23.25" customHeight="1" x14ac:dyDescent="0.35">
      <c r="S4036" s="56" t="str">
        <f t="shared" si="186"/>
        <v/>
      </c>
      <c r="T4036" s="57" t="str">
        <f t="shared" si="187"/>
        <v/>
      </c>
      <c r="U4036" s="58" t="str">
        <f t="shared" si="188"/>
        <v/>
      </c>
    </row>
    <row r="4037" spans="19:21" ht="23.25" customHeight="1" x14ac:dyDescent="0.35">
      <c r="S4037" s="56" t="str">
        <f t="shared" si="186"/>
        <v/>
      </c>
      <c r="T4037" s="57" t="str">
        <f t="shared" si="187"/>
        <v/>
      </c>
      <c r="U4037" s="58" t="str">
        <f t="shared" si="188"/>
        <v/>
      </c>
    </row>
    <row r="4038" spans="19:21" ht="23.25" customHeight="1" x14ac:dyDescent="0.35">
      <c r="S4038" s="56" t="str">
        <f t="shared" si="186"/>
        <v/>
      </c>
      <c r="T4038" s="57" t="str">
        <f t="shared" si="187"/>
        <v/>
      </c>
      <c r="U4038" s="58" t="str">
        <f t="shared" si="188"/>
        <v/>
      </c>
    </row>
    <row r="4039" spans="19:21" ht="23.25" customHeight="1" x14ac:dyDescent="0.35">
      <c r="S4039" s="56" t="str">
        <f t="shared" si="186"/>
        <v/>
      </c>
      <c r="T4039" s="57" t="str">
        <f t="shared" si="187"/>
        <v/>
      </c>
      <c r="U4039" s="58" t="str">
        <f t="shared" si="188"/>
        <v/>
      </c>
    </row>
    <row r="4040" spans="19:21" ht="23.25" customHeight="1" x14ac:dyDescent="0.35">
      <c r="S4040" s="56" t="str">
        <f t="shared" si="186"/>
        <v/>
      </c>
      <c r="T4040" s="57" t="str">
        <f t="shared" si="187"/>
        <v/>
      </c>
      <c r="U4040" s="58" t="str">
        <f t="shared" si="188"/>
        <v/>
      </c>
    </row>
    <row r="4041" spans="19:21" ht="23.25" customHeight="1" x14ac:dyDescent="0.35">
      <c r="S4041" s="56" t="str">
        <f t="shared" ref="S4041:S4104" si="189">IF(A4041="","",A$5-A4041)</f>
        <v/>
      </c>
      <c r="T4041" s="57" t="str">
        <f t="shared" ref="T4041:T4104" si="190">IF(S4041="","",IF(S4041&lt;4,"0-3 Days",IF(S4041&lt;31,"4-30 Days",IF(S4041&lt;61,"31-60 Days",IF(S4041&lt;=90,"61-90 Days",IF(S4041&gt;90,"Above 90 Days","0"))))))</f>
        <v/>
      </c>
      <c r="U4041" s="58" t="str">
        <f t="shared" ref="U4041:U4104" si="191">IF(C4041="","",IF(C4041&gt;0,IF(S4041&lt;30,"Normal",IF(S4041&lt;60,"Especially Mentioned",IF(S4041&lt;90,"Substandard",IF(S4041&lt;=180,"Doubtful",IF(S4041&gt;180,"Loss","0"))))),"Not Applicable"))</f>
        <v/>
      </c>
    </row>
    <row r="4042" spans="19:21" ht="23.25" customHeight="1" x14ac:dyDescent="0.35">
      <c r="S4042" s="56" t="str">
        <f t="shared" si="189"/>
        <v/>
      </c>
      <c r="T4042" s="57" t="str">
        <f t="shared" si="190"/>
        <v/>
      </c>
      <c r="U4042" s="58" t="str">
        <f t="shared" si="191"/>
        <v/>
      </c>
    </row>
    <row r="4043" spans="19:21" ht="23.25" customHeight="1" x14ac:dyDescent="0.35">
      <c r="S4043" s="56" t="str">
        <f t="shared" si="189"/>
        <v/>
      </c>
      <c r="T4043" s="57" t="str">
        <f t="shared" si="190"/>
        <v/>
      </c>
      <c r="U4043" s="58" t="str">
        <f t="shared" si="191"/>
        <v/>
      </c>
    </row>
    <row r="4044" spans="19:21" ht="23.25" customHeight="1" x14ac:dyDescent="0.35">
      <c r="S4044" s="56" t="str">
        <f t="shared" si="189"/>
        <v/>
      </c>
      <c r="T4044" s="57" t="str">
        <f t="shared" si="190"/>
        <v/>
      </c>
      <c r="U4044" s="58" t="str">
        <f t="shared" si="191"/>
        <v/>
      </c>
    </row>
    <row r="4045" spans="19:21" ht="23.25" customHeight="1" x14ac:dyDescent="0.35">
      <c r="S4045" s="56" t="str">
        <f t="shared" si="189"/>
        <v/>
      </c>
      <c r="T4045" s="57" t="str">
        <f t="shared" si="190"/>
        <v/>
      </c>
      <c r="U4045" s="58" t="str">
        <f t="shared" si="191"/>
        <v/>
      </c>
    </row>
    <row r="4046" spans="19:21" ht="23.25" customHeight="1" x14ac:dyDescent="0.35">
      <c r="S4046" s="56" t="str">
        <f t="shared" si="189"/>
        <v/>
      </c>
      <c r="T4046" s="57" t="str">
        <f t="shared" si="190"/>
        <v/>
      </c>
      <c r="U4046" s="58" t="str">
        <f t="shared" si="191"/>
        <v/>
      </c>
    </row>
    <row r="4047" spans="19:21" ht="23.25" customHeight="1" x14ac:dyDescent="0.35">
      <c r="S4047" s="56" t="str">
        <f t="shared" si="189"/>
        <v/>
      </c>
      <c r="T4047" s="57" t="str">
        <f t="shared" si="190"/>
        <v/>
      </c>
      <c r="U4047" s="58" t="str">
        <f t="shared" si="191"/>
        <v/>
      </c>
    </row>
    <row r="4048" spans="19:21" ht="23.25" customHeight="1" x14ac:dyDescent="0.35">
      <c r="S4048" s="56" t="str">
        <f t="shared" si="189"/>
        <v/>
      </c>
      <c r="T4048" s="57" t="str">
        <f t="shared" si="190"/>
        <v/>
      </c>
      <c r="U4048" s="58" t="str">
        <f t="shared" si="191"/>
        <v/>
      </c>
    </row>
    <row r="4049" spans="19:21" ht="23.25" customHeight="1" x14ac:dyDescent="0.35">
      <c r="S4049" s="56" t="str">
        <f t="shared" si="189"/>
        <v/>
      </c>
      <c r="T4049" s="57" t="str">
        <f t="shared" si="190"/>
        <v/>
      </c>
      <c r="U4049" s="58" t="str">
        <f t="shared" si="191"/>
        <v/>
      </c>
    </row>
    <row r="4050" spans="19:21" ht="23.25" customHeight="1" x14ac:dyDescent="0.35">
      <c r="S4050" s="56" t="str">
        <f t="shared" si="189"/>
        <v/>
      </c>
      <c r="T4050" s="57" t="str">
        <f t="shared" si="190"/>
        <v/>
      </c>
      <c r="U4050" s="58" t="str">
        <f t="shared" si="191"/>
        <v/>
      </c>
    </row>
    <row r="4051" spans="19:21" ht="23.25" customHeight="1" x14ac:dyDescent="0.35">
      <c r="S4051" s="56" t="str">
        <f t="shared" si="189"/>
        <v/>
      </c>
      <c r="T4051" s="57" t="str">
        <f t="shared" si="190"/>
        <v/>
      </c>
      <c r="U4051" s="58" t="str">
        <f t="shared" si="191"/>
        <v/>
      </c>
    </row>
    <row r="4052" spans="19:21" ht="23.25" customHeight="1" x14ac:dyDescent="0.35">
      <c r="S4052" s="56" t="str">
        <f t="shared" si="189"/>
        <v/>
      </c>
      <c r="T4052" s="57" t="str">
        <f t="shared" si="190"/>
        <v/>
      </c>
      <c r="U4052" s="58" t="str">
        <f t="shared" si="191"/>
        <v/>
      </c>
    </row>
    <row r="4053" spans="19:21" ht="23.25" customHeight="1" x14ac:dyDescent="0.35">
      <c r="S4053" s="56" t="str">
        <f t="shared" si="189"/>
        <v/>
      </c>
      <c r="T4053" s="57" t="str">
        <f t="shared" si="190"/>
        <v/>
      </c>
      <c r="U4053" s="58" t="str">
        <f t="shared" si="191"/>
        <v/>
      </c>
    </row>
    <row r="4054" spans="19:21" ht="23.25" customHeight="1" x14ac:dyDescent="0.35">
      <c r="S4054" s="56" t="str">
        <f t="shared" si="189"/>
        <v/>
      </c>
      <c r="T4054" s="57" t="str">
        <f t="shared" si="190"/>
        <v/>
      </c>
      <c r="U4054" s="58" t="str">
        <f t="shared" si="191"/>
        <v/>
      </c>
    </row>
    <row r="4055" spans="19:21" ht="23.25" customHeight="1" x14ac:dyDescent="0.35">
      <c r="S4055" s="56" t="str">
        <f t="shared" si="189"/>
        <v/>
      </c>
      <c r="T4055" s="57" t="str">
        <f t="shared" si="190"/>
        <v/>
      </c>
      <c r="U4055" s="58" t="str">
        <f t="shared" si="191"/>
        <v/>
      </c>
    </row>
    <row r="4056" spans="19:21" ht="23.25" customHeight="1" x14ac:dyDescent="0.35">
      <c r="S4056" s="56" t="str">
        <f t="shared" si="189"/>
        <v/>
      </c>
      <c r="T4056" s="57" t="str">
        <f t="shared" si="190"/>
        <v/>
      </c>
      <c r="U4056" s="58" t="str">
        <f t="shared" si="191"/>
        <v/>
      </c>
    </row>
    <row r="4057" spans="19:21" ht="23.25" customHeight="1" x14ac:dyDescent="0.35">
      <c r="S4057" s="56" t="str">
        <f t="shared" si="189"/>
        <v/>
      </c>
      <c r="T4057" s="57" t="str">
        <f t="shared" si="190"/>
        <v/>
      </c>
      <c r="U4057" s="58" t="str">
        <f t="shared" si="191"/>
        <v/>
      </c>
    </row>
    <row r="4058" spans="19:21" ht="23.25" customHeight="1" x14ac:dyDescent="0.35">
      <c r="S4058" s="56" t="str">
        <f t="shared" si="189"/>
        <v/>
      </c>
      <c r="T4058" s="57" t="str">
        <f t="shared" si="190"/>
        <v/>
      </c>
      <c r="U4058" s="58" t="str">
        <f t="shared" si="191"/>
        <v/>
      </c>
    </row>
    <row r="4059" spans="19:21" ht="23.25" customHeight="1" x14ac:dyDescent="0.35">
      <c r="S4059" s="56" t="str">
        <f t="shared" si="189"/>
        <v/>
      </c>
      <c r="T4059" s="57" t="str">
        <f t="shared" si="190"/>
        <v/>
      </c>
      <c r="U4059" s="58" t="str">
        <f t="shared" si="191"/>
        <v/>
      </c>
    </row>
    <row r="4060" spans="19:21" ht="23.25" customHeight="1" x14ac:dyDescent="0.35">
      <c r="S4060" s="56" t="str">
        <f t="shared" si="189"/>
        <v/>
      </c>
      <c r="T4060" s="57" t="str">
        <f t="shared" si="190"/>
        <v/>
      </c>
      <c r="U4060" s="58" t="str">
        <f t="shared" si="191"/>
        <v/>
      </c>
    </row>
    <row r="4061" spans="19:21" ht="23.25" customHeight="1" x14ac:dyDescent="0.35">
      <c r="S4061" s="56" t="str">
        <f t="shared" si="189"/>
        <v/>
      </c>
      <c r="T4061" s="57" t="str">
        <f t="shared" si="190"/>
        <v/>
      </c>
      <c r="U4061" s="58" t="str">
        <f t="shared" si="191"/>
        <v/>
      </c>
    </row>
    <row r="4062" spans="19:21" ht="23.25" customHeight="1" x14ac:dyDescent="0.35">
      <c r="S4062" s="56" t="str">
        <f t="shared" si="189"/>
        <v/>
      </c>
      <c r="T4062" s="57" t="str">
        <f t="shared" si="190"/>
        <v/>
      </c>
      <c r="U4062" s="58" t="str">
        <f t="shared" si="191"/>
        <v/>
      </c>
    </row>
    <row r="4063" spans="19:21" ht="23.25" customHeight="1" x14ac:dyDescent="0.35">
      <c r="S4063" s="56" t="str">
        <f t="shared" si="189"/>
        <v/>
      </c>
      <c r="T4063" s="57" t="str">
        <f t="shared" si="190"/>
        <v/>
      </c>
      <c r="U4063" s="58" t="str">
        <f t="shared" si="191"/>
        <v/>
      </c>
    </row>
    <row r="4064" spans="19:21" ht="23.25" customHeight="1" x14ac:dyDescent="0.35">
      <c r="S4064" s="56" t="str">
        <f t="shared" si="189"/>
        <v/>
      </c>
      <c r="T4064" s="57" t="str">
        <f t="shared" si="190"/>
        <v/>
      </c>
      <c r="U4064" s="58" t="str">
        <f t="shared" si="191"/>
        <v/>
      </c>
    </row>
    <row r="4065" spans="19:21" ht="23.25" customHeight="1" x14ac:dyDescent="0.35">
      <c r="S4065" s="56" t="str">
        <f t="shared" si="189"/>
        <v/>
      </c>
      <c r="T4065" s="57" t="str">
        <f t="shared" si="190"/>
        <v/>
      </c>
      <c r="U4065" s="58" t="str">
        <f t="shared" si="191"/>
        <v/>
      </c>
    </row>
    <row r="4066" spans="19:21" ht="23.25" customHeight="1" x14ac:dyDescent="0.35">
      <c r="S4066" s="56" t="str">
        <f t="shared" si="189"/>
        <v/>
      </c>
      <c r="T4066" s="57" t="str">
        <f t="shared" si="190"/>
        <v/>
      </c>
      <c r="U4066" s="58" t="str">
        <f t="shared" si="191"/>
        <v/>
      </c>
    </row>
    <row r="4067" spans="19:21" ht="23.25" customHeight="1" x14ac:dyDescent="0.35">
      <c r="S4067" s="56" t="str">
        <f t="shared" si="189"/>
        <v/>
      </c>
      <c r="T4067" s="57" t="str">
        <f t="shared" si="190"/>
        <v/>
      </c>
      <c r="U4067" s="58" t="str">
        <f t="shared" si="191"/>
        <v/>
      </c>
    </row>
    <row r="4068" spans="19:21" ht="23.25" customHeight="1" x14ac:dyDescent="0.35">
      <c r="S4068" s="56" t="str">
        <f t="shared" si="189"/>
        <v/>
      </c>
      <c r="T4068" s="57" t="str">
        <f t="shared" si="190"/>
        <v/>
      </c>
      <c r="U4068" s="58" t="str">
        <f t="shared" si="191"/>
        <v/>
      </c>
    </row>
    <row r="4069" spans="19:21" ht="23.25" customHeight="1" x14ac:dyDescent="0.35">
      <c r="S4069" s="56" t="str">
        <f t="shared" si="189"/>
        <v/>
      </c>
      <c r="T4069" s="57" t="str">
        <f t="shared" si="190"/>
        <v/>
      </c>
      <c r="U4069" s="58" t="str">
        <f t="shared" si="191"/>
        <v/>
      </c>
    </row>
    <row r="4070" spans="19:21" ht="23.25" customHeight="1" x14ac:dyDescent="0.35">
      <c r="S4070" s="56" t="str">
        <f t="shared" si="189"/>
        <v/>
      </c>
      <c r="T4070" s="57" t="str">
        <f t="shared" si="190"/>
        <v/>
      </c>
      <c r="U4070" s="58" t="str">
        <f t="shared" si="191"/>
        <v/>
      </c>
    </row>
    <row r="4071" spans="19:21" ht="23.25" customHeight="1" x14ac:dyDescent="0.35">
      <c r="S4071" s="56" t="str">
        <f t="shared" si="189"/>
        <v/>
      </c>
      <c r="T4071" s="57" t="str">
        <f t="shared" si="190"/>
        <v/>
      </c>
      <c r="U4071" s="58" t="str">
        <f t="shared" si="191"/>
        <v/>
      </c>
    </row>
    <row r="4072" spans="19:21" ht="23.25" customHeight="1" x14ac:dyDescent="0.35">
      <c r="S4072" s="56" t="str">
        <f t="shared" si="189"/>
        <v/>
      </c>
      <c r="T4072" s="57" t="str">
        <f t="shared" si="190"/>
        <v/>
      </c>
      <c r="U4072" s="58" t="str">
        <f t="shared" si="191"/>
        <v/>
      </c>
    </row>
    <row r="4073" spans="19:21" ht="23.25" customHeight="1" x14ac:dyDescent="0.35">
      <c r="S4073" s="56" t="str">
        <f t="shared" si="189"/>
        <v/>
      </c>
      <c r="T4073" s="57" t="str">
        <f t="shared" si="190"/>
        <v/>
      </c>
      <c r="U4073" s="58" t="str">
        <f t="shared" si="191"/>
        <v/>
      </c>
    </row>
    <row r="4074" spans="19:21" ht="23.25" customHeight="1" x14ac:dyDescent="0.35">
      <c r="S4074" s="56" t="str">
        <f t="shared" si="189"/>
        <v/>
      </c>
      <c r="T4074" s="57" t="str">
        <f t="shared" si="190"/>
        <v/>
      </c>
      <c r="U4074" s="58" t="str">
        <f t="shared" si="191"/>
        <v/>
      </c>
    </row>
    <row r="4075" spans="19:21" ht="23.25" customHeight="1" x14ac:dyDescent="0.35">
      <c r="S4075" s="56" t="str">
        <f t="shared" si="189"/>
        <v/>
      </c>
      <c r="T4075" s="57" t="str">
        <f t="shared" si="190"/>
        <v/>
      </c>
      <c r="U4075" s="58" t="str">
        <f t="shared" si="191"/>
        <v/>
      </c>
    </row>
    <row r="4076" spans="19:21" ht="23.25" customHeight="1" x14ac:dyDescent="0.35">
      <c r="S4076" s="56" t="str">
        <f t="shared" si="189"/>
        <v/>
      </c>
      <c r="T4076" s="57" t="str">
        <f t="shared" si="190"/>
        <v/>
      </c>
      <c r="U4076" s="58" t="str">
        <f t="shared" si="191"/>
        <v/>
      </c>
    </row>
    <row r="4077" spans="19:21" ht="23.25" customHeight="1" x14ac:dyDescent="0.35">
      <c r="S4077" s="56" t="str">
        <f t="shared" si="189"/>
        <v/>
      </c>
      <c r="T4077" s="57" t="str">
        <f t="shared" si="190"/>
        <v/>
      </c>
      <c r="U4077" s="58" t="str">
        <f t="shared" si="191"/>
        <v/>
      </c>
    </row>
    <row r="4078" spans="19:21" ht="23.25" customHeight="1" x14ac:dyDescent="0.35">
      <c r="S4078" s="56" t="str">
        <f t="shared" si="189"/>
        <v/>
      </c>
      <c r="T4078" s="57" t="str">
        <f t="shared" si="190"/>
        <v/>
      </c>
      <c r="U4078" s="58" t="str">
        <f t="shared" si="191"/>
        <v/>
      </c>
    </row>
    <row r="4079" spans="19:21" ht="23.25" customHeight="1" x14ac:dyDescent="0.35">
      <c r="S4079" s="56" t="str">
        <f t="shared" si="189"/>
        <v/>
      </c>
      <c r="T4079" s="57" t="str">
        <f t="shared" si="190"/>
        <v/>
      </c>
      <c r="U4079" s="58" t="str">
        <f t="shared" si="191"/>
        <v/>
      </c>
    </row>
    <row r="4080" spans="19:21" ht="23.25" customHeight="1" x14ac:dyDescent="0.35">
      <c r="S4080" s="56" t="str">
        <f t="shared" si="189"/>
        <v/>
      </c>
      <c r="T4080" s="57" t="str">
        <f t="shared" si="190"/>
        <v/>
      </c>
      <c r="U4080" s="58" t="str">
        <f t="shared" si="191"/>
        <v/>
      </c>
    </row>
    <row r="4081" spans="19:21" ht="23.25" customHeight="1" x14ac:dyDescent="0.35">
      <c r="S4081" s="56" t="str">
        <f t="shared" si="189"/>
        <v/>
      </c>
      <c r="T4081" s="57" t="str">
        <f t="shared" si="190"/>
        <v/>
      </c>
      <c r="U4081" s="58" t="str">
        <f t="shared" si="191"/>
        <v/>
      </c>
    </row>
    <row r="4082" spans="19:21" ht="23.25" customHeight="1" x14ac:dyDescent="0.35">
      <c r="S4082" s="56" t="str">
        <f t="shared" si="189"/>
        <v/>
      </c>
      <c r="T4082" s="57" t="str">
        <f t="shared" si="190"/>
        <v/>
      </c>
      <c r="U4082" s="58" t="str">
        <f t="shared" si="191"/>
        <v/>
      </c>
    </row>
    <row r="4083" spans="19:21" ht="23.25" customHeight="1" x14ac:dyDescent="0.35">
      <c r="S4083" s="56" t="str">
        <f t="shared" si="189"/>
        <v/>
      </c>
      <c r="T4083" s="57" t="str">
        <f t="shared" si="190"/>
        <v/>
      </c>
      <c r="U4083" s="58" t="str">
        <f t="shared" si="191"/>
        <v/>
      </c>
    </row>
    <row r="4084" spans="19:21" ht="23.25" customHeight="1" x14ac:dyDescent="0.35">
      <c r="S4084" s="56" t="str">
        <f t="shared" si="189"/>
        <v/>
      </c>
      <c r="T4084" s="57" t="str">
        <f t="shared" si="190"/>
        <v/>
      </c>
      <c r="U4084" s="58" t="str">
        <f t="shared" si="191"/>
        <v/>
      </c>
    </row>
    <row r="4085" spans="19:21" ht="23.25" customHeight="1" x14ac:dyDescent="0.35">
      <c r="S4085" s="56" t="str">
        <f t="shared" si="189"/>
        <v/>
      </c>
      <c r="T4085" s="57" t="str">
        <f t="shared" si="190"/>
        <v/>
      </c>
      <c r="U4085" s="58" t="str">
        <f t="shared" si="191"/>
        <v/>
      </c>
    </row>
    <row r="4086" spans="19:21" ht="23.25" customHeight="1" x14ac:dyDescent="0.35">
      <c r="S4086" s="56" t="str">
        <f t="shared" si="189"/>
        <v/>
      </c>
      <c r="T4086" s="57" t="str">
        <f t="shared" si="190"/>
        <v/>
      </c>
      <c r="U4086" s="58" t="str">
        <f t="shared" si="191"/>
        <v/>
      </c>
    </row>
    <row r="4087" spans="19:21" ht="23.25" customHeight="1" x14ac:dyDescent="0.35">
      <c r="S4087" s="56" t="str">
        <f t="shared" si="189"/>
        <v/>
      </c>
      <c r="T4087" s="57" t="str">
        <f t="shared" si="190"/>
        <v/>
      </c>
      <c r="U4087" s="58" t="str">
        <f t="shared" si="191"/>
        <v/>
      </c>
    </row>
    <row r="4088" spans="19:21" ht="23.25" customHeight="1" x14ac:dyDescent="0.35">
      <c r="S4088" s="56" t="str">
        <f t="shared" si="189"/>
        <v/>
      </c>
      <c r="T4088" s="57" t="str">
        <f t="shared" si="190"/>
        <v/>
      </c>
      <c r="U4088" s="58" t="str">
        <f t="shared" si="191"/>
        <v/>
      </c>
    </row>
    <row r="4089" spans="19:21" ht="23.25" customHeight="1" x14ac:dyDescent="0.35">
      <c r="S4089" s="56" t="str">
        <f t="shared" si="189"/>
        <v/>
      </c>
      <c r="T4089" s="57" t="str">
        <f t="shared" si="190"/>
        <v/>
      </c>
      <c r="U4089" s="58" t="str">
        <f t="shared" si="191"/>
        <v/>
      </c>
    </row>
    <row r="4090" spans="19:21" ht="23.25" customHeight="1" x14ac:dyDescent="0.35">
      <c r="S4090" s="56" t="str">
        <f t="shared" si="189"/>
        <v/>
      </c>
      <c r="T4090" s="57" t="str">
        <f t="shared" si="190"/>
        <v/>
      </c>
      <c r="U4090" s="58" t="str">
        <f t="shared" si="191"/>
        <v/>
      </c>
    </row>
    <row r="4091" spans="19:21" ht="23.25" customHeight="1" x14ac:dyDescent="0.35">
      <c r="S4091" s="56" t="str">
        <f t="shared" si="189"/>
        <v/>
      </c>
      <c r="T4091" s="57" t="str">
        <f t="shared" si="190"/>
        <v/>
      </c>
      <c r="U4091" s="58" t="str">
        <f t="shared" si="191"/>
        <v/>
      </c>
    </row>
    <row r="4092" spans="19:21" ht="23.25" customHeight="1" x14ac:dyDescent="0.35">
      <c r="S4092" s="56" t="str">
        <f t="shared" si="189"/>
        <v/>
      </c>
      <c r="T4092" s="57" t="str">
        <f t="shared" si="190"/>
        <v/>
      </c>
      <c r="U4092" s="58" t="str">
        <f t="shared" si="191"/>
        <v/>
      </c>
    </row>
    <row r="4093" spans="19:21" ht="23.25" customHeight="1" x14ac:dyDescent="0.35">
      <c r="S4093" s="56" t="str">
        <f t="shared" si="189"/>
        <v/>
      </c>
      <c r="T4093" s="57" t="str">
        <f t="shared" si="190"/>
        <v/>
      </c>
      <c r="U4093" s="58" t="str">
        <f t="shared" si="191"/>
        <v/>
      </c>
    </row>
    <row r="4094" spans="19:21" ht="23.25" customHeight="1" x14ac:dyDescent="0.35">
      <c r="S4094" s="56" t="str">
        <f t="shared" si="189"/>
        <v/>
      </c>
      <c r="T4094" s="57" t="str">
        <f t="shared" si="190"/>
        <v/>
      </c>
      <c r="U4094" s="58" t="str">
        <f t="shared" si="191"/>
        <v/>
      </c>
    </row>
    <row r="4095" spans="19:21" ht="23.25" customHeight="1" x14ac:dyDescent="0.35">
      <c r="S4095" s="56" t="str">
        <f t="shared" si="189"/>
        <v/>
      </c>
      <c r="T4095" s="57" t="str">
        <f t="shared" si="190"/>
        <v/>
      </c>
      <c r="U4095" s="58" t="str">
        <f t="shared" si="191"/>
        <v/>
      </c>
    </row>
    <row r="4096" spans="19:21" ht="23.25" customHeight="1" x14ac:dyDescent="0.35">
      <c r="S4096" s="56" t="str">
        <f t="shared" si="189"/>
        <v/>
      </c>
      <c r="T4096" s="57" t="str">
        <f t="shared" si="190"/>
        <v/>
      </c>
      <c r="U4096" s="58" t="str">
        <f t="shared" si="191"/>
        <v/>
      </c>
    </row>
    <row r="4097" spans="19:21" ht="23.25" customHeight="1" x14ac:dyDescent="0.35">
      <c r="S4097" s="56" t="str">
        <f t="shared" si="189"/>
        <v/>
      </c>
      <c r="T4097" s="57" t="str">
        <f t="shared" si="190"/>
        <v/>
      </c>
      <c r="U4097" s="58" t="str">
        <f t="shared" si="191"/>
        <v/>
      </c>
    </row>
    <row r="4098" spans="19:21" ht="23.25" customHeight="1" x14ac:dyDescent="0.35">
      <c r="S4098" s="56" t="str">
        <f t="shared" si="189"/>
        <v/>
      </c>
      <c r="T4098" s="57" t="str">
        <f t="shared" si="190"/>
        <v/>
      </c>
      <c r="U4098" s="58" t="str">
        <f t="shared" si="191"/>
        <v/>
      </c>
    </row>
    <row r="4099" spans="19:21" ht="23.25" customHeight="1" x14ac:dyDescent="0.35">
      <c r="S4099" s="56" t="str">
        <f t="shared" si="189"/>
        <v/>
      </c>
      <c r="T4099" s="57" t="str">
        <f t="shared" si="190"/>
        <v/>
      </c>
      <c r="U4099" s="58" t="str">
        <f t="shared" si="191"/>
        <v/>
      </c>
    </row>
    <row r="4100" spans="19:21" ht="23.25" customHeight="1" x14ac:dyDescent="0.35">
      <c r="S4100" s="56" t="str">
        <f t="shared" si="189"/>
        <v/>
      </c>
      <c r="T4100" s="57" t="str">
        <f t="shared" si="190"/>
        <v/>
      </c>
      <c r="U4100" s="58" t="str">
        <f t="shared" si="191"/>
        <v/>
      </c>
    </row>
    <row r="4101" spans="19:21" ht="23.25" customHeight="1" x14ac:dyDescent="0.35">
      <c r="S4101" s="56" t="str">
        <f t="shared" si="189"/>
        <v/>
      </c>
      <c r="T4101" s="57" t="str">
        <f t="shared" si="190"/>
        <v/>
      </c>
      <c r="U4101" s="58" t="str">
        <f t="shared" si="191"/>
        <v/>
      </c>
    </row>
    <row r="4102" spans="19:21" ht="23.25" customHeight="1" x14ac:dyDescent="0.35">
      <c r="S4102" s="56" t="str">
        <f t="shared" si="189"/>
        <v/>
      </c>
      <c r="T4102" s="57" t="str">
        <f t="shared" si="190"/>
        <v/>
      </c>
      <c r="U4102" s="58" t="str">
        <f t="shared" si="191"/>
        <v/>
      </c>
    </row>
    <row r="4103" spans="19:21" ht="23.25" customHeight="1" x14ac:dyDescent="0.35">
      <c r="S4103" s="56" t="str">
        <f t="shared" si="189"/>
        <v/>
      </c>
      <c r="T4103" s="57" t="str">
        <f t="shared" si="190"/>
        <v/>
      </c>
      <c r="U4103" s="58" t="str">
        <f t="shared" si="191"/>
        <v/>
      </c>
    </row>
    <row r="4104" spans="19:21" ht="23.25" customHeight="1" x14ac:dyDescent="0.35">
      <c r="S4104" s="56" t="str">
        <f t="shared" si="189"/>
        <v/>
      </c>
      <c r="T4104" s="57" t="str">
        <f t="shared" si="190"/>
        <v/>
      </c>
      <c r="U4104" s="58" t="str">
        <f t="shared" si="191"/>
        <v/>
      </c>
    </row>
    <row r="4105" spans="19:21" ht="23.25" customHeight="1" x14ac:dyDescent="0.35">
      <c r="S4105" s="56" t="str">
        <f t="shared" ref="S4105:S4168" si="192">IF(A4105="","",A$5-A4105)</f>
        <v/>
      </c>
      <c r="T4105" s="57" t="str">
        <f t="shared" ref="T4105:T4168" si="193">IF(S4105="","",IF(S4105&lt;4,"0-3 Days",IF(S4105&lt;31,"4-30 Days",IF(S4105&lt;61,"31-60 Days",IF(S4105&lt;=90,"61-90 Days",IF(S4105&gt;90,"Above 90 Days","0"))))))</f>
        <v/>
      </c>
      <c r="U4105" s="58" t="str">
        <f t="shared" ref="U4105:U4168" si="194">IF(C4105="","",IF(C4105&gt;0,IF(S4105&lt;30,"Normal",IF(S4105&lt;60,"Especially Mentioned",IF(S4105&lt;90,"Substandard",IF(S4105&lt;=180,"Doubtful",IF(S4105&gt;180,"Loss","0"))))),"Not Applicable"))</f>
        <v/>
      </c>
    </row>
    <row r="4106" spans="19:21" ht="23.25" customHeight="1" x14ac:dyDescent="0.35">
      <c r="S4106" s="56" t="str">
        <f t="shared" si="192"/>
        <v/>
      </c>
      <c r="T4106" s="57" t="str">
        <f t="shared" si="193"/>
        <v/>
      </c>
      <c r="U4106" s="58" t="str">
        <f t="shared" si="194"/>
        <v/>
      </c>
    </row>
    <row r="4107" spans="19:21" ht="23.25" customHeight="1" x14ac:dyDescent="0.35">
      <c r="S4107" s="56" t="str">
        <f t="shared" si="192"/>
        <v/>
      </c>
      <c r="T4107" s="57" t="str">
        <f t="shared" si="193"/>
        <v/>
      </c>
      <c r="U4107" s="58" t="str">
        <f t="shared" si="194"/>
        <v/>
      </c>
    </row>
    <row r="4108" spans="19:21" ht="23.25" customHeight="1" x14ac:dyDescent="0.35">
      <c r="S4108" s="56" t="str">
        <f t="shared" si="192"/>
        <v/>
      </c>
      <c r="T4108" s="57" t="str">
        <f t="shared" si="193"/>
        <v/>
      </c>
      <c r="U4108" s="58" t="str">
        <f t="shared" si="194"/>
        <v/>
      </c>
    </row>
    <row r="4109" spans="19:21" ht="23.25" customHeight="1" x14ac:dyDescent="0.35">
      <c r="S4109" s="56" t="str">
        <f t="shared" si="192"/>
        <v/>
      </c>
      <c r="T4109" s="57" t="str">
        <f t="shared" si="193"/>
        <v/>
      </c>
      <c r="U4109" s="58" t="str">
        <f t="shared" si="194"/>
        <v/>
      </c>
    </row>
    <row r="4110" spans="19:21" ht="23.25" customHeight="1" x14ac:dyDescent="0.35">
      <c r="S4110" s="56" t="str">
        <f t="shared" si="192"/>
        <v/>
      </c>
      <c r="T4110" s="57" t="str">
        <f t="shared" si="193"/>
        <v/>
      </c>
      <c r="U4110" s="58" t="str">
        <f t="shared" si="194"/>
        <v/>
      </c>
    </row>
    <row r="4111" spans="19:21" ht="23.25" customHeight="1" x14ac:dyDescent="0.35">
      <c r="S4111" s="56" t="str">
        <f t="shared" si="192"/>
        <v/>
      </c>
      <c r="T4111" s="57" t="str">
        <f t="shared" si="193"/>
        <v/>
      </c>
      <c r="U4111" s="58" t="str">
        <f t="shared" si="194"/>
        <v/>
      </c>
    </row>
    <row r="4112" spans="19:21" ht="23.25" customHeight="1" x14ac:dyDescent="0.35">
      <c r="S4112" s="56" t="str">
        <f t="shared" si="192"/>
        <v/>
      </c>
      <c r="T4112" s="57" t="str">
        <f t="shared" si="193"/>
        <v/>
      </c>
      <c r="U4112" s="58" t="str">
        <f t="shared" si="194"/>
        <v/>
      </c>
    </row>
    <row r="4113" spans="19:21" ht="23.25" customHeight="1" x14ac:dyDescent="0.35">
      <c r="S4113" s="56" t="str">
        <f t="shared" si="192"/>
        <v/>
      </c>
      <c r="T4113" s="57" t="str">
        <f t="shared" si="193"/>
        <v/>
      </c>
      <c r="U4113" s="58" t="str">
        <f t="shared" si="194"/>
        <v/>
      </c>
    </row>
    <row r="4114" spans="19:21" ht="23.25" customHeight="1" x14ac:dyDescent="0.35">
      <c r="S4114" s="56" t="str">
        <f t="shared" si="192"/>
        <v/>
      </c>
      <c r="T4114" s="57" t="str">
        <f t="shared" si="193"/>
        <v/>
      </c>
      <c r="U4114" s="58" t="str">
        <f t="shared" si="194"/>
        <v/>
      </c>
    </row>
    <row r="4115" spans="19:21" ht="23.25" customHeight="1" x14ac:dyDescent="0.35">
      <c r="S4115" s="56" t="str">
        <f t="shared" si="192"/>
        <v/>
      </c>
      <c r="T4115" s="57" t="str">
        <f t="shared" si="193"/>
        <v/>
      </c>
      <c r="U4115" s="58" t="str">
        <f t="shared" si="194"/>
        <v/>
      </c>
    </row>
    <row r="4116" spans="19:21" ht="23.25" customHeight="1" x14ac:dyDescent="0.35">
      <c r="S4116" s="56" t="str">
        <f t="shared" si="192"/>
        <v/>
      </c>
      <c r="T4116" s="57" t="str">
        <f t="shared" si="193"/>
        <v/>
      </c>
      <c r="U4116" s="58" t="str">
        <f t="shared" si="194"/>
        <v/>
      </c>
    </row>
    <row r="4117" spans="19:21" ht="23.25" customHeight="1" x14ac:dyDescent="0.35">
      <c r="S4117" s="56" t="str">
        <f t="shared" si="192"/>
        <v/>
      </c>
      <c r="T4117" s="57" t="str">
        <f t="shared" si="193"/>
        <v/>
      </c>
      <c r="U4117" s="58" t="str">
        <f t="shared" si="194"/>
        <v/>
      </c>
    </row>
    <row r="4118" spans="19:21" ht="23.25" customHeight="1" x14ac:dyDescent="0.35">
      <c r="S4118" s="56" t="str">
        <f t="shared" si="192"/>
        <v/>
      </c>
      <c r="T4118" s="57" t="str">
        <f t="shared" si="193"/>
        <v/>
      </c>
      <c r="U4118" s="58" t="str">
        <f t="shared" si="194"/>
        <v/>
      </c>
    </row>
    <row r="4119" spans="19:21" ht="23.25" customHeight="1" x14ac:dyDescent="0.35">
      <c r="S4119" s="56" t="str">
        <f t="shared" si="192"/>
        <v/>
      </c>
      <c r="T4119" s="57" t="str">
        <f t="shared" si="193"/>
        <v/>
      </c>
      <c r="U4119" s="58" t="str">
        <f t="shared" si="194"/>
        <v/>
      </c>
    </row>
    <row r="4120" spans="19:21" ht="23.25" customHeight="1" x14ac:dyDescent="0.35">
      <c r="S4120" s="56" t="str">
        <f t="shared" si="192"/>
        <v/>
      </c>
      <c r="T4120" s="57" t="str">
        <f t="shared" si="193"/>
        <v/>
      </c>
      <c r="U4120" s="58" t="str">
        <f t="shared" si="194"/>
        <v/>
      </c>
    </row>
    <row r="4121" spans="19:21" ht="23.25" customHeight="1" x14ac:dyDescent="0.35">
      <c r="S4121" s="56" t="str">
        <f t="shared" si="192"/>
        <v/>
      </c>
      <c r="T4121" s="57" t="str">
        <f t="shared" si="193"/>
        <v/>
      </c>
      <c r="U4121" s="58" t="str">
        <f t="shared" si="194"/>
        <v/>
      </c>
    </row>
    <row r="4122" spans="19:21" ht="23.25" customHeight="1" x14ac:dyDescent="0.35">
      <c r="S4122" s="56" t="str">
        <f t="shared" si="192"/>
        <v/>
      </c>
      <c r="T4122" s="57" t="str">
        <f t="shared" si="193"/>
        <v/>
      </c>
      <c r="U4122" s="58" t="str">
        <f t="shared" si="194"/>
        <v/>
      </c>
    </row>
    <row r="4123" spans="19:21" ht="23.25" customHeight="1" x14ac:dyDescent="0.35">
      <c r="S4123" s="56" t="str">
        <f t="shared" si="192"/>
        <v/>
      </c>
      <c r="T4123" s="57" t="str">
        <f t="shared" si="193"/>
        <v/>
      </c>
      <c r="U4123" s="58" t="str">
        <f t="shared" si="194"/>
        <v/>
      </c>
    </row>
    <row r="4124" spans="19:21" ht="23.25" customHeight="1" x14ac:dyDescent="0.35">
      <c r="S4124" s="56" t="str">
        <f t="shared" si="192"/>
        <v/>
      </c>
      <c r="T4124" s="57" t="str">
        <f t="shared" si="193"/>
        <v/>
      </c>
      <c r="U4124" s="58" t="str">
        <f t="shared" si="194"/>
        <v/>
      </c>
    </row>
    <row r="4125" spans="19:21" ht="23.25" customHeight="1" x14ac:dyDescent="0.35">
      <c r="S4125" s="56" t="str">
        <f t="shared" si="192"/>
        <v/>
      </c>
      <c r="T4125" s="57" t="str">
        <f t="shared" si="193"/>
        <v/>
      </c>
      <c r="U4125" s="58" t="str">
        <f t="shared" si="194"/>
        <v/>
      </c>
    </row>
    <row r="4126" spans="19:21" ht="23.25" customHeight="1" x14ac:dyDescent="0.35">
      <c r="S4126" s="56" t="str">
        <f t="shared" si="192"/>
        <v/>
      </c>
      <c r="T4126" s="57" t="str">
        <f t="shared" si="193"/>
        <v/>
      </c>
      <c r="U4126" s="58" t="str">
        <f t="shared" si="194"/>
        <v/>
      </c>
    </row>
    <row r="4127" spans="19:21" ht="23.25" customHeight="1" x14ac:dyDescent="0.35">
      <c r="S4127" s="56" t="str">
        <f t="shared" si="192"/>
        <v/>
      </c>
      <c r="T4127" s="57" t="str">
        <f t="shared" si="193"/>
        <v/>
      </c>
      <c r="U4127" s="58" t="str">
        <f t="shared" si="194"/>
        <v/>
      </c>
    </row>
    <row r="4128" spans="19:21" ht="23.25" customHeight="1" x14ac:dyDescent="0.35">
      <c r="S4128" s="56" t="str">
        <f t="shared" si="192"/>
        <v/>
      </c>
      <c r="T4128" s="57" t="str">
        <f t="shared" si="193"/>
        <v/>
      </c>
      <c r="U4128" s="58" t="str">
        <f t="shared" si="194"/>
        <v/>
      </c>
    </row>
    <row r="4129" spans="19:21" ht="23.25" customHeight="1" x14ac:dyDescent="0.35">
      <c r="S4129" s="56" t="str">
        <f t="shared" si="192"/>
        <v/>
      </c>
      <c r="T4129" s="57" t="str">
        <f t="shared" si="193"/>
        <v/>
      </c>
      <c r="U4129" s="58" t="str">
        <f t="shared" si="194"/>
        <v/>
      </c>
    </row>
    <row r="4130" spans="19:21" ht="23.25" customHeight="1" x14ac:dyDescent="0.35">
      <c r="S4130" s="56" t="str">
        <f t="shared" si="192"/>
        <v/>
      </c>
      <c r="T4130" s="57" t="str">
        <f t="shared" si="193"/>
        <v/>
      </c>
      <c r="U4130" s="58" t="str">
        <f t="shared" si="194"/>
        <v/>
      </c>
    </row>
    <row r="4131" spans="19:21" ht="23.25" customHeight="1" x14ac:dyDescent="0.35">
      <c r="S4131" s="56" t="str">
        <f t="shared" si="192"/>
        <v/>
      </c>
      <c r="T4131" s="57" t="str">
        <f t="shared" si="193"/>
        <v/>
      </c>
      <c r="U4131" s="58" t="str">
        <f t="shared" si="194"/>
        <v/>
      </c>
    </row>
    <row r="4132" spans="19:21" ht="23.25" customHeight="1" x14ac:dyDescent="0.35">
      <c r="S4132" s="56" t="str">
        <f t="shared" si="192"/>
        <v/>
      </c>
      <c r="T4132" s="57" t="str">
        <f t="shared" si="193"/>
        <v/>
      </c>
      <c r="U4132" s="58" t="str">
        <f t="shared" si="194"/>
        <v/>
      </c>
    </row>
    <row r="4133" spans="19:21" ht="23.25" customHeight="1" x14ac:dyDescent="0.35">
      <c r="S4133" s="56" t="str">
        <f t="shared" si="192"/>
        <v/>
      </c>
      <c r="T4133" s="57" t="str">
        <f t="shared" si="193"/>
        <v/>
      </c>
      <c r="U4133" s="58" t="str">
        <f t="shared" si="194"/>
        <v/>
      </c>
    </row>
    <row r="4134" spans="19:21" ht="23.25" customHeight="1" x14ac:dyDescent="0.35">
      <c r="S4134" s="56" t="str">
        <f t="shared" si="192"/>
        <v/>
      </c>
      <c r="T4134" s="57" t="str">
        <f t="shared" si="193"/>
        <v/>
      </c>
      <c r="U4134" s="58" t="str">
        <f t="shared" si="194"/>
        <v/>
      </c>
    </row>
    <row r="4135" spans="19:21" ht="23.25" customHeight="1" x14ac:dyDescent="0.35">
      <c r="S4135" s="56" t="str">
        <f t="shared" si="192"/>
        <v/>
      </c>
      <c r="T4135" s="57" t="str">
        <f t="shared" si="193"/>
        <v/>
      </c>
      <c r="U4135" s="58" t="str">
        <f t="shared" si="194"/>
        <v/>
      </c>
    </row>
    <row r="4136" spans="19:21" ht="23.25" customHeight="1" x14ac:dyDescent="0.35">
      <c r="S4136" s="56" t="str">
        <f t="shared" si="192"/>
        <v/>
      </c>
      <c r="T4136" s="57" t="str">
        <f t="shared" si="193"/>
        <v/>
      </c>
      <c r="U4136" s="58" t="str">
        <f t="shared" si="194"/>
        <v/>
      </c>
    </row>
    <row r="4137" spans="19:21" ht="23.25" customHeight="1" x14ac:dyDescent="0.35">
      <c r="S4137" s="56" t="str">
        <f t="shared" si="192"/>
        <v/>
      </c>
      <c r="T4137" s="57" t="str">
        <f t="shared" si="193"/>
        <v/>
      </c>
      <c r="U4137" s="58" t="str">
        <f t="shared" si="194"/>
        <v/>
      </c>
    </row>
    <row r="4138" spans="19:21" ht="23.25" customHeight="1" x14ac:dyDescent="0.35">
      <c r="S4138" s="56" t="str">
        <f t="shared" si="192"/>
        <v/>
      </c>
      <c r="T4138" s="57" t="str">
        <f t="shared" si="193"/>
        <v/>
      </c>
      <c r="U4138" s="58" t="str">
        <f t="shared" si="194"/>
        <v/>
      </c>
    </row>
    <row r="4139" spans="19:21" ht="23.25" customHeight="1" x14ac:dyDescent="0.35">
      <c r="S4139" s="56" t="str">
        <f t="shared" si="192"/>
        <v/>
      </c>
      <c r="T4139" s="57" t="str">
        <f t="shared" si="193"/>
        <v/>
      </c>
      <c r="U4139" s="58" t="str">
        <f t="shared" si="194"/>
        <v/>
      </c>
    </row>
    <row r="4140" spans="19:21" ht="23.25" customHeight="1" x14ac:dyDescent="0.35">
      <c r="S4140" s="56" t="str">
        <f t="shared" si="192"/>
        <v/>
      </c>
      <c r="T4140" s="57" t="str">
        <f t="shared" si="193"/>
        <v/>
      </c>
      <c r="U4140" s="58" t="str">
        <f t="shared" si="194"/>
        <v/>
      </c>
    </row>
    <row r="4141" spans="19:21" ht="23.25" customHeight="1" x14ac:dyDescent="0.35">
      <c r="S4141" s="56" t="str">
        <f t="shared" si="192"/>
        <v/>
      </c>
      <c r="T4141" s="57" t="str">
        <f t="shared" si="193"/>
        <v/>
      </c>
      <c r="U4141" s="58" t="str">
        <f t="shared" si="194"/>
        <v/>
      </c>
    </row>
    <row r="4142" spans="19:21" ht="23.25" customHeight="1" x14ac:dyDescent="0.35">
      <c r="S4142" s="56" t="str">
        <f t="shared" si="192"/>
        <v/>
      </c>
      <c r="T4142" s="57" t="str">
        <f t="shared" si="193"/>
        <v/>
      </c>
      <c r="U4142" s="58" t="str">
        <f t="shared" si="194"/>
        <v/>
      </c>
    </row>
    <row r="4143" spans="19:21" ht="23.25" customHeight="1" x14ac:dyDescent="0.35">
      <c r="S4143" s="56" t="str">
        <f t="shared" si="192"/>
        <v/>
      </c>
      <c r="T4143" s="57" t="str">
        <f t="shared" si="193"/>
        <v/>
      </c>
      <c r="U4143" s="58" t="str">
        <f t="shared" si="194"/>
        <v/>
      </c>
    </row>
    <row r="4144" spans="19:21" ht="23.25" customHeight="1" x14ac:dyDescent="0.35">
      <c r="S4144" s="56" t="str">
        <f t="shared" si="192"/>
        <v/>
      </c>
      <c r="T4144" s="57" t="str">
        <f t="shared" si="193"/>
        <v/>
      </c>
      <c r="U4144" s="58" t="str">
        <f t="shared" si="194"/>
        <v/>
      </c>
    </row>
    <row r="4145" spans="19:21" ht="23.25" customHeight="1" x14ac:dyDescent="0.35">
      <c r="S4145" s="56" t="str">
        <f t="shared" si="192"/>
        <v/>
      </c>
      <c r="T4145" s="57" t="str">
        <f t="shared" si="193"/>
        <v/>
      </c>
      <c r="U4145" s="58" t="str">
        <f t="shared" si="194"/>
        <v/>
      </c>
    </row>
    <row r="4146" spans="19:21" ht="23.25" customHeight="1" x14ac:dyDescent="0.35">
      <c r="S4146" s="56" t="str">
        <f t="shared" si="192"/>
        <v/>
      </c>
      <c r="T4146" s="57" t="str">
        <f t="shared" si="193"/>
        <v/>
      </c>
      <c r="U4146" s="58" t="str">
        <f t="shared" si="194"/>
        <v/>
      </c>
    </row>
    <row r="4147" spans="19:21" ht="23.25" customHeight="1" x14ac:dyDescent="0.35">
      <c r="S4147" s="56" t="str">
        <f t="shared" si="192"/>
        <v/>
      </c>
      <c r="T4147" s="57" t="str">
        <f t="shared" si="193"/>
        <v/>
      </c>
      <c r="U4147" s="58" t="str">
        <f t="shared" si="194"/>
        <v/>
      </c>
    </row>
    <row r="4148" spans="19:21" ht="23.25" customHeight="1" x14ac:dyDescent="0.35">
      <c r="S4148" s="56" t="str">
        <f t="shared" si="192"/>
        <v/>
      </c>
      <c r="T4148" s="57" t="str">
        <f t="shared" si="193"/>
        <v/>
      </c>
      <c r="U4148" s="58" t="str">
        <f t="shared" si="194"/>
        <v/>
      </c>
    </row>
    <row r="4149" spans="19:21" ht="23.25" customHeight="1" x14ac:dyDescent="0.35">
      <c r="S4149" s="56" t="str">
        <f t="shared" si="192"/>
        <v/>
      </c>
      <c r="T4149" s="57" t="str">
        <f t="shared" si="193"/>
        <v/>
      </c>
      <c r="U4149" s="58" t="str">
        <f t="shared" si="194"/>
        <v/>
      </c>
    </row>
    <row r="4150" spans="19:21" ht="23.25" customHeight="1" x14ac:dyDescent="0.35">
      <c r="S4150" s="56" t="str">
        <f t="shared" si="192"/>
        <v/>
      </c>
      <c r="T4150" s="57" t="str">
        <f t="shared" si="193"/>
        <v/>
      </c>
      <c r="U4150" s="58" t="str">
        <f t="shared" si="194"/>
        <v/>
      </c>
    </row>
    <row r="4151" spans="19:21" ht="23.25" customHeight="1" x14ac:dyDescent="0.35">
      <c r="S4151" s="56" t="str">
        <f t="shared" si="192"/>
        <v/>
      </c>
      <c r="T4151" s="57" t="str">
        <f t="shared" si="193"/>
        <v/>
      </c>
      <c r="U4151" s="58" t="str">
        <f t="shared" si="194"/>
        <v/>
      </c>
    </row>
    <row r="4152" spans="19:21" ht="23.25" customHeight="1" x14ac:dyDescent="0.35">
      <c r="S4152" s="56" t="str">
        <f t="shared" si="192"/>
        <v/>
      </c>
      <c r="T4152" s="57" t="str">
        <f t="shared" si="193"/>
        <v/>
      </c>
      <c r="U4152" s="58" t="str">
        <f t="shared" si="194"/>
        <v/>
      </c>
    </row>
    <row r="4153" spans="19:21" ht="23.25" customHeight="1" x14ac:dyDescent="0.35">
      <c r="S4153" s="56" t="str">
        <f t="shared" si="192"/>
        <v/>
      </c>
      <c r="T4153" s="57" t="str">
        <f t="shared" si="193"/>
        <v/>
      </c>
      <c r="U4153" s="58" t="str">
        <f t="shared" si="194"/>
        <v/>
      </c>
    </row>
    <row r="4154" spans="19:21" ht="23.25" customHeight="1" x14ac:dyDescent="0.35">
      <c r="S4154" s="56" t="str">
        <f t="shared" si="192"/>
        <v/>
      </c>
      <c r="T4154" s="57" t="str">
        <f t="shared" si="193"/>
        <v/>
      </c>
      <c r="U4154" s="58" t="str">
        <f t="shared" si="194"/>
        <v/>
      </c>
    </row>
    <row r="4155" spans="19:21" ht="23.25" customHeight="1" x14ac:dyDescent="0.35">
      <c r="S4155" s="56" t="str">
        <f t="shared" si="192"/>
        <v/>
      </c>
      <c r="T4155" s="57" t="str">
        <f t="shared" si="193"/>
        <v/>
      </c>
      <c r="U4155" s="58" t="str">
        <f t="shared" si="194"/>
        <v/>
      </c>
    </row>
    <row r="4156" spans="19:21" ht="23.25" customHeight="1" x14ac:dyDescent="0.35">
      <c r="S4156" s="56" t="str">
        <f t="shared" si="192"/>
        <v/>
      </c>
      <c r="T4156" s="57" t="str">
        <f t="shared" si="193"/>
        <v/>
      </c>
      <c r="U4156" s="58" t="str">
        <f t="shared" si="194"/>
        <v/>
      </c>
    </row>
    <row r="4157" spans="19:21" ht="23.25" customHeight="1" x14ac:dyDescent="0.35">
      <c r="S4157" s="56" t="str">
        <f t="shared" si="192"/>
        <v/>
      </c>
      <c r="T4157" s="57" t="str">
        <f t="shared" si="193"/>
        <v/>
      </c>
      <c r="U4157" s="58" t="str">
        <f t="shared" si="194"/>
        <v/>
      </c>
    </row>
    <row r="4158" spans="19:21" ht="23.25" customHeight="1" x14ac:dyDescent="0.35">
      <c r="S4158" s="56" t="str">
        <f t="shared" si="192"/>
        <v/>
      </c>
      <c r="T4158" s="57" t="str">
        <f t="shared" si="193"/>
        <v/>
      </c>
      <c r="U4158" s="58" t="str">
        <f t="shared" si="194"/>
        <v/>
      </c>
    </row>
    <row r="4159" spans="19:21" ht="23.25" customHeight="1" x14ac:dyDescent="0.35">
      <c r="S4159" s="56" t="str">
        <f t="shared" si="192"/>
        <v/>
      </c>
      <c r="T4159" s="57" t="str">
        <f t="shared" si="193"/>
        <v/>
      </c>
      <c r="U4159" s="58" t="str">
        <f t="shared" si="194"/>
        <v/>
      </c>
    </row>
    <row r="4160" spans="19:21" ht="23.25" customHeight="1" x14ac:dyDescent="0.35">
      <c r="S4160" s="56" t="str">
        <f t="shared" si="192"/>
        <v/>
      </c>
      <c r="T4160" s="57" t="str">
        <f t="shared" si="193"/>
        <v/>
      </c>
      <c r="U4160" s="58" t="str">
        <f t="shared" si="194"/>
        <v/>
      </c>
    </row>
    <row r="4161" spans="19:21" ht="23.25" customHeight="1" x14ac:dyDescent="0.35">
      <c r="S4161" s="56" t="str">
        <f t="shared" si="192"/>
        <v/>
      </c>
      <c r="T4161" s="57" t="str">
        <f t="shared" si="193"/>
        <v/>
      </c>
      <c r="U4161" s="58" t="str">
        <f t="shared" si="194"/>
        <v/>
      </c>
    </row>
    <row r="4162" spans="19:21" ht="23.25" customHeight="1" x14ac:dyDescent="0.35">
      <c r="S4162" s="56" t="str">
        <f t="shared" si="192"/>
        <v/>
      </c>
      <c r="T4162" s="57" t="str">
        <f t="shared" si="193"/>
        <v/>
      </c>
      <c r="U4162" s="58" t="str">
        <f t="shared" si="194"/>
        <v/>
      </c>
    </row>
    <row r="4163" spans="19:21" ht="23.25" customHeight="1" x14ac:dyDescent="0.35">
      <c r="S4163" s="56" t="str">
        <f t="shared" si="192"/>
        <v/>
      </c>
      <c r="T4163" s="57" t="str">
        <f t="shared" si="193"/>
        <v/>
      </c>
      <c r="U4163" s="58" t="str">
        <f t="shared" si="194"/>
        <v/>
      </c>
    </row>
    <row r="4164" spans="19:21" ht="23.25" customHeight="1" x14ac:dyDescent="0.35">
      <c r="S4164" s="56" t="str">
        <f t="shared" si="192"/>
        <v/>
      </c>
      <c r="T4164" s="57" t="str">
        <f t="shared" si="193"/>
        <v/>
      </c>
      <c r="U4164" s="58" t="str">
        <f t="shared" si="194"/>
        <v/>
      </c>
    </row>
    <row r="4165" spans="19:21" ht="23.25" customHeight="1" x14ac:dyDescent="0.35">
      <c r="S4165" s="56" t="str">
        <f t="shared" si="192"/>
        <v/>
      </c>
      <c r="T4165" s="57" t="str">
        <f t="shared" si="193"/>
        <v/>
      </c>
      <c r="U4165" s="58" t="str">
        <f t="shared" si="194"/>
        <v/>
      </c>
    </row>
    <row r="4166" spans="19:21" ht="23.25" customHeight="1" x14ac:dyDescent="0.35">
      <c r="S4166" s="56" t="str">
        <f t="shared" si="192"/>
        <v/>
      </c>
      <c r="T4166" s="57" t="str">
        <f t="shared" si="193"/>
        <v/>
      </c>
      <c r="U4166" s="58" t="str">
        <f t="shared" si="194"/>
        <v/>
      </c>
    </row>
    <row r="4167" spans="19:21" ht="23.25" customHeight="1" x14ac:dyDescent="0.35">
      <c r="S4167" s="56" t="str">
        <f t="shared" si="192"/>
        <v/>
      </c>
      <c r="T4167" s="57" t="str">
        <f t="shared" si="193"/>
        <v/>
      </c>
      <c r="U4167" s="58" t="str">
        <f t="shared" si="194"/>
        <v/>
      </c>
    </row>
    <row r="4168" spans="19:21" ht="23.25" customHeight="1" x14ac:dyDescent="0.35">
      <c r="S4168" s="56" t="str">
        <f t="shared" si="192"/>
        <v/>
      </c>
      <c r="T4168" s="57" t="str">
        <f t="shared" si="193"/>
        <v/>
      </c>
      <c r="U4168" s="58" t="str">
        <f t="shared" si="194"/>
        <v/>
      </c>
    </row>
    <row r="4169" spans="19:21" ht="23.25" customHeight="1" x14ac:dyDescent="0.35">
      <c r="S4169" s="56" t="str">
        <f t="shared" ref="S4169:S4232" si="195">IF(A4169="","",A$5-A4169)</f>
        <v/>
      </c>
      <c r="T4169" s="57" t="str">
        <f t="shared" ref="T4169:T4232" si="196">IF(S4169="","",IF(S4169&lt;4,"0-3 Days",IF(S4169&lt;31,"4-30 Days",IF(S4169&lt;61,"31-60 Days",IF(S4169&lt;=90,"61-90 Days",IF(S4169&gt;90,"Above 90 Days","0"))))))</f>
        <v/>
      </c>
      <c r="U4169" s="58" t="str">
        <f t="shared" ref="U4169:U4232" si="197">IF(C4169="","",IF(C4169&gt;0,IF(S4169&lt;30,"Normal",IF(S4169&lt;60,"Especially Mentioned",IF(S4169&lt;90,"Substandard",IF(S4169&lt;=180,"Doubtful",IF(S4169&gt;180,"Loss","0"))))),"Not Applicable"))</f>
        <v/>
      </c>
    </row>
    <row r="4170" spans="19:21" ht="23.25" customHeight="1" x14ac:dyDescent="0.35">
      <c r="S4170" s="56" t="str">
        <f t="shared" si="195"/>
        <v/>
      </c>
      <c r="T4170" s="57" t="str">
        <f t="shared" si="196"/>
        <v/>
      </c>
      <c r="U4170" s="58" t="str">
        <f t="shared" si="197"/>
        <v/>
      </c>
    </row>
    <row r="4171" spans="19:21" ht="23.25" customHeight="1" x14ac:dyDescent="0.35">
      <c r="S4171" s="56" t="str">
        <f t="shared" si="195"/>
        <v/>
      </c>
      <c r="T4171" s="57" t="str">
        <f t="shared" si="196"/>
        <v/>
      </c>
      <c r="U4171" s="58" t="str">
        <f t="shared" si="197"/>
        <v/>
      </c>
    </row>
    <row r="4172" spans="19:21" ht="23.25" customHeight="1" x14ac:dyDescent="0.35">
      <c r="S4172" s="56" t="str">
        <f t="shared" si="195"/>
        <v/>
      </c>
      <c r="T4172" s="57" t="str">
        <f t="shared" si="196"/>
        <v/>
      </c>
      <c r="U4172" s="58" t="str">
        <f t="shared" si="197"/>
        <v/>
      </c>
    </row>
    <row r="4173" spans="19:21" ht="23.25" customHeight="1" x14ac:dyDescent="0.35">
      <c r="S4173" s="56" t="str">
        <f t="shared" si="195"/>
        <v/>
      </c>
      <c r="T4173" s="57" t="str">
        <f t="shared" si="196"/>
        <v/>
      </c>
      <c r="U4173" s="58" t="str">
        <f t="shared" si="197"/>
        <v/>
      </c>
    </row>
    <row r="4174" spans="19:21" ht="23.25" customHeight="1" x14ac:dyDescent="0.35">
      <c r="S4174" s="56" t="str">
        <f t="shared" si="195"/>
        <v/>
      </c>
      <c r="T4174" s="57" t="str">
        <f t="shared" si="196"/>
        <v/>
      </c>
      <c r="U4174" s="58" t="str">
        <f t="shared" si="197"/>
        <v/>
      </c>
    </row>
    <row r="4175" spans="19:21" ht="23.25" customHeight="1" x14ac:dyDescent="0.35">
      <c r="S4175" s="56" t="str">
        <f t="shared" si="195"/>
        <v/>
      </c>
      <c r="T4175" s="57" t="str">
        <f t="shared" si="196"/>
        <v/>
      </c>
      <c r="U4175" s="58" t="str">
        <f t="shared" si="197"/>
        <v/>
      </c>
    </row>
    <row r="4176" spans="19:21" ht="23.25" customHeight="1" x14ac:dyDescent="0.35">
      <c r="S4176" s="56" t="str">
        <f t="shared" si="195"/>
        <v/>
      </c>
      <c r="T4176" s="57" t="str">
        <f t="shared" si="196"/>
        <v/>
      </c>
      <c r="U4176" s="58" t="str">
        <f t="shared" si="197"/>
        <v/>
      </c>
    </row>
    <row r="4177" spans="19:21" ht="23.25" customHeight="1" x14ac:dyDescent="0.35">
      <c r="S4177" s="56" t="str">
        <f t="shared" si="195"/>
        <v/>
      </c>
      <c r="T4177" s="57" t="str">
        <f t="shared" si="196"/>
        <v/>
      </c>
      <c r="U4177" s="58" t="str">
        <f t="shared" si="197"/>
        <v/>
      </c>
    </row>
    <row r="4178" spans="19:21" ht="23.25" customHeight="1" x14ac:dyDescent="0.35">
      <c r="S4178" s="56" t="str">
        <f t="shared" si="195"/>
        <v/>
      </c>
      <c r="T4178" s="57" t="str">
        <f t="shared" si="196"/>
        <v/>
      </c>
      <c r="U4178" s="58" t="str">
        <f t="shared" si="197"/>
        <v/>
      </c>
    </row>
    <row r="4179" spans="19:21" ht="23.25" customHeight="1" x14ac:dyDescent="0.35">
      <c r="S4179" s="56" t="str">
        <f t="shared" si="195"/>
        <v/>
      </c>
      <c r="T4179" s="57" t="str">
        <f t="shared" si="196"/>
        <v/>
      </c>
      <c r="U4179" s="58" t="str">
        <f t="shared" si="197"/>
        <v/>
      </c>
    </row>
    <row r="4180" spans="19:21" ht="23.25" customHeight="1" x14ac:dyDescent="0.35">
      <c r="S4180" s="56" t="str">
        <f t="shared" si="195"/>
        <v/>
      </c>
      <c r="T4180" s="57" t="str">
        <f t="shared" si="196"/>
        <v/>
      </c>
      <c r="U4180" s="58" t="str">
        <f t="shared" si="197"/>
        <v/>
      </c>
    </row>
    <row r="4181" spans="19:21" ht="23.25" customHeight="1" x14ac:dyDescent="0.35">
      <c r="S4181" s="56" t="str">
        <f t="shared" si="195"/>
        <v/>
      </c>
      <c r="T4181" s="57" t="str">
        <f t="shared" si="196"/>
        <v/>
      </c>
      <c r="U4181" s="58" t="str">
        <f t="shared" si="197"/>
        <v/>
      </c>
    </row>
    <row r="4182" spans="19:21" ht="23.25" customHeight="1" x14ac:dyDescent="0.35">
      <c r="S4182" s="56" t="str">
        <f t="shared" si="195"/>
        <v/>
      </c>
      <c r="T4182" s="57" t="str">
        <f t="shared" si="196"/>
        <v/>
      </c>
      <c r="U4182" s="58" t="str">
        <f t="shared" si="197"/>
        <v/>
      </c>
    </row>
    <row r="4183" spans="19:21" ht="23.25" customHeight="1" x14ac:dyDescent="0.35">
      <c r="S4183" s="56" t="str">
        <f t="shared" si="195"/>
        <v/>
      </c>
      <c r="T4183" s="57" t="str">
        <f t="shared" si="196"/>
        <v/>
      </c>
      <c r="U4183" s="58" t="str">
        <f t="shared" si="197"/>
        <v/>
      </c>
    </row>
    <row r="4184" spans="19:21" ht="23.25" customHeight="1" x14ac:dyDescent="0.35">
      <c r="S4184" s="56" t="str">
        <f t="shared" si="195"/>
        <v/>
      </c>
      <c r="T4184" s="57" t="str">
        <f t="shared" si="196"/>
        <v/>
      </c>
      <c r="U4184" s="58" t="str">
        <f t="shared" si="197"/>
        <v/>
      </c>
    </row>
    <row r="4185" spans="19:21" ht="23.25" customHeight="1" x14ac:dyDescent="0.35">
      <c r="S4185" s="56" t="str">
        <f t="shared" si="195"/>
        <v/>
      </c>
      <c r="T4185" s="57" t="str">
        <f t="shared" si="196"/>
        <v/>
      </c>
      <c r="U4185" s="58" t="str">
        <f t="shared" si="197"/>
        <v/>
      </c>
    </row>
    <row r="4186" spans="19:21" ht="23.25" customHeight="1" x14ac:dyDescent="0.35">
      <c r="S4186" s="56" t="str">
        <f t="shared" si="195"/>
        <v/>
      </c>
      <c r="T4186" s="57" t="str">
        <f t="shared" si="196"/>
        <v/>
      </c>
      <c r="U4186" s="58" t="str">
        <f t="shared" si="197"/>
        <v/>
      </c>
    </row>
    <row r="4187" spans="19:21" ht="23.25" customHeight="1" x14ac:dyDescent="0.35">
      <c r="S4187" s="56" t="str">
        <f t="shared" si="195"/>
        <v/>
      </c>
      <c r="T4187" s="57" t="str">
        <f t="shared" si="196"/>
        <v/>
      </c>
      <c r="U4187" s="58" t="str">
        <f t="shared" si="197"/>
        <v/>
      </c>
    </row>
    <row r="4188" spans="19:21" ht="23.25" customHeight="1" x14ac:dyDescent="0.35">
      <c r="S4188" s="56" t="str">
        <f t="shared" si="195"/>
        <v/>
      </c>
      <c r="T4188" s="57" t="str">
        <f t="shared" si="196"/>
        <v/>
      </c>
      <c r="U4188" s="58" t="str">
        <f t="shared" si="197"/>
        <v/>
      </c>
    </row>
    <row r="4189" spans="19:21" ht="23.25" customHeight="1" x14ac:dyDescent="0.35">
      <c r="S4189" s="56" t="str">
        <f t="shared" si="195"/>
        <v/>
      </c>
      <c r="T4189" s="57" t="str">
        <f t="shared" si="196"/>
        <v/>
      </c>
      <c r="U4189" s="58" t="str">
        <f t="shared" si="197"/>
        <v/>
      </c>
    </row>
    <row r="4190" spans="19:21" ht="23.25" customHeight="1" x14ac:dyDescent="0.35">
      <c r="S4190" s="56" t="str">
        <f t="shared" si="195"/>
        <v/>
      </c>
      <c r="T4190" s="57" t="str">
        <f t="shared" si="196"/>
        <v/>
      </c>
      <c r="U4190" s="58" t="str">
        <f t="shared" si="197"/>
        <v/>
      </c>
    </row>
    <row r="4191" spans="19:21" ht="23.25" customHeight="1" x14ac:dyDescent="0.35">
      <c r="S4191" s="56" t="str">
        <f t="shared" si="195"/>
        <v/>
      </c>
      <c r="T4191" s="57" t="str">
        <f t="shared" si="196"/>
        <v/>
      </c>
      <c r="U4191" s="58" t="str">
        <f t="shared" si="197"/>
        <v/>
      </c>
    </row>
    <row r="4192" spans="19:21" ht="23.25" customHeight="1" x14ac:dyDescent="0.35">
      <c r="S4192" s="56" t="str">
        <f t="shared" si="195"/>
        <v/>
      </c>
      <c r="T4192" s="57" t="str">
        <f t="shared" si="196"/>
        <v/>
      </c>
      <c r="U4192" s="58" t="str">
        <f t="shared" si="197"/>
        <v/>
      </c>
    </row>
    <row r="4193" spans="19:21" ht="23.25" customHeight="1" x14ac:dyDescent="0.35">
      <c r="S4193" s="56" t="str">
        <f t="shared" si="195"/>
        <v/>
      </c>
      <c r="T4193" s="57" t="str">
        <f t="shared" si="196"/>
        <v/>
      </c>
      <c r="U4193" s="58" t="str">
        <f t="shared" si="197"/>
        <v/>
      </c>
    </row>
    <row r="4194" spans="19:21" ht="23.25" customHeight="1" x14ac:dyDescent="0.35">
      <c r="S4194" s="56" t="str">
        <f t="shared" si="195"/>
        <v/>
      </c>
      <c r="T4194" s="57" t="str">
        <f t="shared" si="196"/>
        <v/>
      </c>
      <c r="U4194" s="58" t="str">
        <f t="shared" si="197"/>
        <v/>
      </c>
    </row>
    <row r="4195" spans="19:21" ht="23.25" customHeight="1" x14ac:dyDescent="0.35">
      <c r="S4195" s="56" t="str">
        <f t="shared" si="195"/>
        <v/>
      </c>
      <c r="T4195" s="57" t="str">
        <f t="shared" si="196"/>
        <v/>
      </c>
      <c r="U4195" s="58" t="str">
        <f t="shared" si="197"/>
        <v/>
      </c>
    </row>
    <row r="4196" spans="19:21" ht="23.25" customHeight="1" x14ac:dyDescent="0.35">
      <c r="S4196" s="56" t="str">
        <f t="shared" si="195"/>
        <v/>
      </c>
      <c r="T4196" s="57" t="str">
        <f t="shared" si="196"/>
        <v/>
      </c>
      <c r="U4196" s="58" t="str">
        <f t="shared" si="197"/>
        <v/>
      </c>
    </row>
    <row r="4197" spans="19:21" ht="23.25" customHeight="1" x14ac:dyDescent="0.35">
      <c r="S4197" s="56" t="str">
        <f t="shared" si="195"/>
        <v/>
      </c>
      <c r="T4197" s="57" t="str">
        <f t="shared" si="196"/>
        <v/>
      </c>
      <c r="U4197" s="58" t="str">
        <f t="shared" si="197"/>
        <v/>
      </c>
    </row>
    <row r="4198" spans="19:21" ht="23.25" customHeight="1" x14ac:dyDescent="0.35">
      <c r="S4198" s="56" t="str">
        <f t="shared" si="195"/>
        <v/>
      </c>
      <c r="T4198" s="57" t="str">
        <f t="shared" si="196"/>
        <v/>
      </c>
      <c r="U4198" s="58" t="str">
        <f t="shared" si="197"/>
        <v/>
      </c>
    </row>
    <row r="4199" spans="19:21" ht="23.25" customHeight="1" x14ac:dyDescent="0.35">
      <c r="S4199" s="56" t="str">
        <f t="shared" si="195"/>
        <v/>
      </c>
      <c r="T4199" s="57" t="str">
        <f t="shared" si="196"/>
        <v/>
      </c>
      <c r="U4199" s="58" t="str">
        <f t="shared" si="197"/>
        <v/>
      </c>
    </row>
    <row r="4200" spans="19:21" ht="23.25" customHeight="1" x14ac:dyDescent="0.35">
      <c r="S4200" s="56" t="str">
        <f t="shared" si="195"/>
        <v/>
      </c>
      <c r="T4200" s="57" t="str">
        <f t="shared" si="196"/>
        <v/>
      </c>
      <c r="U4200" s="58" t="str">
        <f t="shared" si="197"/>
        <v/>
      </c>
    </row>
    <row r="4201" spans="19:21" ht="23.25" customHeight="1" x14ac:dyDescent="0.35">
      <c r="S4201" s="56" t="str">
        <f t="shared" si="195"/>
        <v/>
      </c>
      <c r="T4201" s="57" t="str">
        <f t="shared" si="196"/>
        <v/>
      </c>
      <c r="U4201" s="58" t="str">
        <f t="shared" si="197"/>
        <v/>
      </c>
    </row>
    <row r="4202" spans="19:21" ht="23.25" customHeight="1" x14ac:dyDescent="0.35">
      <c r="S4202" s="56" t="str">
        <f t="shared" si="195"/>
        <v/>
      </c>
      <c r="T4202" s="57" t="str">
        <f t="shared" si="196"/>
        <v/>
      </c>
      <c r="U4202" s="58" t="str">
        <f t="shared" si="197"/>
        <v/>
      </c>
    </row>
    <row r="4203" spans="19:21" ht="23.25" customHeight="1" x14ac:dyDescent="0.35">
      <c r="S4203" s="56" t="str">
        <f t="shared" si="195"/>
        <v/>
      </c>
      <c r="T4203" s="57" t="str">
        <f t="shared" si="196"/>
        <v/>
      </c>
      <c r="U4203" s="58" t="str">
        <f t="shared" si="197"/>
        <v/>
      </c>
    </row>
    <row r="4204" spans="19:21" ht="23.25" customHeight="1" x14ac:dyDescent="0.35">
      <c r="S4204" s="56" t="str">
        <f t="shared" si="195"/>
        <v/>
      </c>
      <c r="T4204" s="57" t="str">
        <f t="shared" si="196"/>
        <v/>
      </c>
      <c r="U4204" s="58" t="str">
        <f t="shared" si="197"/>
        <v/>
      </c>
    </row>
    <row r="4205" spans="19:21" ht="23.25" customHeight="1" x14ac:dyDescent="0.35">
      <c r="S4205" s="56" t="str">
        <f t="shared" si="195"/>
        <v/>
      </c>
      <c r="T4205" s="57" t="str">
        <f t="shared" si="196"/>
        <v/>
      </c>
      <c r="U4205" s="58" t="str">
        <f t="shared" si="197"/>
        <v/>
      </c>
    </row>
    <row r="4206" spans="19:21" ht="23.25" customHeight="1" x14ac:dyDescent="0.35">
      <c r="S4206" s="56" t="str">
        <f t="shared" si="195"/>
        <v/>
      </c>
      <c r="T4206" s="57" t="str">
        <f t="shared" si="196"/>
        <v/>
      </c>
      <c r="U4206" s="58" t="str">
        <f t="shared" si="197"/>
        <v/>
      </c>
    </row>
    <row r="4207" spans="19:21" ht="23.25" customHeight="1" x14ac:dyDescent="0.35">
      <c r="S4207" s="56" t="str">
        <f t="shared" si="195"/>
        <v/>
      </c>
      <c r="T4207" s="57" t="str">
        <f t="shared" si="196"/>
        <v/>
      </c>
      <c r="U4207" s="58" t="str">
        <f t="shared" si="197"/>
        <v/>
      </c>
    </row>
    <row r="4208" spans="19:21" ht="23.25" customHeight="1" x14ac:dyDescent="0.35">
      <c r="S4208" s="56" t="str">
        <f t="shared" si="195"/>
        <v/>
      </c>
      <c r="T4208" s="57" t="str">
        <f t="shared" si="196"/>
        <v/>
      </c>
      <c r="U4208" s="58" t="str">
        <f t="shared" si="197"/>
        <v/>
      </c>
    </row>
    <row r="4209" spans="19:21" ht="23.25" customHeight="1" x14ac:dyDescent="0.35">
      <c r="S4209" s="56" t="str">
        <f t="shared" si="195"/>
        <v/>
      </c>
      <c r="T4209" s="57" t="str">
        <f t="shared" si="196"/>
        <v/>
      </c>
      <c r="U4209" s="58" t="str">
        <f t="shared" si="197"/>
        <v/>
      </c>
    </row>
    <row r="4210" spans="19:21" ht="23.25" customHeight="1" x14ac:dyDescent="0.35">
      <c r="S4210" s="56" t="str">
        <f t="shared" si="195"/>
        <v/>
      </c>
      <c r="T4210" s="57" t="str">
        <f t="shared" si="196"/>
        <v/>
      </c>
      <c r="U4210" s="58" t="str">
        <f t="shared" si="197"/>
        <v/>
      </c>
    </row>
    <row r="4211" spans="19:21" ht="23.25" customHeight="1" x14ac:dyDescent="0.35">
      <c r="S4211" s="56" t="str">
        <f t="shared" si="195"/>
        <v/>
      </c>
      <c r="T4211" s="57" t="str">
        <f t="shared" si="196"/>
        <v/>
      </c>
      <c r="U4211" s="58" t="str">
        <f t="shared" si="197"/>
        <v/>
      </c>
    </row>
    <row r="4212" spans="19:21" ht="23.25" customHeight="1" x14ac:dyDescent="0.35">
      <c r="S4212" s="56" t="str">
        <f t="shared" si="195"/>
        <v/>
      </c>
      <c r="T4212" s="57" t="str">
        <f t="shared" si="196"/>
        <v/>
      </c>
      <c r="U4212" s="58" t="str">
        <f t="shared" si="197"/>
        <v/>
      </c>
    </row>
    <row r="4213" spans="19:21" ht="23.25" customHeight="1" x14ac:dyDescent="0.35">
      <c r="S4213" s="56" t="str">
        <f t="shared" si="195"/>
        <v/>
      </c>
      <c r="T4213" s="57" t="str">
        <f t="shared" si="196"/>
        <v/>
      </c>
      <c r="U4213" s="58" t="str">
        <f t="shared" si="197"/>
        <v/>
      </c>
    </row>
    <row r="4214" spans="19:21" ht="23.25" customHeight="1" x14ac:dyDescent="0.35">
      <c r="S4214" s="56" t="str">
        <f t="shared" si="195"/>
        <v/>
      </c>
      <c r="T4214" s="57" t="str">
        <f t="shared" si="196"/>
        <v/>
      </c>
      <c r="U4214" s="58" t="str">
        <f t="shared" si="197"/>
        <v/>
      </c>
    </row>
    <row r="4215" spans="19:21" ht="23.25" customHeight="1" x14ac:dyDescent="0.35">
      <c r="S4215" s="56" t="str">
        <f t="shared" si="195"/>
        <v/>
      </c>
      <c r="T4215" s="57" t="str">
        <f t="shared" si="196"/>
        <v/>
      </c>
      <c r="U4215" s="58" t="str">
        <f t="shared" si="197"/>
        <v/>
      </c>
    </row>
    <row r="4216" spans="19:21" ht="23.25" customHeight="1" x14ac:dyDescent="0.35">
      <c r="S4216" s="56" t="str">
        <f t="shared" si="195"/>
        <v/>
      </c>
      <c r="T4216" s="57" t="str">
        <f t="shared" si="196"/>
        <v/>
      </c>
      <c r="U4216" s="58" t="str">
        <f t="shared" si="197"/>
        <v/>
      </c>
    </row>
    <row r="4217" spans="19:21" ht="23.25" customHeight="1" x14ac:dyDescent="0.35">
      <c r="S4217" s="56" t="str">
        <f t="shared" si="195"/>
        <v/>
      </c>
      <c r="T4217" s="57" t="str">
        <f t="shared" si="196"/>
        <v/>
      </c>
      <c r="U4217" s="58" t="str">
        <f t="shared" si="197"/>
        <v/>
      </c>
    </row>
    <row r="4218" spans="19:21" ht="23.25" customHeight="1" x14ac:dyDescent="0.35">
      <c r="S4218" s="56" t="str">
        <f t="shared" si="195"/>
        <v/>
      </c>
      <c r="T4218" s="57" t="str">
        <f t="shared" si="196"/>
        <v/>
      </c>
      <c r="U4218" s="58" t="str">
        <f t="shared" si="197"/>
        <v/>
      </c>
    </row>
    <row r="4219" spans="19:21" ht="23.25" customHeight="1" x14ac:dyDescent="0.35">
      <c r="S4219" s="56" t="str">
        <f t="shared" si="195"/>
        <v/>
      </c>
      <c r="T4219" s="57" t="str">
        <f t="shared" si="196"/>
        <v/>
      </c>
      <c r="U4219" s="58" t="str">
        <f t="shared" si="197"/>
        <v/>
      </c>
    </row>
    <row r="4220" spans="19:21" ht="23.25" customHeight="1" x14ac:dyDescent="0.35">
      <c r="S4220" s="56" t="str">
        <f t="shared" si="195"/>
        <v/>
      </c>
      <c r="T4220" s="57" t="str">
        <f t="shared" si="196"/>
        <v/>
      </c>
      <c r="U4220" s="58" t="str">
        <f t="shared" si="197"/>
        <v/>
      </c>
    </row>
    <row r="4221" spans="19:21" ht="23.25" customHeight="1" x14ac:dyDescent="0.35">
      <c r="S4221" s="56" t="str">
        <f t="shared" si="195"/>
        <v/>
      </c>
      <c r="T4221" s="57" t="str">
        <f t="shared" si="196"/>
        <v/>
      </c>
      <c r="U4221" s="58" t="str">
        <f t="shared" si="197"/>
        <v/>
      </c>
    </row>
    <row r="4222" spans="19:21" ht="23.25" customHeight="1" x14ac:dyDescent="0.35">
      <c r="S4222" s="56" t="str">
        <f t="shared" si="195"/>
        <v/>
      </c>
      <c r="T4222" s="57" t="str">
        <f t="shared" si="196"/>
        <v/>
      </c>
      <c r="U4222" s="58" t="str">
        <f t="shared" si="197"/>
        <v/>
      </c>
    </row>
    <row r="4223" spans="19:21" ht="23.25" customHeight="1" x14ac:dyDescent="0.35">
      <c r="S4223" s="56" t="str">
        <f t="shared" si="195"/>
        <v/>
      </c>
      <c r="T4223" s="57" t="str">
        <f t="shared" si="196"/>
        <v/>
      </c>
      <c r="U4223" s="58" t="str">
        <f t="shared" si="197"/>
        <v/>
      </c>
    </row>
    <row r="4224" spans="19:21" ht="23.25" customHeight="1" x14ac:dyDescent="0.35">
      <c r="S4224" s="56" t="str">
        <f t="shared" si="195"/>
        <v/>
      </c>
      <c r="T4224" s="57" t="str">
        <f t="shared" si="196"/>
        <v/>
      </c>
      <c r="U4224" s="58" t="str">
        <f t="shared" si="197"/>
        <v/>
      </c>
    </row>
    <row r="4225" spans="19:21" ht="23.25" customHeight="1" x14ac:dyDescent="0.35">
      <c r="S4225" s="56" t="str">
        <f t="shared" si="195"/>
        <v/>
      </c>
      <c r="T4225" s="57" t="str">
        <f t="shared" si="196"/>
        <v/>
      </c>
      <c r="U4225" s="58" t="str">
        <f t="shared" si="197"/>
        <v/>
      </c>
    </row>
    <row r="4226" spans="19:21" ht="23.25" customHeight="1" x14ac:dyDescent="0.35">
      <c r="S4226" s="56" t="str">
        <f t="shared" si="195"/>
        <v/>
      </c>
      <c r="T4226" s="57" t="str">
        <f t="shared" si="196"/>
        <v/>
      </c>
      <c r="U4226" s="58" t="str">
        <f t="shared" si="197"/>
        <v/>
      </c>
    </row>
    <row r="4227" spans="19:21" ht="23.25" customHeight="1" x14ac:dyDescent="0.35">
      <c r="S4227" s="56" t="str">
        <f t="shared" si="195"/>
        <v/>
      </c>
      <c r="T4227" s="57" t="str">
        <f t="shared" si="196"/>
        <v/>
      </c>
      <c r="U4227" s="58" t="str">
        <f t="shared" si="197"/>
        <v/>
      </c>
    </row>
    <row r="4228" spans="19:21" ht="23.25" customHeight="1" x14ac:dyDescent="0.35">
      <c r="S4228" s="56" t="str">
        <f t="shared" si="195"/>
        <v/>
      </c>
      <c r="T4228" s="57" t="str">
        <f t="shared" si="196"/>
        <v/>
      </c>
      <c r="U4228" s="58" t="str">
        <f t="shared" si="197"/>
        <v/>
      </c>
    </row>
    <row r="4229" spans="19:21" ht="23.25" customHeight="1" x14ac:dyDescent="0.35">
      <c r="S4229" s="56" t="str">
        <f t="shared" si="195"/>
        <v/>
      </c>
      <c r="T4229" s="57" t="str">
        <f t="shared" si="196"/>
        <v/>
      </c>
      <c r="U4229" s="58" t="str">
        <f t="shared" si="197"/>
        <v/>
      </c>
    </row>
    <row r="4230" spans="19:21" ht="23.25" customHeight="1" x14ac:dyDescent="0.35">
      <c r="S4230" s="56" t="str">
        <f t="shared" si="195"/>
        <v/>
      </c>
      <c r="T4230" s="57" t="str">
        <f t="shared" si="196"/>
        <v/>
      </c>
      <c r="U4230" s="58" t="str">
        <f t="shared" si="197"/>
        <v/>
      </c>
    </row>
    <row r="4231" spans="19:21" ht="23.25" customHeight="1" x14ac:dyDescent="0.35">
      <c r="S4231" s="56" t="str">
        <f t="shared" si="195"/>
        <v/>
      </c>
      <c r="T4231" s="57" t="str">
        <f t="shared" si="196"/>
        <v/>
      </c>
      <c r="U4231" s="58" t="str">
        <f t="shared" si="197"/>
        <v/>
      </c>
    </row>
    <row r="4232" spans="19:21" ht="23.25" customHeight="1" x14ac:dyDescent="0.35">
      <c r="S4232" s="56" t="str">
        <f t="shared" si="195"/>
        <v/>
      </c>
      <c r="T4232" s="57" t="str">
        <f t="shared" si="196"/>
        <v/>
      </c>
      <c r="U4232" s="58" t="str">
        <f t="shared" si="197"/>
        <v/>
      </c>
    </row>
    <row r="4233" spans="19:21" ht="23.25" customHeight="1" x14ac:dyDescent="0.35">
      <c r="S4233" s="56" t="str">
        <f t="shared" ref="S4233:S4296" si="198">IF(A4233="","",A$5-A4233)</f>
        <v/>
      </c>
      <c r="T4233" s="57" t="str">
        <f t="shared" ref="T4233:T4296" si="199">IF(S4233="","",IF(S4233&lt;4,"0-3 Days",IF(S4233&lt;31,"4-30 Days",IF(S4233&lt;61,"31-60 Days",IF(S4233&lt;=90,"61-90 Days",IF(S4233&gt;90,"Above 90 Days","0"))))))</f>
        <v/>
      </c>
      <c r="U4233" s="58" t="str">
        <f t="shared" ref="U4233:U4296" si="200">IF(C4233="","",IF(C4233&gt;0,IF(S4233&lt;30,"Normal",IF(S4233&lt;60,"Especially Mentioned",IF(S4233&lt;90,"Substandard",IF(S4233&lt;=180,"Doubtful",IF(S4233&gt;180,"Loss","0"))))),"Not Applicable"))</f>
        <v/>
      </c>
    </row>
    <row r="4234" spans="19:21" ht="23.25" customHeight="1" x14ac:dyDescent="0.35">
      <c r="S4234" s="56" t="str">
        <f t="shared" si="198"/>
        <v/>
      </c>
      <c r="T4234" s="57" t="str">
        <f t="shared" si="199"/>
        <v/>
      </c>
      <c r="U4234" s="58" t="str">
        <f t="shared" si="200"/>
        <v/>
      </c>
    </row>
    <row r="4235" spans="19:21" ht="23.25" customHeight="1" x14ac:dyDescent="0.35">
      <c r="S4235" s="56" t="str">
        <f t="shared" si="198"/>
        <v/>
      </c>
      <c r="T4235" s="57" t="str">
        <f t="shared" si="199"/>
        <v/>
      </c>
      <c r="U4235" s="58" t="str">
        <f t="shared" si="200"/>
        <v/>
      </c>
    </row>
    <row r="4236" spans="19:21" ht="23.25" customHeight="1" x14ac:dyDescent="0.35">
      <c r="S4236" s="56" t="str">
        <f t="shared" si="198"/>
        <v/>
      </c>
      <c r="T4236" s="57" t="str">
        <f t="shared" si="199"/>
        <v/>
      </c>
      <c r="U4236" s="58" t="str">
        <f t="shared" si="200"/>
        <v/>
      </c>
    </row>
    <row r="4237" spans="19:21" ht="23.25" customHeight="1" x14ac:dyDescent="0.35">
      <c r="S4237" s="56" t="str">
        <f t="shared" si="198"/>
        <v/>
      </c>
      <c r="T4237" s="57" t="str">
        <f t="shared" si="199"/>
        <v/>
      </c>
      <c r="U4237" s="58" t="str">
        <f t="shared" si="200"/>
        <v/>
      </c>
    </row>
    <row r="4238" spans="19:21" ht="23.25" customHeight="1" x14ac:dyDescent="0.35">
      <c r="S4238" s="56" t="str">
        <f t="shared" si="198"/>
        <v/>
      </c>
      <c r="T4238" s="57" t="str">
        <f t="shared" si="199"/>
        <v/>
      </c>
      <c r="U4238" s="58" t="str">
        <f t="shared" si="200"/>
        <v/>
      </c>
    </row>
    <row r="4239" spans="19:21" ht="23.25" customHeight="1" x14ac:dyDescent="0.35">
      <c r="S4239" s="56" t="str">
        <f t="shared" si="198"/>
        <v/>
      </c>
      <c r="T4239" s="57" t="str">
        <f t="shared" si="199"/>
        <v/>
      </c>
      <c r="U4239" s="58" t="str">
        <f t="shared" si="200"/>
        <v/>
      </c>
    </row>
    <row r="4240" spans="19:21" ht="23.25" customHeight="1" x14ac:dyDescent="0.35">
      <c r="S4240" s="56" t="str">
        <f t="shared" si="198"/>
        <v/>
      </c>
      <c r="T4240" s="57" t="str">
        <f t="shared" si="199"/>
        <v/>
      </c>
      <c r="U4240" s="58" t="str">
        <f t="shared" si="200"/>
        <v/>
      </c>
    </row>
    <row r="4241" spans="19:21" ht="23.25" customHeight="1" x14ac:dyDescent="0.35">
      <c r="S4241" s="56" t="str">
        <f t="shared" si="198"/>
        <v/>
      </c>
      <c r="T4241" s="57" t="str">
        <f t="shared" si="199"/>
        <v/>
      </c>
      <c r="U4241" s="58" t="str">
        <f t="shared" si="200"/>
        <v/>
      </c>
    </row>
    <row r="4242" spans="19:21" ht="23.25" customHeight="1" x14ac:dyDescent="0.35">
      <c r="S4242" s="56" t="str">
        <f t="shared" si="198"/>
        <v/>
      </c>
      <c r="T4242" s="57" t="str">
        <f t="shared" si="199"/>
        <v/>
      </c>
      <c r="U4242" s="58" t="str">
        <f t="shared" si="200"/>
        <v/>
      </c>
    </row>
    <row r="4243" spans="19:21" ht="23.25" customHeight="1" x14ac:dyDescent="0.35">
      <c r="S4243" s="56" t="str">
        <f t="shared" si="198"/>
        <v/>
      </c>
      <c r="T4243" s="57" t="str">
        <f t="shared" si="199"/>
        <v/>
      </c>
      <c r="U4243" s="58" t="str">
        <f t="shared" si="200"/>
        <v/>
      </c>
    </row>
    <row r="4244" spans="19:21" ht="23.25" customHeight="1" x14ac:dyDescent="0.35">
      <c r="S4244" s="56" t="str">
        <f t="shared" si="198"/>
        <v/>
      </c>
      <c r="T4244" s="57" t="str">
        <f t="shared" si="199"/>
        <v/>
      </c>
      <c r="U4244" s="58" t="str">
        <f t="shared" si="200"/>
        <v/>
      </c>
    </row>
    <row r="4245" spans="19:21" ht="23.25" customHeight="1" x14ac:dyDescent="0.35">
      <c r="S4245" s="56" t="str">
        <f t="shared" si="198"/>
        <v/>
      </c>
      <c r="T4245" s="57" t="str">
        <f t="shared" si="199"/>
        <v/>
      </c>
      <c r="U4245" s="58" t="str">
        <f t="shared" si="200"/>
        <v/>
      </c>
    </row>
    <row r="4246" spans="19:21" ht="23.25" customHeight="1" x14ac:dyDescent="0.35">
      <c r="S4246" s="56" t="str">
        <f t="shared" si="198"/>
        <v/>
      </c>
      <c r="T4246" s="57" t="str">
        <f t="shared" si="199"/>
        <v/>
      </c>
      <c r="U4246" s="58" t="str">
        <f t="shared" si="200"/>
        <v/>
      </c>
    </row>
    <row r="4247" spans="19:21" ht="23.25" customHeight="1" x14ac:dyDescent="0.35">
      <c r="S4247" s="56" t="str">
        <f t="shared" si="198"/>
        <v/>
      </c>
      <c r="T4247" s="57" t="str">
        <f t="shared" si="199"/>
        <v/>
      </c>
      <c r="U4247" s="58" t="str">
        <f t="shared" si="200"/>
        <v/>
      </c>
    </row>
    <row r="4248" spans="19:21" ht="23.25" customHeight="1" x14ac:dyDescent="0.35">
      <c r="S4248" s="56" t="str">
        <f t="shared" si="198"/>
        <v/>
      </c>
      <c r="T4248" s="57" t="str">
        <f t="shared" si="199"/>
        <v/>
      </c>
      <c r="U4248" s="58" t="str">
        <f t="shared" si="200"/>
        <v/>
      </c>
    </row>
    <row r="4249" spans="19:21" ht="23.25" customHeight="1" x14ac:dyDescent="0.35">
      <c r="S4249" s="56" t="str">
        <f t="shared" si="198"/>
        <v/>
      </c>
      <c r="T4249" s="57" t="str">
        <f t="shared" si="199"/>
        <v/>
      </c>
      <c r="U4249" s="58" t="str">
        <f t="shared" si="200"/>
        <v/>
      </c>
    </row>
    <row r="4250" spans="19:21" ht="23.25" customHeight="1" x14ac:dyDescent="0.35">
      <c r="S4250" s="56" t="str">
        <f t="shared" si="198"/>
        <v/>
      </c>
      <c r="T4250" s="57" t="str">
        <f t="shared" si="199"/>
        <v/>
      </c>
      <c r="U4250" s="58" t="str">
        <f t="shared" si="200"/>
        <v/>
      </c>
    </row>
    <row r="4251" spans="19:21" ht="23.25" customHeight="1" x14ac:dyDescent="0.35">
      <c r="S4251" s="56" t="str">
        <f t="shared" si="198"/>
        <v/>
      </c>
      <c r="T4251" s="57" t="str">
        <f t="shared" si="199"/>
        <v/>
      </c>
      <c r="U4251" s="58" t="str">
        <f t="shared" si="200"/>
        <v/>
      </c>
    </row>
    <row r="4252" spans="19:21" ht="23.25" customHeight="1" x14ac:dyDescent="0.35">
      <c r="S4252" s="56" t="str">
        <f t="shared" si="198"/>
        <v/>
      </c>
      <c r="T4252" s="57" t="str">
        <f t="shared" si="199"/>
        <v/>
      </c>
      <c r="U4252" s="58" t="str">
        <f t="shared" si="200"/>
        <v/>
      </c>
    </row>
    <row r="4253" spans="19:21" ht="23.25" customHeight="1" x14ac:dyDescent="0.35">
      <c r="S4253" s="56" t="str">
        <f t="shared" si="198"/>
        <v/>
      </c>
      <c r="T4253" s="57" t="str">
        <f t="shared" si="199"/>
        <v/>
      </c>
      <c r="U4253" s="58" t="str">
        <f t="shared" si="200"/>
        <v/>
      </c>
    </row>
    <row r="4254" spans="19:21" ht="23.25" customHeight="1" x14ac:dyDescent="0.35">
      <c r="S4254" s="56" t="str">
        <f t="shared" si="198"/>
        <v/>
      </c>
      <c r="T4254" s="57" t="str">
        <f t="shared" si="199"/>
        <v/>
      </c>
      <c r="U4254" s="58" t="str">
        <f t="shared" si="200"/>
        <v/>
      </c>
    </row>
    <row r="4255" spans="19:21" ht="23.25" customHeight="1" x14ac:dyDescent="0.35">
      <c r="S4255" s="56" t="str">
        <f t="shared" si="198"/>
        <v/>
      </c>
      <c r="T4255" s="57" t="str">
        <f t="shared" si="199"/>
        <v/>
      </c>
      <c r="U4255" s="58" t="str">
        <f t="shared" si="200"/>
        <v/>
      </c>
    </row>
    <row r="4256" spans="19:21" ht="23.25" customHeight="1" x14ac:dyDescent="0.35">
      <c r="S4256" s="56" t="str">
        <f t="shared" si="198"/>
        <v/>
      </c>
      <c r="T4256" s="57" t="str">
        <f t="shared" si="199"/>
        <v/>
      </c>
      <c r="U4256" s="58" t="str">
        <f t="shared" si="200"/>
        <v/>
      </c>
    </row>
    <row r="4257" spans="19:21" ht="23.25" customHeight="1" x14ac:dyDescent="0.35">
      <c r="S4257" s="56" t="str">
        <f t="shared" si="198"/>
        <v/>
      </c>
      <c r="T4257" s="57" t="str">
        <f t="shared" si="199"/>
        <v/>
      </c>
      <c r="U4257" s="58" t="str">
        <f t="shared" si="200"/>
        <v/>
      </c>
    </row>
    <row r="4258" spans="19:21" ht="23.25" customHeight="1" x14ac:dyDescent="0.35">
      <c r="S4258" s="56" t="str">
        <f t="shared" si="198"/>
        <v/>
      </c>
      <c r="T4258" s="57" t="str">
        <f t="shared" si="199"/>
        <v/>
      </c>
      <c r="U4258" s="58" t="str">
        <f t="shared" si="200"/>
        <v/>
      </c>
    </row>
    <row r="4259" spans="19:21" ht="23.25" customHeight="1" x14ac:dyDescent="0.35">
      <c r="S4259" s="56" t="str">
        <f t="shared" si="198"/>
        <v/>
      </c>
      <c r="T4259" s="57" t="str">
        <f t="shared" si="199"/>
        <v/>
      </c>
      <c r="U4259" s="58" t="str">
        <f t="shared" si="200"/>
        <v/>
      </c>
    </row>
    <row r="4260" spans="19:21" ht="23.25" customHeight="1" x14ac:dyDescent="0.35">
      <c r="S4260" s="56" t="str">
        <f t="shared" si="198"/>
        <v/>
      </c>
      <c r="T4260" s="57" t="str">
        <f t="shared" si="199"/>
        <v/>
      </c>
      <c r="U4260" s="58" t="str">
        <f t="shared" si="200"/>
        <v/>
      </c>
    </row>
    <row r="4261" spans="19:21" ht="23.25" customHeight="1" x14ac:dyDescent="0.35">
      <c r="S4261" s="56" t="str">
        <f t="shared" si="198"/>
        <v/>
      </c>
      <c r="T4261" s="57" t="str">
        <f t="shared" si="199"/>
        <v/>
      </c>
      <c r="U4261" s="58" t="str">
        <f t="shared" si="200"/>
        <v/>
      </c>
    </row>
    <row r="4262" spans="19:21" ht="23.25" customHeight="1" x14ac:dyDescent="0.35">
      <c r="S4262" s="56" t="str">
        <f t="shared" si="198"/>
        <v/>
      </c>
      <c r="T4262" s="57" t="str">
        <f t="shared" si="199"/>
        <v/>
      </c>
      <c r="U4262" s="58" t="str">
        <f t="shared" si="200"/>
        <v/>
      </c>
    </row>
    <row r="4263" spans="19:21" ht="23.25" customHeight="1" x14ac:dyDescent="0.35">
      <c r="S4263" s="56" t="str">
        <f t="shared" si="198"/>
        <v/>
      </c>
      <c r="T4263" s="57" t="str">
        <f t="shared" si="199"/>
        <v/>
      </c>
      <c r="U4263" s="58" t="str">
        <f t="shared" si="200"/>
        <v/>
      </c>
    </row>
    <row r="4264" spans="19:21" ht="23.25" customHeight="1" x14ac:dyDescent="0.35">
      <c r="S4264" s="56" t="str">
        <f t="shared" si="198"/>
        <v/>
      </c>
      <c r="T4264" s="57" t="str">
        <f t="shared" si="199"/>
        <v/>
      </c>
      <c r="U4264" s="58" t="str">
        <f t="shared" si="200"/>
        <v/>
      </c>
    </row>
    <row r="4265" spans="19:21" ht="23.25" customHeight="1" x14ac:dyDescent="0.35">
      <c r="S4265" s="56" t="str">
        <f t="shared" si="198"/>
        <v/>
      </c>
      <c r="T4265" s="57" t="str">
        <f t="shared" si="199"/>
        <v/>
      </c>
      <c r="U4265" s="58" t="str">
        <f t="shared" si="200"/>
        <v/>
      </c>
    </row>
    <row r="4266" spans="19:21" ht="23.25" customHeight="1" x14ac:dyDescent="0.35">
      <c r="S4266" s="56" t="str">
        <f t="shared" si="198"/>
        <v/>
      </c>
      <c r="T4266" s="57" t="str">
        <f t="shared" si="199"/>
        <v/>
      </c>
      <c r="U4266" s="58" t="str">
        <f t="shared" si="200"/>
        <v/>
      </c>
    </row>
    <row r="4267" spans="19:21" ht="23.25" customHeight="1" x14ac:dyDescent="0.35">
      <c r="S4267" s="56" t="str">
        <f t="shared" si="198"/>
        <v/>
      </c>
      <c r="T4267" s="57" t="str">
        <f t="shared" si="199"/>
        <v/>
      </c>
      <c r="U4267" s="58" t="str">
        <f t="shared" si="200"/>
        <v/>
      </c>
    </row>
    <row r="4268" spans="19:21" ht="23.25" customHeight="1" x14ac:dyDescent="0.35">
      <c r="S4268" s="56" t="str">
        <f t="shared" si="198"/>
        <v/>
      </c>
      <c r="T4268" s="57" t="str">
        <f t="shared" si="199"/>
        <v/>
      </c>
      <c r="U4268" s="58" t="str">
        <f t="shared" si="200"/>
        <v/>
      </c>
    </row>
    <row r="4269" spans="19:21" ht="23.25" customHeight="1" x14ac:dyDescent="0.35">
      <c r="S4269" s="56" t="str">
        <f t="shared" si="198"/>
        <v/>
      </c>
      <c r="T4269" s="57" t="str">
        <f t="shared" si="199"/>
        <v/>
      </c>
      <c r="U4269" s="58" t="str">
        <f t="shared" si="200"/>
        <v/>
      </c>
    </row>
    <row r="4270" spans="19:21" ht="23.25" customHeight="1" x14ac:dyDescent="0.35">
      <c r="S4270" s="56" t="str">
        <f t="shared" si="198"/>
        <v/>
      </c>
      <c r="T4270" s="57" t="str">
        <f t="shared" si="199"/>
        <v/>
      </c>
      <c r="U4270" s="58" t="str">
        <f t="shared" si="200"/>
        <v/>
      </c>
    </row>
    <row r="4271" spans="19:21" ht="23.25" customHeight="1" x14ac:dyDescent="0.35">
      <c r="S4271" s="56" t="str">
        <f t="shared" si="198"/>
        <v/>
      </c>
      <c r="T4271" s="57" t="str">
        <f t="shared" si="199"/>
        <v/>
      </c>
      <c r="U4271" s="58" t="str">
        <f t="shared" si="200"/>
        <v/>
      </c>
    </row>
    <row r="4272" spans="19:21" ht="23.25" customHeight="1" x14ac:dyDescent="0.35">
      <c r="S4272" s="56" t="str">
        <f t="shared" si="198"/>
        <v/>
      </c>
      <c r="T4272" s="57" t="str">
        <f t="shared" si="199"/>
        <v/>
      </c>
      <c r="U4272" s="58" t="str">
        <f t="shared" si="200"/>
        <v/>
      </c>
    </row>
    <row r="4273" spans="19:21" ht="23.25" customHeight="1" x14ac:dyDescent="0.35">
      <c r="S4273" s="56" t="str">
        <f t="shared" si="198"/>
        <v/>
      </c>
      <c r="T4273" s="57" t="str">
        <f t="shared" si="199"/>
        <v/>
      </c>
      <c r="U4273" s="58" t="str">
        <f t="shared" si="200"/>
        <v/>
      </c>
    </row>
    <row r="4274" spans="19:21" ht="23.25" customHeight="1" x14ac:dyDescent="0.35">
      <c r="S4274" s="56" t="str">
        <f t="shared" si="198"/>
        <v/>
      </c>
      <c r="T4274" s="57" t="str">
        <f t="shared" si="199"/>
        <v/>
      </c>
      <c r="U4274" s="58" t="str">
        <f t="shared" si="200"/>
        <v/>
      </c>
    </row>
    <row r="4275" spans="19:21" ht="23.25" customHeight="1" x14ac:dyDescent="0.35">
      <c r="S4275" s="56" t="str">
        <f t="shared" si="198"/>
        <v/>
      </c>
      <c r="T4275" s="57" t="str">
        <f t="shared" si="199"/>
        <v/>
      </c>
      <c r="U4275" s="58" t="str">
        <f t="shared" si="200"/>
        <v/>
      </c>
    </row>
    <row r="4276" spans="19:21" ht="23.25" customHeight="1" x14ac:dyDescent="0.35">
      <c r="S4276" s="56" t="str">
        <f t="shared" si="198"/>
        <v/>
      </c>
      <c r="T4276" s="57" t="str">
        <f t="shared" si="199"/>
        <v/>
      </c>
      <c r="U4276" s="58" t="str">
        <f t="shared" si="200"/>
        <v/>
      </c>
    </row>
    <row r="4277" spans="19:21" ht="23.25" customHeight="1" x14ac:dyDescent="0.35">
      <c r="S4277" s="56" t="str">
        <f t="shared" si="198"/>
        <v/>
      </c>
      <c r="T4277" s="57" t="str">
        <f t="shared" si="199"/>
        <v/>
      </c>
      <c r="U4277" s="58" t="str">
        <f t="shared" si="200"/>
        <v/>
      </c>
    </row>
    <row r="4278" spans="19:21" ht="23.25" customHeight="1" x14ac:dyDescent="0.35">
      <c r="S4278" s="56" t="str">
        <f t="shared" si="198"/>
        <v/>
      </c>
      <c r="T4278" s="57" t="str">
        <f t="shared" si="199"/>
        <v/>
      </c>
      <c r="U4278" s="58" t="str">
        <f t="shared" si="200"/>
        <v/>
      </c>
    </row>
    <row r="4279" spans="19:21" ht="23.25" customHeight="1" x14ac:dyDescent="0.35">
      <c r="S4279" s="56" t="str">
        <f t="shared" si="198"/>
        <v/>
      </c>
      <c r="T4279" s="57" t="str">
        <f t="shared" si="199"/>
        <v/>
      </c>
      <c r="U4279" s="58" t="str">
        <f t="shared" si="200"/>
        <v/>
      </c>
    </row>
    <row r="4280" spans="19:21" ht="23.25" customHeight="1" x14ac:dyDescent="0.35">
      <c r="S4280" s="56" t="str">
        <f t="shared" si="198"/>
        <v/>
      </c>
      <c r="T4280" s="57" t="str">
        <f t="shared" si="199"/>
        <v/>
      </c>
      <c r="U4280" s="58" t="str">
        <f t="shared" si="200"/>
        <v/>
      </c>
    </row>
    <row r="4281" spans="19:21" ht="23.25" customHeight="1" x14ac:dyDescent="0.35">
      <c r="S4281" s="56" t="str">
        <f t="shared" si="198"/>
        <v/>
      </c>
      <c r="T4281" s="57" t="str">
        <f t="shared" si="199"/>
        <v/>
      </c>
      <c r="U4281" s="58" t="str">
        <f t="shared" si="200"/>
        <v/>
      </c>
    </row>
    <row r="4282" spans="19:21" ht="23.25" customHeight="1" x14ac:dyDescent="0.35">
      <c r="S4282" s="56" t="str">
        <f t="shared" si="198"/>
        <v/>
      </c>
      <c r="T4282" s="57" t="str">
        <f t="shared" si="199"/>
        <v/>
      </c>
      <c r="U4282" s="58" t="str">
        <f t="shared" si="200"/>
        <v/>
      </c>
    </row>
    <row r="4283" spans="19:21" ht="23.25" customHeight="1" x14ac:dyDescent="0.35">
      <c r="S4283" s="56" t="str">
        <f t="shared" si="198"/>
        <v/>
      </c>
      <c r="T4283" s="57" t="str">
        <f t="shared" si="199"/>
        <v/>
      </c>
      <c r="U4283" s="58" t="str">
        <f t="shared" si="200"/>
        <v/>
      </c>
    </row>
    <row r="4284" spans="19:21" ht="23.25" customHeight="1" x14ac:dyDescent="0.35">
      <c r="S4284" s="56" t="str">
        <f t="shared" si="198"/>
        <v/>
      </c>
      <c r="T4284" s="57" t="str">
        <f t="shared" si="199"/>
        <v/>
      </c>
      <c r="U4284" s="58" t="str">
        <f t="shared" si="200"/>
        <v/>
      </c>
    </row>
    <row r="4285" spans="19:21" ht="23.25" customHeight="1" x14ac:dyDescent="0.35">
      <c r="S4285" s="56" t="str">
        <f t="shared" si="198"/>
        <v/>
      </c>
      <c r="T4285" s="57" t="str">
        <f t="shared" si="199"/>
        <v/>
      </c>
      <c r="U4285" s="58" t="str">
        <f t="shared" si="200"/>
        <v/>
      </c>
    </row>
    <row r="4286" spans="19:21" ht="23.25" customHeight="1" x14ac:dyDescent="0.35">
      <c r="S4286" s="56" t="str">
        <f t="shared" si="198"/>
        <v/>
      </c>
      <c r="T4286" s="57" t="str">
        <f t="shared" si="199"/>
        <v/>
      </c>
      <c r="U4286" s="58" t="str">
        <f t="shared" si="200"/>
        <v/>
      </c>
    </row>
    <row r="4287" spans="19:21" ht="23.25" customHeight="1" x14ac:dyDescent="0.35">
      <c r="S4287" s="56" t="str">
        <f t="shared" si="198"/>
        <v/>
      </c>
      <c r="T4287" s="57" t="str">
        <f t="shared" si="199"/>
        <v/>
      </c>
      <c r="U4287" s="58" t="str">
        <f t="shared" si="200"/>
        <v/>
      </c>
    </row>
    <row r="4288" spans="19:21" ht="23.25" customHeight="1" x14ac:dyDescent="0.35">
      <c r="S4288" s="56" t="str">
        <f t="shared" si="198"/>
        <v/>
      </c>
      <c r="T4288" s="57" t="str">
        <f t="shared" si="199"/>
        <v/>
      </c>
      <c r="U4288" s="58" t="str">
        <f t="shared" si="200"/>
        <v/>
      </c>
    </row>
    <row r="4289" spans="19:21" ht="23.25" customHeight="1" x14ac:dyDescent="0.35">
      <c r="S4289" s="56" t="str">
        <f t="shared" si="198"/>
        <v/>
      </c>
      <c r="T4289" s="57" t="str">
        <f t="shared" si="199"/>
        <v/>
      </c>
      <c r="U4289" s="58" t="str">
        <f t="shared" si="200"/>
        <v/>
      </c>
    </row>
    <row r="4290" spans="19:21" ht="23.25" customHeight="1" x14ac:dyDescent="0.35">
      <c r="S4290" s="56" t="str">
        <f t="shared" si="198"/>
        <v/>
      </c>
      <c r="T4290" s="57" t="str">
        <f t="shared" si="199"/>
        <v/>
      </c>
      <c r="U4290" s="58" t="str">
        <f t="shared" si="200"/>
        <v/>
      </c>
    </row>
    <row r="4291" spans="19:21" ht="23.25" customHeight="1" x14ac:dyDescent="0.35">
      <c r="S4291" s="56" t="str">
        <f t="shared" si="198"/>
        <v/>
      </c>
      <c r="T4291" s="57" t="str">
        <f t="shared" si="199"/>
        <v/>
      </c>
      <c r="U4291" s="58" t="str">
        <f t="shared" si="200"/>
        <v/>
      </c>
    </row>
    <row r="4292" spans="19:21" ht="23.25" customHeight="1" x14ac:dyDescent="0.35">
      <c r="S4292" s="56" t="str">
        <f t="shared" si="198"/>
        <v/>
      </c>
      <c r="T4292" s="57" t="str">
        <f t="shared" si="199"/>
        <v/>
      </c>
      <c r="U4292" s="58" t="str">
        <f t="shared" si="200"/>
        <v/>
      </c>
    </row>
    <row r="4293" spans="19:21" ht="23.25" customHeight="1" x14ac:dyDescent="0.35">
      <c r="S4293" s="56" t="str">
        <f t="shared" si="198"/>
        <v/>
      </c>
      <c r="T4293" s="57" t="str">
        <f t="shared" si="199"/>
        <v/>
      </c>
      <c r="U4293" s="58" t="str">
        <f t="shared" si="200"/>
        <v/>
      </c>
    </row>
    <row r="4294" spans="19:21" ht="23.25" customHeight="1" x14ac:dyDescent="0.35">
      <c r="S4294" s="56" t="str">
        <f t="shared" si="198"/>
        <v/>
      </c>
      <c r="T4294" s="57" t="str">
        <f t="shared" si="199"/>
        <v/>
      </c>
      <c r="U4294" s="58" t="str">
        <f t="shared" si="200"/>
        <v/>
      </c>
    </row>
    <row r="4295" spans="19:21" ht="23.25" customHeight="1" x14ac:dyDescent="0.35">
      <c r="S4295" s="56" t="str">
        <f t="shared" si="198"/>
        <v/>
      </c>
      <c r="T4295" s="57" t="str">
        <f t="shared" si="199"/>
        <v/>
      </c>
      <c r="U4295" s="58" t="str">
        <f t="shared" si="200"/>
        <v/>
      </c>
    </row>
    <row r="4296" spans="19:21" ht="23.25" customHeight="1" x14ac:dyDescent="0.35">
      <c r="S4296" s="56" t="str">
        <f t="shared" si="198"/>
        <v/>
      </c>
      <c r="T4296" s="57" t="str">
        <f t="shared" si="199"/>
        <v/>
      </c>
      <c r="U4296" s="58" t="str">
        <f t="shared" si="200"/>
        <v/>
      </c>
    </row>
    <row r="4297" spans="19:21" ht="23.25" customHeight="1" x14ac:dyDescent="0.35">
      <c r="S4297" s="56" t="str">
        <f t="shared" ref="S4297:S4360" si="201">IF(A4297="","",A$5-A4297)</f>
        <v/>
      </c>
      <c r="T4297" s="57" t="str">
        <f t="shared" ref="T4297:T4360" si="202">IF(S4297="","",IF(S4297&lt;4,"0-3 Days",IF(S4297&lt;31,"4-30 Days",IF(S4297&lt;61,"31-60 Days",IF(S4297&lt;=90,"61-90 Days",IF(S4297&gt;90,"Above 90 Days","0"))))))</f>
        <v/>
      </c>
      <c r="U4297" s="58" t="str">
        <f t="shared" ref="U4297:U4360" si="203">IF(C4297="","",IF(C4297&gt;0,IF(S4297&lt;30,"Normal",IF(S4297&lt;60,"Especially Mentioned",IF(S4297&lt;90,"Substandard",IF(S4297&lt;=180,"Doubtful",IF(S4297&gt;180,"Loss","0"))))),"Not Applicable"))</f>
        <v/>
      </c>
    </row>
    <row r="4298" spans="19:21" ht="23.25" customHeight="1" x14ac:dyDescent="0.35">
      <c r="S4298" s="56" t="str">
        <f t="shared" si="201"/>
        <v/>
      </c>
      <c r="T4298" s="57" t="str">
        <f t="shared" si="202"/>
        <v/>
      </c>
      <c r="U4298" s="58" t="str">
        <f t="shared" si="203"/>
        <v/>
      </c>
    </row>
    <row r="4299" spans="19:21" ht="23.25" customHeight="1" x14ac:dyDescent="0.35">
      <c r="S4299" s="56" t="str">
        <f t="shared" si="201"/>
        <v/>
      </c>
      <c r="T4299" s="57" t="str">
        <f t="shared" si="202"/>
        <v/>
      </c>
      <c r="U4299" s="58" t="str">
        <f t="shared" si="203"/>
        <v/>
      </c>
    </row>
    <row r="4300" spans="19:21" ht="23.25" customHeight="1" x14ac:dyDescent="0.35">
      <c r="S4300" s="56" t="str">
        <f t="shared" si="201"/>
        <v/>
      </c>
      <c r="T4300" s="57" t="str">
        <f t="shared" si="202"/>
        <v/>
      </c>
      <c r="U4300" s="58" t="str">
        <f t="shared" si="203"/>
        <v/>
      </c>
    </row>
    <row r="4301" spans="19:21" ht="23.25" customHeight="1" x14ac:dyDescent="0.35">
      <c r="S4301" s="56" t="str">
        <f t="shared" si="201"/>
        <v/>
      </c>
      <c r="T4301" s="57" t="str">
        <f t="shared" si="202"/>
        <v/>
      </c>
      <c r="U4301" s="58" t="str">
        <f t="shared" si="203"/>
        <v/>
      </c>
    </row>
    <row r="4302" spans="19:21" ht="23.25" customHeight="1" x14ac:dyDescent="0.35">
      <c r="S4302" s="56" t="str">
        <f t="shared" si="201"/>
        <v/>
      </c>
      <c r="T4302" s="57" t="str">
        <f t="shared" si="202"/>
        <v/>
      </c>
      <c r="U4302" s="58" t="str">
        <f t="shared" si="203"/>
        <v/>
      </c>
    </row>
    <row r="4303" spans="19:21" ht="23.25" customHeight="1" x14ac:dyDescent="0.35">
      <c r="S4303" s="56" t="str">
        <f t="shared" si="201"/>
        <v/>
      </c>
      <c r="T4303" s="57" t="str">
        <f t="shared" si="202"/>
        <v/>
      </c>
      <c r="U4303" s="58" t="str">
        <f t="shared" si="203"/>
        <v/>
      </c>
    </row>
    <row r="4304" spans="19:21" ht="23.25" customHeight="1" x14ac:dyDescent="0.35">
      <c r="S4304" s="56" t="str">
        <f t="shared" si="201"/>
        <v/>
      </c>
      <c r="T4304" s="57" t="str">
        <f t="shared" si="202"/>
        <v/>
      </c>
      <c r="U4304" s="58" t="str">
        <f t="shared" si="203"/>
        <v/>
      </c>
    </row>
    <row r="4305" spans="19:21" ht="23.25" customHeight="1" x14ac:dyDescent="0.35">
      <c r="S4305" s="56" t="str">
        <f t="shared" si="201"/>
        <v/>
      </c>
      <c r="T4305" s="57" t="str">
        <f t="shared" si="202"/>
        <v/>
      </c>
      <c r="U4305" s="58" t="str">
        <f t="shared" si="203"/>
        <v/>
      </c>
    </row>
    <row r="4306" spans="19:21" ht="23.25" customHeight="1" x14ac:dyDescent="0.35">
      <c r="S4306" s="56" t="str">
        <f t="shared" si="201"/>
        <v/>
      </c>
      <c r="T4306" s="57" t="str">
        <f t="shared" si="202"/>
        <v/>
      </c>
      <c r="U4306" s="58" t="str">
        <f t="shared" si="203"/>
        <v/>
      </c>
    </row>
    <row r="4307" spans="19:21" ht="23.25" customHeight="1" x14ac:dyDescent="0.35">
      <c r="S4307" s="56" t="str">
        <f t="shared" si="201"/>
        <v/>
      </c>
      <c r="T4307" s="57" t="str">
        <f t="shared" si="202"/>
        <v/>
      </c>
      <c r="U4307" s="58" t="str">
        <f t="shared" si="203"/>
        <v/>
      </c>
    </row>
    <row r="4308" spans="19:21" ht="23.25" customHeight="1" x14ac:dyDescent="0.35">
      <c r="S4308" s="56" t="str">
        <f t="shared" si="201"/>
        <v/>
      </c>
      <c r="T4308" s="57" t="str">
        <f t="shared" si="202"/>
        <v/>
      </c>
      <c r="U4308" s="58" t="str">
        <f t="shared" si="203"/>
        <v/>
      </c>
    </row>
    <row r="4309" spans="19:21" ht="23.25" customHeight="1" x14ac:dyDescent="0.35">
      <c r="S4309" s="56" t="str">
        <f t="shared" si="201"/>
        <v/>
      </c>
      <c r="T4309" s="57" t="str">
        <f t="shared" si="202"/>
        <v/>
      </c>
      <c r="U4309" s="58" t="str">
        <f t="shared" si="203"/>
        <v/>
      </c>
    </row>
    <row r="4310" spans="19:21" ht="23.25" customHeight="1" x14ac:dyDescent="0.35">
      <c r="S4310" s="56" t="str">
        <f t="shared" si="201"/>
        <v/>
      </c>
      <c r="T4310" s="57" t="str">
        <f t="shared" si="202"/>
        <v/>
      </c>
      <c r="U4310" s="58" t="str">
        <f t="shared" si="203"/>
        <v/>
      </c>
    </row>
    <row r="4311" spans="19:21" ht="23.25" customHeight="1" x14ac:dyDescent="0.35">
      <c r="S4311" s="56" t="str">
        <f t="shared" si="201"/>
        <v/>
      </c>
      <c r="T4311" s="57" t="str">
        <f t="shared" si="202"/>
        <v/>
      </c>
      <c r="U4311" s="58" t="str">
        <f t="shared" si="203"/>
        <v/>
      </c>
    </row>
    <row r="4312" spans="19:21" ht="23.25" customHeight="1" x14ac:dyDescent="0.35">
      <c r="S4312" s="56" t="str">
        <f t="shared" si="201"/>
        <v/>
      </c>
      <c r="T4312" s="57" t="str">
        <f t="shared" si="202"/>
        <v/>
      </c>
      <c r="U4312" s="58" t="str">
        <f t="shared" si="203"/>
        <v/>
      </c>
    </row>
    <row r="4313" spans="19:21" ht="23.25" customHeight="1" x14ac:dyDescent="0.35">
      <c r="S4313" s="56" t="str">
        <f t="shared" si="201"/>
        <v/>
      </c>
      <c r="T4313" s="57" t="str">
        <f t="shared" si="202"/>
        <v/>
      </c>
      <c r="U4313" s="58" t="str">
        <f t="shared" si="203"/>
        <v/>
      </c>
    </row>
    <row r="4314" spans="19:21" ht="23.25" customHeight="1" x14ac:dyDescent="0.35">
      <c r="S4314" s="56" t="str">
        <f t="shared" si="201"/>
        <v/>
      </c>
      <c r="T4314" s="57" t="str">
        <f t="shared" si="202"/>
        <v/>
      </c>
      <c r="U4314" s="58" t="str">
        <f t="shared" si="203"/>
        <v/>
      </c>
    </row>
    <row r="4315" spans="19:21" ht="23.25" customHeight="1" x14ac:dyDescent="0.35">
      <c r="S4315" s="56" t="str">
        <f t="shared" si="201"/>
        <v/>
      </c>
      <c r="T4315" s="57" t="str">
        <f t="shared" si="202"/>
        <v/>
      </c>
      <c r="U4315" s="58" t="str">
        <f t="shared" si="203"/>
        <v/>
      </c>
    </row>
    <row r="4316" spans="19:21" ht="23.25" customHeight="1" x14ac:dyDescent="0.35">
      <c r="S4316" s="56" t="str">
        <f t="shared" si="201"/>
        <v/>
      </c>
      <c r="T4316" s="57" t="str">
        <f t="shared" si="202"/>
        <v/>
      </c>
      <c r="U4316" s="58" t="str">
        <f t="shared" si="203"/>
        <v/>
      </c>
    </row>
    <row r="4317" spans="19:21" ht="23.25" customHeight="1" x14ac:dyDescent="0.35">
      <c r="S4317" s="56" t="str">
        <f t="shared" si="201"/>
        <v/>
      </c>
      <c r="T4317" s="57" t="str">
        <f t="shared" si="202"/>
        <v/>
      </c>
      <c r="U4317" s="58" t="str">
        <f t="shared" si="203"/>
        <v/>
      </c>
    </row>
    <row r="4318" spans="19:21" ht="23.25" customHeight="1" x14ac:dyDescent="0.35">
      <c r="S4318" s="56" t="str">
        <f t="shared" si="201"/>
        <v/>
      </c>
      <c r="T4318" s="57" t="str">
        <f t="shared" si="202"/>
        <v/>
      </c>
      <c r="U4318" s="58" t="str">
        <f t="shared" si="203"/>
        <v/>
      </c>
    </row>
    <row r="4319" spans="19:21" ht="23.25" customHeight="1" x14ac:dyDescent="0.35">
      <c r="S4319" s="56" t="str">
        <f t="shared" si="201"/>
        <v/>
      </c>
      <c r="T4319" s="57" t="str">
        <f t="shared" si="202"/>
        <v/>
      </c>
      <c r="U4319" s="58" t="str">
        <f t="shared" si="203"/>
        <v/>
      </c>
    </row>
    <row r="4320" spans="19:21" ht="23.25" customHeight="1" x14ac:dyDescent="0.35">
      <c r="S4320" s="56" t="str">
        <f t="shared" si="201"/>
        <v/>
      </c>
      <c r="T4320" s="57" t="str">
        <f t="shared" si="202"/>
        <v/>
      </c>
      <c r="U4320" s="58" t="str">
        <f t="shared" si="203"/>
        <v/>
      </c>
    </row>
    <row r="4321" spans="19:21" ht="23.25" customHeight="1" x14ac:dyDescent="0.35">
      <c r="S4321" s="56" t="str">
        <f t="shared" si="201"/>
        <v/>
      </c>
      <c r="T4321" s="57" t="str">
        <f t="shared" si="202"/>
        <v/>
      </c>
      <c r="U4321" s="58" t="str">
        <f t="shared" si="203"/>
        <v/>
      </c>
    </row>
    <row r="4322" spans="19:21" ht="23.25" customHeight="1" x14ac:dyDescent="0.35">
      <c r="S4322" s="56" t="str">
        <f t="shared" si="201"/>
        <v/>
      </c>
      <c r="T4322" s="57" t="str">
        <f t="shared" si="202"/>
        <v/>
      </c>
      <c r="U4322" s="58" t="str">
        <f t="shared" si="203"/>
        <v/>
      </c>
    </row>
    <row r="4323" spans="19:21" ht="23.25" customHeight="1" x14ac:dyDescent="0.35">
      <c r="S4323" s="56" t="str">
        <f t="shared" si="201"/>
        <v/>
      </c>
      <c r="T4323" s="57" t="str">
        <f t="shared" si="202"/>
        <v/>
      </c>
      <c r="U4323" s="58" t="str">
        <f t="shared" si="203"/>
        <v/>
      </c>
    </row>
    <row r="4324" spans="19:21" ht="23.25" customHeight="1" x14ac:dyDescent="0.35">
      <c r="S4324" s="56" t="str">
        <f t="shared" si="201"/>
        <v/>
      </c>
      <c r="T4324" s="57" t="str">
        <f t="shared" si="202"/>
        <v/>
      </c>
      <c r="U4324" s="58" t="str">
        <f t="shared" si="203"/>
        <v/>
      </c>
    </row>
    <row r="4325" spans="19:21" ht="23.25" customHeight="1" x14ac:dyDescent="0.35">
      <c r="S4325" s="56" t="str">
        <f t="shared" si="201"/>
        <v/>
      </c>
      <c r="T4325" s="57" t="str">
        <f t="shared" si="202"/>
        <v/>
      </c>
      <c r="U4325" s="58" t="str">
        <f t="shared" si="203"/>
        <v/>
      </c>
    </row>
    <row r="4326" spans="19:21" ht="23.25" customHeight="1" x14ac:dyDescent="0.35">
      <c r="S4326" s="56" t="str">
        <f t="shared" si="201"/>
        <v/>
      </c>
      <c r="T4326" s="57" t="str">
        <f t="shared" si="202"/>
        <v/>
      </c>
      <c r="U4326" s="58" t="str">
        <f t="shared" si="203"/>
        <v/>
      </c>
    </row>
    <row r="4327" spans="19:21" ht="23.25" customHeight="1" x14ac:dyDescent="0.35">
      <c r="S4327" s="56" t="str">
        <f t="shared" si="201"/>
        <v/>
      </c>
      <c r="T4327" s="57" t="str">
        <f t="shared" si="202"/>
        <v/>
      </c>
      <c r="U4327" s="58" t="str">
        <f t="shared" si="203"/>
        <v/>
      </c>
    </row>
    <row r="4328" spans="19:21" ht="23.25" customHeight="1" x14ac:dyDescent="0.35">
      <c r="S4328" s="56" t="str">
        <f t="shared" si="201"/>
        <v/>
      </c>
      <c r="T4328" s="57" t="str">
        <f t="shared" si="202"/>
        <v/>
      </c>
      <c r="U4328" s="58" t="str">
        <f t="shared" si="203"/>
        <v/>
      </c>
    </row>
    <row r="4329" spans="19:21" ht="23.25" customHeight="1" x14ac:dyDescent="0.35">
      <c r="S4329" s="56" t="str">
        <f t="shared" si="201"/>
        <v/>
      </c>
      <c r="T4329" s="57" t="str">
        <f t="shared" si="202"/>
        <v/>
      </c>
      <c r="U4329" s="58" t="str">
        <f t="shared" si="203"/>
        <v/>
      </c>
    </row>
    <row r="4330" spans="19:21" ht="23.25" customHeight="1" x14ac:dyDescent="0.35">
      <c r="S4330" s="56" t="str">
        <f t="shared" si="201"/>
        <v/>
      </c>
      <c r="T4330" s="57" t="str">
        <f t="shared" si="202"/>
        <v/>
      </c>
      <c r="U4330" s="58" t="str">
        <f t="shared" si="203"/>
        <v/>
      </c>
    </row>
    <row r="4331" spans="19:21" ht="23.25" customHeight="1" x14ac:dyDescent="0.35">
      <c r="S4331" s="56" t="str">
        <f t="shared" si="201"/>
        <v/>
      </c>
      <c r="T4331" s="57" t="str">
        <f t="shared" si="202"/>
        <v/>
      </c>
      <c r="U4331" s="58" t="str">
        <f t="shared" si="203"/>
        <v/>
      </c>
    </row>
    <row r="4332" spans="19:21" ht="23.25" customHeight="1" x14ac:dyDescent="0.35">
      <c r="S4332" s="56" t="str">
        <f t="shared" si="201"/>
        <v/>
      </c>
      <c r="T4332" s="57" t="str">
        <f t="shared" si="202"/>
        <v/>
      </c>
      <c r="U4332" s="58" t="str">
        <f t="shared" si="203"/>
        <v/>
      </c>
    </row>
    <row r="4333" spans="19:21" ht="23.25" customHeight="1" x14ac:dyDescent="0.35">
      <c r="S4333" s="56" t="str">
        <f t="shared" si="201"/>
        <v/>
      </c>
      <c r="T4333" s="57" t="str">
        <f t="shared" si="202"/>
        <v/>
      </c>
      <c r="U4333" s="58" t="str">
        <f t="shared" si="203"/>
        <v/>
      </c>
    </row>
    <row r="4334" spans="19:21" ht="23.25" customHeight="1" x14ac:dyDescent="0.35">
      <c r="S4334" s="56" t="str">
        <f t="shared" si="201"/>
        <v/>
      </c>
      <c r="T4334" s="57" t="str">
        <f t="shared" si="202"/>
        <v/>
      </c>
      <c r="U4334" s="58" t="str">
        <f t="shared" si="203"/>
        <v/>
      </c>
    </row>
    <row r="4335" spans="19:21" ht="23.25" customHeight="1" x14ac:dyDescent="0.35">
      <c r="S4335" s="56" t="str">
        <f t="shared" si="201"/>
        <v/>
      </c>
      <c r="T4335" s="57" t="str">
        <f t="shared" si="202"/>
        <v/>
      </c>
      <c r="U4335" s="58" t="str">
        <f t="shared" si="203"/>
        <v/>
      </c>
    </row>
    <row r="4336" spans="19:21" ht="23.25" customHeight="1" x14ac:dyDescent="0.35">
      <c r="S4336" s="56" t="str">
        <f t="shared" si="201"/>
        <v/>
      </c>
      <c r="T4336" s="57" t="str">
        <f t="shared" si="202"/>
        <v/>
      </c>
      <c r="U4336" s="58" t="str">
        <f t="shared" si="203"/>
        <v/>
      </c>
    </row>
    <row r="4337" spans="19:21" ht="23.25" customHeight="1" x14ac:dyDescent="0.35">
      <c r="S4337" s="56" t="str">
        <f t="shared" si="201"/>
        <v/>
      </c>
      <c r="T4337" s="57" t="str">
        <f t="shared" si="202"/>
        <v/>
      </c>
      <c r="U4337" s="58" t="str">
        <f t="shared" si="203"/>
        <v/>
      </c>
    </row>
    <row r="4338" spans="19:21" ht="23.25" customHeight="1" x14ac:dyDescent="0.35">
      <c r="S4338" s="56" t="str">
        <f t="shared" si="201"/>
        <v/>
      </c>
      <c r="T4338" s="57" t="str">
        <f t="shared" si="202"/>
        <v/>
      </c>
      <c r="U4338" s="58" t="str">
        <f t="shared" si="203"/>
        <v/>
      </c>
    </row>
    <row r="4339" spans="19:21" ht="23.25" customHeight="1" x14ac:dyDescent="0.35">
      <c r="S4339" s="56" t="str">
        <f t="shared" si="201"/>
        <v/>
      </c>
      <c r="T4339" s="57" t="str">
        <f t="shared" si="202"/>
        <v/>
      </c>
      <c r="U4339" s="58" t="str">
        <f t="shared" si="203"/>
        <v/>
      </c>
    </row>
    <row r="4340" spans="19:21" ht="23.25" customHeight="1" x14ac:dyDescent="0.35">
      <c r="S4340" s="56" t="str">
        <f t="shared" si="201"/>
        <v/>
      </c>
      <c r="T4340" s="57" t="str">
        <f t="shared" si="202"/>
        <v/>
      </c>
      <c r="U4340" s="58" t="str">
        <f t="shared" si="203"/>
        <v/>
      </c>
    </row>
    <row r="4341" spans="19:21" ht="23.25" customHeight="1" x14ac:dyDescent="0.35">
      <c r="S4341" s="56" t="str">
        <f t="shared" si="201"/>
        <v/>
      </c>
      <c r="T4341" s="57" t="str">
        <f t="shared" si="202"/>
        <v/>
      </c>
      <c r="U4341" s="58" t="str">
        <f t="shared" si="203"/>
        <v/>
      </c>
    </row>
    <row r="4342" spans="19:21" ht="23.25" customHeight="1" x14ac:dyDescent="0.35">
      <c r="S4342" s="56" t="str">
        <f t="shared" si="201"/>
        <v/>
      </c>
      <c r="T4342" s="57" t="str">
        <f t="shared" si="202"/>
        <v/>
      </c>
      <c r="U4342" s="58" t="str">
        <f t="shared" si="203"/>
        <v/>
      </c>
    </row>
    <row r="4343" spans="19:21" ht="23.25" customHeight="1" x14ac:dyDescent="0.35">
      <c r="S4343" s="56" t="str">
        <f t="shared" si="201"/>
        <v/>
      </c>
      <c r="T4343" s="57" t="str">
        <f t="shared" si="202"/>
        <v/>
      </c>
      <c r="U4343" s="58" t="str">
        <f t="shared" si="203"/>
        <v/>
      </c>
    </row>
    <row r="4344" spans="19:21" ht="23.25" customHeight="1" x14ac:dyDescent="0.35">
      <c r="S4344" s="56" t="str">
        <f t="shared" si="201"/>
        <v/>
      </c>
      <c r="T4344" s="57" t="str">
        <f t="shared" si="202"/>
        <v/>
      </c>
      <c r="U4344" s="58" t="str">
        <f t="shared" si="203"/>
        <v/>
      </c>
    </row>
    <row r="4345" spans="19:21" ht="23.25" customHeight="1" x14ac:dyDescent="0.35">
      <c r="S4345" s="56" t="str">
        <f t="shared" si="201"/>
        <v/>
      </c>
      <c r="T4345" s="57" t="str">
        <f t="shared" si="202"/>
        <v/>
      </c>
      <c r="U4345" s="58" t="str">
        <f t="shared" si="203"/>
        <v/>
      </c>
    </row>
    <row r="4346" spans="19:21" ht="23.25" customHeight="1" x14ac:dyDescent="0.35">
      <c r="S4346" s="56" t="str">
        <f t="shared" si="201"/>
        <v/>
      </c>
      <c r="T4346" s="57" t="str">
        <f t="shared" si="202"/>
        <v/>
      </c>
      <c r="U4346" s="58" t="str">
        <f t="shared" si="203"/>
        <v/>
      </c>
    </row>
    <row r="4347" spans="19:21" ht="23.25" customHeight="1" x14ac:dyDescent="0.35">
      <c r="S4347" s="56" t="str">
        <f t="shared" si="201"/>
        <v/>
      </c>
      <c r="T4347" s="57" t="str">
        <f t="shared" si="202"/>
        <v/>
      </c>
      <c r="U4347" s="58" t="str">
        <f t="shared" si="203"/>
        <v/>
      </c>
    </row>
    <row r="4348" spans="19:21" ht="23.25" customHeight="1" x14ac:dyDescent="0.35">
      <c r="S4348" s="56" t="str">
        <f t="shared" si="201"/>
        <v/>
      </c>
      <c r="T4348" s="57" t="str">
        <f t="shared" si="202"/>
        <v/>
      </c>
      <c r="U4348" s="58" t="str">
        <f t="shared" si="203"/>
        <v/>
      </c>
    </row>
    <row r="4349" spans="19:21" ht="23.25" customHeight="1" x14ac:dyDescent="0.35">
      <c r="S4349" s="56" t="str">
        <f t="shared" si="201"/>
        <v/>
      </c>
      <c r="T4349" s="57" t="str">
        <f t="shared" si="202"/>
        <v/>
      </c>
      <c r="U4349" s="58" t="str">
        <f t="shared" si="203"/>
        <v/>
      </c>
    </row>
    <row r="4350" spans="19:21" ht="23.25" customHeight="1" x14ac:dyDescent="0.35">
      <c r="S4350" s="56" t="str">
        <f t="shared" si="201"/>
        <v/>
      </c>
      <c r="T4350" s="57" t="str">
        <f t="shared" si="202"/>
        <v/>
      </c>
      <c r="U4350" s="58" t="str">
        <f t="shared" si="203"/>
        <v/>
      </c>
    </row>
    <row r="4351" spans="19:21" ht="23.25" customHeight="1" x14ac:dyDescent="0.35">
      <c r="S4351" s="56" t="str">
        <f t="shared" si="201"/>
        <v/>
      </c>
      <c r="T4351" s="57" t="str">
        <f t="shared" si="202"/>
        <v/>
      </c>
      <c r="U4351" s="58" t="str">
        <f t="shared" si="203"/>
        <v/>
      </c>
    </row>
    <row r="4352" spans="19:21" ht="23.25" customHeight="1" x14ac:dyDescent="0.35">
      <c r="S4352" s="56" t="str">
        <f t="shared" si="201"/>
        <v/>
      </c>
      <c r="T4352" s="57" t="str">
        <f t="shared" si="202"/>
        <v/>
      </c>
      <c r="U4352" s="58" t="str">
        <f t="shared" si="203"/>
        <v/>
      </c>
    </row>
    <row r="4353" spans="19:21" ht="23.25" customHeight="1" x14ac:dyDescent="0.35">
      <c r="S4353" s="56" t="str">
        <f t="shared" si="201"/>
        <v/>
      </c>
      <c r="T4353" s="57" t="str">
        <f t="shared" si="202"/>
        <v/>
      </c>
      <c r="U4353" s="58" t="str">
        <f t="shared" si="203"/>
        <v/>
      </c>
    </row>
    <row r="4354" spans="19:21" ht="23.25" customHeight="1" x14ac:dyDescent="0.35">
      <c r="S4354" s="56" t="str">
        <f t="shared" si="201"/>
        <v/>
      </c>
      <c r="T4354" s="57" t="str">
        <f t="shared" si="202"/>
        <v/>
      </c>
      <c r="U4354" s="58" t="str">
        <f t="shared" si="203"/>
        <v/>
      </c>
    </row>
    <row r="4355" spans="19:21" ht="23.25" customHeight="1" x14ac:dyDescent="0.35">
      <c r="S4355" s="56" t="str">
        <f t="shared" si="201"/>
        <v/>
      </c>
      <c r="T4355" s="57" t="str">
        <f t="shared" si="202"/>
        <v/>
      </c>
      <c r="U4355" s="58" t="str">
        <f t="shared" si="203"/>
        <v/>
      </c>
    </row>
    <row r="4356" spans="19:21" ht="23.25" customHeight="1" x14ac:dyDescent="0.35">
      <c r="S4356" s="56" t="str">
        <f t="shared" si="201"/>
        <v/>
      </c>
      <c r="T4356" s="57" t="str">
        <f t="shared" si="202"/>
        <v/>
      </c>
      <c r="U4356" s="58" t="str">
        <f t="shared" si="203"/>
        <v/>
      </c>
    </row>
    <row r="4357" spans="19:21" ht="23.25" customHeight="1" x14ac:dyDescent="0.35">
      <c r="S4357" s="56" t="str">
        <f t="shared" si="201"/>
        <v/>
      </c>
      <c r="T4357" s="57" t="str">
        <f t="shared" si="202"/>
        <v/>
      </c>
      <c r="U4357" s="58" t="str">
        <f t="shared" si="203"/>
        <v/>
      </c>
    </row>
    <row r="4358" spans="19:21" ht="23.25" customHeight="1" x14ac:dyDescent="0.35">
      <c r="S4358" s="56" t="str">
        <f t="shared" si="201"/>
        <v/>
      </c>
      <c r="T4358" s="57" t="str">
        <f t="shared" si="202"/>
        <v/>
      </c>
      <c r="U4358" s="58" t="str">
        <f t="shared" si="203"/>
        <v/>
      </c>
    </row>
    <row r="4359" spans="19:21" ht="23.25" customHeight="1" x14ac:dyDescent="0.35">
      <c r="S4359" s="56" t="str">
        <f t="shared" si="201"/>
        <v/>
      </c>
      <c r="T4359" s="57" t="str">
        <f t="shared" si="202"/>
        <v/>
      </c>
      <c r="U4359" s="58" t="str">
        <f t="shared" si="203"/>
        <v/>
      </c>
    </row>
    <row r="4360" spans="19:21" ht="23.25" customHeight="1" x14ac:dyDescent="0.35">
      <c r="S4360" s="56" t="str">
        <f t="shared" si="201"/>
        <v/>
      </c>
      <c r="T4360" s="57" t="str">
        <f t="shared" si="202"/>
        <v/>
      </c>
      <c r="U4360" s="58" t="str">
        <f t="shared" si="203"/>
        <v/>
      </c>
    </row>
    <row r="4361" spans="19:21" ht="23.25" customHeight="1" x14ac:dyDescent="0.35">
      <c r="S4361" s="56" t="str">
        <f t="shared" ref="S4361:S4424" si="204">IF(A4361="","",A$5-A4361)</f>
        <v/>
      </c>
      <c r="T4361" s="57" t="str">
        <f t="shared" ref="T4361:T4424" si="205">IF(S4361="","",IF(S4361&lt;4,"0-3 Days",IF(S4361&lt;31,"4-30 Days",IF(S4361&lt;61,"31-60 Days",IF(S4361&lt;=90,"61-90 Days",IF(S4361&gt;90,"Above 90 Days","0"))))))</f>
        <v/>
      </c>
      <c r="U4361" s="58" t="str">
        <f t="shared" ref="U4361:U4424" si="206">IF(C4361="","",IF(C4361&gt;0,IF(S4361&lt;30,"Normal",IF(S4361&lt;60,"Especially Mentioned",IF(S4361&lt;90,"Substandard",IF(S4361&lt;=180,"Doubtful",IF(S4361&gt;180,"Loss","0"))))),"Not Applicable"))</f>
        <v/>
      </c>
    </row>
    <row r="4362" spans="19:21" ht="23.25" customHeight="1" x14ac:dyDescent="0.35">
      <c r="S4362" s="56" t="str">
        <f t="shared" si="204"/>
        <v/>
      </c>
      <c r="T4362" s="57" t="str">
        <f t="shared" si="205"/>
        <v/>
      </c>
      <c r="U4362" s="58" t="str">
        <f t="shared" si="206"/>
        <v/>
      </c>
    </row>
    <row r="4363" spans="19:21" ht="23.25" customHeight="1" x14ac:dyDescent="0.35">
      <c r="S4363" s="56" t="str">
        <f t="shared" si="204"/>
        <v/>
      </c>
      <c r="T4363" s="57" t="str">
        <f t="shared" si="205"/>
        <v/>
      </c>
      <c r="U4363" s="58" t="str">
        <f t="shared" si="206"/>
        <v/>
      </c>
    </row>
    <row r="4364" spans="19:21" ht="23.25" customHeight="1" x14ac:dyDescent="0.35">
      <c r="S4364" s="56" t="str">
        <f t="shared" si="204"/>
        <v/>
      </c>
      <c r="T4364" s="57" t="str">
        <f t="shared" si="205"/>
        <v/>
      </c>
      <c r="U4364" s="58" t="str">
        <f t="shared" si="206"/>
        <v/>
      </c>
    </row>
    <row r="4365" spans="19:21" ht="23.25" customHeight="1" x14ac:dyDescent="0.35">
      <c r="S4365" s="56" t="str">
        <f t="shared" si="204"/>
        <v/>
      </c>
      <c r="T4365" s="57" t="str">
        <f t="shared" si="205"/>
        <v/>
      </c>
      <c r="U4365" s="58" t="str">
        <f t="shared" si="206"/>
        <v/>
      </c>
    </row>
    <row r="4366" spans="19:21" ht="23.25" customHeight="1" x14ac:dyDescent="0.35">
      <c r="S4366" s="56" t="str">
        <f t="shared" si="204"/>
        <v/>
      </c>
      <c r="T4366" s="57" t="str">
        <f t="shared" si="205"/>
        <v/>
      </c>
      <c r="U4366" s="58" t="str">
        <f t="shared" si="206"/>
        <v/>
      </c>
    </row>
    <row r="4367" spans="19:21" ht="23.25" customHeight="1" x14ac:dyDescent="0.35">
      <c r="S4367" s="56" t="str">
        <f t="shared" si="204"/>
        <v/>
      </c>
      <c r="T4367" s="57" t="str">
        <f t="shared" si="205"/>
        <v/>
      </c>
      <c r="U4367" s="58" t="str">
        <f t="shared" si="206"/>
        <v/>
      </c>
    </row>
    <row r="4368" spans="19:21" ht="23.25" customHeight="1" x14ac:dyDescent="0.35">
      <c r="S4368" s="56" t="str">
        <f t="shared" si="204"/>
        <v/>
      </c>
      <c r="T4368" s="57" t="str">
        <f t="shared" si="205"/>
        <v/>
      </c>
      <c r="U4368" s="58" t="str">
        <f t="shared" si="206"/>
        <v/>
      </c>
    </row>
    <row r="4369" spans="19:21" ht="23.25" customHeight="1" x14ac:dyDescent="0.35">
      <c r="S4369" s="56" t="str">
        <f t="shared" si="204"/>
        <v/>
      </c>
      <c r="T4369" s="57" t="str">
        <f t="shared" si="205"/>
        <v/>
      </c>
      <c r="U4369" s="58" t="str">
        <f t="shared" si="206"/>
        <v/>
      </c>
    </row>
    <row r="4370" spans="19:21" ht="23.25" customHeight="1" x14ac:dyDescent="0.35">
      <c r="S4370" s="56" t="str">
        <f t="shared" si="204"/>
        <v/>
      </c>
      <c r="T4370" s="57" t="str">
        <f t="shared" si="205"/>
        <v/>
      </c>
      <c r="U4370" s="58" t="str">
        <f t="shared" si="206"/>
        <v/>
      </c>
    </row>
    <row r="4371" spans="19:21" ht="23.25" customHeight="1" x14ac:dyDescent="0.35">
      <c r="S4371" s="56" t="str">
        <f t="shared" si="204"/>
        <v/>
      </c>
      <c r="T4371" s="57" t="str">
        <f t="shared" si="205"/>
        <v/>
      </c>
      <c r="U4371" s="58" t="str">
        <f t="shared" si="206"/>
        <v/>
      </c>
    </row>
    <row r="4372" spans="19:21" ht="23.25" customHeight="1" x14ac:dyDescent="0.35">
      <c r="S4372" s="56" t="str">
        <f t="shared" si="204"/>
        <v/>
      </c>
      <c r="T4372" s="57" t="str">
        <f t="shared" si="205"/>
        <v/>
      </c>
      <c r="U4372" s="58" t="str">
        <f t="shared" si="206"/>
        <v/>
      </c>
    </row>
    <row r="4373" spans="19:21" ht="23.25" customHeight="1" x14ac:dyDescent="0.35">
      <c r="S4373" s="56" t="str">
        <f t="shared" si="204"/>
        <v/>
      </c>
      <c r="T4373" s="57" t="str">
        <f t="shared" si="205"/>
        <v/>
      </c>
      <c r="U4373" s="58" t="str">
        <f t="shared" si="206"/>
        <v/>
      </c>
    </row>
    <row r="4374" spans="19:21" ht="23.25" customHeight="1" x14ac:dyDescent="0.35">
      <c r="S4374" s="56" t="str">
        <f t="shared" si="204"/>
        <v/>
      </c>
      <c r="T4374" s="57" t="str">
        <f t="shared" si="205"/>
        <v/>
      </c>
      <c r="U4374" s="58" t="str">
        <f t="shared" si="206"/>
        <v/>
      </c>
    </row>
    <row r="4375" spans="19:21" ht="23.25" customHeight="1" x14ac:dyDescent="0.35">
      <c r="S4375" s="56" t="str">
        <f t="shared" si="204"/>
        <v/>
      </c>
      <c r="T4375" s="57" t="str">
        <f t="shared" si="205"/>
        <v/>
      </c>
      <c r="U4375" s="58" t="str">
        <f t="shared" si="206"/>
        <v/>
      </c>
    </row>
    <row r="4376" spans="19:21" ht="23.25" customHeight="1" x14ac:dyDescent="0.35">
      <c r="S4376" s="56" t="str">
        <f t="shared" si="204"/>
        <v/>
      </c>
      <c r="T4376" s="57" t="str">
        <f t="shared" si="205"/>
        <v/>
      </c>
      <c r="U4376" s="58" t="str">
        <f t="shared" si="206"/>
        <v/>
      </c>
    </row>
    <row r="4377" spans="19:21" ht="23.25" customHeight="1" x14ac:dyDescent="0.35">
      <c r="S4377" s="56" t="str">
        <f t="shared" si="204"/>
        <v/>
      </c>
      <c r="T4377" s="57" t="str">
        <f t="shared" si="205"/>
        <v/>
      </c>
      <c r="U4377" s="58" t="str">
        <f t="shared" si="206"/>
        <v/>
      </c>
    </row>
    <row r="4378" spans="19:21" ht="23.25" customHeight="1" x14ac:dyDescent="0.35">
      <c r="S4378" s="56" t="str">
        <f t="shared" si="204"/>
        <v/>
      </c>
      <c r="T4378" s="57" t="str">
        <f t="shared" si="205"/>
        <v/>
      </c>
      <c r="U4378" s="58" t="str">
        <f t="shared" si="206"/>
        <v/>
      </c>
    </row>
    <row r="4379" spans="19:21" ht="23.25" customHeight="1" x14ac:dyDescent="0.35">
      <c r="S4379" s="56" t="str">
        <f t="shared" si="204"/>
        <v/>
      </c>
      <c r="T4379" s="57" t="str">
        <f t="shared" si="205"/>
        <v/>
      </c>
      <c r="U4379" s="58" t="str">
        <f t="shared" si="206"/>
        <v/>
      </c>
    </row>
    <row r="4380" spans="19:21" ht="23.25" customHeight="1" x14ac:dyDescent="0.35">
      <c r="S4380" s="56" t="str">
        <f t="shared" si="204"/>
        <v/>
      </c>
      <c r="T4380" s="57" t="str">
        <f t="shared" si="205"/>
        <v/>
      </c>
      <c r="U4380" s="58" t="str">
        <f t="shared" si="206"/>
        <v/>
      </c>
    </row>
    <row r="4381" spans="19:21" ht="23.25" customHeight="1" x14ac:dyDescent="0.35">
      <c r="S4381" s="56" t="str">
        <f t="shared" si="204"/>
        <v/>
      </c>
      <c r="T4381" s="57" t="str">
        <f t="shared" si="205"/>
        <v/>
      </c>
      <c r="U4381" s="58" t="str">
        <f t="shared" si="206"/>
        <v/>
      </c>
    </row>
    <row r="4382" spans="19:21" ht="23.25" customHeight="1" x14ac:dyDescent="0.35">
      <c r="S4382" s="56" t="str">
        <f t="shared" si="204"/>
        <v/>
      </c>
      <c r="T4382" s="57" t="str">
        <f t="shared" si="205"/>
        <v/>
      </c>
      <c r="U4382" s="58" t="str">
        <f t="shared" si="206"/>
        <v/>
      </c>
    </row>
    <row r="4383" spans="19:21" ht="23.25" customHeight="1" x14ac:dyDescent="0.35">
      <c r="S4383" s="56" t="str">
        <f t="shared" si="204"/>
        <v/>
      </c>
      <c r="T4383" s="57" t="str">
        <f t="shared" si="205"/>
        <v/>
      </c>
      <c r="U4383" s="58" t="str">
        <f t="shared" si="206"/>
        <v/>
      </c>
    </row>
    <row r="4384" spans="19:21" ht="23.25" customHeight="1" x14ac:dyDescent="0.35">
      <c r="S4384" s="56" t="str">
        <f t="shared" si="204"/>
        <v/>
      </c>
      <c r="T4384" s="57" t="str">
        <f t="shared" si="205"/>
        <v/>
      </c>
      <c r="U4384" s="58" t="str">
        <f t="shared" si="206"/>
        <v/>
      </c>
    </row>
    <row r="4385" spans="19:21" ht="23.25" customHeight="1" x14ac:dyDescent="0.35">
      <c r="S4385" s="56" t="str">
        <f t="shared" si="204"/>
        <v/>
      </c>
      <c r="T4385" s="57" t="str">
        <f t="shared" si="205"/>
        <v/>
      </c>
      <c r="U4385" s="58" t="str">
        <f t="shared" si="206"/>
        <v/>
      </c>
    </row>
    <row r="4386" spans="19:21" ht="23.25" customHeight="1" x14ac:dyDescent="0.35">
      <c r="S4386" s="56" t="str">
        <f t="shared" si="204"/>
        <v/>
      </c>
      <c r="T4386" s="57" t="str">
        <f t="shared" si="205"/>
        <v/>
      </c>
      <c r="U4386" s="58" t="str">
        <f t="shared" si="206"/>
        <v/>
      </c>
    </row>
    <row r="4387" spans="19:21" ht="23.25" customHeight="1" x14ac:dyDescent="0.35">
      <c r="S4387" s="56" t="str">
        <f t="shared" si="204"/>
        <v/>
      </c>
      <c r="T4387" s="57" t="str">
        <f t="shared" si="205"/>
        <v/>
      </c>
      <c r="U4387" s="58" t="str">
        <f t="shared" si="206"/>
        <v/>
      </c>
    </row>
    <row r="4388" spans="19:21" ht="23.25" customHeight="1" x14ac:dyDescent="0.35">
      <c r="S4388" s="56" t="str">
        <f t="shared" si="204"/>
        <v/>
      </c>
      <c r="T4388" s="57" t="str">
        <f t="shared" si="205"/>
        <v/>
      </c>
      <c r="U4388" s="58" t="str">
        <f t="shared" si="206"/>
        <v/>
      </c>
    </row>
    <row r="4389" spans="19:21" ht="23.25" customHeight="1" x14ac:dyDescent="0.35">
      <c r="S4389" s="56" t="str">
        <f t="shared" si="204"/>
        <v/>
      </c>
      <c r="T4389" s="57" t="str">
        <f t="shared" si="205"/>
        <v/>
      </c>
      <c r="U4389" s="58" t="str">
        <f t="shared" si="206"/>
        <v/>
      </c>
    </row>
    <row r="4390" spans="19:21" ht="23.25" customHeight="1" x14ac:dyDescent="0.35">
      <c r="S4390" s="56" t="str">
        <f t="shared" si="204"/>
        <v/>
      </c>
      <c r="T4390" s="57" t="str">
        <f t="shared" si="205"/>
        <v/>
      </c>
      <c r="U4390" s="58" t="str">
        <f t="shared" si="206"/>
        <v/>
      </c>
    </row>
    <row r="4391" spans="19:21" ht="23.25" customHeight="1" x14ac:dyDescent="0.35">
      <c r="S4391" s="56" t="str">
        <f t="shared" si="204"/>
        <v/>
      </c>
      <c r="T4391" s="57" t="str">
        <f t="shared" si="205"/>
        <v/>
      </c>
      <c r="U4391" s="58" t="str">
        <f t="shared" si="206"/>
        <v/>
      </c>
    </row>
    <row r="4392" spans="19:21" ht="23.25" customHeight="1" x14ac:dyDescent="0.35">
      <c r="S4392" s="56" t="str">
        <f t="shared" si="204"/>
        <v/>
      </c>
      <c r="T4392" s="57" t="str">
        <f t="shared" si="205"/>
        <v/>
      </c>
      <c r="U4392" s="58" t="str">
        <f t="shared" si="206"/>
        <v/>
      </c>
    </row>
    <row r="4393" spans="19:21" ht="23.25" customHeight="1" x14ac:dyDescent="0.35">
      <c r="S4393" s="56" t="str">
        <f t="shared" si="204"/>
        <v/>
      </c>
      <c r="T4393" s="57" t="str">
        <f t="shared" si="205"/>
        <v/>
      </c>
      <c r="U4393" s="58" t="str">
        <f t="shared" si="206"/>
        <v/>
      </c>
    </row>
    <row r="4394" spans="19:21" ht="23.25" customHeight="1" x14ac:dyDescent="0.35">
      <c r="S4394" s="56" t="str">
        <f t="shared" si="204"/>
        <v/>
      </c>
      <c r="T4394" s="57" t="str">
        <f t="shared" si="205"/>
        <v/>
      </c>
      <c r="U4394" s="58" t="str">
        <f t="shared" si="206"/>
        <v/>
      </c>
    </row>
    <row r="4395" spans="19:21" ht="23.25" customHeight="1" x14ac:dyDescent="0.35">
      <c r="S4395" s="56" t="str">
        <f t="shared" si="204"/>
        <v/>
      </c>
      <c r="T4395" s="57" t="str">
        <f t="shared" si="205"/>
        <v/>
      </c>
      <c r="U4395" s="58" t="str">
        <f t="shared" si="206"/>
        <v/>
      </c>
    </row>
    <row r="4396" spans="19:21" ht="23.25" customHeight="1" x14ac:dyDescent="0.35">
      <c r="S4396" s="56" t="str">
        <f t="shared" si="204"/>
        <v/>
      </c>
      <c r="T4396" s="57" t="str">
        <f t="shared" si="205"/>
        <v/>
      </c>
      <c r="U4396" s="58" t="str">
        <f t="shared" si="206"/>
        <v/>
      </c>
    </row>
    <row r="4397" spans="19:21" ht="23.25" customHeight="1" x14ac:dyDescent="0.35">
      <c r="S4397" s="56" t="str">
        <f t="shared" si="204"/>
        <v/>
      </c>
      <c r="T4397" s="57" t="str">
        <f t="shared" si="205"/>
        <v/>
      </c>
      <c r="U4397" s="58" t="str">
        <f t="shared" si="206"/>
        <v/>
      </c>
    </row>
    <row r="4398" spans="19:21" ht="23.25" customHeight="1" x14ac:dyDescent="0.35">
      <c r="S4398" s="56" t="str">
        <f t="shared" si="204"/>
        <v/>
      </c>
      <c r="T4398" s="57" t="str">
        <f t="shared" si="205"/>
        <v/>
      </c>
      <c r="U4398" s="58" t="str">
        <f t="shared" si="206"/>
        <v/>
      </c>
    </row>
    <row r="4399" spans="19:21" ht="23.25" customHeight="1" x14ac:dyDescent="0.35">
      <c r="S4399" s="56" t="str">
        <f t="shared" si="204"/>
        <v/>
      </c>
      <c r="T4399" s="57" t="str">
        <f t="shared" si="205"/>
        <v/>
      </c>
      <c r="U4399" s="58" t="str">
        <f t="shared" si="206"/>
        <v/>
      </c>
    </row>
    <row r="4400" spans="19:21" ht="23.25" customHeight="1" x14ac:dyDescent="0.35">
      <c r="S4400" s="56" t="str">
        <f t="shared" si="204"/>
        <v/>
      </c>
      <c r="T4400" s="57" t="str">
        <f t="shared" si="205"/>
        <v/>
      </c>
      <c r="U4400" s="58" t="str">
        <f t="shared" si="206"/>
        <v/>
      </c>
    </row>
    <row r="4401" spans="19:21" ht="23.25" customHeight="1" x14ac:dyDescent="0.35">
      <c r="S4401" s="56" t="str">
        <f t="shared" si="204"/>
        <v/>
      </c>
      <c r="T4401" s="57" t="str">
        <f t="shared" si="205"/>
        <v/>
      </c>
      <c r="U4401" s="58" t="str">
        <f t="shared" si="206"/>
        <v/>
      </c>
    </row>
    <row r="4402" spans="19:21" ht="23.25" customHeight="1" x14ac:dyDescent="0.35">
      <c r="S4402" s="56" t="str">
        <f t="shared" si="204"/>
        <v/>
      </c>
      <c r="T4402" s="57" t="str">
        <f t="shared" si="205"/>
        <v/>
      </c>
      <c r="U4402" s="58" t="str">
        <f t="shared" si="206"/>
        <v/>
      </c>
    </row>
    <row r="4403" spans="19:21" ht="23.25" customHeight="1" x14ac:dyDescent="0.35">
      <c r="S4403" s="56" t="str">
        <f t="shared" si="204"/>
        <v/>
      </c>
      <c r="T4403" s="57" t="str">
        <f t="shared" si="205"/>
        <v/>
      </c>
      <c r="U4403" s="58" t="str">
        <f t="shared" si="206"/>
        <v/>
      </c>
    </row>
    <row r="4404" spans="19:21" ht="23.25" customHeight="1" x14ac:dyDescent="0.35">
      <c r="S4404" s="56" t="str">
        <f t="shared" si="204"/>
        <v/>
      </c>
      <c r="T4404" s="57" t="str">
        <f t="shared" si="205"/>
        <v/>
      </c>
      <c r="U4404" s="58" t="str">
        <f t="shared" si="206"/>
        <v/>
      </c>
    </row>
    <row r="4405" spans="19:21" ht="23.25" customHeight="1" x14ac:dyDescent="0.35">
      <c r="S4405" s="56" t="str">
        <f t="shared" si="204"/>
        <v/>
      </c>
      <c r="T4405" s="57" t="str">
        <f t="shared" si="205"/>
        <v/>
      </c>
      <c r="U4405" s="58" t="str">
        <f t="shared" si="206"/>
        <v/>
      </c>
    </row>
    <row r="4406" spans="19:21" ht="23.25" customHeight="1" x14ac:dyDescent="0.35">
      <c r="S4406" s="56" t="str">
        <f t="shared" si="204"/>
        <v/>
      </c>
      <c r="T4406" s="57" t="str">
        <f t="shared" si="205"/>
        <v/>
      </c>
      <c r="U4406" s="58" t="str">
        <f t="shared" si="206"/>
        <v/>
      </c>
    </row>
    <row r="4407" spans="19:21" ht="23.25" customHeight="1" x14ac:dyDescent="0.35">
      <c r="S4407" s="56" t="str">
        <f t="shared" si="204"/>
        <v/>
      </c>
      <c r="T4407" s="57" t="str">
        <f t="shared" si="205"/>
        <v/>
      </c>
      <c r="U4407" s="58" t="str">
        <f t="shared" si="206"/>
        <v/>
      </c>
    </row>
    <row r="4408" spans="19:21" ht="23.25" customHeight="1" x14ac:dyDescent="0.35">
      <c r="S4408" s="56" t="str">
        <f t="shared" si="204"/>
        <v/>
      </c>
      <c r="T4408" s="57" t="str">
        <f t="shared" si="205"/>
        <v/>
      </c>
      <c r="U4408" s="58" t="str">
        <f t="shared" si="206"/>
        <v/>
      </c>
    </row>
    <row r="4409" spans="19:21" ht="23.25" customHeight="1" x14ac:dyDescent="0.35">
      <c r="S4409" s="56" t="str">
        <f t="shared" si="204"/>
        <v/>
      </c>
      <c r="T4409" s="57" t="str">
        <f t="shared" si="205"/>
        <v/>
      </c>
      <c r="U4409" s="58" t="str">
        <f t="shared" si="206"/>
        <v/>
      </c>
    </row>
    <row r="4410" spans="19:21" ht="23.25" customHeight="1" x14ac:dyDescent="0.35">
      <c r="S4410" s="56" t="str">
        <f t="shared" si="204"/>
        <v/>
      </c>
      <c r="T4410" s="57" t="str">
        <f t="shared" si="205"/>
        <v/>
      </c>
      <c r="U4410" s="58" t="str">
        <f t="shared" si="206"/>
        <v/>
      </c>
    </row>
    <row r="4411" spans="19:21" ht="23.25" customHeight="1" x14ac:dyDescent="0.35">
      <c r="S4411" s="56" t="str">
        <f t="shared" si="204"/>
        <v/>
      </c>
      <c r="T4411" s="57" t="str">
        <f t="shared" si="205"/>
        <v/>
      </c>
      <c r="U4411" s="58" t="str">
        <f t="shared" si="206"/>
        <v/>
      </c>
    </row>
    <row r="4412" spans="19:21" ht="23.25" customHeight="1" x14ac:dyDescent="0.35">
      <c r="S4412" s="56" t="str">
        <f t="shared" si="204"/>
        <v/>
      </c>
      <c r="T4412" s="57" t="str">
        <f t="shared" si="205"/>
        <v/>
      </c>
      <c r="U4412" s="58" t="str">
        <f t="shared" si="206"/>
        <v/>
      </c>
    </row>
    <row r="4413" spans="19:21" ht="23.25" customHeight="1" x14ac:dyDescent="0.35">
      <c r="S4413" s="56" t="str">
        <f t="shared" si="204"/>
        <v/>
      </c>
      <c r="T4413" s="57" t="str">
        <f t="shared" si="205"/>
        <v/>
      </c>
      <c r="U4413" s="58" t="str">
        <f t="shared" si="206"/>
        <v/>
      </c>
    </row>
    <row r="4414" spans="19:21" ht="23.25" customHeight="1" x14ac:dyDescent="0.35">
      <c r="S4414" s="56" t="str">
        <f t="shared" si="204"/>
        <v/>
      </c>
      <c r="T4414" s="57" t="str">
        <f t="shared" si="205"/>
        <v/>
      </c>
      <c r="U4414" s="58" t="str">
        <f t="shared" si="206"/>
        <v/>
      </c>
    </row>
    <row r="4415" spans="19:21" ht="23.25" customHeight="1" x14ac:dyDescent="0.35">
      <c r="S4415" s="56" t="str">
        <f t="shared" si="204"/>
        <v/>
      </c>
      <c r="T4415" s="57" t="str">
        <f t="shared" si="205"/>
        <v/>
      </c>
      <c r="U4415" s="58" t="str">
        <f t="shared" si="206"/>
        <v/>
      </c>
    </row>
    <row r="4416" spans="19:21" ht="23.25" customHeight="1" x14ac:dyDescent="0.35">
      <c r="S4416" s="56" t="str">
        <f t="shared" si="204"/>
        <v/>
      </c>
      <c r="T4416" s="57" t="str">
        <f t="shared" si="205"/>
        <v/>
      </c>
      <c r="U4416" s="58" t="str">
        <f t="shared" si="206"/>
        <v/>
      </c>
    </row>
    <row r="4417" spans="19:21" ht="23.25" customHeight="1" x14ac:dyDescent="0.35">
      <c r="S4417" s="56" t="str">
        <f t="shared" si="204"/>
        <v/>
      </c>
      <c r="T4417" s="57" t="str">
        <f t="shared" si="205"/>
        <v/>
      </c>
      <c r="U4417" s="58" t="str">
        <f t="shared" si="206"/>
        <v/>
      </c>
    </row>
    <row r="4418" spans="19:21" ht="23.25" customHeight="1" x14ac:dyDescent="0.35">
      <c r="S4418" s="56" t="str">
        <f t="shared" si="204"/>
        <v/>
      </c>
      <c r="T4418" s="57" t="str">
        <f t="shared" si="205"/>
        <v/>
      </c>
      <c r="U4418" s="58" t="str">
        <f t="shared" si="206"/>
        <v/>
      </c>
    </row>
    <row r="4419" spans="19:21" ht="23.25" customHeight="1" x14ac:dyDescent="0.35">
      <c r="S4419" s="56" t="str">
        <f t="shared" si="204"/>
        <v/>
      </c>
      <c r="T4419" s="57" t="str">
        <f t="shared" si="205"/>
        <v/>
      </c>
      <c r="U4419" s="58" t="str">
        <f t="shared" si="206"/>
        <v/>
      </c>
    </row>
    <row r="4420" spans="19:21" ht="23.25" customHeight="1" x14ac:dyDescent="0.35">
      <c r="S4420" s="56" t="str">
        <f t="shared" si="204"/>
        <v/>
      </c>
      <c r="T4420" s="57" t="str">
        <f t="shared" si="205"/>
        <v/>
      </c>
      <c r="U4420" s="58" t="str">
        <f t="shared" si="206"/>
        <v/>
      </c>
    </row>
    <row r="4421" spans="19:21" ht="23.25" customHeight="1" x14ac:dyDescent="0.35">
      <c r="S4421" s="56" t="str">
        <f t="shared" si="204"/>
        <v/>
      </c>
      <c r="T4421" s="57" t="str">
        <f t="shared" si="205"/>
        <v/>
      </c>
      <c r="U4421" s="58" t="str">
        <f t="shared" si="206"/>
        <v/>
      </c>
    </row>
    <row r="4422" spans="19:21" ht="23.25" customHeight="1" x14ac:dyDescent="0.35">
      <c r="S4422" s="56" t="str">
        <f t="shared" si="204"/>
        <v/>
      </c>
      <c r="T4422" s="57" t="str">
        <f t="shared" si="205"/>
        <v/>
      </c>
      <c r="U4422" s="58" t="str">
        <f t="shared" si="206"/>
        <v/>
      </c>
    </row>
    <row r="4423" spans="19:21" ht="23.25" customHeight="1" x14ac:dyDescent="0.35">
      <c r="S4423" s="56" t="str">
        <f t="shared" si="204"/>
        <v/>
      </c>
      <c r="T4423" s="57" t="str">
        <f t="shared" si="205"/>
        <v/>
      </c>
      <c r="U4423" s="58" t="str">
        <f t="shared" si="206"/>
        <v/>
      </c>
    </row>
    <row r="4424" spans="19:21" ht="23.25" customHeight="1" x14ac:dyDescent="0.35">
      <c r="S4424" s="56" t="str">
        <f t="shared" si="204"/>
        <v/>
      </c>
      <c r="T4424" s="57" t="str">
        <f t="shared" si="205"/>
        <v/>
      </c>
      <c r="U4424" s="58" t="str">
        <f t="shared" si="206"/>
        <v/>
      </c>
    </row>
    <row r="4425" spans="19:21" ht="23.25" customHeight="1" x14ac:dyDescent="0.35">
      <c r="S4425" s="56" t="str">
        <f t="shared" ref="S4425:S4488" si="207">IF(A4425="","",A$5-A4425)</f>
        <v/>
      </c>
      <c r="T4425" s="57" t="str">
        <f t="shared" ref="T4425:T4488" si="208">IF(S4425="","",IF(S4425&lt;4,"0-3 Days",IF(S4425&lt;31,"4-30 Days",IF(S4425&lt;61,"31-60 Days",IF(S4425&lt;=90,"61-90 Days",IF(S4425&gt;90,"Above 90 Days","0"))))))</f>
        <v/>
      </c>
      <c r="U4425" s="58" t="str">
        <f t="shared" ref="U4425:U4488" si="209">IF(C4425="","",IF(C4425&gt;0,IF(S4425&lt;30,"Normal",IF(S4425&lt;60,"Especially Mentioned",IF(S4425&lt;90,"Substandard",IF(S4425&lt;=180,"Doubtful",IF(S4425&gt;180,"Loss","0"))))),"Not Applicable"))</f>
        <v/>
      </c>
    </row>
    <row r="4426" spans="19:21" ht="23.25" customHeight="1" x14ac:dyDescent="0.35">
      <c r="S4426" s="56" t="str">
        <f t="shared" si="207"/>
        <v/>
      </c>
      <c r="T4426" s="57" t="str">
        <f t="shared" si="208"/>
        <v/>
      </c>
      <c r="U4426" s="58" t="str">
        <f t="shared" si="209"/>
        <v/>
      </c>
    </row>
    <row r="4427" spans="19:21" ht="23.25" customHeight="1" x14ac:dyDescent="0.35">
      <c r="S4427" s="56" t="str">
        <f t="shared" si="207"/>
        <v/>
      </c>
      <c r="T4427" s="57" t="str">
        <f t="shared" si="208"/>
        <v/>
      </c>
      <c r="U4427" s="58" t="str">
        <f t="shared" si="209"/>
        <v/>
      </c>
    </row>
    <row r="4428" spans="19:21" ht="23.25" customHeight="1" x14ac:dyDescent="0.35">
      <c r="S4428" s="56" t="str">
        <f t="shared" si="207"/>
        <v/>
      </c>
      <c r="T4428" s="57" t="str">
        <f t="shared" si="208"/>
        <v/>
      </c>
      <c r="U4428" s="58" t="str">
        <f t="shared" si="209"/>
        <v/>
      </c>
    </row>
    <row r="4429" spans="19:21" ht="23.25" customHeight="1" x14ac:dyDescent="0.35">
      <c r="S4429" s="56" t="str">
        <f t="shared" si="207"/>
        <v/>
      </c>
      <c r="T4429" s="57" t="str">
        <f t="shared" si="208"/>
        <v/>
      </c>
      <c r="U4429" s="58" t="str">
        <f t="shared" si="209"/>
        <v/>
      </c>
    </row>
    <row r="4430" spans="19:21" ht="23.25" customHeight="1" x14ac:dyDescent="0.35">
      <c r="S4430" s="56" t="str">
        <f t="shared" si="207"/>
        <v/>
      </c>
      <c r="T4430" s="57" t="str">
        <f t="shared" si="208"/>
        <v/>
      </c>
      <c r="U4430" s="58" t="str">
        <f t="shared" si="209"/>
        <v/>
      </c>
    </row>
    <row r="4431" spans="19:21" ht="23.25" customHeight="1" x14ac:dyDescent="0.35">
      <c r="S4431" s="56" t="str">
        <f t="shared" si="207"/>
        <v/>
      </c>
      <c r="T4431" s="57" t="str">
        <f t="shared" si="208"/>
        <v/>
      </c>
      <c r="U4431" s="58" t="str">
        <f t="shared" si="209"/>
        <v/>
      </c>
    </row>
    <row r="4432" spans="19:21" ht="23.25" customHeight="1" x14ac:dyDescent="0.35">
      <c r="S4432" s="56" t="str">
        <f t="shared" si="207"/>
        <v/>
      </c>
      <c r="T4432" s="57" t="str">
        <f t="shared" si="208"/>
        <v/>
      </c>
      <c r="U4432" s="58" t="str">
        <f t="shared" si="209"/>
        <v/>
      </c>
    </row>
    <row r="4433" spans="19:21" ht="23.25" customHeight="1" x14ac:dyDescent="0.35">
      <c r="S4433" s="56" t="str">
        <f t="shared" si="207"/>
        <v/>
      </c>
      <c r="T4433" s="57" t="str">
        <f t="shared" si="208"/>
        <v/>
      </c>
      <c r="U4433" s="58" t="str">
        <f t="shared" si="209"/>
        <v/>
      </c>
    </row>
    <row r="4434" spans="19:21" ht="23.25" customHeight="1" x14ac:dyDescent="0.35">
      <c r="S4434" s="56" t="str">
        <f t="shared" si="207"/>
        <v/>
      </c>
      <c r="T4434" s="57" t="str">
        <f t="shared" si="208"/>
        <v/>
      </c>
      <c r="U4434" s="58" t="str">
        <f t="shared" si="209"/>
        <v/>
      </c>
    </row>
    <row r="4435" spans="19:21" ht="23.25" customHeight="1" x14ac:dyDescent="0.35">
      <c r="S4435" s="56" t="str">
        <f t="shared" si="207"/>
        <v/>
      </c>
      <c r="T4435" s="57" t="str">
        <f t="shared" si="208"/>
        <v/>
      </c>
      <c r="U4435" s="58" t="str">
        <f t="shared" si="209"/>
        <v/>
      </c>
    </row>
    <row r="4436" spans="19:21" ht="23.25" customHeight="1" x14ac:dyDescent="0.35">
      <c r="S4436" s="56" t="str">
        <f t="shared" si="207"/>
        <v/>
      </c>
      <c r="T4436" s="57" t="str">
        <f t="shared" si="208"/>
        <v/>
      </c>
      <c r="U4436" s="58" t="str">
        <f t="shared" si="209"/>
        <v/>
      </c>
    </row>
    <row r="4437" spans="19:21" ht="23.25" customHeight="1" x14ac:dyDescent="0.35">
      <c r="S4437" s="56" t="str">
        <f t="shared" si="207"/>
        <v/>
      </c>
      <c r="T4437" s="57" t="str">
        <f t="shared" si="208"/>
        <v/>
      </c>
      <c r="U4437" s="58" t="str">
        <f t="shared" si="209"/>
        <v/>
      </c>
    </row>
    <row r="4438" spans="19:21" ht="23.25" customHeight="1" x14ac:dyDescent="0.35">
      <c r="S4438" s="56" t="str">
        <f t="shared" si="207"/>
        <v/>
      </c>
      <c r="T4438" s="57" t="str">
        <f t="shared" si="208"/>
        <v/>
      </c>
      <c r="U4438" s="58" t="str">
        <f t="shared" si="209"/>
        <v/>
      </c>
    </row>
    <row r="4439" spans="19:21" ht="23.25" customHeight="1" x14ac:dyDescent="0.35">
      <c r="S4439" s="56" t="str">
        <f t="shared" si="207"/>
        <v/>
      </c>
      <c r="T4439" s="57" t="str">
        <f t="shared" si="208"/>
        <v/>
      </c>
      <c r="U4439" s="58" t="str">
        <f t="shared" si="209"/>
        <v/>
      </c>
    </row>
    <row r="4440" spans="19:21" ht="23.25" customHeight="1" x14ac:dyDescent="0.35">
      <c r="S4440" s="56" t="str">
        <f t="shared" si="207"/>
        <v/>
      </c>
      <c r="T4440" s="57" t="str">
        <f t="shared" si="208"/>
        <v/>
      </c>
      <c r="U4440" s="58" t="str">
        <f t="shared" si="209"/>
        <v/>
      </c>
    </row>
    <row r="4441" spans="19:21" ht="23.25" customHeight="1" x14ac:dyDescent="0.35">
      <c r="S4441" s="56" t="str">
        <f t="shared" si="207"/>
        <v/>
      </c>
      <c r="T4441" s="57" t="str">
        <f t="shared" si="208"/>
        <v/>
      </c>
      <c r="U4441" s="58" t="str">
        <f t="shared" si="209"/>
        <v/>
      </c>
    </row>
    <row r="4442" spans="19:21" ht="23.25" customHeight="1" x14ac:dyDescent="0.35">
      <c r="S4442" s="56" t="str">
        <f t="shared" si="207"/>
        <v/>
      </c>
      <c r="T4442" s="57" t="str">
        <f t="shared" si="208"/>
        <v/>
      </c>
      <c r="U4442" s="58" t="str">
        <f t="shared" si="209"/>
        <v/>
      </c>
    </row>
    <row r="4443" spans="19:21" ht="23.25" customHeight="1" x14ac:dyDescent="0.35">
      <c r="S4443" s="56" t="str">
        <f t="shared" si="207"/>
        <v/>
      </c>
      <c r="T4443" s="57" t="str">
        <f t="shared" si="208"/>
        <v/>
      </c>
      <c r="U4443" s="58" t="str">
        <f t="shared" si="209"/>
        <v/>
      </c>
    </row>
    <row r="4444" spans="19:21" ht="23.25" customHeight="1" x14ac:dyDescent="0.35">
      <c r="S4444" s="56" t="str">
        <f t="shared" si="207"/>
        <v/>
      </c>
      <c r="T4444" s="57" t="str">
        <f t="shared" si="208"/>
        <v/>
      </c>
      <c r="U4444" s="58" t="str">
        <f t="shared" si="209"/>
        <v/>
      </c>
    </row>
    <row r="4445" spans="19:21" ht="23.25" customHeight="1" x14ac:dyDescent="0.35">
      <c r="S4445" s="56" t="str">
        <f t="shared" si="207"/>
        <v/>
      </c>
      <c r="T4445" s="57" t="str">
        <f t="shared" si="208"/>
        <v/>
      </c>
      <c r="U4445" s="58" t="str">
        <f t="shared" si="209"/>
        <v/>
      </c>
    </row>
    <row r="4446" spans="19:21" ht="23.25" customHeight="1" x14ac:dyDescent="0.35">
      <c r="S4446" s="56" t="str">
        <f t="shared" si="207"/>
        <v/>
      </c>
      <c r="T4446" s="57" t="str">
        <f t="shared" si="208"/>
        <v/>
      </c>
      <c r="U4446" s="58" t="str">
        <f t="shared" si="209"/>
        <v/>
      </c>
    </row>
    <row r="4447" spans="19:21" ht="23.25" customHeight="1" x14ac:dyDescent="0.35">
      <c r="S4447" s="56" t="str">
        <f t="shared" si="207"/>
        <v/>
      </c>
      <c r="T4447" s="57" t="str">
        <f t="shared" si="208"/>
        <v/>
      </c>
      <c r="U4447" s="58" t="str">
        <f t="shared" si="209"/>
        <v/>
      </c>
    </row>
    <row r="4448" spans="19:21" ht="23.25" customHeight="1" x14ac:dyDescent="0.35">
      <c r="S4448" s="56" t="str">
        <f t="shared" si="207"/>
        <v/>
      </c>
      <c r="T4448" s="57" t="str">
        <f t="shared" si="208"/>
        <v/>
      </c>
      <c r="U4448" s="58" t="str">
        <f t="shared" si="209"/>
        <v/>
      </c>
    </row>
    <row r="4449" spans="19:21" ht="23.25" customHeight="1" x14ac:dyDescent="0.35">
      <c r="S4449" s="56" t="str">
        <f t="shared" si="207"/>
        <v/>
      </c>
      <c r="T4449" s="57" t="str">
        <f t="shared" si="208"/>
        <v/>
      </c>
      <c r="U4449" s="58" t="str">
        <f t="shared" si="209"/>
        <v/>
      </c>
    </row>
    <row r="4450" spans="19:21" ht="23.25" customHeight="1" x14ac:dyDescent="0.35">
      <c r="S4450" s="56" t="str">
        <f t="shared" si="207"/>
        <v/>
      </c>
      <c r="T4450" s="57" t="str">
        <f t="shared" si="208"/>
        <v/>
      </c>
      <c r="U4450" s="58" t="str">
        <f t="shared" si="209"/>
        <v/>
      </c>
    </row>
    <row r="4451" spans="19:21" ht="23.25" customHeight="1" x14ac:dyDescent="0.35">
      <c r="S4451" s="56" t="str">
        <f t="shared" si="207"/>
        <v/>
      </c>
      <c r="T4451" s="57" t="str">
        <f t="shared" si="208"/>
        <v/>
      </c>
      <c r="U4451" s="58" t="str">
        <f t="shared" si="209"/>
        <v/>
      </c>
    </row>
    <row r="4452" spans="19:21" ht="23.25" customHeight="1" x14ac:dyDescent="0.35">
      <c r="S4452" s="56" t="str">
        <f t="shared" si="207"/>
        <v/>
      </c>
      <c r="T4452" s="57" t="str">
        <f t="shared" si="208"/>
        <v/>
      </c>
      <c r="U4452" s="58" t="str">
        <f t="shared" si="209"/>
        <v/>
      </c>
    </row>
    <row r="4453" spans="19:21" ht="23.25" customHeight="1" x14ac:dyDescent="0.35">
      <c r="S4453" s="56" t="str">
        <f t="shared" si="207"/>
        <v/>
      </c>
      <c r="T4453" s="57" t="str">
        <f t="shared" si="208"/>
        <v/>
      </c>
      <c r="U4453" s="58" t="str">
        <f t="shared" si="209"/>
        <v/>
      </c>
    </row>
    <row r="4454" spans="19:21" ht="23.25" customHeight="1" x14ac:dyDescent="0.35">
      <c r="S4454" s="56" t="str">
        <f t="shared" si="207"/>
        <v/>
      </c>
      <c r="T4454" s="57" t="str">
        <f t="shared" si="208"/>
        <v/>
      </c>
      <c r="U4454" s="58" t="str">
        <f t="shared" si="209"/>
        <v/>
      </c>
    </row>
    <row r="4455" spans="19:21" ht="23.25" customHeight="1" x14ac:dyDescent="0.35">
      <c r="S4455" s="56" t="str">
        <f t="shared" si="207"/>
        <v/>
      </c>
      <c r="T4455" s="57" t="str">
        <f t="shared" si="208"/>
        <v/>
      </c>
      <c r="U4455" s="58" t="str">
        <f t="shared" si="209"/>
        <v/>
      </c>
    </row>
    <row r="4456" spans="19:21" ht="23.25" customHeight="1" x14ac:dyDescent="0.35">
      <c r="S4456" s="56" t="str">
        <f t="shared" si="207"/>
        <v/>
      </c>
      <c r="T4456" s="57" t="str">
        <f t="shared" si="208"/>
        <v/>
      </c>
      <c r="U4456" s="58" t="str">
        <f t="shared" si="209"/>
        <v/>
      </c>
    </row>
    <row r="4457" spans="19:21" ht="23.25" customHeight="1" x14ac:dyDescent="0.35">
      <c r="S4457" s="56" t="str">
        <f t="shared" si="207"/>
        <v/>
      </c>
      <c r="T4457" s="57" t="str">
        <f t="shared" si="208"/>
        <v/>
      </c>
      <c r="U4457" s="58" t="str">
        <f t="shared" si="209"/>
        <v/>
      </c>
    </row>
    <row r="4458" spans="19:21" ht="23.25" customHeight="1" x14ac:dyDescent="0.35">
      <c r="S4458" s="56" t="str">
        <f t="shared" si="207"/>
        <v/>
      </c>
      <c r="T4458" s="57" t="str">
        <f t="shared" si="208"/>
        <v/>
      </c>
      <c r="U4458" s="58" t="str">
        <f t="shared" si="209"/>
        <v/>
      </c>
    </row>
    <row r="4459" spans="19:21" ht="23.25" customHeight="1" x14ac:dyDescent="0.35">
      <c r="S4459" s="56" t="str">
        <f t="shared" si="207"/>
        <v/>
      </c>
      <c r="T4459" s="57" t="str">
        <f t="shared" si="208"/>
        <v/>
      </c>
      <c r="U4459" s="58" t="str">
        <f t="shared" si="209"/>
        <v/>
      </c>
    </row>
    <row r="4460" spans="19:21" ht="23.25" customHeight="1" x14ac:dyDescent="0.35">
      <c r="S4460" s="56" t="str">
        <f t="shared" si="207"/>
        <v/>
      </c>
      <c r="T4460" s="57" t="str">
        <f t="shared" si="208"/>
        <v/>
      </c>
      <c r="U4460" s="58" t="str">
        <f t="shared" si="209"/>
        <v/>
      </c>
    </row>
    <row r="4461" spans="19:21" ht="23.25" customHeight="1" x14ac:dyDescent="0.35">
      <c r="S4461" s="56" t="str">
        <f t="shared" si="207"/>
        <v/>
      </c>
      <c r="T4461" s="57" t="str">
        <f t="shared" si="208"/>
        <v/>
      </c>
      <c r="U4461" s="58" t="str">
        <f t="shared" si="209"/>
        <v/>
      </c>
    </row>
    <row r="4462" spans="19:21" ht="23.25" customHeight="1" x14ac:dyDescent="0.35">
      <c r="S4462" s="56" t="str">
        <f t="shared" si="207"/>
        <v/>
      </c>
      <c r="T4462" s="57" t="str">
        <f t="shared" si="208"/>
        <v/>
      </c>
      <c r="U4462" s="58" t="str">
        <f t="shared" si="209"/>
        <v/>
      </c>
    </row>
    <row r="4463" spans="19:21" ht="23.25" customHeight="1" x14ac:dyDescent="0.35">
      <c r="S4463" s="56" t="str">
        <f t="shared" si="207"/>
        <v/>
      </c>
      <c r="T4463" s="57" t="str">
        <f t="shared" si="208"/>
        <v/>
      </c>
      <c r="U4463" s="58" t="str">
        <f t="shared" si="209"/>
        <v/>
      </c>
    </row>
    <row r="4464" spans="19:21" ht="23.25" customHeight="1" x14ac:dyDescent="0.35">
      <c r="S4464" s="56" t="str">
        <f t="shared" si="207"/>
        <v/>
      </c>
      <c r="T4464" s="57" t="str">
        <f t="shared" si="208"/>
        <v/>
      </c>
      <c r="U4464" s="58" t="str">
        <f t="shared" si="209"/>
        <v/>
      </c>
    </row>
    <row r="4465" spans="19:21" ht="23.25" customHeight="1" x14ac:dyDescent="0.35">
      <c r="S4465" s="56" t="str">
        <f t="shared" si="207"/>
        <v/>
      </c>
      <c r="T4465" s="57" t="str">
        <f t="shared" si="208"/>
        <v/>
      </c>
      <c r="U4465" s="58" t="str">
        <f t="shared" si="209"/>
        <v/>
      </c>
    </row>
    <row r="4466" spans="19:21" ht="23.25" customHeight="1" x14ac:dyDescent="0.35">
      <c r="S4466" s="56" t="str">
        <f t="shared" si="207"/>
        <v/>
      </c>
      <c r="T4466" s="57" t="str">
        <f t="shared" si="208"/>
        <v/>
      </c>
      <c r="U4466" s="58" t="str">
        <f t="shared" si="209"/>
        <v/>
      </c>
    </row>
    <row r="4467" spans="19:21" ht="23.25" customHeight="1" x14ac:dyDescent="0.35">
      <c r="S4467" s="56" t="str">
        <f t="shared" si="207"/>
        <v/>
      </c>
      <c r="T4467" s="57" t="str">
        <f t="shared" si="208"/>
        <v/>
      </c>
      <c r="U4467" s="58" t="str">
        <f t="shared" si="209"/>
        <v/>
      </c>
    </row>
    <row r="4468" spans="19:21" ht="23.25" customHeight="1" x14ac:dyDescent="0.35">
      <c r="S4468" s="56" t="str">
        <f t="shared" si="207"/>
        <v/>
      </c>
      <c r="T4468" s="57" t="str">
        <f t="shared" si="208"/>
        <v/>
      </c>
      <c r="U4468" s="58" t="str">
        <f t="shared" si="209"/>
        <v/>
      </c>
    </row>
    <row r="4469" spans="19:21" ht="23.25" customHeight="1" x14ac:dyDescent="0.35">
      <c r="S4469" s="56" t="str">
        <f t="shared" si="207"/>
        <v/>
      </c>
      <c r="T4469" s="57" t="str">
        <f t="shared" si="208"/>
        <v/>
      </c>
      <c r="U4469" s="58" t="str">
        <f t="shared" si="209"/>
        <v/>
      </c>
    </row>
    <row r="4470" spans="19:21" ht="23.25" customHeight="1" x14ac:dyDescent="0.35">
      <c r="S4470" s="56" t="str">
        <f t="shared" si="207"/>
        <v/>
      </c>
      <c r="T4470" s="57" t="str">
        <f t="shared" si="208"/>
        <v/>
      </c>
      <c r="U4470" s="58" t="str">
        <f t="shared" si="209"/>
        <v/>
      </c>
    </row>
    <row r="4471" spans="19:21" ht="23.25" customHeight="1" x14ac:dyDescent="0.35">
      <c r="S4471" s="56" t="str">
        <f t="shared" si="207"/>
        <v/>
      </c>
      <c r="T4471" s="57" t="str">
        <f t="shared" si="208"/>
        <v/>
      </c>
      <c r="U4471" s="58" t="str">
        <f t="shared" si="209"/>
        <v/>
      </c>
    </row>
    <row r="4472" spans="19:21" ht="23.25" customHeight="1" x14ac:dyDescent="0.35">
      <c r="S4472" s="56" t="str">
        <f t="shared" si="207"/>
        <v/>
      </c>
      <c r="T4472" s="57" t="str">
        <f t="shared" si="208"/>
        <v/>
      </c>
      <c r="U4472" s="58" t="str">
        <f t="shared" si="209"/>
        <v/>
      </c>
    </row>
    <row r="4473" spans="19:21" ht="23.25" customHeight="1" x14ac:dyDescent="0.35">
      <c r="S4473" s="56" t="str">
        <f t="shared" si="207"/>
        <v/>
      </c>
      <c r="T4473" s="57" t="str">
        <f t="shared" si="208"/>
        <v/>
      </c>
      <c r="U4473" s="58" t="str">
        <f t="shared" si="209"/>
        <v/>
      </c>
    </row>
    <row r="4474" spans="19:21" ht="23.25" customHeight="1" x14ac:dyDescent="0.35">
      <c r="S4474" s="56" t="str">
        <f t="shared" si="207"/>
        <v/>
      </c>
      <c r="T4474" s="57" t="str">
        <f t="shared" si="208"/>
        <v/>
      </c>
      <c r="U4474" s="58" t="str">
        <f t="shared" si="209"/>
        <v/>
      </c>
    </row>
    <row r="4475" spans="19:21" ht="23.25" customHeight="1" x14ac:dyDescent="0.35">
      <c r="S4475" s="56" t="str">
        <f t="shared" si="207"/>
        <v/>
      </c>
      <c r="T4475" s="57" t="str">
        <f t="shared" si="208"/>
        <v/>
      </c>
      <c r="U4475" s="58" t="str">
        <f t="shared" si="209"/>
        <v/>
      </c>
    </row>
    <row r="4476" spans="19:21" ht="23.25" customHeight="1" x14ac:dyDescent="0.35">
      <c r="S4476" s="56" t="str">
        <f t="shared" si="207"/>
        <v/>
      </c>
      <c r="T4476" s="57" t="str">
        <f t="shared" si="208"/>
        <v/>
      </c>
      <c r="U4476" s="58" t="str">
        <f t="shared" si="209"/>
        <v/>
      </c>
    </row>
    <row r="4477" spans="19:21" ht="23.25" customHeight="1" x14ac:dyDescent="0.35">
      <c r="S4477" s="56" t="str">
        <f t="shared" si="207"/>
        <v/>
      </c>
      <c r="T4477" s="57" t="str">
        <f t="shared" si="208"/>
        <v/>
      </c>
      <c r="U4477" s="58" t="str">
        <f t="shared" si="209"/>
        <v/>
      </c>
    </row>
    <row r="4478" spans="19:21" ht="23.25" customHeight="1" x14ac:dyDescent="0.35">
      <c r="S4478" s="56" t="str">
        <f t="shared" si="207"/>
        <v/>
      </c>
      <c r="T4478" s="57" t="str">
        <f t="shared" si="208"/>
        <v/>
      </c>
      <c r="U4478" s="58" t="str">
        <f t="shared" si="209"/>
        <v/>
      </c>
    </row>
    <row r="4479" spans="19:21" ht="23.25" customHeight="1" x14ac:dyDescent="0.35">
      <c r="S4479" s="56" t="str">
        <f t="shared" si="207"/>
        <v/>
      </c>
      <c r="T4479" s="57" t="str">
        <f t="shared" si="208"/>
        <v/>
      </c>
      <c r="U4479" s="58" t="str">
        <f t="shared" si="209"/>
        <v/>
      </c>
    </row>
    <row r="4480" spans="19:21" ht="23.25" customHeight="1" x14ac:dyDescent="0.35">
      <c r="S4480" s="56" t="str">
        <f t="shared" si="207"/>
        <v/>
      </c>
      <c r="T4480" s="57" t="str">
        <f t="shared" si="208"/>
        <v/>
      </c>
      <c r="U4480" s="58" t="str">
        <f t="shared" si="209"/>
        <v/>
      </c>
    </row>
    <row r="4481" spans="19:21" ht="23.25" customHeight="1" x14ac:dyDescent="0.35">
      <c r="S4481" s="56" t="str">
        <f t="shared" si="207"/>
        <v/>
      </c>
      <c r="T4481" s="57" t="str">
        <f t="shared" si="208"/>
        <v/>
      </c>
      <c r="U4481" s="58" t="str">
        <f t="shared" si="209"/>
        <v/>
      </c>
    </row>
    <row r="4482" spans="19:21" ht="23.25" customHeight="1" x14ac:dyDescent="0.35">
      <c r="S4482" s="56" t="str">
        <f t="shared" si="207"/>
        <v/>
      </c>
      <c r="T4482" s="57" t="str">
        <f t="shared" si="208"/>
        <v/>
      </c>
      <c r="U4482" s="58" t="str">
        <f t="shared" si="209"/>
        <v/>
      </c>
    </row>
    <row r="4483" spans="19:21" ht="23.25" customHeight="1" x14ac:dyDescent="0.35">
      <c r="S4483" s="56" t="str">
        <f t="shared" si="207"/>
        <v/>
      </c>
      <c r="T4483" s="57" t="str">
        <f t="shared" si="208"/>
        <v/>
      </c>
      <c r="U4483" s="58" t="str">
        <f t="shared" si="209"/>
        <v/>
      </c>
    </row>
    <row r="4484" spans="19:21" ht="23.25" customHeight="1" x14ac:dyDescent="0.35">
      <c r="S4484" s="56" t="str">
        <f t="shared" si="207"/>
        <v/>
      </c>
      <c r="T4484" s="57" t="str">
        <f t="shared" si="208"/>
        <v/>
      </c>
      <c r="U4484" s="58" t="str">
        <f t="shared" si="209"/>
        <v/>
      </c>
    </row>
    <row r="4485" spans="19:21" ht="23.25" customHeight="1" x14ac:dyDescent="0.35">
      <c r="S4485" s="56" t="str">
        <f t="shared" si="207"/>
        <v/>
      </c>
      <c r="T4485" s="57" t="str">
        <f t="shared" si="208"/>
        <v/>
      </c>
      <c r="U4485" s="58" t="str">
        <f t="shared" si="209"/>
        <v/>
      </c>
    </row>
    <row r="4486" spans="19:21" ht="23.25" customHeight="1" x14ac:dyDescent="0.35">
      <c r="S4486" s="56" t="str">
        <f t="shared" si="207"/>
        <v/>
      </c>
      <c r="T4486" s="57" t="str">
        <f t="shared" si="208"/>
        <v/>
      </c>
      <c r="U4486" s="58" t="str">
        <f t="shared" si="209"/>
        <v/>
      </c>
    </row>
    <row r="4487" spans="19:21" ht="23.25" customHeight="1" x14ac:dyDescent="0.35">
      <c r="S4487" s="56" t="str">
        <f t="shared" si="207"/>
        <v/>
      </c>
      <c r="T4487" s="57" t="str">
        <f t="shared" si="208"/>
        <v/>
      </c>
      <c r="U4487" s="58" t="str">
        <f t="shared" si="209"/>
        <v/>
      </c>
    </row>
    <row r="4488" spans="19:21" ht="23.25" customHeight="1" x14ac:dyDescent="0.35">
      <c r="S4488" s="56" t="str">
        <f t="shared" si="207"/>
        <v/>
      </c>
      <c r="T4488" s="57" t="str">
        <f t="shared" si="208"/>
        <v/>
      </c>
      <c r="U4488" s="58" t="str">
        <f t="shared" si="209"/>
        <v/>
      </c>
    </row>
    <row r="4489" spans="19:21" ht="23.25" customHeight="1" x14ac:dyDescent="0.35">
      <c r="S4489" s="56" t="str">
        <f t="shared" ref="S4489:S4552" si="210">IF(A4489="","",A$5-A4489)</f>
        <v/>
      </c>
      <c r="T4489" s="57" t="str">
        <f t="shared" ref="T4489:T4552" si="211">IF(S4489="","",IF(S4489&lt;4,"0-3 Days",IF(S4489&lt;31,"4-30 Days",IF(S4489&lt;61,"31-60 Days",IF(S4489&lt;=90,"61-90 Days",IF(S4489&gt;90,"Above 90 Days","0"))))))</f>
        <v/>
      </c>
      <c r="U4489" s="58" t="str">
        <f t="shared" ref="U4489:U4552" si="212">IF(C4489="","",IF(C4489&gt;0,IF(S4489&lt;30,"Normal",IF(S4489&lt;60,"Especially Mentioned",IF(S4489&lt;90,"Substandard",IF(S4489&lt;=180,"Doubtful",IF(S4489&gt;180,"Loss","0"))))),"Not Applicable"))</f>
        <v/>
      </c>
    </row>
    <row r="4490" spans="19:21" ht="23.25" customHeight="1" x14ac:dyDescent="0.35">
      <c r="S4490" s="56" t="str">
        <f t="shared" si="210"/>
        <v/>
      </c>
      <c r="T4490" s="57" t="str">
        <f t="shared" si="211"/>
        <v/>
      </c>
      <c r="U4490" s="58" t="str">
        <f t="shared" si="212"/>
        <v/>
      </c>
    </row>
    <row r="4491" spans="19:21" ht="23.25" customHeight="1" x14ac:dyDescent="0.35">
      <c r="S4491" s="56" t="str">
        <f t="shared" si="210"/>
        <v/>
      </c>
      <c r="T4491" s="57" t="str">
        <f t="shared" si="211"/>
        <v/>
      </c>
      <c r="U4491" s="58" t="str">
        <f t="shared" si="212"/>
        <v/>
      </c>
    </row>
    <row r="4492" spans="19:21" ht="23.25" customHeight="1" x14ac:dyDescent="0.35">
      <c r="S4492" s="56" t="str">
        <f t="shared" si="210"/>
        <v/>
      </c>
      <c r="T4492" s="57" t="str">
        <f t="shared" si="211"/>
        <v/>
      </c>
      <c r="U4492" s="58" t="str">
        <f t="shared" si="212"/>
        <v/>
      </c>
    </row>
    <row r="4493" spans="19:21" ht="23.25" customHeight="1" x14ac:dyDescent="0.35">
      <c r="S4493" s="56" t="str">
        <f t="shared" si="210"/>
        <v/>
      </c>
      <c r="T4493" s="57" t="str">
        <f t="shared" si="211"/>
        <v/>
      </c>
      <c r="U4493" s="58" t="str">
        <f t="shared" si="212"/>
        <v/>
      </c>
    </row>
    <row r="4494" spans="19:21" ht="23.25" customHeight="1" x14ac:dyDescent="0.35">
      <c r="S4494" s="56" t="str">
        <f t="shared" si="210"/>
        <v/>
      </c>
      <c r="T4494" s="57" t="str">
        <f t="shared" si="211"/>
        <v/>
      </c>
      <c r="U4494" s="58" t="str">
        <f t="shared" si="212"/>
        <v/>
      </c>
    </row>
    <row r="4495" spans="19:21" ht="23.25" customHeight="1" x14ac:dyDescent="0.35">
      <c r="S4495" s="56" t="str">
        <f t="shared" si="210"/>
        <v/>
      </c>
      <c r="T4495" s="57" t="str">
        <f t="shared" si="211"/>
        <v/>
      </c>
      <c r="U4495" s="58" t="str">
        <f t="shared" si="212"/>
        <v/>
      </c>
    </row>
    <row r="4496" spans="19:21" ht="23.25" customHeight="1" x14ac:dyDescent="0.35">
      <c r="S4496" s="56" t="str">
        <f t="shared" si="210"/>
        <v/>
      </c>
      <c r="T4496" s="57" t="str">
        <f t="shared" si="211"/>
        <v/>
      </c>
      <c r="U4496" s="58" t="str">
        <f t="shared" si="212"/>
        <v/>
      </c>
    </row>
    <row r="4497" spans="19:21" ht="23.25" customHeight="1" x14ac:dyDescent="0.35">
      <c r="S4497" s="56" t="str">
        <f t="shared" si="210"/>
        <v/>
      </c>
      <c r="T4497" s="57" t="str">
        <f t="shared" si="211"/>
        <v/>
      </c>
      <c r="U4497" s="58" t="str">
        <f t="shared" si="212"/>
        <v/>
      </c>
    </row>
    <row r="4498" spans="19:21" ht="23.25" customHeight="1" x14ac:dyDescent="0.35">
      <c r="S4498" s="56" t="str">
        <f t="shared" si="210"/>
        <v/>
      </c>
      <c r="T4498" s="57" t="str">
        <f t="shared" si="211"/>
        <v/>
      </c>
      <c r="U4498" s="58" t="str">
        <f t="shared" si="212"/>
        <v/>
      </c>
    </row>
    <row r="4499" spans="19:21" ht="23.25" customHeight="1" x14ac:dyDescent="0.35">
      <c r="S4499" s="56" t="str">
        <f t="shared" si="210"/>
        <v/>
      </c>
      <c r="T4499" s="57" t="str">
        <f t="shared" si="211"/>
        <v/>
      </c>
      <c r="U4499" s="58" t="str">
        <f t="shared" si="212"/>
        <v/>
      </c>
    </row>
    <row r="4500" spans="19:21" ht="23.25" customHeight="1" x14ac:dyDescent="0.35">
      <c r="S4500" s="56" t="str">
        <f t="shared" si="210"/>
        <v/>
      </c>
      <c r="T4500" s="57" t="str">
        <f t="shared" si="211"/>
        <v/>
      </c>
      <c r="U4500" s="58" t="str">
        <f t="shared" si="212"/>
        <v/>
      </c>
    </row>
    <row r="4501" spans="19:21" ht="23.25" customHeight="1" x14ac:dyDescent="0.35">
      <c r="S4501" s="56" t="str">
        <f t="shared" si="210"/>
        <v/>
      </c>
      <c r="T4501" s="57" t="str">
        <f t="shared" si="211"/>
        <v/>
      </c>
      <c r="U4501" s="58" t="str">
        <f t="shared" si="212"/>
        <v/>
      </c>
    </row>
    <row r="4502" spans="19:21" ht="23.25" customHeight="1" x14ac:dyDescent="0.35">
      <c r="S4502" s="56" t="str">
        <f t="shared" si="210"/>
        <v/>
      </c>
      <c r="T4502" s="57" t="str">
        <f t="shared" si="211"/>
        <v/>
      </c>
      <c r="U4502" s="58" t="str">
        <f t="shared" si="212"/>
        <v/>
      </c>
    </row>
    <row r="4503" spans="19:21" ht="23.25" customHeight="1" x14ac:dyDescent="0.35">
      <c r="S4503" s="56" t="str">
        <f t="shared" si="210"/>
        <v/>
      </c>
      <c r="T4503" s="57" t="str">
        <f t="shared" si="211"/>
        <v/>
      </c>
      <c r="U4503" s="58" t="str">
        <f t="shared" si="212"/>
        <v/>
      </c>
    </row>
    <row r="4504" spans="19:21" ht="23.25" customHeight="1" x14ac:dyDescent="0.35">
      <c r="S4504" s="56" t="str">
        <f t="shared" si="210"/>
        <v/>
      </c>
      <c r="T4504" s="57" t="str">
        <f t="shared" si="211"/>
        <v/>
      </c>
      <c r="U4504" s="58" t="str">
        <f t="shared" si="212"/>
        <v/>
      </c>
    </row>
    <row r="4505" spans="19:21" ht="23.25" customHeight="1" x14ac:dyDescent="0.35">
      <c r="S4505" s="56" t="str">
        <f t="shared" si="210"/>
        <v/>
      </c>
      <c r="T4505" s="57" t="str">
        <f t="shared" si="211"/>
        <v/>
      </c>
      <c r="U4505" s="58" t="str">
        <f t="shared" si="212"/>
        <v/>
      </c>
    </row>
    <row r="4506" spans="19:21" ht="23.25" customHeight="1" x14ac:dyDescent="0.35">
      <c r="S4506" s="56" t="str">
        <f t="shared" si="210"/>
        <v/>
      </c>
      <c r="T4506" s="57" t="str">
        <f t="shared" si="211"/>
        <v/>
      </c>
      <c r="U4506" s="58" t="str">
        <f t="shared" si="212"/>
        <v/>
      </c>
    </row>
    <row r="4507" spans="19:21" ht="23.25" customHeight="1" x14ac:dyDescent="0.35">
      <c r="S4507" s="56" t="str">
        <f t="shared" si="210"/>
        <v/>
      </c>
      <c r="T4507" s="57" t="str">
        <f t="shared" si="211"/>
        <v/>
      </c>
      <c r="U4507" s="58" t="str">
        <f t="shared" si="212"/>
        <v/>
      </c>
    </row>
    <row r="4508" spans="19:21" ht="23.25" customHeight="1" x14ac:dyDescent="0.35">
      <c r="S4508" s="56" t="str">
        <f t="shared" si="210"/>
        <v/>
      </c>
      <c r="T4508" s="57" t="str">
        <f t="shared" si="211"/>
        <v/>
      </c>
      <c r="U4508" s="58" t="str">
        <f t="shared" si="212"/>
        <v/>
      </c>
    </row>
    <row r="4509" spans="19:21" ht="23.25" customHeight="1" x14ac:dyDescent="0.35">
      <c r="S4509" s="56" t="str">
        <f t="shared" si="210"/>
        <v/>
      </c>
      <c r="T4509" s="57" t="str">
        <f t="shared" si="211"/>
        <v/>
      </c>
      <c r="U4509" s="58" t="str">
        <f t="shared" si="212"/>
        <v/>
      </c>
    </row>
    <row r="4510" spans="19:21" ht="23.25" customHeight="1" x14ac:dyDescent="0.35">
      <c r="S4510" s="56" t="str">
        <f t="shared" si="210"/>
        <v/>
      </c>
      <c r="T4510" s="57" t="str">
        <f t="shared" si="211"/>
        <v/>
      </c>
      <c r="U4510" s="58" t="str">
        <f t="shared" si="212"/>
        <v/>
      </c>
    </row>
    <row r="4511" spans="19:21" ht="23.25" customHeight="1" x14ac:dyDescent="0.35">
      <c r="S4511" s="56" t="str">
        <f t="shared" si="210"/>
        <v/>
      </c>
      <c r="T4511" s="57" t="str">
        <f t="shared" si="211"/>
        <v/>
      </c>
      <c r="U4511" s="58" t="str">
        <f t="shared" si="212"/>
        <v/>
      </c>
    </row>
    <row r="4512" spans="19:21" ht="23.25" customHeight="1" x14ac:dyDescent="0.35">
      <c r="S4512" s="56" t="str">
        <f t="shared" si="210"/>
        <v/>
      </c>
      <c r="T4512" s="57" t="str">
        <f t="shared" si="211"/>
        <v/>
      </c>
      <c r="U4512" s="58" t="str">
        <f t="shared" si="212"/>
        <v/>
      </c>
    </row>
    <row r="4513" spans="19:21" ht="23.25" customHeight="1" x14ac:dyDescent="0.35">
      <c r="S4513" s="56" t="str">
        <f t="shared" si="210"/>
        <v/>
      </c>
      <c r="T4513" s="57" t="str">
        <f t="shared" si="211"/>
        <v/>
      </c>
      <c r="U4513" s="58" t="str">
        <f t="shared" si="212"/>
        <v/>
      </c>
    </row>
    <row r="4514" spans="19:21" ht="23.25" customHeight="1" x14ac:dyDescent="0.35">
      <c r="S4514" s="56" t="str">
        <f t="shared" si="210"/>
        <v/>
      </c>
      <c r="T4514" s="57" t="str">
        <f t="shared" si="211"/>
        <v/>
      </c>
      <c r="U4514" s="58" t="str">
        <f t="shared" si="212"/>
        <v/>
      </c>
    </row>
    <row r="4515" spans="19:21" ht="23.25" customHeight="1" x14ac:dyDescent="0.35">
      <c r="S4515" s="56" t="str">
        <f t="shared" si="210"/>
        <v/>
      </c>
      <c r="T4515" s="57" t="str">
        <f t="shared" si="211"/>
        <v/>
      </c>
      <c r="U4515" s="58" t="str">
        <f t="shared" si="212"/>
        <v/>
      </c>
    </row>
    <row r="4516" spans="19:21" ht="23.25" customHeight="1" x14ac:dyDescent="0.35">
      <c r="S4516" s="56" t="str">
        <f t="shared" si="210"/>
        <v/>
      </c>
      <c r="T4516" s="57" t="str">
        <f t="shared" si="211"/>
        <v/>
      </c>
      <c r="U4516" s="58" t="str">
        <f t="shared" si="212"/>
        <v/>
      </c>
    </row>
    <row r="4517" spans="19:21" ht="23.25" customHeight="1" x14ac:dyDescent="0.35">
      <c r="S4517" s="56" t="str">
        <f t="shared" si="210"/>
        <v/>
      </c>
      <c r="T4517" s="57" t="str">
        <f t="shared" si="211"/>
        <v/>
      </c>
      <c r="U4517" s="58" t="str">
        <f t="shared" si="212"/>
        <v/>
      </c>
    </row>
    <row r="4518" spans="19:21" ht="23.25" customHeight="1" x14ac:dyDescent="0.35">
      <c r="S4518" s="56" t="str">
        <f t="shared" si="210"/>
        <v/>
      </c>
      <c r="T4518" s="57" t="str">
        <f t="shared" si="211"/>
        <v/>
      </c>
      <c r="U4518" s="58" t="str">
        <f t="shared" si="212"/>
        <v/>
      </c>
    </row>
    <row r="4519" spans="19:21" ht="23.25" customHeight="1" x14ac:dyDescent="0.35">
      <c r="S4519" s="56" t="str">
        <f t="shared" si="210"/>
        <v/>
      </c>
      <c r="T4519" s="57" t="str">
        <f t="shared" si="211"/>
        <v/>
      </c>
      <c r="U4519" s="58" t="str">
        <f t="shared" si="212"/>
        <v/>
      </c>
    </row>
    <row r="4520" spans="19:21" ht="23.25" customHeight="1" x14ac:dyDescent="0.35">
      <c r="S4520" s="56" t="str">
        <f t="shared" si="210"/>
        <v/>
      </c>
      <c r="T4520" s="57" t="str">
        <f t="shared" si="211"/>
        <v/>
      </c>
      <c r="U4520" s="58" t="str">
        <f t="shared" si="212"/>
        <v/>
      </c>
    </row>
    <row r="4521" spans="19:21" ht="23.25" customHeight="1" x14ac:dyDescent="0.35">
      <c r="S4521" s="56" t="str">
        <f t="shared" si="210"/>
        <v/>
      </c>
      <c r="T4521" s="57" t="str">
        <f t="shared" si="211"/>
        <v/>
      </c>
      <c r="U4521" s="58" t="str">
        <f t="shared" si="212"/>
        <v/>
      </c>
    </row>
    <row r="4522" spans="19:21" ht="23.25" customHeight="1" x14ac:dyDescent="0.35">
      <c r="S4522" s="56" t="str">
        <f t="shared" si="210"/>
        <v/>
      </c>
      <c r="T4522" s="57" t="str">
        <f t="shared" si="211"/>
        <v/>
      </c>
      <c r="U4522" s="58" t="str">
        <f t="shared" si="212"/>
        <v/>
      </c>
    </row>
    <row r="4523" spans="19:21" ht="23.25" customHeight="1" x14ac:dyDescent="0.35">
      <c r="S4523" s="56" t="str">
        <f t="shared" si="210"/>
        <v/>
      </c>
      <c r="T4523" s="57" t="str">
        <f t="shared" si="211"/>
        <v/>
      </c>
      <c r="U4523" s="58" t="str">
        <f t="shared" si="212"/>
        <v/>
      </c>
    </row>
    <row r="4524" spans="19:21" ht="23.25" customHeight="1" x14ac:dyDescent="0.35">
      <c r="S4524" s="56" t="str">
        <f t="shared" si="210"/>
        <v/>
      </c>
      <c r="T4524" s="57" t="str">
        <f t="shared" si="211"/>
        <v/>
      </c>
      <c r="U4524" s="58" t="str">
        <f t="shared" si="212"/>
        <v/>
      </c>
    </row>
    <row r="4525" spans="19:21" ht="23.25" customHeight="1" x14ac:dyDescent="0.35">
      <c r="S4525" s="56" t="str">
        <f t="shared" si="210"/>
        <v/>
      </c>
      <c r="T4525" s="57" t="str">
        <f t="shared" si="211"/>
        <v/>
      </c>
      <c r="U4525" s="58" t="str">
        <f t="shared" si="212"/>
        <v/>
      </c>
    </row>
    <row r="4526" spans="19:21" ht="23.25" customHeight="1" x14ac:dyDescent="0.35">
      <c r="S4526" s="56" t="str">
        <f t="shared" si="210"/>
        <v/>
      </c>
      <c r="T4526" s="57" t="str">
        <f t="shared" si="211"/>
        <v/>
      </c>
      <c r="U4526" s="58" t="str">
        <f t="shared" si="212"/>
        <v/>
      </c>
    </row>
    <row r="4527" spans="19:21" ht="23.25" customHeight="1" x14ac:dyDescent="0.35">
      <c r="S4527" s="56" t="str">
        <f t="shared" si="210"/>
        <v/>
      </c>
      <c r="T4527" s="57" t="str">
        <f t="shared" si="211"/>
        <v/>
      </c>
      <c r="U4527" s="58" t="str">
        <f t="shared" si="212"/>
        <v/>
      </c>
    </row>
    <row r="4528" spans="19:21" ht="23.25" customHeight="1" x14ac:dyDescent="0.35">
      <c r="S4528" s="56" t="str">
        <f t="shared" si="210"/>
        <v/>
      </c>
      <c r="T4528" s="57" t="str">
        <f t="shared" si="211"/>
        <v/>
      </c>
      <c r="U4528" s="58" t="str">
        <f t="shared" si="212"/>
        <v/>
      </c>
    </row>
    <row r="4529" spans="19:21" ht="23.25" customHeight="1" x14ac:dyDescent="0.35">
      <c r="S4529" s="56" t="str">
        <f t="shared" si="210"/>
        <v/>
      </c>
      <c r="T4529" s="57" t="str">
        <f t="shared" si="211"/>
        <v/>
      </c>
      <c r="U4529" s="58" t="str">
        <f t="shared" si="212"/>
        <v/>
      </c>
    </row>
    <row r="4530" spans="19:21" ht="23.25" customHeight="1" x14ac:dyDescent="0.35">
      <c r="S4530" s="56" t="str">
        <f t="shared" si="210"/>
        <v/>
      </c>
      <c r="T4530" s="57" t="str">
        <f t="shared" si="211"/>
        <v/>
      </c>
      <c r="U4530" s="58" t="str">
        <f t="shared" si="212"/>
        <v/>
      </c>
    </row>
    <row r="4531" spans="19:21" ht="23.25" customHeight="1" x14ac:dyDescent="0.35">
      <c r="S4531" s="56" t="str">
        <f t="shared" si="210"/>
        <v/>
      </c>
      <c r="T4531" s="57" t="str">
        <f t="shared" si="211"/>
        <v/>
      </c>
      <c r="U4531" s="58" t="str">
        <f t="shared" si="212"/>
        <v/>
      </c>
    </row>
    <row r="4532" spans="19:21" ht="23.25" customHeight="1" x14ac:dyDescent="0.35">
      <c r="S4532" s="56" t="str">
        <f t="shared" si="210"/>
        <v/>
      </c>
      <c r="T4532" s="57" t="str">
        <f t="shared" si="211"/>
        <v/>
      </c>
      <c r="U4532" s="58" t="str">
        <f t="shared" si="212"/>
        <v/>
      </c>
    </row>
    <row r="4533" spans="19:21" ht="23.25" customHeight="1" x14ac:dyDescent="0.35">
      <c r="S4533" s="56" t="str">
        <f t="shared" si="210"/>
        <v/>
      </c>
      <c r="T4533" s="57" t="str">
        <f t="shared" si="211"/>
        <v/>
      </c>
      <c r="U4533" s="58" t="str">
        <f t="shared" si="212"/>
        <v/>
      </c>
    </row>
    <row r="4534" spans="19:21" ht="23.25" customHeight="1" x14ac:dyDescent="0.35">
      <c r="S4534" s="56" t="str">
        <f t="shared" si="210"/>
        <v/>
      </c>
      <c r="T4534" s="57" t="str">
        <f t="shared" si="211"/>
        <v/>
      </c>
      <c r="U4534" s="58" t="str">
        <f t="shared" si="212"/>
        <v/>
      </c>
    </row>
    <row r="4535" spans="19:21" ht="23.25" customHeight="1" x14ac:dyDescent="0.35">
      <c r="S4535" s="56" t="str">
        <f t="shared" si="210"/>
        <v/>
      </c>
      <c r="T4535" s="57" t="str">
        <f t="shared" si="211"/>
        <v/>
      </c>
      <c r="U4535" s="58" t="str">
        <f t="shared" si="212"/>
        <v/>
      </c>
    </row>
    <row r="4536" spans="19:21" ht="23.25" customHeight="1" x14ac:dyDescent="0.35">
      <c r="S4536" s="56" t="str">
        <f t="shared" si="210"/>
        <v/>
      </c>
      <c r="T4536" s="57" t="str">
        <f t="shared" si="211"/>
        <v/>
      </c>
      <c r="U4536" s="58" t="str">
        <f t="shared" si="212"/>
        <v/>
      </c>
    </row>
    <row r="4537" spans="19:21" ht="23.25" customHeight="1" x14ac:dyDescent="0.35">
      <c r="S4537" s="56" t="str">
        <f t="shared" si="210"/>
        <v/>
      </c>
      <c r="T4537" s="57" t="str">
        <f t="shared" si="211"/>
        <v/>
      </c>
      <c r="U4537" s="58" t="str">
        <f t="shared" si="212"/>
        <v/>
      </c>
    </row>
    <row r="4538" spans="19:21" ht="23.25" customHeight="1" x14ac:dyDescent="0.35">
      <c r="S4538" s="56" t="str">
        <f t="shared" si="210"/>
        <v/>
      </c>
      <c r="T4538" s="57" t="str">
        <f t="shared" si="211"/>
        <v/>
      </c>
      <c r="U4538" s="58" t="str">
        <f t="shared" si="212"/>
        <v/>
      </c>
    </row>
    <row r="4539" spans="19:21" ht="23.25" customHeight="1" x14ac:dyDescent="0.35">
      <c r="S4539" s="56" t="str">
        <f t="shared" si="210"/>
        <v/>
      </c>
      <c r="T4539" s="57" t="str">
        <f t="shared" si="211"/>
        <v/>
      </c>
      <c r="U4539" s="58" t="str">
        <f t="shared" si="212"/>
        <v/>
      </c>
    </row>
    <row r="4540" spans="19:21" ht="23.25" customHeight="1" x14ac:dyDescent="0.35">
      <c r="S4540" s="56" t="str">
        <f t="shared" si="210"/>
        <v/>
      </c>
      <c r="T4540" s="57" t="str">
        <f t="shared" si="211"/>
        <v/>
      </c>
      <c r="U4540" s="58" t="str">
        <f t="shared" si="212"/>
        <v/>
      </c>
    </row>
    <row r="4541" spans="19:21" ht="23.25" customHeight="1" x14ac:dyDescent="0.35">
      <c r="S4541" s="56" t="str">
        <f t="shared" si="210"/>
        <v/>
      </c>
      <c r="T4541" s="57" t="str">
        <f t="shared" si="211"/>
        <v/>
      </c>
      <c r="U4541" s="58" t="str">
        <f t="shared" si="212"/>
        <v/>
      </c>
    </row>
    <row r="4542" spans="19:21" ht="23.25" customHeight="1" x14ac:dyDescent="0.35">
      <c r="S4542" s="56" t="str">
        <f t="shared" si="210"/>
        <v/>
      </c>
      <c r="T4542" s="57" t="str">
        <f t="shared" si="211"/>
        <v/>
      </c>
      <c r="U4542" s="58" t="str">
        <f t="shared" si="212"/>
        <v/>
      </c>
    </row>
    <row r="4543" spans="19:21" ht="23.25" customHeight="1" x14ac:dyDescent="0.35">
      <c r="S4543" s="56" t="str">
        <f t="shared" si="210"/>
        <v/>
      </c>
      <c r="T4543" s="57" t="str">
        <f t="shared" si="211"/>
        <v/>
      </c>
      <c r="U4543" s="58" t="str">
        <f t="shared" si="212"/>
        <v/>
      </c>
    </row>
    <row r="4544" spans="19:21" ht="23.25" customHeight="1" x14ac:dyDescent="0.35">
      <c r="S4544" s="56" t="str">
        <f t="shared" si="210"/>
        <v/>
      </c>
      <c r="T4544" s="57" t="str">
        <f t="shared" si="211"/>
        <v/>
      </c>
      <c r="U4544" s="58" t="str">
        <f t="shared" si="212"/>
        <v/>
      </c>
    </row>
    <row r="4545" spans="19:21" ht="23.25" customHeight="1" x14ac:dyDescent="0.35">
      <c r="S4545" s="56" t="str">
        <f t="shared" si="210"/>
        <v/>
      </c>
      <c r="T4545" s="57" t="str">
        <f t="shared" si="211"/>
        <v/>
      </c>
      <c r="U4545" s="58" t="str">
        <f t="shared" si="212"/>
        <v/>
      </c>
    </row>
    <row r="4546" spans="19:21" ht="23.25" customHeight="1" x14ac:dyDescent="0.35">
      <c r="S4546" s="56" t="str">
        <f t="shared" si="210"/>
        <v/>
      </c>
      <c r="T4546" s="57" t="str">
        <f t="shared" si="211"/>
        <v/>
      </c>
      <c r="U4546" s="58" t="str">
        <f t="shared" si="212"/>
        <v/>
      </c>
    </row>
    <row r="4547" spans="19:21" ht="23.25" customHeight="1" x14ac:dyDescent="0.35">
      <c r="S4547" s="56" t="str">
        <f t="shared" si="210"/>
        <v/>
      </c>
      <c r="T4547" s="57" t="str">
        <f t="shared" si="211"/>
        <v/>
      </c>
      <c r="U4547" s="58" t="str">
        <f t="shared" si="212"/>
        <v/>
      </c>
    </row>
    <row r="4548" spans="19:21" ht="23.25" customHeight="1" x14ac:dyDescent="0.35">
      <c r="S4548" s="56" t="str">
        <f t="shared" si="210"/>
        <v/>
      </c>
      <c r="T4548" s="57" t="str">
        <f t="shared" si="211"/>
        <v/>
      </c>
      <c r="U4548" s="58" t="str">
        <f t="shared" si="212"/>
        <v/>
      </c>
    </row>
    <row r="4549" spans="19:21" ht="23.25" customHeight="1" x14ac:dyDescent="0.35">
      <c r="S4549" s="56" t="str">
        <f t="shared" si="210"/>
        <v/>
      </c>
      <c r="T4549" s="57" t="str">
        <f t="shared" si="211"/>
        <v/>
      </c>
      <c r="U4549" s="58" t="str">
        <f t="shared" si="212"/>
        <v/>
      </c>
    </row>
    <row r="4550" spans="19:21" ht="23.25" customHeight="1" x14ac:dyDescent="0.35">
      <c r="S4550" s="56" t="str">
        <f t="shared" si="210"/>
        <v/>
      </c>
      <c r="T4550" s="57" t="str">
        <f t="shared" si="211"/>
        <v/>
      </c>
      <c r="U4550" s="58" t="str">
        <f t="shared" si="212"/>
        <v/>
      </c>
    </row>
    <row r="4551" spans="19:21" ht="23.25" customHeight="1" x14ac:dyDescent="0.35">
      <c r="S4551" s="56" t="str">
        <f t="shared" si="210"/>
        <v/>
      </c>
      <c r="T4551" s="57" t="str">
        <f t="shared" si="211"/>
        <v/>
      </c>
      <c r="U4551" s="58" t="str">
        <f t="shared" si="212"/>
        <v/>
      </c>
    </row>
    <row r="4552" spans="19:21" ht="23.25" customHeight="1" x14ac:dyDescent="0.35">
      <c r="S4552" s="56" t="str">
        <f t="shared" si="210"/>
        <v/>
      </c>
      <c r="T4552" s="57" t="str">
        <f t="shared" si="211"/>
        <v/>
      </c>
      <c r="U4552" s="58" t="str">
        <f t="shared" si="212"/>
        <v/>
      </c>
    </row>
    <row r="4553" spans="19:21" ht="23.25" customHeight="1" x14ac:dyDescent="0.35">
      <c r="S4553" s="56" t="str">
        <f t="shared" ref="S4553:S4616" si="213">IF(A4553="","",A$5-A4553)</f>
        <v/>
      </c>
      <c r="T4553" s="57" t="str">
        <f t="shared" ref="T4553:T4616" si="214">IF(S4553="","",IF(S4553&lt;4,"0-3 Days",IF(S4553&lt;31,"4-30 Days",IF(S4553&lt;61,"31-60 Days",IF(S4553&lt;=90,"61-90 Days",IF(S4553&gt;90,"Above 90 Days","0"))))))</f>
        <v/>
      </c>
      <c r="U4553" s="58" t="str">
        <f t="shared" ref="U4553:U4616" si="215">IF(C4553="","",IF(C4553&gt;0,IF(S4553&lt;30,"Normal",IF(S4553&lt;60,"Especially Mentioned",IF(S4553&lt;90,"Substandard",IF(S4553&lt;=180,"Doubtful",IF(S4553&gt;180,"Loss","0"))))),"Not Applicable"))</f>
        <v/>
      </c>
    </row>
    <row r="4554" spans="19:21" ht="23.25" customHeight="1" x14ac:dyDescent="0.35">
      <c r="S4554" s="56" t="str">
        <f t="shared" si="213"/>
        <v/>
      </c>
      <c r="T4554" s="57" t="str">
        <f t="shared" si="214"/>
        <v/>
      </c>
      <c r="U4554" s="58" t="str">
        <f t="shared" si="215"/>
        <v/>
      </c>
    </row>
    <row r="4555" spans="19:21" ht="23.25" customHeight="1" x14ac:dyDescent="0.35">
      <c r="S4555" s="56" t="str">
        <f t="shared" si="213"/>
        <v/>
      </c>
      <c r="T4555" s="57" t="str">
        <f t="shared" si="214"/>
        <v/>
      </c>
      <c r="U4555" s="58" t="str">
        <f t="shared" si="215"/>
        <v/>
      </c>
    </row>
    <row r="4556" spans="19:21" ht="23.25" customHeight="1" x14ac:dyDescent="0.35">
      <c r="S4556" s="56" t="str">
        <f t="shared" si="213"/>
        <v/>
      </c>
      <c r="T4556" s="57" t="str">
        <f t="shared" si="214"/>
        <v/>
      </c>
      <c r="U4556" s="58" t="str">
        <f t="shared" si="215"/>
        <v/>
      </c>
    </row>
    <row r="4557" spans="19:21" ht="23.25" customHeight="1" x14ac:dyDescent="0.35">
      <c r="S4557" s="56" t="str">
        <f t="shared" si="213"/>
        <v/>
      </c>
      <c r="T4557" s="57" t="str">
        <f t="shared" si="214"/>
        <v/>
      </c>
      <c r="U4557" s="58" t="str">
        <f t="shared" si="215"/>
        <v/>
      </c>
    </row>
    <row r="4558" spans="19:21" ht="23.25" customHeight="1" x14ac:dyDescent="0.35">
      <c r="S4558" s="56" t="str">
        <f t="shared" si="213"/>
        <v/>
      </c>
      <c r="T4558" s="57" t="str">
        <f t="shared" si="214"/>
        <v/>
      </c>
      <c r="U4558" s="58" t="str">
        <f t="shared" si="215"/>
        <v/>
      </c>
    </row>
    <row r="4559" spans="19:21" ht="23.25" customHeight="1" x14ac:dyDescent="0.35">
      <c r="S4559" s="56" t="str">
        <f t="shared" si="213"/>
        <v/>
      </c>
      <c r="T4559" s="57" t="str">
        <f t="shared" si="214"/>
        <v/>
      </c>
      <c r="U4559" s="58" t="str">
        <f t="shared" si="215"/>
        <v/>
      </c>
    </row>
    <row r="4560" spans="19:21" ht="23.25" customHeight="1" x14ac:dyDescent="0.35">
      <c r="S4560" s="56" t="str">
        <f t="shared" si="213"/>
        <v/>
      </c>
      <c r="T4560" s="57" t="str">
        <f t="shared" si="214"/>
        <v/>
      </c>
      <c r="U4560" s="58" t="str">
        <f t="shared" si="215"/>
        <v/>
      </c>
    </row>
    <row r="4561" spans="19:21" ht="23.25" customHeight="1" x14ac:dyDescent="0.35">
      <c r="S4561" s="56" t="str">
        <f t="shared" si="213"/>
        <v/>
      </c>
      <c r="T4561" s="57" t="str">
        <f t="shared" si="214"/>
        <v/>
      </c>
      <c r="U4561" s="58" t="str">
        <f t="shared" si="215"/>
        <v/>
      </c>
    </row>
    <row r="4562" spans="19:21" ht="23.25" customHeight="1" x14ac:dyDescent="0.35">
      <c r="S4562" s="56" t="str">
        <f t="shared" si="213"/>
        <v/>
      </c>
      <c r="T4562" s="57" t="str">
        <f t="shared" si="214"/>
        <v/>
      </c>
      <c r="U4562" s="58" t="str">
        <f t="shared" si="215"/>
        <v/>
      </c>
    </row>
    <row r="4563" spans="19:21" ht="23.25" customHeight="1" x14ac:dyDescent="0.35">
      <c r="S4563" s="56" t="str">
        <f t="shared" si="213"/>
        <v/>
      </c>
      <c r="T4563" s="57" t="str">
        <f t="shared" si="214"/>
        <v/>
      </c>
      <c r="U4563" s="58" t="str">
        <f t="shared" si="215"/>
        <v/>
      </c>
    </row>
    <row r="4564" spans="19:21" ht="23.25" customHeight="1" x14ac:dyDescent="0.35">
      <c r="S4564" s="56" t="str">
        <f t="shared" si="213"/>
        <v/>
      </c>
      <c r="T4564" s="57" t="str">
        <f t="shared" si="214"/>
        <v/>
      </c>
      <c r="U4564" s="58" t="str">
        <f t="shared" si="215"/>
        <v/>
      </c>
    </row>
    <row r="4565" spans="19:21" ht="23.25" customHeight="1" x14ac:dyDescent="0.35">
      <c r="S4565" s="56" t="str">
        <f t="shared" si="213"/>
        <v/>
      </c>
      <c r="T4565" s="57" t="str">
        <f t="shared" si="214"/>
        <v/>
      </c>
      <c r="U4565" s="58" t="str">
        <f t="shared" si="215"/>
        <v/>
      </c>
    </row>
    <row r="4566" spans="19:21" ht="23.25" customHeight="1" x14ac:dyDescent="0.35">
      <c r="S4566" s="56" t="str">
        <f t="shared" si="213"/>
        <v/>
      </c>
      <c r="T4566" s="57" t="str">
        <f t="shared" si="214"/>
        <v/>
      </c>
      <c r="U4566" s="58" t="str">
        <f t="shared" si="215"/>
        <v/>
      </c>
    </row>
    <row r="4567" spans="19:21" ht="23.25" customHeight="1" x14ac:dyDescent="0.35">
      <c r="S4567" s="56" t="str">
        <f t="shared" si="213"/>
        <v/>
      </c>
      <c r="T4567" s="57" t="str">
        <f t="shared" si="214"/>
        <v/>
      </c>
      <c r="U4567" s="58" t="str">
        <f t="shared" si="215"/>
        <v/>
      </c>
    </row>
    <row r="4568" spans="19:21" ht="23.25" customHeight="1" x14ac:dyDescent="0.35">
      <c r="S4568" s="56" t="str">
        <f t="shared" si="213"/>
        <v/>
      </c>
      <c r="T4568" s="57" t="str">
        <f t="shared" si="214"/>
        <v/>
      </c>
      <c r="U4568" s="58" t="str">
        <f t="shared" si="215"/>
        <v/>
      </c>
    </row>
    <row r="4569" spans="19:21" ht="23.25" customHeight="1" x14ac:dyDescent="0.35">
      <c r="S4569" s="56" t="str">
        <f t="shared" si="213"/>
        <v/>
      </c>
      <c r="T4569" s="57" t="str">
        <f t="shared" si="214"/>
        <v/>
      </c>
      <c r="U4569" s="58" t="str">
        <f t="shared" si="215"/>
        <v/>
      </c>
    </row>
    <row r="4570" spans="19:21" ht="23.25" customHeight="1" x14ac:dyDescent="0.35">
      <c r="S4570" s="56" t="str">
        <f t="shared" si="213"/>
        <v/>
      </c>
      <c r="T4570" s="57" t="str">
        <f t="shared" si="214"/>
        <v/>
      </c>
      <c r="U4570" s="58" t="str">
        <f t="shared" si="215"/>
        <v/>
      </c>
    </row>
    <row r="4571" spans="19:21" ht="23.25" customHeight="1" x14ac:dyDescent="0.35">
      <c r="S4571" s="56" t="str">
        <f t="shared" si="213"/>
        <v/>
      </c>
      <c r="T4571" s="57" t="str">
        <f t="shared" si="214"/>
        <v/>
      </c>
      <c r="U4571" s="58" t="str">
        <f t="shared" si="215"/>
        <v/>
      </c>
    </row>
    <row r="4572" spans="19:21" ht="23.25" customHeight="1" x14ac:dyDescent="0.35">
      <c r="S4572" s="56" t="str">
        <f t="shared" si="213"/>
        <v/>
      </c>
      <c r="T4572" s="57" t="str">
        <f t="shared" si="214"/>
        <v/>
      </c>
      <c r="U4572" s="58" t="str">
        <f t="shared" si="215"/>
        <v/>
      </c>
    </row>
    <row r="4573" spans="19:21" ht="23.25" customHeight="1" x14ac:dyDescent="0.35">
      <c r="S4573" s="56" t="str">
        <f t="shared" si="213"/>
        <v/>
      </c>
      <c r="T4573" s="57" t="str">
        <f t="shared" si="214"/>
        <v/>
      </c>
      <c r="U4573" s="58" t="str">
        <f t="shared" si="215"/>
        <v/>
      </c>
    </row>
    <row r="4574" spans="19:21" ht="23.25" customHeight="1" x14ac:dyDescent="0.35">
      <c r="S4574" s="56" t="str">
        <f t="shared" si="213"/>
        <v/>
      </c>
      <c r="T4574" s="57" t="str">
        <f t="shared" si="214"/>
        <v/>
      </c>
      <c r="U4574" s="58" t="str">
        <f t="shared" si="215"/>
        <v/>
      </c>
    </row>
    <row r="4575" spans="19:21" ht="23.25" customHeight="1" x14ac:dyDescent="0.35">
      <c r="S4575" s="56" t="str">
        <f t="shared" si="213"/>
        <v/>
      </c>
      <c r="T4575" s="57" t="str">
        <f t="shared" si="214"/>
        <v/>
      </c>
      <c r="U4575" s="58" t="str">
        <f t="shared" si="215"/>
        <v/>
      </c>
    </row>
    <row r="4576" spans="19:21" ht="23.25" customHeight="1" x14ac:dyDescent="0.35">
      <c r="S4576" s="56" t="str">
        <f t="shared" si="213"/>
        <v/>
      </c>
      <c r="T4576" s="57" t="str">
        <f t="shared" si="214"/>
        <v/>
      </c>
      <c r="U4576" s="58" t="str">
        <f t="shared" si="215"/>
        <v/>
      </c>
    </row>
    <row r="4577" spans="19:21" ht="23.25" customHeight="1" x14ac:dyDescent="0.35">
      <c r="S4577" s="56" t="str">
        <f t="shared" si="213"/>
        <v/>
      </c>
      <c r="T4577" s="57" t="str">
        <f t="shared" si="214"/>
        <v/>
      </c>
      <c r="U4577" s="58" t="str">
        <f t="shared" si="215"/>
        <v/>
      </c>
    </row>
    <row r="4578" spans="19:21" ht="23.25" customHeight="1" x14ac:dyDescent="0.35">
      <c r="S4578" s="56" t="str">
        <f t="shared" si="213"/>
        <v/>
      </c>
      <c r="T4578" s="57" t="str">
        <f t="shared" si="214"/>
        <v/>
      </c>
      <c r="U4578" s="58" t="str">
        <f t="shared" si="215"/>
        <v/>
      </c>
    </row>
    <row r="4579" spans="19:21" ht="23.25" customHeight="1" x14ac:dyDescent="0.35">
      <c r="S4579" s="56" t="str">
        <f t="shared" si="213"/>
        <v/>
      </c>
      <c r="T4579" s="57" t="str">
        <f t="shared" si="214"/>
        <v/>
      </c>
      <c r="U4579" s="58" t="str">
        <f t="shared" si="215"/>
        <v/>
      </c>
    </row>
    <row r="4580" spans="19:21" ht="23.25" customHeight="1" x14ac:dyDescent="0.35">
      <c r="S4580" s="56" t="str">
        <f t="shared" si="213"/>
        <v/>
      </c>
      <c r="T4580" s="57" t="str">
        <f t="shared" si="214"/>
        <v/>
      </c>
      <c r="U4580" s="58" t="str">
        <f t="shared" si="215"/>
        <v/>
      </c>
    </row>
    <row r="4581" spans="19:21" ht="23.25" customHeight="1" x14ac:dyDescent="0.35">
      <c r="S4581" s="56" t="str">
        <f t="shared" si="213"/>
        <v/>
      </c>
      <c r="T4581" s="57" t="str">
        <f t="shared" si="214"/>
        <v/>
      </c>
      <c r="U4581" s="58" t="str">
        <f t="shared" si="215"/>
        <v/>
      </c>
    </row>
    <row r="4582" spans="19:21" ht="23.25" customHeight="1" x14ac:dyDescent="0.35">
      <c r="S4582" s="56" t="str">
        <f t="shared" si="213"/>
        <v/>
      </c>
      <c r="T4582" s="57" t="str">
        <f t="shared" si="214"/>
        <v/>
      </c>
      <c r="U4582" s="58" t="str">
        <f t="shared" si="215"/>
        <v/>
      </c>
    </row>
    <row r="4583" spans="19:21" ht="23.25" customHeight="1" x14ac:dyDescent="0.35">
      <c r="S4583" s="56" t="str">
        <f t="shared" si="213"/>
        <v/>
      </c>
      <c r="T4583" s="57" t="str">
        <f t="shared" si="214"/>
        <v/>
      </c>
      <c r="U4583" s="58" t="str">
        <f t="shared" si="215"/>
        <v/>
      </c>
    </row>
    <row r="4584" spans="19:21" ht="23.25" customHeight="1" x14ac:dyDescent="0.35">
      <c r="S4584" s="56" t="str">
        <f t="shared" si="213"/>
        <v/>
      </c>
      <c r="T4584" s="57" t="str">
        <f t="shared" si="214"/>
        <v/>
      </c>
      <c r="U4584" s="58" t="str">
        <f t="shared" si="215"/>
        <v/>
      </c>
    </row>
    <row r="4585" spans="19:21" ht="23.25" customHeight="1" x14ac:dyDescent="0.35">
      <c r="S4585" s="56" t="str">
        <f t="shared" si="213"/>
        <v/>
      </c>
      <c r="T4585" s="57" t="str">
        <f t="shared" si="214"/>
        <v/>
      </c>
      <c r="U4585" s="58" t="str">
        <f t="shared" si="215"/>
        <v/>
      </c>
    </row>
    <row r="4586" spans="19:21" ht="23.25" customHeight="1" x14ac:dyDescent="0.35">
      <c r="S4586" s="56" t="str">
        <f t="shared" si="213"/>
        <v/>
      </c>
      <c r="T4586" s="57" t="str">
        <f t="shared" si="214"/>
        <v/>
      </c>
      <c r="U4586" s="58" t="str">
        <f t="shared" si="215"/>
        <v/>
      </c>
    </row>
    <row r="4587" spans="19:21" ht="23.25" customHeight="1" x14ac:dyDescent="0.35">
      <c r="S4587" s="56" t="str">
        <f t="shared" si="213"/>
        <v/>
      </c>
      <c r="T4587" s="57" t="str">
        <f t="shared" si="214"/>
        <v/>
      </c>
      <c r="U4587" s="58" t="str">
        <f t="shared" si="215"/>
        <v/>
      </c>
    </row>
    <row r="4588" spans="19:21" ht="23.25" customHeight="1" x14ac:dyDescent="0.35">
      <c r="S4588" s="56" t="str">
        <f t="shared" si="213"/>
        <v/>
      </c>
      <c r="T4588" s="57" t="str">
        <f t="shared" si="214"/>
        <v/>
      </c>
      <c r="U4588" s="58" t="str">
        <f t="shared" si="215"/>
        <v/>
      </c>
    </row>
    <row r="4589" spans="19:21" ht="23.25" customHeight="1" x14ac:dyDescent="0.35">
      <c r="S4589" s="56" t="str">
        <f t="shared" si="213"/>
        <v/>
      </c>
      <c r="T4589" s="57" t="str">
        <f t="shared" si="214"/>
        <v/>
      </c>
      <c r="U4589" s="58" t="str">
        <f t="shared" si="215"/>
        <v/>
      </c>
    </row>
    <row r="4590" spans="19:21" ht="23.25" customHeight="1" x14ac:dyDescent="0.35">
      <c r="S4590" s="56" t="str">
        <f t="shared" si="213"/>
        <v/>
      </c>
      <c r="T4590" s="57" t="str">
        <f t="shared" si="214"/>
        <v/>
      </c>
      <c r="U4590" s="58" t="str">
        <f t="shared" si="215"/>
        <v/>
      </c>
    </row>
    <row r="4591" spans="19:21" ht="23.25" customHeight="1" x14ac:dyDescent="0.35">
      <c r="S4591" s="56" t="str">
        <f t="shared" si="213"/>
        <v/>
      </c>
      <c r="T4591" s="57" t="str">
        <f t="shared" si="214"/>
        <v/>
      </c>
      <c r="U4591" s="58" t="str">
        <f t="shared" si="215"/>
        <v/>
      </c>
    </row>
    <row r="4592" spans="19:21" ht="23.25" customHeight="1" x14ac:dyDescent="0.35">
      <c r="S4592" s="56" t="str">
        <f t="shared" si="213"/>
        <v/>
      </c>
      <c r="T4592" s="57" t="str">
        <f t="shared" si="214"/>
        <v/>
      </c>
      <c r="U4592" s="58" t="str">
        <f t="shared" si="215"/>
        <v/>
      </c>
    </row>
    <row r="4593" spans="19:21" ht="23.25" customHeight="1" x14ac:dyDescent="0.35">
      <c r="S4593" s="56" t="str">
        <f t="shared" si="213"/>
        <v/>
      </c>
      <c r="T4593" s="57" t="str">
        <f t="shared" si="214"/>
        <v/>
      </c>
      <c r="U4593" s="58" t="str">
        <f t="shared" si="215"/>
        <v/>
      </c>
    </row>
    <row r="4594" spans="19:21" ht="23.25" customHeight="1" x14ac:dyDescent="0.35">
      <c r="S4594" s="56" t="str">
        <f t="shared" si="213"/>
        <v/>
      </c>
      <c r="T4594" s="57" t="str">
        <f t="shared" si="214"/>
        <v/>
      </c>
      <c r="U4594" s="58" t="str">
        <f t="shared" si="215"/>
        <v/>
      </c>
    </row>
    <row r="4595" spans="19:21" ht="23.25" customHeight="1" x14ac:dyDescent="0.35">
      <c r="S4595" s="56" t="str">
        <f t="shared" si="213"/>
        <v/>
      </c>
      <c r="T4595" s="57" t="str">
        <f t="shared" si="214"/>
        <v/>
      </c>
      <c r="U4595" s="58" t="str">
        <f t="shared" si="215"/>
        <v/>
      </c>
    </row>
    <row r="4596" spans="19:21" ht="23.25" customHeight="1" x14ac:dyDescent="0.35">
      <c r="S4596" s="56" t="str">
        <f t="shared" si="213"/>
        <v/>
      </c>
      <c r="T4596" s="57" t="str">
        <f t="shared" si="214"/>
        <v/>
      </c>
      <c r="U4596" s="58" t="str">
        <f t="shared" si="215"/>
        <v/>
      </c>
    </row>
    <row r="4597" spans="19:21" ht="23.25" customHeight="1" x14ac:dyDescent="0.35">
      <c r="S4597" s="56" t="str">
        <f t="shared" si="213"/>
        <v/>
      </c>
      <c r="T4597" s="57" t="str">
        <f t="shared" si="214"/>
        <v/>
      </c>
      <c r="U4597" s="58" t="str">
        <f t="shared" si="215"/>
        <v/>
      </c>
    </row>
    <row r="4598" spans="19:21" ht="23.25" customHeight="1" x14ac:dyDescent="0.35">
      <c r="S4598" s="56" t="str">
        <f t="shared" si="213"/>
        <v/>
      </c>
      <c r="T4598" s="57" t="str">
        <f t="shared" si="214"/>
        <v/>
      </c>
      <c r="U4598" s="58" t="str">
        <f t="shared" si="215"/>
        <v/>
      </c>
    </row>
    <row r="4599" spans="19:21" ht="23.25" customHeight="1" x14ac:dyDescent="0.35">
      <c r="S4599" s="56" t="str">
        <f t="shared" si="213"/>
        <v/>
      </c>
      <c r="T4599" s="57" t="str">
        <f t="shared" si="214"/>
        <v/>
      </c>
      <c r="U4599" s="58" t="str">
        <f t="shared" si="215"/>
        <v/>
      </c>
    </row>
    <row r="4600" spans="19:21" ht="23.25" customHeight="1" x14ac:dyDescent="0.35">
      <c r="S4600" s="56" t="str">
        <f t="shared" si="213"/>
        <v/>
      </c>
      <c r="T4600" s="57" t="str">
        <f t="shared" si="214"/>
        <v/>
      </c>
      <c r="U4600" s="58" t="str">
        <f t="shared" si="215"/>
        <v/>
      </c>
    </row>
    <row r="4601" spans="19:21" ht="23.25" customHeight="1" x14ac:dyDescent="0.35">
      <c r="S4601" s="56" t="str">
        <f t="shared" si="213"/>
        <v/>
      </c>
      <c r="T4601" s="57" t="str">
        <f t="shared" si="214"/>
        <v/>
      </c>
      <c r="U4601" s="58" t="str">
        <f t="shared" si="215"/>
        <v/>
      </c>
    </row>
    <row r="4602" spans="19:21" ht="23.25" customHeight="1" x14ac:dyDescent="0.35">
      <c r="S4602" s="56" t="str">
        <f t="shared" si="213"/>
        <v/>
      </c>
      <c r="T4602" s="57" t="str">
        <f t="shared" si="214"/>
        <v/>
      </c>
      <c r="U4602" s="58" t="str">
        <f t="shared" si="215"/>
        <v/>
      </c>
    </row>
    <row r="4603" spans="19:21" ht="23.25" customHeight="1" x14ac:dyDescent="0.35">
      <c r="S4603" s="56" t="str">
        <f t="shared" si="213"/>
        <v/>
      </c>
      <c r="T4603" s="57" t="str">
        <f t="shared" si="214"/>
        <v/>
      </c>
      <c r="U4603" s="58" t="str">
        <f t="shared" si="215"/>
        <v/>
      </c>
    </row>
    <row r="4604" spans="19:21" ht="23.25" customHeight="1" x14ac:dyDescent="0.35">
      <c r="S4604" s="56" t="str">
        <f t="shared" si="213"/>
        <v/>
      </c>
      <c r="T4604" s="57" t="str">
        <f t="shared" si="214"/>
        <v/>
      </c>
      <c r="U4604" s="58" t="str">
        <f t="shared" si="215"/>
        <v/>
      </c>
    </row>
    <row r="4605" spans="19:21" ht="23.25" customHeight="1" x14ac:dyDescent="0.35">
      <c r="S4605" s="56" t="str">
        <f t="shared" si="213"/>
        <v/>
      </c>
      <c r="T4605" s="57" t="str">
        <f t="shared" si="214"/>
        <v/>
      </c>
      <c r="U4605" s="58" t="str">
        <f t="shared" si="215"/>
        <v/>
      </c>
    </row>
    <row r="4606" spans="19:21" ht="23.25" customHeight="1" x14ac:dyDescent="0.35">
      <c r="S4606" s="56" t="str">
        <f t="shared" si="213"/>
        <v/>
      </c>
      <c r="T4606" s="57" t="str">
        <f t="shared" si="214"/>
        <v/>
      </c>
      <c r="U4606" s="58" t="str">
        <f t="shared" si="215"/>
        <v/>
      </c>
    </row>
    <row r="4607" spans="19:21" ht="23.25" customHeight="1" x14ac:dyDescent="0.35">
      <c r="S4607" s="56" t="str">
        <f t="shared" si="213"/>
        <v/>
      </c>
      <c r="T4607" s="57" t="str">
        <f t="shared" si="214"/>
        <v/>
      </c>
      <c r="U4607" s="58" t="str">
        <f t="shared" si="215"/>
        <v/>
      </c>
    </row>
    <row r="4608" spans="19:21" ht="23.25" customHeight="1" x14ac:dyDescent="0.35">
      <c r="S4608" s="56" t="str">
        <f t="shared" si="213"/>
        <v/>
      </c>
      <c r="T4608" s="57" t="str">
        <f t="shared" si="214"/>
        <v/>
      </c>
      <c r="U4608" s="58" t="str">
        <f t="shared" si="215"/>
        <v/>
      </c>
    </row>
    <row r="4609" spans="19:21" ht="23.25" customHeight="1" x14ac:dyDescent="0.35">
      <c r="S4609" s="56" t="str">
        <f t="shared" si="213"/>
        <v/>
      </c>
      <c r="T4609" s="57" t="str">
        <f t="shared" si="214"/>
        <v/>
      </c>
      <c r="U4609" s="58" t="str">
        <f t="shared" si="215"/>
        <v/>
      </c>
    </row>
    <row r="4610" spans="19:21" ht="23.25" customHeight="1" x14ac:dyDescent="0.35">
      <c r="S4610" s="56" t="str">
        <f t="shared" si="213"/>
        <v/>
      </c>
      <c r="T4610" s="57" t="str">
        <f t="shared" si="214"/>
        <v/>
      </c>
      <c r="U4610" s="58" t="str">
        <f t="shared" si="215"/>
        <v/>
      </c>
    </row>
    <row r="4611" spans="19:21" ht="23.25" customHeight="1" x14ac:dyDescent="0.35">
      <c r="S4611" s="56" t="str">
        <f t="shared" si="213"/>
        <v/>
      </c>
      <c r="T4611" s="57" t="str">
        <f t="shared" si="214"/>
        <v/>
      </c>
      <c r="U4611" s="58" t="str">
        <f t="shared" si="215"/>
        <v/>
      </c>
    </row>
    <row r="4612" spans="19:21" ht="23.25" customHeight="1" x14ac:dyDescent="0.35">
      <c r="S4612" s="56" t="str">
        <f t="shared" si="213"/>
        <v/>
      </c>
      <c r="T4612" s="57" t="str">
        <f t="shared" si="214"/>
        <v/>
      </c>
      <c r="U4612" s="58" t="str">
        <f t="shared" si="215"/>
        <v/>
      </c>
    </row>
    <row r="4613" spans="19:21" ht="23.25" customHeight="1" x14ac:dyDescent="0.35">
      <c r="S4613" s="56" t="str">
        <f t="shared" si="213"/>
        <v/>
      </c>
      <c r="T4613" s="57" t="str">
        <f t="shared" si="214"/>
        <v/>
      </c>
      <c r="U4613" s="58" t="str">
        <f t="shared" si="215"/>
        <v/>
      </c>
    </row>
    <row r="4614" spans="19:21" ht="23.25" customHeight="1" x14ac:dyDescent="0.35">
      <c r="S4614" s="56" t="str">
        <f t="shared" si="213"/>
        <v/>
      </c>
      <c r="T4614" s="57" t="str">
        <f t="shared" si="214"/>
        <v/>
      </c>
      <c r="U4614" s="58" t="str">
        <f t="shared" si="215"/>
        <v/>
      </c>
    </row>
    <row r="4615" spans="19:21" ht="23.25" customHeight="1" x14ac:dyDescent="0.35">
      <c r="S4615" s="56" t="str">
        <f t="shared" si="213"/>
        <v/>
      </c>
      <c r="T4615" s="57" t="str">
        <f t="shared" si="214"/>
        <v/>
      </c>
      <c r="U4615" s="58" t="str">
        <f t="shared" si="215"/>
        <v/>
      </c>
    </row>
    <row r="4616" spans="19:21" ht="23.25" customHeight="1" x14ac:dyDescent="0.35">
      <c r="S4616" s="56" t="str">
        <f t="shared" si="213"/>
        <v/>
      </c>
      <c r="T4616" s="57" t="str">
        <f t="shared" si="214"/>
        <v/>
      </c>
      <c r="U4616" s="58" t="str">
        <f t="shared" si="215"/>
        <v/>
      </c>
    </row>
    <row r="4617" spans="19:21" ht="23.25" customHeight="1" x14ac:dyDescent="0.35">
      <c r="S4617" s="56" t="str">
        <f t="shared" ref="S4617:S4680" si="216">IF(A4617="","",A$5-A4617)</f>
        <v/>
      </c>
      <c r="T4617" s="57" t="str">
        <f t="shared" ref="T4617:T4680" si="217">IF(S4617="","",IF(S4617&lt;4,"0-3 Days",IF(S4617&lt;31,"4-30 Days",IF(S4617&lt;61,"31-60 Days",IF(S4617&lt;=90,"61-90 Days",IF(S4617&gt;90,"Above 90 Days","0"))))))</f>
        <v/>
      </c>
      <c r="U4617" s="58" t="str">
        <f t="shared" ref="U4617:U4680" si="218">IF(C4617="","",IF(C4617&gt;0,IF(S4617&lt;30,"Normal",IF(S4617&lt;60,"Especially Mentioned",IF(S4617&lt;90,"Substandard",IF(S4617&lt;=180,"Doubtful",IF(S4617&gt;180,"Loss","0"))))),"Not Applicable"))</f>
        <v/>
      </c>
    </row>
    <row r="4618" spans="19:21" ht="23.25" customHeight="1" x14ac:dyDescent="0.35">
      <c r="S4618" s="56" t="str">
        <f t="shared" si="216"/>
        <v/>
      </c>
      <c r="T4618" s="57" t="str">
        <f t="shared" si="217"/>
        <v/>
      </c>
      <c r="U4618" s="58" t="str">
        <f t="shared" si="218"/>
        <v/>
      </c>
    </row>
    <row r="4619" spans="19:21" ht="23.25" customHeight="1" x14ac:dyDescent="0.35">
      <c r="S4619" s="56" t="str">
        <f t="shared" si="216"/>
        <v/>
      </c>
      <c r="T4619" s="57" t="str">
        <f t="shared" si="217"/>
        <v/>
      </c>
      <c r="U4619" s="58" t="str">
        <f t="shared" si="218"/>
        <v/>
      </c>
    </row>
    <row r="4620" spans="19:21" ht="23.25" customHeight="1" x14ac:dyDescent="0.35">
      <c r="S4620" s="56" t="str">
        <f t="shared" si="216"/>
        <v/>
      </c>
      <c r="T4620" s="57" t="str">
        <f t="shared" si="217"/>
        <v/>
      </c>
      <c r="U4620" s="58" t="str">
        <f t="shared" si="218"/>
        <v/>
      </c>
    </row>
    <row r="4621" spans="19:21" ht="23.25" customHeight="1" x14ac:dyDescent="0.35">
      <c r="S4621" s="56" t="str">
        <f t="shared" si="216"/>
        <v/>
      </c>
      <c r="T4621" s="57" t="str">
        <f t="shared" si="217"/>
        <v/>
      </c>
      <c r="U4621" s="58" t="str">
        <f t="shared" si="218"/>
        <v/>
      </c>
    </row>
    <row r="4622" spans="19:21" ht="23.25" customHeight="1" x14ac:dyDescent="0.35">
      <c r="S4622" s="56" t="str">
        <f t="shared" si="216"/>
        <v/>
      </c>
      <c r="T4622" s="57" t="str">
        <f t="shared" si="217"/>
        <v/>
      </c>
      <c r="U4622" s="58" t="str">
        <f t="shared" si="218"/>
        <v/>
      </c>
    </row>
    <row r="4623" spans="19:21" ht="23.25" customHeight="1" x14ac:dyDescent="0.35">
      <c r="S4623" s="56" t="str">
        <f t="shared" si="216"/>
        <v/>
      </c>
      <c r="T4623" s="57" t="str">
        <f t="shared" si="217"/>
        <v/>
      </c>
      <c r="U4623" s="58" t="str">
        <f t="shared" si="218"/>
        <v/>
      </c>
    </row>
    <row r="4624" spans="19:21" ht="23.25" customHeight="1" x14ac:dyDescent="0.35">
      <c r="S4624" s="56" t="str">
        <f t="shared" si="216"/>
        <v/>
      </c>
      <c r="T4624" s="57" t="str">
        <f t="shared" si="217"/>
        <v/>
      </c>
      <c r="U4624" s="58" t="str">
        <f t="shared" si="218"/>
        <v/>
      </c>
    </row>
    <row r="4625" spans="19:21" ht="23.25" customHeight="1" x14ac:dyDescent="0.35">
      <c r="S4625" s="56" t="str">
        <f t="shared" si="216"/>
        <v/>
      </c>
      <c r="T4625" s="57" t="str">
        <f t="shared" si="217"/>
        <v/>
      </c>
      <c r="U4625" s="58" t="str">
        <f t="shared" si="218"/>
        <v/>
      </c>
    </row>
    <row r="4626" spans="19:21" ht="23.25" customHeight="1" x14ac:dyDescent="0.35">
      <c r="S4626" s="56" t="str">
        <f t="shared" si="216"/>
        <v/>
      </c>
      <c r="T4626" s="57" t="str">
        <f t="shared" si="217"/>
        <v/>
      </c>
      <c r="U4626" s="58" t="str">
        <f t="shared" si="218"/>
        <v/>
      </c>
    </row>
    <row r="4627" spans="19:21" ht="23.25" customHeight="1" x14ac:dyDescent="0.35">
      <c r="S4627" s="56" t="str">
        <f t="shared" si="216"/>
        <v/>
      </c>
      <c r="T4627" s="57" t="str">
        <f t="shared" si="217"/>
        <v/>
      </c>
      <c r="U4627" s="58" t="str">
        <f t="shared" si="218"/>
        <v/>
      </c>
    </row>
    <row r="4628" spans="19:21" ht="23.25" customHeight="1" x14ac:dyDescent="0.35">
      <c r="S4628" s="56" t="str">
        <f t="shared" si="216"/>
        <v/>
      </c>
      <c r="T4628" s="57" t="str">
        <f t="shared" si="217"/>
        <v/>
      </c>
      <c r="U4628" s="58" t="str">
        <f t="shared" si="218"/>
        <v/>
      </c>
    </row>
    <row r="4629" spans="19:21" ht="23.25" customHeight="1" x14ac:dyDescent="0.35">
      <c r="S4629" s="56" t="str">
        <f t="shared" si="216"/>
        <v/>
      </c>
      <c r="T4629" s="57" t="str">
        <f t="shared" si="217"/>
        <v/>
      </c>
      <c r="U4629" s="58" t="str">
        <f t="shared" si="218"/>
        <v/>
      </c>
    </row>
    <row r="4630" spans="19:21" ht="23.25" customHeight="1" x14ac:dyDescent="0.35">
      <c r="S4630" s="56" t="str">
        <f t="shared" si="216"/>
        <v/>
      </c>
      <c r="T4630" s="57" t="str">
        <f t="shared" si="217"/>
        <v/>
      </c>
      <c r="U4630" s="58" t="str">
        <f t="shared" si="218"/>
        <v/>
      </c>
    </row>
    <row r="4631" spans="19:21" ht="23.25" customHeight="1" x14ac:dyDescent="0.35">
      <c r="S4631" s="56" t="str">
        <f t="shared" si="216"/>
        <v/>
      </c>
      <c r="T4631" s="57" t="str">
        <f t="shared" si="217"/>
        <v/>
      </c>
      <c r="U4631" s="58" t="str">
        <f t="shared" si="218"/>
        <v/>
      </c>
    </row>
    <row r="4632" spans="19:21" ht="23.25" customHeight="1" x14ac:dyDescent="0.35">
      <c r="S4632" s="56" t="str">
        <f t="shared" si="216"/>
        <v/>
      </c>
      <c r="T4632" s="57" t="str">
        <f t="shared" si="217"/>
        <v/>
      </c>
      <c r="U4632" s="58" t="str">
        <f t="shared" si="218"/>
        <v/>
      </c>
    </row>
    <row r="4633" spans="19:21" ht="23.25" customHeight="1" x14ac:dyDescent="0.35">
      <c r="S4633" s="56" t="str">
        <f t="shared" si="216"/>
        <v/>
      </c>
      <c r="T4633" s="57" t="str">
        <f t="shared" si="217"/>
        <v/>
      </c>
      <c r="U4633" s="58" t="str">
        <f t="shared" si="218"/>
        <v/>
      </c>
    </row>
    <row r="4634" spans="19:21" ht="23.25" customHeight="1" x14ac:dyDescent="0.35">
      <c r="S4634" s="56" t="str">
        <f t="shared" si="216"/>
        <v/>
      </c>
      <c r="T4634" s="57" t="str">
        <f t="shared" si="217"/>
        <v/>
      </c>
      <c r="U4634" s="58" t="str">
        <f t="shared" si="218"/>
        <v/>
      </c>
    </row>
    <row r="4635" spans="19:21" ht="23.25" customHeight="1" x14ac:dyDescent="0.35">
      <c r="S4635" s="56" t="str">
        <f t="shared" si="216"/>
        <v/>
      </c>
      <c r="T4635" s="57" t="str">
        <f t="shared" si="217"/>
        <v/>
      </c>
      <c r="U4635" s="58" t="str">
        <f t="shared" si="218"/>
        <v/>
      </c>
    </row>
    <row r="4636" spans="19:21" ht="23.25" customHeight="1" x14ac:dyDescent="0.35">
      <c r="S4636" s="56" t="str">
        <f t="shared" si="216"/>
        <v/>
      </c>
      <c r="T4636" s="57" t="str">
        <f t="shared" si="217"/>
        <v/>
      </c>
      <c r="U4636" s="58" t="str">
        <f t="shared" si="218"/>
        <v/>
      </c>
    </row>
    <row r="4637" spans="19:21" ht="23.25" customHeight="1" x14ac:dyDescent="0.35">
      <c r="S4637" s="56" t="str">
        <f t="shared" si="216"/>
        <v/>
      </c>
      <c r="T4637" s="57" t="str">
        <f t="shared" si="217"/>
        <v/>
      </c>
      <c r="U4637" s="58" t="str">
        <f t="shared" si="218"/>
        <v/>
      </c>
    </row>
    <row r="4638" spans="19:21" ht="23.25" customHeight="1" x14ac:dyDescent="0.35">
      <c r="S4638" s="56" t="str">
        <f t="shared" si="216"/>
        <v/>
      </c>
      <c r="T4638" s="57" t="str">
        <f t="shared" si="217"/>
        <v/>
      </c>
      <c r="U4638" s="58" t="str">
        <f t="shared" si="218"/>
        <v/>
      </c>
    </row>
    <row r="4639" spans="19:21" ht="23.25" customHeight="1" x14ac:dyDescent="0.35">
      <c r="S4639" s="56" t="str">
        <f t="shared" si="216"/>
        <v/>
      </c>
      <c r="T4639" s="57" t="str">
        <f t="shared" si="217"/>
        <v/>
      </c>
      <c r="U4639" s="58" t="str">
        <f t="shared" si="218"/>
        <v/>
      </c>
    </row>
    <row r="4640" spans="19:21" ht="23.25" customHeight="1" x14ac:dyDescent="0.35">
      <c r="S4640" s="56" t="str">
        <f t="shared" si="216"/>
        <v/>
      </c>
      <c r="T4640" s="57" t="str">
        <f t="shared" si="217"/>
        <v/>
      </c>
      <c r="U4640" s="58" t="str">
        <f t="shared" si="218"/>
        <v/>
      </c>
    </row>
    <row r="4641" spans="19:21" ht="23.25" customHeight="1" x14ac:dyDescent="0.35">
      <c r="S4641" s="56" t="str">
        <f t="shared" si="216"/>
        <v/>
      </c>
      <c r="T4641" s="57" t="str">
        <f t="shared" si="217"/>
        <v/>
      </c>
      <c r="U4641" s="58" t="str">
        <f t="shared" si="218"/>
        <v/>
      </c>
    </row>
    <row r="4642" spans="19:21" ht="23.25" customHeight="1" x14ac:dyDescent="0.35">
      <c r="S4642" s="56" t="str">
        <f t="shared" si="216"/>
        <v/>
      </c>
      <c r="T4642" s="57" t="str">
        <f t="shared" si="217"/>
        <v/>
      </c>
      <c r="U4642" s="58" t="str">
        <f t="shared" si="218"/>
        <v/>
      </c>
    </row>
    <row r="4643" spans="19:21" ht="23.25" customHeight="1" x14ac:dyDescent="0.35">
      <c r="S4643" s="56" t="str">
        <f t="shared" si="216"/>
        <v/>
      </c>
      <c r="T4643" s="57" t="str">
        <f t="shared" si="217"/>
        <v/>
      </c>
      <c r="U4643" s="58" t="str">
        <f t="shared" si="218"/>
        <v/>
      </c>
    </row>
    <row r="4644" spans="19:21" ht="23.25" customHeight="1" x14ac:dyDescent="0.35">
      <c r="S4644" s="56" t="str">
        <f t="shared" si="216"/>
        <v/>
      </c>
      <c r="T4644" s="57" t="str">
        <f t="shared" si="217"/>
        <v/>
      </c>
      <c r="U4644" s="58" t="str">
        <f t="shared" si="218"/>
        <v/>
      </c>
    </row>
    <row r="4645" spans="19:21" ht="23.25" customHeight="1" x14ac:dyDescent="0.35">
      <c r="S4645" s="56" t="str">
        <f t="shared" si="216"/>
        <v/>
      </c>
      <c r="T4645" s="57" t="str">
        <f t="shared" si="217"/>
        <v/>
      </c>
      <c r="U4645" s="58" t="str">
        <f t="shared" si="218"/>
        <v/>
      </c>
    </row>
    <row r="4646" spans="19:21" ht="23.25" customHeight="1" x14ac:dyDescent="0.35">
      <c r="S4646" s="56" t="str">
        <f t="shared" si="216"/>
        <v/>
      </c>
      <c r="T4646" s="57" t="str">
        <f t="shared" si="217"/>
        <v/>
      </c>
      <c r="U4646" s="58" t="str">
        <f t="shared" si="218"/>
        <v/>
      </c>
    </row>
    <row r="4647" spans="19:21" ht="23.25" customHeight="1" x14ac:dyDescent="0.35">
      <c r="S4647" s="56" t="str">
        <f t="shared" si="216"/>
        <v/>
      </c>
      <c r="T4647" s="57" t="str">
        <f t="shared" si="217"/>
        <v/>
      </c>
      <c r="U4647" s="58" t="str">
        <f t="shared" si="218"/>
        <v/>
      </c>
    </row>
    <row r="4648" spans="19:21" ht="23.25" customHeight="1" x14ac:dyDescent="0.35">
      <c r="S4648" s="56" t="str">
        <f t="shared" si="216"/>
        <v/>
      </c>
      <c r="T4648" s="57" t="str">
        <f t="shared" si="217"/>
        <v/>
      </c>
      <c r="U4648" s="58" t="str">
        <f t="shared" si="218"/>
        <v/>
      </c>
    </row>
    <row r="4649" spans="19:21" ht="23.25" customHeight="1" x14ac:dyDescent="0.35">
      <c r="S4649" s="56" t="str">
        <f t="shared" si="216"/>
        <v/>
      </c>
      <c r="T4649" s="57" t="str">
        <f t="shared" si="217"/>
        <v/>
      </c>
      <c r="U4649" s="58" t="str">
        <f t="shared" si="218"/>
        <v/>
      </c>
    </row>
    <row r="4650" spans="19:21" ht="23.25" customHeight="1" x14ac:dyDescent="0.35">
      <c r="S4650" s="56" t="str">
        <f t="shared" si="216"/>
        <v/>
      </c>
      <c r="T4650" s="57" t="str">
        <f t="shared" si="217"/>
        <v/>
      </c>
      <c r="U4650" s="58" t="str">
        <f t="shared" si="218"/>
        <v/>
      </c>
    </row>
    <row r="4651" spans="19:21" ht="23.25" customHeight="1" x14ac:dyDescent="0.35">
      <c r="S4651" s="56" t="str">
        <f t="shared" si="216"/>
        <v/>
      </c>
      <c r="T4651" s="57" t="str">
        <f t="shared" si="217"/>
        <v/>
      </c>
      <c r="U4651" s="58" t="str">
        <f t="shared" si="218"/>
        <v/>
      </c>
    </row>
    <row r="4652" spans="19:21" ht="23.25" customHeight="1" x14ac:dyDescent="0.35">
      <c r="S4652" s="56" t="str">
        <f t="shared" si="216"/>
        <v/>
      </c>
      <c r="T4652" s="57" t="str">
        <f t="shared" si="217"/>
        <v/>
      </c>
      <c r="U4652" s="58" t="str">
        <f t="shared" si="218"/>
        <v/>
      </c>
    </row>
    <row r="4653" spans="19:21" ht="23.25" customHeight="1" x14ac:dyDescent="0.35">
      <c r="S4653" s="56" t="str">
        <f t="shared" si="216"/>
        <v/>
      </c>
      <c r="T4653" s="57" t="str">
        <f t="shared" si="217"/>
        <v/>
      </c>
      <c r="U4653" s="58" t="str">
        <f t="shared" si="218"/>
        <v/>
      </c>
    </row>
    <row r="4654" spans="19:21" ht="23.25" customHeight="1" x14ac:dyDescent="0.35">
      <c r="S4654" s="56" t="str">
        <f t="shared" si="216"/>
        <v/>
      </c>
      <c r="T4654" s="57" t="str">
        <f t="shared" si="217"/>
        <v/>
      </c>
      <c r="U4654" s="58" t="str">
        <f t="shared" si="218"/>
        <v/>
      </c>
    </row>
    <row r="4655" spans="19:21" ht="23.25" customHeight="1" x14ac:dyDescent="0.35">
      <c r="S4655" s="56" t="str">
        <f t="shared" si="216"/>
        <v/>
      </c>
      <c r="T4655" s="57" t="str">
        <f t="shared" si="217"/>
        <v/>
      </c>
      <c r="U4655" s="58" t="str">
        <f t="shared" si="218"/>
        <v/>
      </c>
    </row>
    <row r="4656" spans="19:21" ht="23.25" customHeight="1" x14ac:dyDescent="0.35">
      <c r="S4656" s="56" t="str">
        <f t="shared" si="216"/>
        <v/>
      </c>
      <c r="T4656" s="57" t="str">
        <f t="shared" si="217"/>
        <v/>
      </c>
      <c r="U4656" s="58" t="str">
        <f t="shared" si="218"/>
        <v/>
      </c>
    </row>
    <row r="4657" spans="19:21" ht="23.25" customHeight="1" x14ac:dyDescent="0.35">
      <c r="S4657" s="56" t="str">
        <f t="shared" si="216"/>
        <v/>
      </c>
      <c r="T4657" s="57" t="str">
        <f t="shared" si="217"/>
        <v/>
      </c>
      <c r="U4657" s="58" t="str">
        <f t="shared" si="218"/>
        <v/>
      </c>
    </row>
    <row r="4658" spans="19:21" ht="23.25" customHeight="1" x14ac:dyDescent="0.35">
      <c r="S4658" s="56" t="str">
        <f t="shared" si="216"/>
        <v/>
      </c>
      <c r="T4658" s="57" t="str">
        <f t="shared" si="217"/>
        <v/>
      </c>
      <c r="U4658" s="58" t="str">
        <f t="shared" si="218"/>
        <v/>
      </c>
    </row>
    <row r="4659" spans="19:21" ht="23.25" customHeight="1" x14ac:dyDescent="0.35">
      <c r="S4659" s="56" t="str">
        <f t="shared" si="216"/>
        <v/>
      </c>
      <c r="T4659" s="57" t="str">
        <f t="shared" si="217"/>
        <v/>
      </c>
      <c r="U4659" s="58" t="str">
        <f t="shared" si="218"/>
        <v/>
      </c>
    </row>
    <row r="4660" spans="19:21" ht="23.25" customHeight="1" x14ac:dyDescent="0.35">
      <c r="S4660" s="56" t="str">
        <f t="shared" si="216"/>
        <v/>
      </c>
      <c r="T4660" s="57" t="str">
        <f t="shared" si="217"/>
        <v/>
      </c>
      <c r="U4660" s="58" t="str">
        <f t="shared" si="218"/>
        <v/>
      </c>
    </row>
    <row r="4661" spans="19:21" ht="23.25" customHeight="1" x14ac:dyDescent="0.35">
      <c r="S4661" s="56" t="str">
        <f t="shared" si="216"/>
        <v/>
      </c>
      <c r="T4661" s="57" t="str">
        <f t="shared" si="217"/>
        <v/>
      </c>
      <c r="U4661" s="58" t="str">
        <f t="shared" si="218"/>
        <v/>
      </c>
    </row>
    <row r="4662" spans="19:21" ht="23.25" customHeight="1" x14ac:dyDescent="0.35">
      <c r="S4662" s="56" t="str">
        <f t="shared" si="216"/>
        <v/>
      </c>
      <c r="T4662" s="57" t="str">
        <f t="shared" si="217"/>
        <v/>
      </c>
      <c r="U4662" s="58" t="str">
        <f t="shared" si="218"/>
        <v/>
      </c>
    </row>
    <row r="4663" spans="19:21" ht="23.25" customHeight="1" x14ac:dyDescent="0.35">
      <c r="S4663" s="56" t="str">
        <f t="shared" si="216"/>
        <v/>
      </c>
      <c r="T4663" s="57" t="str">
        <f t="shared" si="217"/>
        <v/>
      </c>
      <c r="U4663" s="58" t="str">
        <f t="shared" si="218"/>
        <v/>
      </c>
    </row>
    <row r="4664" spans="19:21" ht="23.25" customHeight="1" x14ac:dyDescent="0.35">
      <c r="S4664" s="56" t="str">
        <f t="shared" si="216"/>
        <v/>
      </c>
      <c r="T4664" s="57" t="str">
        <f t="shared" si="217"/>
        <v/>
      </c>
      <c r="U4664" s="58" t="str">
        <f t="shared" si="218"/>
        <v/>
      </c>
    </row>
    <row r="4665" spans="19:21" ht="23.25" customHeight="1" x14ac:dyDescent="0.35">
      <c r="S4665" s="56" t="str">
        <f t="shared" si="216"/>
        <v/>
      </c>
      <c r="T4665" s="57" t="str">
        <f t="shared" si="217"/>
        <v/>
      </c>
      <c r="U4665" s="58" t="str">
        <f t="shared" si="218"/>
        <v/>
      </c>
    </row>
    <row r="4666" spans="19:21" ht="23.25" customHeight="1" x14ac:dyDescent="0.35">
      <c r="S4666" s="56" t="str">
        <f t="shared" si="216"/>
        <v/>
      </c>
      <c r="T4666" s="57" t="str">
        <f t="shared" si="217"/>
        <v/>
      </c>
      <c r="U4666" s="58" t="str">
        <f t="shared" si="218"/>
        <v/>
      </c>
    </row>
    <row r="4667" spans="19:21" ht="23.25" customHeight="1" x14ac:dyDescent="0.35">
      <c r="S4667" s="56" t="str">
        <f t="shared" si="216"/>
        <v/>
      </c>
      <c r="T4667" s="57" t="str">
        <f t="shared" si="217"/>
        <v/>
      </c>
      <c r="U4667" s="58" t="str">
        <f t="shared" si="218"/>
        <v/>
      </c>
    </row>
    <row r="4668" spans="19:21" ht="23.25" customHeight="1" x14ac:dyDescent="0.35">
      <c r="S4668" s="56" t="str">
        <f t="shared" si="216"/>
        <v/>
      </c>
      <c r="T4668" s="57" t="str">
        <f t="shared" si="217"/>
        <v/>
      </c>
      <c r="U4668" s="58" t="str">
        <f t="shared" si="218"/>
        <v/>
      </c>
    </row>
    <row r="4669" spans="19:21" ht="23.25" customHeight="1" x14ac:dyDescent="0.35">
      <c r="S4669" s="56" t="str">
        <f t="shared" si="216"/>
        <v/>
      </c>
      <c r="T4669" s="57" t="str">
        <f t="shared" si="217"/>
        <v/>
      </c>
      <c r="U4669" s="58" t="str">
        <f t="shared" si="218"/>
        <v/>
      </c>
    </row>
    <row r="4670" spans="19:21" ht="23.25" customHeight="1" x14ac:dyDescent="0.35">
      <c r="S4670" s="56" t="str">
        <f t="shared" si="216"/>
        <v/>
      </c>
      <c r="T4670" s="57" t="str">
        <f t="shared" si="217"/>
        <v/>
      </c>
      <c r="U4670" s="58" t="str">
        <f t="shared" si="218"/>
        <v/>
      </c>
    </row>
    <row r="4671" spans="19:21" ht="23.25" customHeight="1" x14ac:dyDescent="0.35">
      <c r="S4671" s="56" t="str">
        <f t="shared" si="216"/>
        <v/>
      </c>
      <c r="T4671" s="57" t="str">
        <f t="shared" si="217"/>
        <v/>
      </c>
      <c r="U4671" s="58" t="str">
        <f t="shared" si="218"/>
        <v/>
      </c>
    </row>
    <row r="4672" spans="19:21" ht="23.25" customHeight="1" x14ac:dyDescent="0.35">
      <c r="S4672" s="56" t="str">
        <f t="shared" si="216"/>
        <v/>
      </c>
      <c r="T4672" s="57" t="str">
        <f t="shared" si="217"/>
        <v/>
      </c>
      <c r="U4672" s="58" t="str">
        <f t="shared" si="218"/>
        <v/>
      </c>
    </row>
    <row r="4673" spans="19:21" ht="23.25" customHeight="1" x14ac:dyDescent="0.35">
      <c r="S4673" s="56" t="str">
        <f t="shared" si="216"/>
        <v/>
      </c>
      <c r="T4673" s="57" t="str">
        <f t="shared" si="217"/>
        <v/>
      </c>
      <c r="U4673" s="58" t="str">
        <f t="shared" si="218"/>
        <v/>
      </c>
    </row>
    <row r="4674" spans="19:21" ht="23.25" customHeight="1" x14ac:dyDescent="0.35">
      <c r="S4674" s="56" t="str">
        <f t="shared" si="216"/>
        <v/>
      </c>
      <c r="T4674" s="57" t="str">
        <f t="shared" si="217"/>
        <v/>
      </c>
      <c r="U4674" s="58" t="str">
        <f t="shared" si="218"/>
        <v/>
      </c>
    </row>
    <row r="4675" spans="19:21" ht="23.25" customHeight="1" x14ac:dyDescent="0.35">
      <c r="S4675" s="56" t="str">
        <f t="shared" si="216"/>
        <v/>
      </c>
      <c r="T4675" s="57" t="str">
        <f t="shared" si="217"/>
        <v/>
      </c>
      <c r="U4675" s="58" t="str">
        <f t="shared" si="218"/>
        <v/>
      </c>
    </row>
    <row r="4676" spans="19:21" ht="23.25" customHeight="1" x14ac:dyDescent="0.35">
      <c r="S4676" s="56" t="str">
        <f t="shared" si="216"/>
        <v/>
      </c>
      <c r="T4676" s="57" t="str">
        <f t="shared" si="217"/>
        <v/>
      </c>
      <c r="U4676" s="58" t="str">
        <f t="shared" si="218"/>
        <v/>
      </c>
    </row>
    <row r="4677" spans="19:21" ht="23.25" customHeight="1" x14ac:dyDescent="0.35">
      <c r="S4677" s="56" t="str">
        <f t="shared" si="216"/>
        <v/>
      </c>
      <c r="T4677" s="57" t="str">
        <f t="shared" si="217"/>
        <v/>
      </c>
      <c r="U4677" s="58" t="str">
        <f t="shared" si="218"/>
        <v/>
      </c>
    </row>
    <row r="4678" spans="19:21" ht="23.25" customHeight="1" x14ac:dyDescent="0.35">
      <c r="S4678" s="56" t="str">
        <f t="shared" si="216"/>
        <v/>
      </c>
      <c r="T4678" s="57" t="str">
        <f t="shared" si="217"/>
        <v/>
      </c>
      <c r="U4678" s="58" t="str">
        <f t="shared" si="218"/>
        <v/>
      </c>
    </row>
    <row r="4679" spans="19:21" ht="23.25" customHeight="1" x14ac:dyDescent="0.35">
      <c r="S4679" s="56" t="str">
        <f t="shared" si="216"/>
        <v/>
      </c>
      <c r="T4679" s="57" t="str">
        <f t="shared" si="217"/>
        <v/>
      </c>
      <c r="U4679" s="58" t="str">
        <f t="shared" si="218"/>
        <v/>
      </c>
    </row>
    <row r="4680" spans="19:21" ht="23.25" customHeight="1" x14ac:dyDescent="0.35">
      <c r="S4680" s="56" t="str">
        <f t="shared" si="216"/>
        <v/>
      </c>
      <c r="T4680" s="57" t="str">
        <f t="shared" si="217"/>
        <v/>
      </c>
      <c r="U4680" s="58" t="str">
        <f t="shared" si="218"/>
        <v/>
      </c>
    </row>
    <row r="4681" spans="19:21" ht="23.25" customHeight="1" x14ac:dyDescent="0.35">
      <c r="S4681" s="56" t="str">
        <f t="shared" ref="S4681:S4744" si="219">IF(A4681="","",A$5-A4681)</f>
        <v/>
      </c>
      <c r="T4681" s="57" t="str">
        <f t="shared" ref="T4681:T4744" si="220">IF(S4681="","",IF(S4681&lt;4,"0-3 Days",IF(S4681&lt;31,"4-30 Days",IF(S4681&lt;61,"31-60 Days",IF(S4681&lt;=90,"61-90 Days",IF(S4681&gt;90,"Above 90 Days","0"))))))</f>
        <v/>
      </c>
      <c r="U4681" s="58" t="str">
        <f t="shared" ref="U4681:U4744" si="221">IF(C4681="","",IF(C4681&gt;0,IF(S4681&lt;30,"Normal",IF(S4681&lt;60,"Especially Mentioned",IF(S4681&lt;90,"Substandard",IF(S4681&lt;=180,"Doubtful",IF(S4681&gt;180,"Loss","0"))))),"Not Applicable"))</f>
        <v/>
      </c>
    </row>
    <row r="4682" spans="19:21" ht="23.25" customHeight="1" x14ac:dyDescent="0.35">
      <c r="S4682" s="56" t="str">
        <f t="shared" si="219"/>
        <v/>
      </c>
      <c r="T4682" s="57" t="str">
        <f t="shared" si="220"/>
        <v/>
      </c>
      <c r="U4682" s="58" t="str">
        <f t="shared" si="221"/>
        <v/>
      </c>
    </row>
    <row r="4683" spans="19:21" ht="23.25" customHeight="1" x14ac:dyDescent="0.35">
      <c r="S4683" s="56" t="str">
        <f t="shared" si="219"/>
        <v/>
      </c>
      <c r="T4683" s="57" t="str">
        <f t="shared" si="220"/>
        <v/>
      </c>
      <c r="U4683" s="58" t="str">
        <f t="shared" si="221"/>
        <v/>
      </c>
    </row>
    <row r="4684" spans="19:21" ht="23.25" customHeight="1" x14ac:dyDescent="0.35">
      <c r="S4684" s="56" t="str">
        <f t="shared" si="219"/>
        <v/>
      </c>
      <c r="T4684" s="57" t="str">
        <f t="shared" si="220"/>
        <v/>
      </c>
      <c r="U4684" s="58" t="str">
        <f t="shared" si="221"/>
        <v/>
      </c>
    </row>
    <row r="4685" spans="19:21" ht="23.25" customHeight="1" x14ac:dyDescent="0.35">
      <c r="S4685" s="56" t="str">
        <f t="shared" si="219"/>
        <v/>
      </c>
      <c r="T4685" s="57" t="str">
        <f t="shared" si="220"/>
        <v/>
      </c>
      <c r="U4685" s="58" t="str">
        <f t="shared" si="221"/>
        <v/>
      </c>
    </row>
    <row r="4686" spans="19:21" ht="23.25" customHeight="1" x14ac:dyDescent="0.35">
      <c r="S4686" s="56" t="str">
        <f t="shared" si="219"/>
        <v/>
      </c>
      <c r="T4686" s="57" t="str">
        <f t="shared" si="220"/>
        <v/>
      </c>
      <c r="U4686" s="58" t="str">
        <f t="shared" si="221"/>
        <v/>
      </c>
    </row>
    <row r="4687" spans="19:21" ht="23.25" customHeight="1" x14ac:dyDescent="0.35">
      <c r="S4687" s="56" t="str">
        <f t="shared" si="219"/>
        <v/>
      </c>
      <c r="T4687" s="57" t="str">
        <f t="shared" si="220"/>
        <v/>
      </c>
      <c r="U4687" s="58" t="str">
        <f t="shared" si="221"/>
        <v/>
      </c>
    </row>
    <row r="4688" spans="19:21" ht="23.25" customHeight="1" x14ac:dyDescent="0.35">
      <c r="S4688" s="56" t="str">
        <f t="shared" si="219"/>
        <v/>
      </c>
      <c r="T4688" s="57" t="str">
        <f t="shared" si="220"/>
        <v/>
      </c>
      <c r="U4688" s="58" t="str">
        <f t="shared" si="221"/>
        <v/>
      </c>
    </row>
    <row r="4689" spans="19:21" ht="23.25" customHeight="1" x14ac:dyDescent="0.35">
      <c r="S4689" s="56" t="str">
        <f t="shared" si="219"/>
        <v/>
      </c>
      <c r="T4689" s="57" t="str">
        <f t="shared" si="220"/>
        <v/>
      </c>
      <c r="U4689" s="58" t="str">
        <f t="shared" si="221"/>
        <v/>
      </c>
    </row>
    <row r="4690" spans="19:21" ht="23.25" customHeight="1" x14ac:dyDescent="0.35">
      <c r="S4690" s="56" t="str">
        <f t="shared" si="219"/>
        <v/>
      </c>
      <c r="T4690" s="57" t="str">
        <f t="shared" si="220"/>
        <v/>
      </c>
      <c r="U4690" s="58" t="str">
        <f t="shared" si="221"/>
        <v/>
      </c>
    </row>
    <row r="4691" spans="19:21" ht="23.25" customHeight="1" x14ac:dyDescent="0.35">
      <c r="S4691" s="56" t="str">
        <f t="shared" si="219"/>
        <v/>
      </c>
      <c r="T4691" s="57" t="str">
        <f t="shared" si="220"/>
        <v/>
      </c>
      <c r="U4691" s="58" t="str">
        <f t="shared" si="221"/>
        <v/>
      </c>
    </row>
    <row r="4692" spans="19:21" ht="23.25" customHeight="1" x14ac:dyDescent="0.35">
      <c r="S4692" s="56" t="str">
        <f t="shared" si="219"/>
        <v/>
      </c>
      <c r="T4692" s="57" t="str">
        <f t="shared" si="220"/>
        <v/>
      </c>
      <c r="U4692" s="58" t="str">
        <f t="shared" si="221"/>
        <v/>
      </c>
    </row>
    <row r="4693" spans="19:21" ht="23.25" customHeight="1" x14ac:dyDescent="0.35">
      <c r="S4693" s="56" t="str">
        <f t="shared" si="219"/>
        <v/>
      </c>
      <c r="T4693" s="57" t="str">
        <f t="shared" si="220"/>
        <v/>
      </c>
      <c r="U4693" s="58" t="str">
        <f t="shared" si="221"/>
        <v/>
      </c>
    </row>
    <row r="4694" spans="19:21" ht="23.25" customHeight="1" x14ac:dyDescent="0.35">
      <c r="S4694" s="56" t="str">
        <f t="shared" si="219"/>
        <v/>
      </c>
      <c r="T4694" s="57" t="str">
        <f t="shared" si="220"/>
        <v/>
      </c>
      <c r="U4694" s="58" t="str">
        <f t="shared" si="221"/>
        <v/>
      </c>
    </row>
    <row r="4695" spans="19:21" ht="23.25" customHeight="1" x14ac:dyDescent="0.35">
      <c r="S4695" s="56" t="str">
        <f t="shared" si="219"/>
        <v/>
      </c>
      <c r="T4695" s="57" t="str">
        <f t="shared" si="220"/>
        <v/>
      </c>
      <c r="U4695" s="58" t="str">
        <f t="shared" si="221"/>
        <v/>
      </c>
    </row>
    <row r="4696" spans="19:21" ht="23.25" customHeight="1" x14ac:dyDescent="0.35">
      <c r="S4696" s="56" t="str">
        <f t="shared" si="219"/>
        <v/>
      </c>
      <c r="T4696" s="57" t="str">
        <f t="shared" si="220"/>
        <v/>
      </c>
      <c r="U4696" s="58" t="str">
        <f t="shared" si="221"/>
        <v/>
      </c>
    </row>
    <row r="4697" spans="19:21" ht="23.25" customHeight="1" x14ac:dyDescent="0.35">
      <c r="S4697" s="56" t="str">
        <f t="shared" si="219"/>
        <v/>
      </c>
      <c r="T4697" s="57" t="str">
        <f t="shared" si="220"/>
        <v/>
      </c>
      <c r="U4697" s="58" t="str">
        <f t="shared" si="221"/>
        <v/>
      </c>
    </row>
    <row r="4698" spans="19:21" ht="23.25" customHeight="1" x14ac:dyDescent="0.35">
      <c r="S4698" s="56" t="str">
        <f t="shared" si="219"/>
        <v/>
      </c>
      <c r="T4698" s="57" t="str">
        <f t="shared" si="220"/>
        <v/>
      </c>
      <c r="U4698" s="58" t="str">
        <f t="shared" si="221"/>
        <v/>
      </c>
    </row>
    <row r="4699" spans="19:21" ht="23.25" customHeight="1" x14ac:dyDescent="0.35">
      <c r="S4699" s="56" t="str">
        <f t="shared" si="219"/>
        <v/>
      </c>
      <c r="T4699" s="57" t="str">
        <f t="shared" si="220"/>
        <v/>
      </c>
      <c r="U4699" s="58" t="str">
        <f t="shared" si="221"/>
        <v/>
      </c>
    </row>
    <row r="4700" spans="19:21" ht="23.25" customHeight="1" x14ac:dyDescent="0.35">
      <c r="S4700" s="56" t="str">
        <f t="shared" si="219"/>
        <v/>
      </c>
      <c r="T4700" s="57" t="str">
        <f t="shared" si="220"/>
        <v/>
      </c>
      <c r="U4700" s="58" t="str">
        <f t="shared" si="221"/>
        <v/>
      </c>
    </row>
    <row r="4701" spans="19:21" ht="23.25" customHeight="1" x14ac:dyDescent="0.35">
      <c r="S4701" s="56" t="str">
        <f t="shared" si="219"/>
        <v/>
      </c>
      <c r="T4701" s="57" t="str">
        <f t="shared" si="220"/>
        <v/>
      </c>
      <c r="U4701" s="58" t="str">
        <f t="shared" si="221"/>
        <v/>
      </c>
    </row>
    <row r="4702" spans="19:21" ht="23.25" customHeight="1" x14ac:dyDescent="0.35">
      <c r="S4702" s="56" t="str">
        <f t="shared" si="219"/>
        <v/>
      </c>
      <c r="T4702" s="57" t="str">
        <f t="shared" si="220"/>
        <v/>
      </c>
      <c r="U4702" s="58" t="str">
        <f t="shared" si="221"/>
        <v/>
      </c>
    </row>
    <row r="4703" spans="19:21" ht="23.25" customHeight="1" x14ac:dyDescent="0.35">
      <c r="S4703" s="56" t="str">
        <f t="shared" si="219"/>
        <v/>
      </c>
      <c r="T4703" s="57" t="str">
        <f t="shared" si="220"/>
        <v/>
      </c>
      <c r="U4703" s="58" t="str">
        <f t="shared" si="221"/>
        <v/>
      </c>
    </row>
    <row r="4704" spans="19:21" ht="23.25" customHeight="1" x14ac:dyDescent="0.35">
      <c r="S4704" s="56" t="str">
        <f t="shared" si="219"/>
        <v/>
      </c>
      <c r="T4704" s="57" t="str">
        <f t="shared" si="220"/>
        <v/>
      </c>
      <c r="U4704" s="58" t="str">
        <f t="shared" si="221"/>
        <v/>
      </c>
    </row>
    <row r="4705" spans="19:21" ht="23.25" customHeight="1" x14ac:dyDescent="0.35">
      <c r="S4705" s="56" t="str">
        <f t="shared" si="219"/>
        <v/>
      </c>
      <c r="T4705" s="57" t="str">
        <f t="shared" si="220"/>
        <v/>
      </c>
      <c r="U4705" s="58" t="str">
        <f t="shared" si="221"/>
        <v/>
      </c>
    </row>
    <row r="4706" spans="19:21" ht="23.25" customHeight="1" x14ac:dyDescent="0.35">
      <c r="S4706" s="56" t="str">
        <f t="shared" si="219"/>
        <v/>
      </c>
      <c r="T4706" s="57" t="str">
        <f t="shared" si="220"/>
        <v/>
      </c>
      <c r="U4706" s="58" t="str">
        <f t="shared" si="221"/>
        <v/>
      </c>
    </row>
    <row r="4707" spans="19:21" ht="23.25" customHeight="1" x14ac:dyDescent="0.35">
      <c r="S4707" s="56" t="str">
        <f t="shared" si="219"/>
        <v/>
      </c>
      <c r="T4707" s="57" t="str">
        <f t="shared" si="220"/>
        <v/>
      </c>
      <c r="U4707" s="58" t="str">
        <f t="shared" si="221"/>
        <v/>
      </c>
    </row>
    <row r="4708" spans="19:21" ht="23.25" customHeight="1" x14ac:dyDescent="0.35">
      <c r="S4708" s="56" t="str">
        <f t="shared" si="219"/>
        <v/>
      </c>
      <c r="T4708" s="57" t="str">
        <f t="shared" si="220"/>
        <v/>
      </c>
      <c r="U4708" s="58" t="str">
        <f t="shared" si="221"/>
        <v/>
      </c>
    </row>
    <row r="4709" spans="19:21" ht="23.25" customHeight="1" x14ac:dyDescent="0.35">
      <c r="S4709" s="56" t="str">
        <f t="shared" si="219"/>
        <v/>
      </c>
      <c r="T4709" s="57" t="str">
        <f t="shared" si="220"/>
        <v/>
      </c>
      <c r="U4709" s="58" t="str">
        <f t="shared" si="221"/>
        <v/>
      </c>
    </row>
    <row r="4710" spans="19:21" ht="23.25" customHeight="1" x14ac:dyDescent="0.35">
      <c r="S4710" s="56" t="str">
        <f t="shared" si="219"/>
        <v/>
      </c>
      <c r="T4710" s="57" t="str">
        <f t="shared" si="220"/>
        <v/>
      </c>
      <c r="U4710" s="58" t="str">
        <f t="shared" si="221"/>
        <v/>
      </c>
    </row>
    <row r="4711" spans="19:21" ht="23.25" customHeight="1" x14ac:dyDescent="0.35">
      <c r="S4711" s="56" t="str">
        <f t="shared" si="219"/>
        <v/>
      </c>
      <c r="T4711" s="57" t="str">
        <f t="shared" si="220"/>
        <v/>
      </c>
      <c r="U4711" s="58" t="str">
        <f t="shared" si="221"/>
        <v/>
      </c>
    </row>
    <row r="4712" spans="19:21" ht="23.25" customHeight="1" x14ac:dyDescent="0.35">
      <c r="S4712" s="56" t="str">
        <f t="shared" si="219"/>
        <v/>
      </c>
      <c r="T4712" s="57" t="str">
        <f t="shared" si="220"/>
        <v/>
      </c>
      <c r="U4712" s="58" t="str">
        <f t="shared" si="221"/>
        <v/>
      </c>
    </row>
    <row r="4713" spans="19:21" ht="23.25" customHeight="1" x14ac:dyDescent="0.35">
      <c r="S4713" s="56" t="str">
        <f t="shared" si="219"/>
        <v/>
      </c>
      <c r="T4713" s="57" t="str">
        <f t="shared" si="220"/>
        <v/>
      </c>
      <c r="U4713" s="58" t="str">
        <f t="shared" si="221"/>
        <v/>
      </c>
    </row>
    <row r="4714" spans="19:21" ht="23.25" customHeight="1" x14ac:dyDescent="0.35">
      <c r="S4714" s="56" t="str">
        <f t="shared" si="219"/>
        <v/>
      </c>
      <c r="T4714" s="57" t="str">
        <f t="shared" si="220"/>
        <v/>
      </c>
      <c r="U4714" s="58" t="str">
        <f t="shared" si="221"/>
        <v/>
      </c>
    </row>
    <row r="4715" spans="19:21" ht="23.25" customHeight="1" x14ac:dyDescent="0.35">
      <c r="S4715" s="56" t="str">
        <f t="shared" si="219"/>
        <v/>
      </c>
      <c r="T4715" s="57" t="str">
        <f t="shared" si="220"/>
        <v/>
      </c>
      <c r="U4715" s="58" t="str">
        <f t="shared" si="221"/>
        <v/>
      </c>
    </row>
    <row r="4716" spans="19:21" ht="23.25" customHeight="1" x14ac:dyDescent="0.35">
      <c r="S4716" s="56" t="str">
        <f t="shared" si="219"/>
        <v/>
      </c>
      <c r="T4716" s="57" t="str">
        <f t="shared" si="220"/>
        <v/>
      </c>
      <c r="U4716" s="58" t="str">
        <f t="shared" si="221"/>
        <v/>
      </c>
    </row>
    <row r="4717" spans="19:21" ht="23.25" customHeight="1" x14ac:dyDescent="0.35">
      <c r="S4717" s="56" t="str">
        <f t="shared" si="219"/>
        <v/>
      </c>
      <c r="T4717" s="57" t="str">
        <f t="shared" si="220"/>
        <v/>
      </c>
      <c r="U4717" s="58" t="str">
        <f t="shared" si="221"/>
        <v/>
      </c>
    </row>
    <row r="4718" spans="19:21" ht="23.25" customHeight="1" x14ac:dyDescent="0.35">
      <c r="S4718" s="56" t="str">
        <f t="shared" si="219"/>
        <v/>
      </c>
      <c r="T4718" s="57" t="str">
        <f t="shared" si="220"/>
        <v/>
      </c>
      <c r="U4718" s="58" t="str">
        <f t="shared" si="221"/>
        <v/>
      </c>
    </row>
    <row r="4719" spans="19:21" ht="23.25" customHeight="1" x14ac:dyDescent="0.35">
      <c r="S4719" s="56" t="str">
        <f t="shared" si="219"/>
        <v/>
      </c>
      <c r="T4719" s="57" t="str">
        <f t="shared" si="220"/>
        <v/>
      </c>
      <c r="U4719" s="58" t="str">
        <f t="shared" si="221"/>
        <v/>
      </c>
    </row>
    <row r="4720" spans="19:21" ht="23.25" customHeight="1" x14ac:dyDescent="0.35">
      <c r="S4720" s="56" t="str">
        <f t="shared" si="219"/>
        <v/>
      </c>
      <c r="T4720" s="57" t="str">
        <f t="shared" si="220"/>
        <v/>
      </c>
      <c r="U4720" s="58" t="str">
        <f t="shared" si="221"/>
        <v/>
      </c>
    </row>
    <row r="4721" spans="19:21" ht="23.25" customHeight="1" x14ac:dyDescent="0.35">
      <c r="S4721" s="56" t="str">
        <f t="shared" si="219"/>
        <v/>
      </c>
      <c r="T4721" s="57" t="str">
        <f t="shared" si="220"/>
        <v/>
      </c>
      <c r="U4721" s="58" t="str">
        <f t="shared" si="221"/>
        <v/>
      </c>
    </row>
    <row r="4722" spans="19:21" ht="23.25" customHeight="1" x14ac:dyDescent="0.35">
      <c r="S4722" s="56" t="str">
        <f t="shared" si="219"/>
        <v/>
      </c>
      <c r="T4722" s="57" t="str">
        <f t="shared" si="220"/>
        <v/>
      </c>
      <c r="U4722" s="58" t="str">
        <f t="shared" si="221"/>
        <v/>
      </c>
    </row>
    <row r="4723" spans="19:21" ht="23.25" customHeight="1" x14ac:dyDescent="0.35">
      <c r="S4723" s="56" t="str">
        <f t="shared" si="219"/>
        <v/>
      </c>
      <c r="T4723" s="57" t="str">
        <f t="shared" si="220"/>
        <v/>
      </c>
      <c r="U4723" s="58" t="str">
        <f t="shared" si="221"/>
        <v/>
      </c>
    </row>
    <row r="4724" spans="19:21" ht="23.25" customHeight="1" x14ac:dyDescent="0.35">
      <c r="S4724" s="56" t="str">
        <f t="shared" si="219"/>
        <v/>
      </c>
      <c r="T4724" s="57" t="str">
        <f t="shared" si="220"/>
        <v/>
      </c>
      <c r="U4724" s="58" t="str">
        <f t="shared" si="221"/>
        <v/>
      </c>
    </row>
    <row r="4725" spans="19:21" ht="23.25" customHeight="1" x14ac:dyDescent="0.35">
      <c r="S4725" s="56" t="str">
        <f t="shared" si="219"/>
        <v/>
      </c>
      <c r="T4725" s="57" t="str">
        <f t="shared" si="220"/>
        <v/>
      </c>
      <c r="U4725" s="58" t="str">
        <f t="shared" si="221"/>
        <v/>
      </c>
    </row>
    <row r="4726" spans="19:21" ht="23.25" customHeight="1" x14ac:dyDescent="0.35">
      <c r="S4726" s="56" t="str">
        <f t="shared" si="219"/>
        <v/>
      </c>
      <c r="T4726" s="57" t="str">
        <f t="shared" si="220"/>
        <v/>
      </c>
      <c r="U4726" s="58" t="str">
        <f t="shared" si="221"/>
        <v/>
      </c>
    </row>
    <row r="4727" spans="19:21" ht="23.25" customHeight="1" x14ac:dyDescent="0.35">
      <c r="S4727" s="56" t="str">
        <f t="shared" si="219"/>
        <v/>
      </c>
      <c r="T4727" s="57" t="str">
        <f t="shared" si="220"/>
        <v/>
      </c>
      <c r="U4727" s="58" t="str">
        <f t="shared" si="221"/>
        <v/>
      </c>
    </row>
    <row r="4728" spans="19:21" ht="23.25" customHeight="1" x14ac:dyDescent="0.35">
      <c r="S4728" s="56" t="str">
        <f t="shared" si="219"/>
        <v/>
      </c>
      <c r="T4728" s="57" t="str">
        <f t="shared" si="220"/>
        <v/>
      </c>
      <c r="U4728" s="58" t="str">
        <f t="shared" si="221"/>
        <v/>
      </c>
    </row>
    <row r="4729" spans="19:21" ht="23.25" customHeight="1" x14ac:dyDescent="0.35">
      <c r="S4729" s="56" t="str">
        <f t="shared" si="219"/>
        <v/>
      </c>
      <c r="T4729" s="57" t="str">
        <f t="shared" si="220"/>
        <v/>
      </c>
      <c r="U4729" s="58" t="str">
        <f t="shared" si="221"/>
        <v/>
      </c>
    </row>
    <row r="4730" spans="19:21" ht="23.25" customHeight="1" x14ac:dyDescent="0.35">
      <c r="S4730" s="56" t="str">
        <f t="shared" si="219"/>
        <v/>
      </c>
      <c r="T4730" s="57" t="str">
        <f t="shared" si="220"/>
        <v/>
      </c>
      <c r="U4730" s="58" t="str">
        <f t="shared" si="221"/>
        <v/>
      </c>
    </row>
    <row r="4731" spans="19:21" ht="23.25" customHeight="1" x14ac:dyDescent="0.35">
      <c r="S4731" s="56" t="str">
        <f t="shared" si="219"/>
        <v/>
      </c>
      <c r="T4731" s="57" t="str">
        <f t="shared" si="220"/>
        <v/>
      </c>
      <c r="U4731" s="58" t="str">
        <f t="shared" si="221"/>
        <v/>
      </c>
    </row>
    <row r="4732" spans="19:21" ht="23.25" customHeight="1" x14ac:dyDescent="0.35">
      <c r="S4732" s="56" t="str">
        <f t="shared" si="219"/>
        <v/>
      </c>
      <c r="T4732" s="57" t="str">
        <f t="shared" si="220"/>
        <v/>
      </c>
      <c r="U4732" s="58" t="str">
        <f t="shared" si="221"/>
        <v/>
      </c>
    </row>
    <row r="4733" spans="19:21" ht="23.25" customHeight="1" x14ac:dyDescent="0.35">
      <c r="S4733" s="56" t="str">
        <f t="shared" si="219"/>
        <v/>
      </c>
      <c r="T4733" s="57" t="str">
        <f t="shared" si="220"/>
        <v/>
      </c>
      <c r="U4733" s="58" t="str">
        <f t="shared" si="221"/>
        <v/>
      </c>
    </row>
    <row r="4734" spans="19:21" ht="23.25" customHeight="1" x14ac:dyDescent="0.35">
      <c r="S4734" s="56" t="str">
        <f t="shared" si="219"/>
        <v/>
      </c>
      <c r="T4734" s="57" t="str">
        <f t="shared" si="220"/>
        <v/>
      </c>
      <c r="U4734" s="58" t="str">
        <f t="shared" si="221"/>
        <v/>
      </c>
    </row>
    <row r="4735" spans="19:21" ht="23.25" customHeight="1" x14ac:dyDescent="0.35">
      <c r="S4735" s="56" t="str">
        <f t="shared" si="219"/>
        <v/>
      </c>
      <c r="T4735" s="57" t="str">
        <f t="shared" si="220"/>
        <v/>
      </c>
      <c r="U4735" s="58" t="str">
        <f t="shared" si="221"/>
        <v/>
      </c>
    </row>
    <row r="4736" spans="19:21" ht="23.25" customHeight="1" x14ac:dyDescent="0.35">
      <c r="S4736" s="56" t="str">
        <f t="shared" si="219"/>
        <v/>
      </c>
      <c r="T4736" s="57" t="str">
        <f t="shared" si="220"/>
        <v/>
      </c>
      <c r="U4736" s="58" t="str">
        <f t="shared" si="221"/>
        <v/>
      </c>
    </row>
    <row r="4737" spans="19:21" ht="23.25" customHeight="1" x14ac:dyDescent="0.35">
      <c r="S4737" s="56" t="str">
        <f t="shared" si="219"/>
        <v/>
      </c>
      <c r="T4737" s="57" t="str">
        <f t="shared" si="220"/>
        <v/>
      </c>
      <c r="U4737" s="58" t="str">
        <f t="shared" si="221"/>
        <v/>
      </c>
    </row>
    <row r="4738" spans="19:21" ht="23.25" customHeight="1" x14ac:dyDescent="0.35">
      <c r="S4738" s="56" t="str">
        <f t="shared" si="219"/>
        <v/>
      </c>
      <c r="T4738" s="57" t="str">
        <f t="shared" si="220"/>
        <v/>
      </c>
      <c r="U4738" s="58" t="str">
        <f t="shared" si="221"/>
        <v/>
      </c>
    </row>
    <row r="4739" spans="19:21" ht="23.25" customHeight="1" x14ac:dyDescent="0.35">
      <c r="S4739" s="56" t="str">
        <f t="shared" si="219"/>
        <v/>
      </c>
      <c r="T4739" s="57" t="str">
        <f t="shared" si="220"/>
        <v/>
      </c>
      <c r="U4739" s="58" t="str">
        <f t="shared" si="221"/>
        <v/>
      </c>
    </row>
    <row r="4740" spans="19:21" ht="23.25" customHeight="1" x14ac:dyDescent="0.35">
      <c r="S4740" s="56" t="str">
        <f t="shared" si="219"/>
        <v/>
      </c>
      <c r="T4740" s="57" t="str">
        <f t="shared" si="220"/>
        <v/>
      </c>
      <c r="U4740" s="58" t="str">
        <f t="shared" si="221"/>
        <v/>
      </c>
    </row>
    <row r="4741" spans="19:21" ht="23.25" customHeight="1" x14ac:dyDescent="0.35">
      <c r="S4741" s="56" t="str">
        <f t="shared" si="219"/>
        <v/>
      </c>
      <c r="T4741" s="57" t="str">
        <f t="shared" si="220"/>
        <v/>
      </c>
      <c r="U4741" s="58" t="str">
        <f t="shared" si="221"/>
        <v/>
      </c>
    </row>
    <row r="4742" spans="19:21" ht="23.25" customHeight="1" x14ac:dyDescent="0.35">
      <c r="S4742" s="56" t="str">
        <f t="shared" si="219"/>
        <v/>
      </c>
      <c r="T4742" s="57" t="str">
        <f t="shared" si="220"/>
        <v/>
      </c>
      <c r="U4742" s="58" t="str">
        <f t="shared" si="221"/>
        <v/>
      </c>
    </row>
    <row r="4743" spans="19:21" ht="23.25" customHeight="1" x14ac:dyDescent="0.35">
      <c r="S4743" s="56" t="str">
        <f t="shared" si="219"/>
        <v/>
      </c>
      <c r="T4743" s="57" t="str">
        <f t="shared" si="220"/>
        <v/>
      </c>
      <c r="U4743" s="58" t="str">
        <f t="shared" si="221"/>
        <v/>
      </c>
    </row>
    <row r="4744" spans="19:21" ht="23.25" customHeight="1" x14ac:dyDescent="0.35">
      <c r="S4744" s="56" t="str">
        <f t="shared" si="219"/>
        <v/>
      </c>
      <c r="T4744" s="57" t="str">
        <f t="shared" si="220"/>
        <v/>
      </c>
      <c r="U4744" s="58" t="str">
        <f t="shared" si="221"/>
        <v/>
      </c>
    </row>
    <row r="4745" spans="19:21" ht="23.25" customHeight="1" x14ac:dyDescent="0.35">
      <c r="S4745" s="56" t="str">
        <f t="shared" ref="S4745:S4808" si="222">IF(A4745="","",A$5-A4745)</f>
        <v/>
      </c>
      <c r="T4745" s="57" t="str">
        <f t="shared" ref="T4745:T4808" si="223">IF(S4745="","",IF(S4745&lt;4,"0-3 Days",IF(S4745&lt;31,"4-30 Days",IF(S4745&lt;61,"31-60 Days",IF(S4745&lt;=90,"61-90 Days",IF(S4745&gt;90,"Above 90 Days","0"))))))</f>
        <v/>
      </c>
      <c r="U4745" s="58" t="str">
        <f t="shared" ref="U4745:U4808" si="224">IF(C4745="","",IF(C4745&gt;0,IF(S4745&lt;30,"Normal",IF(S4745&lt;60,"Especially Mentioned",IF(S4745&lt;90,"Substandard",IF(S4745&lt;=180,"Doubtful",IF(S4745&gt;180,"Loss","0"))))),"Not Applicable"))</f>
        <v/>
      </c>
    </row>
    <row r="4746" spans="19:21" ht="23.25" customHeight="1" x14ac:dyDescent="0.35">
      <c r="S4746" s="56" t="str">
        <f t="shared" si="222"/>
        <v/>
      </c>
      <c r="T4746" s="57" t="str">
        <f t="shared" si="223"/>
        <v/>
      </c>
      <c r="U4746" s="58" t="str">
        <f t="shared" si="224"/>
        <v/>
      </c>
    </row>
    <row r="4747" spans="19:21" ht="23.25" customHeight="1" x14ac:dyDescent="0.35">
      <c r="S4747" s="56" t="str">
        <f t="shared" si="222"/>
        <v/>
      </c>
      <c r="T4747" s="57" t="str">
        <f t="shared" si="223"/>
        <v/>
      </c>
      <c r="U4747" s="58" t="str">
        <f t="shared" si="224"/>
        <v/>
      </c>
    </row>
    <row r="4748" spans="19:21" ht="23.25" customHeight="1" x14ac:dyDescent="0.35">
      <c r="S4748" s="56" t="str">
        <f t="shared" si="222"/>
        <v/>
      </c>
      <c r="T4748" s="57" t="str">
        <f t="shared" si="223"/>
        <v/>
      </c>
      <c r="U4748" s="58" t="str">
        <f t="shared" si="224"/>
        <v/>
      </c>
    </row>
    <row r="4749" spans="19:21" ht="23.25" customHeight="1" x14ac:dyDescent="0.35">
      <c r="S4749" s="56" t="str">
        <f t="shared" si="222"/>
        <v/>
      </c>
      <c r="T4749" s="57" t="str">
        <f t="shared" si="223"/>
        <v/>
      </c>
      <c r="U4749" s="58" t="str">
        <f t="shared" si="224"/>
        <v/>
      </c>
    </row>
    <row r="4750" spans="19:21" ht="23.25" customHeight="1" x14ac:dyDescent="0.35">
      <c r="S4750" s="56" t="str">
        <f t="shared" si="222"/>
        <v/>
      </c>
      <c r="T4750" s="57" t="str">
        <f t="shared" si="223"/>
        <v/>
      </c>
      <c r="U4750" s="58" t="str">
        <f t="shared" si="224"/>
        <v/>
      </c>
    </row>
    <row r="4751" spans="19:21" ht="23.25" customHeight="1" x14ac:dyDescent="0.35">
      <c r="S4751" s="56" t="str">
        <f t="shared" si="222"/>
        <v/>
      </c>
      <c r="T4751" s="57" t="str">
        <f t="shared" si="223"/>
        <v/>
      </c>
      <c r="U4751" s="58" t="str">
        <f t="shared" si="224"/>
        <v/>
      </c>
    </row>
    <row r="4752" spans="19:21" ht="23.25" customHeight="1" x14ac:dyDescent="0.35">
      <c r="S4752" s="56" t="str">
        <f t="shared" si="222"/>
        <v/>
      </c>
      <c r="T4752" s="57" t="str">
        <f t="shared" si="223"/>
        <v/>
      </c>
      <c r="U4752" s="58" t="str">
        <f t="shared" si="224"/>
        <v/>
      </c>
    </row>
    <row r="4753" spans="19:21" ht="23.25" customHeight="1" x14ac:dyDescent="0.35">
      <c r="S4753" s="56" t="str">
        <f t="shared" si="222"/>
        <v/>
      </c>
      <c r="T4753" s="57" t="str">
        <f t="shared" si="223"/>
        <v/>
      </c>
      <c r="U4753" s="58" t="str">
        <f t="shared" si="224"/>
        <v/>
      </c>
    </row>
    <row r="4754" spans="19:21" ht="23.25" customHeight="1" x14ac:dyDescent="0.35">
      <c r="S4754" s="56" t="str">
        <f t="shared" si="222"/>
        <v/>
      </c>
      <c r="T4754" s="57" t="str">
        <f t="shared" si="223"/>
        <v/>
      </c>
      <c r="U4754" s="58" t="str">
        <f t="shared" si="224"/>
        <v/>
      </c>
    </row>
    <row r="4755" spans="19:21" ht="23.25" customHeight="1" x14ac:dyDescent="0.35">
      <c r="S4755" s="56" t="str">
        <f t="shared" si="222"/>
        <v/>
      </c>
      <c r="T4755" s="57" t="str">
        <f t="shared" si="223"/>
        <v/>
      </c>
      <c r="U4755" s="58" t="str">
        <f t="shared" si="224"/>
        <v/>
      </c>
    </row>
    <row r="4756" spans="19:21" ht="23.25" customHeight="1" x14ac:dyDescent="0.35">
      <c r="S4756" s="56" t="str">
        <f t="shared" si="222"/>
        <v/>
      </c>
      <c r="T4756" s="57" t="str">
        <f t="shared" si="223"/>
        <v/>
      </c>
      <c r="U4756" s="58" t="str">
        <f t="shared" si="224"/>
        <v/>
      </c>
    </row>
    <row r="4757" spans="19:21" ht="23.25" customHeight="1" x14ac:dyDescent="0.35">
      <c r="S4757" s="56" t="str">
        <f t="shared" si="222"/>
        <v/>
      </c>
      <c r="T4757" s="57" t="str">
        <f t="shared" si="223"/>
        <v/>
      </c>
      <c r="U4757" s="58" t="str">
        <f t="shared" si="224"/>
        <v/>
      </c>
    </row>
    <row r="4758" spans="19:21" ht="23.25" customHeight="1" x14ac:dyDescent="0.35">
      <c r="S4758" s="56" t="str">
        <f t="shared" si="222"/>
        <v/>
      </c>
      <c r="T4758" s="57" t="str">
        <f t="shared" si="223"/>
        <v/>
      </c>
      <c r="U4758" s="58" t="str">
        <f t="shared" si="224"/>
        <v/>
      </c>
    </row>
    <row r="4759" spans="19:21" ht="23.25" customHeight="1" x14ac:dyDescent="0.35">
      <c r="S4759" s="56" t="str">
        <f t="shared" si="222"/>
        <v/>
      </c>
      <c r="T4759" s="57" t="str">
        <f t="shared" si="223"/>
        <v/>
      </c>
      <c r="U4759" s="58" t="str">
        <f t="shared" si="224"/>
        <v/>
      </c>
    </row>
    <row r="4760" spans="19:21" ht="23.25" customHeight="1" x14ac:dyDescent="0.35">
      <c r="S4760" s="56" t="str">
        <f t="shared" si="222"/>
        <v/>
      </c>
      <c r="T4760" s="57" t="str">
        <f t="shared" si="223"/>
        <v/>
      </c>
      <c r="U4760" s="58" t="str">
        <f t="shared" si="224"/>
        <v/>
      </c>
    </row>
    <row r="4761" spans="19:21" ht="23.25" customHeight="1" x14ac:dyDescent="0.35">
      <c r="S4761" s="56" t="str">
        <f t="shared" si="222"/>
        <v/>
      </c>
      <c r="T4761" s="57" t="str">
        <f t="shared" si="223"/>
        <v/>
      </c>
      <c r="U4761" s="58" t="str">
        <f t="shared" si="224"/>
        <v/>
      </c>
    </row>
    <row r="4762" spans="19:21" ht="23.25" customHeight="1" x14ac:dyDescent="0.35">
      <c r="S4762" s="56" t="str">
        <f t="shared" si="222"/>
        <v/>
      </c>
      <c r="T4762" s="57" t="str">
        <f t="shared" si="223"/>
        <v/>
      </c>
      <c r="U4762" s="58" t="str">
        <f t="shared" si="224"/>
        <v/>
      </c>
    </row>
    <row r="4763" spans="19:21" ht="23.25" customHeight="1" x14ac:dyDescent="0.35">
      <c r="S4763" s="56" t="str">
        <f t="shared" si="222"/>
        <v/>
      </c>
      <c r="T4763" s="57" t="str">
        <f t="shared" si="223"/>
        <v/>
      </c>
      <c r="U4763" s="58" t="str">
        <f t="shared" si="224"/>
        <v/>
      </c>
    </row>
    <row r="4764" spans="19:21" ht="23.25" customHeight="1" x14ac:dyDescent="0.35">
      <c r="S4764" s="56" t="str">
        <f t="shared" si="222"/>
        <v/>
      </c>
      <c r="T4764" s="57" t="str">
        <f t="shared" si="223"/>
        <v/>
      </c>
      <c r="U4764" s="58" t="str">
        <f t="shared" si="224"/>
        <v/>
      </c>
    </row>
    <row r="4765" spans="19:21" ht="23.25" customHeight="1" x14ac:dyDescent="0.35">
      <c r="S4765" s="56" t="str">
        <f t="shared" si="222"/>
        <v/>
      </c>
      <c r="T4765" s="57" t="str">
        <f t="shared" si="223"/>
        <v/>
      </c>
      <c r="U4765" s="58" t="str">
        <f t="shared" si="224"/>
        <v/>
      </c>
    </row>
    <row r="4766" spans="19:21" ht="23.25" customHeight="1" x14ac:dyDescent="0.35">
      <c r="S4766" s="56" t="str">
        <f t="shared" si="222"/>
        <v/>
      </c>
      <c r="T4766" s="57" t="str">
        <f t="shared" si="223"/>
        <v/>
      </c>
      <c r="U4766" s="58" t="str">
        <f t="shared" si="224"/>
        <v/>
      </c>
    </row>
    <row r="4767" spans="19:21" ht="23.25" customHeight="1" x14ac:dyDescent="0.35">
      <c r="S4767" s="56" t="str">
        <f t="shared" si="222"/>
        <v/>
      </c>
      <c r="T4767" s="57" t="str">
        <f t="shared" si="223"/>
        <v/>
      </c>
      <c r="U4767" s="58" t="str">
        <f t="shared" si="224"/>
        <v/>
      </c>
    </row>
    <row r="4768" spans="19:21" ht="23.25" customHeight="1" x14ac:dyDescent="0.35">
      <c r="S4768" s="56" t="str">
        <f t="shared" si="222"/>
        <v/>
      </c>
      <c r="T4768" s="57" t="str">
        <f t="shared" si="223"/>
        <v/>
      </c>
      <c r="U4768" s="58" t="str">
        <f t="shared" si="224"/>
        <v/>
      </c>
    </row>
    <row r="4769" spans="19:21" ht="23.25" customHeight="1" x14ac:dyDescent="0.35">
      <c r="S4769" s="56" t="str">
        <f t="shared" si="222"/>
        <v/>
      </c>
      <c r="T4769" s="57" t="str">
        <f t="shared" si="223"/>
        <v/>
      </c>
      <c r="U4769" s="58" t="str">
        <f t="shared" si="224"/>
        <v/>
      </c>
    </row>
    <row r="4770" spans="19:21" ht="23.25" customHeight="1" x14ac:dyDescent="0.35">
      <c r="S4770" s="56" t="str">
        <f t="shared" si="222"/>
        <v/>
      </c>
      <c r="T4770" s="57" t="str">
        <f t="shared" si="223"/>
        <v/>
      </c>
      <c r="U4770" s="58" t="str">
        <f t="shared" si="224"/>
        <v/>
      </c>
    </row>
    <row r="4771" spans="19:21" ht="23.25" customHeight="1" x14ac:dyDescent="0.35">
      <c r="S4771" s="56" t="str">
        <f t="shared" si="222"/>
        <v/>
      </c>
      <c r="T4771" s="57" t="str">
        <f t="shared" si="223"/>
        <v/>
      </c>
      <c r="U4771" s="58" t="str">
        <f t="shared" si="224"/>
        <v/>
      </c>
    </row>
    <row r="4772" spans="19:21" ht="23.25" customHeight="1" x14ac:dyDescent="0.35">
      <c r="S4772" s="56" t="str">
        <f t="shared" si="222"/>
        <v/>
      </c>
      <c r="T4772" s="57" t="str">
        <f t="shared" si="223"/>
        <v/>
      </c>
      <c r="U4772" s="58" t="str">
        <f t="shared" si="224"/>
        <v/>
      </c>
    </row>
    <row r="4773" spans="19:21" ht="23.25" customHeight="1" x14ac:dyDescent="0.35">
      <c r="S4773" s="56" t="str">
        <f t="shared" si="222"/>
        <v/>
      </c>
      <c r="T4773" s="57" t="str">
        <f t="shared" si="223"/>
        <v/>
      </c>
      <c r="U4773" s="58" t="str">
        <f t="shared" si="224"/>
        <v/>
      </c>
    </row>
    <row r="4774" spans="19:21" ht="23.25" customHeight="1" x14ac:dyDescent="0.35">
      <c r="S4774" s="56" t="str">
        <f t="shared" si="222"/>
        <v/>
      </c>
      <c r="T4774" s="57" t="str">
        <f t="shared" si="223"/>
        <v/>
      </c>
      <c r="U4774" s="58" t="str">
        <f t="shared" si="224"/>
        <v/>
      </c>
    </row>
    <row r="4775" spans="19:21" ht="23.25" customHeight="1" x14ac:dyDescent="0.35">
      <c r="S4775" s="56" t="str">
        <f t="shared" si="222"/>
        <v/>
      </c>
      <c r="T4775" s="57" t="str">
        <f t="shared" si="223"/>
        <v/>
      </c>
      <c r="U4775" s="58" t="str">
        <f t="shared" si="224"/>
        <v/>
      </c>
    </row>
    <row r="4776" spans="19:21" ht="23.25" customHeight="1" x14ac:dyDescent="0.35">
      <c r="S4776" s="56" t="str">
        <f t="shared" si="222"/>
        <v/>
      </c>
      <c r="T4776" s="57" t="str">
        <f t="shared" si="223"/>
        <v/>
      </c>
      <c r="U4776" s="58" t="str">
        <f t="shared" si="224"/>
        <v/>
      </c>
    </row>
    <row r="4777" spans="19:21" ht="23.25" customHeight="1" x14ac:dyDescent="0.35">
      <c r="S4777" s="56" t="str">
        <f t="shared" si="222"/>
        <v/>
      </c>
      <c r="T4777" s="57" t="str">
        <f t="shared" si="223"/>
        <v/>
      </c>
      <c r="U4777" s="58" t="str">
        <f t="shared" si="224"/>
        <v/>
      </c>
    </row>
    <row r="4778" spans="19:21" ht="23.25" customHeight="1" x14ac:dyDescent="0.35">
      <c r="S4778" s="56" t="str">
        <f t="shared" si="222"/>
        <v/>
      </c>
      <c r="T4778" s="57" t="str">
        <f t="shared" si="223"/>
        <v/>
      </c>
      <c r="U4778" s="58" t="str">
        <f t="shared" si="224"/>
        <v/>
      </c>
    </row>
    <row r="4779" spans="19:21" ht="23.25" customHeight="1" x14ac:dyDescent="0.35">
      <c r="S4779" s="56" t="str">
        <f t="shared" si="222"/>
        <v/>
      </c>
      <c r="T4779" s="57" t="str">
        <f t="shared" si="223"/>
        <v/>
      </c>
      <c r="U4779" s="58" t="str">
        <f t="shared" si="224"/>
        <v/>
      </c>
    </row>
    <row r="4780" spans="19:21" ht="23.25" customHeight="1" x14ac:dyDescent="0.35">
      <c r="S4780" s="56" t="str">
        <f t="shared" si="222"/>
        <v/>
      </c>
      <c r="T4780" s="57" t="str">
        <f t="shared" si="223"/>
        <v/>
      </c>
      <c r="U4780" s="58" t="str">
        <f t="shared" si="224"/>
        <v/>
      </c>
    </row>
    <row r="4781" spans="19:21" ht="23.25" customHeight="1" x14ac:dyDescent="0.35">
      <c r="S4781" s="56" t="str">
        <f t="shared" si="222"/>
        <v/>
      </c>
      <c r="T4781" s="57" t="str">
        <f t="shared" si="223"/>
        <v/>
      </c>
      <c r="U4781" s="58" t="str">
        <f t="shared" si="224"/>
        <v/>
      </c>
    </row>
    <row r="4782" spans="19:21" ht="23.25" customHeight="1" x14ac:dyDescent="0.35">
      <c r="S4782" s="56" t="str">
        <f t="shared" si="222"/>
        <v/>
      </c>
      <c r="T4782" s="57" t="str">
        <f t="shared" si="223"/>
        <v/>
      </c>
      <c r="U4782" s="58" t="str">
        <f t="shared" si="224"/>
        <v/>
      </c>
    </row>
    <row r="4783" spans="19:21" ht="23.25" customHeight="1" x14ac:dyDescent="0.35">
      <c r="S4783" s="56" t="str">
        <f t="shared" si="222"/>
        <v/>
      </c>
      <c r="T4783" s="57" t="str">
        <f t="shared" si="223"/>
        <v/>
      </c>
      <c r="U4783" s="58" t="str">
        <f t="shared" si="224"/>
        <v/>
      </c>
    </row>
    <row r="4784" spans="19:21" ht="23.25" customHeight="1" x14ac:dyDescent="0.35">
      <c r="S4784" s="56" t="str">
        <f t="shared" si="222"/>
        <v/>
      </c>
      <c r="T4784" s="57" t="str">
        <f t="shared" si="223"/>
        <v/>
      </c>
      <c r="U4784" s="58" t="str">
        <f t="shared" si="224"/>
        <v/>
      </c>
    </row>
    <row r="4785" spans="19:21" ht="23.25" customHeight="1" x14ac:dyDescent="0.35">
      <c r="S4785" s="56" t="str">
        <f t="shared" si="222"/>
        <v/>
      </c>
      <c r="T4785" s="57" t="str">
        <f t="shared" si="223"/>
        <v/>
      </c>
      <c r="U4785" s="58" t="str">
        <f t="shared" si="224"/>
        <v/>
      </c>
    </row>
    <row r="4786" spans="19:21" ht="23.25" customHeight="1" x14ac:dyDescent="0.35">
      <c r="S4786" s="56" t="str">
        <f t="shared" si="222"/>
        <v/>
      </c>
      <c r="T4786" s="57" t="str">
        <f t="shared" si="223"/>
        <v/>
      </c>
      <c r="U4786" s="58" t="str">
        <f t="shared" si="224"/>
        <v/>
      </c>
    </row>
    <row r="4787" spans="19:21" ht="23.25" customHeight="1" x14ac:dyDescent="0.35">
      <c r="S4787" s="56" t="str">
        <f t="shared" si="222"/>
        <v/>
      </c>
      <c r="T4787" s="57" t="str">
        <f t="shared" si="223"/>
        <v/>
      </c>
      <c r="U4787" s="58" t="str">
        <f t="shared" si="224"/>
        <v/>
      </c>
    </row>
    <row r="4788" spans="19:21" ht="23.25" customHeight="1" x14ac:dyDescent="0.35">
      <c r="S4788" s="56" t="str">
        <f t="shared" si="222"/>
        <v/>
      </c>
      <c r="T4788" s="57" t="str">
        <f t="shared" si="223"/>
        <v/>
      </c>
      <c r="U4788" s="58" t="str">
        <f t="shared" si="224"/>
        <v/>
      </c>
    </row>
    <row r="4789" spans="19:21" ht="23.25" customHeight="1" x14ac:dyDescent="0.35">
      <c r="S4789" s="56" t="str">
        <f t="shared" si="222"/>
        <v/>
      </c>
      <c r="T4789" s="57" t="str">
        <f t="shared" si="223"/>
        <v/>
      </c>
      <c r="U4789" s="58" t="str">
        <f t="shared" si="224"/>
        <v/>
      </c>
    </row>
    <row r="4790" spans="19:21" ht="23.25" customHeight="1" x14ac:dyDescent="0.35">
      <c r="S4790" s="56" t="str">
        <f t="shared" si="222"/>
        <v/>
      </c>
      <c r="T4790" s="57" t="str">
        <f t="shared" si="223"/>
        <v/>
      </c>
      <c r="U4790" s="58" t="str">
        <f t="shared" si="224"/>
        <v/>
      </c>
    </row>
    <row r="4791" spans="19:21" ht="23.25" customHeight="1" x14ac:dyDescent="0.35">
      <c r="S4791" s="56" t="str">
        <f t="shared" si="222"/>
        <v/>
      </c>
      <c r="T4791" s="57" t="str">
        <f t="shared" si="223"/>
        <v/>
      </c>
      <c r="U4791" s="58" t="str">
        <f t="shared" si="224"/>
        <v/>
      </c>
    </row>
    <row r="4792" spans="19:21" ht="23.25" customHeight="1" x14ac:dyDescent="0.35">
      <c r="S4792" s="56" t="str">
        <f t="shared" si="222"/>
        <v/>
      </c>
      <c r="T4792" s="57" t="str">
        <f t="shared" si="223"/>
        <v/>
      </c>
      <c r="U4792" s="58" t="str">
        <f t="shared" si="224"/>
        <v/>
      </c>
    </row>
    <row r="4793" spans="19:21" ht="23.25" customHeight="1" x14ac:dyDescent="0.35">
      <c r="S4793" s="56" t="str">
        <f t="shared" si="222"/>
        <v/>
      </c>
      <c r="T4793" s="57" t="str">
        <f t="shared" si="223"/>
        <v/>
      </c>
      <c r="U4793" s="58" t="str">
        <f t="shared" si="224"/>
        <v/>
      </c>
    </row>
    <row r="4794" spans="19:21" ht="23.25" customHeight="1" x14ac:dyDescent="0.35">
      <c r="S4794" s="56" t="str">
        <f t="shared" si="222"/>
        <v/>
      </c>
      <c r="T4794" s="57" t="str">
        <f t="shared" si="223"/>
        <v/>
      </c>
      <c r="U4794" s="58" t="str">
        <f t="shared" si="224"/>
        <v/>
      </c>
    </row>
    <row r="4795" spans="19:21" ht="23.25" customHeight="1" x14ac:dyDescent="0.35">
      <c r="S4795" s="56" t="str">
        <f t="shared" si="222"/>
        <v/>
      </c>
      <c r="T4795" s="57" t="str">
        <f t="shared" si="223"/>
        <v/>
      </c>
      <c r="U4795" s="58" t="str">
        <f t="shared" si="224"/>
        <v/>
      </c>
    </row>
    <row r="4796" spans="19:21" ht="23.25" customHeight="1" x14ac:dyDescent="0.35">
      <c r="S4796" s="56" t="str">
        <f t="shared" si="222"/>
        <v/>
      </c>
      <c r="T4796" s="57" t="str">
        <f t="shared" si="223"/>
        <v/>
      </c>
      <c r="U4796" s="58" t="str">
        <f t="shared" si="224"/>
        <v/>
      </c>
    </row>
    <row r="4797" spans="19:21" ht="23.25" customHeight="1" x14ac:dyDescent="0.35">
      <c r="S4797" s="56" t="str">
        <f t="shared" si="222"/>
        <v/>
      </c>
      <c r="T4797" s="57" t="str">
        <f t="shared" si="223"/>
        <v/>
      </c>
      <c r="U4797" s="58" t="str">
        <f t="shared" si="224"/>
        <v/>
      </c>
    </row>
    <row r="4798" spans="19:21" ht="23.25" customHeight="1" x14ac:dyDescent="0.35">
      <c r="S4798" s="56" t="str">
        <f t="shared" si="222"/>
        <v/>
      </c>
      <c r="T4798" s="57" t="str">
        <f t="shared" si="223"/>
        <v/>
      </c>
      <c r="U4798" s="58" t="str">
        <f t="shared" si="224"/>
        <v/>
      </c>
    </row>
    <row r="4799" spans="19:21" ht="23.25" customHeight="1" x14ac:dyDescent="0.35">
      <c r="S4799" s="56" t="str">
        <f t="shared" si="222"/>
        <v/>
      </c>
      <c r="T4799" s="57" t="str">
        <f t="shared" si="223"/>
        <v/>
      </c>
      <c r="U4799" s="58" t="str">
        <f t="shared" si="224"/>
        <v/>
      </c>
    </row>
    <row r="4800" spans="19:21" ht="23.25" customHeight="1" x14ac:dyDescent="0.35">
      <c r="S4800" s="56" t="str">
        <f t="shared" si="222"/>
        <v/>
      </c>
      <c r="T4800" s="57" t="str">
        <f t="shared" si="223"/>
        <v/>
      </c>
      <c r="U4800" s="58" t="str">
        <f t="shared" si="224"/>
        <v/>
      </c>
    </row>
    <row r="4801" spans="19:21" ht="23.25" customHeight="1" x14ac:dyDescent="0.35">
      <c r="S4801" s="56" t="str">
        <f t="shared" si="222"/>
        <v/>
      </c>
      <c r="T4801" s="57" t="str">
        <f t="shared" si="223"/>
        <v/>
      </c>
      <c r="U4801" s="58" t="str">
        <f t="shared" si="224"/>
        <v/>
      </c>
    </row>
    <row r="4802" spans="19:21" ht="23.25" customHeight="1" x14ac:dyDescent="0.35">
      <c r="S4802" s="56" t="str">
        <f t="shared" si="222"/>
        <v/>
      </c>
      <c r="T4802" s="57" t="str">
        <f t="shared" si="223"/>
        <v/>
      </c>
      <c r="U4802" s="58" t="str">
        <f t="shared" si="224"/>
        <v/>
      </c>
    </row>
    <row r="4803" spans="19:21" ht="23.25" customHeight="1" x14ac:dyDescent="0.35">
      <c r="S4803" s="56" t="str">
        <f t="shared" si="222"/>
        <v/>
      </c>
      <c r="T4803" s="57" t="str">
        <f t="shared" si="223"/>
        <v/>
      </c>
      <c r="U4803" s="58" t="str">
        <f t="shared" si="224"/>
        <v/>
      </c>
    </row>
    <row r="4804" spans="19:21" ht="23.25" customHeight="1" x14ac:dyDescent="0.35">
      <c r="S4804" s="56" t="str">
        <f t="shared" si="222"/>
        <v/>
      </c>
      <c r="T4804" s="57" t="str">
        <f t="shared" si="223"/>
        <v/>
      </c>
      <c r="U4804" s="58" t="str">
        <f t="shared" si="224"/>
        <v/>
      </c>
    </row>
    <row r="4805" spans="19:21" ht="23.25" customHeight="1" x14ac:dyDescent="0.35">
      <c r="S4805" s="56" t="str">
        <f t="shared" si="222"/>
        <v/>
      </c>
      <c r="T4805" s="57" t="str">
        <f t="shared" si="223"/>
        <v/>
      </c>
      <c r="U4805" s="58" t="str">
        <f t="shared" si="224"/>
        <v/>
      </c>
    </row>
    <row r="4806" spans="19:21" ht="23.25" customHeight="1" x14ac:dyDescent="0.35">
      <c r="S4806" s="56" t="str">
        <f t="shared" si="222"/>
        <v/>
      </c>
      <c r="T4806" s="57" t="str">
        <f t="shared" si="223"/>
        <v/>
      </c>
      <c r="U4806" s="58" t="str">
        <f t="shared" si="224"/>
        <v/>
      </c>
    </row>
    <row r="4807" spans="19:21" ht="23.25" customHeight="1" x14ac:dyDescent="0.35">
      <c r="S4807" s="56" t="str">
        <f t="shared" si="222"/>
        <v/>
      </c>
      <c r="T4807" s="57" t="str">
        <f t="shared" si="223"/>
        <v/>
      </c>
      <c r="U4807" s="58" t="str">
        <f t="shared" si="224"/>
        <v/>
      </c>
    </row>
    <row r="4808" spans="19:21" ht="23.25" customHeight="1" x14ac:dyDescent="0.35">
      <c r="S4808" s="56" t="str">
        <f t="shared" si="222"/>
        <v/>
      </c>
      <c r="T4808" s="57" t="str">
        <f t="shared" si="223"/>
        <v/>
      </c>
      <c r="U4808" s="58" t="str">
        <f t="shared" si="224"/>
        <v/>
      </c>
    </row>
    <row r="4809" spans="19:21" ht="23.25" customHeight="1" x14ac:dyDescent="0.35">
      <c r="S4809" s="56" t="str">
        <f t="shared" ref="S4809:S4872" si="225">IF(A4809="","",A$5-A4809)</f>
        <v/>
      </c>
      <c r="T4809" s="57" t="str">
        <f t="shared" ref="T4809:T4872" si="226">IF(S4809="","",IF(S4809&lt;4,"0-3 Days",IF(S4809&lt;31,"4-30 Days",IF(S4809&lt;61,"31-60 Days",IF(S4809&lt;=90,"61-90 Days",IF(S4809&gt;90,"Above 90 Days","0"))))))</f>
        <v/>
      </c>
      <c r="U4809" s="58" t="str">
        <f t="shared" ref="U4809:U4872" si="227">IF(C4809="","",IF(C4809&gt;0,IF(S4809&lt;30,"Normal",IF(S4809&lt;60,"Especially Mentioned",IF(S4809&lt;90,"Substandard",IF(S4809&lt;=180,"Doubtful",IF(S4809&gt;180,"Loss","0"))))),"Not Applicable"))</f>
        <v/>
      </c>
    </row>
    <row r="4810" spans="19:21" ht="23.25" customHeight="1" x14ac:dyDescent="0.35">
      <c r="S4810" s="56" t="str">
        <f t="shared" si="225"/>
        <v/>
      </c>
      <c r="T4810" s="57" t="str">
        <f t="shared" si="226"/>
        <v/>
      </c>
      <c r="U4810" s="58" t="str">
        <f t="shared" si="227"/>
        <v/>
      </c>
    </row>
    <row r="4811" spans="19:21" ht="23.25" customHeight="1" x14ac:dyDescent="0.35">
      <c r="S4811" s="56" t="str">
        <f t="shared" si="225"/>
        <v/>
      </c>
      <c r="T4811" s="57" t="str">
        <f t="shared" si="226"/>
        <v/>
      </c>
      <c r="U4811" s="58" t="str">
        <f t="shared" si="227"/>
        <v/>
      </c>
    </row>
    <row r="4812" spans="19:21" ht="23.25" customHeight="1" x14ac:dyDescent="0.35">
      <c r="S4812" s="56" t="str">
        <f t="shared" si="225"/>
        <v/>
      </c>
      <c r="T4812" s="57" t="str">
        <f t="shared" si="226"/>
        <v/>
      </c>
      <c r="U4812" s="58" t="str">
        <f t="shared" si="227"/>
        <v/>
      </c>
    </row>
    <row r="4813" spans="19:21" ht="23.25" customHeight="1" x14ac:dyDescent="0.35">
      <c r="S4813" s="56" t="str">
        <f t="shared" si="225"/>
        <v/>
      </c>
      <c r="T4813" s="57" t="str">
        <f t="shared" si="226"/>
        <v/>
      </c>
      <c r="U4813" s="58" t="str">
        <f t="shared" si="227"/>
        <v/>
      </c>
    </row>
    <row r="4814" spans="19:21" ht="23.25" customHeight="1" x14ac:dyDescent="0.35">
      <c r="S4814" s="56" t="str">
        <f t="shared" si="225"/>
        <v/>
      </c>
      <c r="T4814" s="57" t="str">
        <f t="shared" si="226"/>
        <v/>
      </c>
      <c r="U4814" s="58" t="str">
        <f t="shared" si="227"/>
        <v/>
      </c>
    </row>
    <row r="4815" spans="19:21" ht="23.25" customHeight="1" x14ac:dyDescent="0.35">
      <c r="S4815" s="56" t="str">
        <f t="shared" si="225"/>
        <v/>
      </c>
      <c r="T4815" s="57" t="str">
        <f t="shared" si="226"/>
        <v/>
      </c>
      <c r="U4815" s="58" t="str">
        <f t="shared" si="227"/>
        <v/>
      </c>
    </row>
    <row r="4816" spans="19:21" ht="23.25" customHeight="1" x14ac:dyDescent="0.35">
      <c r="S4816" s="56" t="str">
        <f t="shared" si="225"/>
        <v/>
      </c>
      <c r="T4816" s="57" t="str">
        <f t="shared" si="226"/>
        <v/>
      </c>
      <c r="U4816" s="58" t="str">
        <f t="shared" si="227"/>
        <v/>
      </c>
    </row>
    <row r="4817" spans="19:21" ht="23.25" customHeight="1" x14ac:dyDescent="0.35">
      <c r="S4817" s="56" t="str">
        <f t="shared" si="225"/>
        <v/>
      </c>
      <c r="T4817" s="57" t="str">
        <f t="shared" si="226"/>
        <v/>
      </c>
      <c r="U4817" s="58" t="str">
        <f t="shared" si="227"/>
        <v/>
      </c>
    </row>
    <row r="4818" spans="19:21" ht="23.25" customHeight="1" x14ac:dyDescent="0.35">
      <c r="S4818" s="56" t="str">
        <f t="shared" si="225"/>
        <v/>
      </c>
      <c r="T4818" s="57" t="str">
        <f t="shared" si="226"/>
        <v/>
      </c>
      <c r="U4818" s="58" t="str">
        <f t="shared" si="227"/>
        <v/>
      </c>
    </row>
    <row r="4819" spans="19:21" ht="23.25" customHeight="1" x14ac:dyDescent="0.35">
      <c r="S4819" s="56" t="str">
        <f t="shared" si="225"/>
        <v/>
      </c>
      <c r="T4819" s="57" t="str">
        <f t="shared" si="226"/>
        <v/>
      </c>
      <c r="U4819" s="58" t="str">
        <f t="shared" si="227"/>
        <v/>
      </c>
    </row>
    <row r="4820" spans="19:21" ht="23.25" customHeight="1" x14ac:dyDescent="0.35">
      <c r="S4820" s="56" t="str">
        <f t="shared" si="225"/>
        <v/>
      </c>
      <c r="T4820" s="57" t="str">
        <f t="shared" si="226"/>
        <v/>
      </c>
      <c r="U4820" s="58" t="str">
        <f t="shared" si="227"/>
        <v/>
      </c>
    </row>
    <row r="4821" spans="19:21" ht="23.25" customHeight="1" x14ac:dyDescent="0.35">
      <c r="S4821" s="56" t="str">
        <f t="shared" si="225"/>
        <v/>
      </c>
      <c r="T4821" s="57" t="str">
        <f t="shared" si="226"/>
        <v/>
      </c>
      <c r="U4821" s="58" t="str">
        <f t="shared" si="227"/>
        <v/>
      </c>
    </row>
    <row r="4822" spans="19:21" ht="23.25" customHeight="1" x14ac:dyDescent="0.35">
      <c r="S4822" s="56" t="str">
        <f t="shared" si="225"/>
        <v/>
      </c>
      <c r="T4822" s="57" t="str">
        <f t="shared" si="226"/>
        <v/>
      </c>
      <c r="U4822" s="58" t="str">
        <f t="shared" si="227"/>
        <v/>
      </c>
    </row>
    <row r="4823" spans="19:21" ht="23.25" customHeight="1" x14ac:dyDescent="0.35">
      <c r="S4823" s="56" t="str">
        <f t="shared" si="225"/>
        <v/>
      </c>
      <c r="T4823" s="57" t="str">
        <f t="shared" si="226"/>
        <v/>
      </c>
      <c r="U4823" s="58" t="str">
        <f t="shared" si="227"/>
        <v/>
      </c>
    </row>
    <row r="4824" spans="19:21" ht="23.25" customHeight="1" x14ac:dyDescent="0.35">
      <c r="S4824" s="56" t="str">
        <f t="shared" si="225"/>
        <v/>
      </c>
      <c r="T4824" s="57" t="str">
        <f t="shared" si="226"/>
        <v/>
      </c>
      <c r="U4824" s="58" t="str">
        <f t="shared" si="227"/>
        <v/>
      </c>
    </row>
    <row r="4825" spans="19:21" ht="23.25" customHeight="1" x14ac:dyDescent="0.35">
      <c r="S4825" s="56" t="str">
        <f t="shared" si="225"/>
        <v/>
      </c>
      <c r="T4825" s="57" t="str">
        <f t="shared" si="226"/>
        <v/>
      </c>
      <c r="U4825" s="58" t="str">
        <f t="shared" si="227"/>
        <v/>
      </c>
    </row>
    <row r="4826" spans="19:21" ht="23.25" customHeight="1" x14ac:dyDescent="0.35">
      <c r="S4826" s="56" t="str">
        <f t="shared" si="225"/>
        <v/>
      </c>
      <c r="T4826" s="57" t="str">
        <f t="shared" si="226"/>
        <v/>
      </c>
      <c r="U4826" s="58" t="str">
        <f t="shared" si="227"/>
        <v/>
      </c>
    </row>
    <row r="4827" spans="19:21" ht="23.25" customHeight="1" x14ac:dyDescent="0.35">
      <c r="S4827" s="56" t="str">
        <f t="shared" si="225"/>
        <v/>
      </c>
      <c r="T4827" s="57" t="str">
        <f t="shared" si="226"/>
        <v/>
      </c>
      <c r="U4827" s="58" t="str">
        <f t="shared" si="227"/>
        <v/>
      </c>
    </row>
    <row r="4828" spans="19:21" ht="23.25" customHeight="1" x14ac:dyDescent="0.35">
      <c r="S4828" s="56" t="str">
        <f t="shared" si="225"/>
        <v/>
      </c>
      <c r="T4828" s="57" t="str">
        <f t="shared" si="226"/>
        <v/>
      </c>
      <c r="U4828" s="58" t="str">
        <f t="shared" si="227"/>
        <v/>
      </c>
    </row>
    <row r="4829" spans="19:21" ht="23.25" customHeight="1" x14ac:dyDescent="0.35">
      <c r="S4829" s="56" t="str">
        <f t="shared" si="225"/>
        <v/>
      </c>
      <c r="T4829" s="57" t="str">
        <f t="shared" si="226"/>
        <v/>
      </c>
      <c r="U4829" s="58" t="str">
        <f t="shared" si="227"/>
        <v/>
      </c>
    </row>
    <row r="4830" spans="19:21" ht="23.25" customHeight="1" x14ac:dyDescent="0.35">
      <c r="S4830" s="56" t="str">
        <f t="shared" si="225"/>
        <v/>
      </c>
      <c r="T4830" s="57" t="str">
        <f t="shared" si="226"/>
        <v/>
      </c>
      <c r="U4830" s="58" t="str">
        <f t="shared" si="227"/>
        <v/>
      </c>
    </row>
    <row r="4831" spans="19:21" ht="23.25" customHeight="1" x14ac:dyDescent="0.35">
      <c r="S4831" s="56" t="str">
        <f t="shared" si="225"/>
        <v/>
      </c>
      <c r="T4831" s="57" t="str">
        <f t="shared" si="226"/>
        <v/>
      </c>
      <c r="U4831" s="58" t="str">
        <f t="shared" si="227"/>
        <v/>
      </c>
    </row>
    <row r="4832" spans="19:21" ht="23.25" customHeight="1" x14ac:dyDescent="0.35">
      <c r="S4832" s="56" t="str">
        <f t="shared" si="225"/>
        <v/>
      </c>
      <c r="T4832" s="57" t="str">
        <f t="shared" si="226"/>
        <v/>
      </c>
      <c r="U4832" s="58" t="str">
        <f t="shared" si="227"/>
        <v/>
      </c>
    </row>
    <row r="4833" spans="19:21" ht="23.25" customHeight="1" x14ac:dyDescent="0.35">
      <c r="S4833" s="56" t="str">
        <f t="shared" si="225"/>
        <v/>
      </c>
      <c r="T4833" s="57" t="str">
        <f t="shared" si="226"/>
        <v/>
      </c>
      <c r="U4833" s="58" t="str">
        <f t="shared" si="227"/>
        <v/>
      </c>
    </row>
    <row r="4834" spans="19:21" ht="23.25" customHeight="1" x14ac:dyDescent="0.35">
      <c r="S4834" s="56" t="str">
        <f t="shared" si="225"/>
        <v/>
      </c>
      <c r="T4834" s="57" t="str">
        <f t="shared" si="226"/>
        <v/>
      </c>
      <c r="U4834" s="58" t="str">
        <f t="shared" si="227"/>
        <v/>
      </c>
    </row>
    <row r="4835" spans="19:21" ht="23.25" customHeight="1" x14ac:dyDescent="0.35">
      <c r="S4835" s="56" t="str">
        <f t="shared" si="225"/>
        <v/>
      </c>
      <c r="T4835" s="57" t="str">
        <f t="shared" si="226"/>
        <v/>
      </c>
      <c r="U4835" s="58" t="str">
        <f t="shared" si="227"/>
        <v/>
      </c>
    </row>
    <row r="4836" spans="19:21" ht="23.25" customHeight="1" x14ac:dyDescent="0.35">
      <c r="S4836" s="56" t="str">
        <f t="shared" si="225"/>
        <v/>
      </c>
      <c r="T4836" s="57" t="str">
        <f t="shared" si="226"/>
        <v/>
      </c>
      <c r="U4836" s="58" t="str">
        <f t="shared" si="227"/>
        <v/>
      </c>
    </row>
    <row r="4837" spans="19:21" ht="23.25" customHeight="1" x14ac:dyDescent="0.35">
      <c r="S4837" s="56" t="str">
        <f t="shared" si="225"/>
        <v/>
      </c>
      <c r="T4837" s="57" t="str">
        <f t="shared" si="226"/>
        <v/>
      </c>
      <c r="U4837" s="58" t="str">
        <f t="shared" si="227"/>
        <v/>
      </c>
    </row>
    <row r="4838" spans="19:21" ht="23.25" customHeight="1" x14ac:dyDescent="0.35">
      <c r="S4838" s="56" t="str">
        <f t="shared" si="225"/>
        <v/>
      </c>
      <c r="T4838" s="57" t="str">
        <f t="shared" si="226"/>
        <v/>
      </c>
      <c r="U4838" s="58" t="str">
        <f t="shared" si="227"/>
        <v/>
      </c>
    </row>
    <row r="4839" spans="19:21" ht="23.25" customHeight="1" x14ac:dyDescent="0.35">
      <c r="S4839" s="56" t="str">
        <f t="shared" si="225"/>
        <v/>
      </c>
      <c r="T4839" s="57" t="str">
        <f t="shared" si="226"/>
        <v/>
      </c>
      <c r="U4839" s="58" t="str">
        <f t="shared" si="227"/>
        <v/>
      </c>
    </row>
    <row r="4840" spans="19:21" ht="23.25" customHeight="1" x14ac:dyDescent="0.35">
      <c r="S4840" s="56" t="str">
        <f t="shared" si="225"/>
        <v/>
      </c>
      <c r="T4840" s="57" t="str">
        <f t="shared" si="226"/>
        <v/>
      </c>
      <c r="U4840" s="58" t="str">
        <f t="shared" si="227"/>
        <v/>
      </c>
    </row>
    <row r="4841" spans="19:21" ht="23.25" customHeight="1" x14ac:dyDescent="0.35">
      <c r="S4841" s="56" t="str">
        <f t="shared" si="225"/>
        <v/>
      </c>
      <c r="T4841" s="57" t="str">
        <f t="shared" si="226"/>
        <v/>
      </c>
      <c r="U4841" s="58" t="str">
        <f t="shared" si="227"/>
        <v/>
      </c>
    </row>
    <row r="4842" spans="19:21" ht="23.25" customHeight="1" x14ac:dyDescent="0.35">
      <c r="S4842" s="56" t="str">
        <f t="shared" si="225"/>
        <v/>
      </c>
      <c r="T4842" s="57" t="str">
        <f t="shared" si="226"/>
        <v/>
      </c>
      <c r="U4842" s="58" t="str">
        <f t="shared" si="227"/>
        <v/>
      </c>
    </row>
    <row r="4843" spans="19:21" ht="23.25" customHeight="1" x14ac:dyDescent="0.35">
      <c r="S4843" s="56" t="str">
        <f t="shared" si="225"/>
        <v/>
      </c>
      <c r="T4843" s="57" t="str">
        <f t="shared" si="226"/>
        <v/>
      </c>
      <c r="U4843" s="58" t="str">
        <f t="shared" si="227"/>
        <v/>
      </c>
    </row>
    <row r="4844" spans="19:21" ht="23.25" customHeight="1" x14ac:dyDescent="0.35">
      <c r="S4844" s="56" t="str">
        <f t="shared" si="225"/>
        <v/>
      </c>
      <c r="T4844" s="57" t="str">
        <f t="shared" si="226"/>
        <v/>
      </c>
      <c r="U4844" s="58" t="str">
        <f t="shared" si="227"/>
        <v/>
      </c>
    </row>
    <row r="4845" spans="19:21" ht="23.25" customHeight="1" x14ac:dyDescent="0.35">
      <c r="S4845" s="56" t="str">
        <f t="shared" si="225"/>
        <v/>
      </c>
      <c r="T4845" s="57" t="str">
        <f t="shared" si="226"/>
        <v/>
      </c>
      <c r="U4845" s="58" t="str">
        <f t="shared" si="227"/>
        <v/>
      </c>
    </row>
    <row r="4846" spans="19:21" ht="23.25" customHeight="1" x14ac:dyDescent="0.35">
      <c r="S4846" s="56" t="str">
        <f t="shared" si="225"/>
        <v/>
      </c>
      <c r="T4846" s="57" t="str">
        <f t="shared" si="226"/>
        <v/>
      </c>
      <c r="U4846" s="58" t="str">
        <f t="shared" si="227"/>
        <v/>
      </c>
    </row>
    <row r="4847" spans="19:21" ht="23.25" customHeight="1" x14ac:dyDescent="0.35">
      <c r="S4847" s="56" t="str">
        <f t="shared" si="225"/>
        <v/>
      </c>
      <c r="T4847" s="57" t="str">
        <f t="shared" si="226"/>
        <v/>
      </c>
      <c r="U4847" s="58" t="str">
        <f t="shared" si="227"/>
        <v/>
      </c>
    </row>
    <row r="4848" spans="19:21" ht="23.25" customHeight="1" x14ac:dyDescent="0.35">
      <c r="S4848" s="56" t="str">
        <f t="shared" si="225"/>
        <v/>
      </c>
      <c r="T4848" s="57" t="str">
        <f t="shared" si="226"/>
        <v/>
      </c>
      <c r="U4848" s="58" t="str">
        <f t="shared" si="227"/>
        <v/>
      </c>
    </row>
    <row r="4849" spans="19:21" ht="23.25" customHeight="1" x14ac:dyDescent="0.35">
      <c r="S4849" s="56" t="str">
        <f t="shared" si="225"/>
        <v/>
      </c>
      <c r="T4849" s="57" t="str">
        <f t="shared" si="226"/>
        <v/>
      </c>
      <c r="U4849" s="58" t="str">
        <f t="shared" si="227"/>
        <v/>
      </c>
    </row>
    <row r="4850" spans="19:21" ht="23.25" customHeight="1" x14ac:dyDescent="0.35">
      <c r="S4850" s="56" t="str">
        <f t="shared" si="225"/>
        <v/>
      </c>
      <c r="T4850" s="57" t="str">
        <f t="shared" si="226"/>
        <v/>
      </c>
      <c r="U4850" s="58" t="str">
        <f t="shared" si="227"/>
        <v/>
      </c>
    </row>
    <row r="4851" spans="19:21" ht="23.25" customHeight="1" x14ac:dyDescent="0.35">
      <c r="S4851" s="56" t="str">
        <f t="shared" si="225"/>
        <v/>
      </c>
      <c r="T4851" s="57" t="str">
        <f t="shared" si="226"/>
        <v/>
      </c>
      <c r="U4851" s="58" t="str">
        <f t="shared" si="227"/>
        <v/>
      </c>
    </row>
    <row r="4852" spans="19:21" ht="23.25" customHeight="1" x14ac:dyDescent="0.35">
      <c r="S4852" s="56" t="str">
        <f t="shared" si="225"/>
        <v/>
      </c>
      <c r="T4852" s="57" t="str">
        <f t="shared" si="226"/>
        <v/>
      </c>
      <c r="U4852" s="58" t="str">
        <f t="shared" si="227"/>
        <v/>
      </c>
    </row>
    <row r="4853" spans="19:21" ht="23.25" customHeight="1" x14ac:dyDescent="0.35">
      <c r="S4853" s="56" t="str">
        <f t="shared" si="225"/>
        <v/>
      </c>
      <c r="T4853" s="57" t="str">
        <f t="shared" si="226"/>
        <v/>
      </c>
      <c r="U4853" s="58" t="str">
        <f t="shared" si="227"/>
        <v/>
      </c>
    </row>
    <row r="4854" spans="19:21" ht="23.25" customHeight="1" x14ac:dyDescent="0.35">
      <c r="S4854" s="56" t="str">
        <f t="shared" si="225"/>
        <v/>
      </c>
      <c r="T4854" s="57" t="str">
        <f t="shared" si="226"/>
        <v/>
      </c>
      <c r="U4854" s="58" t="str">
        <f t="shared" si="227"/>
        <v/>
      </c>
    </row>
    <row r="4855" spans="19:21" ht="23.25" customHeight="1" x14ac:dyDescent="0.35">
      <c r="S4855" s="56" t="str">
        <f t="shared" si="225"/>
        <v/>
      </c>
      <c r="T4855" s="57" t="str">
        <f t="shared" si="226"/>
        <v/>
      </c>
      <c r="U4855" s="58" t="str">
        <f t="shared" si="227"/>
        <v/>
      </c>
    </row>
    <row r="4856" spans="19:21" ht="23.25" customHeight="1" x14ac:dyDescent="0.35">
      <c r="S4856" s="56" t="str">
        <f t="shared" si="225"/>
        <v/>
      </c>
      <c r="T4856" s="57" t="str">
        <f t="shared" si="226"/>
        <v/>
      </c>
      <c r="U4856" s="58" t="str">
        <f t="shared" si="227"/>
        <v/>
      </c>
    </row>
    <row r="4857" spans="19:21" ht="23.25" customHeight="1" x14ac:dyDescent="0.35">
      <c r="S4857" s="56" t="str">
        <f t="shared" si="225"/>
        <v/>
      </c>
      <c r="T4857" s="57" t="str">
        <f t="shared" si="226"/>
        <v/>
      </c>
      <c r="U4857" s="58" t="str">
        <f t="shared" si="227"/>
        <v/>
      </c>
    </row>
    <row r="4858" spans="19:21" ht="23.25" customHeight="1" x14ac:dyDescent="0.35">
      <c r="S4858" s="56" t="str">
        <f t="shared" si="225"/>
        <v/>
      </c>
      <c r="T4858" s="57" t="str">
        <f t="shared" si="226"/>
        <v/>
      </c>
      <c r="U4858" s="58" t="str">
        <f t="shared" si="227"/>
        <v/>
      </c>
    </row>
    <row r="4859" spans="19:21" ht="23.25" customHeight="1" x14ac:dyDescent="0.35">
      <c r="S4859" s="56" t="str">
        <f t="shared" si="225"/>
        <v/>
      </c>
      <c r="T4859" s="57" t="str">
        <f t="shared" si="226"/>
        <v/>
      </c>
      <c r="U4859" s="58" t="str">
        <f t="shared" si="227"/>
        <v/>
      </c>
    </row>
    <row r="4860" spans="19:21" ht="23.25" customHeight="1" x14ac:dyDescent="0.35">
      <c r="S4860" s="56" t="str">
        <f t="shared" si="225"/>
        <v/>
      </c>
      <c r="T4860" s="57" t="str">
        <f t="shared" si="226"/>
        <v/>
      </c>
      <c r="U4860" s="58" t="str">
        <f t="shared" si="227"/>
        <v/>
      </c>
    </row>
    <row r="4861" spans="19:21" ht="23.25" customHeight="1" x14ac:dyDescent="0.35">
      <c r="S4861" s="56" t="str">
        <f t="shared" si="225"/>
        <v/>
      </c>
      <c r="T4861" s="57" t="str">
        <f t="shared" si="226"/>
        <v/>
      </c>
      <c r="U4861" s="58" t="str">
        <f t="shared" si="227"/>
        <v/>
      </c>
    </row>
    <row r="4862" spans="19:21" ht="23.25" customHeight="1" x14ac:dyDescent="0.35">
      <c r="S4862" s="56" t="str">
        <f t="shared" si="225"/>
        <v/>
      </c>
      <c r="T4862" s="57" t="str">
        <f t="shared" si="226"/>
        <v/>
      </c>
      <c r="U4862" s="58" t="str">
        <f t="shared" si="227"/>
        <v/>
      </c>
    </row>
    <row r="4863" spans="19:21" ht="23.25" customHeight="1" x14ac:dyDescent="0.35">
      <c r="S4863" s="56" t="str">
        <f t="shared" si="225"/>
        <v/>
      </c>
      <c r="T4863" s="57" t="str">
        <f t="shared" si="226"/>
        <v/>
      </c>
      <c r="U4863" s="58" t="str">
        <f t="shared" si="227"/>
        <v/>
      </c>
    </row>
    <row r="4864" spans="19:21" ht="23.25" customHeight="1" x14ac:dyDescent="0.35">
      <c r="S4864" s="56" t="str">
        <f t="shared" si="225"/>
        <v/>
      </c>
      <c r="T4864" s="57" t="str">
        <f t="shared" si="226"/>
        <v/>
      </c>
      <c r="U4864" s="58" t="str">
        <f t="shared" si="227"/>
        <v/>
      </c>
    </row>
    <row r="4865" spans="19:21" ht="23.25" customHeight="1" x14ac:dyDescent="0.35">
      <c r="S4865" s="56" t="str">
        <f t="shared" si="225"/>
        <v/>
      </c>
      <c r="T4865" s="57" t="str">
        <f t="shared" si="226"/>
        <v/>
      </c>
      <c r="U4865" s="58" t="str">
        <f t="shared" si="227"/>
        <v/>
      </c>
    </row>
    <row r="4866" spans="19:21" ht="23.25" customHeight="1" x14ac:dyDescent="0.35">
      <c r="S4866" s="56" t="str">
        <f t="shared" si="225"/>
        <v/>
      </c>
      <c r="T4866" s="57" t="str">
        <f t="shared" si="226"/>
        <v/>
      </c>
      <c r="U4866" s="58" t="str">
        <f t="shared" si="227"/>
        <v/>
      </c>
    </row>
    <row r="4867" spans="19:21" ht="23.25" customHeight="1" x14ac:dyDescent="0.35">
      <c r="S4867" s="56" t="str">
        <f t="shared" si="225"/>
        <v/>
      </c>
      <c r="T4867" s="57" t="str">
        <f t="shared" si="226"/>
        <v/>
      </c>
      <c r="U4867" s="58" t="str">
        <f t="shared" si="227"/>
        <v/>
      </c>
    </row>
    <row r="4868" spans="19:21" ht="23.25" customHeight="1" x14ac:dyDescent="0.35">
      <c r="S4868" s="56" t="str">
        <f t="shared" si="225"/>
        <v/>
      </c>
      <c r="T4868" s="57" t="str">
        <f t="shared" si="226"/>
        <v/>
      </c>
      <c r="U4868" s="58" t="str">
        <f t="shared" si="227"/>
        <v/>
      </c>
    </row>
    <row r="4869" spans="19:21" ht="23.25" customHeight="1" x14ac:dyDescent="0.35">
      <c r="S4869" s="56" t="str">
        <f t="shared" si="225"/>
        <v/>
      </c>
      <c r="T4869" s="57" t="str">
        <f t="shared" si="226"/>
        <v/>
      </c>
      <c r="U4869" s="58" t="str">
        <f t="shared" si="227"/>
        <v/>
      </c>
    </row>
    <row r="4870" spans="19:21" ht="23.25" customHeight="1" x14ac:dyDescent="0.35">
      <c r="S4870" s="56" t="str">
        <f t="shared" si="225"/>
        <v/>
      </c>
      <c r="T4870" s="57" t="str">
        <f t="shared" si="226"/>
        <v/>
      </c>
      <c r="U4870" s="58" t="str">
        <f t="shared" si="227"/>
        <v/>
      </c>
    </row>
    <row r="4871" spans="19:21" ht="23.25" customHeight="1" x14ac:dyDescent="0.35">
      <c r="S4871" s="56" t="str">
        <f t="shared" si="225"/>
        <v/>
      </c>
      <c r="T4871" s="57" t="str">
        <f t="shared" si="226"/>
        <v/>
      </c>
      <c r="U4871" s="58" t="str">
        <f t="shared" si="227"/>
        <v/>
      </c>
    </row>
    <row r="4872" spans="19:21" ht="23.25" customHeight="1" x14ac:dyDescent="0.35">
      <c r="S4872" s="56" t="str">
        <f t="shared" si="225"/>
        <v/>
      </c>
      <c r="T4872" s="57" t="str">
        <f t="shared" si="226"/>
        <v/>
      </c>
      <c r="U4872" s="58" t="str">
        <f t="shared" si="227"/>
        <v/>
      </c>
    </row>
    <row r="4873" spans="19:21" ht="23.25" customHeight="1" x14ac:dyDescent="0.35">
      <c r="S4873" s="56" t="str">
        <f t="shared" ref="S4873:S4936" si="228">IF(A4873="","",A$5-A4873)</f>
        <v/>
      </c>
      <c r="T4873" s="57" t="str">
        <f t="shared" ref="T4873:T4936" si="229">IF(S4873="","",IF(S4873&lt;4,"0-3 Days",IF(S4873&lt;31,"4-30 Days",IF(S4873&lt;61,"31-60 Days",IF(S4873&lt;=90,"61-90 Days",IF(S4873&gt;90,"Above 90 Days","0"))))))</f>
        <v/>
      </c>
      <c r="U4873" s="58" t="str">
        <f t="shared" ref="U4873:U4936" si="230">IF(C4873="","",IF(C4873&gt;0,IF(S4873&lt;30,"Normal",IF(S4873&lt;60,"Especially Mentioned",IF(S4873&lt;90,"Substandard",IF(S4873&lt;=180,"Doubtful",IF(S4873&gt;180,"Loss","0"))))),"Not Applicable"))</f>
        <v/>
      </c>
    </row>
    <row r="4874" spans="19:21" ht="23.25" customHeight="1" x14ac:dyDescent="0.35">
      <c r="S4874" s="56" t="str">
        <f t="shared" si="228"/>
        <v/>
      </c>
      <c r="T4874" s="57" t="str">
        <f t="shared" si="229"/>
        <v/>
      </c>
      <c r="U4874" s="58" t="str">
        <f t="shared" si="230"/>
        <v/>
      </c>
    </row>
    <row r="4875" spans="19:21" ht="23.25" customHeight="1" x14ac:dyDescent="0.35">
      <c r="S4875" s="56" t="str">
        <f t="shared" si="228"/>
        <v/>
      </c>
      <c r="T4875" s="57" t="str">
        <f t="shared" si="229"/>
        <v/>
      </c>
      <c r="U4875" s="58" t="str">
        <f t="shared" si="230"/>
        <v/>
      </c>
    </row>
    <row r="4876" spans="19:21" ht="23.25" customHeight="1" x14ac:dyDescent="0.35">
      <c r="S4876" s="56" t="str">
        <f t="shared" si="228"/>
        <v/>
      </c>
      <c r="T4876" s="57" t="str">
        <f t="shared" si="229"/>
        <v/>
      </c>
      <c r="U4876" s="58" t="str">
        <f t="shared" si="230"/>
        <v/>
      </c>
    </row>
    <row r="4877" spans="19:21" ht="23.25" customHeight="1" x14ac:dyDescent="0.35">
      <c r="S4877" s="56" t="str">
        <f t="shared" si="228"/>
        <v/>
      </c>
      <c r="T4877" s="57" t="str">
        <f t="shared" si="229"/>
        <v/>
      </c>
      <c r="U4877" s="58" t="str">
        <f t="shared" si="230"/>
        <v/>
      </c>
    </row>
    <row r="4878" spans="19:21" ht="23.25" customHeight="1" x14ac:dyDescent="0.35">
      <c r="S4878" s="56" t="str">
        <f t="shared" si="228"/>
        <v/>
      </c>
      <c r="T4878" s="57" t="str">
        <f t="shared" si="229"/>
        <v/>
      </c>
      <c r="U4878" s="58" t="str">
        <f t="shared" si="230"/>
        <v/>
      </c>
    </row>
    <row r="4879" spans="19:21" ht="23.25" customHeight="1" x14ac:dyDescent="0.35">
      <c r="S4879" s="56" t="str">
        <f t="shared" si="228"/>
        <v/>
      </c>
      <c r="T4879" s="57" t="str">
        <f t="shared" si="229"/>
        <v/>
      </c>
      <c r="U4879" s="58" t="str">
        <f t="shared" si="230"/>
        <v/>
      </c>
    </row>
    <row r="4880" spans="19:21" ht="23.25" customHeight="1" x14ac:dyDescent="0.35">
      <c r="S4880" s="56" t="str">
        <f t="shared" si="228"/>
        <v/>
      </c>
      <c r="T4880" s="57" t="str">
        <f t="shared" si="229"/>
        <v/>
      </c>
      <c r="U4880" s="58" t="str">
        <f t="shared" si="230"/>
        <v/>
      </c>
    </row>
    <row r="4881" spans="19:21" ht="23.25" customHeight="1" x14ac:dyDescent="0.35">
      <c r="S4881" s="56" t="str">
        <f t="shared" si="228"/>
        <v/>
      </c>
      <c r="T4881" s="57" t="str">
        <f t="shared" si="229"/>
        <v/>
      </c>
      <c r="U4881" s="58" t="str">
        <f t="shared" si="230"/>
        <v/>
      </c>
    </row>
    <row r="4882" spans="19:21" ht="23.25" customHeight="1" x14ac:dyDescent="0.35">
      <c r="S4882" s="56" t="str">
        <f t="shared" si="228"/>
        <v/>
      </c>
      <c r="T4882" s="57" t="str">
        <f t="shared" si="229"/>
        <v/>
      </c>
      <c r="U4882" s="58" t="str">
        <f t="shared" si="230"/>
        <v/>
      </c>
    </row>
    <row r="4883" spans="19:21" ht="23.25" customHeight="1" x14ac:dyDescent="0.35">
      <c r="S4883" s="56" t="str">
        <f t="shared" si="228"/>
        <v/>
      </c>
      <c r="T4883" s="57" t="str">
        <f t="shared" si="229"/>
        <v/>
      </c>
      <c r="U4883" s="58" t="str">
        <f t="shared" si="230"/>
        <v/>
      </c>
    </row>
    <row r="4884" spans="19:21" ht="23.25" customHeight="1" x14ac:dyDescent="0.35">
      <c r="S4884" s="56" t="str">
        <f t="shared" si="228"/>
        <v/>
      </c>
      <c r="T4884" s="57" t="str">
        <f t="shared" si="229"/>
        <v/>
      </c>
      <c r="U4884" s="58" t="str">
        <f t="shared" si="230"/>
        <v/>
      </c>
    </row>
    <row r="4885" spans="19:21" ht="23.25" customHeight="1" x14ac:dyDescent="0.35">
      <c r="S4885" s="56" t="str">
        <f t="shared" si="228"/>
        <v/>
      </c>
      <c r="T4885" s="57" t="str">
        <f t="shared" si="229"/>
        <v/>
      </c>
      <c r="U4885" s="58" t="str">
        <f t="shared" si="230"/>
        <v/>
      </c>
    </row>
    <row r="4886" spans="19:21" ht="23.25" customHeight="1" x14ac:dyDescent="0.35">
      <c r="S4886" s="56" t="str">
        <f t="shared" si="228"/>
        <v/>
      </c>
      <c r="T4886" s="57" t="str">
        <f t="shared" si="229"/>
        <v/>
      </c>
      <c r="U4886" s="58" t="str">
        <f t="shared" si="230"/>
        <v/>
      </c>
    </row>
    <row r="4887" spans="19:21" ht="23.25" customHeight="1" x14ac:dyDescent="0.35">
      <c r="S4887" s="56" t="str">
        <f t="shared" si="228"/>
        <v/>
      </c>
      <c r="T4887" s="57" t="str">
        <f t="shared" si="229"/>
        <v/>
      </c>
      <c r="U4887" s="58" t="str">
        <f t="shared" si="230"/>
        <v/>
      </c>
    </row>
    <row r="4888" spans="19:21" ht="23.25" customHeight="1" x14ac:dyDescent="0.35">
      <c r="S4888" s="56" t="str">
        <f t="shared" si="228"/>
        <v/>
      </c>
      <c r="T4888" s="57" t="str">
        <f t="shared" si="229"/>
        <v/>
      </c>
      <c r="U4888" s="58" t="str">
        <f t="shared" si="230"/>
        <v/>
      </c>
    </row>
    <row r="4889" spans="19:21" ht="23.25" customHeight="1" x14ac:dyDescent="0.35">
      <c r="S4889" s="56" t="str">
        <f t="shared" si="228"/>
        <v/>
      </c>
      <c r="T4889" s="57" t="str">
        <f t="shared" si="229"/>
        <v/>
      </c>
      <c r="U4889" s="58" t="str">
        <f t="shared" si="230"/>
        <v/>
      </c>
    </row>
    <row r="4890" spans="19:21" ht="23.25" customHeight="1" x14ac:dyDescent="0.35">
      <c r="S4890" s="56" t="str">
        <f t="shared" si="228"/>
        <v/>
      </c>
      <c r="T4890" s="57" t="str">
        <f t="shared" si="229"/>
        <v/>
      </c>
      <c r="U4890" s="58" t="str">
        <f t="shared" si="230"/>
        <v/>
      </c>
    </row>
    <row r="4891" spans="19:21" ht="23.25" customHeight="1" x14ac:dyDescent="0.35">
      <c r="S4891" s="56" t="str">
        <f t="shared" si="228"/>
        <v/>
      </c>
      <c r="T4891" s="57" t="str">
        <f t="shared" si="229"/>
        <v/>
      </c>
      <c r="U4891" s="58" t="str">
        <f t="shared" si="230"/>
        <v/>
      </c>
    </row>
    <row r="4892" spans="19:21" ht="23.25" customHeight="1" x14ac:dyDescent="0.35">
      <c r="S4892" s="56" t="str">
        <f t="shared" si="228"/>
        <v/>
      </c>
      <c r="T4892" s="57" t="str">
        <f t="shared" si="229"/>
        <v/>
      </c>
      <c r="U4892" s="58" t="str">
        <f t="shared" si="230"/>
        <v/>
      </c>
    </row>
    <row r="4893" spans="19:21" ht="23.25" customHeight="1" x14ac:dyDescent="0.35">
      <c r="S4893" s="56" t="str">
        <f t="shared" si="228"/>
        <v/>
      </c>
      <c r="T4893" s="57" t="str">
        <f t="shared" si="229"/>
        <v/>
      </c>
      <c r="U4893" s="58" t="str">
        <f t="shared" si="230"/>
        <v/>
      </c>
    </row>
    <row r="4894" spans="19:21" ht="23.25" customHeight="1" x14ac:dyDescent="0.35">
      <c r="S4894" s="56" t="str">
        <f t="shared" si="228"/>
        <v/>
      </c>
      <c r="T4894" s="57" t="str">
        <f t="shared" si="229"/>
        <v/>
      </c>
      <c r="U4894" s="58" t="str">
        <f t="shared" si="230"/>
        <v/>
      </c>
    </row>
    <row r="4895" spans="19:21" ht="23.25" customHeight="1" x14ac:dyDescent="0.35">
      <c r="S4895" s="56" t="str">
        <f t="shared" si="228"/>
        <v/>
      </c>
      <c r="T4895" s="57" t="str">
        <f t="shared" si="229"/>
        <v/>
      </c>
      <c r="U4895" s="58" t="str">
        <f t="shared" si="230"/>
        <v/>
      </c>
    </row>
    <row r="4896" spans="19:21" ht="23.25" customHeight="1" x14ac:dyDescent="0.35">
      <c r="S4896" s="56" t="str">
        <f t="shared" si="228"/>
        <v/>
      </c>
      <c r="T4896" s="57" t="str">
        <f t="shared" si="229"/>
        <v/>
      </c>
      <c r="U4896" s="58" t="str">
        <f t="shared" si="230"/>
        <v/>
      </c>
    </row>
    <row r="4897" spans="19:21" ht="23.25" customHeight="1" x14ac:dyDescent="0.35">
      <c r="S4897" s="56" t="str">
        <f t="shared" si="228"/>
        <v/>
      </c>
      <c r="T4897" s="57" t="str">
        <f t="shared" si="229"/>
        <v/>
      </c>
      <c r="U4897" s="58" t="str">
        <f t="shared" si="230"/>
        <v/>
      </c>
    </row>
    <row r="4898" spans="19:21" ht="23.25" customHeight="1" x14ac:dyDescent="0.35">
      <c r="S4898" s="56" t="str">
        <f t="shared" si="228"/>
        <v/>
      </c>
      <c r="T4898" s="57" t="str">
        <f t="shared" si="229"/>
        <v/>
      </c>
      <c r="U4898" s="58" t="str">
        <f t="shared" si="230"/>
        <v/>
      </c>
    </row>
    <row r="4899" spans="19:21" ht="23.25" customHeight="1" x14ac:dyDescent="0.35">
      <c r="S4899" s="56" t="str">
        <f t="shared" si="228"/>
        <v/>
      </c>
      <c r="T4899" s="57" t="str">
        <f t="shared" si="229"/>
        <v/>
      </c>
      <c r="U4899" s="58" t="str">
        <f t="shared" si="230"/>
        <v/>
      </c>
    </row>
    <row r="4900" spans="19:21" ht="23.25" customHeight="1" x14ac:dyDescent="0.35">
      <c r="S4900" s="56" t="str">
        <f t="shared" si="228"/>
        <v/>
      </c>
      <c r="T4900" s="57" t="str">
        <f t="shared" si="229"/>
        <v/>
      </c>
      <c r="U4900" s="58" t="str">
        <f t="shared" si="230"/>
        <v/>
      </c>
    </row>
    <row r="4901" spans="19:21" ht="23.25" customHeight="1" x14ac:dyDescent="0.35">
      <c r="S4901" s="56" t="str">
        <f t="shared" si="228"/>
        <v/>
      </c>
      <c r="T4901" s="57" t="str">
        <f t="shared" si="229"/>
        <v/>
      </c>
      <c r="U4901" s="58" t="str">
        <f t="shared" si="230"/>
        <v/>
      </c>
    </row>
    <row r="4902" spans="19:21" ht="23.25" customHeight="1" x14ac:dyDescent="0.35">
      <c r="S4902" s="56" t="str">
        <f t="shared" si="228"/>
        <v/>
      </c>
      <c r="T4902" s="57" t="str">
        <f t="shared" si="229"/>
        <v/>
      </c>
      <c r="U4902" s="58" t="str">
        <f t="shared" si="230"/>
        <v/>
      </c>
    </row>
    <row r="4903" spans="19:21" ht="23.25" customHeight="1" x14ac:dyDescent="0.35">
      <c r="S4903" s="56" t="str">
        <f t="shared" si="228"/>
        <v/>
      </c>
      <c r="T4903" s="57" t="str">
        <f t="shared" si="229"/>
        <v/>
      </c>
      <c r="U4903" s="58" t="str">
        <f t="shared" si="230"/>
        <v/>
      </c>
    </row>
    <row r="4904" spans="19:21" ht="23.25" customHeight="1" x14ac:dyDescent="0.35">
      <c r="S4904" s="56" t="str">
        <f t="shared" si="228"/>
        <v/>
      </c>
      <c r="T4904" s="57" t="str">
        <f t="shared" si="229"/>
        <v/>
      </c>
      <c r="U4904" s="58" t="str">
        <f t="shared" si="230"/>
        <v/>
      </c>
    </row>
    <row r="4905" spans="19:21" ht="23.25" customHeight="1" x14ac:dyDescent="0.35">
      <c r="S4905" s="56" t="str">
        <f t="shared" si="228"/>
        <v/>
      </c>
      <c r="T4905" s="57" t="str">
        <f t="shared" si="229"/>
        <v/>
      </c>
      <c r="U4905" s="58" t="str">
        <f t="shared" si="230"/>
        <v/>
      </c>
    </row>
    <row r="4906" spans="19:21" ht="23.25" customHeight="1" x14ac:dyDescent="0.35">
      <c r="S4906" s="56" t="str">
        <f t="shared" si="228"/>
        <v/>
      </c>
      <c r="T4906" s="57" t="str">
        <f t="shared" si="229"/>
        <v/>
      </c>
      <c r="U4906" s="58" t="str">
        <f t="shared" si="230"/>
        <v/>
      </c>
    </row>
    <row r="4907" spans="19:21" ht="23.25" customHeight="1" x14ac:dyDescent="0.35">
      <c r="S4907" s="56" t="str">
        <f t="shared" si="228"/>
        <v/>
      </c>
      <c r="T4907" s="57" t="str">
        <f t="shared" si="229"/>
        <v/>
      </c>
      <c r="U4907" s="58" t="str">
        <f t="shared" si="230"/>
        <v/>
      </c>
    </row>
    <row r="4908" spans="19:21" ht="23.25" customHeight="1" x14ac:dyDescent="0.35">
      <c r="S4908" s="56" t="str">
        <f t="shared" si="228"/>
        <v/>
      </c>
      <c r="T4908" s="57" t="str">
        <f t="shared" si="229"/>
        <v/>
      </c>
      <c r="U4908" s="58" t="str">
        <f t="shared" si="230"/>
        <v/>
      </c>
    </row>
    <row r="4909" spans="19:21" ht="23.25" customHeight="1" x14ac:dyDescent="0.35">
      <c r="S4909" s="56" t="str">
        <f t="shared" si="228"/>
        <v/>
      </c>
      <c r="T4909" s="57" t="str">
        <f t="shared" si="229"/>
        <v/>
      </c>
      <c r="U4909" s="58" t="str">
        <f t="shared" si="230"/>
        <v/>
      </c>
    </row>
    <row r="4910" spans="19:21" ht="23.25" customHeight="1" x14ac:dyDescent="0.35">
      <c r="S4910" s="56" t="str">
        <f t="shared" si="228"/>
        <v/>
      </c>
      <c r="T4910" s="57" t="str">
        <f t="shared" si="229"/>
        <v/>
      </c>
      <c r="U4910" s="58" t="str">
        <f t="shared" si="230"/>
        <v/>
      </c>
    </row>
    <row r="4911" spans="19:21" ht="23.25" customHeight="1" x14ac:dyDescent="0.35">
      <c r="S4911" s="56" t="str">
        <f t="shared" si="228"/>
        <v/>
      </c>
      <c r="T4911" s="57" t="str">
        <f t="shared" si="229"/>
        <v/>
      </c>
      <c r="U4911" s="58" t="str">
        <f t="shared" si="230"/>
        <v/>
      </c>
    </row>
    <row r="4912" spans="19:21" ht="23.25" customHeight="1" x14ac:dyDescent="0.35">
      <c r="S4912" s="56" t="str">
        <f t="shared" si="228"/>
        <v/>
      </c>
      <c r="T4912" s="57" t="str">
        <f t="shared" si="229"/>
        <v/>
      </c>
      <c r="U4912" s="58" t="str">
        <f t="shared" si="230"/>
        <v/>
      </c>
    </row>
    <row r="4913" spans="19:21" ht="23.25" customHeight="1" x14ac:dyDescent="0.35">
      <c r="S4913" s="56" t="str">
        <f t="shared" si="228"/>
        <v/>
      </c>
      <c r="T4913" s="57" t="str">
        <f t="shared" si="229"/>
        <v/>
      </c>
      <c r="U4913" s="58" t="str">
        <f t="shared" si="230"/>
        <v/>
      </c>
    </row>
    <row r="4914" spans="19:21" ht="23.25" customHeight="1" x14ac:dyDescent="0.35">
      <c r="S4914" s="56" t="str">
        <f t="shared" si="228"/>
        <v/>
      </c>
      <c r="T4914" s="57" t="str">
        <f t="shared" si="229"/>
        <v/>
      </c>
      <c r="U4914" s="58" t="str">
        <f t="shared" si="230"/>
        <v/>
      </c>
    </row>
    <row r="4915" spans="19:21" ht="23.25" customHeight="1" x14ac:dyDescent="0.35">
      <c r="S4915" s="56" t="str">
        <f t="shared" si="228"/>
        <v/>
      </c>
      <c r="T4915" s="57" t="str">
        <f t="shared" si="229"/>
        <v/>
      </c>
      <c r="U4915" s="58" t="str">
        <f t="shared" si="230"/>
        <v/>
      </c>
    </row>
    <row r="4916" spans="19:21" ht="23.25" customHeight="1" x14ac:dyDescent="0.35">
      <c r="S4916" s="56" t="str">
        <f t="shared" si="228"/>
        <v/>
      </c>
      <c r="T4916" s="57" t="str">
        <f t="shared" si="229"/>
        <v/>
      </c>
      <c r="U4916" s="58" t="str">
        <f t="shared" si="230"/>
        <v/>
      </c>
    </row>
    <row r="4917" spans="19:21" ht="23.25" customHeight="1" x14ac:dyDescent="0.35">
      <c r="S4917" s="56" t="str">
        <f t="shared" si="228"/>
        <v/>
      </c>
      <c r="T4917" s="57" t="str">
        <f t="shared" si="229"/>
        <v/>
      </c>
      <c r="U4917" s="58" t="str">
        <f t="shared" si="230"/>
        <v/>
      </c>
    </row>
    <row r="4918" spans="19:21" ht="23.25" customHeight="1" x14ac:dyDescent="0.35">
      <c r="S4918" s="56" t="str">
        <f t="shared" si="228"/>
        <v/>
      </c>
      <c r="T4918" s="57" t="str">
        <f t="shared" si="229"/>
        <v/>
      </c>
      <c r="U4918" s="58" t="str">
        <f t="shared" si="230"/>
        <v/>
      </c>
    </row>
    <row r="4919" spans="19:21" ht="23.25" customHeight="1" x14ac:dyDescent="0.35">
      <c r="S4919" s="56" t="str">
        <f t="shared" si="228"/>
        <v/>
      </c>
      <c r="T4919" s="57" t="str">
        <f t="shared" si="229"/>
        <v/>
      </c>
      <c r="U4919" s="58" t="str">
        <f t="shared" si="230"/>
        <v/>
      </c>
    </row>
    <row r="4920" spans="19:21" ht="23.25" customHeight="1" x14ac:dyDescent="0.35">
      <c r="S4920" s="56" t="str">
        <f t="shared" si="228"/>
        <v/>
      </c>
      <c r="T4920" s="57" t="str">
        <f t="shared" si="229"/>
        <v/>
      </c>
      <c r="U4920" s="58" t="str">
        <f t="shared" si="230"/>
        <v/>
      </c>
    </row>
    <row r="4921" spans="19:21" ht="23.25" customHeight="1" x14ac:dyDescent="0.35">
      <c r="S4921" s="56" t="str">
        <f t="shared" si="228"/>
        <v/>
      </c>
      <c r="T4921" s="57" t="str">
        <f t="shared" si="229"/>
        <v/>
      </c>
      <c r="U4921" s="58" t="str">
        <f t="shared" si="230"/>
        <v/>
      </c>
    </row>
    <row r="4922" spans="19:21" ht="23.25" customHeight="1" x14ac:dyDescent="0.35">
      <c r="S4922" s="56" t="str">
        <f t="shared" si="228"/>
        <v/>
      </c>
      <c r="T4922" s="57" t="str">
        <f t="shared" si="229"/>
        <v/>
      </c>
      <c r="U4922" s="58" t="str">
        <f t="shared" si="230"/>
        <v/>
      </c>
    </row>
    <row r="4923" spans="19:21" ht="23.25" customHeight="1" x14ac:dyDescent="0.35">
      <c r="S4923" s="56" t="str">
        <f t="shared" si="228"/>
        <v/>
      </c>
      <c r="T4923" s="57" t="str">
        <f t="shared" si="229"/>
        <v/>
      </c>
      <c r="U4923" s="58" t="str">
        <f t="shared" si="230"/>
        <v/>
      </c>
    </row>
    <row r="4924" spans="19:21" ht="23.25" customHeight="1" x14ac:dyDescent="0.35">
      <c r="S4924" s="56" t="str">
        <f t="shared" si="228"/>
        <v/>
      </c>
      <c r="T4924" s="57" t="str">
        <f t="shared" si="229"/>
        <v/>
      </c>
      <c r="U4924" s="58" t="str">
        <f t="shared" si="230"/>
        <v/>
      </c>
    </row>
    <row r="4925" spans="19:21" ht="23.25" customHeight="1" x14ac:dyDescent="0.35">
      <c r="S4925" s="56" t="str">
        <f t="shared" si="228"/>
        <v/>
      </c>
      <c r="T4925" s="57" t="str">
        <f t="shared" si="229"/>
        <v/>
      </c>
      <c r="U4925" s="58" t="str">
        <f t="shared" si="230"/>
        <v/>
      </c>
    </row>
    <row r="4926" spans="19:21" ht="23.25" customHeight="1" x14ac:dyDescent="0.35">
      <c r="S4926" s="56" t="str">
        <f t="shared" si="228"/>
        <v/>
      </c>
      <c r="T4926" s="57" t="str">
        <f t="shared" si="229"/>
        <v/>
      </c>
      <c r="U4926" s="58" t="str">
        <f t="shared" si="230"/>
        <v/>
      </c>
    </row>
    <row r="4927" spans="19:21" ht="23.25" customHeight="1" x14ac:dyDescent="0.35">
      <c r="S4927" s="56" t="str">
        <f t="shared" si="228"/>
        <v/>
      </c>
      <c r="T4927" s="57" t="str">
        <f t="shared" si="229"/>
        <v/>
      </c>
      <c r="U4927" s="58" t="str">
        <f t="shared" si="230"/>
        <v/>
      </c>
    </row>
    <row r="4928" spans="19:21" ht="23.25" customHeight="1" x14ac:dyDescent="0.35">
      <c r="S4928" s="56" t="str">
        <f t="shared" si="228"/>
        <v/>
      </c>
      <c r="T4928" s="57" t="str">
        <f t="shared" si="229"/>
        <v/>
      </c>
      <c r="U4928" s="58" t="str">
        <f t="shared" si="230"/>
        <v/>
      </c>
    </row>
    <row r="4929" spans="19:21" ht="23.25" customHeight="1" x14ac:dyDescent="0.35">
      <c r="S4929" s="56" t="str">
        <f t="shared" si="228"/>
        <v/>
      </c>
      <c r="T4929" s="57" t="str">
        <f t="shared" si="229"/>
        <v/>
      </c>
      <c r="U4929" s="58" t="str">
        <f t="shared" si="230"/>
        <v/>
      </c>
    </row>
    <row r="4930" spans="19:21" ht="23.25" customHeight="1" x14ac:dyDescent="0.35">
      <c r="S4930" s="56" t="str">
        <f t="shared" si="228"/>
        <v/>
      </c>
      <c r="T4930" s="57" t="str">
        <f t="shared" si="229"/>
        <v/>
      </c>
      <c r="U4930" s="58" t="str">
        <f t="shared" si="230"/>
        <v/>
      </c>
    </row>
    <row r="4931" spans="19:21" ht="23.25" customHeight="1" x14ac:dyDescent="0.35">
      <c r="S4931" s="56" t="str">
        <f t="shared" si="228"/>
        <v/>
      </c>
      <c r="T4931" s="57" t="str">
        <f t="shared" si="229"/>
        <v/>
      </c>
      <c r="U4931" s="58" t="str">
        <f t="shared" si="230"/>
        <v/>
      </c>
    </row>
    <row r="4932" spans="19:21" ht="23.25" customHeight="1" x14ac:dyDescent="0.35">
      <c r="S4932" s="56" t="str">
        <f t="shared" si="228"/>
        <v/>
      </c>
      <c r="T4932" s="57" t="str">
        <f t="shared" si="229"/>
        <v/>
      </c>
      <c r="U4932" s="58" t="str">
        <f t="shared" si="230"/>
        <v/>
      </c>
    </row>
    <row r="4933" spans="19:21" ht="23.25" customHeight="1" x14ac:dyDescent="0.35">
      <c r="S4933" s="56" t="str">
        <f t="shared" si="228"/>
        <v/>
      </c>
      <c r="T4933" s="57" t="str">
        <f t="shared" si="229"/>
        <v/>
      </c>
      <c r="U4933" s="58" t="str">
        <f t="shared" si="230"/>
        <v/>
      </c>
    </row>
    <row r="4934" spans="19:21" ht="23.25" customHeight="1" x14ac:dyDescent="0.35">
      <c r="S4934" s="56" t="str">
        <f t="shared" si="228"/>
        <v/>
      </c>
      <c r="T4934" s="57" t="str">
        <f t="shared" si="229"/>
        <v/>
      </c>
      <c r="U4934" s="58" t="str">
        <f t="shared" si="230"/>
        <v/>
      </c>
    </row>
    <row r="4935" spans="19:21" ht="23.25" customHeight="1" x14ac:dyDescent="0.35">
      <c r="S4935" s="56" t="str">
        <f t="shared" si="228"/>
        <v/>
      </c>
      <c r="T4935" s="57" t="str">
        <f t="shared" si="229"/>
        <v/>
      </c>
      <c r="U4935" s="58" t="str">
        <f t="shared" si="230"/>
        <v/>
      </c>
    </row>
    <row r="4936" spans="19:21" ht="23.25" customHeight="1" x14ac:dyDescent="0.35">
      <c r="S4936" s="56" t="str">
        <f t="shared" si="228"/>
        <v/>
      </c>
      <c r="T4936" s="57" t="str">
        <f t="shared" si="229"/>
        <v/>
      </c>
      <c r="U4936" s="58" t="str">
        <f t="shared" si="230"/>
        <v/>
      </c>
    </row>
    <row r="4937" spans="19:21" ht="23.25" customHeight="1" x14ac:dyDescent="0.35">
      <c r="S4937" s="56" t="str">
        <f t="shared" ref="S4937:S5000" si="231">IF(A4937="","",A$5-A4937)</f>
        <v/>
      </c>
      <c r="T4937" s="57" t="str">
        <f t="shared" ref="T4937:T5000" si="232">IF(S4937="","",IF(S4937&lt;4,"0-3 Days",IF(S4937&lt;31,"4-30 Days",IF(S4937&lt;61,"31-60 Days",IF(S4937&lt;=90,"61-90 Days",IF(S4937&gt;90,"Above 90 Days","0"))))))</f>
        <v/>
      </c>
      <c r="U4937" s="58" t="str">
        <f t="shared" ref="U4937:U5000" si="233">IF(C4937="","",IF(C4937&gt;0,IF(S4937&lt;30,"Normal",IF(S4937&lt;60,"Especially Mentioned",IF(S4937&lt;90,"Substandard",IF(S4937&lt;=180,"Doubtful",IF(S4937&gt;180,"Loss","0"))))),"Not Applicable"))</f>
        <v/>
      </c>
    </row>
    <row r="4938" spans="19:21" ht="23.25" customHeight="1" x14ac:dyDescent="0.35">
      <c r="S4938" s="56" t="str">
        <f t="shared" si="231"/>
        <v/>
      </c>
      <c r="T4938" s="57" t="str">
        <f t="shared" si="232"/>
        <v/>
      </c>
      <c r="U4938" s="58" t="str">
        <f t="shared" si="233"/>
        <v/>
      </c>
    </row>
    <row r="4939" spans="19:21" ht="23.25" customHeight="1" x14ac:dyDescent="0.35">
      <c r="S4939" s="56" t="str">
        <f t="shared" si="231"/>
        <v/>
      </c>
      <c r="T4939" s="57" t="str">
        <f t="shared" si="232"/>
        <v/>
      </c>
      <c r="U4939" s="58" t="str">
        <f t="shared" si="233"/>
        <v/>
      </c>
    </row>
    <row r="4940" spans="19:21" ht="23.25" customHeight="1" x14ac:dyDescent="0.35">
      <c r="S4940" s="56" t="str">
        <f t="shared" si="231"/>
        <v/>
      </c>
      <c r="T4940" s="57" t="str">
        <f t="shared" si="232"/>
        <v/>
      </c>
      <c r="U4940" s="58" t="str">
        <f t="shared" si="233"/>
        <v/>
      </c>
    </row>
    <row r="4941" spans="19:21" ht="23.25" customHeight="1" x14ac:dyDescent="0.35">
      <c r="S4941" s="56" t="str">
        <f t="shared" si="231"/>
        <v/>
      </c>
      <c r="T4941" s="57" t="str">
        <f t="shared" si="232"/>
        <v/>
      </c>
      <c r="U4941" s="58" t="str">
        <f t="shared" si="233"/>
        <v/>
      </c>
    </row>
    <row r="4942" spans="19:21" ht="23.25" customHeight="1" x14ac:dyDescent="0.35">
      <c r="S4942" s="56" t="str">
        <f t="shared" si="231"/>
        <v/>
      </c>
      <c r="T4942" s="57" t="str">
        <f t="shared" si="232"/>
        <v/>
      </c>
      <c r="U4942" s="58" t="str">
        <f t="shared" si="233"/>
        <v/>
      </c>
    </row>
    <row r="4943" spans="19:21" ht="23.25" customHeight="1" x14ac:dyDescent="0.35">
      <c r="S4943" s="56" t="str">
        <f t="shared" si="231"/>
        <v/>
      </c>
      <c r="T4943" s="57" t="str">
        <f t="shared" si="232"/>
        <v/>
      </c>
      <c r="U4943" s="58" t="str">
        <f t="shared" si="233"/>
        <v/>
      </c>
    </row>
    <row r="4944" spans="19:21" ht="23.25" customHeight="1" x14ac:dyDescent="0.35">
      <c r="S4944" s="56" t="str">
        <f t="shared" si="231"/>
        <v/>
      </c>
      <c r="T4944" s="57" t="str">
        <f t="shared" si="232"/>
        <v/>
      </c>
      <c r="U4944" s="58" t="str">
        <f t="shared" si="233"/>
        <v/>
      </c>
    </row>
    <row r="4945" spans="19:21" ht="23.25" customHeight="1" x14ac:dyDescent="0.35">
      <c r="S4945" s="56" t="str">
        <f t="shared" si="231"/>
        <v/>
      </c>
      <c r="T4945" s="57" t="str">
        <f t="shared" si="232"/>
        <v/>
      </c>
      <c r="U4945" s="58" t="str">
        <f t="shared" si="233"/>
        <v/>
      </c>
    </row>
    <row r="4946" spans="19:21" ht="23.25" customHeight="1" x14ac:dyDescent="0.35">
      <c r="S4946" s="56" t="str">
        <f t="shared" si="231"/>
        <v/>
      </c>
      <c r="T4946" s="57" t="str">
        <f t="shared" si="232"/>
        <v/>
      </c>
      <c r="U4946" s="58" t="str">
        <f t="shared" si="233"/>
        <v/>
      </c>
    </row>
    <row r="4947" spans="19:21" ht="23.25" customHeight="1" x14ac:dyDescent="0.35">
      <c r="S4947" s="56" t="str">
        <f t="shared" si="231"/>
        <v/>
      </c>
      <c r="T4947" s="57" t="str">
        <f t="shared" si="232"/>
        <v/>
      </c>
      <c r="U4947" s="58" t="str">
        <f t="shared" si="233"/>
        <v/>
      </c>
    </row>
    <row r="4948" spans="19:21" ht="23.25" customHeight="1" x14ac:dyDescent="0.35">
      <c r="S4948" s="56" t="str">
        <f t="shared" si="231"/>
        <v/>
      </c>
      <c r="T4948" s="57" t="str">
        <f t="shared" si="232"/>
        <v/>
      </c>
      <c r="U4948" s="58" t="str">
        <f t="shared" si="233"/>
        <v/>
      </c>
    </row>
    <row r="4949" spans="19:21" ht="23.25" customHeight="1" x14ac:dyDescent="0.35">
      <c r="S4949" s="56" t="str">
        <f t="shared" si="231"/>
        <v/>
      </c>
      <c r="T4949" s="57" t="str">
        <f t="shared" si="232"/>
        <v/>
      </c>
      <c r="U4949" s="58" t="str">
        <f t="shared" si="233"/>
        <v/>
      </c>
    </row>
    <row r="4950" spans="19:21" ht="23.25" customHeight="1" x14ac:dyDescent="0.35">
      <c r="S4950" s="56" t="str">
        <f t="shared" si="231"/>
        <v/>
      </c>
      <c r="T4950" s="57" t="str">
        <f t="shared" si="232"/>
        <v/>
      </c>
      <c r="U4950" s="58" t="str">
        <f t="shared" si="233"/>
        <v/>
      </c>
    </row>
    <row r="4951" spans="19:21" ht="23.25" customHeight="1" x14ac:dyDescent="0.35">
      <c r="S4951" s="56" t="str">
        <f t="shared" si="231"/>
        <v/>
      </c>
      <c r="T4951" s="57" t="str">
        <f t="shared" si="232"/>
        <v/>
      </c>
      <c r="U4951" s="58" t="str">
        <f t="shared" si="233"/>
        <v/>
      </c>
    </row>
    <row r="4952" spans="19:21" ht="23.25" customHeight="1" x14ac:dyDescent="0.35">
      <c r="S4952" s="56" t="str">
        <f t="shared" si="231"/>
        <v/>
      </c>
      <c r="T4952" s="57" t="str">
        <f t="shared" si="232"/>
        <v/>
      </c>
      <c r="U4952" s="58" t="str">
        <f t="shared" si="233"/>
        <v/>
      </c>
    </row>
    <row r="4953" spans="19:21" ht="23.25" customHeight="1" x14ac:dyDescent="0.35">
      <c r="S4953" s="56" t="str">
        <f t="shared" si="231"/>
        <v/>
      </c>
      <c r="T4953" s="57" t="str">
        <f t="shared" si="232"/>
        <v/>
      </c>
      <c r="U4953" s="58" t="str">
        <f t="shared" si="233"/>
        <v/>
      </c>
    </row>
    <row r="4954" spans="19:21" ht="23.25" customHeight="1" x14ac:dyDescent="0.35">
      <c r="S4954" s="56" t="str">
        <f t="shared" si="231"/>
        <v/>
      </c>
      <c r="T4954" s="57" t="str">
        <f t="shared" si="232"/>
        <v/>
      </c>
      <c r="U4954" s="58" t="str">
        <f t="shared" si="233"/>
        <v/>
      </c>
    </row>
    <row r="4955" spans="19:21" ht="23.25" customHeight="1" x14ac:dyDescent="0.35">
      <c r="S4955" s="56" t="str">
        <f t="shared" si="231"/>
        <v/>
      </c>
      <c r="T4955" s="57" t="str">
        <f t="shared" si="232"/>
        <v/>
      </c>
      <c r="U4955" s="58" t="str">
        <f t="shared" si="233"/>
        <v/>
      </c>
    </row>
    <row r="4956" spans="19:21" ht="23.25" customHeight="1" x14ac:dyDescent="0.35">
      <c r="S4956" s="56" t="str">
        <f t="shared" si="231"/>
        <v/>
      </c>
      <c r="T4956" s="57" t="str">
        <f t="shared" si="232"/>
        <v/>
      </c>
      <c r="U4956" s="58" t="str">
        <f t="shared" si="233"/>
        <v/>
      </c>
    </row>
    <row r="4957" spans="19:21" ht="23.25" customHeight="1" x14ac:dyDescent="0.35">
      <c r="S4957" s="56" t="str">
        <f t="shared" si="231"/>
        <v/>
      </c>
      <c r="T4957" s="57" t="str">
        <f t="shared" si="232"/>
        <v/>
      </c>
      <c r="U4957" s="58" t="str">
        <f t="shared" si="233"/>
        <v/>
      </c>
    </row>
    <row r="4958" spans="19:21" ht="23.25" customHeight="1" x14ac:dyDescent="0.35">
      <c r="S4958" s="56" t="str">
        <f t="shared" si="231"/>
        <v/>
      </c>
      <c r="T4958" s="57" t="str">
        <f t="shared" si="232"/>
        <v/>
      </c>
      <c r="U4958" s="58" t="str">
        <f t="shared" si="233"/>
        <v/>
      </c>
    </row>
    <row r="4959" spans="19:21" ht="23.25" customHeight="1" x14ac:dyDescent="0.35">
      <c r="S4959" s="56" t="str">
        <f t="shared" si="231"/>
        <v/>
      </c>
      <c r="T4959" s="57" t="str">
        <f t="shared" si="232"/>
        <v/>
      </c>
      <c r="U4959" s="58" t="str">
        <f t="shared" si="233"/>
        <v/>
      </c>
    </row>
    <row r="4960" spans="19:21" ht="23.25" customHeight="1" x14ac:dyDescent="0.35">
      <c r="S4960" s="56" t="str">
        <f t="shared" si="231"/>
        <v/>
      </c>
      <c r="T4960" s="57" t="str">
        <f t="shared" si="232"/>
        <v/>
      </c>
      <c r="U4960" s="58" t="str">
        <f t="shared" si="233"/>
        <v/>
      </c>
    </row>
    <row r="4961" spans="19:21" ht="23.25" customHeight="1" x14ac:dyDescent="0.35">
      <c r="S4961" s="56" t="str">
        <f t="shared" si="231"/>
        <v/>
      </c>
      <c r="T4961" s="57" t="str">
        <f t="shared" si="232"/>
        <v/>
      </c>
      <c r="U4961" s="58" t="str">
        <f t="shared" si="233"/>
        <v/>
      </c>
    </row>
    <row r="4962" spans="19:21" ht="23.25" customHeight="1" x14ac:dyDescent="0.35">
      <c r="S4962" s="56" t="str">
        <f t="shared" si="231"/>
        <v/>
      </c>
      <c r="T4962" s="57" t="str">
        <f t="shared" si="232"/>
        <v/>
      </c>
      <c r="U4962" s="58" t="str">
        <f t="shared" si="233"/>
        <v/>
      </c>
    </row>
    <row r="4963" spans="19:21" ht="23.25" customHeight="1" x14ac:dyDescent="0.35">
      <c r="S4963" s="56" t="str">
        <f t="shared" si="231"/>
        <v/>
      </c>
      <c r="T4963" s="57" t="str">
        <f t="shared" si="232"/>
        <v/>
      </c>
      <c r="U4963" s="58" t="str">
        <f t="shared" si="233"/>
        <v/>
      </c>
    </row>
    <row r="4964" spans="19:21" ht="23.25" customHeight="1" x14ac:dyDescent="0.35">
      <c r="S4964" s="56" t="str">
        <f t="shared" si="231"/>
        <v/>
      </c>
      <c r="T4964" s="57" t="str">
        <f t="shared" si="232"/>
        <v/>
      </c>
      <c r="U4964" s="58" t="str">
        <f t="shared" si="233"/>
        <v/>
      </c>
    </row>
    <row r="4965" spans="19:21" ht="23.25" customHeight="1" x14ac:dyDescent="0.35">
      <c r="S4965" s="56" t="str">
        <f t="shared" si="231"/>
        <v/>
      </c>
      <c r="T4965" s="57" t="str">
        <f t="shared" si="232"/>
        <v/>
      </c>
      <c r="U4965" s="58" t="str">
        <f t="shared" si="233"/>
        <v/>
      </c>
    </row>
    <row r="4966" spans="19:21" ht="23.25" customHeight="1" x14ac:dyDescent="0.35">
      <c r="S4966" s="56" t="str">
        <f t="shared" si="231"/>
        <v/>
      </c>
      <c r="T4966" s="57" t="str">
        <f t="shared" si="232"/>
        <v/>
      </c>
      <c r="U4966" s="58" t="str">
        <f t="shared" si="233"/>
        <v/>
      </c>
    </row>
    <row r="4967" spans="19:21" ht="23.25" customHeight="1" x14ac:dyDescent="0.35">
      <c r="S4967" s="56" t="str">
        <f t="shared" si="231"/>
        <v/>
      </c>
      <c r="T4967" s="57" t="str">
        <f t="shared" si="232"/>
        <v/>
      </c>
      <c r="U4967" s="58" t="str">
        <f t="shared" si="233"/>
        <v/>
      </c>
    </row>
    <row r="4968" spans="19:21" ht="23.25" customHeight="1" x14ac:dyDescent="0.35">
      <c r="S4968" s="56" t="str">
        <f t="shared" si="231"/>
        <v/>
      </c>
      <c r="T4968" s="57" t="str">
        <f t="shared" si="232"/>
        <v/>
      </c>
      <c r="U4968" s="58" t="str">
        <f t="shared" si="233"/>
        <v/>
      </c>
    </row>
    <row r="4969" spans="19:21" ht="23.25" customHeight="1" x14ac:dyDescent="0.35">
      <c r="S4969" s="56" t="str">
        <f t="shared" si="231"/>
        <v/>
      </c>
      <c r="T4969" s="57" t="str">
        <f t="shared" si="232"/>
        <v/>
      </c>
      <c r="U4969" s="58" t="str">
        <f t="shared" si="233"/>
        <v/>
      </c>
    </row>
    <row r="4970" spans="19:21" ht="23.25" customHeight="1" x14ac:dyDescent="0.35">
      <c r="S4970" s="56" t="str">
        <f t="shared" si="231"/>
        <v/>
      </c>
      <c r="T4970" s="57" t="str">
        <f t="shared" si="232"/>
        <v/>
      </c>
      <c r="U4970" s="58" t="str">
        <f t="shared" si="233"/>
        <v/>
      </c>
    </row>
    <row r="4971" spans="19:21" ht="23.25" customHeight="1" x14ac:dyDescent="0.35">
      <c r="S4971" s="56" t="str">
        <f t="shared" si="231"/>
        <v/>
      </c>
      <c r="T4971" s="57" t="str">
        <f t="shared" si="232"/>
        <v/>
      </c>
      <c r="U4971" s="58" t="str">
        <f t="shared" si="233"/>
        <v/>
      </c>
    </row>
    <row r="4972" spans="19:21" ht="23.25" customHeight="1" x14ac:dyDescent="0.35">
      <c r="S4972" s="56" t="str">
        <f t="shared" si="231"/>
        <v/>
      </c>
      <c r="T4972" s="57" t="str">
        <f t="shared" si="232"/>
        <v/>
      </c>
      <c r="U4972" s="58" t="str">
        <f t="shared" si="233"/>
        <v/>
      </c>
    </row>
    <row r="4973" spans="19:21" ht="23.25" customHeight="1" x14ac:dyDescent="0.35">
      <c r="S4973" s="56" t="str">
        <f t="shared" si="231"/>
        <v/>
      </c>
      <c r="T4973" s="57" t="str">
        <f t="shared" si="232"/>
        <v/>
      </c>
      <c r="U4973" s="58" t="str">
        <f t="shared" si="233"/>
        <v/>
      </c>
    </row>
    <row r="4974" spans="19:21" ht="23.25" customHeight="1" x14ac:dyDescent="0.35">
      <c r="S4974" s="56" t="str">
        <f t="shared" si="231"/>
        <v/>
      </c>
      <c r="T4974" s="57" t="str">
        <f t="shared" si="232"/>
        <v/>
      </c>
      <c r="U4974" s="58" t="str">
        <f t="shared" si="233"/>
        <v/>
      </c>
    </row>
    <row r="4975" spans="19:21" ht="23.25" customHeight="1" x14ac:dyDescent="0.35">
      <c r="S4975" s="56" t="str">
        <f t="shared" si="231"/>
        <v/>
      </c>
      <c r="T4975" s="57" t="str">
        <f t="shared" si="232"/>
        <v/>
      </c>
      <c r="U4975" s="58" t="str">
        <f t="shared" si="233"/>
        <v/>
      </c>
    </row>
    <row r="4976" spans="19:21" ht="23.25" customHeight="1" x14ac:dyDescent="0.35">
      <c r="S4976" s="56" t="str">
        <f t="shared" si="231"/>
        <v/>
      </c>
      <c r="T4976" s="57" t="str">
        <f t="shared" si="232"/>
        <v/>
      </c>
      <c r="U4976" s="58" t="str">
        <f t="shared" si="233"/>
        <v/>
      </c>
    </row>
    <row r="4977" spans="19:21" ht="23.25" customHeight="1" x14ac:dyDescent="0.35">
      <c r="S4977" s="56" t="str">
        <f t="shared" si="231"/>
        <v/>
      </c>
      <c r="T4977" s="57" t="str">
        <f t="shared" si="232"/>
        <v/>
      </c>
      <c r="U4977" s="58" t="str">
        <f t="shared" si="233"/>
        <v/>
      </c>
    </row>
    <row r="4978" spans="19:21" ht="23.25" customHeight="1" x14ac:dyDescent="0.35">
      <c r="S4978" s="56" t="str">
        <f t="shared" si="231"/>
        <v/>
      </c>
      <c r="T4978" s="57" t="str">
        <f t="shared" si="232"/>
        <v/>
      </c>
      <c r="U4978" s="58" t="str">
        <f t="shared" si="233"/>
        <v/>
      </c>
    </row>
    <row r="4979" spans="19:21" ht="23.25" customHeight="1" x14ac:dyDescent="0.35">
      <c r="S4979" s="56" t="str">
        <f t="shared" si="231"/>
        <v/>
      </c>
      <c r="T4979" s="57" t="str">
        <f t="shared" si="232"/>
        <v/>
      </c>
      <c r="U4979" s="58" t="str">
        <f t="shared" si="233"/>
        <v/>
      </c>
    </row>
    <row r="4980" spans="19:21" ht="23.25" customHeight="1" x14ac:dyDescent="0.35">
      <c r="S4980" s="56" t="str">
        <f t="shared" si="231"/>
        <v/>
      </c>
      <c r="T4980" s="57" t="str">
        <f t="shared" si="232"/>
        <v/>
      </c>
      <c r="U4980" s="58" t="str">
        <f t="shared" si="233"/>
        <v/>
      </c>
    </row>
    <row r="4981" spans="19:21" ht="23.25" customHeight="1" x14ac:dyDescent="0.35">
      <c r="S4981" s="56" t="str">
        <f t="shared" si="231"/>
        <v/>
      </c>
      <c r="T4981" s="57" t="str">
        <f t="shared" si="232"/>
        <v/>
      </c>
      <c r="U4981" s="58" t="str">
        <f t="shared" si="233"/>
        <v/>
      </c>
    </row>
    <row r="4982" spans="19:21" ht="23.25" customHeight="1" x14ac:dyDescent="0.35">
      <c r="S4982" s="56" t="str">
        <f t="shared" si="231"/>
        <v/>
      </c>
      <c r="T4982" s="57" t="str">
        <f t="shared" si="232"/>
        <v/>
      </c>
      <c r="U4982" s="58" t="str">
        <f t="shared" si="233"/>
        <v/>
      </c>
    </row>
    <row r="4983" spans="19:21" ht="23.25" customHeight="1" x14ac:dyDescent="0.35">
      <c r="S4983" s="56" t="str">
        <f t="shared" si="231"/>
        <v/>
      </c>
      <c r="T4983" s="57" t="str">
        <f t="shared" si="232"/>
        <v/>
      </c>
      <c r="U4983" s="58" t="str">
        <f t="shared" si="233"/>
        <v/>
      </c>
    </row>
    <row r="4984" spans="19:21" ht="23.25" customHeight="1" x14ac:dyDescent="0.35">
      <c r="S4984" s="56" t="str">
        <f t="shared" si="231"/>
        <v/>
      </c>
      <c r="T4984" s="57" t="str">
        <f t="shared" si="232"/>
        <v/>
      </c>
      <c r="U4984" s="58" t="str">
        <f t="shared" si="233"/>
        <v/>
      </c>
    </row>
    <row r="4985" spans="19:21" ht="23.25" customHeight="1" x14ac:dyDescent="0.35">
      <c r="S4985" s="56" t="str">
        <f t="shared" si="231"/>
        <v/>
      </c>
      <c r="T4985" s="57" t="str">
        <f t="shared" si="232"/>
        <v/>
      </c>
      <c r="U4985" s="58" t="str">
        <f t="shared" si="233"/>
        <v/>
      </c>
    </row>
    <row r="4986" spans="19:21" ht="23.25" customHeight="1" x14ac:dyDescent="0.35">
      <c r="S4986" s="56" t="str">
        <f t="shared" si="231"/>
        <v/>
      </c>
      <c r="T4986" s="57" t="str">
        <f t="shared" si="232"/>
        <v/>
      </c>
      <c r="U4986" s="58" t="str">
        <f t="shared" si="233"/>
        <v/>
      </c>
    </row>
    <row r="4987" spans="19:21" ht="23.25" customHeight="1" x14ac:dyDescent="0.35">
      <c r="S4987" s="56" t="str">
        <f t="shared" si="231"/>
        <v/>
      </c>
      <c r="T4987" s="57" t="str">
        <f t="shared" si="232"/>
        <v/>
      </c>
      <c r="U4987" s="58" t="str">
        <f t="shared" si="233"/>
        <v/>
      </c>
    </row>
    <row r="4988" spans="19:21" ht="23.25" customHeight="1" x14ac:dyDescent="0.35">
      <c r="S4988" s="56" t="str">
        <f t="shared" si="231"/>
        <v/>
      </c>
      <c r="T4988" s="57" t="str">
        <f t="shared" si="232"/>
        <v/>
      </c>
      <c r="U4988" s="58" t="str">
        <f t="shared" si="233"/>
        <v/>
      </c>
    </row>
    <row r="4989" spans="19:21" ht="23.25" customHeight="1" x14ac:dyDescent="0.35">
      <c r="S4989" s="56" t="str">
        <f t="shared" si="231"/>
        <v/>
      </c>
      <c r="T4989" s="57" t="str">
        <f t="shared" si="232"/>
        <v/>
      </c>
      <c r="U4989" s="58" t="str">
        <f t="shared" si="233"/>
        <v/>
      </c>
    </row>
    <row r="4990" spans="19:21" ht="23.25" customHeight="1" x14ac:dyDescent="0.35">
      <c r="S4990" s="56" t="str">
        <f t="shared" si="231"/>
        <v/>
      </c>
      <c r="T4990" s="57" t="str">
        <f t="shared" si="232"/>
        <v/>
      </c>
      <c r="U4990" s="58" t="str">
        <f t="shared" si="233"/>
        <v/>
      </c>
    </row>
    <row r="4991" spans="19:21" ht="23.25" customHeight="1" x14ac:dyDescent="0.35">
      <c r="S4991" s="56" t="str">
        <f t="shared" si="231"/>
        <v/>
      </c>
      <c r="T4991" s="57" t="str">
        <f t="shared" si="232"/>
        <v/>
      </c>
      <c r="U4991" s="58" t="str">
        <f t="shared" si="233"/>
        <v/>
      </c>
    </row>
    <row r="4992" spans="19:21" ht="23.25" customHeight="1" x14ac:dyDescent="0.35">
      <c r="S4992" s="56" t="str">
        <f t="shared" si="231"/>
        <v/>
      </c>
      <c r="T4992" s="57" t="str">
        <f t="shared" si="232"/>
        <v/>
      </c>
      <c r="U4992" s="58" t="str">
        <f t="shared" si="233"/>
        <v/>
      </c>
    </row>
    <row r="4993" spans="19:21" ht="23.25" customHeight="1" x14ac:dyDescent="0.35">
      <c r="S4993" s="56" t="str">
        <f t="shared" si="231"/>
        <v/>
      </c>
      <c r="T4993" s="57" t="str">
        <f t="shared" si="232"/>
        <v/>
      </c>
      <c r="U4993" s="58" t="str">
        <f t="shared" si="233"/>
        <v/>
      </c>
    </row>
    <row r="4994" spans="19:21" ht="23.25" customHeight="1" x14ac:dyDescent="0.35">
      <c r="S4994" s="56" t="str">
        <f t="shared" si="231"/>
        <v/>
      </c>
      <c r="T4994" s="57" t="str">
        <f t="shared" si="232"/>
        <v/>
      </c>
      <c r="U4994" s="58" t="str">
        <f t="shared" si="233"/>
        <v/>
      </c>
    </row>
    <row r="4995" spans="19:21" ht="23.25" customHeight="1" x14ac:dyDescent="0.35">
      <c r="S4995" s="56" t="str">
        <f t="shared" si="231"/>
        <v/>
      </c>
      <c r="T4995" s="57" t="str">
        <f t="shared" si="232"/>
        <v/>
      </c>
      <c r="U4995" s="58" t="str">
        <f t="shared" si="233"/>
        <v/>
      </c>
    </row>
    <row r="4996" spans="19:21" ht="23.25" customHeight="1" x14ac:dyDescent="0.35">
      <c r="S4996" s="56" t="str">
        <f t="shared" si="231"/>
        <v/>
      </c>
      <c r="T4996" s="57" t="str">
        <f t="shared" si="232"/>
        <v/>
      </c>
      <c r="U4996" s="58" t="str">
        <f t="shared" si="233"/>
        <v/>
      </c>
    </row>
    <row r="4997" spans="19:21" ht="23.25" customHeight="1" x14ac:dyDescent="0.35">
      <c r="S4997" s="56" t="str">
        <f t="shared" si="231"/>
        <v/>
      </c>
      <c r="T4997" s="57" t="str">
        <f t="shared" si="232"/>
        <v/>
      </c>
      <c r="U4997" s="58" t="str">
        <f t="shared" si="233"/>
        <v/>
      </c>
    </row>
    <row r="4998" spans="19:21" ht="23.25" customHeight="1" x14ac:dyDescent="0.35">
      <c r="S4998" s="56" t="str">
        <f t="shared" si="231"/>
        <v/>
      </c>
      <c r="T4998" s="57" t="str">
        <f t="shared" si="232"/>
        <v/>
      </c>
      <c r="U4998" s="58" t="str">
        <f t="shared" si="233"/>
        <v/>
      </c>
    </row>
    <row r="4999" spans="19:21" ht="23.25" customHeight="1" x14ac:dyDescent="0.35">
      <c r="S4999" s="56" t="str">
        <f t="shared" si="231"/>
        <v/>
      </c>
      <c r="T4999" s="57" t="str">
        <f t="shared" si="232"/>
        <v/>
      </c>
      <c r="U4999" s="58" t="str">
        <f t="shared" si="233"/>
        <v/>
      </c>
    </row>
    <row r="5000" spans="19:21" ht="23.25" customHeight="1" x14ac:dyDescent="0.35">
      <c r="S5000" s="56" t="str">
        <f t="shared" si="231"/>
        <v/>
      </c>
      <c r="T5000" s="57" t="str">
        <f t="shared" si="232"/>
        <v/>
      </c>
      <c r="U5000" s="58" t="str">
        <f t="shared" si="233"/>
        <v/>
      </c>
    </row>
    <row r="5001" spans="19:21" ht="23.25" customHeight="1" x14ac:dyDescent="0.35">
      <c r="S5001" s="56" t="str">
        <f t="shared" ref="S5001:S5064" si="234">IF(A5001="","",A$5-A5001)</f>
        <v/>
      </c>
      <c r="T5001" s="57" t="str">
        <f t="shared" ref="T5001:T5064" si="235">IF(S5001="","",IF(S5001&lt;4,"0-3 Days",IF(S5001&lt;31,"4-30 Days",IF(S5001&lt;61,"31-60 Days",IF(S5001&lt;=90,"61-90 Days",IF(S5001&gt;90,"Above 90 Days","0"))))))</f>
        <v/>
      </c>
      <c r="U5001" s="58" t="str">
        <f t="shared" ref="U5001:U5064" si="236">IF(C5001="","",IF(C5001&gt;0,IF(S5001&lt;30,"Normal",IF(S5001&lt;60,"Especially Mentioned",IF(S5001&lt;90,"Substandard",IF(S5001&lt;=180,"Doubtful",IF(S5001&gt;180,"Loss","0"))))),"Not Applicable"))</f>
        <v/>
      </c>
    </row>
    <row r="5002" spans="19:21" ht="23.25" customHeight="1" x14ac:dyDescent="0.35">
      <c r="S5002" s="56" t="str">
        <f t="shared" si="234"/>
        <v/>
      </c>
      <c r="T5002" s="57" t="str">
        <f t="shared" si="235"/>
        <v/>
      </c>
      <c r="U5002" s="58" t="str">
        <f t="shared" si="236"/>
        <v/>
      </c>
    </row>
    <row r="5003" spans="19:21" ht="23.25" customHeight="1" x14ac:dyDescent="0.35">
      <c r="S5003" s="56" t="str">
        <f t="shared" si="234"/>
        <v/>
      </c>
      <c r="T5003" s="57" t="str">
        <f t="shared" si="235"/>
        <v/>
      </c>
      <c r="U5003" s="58" t="str">
        <f t="shared" si="236"/>
        <v/>
      </c>
    </row>
    <row r="5004" spans="19:21" ht="23.25" customHeight="1" x14ac:dyDescent="0.35">
      <c r="S5004" s="56" t="str">
        <f t="shared" si="234"/>
        <v/>
      </c>
      <c r="T5004" s="57" t="str">
        <f t="shared" si="235"/>
        <v/>
      </c>
      <c r="U5004" s="58" t="str">
        <f t="shared" si="236"/>
        <v/>
      </c>
    </row>
    <row r="5005" spans="19:21" ht="23.25" customHeight="1" x14ac:dyDescent="0.35">
      <c r="S5005" s="56" t="str">
        <f t="shared" si="234"/>
        <v/>
      </c>
      <c r="T5005" s="57" t="str">
        <f t="shared" si="235"/>
        <v/>
      </c>
      <c r="U5005" s="58" t="str">
        <f t="shared" si="236"/>
        <v/>
      </c>
    </row>
    <row r="5006" spans="19:21" ht="23.25" customHeight="1" x14ac:dyDescent="0.35">
      <c r="S5006" s="56" t="str">
        <f t="shared" si="234"/>
        <v/>
      </c>
      <c r="T5006" s="57" t="str">
        <f t="shared" si="235"/>
        <v/>
      </c>
      <c r="U5006" s="58" t="str">
        <f t="shared" si="236"/>
        <v/>
      </c>
    </row>
    <row r="5007" spans="19:21" ht="23.25" customHeight="1" x14ac:dyDescent="0.35">
      <c r="S5007" s="56" t="str">
        <f t="shared" si="234"/>
        <v/>
      </c>
      <c r="T5007" s="57" t="str">
        <f t="shared" si="235"/>
        <v/>
      </c>
      <c r="U5007" s="58" t="str">
        <f t="shared" si="236"/>
        <v/>
      </c>
    </row>
    <row r="5008" spans="19:21" ht="23.25" customHeight="1" x14ac:dyDescent="0.35">
      <c r="S5008" s="56" t="str">
        <f t="shared" si="234"/>
        <v/>
      </c>
      <c r="T5008" s="57" t="str">
        <f t="shared" si="235"/>
        <v/>
      </c>
      <c r="U5008" s="58" t="str">
        <f t="shared" si="236"/>
        <v/>
      </c>
    </row>
    <row r="5009" spans="19:21" ht="23.25" customHeight="1" x14ac:dyDescent="0.35">
      <c r="S5009" s="56" t="str">
        <f t="shared" si="234"/>
        <v/>
      </c>
      <c r="T5009" s="57" t="str">
        <f t="shared" si="235"/>
        <v/>
      </c>
      <c r="U5009" s="58" t="str">
        <f t="shared" si="236"/>
        <v/>
      </c>
    </row>
    <row r="5010" spans="19:21" ht="23.25" customHeight="1" x14ac:dyDescent="0.35">
      <c r="S5010" s="56" t="str">
        <f t="shared" si="234"/>
        <v/>
      </c>
      <c r="T5010" s="57" t="str">
        <f t="shared" si="235"/>
        <v/>
      </c>
      <c r="U5010" s="58" t="str">
        <f t="shared" si="236"/>
        <v/>
      </c>
    </row>
    <row r="5011" spans="19:21" ht="23.25" customHeight="1" x14ac:dyDescent="0.35">
      <c r="S5011" s="56" t="str">
        <f t="shared" si="234"/>
        <v/>
      </c>
      <c r="T5011" s="57" t="str">
        <f t="shared" si="235"/>
        <v/>
      </c>
      <c r="U5011" s="58" t="str">
        <f t="shared" si="236"/>
        <v/>
      </c>
    </row>
    <row r="5012" spans="19:21" ht="23.25" customHeight="1" x14ac:dyDescent="0.35">
      <c r="S5012" s="56" t="str">
        <f t="shared" si="234"/>
        <v/>
      </c>
      <c r="T5012" s="57" t="str">
        <f t="shared" si="235"/>
        <v/>
      </c>
      <c r="U5012" s="58" t="str">
        <f t="shared" si="236"/>
        <v/>
      </c>
    </row>
    <row r="5013" spans="19:21" ht="23.25" customHeight="1" x14ac:dyDescent="0.35">
      <c r="S5013" s="56" t="str">
        <f t="shared" si="234"/>
        <v/>
      </c>
      <c r="T5013" s="57" t="str">
        <f t="shared" si="235"/>
        <v/>
      </c>
      <c r="U5013" s="58" t="str">
        <f t="shared" si="236"/>
        <v/>
      </c>
    </row>
    <row r="5014" spans="19:21" ht="23.25" customHeight="1" x14ac:dyDescent="0.35">
      <c r="S5014" s="56" t="str">
        <f t="shared" si="234"/>
        <v/>
      </c>
      <c r="T5014" s="57" t="str">
        <f t="shared" si="235"/>
        <v/>
      </c>
      <c r="U5014" s="58" t="str">
        <f t="shared" si="236"/>
        <v/>
      </c>
    </row>
    <row r="5015" spans="19:21" ht="23.25" customHeight="1" x14ac:dyDescent="0.35">
      <c r="S5015" s="56" t="str">
        <f t="shared" si="234"/>
        <v/>
      </c>
      <c r="T5015" s="57" t="str">
        <f t="shared" si="235"/>
        <v/>
      </c>
      <c r="U5015" s="58" t="str">
        <f t="shared" si="236"/>
        <v/>
      </c>
    </row>
    <row r="5016" spans="19:21" ht="23.25" customHeight="1" x14ac:dyDescent="0.35">
      <c r="S5016" s="56" t="str">
        <f t="shared" si="234"/>
        <v/>
      </c>
      <c r="T5016" s="57" t="str">
        <f t="shared" si="235"/>
        <v/>
      </c>
      <c r="U5016" s="58" t="str">
        <f t="shared" si="236"/>
        <v/>
      </c>
    </row>
    <row r="5017" spans="19:21" ht="23.25" customHeight="1" x14ac:dyDescent="0.35">
      <c r="S5017" s="56" t="str">
        <f t="shared" si="234"/>
        <v/>
      </c>
      <c r="T5017" s="57" t="str">
        <f t="shared" si="235"/>
        <v/>
      </c>
      <c r="U5017" s="58" t="str">
        <f t="shared" si="236"/>
        <v/>
      </c>
    </row>
    <row r="5018" spans="19:21" ht="23.25" customHeight="1" x14ac:dyDescent="0.35">
      <c r="S5018" s="56" t="str">
        <f t="shared" si="234"/>
        <v/>
      </c>
      <c r="T5018" s="57" t="str">
        <f t="shared" si="235"/>
        <v/>
      </c>
      <c r="U5018" s="58" t="str">
        <f t="shared" si="236"/>
        <v/>
      </c>
    </row>
    <row r="5019" spans="19:21" ht="23.25" customHeight="1" x14ac:dyDescent="0.35">
      <c r="S5019" s="56" t="str">
        <f t="shared" si="234"/>
        <v/>
      </c>
      <c r="T5019" s="57" t="str">
        <f t="shared" si="235"/>
        <v/>
      </c>
      <c r="U5019" s="58" t="str">
        <f t="shared" si="236"/>
        <v/>
      </c>
    </row>
    <row r="5020" spans="19:21" ht="23.25" customHeight="1" x14ac:dyDescent="0.35">
      <c r="S5020" s="56" t="str">
        <f t="shared" si="234"/>
        <v/>
      </c>
      <c r="T5020" s="57" t="str">
        <f t="shared" si="235"/>
        <v/>
      </c>
      <c r="U5020" s="58" t="str">
        <f t="shared" si="236"/>
        <v/>
      </c>
    </row>
    <row r="5021" spans="19:21" ht="23.25" customHeight="1" x14ac:dyDescent="0.35">
      <c r="S5021" s="56" t="str">
        <f t="shared" si="234"/>
        <v/>
      </c>
      <c r="T5021" s="57" t="str">
        <f t="shared" si="235"/>
        <v/>
      </c>
      <c r="U5021" s="58" t="str">
        <f t="shared" si="236"/>
        <v/>
      </c>
    </row>
    <row r="5022" spans="19:21" ht="23.25" customHeight="1" x14ac:dyDescent="0.35">
      <c r="S5022" s="56" t="str">
        <f t="shared" si="234"/>
        <v/>
      </c>
      <c r="T5022" s="57" t="str">
        <f t="shared" si="235"/>
        <v/>
      </c>
      <c r="U5022" s="58" t="str">
        <f t="shared" si="236"/>
        <v/>
      </c>
    </row>
    <row r="5023" spans="19:21" ht="23.25" customHeight="1" x14ac:dyDescent="0.35">
      <c r="S5023" s="56" t="str">
        <f t="shared" si="234"/>
        <v/>
      </c>
      <c r="T5023" s="57" t="str">
        <f t="shared" si="235"/>
        <v/>
      </c>
      <c r="U5023" s="58" t="str">
        <f t="shared" si="236"/>
        <v/>
      </c>
    </row>
    <row r="5024" spans="19:21" ht="23.25" customHeight="1" x14ac:dyDescent="0.35">
      <c r="S5024" s="56" t="str">
        <f t="shared" si="234"/>
        <v/>
      </c>
      <c r="T5024" s="57" t="str">
        <f t="shared" si="235"/>
        <v/>
      </c>
      <c r="U5024" s="58" t="str">
        <f t="shared" si="236"/>
        <v/>
      </c>
    </row>
    <row r="5025" spans="19:21" ht="23.25" customHeight="1" x14ac:dyDescent="0.35">
      <c r="S5025" s="56" t="str">
        <f t="shared" si="234"/>
        <v/>
      </c>
      <c r="T5025" s="57" t="str">
        <f t="shared" si="235"/>
        <v/>
      </c>
      <c r="U5025" s="58" t="str">
        <f t="shared" si="236"/>
        <v/>
      </c>
    </row>
    <row r="5026" spans="19:21" ht="23.25" customHeight="1" x14ac:dyDescent="0.35">
      <c r="S5026" s="56" t="str">
        <f t="shared" si="234"/>
        <v/>
      </c>
      <c r="T5026" s="57" t="str">
        <f t="shared" si="235"/>
        <v/>
      </c>
      <c r="U5026" s="58" t="str">
        <f t="shared" si="236"/>
        <v/>
      </c>
    </row>
    <row r="5027" spans="19:21" ht="23.25" customHeight="1" x14ac:dyDescent="0.35">
      <c r="S5027" s="56" t="str">
        <f t="shared" si="234"/>
        <v/>
      </c>
      <c r="T5027" s="57" t="str">
        <f t="shared" si="235"/>
        <v/>
      </c>
      <c r="U5027" s="58" t="str">
        <f t="shared" si="236"/>
        <v/>
      </c>
    </row>
    <row r="5028" spans="19:21" ht="23.25" customHeight="1" x14ac:dyDescent="0.35">
      <c r="S5028" s="56" t="str">
        <f t="shared" si="234"/>
        <v/>
      </c>
      <c r="T5028" s="57" t="str">
        <f t="shared" si="235"/>
        <v/>
      </c>
      <c r="U5028" s="58" t="str">
        <f t="shared" si="236"/>
        <v/>
      </c>
    </row>
    <row r="5029" spans="19:21" ht="23.25" customHeight="1" x14ac:dyDescent="0.35">
      <c r="S5029" s="56" t="str">
        <f t="shared" si="234"/>
        <v/>
      </c>
      <c r="T5029" s="57" t="str">
        <f t="shared" si="235"/>
        <v/>
      </c>
      <c r="U5029" s="58" t="str">
        <f t="shared" si="236"/>
        <v/>
      </c>
    </row>
    <row r="5030" spans="19:21" ht="23.25" customHeight="1" x14ac:dyDescent="0.35">
      <c r="S5030" s="56" t="str">
        <f t="shared" si="234"/>
        <v/>
      </c>
      <c r="T5030" s="57" t="str">
        <f t="shared" si="235"/>
        <v/>
      </c>
      <c r="U5030" s="58" t="str">
        <f t="shared" si="236"/>
        <v/>
      </c>
    </row>
    <row r="5031" spans="19:21" ht="23.25" customHeight="1" x14ac:dyDescent="0.35">
      <c r="S5031" s="56" t="str">
        <f t="shared" si="234"/>
        <v/>
      </c>
      <c r="T5031" s="57" t="str">
        <f t="shared" si="235"/>
        <v/>
      </c>
      <c r="U5031" s="58" t="str">
        <f t="shared" si="236"/>
        <v/>
      </c>
    </row>
    <row r="5032" spans="19:21" ht="23.25" customHeight="1" x14ac:dyDescent="0.35">
      <c r="S5032" s="56" t="str">
        <f t="shared" si="234"/>
        <v/>
      </c>
      <c r="T5032" s="57" t="str">
        <f t="shared" si="235"/>
        <v/>
      </c>
      <c r="U5032" s="58" t="str">
        <f t="shared" si="236"/>
        <v/>
      </c>
    </row>
    <row r="5033" spans="19:21" ht="23.25" customHeight="1" x14ac:dyDescent="0.35">
      <c r="S5033" s="56" t="str">
        <f t="shared" si="234"/>
        <v/>
      </c>
      <c r="T5033" s="57" t="str">
        <f t="shared" si="235"/>
        <v/>
      </c>
      <c r="U5033" s="58" t="str">
        <f t="shared" si="236"/>
        <v/>
      </c>
    </row>
    <row r="5034" spans="19:21" ht="23.25" customHeight="1" x14ac:dyDescent="0.35">
      <c r="S5034" s="56" t="str">
        <f t="shared" si="234"/>
        <v/>
      </c>
      <c r="T5034" s="57" t="str">
        <f t="shared" si="235"/>
        <v/>
      </c>
      <c r="U5034" s="58" t="str">
        <f t="shared" si="236"/>
        <v/>
      </c>
    </row>
    <row r="5035" spans="19:21" ht="23.25" customHeight="1" x14ac:dyDescent="0.35">
      <c r="S5035" s="56" t="str">
        <f t="shared" si="234"/>
        <v/>
      </c>
      <c r="T5035" s="57" t="str">
        <f t="shared" si="235"/>
        <v/>
      </c>
      <c r="U5035" s="58" t="str">
        <f t="shared" si="236"/>
        <v/>
      </c>
    </row>
    <row r="5036" spans="19:21" ht="23.25" customHeight="1" x14ac:dyDescent="0.35">
      <c r="S5036" s="56" t="str">
        <f t="shared" si="234"/>
        <v/>
      </c>
      <c r="T5036" s="57" t="str">
        <f t="shared" si="235"/>
        <v/>
      </c>
      <c r="U5036" s="58" t="str">
        <f t="shared" si="236"/>
        <v/>
      </c>
    </row>
    <row r="5037" spans="19:21" ht="23.25" customHeight="1" x14ac:dyDescent="0.35">
      <c r="S5037" s="56" t="str">
        <f t="shared" si="234"/>
        <v/>
      </c>
      <c r="T5037" s="57" t="str">
        <f t="shared" si="235"/>
        <v/>
      </c>
      <c r="U5037" s="58" t="str">
        <f t="shared" si="236"/>
        <v/>
      </c>
    </row>
    <row r="5038" spans="19:21" ht="23.25" customHeight="1" x14ac:dyDescent="0.35">
      <c r="S5038" s="56" t="str">
        <f t="shared" si="234"/>
        <v/>
      </c>
      <c r="T5038" s="57" t="str">
        <f t="shared" si="235"/>
        <v/>
      </c>
      <c r="U5038" s="58" t="str">
        <f t="shared" si="236"/>
        <v/>
      </c>
    </row>
    <row r="5039" spans="19:21" ht="23.25" customHeight="1" x14ac:dyDescent="0.35">
      <c r="S5039" s="56" t="str">
        <f t="shared" si="234"/>
        <v/>
      </c>
      <c r="T5039" s="57" t="str">
        <f t="shared" si="235"/>
        <v/>
      </c>
      <c r="U5039" s="58" t="str">
        <f t="shared" si="236"/>
        <v/>
      </c>
    </row>
    <row r="5040" spans="19:21" ht="23.25" customHeight="1" x14ac:dyDescent="0.35">
      <c r="S5040" s="56" t="str">
        <f t="shared" si="234"/>
        <v/>
      </c>
      <c r="T5040" s="57" t="str">
        <f t="shared" si="235"/>
        <v/>
      </c>
      <c r="U5040" s="58" t="str">
        <f t="shared" si="236"/>
        <v/>
      </c>
    </row>
    <row r="5041" spans="19:21" ht="23.25" customHeight="1" x14ac:dyDescent="0.35">
      <c r="S5041" s="56" t="str">
        <f t="shared" si="234"/>
        <v/>
      </c>
      <c r="T5041" s="57" t="str">
        <f t="shared" si="235"/>
        <v/>
      </c>
      <c r="U5041" s="58" t="str">
        <f t="shared" si="236"/>
        <v/>
      </c>
    </row>
    <row r="5042" spans="19:21" ht="23.25" customHeight="1" x14ac:dyDescent="0.35">
      <c r="S5042" s="56" t="str">
        <f t="shared" si="234"/>
        <v/>
      </c>
      <c r="T5042" s="57" t="str">
        <f t="shared" si="235"/>
        <v/>
      </c>
      <c r="U5042" s="58" t="str">
        <f t="shared" si="236"/>
        <v/>
      </c>
    </row>
    <row r="5043" spans="19:21" ht="23.25" customHeight="1" x14ac:dyDescent="0.35">
      <c r="S5043" s="56" t="str">
        <f t="shared" si="234"/>
        <v/>
      </c>
      <c r="T5043" s="57" t="str">
        <f t="shared" si="235"/>
        <v/>
      </c>
      <c r="U5043" s="58" t="str">
        <f t="shared" si="236"/>
        <v/>
      </c>
    </row>
    <row r="5044" spans="19:21" ht="23.25" customHeight="1" x14ac:dyDescent="0.35">
      <c r="S5044" s="56" t="str">
        <f t="shared" si="234"/>
        <v/>
      </c>
      <c r="T5044" s="57" t="str">
        <f t="shared" si="235"/>
        <v/>
      </c>
      <c r="U5044" s="58" t="str">
        <f t="shared" si="236"/>
        <v/>
      </c>
    </row>
    <row r="5045" spans="19:21" ht="23.25" customHeight="1" x14ac:dyDescent="0.35">
      <c r="S5045" s="56" t="str">
        <f t="shared" si="234"/>
        <v/>
      </c>
      <c r="T5045" s="57" t="str">
        <f t="shared" si="235"/>
        <v/>
      </c>
      <c r="U5045" s="58" t="str">
        <f t="shared" si="236"/>
        <v/>
      </c>
    </row>
    <row r="5046" spans="19:21" ht="23.25" customHeight="1" x14ac:dyDescent="0.35">
      <c r="S5046" s="56" t="str">
        <f t="shared" si="234"/>
        <v/>
      </c>
      <c r="T5046" s="57" t="str">
        <f t="shared" si="235"/>
        <v/>
      </c>
      <c r="U5046" s="58" t="str">
        <f t="shared" si="236"/>
        <v/>
      </c>
    </row>
    <row r="5047" spans="19:21" ht="23.25" customHeight="1" x14ac:dyDescent="0.35">
      <c r="S5047" s="56" t="str">
        <f t="shared" si="234"/>
        <v/>
      </c>
      <c r="T5047" s="57" t="str">
        <f t="shared" si="235"/>
        <v/>
      </c>
      <c r="U5047" s="58" t="str">
        <f t="shared" si="236"/>
        <v/>
      </c>
    </row>
    <row r="5048" spans="19:21" ht="23.25" customHeight="1" x14ac:dyDescent="0.35">
      <c r="S5048" s="56" t="str">
        <f t="shared" si="234"/>
        <v/>
      </c>
      <c r="T5048" s="57" t="str">
        <f t="shared" si="235"/>
        <v/>
      </c>
      <c r="U5048" s="58" t="str">
        <f t="shared" si="236"/>
        <v/>
      </c>
    </row>
    <row r="5049" spans="19:21" ht="23.25" customHeight="1" x14ac:dyDescent="0.35">
      <c r="S5049" s="56" t="str">
        <f t="shared" si="234"/>
        <v/>
      </c>
      <c r="T5049" s="57" t="str">
        <f t="shared" si="235"/>
        <v/>
      </c>
      <c r="U5049" s="58" t="str">
        <f t="shared" si="236"/>
        <v/>
      </c>
    </row>
    <row r="5050" spans="19:21" ht="23.25" customHeight="1" x14ac:dyDescent="0.35">
      <c r="S5050" s="56" t="str">
        <f t="shared" si="234"/>
        <v/>
      </c>
      <c r="T5050" s="57" t="str">
        <f t="shared" si="235"/>
        <v/>
      </c>
      <c r="U5050" s="58" t="str">
        <f t="shared" si="236"/>
        <v/>
      </c>
    </row>
    <row r="5051" spans="19:21" ht="23.25" customHeight="1" x14ac:dyDescent="0.35">
      <c r="S5051" s="56" t="str">
        <f t="shared" si="234"/>
        <v/>
      </c>
      <c r="T5051" s="57" t="str">
        <f t="shared" si="235"/>
        <v/>
      </c>
      <c r="U5051" s="58" t="str">
        <f t="shared" si="236"/>
        <v/>
      </c>
    </row>
    <row r="5052" spans="19:21" ht="23.25" customHeight="1" x14ac:dyDescent="0.35">
      <c r="S5052" s="56" t="str">
        <f t="shared" si="234"/>
        <v/>
      </c>
      <c r="T5052" s="57" t="str">
        <f t="shared" si="235"/>
        <v/>
      </c>
      <c r="U5052" s="58" t="str">
        <f t="shared" si="236"/>
        <v/>
      </c>
    </row>
    <row r="5053" spans="19:21" ht="23.25" customHeight="1" x14ac:dyDescent="0.35">
      <c r="S5053" s="56" t="str">
        <f t="shared" si="234"/>
        <v/>
      </c>
      <c r="T5053" s="57" t="str">
        <f t="shared" si="235"/>
        <v/>
      </c>
      <c r="U5053" s="58" t="str">
        <f t="shared" si="236"/>
        <v/>
      </c>
    </row>
    <row r="5054" spans="19:21" ht="23.25" customHeight="1" x14ac:dyDescent="0.35">
      <c r="S5054" s="56" t="str">
        <f t="shared" si="234"/>
        <v/>
      </c>
      <c r="T5054" s="57" t="str">
        <f t="shared" si="235"/>
        <v/>
      </c>
      <c r="U5054" s="58" t="str">
        <f t="shared" si="236"/>
        <v/>
      </c>
    </row>
    <row r="5055" spans="19:21" ht="23.25" customHeight="1" x14ac:dyDescent="0.35">
      <c r="S5055" s="56" t="str">
        <f t="shared" si="234"/>
        <v/>
      </c>
      <c r="T5055" s="57" t="str">
        <f t="shared" si="235"/>
        <v/>
      </c>
      <c r="U5055" s="58" t="str">
        <f t="shared" si="236"/>
        <v/>
      </c>
    </row>
    <row r="5056" spans="19:21" ht="23.25" customHeight="1" x14ac:dyDescent="0.35">
      <c r="S5056" s="56" t="str">
        <f t="shared" si="234"/>
        <v/>
      </c>
      <c r="T5056" s="57" t="str">
        <f t="shared" si="235"/>
        <v/>
      </c>
      <c r="U5056" s="58" t="str">
        <f t="shared" si="236"/>
        <v/>
      </c>
    </row>
    <row r="5057" spans="19:21" ht="23.25" customHeight="1" x14ac:dyDescent="0.35">
      <c r="S5057" s="56" t="str">
        <f t="shared" si="234"/>
        <v/>
      </c>
      <c r="T5057" s="57" t="str">
        <f t="shared" si="235"/>
        <v/>
      </c>
      <c r="U5057" s="58" t="str">
        <f t="shared" si="236"/>
        <v/>
      </c>
    </row>
    <row r="5058" spans="19:21" ht="23.25" customHeight="1" x14ac:dyDescent="0.35">
      <c r="S5058" s="56" t="str">
        <f t="shared" si="234"/>
        <v/>
      </c>
      <c r="T5058" s="57" t="str">
        <f t="shared" si="235"/>
        <v/>
      </c>
      <c r="U5058" s="58" t="str">
        <f t="shared" si="236"/>
        <v/>
      </c>
    </row>
    <row r="5059" spans="19:21" ht="23.25" customHeight="1" x14ac:dyDescent="0.35">
      <c r="S5059" s="56" t="str">
        <f t="shared" si="234"/>
        <v/>
      </c>
      <c r="T5059" s="57" t="str">
        <f t="shared" si="235"/>
        <v/>
      </c>
      <c r="U5059" s="58" t="str">
        <f t="shared" si="236"/>
        <v/>
      </c>
    </row>
    <row r="5060" spans="19:21" ht="23.25" customHeight="1" x14ac:dyDescent="0.35">
      <c r="S5060" s="56" t="str">
        <f t="shared" si="234"/>
        <v/>
      </c>
      <c r="T5060" s="57" t="str">
        <f t="shared" si="235"/>
        <v/>
      </c>
      <c r="U5060" s="58" t="str">
        <f t="shared" si="236"/>
        <v/>
      </c>
    </row>
    <row r="5061" spans="19:21" ht="23.25" customHeight="1" x14ac:dyDescent="0.35">
      <c r="S5061" s="56" t="str">
        <f t="shared" si="234"/>
        <v/>
      </c>
      <c r="T5061" s="57" t="str">
        <f t="shared" si="235"/>
        <v/>
      </c>
      <c r="U5061" s="58" t="str">
        <f t="shared" si="236"/>
        <v/>
      </c>
    </row>
    <row r="5062" spans="19:21" ht="23.25" customHeight="1" x14ac:dyDescent="0.35">
      <c r="S5062" s="56" t="str">
        <f t="shared" si="234"/>
        <v/>
      </c>
      <c r="T5062" s="57" t="str">
        <f t="shared" si="235"/>
        <v/>
      </c>
      <c r="U5062" s="58" t="str">
        <f t="shared" si="236"/>
        <v/>
      </c>
    </row>
    <row r="5063" spans="19:21" ht="23.25" customHeight="1" x14ac:dyDescent="0.35">
      <c r="S5063" s="56" t="str">
        <f t="shared" si="234"/>
        <v/>
      </c>
      <c r="T5063" s="57" t="str">
        <f t="shared" si="235"/>
        <v/>
      </c>
      <c r="U5063" s="58" t="str">
        <f t="shared" si="236"/>
        <v/>
      </c>
    </row>
    <row r="5064" spans="19:21" ht="23.25" customHeight="1" x14ac:dyDescent="0.35">
      <c r="S5064" s="56" t="str">
        <f t="shared" si="234"/>
        <v/>
      </c>
      <c r="T5064" s="57" t="str">
        <f t="shared" si="235"/>
        <v/>
      </c>
      <c r="U5064" s="58" t="str">
        <f t="shared" si="236"/>
        <v/>
      </c>
    </row>
    <row r="5065" spans="19:21" ht="23.25" customHeight="1" x14ac:dyDescent="0.35">
      <c r="S5065" s="56" t="str">
        <f t="shared" ref="S5065:S5128" si="237">IF(A5065="","",A$5-A5065)</f>
        <v/>
      </c>
      <c r="T5065" s="57" t="str">
        <f t="shared" ref="T5065:T5128" si="238">IF(S5065="","",IF(S5065&lt;4,"0-3 Days",IF(S5065&lt;31,"4-30 Days",IF(S5065&lt;61,"31-60 Days",IF(S5065&lt;=90,"61-90 Days",IF(S5065&gt;90,"Above 90 Days","0"))))))</f>
        <v/>
      </c>
      <c r="U5065" s="58" t="str">
        <f t="shared" ref="U5065:U5128" si="239">IF(C5065="","",IF(C5065&gt;0,IF(S5065&lt;30,"Normal",IF(S5065&lt;60,"Especially Mentioned",IF(S5065&lt;90,"Substandard",IF(S5065&lt;=180,"Doubtful",IF(S5065&gt;180,"Loss","0"))))),"Not Applicable"))</f>
        <v/>
      </c>
    </row>
    <row r="5066" spans="19:21" ht="23.25" customHeight="1" x14ac:dyDescent="0.35">
      <c r="S5066" s="56" t="str">
        <f t="shared" si="237"/>
        <v/>
      </c>
      <c r="T5066" s="57" t="str">
        <f t="shared" si="238"/>
        <v/>
      </c>
      <c r="U5066" s="58" t="str">
        <f t="shared" si="239"/>
        <v/>
      </c>
    </row>
    <row r="5067" spans="19:21" ht="23.25" customHeight="1" x14ac:dyDescent="0.35">
      <c r="S5067" s="56" t="str">
        <f t="shared" si="237"/>
        <v/>
      </c>
      <c r="T5067" s="57" t="str">
        <f t="shared" si="238"/>
        <v/>
      </c>
      <c r="U5067" s="58" t="str">
        <f t="shared" si="239"/>
        <v/>
      </c>
    </row>
    <row r="5068" spans="19:21" ht="23.25" customHeight="1" x14ac:dyDescent="0.35">
      <c r="S5068" s="56" t="str">
        <f t="shared" si="237"/>
        <v/>
      </c>
      <c r="T5068" s="57" t="str">
        <f t="shared" si="238"/>
        <v/>
      </c>
      <c r="U5068" s="58" t="str">
        <f t="shared" si="239"/>
        <v/>
      </c>
    </row>
    <row r="5069" spans="19:21" ht="23.25" customHeight="1" x14ac:dyDescent="0.35">
      <c r="S5069" s="56" t="str">
        <f t="shared" si="237"/>
        <v/>
      </c>
      <c r="T5069" s="57" t="str">
        <f t="shared" si="238"/>
        <v/>
      </c>
      <c r="U5069" s="58" t="str">
        <f t="shared" si="239"/>
        <v/>
      </c>
    </row>
    <row r="5070" spans="19:21" ht="23.25" customHeight="1" x14ac:dyDescent="0.35">
      <c r="S5070" s="56" t="str">
        <f t="shared" si="237"/>
        <v/>
      </c>
      <c r="T5070" s="57" t="str">
        <f t="shared" si="238"/>
        <v/>
      </c>
      <c r="U5070" s="58" t="str">
        <f t="shared" si="239"/>
        <v/>
      </c>
    </row>
    <row r="5071" spans="19:21" ht="23.25" customHeight="1" x14ac:dyDescent="0.35">
      <c r="S5071" s="56" t="str">
        <f t="shared" si="237"/>
        <v/>
      </c>
      <c r="T5071" s="57" t="str">
        <f t="shared" si="238"/>
        <v/>
      </c>
      <c r="U5071" s="58" t="str">
        <f t="shared" si="239"/>
        <v/>
      </c>
    </row>
    <row r="5072" spans="19:21" ht="23.25" customHeight="1" x14ac:dyDescent="0.35">
      <c r="S5072" s="56" t="str">
        <f t="shared" si="237"/>
        <v/>
      </c>
      <c r="T5072" s="57" t="str">
        <f t="shared" si="238"/>
        <v/>
      </c>
      <c r="U5072" s="58" t="str">
        <f t="shared" si="239"/>
        <v/>
      </c>
    </row>
    <row r="5073" spans="19:21" ht="23.25" customHeight="1" x14ac:dyDescent="0.35">
      <c r="S5073" s="56" t="str">
        <f t="shared" si="237"/>
        <v/>
      </c>
      <c r="T5073" s="57" t="str">
        <f t="shared" si="238"/>
        <v/>
      </c>
      <c r="U5073" s="58" t="str">
        <f t="shared" si="239"/>
        <v/>
      </c>
    </row>
    <row r="5074" spans="19:21" ht="23.25" customHeight="1" x14ac:dyDescent="0.35">
      <c r="S5074" s="56" t="str">
        <f t="shared" si="237"/>
        <v/>
      </c>
      <c r="T5074" s="57" t="str">
        <f t="shared" si="238"/>
        <v/>
      </c>
      <c r="U5074" s="58" t="str">
        <f t="shared" si="239"/>
        <v/>
      </c>
    </row>
    <row r="5075" spans="19:21" ht="23.25" customHeight="1" x14ac:dyDescent="0.35">
      <c r="S5075" s="56" t="str">
        <f t="shared" si="237"/>
        <v/>
      </c>
      <c r="T5075" s="57" t="str">
        <f t="shared" si="238"/>
        <v/>
      </c>
      <c r="U5075" s="58" t="str">
        <f t="shared" si="239"/>
        <v/>
      </c>
    </row>
    <row r="5076" spans="19:21" ht="23.25" customHeight="1" x14ac:dyDescent="0.35">
      <c r="S5076" s="56" t="str">
        <f t="shared" si="237"/>
        <v/>
      </c>
      <c r="T5076" s="57" t="str">
        <f t="shared" si="238"/>
        <v/>
      </c>
      <c r="U5076" s="58" t="str">
        <f t="shared" si="239"/>
        <v/>
      </c>
    </row>
    <row r="5077" spans="19:21" ht="23.25" customHeight="1" x14ac:dyDescent="0.35">
      <c r="S5077" s="56" t="str">
        <f t="shared" si="237"/>
        <v/>
      </c>
      <c r="T5077" s="57" t="str">
        <f t="shared" si="238"/>
        <v/>
      </c>
      <c r="U5077" s="58" t="str">
        <f t="shared" si="239"/>
        <v/>
      </c>
    </row>
    <row r="5078" spans="19:21" ht="23.25" customHeight="1" x14ac:dyDescent="0.35">
      <c r="S5078" s="56" t="str">
        <f t="shared" si="237"/>
        <v/>
      </c>
      <c r="T5078" s="57" t="str">
        <f t="shared" si="238"/>
        <v/>
      </c>
      <c r="U5078" s="58" t="str">
        <f t="shared" si="239"/>
        <v/>
      </c>
    </row>
    <row r="5079" spans="19:21" ht="23.25" customHeight="1" x14ac:dyDescent="0.35">
      <c r="S5079" s="56" t="str">
        <f t="shared" si="237"/>
        <v/>
      </c>
      <c r="T5079" s="57" t="str">
        <f t="shared" si="238"/>
        <v/>
      </c>
      <c r="U5079" s="58" t="str">
        <f t="shared" si="239"/>
        <v/>
      </c>
    </row>
    <row r="5080" spans="19:21" ht="23.25" customHeight="1" x14ac:dyDescent="0.35">
      <c r="S5080" s="56" t="str">
        <f t="shared" si="237"/>
        <v/>
      </c>
      <c r="T5080" s="57" t="str">
        <f t="shared" si="238"/>
        <v/>
      </c>
      <c r="U5080" s="58" t="str">
        <f t="shared" si="239"/>
        <v/>
      </c>
    </row>
    <row r="5081" spans="19:21" ht="23.25" customHeight="1" x14ac:dyDescent="0.35">
      <c r="S5081" s="56" t="str">
        <f t="shared" si="237"/>
        <v/>
      </c>
      <c r="T5081" s="57" t="str">
        <f t="shared" si="238"/>
        <v/>
      </c>
      <c r="U5081" s="58" t="str">
        <f t="shared" si="239"/>
        <v/>
      </c>
    </row>
    <row r="5082" spans="19:21" ht="23.25" customHeight="1" x14ac:dyDescent="0.35">
      <c r="S5082" s="56" t="str">
        <f t="shared" si="237"/>
        <v/>
      </c>
      <c r="T5082" s="57" t="str">
        <f t="shared" si="238"/>
        <v/>
      </c>
      <c r="U5082" s="58" t="str">
        <f t="shared" si="239"/>
        <v/>
      </c>
    </row>
    <row r="5083" spans="19:21" ht="23.25" customHeight="1" x14ac:dyDescent="0.35">
      <c r="S5083" s="56" t="str">
        <f t="shared" si="237"/>
        <v/>
      </c>
      <c r="T5083" s="57" t="str">
        <f t="shared" si="238"/>
        <v/>
      </c>
      <c r="U5083" s="58" t="str">
        <f t="shared" si="239"/>
        <v/>
      </c>
    </row>
    <row r="5084" spans="19:21" ht="23.25" customHeight="1" x14ac:dyDescent="0.35">
      <c r="S5084" s="56" t="str">
        <f t="shared" si="237"/>
        <v/>
      </c>
      <c r="T5084" s="57" t="str">
        <f t="shared" si="238"/>
        <v/>
      </c>
      <c r="U5084" s="58" t="str">
        <f t="shared" si="239"/>
        <v/>
      </c>
    </row>
    <row r="5085" spans="19:21" ht="23.25" customHeight="1" x14ac:dyDescent="0.35">
      <c r="S5085" s="56" t="str">
        <f t="shared" si="237"/>
        <v/>
      </c>
      <c r="T5085" s="57" t="str">
        <f t="shared" si="238"/>
        <v/>
      </c>
      <c r="U5085" s="58" t="str">
        <f t="shared" si="239"/>
        <v/>
      </c>
    </row>
    <row r="5086" spans="19:21" ht="23.25" customHeight="1" x14ac:dyDescent="0.35">
      <c r="S5086" s="56" t="str">
        <f t="shared" si="237"/>
        <v/>
      </c>
      <c r="T5086" s="57" t="str">
        <f t="shared" si="238"/>
        <v/>
      </c>
      <c r="U5086" s="58" t="str">
        <f t="shared" si="239"/>
        <v/>
      </c>
    </row>
    <row r="5087" spans="19:21" ht="23.25" customHeight="1" x14ac:dyDescent="0.35">
      <c r="S5087" s="56" t="str">
        <f t="shared" si="237"/>
        <v/>
      </c>
      <c r="T5087" s="57" t="str">
        <f t="shared" si="238"/>
        <v/>
      </c>
      <c r="U5087" s="58" t="str">
        <f t="shared" si="239"/>
        <v/>
      </c>
    </row>
    <row r="5088" spans="19:21" ht="23.25" customHeight="1" x14ac:dyDescent="0.35">
      <c r="S5088" s="56" t="str">
        <f t="shared" si="237"/>
        <v/>
      </c>
      <c r="T5088" s="57" t="str">
        <f t="shared" si="238"/>
        <v/>
      </c>
      <c r="U5088" s="58" t="str">
        <f t="shared" si="239"/>
        <v/>
      </c>
    </row>
    <row r="5089" spans="19:21" ht="23.25" customHeight="1" x14ac:dyDescent="0.35">
      <c r="S5089" s="56" t="str">
        <f t="shared" si="237"/>
        <v/>
      </c>
      <c r="T5089" s="57" t="str">
        <f t="shared" si="238"/>
        <v/>
      </c>
      <c r="U5089" s="58" t="str">
        <f t="shared" si="239"/>
        <v/>
      </c>
    </row>
    <row r="5090" spans="19:21" ht="23.25" customHeight="1" x14ac:dyDescent="0.35">
      <c r="S5090" s="56" t="str">
        <f t="shared" si="237"/>
        <v/>
      </c>
      <c r="T5090" s="57" t="str">
        <f t="shared" si="238"/>
        <v/>
      </c>
      <c r="U5090" s="58" t="str">
        <f t="shared" si="239"/>
        <v/>
      </c>
    </row>
    <row r="5091" spans="19:21" ht="23.25" customHeight="1" x14ac:dyDescent="0.35">
      <c r="S5091" s="56" t="str">
        <f t="shared" si="237"/>
        <v/>
      </c>
      <c r="T5091" s="57" t="str">
        <f t="shared" si="238"/>
        <v/>
      </c>
      <c r="U5091" s="58" t="str">
        <f t="shared" si="239"/>
        <v/>
      </c>
    </row>
    <row r="5092" spans="19:21" ht="23.25" customHeight="1" x14ac:dyDescent="0.35">
      <c r="S5092" s="56" t="str">
        <f t="shared" si="237"/>
        <v/>
      </c>
      <c r="T5092" s="57" t="str">
        <f t="shared" si="238"/>
        <v/>
      </c>
      <c r="U5092" s="58" t="str">
        <f t="shared" si="239"/>
        <v/>
      </c>
    </row>
    <row r="5093" spans="19:21" ht="23.25" customHeight="1" x14ac:dyDescent="0.35">
      <c r="S5093" s="56" t="str">
        <f t="shared" si="237"/>
        <v/>
      </c>
      <c r="T5093" s="57" t="str">
        <f t="shared" si="238"/>
        <v/>
      </c>
      <c r="U5093" s="58" t="str">
        <f t="shared" si="239"/>
        <v/>
      </c>
    </row>
    <row r="5094" spans="19:21" ht="23.25" customHeight="1" x14ac:dyDescent="0.35">
      <c r="S5094" s="56" t="str">
        <f t="shared" si="237"/>
        <v/>
      </c>
      <c r="T5094" s="57" t="str">
        <f t="shared" si="238"/>
        <v/>
      </c>
      <c r="U5094" s="58" t="str">
        <f t="shared" si="239"/>
        <v/>
      </c>
    </row>
    <row r="5095" spans="19:21" ht="23.25" customHeight="1" x14ac:dyDescent="0.35">
      <c r="S5095" s="56" t="str">
        <f t="shared" si="237"/>
        <v/>
      </c>
      <c r="T5095" s="57" t="str">
        <f t="shared" si="238"/>
        <v/>
      </c>
      <c r="U5095" s="58" t="str">
        <f t="shared" si="239"/>
        <v/>
      </c>
    </row>
    <row r="5096" spans="19:21" ht="23.25" customHeight="1" x14ac:dyDescent="0.35">
      <c r="S5096" s="56" t="str">
        <f t="shared" si="237"/>
        <v/>
      </c>
      <c r="T5096" s="57" t="str">
        <f t="shared" si="238"/>
        <v/>
      </c>
      <c r="U5096" s="58" t="str">
        <f t="shared" si="239"/>
        <v/>
      </c>
    </row>
    <row r="5097" spans="19:21" ht="23.25" customHeight="1" x14ac:dyDescent="0.35">
      <c r="S5097" s="56" t="str">
        <f t="shared" si="237"/>
        <v/>
      </c>
      <c r="T5097" s="57" t="str">
        <f t="shared" si="238"/>
        <v/>
      </c>
      <c r="U5097" s="58" t="str">
        <f t="shared" si="239"/>
        <v/>
      </c>
    </row>
    <row r="5098" spans="19:21" ht="23.25" customHeight="1" x14ac:dyDescent="0.35">
      <c r="S5098" s="56" t="str">
        <f t="shared" si="237"/>
        <v/>
      </c>
      <c r="T5098" s="57" t="str">
        <f t="shared" si="238"/>
        <v/>
      </c>
      <c r="U5098" s="58" t="str">
        <f t="shared" si="239"/>
        <v/>
      </c>
    </row>
    <row r="5099" spans="19:21" ht="23.25" customHeight="1" x14ac:dyDescent="0.35">
      <c r="S5099" s="56" t="str">
        <f t="shared" si="237"/>
        <v/>
      </c>
      <c r="T5099" s="57" t="str">
        <f t="shared" si="238"/>
        <v/>
      </c>
      <c r="U5099" s="58" t="str">
        <f t="shared" si="239"/>
        <v/>
      </c>
    </row>
    <row r="5100" spans="19:21" ht="23.25" customHeight="1" x14ac:dyDescent="0.35">
      <c r="S5100" s="56" t="str">
        <f t="shared" si="237"/>
        <v/>
      </c>
      <c r="T5100" s="57" t="str">
        <f t="shared" si="238"/>
        <v/>
      </c>
      <c r="U5100" s="58" t="str">
        <f t="shared" si="239"/>
        <v/>
      </c>
    </row>
    <row r="5101" spans="19:21" ht="23.25" customHeight="1" x14ac:dyDescent="0.35">
      <c r="S5101" s="56" t="str">
        <f t="shared" si="237"/>
        <v/>
      </c>
      <c r="T5101" s="57" t="str">
        <f t="shared" si="238"/>
        <v/>
      </c>
      <c r="U5101" s="58" t="str">
        <f t="shared" si="239"/>
        <v/>
      </c>
    </row>
    <row r="5102" spans="19:21" ht="23.25" customHeight="1" x14ac:dyDescent="0.35">
      <c r="S5102" s="56" t="str">
        <f t="shared" si="237"/>
        <v/>
      </c>
      <c r="T5102" s="57" t="str">
        <f t="shared" si="238"/>
        <v/>
      </c>
      <c r="U5102" s="58" t="str">
        <f t="shared" si="239"/>
        <v/>
      </c>
    </row>
    <row r="5103" spans="19:21" ht="23.25" customHeight="1" x14ac:dyDescent="0.35">
      <c r="S5103" s="56" t="str">
        <f t="shared" si="237"/>
        <v/>
      </c>
      <c r="T5103" s="57" t="str">
        <f t="shared" si="238"/>
        <v/>
      </c>
      <c r="U5103" s="58" t="str">
        <f t="shared" si="239"/>
        <v/>
      </c>
    </row>
    <row r="5104" spans="19:21" ht="23.25" customHeight="1" x14ac:dyDescent="0.35">
      <c r="S5104" s="56" t="str">
        <f t="shared" si="237"/>
        <v/>
      </c>
      <c r="T5104" s="57" t="str">
        <f t="shared" si="238"/>
        <v/>
      </c>
      <c r="U5104" s="58" t="str">
        <f t="shared" si="239"/>
        <v/>
      </c>
    </row>
    <row r="5105" spans="19:21" ht="23.25" customHeight="1" x14ac:dyDescent="0.35">
      <c r="S5105" s="56" t="str">
        <f t="shared" si="237"/>
        <v/>
      </c>
      <c r="T5105" s="57" t="str">
        <f t="shared" si="238"/>
        <v/>
      </c>
      <c r="U5105" s="58" t="str">
        <f t="shared" si="239"/>
        <v/>
      </c>
    </row>
    <row r="5106" spans="19:21" ht="23.25" customHeight="1" x14ac:dyDescent="0.35">
      <c r="S5106" s="56" t="str">
        <f t="shared" si="237"/>
        <v/>
      </c>
      <c r="T5106" s="57" t="str">
        <f t="shared" si="238"/>
        <v/>
      </c>
      <c r="U5106" s="58" t="str">
        <f t="shared" si="239"/>
        <v/>
      </c>
    </row>
    <row r="5107" spans="19:21" ht="23.25" customHeight="1" x14ac:dyDescent="0.35">
      <c r="S5107" s="56" t="str">
        <f t="shared" si="237"/>
        <v/>
      </c>
      <c r="T5107" s="57" t="str">
        <f t="shared" si="238"/>
        <v/>
      </c>
      <c r="U5107" s="58" t="str">
        <f t="shared" si="239"/>
        <v/>
      </c>
    </row>
    <row r="5108" spans="19:21" ht="23.25" customHeight="1" x14ac:dyDescent="0.35">
      <c r="S5108" s="56" t="str">
        <f t="shared" si="237"/>
        <v/>
      </c>
      <c r="T5108" s="57" t="str">
        <f t="shared" si="238"/>
        <v/>
      </c>
      <c r="U5108" s="58" t="str">
        <f t="shared" si="239"/>
        <v/>
      </c>
    </row>
    <row r="5109" spans="19:21" ht="23.25" customHeight="1" x14ac:dyDescent="0.35">
      <c r="S5109" s="56" t="str">
        <f t="shared" si="237"/>
        <v/>
      </c>
      <c r="T5109" s="57" t="str">
        <f t="shared" si="238"/>
        <v/>
      </c>
      <c r="U5109" s="58" t="str">
        <f t="shared" si="239"/>
        <v/>
      </c>
    </row>
    <row r="5110" spans="19:21" ht="23.25" customHeight="1" x14ac:dyDescent="0.35">
      <c r="S5110" s="56" t="str">
        <f t="shared" si="237"/>
        <v/>
      </c>
      <c r="T5110" s="57" t="str">
        <f t="shared" si="238"/>
        <v/>
      </c>
      <c r="U5110" s="58" t="str">
        <f t="shared" si="239"/>
        <v/>
      </c>
    </row>
    <row r="5111" spans="19:21" ht="23.25" customHeight="1" x14ac:dyDescent="0.35">
      <c r="S5111" s="56" t="str">
        <f t="shared" si="237"/>
        <v/>
      </c>
      <c r="T5111" s="57" t="str">
        <f t="shared" si="238"/>
        <v/>
      </c>
      <c r="U5111" s="58" t="str">
        <f t="shared" si="239"/>
        <v/>
      </c>
    </row>
    <row r="5112" spans="19:21" ht="23.25" customHeight="1" x14ac:dyDescent="0.35">
      <c r="S5112" s="56" t="str">
        <f t="shared" si="237"/>
        <v/>
      </c>
      <c r="T5112" s="57" t="str">
        <f t="shared" si="238"/>
        <v/>
      </c>
      <c r="U5112" s="58" t="str">
        <f t="shared" si="239"/>
        <v/>
      </c>
    </row>
    <row r="5113" spans="19:21" ht="23.25" customHeight="1" x14ac:dyDescent="0.35">
      <c r="S5113" s="56" t="str">
        <f t="shared" si="237"/>
        <v/>
      </c>
      <c r="T5113" s="57" t="str">
        <f t="shared" si="238"/>
        <v/>
      </c>
      <c r="U5113" s="58" t="str">
        <f t="shared" si="239"/>
        <v/>
      </c>
    </row>
    <row r="5114" spans="19:21" ht="23.25" customHeight="1" x14ac:dyDescent="0.35">
      <c r="S5114" s="56" t="str">
        <f t="shared" si="237"/>
        <v/>
      </c>
      <c r="T5114" s="57" t="str">
        <f t="shared" si="238"/>
        <v/>
      </c>
      <c r="U5114" s="58" t="str">
        <f t="shared" si="239"/>
        <v/>
      </c>
    </row>
    <row r="5115" spans="19:21" ht="23.25" customHeight="1" x14ac:dyDescent="0.35">
      <c r="S5115" s="56" t="str">
        <f t="shared" si="237"/>
        <v/>
      </c>
      <c r="T5115" s="57" t="str">
        <f t="shared" si="238"/>
        <v/>
      </c>
      <c r="U5115" s="58" t="str">
        <f t="shared" si="239"/>
        <v/>
      </c>
    </row>
    <row r="5116" spans="19:21" ht="23.25" customHeight="1" x14ac:dyDescent="0.35">
      <c r="S5116" s="56" t="str">
        <f t="shared" si="237"/>
        <v/>
      </c>
      <c r="T5116" s="57" t="str">
        <f t="shared" si="238"/>
        <v/>
      </c>
      <c r="U5116" s="58" t="str">
        <f t="shared" si="239"/>
        <v/>
      </c>
    </row>
    <row r="5117" spans="19:21" ht="23.25" customHeight="1" x14ac:dyDescent="0.35">
      <c r="S5117" s="56" t="str">
        <f t="shared" si="237"/>
        <v/>
      </c>
      <c r="T5117" s="57" t="str">
        <f t="shared" si="238"/>
        <v/>
      </c>
      <c r="U5117" s="58" t="str">
        <f t="shared" si="239"/>
        <v/>
      </c>
    </row>
    <row r="5118" spans="19:21" ht="23.25" customHeight="1" x14ac:dyDescent="0.35">
      <c r="S5118" s="56" t="str">
        <f t="shared" si="237"/>
        <v/>
      </c>
      <c r="T5118" s="57" t="str">
        <f t="shared" si="238"/>
        <v/>
      </c>
      <c r="U5118" s="58" t="str">
        <f t="shared" si="239"/>
        <v/>
      </c>
    </row>
    <row r="5119" spans="19:21" ht="23.25" customHeight="1" x14ac:dyDescent="0.35">
      <c r="S5119" s="56" t="str">
        <f t="shared" si="237"/>
        <v/>
      </c>
      <c r="T5119" s="57" t="str">
        <f t="shared" si="238"/>
        <v/>
      </c>
      <c r="U5119" s="58" t="str">
        <f t="shared" si="239"/>
        <v/>
      </c>
    </row>
    <row r="5120" spans="19:21" ht="23.25" customHeight="1" x14ac:dyDescent="0.35">
      <c r="S5120" s="56" t="str">
        <f t="shared" si="237"/>
        <v/>
      </c>
      <c r="T5120" s="57" t="str">
        <f t="shared" si="238"/>
        <v/>
      </c>
      <c r="U5120" s="58" t="str">
        <f t="shared" si="239"/>
        <v/>
      </c>
    </row>
    <row r="5121" spans="19:21" ht="23.25" customHeight="1" x14ac:dyDescent="0.35">
      <c r="S5121" s="56" t="str">
        <f t="shared" si="237"/>
        <v/>
      </c>
      <c r="T5121" s="57" t="str">
        <f t="shared" si="238"/>
        <v/>
      </c>
      <c r="U5121" s="58" t="str">
        <f t="shared" si="239"/>
        <v/>
      </c>
    </row>
    <row r="5122" spans="19:21" ht="23.25" customHeight="1" x14ac:dyDescent="0.35">
      <c r="S5122" s="56" t="str">
        <f t="shared" si="237"/>
        <v/>
      </c>
      <c r="T5122" s="57" t="str">
        <f t="shared" si="238"/>
        <v/>
      </c>
      <c r="U5122" s="58" t="str">
        <f t="shared" si="239"/>
        <v/>
      </c>
    </row>
    <row r="5123" spans="19:21" ht="23.25" customHeight="1" x14ac:dyDescent="0.35">
      <c r="S5123" s="56" t="str">
        <f t="shared" si="237"/>
        <v/>
      </c>
      <c r="T5123" s="57" t="str">
        <f t="shared" si="238"/>
        <v/>
      </c>
      <c r="U5123" s="58" t="str">
        <f t="shared" si="239"/>
        <v/>
      </c>
    </row>
    <row r="5124" spans="19:21" ht="23.25" customHeight="1" x14ac:dyDescent="0.35">
      <c r="S5124" s="56" t="str">
        <f t="shared" si="237"/>
        <v/>
      </c>
      <c r="T5124" s="57" t="str">
        <f t="shared" si="238"/>
        <v/>
      </c>
      <c r="U5124" s="58" t="str">
        <f t="shared" si="239"/>
        <v/>
      </c>
    </row>
    <row r="5125" spans="19:21" ht="23.25" customHeight="1" x14ac:dyDescent="0.35">
      <c r="S5125" s="56" t="str">
        <f t="shared" si="237"/>
        <v/>
      </c>
      <c r="T5125" s="57" t="str">
        <f t="shared" si="238"/>
        <v/>
      </c>
      <c r="U5125" s="58" t="str">
        <f t="shared" si="239"/>
        <v/>
      </c>
    </row>
    <row r="5126" spans="19:21" ht="23.25" customHeight="1" x14ac:dyDescent="0.35">
      <c r="S5126" s="56" t="str">
        <f t="shared" si="237"/>
        <v/>
      </c>
      <c r="T5126" s="57" t="str">
        <f t="shared" si="238"/>
        <v/>
      </c>
      <c r="U5126" s="58" t="str">
        <f t="shared" si="239"/>
        <v/>
      </c>
    </row>
    <row r="5127" spans="19:21" ht="23.25" customHeight="1" x14ac:dyDescent="0.35">
      <c r="S5127" s="56" t="str">
        <f t="shared" si="237"/>
        <v/>
      </c>
      <c r="T5127" s="57" t="str">
        <f t="shared" si="238"/>
        <v/>
      </c>
      <c r="U5127" s="58" t="str">
        <f t="shared" si="239"/>
        <v/>
      </c>
    </row>
    <row r="5128" spans="19:21" ht="23.25" customHeight="1" x14ac:dyDescent="0.35">
      <c r="S5128" s="56" t="str">
        <f t="shared" si="237"/>
        <v/>
      </c>
      <c r="T5128" s="57" t="str">
        <f t="shared" si="238"/>
        <v/>
      </c>
      <c r="U5128" s="58" t="str">
        <f t="shared" si="239"/>
        <v/>
      </c>
    </row>
    <row r="5129" spans="19:21" ht="23.25" customHeight="1" x14ac:dyDescent="0.35">
      <c r="S5129" s="56" t="str">
        <f t="shared" ref="S5129:S5192" si="240">IF(A5129="","",A$5-A5129)</f>
        <v/>
      </c>
      <c r="T5129" s="57" t="str">
        <f t="shared" ref="T5129:T5192" si="241">IF(S5129="","",IF(S5129&lt;4,"0-3 Days",IF(S5129&lt;31,"4-30 Days",IF(S5129&lt;61,"31-60 Days",IF(S5129&lt;=90,"61-90 Days",IF(S5129&gt;90,"Above 90 Days","0"))))))</f>
        <v/>
      </c>
      <c r="U5129" s="58" t="str">
        <f t="shared" ref="U5129:U5192" si="242">IF(C5129="","",IF(C5129&gt;0,IF(S5129&lt;30,"Normal",IF(S5129&lt;60,"Especially Mentioned",IF(S5129&lt;90,"Substandard",IF(S5129&lt;=180,"Doubtful",IF(S5129&gt;180,"Loss","0"))))),"Not Applicable"))</f>
        <v/>
      </c>
    </row>
    <row r="5130" spans="19:21" ht="23.25" customHeight="1" x14ac:dyDescent="0.35">
      <c r="S5130" s="56" t="str">
        <f t="shared" si="240"/>
        <v/>
      </c>
      <c r="T5130" s="57" t="str">
        <f t="shared" si="241"/>
        <v/>
      </c>
      <c r="U5130" s="58" t="str">
        <f t="shared" si="242"/>
        <v/>
      </c>
    </row>
    <row r="5131" spans="19:21" ht="23.25" customHeight="1" x14ac:dyDescent="0.35">
      <c r="S5131" s="56" t="str">
        <f t="shared" si="240"/>
        <v/>
      </c>
      <c r="T5131" s="57" t="str">
        <f t="shared" si="241"/>
        <v/>
      </c>
      <c r="U5131" s="58" t="str">
        <f t="shared" si="242"/>
        <v/>
      </c>
    </row>
    <row r="5132" spans="19:21" ht="23.25" customHeight="1" x14ac:dyDescent="0.35">
      <c r="S5132" s="56" t="str">
        <f t="shared" si="240"/>
        <v/>
      </c>
      <c r="T5132" s="57" t="str">
        <f t="shared" si="241"/>
        <v/>
      </c>
      <c r="U5132" s="58" t="str">
        <f t="shared" si="242"/>
        <v/>
      </c>
    </row>
    <row r="5133" spans="19:21" ht="23.25" customHeight="1" x14ac:dyDescent="0.35">
      <c r="S5133" s="56" t="str">
        <f t="shared" si="240"/>
        <v/>
      </c>
      <c r="T5133" s="57" t="str">
        <f t="shared" si="241"/>
        <v/>
      </c>
      <c r="U5133" s="58" t="str">
        <f t="shared" si="242"/>
        <v/>
      </c>
    </row>
    <row r="5134" spans="19:21" ht="23.25" customHeight="1" x14ac:dyDescent="0.35">
      <c r="S5134" s="56" t="str">
        <f t="shared" si="240"/>
        <v/>
      </c>
      <c r="T5134" s="57" t="str">
        <f t="shared" si="241"/>
        <v/>
      </c>
      <c r="U5134" s="58" t="str">
        <f t="shared" si="242"/>
        <v/>
      </c>
    </row>
    <row r="5135" spans="19:21" ht="23.25" customHeight="1" x14ac:dyDescent="0.35">
      <c r="S5135" s="56" t="str">
        <f t="shared" si="240"/>
        <v/>
      </c>
      <c r="T5135" s="57" t="str">
        <f t="shared" si="241"/>
        <v/>
      </c>
      <c r="U5135" s="58" t="str">
        <f t="shared" si="242"/>
        <v/>
      </c>
    </row>
    <row r="5136" spans="19:21" ht="23.25" customHeight="1" x14ac:dyDescent="0.35">
      <c r="S5136" s="56" t="str">
        <f t="shared" si="240"/>
        <v/>
      </c>
      <c r="T5136" s="57" t="str">
        <f t="shared" si="241"/>
        <v/>
      </c>
      <c r="U5136" s="58" t="str">
        <f t="shared" si="242"/>
        <v/>
      </c>
    </row>
    <row r="5137" spans="19:21" ht="23.25" customHeight="1" x14ac:dyDescent="0.35">
      <c r="S5137" s="56" t="str">
        <f t="shared" si="240"/>
        <v/>
      </c>
      <c r="T5137" s="57" t="str">
        <f t="shared" si="241"/>
        <v/>
      </c>
      <c r="U5137" s="58" t="str">
        <f t="shared" si="242"/>
        <v/>
      </c>
    </row>
    <row r="5138" spans="19:21" ht="23.25" customHeight="1" x14ac:dyDescent="0.35">
      <c r="S5138" s="56" t="str">
        <f t="shared" si="240"/>
        <v/>
      </c>
      <c r="T5138" s="57" t="str">
        <f t="shared" si="241"/>
        <v/>
      </c>
      <c r="U5138" s="58" t="str">
        <f t="shared" si="242"/>
        <v/>
      </c>
    </row>
    <row r="5139" spans="19:21" ht="23.25" customHeight="1" x14ac:dyDescent="0.35">
      <c r="S5139" s="56" t="str">
        <f t="shared" si="240"/>
        <v/>
      </c>
      <c r="T5139" s="57" t="str">
        <f t="shared" si="241"/>
        <v/>
      </c>
      <c r="U5139" s="58" t="str">
        <f t="shared" si="242"/>
        <v/>
      </c>
    </row>
    <row r="5140" spans="19:21" ht="23.25" customHeight="1" x14ac:dyDescent="0.35">
      <c r="S5140" s="56" t="str">
        <f t="shared" si="240"/>
        <v/>
      </c>
      <c r="T5140" s="57" t="str">
        <f t="shared" si="241"/>
        <v/>
      </c>
      <c r="U5140" s="58" t="str">
        <f t="shared" si="242"/>
        <v/>
      </c>
    </row>
    <row r="5141" spans="19:21" ht="23.25" customHeight="1" x14ac:dyDescent="0.35">
      <c r="S5141" s="56" t="str">
        <f t="shared" si="240"/>
        <v/>
      </c>
      <c r="T5141" s="57" t="str">
        <f t="shared" si="241"/>
        <v/>
      </c>
      <c r="U5141" s="58" t="str">
        <f t="shared" si="242"/>
        <v/>
      </c>
    </row>
    <row r="5142" spans="19:21" ht="23.25" customHeight="1" x14ac:dyDescent="0.35">
      <c r="S5142" s="56" t="str">
        <f t="shared" si="240"/>
        <v/>
      </c>
      <c r="T5142" s="57" t="str">
        <f t="shared" si="241"/>
        <v/>
      </c>
      <c r="U5142" s="58" t="str">
        <f t="shared" si="242"/>
        <v/>
      </c>
    </row>
    <row r="5143" spans="19:21" ht="23.25" customHeight="1" x14ac:dyDescent="0.35">
      <c r="S5143" s="56" t="str">
        <f t="shared" si="240"/>
        <v/>
      </c>
      <c r="T5143" s="57" t="str">
        <f t="shared" si="241"/>
        <v/>
      </c>
      <c r="U5143" s="58" t="str">
        <f t="shared" si="242"/>
        <v/>
      </c>
    </row>
    <row r="5144" spans="19:21" ht="23.25" customHeight="1" x14ac:dyDescent="0.35">
      <c r="S5144" s="56" t="str">
        <f t="shared" si="240"/>
        <v/>
      </c>
      <c r="T5144" s="57" t="str">
        <f t="shared" si="241"/>
        <v/>
      </c>
      <c r="U5144" s="58" t="str">
        <f t="shared" si="242"/>
        <v/>
      </c>
    </row>
    <row r="5145" spans="19:21" ht="23.25" customHeight="1" x14ac:dyDescent="0.35">
      <c r="S5145" s="56" t="str">
        <f t="shared" si="240"/>
        <v/>
      </c>
      <c r="T5145" s="57" t="str">
        <f t="shared" si="241"/>
        <v/>
      </c>
      <c r="U5145" s="58" t="str">
        <f t="shared" si="242"/>
        <v/>
      </c>
    </row>
    <row r="5146" spans="19:21" ht="23.25" customHeight="1" x14ac:dyDescent="0.35">
      <c r="S5146" s="56" t="str">
        <f t="shared" si="240"/>
        <v/>
      </c>
      <c r="T5146" s="57" t="str">
        <f t="shared" si="241"/>
        <v/>
      </c>
      <c r="U5146" s="58" t="str">
        <f t="shared" si="242"/>
        <v/>
      </c>
    </row>
    <row r="5147" spans="19:21" ht="23.25" customHeight="1" x14ac:dyDescent="0.35">
      <c r="S5147" s="56" t="str">
        <f t="shared" si="240"/>
        <v/>
      </c>
      <c r="T5147" s="57" t="str">
        <f t="shared" si="241"/>
        <v/>
      </c>
      <c r="U5147" s="58" t="str">
        <f t="shared" si="242"/>
        <v/>
      </c>
    </row>
    <row r="5148" spans="19:21" ht="23.25" customHeight="1" x14ac:dyDescent="0.35">
      <c r="S5148" s="56" t="str">
        <f t="shared" si="240"/>
        <v/>
      </c>
      <c r="T5148" s="57" t="str">
        <f t="shared" si="241"/>
        <v/>
      </c>
      <c r="U5148" s="58" t="str">
        <f t="shared" si="242"/>
        <v/>
      </c>
    </row>
    <row r="5149" spans="19:21" ht="23.25" customHeight="1" x14ac:dyDescent="0.35">
      <c r="S5149" s="56" t="str">
        <f t="shared" si="240"/>
        <v/>
      </c>
      <c r="T5149" s="57" t="str">
        <f t="shared" si="241"/>
        <v/>
      </c>
      <c r="U5149" s="58" t="str">
        <f t="shared" si="242"/>
        <v/>
      </c>
    </row>
    <row r="5150" spans="19:21" ht="23.25" customHeight="1" x14ac:dyDescent="0.35">
      <c r="S5150" s="56" t="str">
        <f t="shared" si="240"/>
        <v/>
      </c>
      <c r="T5150" s="57" t="str">
        <f t="shared" si="241"/>
        <v/>
      </c>
      <c r="U5150" s="58" t="str">
        <f t="shared" si="242"/>
        <v/>
      </c>
    </row>
    <row r="5151" spans="19:21" ht="23.25" customHeight="1" x14ac:dyDescent="0.35">
      <c r="S5151" s="56" t="str">
        <f t="shared" si="240"/>
        <v/>
      </c>
      <c r="T5151" s="57" t="str">
        <f t="shared" si="241"/>
        <v/>
      </c>
      <c r="U5151" s="58" t="str">
        <f t="shared" si="242"/>
        <v/>
      </c>
    </row>
    <row r="5152" spans="19:21" ht="23.25" customHeight="1" x14ac:dyDescent="0.35">
      <c r="S5152" s="56" t="str">
        <f t="shared" si="240"/>
        <v/>
      </c>
      <c r="T5152" s="57" t="str">
        <f t="shared" si="241"/>
        <v/>
      </c>
      <c r="U5152" s="58" t="str">
        <f t="shared" si="242"/>
        <v/>
      </c>
    </row>
    <row r="5153" spans="19:21" ht="23.25" customHeight="1" x14ac:dyDescent="0.35">
      <c r="S5153" s="56" t="str">
        <f t="shared" si="240"/>
        <v/>
      </c>
      <c r="T5153" s="57" t="str">
        <f t="shared" si="241"/>
        <v/>
      </c>
      <c r="U5153" s="58" t="str">
        <f t="shared" si="242"/>
        <v/>
      </c>
    </row>
    <row r="5154" spans="19:21" ht="23.25" customHeight="1" x14ac:dyDescent="0.35">
      <c r="S5154" s="56" t="str">
        <f t="shared" si="240"/>
        <v/>
      </c>
      <c r="T5154" s="57" t="str">
        <f t="shared" si="241"/>
        <v/>
      </c>
      <c r="U5154" s="58" t="str">
        <f t="shared" si="242"/>
        <v/>
      </c>
    </row>
    <row r="5155" spans="19:21" ht="23.25" customHeight="1" x14ac:dyDescent="0.35">
      <c r="S5155" s="56" t="str">
        <f t="shared" si="240"/>
        <v/>
      </c>
      <c r="T5155" s="57" t="str">
        <f t="shared" si="241"/>
        <v/>
      </c>
      <c r="U5155" s="58" t="str">
        <f t="shared" si="242"/>
        <v/>
      </c>
    </row>
    <row r="5156" spans="19:21" ht="23.25" customHeight="1" x14ac:dyDescent="0.35">
      <c r="S5156" s="56" t="str">
        <f t="shared" si="240"/>
        <v/>
      </c>
      <c r="T5156" s="57" t="str">
        <f t="shared" si="241"/>
        <v/>
      </c>
      <c r="U5156" s="58" t="str">
        <f t="shared" si="242"/>
        <v/>
      </c>
    </row>
    <row r="5157" spans="19:21" ht="23.25" customHeight="1" x14ac:dyDescent="0.35">
      <c r="S5157" s="56" t="str">
        <f t="shared" si="240"/>
        <v/>
      </c>
      <c r="T5157" s="57" t="str">
        <f t="shared" si="241"/>
        <v/>
      </c>
      <c r="U5157" s="58" t="str">
        <f t="shared" si="242"/>
        <v/>
      </c>
    </row>
    <row r="5158" spans="19:21" ht="23.25" customHeight="1" x14ac:dyDescent="0.35">
      <c r="S5158" s="56" t="str">
        <f t="shared" si="240"/>
        <v/>
      </c>
      <c r="T5158" s="57" t="str">
        <f t="shared" si="241"/>
        <v/>
      </c>
      <c r="U5158" s="58" t="str">
        <f t="shared" si="242"/>
        <v/>
      </c>
    </row>
    <row r="5159" spans="19:21" ht="23.25" customHeight="1" x14ac:dyDescent="0.35">
      <c r="S5159" s="56" t="str">
        <f t="shared" si="240"/>
        <v/>
      </c>
      <c r="T5159" s="57" t="str">
        <f t="shared" si="241"/>
        <v/>
      </c>
      <c r="U5159" s="58" t="str">
        <f t="shared" si="242"/>
        <v/>
      </c>
    </row>
    <row r="5160" spans="19:21" ht="23.25" customHeight="1" x14ac:dyDescent="0.35">
      <c r="S5160" s="56" t="str">
        <f t="shared" si="240"/>
        <v/>
      </c>
      <c r="T5160" s="57" t="str">
        <f t="shared" si="241"/>
        <v/>
      </c>
      <c r="U5160" s="58" t="str">
        <f t="shared" si="242"/>
        <v/>
      </c>
    </row>
    <row r="5161" spans="19:21" ht="23.25" customHeight="1" x14ac:dyDescent="0.35">
      <c r="S5161" s="56" t="str">
        <f t="shared" si="240"/>
        <v/>
      </c>
      <c r="T5161" s="57" t="str">
        <f t="shared" si="241"/>
        <v/>
      </c>
      <c r="U5161" s="58" t="str">
        <f t="shared" si="242"/>
        <v/>
      </c>
    </row>
    <row r="5162" spans="19:21" ht="23.25" customHeight="1" x14ac:dyDescent="0.35">
      <c r="S5162" s="56" t="str">
        <f t="shared" si="240"/>
        <v/>
      </c>
      <c r="T5162" s="57" t="str">
        <f t="shared" si="241"/>
        <v/>
      </c>
      <c r="U5162" s="58" t="str">
        <f t="shared" si="242"/>
        <v/>
      </c>
    </row>
    <row r="5163" spans="19:21" ht="23.25" customHeight="1" x14ac:dyDescent="0.35">
      <c r="S5163" s="56" t="str">
        <f t="shared" si="240"/>
        <v/>
      </c>
      <c r="T5163" s="57" t="str">
        <f t="shared" si="241"/>
        <v/>
      </c>
      <c r="U5163" s="58" t="str">
        <f t="shared" si="242"/>
        <v/>
      </c>
    </row>
    <row r="5164" spans="19:21" ht="23.25" customHeight="1" x14ac:dyDescent="0.35">
      <c r="S5164" s="56" t="str">
        <f t="shared" si="240"/>
        <v/>
      </c>
      <c r="T5164" s="57" t="str">
        <f t="shared" si="241"/>
        <v/>
      </c>
      <c r="U5164" s="58" t="str">
        <f t="shared" si="242"/>
        <v/>
      </c>
    </row>
    <row r="5165" spans="19:21" ht="23.25" customHeight="1" x14ac:dyDescent="0.35">
      <c r="S5165" s="56" t="str">
        <f t="shared" si="240"/>
        <v/>
      </c>
      <c r="T5165" s="57" t="str">
        <f t="shared" si="241"/>
        <v/>
      </c>
      <c r="U5165" s="58" t="str">
        <f t="shared" si="242"/>
        <v/>
      </c>
    </row>
    <row r="5166" spans="19:21" ht="23.25" customHeight="1" x14ac:dyDescent="0.35">
      <c r="S5166" s="56" t="str">
        <f t="shared" si="240"/>
        <v/>
      </c>
      <c r="T5166" s="57" t="str">
        <f t="shared" si="241"/>
        <v/>
      </c>
      <c r="U5166" s="58" t="str">
        <f t="shared" si="242"/>
        <v/>
      </c>
    </row>
    <row r="5167" spans="19:21" ht="23.25" customHeight="1" x14ac:dyDescent="0.35">
      <c r="S5167" s="56" t="str">
        <f t="shared" si="240"/>
        <v/>
      </c>
      <c r="T5167" s="57" t="str">
        <f t="shared" si="241"/>
        <v/>
      </c>
      <c r="U5167" s="58" t="str">
        <f t="shared" si="242"/>
        <v/>
      </c>
    </row>
    <row r="5168" spans="19:21" ht="23.25" customHeight="1" x14ac:dyDescent="0.35">
      <c r="S5168" s="56" t="str">
        <f t="shared" si="240"/>
        <v/>
      </c>
      <c r="T5168" s="57" t="str">
        <f t="shared" si="241"/>
        <v/>
      </c>
      <c r="U5168" s="58" t="str">
        <f t="shared" si="242"/>
        <v/>
      </c>
    </row>
    <row r="5169" spans="19:21" ht="23.25" customHeight="1" x14ac:dyDescent="0.35">
      <c r="S5169" s="56" t="str">
        <f t="shared" si="240"/>
        <v/>
      </c>
      <c r="T5169" s="57" t="str">
        <f t="shared" si="241"/>
        <v/>
      </c>
      <c r="U5169" s="58" t="str">
        <f t="shared" si="242"/>
        <v/>
      </c>
    </row>
    <row r="5170" spans="19:21" ht="23.25" customHeight="1" x14ac:dyDescent="0.35">
      <c r="S5170" s="56" t="str">
        <f t="shared" si="240"/>
        <v/>
      </c>
      <c r="T5170" s="57" t="str">
        <f t="shared" si="241"/>
        <v/>
      </c>
      <c r="U5170" s="58" t="str">
        <f t="shared" si="242"/>
        <v/>
      </c>
    </row>
    <row r="5171" spans="19:21" ht="23.25" customHeight="1" x14ac:dyDescent="0.35">
      <c r="S5171" s="56" t="str">
        <f t="shared" si="240"/>
        <v/>
      </c>
      <c r="T5171" s="57" t="str">
        <f t="shared" si="241"/>
        <v/>
      </c>
      <c r="U5171" s="58" t="str">
        <f t="shared" si="242"/>
        <v/>
      </c>
    </row>
    <row r="5172" spans="19:21" ht="23.25" customHeight="1" x14ac:dyDescent="0.35">
      <c r="S5172" s="56" t="str">
        <f t="shared" si="240"/>
        <v/>
      </c>
      <c r="T5172" s="57" t="str">
        <f t="shared" si="241"/>
        <v/>
      </c>
      <c r="U5172" s="58" t="str">
        <f t="shared" si="242"/>
        <v/>
      </c>
    </row>
    <row r="5173" spans="19:21" ht="23.25" customHeight="1" x14ac:dyDescent="0.35">
      <c r="S5173" s="56" t="str">
        <f t="shared" si="240"/>
        <v/>
      </c>
      <c r="T5173" s="57" t="str">
        <f t="shared" si="241"/>
        <v/>
      </c>
      <c r="U5173" s="58" t="str">
        <f t="shared" si="242"/>
        <v/>
      </c>
    </row>
    <row r="5174" spans="19:21" ht="23.25" customHeight="1" x14ac:dyDescent="0.35">
      <c r="S5174" s="56" t="str">
        <f t="shared" si="240"/>
        <v/>
      </c>
      <c r="T5174" s="57" t="str">
        <f t="shared" si="241"/>
        <v/>
      </c>
      <c r="U5174" s="58" t="str">
        <f t="shared" si="242"/>
        <v/>
      </c>
    </row>
    <row r="5175" spans="19:21" ht="23.25" customHeight="1" x14ac:dyDescent="0.35">
      <c r="S5175" s="56" t="str">
        <f t="shared" si="240"/>
        <v/>
      </c>
      <c r="T5175" s="57" t="str">
        <f t="shared" si="241"/>
        <v/>
      </c>
      <c r="U5175" s="58" t="str">
        <f t="shared" si="242"/>
        <v/>
      </c>
    </row>
    <row r="5176" spans="19:21" ht="23.25" customHeight="1" x14ac:dyDescent="0.35">
      <c r="S5176" s="56" t="str">
        <f t="shared" si="240"/>
        <v/>
      </c>
      <c r="T5176" s="57" t="str">
        <f t="shared" si="241"/>
        <v/>
      </c>
      <c r="U5176" s="58" t="str">
        <f t="shared" si="242"/>
        <v/>
      </c>
    </row>
    <row r="5177" spans="19:21" ht="23.25" customHeight="1" x14ac:dyDescent="0.35">
      <c r="S5177" s="56" t="str">
        <f t="shared" si="240"/>
        <v/>
      </c>
      <c r="T5177" s="57" t="str">
        <f t="shared" si="241"/>
        <v/>
      </c>
      <c r="U5177" s="58" t="str">
        <f t="shared" si="242"/>
        <v/>
      </c>
    </row>
    <row r="5178" spans="19:21" ht="23.25" customHeight="1" x14ac:dyDescent="0.35">
      <c r="S5178" s="56" t="str">
        <f t="shared" si="240"/>
        <v/>
      </c>
      <c r="T5178" s="57" t="str">
        <f t="shared" si="241"/>
        <v/>
      </c>
      <c r="U5178" s="58" t="str">
        <f t="shared" si="242"/>
        <v/>
      </c>
    </row>
    <row r="5179" spans="19:21" ht="23.25" customHeight="1" x14ac:dyDescent="0.35">
      <c r="S5179" s="56" t="str">
        <f t="shared" si="240"/>
        <v/>
      </c>
      <c r="T5179" s="57" t="str">
        <f t="shared" si="241"/>
        <v/>
      </c>
      <c r="U5179" s="58" t="str">
        <f t="shared" si="242"/>
        <v/>
      </c>
    </row>
    <row r="5180" spans="19:21" ht="23.25" customHeight="1" x14ac:dyDescent="0.35">
      <c r="S5180" s="56" t="str">
        <f t="shared" si="240"/>
        <v/>
      </c>
      <c r="T5180" s="57" t="str">
        <f t="shared" si="241"/>
        <v/>
      </c>
      <c r="U5180" s="58" t="str">
        <f t="shared" si="242"/>
        <v/>
      </c>
    </row>
    <row r="5181" spans="19:21" ht="23.25" customHeight="1" x14ac:dyDescent="0.35">
      <c r="S5181" s="56" t="str">
        <f t="shared" si="240"/>
        <v/>
      </c>
      <c r="T5181" s="57" t="str">
        <f t="shared" si="241"/>
        <v/>
      </c>
      <c r="U5181" s="58" t="str">
        <f t="shared" si="242"/>
        <v/>
      </c>
    </row>
    <row r="5182" spans="19:21" ht="23.25" customHeight="1" x14ac:dyDescent="0.35">
      <c r="S5182" s="56" t="str">
        <f t="shared" si="240"/>
        <v/>
      </c>
      <c r="T5182" s="57" t="str">
        <f t="shared" si="241"/>
        <v/>
      </c>
      <c r="U5182" s="58" t="str">
        <f t="shared" si="242"/>
        <v/>
      </c>
    </row>
    <row r="5183" spans="19:21" ht="23.25" customHeight="1" x14ac:dyDescent="0.35">
      <c r="S5183" s="56" t="str">
        <f t="shared" si="240"/>
        <v/>
      </c>
      <c r="T5183" s="57" t="str">
        <f t="shared" si="241"/>
        <v/>
      </c>
      <c r="U5183" s="58" t="str">
        <f t="shared" si="242"/>
        <v/>
      </c>
    </row>
    <row r="5184" spans="19:21" ht="23.25" customHeight="1" x14ac:dyDescent="0.35">
      <c r="S5184" s="56" t="str">
        <f t="shared" si="240"/>
        <v/>
      </c>
      <c r="T5184" s="57" t="str">
        <f t="shared" si="241"/>
        <v/>
      </c>
      <c r="U5184" s="58" t="str">
        <f t="shared" si="242"/>
        <v/>
      </c>
    </row>
    <row r="5185" spans="19:21" ht="23.25" customHeight="1" x14ac:dyDescent="0.35">
      <c r="S5185" s="56" t="str">
        <f t="shared" si="240"/>
        <v/>
      </c>
      <c r="T5185" s="57" t="str">
        <f t="shared" si="241"/>
        <v/>
      </c>
      <c r="U5185" s="58" t="str">
        <f t="shared" si="242"/>
        <v/>
      </c>
    </row>
    <row r="5186" spans="19:21" ht="23.25" customHeight="1" x14ac:dyDescent="0.35">
      <c r="S5186" s="56" t="str">
        <f t="shared" si="240"/>
        <v/>
      </c>
      <c r="T5186" s="57" t="str">
        <f t="shared" si="241"/>
        <v/>
      </c>
      <c r="U5186" s="58" t="str">
        <f t="shared" si="242"/>
        <v/>
      </c>
    </row>
    <row r="5187" spans="19:21" ht="23.25" customHeight="1" x14ac:dyDescent="0.35">
      <c r="S5187" s="56" t="str">
        <f t="shared" si="240"/>
        <v/>
      </c>
      <c r="T5187" s="57" t="str">
        <f t="shared" si="241"/>
        <v/>
      </c>
      <c r="U5187" s="58" t="str">
        <f t="shared" si="242"/>
        <v/>
      </c>
    </row>
    <row r="5188" spans="19:21" ht="23.25" customHeight="1" x14ac:dyDescent="0.35">
      <c r="S5188" s="56" t="str">
        <f t="shared" si="240"/>
        <v/>
      </c>
      <c r="T5188" s="57" t="str">
        <f t="shared" si="241"/>
        <v/>
      </c>
      <c r="U5188" s="58" t="str">
        <f t="shared" si="242"/>
        <v/>
      </c>
    </row>
    <row r="5189" spans="19:21" ht="23.25" customHeight="1" x14ac:dyDescent="0.35">
      <c r="S5189" s="56" t="str">
        <f t="shared" si="240"/>
        <v/>
      </c>
      <c r="T5189" s="57" t="str">
        <f t="shared" si="241"/>
        <v/>
      </c>
      <c r="U5189" s="58" t="str">
        <f t="shared" si="242"/>
        <v/>
      </c>
    </row>
    <row r="5190" spans="19:21" ht="23.25" customHeight="1" x14ac:dyDescent="0.35">
      <c r="S5190" s="56" t="str">
        <f t="shared" si="240"/>
        <v/>
      </c>
      <c r="T5190" s="57" t="str">
        <f t="shared" si="241"/>
        <v/>
      </c>
      <c r="U5190" s="58" t="str">
        <f t="shared" si="242"/>
        <v/>
      </c>
    </row>
    <row r="5191" spans="19:21" ht="23.25" customHeight="1" x14ac:dyDescent="0.35">
      <c r="S5191" s="56" t="str">
        <f t="shared" si="240"/>
        <v/>
      </c>
      <c r="T5191" s="57" t="str">
        <f t="shared" si="241"/>
        <v/>
      </c>
      <c r="U5191" s="58" t="str">
        <f t="shared" si="242"/>
        <v/>
      </c>
    </row>
    <row r="5192" spans="19:21" ht="23.25" customHeight="1" x14ac:dyDescent="0.35">
      <c r="S5192" s="56" t="str">
        <f t="shared" si="240"/>
        <v/>
      </c>
      <c r="T5192" s="57" t="str">
        <f t="shared" si="241"/>
        <v/>
      </c>
      <c r="U5192" s="58" t="str">
        <f t="shared" si="242"/>
        <v/>
      </c>
    </row>
    <row r="5193" spans="19:21" ht="23.25" customHeight="1" x14ac:dyDescent="0.35">
      <c r="S5193" s="56" t="str">
        <f t="shared" ref="S5193:S5256" si="243">IF(A5193="","",A$5-A5193)</f>
        <v/>
      </c>
      <c r="T5193" s="57" t="str">
        <f t="shared" ref="T5193:T5256" si="244">IF(S5193="","",IF(S5193&lt;4,"0-3 Days",IF(S5193&lt;31,"4-30 Days",IF(S5193&lt;61,"31-60 Days",IF(S5193&lt;=90,"61-90 Days",IF(S5193&gt;90,"Above 90 Days","0"))))))</f>
        <v/>
      </c>
      <c r="U5193" s="58" t="str">
        <f t="shared" ref="U5193:U5256" si="245">IF(C5193="","",IF(C5193&gt;0,IF(S5193&lt;30,"Normal",IF(S5193&lt;60,"Especially Mentioned",IF(S5193&lt;90,"Substandard",IF(S5193&lt;=180,"Doubtful",IF(S5193&gt;180,"Loss","0"))))),"Not Applicable"))</f>
        <v/>
      </c>
    </row>
    <row r="5194" spans="19:21" ht="23.25" customHeight="1" x14ac:dyDescent="0.35">
      <c r="S5194" s="56" t="str">
        <f t="shared" si="243"/>
        <v/>
      </c>
      <c r="T5194" s="57" t="str">
        <f t="shared" si="244"/>
        <v/>
      </c>
      <c r="U5194" s="58" t="str">
        <f t="shared" si="245"/>
        <v/>
      </c>
    </row>
    <row r="5195" spans="19:21" ht="23.25" customHeight="1" x14ac:dyDescent="0.35">
      <c r="S5195" s="56" t="str">
        <f t="shared" si="243"/>
        <v/>
      </c>
      <c r="T5195" s="57" t="str">
        <f t="shared" si="244"/>
        <v/>
      </c>
      <c r="U5195" s="58" t="str">
        <f t="shared" si="245"/>
        <v/>
      </c>
    </row>
    <row r="5196" spans="19:21" ht="23.25" customHeight="1" x14ac:dyDescent="0.35">
      <c r="S5196" s="56" t="str">
        <f t="shared" si="243"/>
        <v/>
      </c>
      <c r="T5196" s="57" t="str">
        <f t="shared" si="244"/>
        <v/>
      </c>
      <c r="U5196" s="58" t="str">
        <f t="shared" si="245"/>
        <v/>
      </c>
    </row>
    <row r="5197" spans="19:21" ht="23.25" customHeight="1" x14ac:dyDescent="0.35">
      <c r="S5197" s="56" t="str">
        <f t="shared" si="243"/>
        <v/>
      </c>
      <c r="T5197" s="57" t="str">
        <f t="shared" si="244"/>
        <v/>
      </c>
      <c r="U5197" s="58" t="str">
        <f t="shared" si="245"/>
        <v/>
      </c>
    </row>
    <row r="5198" spans="19:21" ht="23.25" customHeight="1" x14ac:dyDescent="0.35">
      <c r="S5198" s="56" t="str">
        <f t="shared" si="243"/>
        <v/>
      </c>
      <c r="T5198" s="57" t="str">
        <f t="shared" si="244"/>
        <v/>
      </c>
      <c r="U5198" s="58" t="str">
        <f t="shared" si="245"/>
        <v/>
      </c>
    </row>
    <row r="5199" spans="19:21" ht="23.25" customHeight="1" x14ac:dyDescent="0.35">
      <c r="S5199" s="56" t="str">
        <f t="shared" si="243"/>
        <v/>
      </c>
      <c r="T5199" s="57" t="str">
        <f t="shared" si="244"/>
        <v/>
      </c>
      <c r="U5199" s="58" t="str">
        <f t="shared" si="245"/>
        <v/>
      </c>
    </row>
    <row r="5200" spans="19:21" ht="23.25" customHeight="1" x14ac:dyDescent="0.35">
      <c r="S5200" s="56" t="str">
        <f t="shared" si="243"/>
        <v/>
      </c>
      <c r="T5200" s="57" t="str">
        <f t="shared" si="244"/>
        <v/>
      </c>
      <c r="U5200" s="58" t="str">
        <f t="shared" si="245"/>
        <v/>
      </c>
    </row>
    <row r="5201" spans="19:21" ht="23.25" customHeight="1" x14ac:dyDescent="0.35">
      <c r="S5201" s="56" t="str">
        <f t="shared" si="243"/>
        <v/>
      </c>
      <c r="T5201" s="57" t="str">
        <f t="shared" si="244"/>
        <v/>
      </c>
      <c r="U5201" s="58" t="str">
        <f t="shared" si="245"/>
        <v/>
      </c>
    </row>
    <row r="5202" spans="19:21" ht="23.25" customHeight="1" x14ac:dyDescent="0.35">
      <c r="S5202" s="56" t="str">
        <f t="shared" si="243"/>
        <v/>
      </c>
      <c r="T5202" s="57" t="str">
        <f t="shared" si="244"/>
        <v/>
      </c>
      <c r="U5202" s="58" t="str">
        <f t="shared" si="245"/>
        <v/>
      </c>
    </row>
    <row r="5203" spans="19:21" ht="23.25" customHeight="1" x14ac:dyDescent="0.35">
      <c r="S5203" s="56" t="str">
        <f t="shared" si="243"/>
        <v/>
      </c>
      <c r="T5203" s="57" t="str">
        <f t="shared" si="244"/>
        <v/>
      </c>
      <c r="U5203" s="58" t="str">
        <f t="shared" si="245"/>
        <v/>
      </c>
    </row>
    <row r="5204" spans="19:21" ht="23.25" customHeight="1" x14ac:dyDescent="0.35">
      <c r="S5204" s="56" t="str">
        <f t="shared" si="243"/>
        <v/>
      </c>
      <c r="T5204" s="57" t="str">
        <f t="shared" si="244"/>
        <v/>
      </c>
      <c r="U5204" s="58" t="str">
        <f t="shared" si="245"/>
        <v/>
      </c>
    </row>
    <row r="5205" spans="19:21" ht="23.25" customHeight="1" x14ac:dyDescent="0.35">
      <c r="S5205" s="56" t="str">
        <f t="shared" si="243"/>
        <v/>
      </c>
      <c r="T5205" s="57" t="str">
        <f t="shared" si="244"/>
        <v/>
      </c>
      <c r="U5205" s="58" t="str">
        <f t="shared" si="245"/>
        <v/>
      </c>
    </row>
    <row r="5206" spans="19:21" ht="23.25" customHeight="1" x14ac:dyDescent="0.35">
      <c r="S5206" s="56" t="str">
        <f t="shared" si="243"/>
        <v/>
      </c>
      <c r="T5206" s="57" t="str">
        <f t="shared" si="244"/>
        <v/>
      </c>
      <c r="U5206" s="58" t="str">
        <f t="shared" si="245"/>
        <v/>
      </c>
    </row>
    <row r="5207" spans="19:21" ht="23.25" customHeight="1" x14ac:dyDescent="0.35">
      <c r="S5207" s="56" t="str">
        <f t="shared" si="243"/>
        <v/>
      </c>
      <c r="T5207" s="57" t="str">
        <f t="shared" si="244"/>
        <v/>
      </c>
      <c r="U5207" s="58" t="str">
        <f t="shared" si="245"/>
        <v/>
      </c>
    </row>
    <row r="5208" spans="19:21" ht="23.25" customHeight="1" x14ac:dyDescent="0.35">
      <c r="S5208" s="56" t="str">
        <f t="shared" si="243"/>
        <v/>
      </c>
      <c r="T5208" s="57" t="str">
        <f t="shared" si="244"/>
        <v/>
      </c>
      <c r="U5208" s="58" t="str">
        <f t="shared" si="245"/>
        <v/>
      </c>
    </row>
    <row r="5209" spans="19:21" ht="23.25" customHeight="1" x14ac:dyDescent="0.35">
      <c r="S5209" s="56" t="str">
        <f t="shared" si="243"/>
        <v/>
      </c>
      <c r="T5209" s="57" t="str">
        <f t="shared" si="244"/>
        <v/>
      </c>
      <c r="U5209" s="58" t="str">
        <f t="shared" si="245"/>
        <v/>
      </c>
    </row>
    <row r="5210" spans="19:21" ht="23.25" customHeight="1" x14ac:dyDescent="0.35">
      <c r="S5210" s="56" t="str">
        <f t="shared" si="243"/>
        <v/>
      </c>
      <c r="T5210" s="57" t="str">
        <f t="shared" si="244"/>
        <v/>
      </c>
      <c r="U5210" s="58" t="str">
        <f t="shared" si="245"/>
        <v/>
      </c>
    </row>
    <row r="5211" spans="19:21" ht="23.25" customHeight="1" x14ac:dyDescent="0.35">
      <c r="S5211" s="56" t="str">
        <f t="shared" si="243"/>
        <v/>
      </c>
      <c r="T5211" s="57" t="str">
        <f t="shared" si="244"/>
        <v/>
      </c>
      <c r="U5211" s="58" t="str">
        <f t="shared" si="245"/>
        <v/>
      </c>
    </row>
    <row r="5212" spans="19:21" ht="23.25" customHeight="1" x14ac:dyDescent="0.35">
      <c r="S5212" s="56" t="str">
        <f t="shared" si="243"/>
        <v/>
      </c>
      <c r="T5212" s="57" t="str">
        <f t="shared" si="244"/>
        <v/>
      </c>
      <c r="U5212" s="58" t="str">
        <f t="shared" si="245"/>
        <v/>
      </c>
    </row>
    <row r="5213" spans="19:21" ht="23.25" customHeight="1" x14ac:dyDescent="0.35">
      <c r="S5213" s="56" t="str">
        <f t="shared" si="243"/>
        <v/>
      </c>
      <c r="T5213" s="57" t="str">
        <f t="shared" si="244"/>
        <v/>
      </c>
      <c r="U5213" s="58" t="str">
        <f t="shared" si="245"/>
        <v/>
      </c>
    </row>
    <row r="5214" spans="19:21" ht="23.25" customHeight="1" x14ac:dyDescent="0.35">
      <c r="S5214" s="56" t="str">
        <f t="shared" si="243"/>
        <v/>
      </c>
      <c r="T5214" s="57" t="str">
        <f t="shared" si="244"/>
        <v/>
      </c>
      <c r="U5214" s="58" t="str">
        <f t="shared" si="245"/>
        <v/>
      </c>
    </row>
    <row r="5215" spans="19:21" ht="23.25" customHeight="1" x14ac:dyDescent="0.35">
      <c r="S5215" s="56" t="str">
        <f t="shared" si="243"/>
        <v/>
      </c>
      <c r="T5215" s="57" t="str">
        <f t="shared" si="244"/>
        <v/>
      </c>
      <c r="U5215" s="58" t="str">
        <f t="shared" si="245"/>
        <v/>
      </c>
    </row>
    <row r="5216" spans="19:21" ht="23.25" customHeight="1" x14ac:dyDescent="0.35">
      <c r="S5216" s="56" t="str">
        <f t="shared" si="243"/>
        <v/>
      </c>
      <c r="T5216" s="57" t="str">
        <f t="shared" si="244"/>
        <v/>
      </c>
      <c r="U5216" s="58" t="str">
        <f t="shared" si="245"/>
        <v/>
      </c>
    </row>
    <row r="5217" spans="19:21" ht="23.25" customHeight="1" x14ac:dyDescent="0.35">
      <c r="S5217" s="56" t="str">
        <f t="shared" si="243"/>
        <v/>
      </c>
      <c r="T5217" s="57" t="str">
        <f t="shared" si="244"/>
        <v/>
      </c>
      <c r="U5217" s="58" t="str">
        <f t="shared" si="245"/>
        <v/>
      </c>
    </row>
    <row r="5218" spans="19:21" ht="23.25" customHeight="1" x14ac:dyDescent="0.35">
      <c r="S5218" s="56" t="str">
        <f t="shared" si="243"/>
        <v/>
      </c>
      <c r="T5218" s="57" t="str">
        <f t="shared" si="244"/>
        <v/>
      </c>
      <c r="U5218" s="58" t="str">
        <f t="shared" si="245"/>
        <v/>
      </c>
    </row>
    <row r="5219" spans="19:21" ht="23.25" customHeight="1" x14ac:dyDescent="0.35">
      <c r="S5219" s="56" t="str">
        <f t="shared" si="243"/>
        <v/>
      </c>
      <c r="T5219" s="57" t="str">
        <f t="shared" si="244"/>
        <v/>
      </c>
      <c r="U5219" s="58" t="str">
        <f t="shared" si="245"/>
        <v/>
      </c>
    </row>
    <row r="5220" spans="19:21" ht="23.25" customHeight="1" x14ac:dyDescent="0.35">
      <c r="S5220" s="56" t="str">
        <f t="shared" si="243"/>
        <v/>
      </c>
      <c r="T5220" s="57" t="str">
        <f t="shared" si="244"/>
        <v/>
      </c>
      <c r="U5220" s="58" t="str">
        <f t="shared" si="245"/>
        <v/>
      </c>
    </row>
    <row r="5221" spans="19:21" ht="23.25" customHeight="1" x14ac:dyDescent="0.35">
      <c r="S5221" s="56" t="str">
        <f t="shared" si="243"/>
        <v/>
      </c>
      <c r="T5221" s="57" t="str">
        <f t="shared" si="244"/>
        <v/>
      </c>
      <c r="U5221" s="58" t="str">
        <f t="shared" si="245"/>
        <v/>
      </c>
    </row>
    <row r="5222" spans="19:21" ht="23.25" customHeight="1" x14ac:dyDescent="0.35">
      <c r="S5222" s="56" t="str">
        <f t="shared" si="243"/>
        <v/>
      </c>
      <c r="T5222" s="57" t="str">
        <f t="shared" si="244"/>
        <v/>
      </c>
      <c r="U5222" s="58" t="str">
        <f t="shared" si="245"/>
        <v/>
      </c>
    </row>
    <row r="5223" spans="19:21" ht="23.25" customHeight="1" x14ac:dyDescent="0.35">
      <c r="S5223" s="56" t="str">
        <f t="shared" si="243"/>
        <v/>
      </c>
      <c r="T5223" s="57" t="str">
        <f t="shared" si="244"/>
        <v/>
      </c>
      <c r="U5223" s="58" t="str">
        <f t="shared" si="245"/>
        <v/>
      </c>
    </row>
    <row r="5224" spans="19:21" ht="23.25" customHeight="1" x14ac:dyDescent="0.35">
      <c r="S5224" s="56" t="str">
        <f t="shared" si="243"/>
        <v/>
      </c>
      <c r="T5224" s="57" t="str">
        <f t="shared" si="244"/>
        <v/>
      </c>
      <c r="U5224" s="58" t="str">
        <f t="shared" si="245"/>
        <v/>
      </c>
    </row>
    <row r="5225" spans="19:21" ht="23.25" customHeight="1" x14ac:dyDescent="0.35">
      <c r="S5225" s="56" t="str">
        <f t="shared" si="243"/>
        <v/>
      </c>
      <c r="T5225" s="57" t="str">
        <f t="shared" si="244"/>
        <v/>
      </c>
      <c r="U5225" s="58" t="str">
        <f t="shared" si="245"/>
        <v/>
      </c>
    </row>
    <row r="5226" spans="19:21" ht="23.25" customHeight="1" x14ac:dyDescent="0.35">
      <c r="S5226" s="56" t="str">
        <f t="shared" si="243"/>
        <v/>
      </c>
      <c r="T5226" s="57" t="str">
        <f t="shared" si="244"/>
        <v/>
      </c>
      <c r="U5226" s="58" t="str">
        <f t="shared" si="245"/>
        <v/>
      </c>
    </row>
    <row r="5227" spans="19:21" ht="23.25" customHeight="1" x14ac:dyDescent="0.35">
      <c r="S5227" s="56" t="str">
        <f t="shared" si="243"/>
        <v/>
      </c>
      <c r="T5227" s="57" t="str">
        <f t="shared" si="244"/>
        <v/>
      </c>
      <c r="U5227" s="58" t="str">
        <f t="shared" si="245"/>
        <v/>
      </c>
    </row>
    <row r="5228" spans="19:21" ht="23.25" customHeight="1" x14ac:dyDescent="0.35">
      <c r="S5228" s="56" t="str">
        <f t="shared" si="243"/>
        <v/>
      </c>
      <c r="T5228" s="57" t="str">
        <f t="shared" si="244"/>
        <v/>
      </c>
      <c r="U5228" s="58" t="str">
        <f t="shared" si="245"/>
        <v/>
      </c>
    </row>
    <row r="5229" spans="19:21" ht="23.25" customHeight="1" x14ac:dyDescent="0.35">
      <c r="S5229" s="56" t="str">
        <f t="shared" si="243"/>
        <v/>
      </c>
      <c r="T5229" s="57" t="str">
        <f t="shared" si="244"/>
        <v/>
      </c>
      <c r="U5229" s="58" t="str">
        <f t="shared" si="245"/>
        <v/>
      </c>
    </row>
    <row r="5230" spans="19:21" ht="23.25" customHeight="1" x14ac:dyDescent="0.35">
      <c r="S5230" s="56" t="str">
        <f t="shared" si="243"/>
        <v/>
      </c>
      <c r="T5230" s="57" t="str">
        <f t="shared" si="244"/>
        <v/>
      </c>
      <c r="U5230" s="58" t="str">
        <f t="shared" si="245"/>
        <v/>
      </c>
    </row>
    <row r="5231" spans="19:21" ht="23.25" customHeight="1" x14ac:dyDescent="0.35">
      <c r="S5231" s="56" t="str">
        <f t="shared" si="243"/>
        <v/>
      </c>
      <c r="T5231" s="57" t="str">
        <f t="shared" si="244"/>
        <v/>
      </c>
      <c r="U5231" s="58" t="str">
        <f t="shared" si="245"/>
        <v/>
      </c>
    </row>
    <row r="5232" spans="19:21" ht="23.25" customHeight="1" x14ac:dyDescent="0.35">
      <c r="S5232" s="56" t="str">
        <f t="shared" si="243"/>
        <v/>
      </c>
      <c r="T5232" s="57" t="str">
        <f t="shared" si="244"/>
        <v/>
      </c>
      <c r="U5232" s="58" t="str">
        <f t="shared" si="245"/>
        <v/>
      </c>
    </row>
    <row r="5233" spans="19:21" ht="23.25" customHeight="1" x14ac:dyDescent="0.35">
      <c r="S5233" s="56" t="str">
        <f t="shared" si="243"/>
        <v/>
      </c>
      <c r="T5233" s="57" t="str">
        <f t="shared" si="244"/>
        <v/>
      </c>
      <c r="U5233" s="58" t="str">
        <f t="shared" si="245"/>
        <v/>
      </c>
    </row>
    <row r="5234" spans="19:21" ht="23.25" customHeight="1" x14ac:dyDescent="0.35">
      <c r="S5234" s="56" t="str">
        <f t="shared" si="243"/>
        <v/>
      </c>
      <c r="T5234" s="57" t="str">
        <f t="shared" si="244"/>
        <v/>
      </c>
      <c r="U5234" s="58" t="str">
        <f t="shared" si="245"/>
        <v/>
      </c>
    </row>
    <row r="5235" spans="19:21" ht="23.25" customHeight="1" x14ac:dyDescent="0.35">
      <c r="S5235" s="56" t="str">
        <f t="shared" si="243"/>
        <v/>
      </c>
      <c r="T5235" s="57" t="str">
        <f t="shared" si="244"/>
        <v/>
      </c>
      <c r="U5235" s="58" t="str">
        <f t="shared" si="245"/>
        <v/>
      </c>
    </row>
    <row r="5236" spans="19:21" ht="23.25" customHeight="1" x14ac:dyDescent="0.35">
      <c r="S5236" s="56" t="str">
        <f t="shared" si="243"/>
        <v/>
      </c>
      <c r="T5236" s="57" t="str">
        <f t="shared" si="244"/>
        <v/>
      </c>
      <c r="U5236" s="58" t="str">
        <f t="shared" si="245"/>
        <v/>
      </c>
    </row>
    <row r="5237" spans="19:21" ht="23.25" customHeight="1" x14ac:dyDescent="0.35">
      <c r="S5237" s="56" t="str">
        <f t="shared" si="243"/>
        <v/>
      </c>
      <c r="T5237" s="57" t="str">
        <f t="shared" si="244"/>
        <v/>
      </c>
      <c r="U5237" s="58" t="str">
        <f t="shared" si="245"/>
        <v/>
      </c>
    </row>
    <row r="5238" spans="19:21" ht="23.25" customHeight="1" x14ac:dyDescent="0.35">
      <c r="S5238" s="56" t="str">
        <f t="shared" si="243"/>
        <v/>
      </c>
      <c r="T5238" s="57" t="str">
        <f t="shared" si="244"/>
        <v/>
      </c>
      <c r="U5238" s="58" t="str">
        <f t="shared" si="245"/>
        <v/>
      </c>
    </row>
    <row r="5239" spans="19:21" ht="23.25" customHeight="1" x14ac:dyDescent="0.35">
      <c r="S5239" s="56" t="str">
        <f t="shared" si="243"/>
        <v/>
      </c>
      <c r="T5239" s="57" t="str">
        <f t="shared" si="244"/>
        <v/>
      </c>
      <c r="U5239" s="58" t="str">
        <f t="shared" si="245"/>
        <v/>
      </c>
    </row>
    <row r="5240" spans="19:21" ht="23.25" customHeight="1" x14ac:dyDescent="0.35">
      <c r="S5240" s="56" t="str">
        <f t="shared" si="243"/>
        <v/>
      </c>
      <c r="T5240" s="57" t="str">
        <f t="shared" si="244"/>
        <v/>
      </c>
      <c r="U5240" s="58" t="str">
        <f t="shared" si="245"/>
        <v/>
      </c>
    </row>
    <row r="5241" spans="19:21" ht="23.25" customHeight="1" x14ac:dyDescent="0.35">
      <c r="S5241" s="56" t="str">
        <f t="shared" si="243"/>
        <v/>
      </c>
      <c r="T5241" s="57" t="str">
        <f t="shared" si="244"/>
        <v/>
      </c>
      <c r="U5241" s="58" t="str">
        <f t="shared" si="245"/>
        <v/>
      </c>
    </row>
    <row r="5242" spans="19:21" ht="23.25" customHeight="1" x14ac:dyDescent="0.35">
      <c r="S5242" s="56" t="str">
        <f t="shared" si="243"/>
        <v/>
      </c>
      <c r="T5242" s="57" t="str">
        <f t="shared" si="244"/>
        <v/>
      </c>
      <c r="U5242" s="58" t="str">
        <f t="shared" si="245"/>
        <v/>
      </c>
    </row>
    <row r="5243" spans="19:21" ht="23.25" customHeight="1" x14ac:dyDescent="0.35">
      <c r="S5243" s="56" t="str">
        <f t="shared" si="243"/>
        <v/>
      </c>
      <c r="T5243" s="57" t="str">
        <f t="shared" si="244"/>
        <v/>
      </c>
      <c r="U5243" s="58" t="str">
        <f t="shared" si="245"/>
        <v/>
      </c>
    </row>
    <row r="5244" spans="19:21" ht="23.25" customHeight="1" x14ac:dyDescent="0.35">
      <c r="S5244" s="56" t="str">
        <f t="shared" si="243"/>
        <v/>
      </c>
      <c r="T5244" s="57" t="str">
        <f t="shared" si="244"/>
        <v/>
      </c>
      <c r="U5244" s="58" t="str">
        <f t="shared" si="245"/>
        <v/>
      </c>
    </row>
    <row r="5245" spans="19:21" ht="23.25" customHeight="1" x14ac:dyDescent="0.35">
      <c r="S5245" s="56" t="str">
        <f t="shared" si="243"/>
        <v/>
      </c>
      <c r="T5245" s="57" t="str">
        <f t="shared" si="244"/>
        <v/>
      </c>
      <c r="U5245" s="58" t="str">
        <f t="shared" si="245"/>
        <v/>
      </c>
    </row>
    <row r="5246" spans="19:21" ht="23.25" customHeight="1" x14ac:dyDescent="0.35">
      <c r="S5246" s="56" t="str">
        <f t="shared" si="243"/>
        <v/>
      </c>
      <c r="T5246" s="57" t="str">
        <f t="shared" si="244"/>
        <v/>
      </c>
      <c r="U5246" s="58" t="str">
        <f t="shared" si="245"/>
        <v/>
      </c>
    </row>
    <row r="5247" spans="19:21" ht="23.25" customHeight="1" x14ac:dyDescent="0.35">
      <c r="S5247" s="56" t="str">
        <f t="shared" si="243"/>
        <v/>
      </c>
      <c r="T5247" s="57" t="str">
        <f t="shared" si="244"/>
        <v/>
      </c>
      <c r="U5247" s="58" t="str">
        <f t="shared" si="245"/>
        <v/>
      </c>
    </row>
    <row r="5248" spans="19:21" ht="23.25" customHeight="1" x14ac:dyDescent="0.35">
      <c r="S5248" s="56" t="str">
        <f t="shared" si="243"/>
        <v/>
      </c>
      <c r="T5248" s="57" t="str">
        <f t="shared" si="244"/>
        <v/>
      </c>
      <c r="U5248" s="58" t="str">
        <f t="shared" si="245"/>
        <v/>
      </c>
    </row>
    <row r="5249" spans="19:21" ht="23.25" customHeight="1" x14ac:dyDescent="0.35">
      <c r="S5249" s="56" t="str">
        <f t="shared" si="243"/>
        <v/>
      </c>
      <c r="T5249" s="57" t="str">
        <f t="shared" si="244"/>
        <v/>
      </c>
      <c r="U5249" s="58" t="str">
        <f t="shared" si="245"/>
        <v/>
      </c>
    </row>
    <row r="5250" spans="19:21" ht="23.25" customHeight="1" x14ac:dyDescent="0.35">
      <c r="S5250" s="56" t="str">
        <f t="shared" si="243"/>
        <v/>
      </c>
      <c r="T5250" s="57" t="str">
        <f t="shared" si="244"/>
        <v/>
      </c>
      <c r="U5250" s="58" t="str">
        <f t="shared" si="245"/>
        <v/>
      </c>
    </row>
    <row r="5251" spans="19:21" ht="23.25" customHeight="1" x14ac:dyDescent="0.35">
      <c r="S5251" s="56" t="str">
        <f t="shared" si="243"/>
        <v/>
      </c>
      <c r="T5251" s="57" t="str">
        <f t="shared" si="244"/>
        <v/>
      </c>
      <c r="U5251" s="58" t="str">
        <f t="shared" si="245"/>
        <v/>
      </c>
    </row>
    <row r="5252" spans="19:21" ht="23.25" customHeight="1" x14ac:dyDescent="0.35">
      <c r="S5252" s="56" t="str">
        <f t="shared" si="243"/>
        <v/>
      </c>
      <c r="T5252" s="57" t="str">
        <f t="shared" si="244"/>
        <v/>
      </c>
      <c r="U5252" s="58" t="str">
        <f t="shared" si="245"/>
        <v/>
      </c>
    </row>
    <row r="5253" spans="19:21" ht="23.25" customHeight="1" x14ac:dyDescent="0.35">
      <c r="S5253" s="56" t="str">
        <f t="shared" si="243"/>
        <v/>
      </c>
      <c r="T5253" s="57" t="str">
        <f t="shared" si="244"/>
        <v/>
      </c>
      <c r="U5253" s="58" t="str">
        <f t="shared" si="245"/>
        <v/>
      </c>
    </row>
    <row r="5254" spans="19:21" ht="23.25" customHeight="1" x14ac:dyDescent="0.35">
      <c r="S5254" s="56" t="str">
        <f t="shared" si="243"/>
        <v/>
      </c>
      <c r="T5254" s="57" t="str">
        <f t="shared" si="244"/>
        <v/>
      </c>
      <c r="U5254" s="58" t="str">
        <f t="shared" si="245"/>
        <v/>
      </c>
    </row>
    <row r="5255" spans="19:21" ht="23.25" customHeight="1" x14ac:dyDescent="0.35">
      <c r="S5255" s="56" t="str">
        <f t="shared" si="243"/>
        <v/>
      </c>
      <c r="T5255" s="57" t="str">
        <f t="shared" si="244"/>
        <v/>
      </c>
      <c r="U5255" s="58" t="str">
        <f t="shared" si="245"/>
        <v/>
      </c>
    </row>
    <row r="5256" spans="19:21" ht="23.25" customHeight="1" x14ac:dyDescent="0.35">
      <c r="S5256" s="56" t="str">
        <f t="shared" si="243"/>
        <v/>
      </c>
      <c r="T5256" s="57" t="str">
        <f t="shared" si="244"/>
        <v/>
      </c>
      <c r="U5256" s="58" t="str">
        <f t="shared" si="245"/>
        <v/>
      </c>
    </row>
    <row r="5257" spans="19:21" ht="23.25" customHeight="1" x14ac:dyDescent="0.35">
      <c r="S5257" s="56" t="str">
        <f t="shared" ref="S5257:S5320" si="246">IF(A5257="","",A$5-A5257)</f>
        <v/>
      </c>
      <c r="T5257" s="57" t="str">
        <f t="shared" ref="T5257:T5320" si="247">IF(S5257="","",IF(S5257&lt;4,"0-3 Days",IF(S5257&lt;31,"4-30 Days",IF(S5257&lt;61,"31-60 Days",IF(S5257&lt;=90,"61-90 Days",IF(S5257&gt;90,"Above 90 Days","0"))))))</f>
        <v/>
      </c>
      <c r="U5257" s="58" t="str">
        <f t="shared" ref="U5257:U5320" si="248">IF(C5257="","",IF(C5257&gt;0,IF(S5257&lt;30,"Normal",IF(S5257&lt;60,"Especially Mentioned",IF(S5257&lt;90,"Substandard",IF(S5257&lt;=180,"Doubtful",IF(S5257&gt;180,"Loss","0"))))),"Not Applicable"))</f>
        <v/>
      </c>
    </row>
    <row r="5258" spans="19:21" ht="23.25" customHeight="1" x14ac:dyDescent="0.35">
      <c r="S5258" s="56" t="str">
        <f t="shared" si="246"/>
        <v/>
      </c>
      <c r="T5258" s="57" t="str">
        <f t="shared" si="247"/>
        <v/>
      </c>
      <c r="U5258" s="58" t="str">
        <f t="shared" si="248"/>
        <v/>
      </c>
    </row>
    <row r="5259" spans="19:21" ht="23.25" customHeight="1" x14ac:dyDescent="0.35">
      <c r="S5259" s="56" t="str">
        <f t="shared" si="246"/>
        <v/>
      </c>
      <c r="T5259" s="57" t="str">
        <f t="shared" si="247"/>
        <v/>
      </c>
      <c r="U5259" s="58" t="str">
        <f t="shared" si="248"/>
        <v/>
      </c>
    </row>
    <row r="5260" spans="19:21" ht="23.25" customHeight="1" x14ac:dyDescent="0.35">
      <c r="S5260" s="56" t="str">
        <f t="shared" si="246"/>
        <v/>
      </c>
      <c r="T5260" s="57" t="str">
        <f t="shared" si="247"/>
        <v/>
      </c>
      <c r="U5260" s="58" t="str">
        <f t="shared" si="248"/>
        <v/>
      </c>
    </row>
    <row r="5261" spans="19:21" ht="23.25" customHeight="1" x14ac:dyDescent="0.35">
      <c r="S5261" s="56" t="str">
        <f t="shared" si="246"/>
        <v/>
      </c>
      <c r="T5261" s="57" t="str">
        <f t="shared" si="247"/>
        <v/>
      </c>
      <c r="U5261" s="58" t="str">
        <f t="shared" si="248"/>
        <v/>
      </c>
    </row>
    <row r="5262" spans="19:21" ht="23.25" customHeight="1" x14ac:dyDescent="0.35">
      <c r="S5262" s="56" t="str">
        <f t="shared" si="246"/>
        <v/>
      </c>
      <c r="T5262" s="57" t="str">
        <f t="shared" si="247"/>
        <v/>
      </c>
      <c r="U5262" s="58" t="str">
        <f t="shared" si="248"/>
        <v/>
      </c>
    </row>
    <row r="5263" spans="19:21" ht="23.25" customHeight="1" x14ac:dyDescent="0.35">
      <c r="S5263" s="56" t="str">
        <f t="shared" si="246"/>
        <v/>
      </c>
      <c r="T5263" s="57" t="str">
        <f t="shared" si="247"/>
        <v/>
      </c>
      <c r="U5263" s="58" t="str">
        <f t="shared" si="248"/>
        <v/>
      </c>
    </row>
    <row r="5264" spans="19:21" ht="23.25" customHeight="1" x14ac:dyDescent="0.35">
      <c r="S5264" s="56" t="str">
        <f t="shared" si="246"/>
        <v/>
      </c>
      <c r="T5264" s="57" t="str">
        <f t="shared" si="247"/>
        <v/>
      </c>
      <c r="U5264" s="58" t="str">
        <f t="shared" si="248"/>
        <v/>
      </c>
    </row>
    <row r="5265" spans="19:21" ht="23.25" customHeight="1" x14ac:dyDescent="0.35">
      <c r="S5265" s="56" t="str">
        <f t="shared" si="246"/>
        <v/>
      </c>
      <c r="T5265" s="57" t="str">
        <f t="shared" si="247"/>
        <v/>
      </c>
      <c r="U5265" s="58" t="str">
        <f t="shared" si="248"/>
        <v/>
      </c>
    </row>
    <row r="5266" spans="19:21" ht="23.25" customHeight="1" x14ac:dyDescent="0.35">
      <c r="S5266" s="56" t="str">
        <f t="shared" si="246"/>
        <v/>
      </c>
      <c r="T5266" s="57" t="str">
        <f t="shared" si="247"/>
        <v/>
      </c>
      <c r="U5266" s="58" t="str">
        <f t="shared" si="248"/>
        <v/>
      </c>
    </row>
    <row r="5267" spans="19:21" ht="23.25" customHeight="1" x14ac:dyDescent="0.35">
      <c r="S5267" s="56" t="str">
        <f t="shared" si="246"/>
        <v/>
      </c>
      <c r="T5267" s="57" t="str">
        <f t="shared" si="247"/>
        <v/>
      </c>
      <c r="U5267" s="58" t="str">
        <f t="shared" si="248"/>
        <v/>
      </c>
    </row>
    <row r="5268" spans="19:21" ht="23.25" customHeight="1" x14ac:dyDescent="0.35">
      <c r="S5268" s="56" t="str">
        <f t="shared" si="246"/>
        <v/>
      </c>
      <c r="T5268" s="57" t="str">
        <f t="shared" si="247"/>
        <v/>
      </c>
      <c r="U5268" s="58" t="str">
        <f t="shared" si="248"/>
        <v/>
      </c>
    </row>
    <row r="5269" spans="19:21" ht="23.25" customHeight="1" x14ac:dyDescent="0.35">
      <c r="S5269" s="56" t="str">
        <f t="shared" si="246"/>
        <v/>
      </c>
      <c r="T5269" s="57" t="str">
        <f t="shared" si="247"/>
        <v/>
      </c>
      <c r="U5269" s="58" t="str">
        <f t="shared" si="248"/>
        <v/>
      </c>
    </row>
    <row r="5270" spans="19:21" ht="23.25" customHeight="1" x14ac:dyDescent="0.35">
      <c r="S5270" s="56" t="str">
        <f t="shared" si="246"/>
        <v/>
      </c>
      <c r="T5270" s="57" t="str">
        <f t="shared" si="247"/>
        <v/>
      </c>
      <c r="U5270" s="58" t="str">
        <f t="shared" si="248"/>
        <v/>
      </c>
    </row>
    <row r="5271" spans="19:21" ht="23.25" customHeight="1" x14ac:dyDescent="0.35">
      <c r="S5271" s="56" t="str">
        <f t="shared" si="246"/>
        <v/>
      </c>
      <c r="T5271" s="57" t="str">
        <f t="shared" si="247"/>
        <v/>
      </c>
      <c r="U5271" s="58" t="str">
        <f t="shared" si="248"/>
        <v/>
      </c>
    </row>
    <row r="5272" spans="19:21" ht="23.25" customHeight="1" x14ac:dyDescent="0.35">
      <c r="S5272" s="56" t="str">
        <f t="shared" si="246"/>
        <v/>
      </c>
      <c r="T5272" s="57" t="str">
        <f t="shared" si="247"/>
        <v/>
      </c>
      <c r="U5272" s="58" t="str">
        <f t="shared" si="248"/>
        <v/>
      </c>
    </row>
    <row r="5273" spans="19:21" ht="23.25" customHeight="1" x14ac:dyDescent="0.35">
      <c r="S5273" s="56" t="str">
        <f t="shared" si="246"/>
        <v/>
      </c>
      <c r="T5273" s="57" t="str">
        <f t="shared" si="247"/>
        <v/>
      </c>
      <c r="U5273" s="58" t="str">
        <f t="shared" si="248"/>
        <v/>
      </c>
    </row>
    <row r="5274" spans="19:21" ht="23.25" customHeight="1" x14ac:dyDescent="0.35">
      <c r="S5274" s="56" t="str">
        <f t="shared" si="246"/>
        <v/>
      </c>
      <c r="T5274" s="57" t="str">
        <f t="shared" si="247"/>
        <v/>
      </c>
      <c r="U5274" s="58" t="str">
        <f t="shared" si="248"/>
        <v/>
      </c>
    </row>
    <row r="5275" spans="19:21" ht="23.25" customHeight="1" x14ac:dyDescent="0.35">
      <c r="S5275" s="56" t="str">
        <f t="shared" si="246"/>
        <v/>
      </c>
      <c r="T5275" s="57" t="str">
        <f t="shared" si="247"/>
        <v/>
      </c>
      <c r="U5275" s="58" t="str">
        <f t="shared" si="248"/>
        <v/>
      </c>
    </row>
    <row r="5276" spans="19:21" ht="23.25" customHeight="1" x14ac:dyDescent="0.35">
      <c r="S5276" s="56" t="str">
        <f t="shared" si="246"/>
        <v/>
      </c>
      <c r="T5276" s="57" t="str">
        <f t="shared" si="247"/>
        <v/>
      </c>
      <c r="U5276" s="58" t="str">
        <f t="shared" si="248"/>
        <v/>
      </c>
    </row>
    <row r="5277" spans="19:21" ht="23.25" customHeight="1" x14ac:dyDescent="0.35">
      <c r="S5277" s="56" t="str">
        <f t="shared" si="246"/>
        <v/>
      </c>
      <c r="T5277" s="57" t="str">
        <f t="shared" si="247"/>
        <v/>
      </c>
      <c r="U5277" s="58" t="str">
        <f t="shared" si="248"/>
        <v/>
      </c>
    </row>
    <row r="5278" spans="19:21" ht="23.25" customHeight="1" x14ac:dyDescent="0.35">
      <c r="S5278" s="56" t="str">
        <f t="shared" si="246"/>
        <v/>
      </c>
      <c r="T5278" s="57" t="str">
        <f t="shared" si="247"/>
        <v/>
      </c>
      <c r="U5278" s="58" t="str">
        <f t="shared" si="248"/>
        <v/>
      </c>
    </row>
    <row r="5279" spans="19:21" ht="23.25" customHeight="1" x14ac:dyDescent="0.35">
      <c r="S5279" s="56" t="str">
        <f t="shared" si="246"/>
        <v/>
      </c>
      <c r="T5279" s="57" t="str">
        <f t="shared" si="247"/>
        <v/>
      </c>
      <c r="U5279" s="58" t="str">
        <f t="shared" si="248"/>
        <v/>
      </c>
    </row>
    <row r="5280" spans="19:21" ht="23.25" customHeight="1" x14ac:dyDescent="0.35">
      <c r="S5280" s="56" t="str">
        <f t="shared" si="246"/>
        <v/>
      </c>
      <c r="T5280" s="57" t="str">
        <f t="shared" si="247"/>
        <v/>
      </c>
      <c r="U5280" s="58" t="str">
        <f t="shared" si="248"/>
        <v/>
      </c>
    </row>
    <row r="5281" spans="19:21" ht="23.25" customHeight="1" x14ac:dyDescent="0.35">
      <c r="S5281" s="56" t="str">
        <f t="shared" si="246"/>
        <v/>
      </c>
      <c r="T5281" s="57" t="str">
        <f t="shared" si="247"/>
        <v/>
      </c>
      <c r="U5281" s="58" t="str">
        <f t="shared" si="248"/>
        <v/>
      </c>
    </row>
    <row r="5282" spans="19:21" ht="23.25" customHeight="1" x14ac:dyDescent="0.35">
      <c r="S5282" s="56" t="str">
        <f t="shared" si="246"/>
        <v/>
      </c>
      <c r="T5282" s="57" t="str">
        <f t="shared" si="247"/>
        <v/>
      </c>
      <c r="U5282" s="58" t="str">
        <f t="shared" si="248"/>
        <v/>
      </c>
    </row>
    <row r="5283" spans="19:21" ht="23.25" customHeight="1" x14ac:dyDescent="0.35">
      <c r="S5283" s="56" t="str">
        <f t="shared" si="246"/>
        <v/>
      </c>
      <c r="T5283" s="57" t="str">
        <f t="shared" si="247"/>
        <v/>
      </c>
      <c r="U5283" s="58" t="str">
        <f t="shared" si="248"/>
        <v/>
      </c>
    </row>
    <row r="5284" spans="19:21" ht="23.25" customHeight="1" x14ac:dyDescent="0.35">
      <c r="S5284" s="56" t="str">
        <f t="shared" si="246"/>
        <v/>
      </c>
      <c r="T5284" s="57" t="str">
        <f t="shared" si="247"/>
        <v/>
      </c>
      <c r="U5284" s="58" t="str">
        <f t="shared" si="248"/>
        <v/>
      </c>
    </row>
    <row r="5285" spans="19:21" ht="23.25" customHeight="1" x14ac:dyDescent="0.35">
      <c r="S5285" s="56" t="str">
        <f t="shared" si="246"/>
        <v/>
      </c>
      <c r="T5285" s="57" t="str">
        <f t="shared" si="247"/>
        <v/>
      </c>
      <c r="U5285" s="58" t="str">
        <f t="shared" si="248"/>
        <v/>
      </c>
    </row>
    <row r="5286" spans="19:21" ht="23.25" customHeight="1" x14ac:dyDescent="0.35">
      <c r="S5286" s="56" t="str">
        <f t="shared" si="246"/>
        <v/>
      </c>
      <c r="T5286" s="57" t="str">
        <f t="shared" si="247"/>
        <v/>
      </c>
      <c r="U5286" s="58" t="str">
        <f t="shared" si="248"/>
        <v/>
      </c>
    </row>
    <row r="5287" spans="19:21" ht="23.25" customHeight="1" x14ac:dyDescent="0.35">
      <c r="S5287" s="56" t="str">
        <f t="shared" si="246"/>
        <v/>
      </c>
      <c r="T5287" s="57" t="str">
        <f t="shared" si="247"/>
        <v/>
      </c>
      <c r="U5287" s="58" t="str">
        <f t="shared" si="248"/>
        <v/>
      </c>
    </row>
    <row r="5288" spans="19:21" ht="23.25" customHeight="1" x14ac:dyDescent="0.35">
      <c r="S5288" s="56" t="str">
        <f t="shared" si="246"/>
        <v/>
      </c>
      <c r="T5288" s="57" t="str">
        <f t="shared" si="247"/>
        <v/>
      </c>
      <c r="U5288" s="58" t="str">
        <f t="shared" si="248"/>
        <v/>
      </c>
    </row>
    <row r="5289" spans="19:21" ht="23.25" customHeight="1" x14ac:dyDescent="0.35">
      <c r="S5289" s="56" t="str">
        <f t="shared" si="246"/>
        <v/>
      </c>
      <c r="T5289" s="57" t="str">
        <f t="shared" si="247"/>
        <v/>
      </c>
      <c r="U5289" s="58" t="str">
        <f t="shared" si="248"/>
        <v/>
      </c>
    </row>
    <row r="5290" spans="19:21" ht="23.25" customHeight="1" x14ac:dyDescent="0.35">
      <c r="S5290" s="56" t="str">
        <f t="shared" si="246"/>
        <v/>
      </c>
      <c r="T5290" s="57" t="str">
        <f t="shared" si="247"/>
        <v/>
      </c>
      <c r="U5290" s="58" t="str">
        <f t="shared" si="248"/>
        <v/>
      </c>
    </row>
    <row r="5291" spans="19:21" ht="23.25" customHeight="1" x14ac:dyDescent="0.35">
      <c r="S5291" s="56" t="str">
        <f t="shared" si="246"/>
        <v/>
      </c>
      <c r="T5291" s="57" t="str">
        <f t="shared" si="247"/>
        <v/>
      </c>
      <c r="U5291" s="58" t="str">
        <f t="shared" si="248"/>
        <v/>
      </c>
    </row>
    <row r="5292" spans="19:21" ht="23.25" customHeight="1" x14ac:dyDescent="0.35">
      <c r="S5292" s="56" t="str">
        <f t="shared" si="246"/>
        <v/>
      </c>
      <c r="T5292" s="57" t="str">
        <f t="shared" si="247"/>
        <v/>
      </c>
      <c r="U5292" s="58" t="str">
        <f t="shared" si="248"/>
        <v/>
      </c>
    </row>
    <row r="5293" spans="19:21" ht="23.25" customHeight="1" x14ac:dyDescent="0.35">
      <c r="S5293" s="56" t="str">
        <f t="shared" si="246"/>
        <v/>
      </c>
      <c r="T5293" s="57" t="str">
        <f t="shared" si="247"/>
        <v/>
      </c>
      <c r="U5293" s="58" t="str">
        <f t="shared" si="248"/>
        <v/>
      </c>
    </row>
    <row r="5294" spans="19:21" ht="23.25" customHeight="1" x14ac:dyDescent="0.35">
      <c r="S5294" s="56" t="str">
        <f t="shared" si="246"/>
        <v/>
      </c>
      <c r="T5294" s="57" t="str">
        <f t="shared" si="247"/>
        <v/>
      </c>
      <c r="U5294" s="58" t="str">
        <f t="shared" si="248"/>
        <v/>
      </c>
    </row>
    <row r="5295" spans="19:21" ht="23.25" customHeight="1" x14ac:dyDescent="0.35">
      <c r="S5295" s="56" t="str">
        <f t="shared" si="246"/>
        <v/>
      </c>
      <c r="T5295" s="57" t="str">
        <f t="shared" si="247"/>
        <v/>
      </c>
      <c r="U5295" s="58" t="str">
        <f t="shared" si="248"/>
        <v/>
      </c>
    </row>
    <row r="5296" spans="19:21" ht="23.25" customHeight="1" x14ac:dyDescent="0.35">
      <c r="S5296" s="56" t="str">
        <f t="shared" si="246"/>
        <v/>
      </c>
      <c r="T5296" s="57" t="str">
        <f t="shared" si="247"/>
        <v/>
      </c>
      <c r="U5296" s="58" t="str">
        <f t="shared" si="248"/>
        <v/>
      </c>
    </row>
    <row r="5297" spans="19:21" ht="23.25" customHeight="1" x14ac:dyDescent="0.35">
      <c r="S5297" s="56" t="str">
        <f t="shared" si="246"/>
        <v/>
      </c>
      <c r="T5297" s="57" t="str">
        <f t="shared" si="247"/>
        <v/>
      </c>
      <c r="U5297" s="58" t="str">
        <f t="shared" si="248"/>
        <v/>
      </c>
    </row>
    <row r="5298" spans="19:21" ht="23.25" customHeight="1" x14ac:dyDescent="0.35">
      <c r="S5298" s="56" t="str">
        <f t="shared" si="246"/>
        <v/>
      </c>
      <c r="T5298" s="57" t="str">
        <f t="shared" si="247"/>
        <v/>
      </c>
      <c r="U5298" s="58" t="str">
        <f t="shared" si="248"/>
        <v/>
      </c>
    </row>
    <row r="5299" spans="19:21" ht="23.25" customHeight="1" x14ac:dyDescent="0.35">
      <c r="S5299" s="56" t="str">
        <f t="shared" si="246"/>
        <v/>
      </c>
      <c r="T5299" s="57" t="str">
        <f t="shared" si="247"/>
        <v/>
      </c>
      <c r="U5299" s="58" t="str">
        <f t="shared" si="248"/>
        <v/>
      </c>
    </row>
    <row r="5300" spans="19:21" ht="23.25" customHeight="1" x14ac:dyDescent="0.35">
      <c r="S5300" s="56" t="str">
        <f t="shared" si="246"/>
        <v/>
      </c>
      <c r="T5300" s="57" t="str">
        <f t="shared" si="247"/>
        <v/>
      </c>
      <c r="U5300" s="58" t="str">
        <f t="shared" si="248"/>
        <v/>
      </c>
    </row>
    <row r="5301" spans="19:21" ht="23.25" customHeight="1" x14ac:dyDescent="0.35">
      <c r="S5301" s="56" t="str">
        <f t="shared" si="246"/>
        <v/>
      </c>
      <c r="T5301" s="57" t="str">
        <f t="shared" si="247"/>
        <v/>
      </c>
      <c r="U5301" s="58" t="str">
        <f t="shared" si="248"/>
        <v/>
      </c>
    </row>
    <row r="5302" spans="19:21" ht="23.25" customHeight="1" x14ac:dyDescent="0.35">
      <c r="S5302" s="56" t="str">
        <f t="shared" si="246"/>
        <v/>
      </c>
      <c r="T5302" s="57" t="str">
        <f t="shared" si="247"/>
        <v/>
      </c>
      <c r="U5302" s="58" t="str">
        <f t="shared" si="248"/>
        <v/>
      </c>
    </row>
    <row r="5303" spans="19:21" ht="23.25" customHeight="1" x14ac:dyDescent="0.35">
      <c r="S5303" s="56" t="str">
        <f t="shared" si="246"/>
        <v/>
      </c>
      <c r="T5303" s="57" t="str">
        <f t="shared" si="247"/>
        <v/>
      </c>
      <c r="U5303" s="58" t="str">
        <f t="shared" si="248"/>
        <v/>
      </c>
    </row>
    <row r="5304" spans="19:21" ht="23.25" customHeight="1" x14ac:dyDescent="0.35">
      <c r="S5304" s="56" t="str">
        <f t="shared" si="246"/>
        <v/>
      </c>
      <c r="T5304" s="57" t="str">
        <f t="shared" si="247"/>
        <v/>
      </c>
      <c r="U5304" s="58" t="str">
        <f t="shared" si="248"/>
        <v/>
      </c>
    </row>
    <row r="5305" spans="19:21" ht="23.25" customHeight="1" x14ac:dyDescent="0.35">
      <c r="S5305" s="56" t="str">
        <f t="shared" si="246"/>
        <v/>
      </c>
      <c r="T5305" s="57" t="str">
        <f t="shared" si="247"/>
        <v/>
      </c>
      <c r="U5305" s="58" t="str">
        <f t="shared" si="248"/>
        <v/>
      </c>
    </row>
    <row r="5306" spans="19:21" ht="23.25" customHeight="1" x14ac:dyDescent="0.35">
      <c r="S5306" s="56" t="str">
        <f t="shared" si="246"/>
        <v/>
      </c>
      <c r="T5306" s="57" t="str">
        <f t="shared" si="247"/>
        <v/>
      </c>
      <c r="U5306" s="58" t="str">
        <f t="shared" si="248"/>
        <v/>
      </c>
    </row>
    <row r="5307" spans="19:21" ht="23.25" customHeight="1" x14ac:dyDescent="0.35">
      <c r="S5307" s="56" t="str">
        <f t="shared" si="246"/>
        <v/>
      </c>
      <c r="T5307" s="57" t="str">
        <f t="shared" si="247"/>
        <v/>
      </c>
      <c r="U5307" s="58" t="str">
        <f t="shared" si="248"/>
        <v/>
      </c>
    </row>
    <row r="5308" spans="19:21" ht="23.25" customHeight="1" x14ac:dyDescent="0.35">
      <c r="S5308" s="56" t="str">
        <f t="shared" si="246"/>
        <v/>
      </c>
      <c r="T5308" s="57" t="str">
        <f t="shared" si="247"/>
        <v/>
      </c>
      <c r="U5308" s="58" t="str">
        <f t="shared" si="248"/>
        <v/>
      </c>
    </row>
    <row r="5309" spans="19:21" ht="23.25" customHeight="1" x14ac:dyDescent="0.35">
      <c r="S5309" s="56" t="str">
        <f t="shared" si="246"/>
        <v/>
      </c>
      <c r="T5309" s="57" t="str">
        <f t="shared" si="247"/>
        <v/>
      </c>
      <c r="U5309" s="58" t="str">
        <f t="shared" si="248"/>
        <v/>
      </c>
    </row>
    <row r="5310" spans="19:21" ht="23.25" customHeight="1" x14ac:dyDescent="0.35">
      <c r="S5310" s="56" t="str">
        <f t="shared" si="246"/>
        <v/>
      </c>
      <c r="T5310" s="57" t="str">
        <f t="shared" si="247"/>
        <v/>
      </c>
      <c r="U5310" s="58" t="str">
        <f t="shared" si="248"/>
        <v/>
      </c>
    </row>
    <row r="5311" spans="19:21" ht="23.25" customHeight="1" x14ac:dyDescent="0.35">
      <c r="S5311" s="56" t="str">
        <f t="shared" si="246"/>
        <v/>
      </c>
      <c r="T5311" s="57" t="str">
        <f t="shared" si="247"/>
        <v/>
      </c>
      <c r="U5311" s="58" t="str">
        <f t="shared" si="248"/>
        <v/>
      </c>
    </row>
    <row r="5312" spans="19:21" ht="23.25" customHeight="1" x14ac:dyDescent="0.35">
      <c r="S5312" s="56" t="str">
        <f t="shared" si="246"/>
        <v/>
      </c>
      <c r="T5312" s="57" t="str">
        <f t="shared" si="247"/>
        <v/>
      </c>
      <c r="U5312" s="58" t="str">
        <f t="shared" si="248"/>
        <v/>
      </c>
    </row>
    <row r="5313" spans="19:21" ht="23.25" customHeight="1" x14ac:dyDescent="0.35">
      <c r="S5313" s="56" t="str">
        <f t="shared" si="246"/>
        <v/>
      </c>
      <c r="T5313" s="57" t="str">
        <f t="shared" si="247"/>
        <v/>
      </c>
      <c r="U5313" s="58" t="str">
        <f t="shared" si="248"/>
        <v/>
      </c>
    </row>
    <row r="5314" spans="19:21" ht="23.25" customHeight="1" x14ac:dyDescent="0.35">
      <c r="S5314" s="56" t="str">
        <f t="shared" si="246"/>
        <v/>
      </c>
      <c r="T5314" s="57" t="str">
        <f t="shared" si="247"/>
        <v/>
      </c>
      <c r="U5314" s="58" t="str">
        <f t="shared" si="248"/>
        <v/>
      </c>
    </row>
    <row r="5315" spans="19:21" ht="23.25" customHeight="1" x14ac:dyDescent="0.35">
      <c r="S5315" s="56" t="str">
        <f t="shared" si="246"/>
        <v/>
      </c>
      <c r="T5315" s="57" t="str">
        <f t="shared" si="247"/>
        <v/>
      </c>
      <c r="U5315" s="58" t="str">
        <f t="shared" si="248"/>
        <v/>
      </c>
    </row>
    <row r="5316" spans="19:21" ht="23.25" customHeight="1" x14ac:dyDescent="0.35">
      <c r="S5316" s="56" t="str">
        <f t="shared" si="246"/>
        <v/>
      </c>
      <c r="T5316" s="57" t="str">
        <f t="shared" si="247"/>
        <v/>
      </c>
      <c r="U5316" s="58" t="str">
        <f t="shared" si="248"/>
        <v/>
      </c>
    </row>
    <row r="5317" spans="19:21" ht="23.25" customHeight="1" x14ac:dyDescent="0.35">
      <c r="S5317" s="56" t="str">
        <f t="shared" si="246"/>
        <v/>
      </c>
      <c r="T5317" s="57" t="str">
        <f t="shared" si="247"/>
        <v/>
      </c>
      <c r="U5317" s="58" t="str">
        <f t="shared" si="248"/>
        <v/>
      </c>
    </row>
    <row r="5318" spans="19:21" ht="23.25" customHeight="1" x14ac:dyDescent="0.35">
      <c r="S5318" s="56" t="str">
        <f t="shared" si="246"/>
        <v/>
      </c>
      <c r="T5318" s="57" t="str">
        <f t="shared" si="247"/>
        <v/>
      </c>
      <c r="U5318" s="58" t="str">
        <f t="shared" si="248"/>
        <v/>
      </c>
    </row>
    <row r="5319" spans="19:21" ht="23.25" customHeight="1" x14ac:dyDescent="0.35">
      <c r="S5319" s="56" t="str">
        <f t="shared" si="246"/>
        <v/>
      </c>
      <c r="T5319" s="57" t="str">
        <f t="shared" si="247"/>
        <v/>
      </c>
      <c r="U5319" s="58" t="str">
        <f t="shared" si="248"/>
        <v/>
      </c>
    </row>
    <row r="5320" spans="19:21" ht="23.25" customHeight="1" x14ac:dyDescent="0.35">
      <c r="S5320" s="56" t="str">
        <f t="shared" si="246"/>
        <v/>
      </c>
      <c r="T5320" s="57" t="str">
        <f t="shared" si="247"/>
        <v/>
      </c>
      <c r="U5320" s="58" t="str">
        <f t="shared" si="248"/>
        <v/>
      </c>
    </row>
    <row r="5321" spans="19:21" ht="23.25" customHeight="1" x14ac:dyDescent="0.35">
      <c r="S5321" s="56" t="str">
        <f t="shared" ref="S5321:S5384" si="249">IF(A5321="","",A$5-A5321)</f>
        <v/>
      </c>
      <c r="T5321" s="57" t="str">
        <f t="shared" ref="T5321:T5384" si="250">IF(S5321="","",IF(S5321&lt;4,"0-3 Days",IF(S5321&lt;31,"4-30 Days",IF(S5321&lt;61,"31-60 Days",IF(S5321&lt;=90,"61-90 Days",IF(S5321&gt;90,"Above 90 Days","0"))))))</f>
        <v/>
      </c>
      <c r="U5321" s="58" t="str">
        <f t="shared" ref="U5321:U5384" si="251">IF(C5321="","",IF(C5321&gt;0,IF(S5321&lt;30,"Normal",IF(S5321&lt;60,"Especially Mentioned",IF(S5321&lt;90,"Substandard",IF(S5321&lt;=180,"Doubtful",IF(S5321&gt;180,"Loss","0"))))),"Not Applicable"))</f>
        <v/>
      </c>
    </row>
    <row r="5322" spans="19:21" ht="23.25" customHeight="1" x14ac:dyDescent="0.35">
      <c r="S5322" s="56" t="str">
        <f t="shared" si="249"/>
        <v/>
      </c>
      <c r="T5322" s="57" t="str">
        <f t="shared" si="250"/>
        <v/>
      </c>
      <c r="U5322" s="58" t="str">
        <f t="shared" si="251"/>
        <v/>
      </c>
    </row>
    <row r="5323" spans="19:21" ht="23.25" customHeight="1" x14ac:dyDescent="0.35">
      <c r="S5323" s="56" t="str">
        <f t="shared" si="249"/>
        <v/>
      </c>
      <c r="T5323" s="57" t="str">
        <f t="shared" si="250"/>
        <v/>
      </c>
      <c r="U5323" s="58" t="str">
        <f t="shared" si="251"/>
        <v/>
      </c>
    </row>
    <row r="5324" spans="19:21" ht="23.25" customHeight="1" x14ac:dyDescent="0.35">
      <c r="S5324" s="56" t="str">
        <f t="shared" si="249"/>
        <v/>
      </c>
      <c r="T5324" s="57" t="str">
        <f t="shared" si="250"/>
        <v/>
      </c>
      <c r="U5324" s="58" t="str">
        <f t="shared" si="251"/>
        <v/>
      </c>
    </row>
    <row r="5325" spans="19:21" ht="23.25" customHeight="1" x14ac:dyDescent="0.35">
      <c r="S5325" s="56" t="str">
        <f t="shared" si="249"/>
        <v/>
      </c>
      <c r="T5325" s="57" t="str">
        <f t="shared" si="250"/>
        <v/>
      </c>
      <c r="U5325" s="58" t="str">
        <f t="shared" si="251"/>
        <v/>
      </c>
    </row>
    <row r="5326" spans="19:21" ht="23.25" customHeight="1" x14ac:dyDescent="0.35">
      <c r="S5326" s="56" t="str">
        <f t="shared" si="249"/>
        <v/>
      </c>
      <c r="T5326" s="57" t="str">
        <f t="shared" si="250"/>
        <v/>
      </c>
      <c r="U5326" s="58" t="str">
        <f t="shared" si="251"/>
        <v/>
      </c>
    </row>
    <row r="5327" spans="19:21" ht="23.25" customHeight="1" x14ac:dyDescent="0.35">
      <c r="S5327" s="56" t="str">
        <f t="shared" si="249"/>
        <v/>
      </c>
      <c r="T5327" s="57" t="str">
        <f t="shared" si="250"/>
        <v/>
      </c>
      <c r="U5327" s="58" t="str">
        <f t="shared" si="251"/>
        <v/>
      </c>
    </row>
    <row r="5328" spans="19:21" ht="23.25" customHeight="1" x14ac:dyDescent="0.35">
      <c r="S5328" s="56" t="str">
        <f t="shared" si="249"/>
        <v/>
      </c>
      <c r="T5328" s="57" t="str">
        <f t="shared" si="250"/>
        <v/>
      </c>
      <c r="U5328" s="58" t="str">
        <f t="shared" si="251"/>
        <v/>
      </c>
    </row>
    <row r="5329" spans="19:21" ht="23.25" customHeight="1" x14ac:dyDescent="0.35">
      <c r="S5329" s="56" t="str">
        <f t="shared" si="249"/>
        <v/>
      </c>
      <c r="T5329" s="57" t="str">
        <f t="shared" si="250"/>
        <v/>
      </c>
      <c r="U5329" s="58" t="str">
        <f t="shared" si="251"/>
        <v/>
      </c>
    </row>
    <row r="5330" spans="19:21" ht="23.25" customHeight="1" x14ac:dyDescent="0.35">
      <c r="S5330" s="56" t="str">
        <f t="shared" si="249"/>
        <v/>
      </c>
      <c r="T5330" s="57" t="str">
        <f t="shared" si="250"/>
        <v/>
      </c>
      <c r="U5330" s="58" t="str">
        <f t="shared" si="251"/>
        <v/>
      </c>
    </row>
    <row r="5331" spans="19:21" ht="23.25" customHeight="1" x14ac:dyDescent="0.35">
      <c r="S5331" s="56" t="str">
        <f t="shared" si="249"/>
        <v/>
      </c>
      <c r="T5331" s="57" t="str">
        <f t="shared" si="250"/>
        <v/>
      </c>
      <c r="U5331" s="58" t="str">
        <f t="shared" si="251"/>
        <v/>
      </c>
    </row>
    <row r="5332" spans="19:21" ht="23.25" customHeight="1" x14ac:dyDescent="0.35">
      <c r="S5332" s="56" t="str">
        <f t="shared" si="249"/>
        <v/>
      </c>
      <c r="T5332" s="57" t="str">
        <f t="shared" si="250"/>
        <v/>
      </c>
      <c r="U5332" s="58" t="str">
        <f t="shared" si="251"/>
        <v/>
      </c>
    </row>
    <row r="5333" spans="19:21" ht="23.25" customHeight="1" x14ac:dyDescent="0.35">
      <c r="S5333" s="56" t="str">
        <f t="shared" si="249"/>
        <v/>
      </c>
      <c r="T5333" s="57" t="str">
        <f t="shared" si="250"/>
        <v/>
      </c>
      <c r="U5333" s="58" t="str">
        <f t="shared" si="251"/>
        <v/>
      </c>
    </row>
    <row r="5334" spans="19:21" ht="23.25" customHeight="1" x14ac:dyDescent="0.35">
      <c r="S5334" s="56" t="str">
        <f t="shared" si="249"/>
        <v/>
      </c>
      <c r="T5334" s="57" t="str">
        <f t="shared" si="250"/>
        <v/>
      </c>
      <c r="U5334" s="58" t="str">
        <f t="shared" si="251"/>
        <v/>
      </c>
    </row>
    <row r="5335" spans="19:21" ht="23.25" customHeight="1" x14ac:dyDescent="0.35">
      <c r="S5335" s="56" t="str">
        <f t="shared" si="249"/>
        <v/>
      </c>
      <c r="T5335" s="57" t="str">
        <f t="shared" si="250"/>
        <v/>
      </c>
      <c r="U5335" s="58" t="str">
        <f t="shared" si="251"/>
        <v/>
      </c>
    </row>
    <row r="5336" spans="19:21" ht="23.25" customHeight="1" x14ac:dyDescent="0.35">
      <c r="S5336" s="56" t="str">
        <f t="shared" si="249"/>
        <v/>
      </c>
      <c r="T5336" s="57" t="str">
        <f t="shared" si="250"/>
        <v/>
      </c>
      <c r="U5336" s="58" t="str">
        <f t="shared" si="251"/>
        <v/>
      </c>
    </row>
    <row r="5337" spans="19:21" ht="23.25" customHeight="1" x14ac:dyDescent="0.35">
      <c r="S5337" s="56" t="str">
        <f t="shared" si="249"/>
        <v/>
      </c>
      <c r="T5337" s="57" t="str">
        <f t="shared" si="250"/>
        <v/>
      </c>
      <c r="U5337" s="58" t="str">
        <f t="shared" si="251"/>
        <v/>
      </c>
    </row>
    <row r="5338" spans="19:21" ht="23.25" customHeight="1" x14ac:dyDescent="0.35">
      <c r="S5338" s="56" t="str">
        <f t="shared" si="249"/>
        <v/>
      </c>
      <c r="T5338" s="57" t="str">
        <f t="shared" si="250"/>
        <v/>
      </c>
      <c r="U5338" s="58" t="str">
        <f t="shared" si="251"/>
        <v/>
      </c>
    </row>
    <row r="5339" spans="19:21" ht="23.25" customHeight="1" x14ac:dyDescent="0.35">
      <c r="S5339" s="56" t="str">
        <f t="shared" si="249"/>
        <v/>
      </c>
      <c r="T5339" s="57" t="str">
        <f t="shared" si="250"/>
        <v/>
      </c>
      <c r="U5339" s="58" t="str">
        <f t="shared" si="251"/>
        <v/>
      </c>
    </row>
    <row r="5340" spans="19:21" ht="23.25" customHeight="1" x14ac:dyDescent="0.35">
      <c r="S5340" s="56" t="str">
        <f t="shared" si="249"/>
        <v/>
      </c>
      <c r="T5340" s="57" t="str">
        <f t="shared" si="250"/>
        <v/>
      </c>
      <c r="U5340" s="58" t="str">
        <f t="shared" si="251"/>
        <v/>
      </c>
    </row>
    <row r="5341" spans="19:21" ht="23.25" customHeight="1" x14ac:dyDescent="0.35">
      <c r="S5341" s="56" t="str">
        <f t="shared" si="249"/>
        <v/>
      </c>
      <c r="T5341" s="57" t="str">
        <f t="shared" si="250"/>
        <v/>
      </c>
      <c r="U5341" s="58" t="str">
        <f t="shared" si="251"/>
        <v/>
      </c>
    </row>
    <row r="5342" spans="19:21" ht="23.25" customHeight="1" x14ac:dyDescent="0.35">
      <c r="S5342" s="56" t="str">
        <f t="shared" si="249"/>
        <v/>
      </c>
      <c r="T5342" s="57" t="str">
        <f t="shared" si="250"/>
        <v/>
      </c>
      <c r="U5342" s="58" t="str">
        <f t="shared" si="251"/>
        <v/>
      </c>
    </row>
    <row r="5343" spans="19:21" ht="23.25" customHeight="1" x14ac:dyDescent="0.35">
      <c r="S5343" s="56" t="str">
        <f t="shared" si="249"/>
        <v/>
      </c>
      <c r="T5343" s="57" t="str">
        <f t="shared" si="250"/>
        <v/>
      </c>
      <c r="U5343" s="58" t="str">
        <f t="shared" si="251"/>
        <v/>
      </c>
    </row>
    <row r="5344" spans="19:21" ht="23.25" customHeight="1" x14ac:dyDescent="0.35">
      <c r="S5344" s="56" t="str">
        <f t="shared" si="249"/>
        <v/>
      </c>
      <c r="T5344" s="57" t="str">
        <f t="shared" si="250"/>
        <v/>
      </c>
      <c r="U5344" s="58" t="str">
        <f t="shared" si="251"/>
        <v/>
      </c>
    </row>
    <row r="5345" spans="19:21" ht="23.25" customHeight="1" x14ac:dyDescent="0.35">
      <c r="S5345" s="56" t="str">
        <f t="shared" si="249"/>
        <v/>
      </c>
      <c r="T5345" s="57" t="str">
        <f t="shared" si="250"/>
        <v/>
      </c>
      <c r="U5345" s="58" t="str">
        <f t="shared" si="251"/>
        <v/>
      </c>
    </row>
    <row r="5346" spans="19:21" ht="23.25" customHeight="1" x14ac:dyDescent="0.35">
      <c r="S5346" s="56" t="str">
        <f t="shared" si="249"/>
        <v/>
      </c>
      <c r="T5346" s="57" t="str">
        <f t="shared" si="250"/>
        <v/>
      </c>
      <c r="U5346" s="58" t="str">
        <f t="shared" si="251"/>
        <v/>
      </c>
    </row>
    <row r="5347" spans="19:21" ht="23.25" customHeight="1" x14ac:dyDescent="0.35">
      <c r="S5347" s="56" t="str">
        <f t="shared" si="249"/>
        <v/>
      </c>
      <c r="T5347" s="57" t="str">
        <f t="shared" si="250"/>
        <v/>
      </c>
      <c r="U5347" s="58" t="str">
        <f t="shared" si="251"/>
        <v/>
      </c>
    </row>
    <row r="5348" spans="19:21" ht="23.25" customHeight="1" x14ac:dyDescent="0.35">
      <c r="S5348" s="56" t="str">
        <f t="shared" si="249"/>
        <v/>
      </c>
      <c r="T5348" s="57" t="str">
        <f t="shared" si="250"/>
        <v/>
      </c>
      <c r="U5348" s="58" t="str">
        <f t="shared" si="251"/>
        <v/>
      </c>
    </row>
    <row r="5349" spans="19:21" ht="23.25" customHeight="1" x14ac:dyDescent="0.35">
      <c r="S5349" s="56" t="str">
        <f t="shared" si="249"/>
        <v/>
      </c>
      <c r="T5349" s="57" t="str">
        <f t="shared" si="250"/>
        <v/>
      </c>
      <c r="U5349" s="58" t="str">
        <f t="shared" si="251"/>
        <v/>
      </c>
    </row>
    <row r="5350" spans="19:21" ht="23.25" customHeight="1" x14ac:dyDescent="0.35">
      <c r="S5350" s="56" t="str">
        <f t="shared" si="249"/>
        <v/>
      </c>
      <c r="T5350" s="57" t="str">
        <f t="shared" si="250"/>
        <v/>
      </c>
      <c r="U5350" s="58" t="str">
        <f t="shared" si="251"/>
        <v/>
      </c>
    </row>
    <row r="5351" spans="19:21" ht="23.25" customHeight="1" x14ac:dyDescent="0.35">
      <c r="S5351" s="56" t="str">
        <f t="shared" si="249"/>
        <v/>
      </c>
      <c r="T5351" s="57" t="str">
        <f t="shared" si="250"/>
        <v/>
      </c>
      <c r="U5351" s="58" t="str">
        <f t="shared" si="251"/>
        <v/>
      </c>
    </row>
    <row r="5352" spans="19:21" ht="23.25" customHeight="1" x14ac:dyDescent="0.35">
      <c r="S5352" s="56" t="str">
        <f t="shared" si="249"/>
        <v/>
      </c>
      <c r="T5352" s="57" t="str">
        <f t="shared" si="250"/>
        <v/>
      </c>
      <c r="U5352" s="58" t="str">
        <f t="shared" si="251"/>
        <v/>
      </c>
    </row>
    <row r="5353" spans="19:21" ht="23.25" customHeight="1" x14ac:dyDescent="0.35">
      <c r="S5353" s="56" t="str">
        <f t="shared" si="249"/>
        <v/>
      </c>
      <c r="T5353" s="57" t="str">
        <f t="shared" si="250"/>
        <v/>
      </c>
      <c r="U5353" s="58" t="str">
        <f t="shared" si="251"/>
        <v/>
      </c>
    </row>
    <row r="5354" spans="19:21" ht="23.25" customHeight="1" x14ac:dyDescent="0.35">
      <c r="S5354" s="56" t="str">
        <f t="shared" si="249"/>
        <v/>
      </c>
      <c r="T5354" s="57" t="str">
        <f t="shared" si="250"/>
        <v/>
      </c>
      <c r="U5354" s="58" t="str">
        <f t="shared" si="251"/>
        <v/>
      </c>
    </row>
    <row r="5355" spans="19:21" ht="23.25" customHeight="1" x14ac:dyDescent="0.35">
      <c r="S5355" s="56" t="str">
        <f t="shared" si="249"/>
        <v/>
      </c>
      <c r="T5355" s="57" t="str">
        <f t="shared" si="250"/>
        <v/>
      </c>
      <c r="U5355" s="58" t="str">
        <f t="shared" si="251"/>
        <v/>
      </c>
    </row>
    <row r="5356" spans="19:21" ht="23.25" customHeight="1" x14ac:dyDescent="0.35">
      <c r="S5356" s="56" t="str">
        <f t="shared" si="249"/>
        <v/>
      </c>
      <c r="T5356" s="57" t="str">
        <f t="shared" si="250"/>
        <v/>
      </c>
      <c r="U5356" s="58" t="str">
        <f t="shared" si="251"/>
        <v/>
      </c>
    </row>
    <row r="5357" spans="19:21" ht="23.25" customHeight="1" x14ac:dyDescent="0.35">
      <c r="S5357" s="56" t="str">
        <f t="shared" si="249"/>
        <v/>
      </c>
      <c r="T5357" s="57" t="str">
        <f t="shared" si="250"/>
        <v/>
      </c>
      <c r="U5357" s="58" t="str">
        <f t="shared" si="251"/>
        <v/>
      </c>
    </row>
    <row r="5358" spans="19:21" ht="23.25" customHeight="1" x14ac:dyDescent="0.35">
      <c r="S5358" s="56" t="str">
        <f t="shared" si="249"/>
        <v/>
      </c>
      <c r="T5358" s="57" t="str">
        <f t="shared" si="250"/>
        <v/>
      </c>
      <c r="U5358" s="58" t="str">
        <f t="shared" si="251"/>
        <v/>
      </c>
    </row>
    <row r="5359" spans="19:21" ht="23.25" customHeight="1" x14ac:dyDescent="0.35">
      <c r="S5359" s="56" t="str">
        <f t="shared" si="249"/>
        <v/>
      </c>
      <c r="T5359" s="57" t="str">
        <f t="shared" si="250"/>
        <v/>
      </c>
      <c r="U5359" s="58" t="str">
        <f t="shared" si="251"/>
        <v/>
      </c>
    </row>
    <row r="5360" spans="19:21" ht="23.25" customHeight="1" x14ac:dyDescent="0.35">
      <c r="S5360" s="56" t="str">
        <f t="shared" si="249"/>
        <v/>
      </c>
      <c r="T5360" s="57" t="str">
        <f t="shared" si="250"/>
        <v/>
      </c>
      <c r="U5360" s="58" t="str">
        <f t="shared" si="251"/>
        <v/>
      </c>
    </row>
    <row r="5361" spans="19:21" ht="23.25" customHeight="1" x14ac:dyDescent="0.35">
      <c r="S5361" s="56" t="str">
        <f t="shared" si="249"/>
        <v/>
      </c>
      <c r="T5361" s="57" t="str">
        <f t="shared" si="250"/>
        <v/>
      </c>
      <c r="U5361" s="58" t="str">
        <f t="shared" si="251"/>
        <v/>
      </c>
    </row>
    <row r="5362" spans="19:21" ht="23.25" customHeight="1" x14ac:dyDescent="0.35">
      <c r="S5362" s="56" t="str">
        <f t="shared" si="249"/>
        <v/>
      </c>
      <c r="T5362" s="57" t="str">
        <f t="shared" si="250"/>
        <v/>
      </c>
      <c r="U5362" s="58" t="str">
        <f t="shared" si="251"/>
        <v/>
      </c>
    </row>
    <row r="5363" spans="19:21" ht="23.25" customHeight="1" x14ac:dyDescent="0.35">
      <c r="S5363" s="56" t="str">
        <f t="shared" si="249"/>
        <v/>
      </c>
      <c r="T5363" s="57" t="str">
        <f t="shared" si="250"/>
        <v/>
      </c>
      <c r="U5363" s="58" t="str">
        <f t="shared" si="251"/>
        <v/>
      </c>
    </row>
    <row r="5364" spans="19:21" ht="23.25" customHeight="1" x14ac:dyDescent="0.35">
      <c r="S5364" s="56" t="str">
        <f t="shared" si="249"/>
        <v/>
      </c>
      <c r="T5364" s="57" t="str">
        <f t="shared" si="250"/>
        <v/>
      </c>
      <c r="U5364" s="58" t="str">
        <f t="shared" si="251"/>
        <v/>
      </c>
    </row>
    <row r="5365" spans="19:21" ht="23.25" customHeight="1" x14ac:dyDescent="0.35">
      <c r="S5365" s="56" t="str">
        <f t="shared" si="249"/>
        <v/>
      </c>
      <c r="T5365" s="57" t="str">
        <f t="shared" si="250"/>
        <v/>
      </c>
      <c r="U5365" s="58" t="str">
        <f t="shared" si="251"/>
        <v/>
      </c>
    </row>
    <row r="5366" spans="19:21" ht="23.25" customHeight="1" x14ac:dyDescent="0.35">
      <c r="S5366" s="56" t="str">
        <f t="shared" si="249"/>
        <v/>
      </c>
      <c r="T5366" s="57" t="str">
        <f t="shared" si="250"/>
        <v/>
      </c>
      <c r="U5366" s="58" t="str">
        <f t="shared" si="251"/>
        <v/>
      </c>
    </row>
    <row r="5367" spans="19:21" ht="23.25" customHeight="1" x14ac:dyDescent="0.35">
      <c r="S5367" s="56" t="str">
        <f t="shared" si="249"/>
        <v/>
      </c>
      <c r="T5367" s="57" t="str">
        <f t="shared" si="250"/>
        <v/>
      </c>
      <c r="U5367" s="58" t="str">
        <f t="shared" si="251"/>
        <v/>
      </c>
    </row>
    <row r="5368" spans="19:21" ht="23.25" customHeight="1" x14ac:dyDescent="0.35">
      <c r="S5368" s="56" t="str">
        <f t="shared" si="249"/>
        <v/>
      </c>
      <c r="T5368" s="57" t="str">
        <f t="shared" si="250"/>
        <v/>
      </c>
      <c r="U5368" s="58" t="str">
        <f t="shared" si="251"/>
        <v/>
      </c>
    </row>
    <row r="5369" spans="19:21" ht="23.25" customHeight="1" x14ac:dyDescent="0.35">
      <c r="S5369" s="56" t="str">
        <f t="shared" si="249"/>
        <v/>
      </c>
      <c r="T5369" s="57" t="str">
        <f t="shared" si="250"/>
        <v/>
      </c>
      <c r="U5369" s="58" t="str">
        <f t="shared" si="251"/>
        <v/>
      </c>
    </row>
    <row r="5370" spans="19:21" ht="23.25" customHeight="1" x14ac:dyDescent="0.35">
      <c r="S5370" s="56" t="str">
        <f t="shared" si="249"/>
        <v/>
      </c>
      <c r="T5370" s="57" t="str">
        <f t="shared" si="250"/>
        <v/>
      </c>
      <c r="U5370" s="58" t="str">
        <f t="shared" si="251"/>
        <v/>
      </c>
    </row>
    <row r="5371" spans="19:21" ht="23.25" customHeight="1" x14ac:dyDescent="0.35">
      <c r="S5371" s="56" t="str">
        <f t="shared" si="249"/>
        <v/>
      </c>
      <c r="T5371" s="57" t="str">
        <f t="shared" si="250"/>
        <v/>
      </c>
      <c r="U5371" s="58" t="str">
        <f t="shared" si="251"/>
        <v/>
      </c>
    </row>
    <row r="5372" spans="19:21" ht="23.25" customHeight="1" x14ac:dyDescent="0.35">
      <c r="S5372" s="56" t="str">
        <f t="shared" si="249"/>
        <v/>
      </c>
      <c r="T5372" s="57" t="str">
        <f t="shared" si="250"/>
        <v/>
      </c>
      <c r="U5372" s="58" t="str">
        <f t="shared" si="251"/>
        <v/>
      </c>
    </row>
    <row r="5373" spans="19:21" ht="23.25" customHeight="1" x14ac:dyDescent="0.35">
      <c r="S5373" s="56" t="str">
        <f t="shared" si="249"/>
        <v/>
      </c>
      <c r="T5373" s="57" t="str">
        <f t="shared" si="250"/>
        <v/>
      </c>
      <c r="U5373" s="58" t="str">
        <f t="shared" si="251"/>
        <v/>
      </c>
    </row>
    <row r="5374" spans="19:21" ht="23.25" customHeight="1" x14ac:dyDescent="0.35">
      <c r="S5374" s="56" t="str">
        <f t="shared" si="249"/>
        <v/>
      </c>
      <c r="T5374" s="57" t="str">
        <f t="shared" si="250"/>
        <v/>
      </c>
      <c r="U5374" s="58" t="str">
        <f t="shared" si="251"/>
        <v/>
      </c>
    </row>
    <row r="5375" spans="19:21" ht="23.25" customHeight="1" x14ac:dyDescent="0.35">
      <c r="S5375" s="56" t="str">
        <f t="shared" si="249"/>
        <v/>
      </c>
      <c r="T5375" s="57" t="str">
        <f t="shared" si="250"/>
        <v/>
      </c>
      <c r="U5375" s="58" t="str">
        <f t="shared" si="251"/>
        <v/>
      </c>
    </row>
    <row r="5376" spans="19:21" ht="23.25" customHeight="1" x14ac:dyDescent="0.35">
      <c r="S5376" s="56" t="str">
        <f t="shared" si="249"/>
        <v/>
      </c>
      <c r="T5376" s="57" t="str">
        <f t="shared" si="250"/>
        <v/>
      </c>
      <c r="U5376" s="58" t="str">
        <f t="shared" si="251"/>
        <v/>
      </c>
    </row>
    <row r="5377" spans="19:21" ht="23.25" customHeight="1" x14ac:dyDescent="0.35">
      <c r="S5377" s="56" t="str">
        <f t="shared" si="249"/>
        <v/>
      </c>
      <c r="T5377" s="57" t="str">
        <f t="shared" si="250"/>
        <v/>
      </c>
      <c r="U5377" s="58" t="str">
        <f t="shared" si="251"/>
        <v/>
      </c>
    </row>
    <row r="5378" spans="19:21" ht="23.25" customHeight="1" x14ac:dyDescent="0.35">
      <c r="S5378" s="56" t="str">
        <f t="shared" si="249"/>
        <v/>
      </c>
      <c r="T5378" s="57" t="str">
        <f t="shared" si="250"/>
        <v/>
      </c>
      <c r="U5378" s="58" t="str">
        <f t="shared" si="251"/>
        <v/>
      </c>
    </row>
    <row r="5379" spans="19:21" ht="23.25" customHeight="1" x14ac:dyDescent="0.35">
      <c r="S5379" s="56" t="str">
        <f t="shared" si="249"/>
        <v/>
      </c>
      <c r="T5379" s="57" t="str">
        <f t="shared" si="250"/>
        <v/>
      </c>
      <c r="U5379" s="58" t="str">
        <f t="shared" si="251"/>
        <v/>
      </c>
    </row>
    <row r="5380" spans="19:21" ht="23.25" customHeight="1" x14ac:dyDescent="0.35">
      <c r="S5380" s="56" t="str">
        <f t="shared" si="249"/>
        <v/>
      </c>
      <c r="T5380" s="57" t="str">
        <f t="shared" si="250"/>
        <v/>
      </c>
      <c r="U5380" s="58" t="str">
        <f t="shared" si="251"/>
        <v/>
      </c>
    </row>
    <row r="5381" spans="19:21" ht="23.25" customHeight="1" x14ac:dyDescent="0.35">
      <c r="S5381" s="56" t="str">
        <f t="shared" si="249"/>
        <v/>
      </c>
      <c r="T5381" s="57" t="str">
        <f t="shared" si="250"/>
        <v/>
      </c>
      <c r="U5381" s="58" t="str">
        <f t="shared" si="251"/>
        <v/>
      </c>
    </row>
    <row r="5382" spans="19:21" ht="23.25" customHeight="1" x14ac:dyDescent="0.35">
      <c r="S5382" s="56" t="str">
        <f t="shared" si="249"/>
        <v/>
      </c>
      <c r="T5382" s="57" t="str">
        <f t="shared" si="250"/>
        <v/>
      </c>
      <c r="U5382" s="58" t="str">
        <f t="shared" si="251"/>
        <v/>
      </c>
    </row>
    <row r="5383" spans="19:21" ht="23.25" customHeight="1" x14ac:dyDescent="0.35">
      <c r="S5383" s="56" t="str">
        <f t="shared" si="249"/>
        <v/>
      </c>
      <c r="T5383" s="57" t="str">
        <f t="shared" si="250"/>
        <v/>
      </c>
      <c r="U5383" s="58" t="str">
        <f t="shared" si="251"/>
        <v/>
      </c>
    </row>
    <row r="5384" spans="19:21" ht="23.25" customHeight="1" x14ac:dyDescent="0.35">
      <c r="S5384" s="56" t="str">
        <f t="shared" si="249"/>
        <v/>
      </c>
      <c r="T5384" s="57" t="str">
        <f t="shared" si="250"/>
        <v/>
      </c>
      <c r="U5384" s="58" t="str">
        <f t="shared" si="251"/>
        <v/>
      </c>
    </row>
    <row r="5385" spans="19:21" ht="23.25" customHeight="1" x14ac:dyDescent="0.35">
      <c r="S5385" s="56" t="str">
        <f t="shared" ref="S5385:S5448" si="252">IF(A5385="","",A$5-A5385)</f>
        <v/>
      </c>
      <c r="T5385" s="57" t="str">
        <f t="shared" ref="T5385:T5448" si="253">IF(S5385="","",IF(S5385&lt;4,"0-3 Days",IF(S5385&lt;31,"4-30 Days",IF(S5385&lt;61,"31-60 Days",IF(S5385&lt;=90,"61-90 Days",IF(S5385&gt;90,"Above 90 Days","0"))))))</f>
        <v/>
      </c>
      <c r="U5385" s="58" t="str">
        <f t="shared" ref="U5385:U5448" si="254">IF(C5385="","",IF(C5385&gt;0,IF(S5385&lt;30,"Normal",IF(S5385&lt;60,"Especially Mentioned",IF(S5385&lt;90,"Substandard",IF(S5385&lt;=180,"Doubtful",IF(S5385&gt;180,"Loss","0"))))),"Not Applicable"))</f>
        <v/>
      </c>
    </row>
    <row r="5386" spans="19:21" ht="23.25" customHeight="1" x14ac:dyDescent="0.35">
      <c r="S5386" s="56" t="str">
        <f t="shared" si="252"/>
        <v/>
      </c>
      <c r="T5386" s="57" t="str">
        <f t="shared" si="253"/>
        <v/>
      </c>
      <c r="U5386" s="58" t="str">
        <f t="shared" si="254"/>
        <v/>
      </c>
    </row>
    <row r="5387" spans="19:21" ht="23.25" customHeight="1" x14ac:dyDescent="0.35">
      <c r="S5387" s="56" t="str">
        <f t="shared" si="252"/>
        <v/>
      </c>
      <c r="T5387" s="57" t="str">
        <f t="shared" si="253"/>
        <v/>
      </c>
      <c r="U5387" s="58" t="str">
        <f t="shared" si="254"/>
        <v/>
      </c>
    </row>
    <row r="5388" spans="19:21" ht="23.25" customHeight="1" x14ac:dyDescent="0.35">
      <c r="S5388" s="56" t="str">
        <f t="shared" si="252"/>
        <v/>
      </c>
      <c r="T5388" s="57" t="str">
        <f t="shared" si="253"/>
        <v/>
      </c>
      <c r="U5388" s="58" t="str">
        <f t="shared" si="254"/>
        <v/>
      </c>
    </row>
    <row r="5389" spans="19:21" ht="23.25" customHeight="1" x14ac:dyDescent="0.35">
      <c r="S5389" s="56" t="str">
        <f t="shared" si="252"/>
        <v/>
      </c>
      <c r="T5389" s="57" t="str">
        <f t="shared" si="253"/>
        <v/>
      </c>
      <c r="U5389" s="58" t="str">
        <f t="shared" si="254"/>
        <v/>
      </c>
    </row>
    <row r="5390" spans="19:21" ht="23.25" customHeight="1" x14ac:dyDescent="0.35">
      <c r="S5390" s="56" t="str">
        <f t="shared" si="252"/>
        <v/>
      </c>
      <c r="T5390" s="57" t="str">
        <f t="shared" si="253"/>
        <v/>
      </c>
      <c r="U5390" s="58" t="str">
        <f t="shared" si="254"/>
        <v/>
      </c>
    </row>
    <row r="5391" spans="19:21" ht="23.25" customHeight="1" x14ac:dyDescent="0.35">
      <c r="S5391" s="56" t="str">
        <f t="shared" si="252"/>
        <v/>
      </c>
      <c r="T5391" s="57" t="str">
        <f t="shared" si="253"/>
        <v/>
      </c>
      <c r="U5391" s="58" t="str">
        <f t="shared" si="254"/>
        <v/>
      </c>
    </row>
    <row r="5392" spans="19:21" ht="23.25" customHeight="1" x14ac:dyDescent="0.35">
      <c r="S5392" s="56" t="str">
        <f t="shared" si="252"/>
        <v/>
      </c>
      <c r="T5392" s="57" t="str">
        <f t="shared" si="253"/>
        <v/>
      </c>
      <c r="U5392" s="58" t="str">
        <f t="shared" si="254"/>
        <v/>
      </c>
    </row>
    <row r="5393" spans="19:21" ht="23.25" customHeight="1" x14ac:dyDescent="0.35">
      <c r="S5393" s="56" t="str">
        <f t="shared" si="252"/>
        <v/>
      </c>
      <c r="T5393" s="57" t="str">
        <f t="shared" si="253"/>
        <v/>
      </c>
      <c r="U5393" s="58" t="str">
        <f t="shared" si="254"/>
        <v/>
      </c>
    </row>
    <row r="5394" spans="19:21" ht="23.25" customHeight="1" x14ac:dyDescent="0.35">
      <c r="S5394" s="56" t="str">
        <f t="shared" si="252"/>
        <v/>
      </c>
      <c r="T5394" s="57" t="str">
        <f t="shared" si="253"/>
        <v/>
      </c>
      <c r="U5394" s="58" t="str">
        <f t="shared" si="254"/>
        <v/>
      </c>
    </row>
    <row r="5395" spans="19:21" ht="23.25" customHeight="1" x14ac:dyDescent="0.35">
      <c r="S5395" s="56" t="str">
        <f t="shared" si="252"/>
        <v/>
      </c>
      <c r="T5395" s="57" t="str">
        <f t="shared" si="253"/>
        <v/>
      </c>
      <c r="U5395" s="58" t="str">
        <f t="shared" si="254"/>
        <v/>
      </c>
    </row>
    <row r="5396" spans="19:21" ht="23.25" customHeight="1" x14ac:dyDescent="0.35">
      <c r="S5396" s="56" t="str">
        <f t="shared" si="252"/>
        <v/>
      </c>
      <c r="T5396" s="57" t="str">
        <f t="shared" si="253"/>
        <v/>
      </c>
      <c r="U5396" s="58" t="str">
        <f t="shared" si="254"/>
        <v/>
      </c>
    </row>
    <row r="5397" spans="19:21" ht="23.25" customHeight="1" x14ac:dyDescent="0.35">
      <c r="S5397" s="56" t="str">
        <f t="shared" si="252"/>
        <v/>
      </c>
      <c r="T5397" s="57" t="str">
        <f t="shared" si="253"/>
        <v/>
      </c>
      <c r="U5397" s="58" t="str">
        <f t="shared" si="254"/>
        <v/>
      </c>
    </row>
    <row r="5398" spans="19:21" ht="23.25" customHeight="1" x14ac:dyDescent="0.35">
      <c r="S5398" s="56" t="str">
        <f t="shared" si="252"/>
        <v/>
      </c>
      <c r="T5398" s="57" t="str">
        <f t="shared" si="253"/>
        <v/>
      </c>
      <c r="U5398" s="58" t="str">
        <f t="shared" si="254"/>
        <v/>
      </c>
    </row>
    <row r="5399" spans="19:21" ht="23.25" customHeight="1" x14ac:dyDescent="0.35">
      <c r="S5399" s="56" t="str">
        <f t="shared" si="252"/>
        <v/>
      </c>
      <c r="T5399" s="57" t="str">
        <f t="shared" si="253"/>
        <v/>
      </c>
      <c r="U5399" s="58" t="str">
        <f t="shared" si="254"/>
        <v/>
      </c>
    </row>
    <row r="5400" spans="19:21" ht="23.25" customHeight="1" x14ac:dyDescent="0.35">
      <c r="S5400" s="56" t="str">
        <f t="shared" si="252"/>
        <v/>
      </c>
      <c r="T5400" s="57" t="str">
        <f t="shared" si="253"/>
        <v/>
      </c>
      <c r="U5400" s="58" t="str">
        <f t="shared" si="254"/>
        <v/>
      </c>
    </row>
    <row r="5401" spans="19:21" ht="23.25" customHeight="1" x14ac:dyDescent="0.35">
      <c r="S5401" s="56" t="str">
        <f t="shared" si="252"/>
        <v/>
      </c>
      <c r="T5401" s="57" t="str">
        <f t="shared" si="253"/>
        <v/>
      </c>
      <c r="U5401" s="58" t="str">
        <f t="shared" si="254"/>
        <v/>
      </c>
    </row>
    <row r="5402" spans="19:21" ht="23.25" customHeight="1" x14ac:dyDescent="0.35">
      <c r="S5402" s="56" t="str">
        <f t="shared" si="252"/>
        <v/>
      </c>
      <c r="T5402" s="57" t="str">
        <f t="shared" si="253"/>
        <v/>
      </c>
      <c r="U5402" s="58" t="str">
        <f t="shared" si="254"/>
        <v/>
      </c>
    </row>
    <row r="5403" spans="19:21" ht="23.25" customHeight="1" x14ac:dyDescent="0.35">
      <c r="S5403" s="56" t="str">
        <f t="shared" si="252"/>
        <v/>
      </c>
      <c r="T5403" s="57" t="str">
        <f t="shared" si="253"/>
        <v/>
      </c>
      <c r="U5403" s="58" t="str">
        <f t="shared" si="254"/>
        <v/>
      </c>
    </row>
    <row r="5404" spans="19:21" ht="23.25" customHeight="1" x14ac:dyDescent="0.35">
      <c r="S5404" s="56" t="str">
        <f t="shared" si="252"/>
        <v/>
      </c>
      <c r="T5404" s="57" t="str">
        <f t="shared" si="253"/>
        <v/>
      </c>
      <c r="U5404" s="58" t="str">
        <f t="shared" si="254"/>
        <v/>
      </c>
    </row>
    <row r="5405" spans="19:21" ht="23.25" customHeight="1" x14ac:dyDescent="0.35">
      <c r="S5405" s="56" t="str">
        <f t="shared" si="252"/>
        <v/>
      </c>
      <c r="T5405" s="57" t="str">
        <f t="shared" si="253"/>
        <v/>
      </c>
      <c r="U5405" s="58" t="str">
        <f t="shared" si="254"/>
        <v/>
      </c>
    </row>
    <row r="5406" spans="19:21" ht="23.25" customHeight="1" x14ac:dyDescent="0.35">
      <c r="S5406" s="56" t="str">
        <f t="shared" si="252"/>
        <v/>
      </c>
      <c r="T5406" s="57" t="str">
        <f t="shared" si="253"/>
        <v/>
      </c>
      <c r="U5406" s="58" t="str">
        <f t="shared" si="254"/>
        <v/>
      </c>
    </row>
    <row r="5407" spans="19:21" ht="23.25" customHeight="1" x14ac:dyDescent="0.35">
      <c r="S5407" s="56" t="str">
        <f t="shared" si="252"/>
        <v/>
      </c>
      <c r="T5407" s="57" t="str">
        <f t="shared" si="253"/>
        <v/>
      </c>
      <c r="U5407" s="58" t="str">
        <f t="shared" si="254"/>
        <v/>
      </c>
    </row>
    <row r="5408" spans="19:21" ht="23.25" customHeight="1" x14ac:dyDescent="0.35">
      <c r="S5408" s="56" t="str">
        <f t="shared" si="252"/>
        <v/>
      </c>
      <c r="T5408" s="57" t="str">
        <f t="shared" si="253"/>
        <v/>
      </c>
      <c r="U5408" s="58" t="str">
        <f t="shared" si="254"/>
        <v/>
      </c>
    </row>
    <row r="5409" spans="19:21" ht="23.25" customHeight="1" x14ac:dyDescent="0.35">
      <c r="S5409" s="56" t="str">
        <f t="shared" si="252"/>
        <v/>
      </c>
      <c r="T5409" s="57" t="str">
        <f t="shared" si="253"/>
        <v/>
      </c>
      <c r="U5409" s="58" t="str">
        <f t="shared" si="254"/>
        <v/>
      </c>
    </row>
    <row r="5410" spans="19:21" ht="23.25" customHeight="1" x14ac:dyDescent="0.35">
      <c r="S5410" s="56" t="str">
        <f t="shared" si="252"/>
        <v/>
      </c>
      <c r="T5410" s="57" t="str">
        <f t="shared" si="253"/>
        <v/>
      </c>
      <c r="U5410" s="58" t="str">
        <f t="shared" si="254"/>
        <v/>
      </c>
    </row>
    <row r="5411" spans="19:21" ht="23.25" customHeight="1" x14ac:dyDescent="0.35">
      <c r="S5411" s="56" t="str">
        <f t="shared" si="252"/>
        <v/>
      </c>
      <c r="T5411" s="57" t="str">
        <f t="shared" si="253"/>
        <v/>
      </c>
      <c r="U5411" s="58" t="str">
        <f t="shared" si="254"/>
        <v/>
      </c>
    </row>
    <row r="5412" spans="19:21" ht="23.25" customHeight="1" x14ac:dyDescent="0.35">
      <c r="S5412" s="56" t="str">
        <f t="shared" si="252"/>
        <v/>
      </c>
      <c r="T5412" s="57" t="str">
        <f t="shared" si="253"/>
        <v/>
      </c>
      <c r="U5412" s="58" t="str">
        <f t="shared" si="254"/>
        <v/>
      </c>
    </row>
    <row r="5413" spans="19:21" ht="23.25" customHeight="1" x14ac:dyDescent="0.35">
      <c r="S5413" s="56" t="str">
        <f t="shared" si="252"/>
        <v/>
      </c>
      <c r="T5413" s="57" t="str">
        <f t="shared" si="253"/>
        <v/>
      </c>
      <c r="U5413" s="58" t="str">
        <f t="shared" si="254"/>
        <v/>
      </c>
    </row>
    <row r="5414" spans="19:21" ht="23.25" customHeight="1" x14ac:dyDescent="0.35">
      <c r="S5414" s="56" t="str">
        <f t="shared" si="252"/>
        <v/>
      </c>
      <c r="T5414" s="57" t="str">
        <f t="shared" si="253"/>
        <v/>
      </c>
      <c r="U5414" s="58" t="str">
        <f t="shared" si="254"/>
        <v/>
      </c>
    </row>
    <row r="5415" spans="19:21" ht="23.25" customHeight="1" x14ac:dyDescent="0.35">
      <c r="S5415" s="56" t="str">
        <f t="shared" si="252"/>
        <v/>
      </c>
      <c r="T5415" s="57" t="str">
        <f t="shared" si="253"/>
        <v/>
      </c>
      <c r="U5415" s="58" t="str">
        <f t="shared" si="254"/>
        <v/>
      </c>
    </row>
    <row r="5416" spans="19:21" ht="23.25" customHeight="1" x14ac:dyDescent="0.35">
      <c r="S5416" s="56" t="str">
        <f t="shared" si="252"/>
        <v/>
      </c>
      <c r="T5416" s="57" t="str">
        <f t="shared" si="253"/>
        <v/>
      </c>
      <c r="U5416" s="58" t="str">
        <f t="shared" si="254"/>
        <v/>
      </c>
    </row>
    <row r="5417" spans="19:21" ht="23.25" customHeight="1" x14ac:dyDescent="0.35">
      <c r="S5417" s="56" t="str">
        <f t="shared" si="252"/>
        <v/>
      </c>
      <c r="T5417" s="57" t="str">
        <f t="shared" si="253"/>
        <v/>
      </c>
      <c r="U5417" s="58" t="str">
        <f t="shared" si="254"/>
        <v/>
      </c>
    </row>
    <row r="5418" spans="19:21" ht="23.25" customHeight="1" x14ac:dyDescent="0.35">
      <c r="S5418" s="56" t="str">
        <f t="shared" si="252"/>
        <v/>
      </c>
      <c r="T5418" s="57" t="str">
        <f t="shared" si="253"/>
        <v/>
      </c>
      <c r="U5418" s="58" t="str">
        <f t="shared" si="254"/>
        <v/>
      </c>
    </row>
    <row r="5419" spans="19:21" ht="23.25" customHeight="1" x14ac:dyDescent="0.35">
      <c r="S5419" s="56" t="str">
        <f t="shared" si="252"/>
        <v/>
      </c>
      <c r="T5419" s="57" t="str">
        <f t="shared" si="253"/>
        <v/>
      </c>
      <c r="U5419" s="58" t="str">
        <f t="shared" si="254"/>
        <v/>
      </c>
    </row>
    <row r="5420" spans="19:21" ht="23.25" customHeight="1" x14ac:dyDescent="0.35">
      <c r="S5420" s="56" t="str">
        <f t="shared" si="252"/>
        <v/>
      </c>
      <c r="T5420" s="57" t="str">
        <f t="shared" si="253"/>
        <v/>
      </c>
      <c r="U5420" s="58" t="str">
        <f t="shared" si="254"/>
        <v/>
      </c>
    </row>
    <row r="5421" spans="19:21" ht="23.25" customHeight="1" x14ac:dyDescent="0.35">
      <c r="S5421" s="56" t="str">
        <f t="shared" si="252"/>
        <v/>
      </c>
      <c r="T5421" s="57" t="str">
        <f t="shared" si="253"/>
        <v/>
      </c>
      <c r="U5421" s="58" t="str">
        <f t="shared" si="254"/>
        <v/>
      </c>
    </row>
    <row r="5422" spans="19:21" ht="23.25" customHeight="1" x14ac:dyDescent="0.35">
      <c r="S5422" s="56" t="str">
        <f t="shared" si="252"/>
        <v/>
      </c>
      <c r="T5422" s="57" t="str">
        <f t="shared" si="253"/>
        <v/>
      </c>
      <c r="U5422" s="58" t="str">
        <f t="shared" si="254"/>
        <v/>
      </c>
    </row>
    <row r="5423" spans="19:21" ht="23.25" customHeight="1" x14ac:dyDescent="0.35">
      <c r="S5423" s="56" t="str">
        <f t="shared" si="252"/>
        <v/>
      </c>
      <c r="T5423" s="57" t="str">
        <f t="shared" si="253"/>
        <v/>
      </c>
      <c r="U5423" s="58" t="str">
        <f t="shared" si="254"/>
        <v/>
      </c>
    </row>
    <row r="5424" spans="19:21" ht="23.25" customHeight="1" x14ac:dyDescent="0.35">
      <c r="S5424" s="56" t="str">
        <f t="shared" si="252"/>
        <v/>
      </c>
      <c r="T5424" s="57" t="str">
        <f t="shared" si="253"/>
        <v/>
      </c>
      <c r="U5424" s="58" t="str">
        <f t="shared" si="254"/>
        <v/>
      </c>
    </row>
    <row r="5425" spans="19:21" ht="23.25" customHeight="1" x14ac:dyDescent="0.35">
      <c r="S5425" s="56" t="str">
        <f t="shared" si="252"/>
        <v/>
      </c>
      <c r="T5425" s="57" t="str">
        <f t="shared" si="253"/>
        <v/>
      </c>
      <c r="U5425" s="58" t="str">
        <f t="shared" si="254"/>
        <v/>
      </c>
    </row>
    <row r="5426" spans="19:21" ht="23.25" customHeight="1" x14ac:dyDescent="0.35">
      <c r="S5426" s="56" t="str">
        <f t="shared" si="252"/>
        <v/>
      </c>
      <c r="T5426" s="57" t="str">
        <f t="shared" si="253"/>
        <v/>
      </c>
      <c r="U5426" s="58" t="str">
        <f t="shared" si="254"/>
        <v/>
      </c>
    </row>
    <row r="5427" spans="19:21" ht="23.25" customHeight="1" x14ac:dyDescent="0.35">
      <c r="S5427" s="56" t="str">
        <f t="shared" si="252"/>
        <v/>
      </c>
      <c r="T5427" s="57" t="str">
        <f t="shared" si="253"/>
        <v/>
      </c>
      <c r="U5427" s="58" t="str">
        <f t="shared" si="254"/>
        <v/>
      </c>
    </row>
    <row r="5428" spans="19:21" ht="23.25" customHeight="1" x14ac:dyDescent="0.35">
      <c r="S5428" s="56" t="str">
        <f t="shared" si="252"/>
        <v/>
      </c>
      <c r="T5428" s="57" t="str">
        <f t="shared" si="253"/>
        <v/>
      </c>
      <c r="U5428" s="58" t="str">
        <f t="shared" si="254"/>
        <v/>
      </c>
    </row>
    <row r="5429" spans="19:21" ht="23.25" customHeight="1" x14ac:dyDescent="0.35">
      <c r="S5429" s="56" t="str">
        <f t="shared" si="252"/>
        <v/>
      </c>
      <c r="T5429" s="57" t="str">
        <f t="shared" si="253"/>
        <v/>
      </c>
      <c r="U5429" s="58" t="str">
        <f t="shared" si="254"/>
        <v/>
      </c>
    </row>
    <row r="5430" spans="19:21" ht="23.25" customHeight="1" x14ac:dyDescent="0.35">
      <c r="S5430" s="56" t="str">
        <f t="shared" si="252"/>
        <v/>
      </c>
      <c r="T5430" s="57" t="str">
        <f t="shared" si="253"/>
        <v/>
      </c>
      <c r="U5430" s="58" t="str">
        <f t="shared" si="254"/>
        <v/>
      </c>
    </row>
    <row r="5431" spans="19:21" ht="23.25" customHeight="1" x14ac:dyDescent="0.35">
      <c r="S5431" s="56" t="str">
        <f t="shared" si="252"/>
        <v/>
      </c>
      <c r="T5431" s="57" t="str">
        <f t="shared" si="253"/>
        <v/>
      </c>
      <c r="U5431" s="58" t="str">
        <f t="shared" si="254"/>
        <v/>
      </c>
    </row>
    <row r="5432" spans="19:21" ht="23.25" customHeight="1" x14ac:dyDescent="0.35">
      <c r="S5432" s="56" t="str">
        <f t="shared" si="252"/>
        <v/>
      </c>
      <c r="T5432" s="57" t="str">
        <f t="shared" si="253"/>
        <v/>
      </c>
      <c r="U5432" s="58" t="str">
        <f t="shared" si="254"/>
        <v/>
      </c>
    </row>
    <row r="5433" spans="19:21" ht="23.25" customHeight="1" x14ac:dyDescent="0.35">
      <c r="S5433" s="56" t="str">
        <f t="shared" si="252"/>
        <v/>
      </c>
      <c r="T5433" s="57" t="str">
        <f t="shared" si="253"/>
        <v/>
      </c>
      <c r="U5433" s="58" t="str">
        <f t="shared" si="254"/>
        <v/>
      </c>
    </row>
    <row r="5434" spans="19:21" ht="23.25" customHeight="1" x14ac:dyDescent="0.35">
      <c r="S5434" s="56" t="str">
        <f t="shared" si="252"/>
        <v/>
      </c>
      <c r="T5434" s="57" t="str">
        <f t="shared" si="253"/>
        <v/>
      </c>
      <c r="U5434" s="58" t="str">
        <f t="shared" si="254"/>
        <v/>
      </c>
    </row>
    <row r="5435" spans="19:21" ht="23.25" customHeight="1" x14ac:dyDescent="0.35">
      <c r="S5435" s="56" t="str">
        <f t="shared" si="252"/>
        <v/>
      </c>
      <c r="T5435" s="57" t="str">
        <f t="shared" si="253"/>
        <v/>
      </c>
      <c r="U5435" s="58" t="str">
        <f t="shared" si="254"/>
        <v/>
      </c>
    </row>
    <row r="5436" spans="19:21" ht="23.25" customHeight="1" x14ac:dyDescent="0.35">
      <c r="S5436" s="56" t="str">
        <f t="shared" si="252"/>
        <v/>
      </c>
      <c r="T5436" s="57" t="str">
        <f t="shared" si="253"/>
        <v/>
      </c>
      <c r="U5436" s="58" t="str">
        <f t="shared" si="254"/>
        <v/>
      </c>
    </row>
    <row r="5437" spans="19:21" ht="23.25" customHeight="1" x14ac:dyDescent="0.35">
      <c r="S5437" s="56" t="str">
        <f t="shared" si="252"/>
        <v/>
      </c>
      <c r="T5437" s="57" t="str">
        <f t="shared" si="253"/>
        <v/>
      </c>
      <c r="U5437" s="58" t="str">
        <f t="shared" si="254"/>
        <v/>
      </c>
    </row>
    <row r="5438" spans="19:21" ht="23.25" customHeight="1" x14ac:dyDescent="0.35">
      <c r="S5438" s="56" t="str">
        <f t="shared" si="252"/>
        <v/>
      </c>
      <c r="T5438" s="57" t="str">
        <f t="shared" si="253"/>
        <v/>
      </c>
      <c r="U5438" s="58" t="str">
        <f t="shared" si="254"/>
        <v/>
      </c>
    </row>
    <row r="5439" spans="19:21" ht="23.25" customHeight="1" x14ac:dyDescent="0.35">
      <c r="S5439" s="56" t="str">
        <f t="shared" si="252"/>
        <v/>
      </c>
      <c r="T5439" s="57" t="str">
        <f t="shared" si="253"/>
        <v/>
      </c>
      <c r="U5439" s="58" t="str">
        <f t="shared" si="254"/>
        <v/>
      </c>
    </row>
    <row r="5440" spans="19:21" ht="23.25" customHeight="1" x14ac:dyDescent="0.35">
      <c r="S5440" s="56" t="str">
        <f t="shared" si="252"/>
        <v/>
      </c>
      <c r="T5440" s="57" t="str">
        <f t="shared" si="253"/>
        <v/>
      </c>
      <c r="U5440" s="58" t="str">
        <f t="shared" si="254"/>
        <v/>
      </c>
    </row>
    <row r="5441" spans="19:21" ht="23.25" customHeight="1" x14ac:dyDescent="0.35">
      <c r="S5441" s="56" t="str">
        <f t="shared" si="252"/>
        <v/>
      </c>
      <c r="T5441" s="57" t="str">
        <f t="shared" si="253"/>
        <v/>
      </c>
      <c r="U5441" s="58" t="str">
        <f t="shared" si="254"/>
        <v/>
      </c>
    </row>
    <row r="5442" spans="19:21" ht="23.25" customHeight="1" x14ac:dyDescent="0.35">
      <c r="S5442" s="56" t="str">
        <f t="shared" si="252"/>
        <v/>
      </c>
      <c r="T5442" s="57" t="str">
        <f t="shared" si="253"/>
        <v/>
      </c>
      <c r="U5442" s="58" t="str">
        <f t="shared" si="254"/>
        <v/>
      </c>
    </row>
    <row r="5443" spans="19:21" ht="23.25" customHeight="1" x14ac:dyDescent="0.35">
      <c r="S5443" s="56" t="str">
        <f t="shared" si="252"/>
        <v/>
      </c>
      <c r="T5443" s="57" t="str">
        <f t="shared" si="253"/>
        <v/>
      </c>
      <c r="U5443" s="58" t="str">
        <f t="shared" si="254"/>
        <v/>
      </c>
    </row>
    <row r="5444" spans="19:21" ht="23.25" customHeight="1" x14ac:dyDescent="0.35">
      <c r="S5444" s="56" t="str">
        <f t="shared" si="252"/>
        <v/>
      </c>
      <c r="T5444" s="57" t="str">
        <f t="shared" si="253"/>
        <v/>
      </c>
      <c r="U5444" s="58" t="str">
        <f t="shared" si="254"/>
        <v/>
      </c>
    </row>
    <row r="5445" spans="19:21" ht="23.25" customHeight="1" x14ac:dyDescent="0.35">
      <c r="S5445" s="56" t="str">
        <f t="shared" si="252"/>
        <v/>
      </c>
      <c r="T5445" s="57" t="str">
        <f t="shared" si="253"/>
        <v/>
      </c>
      <c r="U5445" s="58" t="str">
        <f t="shared" si="254"/>
        <v/>
      </c>
    </row>
    <row r="5446" spans="19:21" ht="23.25" customHeight="1" x14ac:dyDescent="0.35">
      <c r="S5446" s="56" t="str">
        <f t="shared" si="252"/>
        <v/>
      </c>
      <c r="T5446" s="57" t="str">
        <f t="shared" si="253"/>
        <v/>
      </c>
      <c r="U5446" s="58" t="str">
        <f t="shared" si="254"/>
        <v/>
      </c>
    </row>
    <row r="5447" spans="19:21" ht="23.25" customHeight="1" x14ac:dyDescent="0.35">
      <c r="S5447" s="56" t="str">
        <f t="shared" si="252"/>
        <v/>
      </c>
      <c r="T5447" s="57" t="str">
        <f t="shared" si="253"/>
        <v/>
      </c>
      <c r="U5447" s="58" t="str">
        <f t="shared" si="254"/>
        <v/>
      </c>
    </row>
    <row r="5448" spans="19:21" ht="23.25" customHeight="1" x14ac:dyDescent="0.35">
      <c r="S5448" s="56" t="str">
        <f t="shared" si="252"/>
        <v/>
      </c>
      <c r="T5448" s="57" t="str">
        <f t="shared" si="253"/>
        <v/>
      </c>
      <c r="U5448" s="58" t="str">
        <f t="shared" si="254"/>
        <v/>
      </c>
    </row>
    <row r="5449" spans="19:21" ht="23.25" customHeight="1" x14ac:dyDescent="0.35">
      <c r="S5449" s="56" t="str">
        <f t="shared" ref="S5449:S5512" si="255">IF(A5449="","",A$5-A5449)</f>
        <v/>
      </c>
      <c r="T5449" s="57" t="str">
        <f t="shared" ref="T5449:T5512" si="256">IF(S5449="","",IF(S5449&lt;4,"0-3 Days",IF(S5449&lt;31,"4-30 Days",IF(S5449&lt;61,"31-60 Days",IF(S5449&lt;=90,"61-90 Days",IF(S5449&gt;90,"Above 90 Days","0"))))))</f>
        <v/>
      </c>
      <c r="U5449" s="58" t="str">
        <f t="shared" ref="U5449:U5512" si="257">IF(C5449="","",IF(C5449&gt;0,IF(S5449&lt;30,"Normal",IF(S5449&lt;60,"Especially Mentioned",IF(S5449&lt;90,"Substandard",IF(S5449&lt;=180,"Doubtful",IF(S5449&gt;180,"Loss","0"))))),"Not Applicable"))</f>
        <v/>
      </c>
    </row>
    <row r="5450" spans="19:21" ht="23.25" customHeight="1" x14ac:dyDescent="0.35">
      <c r="S5450" s="56" t="str">
        <f t="shared" si="255"/>
        <v/>
      </c>
      <c r="T5450" s="57" t="str">
        <f t="shared" si="256"/>
        <v/>
      </c>
      <c r="U5450" s="58" t="str">
        <f t="shared" si="257"/>
        <v/>
      </c>
    </row>
    <row r="5451" spans="19:21" ht="23.25" customHeight="1" x14ac:dyDescent="0.35">
      <c r="S5451" s="56" t="str">
        <f t="shared" si="255"/>
        <v/>
      </c>
      <c r="T5451" s="57" t="str">
        <f t="shared" si="256"/>
        <v/>
      </c>
      <c r="U5451" s="58" t="str">
        <f t="shared" si="257"/>
        <v/>
      </c>
    </row>
    <row r="5452" spans="19:21" ht="23.25" customHeight="1" x14ac:dyDescent="0.35">
      <c r="S5452" s="56" t="str">
        <f t="shared" si="255"/>
        <v/>
      </c>
      <c r="T5452" s="57" t="str">
        <f t="shared" si="256"/>
        <v/>
      </c>
      <c r="U5452" s="58" t="str">
        <f t="shared" si="257"/>
        <v/>
      </c>
    </row>
    <row r="5453" spans="19:21" ht="23.25" customHeight="1" x14ac:dyDescent="0.35">
      <c r="S5453" s="56" t="str">
        <f t="shared" si="255"/>
        <v/>
      </c>
      <c r="T5453" s="57" t="str">
        <f t="shared" si="256"/>
        <v/>
      </c>
      <c r="U5453" s="58" t="str">
        <f t="shared" si="257"/>
        <v/>
      </c>
    </row>
    <row r="5454" spans="19:21" ht="23.25" customHeight="1" x14ac:dyDescent="0.35">
      <c r="S5454" s="56" t="str">
        <f t="shared" si="255"/>
        <v/>
      </c>
      <c r="T5454" s="57" t="str">
        <f t="shared" si="256"/>
        <v/>
      </c>
      <c r="U5454" s="58" t="str">
        <f t="shared" si="257"/>
        <v/>
      </c>
    </row>
    <row r="5455" spans="19:21" ht="23.25" customHeight="1" x14ac:dyDescent="0.35">
      <c r="S5455" s="56" t="str">
        <f t="shared" si="255"/>
        <v/>
      </c>
      <c r="T5455" s="57" t="str">
        <f t="shared" si="256"/>
        <v/>
      </c>
      <c r="U5455" s="58" t="str">
        <f t="shared" si="257"/>
        <v/>
      </c>
    </row>
    <row r="5456" spans="19:21" ht="23.25" customHeight="1" x14ac:dyDescent="0.35">
      <c r="S5456" s="56" t="str">
        <f t="shared" si="255"/>
        <v/>
      </c>
      <c r="T5456" s="57" t="str">
        <f t="shared" si="256"/>
        <v/>
      </c>
      <c r="U5456" s="58" t="str">
        <f t="shared" si="257"/>
        <v/>
      </c>
    </row>
    <row r="5457" spans="19:21" ht="23.25" customHeight="1" x14ac:dyDescent="0.35">
      <c r="S5457" s="56" t="str">
        <f t="shared" si="255"/>
        <v/>
      </c>
      <c r="T5457" s="57" t="str">
        <f t="shared" si="256"/>
        <v/>
      </c>
      <c r="U5457" s="58" t="str">
        <f t="shared" si="257"/>
        <v/>
      </c>
    </row>
    <row r="5458" spans="19:21" ht="23.25" customHeight="1" x14ac:dyDescent="0.35">
      <c r="S5458" s="56" t="str">
        <f t="shared" si="255"/>
        <v/>
      </c>
      <c r="T5458" s="57" t="str">
        <f t="shared" si="256"/>
        <v/>
      </c>
      <c r="U5458" s="58" t="str">
        <f t="shared" si="257"/>
        <v/>
      </c>
    </row>
    <row r="5459" spans="19:21" ht="23.25" customHeight="1" x14ac:dyDescent="0.35">
      <c r="S5459" s="56" t="str">
        <f t="shared" si="255"/>
        <v/>
      </c>
      <c r="T5459" s="57" t="str">
        <f t="shared" si="256"/>
        <v/>
      </c>
      <c r="U5459" s="58" t="str">
        <f t="shared" si="257"/>
        <v/>
      </c>
    </row>
    <row r="5460" spans="19:21" ht="23.25" customHeight="1" x14ac:dyDescent="0.35">
      <c r="S5460" s="56" t="str">
        <f t="shared" si="255"/>
        <v/>
      </c>
      <c r="T5460" s="57" t="str">
        <f t="shared" si="256"/>
        <v/>
      </c>
      <c r="U5460" s="58" t="str">
        <f t="shared" si="257"/>
        <v/>
      </c>
    </row>
    <row r="5461" spans="19:21" ht="23.25" customHeight="1" x14ac:dyDescent="0.35">
      <c r="S5461" s="56" t="str">
        <f t="shared" si="255"/>
        <v/>
      </c>
      <c r="T5461" s="57" t="str">
        <f t="shared" si="256"/>
        <v/>
      </c>
      <c r="U5461" s="58" t="str">
        <f t="shared" si="257"/>
        <v/>
      </c>
    </row>
    <row r="5462" spans="19:21" ht="23.25" customHeight="1" x14ac:dyDescent="0.35">
      <c r="S5462" s="56" t="str">
        <f t="shared" si="255"/>
        <v/>
      </c>
      <c r="T5462" s="57" t="str">
        <f t="shared" si="256"/>
        <v/>
      </c>
      <c r="U5462" s="58" t="str">
        <f t="shared" si="257"/>
        <v/>
      </c>
    </row>
    <row r="5463" spans="19:21" ht="23.25" customHeight="1" x14ac:dyDescent="0.35">
      <c r="S5463" s="56" t="str">
        <f t="shared" si="255"/>
        <v/>
      </c>
      <c r="T5463" s="57" t="str">
        <f t="shared" si="256"/>
        <v/>
      </c>
      <c r="U5463" s="58" t="str">
        <f t="shared" si="257"/>
        <v/>
      </c>
    </row>
    <row r="5464" spans="19:21" ht="23.25" customHeight="1" x14ac:dyDescent="0.35">
      <c r="S5464" s="56" t="str">
        <f t="shared" si="255"/>
        <v/>
      </c>
      <c r="T5464" s="57" t="str">
        <f t="shared" si="256"/>
        <v/>
      </c>
      <c r="U5464" s="58" t="str">
        <f t="shared" si="257"/>
        <v/>
      </c>
    </row>
    <row r="5465" spans="19:21" ht="23.25" customHeight="1" x14ac:dyDescent="0.35">
      <c r="S5465" s="56" t="str">
        <f t="shared" si="255"/>
        <v/>
      </c>
      <c r="T5465" s="57" t="str">
        <f t="shared" si="256"/>
        <v/>
      </c>
      <c r="U5465" s="58" t="str">
        <f t="shared" si="257"/>
        <v/>
      </c>
    </row>
    <row r="5466" spans="19:21" ht="23.25" customHeight="1" x14ac:dyDescent="0.35">
      <c r="S5466" s="56" t="str">
        <f t="shared" si="255"/>
        <v/>
      </c>
      <c r="T5466" s="57" t="str">
        <f t="shared" si="256"/>
        <v/>
      </c>
      <c r="U5466" s="58" t="str">
        <f t="shared" si="257"/>
        <v/>
      </c>
    </row>
    <row r="5467" spans="19:21" ht="23.25" customHeight="1" x14ac:dyDescent="0.35">
      <c r="S5467" s="56" t="str">
        <f t="shared" si="255"/>
        <v/>
      </c>
      <c r="T5467" s="57" t="str">
        <f t="shared" si="256"/>
        <v/>
      </c>
      <c r="U5467" s="58" t="str">
        <f t="shared" si="257"/>
        <v/>
      </c>
    </row>
    <row r="5468" spans="19:21" ht="23.25" customHeight="1" x14ac:dyDescent="0.35">
      <c r="S5468" s="56" t="str">
        <f t="shared" si="255"/>
        <v/>
      </c>
      <c r="T5468" s="57" t="str">
        <f t="shared" si="256"/>
        <v/>
      </c>
      <c r="U5468" s="58" t="str">
        <f t="shared" si="257"/>
        <v/>
      </c>
    </row>
    <row r="5469" spans="19:21" ht="23.25" customHeight="1" x14ac:dyDescent="0.35">
      <c r="S5469" s="56" t="str">
        <f t="shared" si="255"/>
        <v/>
      </c>
      <c r="T5469" s="57" t="str">
        <f t="shared" si="256"/>
        <v/>
      </c>
      <c r="U5469" s="58" t="str">
        <f t="shared" si="257"/>
        <v/>
      </c>
    </row>
    <row r="5470" spans="19:21" ht="23.25" customHeight="1" x14ac:dyDescent="0.35">
      <c r="S5470" s="56" t="str">
        <f t="shared" si="255"/>
        <v/>
      </c>
      <c r="T5470" s="57" t="str">
        <f t="shared" si="256"/>
        <v/>
      </c>
      <c r="U5470" s="58" t="str">
        <f t="shared" si="257"/>
        <v/>
      </c>
    </row>
    <row r="5471" spans="19:21" ht="23.25" customHeight="1" x14ac:dyDescent="0.35">
      <c r="S5471" s="56" t="str">
        <f t="shared" si="255"/>
        <v/>
      </c>
      <c r="T5471" s="57" t="str">
        <f t="shared" si="256"/>
        <v/>
      </c>
      <c r="U5471" s="58" t="str">
        <f t="shared" si="257"/>
        <v/>
      </c>
    </row>
    <row r="5472" spans="19:21" ht="23.25" customHeight="1" x14ac:dyDescent="0.35">
      <c r="S5472" s="56" t="str">
        <f t="shared" si="255"/>
        <v/>
      </c>
      <c r="T5472" s="57" t="str">
        <f t="shared" si="256"/>
        <v/>
      </c>
      <c r="U5472" s="58" t="str">
        <f t="shared" si="257"/>
        <v/>
      </c>
    </row>
    <row r="5473" spans="19:21" ht="23.25" customHeight="1" x14ac:dyDescent="0.35">
      <c r="S5473" s="56" t="str">
        <f t="shared" si="255"/>
        <v/>
      </c>
      <c r="T5473" s="57" t="str">
        <f t="shared" si="256"/>
        <v/>
      </c>
      <c r="U5473" s="58" t="str">
        <f t="shared" si="257"/>
        <v/>
      </c>
    </row>
    <row r="5474" spans="19:21" ht="23.25" customHeight="1" x14ac:dyDescent="0.35">
      <c r="S5474" s="56" t="str">
        <f t="shared" si="255"/>
        <v/>
      </c>
      <c r="T5474" s="57" t="str">
        <f t="shared" si="256"/>
        <v/>
      </c>
      <c r="U5474" s="58" t="str">
        <f t="shared" si="257"/>
        <v/>
      </c>
    </row>
    <row r="5475" spans="19:21" ht="23.25" customHeight="1" x14ac:dyDescent="0.35">
      <c r="S5475" s="56" t="str">
        <f t="shared" si="255"/>
        <v/>
      </c>
      <c r="T5475" s="57" t="str">
        <f t="shared" si="256"/>
        <v/>
      </c>
      <c r="U5475" s="58" t="str">
        <f t="shared" si="257"/>
        <v/>
      </c>
    </row>
    <row r="5476" spans="19:21" ht="23.25" customHeight="1" x14ac:dyDescent="0.35">
      <c r="S5476" s="56" t="str">
        <f t="shared" si="255"/>
        <v/>
      </c>
      <c r="T5476" s="57" t="str">
        <f t="shared" si="256"/>
        <v/>
      </c>
      <c r="U5476" s="58" t="str">
        <f t="shared" si="257"/>
        <v/>
      </c>
    </row>
    <row r="5477" spans="19:21" ht="23.25" customHeight="1" x14ac:dyDescent="0.35">
      <c r="S5477" s="56" t="str">
        <f t="shared" si="255"/>
        <v/>
      </c>
      <c r="T5477" s="57" t="str">
        <f t="shared" si="256"/>
        <v/>
      </c>
      <c r="U5477" s="58" t="str">
        <f t="shared" si="257"/>
        <v/>
      </c>
    </row>
    <row r="5478" spans="19:21" ht="23.25" customHeight="1" x14ac:dyDescent="0.35">
      <c r="S5478" s="56" t="str">
        <f t="shared" si="255"/>
        <v/>
      </c>
      <c r="T5478" s="57" t="str">
        <f t="shared" si="256"/>
        <v/>
      </c>
      <c r="U5478" s="58" t="str">
        <f t="shared" si="257"/>
        <v/>
      </c>
    </row>
    <row r="5479" spans="19:21" ht="23.25" customHeight="1" x14ac:dyDescent="0.35">
      <c r="S5479" s="56" t="str">
        <f t="shared" si="255"/>
        <v/>
      </c>
      <c r="T5479" s="57" t="str">
        <f t="shared" si="256"/>
        <v/>
      </c>
      <c r="U5479" s="58" t="str">
        <f t="shared" si="257"/>
        <v/>
      </c>
    </row>
    <row r="5480" spans="19:21" ht="23.25" customHeight="1" x14ac:dyDescent="0.35">
      <c r="S5480" s="56" t="str">
        <f t="shared" si="255"/>
        <v/>
      </c>
      <c r="T5480" s="57" t="str">
        <f t="shared" si="256"/>
        <v/>
      </c>
      <c r="U5480" s="58" t="str">
        <f t="shared" si="257"/>
        <v/>
      </c>
    </row>
    <row r="5481" spans="19:21" ht="23.25" customHeight="1" x14ac:dyDescent="0.35">
      <c r="S5481" s="56" t="str">
        <f t="shared" si="255"/>
        <v/>
      </c>
      <c r="T5481" s="57" t="str">
        <f t="shared" si="256"/>
        <v/>
      </c>
      <c r="U5481" s="58" t="str">
        <f t="shared" si="257"/>
        <v/>
      </c>
    </row>
    <row r="5482" spans="19:21" ht="23.25" customHeight="1" x14ac:dyDescent="0.35">
      <c r="S5482" s="56" t="str">
        <f t="shared" si="255"/>
        <v/>
      </c>
      <c r="T5482" s="57" t="str">
        <f t="shared" si="256"/>
        <v/>
      </c>
      <c r="U5482" s="58" t="str">
        <f t="shared" si="257"/>
        <v/>
      </c>
    </row>
    <row r="5483" spans="19:21" ht="23.25" customHeight="1" x14ac:dyDescent="0.35">
      <c r="S5483" s="56" t="str">
        <f t="shared" si="255"/>
        <v/>
      </c>
      <c r="T5483" s="57" t="str">
        <f t="shared" si="256"/>
        <v/>
      </c>
      <c r="U5483" s="58" t="str">
        <f t="shared" si="257"/>
        <v/>
      </c>
    </row>
    <row r="5484" spans="19:21" ht="23.25" customHeight="1" x14ac:dyDescent="0.35">
      <c r="S5484" s="56" t="str">
        <f t="shared" si="255"/>
        <v/>
      </c>
      <c r="T5484" s="57" t="str">
        <f t="shared" si="256"/>
        <v/>
      </c>
      <c r="U5484" s="58" t="str">
        <f t="shared" si="257"/>
        <v/>
      </c>
    </row>
    <row r="5485" spans="19:21" ht="23.25" customHeight="1" x14ac:dyDescent="0.35">
      <c r="S5485" s="56" t="str">
        <f t="shared" si="255"/>
        <v/>
      </c>
      <c r="T5485" s="57" t="str">
        <f t="shared" si="256"/>
        <v/>
      </c>
      <c r="U5485" s="58" t="str">
        <f t="shared" si="257"/>
        <v/>
      </c>
    </row>
    <row r="5486" spans="19:21" ht="23.25" customHeight="1" x14ac:dyDescent="0.35">
      <c r="S5486" s="56" t="str">
        <f t="shared" si="255"/>
        <v/>
      </c>
      <c r="T5486" s="57" t="str">
        <f t="shared" si="256"/>
        <v/>
      </c>
      <c r="U5486" s="58" t="str">
        <f t="shared" si="257"/>
        <v/>
      </c>
    </row>
    <row r="5487" spans="19:21" ht="23.25" customHeight="1" x14ac:dyDescent="0.35">
      <c r="S5487" s="56" t="str">
        <f t="shared" si="255"/>
        <v/>
      </c>
      <c r="T5487" s="57" t="str">
        <f t="shared" si="256"/>
        <v/>
      </c>
      <c r="U5487" s="58" t="str">
        <f t="shared" si="257"/>
        <v/>
      </c>
    </row>
    <row r="5488" spans="19:21" ht="23.25" customHeight="1" x14ac:dyDescent="0.35">
      <c r="S5488" s="56" t="str">
        <f t="shared" si="255"/>
        <v/>
      </c>
      <c r="T5488" s="57" t="str">
        <f t="shared" si="256"/>
        <v/>
      </c>
      <c r="U5488" s="58" t="str">
        <f t="shared" si="257"/>
        <v/>
      </c>
    </row>
    <row r="5489" spans="19:21" ht="23.25" customHeight="1" x14ac:dyDescent="0.35">
      <c r="S5489" s="56" t="str">
        <f t="shared" si="255"/>
        <v/>
      </c>
      <c r="T5489" s="57" t="str">
        <f t="shared" si="256"/>
        <v/>
      </c>
      <c r="U5489" s="58" t="str">
        <f t="shared" si="257"/>
        <v/>
      </c>
    </row>
    <row r="5490" spans="19:21" ht="23.25" customHeight="1" x14ac:dyDescent="0.35">
      <c r="S5490" s="56" t="str">
        <f t="shared" si="255"/>
        <v/>
      </c>
      <c r="T5490" s="57" t="str">
        <f t="shared" si="256"/>
        <v/>
      </c>
      <c r="U5490" s="58" t="str">
        <f t="shared" si="257"/>
        <v/>
      </c>
    </row>
    <row r="5491" spans="19:21" ht="23.25" customHeight="1" x14ac:dyDescent="0.35">
      <c r="S5491" s="56" t="str">
        <f t="shared" si="255"/>
        <v/>
      </c>
      <c r="T5491" s="57" t="str">
        <f t="shared" si="256"/>
        <v/>
      </c>
      <c r="U5491" s="58" t="str">
        <f t="shared" si="257"/>
        <v/>
      </c>
    </row>
    <row r="5492" spans="19:21" ht="23.25" customHeight="1" x14ac:dyDescent="0.35">
      <c r="S5492" s="56" t="str">
        <f t="shared" si="255"/>
        <v/>
      </c>
      <c r="T5492" s="57" t="str">
        <f t="shared" si="256"/>
        <v/>
      </c>
      <c r="U5492" s="58" t="str">
        <f t="shared" si="257"/>
        <v/>
      </c>
    </row>
    <row r="5493" spans="19:21" ht="23.25" customHeight="1" x14ac:dyDescent="0.35">
      <c r="S5493" s="56" t="str">
        <f t="shared" si="255"/>
        <v/>
      </c>
      <c r="T5493" s="57" t="str">
        <f t="shared" si="256"/>
        <v/>
      </c>
      <c r="U5493" s="58" t="str">
        <f t="shared" si="257"/>
        <v/>
      </c>
    </row>
    <row r="5494" spans="19:21" ht="23.25" customHeight="1" x14ac:dyDescent="0.35">
      <c r="S5494" s="56" t="str">
        <f t="shared" si="255"/>
        <v/>
      </c>
      <c r="T5494" s="57" t="str">
        <f t="shared" si="256"/>
        <v/>
      </c>
      <c r="U5494" s="58" t="str">
        <f t="shared" si="257"/>
        <v/>
      </c>
    </row>
    <row r="5495" spans="19:21" ht="23.25" customHeight="1" x14ac:dyDescent="0.35">
      <c r="S5495" s="56" t="str">
        <f t="shared" si="255"/>
        <v/>
      </c>
      <c r="T5495" s="57" t="str">
        <f t="shared" si="256"/>
        <v/>
      </c>
      <c r="U5495" s="58" t="str">
        <f t="shared" si="257"/>
        <v/>
      </c>
    </row>
    <row r="5496" spans="19:21" ht="23.25" customHeight="1" x14ac:dyDescent="0.35">
      <c r="S5496" s="56" t="str">
        <f t="shared" si="255"/>
        <v/>
      </c>
      <c r="T5496" s="57" t="str">
        <f t="shared" si="256"/>
        <v/>
      </c>
      <c r="U5496" s="58" t="str">
        <f t="shared" si="257"/>
        <v/>
      </c>
    </row>
    <row r="5497" spans="19:21" ht="23.25" customHeight="1" x14ac:dyDescent="0.35">
      <c r="S5497" s="56" t="str">
        <f t="shared" si="255"/>
        <v/>
      </c>
      <c r="T5497" s="57" t="str">
        <f t="shared" si="256"/>
        <v/>
      </c>
      <c r="U5497" s="58" t="str">
        <f t="shared" si="257"/>
        <v/>
      </c>
    </row>
    <row r="5498" spans="19:21" ht="23.25" customHeight="1" x14ac:dyDescent="0.35">
      <c r="S5498" s="56" t="str">
        <f t="shared" si="255"/>
        <v/>
      </c>
      <c r="T5498" s="57" t="str">
        <f t="shared" si="256"/>
        <v/>
      </c>
      <c r="U5498" s="58" t="str">
        <f t="shared" si="257"/>
        <v/>
      </c>
    </row>
    <row r="5499" spans="19:21" ht="23.25" customHeight="1" x14ac:dyDescent="0.35">
      <c r="S5499" s="56" t="str">
        <f t="shared" si="255"/>
        <v/>
      </c>
      <c r="T5499" s="57" t="str">
        <f t="shared" si="256"/>
        <v/>
      </c>
      <c r="U5499" s="58" t="str">
        <f t="shared" si="257"/>
        <v/>
      </c>
    </row>
    <row r="5500" spans="19:21" ht="23.25" customHeight="1" x14ac:dyDescent="0.35">
      <c r="S5500" s="56" t="str">
        <f t="shared" si="255"/>
        <v/>
      </c>
      <c r="T5500" s="57" t="str">
        <f t="shared" si="256"/>
        <v/>
      </c>
      <c r="U5500" s="58" t="str">
        <f t="shared" si="257"/>
        <v/>
      </c>
    </row>
    <row r="5501" spans="19:21" ht="23.25" customHeight="1" x14ac:dyDescent="0.35">
      <c r="S5501" s="56" t="str">
        <f t="shared" si="255"/>
        <v/>
      </c>
      <c r="T5501" s="57" t="str">
        <f t="shared" si="256"/>
        <v/>
      </c>
      <c r="U5501" s="58" t="str">
        <f t="shared" si="257"/>
        <v/>
      </c>
    </row>
    <row r="5502" spans="19:21" ht="23.25" customHeight="1" x14ac:dyDescent="0.35">
      <c r="S5502" s="56" t="str">
        <f t="shared" si="255"/>
        <v/>
      </c>
      <c r="T5502" s="57" t="str">
        <f t="shared" si="256"/>
        <v/>
      </c>
      <c r="U5502" s="58" t="str">
        <f t="shared" si="257"/>
        <v/>
      </c>
    </row>
    <row r="5503" spans="19:21" ht="23.25" customHeight="1" x14ac:dyDescent="0.35">
      <c r="S5503" s="56" t="str">
        <f t="shared" si="255"/>
        <v/>
      </c>
      <c r="T5503" s="57" t="str">
        <f t="shared" si="256"/>
        <v/>
      </c>
      <c r="U5503" s="58" t="str">
        <f t="shared" si="257"/>
        <v/>
      </c>
    </row>
    <row r="5504" spans="19:21" ht="23.25" customHeight="1" x14ac:dyDescent="0.35">
      <c r="S5504" s="56" t="str">
        <f t="shared" si="255"/>
        <v/>
      </c>
      <c r="T5504" s="57" t="str">
        <f t="shared" si="256"/>
        <v/>
      </c>
      <c r="U5504" s="58" t="str">
        <f t="shared" si="257"/>
        <v/>
      </c>
    </row>
    <row r="5505" spans="19:21" ht="23.25" customHeight="1" x14ac:dyDescent="0.35">
      <c r="S5505" s="56" t="str">
        <f t="shared" si="255"/>
        <v/>
      </c>
      <c r="T5505" s="57" t="str">
        <f t="shared" si="256"/>
        <v/>
      </c>
      <c r="U5505" s="58" t="str">
        <f t="shared" si="257"/>
        <v/>
      </c>
    </row>
    <row r="5506" spans="19:21" ht="23.25" customHeight="1" x14ac:dyDescent="0.35">
      <c r="S5506" s="56" t="str">
        <f t="shared" si="255"/>
        <v/>
      </c>
      <c r="T5506" s="57" t="str">
        <f t="shared" si="256"/>
        <v/>
      </c>
      <c r="U5506" s="58" t="str">
        <f t="shared" si="257"/>
        <v/>
      </c>
    </row>
    <row r="5507" spans="19:21" ht="23.25" customHeight="1" x14ac:dyDescent="0.35">
      <c r="S5507" s="56" t="str">
        <f t="shared" si="255"/>
        <v/>
      </c>
      <c r="T5507" s="57" t="str">
        <f t="shared" si="256"/>
        <v/>
      </c>
      <c r="U5507" s="58" t="str">
        <f t="shared" si="257"/>
        <v/>
      </c>
    </row>
    <row r="5508" spans="19:21" ht="23.25" customHeight="1" x14ac:dyDescent="0.35">
      <c r="S5508" s="56" t="str">
        <f t="shared" si="255"/>
        <v/>
      </c>
      <c r="T5508" s="57" t="str">
        <f t="shared" si="256"/>
        <v/>
      </c>
      <c r="U5508" s="58" t="str">
        <f t="shared" si="257"/>
        <v/>
      </c>
    </row>
    <row r="5509" spans="19:21" ht="23.25" customHeight="1" x14ac:dyDescent="0.35">
      <c r="S5509" s="56" t="str">
        <f t="shared" si="255"/>
        <v/>
      </c>
      <c r="T5509" s="57" t="str">
        <f t="shared" si="256"/>
        <v/>
      </c>
      <c r="U5509" s="58" t="str">
        <f t="shared" si="257"/>
        <v/>
      </c>
    </row>
    <row r="5510" spans="19:21" ht="23.25" customHeight="1" x14ac:dyDescent="0.35">
      <c r="S5510" s="56" t="str">
        <f t="shared" si="255"/>
        <v/>
      </c>
      <c r="T5510" s="57" t="str">
        <f t="shared" si="256"/>
        <v/>
      </c>
      <c r="U5510" s="58" t="str">
        <f t="shared" si="257"/>
        <v/>
      </c>
    </row>
    <row r="5511" spans="19:21" ht="23.25" customHeight="1" x14ac:dyDescent="0.35">
      <c r="S5511" s="56" t="str">
        <f t="shared" si="255"/>
        <v/>
      </c>
      <c r="T5511" s="57" t="str">
        <f t="shared" si="256"/>
        <v/>
      </c>
      <c r="U5511" s="58" t="str">
        <f t="shared" si="257"/>
        <v/>
      </c>
    </row>
    <row r="5512" spans="19:21" ht="23.25" customHeight="1" x14ac:dyDescent="0.35">
      <c r="S5512" s="56" t="str">
        <f t="shared" si="255"/>
        <v/>
      </c>
      <c r="T5512" s="57" t="str">
        <f t="shared" si="256"/>
        <v/>
      </c>
      <c r="U5512" s="58" t="str">
        <f t="shared" si="257"/>
        <v/>
      </c>
    </row>
    <row r="5513" spans="19:21" ht="23.25" customHeight="1" x14ac:dyDescent="0.35">
      <c r="S5513" s="56" t="str">
        <f t="shared" ref="S5513:S5576" si="258">IF(A5513="","",A$5-A5513)</f>
        <v/>
      </c>
      <c r="T5513" s="57" t="str">
        <f t="shared" ref="T5513:T5576" si="259">IF(S5513="","",IF(S5513&lt;4,"0-3 Days",IF(S5513&lt;31,"4-30 Days",IF(S5513&lt;61,"31-60 Days",IF(S5513&lt;=90,"61-90 Days",IF(S5513&gt;90,"Above 90 Days","0"))))))</f>
        <v/>
      </c>
      <c r="U5513" s="58" t="str">
        <f t="shared" ref="U5513:U5576" si="260">IF(C5513="","",IF(C5513&gt;0,IF(S5513&lt;30,"Normal",IF(S5513&lt;60,"Especially Mentioned",IF(S5513&lt;90,"Substandard",IF(S5513&lt;=180,"Doubtful",IF(S5513&gt;180,"Loss","0"))))),"Not Applicable"))</f>
        <v/>
      </c>
    </row>
    <row r="5514" spans="19:21" ht="23.25" customHeight="1" x14ac:dyDescent="0.35">
      <c r="S5514" s="56" t="str">
        <f t="shared" si="258"/>
        <v/>
      </c>
      <c r="T5514" s="57" t="str">
        <f t="shared" si="259"/>
        <v/>
      </c>
      <c r="U5514" s="58" t="str">
        <f t="shared" si="260"/>
        <v/>
      </c>
    </row>
    <row r="5515" spans="19:21" ht="23.25" customHeight="1" x14ac:dyDescent="0.35">
      <c r="S5515" s="56" t="str">
        <f t="shared" si="258"/>
        <v/>
      </c>
      <c r="T5515" s="57" t="str">
        <f t="shared" si="259"/>
        <v/>
      </c>
      <c r="U5515" s="58" t="str">
        <f t="shared" si="260"/>
        <v/>
      </c>
    </row>
    <row r="5516" spans="19:21" ht="23.25" customHeight="1" x14ac:dyDescent="0.35">
      <c r="S5516" s="56" t="str">
        <f t="shared" si="258"/>
        <v/>
      </c>
      <c r="T5516" s="57" t="str">
        <f t="shared" si="259"/>
        <v/>
      </c>
      <c r="U5516" s="58" t="str">
        <f t="shared" si="260"/>
        <v/>
      </c>
    </row>
    <row r="5517" spans="19:21" ht="23.25" customHeight="1" x14ac:dyDescent="0.35">
      <c r="S5517" s="56" t="str">
        <f t="shared" si="258"/>
        <v/>
      </c>
      <c r="T5517" s="57" t="str">
        <f t="shared" si="259"/>
        <v/>
      </c>
      <c r="U5517" s="58" t="str">
        <f t="shared" si="260"/>
        <v/>
      </c>
    </row>
    <row r="5518" spans="19:21" ht="23.25" customHeight="1" x14ac:dyDescent="0.35">
      <c r="S5518" s="56" t="str">
        <f t="shared" si="258"/>
        <v/>
      </c>
      <c r="T5518" s="57" t="str">
        <f t="shared" si="259"/>
        <v/>
      </c>
      <c r="U5518" s="58" t="str">
        <f t="shared" si="260"/>
        <v/>
      </c>
    </row>
    <row r="5519" spans="19:21" ht="23.25" customHeight="1" x14ac:dyDescent="0.35">
      <c r="S5519" s="56" t="str">
        <f t="shared" si="258"/>
        <v/>
      </c>
      <c r="T5519" s="57" t="str">
        <f t="shared" si="259"/>
        <v/>
      </c>
      <c r="U5519" s="58" t="str">
        <f t="shared" si="260"/>
        <v/>
      </c>
    </row>
    <row r="5520" spans="19:21" ht="23.25" customHeight="1" x14ac:dyDescent="0.35">
      <c r="S5520" s="56" t="str">
        <f t="shared" si="258"/>
        <v/>
      </c>
      <c r="T5520" s="57" t="str">
        <f t="shared" si="259"/>
        <v/>
      </c>
      <c r="U5520" s="58" t="str">
        <f t="shared" si="260"/>
        <v/>
      </c>
    </row>
    <row r="5521" spans="19:21" ht="23.25" customHeight="1" x14ac:dyDescent="0.35">
      <c r="S5521" s="56" t="str">
        <f t="shared" si="258"/>
        <v/>
      </c>
      <c r="T5521" s="57" t="str">
        <f t="shared" si="259"/>
        <v/>
      </c>
      <c r="U5521" s="58" t="str">
        <f t="shared" si="260"/>
        <v/>
      </c>
    </row>
    <row r="5522" spans="19:21" ht="23.25" customHeight="1" x14ac:dyDescent="0.35">
      <c r="S5522" s="56" t="str">
        <f t="shared" si="258"/>
        <v/>
      </c>
      <c r="T5522" s="57" t="str">
        <f t="shared" si="259"/>
        <v/>
      </c>
      <c r="U5522" s="58" t="str">
        <f t="shared" si="260"/>
        <v/>
      </c>
    </row>
    <row r="5523" spans="19:21" ht="23.25" customHeight="1" x14ac:dyDescent="0.35">
      <c r="S5523" s="56" t="str">
        <f t="shared" si="258"/>
        <v/>
      </c>
      <c r="T5523" s="57" t="str">
        <f t="shared" si="259"/>
        <v/>
      </c>
      <c r="U5523" s="58" t="str">
        <f t="shared" si="260"/>
        <v/>
      </c>
    </row>
    <row r="5524" spans="19:21" ht="23.25" customHeight="1" x14ac:dyDescent="0.35">
      <c r="S5524" s="56" t="str">
        <f t="shared" si="258"/>
        <v/>
      </c>
      <c r="T5524" s="57" t="str">
        <f t="shared" si="259"/>
        <v/>
      </c>
      <c r="U5524" s="58" t="str">
        <f t="shared" si="260"/>
        <v/>
      </c>
    </row>
    <row r="5525" spans="19:21" ht="23.25" customHeight="1" x14ac:dyDescent="0.35">
      <c r="S5525" s="56" t="str">
        <f t="shared" si="258"/>
        <v/>
      </c>
      <c r="T5525" s="57" t="str">
        <f t="shared" si="259"/>
        <v/>
      </c>
      <c r="U5525" s="58" t="str">
        <f t="shared" si="260"/>
        <v/>
      </c>
    </row>
    <row r="5526" spans="19:21" ht="23.25" customHeight="1" x14ac:dyDescent="0.35">
      <c r="S5526" s="56" t="str">
        <f t="shared" si="258"/>
        <v/>
      </c>
      <c r="T5526" s="57" t="str">
        <f t="shared" si="259"/>
        <v/>
      </c>
      <c r="U5526" s="58" t="str">
        <f t="shared" si="260"/>
        <v/>
      </c>
    </row>
    <row r="5527" spans="19:21" ht="23.25" customHeight="1" x14ac:dyDescent="0.35">
      <c r="S5527" s="56" t="str">
        <f t="shared" si="258"/>
        <v/>
      </c>
      <c r="T5527" s="57" t="str">
        <f t="shared" si="259"/>
        <v/>
      </c>
      <c r="U5527" s="58" t="str">
        <f t="shared" si="260"/>
        <v/>
      </c>
    </row>
    <row r="5528" spans="19:21" ht="23.25" customHeight="1" x14ac:dyDescent="0.35">
      <c r="S5528" s="56" t="str">
        <f t="shared" si="258"/>
        <v/>
      </c>
      <c r="T5528" s="57" t="str">
        <f t="shared" si="259"/>
        <v/>
      </c>
      <c r="U5528" s="58" t="str">
        <f t="shared" si="260"/>
        <v/>
      </c>
    </row>
    <row r="5529" spans="19:21" ht="23.25" customHeight="1" x14ac:dyDescent="0.35">
      <c r="S5529" s="56" t="str">
        <f t="shared" si="258"/>
        <v/>
      </c>
      <c r="T5529" s="57" t="str">
        <f t="shared" si="259"/>
        <v/>
      </c>
      <c r="U5529" s="58" t="str">
        <f t="shared" si="260"/>
        <v/>
      </c>
    </row>
    <row r="5530" spans="19:21" ht="23.25" customHeight="1" x14ac:dyDescent="0.35">
      <c r="S5530" s="56" t="str">
        <f t="shared" si="258"/>
        <v/>
      </c>
      <c r="T5530" s="57" t="str">
        <f t="shared" si="259"/>
        <v/>
      </c>
      <c r="U5530" s="58" t="str">
        <f t="shared" si="260"/>
        <v/>
      </c>
    </row>
    <row r="5531" spans="19:21" ht="23.25" customHeight="1" x14ac:dyDescent="0.35">
      <c r="S5531" s="56" t="str">
        <f t="shared" si="258"/>
        <v/>
      </c>
      <c r="T5531" s="57" t="str">
        <f t="shared" si="259"/>
        <v/>
      </c>
      <c r="U5531" s="58" t="str">
        <f t="shared" si="260"/>
        <v/>
      </c>
    </row>
    <row r="5532" spans="19:21" ht="23.25" customHeight="1" x14ac:dyDescent="0.35">
      <c r="S5532" s="56" t="str">
        <f t="shared" si="258"/>
        <v/>
      </c>
      <c r="T5532" s="57" t="str">
        <f t="shared" si="259"/>
        <v/>
      </c>
      <c r="U5532" s="58" t="str">
        <f t="shared" si="260"/>
        <v/>
      </c>
    </row>
    <row r="5533" spans="19:21" ht="23.25" customHeight="1" x14ac:dyDescent="0.35">
      <c r="S5533" s="56" t="str">
        <f t="shared" si="258"/>
        <v/>
      </c>
      <c r="T5533" s="57" t="str">
        <f t="shared" si="259"/>
        <v/>
      </c>
      <c r="U5533" s="58" t="str">
        <f t="shared" si="260"/>
        <v/>
      </c>
    </row>
    <row r="5534" spans="19:21" ht="23.25" customHeight="1" x14ac:dyDescent="0.35">
      <c r="S5534" s="56" t="str">
        <f t="shared" si="258"/>
        <v/>
      </c>
      <c r="T5534" s="57" t="str">
        <f t="shared" si="259"/>
        <v/>
      </c>
      <c r="U5534" s="58" t="str">
        <f t="shared" si="260"/>
        <v/>
      </c>
    </row>
    <row r="5535" spans="19:21" ht="23.25" customHeight="1" x14ac:dyDescent="0.35">
      <c r="S5535" s="56" t="str">
        <f t="shared" si="258"/>
        <v/>
      </c>
      <c r="T5535" s="57" t="str">
        <f t="shared" si="259"/>
        <v/>
      </c>
      <c r="U5535" s="58" t="str">
        <f t="shared" si="260"/>
        <v/>
      </c>
    </row>
    <row r="5536" spans="19:21" ht="23.25" customHeight="1" x14ac:dyDescent="0.35">
      <c r="S5536" s="56" t="str">
        <f t="shared" si="258"/>
        <v/>
      </c>
      <c r="T5536" s="57" t="str">
        <f t="shared" si="259"/>
        <v/>
      </c>
      <c r="U5536" s="58" t="str">
        <f t="shared" si="260"/>
        <v/>
      </c>
    </row>
    <row r="5537" spans="19:21" ht="23.25" customHeight="1" x14ac:dyDescent="0.35">
      <c r="S5537" s="56" t="str">
        <f t="shared" si="258"/>
        <v/>
      </c>
      <c r="T5537" s="57" t="str">
        <f t="shared" si="259"/>
        <v/>
      </c>
      <c r="U5537" s="58" t="str">
        <f t="shared" si="260"/>
        <v/>
      </c>
    </row>
    <row r="5538" spans="19:21" ht="23.25" customHeight="1" x14ac:dyDescent="0.35">
      <c r="S5538" s="56" t="str">
        <f t="shared" si="258"/>
        <v/>
      </c>
      <c r="T5538" s="57" t="str">
        <f t="shared" si="259"/>
        <v/>
      </c>
      <c r="U5538" s="58" t="str">
        <f t="shared" si="260"/>
        <v/>
      </c>
    </row>
    <row r="5539" spans="19:21" ht="23.25" customHeight="1" x14ac:dyDescent="0.35">
      <c r="S5539" s="56" t="str">
        <f t="shared" si="258"/>
        <v/>
      </c>
      <c r="T5539" s="57" t="str">
        <f t="shared" si="259"/>
        <v/>
      </c>
      <c r="U5539" s="58" t="str">
        <f t="shared" si="260"/>
        <v/>
      </c>
    </row>
    <row r="5540" spans="19:21" ht="23.25" customHeight="1" x14ac:dyDescent="0.35">
      <c r="S5540" s="56" t="str">
        <f t="shared" si="258"/>
        <v/>
      </c>
      <c r="T5540" s="57" t="str">
        <f t="shared" si="259"/>
        <v/>
      </c>
      <c r="U5540" s="58" t="str">
        <f t="shared" si="260"/>
        <v/>
      </c>
    </row>
    <row r="5541" spans="19:21" ht="23.25" customHeight="1" x14ac:dyDescent="0.35">
      <c r="S5541" s="56" t="str">
        <f t="shared" si="258"/>
        <v/>
      </c>
      <c r="T5541" s="57" t="str">
        <f t="shared" si="259"/>
        <v/>
      </c>
      <c r="U5541" s="58" t="str">
        <f t="shared" si="260"/>
        <v/>
      </c>
    </row>
    <row r="5542" spans="19:21" ht="23.25" customHeight="1" x14ac:dyDescent="0.35">
      <c r="S5542" s="56" t="str">
        <f t="shared" si="258"/>
        <v/>
      </c>
      <c r="T5542" s="57" t="str">
        <f t="shared" si="259"/>
        <v/>
      </c>
      <c r="U5542" s="58" t="str">
        <f t="shared" si="260"/>
        <v/>
      </c>
    </row>
    <row r="5543" spans="19:21" ht="23.25" customHeight="1" x14ac:dyDescent="0.35">
      <c r="S5543" s="56" t="str">
        <f t="shared" si="258"/>
        <v/>
      </c>
      <c r="T5543" s="57" t="str">
        <f t="shared" si="259"/>
        <v/>
      </c>
      <c r="U5543" s="58" t="str">
        <f t="shared" si="260"/>
        <v/>
      </c>
    </row>
    <row r="5544" spans="19:21" ht="23.25" customHeight="1" x14ac:dyDescent="0.35">
      <c r="S5544" s="56" t="str">
        <f t="shared" si="258"/>
        <v/>
      </c>
      <c r="T5544" s="57" t="str">
        <f t="shared" si="259"/>
        <v/>
      </c>
      <c r="U5544" s="58" t="str">
        <f t="shared" si="260"/>
        <v/>
      </c>
    </row>
    <row r="5545" spans="19:21" ht="23.25" customHeight="1" x14ac:dyDescent="0.35">
      <c r="S5545" s="56" t="str">
        <f t="shared" si="258"/>
        <v/>
      </c>
      <c r="T5545" s="57" t="str">
        <f t="shared" si="259"/>
        <v/>
      </c>
      <c r="U5545" s="58" t="str">
        <f t="shared" si="260"/>
        <v/>
      </c>
    </row>
    <row r="5546" spans="19:21" ht="23.25" customHeight="1" x14ac:dyDescent="0.35">
      <c r="S5546" s="56" t="str">
        <f t="shared" si="258"/>
        <v/>
      </c>
      <c r="T5546" s="57" t="str">
        <f t="shared" si="259"/>
        <v/>
      </c>
      <c r="U5546" s="58" t="str">
        <f t="shared" si="260"/>
        <v/>
      </c>
    </row>
    <row r="5547" spans="19:21" ht="23.25" customHeight="1" x14ac:dyDescent="0.35">
      <c r="S5547" s="56" t="str">
        <f t="shared" si="258"/>
        <v/>
      </c>
      <c r="T5547" s="57" t="str">
        <f t="shared" si="259"/>
        <v/>
      </c>
      <c r="U5547" s="58" t="str">
        <f t="shared" si="260"/>
        <v/>
      </c>
    </row>
    <row r="5548" spans="19:21" ht="23.25" customHeight="1" x14ac:dyDescent="0.35">
      <c r="S5548" s="56" t="str">
        <f t="shared" si="258"/>
        <v/>
      </c>
      <c r="T5548" s="57" t="str">
        <f t="shared" si="259"/>
        <v/>
      </c>
      <c r="U5548" s="58" t="str">
        <f t="shared" si="260"/>
        <v/>
      </c>
    </row>
    <row r="5549" spans="19:21" ht="23.25" customHeight="1" x14ac:dyDescent="0.35">
      <c r="S5549" s="56" t="str">
        <f t="shared" si="258"/>
        <v/>
      </c>
      <c r="T5549" s="57" t="str">
        <f t="shared" si="259"/>
        <v/>
      </c>
      <c r="U5549" s="58" t="str">
        <f t="shared" si="260"/>
        <v/>
      </c>
    </row>
    <row r="5550" spans="19:21" ht="23.25" customHeight="1" x14ac:dyDescent="0.35">
      <c r="S5550" s="56" t="str">
        <f t="shared" si="258"/>
        <v/>
      </c>
      <c r="T5550" s="57" t="str">
        <f t="shared" si="259"/>
        <v/>
      </c>
      <c r="U5550" s="58" t="str">
        <f t="shared" si="260"/>
        <v/>
      </c>
    </row>
    <row r="5551" spans="19:21" ht="23.25" customHeight="1" x14ac:dyDescent="0.35">
      <c r="S5551" s="56" t="str">
        <f t="shared" si="258"/>
        <v/>
      </c>
      <c r="T5551" s="57" t="str">
        <f t="shared" si="259"/>
        <v/>
      </c>
      <c r="U5551" s="58" t="str">
        <f t="shared" si="260"/>
        <v/>
      </c>
    </row>
    <row r="5552" spans="19:21" ht="23.25" customHeight="1" x14ac:dyDescent="0.35">
      <c r="S5552" s="56" t="str">
        <f t="shared" si="258"/>
        <v/>
      </c>
      <c r="T5552" s="57" t="str">
        <f t="shared" si="259"/>
        <v/>
      </c>
      <c r="U5552" s="58" t="str">
        <f t="shared" si="260"/>
        <v/>
      </c>
    </row>
    <row r="5553" spans="19:21" ht="23.25" customHeight="1" x14ac:dyDescent="0.35">
      <c r="S5553" s="56" t="str">
        <f t="shared" si="258"/>
        <v/>
      </c>
      <c r="T5553" s="57" t="str">
        <f t="shared" si="259"/>
        <v/>
      </c>
      <c r="U5553" s="58" t="str">
        <f t="shared" si="260"/>
        <v/>
      </c>
    </row>
    <row r="5554" spans="19:21" ht="23.25" customHeight="1" x14ac:dyDescent="0.35">
      <c r="S5554" s="56" t="str">
        <f t="shared" si="258"/>
        <v/>
      </c>
      <c r="T5554" s="57" t="str">
        <f t="shared" si="259"/>
        <v/>
      </c>
      <c r="U5554" s="58" t="str">
        <f t="shared" si="260"/>
        <v/>
      </c>
    </row>
    <row r="5555" spans="19:21" ht="23.25" customHeight="1" x14ac:dyDescent="0.35">
      <c r="S5555" s="56" t="str">
        <f t="shared" si="258"/>
        <v/>
      </c>
      <c r="T5555" s="57" t="str">
        <f t="shared" si="259"/>
        <v/>
      </c>
      <c r="U5555" s="58" t="str">
        <f t="shared" si="260"/>
        <v/>
      </c>
    </row>
    <row r="5556" spans="19:21" ht="23.25" customHeight="1" x14ac:dyDescent="0.35">
      <c r="S5556" s="56" t="str">
        <f t="shared" si="258"/>
        <v/>
      </c>
      <c r="T5556" s="57" t="str">
        <f t="shared" si="259"/>
        <v/>
      </c>
      <c r="U5556" s="58" t="str">
        <f t="shared" si="260"/>
        <v/>
      </c>
    </row>
    <row r="5557" spans="19:21" ht="23.25" customHeight="1" x14ac:dyDescent="0.35">
      <c r="S5557" s="56" t="str">
        <f t="shared" si="258"/>
        <v/>
      </c>
      <c r="T5557" s="57" t="str">
        <f t="shared" si="259"/>
        <v/>
      </c>
      <c r="U5557" s="58" t="str">
        <f t="shared" si="260"/>
        <v/>
      </c>
    </row>
    <row r="5558" spans="19:21" ht="23.25" customHeight="1" x14ac:dyDescent="0.35">
      <c r="S5558" s="56" t="str">
        <f t="shared" si="258"/>
        <v/>
      </c>
      <c r="T5558" s="57" t="str">
        <f t="shared" si="259"/>
        <v/>
      </c>
      <c r="U5558" s="58" t="str">
        <f t="shared" si="260"/>
        <v/>
      </c>
    </row>
    <row r="5559" spans="19:21" ht="23.25" customHeight="1" x14ac:dyDescent="0.35">
      <c r="S5559" s="56" t="str">
        <f t="shared" si="258"/>
        <v/>
      </c>
      <c r="T5559" s="57" t="str">
        <f t="shared" si="259"/>
        <v/>
      </c>
      <c r="U5559" s="58" t="str">
        <f t="shared" si="260"/>
        <v/>
      </c>
    </row>
    <row r="5560" spans="19:21" ht="23.25" customHeight="1" x14ac:dyDescent="0.35">
      <c r="S5560" s="56" t="str">
        <f t="shared" si="258"/>
        <v/>
      </c>
      <c r="T5560" s="57" t="str">
        <f t="shared" si="259"/>
        <v/>
      </c>
      <c r="U5560" s="58" t="str">
        <f t="shared" si="260"/>
        <v/>
      </c>
    </row>
    <row r="5561" spans="19:21" ht="23.25" customHeight="1" x14ac:dyDescent="0.35">
      <c r="S5561" s="56" t="str">
        <f t="shared" si="258"/>
        <v/>
      </c>
      <c r="T5561" s="57" t="str">
        <f t="shared" si="259"/>
        <v/>
      </c>
      <c r="U5561" s="58" t="str">
        <f t="shared" si="260"/>
        <v/>
      </c>
    </row>
    <row r="5562" spans="19:21" ht="23.25" customHeight="1" x14ac:dyDescent="0.35">
      <c r="S5562" s="56" t="str">
        <f t="shared" si="258"/>
        <v/>
      </c>
      <c r="T5562" s="57" t="str">
        <f t="shared" si="259"/>
        <v/>
      </c>
      <c r="U5562" s="58" t="str">
        <f t="shared" si="260"/>
        <v/>
      </c>
    </row>
    <row r="5563" spans="19:21" ht="23.25" customHeight="1" x14ac:dyDescent="0.35">
      <c r="S5563" s="56" t="str">
        <f t="shared" si="258"/>
        <v/>
      </c>
      <c r="T5563" s="57" t="str">
        <f t="shared" si="259"/>
        <v/>
      </c>
      <c r="U5563" s="58" t="str">
        <f t="shared" si="260"/>
        <v/>
      </c>
    </row>
    <row r="5564" spans="19:21" ht="23.25" customHeight="1" x14ac:dyDescent="0.35">
      <c r="S5564" s="56" t="str">
        <f t="shared" si="258"/>
        <v/>
      </c>
      <c r="T5564" s="57" t="str">
        <f t="shared" si="259"/>
        <v/>
      </c>
      <c r="U5564" s="58" t="str">
        <f t="shared" si="260"/>
        <v/>
      </c>
    </row>
    <row r="5565" spans="19:21" ht="23.25" customHeight="1" x14ac:dyDescent="0.35">
      <c r="S5565" s="56" t="str">
        <f t="shared" si="258"/>
        <v/>
      </c>
      <c r="T5565" s="57" t="str">
        <f t="shared" si="259"/>
        <v/>
      </c>
      <c r="U5565" s="58" t="str">
        <f t="shared" si="260"/>
        <v/>
      </c>
    </row>
    <row r="5566" spans="19:21" ht="23.25" customHeight="1" x14ac:dyDescent="0.35">
      <c r="S5566" s="56" t="str">
        <f t="shared" si="258"/>
        <v/>
      </c>
      <c r="T5566" s="57" t="str">
        <f t="shared" si="259"/>
        <v/>
      </c>
      <c r="U5566" s="58" t="str">
        <f t="shared" si="260"/>
        <v/>
      </c>
    </row>
    <row r="5567" spans="19:21" ht="23.25" customHeight="1" x14ac:dyDescent="0.35">
      <c r="S5567" s="56" t="str">
        <f t="shared" si="258"/>
        <v/>
      </c>
      <c r="T5567" s="57" t="str">
        <f t="shared" si="259"/>
        <v/>
      </c>
      <c r="U5567" s="58" t="str">
        <f t="shared" si="260"/>
        <v/>
      </c>
    </row>
    <row r="5568" spans="19:21" ht="23.25" customHeight="1" x14ac:dyDescent="0.35">
      <c r="S5568" s="56" t="str">
        <f t="shared" si="258"/>
        <v/>
      </c>
      <c r="T5568" s="57" t="str">
        <f t="shared" si="259"/>
        <v/>
      </c>
      <c r="U5568" s="58" t="str">
        <f t="shared" si="260"/>
        <v/>
      </c>
    </row>
    <row r="5569" spans="19:21" ht="23.25" customHeight="1" x14ac:dyDescent="0.35">
      <c r="S5569" s="56" t="str">
        <f t="shared" si="258"/>
        <v/>
      </c>
      <c r="T5569" s="57" t="str">
        <f t="shared" si="259"/>
        <v/>
      </c>
      <c r="U5569" s="58" t="str">
        <f t="shared" si="260"/>
        <v/>
      </c>
    </row>
    <row r="5570" spans="19:21" ht="23.25" customHeight="1" x14ac:dyDescent="0.35">
      <c r="S5570" s="56" t="str">
        <f t="shared" si="258"/>
        <v/>
      </c>
      <c r="T5570" s="57" t="str">
        <f t="shared" si="259"/>
        <v/>
      </c>
      <c r="U5570" s="58" t="str">
        <f t="shared" si="260"/>
        <v/>
      </c>
    </row>
    <row r="5571" spans="19:21" ht="23.25" customHeight="1" x14ac:dyDescent="0.35">
      <c r="S5571" s="56" t="str">
        <f t="shared" si="258"/>
        <v/>
      </c>
      <c r="T5571" s="57" t="str">
        <f t="shared" si="259"/>
        <v/>
      </c>
      <c r="U5571" s="58" t="str">
        <f t="shared" si="260"/>
        <v/>
      </c>
    </row>
    <row r="5572" spans="19:21" ht="23.25" customHeight="1" x14ac:dyDescent="0.35">
      <c r="S5572" s="56" t="str">
        <f t="shared" si="258"/>
        <v/>
      </c>
      <c r="T5572" s="57" t="str">
        <f t="shared" si="259"/>
        <v/>
      </c>
      <c r="U5572" s="58" t="str">
        <f t="shared" si="260"/>
        <v/>
      </c>
    </row>
    <row r="5573" spans="19:21" ht="23.25" customHeight="1" x14ac:dyDescent="0.35">
      <c r="S5573" s="56" t="str">
        <f t="shared" si="258"/>
        <v/>
      </c>
      <c r="T5573" s="57" t="str">
        <f t="shared" si="259"/>
        <v/>
      </c>
      <c r="U5573" s="58" t="str">
        <f t="shared" si="260"/>
        <v/>
      </c>
    </row>
    <row r="5574" spans="19:21" ht="23.25" customHeight="1" x14ac:dyDescent="0.35">
      <c r="S5574" s="56" t="str">
        <f t="shared" si="258"/>
        <v/>
      </c>
      <c r="T5574" s="57" t="str">
        <f t="shared" si="259"/>
        <v/>
      </c>
      <c r="U5574" s="58" t="str">
        <f t="shared" si="260"/>
        <v/>
      </c>
    </row>
    <row r="5575" spans="19:21" ht="23.25" customHeight="1" x14ac:dyDescent="0.35">
      <c r="S5575" s="56" t="str">
        <f t="shared" si="258"/>
        <v/>
      </c>
      <c r="T5575" s="57" t="str">
        <f t="shared" si="259"/>
        <v/>
      </c>
      <c r="U5575" s="58" t="str">
        <f t="shared" si="260"/>
        <v/>
      </c>
    </row>
    <row r="5576" spans="19:21" ht="23.25" customHeight="1" x14ac:dyDescent="0.35">
      <c r="S5576" s="56" t="str">
        <f t="shared" si="258"/>
        <v/>
      </c>
      <c r="T5576" s="57" t="str">
        <f t="shared" si="259"/>
        <v/>
      </c>
      <c r="U5576" s="58" t="str">
        <f t="shared" si="260"/>
        <v/>
      </c>
    </row>
    <row r="5577" spans="19:21" ht="23.25" customHeight="1" x14ac:dyDescent="0.35">
      <c r="S5577" s="56" t="str">
        <f t="shared" ref="S5577:S5640" si="261">IF(A5577="","",A$5-A5577)</f>
        <v/>
      </c>
      <c r="T5577" s="57" t="str">
        <f t="shared" ref="T5577:T5640" si="262">IF(S5577="","",IF(S5577&lt;4,"0-3 Days",IF(S5577&lt;31,"4-30 Days",IF(S5577&lt;61,"31-60 Days",IF(S5577&lt;=90,"61-90 Days",IF(S5577&gt;90,"Above 90 Days","0"))))))</f>
        <v/>
      </c>
      <c r="U5577" s="58" t="str">
        <f t="shared" ref="U5577:U5640" si="263">IF(C5577="","",IF(C5577&gt;0,IF(S5577&lt;30,"Normal",IF(S5577&lt;60,"Especially Mentioned",IF(S5577&lt;90,"Substandard",IF(S5577&lt;=180,"Doubtful",IF(S5577&gt;180,"Loss","0"))))),"Not Applicable"))</f>
        <v/>
      </c>
    </row>
    <row r="5578" spans="19:21" ht="23.25" customHeight="1" x14ac:dyDescent="0.35">
      <c r="S5578" s="56" t="str">
        <f t="shared" si="261"/>
        <v/>
      </c>
      <c r="T5578" s="57" t="str">
        <f t="shared" si="262"/>
        <v/>
      </c>
      <c r="U5578" s="58" t="str">
        <f t="shared" si="263"/>
        <v/>
      </c>
    </row>
    <row r="5579" spans="19:21" ht="23.25" customHeight="1" x14ac:dyDescent="0.35">
      <c r="S5579" s="56" t="str">
        <f t="shared" si="261"/>
        <v/>
      </c>
      <c r="T5579" s="57" t="str">
        <f t="shared" si="262"/>
        <v/>
      </c>
      <c r="U5579" s="58" t="str">
        <f t="shared" si="263"/>
        <v/>
      </c>
    </row>
    <row r="5580" spans="19:21" ht="23.25" customHeight="1" x14ac:dyDescent="0.35">
      <c r="S5580" s="56" t="str">
        <f t="shared" si="261"/>
        <v/>
      </c>
      <c r="T5580" s="57" t="str">
        <f t="shared" si="262"/>
        <v/>
      </c>
      <c r="U5580" s="58" t="str">
        <f t="shared" si="263"/>
        <v/>
      </c>
    </row>
    <row r="5581" spans="19:21" ht="23.25" customHeight="1" x14ac:dyDescent="0.35">
      <c r="S5581" s="56" t="str">
        <f t="shared" si="261"/>
        <v/>
      </c>
      <c r="T5581" s="57" t="str">
        <f t="shared" si="262"/>
        <v/>
      </c>
      <c r="U5581" s="58" t="str">
        <f t="shared" si="263"/>
        <v/>
      </c>
    </row>
    <row r="5582" spans="19:21" ht="23.25" customHeight="1" x14ac:dyDescent="0.35">
      <c r="S5582" s="56" t="str">
        <f t="shared" si="261"/>
        <v/>
      </c>
      <c r="T5582" s="57" t="str">
        <f t="shared" si="262"/>
        <v/>
      </c>
      <c r="U5582" s="58" t="str">
        <f t="shared" si="263"/>
        <v/>
      </c>
    </row>
    <row r="5583" spans="19:21" ht="23.25" customHeight="1" x14ac:dyDescent="0.35">
      <c r="S5583" s="56" t="str">
        <f t="shared" si="261"/>
        <v/>
      </c>
      <c r="T5583" s="57" t="str">
        <f t="shared" si="262"/>
        <v/>
      </c>
      <c r="U5583" s="58" t="str">
        <f t="shared" si="263"/>
        <v/>
      </c>
    </row>
    <row r="5584" spans="19:21" ht="23.25" customHeight="1" x14ac:dyDescent="0.35">
      <c r="S5584" s="56" t="str">
        <f t="shared" si="261"/>
        <v/>
      </c>
      <c r="T5584" s="57" t="str">
        <f t="shared" si="262"/>
        <v/>
      </c>
      <c r="U5584" s="58" t="str">
        <f t="shared" si="263"/>
        <v/>
      </c>
    </row>
    <row r="5585" spans="19:21" ht="23.25" customHeight="1" x14ac:dyDescent="0.35">
      <c r="S5585" s="56" t="str">
        <f t="shared" si="261"/>
        <v/>
      </c>
      <c r="T5585" s="57" t="str">
        <f t="shared" si="262"/>
        <v/>
      </c>
      <c r="U5585" s="58" t="str">
        <f t="shared" si="263"/>
        <v/>
      </c>
    </row>
    <row r="5586" spans="19:21" ht="23.25" customHeight="1" x14ac:dyDescent="0.35">
      <c r="S5586" s="56" t="str">
        <f t="shared" si="261"/>
        <v/>
      </c>
      <c r="T5586" s="57" t="str">
        <f t="shared" si="262"/>
        <v/>
      </c>
      <c r="U5586" s="58" t="str">
        <f t="shared" si="263"/>
        <v/>
      </c>
    </row>
    <row r="5587" spans="19:21" ht="23.25" customHeight="1" x14ac:dyDescent="0.35">
      <c r="S5587" s="56" t="str">
        <f t="shared" si="261"/>
        <v/>
      </c>
      <c r="T5587" s="57" t="str">
        <f t="shared" si="262"/>
        <v/>
      </c>
      <c r="U5587" s="58" t="str">
        <f t="shared" si="263"/>
        <v/>
      </c>
    </row>
    <row r="5588" spans="19:21" ht="23.25" customHeight="1" x14ac:dyDescent="0.35">
      <c r="S5588" s="56" t="str">
        <f t="shared" si="261"/>
        <v/>
      </c>
      <c r="T5588" s="57" t="str">
        <f t="shared" si="262"/>
        <v/>
      </c>
      <c r="U5588" s="58" t="str">
        <f t="shared" si="263"/>
        <v/>
      </c>
    </row>
    <row r="5589" spans="19:21" ht="23.25" customHeight="1" x14ac:dyDescent="0.35">
      <c r="S5589" s="56" t="str">
        <f t="shared" si="261"/>
        <v/>
      </c>
      <c r="T5589" s="57" t="str">
        <f t="shared" si="262"/>
        <v/>
      </c>
      <c r="U5589" s="58" t="str">
        <f t="shared" si="263"/>
        <v/>
      </c>
    </row>
    <row r="5590" spans="19:21" ht="23.25" customHeight="1" x14ac:dyDescent="0.35">
      <c r="S5590" s="56" t="str">
        <f t="shared" si="261"/>
        <v/>
      </c>
      <c r="T5590" s="57" t="str">
        <f t="shared" si="262"/>
        <v/>
      </c>
      <c r="U5590" s="58" t="str">
        <f t="shared" si="263"/>
        <v/>
      </c>
    </row>
    <row r="5591" spans="19:21" ht="23.25" customHeight="1" x14ac:dyDescent="0.35">
      <c r="S5591" s="56" t="str">
        <f t="shared" si="261"/>
        <v/>
      </c>
      <c r="T5591" s="57" t="str">
        <f t="shared" si="262"/>
        <v/>
      </c>
      <c r="U5591" s="58" t="str">
        <f t="shared" si="263"/>
        <v/>
      </c>
    </row>
    <row r="5592" spans="19:21" ht="23.25" customHeight="1" x14ac:dyDescent="0.35">
      <c r="S5592" s="56" t="str">
        <f t="shared" si="261"/>
        <v/>
      </c>
      <c r="T5592" s="57" t="str">
        <f t="shared" si="262"/>
        <v/>
      </c>
      <c r="U5592" s="58" t="str">
        <f t="shared" si="263"/>
        <v/>
      </c>
    </row>
    <row r="5593" spans="19:21" ht="23.25" customHeight="1" x14ac:dyDescent="0.35">
      <c r="S5593" s="56" t="str">
        <f t="shared" si="261"/>
        <v/>
      </c>
      <c r="T5593" s="57" t="str">
        <f t="shared" si="262"/>
        <v/>
      </c>
      <c r="U5593" s="58" t="str">
        <f t="shared" si="263"/>
        <v/>
      </c>
    </row>
    <row r="5594" spans="19:21" ht="23.25" customHeight="1" x14ac:dyDescent="0.35">
      <c r="S5594" s="56" t="str">
        <f t="shared" si="261"/>
        <v/>
      </c>
      <c r="T5594" s="57" t="str">
        <f t="shared" si="262"/>
        <v/>
      </c>
      <c r="U5594" s="58" t="str">
        <f t="shared" si="263"/>
        <v/>
      </c>
    </row>
    <row r="5595" spans="19:21" ht="23.25" customHeight="1" x14ac:dyDescent="0.35">
      <c r="S5595" s="56" t="str">
        <f t="shared" si="261"/>
        <v/>
      </c>
      <c r="T5595" s="57" t="str">
        <f t="shared" si="262"/>
        <v/>
      </c>
      <c r="U5595" s="58" t="str">
        <f t="shared" si="263"/>
        <v/>
      </c>
    </row>
    <row r="5596" spans="19:21" ht="23.25" customHeight="1" x14ac:dyDescent="0.35">
      <c r="S5596" s="56" t="str">
        <f t="shared" si="261"/>
        <v/>
      </c>
      <c r="T5596" s="57" t="str">
        <f t="shared" si="262"/>
        <v/>
      </c>
      <c r="U5596" s="58" t="str">
        <f t="shared" si="263"/>
        <v/>
      </c>
    </row>
    <row r="5597" spans="19:21" ht="23.25" customHeight="1" x14ac:dyDescent="0.35">
      <c r="S5597" s="56" t="str">
        <f t="shared" si="261"/>
        <v/>
      </c>
      <c r="T5597" s="57" t="str">
        <f t="shared" si="262"/>
        <v/>
      </c>
      <c r="U5597" s="58" t="str">
        <f t="shared" si="263"/>
        <v/>
      </c>
    </row>
    <row r="5598" spans="19:21" ht="23.25" customHeight="1" x14ac:dyDescent="0.35">
      <c r="S5598" s="56" t="str">
        <f t="shared" si="261"/>
        <v/>
      </c>
      <c r="T5598" s="57" t="str">
        <f t="shared" si="262"/>
        <v/>
      </c>
      <c r="U5598" s="58" t="str">
        <f t="shared" si="263"/>
        <v/>
      </c>
    </row>
    <row r="5599" spans="19:21" ht="23.25" customHeight="1" x14ac:dyDescent="0.35">
      <c r="S5599" s="56" t="str">
        <f t="shared" si="261"/>
        <v/>
      </c>
      <c r="T5599" s="57" t="str">
        <f t="shared" si="262"/>
        <v/>
      </c>
      <c r="U5599" s="58" t="str">
        <f t="shared" si="263"/>
        <v/>
      </c>
    </row>
    <row r="5600" spans="19:21" ht="23.25" customHeight="1" x14ac:dyDescent="0.35">
      <c r="S5600" s="56" t="str">
        <f t="shared" si="261"/>
        <v/>
      </c>
      <c r="T5600" s="57" t="str">
        <f t="shared" si="262"/>
        <v/>
      </c>
      <c r="U5600" s="58" t="str">
        <f t="shared" si="263"/>
        <v/>
      </c>
    </row>
    <row r="5601" spans="19:21" ht="23.25" customHeight="1" x14ac:dyDescent="0.35">
      <c r="S5601" s="56" t="str">
        <f t="shared" si="261"/>
        <v/>
      </c>
      <c r="T5601" s="57" t="str">
        <f t="shared" si="262"/>
        <v/>
      </c>
      <c r="U5601" s="58" t="str">
        <f t="shared" si="263"/>
        <v/>
      </c>
    </row>
    <row r="5602" spans="19:21" ht="23.25" customHeight="1" x14ac:dyDescent="0.35">
      <c r="S5602" s="56" t="str">
        <f t="shared" si="261"/>
        <v/>
      </c>
      <c r="T5602" s="57" t="str">
        <f t="shared" si="262"/>
        <v/>
      </c>
      <c r="U5602" s="58" t="str">
        <f t="shared" si="263"/>
        <v/>
      </c>
    </row>
    <row r="5603" spans="19:21" ht="23.25" customHeight="1" x14ac:dyDescent="0.35">
      <c r="S5603" s="56" t="str">
        <f t="shared" si="261"/>
        <v/>
      </c>
      <c r="T5603" s="57" t="str">
        <f t="shared" si="262"/>
        <v/>
      </c>
      <c r="U5603" s="58" t="str">
        <f t="shared" si="263"/>
        <v/>
      </c>
    </row>
    <row r="5604" spans="19:21" ht="23.25" customHeight="1" x14ac:dyDescent="0.35">
      <c r="S5604" s="56" t="str">
        <f t="shared" si="261"/>
        <v/>
      </c>
      <c r="T5604" s="57" t="str">
        <f t="shared" si="262"/>
        <v/>
      </c>
      <c r="U5604" s="58" t="str">
        <f t="shared" si="263"/>
        <v/>
      </c>
    </row>
    <row r="5605" spans="19:21" ht="23.25" customHeight="1" x14ac:dyDescent="0.35">
      <c r="S5605" s="56" t="str">
        <f t="shared" si="261"/>
        <v/>
      </c>
      <c r="T5605" s="57" t="str">
        <f t="shared" si="262"/>
        <v/>
      </c>
      <c r="U5605" s="58" t="str">
        <f t="shared" si="263"/>
        <v/>
      </c>
    </row>
    <row r="5606" spans="19:21" ht="23.25" customHeight="1" x14ac:dyDescent="0.35">
      <c r="S5606" s="56" t="str">
        <f t="shared" si="261"/>
        <v/>
      </c>
      <c r="T5606" s="57" t="str">
        <f t="shared" si="262"/>
        <v/>
      </c>
      <c r="U5606" s="58" t="str">
        <f t="shared" si="263"/>
        <v/>
      </c>
    </row>
    <row r="5607" spans="19:21" ht="23.25" customHeight="1" x14ac:dyDescent="0.35">
      <c r="S5607" s="56" t="str">
        <f t="shared" si="261"/>
        <v/>
      </c>
      <c r="T5607" s="57" t="str">
        <f t="shared" si="262"/>
        <v/>
      </c>
      <c r="U5607" s="58" t="str">
        <f t="shared" si="263"/>
        <v/>
      </c>
    </row>
    <row r="5608" spans="19:21" ht="23.25" customHeight="1" x14ac:dyDescent="0.35">
      <c r="S5608" s="56" t="str">
        <f t="shared" si="261"/>
        <v/>
      </c>
      <c r="T5608" s="57" t="str">
        <f t="shared" si="262"/>
        <v/>
      </c>
      <c r="U5608" s="58" t="str">
        <f t="shared" si="263"/>
        <v/>
      </c>
    </row>
    <row r="5609" spans="19:21" ht="23.25" customHeight="1" x14ac:dyDescent="0.35">
      <c r="S5609" s="56" t="str">
        <f t="shared" si="261"/>
        <v/>
      </c>
      <c r="T5609" s="57" t="str">
        <f t="shared" si="262"/>
        <v/>
      </c>
      <c r="U5609" s="58" t="str">
        <f t="shared" si="263"/>
        <v/>
      </c>
    </row>
    <row r="5610" spans="19:21" ht="23.25" customHeight="1" x14ac:dyDescent="0.35">
      <c r="S5610" s="56" t="str">
        <f t="shared" si="261"/>
        <v/>
      </c>
      <c r="T5610" s="57" t="str">
        <f t="shared" si="262"/>
        <v/>
      </c>
      <c r="U5610" s="58" t="str">
        <f t="shared" si="263"/>
        <v/>
      </c>
    </row>
    <row r="5611" spans="19:21" ht="23.25" customHeight="1" x14ac:dyDescent="0.35">
      <c r="S5611" s="56" t="str">
        <f t="shared" si="261"/>
        <v/>
      </c>
      <c r="T5611" s="57" t="str">
        <f t="shared" si="262"/>
        <v/>
      </c>
      <c r="U5611" s="58" t="str">
        <f t="shared" si="263"/>
        <v/>
      </c>
    </row>
    <row r="5612" spans="19:21" ht="23.25" customHeight="1" x14ac:dyDescent="0.35">
      <c r="S5612" s="56" t="str">
        <f t="shared" si="261"/>
        <v/>
      </c>
      <c r="T5612" s="57" t="str">
        <f t="shared" si="262"/>
        <v/>
      </c>
      <c r="U5612" s="58" t="str">
        <f t="shared" si="263"/>
        <v/>
      </c>
    </row>
    <row r="5613" spans="19:21" ht="23.25" customHeight="1" x14ac:dyDescent="0.35">
      <c r="S5613" s="56" t="str">
        <f t="shared" si="261"/>
        <v/>
      </c>
      <c r="T5613" s="57" t="str">
        <f t="shared" si="262"/>
        <v/>
      </c>
      <c r="U5613" s="58" t="str">
        <f t="shared" si="263"/>
        <v/>
      </c>
    </row>
    <row r="5614" spans="19:21" ht="23.25" customHeight="1" x14ac:dyDescent="0.35">
      <c r="S5614" s="56" t="str">
        <f t="shared" si="261"/>
        <v/>
      </c>
      <c r="T5614" s="57" t="str">
        <f t="shared" si="262"/>
        <v/>
      </c>
      <c r="U5614" s="58" t="str">
        <f t="shared" si="263"/>
        <v/>
      </c>
    </row>
    <row r="5615" spans="19:21" ht="23.25" customHeight="1" x14ac:dyDescent="0.35">
      <c r="S5615" s="56" t="str">
        <f t="shared" si="261"/>
        <v/>
      </c>
      <c r="T5615" s="57" t="str">
        <f t="shared" si="262"/>
        <v/>
      </c>
      <c r="U5615" s="58" t="str">
        <f t="shared" si="263"/>
        <v/>
      </c>
    </row>
    <row r="5616" spans="19:21" ht="23.25" customHeight="1" x14ac:dyDescent="0.35">
      <c r="S5616" s="56" t="str">
        <f t="shared" si="261"/>
        <v/>
      </c>
      <c r="T5616" s="57" t="str">
        <f t="shared" si="262"/>
        <v/>
      </c>
      <c r="U5616" s="58" t="str">
        <f t="shared" si="263"/>
        <v/>
      </c>
    </row>
    <row r="5617" spans="19:21" ht="23.25" customHeight="1" x14ac:dyDescent="0.35">
      <c r="S5617" s="56" t="str">
        <f t="shared" si="261"/>
        <v/>
      </c>
      <c r="T5617" s="57" t="str">
        <f t="shared" si="262"/>
        <v/>
      </c>
      <c r="U5617" s="58" t="str">
        <f t="shared" si="263"/>
        <v/>
      </c>
    </row>
    <row r="5618" spans="19:21" ht="23.25" customHeight="1" x14ac:dyDescent="0.35">
      <c r="S5618" s="56" t="str">
        <f t="shared" si="261"/>
        <v/>
      </c>
      <c r="T5618" s="57" t="str">
        <f t="shared" si="262"/>
        <v/>
      </c>
      <c r="U5618" s="58" t="str">
        <f t="shared" si="263"/>
        <v/>
      </c>
    </row>
    <row r="5619" spans="19:21" ht="23.25" customHeight="1" x14ac:dyDescent="0.35">
      <c r="S5619" s="56" t="str">
        <f t="shared" si="261"/>
        <v/>
      </c>
      <c r="T5619" s="57" t="str">
        <f t="shared" si="262"/>
        <v/>
      </c>
      <c r="U5619" s="58" t="str">
        <f t="shared" si="263"/>
        <v/>
      </c>
    </row>
    <row r="5620" spans="19:21" ht="23.25" customHeight="1" x14ac:dyDescent="0.35">
      <c r="S5620" s="56" t="str">
        <f t="shared" si="261"/>
        <v/>
      </c>
      <c r="T5620" s="57" t="str">
        <f t="shared" si="262"/>
        <v/>
      </c>
      <c r="U5620" s="58" t="str">
        <f t="shared" si="263"/>
        <v/>
      </c>
    </row>
    <row r="5621" spans="19:21" ht="23.25" customHeight="1" x14ac:dyDescent="0.35">
      <c r="S5621" s="56" t="str">
        <f t="shared" si="261"/>
        <v/>
      </c>
      <c r="T5621" s="57" t="str">
        <f t="shared" si="262"/>
        <v/>
      </c>
      <c r="U5621" s="58" t="str">
        <f t="shared" si="263"/>
        <v/>
      </c>
    </row>
    <row r="5622" spans="19:21" ht="23.25" customHeight="1" x14ac:dyDescent="0.35">
      <c r="S5622" s="56" t="str">
        <f t="shared" si="261"/>
        <v/>
      </c>
      <c r="T5622" s="57" t="str">
        <f t="shared" si="262"/>
        <v/>
      </c>
      <c r="U5622" s="58" t="str">
        <f t="shared" si="263"/>
        <v/>
      </c>
    </row>
    <row r="5623" spans="19:21" ht="23.25" customHeight="1" x14ac:dyDescent="0.35">
      <c r="S5623" s="56" t="str">
        <f t="shared" si="261"/>
        <v/>
      </c>
      <c r="T5623" s="57" t="str">
        <f t="shared" si="262"/>
        <v/>
      </c>
      <c r="U5623" s="58" t="str">
        <f t="shared" si="263"/>
        <v/>
      </c>
    </row>
    <row r="5624" spans="19:21" ht="23.25" customHeight="1" x14ac:dyDescent="0.35">
      <c r="S5624" s="56" t="str">
        <f t="shared" si="261"/>
        <v/>
      </c>
      <c r="T5624" s="57" t="str">
        <f t="shared" si="262"/>
        <v/>
      </c>
      <c r="U5624" s="58" t="str">
        <f t="shared" si="263"/>
        <v/>
      </c>
    </row>
    <row r="5625" spans="19:21" ht="23.25" customHeight="1" x14ac:dyDescent="0.35">
      <c r="S5625" s="56" t="str">
        <f t="shared" si="261"/>
        <v/>
      </c>
      <c r="T5625" s="57" t="str">
        <f t="shared" si="262"/>
        <v/>
      </c>
      <c r="U5625" s="58" t="str">
        <f t="shared" si="263"/>
        <v/>
      </c>
    </row>
    <row r="5626" spans="19:21" ht="23.25" customHeight="1" x14ac:dyDescent="0.35">
      <c r="S5626" s="56" t="str">
        <f t="shared" si="261"/>
        <v/>
      </c>
      <c r="T5626" s="57" t="str">
        <f t="shared" si="262"/>
        <v/>
      </c>
      <c r="U5626" s="58" t="str">
        <f t="shared" si="263"/>
        <v/>
      </c>
    </row>
    <row r="5627" spans="19:21" ht="23.25" customHeight="1" x14ac:dyDescent="0.35">
      <c r="S5627" s="56" t="str">
        <f t="shared" si="261"/>
        <v/>
      </c>
      <c r="T5627" s="57" t="str">
        <f t="shared" si="262"/>
        <v/>
      </c>
      <c r="U5627" s="58" t="str">
        <f t="shared" si="263"/>
        <v/>
      </c>
    </row>
    <row r="5628" spans="19:21" ht="23.25" customHeight="1" x14ac:dyDescent="0.35">
      <c r="S5628" s="56" t="str">
        <f t="shared" si="261"/>
        <v/>
      </c>
      <c r="T5628" s="57" t="str">
        <f t="shared" si="262"/>
        <v/>
      </c>
      <c r="U5628" s="58" t="str">
        <f t="shared" si="263"/>
        <v/>
      </c>
    </row>
    <row r="5629" spans="19:21" ht="23.25" customHeight="1" x14ac:dyDescent="0.35">
      <c r="S5629" s="56" t="str">
        <f t="shared" si="261"/>
        <v/>
      </c>
      <c r="T5629" s="57" t="str">
        <f t="shared" si="262"/>
        <v/>
      </c>
      <c r="U5629" s="58" t="str">
        <f t="shared" si="263"/>
        <v/>
      </c>
    </row>
    <row r="5630" spans="19:21" ht="23.25" customHeight="1" x14ac:dyDescent="0.35">
      <c r="S5630" s="56" t="str">
        <f t="shared" si="261"/>
        <v/>
      </c>
      <c r="T5630" s="57" t="str">
        <f t="shared" si="262"/>
        <v/>
      </c>
      <c r="U5630" s="58" t="str">
        <f t="shared" si="263"/>
        <v/>
      </c>
    </row>
    <row r="5631" spans="19:21" ht="23.25" customHeight="1" x14ac:dyDescent="0.35">
      <c r="S5631" s="56" t="str">
        <f t="shared" si="261"/>
        <v/>
      </c>
      <c r="T5631" s="57" t="str">
        <f t="shared" si="262"/>
        <v/>
      </c>
      <c r="U5631" s="58" t="str">
        <f t="shared" si="263"/>
        <v/>
      </c>
    </row>
    <row r="5632" spans="19:21" ht="23.25" customHeight="1" x14ac:dyDescent="0.35">
      <c r="S5632" s="56" t="str">
        <f t="shared" si="261"/>
        <v/>
      </c>
      <c r="T5632" s="57" t="str">
        <f t="shared" si="262"/>
        <v/>
      </c>
      <c r="U5632" s="58" t="str">
        <f t="shared" si="263"/>
        <v/>
      </c>
    </row>
    <row r="5633" spans="19:21" ht="23.25" customHeight="1" x14ac:dyDescent="0.35">
      <c r="S5633" s="56" t="str">
        <f t="shared" si="261"/>
        <v/>
      </c>
      <c r="T5633" s="57" t="str">
        <f t="shared" si="262"/>
        <v/>
      </c>
      <c r="U5633" s="58" t="str">
        <f t="shared" si="263"/>
        <v/>
      </c>
    </row>
    <row r="5634" spans="19:21" ht="23.25" customHeight="1" x14ac:dyDescent="0.35">
      <c r="S5634" s="56" t="str">
        <f t="shared" si="261"/>
        <v/>
      </c>
      <c r="T5634" s="57" t="str">
        <f t="shared" si="262"/>
        <v/>
      </c>
      <c r="U5634" s="58" t="str">
        <f t="shared" si="263"/>
        <v/>
      </c>
    </row>
    <row r="5635" spans="19:21" ht="23.25" customHeight="1" x14ac:dyDescent="0.35">
      <c r="S5635" s="56" t="str">
        <f t="shared" si="261"/>
        <v/>
      </c>
      <c r="T5635" s="57" t="str">
        <f t="shared" si="262"/>
        <v/>
      </c>
      <c r="U5635" s="58" t="str">
        <f t="shared" si="263"/>
        <v/>
      </c>
    </row>
    <row r="5636" spans="19:21" ht="23.25" customHeight="1" x14ac:dyDescent="0.35">
      <c r="S5636" s="56" t="str">
        <f t="shared" si="261"/>
        <v/>
      </c>
      <c r="T5636" s="57" t="str">
        <f t="shared" si="262"/>
        <v/>
      </c>
      <c r="U5636" s="58" t="str">
        <f t="shared" si="263"/>
        <v/>
      </c>
    </row>
    <row r="5637" spans="19:21" ht="23.25" customHeight="1" x14ac:dyDescent="0.35">
      <c r="S5637" s="56" t="str">
        <f t="shared" si="261"/>
        <v/>
      </c>
      <c r="T5637" s="57" t="str">
        <f t="shared" si="262"/>
        <v/>
      </c>
      <c r="U5637" s="58" t="str">
        <f t="shared" si="263"/>
        <v/>
      </c>
    </row>
    <row r="5638" spans="19:21" ht="23.25" customHeight="1" x14ac:dyDescent="0.35">
      <c r="S5638" s="56" t="str">
        <f t="shared" si="261"/>
        <v/>
      </c>
      <c r="T5638" s="57" t="str">
        <f t="shared" si="262"/>
        <v/>
      </c>
      <c r="U5638" s="58" t="str">
        <f t="shared" si="263"/>
        <v/>
      </c>
    </row>
    <row r="5639" spans="19:21" ht="23.25" customHeight="1" x14ac:dyDescent="0.35">
      <c r="S5639" s="56" t="str">
        <f t="shared" si="261"/>
        <v/>
      </c>
      <c r="T5639" s="57" t="str">
        <f t="shared" si="262"/>
        <v/>
      </c>
      <c r="U5639" s="58" t="str">
        <f t="shared" si="263"/>
        <v/>
      </c>
    </row>
    <row r="5640" spans="19:21" ht="23.25" customHeight="1" x14ac:dyDescent="0.35">
      <c r="S5640" s="56" t="str">
        <f t="shared" si="261"/>
        <v/>
      </c>
      <c r="T5640" s="57" t="str">
        <f t="shared" si="262"/>
        <v/>
      </c>
      <c r="U5640" s="58" t="str">
        <f t="shared" si="263"/>
        <v/>
      </c>
    </row>
    <row r="5641" spans="19:21" ht="23.25" customHeight="1" x14ac:dyDescent="0.35">
      <c r="S5641" s="56" t="str">
        <f t="shared" ref="S5641:S5704" si="264">IF(A5641="","",A$5-A5641)</f>
        <v/>
      </c>
      <c r="T5641" s="57" t="str">
        <f t="shared" ref="T5641:T5704" si="265">IF(S5641="","",IF(S5641&lt;4,"0-3 Days",IF(S5641&lt;31,"4-30 Days",IF(S5641&lt;61,"31-60 Days",IF(S5641&lt;=90,"61-90 Days",IF(S5641&gt;90,"Above 90 Days","0"))))))</f>
        <v/>
      </c>
      <c r="U5641" s="58" t="str">
        <f t="shared" ref="U5641:U5704" si="266">IF(C5641="","",IF(C5641&gt;0,IF(S5641&lt;30,"Normal",IF(S5641&lt;60,"Especially Mentioned",IF(S5641&lt;90,"Substandard",IF(S5641&lt;=180,"Doubtful",IF(S5641&gt;180,"Loss","0"))))),"Not Applicable"))</f>
        <v/>
      </c>
    </row>
    <row r="5642" spans="19:21" ht="23.25" customHeight="1" x14ac:dyDescent="0.35">
      <c r="S5642" s="56" t="str">
        <f t="shared" si="264"/>
        <v/>
      </c>
      <c r="T5642" s="57" t="str">
        <f t="shared" si="265"/>
        <v/>
      </c>
      <c r="U5642" s="58" t="str">
        <f t="shared" si="266"/>
        <v/>
      </c>
    </row>
    <row r="5643" spans="19:21" ht="23.25" customHeight="1" x14ac:dyDescent="0.35">
      <c r="S5643" s="56" t="str">
        <f t="shared" si="264"/>
        <v/>
      </c>
      <c r="T5643" s="57" t="str">
        <f t="shared" si="265"/>
        <v/>
      </c>
      <c r="U5643" s="58" t="str">
        <f t="shared" si="266"/>
        <v/>
      </c>
    </row>
    <row r="5644" spans="19:21" ht="23.25" customHeight="1" x14ac:dyDescent="0.35">
      <c r="S5644" s="56" t="str">
        <f t="shared" si="264"/>
        <v/>
      </c>
      <c r="T5644" s="57" t="str">
        <f t="shared" si="265"/>
        <v/>
      </c>
      <c r="U5644" s="58" t="str">
        <f t="shared" si="266"/>
        <v/>
      </c>
    </row>
    <row r="5645" spans="19:21" ht="23.25" customHeight="1" x14ac:dyDescent="0.35">
      <c r="S5645" s="56" t="str">
        <f t="shared" si="264"/>
        <v/>
      </c>
      <c r="T5645" s="57" t="str">
        <f t="shared" si="265"/>
        <v/>
      </c>
      <c r="U5645" s="58" t="str">
        <f t="shared" si="266"/>
        <v/>
      </c>
    </row>
    <row r="5646" spans="19:21" ht="23.25" customHeight="1" x14ac:dyDescent="0.35">
      <c r="S5646" s="56" t="str">
        <f t="shared" si="264"/>
        <v/>
      </c>
      <c r="T5646" s="57" t="str">
        <f t="shared" si="265"/>
        <v/>
      </c>
      <c r="U5646" s="58" t="str">
        <f t="shared" si="266"/>
        <v/>
      </c>
    </row>
    <row r="5647" spans="19:21" ht="23.25" customHeight="1" x14ac:dyDescent="0.35">
      <c r="S5647" s="56" t="str">
        <f t="shared" si="264"/>
        <v/>
      </c>
      <c r="T5647" s="57" t="str">
        <f t="shared" si="265"/>
        <v/>
      </c>
      <c r="U5647" s="58" t="str">
        <f t="shared" si="266"/>
        <v/>
      </c>
    </row>
    <row r="5648" spans="19:21" ht="23.25" customHeight="1" x14ac:dyDescent="0.35">
      <c r="S5648" s="56" t="str">
        <f t="shared" si="264"/>
        <v/>
      </c>
      <c r="T5648" s="57" t="str">
        <f t="shared" si="265"/>
        <v/>
      </c>
      <c r="U5648" s="58" t="str">
        <f t="shared" si="266"/>
        <v/>
      </c>
    </row>
    <row r="5649" spans="19:21" ht="23.25" customHeight="1" x14ac:dyDescent="0.35">
      <c r="S5649" s="56" t="str">
        <f t="shared" si="264"/>
        <v/>
      </c>
      <c r="T5649" s="57" t="str">
        <f t="shared" si="265"/>
        <v/>
      </c>
      <c r="U5649" s="58" t="str">
        <f t="shared" si="266"/>
        <v/>
      </c>
    </row>
    <row r="5650" spans="19:21" ht="23.25" customHeight="1" x14ac:dyDescent="0.35">
      <c r="S5650" s="56" t="str">
        <f t="shared" si="264"/>
        <v/>
      </c>
      <c r="T5650" s="57" t="str">
        <f t="shared" si="265"/>
        <v/>
      </c>
      <c r="U5650" s="58" t="str">
        <f t="shared" si="266"/>
        <v/>
      </c>
    </row>
    <row r="5651" spans="19:21" ht="23.25" customHeight="1" x14ac:dyDescent="0.35">
      <c r="S5651" s="56" t="str">
        <f t="shared" si="264"/>
        <v/>
      </c>
      <c r="T5651" s="57" t="str">
        <f t="shared" si="265"/>
        <v/>
      </c>
      <c r="U5651" s="58" t="str">
        <f t="shared" si="266"/>
        <v/>
      </c>
    </row>
    <row r="5652" spans="19:21" ht="23.25" customHeight="1" x14ac:dyDescent="0.35">
      <c r="S5652" s="56" t="str">
        <f t="shared" si="264"/>
        <v/>
      </c>
      <c r="T5652" s="57" t="str">
        <f t="shared" si="265"/>
        <v/>
      </c>
      <c r="U5652" s="58" t="str">
        <f t="shared" si="266"/>
        <v/>
      </c>
    </row>
    <row r="5653" spans="19:21" ht="23.25" customHeight="1" x14ac:dyDescent="0.35">
      <c r="S5653" s="56" t="str">
        <f t="shared" si="264"/>
        <v/>
      </c>
      <c r="T5653" s="57" t="str">
        <f t="shared" si="265"/>
        <v/>
      </c>
      <c r="U5653" s="58" t="str">
        <f t="shared" si="266"/>
        <v/>
      </c>
    </row>
    <row r="5654" spans="19:21" ht="23.25" customHeight="1" x14ac:dyDescent="0.35">
      <c r="S5654" s="56" t="str">
        <f t="shared" si="264"/>
        <v/>
      </c>
      <c r="T5654" s="57" t="str">
        <f t="shared" si="265"/>
        <v/>
      </c>
      <c r="U5654" s="58" t="str">
        <f t="shared" si="266"/>
        <v/>
      </c>
    </row>
    <row r="5655" spans="19:21" ht="23.25" customHeight="1" x14ac:dyDescent="0.35">
      <c r="S5655" s="56" t="str">
        <f t="shared" si="264"/>
        <v/>
      </c>
      <c r="T5655" s="57" t="str">
        <f t="shared" si="265"/>
        <v/>
      </c>
      <c r="U5655" s="58" t="str">
        <f t="shared" si="266"/>
        <v/>
      </c>
    </row>
    <row r="5656" spans="19:21" ht="23.25" customHeight="1" x14ac:dyDescent="0.35">
      <c r="S5656" s="56" t="str">
        <f t="shared" si="264"/>
        <v/>
      </c>
      <c r="T5656" s="57" t="str">
        <f t="shared" si="265"/>
        <v/>
      </c>
      <c r="U5656" s="58" t="str">
        <f t="shared" si="266"/>
        <v/>
      </c>
    </row>
    <row r="5657" spans="19:21" ht="23.25" customHeight="1" x14ac:dyDescent="0.35">
      <c r="S5657" s="56" t="str">
        <f t="shared" si="264"/>
        <v/>
      </c>
      <c r="T5657" s="57" t="str">
        <f t="shared" si="265"/>
        <v/>
      </c>
      <c r="U5657" s="58" t="str">
        <f t="shared" si="266"/>
        <v/>
      </c>
    </row>
    <row r="5658" spans="19:21" ht="23.25" customHeight="1" x14ac:dyDescent="0.35">
      <c r="S5658" s="56" t="str">
        <f t="shared" si="264"/>
        <v/>
      </c>
      <c r="T5658" s="57" t="str">
        <f t="shared" si="265"/>
        <v/>
      </c>
      <c r="U5658" s="58" t="str">
        <f t="shared" si="266"/>
        <v/>
      </c>
    </row>
    <row r="5659" spans="19:21" ht="23.25" customHeight="1" x14ac:dyDescent="0.35">
      <c r="S5659" s="56" t="str">
        <f t="shared" si="264"/>
        <v/>
      </c>
      <c r="T5659" s="57" t="str">
        <f t="shared" si="265"/>
        <v/>
      </c>
      <c r="U5659" s="58" t="str">
        <f t="shared" si="266"/>
        <v/>
      </c>
    </row>
    <row r="5660" spans="19:21" ht="23.25" customHeight="1" x14ac:dyDescent="0.35">
      <c r="S5660" s="56" t="str">
        <f t="shared" si="264"/>
        <v/>
      </c>
      <c r="T5660" s="57" t="str">
        <f t="shared" si="265"/>
        <v/>
      </c>
      <c r="U5660" s="58" t="str">
        <f t="shared" si="266"/>
        <v/>
      </c>
    </row>
    <row r="5661" spans="19:21" ht="23.25" customHeight="1" x14ac:dyDescent="0.35">
      <c r="S5661" s="56" t="str">
        <f t="shared" si="264"/>
        <v/>
      </c>
      <c r="T5661" s="57" t="str">
        <f t="shared" si="265"/>
        <v/>
      </c>
      <c r="U5661" s="58" t="str">
        <f t="shared" si="266"/>
        <v/>
      </c>
    </row>
    <row r="5662" spans="19:21" ht="23.25" customHeight="1" x14ac:dyDescent="0.35">
      <c r="S5662" s="56" t="str">
        <f t="shared" si="264"/>
        <v/>
      </c>
      <c r="T5662" s="57" t="str">
        <f t="shared" si="265"/>
        <v/>
      </c>
      <c r="U5662" s="58" t="str">
        <f t="shared" si="266"/>
        <v/>
      </c>
    </row>
    <row r="5663" spans="19:21" ht="23.25" customHeight="1" x14ac:dyDescent="0.35">
      <c r="S5663" s="56" t="str">
        <f t="shared" si="264"/>
        <v/>
      </c>
      <c r="T5663" s="57" t="str">
        <f t="shared" si="265"/>
        <v/>
      </c>
      <c r="U5663" s="58" t="str">
        <f t="shared" si="266"/>
        <v/>
      </c>
    </row>
    <row r="5664" spans="19:21" ht="23.25" customHeight="1" x14ac:dyDescent="0.35">
      <c r="S5664" s="56" t="str">
        <f t="shared" si="264"/>
        <v/>
      </c>
      <c r="T5664" s="57" t="str">
        <f t="shared" si="265"/>
        <v/>
      </c>
      <c r="U5664" s="58" t="str">
        <f t="shared" si="266"/>
        <v/>
      </c>
    </row>
    <row r="5665" spans="19:21" ht="23.25" customHeight="1" x14ac:dyDescent="0.35">
      <c r="S5665" s="56" t="str">
        <f t="shared" si="264"/>
        <v/>
      </c>
      <c r="T5665" s="57" t="str">
        <f t="shared" si="265"/>
        <v/>
      </c>
      <c r="U5665" s="58" t="str">
        <f t="shared" si="266"/>
        <v/>
      </c>
    </row>
    <row r="5666" spans="19:21" ht="23.25" customHeight="1" x14ac:dyDescent="0.35">
      <c r="S5666" s="56" t="str">
        <f t="shared" si="264"/>
        <v/>
      </c>
      <c r="T5666" s="57" t="str">
        <f t="shared" si="265"/>
        <v/>
      </c>
      <c r="U5666" s="58" t="str">
        <f t="shared" si="266"/>
        <v/>
      </c>
    </row>
    <row r="5667" spans="19:21" ht="23.25" customHeight="1" x14ac:dyDescent="0.35">
      <c r="S5667" s="56" t="str">
        <f t="shared" si="264"/>
        <v/>
      </c>
      <c r="T5667" s="57" t="str">
        <f t="shared" si="265"/>
        <v/>
      </c>
      <c r="U5667" s="58" t="str">
        <f t="shared" si="266"/>
        <v/>
      </c>
    </row>
    <row r="5668" spans="19:21" ht="23.25" customHeight="1" x14ac:dyDescent="0.35">
      <c r="S5668" s="56" t="str">
        <f t="shared" si="264"/>
        <v/>
      </c>
      <c r="T5668" s="57" t="str">
        <f t="shared" si="265"/>
        <v/>
      </c>
      <c r="U5668" s="58" t="str">
        <f t="shared" si="266"/>
        <v/>
      </c>
    </row>
    <row r="5669" spans="19:21" ht="23.25" customHeight="1" x14ac:dyDescent="0.35">
      <c r="S5669" s="56" t="str">
        <f t="shared" si="264"/>
        <v/>
      </c>
      <c r="T5669" s="57" t="str">
        <f t="shared" si="265"/>
        <v/>
      </c>
      <c r="U5669" s="58" t="str">
        <f t="shared" si="266"/>
        <v/>
      </c>
    </row>
    <row r="5670" spans="19:21" ht="23.25" customHeight="1" x14ac:dyDescent="0.35">
      <c r="S5670" s="56" t="str">
        <f t="shared" si="264"/>
        <v/>
      </c>
      <c r="T5670" s="57" t="str">
        <f t="shared" si="265"/>
        <v/>
      </c>
      <c r="U5670" s="58" t="str">
        <f t="shared" si="266"/>
        <v/>
      </c>
    </row>
    <row r="5671" spans="19:21" ht="23.25" customHeight="1" x14ac:dyDescent="0.35">
      <c r="S5671" s="56" t="str">
        <f t="shared" si="264"/>
        <v/>
      </c>
      <c r="T5671" s="57" t="str">
        <f t="shared" si="265"/>
        <v/>
      </c>
      <c r="U5671" s="58" t="str">
        <f t="shared" si="266"/>
        <v/>
      </c>
    </row>
    <row r="5672" spans="19:21" ht="23.25" customHeight="1" x14ac:dyDescent="0.35">
      <c r="S5672" s="56" t="str">
        <f t="shared" si="264"/>
        <v/>
      </c>
      <c r="T5672" s="57" t="str">
        <f t="shared" si="265"/>
        <v/>
      </c>
      <c r="U5672" s="58" t="str">
        <f t="shared" si="266"/>
        <v/>
      </c>
    </row>
    <row r="5673" spans="19:21" ht="23.25" customHeight="1" x14ac:dyDescent="0.35">
      <c r="S5673" s="56" t="str">
        <f t="shared" si="264"/>
        <v/>
      </c>
      <c r="T5673" s="57" t="str">
        <f t="shared" si="265"/>
        <v/>
      </c>
      <c r="U5673" s="58" t="str">
        <f t="shared" si="266"/>
        <v/>
      </c>
    </row>
    <row r="5674" spans="19:21" ht="23.25" customHeight="1" x14ac:dyDescent="0.35">
      <c r="S5674" s="56" t="str">
        <f t="shared" si="264"/>
        <v/>
      </c>
      <c r="T5674" s="57" t="str">
        <f t="shared" si="265"/>
        <v/>
      </c>
      <c r="U5674" s="58" t="str">
        <f t="shared" si="266"/>
        <v/>
      </c>
    </row>
    <row r="5675" spans="19:21" ht="23.25" customHeight="1" x14ac:dyDescent="0.35">
      <c r="S5675" s="56" t="str">
        <f t="shared" si="264"/>
        <v/>
      </c>
      <c r="T5675" s="57" t="str">
        <f t="shared" si="265"/>
        <v/>
      </c>
      <c r="U5675" s="58" t="str">
        <f t="shared" si="266"/>
        <v/>
      </c>
    </row>
    <row r="5676" spans="19:21" ht="23.25" customHeight="1" x14ac:dyDescent="0.35">
      <c r="S5676" s="56" t="str">
        <f t="shared" si="264"/>
        <v/>
      </c>
      <c r="T5676" s="57" t="str">
        <f t="shared" si="265"/>
        <v/>
      </c>
      <c r="U5676" s="58" t="str">
        <f t="shared" si="266"/>
        <v/>
      </c>
    </row>
    <row r="5677" spans="19:21" ht="23.25" customHeight="1" x14ac:dyDescent="0.35">
      <c r="S5677" s="56" t="str">
        <f t="shared" si="264"/>
        <v/>
      </c>
      <c r="T5677" s="57" t="str">
        <f t="shared" si="265"/>
        <v/>
      </c>
      <c r="U5677" s="58" t="str">
        <f t="shared" si="266"/>
        <v/>
      </c>
    </row>
    <row r="5678" spans="19:21" ht="23.25" customHeight="1" x14ac:dyDescent="0.35">
      <c r="S5678" s="56" t="str">
        <f t="shared" si="264"/>
        <v/>
      </c>
      <c r="T5678" s="57" t="str">
        <f t="shared" si="265"/>
        <v/>
      </c>
      <c r="U5678" s="58" t="str">
        <f t="shared" si="266"/>
        <v/>
      </c>
    </row>
    <row r="5679" spans="19:21" ht="23.25" customHeight="1" x14ac:dyDescent="0.35">
      <c r="S5679" s="56" t="str">
        <f t="shared" si="264"/>
        <v/>
      </c>
      <c r="T5679" s="57" t="str">
        <f t="shared" si="265"/>
        <v/>
      </c>
      <c r="U5679" s="58" t="str">
        <f t="shared" si="266"/>
        <v/>
      </c>
    </row>
    <row r="5680" spans="19:21" ht="23.25" customHeight="1" x14ac:dyDescent="0.35">
      <c r="S5680" s="56" t="str">
        <f t="shared" si="264"/>
        <v/>
      </c>
      <c r="T5680" s="57" t="str">
        <f t="shared" si="265"/>
        <v/>
      </c>
      <c r="U5680" s="58" t="str">
        <f t="shared" si="266"/>
        <v/>
      </c>
    </row>
    <row r="5681" spans="19:21" ht="23.25" customHeight="1" x14ac:dyDescent="0.35">
      <c r="S5681" s="56" t="str">
        <f t="shared" si="264"/>
        <v/>
      </c>
      <c r="T5681" s="57" t="str">
        <f t="shared" si="265"/>
        <v/>
      </c>
      <c r="U5681" s="58" t="str">
        <f t="shared" si="266"/>
        <v/>
      </c>
    </row>
    <row r="5682" spans="19:21" ht="23.25" customHeight="1" x14ac:dyDescent="0.35">
      <c r="S5682" s="56" t="str">
        <f t="shared" si="264"/>
        <v/>
      </c>
      <c r="T5682" s="57" t="str">
        <f t="shared" si="265"/>
        <v/>
      </c>
      <c r="U5682" s="58" t="str">
        <f t="shared" si="266"/>
        <v/>
      </c>
    </row>
    <row r="5683" spans="19:21" ht="23.25" customHeight="1" x14ac:dyDescent="0.35">
      <c r="S5683" s="56" t="str">
        <f t="shared" si="264"/>
        <v/>
      </c>
      <c r="T5683" s="57" t="str">
        <f t="shared" si="265"/>
        <v/>
      </c>
      <c r="U5683" s="58" t="str">
        <f t="shared" si="266"/>
        <v/>
      </c>
    </row>
    <row r="5684" spans="19:21" ht="23.25" customHeight="1" x14ac:dyDescent="0.35">
      <c r="S5684" s="56" t="str">
        <f t="shared" si="264"/>
        <v/>
      </c>
      <c r="T5684" s="57" t="str">
        <f t="shared" si="265"/>
        <v/>
      </c>
      <c r="U5684" s="58" t="str">
        <f t="shared" si="266"/>
        <v/>
      </c>
    </row>
    <row r="5685" spans="19:21" ht="23.25" customHeight="1" x14ac:dyDescent="0.35">
      <c r="S5685" s="56" t="str">
        <f t="shared" si="264"/>
        <v/>
      </c>
      <c r="T5685" s="57" t="str">
        <f t="shared" si="265"/>
        <v/>
      </c>
      <c r="U5685" s="58" t="str">
        <f t="shared" si="266"/>
        <v/>
      </c>
    </row>
    <row r="5686" spans="19:21" ht="23.25" customHeight="1" x14ac:dyDescent="0.35">
      <c r="S5686" s="56" t="str">
        <f t="shared" si="264"/>
        <v/>
      </c>
      <c r="T5686" s="57" t="str">
        <f t="shared" si="265"/>
        <v/>
      </c>
      <c r="U5686" s="58" t="str">
        <f t="shared" si="266"/>
        <v/>
      </c>
    </row>
    <row r="5687" spans="19:21" ht="23.25" customHeight="1" x14ac:dyDescent="0.35">
      <c r="S5687" s="56" t="str">
        <f t="shared" si="264"/>
        <v/>
      </c>
      <c r="T5687" s="57" t="str">
        <f t="shared" si="265"/>
        <v/>
      </c>
      <c r="U5687" s="58" t="str">
        <f t="shared" si="266"/>
        <v/>
      </c>
    </row>
    <row r="5688" spans="19:21" ht="23.25" customHeight="1" x14ac:dyDescent="0.35">
      <c r="S5688" s="56" t="str">
        <f t="shared" si="264"/>
        <v/>
      </c>
      <c r="T5688" s="57" t="str">
        <f t="shared" si="265"/>
        <v/>
      </c>
      <c r="U5688" s="58" t="str">
        <f t="shared" si="266"/>
        <v/>
      </c>
    </row>
    <row r="5689" spans="19:21" ht="23.25" customHeight="1" x14ac:dyDescent="0.35">
      <c r="S5689" s="56" t="str">
        <f t="shared" si="264"/>
        <v/>
      </c>
      <c r="T5689" s="57" t="str">
        <f t="shared" si="265"/>
        <v/>
      </c>
      <c r="U5689" s="58" t="str">
        <f t="shared" si="266"/>
        <v/>
      </c>
    </row>
    <row r="5690" spans="19:21" ht="23.25" customHeight="1" x14ac:dyDescent="0.35">
      <c r="S5690" s="56" t="str">
        <f t="shared" si="264"/>
        <v/>
      </c>
      <c r="T5690" s="57" t="str">
        <f t="shared" si="265"/>
        <v/>
      </c>
      <c r="U5690" s="58" t="str">
        <f t="shared" si="266"/>
        <v/>
      </c>
    </row>
    <row r="5691" spans="19:21" ht="23.25" customHeight="1" x14ac:dyDescent="0.35">
      <c r="S5691" s="56" t="str">
        <f t="shared" si="264"/>
        <v/>
      </c>
      <c r="T5691" s="57" t="str">
        <f t="shared" si="265"/>
        <v/>
      </c>
      <c r="U5691" s="58" t="str">
        <f t="shared" si="266"/>
        <v/>
      </c>
    </row>
    <row r="5692" spans="19:21" ht="23.25" customHeight="1" x14ac:dyDescent="0.35">
      <c r="S5692" s="56" t="str">
        <f t="shared" si="264"/>
        <v/>
      </c>
      <c r="T5692" s="57" t="str">
        <f t="shared" si="265"/>
        <v/>
      </c>
      <c r="U5692" s="58" t="str">
        <f t="shared" si="266"/>
        <v/>
      </c>
    </row>
    <row r="5693" spans="19:21" ht="23.25" customHeight="1" x14ac:dyDescent="0.35">
      <c r="S5693" s="56" t="str">
        <f t="shared" si="264"/>
        <v/>
      </c>
      <c r="T5693" s="57" t="str">
        <f t="shared" si="265"/>
        <v/>
      </c>
      <c r="U5693" s="58" t="str">
        <f t="shared" si="266"/>
        <v/>
      </c>
    </row>
    <row r="5694" spans="19:21" ht="23.25" customHeight="1" x14ac:dyDescent="0.35">
      <c r="S5694" s="56" t="str">
        <f t="shared" si="264"/>
        <v/>
      </c>
      <c r="T5694" s="57" t="str">
        <f t="shared" si="265"/>
        <v/>
      </c>
      <c r="U5694" s="58" t="str">
        <f t="shared" si="266"/>
        <v/>
      </c>
    </row>
    <row r="5695" spans="19:21" ht="23.25" customHeight="1" x14ac:dyDescent="0.35">
      <c r="S5695" s="56" t="str">
        <f t="shared" si="264"/>
        <v/>
      </c>
      <c r="T5695" s="57" t="str">
        <f t="shared" si="265"/>
        <v/>
      </c>
      <c r="U5695" s="58" t="str">
        <f t="shared" si="266"/>
        <v/>
      </c>
    </row>
    <row r="5696" spans="19:21" ht="23.25" customHeight="1" x14ac:dyDescent="0.35">
      <c r="S5696" s="56" t="str">
        <f t="shared" si="264"/>
        <v/>
      </c>
      <c r="T5696" s="57" t="str">
        <f t="shared" si="265"/>
        <v/>
      </c>
      <c r="U5696" s="58" t="str">
        <f t="shared" si="266"/>
        <v/>
      </c>
    </row>
    <row r="5697" spans="19:21" ht="23.25" customHeight="1" x14ac:dyDescent="0.35">
      <c r="S5697" s="56" t="str">
        <f t="shared" si="264"/>
        <v/>
      </c>
      <c r="T5697" s="57" t="str">
        <f t="shared" si="265"/>
        <v/>
      </c>
      <c r="U5697" s="58" t="str">
        <f t="shared" si="266"/>
        <v/>
      </c>
    </row>
    <row r="5698" spans="19:21" ht="23.25" customHeight="1" x14ac:dyDescent="0.35">
      <c r="S5698" s="56" t="str">
        <f t="shared" si="264"/>
        <v/>
      </c>
      <c r="T5698" s="57" t="str">
        <f t="shared" si="265"/>
        <v/>
      </c>
      <c r="U5698" s="58" t="str">
        <f t="shared" si="266"/>
        <v/>
      </c>
    </row>
    <row r="5699" spans="19:21" ht="23.25" customHeight="1" x14ac:dyDescent="0.35">
      <c r="S5699" s="56" t="str">
        <f t="shared" si="264"/>
        <v/>
      </c>
      <c r="T5699" s="57" t="str">
        <f t="shared" si="265"/>
        <v/>
      </c>
      <c r="U5699" s="58" t="str">
        <f t="shared" si="266"/>
        <v/>
      </c>
    </row>
    <row r="5700" spans="19:21" ht="23.25" customHeight="1" x14ac:dyDescent="0.35">
      <c r="S5700" s="56" t="str">
        <f t="shared" si="264"/>
        <v/>
      </c>
      <c r="T5700" s="57" t="str">
        <f t="shared" si="265"/>
        <v/>
      </c>
      <c r="U5700" s="58" t="str">
        <f t="shared" si="266"/>
        <v/>
      </c>
    </row>
    <row r="5701" spans="19:21" ht="23.25" customHeight="1" x14ac:dyDescent="0.35">
      <c r="S5701" s="56" t="str">
        <f t="shared" si="264"/>
        <v/>
      </c>
      <c r="T5701" s="57" t="str">
        <f t="shared" si="265"/>
        <v/>
      </c>
      <c r="U5701" s="58" t="str">
        <f t="shared" si="266"/>
        <v/>
      </c>
    </row>
    <row r="5702" spans="19:21" ht="23.25" customHeight="1" x14ac:dyDescent="0.35">
      <c r="S5702" s="56" t="str">
        <f t="shared" si="264"/>
        <v/>
      </c>
      <c r="T5702" s="57" t="str">
        <f t="shared" si="265"/>
        <v/>
      </c>
      <c r="U5702" s="58" t="str">
        <f t="shared" si="266"/>
        <v/>
      </c>
    </row>
    <row r="5703" spans="19:21" ht="23.25" customHeight="1" x14ac:dyDescent="0.35">
      <c r="S5703" s="56" t="str">
        <f t="shared" si="264"/>
        <v/>
      </c>
      <c r="T5703" s="57" t="str">
        <f t="shared" si="265"/>
        <v/>
      </c>
      <c r="U5703" s="58" t="str">
        <f t="shared" si="266"/>
        <v/>
      </c>
    </row>
    <row r="5704" spans="19:21" ht="23.25" customHeight="1" x14ac:dyDescent="0.35">
      <c r="S5704" s="56" t="str">
        <f t="shared" si="264"/>
        <v/>
      </c>
      <c r="T5704" s="57" t="str">
        <f t="shared" si="265"/>
        <v/>
      </c>
      <c r="U5704" s="58" t="str">
        <f t="shared" si="266"/>
        <v/>
      </c>
    </row>
    <row r="5705" spans="19:21" ht="23.25" customHeight="1" x14ac:dyDescent="0.35">
      <c r="S5705" s="56" t="str">
        <f t="shared" ref="S5705:S5768" si="267">IF(A5705="","",A$5-A5705)</f>
        <v/>
      </c>
      <c r="T5705" s="57" t="str">
        <f t="shared" ref="T5705:T5768" si="268">IF(S5705="","",IF(S5705&lt;4,"0-3 Days",IF(S5705&lt;31,"4-30 Days",IF(S5705&lt;61,"31-60 Days",IF(S5705&lt;=90,"61-90 Days",IF(S5705&gt;90,"Above 90 Days","0"))))))</f>
        <v/>
      </c>
      <c r="U5705" s="58" t="str">
        <f t="shared" ref="U5705:U5768" si="269">IF(C5705="","",IF(C5705&gt;0,IF(S5705&lt;30,"Normal",IF(S5705&lt;60,"Especially Mentioned",IF(S5705&lt;90,"Substandard",IF(S5705&lt;=180,"Doubtful",IF(S5705&gt;180,"Loss","0"))))),"Not Applicable"))</f>
        <v/>
      </c>
    </row>
    <row r="5706" spans="19:21" ht="23.25" customHeight="1" x14ac:dyDescent="0.35">
      <c r="S5706" s="56" t="str">
        <f t="shared" si="267"/>
        <v/>
      </c>
      <c r="T5706" s="57" t="str">
        <f t="shared" si="268"/>
        <v/>
      </c>
      <c r="U5706" s="58" t="str">
        <f t="shared" si="269"/>
        <v/>
      </c>
    </row>
    <row r="5707" spans="19:21" ht="23.25" customHeight="1" x14ac:dyDescent="0.35">
      <c r="S5707" s="56" t="str">
        <f t="shared" si="267"/>
        <v/>
      </c>
      <c r="T5707" s="57" t="str">
        <f t="shared" si="268"/>
        <v/>
      </c>
      <c r="U5707" s="58" t="str">
        <f t="shared" si="269"/>
        <v/>
      </c>
    </row>
    <row r="5708" spans="19:21" ht="23.25" customHeight="1" x14ac:dyDescent="0.35">
      <c r="S5708" s="56" t="str">
        <f t="shared" si="267"/>
        <v/>
      </c>
      <c r="T5708" s="57" t="str">
        <f t="shared" si="268"/>
        <v/>
      </c>
      <c r="U5708" s="58" t="str">
        <f t="shared" si="269"/>
        <v/>
      </c>
    </row>
    <row r="5709" spans="19:21" ht="23.25" customHeight="1" x14ac:dyDescent="0.35">
      <c r="S5709" s="56" t="str">
        <f t="shared" si="267"/>
        <v/>
      </c>
      <c r="T5709" s="57" t="str">
        <f t="shared" si="268"/>
        <v/>
      </c>
      <c r="U5709" s="58" t="str">
        <f t="shared" si="269"/>
        <v/>
      </c>
    </row>
    <row r="5710" spans="19:21" ht="23.25" customHeight="1" x14ac:dyDescent="0.35">
      <c r="S5710" s="56" t="str">
        <f t="shared" si="267"/>
        <v/>
      </c>
      <c r="T5710" s="57" t="str">
        <f t="shared" si="268"/>
        <v/>
      </c>
      <c r="U5710" s="58" t="str">
        <f t="shared" si="269"/>
        <v/>
      </c>
    </row>
    <row r="5711" spans="19:21" ht="23.25" customHeight="1" x14ac:dyDescent="0.35">
      <c r="S5711" s="56" t="str">
        <f t="shared" si="267"/>
        <v/>
      </c>
      <c r="T5711" s="57" t="str">
        <f t="shared" si="268"/>
        <v/>
      </c>
      <c r="U5711" s="58" t="str">
        <f t="shared" si="269"/>
        <v/>
      </c>
    </row>
    <row r="5712" spans="19:21" ht="23.25" customHeight="1" x14ac:dyDescent="0.35">
      <c r="S5712" s="56" t="str">
        <f t="shared" si="267"/>
        <v/>
      </c>
      <c r="T5712" s="57" t="str">
        <f t="shared" si="268"/>
        <v/>
      </c>
      <c r="U5712" s="58" t="str">
        <f t="shared" si="269"/>
        <v/>
      </c>
    </row>
    <row r="5713" spans="19:21" ht="23.25" customHeight="1" x14ac:dyDescent="0.35">
      <c r="S5713" s="56" t="str">
        <f t="shared" si="267"/>
        <v/>
      </c>
      <c r="T5713" s="57" t="str">
        <f t="shared" si="268"/>
        <v/>
      </c>
      <c r="U5713" s="58" t="str">
        <f t="shared" si="269"/>
        <v/>
      </c>
    </row>
    <row r="5714" spans="19:21" ht="23.25" customHeight="1" x14ac:dyDescent="0.35">
      <c r="S5714" s="56" t="str">
        <f t="shared" si="267"/>
        <v/>
      </c>
      <c r="T5714" s="57" t="str">
        <f t="shared" si="268"/>
        <v/>
      </c>
      <c r="U5714" s="58" t="str">
        <f t="shared" si="269"/>
        <v/>
      </c>
    </row>
    <row r="5715" spans="19:21" ht="23.25" customHeight="1" x14ac:dyDescent="0.35">
      <c r="S5715" s="56" t="str">
        <f t="shared" si="267"/>
        <v/>
      </c>
      <c r="T5715" s="57" t="str">
        <f t="shared" si="268"/>
        <v/>
      </c>
      <c r="U5715" s="58" t="str">
        <f t="shared" si="269"/>
        <v/>
      </c>
    </row>
    <row r="5716" spans="19:21" ht="23.25" customHeight="1" x14ac:dyDescent="0.35">
      <c r="S5716" s="56" t="str">
        <f t="shared" si="267"/>
        <v/>
      </c>
      <c r="T5716" s="57" t="str">
        <f t="shared" si="268"/>
        <v/>
      </c>
      <c r="U5716" s="58" t="str">
        <f t="shared" si="269"/>
        <v/>
      </c>
    </row>
    <row r="5717" spans="19:21" ht="23.25" customHeight="1" x14ac:dyDescent="0.35">
      <c r="S5717" s="56" t="str">
        <f t="shared" si="267"/>
        <v/>
      </c>
      <c r="T5717" s="57" t="str">
        <f t="shared" si="268"/>
        <v/>
      </c>
      <c r="U5717" s="58" t="str">
        <f t="shared" si="269"/>
        <v/>
      </c>
    </row>
    <row r="5718" spans="19:21" ht="23.25" customHeight="1" x14ac:dyDescent="0.35">
      <c r="S5718" s="56" t="str">
        <f t="shared" si="267"/>
        <v/>
      </c>
      <c r="T5718" s="57" t="str">
        <f t="shared" si="268"/>
        <v/>
      </c>
      <c r="U5718" s="58" t="str">
        <f t="shared" si="269"/>
        <v/>
      </c>
    </row>
    <row r="5719" spans="19:21" ht="23.25" customHeight="1" x14ac:dyDescent="0.35">
      <c r="S5719" s="56" t="str">
        <f t="shared" si="267"/>
        <v/>
      </c>
      <c r="T5719" s="57" t="str">
        <f t="shared" si="268"/>
        <v/>
      </c>
      <c r="U5719" s="58" t="str">
        <f t="shared" si="269"/>
        <v/>
      </c>
    </row>
    <row r="5720" spans="19:21" ht="23.25" customHeight="1" x14ac:dyDescent="0.35">
      <c r="S5720" s="56" t="str">
        <f t="shared" si="267"/>
        <v/>
      </c>
      <c r="T5720" s="57" t="str">
        <f t="shared" si="268"/>
        <v/>
      </c>
      <c r="U5720" s="58" t="str">
        <f t="shared" si="269"/>
        <v/>
      </c>
    </row>
    <row r="5721" spans="19:21" ht="23.25" customHeight="1" x14ac:dyDescent="0.35">
      <c r="S5721" s="56" t="str">
        <f t="shared" si="267"/>
        <v/>
      </c>
      <c r="T5721" s="57" t="str">
        <f t="shared" si="268"/>
        <v/>
      </c>
      <c r="U5721" s="58" t="str">
        <f t="shared" si="269"/>
        <v/>
      </c>
    </row>
    <row r="5722" spans="19:21" ht="23.25" customHeight="1" x14ac:dyDescent="0.35">
      <c r="S5722" s="56" t="str">
        <f t="shared" si="267"/>
        <v/>
      </c>
      <c r="T5722" s="57" t="str">
        <f t="shared" si="268"/>
        <v/>
      </c>
      <c r="U5722" s="58" t="str">
        <f t="shared" si="269"/>
        <v/>
      </c>
    </row>
    <row r="5723" spans="19:21" ht="23.25" customHeight="1" x14ac:dyDescent="0.35">
      <c r="S5723" s="56" t="str">
        <f t="shared" si="267"/>
        <v/>
      </c>
      <c r="T5723" s="57" t="str">
        <f t="shared" si="268"/>
        <v/>
      </c>
      <c r="U5723" s="58" t="str">
        <f t="shared" si="269"/>
        <v/>
      </c>
    </row>
    <row r="5724" spans="19:21" ht="23.25" customHeight="1" x14ac:dyDescent="0.35">
      <c r="S5724" s="56" t="str">
        <f t="shared" si="267"/>
        <v/>
      </c>
      <c r="T5724" s="57" t="str">
        <f t="shared" si="268"/>
        <v/>
      </c>
      <c r="U5724" s="58" t="str">
        <f t="shared" si="269"/>
        <v/>
      </c>
    </row>
    <row r="5725" spans="19:21" ht="23.25" customHeight="1" x14ac:dyDescent="0.35">
      <c r="S5725" s="56" t="str">
        <f t="shared" si="267"/>
        <v/>
      </c>
      <c r="T5725" s="57" t="str">
        <f t="shared" si="268"/>
        <v/>
      </c>
      <c r="U5725" s="58" t="str">
        <f t="shared" si="269"/>
        <v/>
      </c>
    </row>
    <row r="5726" spans="19:21" ht="23.25" customHeight="1" x14ac:dyDescent="0.35">
      <c r="S5726" s="56" t="str">
        <f t="shared" si="267"/>
        <v/>
      </c>
      <c r="T5726" s="57" t="str">
        <f t="shared" si="268"/>
        <v/>
      </c>
      <c r="U5726" s="58" t="str">
        <f t="shared" si="269"/>
        <v/>
      </c>
    </row>
    <row r="5727" spans="19:21" ht="23.25" customHeight="1" x14ac:dyDescent="0.35">
      <c r="S5727" s="56" t="str">
        <f t="shared" si="267"/>
        <v/>
      </c>
      <c r="T5727" s="57" t="str">
        <f t="shared" si="268"/>
        <v/>
      </c>
      <c r="U5727" s="58" t="str">
        <f t="shared" si="269"/>
        <v/>
      </c>
    </row>
    <row r="5728" spans="19:21" ht="23.25" customHeight="1" x14ac:dyDescent="0.35">
      <c r="S5728" s="56" t="str">
        <f t="shared" si="267"/>
        <v/>
      </c>
      <c r="T5728" s="57" t="str">
        <f t="shared" si="268"/>
        <v/>
      </c>
      <c r="U5728" s="58" t="str">
        <f t="shared" si="269"/>
        <v/>
      </c>
    </row>
    <row r="5729" spans="19:21" ht="23.25" customHeight="1" x14ac:dyDescent="0.35">
      <c r="S5729" s="56" t="str">
        <f t="shared" si="267"/>
        <v/>
      </c>
      <c r="T5729" s="57" t="str">
        <f t="shared" si="268"/>
        <v/>
      </c>
      <c r="U5729" s="58" t="str">
        <f t="shared" si="269"/>
        <v/>
      </c>
    </row>
    <row r="5730" spans="19:21" ht="23.25" customHeight="1" x14ac:dyDescent="0.35">
      <c r="S5730" s="56" t="str">
        <f t="shared" si="267"/>
        <v/>
      </c>
      <c r="T5730" s="57" t="str">
        <f t="shared" si="268"/>
        <v/>
      </c>
      <c r="U5730" s="58" t="str">
        <f t="shared" si="269"/>
        <v/>
      </c>
    </row>
    <row r="5731" spans="19:21" ht="23.25" customHeight="1" x14ac:dyDescent="0.35">
      <c r="S5731" s="56" t="str">
        <f t="shared" si="267"/>
        <v/>
      </c>
      <c r="T5731" s="57" t="str">
        <f t="shared" si="268"/>
        <v/>
      </c>
      <c r="U5731" s="58" t="str">
        <f t="shared" si="269"/>
        <v/>
      </c>
    </row>
    <row r="5732" spans="19:21" ht="23.25" customHeight="1" x14ac:dyDescent="0.35">
      <c r="S5732" s="56" t="str">
        <f t="shared" si="267"/>
        <v/>
      </c>
      <c r="T5732" s="57" t="str">
        <f t="shared" si="268"/>
        <v/>
      </c>
      <c r="U5732" s="58" t="str">
        <f t="shared" si="269"/>
        <v/>
      </c>
    </row>
    <row r="5733" spans="19:21" ht="23.25" customHeight="1" x14ac:dyDescent="0.35">
      <c r="S5733" s="56" t="str">
        <f t="shared" si="267"/>
        <v/>
      </c>
      <c r="T5733" s="57" t="str">
        <f t="shared" si="268"/>
        <v/>
      </c>
      <c r="U5733" s="58" t="str">
        <f t="shared" si="269"/>
        <v/>
      </c>
    </row>
    <row r="5734" spans="19:21" ht="23.25" customHeight="1" x14ac:dyDescent="0.35">
      <c r="S5734" s="56" t="str">
        <f t="shared" si="267"/>
        <v/>
      </c>
      <c r="T5734" s="57" t="str">
        <f t="shared" si="268"/>
        <v/>
      </c>
      <c r="U5734" s="58" t="str">
        <f t="shared" si="269"/>
        <v/>
      </c>
    </row>
    <row r="5735" spans="19:21" ht="23.25" customHeight="1" x14ac:dyDescent="0.35">
      <c r="S5735" s="56" t="str">
        <f t="shared" si="267"/>
        <v/>
      </c>
      <c r="T5735" s="57" t="str">
        <f t="shared" si="268"/>
        <v/>
      </c>
      <c r="U5735" s="58" t="str">
        <f t="shared" si="269"/>
        <v/>
      </c>
    </row>
    <row r="5736" spans="19:21" ht="23.25" customHeight="1" x14ac:dyDescent="0.35">
      <c r="S5736" s="56" t="str">
        <f t="shared" si="267"/>
        <v/>
      </c>
      <c r="T5736" s="57" t="str">
        <f t="shared" si="268"/>
        <v/>
      </c>
      <c r="U5736" s="58" t="str">
        <f t="shared" si="269"/>
        <v/>
      </c>
    </row>
    <row r="5737" spans="19:21" ht="23.25" customHeight="1" x14ac:dyDescent="0.35">
      <c r="S5737" s="56" t="str">
        <f t="shared" si="267"/>
        <v/>
      </c>
      <c r="T5737" s="57" t="str">
        <f t="shared" si="268"/>
        <v/>
      </c>
      <c r="U5737" s="58" t="str">
        <f t="shared" si="269"/>
        <v/>
      </c>
    </row>
    <row r="5738" spans="19:21" ht="23.25" customHeight="1" x14ac:dyDescent="0.35">
      <c r="S5738" s="56" t="str">
        <f t="shared" si="267"/>
        <v/>
      </c>
      <c r="T5738" s="57" t="str">
        <f t="shared" si="268"/>
        <v/>
      </c>
      <c r="U5738" s="58" t="str">
        <f t="shared" si="269"/>
        <v/>
      </c>
    </row>
    <row r="5739" spans="19:21" ht="23.25" customHeight="1" x14ac:dyDescent="0.35">
      <c r="S5739" s="56" t="str">
        <f t="shared" si="267"/>
        <v/>
      </c>
      <c r="T5739" s="57" t="str">
        <f t="shared" si="268"/>
        <v/>
      </c>
      <c r="U5739" s="58" t="str">
        <f t="shared" si="269"/>
        <v/>
      </c>
    </row>
    <row r="5740" spans="19:21" ht="23.25" customHeight="1" x14ac:dyDescent="0.35">
      <c r="S5740" s="56" t="str">
        <f t="shared" si="267"/>
        <v/>
      </c>
      <c r="T5740" s="57" t="str">
        <f t="shared" si="268"/>
        <v/>
      </c>
      <c r="U5740" s="58" t="str">
        <f t="shared" si="269"/>
        <v/>
      </c>
    </row>
    <row r="5741" spans="19:21" ht="23.25" customHeight="1" x14ac:dyDescent="0.35">
      <c r="S5741" s="56" t="str">
        <f t="shared" si="267"/>
        <v/>
      </c>
      <c r="T5741" s="57" t="str">
        <f t="shared" si="268"/>
        <v/>
      </c>
      <c r="U5741" s="58" t="str">
        <f t="shared" si="269"/>
        <v/>
      </c>
    </row>
    <row r="5742" spans="19:21" ht="23.25" customHeight="1" x14ac:dyDescent="0.35">
      <c r="S5742" s="56" t="str">
        <f t="shared" si="267"/>
        <v/>
      </c>
      <c r="T5742" s="57" t="str">
        <f t="shared" si="268"/>
        <v/>
      </c>
      <c r="U5742" s="58" t="str">
        <f t="shared" si="269"/>
        <v/>
      </c>
    </row>
    <row r="5743" spans="19:21" ht="23.25" customHeight="1" x14ac:dyDescent="0.35">
      <c r="S5743" s="56" t="str">
        <f t="shared" si="267"/>
        <v/>
      </c>
      <c r="T5743" s="57" t="str">
        <f t="shared" si="268"/>
        <v/>
      </c>
      <c r="U5743" s="58" t="str">
        <f t="shared" si="269"/>
        <v/>
      </c>
    </row>
    <row r="5744" spans="19:21" ht="23.25" customHeight="1" x14ac:dyDescent="0.35">
      <c r="S5744" s="56" t="str">
        <f t="shared" si="267"/>
        <v/>
      </c>
      <c r="T5744" s="57" t="str">
        <f t="shared" si="268"/>
        <v/>
      </c>
      <c r="U5744" s="58" t="str">
        <f t="shared" si="269"/>
        <v/>
      </c>
    </row>
    <row r="5745" spans="19:21" ht="23.25" customHeight="1" x14ac:dyDescent="0.35">
      <c r="S5745" s="56" t="str">
        <f t="shared" si="267"/>
        <v/>
      </c>
      <c r="T5745" s="57" t="str">
        <f t="shared" si="268"/>
        <v/>
      </c>
      <c r="U5745" s="58" t="str">
        <f t="shared" si="269"/>
        <v/>
      </c>
    </row>
    <row r="5746" spans="19:21" ht="23.25" customHeight="1" x14ac:dyDescent="0.35">
      <c r="S5746" s="56" t="str">
        <f t="shared" si="267"/>
        <v/>
      </c>
      <c r="T5746" s="57" t="str">
        <f t="shared" si="268"/>
        <v/>
      </c>
      <c r="U5746" s="58" t="str">
        <f t="shared" si="269"/>
        <v/>
      </c>
    </row>
    <row r="5747" spans="19:21" ht="23.25" customHeight="1" x14ac:dyDescent="0.35">
      <c r="S5747" s="56" t="str">
        <f t="shared" si="267"/>
        <v/>
      </c>
      <c r="T5747" s="57" t="str">
        <f t="shared" si="268"/>
        <v/>
      </c>
      <c r="U5747" s="58" t="str">
        <f t="shared" si="269"/>
        <v/>
      </c>
    </row>
    <row r="5748" spans="19:21" ht="23.25" customHeight="1" x14ac:dyDescent="0.35">
      <c r="S5748" s="56" t="str">
        <f t="shared" si="267"/>
        <v/>
      </c>
      <c r="T5748" s="57" t="str">
        <f t="shared" si="268"/>
        <v/>
      </c>
      <c r="U5748" s="58" t="str">
        <f t="shared" si="269"/>
        <v/>
      </c>
    </row>
    <row r="5749" spans="19:21" ht="23.25" customHeight="1" x14ac:dyDescent="0.35">
      <c r="S5749" s="56" t="str">
        <f t="shared" si="267"/>
        <v/>
      </c>
      <c r="T5749" s="57" t="str">
        <f t="shared" si="268"/>
        <v/>
      </c>
      <c r="U5749" s="58" t="str">
        <f t="shared" si="269"/>
        <v/>
      </c>
    </row>
    <row r="5750" spans="19:21" ht="23.25" customHeight="1" x14ac:dyDescent="0.35">
      <c r="S5750" s="56" t="str">
        <f t="shared" si="267"/>
        <v/>
      </c>
      <c r="T5750" s="57" t="str">
        <f t="shared" si="268"/>
        <v/>
      </c>
      <c r="U5750" s="58" t="str">
        <f t="shared" si="269"/>
        <v/>
      </c>
    </row>
    <row r="5751" spans="19:21" ht="23.25" customHeight="1" x14ac:dyDescent="0.35">
      <c r="S5751" s="56" t="str">
        <f t="shared" si="267"/>
        <v/>
      </c>
      <c r="T5751" s="57" t="str">
        <f t="shared" si="268"/>
        <v/>
      </c>
      <c r="U5751" s="58" t="str">
        <f t="shared" si="269"/>
        <v/>
      </c>
    </row>
    <row r="5752" spans="19:21" ht="23.25" customHeight="1" x14ac:dyDescent="0.35">
      <c r="S5752" s="56" t="str">
        <f t="shared" si="267"/>
        <v/>
      </c>
      <c r="T5752" s="57" t="str">
        <f t="shared" si="268"/>
        <v/>
      </c>
      <c r="U5752" s="58" t="str">
        <f t="shared" si="269"/>
        <v/>
      </c>
    </row>
    <row r="5753" spans="19:21" ht="23.25" customHeight="1" x14ac:dyDescent="0.35">
      <c r="S5753" s="56" t="str">
        <f t="shared" si="267"/>
        <v/>
      </c>
      <c r="T5753" s="57" t="str">
        <f t="shared" si="268"/>
        <v/>
      </c>
      <c r="U5753" s="58" t="str">
        <f t="shared" si="269"/>
        <v/>
      </c>
    </row>
    <row r="5754" spans="19:21" ht="23.25" customHeight="1" x14ac:dyDescent="0.35">
      <c r="S5754" s="56" t="str">
        <f t="shared" si="267"/>
        <v/>
      </c>
      <c r="T5754" s="57" t="str">
        <f t="shared" si="268"/>
        <v/>
      </c>
      <c r="U5754" s="58" t="str">
        <f t="shared" si="269"/>
        <v/>
      </c>
    </row>
    <row r="5755" spans="19:21" ht="23.25" customHeight="1" x14ac:dyDescent="0.35">
      <c r="S5755" s="56" t="str">
        <f t="shared" si="267"/>
        <v/>
      </c>
      <c r="T5755" s="57" t="str">
        <f t="shared" si="268"/>
        <v/>
      </c>
      <c r="U5755" s="58" t="str">
        <f t="shared" si="269"/>
        <v/>
      </c>
    </row>
    <row r="5756" spans="19:21" ht="23.25" customHeight="1" x14ac:dyDescent="0.35">
      <c r="S5756" s="56" t="str">
        <f t="shared" si="267"/>
        <v/>
      </c>
      <c r="T5756" s="57" t="str">
        <f t="shared" si="268"/>
        <v/>
      </c>
      <c r="U5756" s="58" t="str">
        <f t="shared" si="269"/>
        <v/>
      </c>
    </row>
    <row r="5757" spans="19:21" ht="23.25" customHeight="1" x14ac:dyDescent="0.35">
      <c r="S5757" s="56" t="str">
        <f t="shared" si="267"/>
        <v/>
      </c>
      <c r="T5757" s="57" t="str">
        <f t="shared" si="268"/>
        <v/>
      </c>
      <c r="U5757" s="58" t="str">
        <f t="shared" si="269"/>
        <v/>
      </c>
    </row>
    <row r="5758" spans="19:21" ht="23.25" customHeight="1" x14ac:dyDescent="0.35">
      <c r="S5758" s="56" t="str">
        <f t="shared" si="267"/>
        <v/>
      </c>
      <c r="T5758" s="57" t="str">
        <f t="shared" si="268"/>
        <v/>
      </c>
      <c r="U5758" s="58" t="str">
        <f t="shared" si="269"/>
        <v/>
      </c>
    </row>
    <row r="5759" spans="19:21" ht="23.25" customHeight="1" x14ac:dyDescent="0.35">
      <c r="S5759" s="56" t="str">
        <f t="shared" si="267"/>
        <v/>
      </c>
      <c r="T5759" s="57" t="str">
        <f t="shared" si="268"/>
        <v/>
      </c>
      <c r="U5759" s="58" t="str">
        <f t="shared" si="269"/>
        <v/>
      </c>
    </row>
    <row r="5760" spans="19:21" ht="23.25" customHeight="1" x14ac:dyDescent="0.35">
      <c r="S5760" s="56" t="str">
        <f t="shared" si="267"/>
        <v/>
      </c>
      <c r="T5760" s="57" t="str">
        <f t="shared" si="268"/>
        <v/>
      </c>
      <c r="U5760" s="58" t="str">
        <f t="shared" si="269"/>
        <v/>
      </c>
    </row>
    <row r="5761" spans="19:21" ht="23.25" customHeight="1" x14ac:dyDescent="0.35">
      <c r="S5761" s="56" t="str">
        <f t="shared" si="267"/>
        <v/>
      </c>
      <c r="T5761" s="57" t="str">
        <f t="shared" si="268"/>
        <v/>
      </c>
      <c r="U5761" s="58" t="str">
        <f t="shared" si="269"/>
        <v/>
      </c>
    </row>
    <row r="5762" spans="19:21" ht="23.25" customHeight="1" x14ac:dyDescent="0.35">
      <c r="S5762" s="56" t="str">
        <f t="shared" si="267"/>
        <v/>
      </c>
      <c r="T5762" s="57" t="str">
        <f t="shared" si="268"/>
        <v/>
      </c>
      <c r="U5762" s="58" t="str">
        <f t="shared" si="269"/>
        <v/>
      </c>
    </row>
    <row r="5763" spans="19:21" ht="23.25" customHeight="1" x14ac:dyDescent="0.35">
      <c r="S5763" s="56" t="str">
        <f t="shared" si="267"/>
        <v/>
      </c>
      <c r="T5763" s="57" t="str">
        <f t="shared" si="268"/>
        <v/>
      </c>
      <c r="U5763" s="58" t="str">
        <f t="shared" si="269"/>
        <v/>
      </c>
    </row>
    <row r="5764" spans="19:21" ht="23.25" customHeight="1" x14ac:dyDescent="0.35">
      <c r="S5764" s="56" t="str">
        <f t="shared" si="267"/>
        <v/>
      </c>
      <c r="T5764" s="57" t="str">
        <f t="shared" si="268"/>
        <v/>
      </c>
      <c r="U5764" s="58" t="str">
        <f t="shared" si="269"/>
        <v/>
      </c>
    </row>
    <row r="5765" spans="19:21" ht="23.25" customHeight="1" x14ac:dyDescent="0.35">
      <c r="S5765" s="56" t="str">
        <f t="shared" si="267"/>
        <v/>
      </c>
      <c r="T5765" s="57" t="str">
        <f t="shared" si="268"/>
        <v/>
      </c>
      <c r="U5765" s="58" t="str">
        <f t="shared" si="269"/>
        <v/>
      </c>
    </row>
    <row r="5766" spans="19:21" ht="23.25" customHeight="1" x14ac:dyDescent="0.35">
      <c r="S5766" s="56" t="str">
        <f t="shared" si="267"/>
        <v/>
      </c>
      <c r="T5766" s="57" t="str">
        <f t="shared" si="268"/>
        <v/>
      </c>
      <c r="U5766" s="58" t="str">
        <f t="shared" si="269"/>
        <v/>
      </c>
    </row>
    <row r="5767" spans="19:21" ht="23.25" customHeight="1" x14ac:dyDescent="0.35">
      <c r="S5767" s="56" t="str">
        <f t="shared" si="267"/>
        <v/>
      </c>
      <c r="T5767" s="57" t="str">
        <f t="shared" si="268"/>
        <v/>
      </c>
      <c r="U5767" s="58" t="str">
        <f t="shared" si="269"/>
        <v/>
      </c>
    </row>
    <row r="5768" spans="19:21" ht="23.25" customHeight="1" x14ac:dyDescent="0.35">
      <c r="S5768" s="56" t="str">
        <f t="shared" si="267"/>
        <v/>
      </c>
      <c r="T5768" s="57" t="str">
        <f t="shared" si="268"/>
        <v/>
      </c>
      <c r="U5768" s="58" t="str">
        <f t="shared" si="269"/>
        <v/>
      </c>
    </row>
    <row r="5769" spans="19:21" ht="23.25" customHeight="1" x14ac:dyDescent="0.35">
      <c r="S5769" s="56" t="str">
        <f t="shared" ref="S5769:S5832" si="270">IF(A5769="","",A$5-A5769)</f>
        <v/>
      </c>
      <c r="T5769" s="57" t="str">
        <f t="shared" ref="T5769:T5832" si="271">IF(S5769="","",IF(S5769&lt;4,"0-3 Days",IF(S5769&lt;31,"4-30 Days",IF(S5769&lt;61,"31-60 Days",IF(S5769&lt;=90,"61-90 Days",IF(S5769&gt;90,"Above 90 Days","0"))))))</f>
        <v/>
      </c>
      <c r="U5769" s="58" t="str">
        <f t="shared" ref="U5769:U5832" si="272">IF(C5769="","",IF(C5769&gt;0,IF(S5769&lt;30,"Normal",IF(S5769&lt;60,"Especially Mentioned",IF(S5769&lt;90,"Substandard",IF(S5769&lt;=180,"Doubtful",IF(S5769&gt;180,"Loss","0"))))),"Not Applicable"))</f>
        <v/>
      </c>
    </row>
    <row r="5770" spans="19:21" ht="23.25" customHeight="1" x14ac:dyDescent="0.35">
      <c r="S5770" s="56" t="str">
        <f t="shared" si="270"/>
        <v/>
      </c>
      <c r="T5770" s="57" t="str">
        <f t="shared" si="271"/>
        <v/>
      </c>
      <c r="U5770" s="58" t="str">
        <f t="shared" si="272"/>
        <v/>
      </c>
    </row>
    <row r="5771" spans="19:21" ht="23.25" customHeight="1" x14ac:dyDescent="0.35">
      <c r="S5771" s="56" t="str">
        <f t="shared" si="270"/>
        <v/>
      </c>
      <c r="T5771" s="57" t="str">
        <f t="shared" si="271"/>
        <v/>
      </c>
      <c r="U5771" s="58" t="str">
        <f t="shared" si="272"/>
        <v/>
      </c>
    </row>
    <row r="5772" spans="19:21" ht="23.25" customHeight="1" x14ac:dyDescent="0.35">
      <c r="S5772" s="56" t="str">
        <f t="shared" si="270"/>
        <v/>
      </c>
      <c r="T5772" s="57" t="str">
        <f t="shared" si="271"/>
        <v/>
      </c>
      <c r="U5772" s="58" t="str">
        <f t="shared" si="272"/>
        <v/>
      </c>
    </row>
    <row r="5773" spans="19:21" ht="23.25" customHeight="1" x14ac:dyDescent="0.35">
      <c r="S5773" s="56" t="str">
        <f t="shared" si="270"/>
        <v/>
      </c>
      <c r="T5773" s="57" t="str">
        <f t="shared" si="271"/>
        <v/>
      </c>
      <c r="U5773" s="58" t="str">
        <f t="shared" si="272"/>
        <v/>
      </c>
    </row>
    <row r="5774" spans="19:21" ht="23.25" customHeight="1" x14ac:dyDescent="0.35">
      <c r="S5774" s="56" t="str">
        <f t="shared" si="270"/>
        <v/>
      </c>
      <c r="T5774" s="57" t="str">
        <f t="shared" si="271"/>
        <v/>
      </c>
      <c r="U5774" s="58" t="str">
        <f t="shared" si="272"/>
        <v/>
      </c>
    </row>
    <row r="5775" spans="19:21" ht="23.25" customHeight="1" x14ac:dyDescent="0.35">
      <c r="S5775" s="56" t="str">
        <f t="shared" si="270"/>
        <v/>
      </c>
      <c r="T5775" s="57" t="str">
        <f t="shared" si="271"/>
        <v/>
      </c>
      <c r="U5775" s="58" t="str">
        <f t="shared" si="272"/>
        <v/>
      </c>
    </row>
    <row r="5776" spans="19:21" ht="23.25" customHeight="1" x14ac:dyDescent="0.35">
      <c r="S5776" s="56" t="str">
        <f t="shared" si="270"/>
        <v/>
      </c>
      <c r="T5776" s="57" t="str">
        <f t="shared" si="271"/>
        <v/>
      </c>
      <c r="U5776" s="58" t="str">
        <f t="shared" si="272"/>
        <v/>
      </c>
    </row>
    <row r="5777" spans="19:21" ht="23.25" customHeight="1" x14ac:dyDescent="0.35">
      <c r="S5777" s="56" t="str">
        <f t="shared" si="270"/>
        <v/>
      </c>
      <c r="T5777" s="57" t="str">
        <f t="shared" si="271"/>
        <v/>
      </c>
      <c r="U5777" s="58" t="str">
        <f t="shared" si="272"/>
        <v/>
      </c>
    </row>
    <row r="5778" spans="19:21" ht="23.25" customHeight="1" x14ac:dyDescent="0.35">
      <c r="S5778" s="56" t="str">
        <f t="shared" si="270"/>
        <v/>
      </c>
      <c r="T5778" s="57" t="str">
        <f t="shared" si="271"/>
        <v/>
      </c>
      <c r="U5778" s="58" t="str">
        <f t="shared" si="272"/>
        <v/>
      </c>
    </row>
    <row r="5779" spans="19:21" ht="23.25" customHeight="1" x14ac:dyDescent="0.35">
      <c r="S5779" s="56" t="str">
        <f t="shared" si="270"/>
        <v/>
      </c>
      <c r="T5779" s="57" t="str">
        <f t="shared" si="271"/>
        <v/>
      </c>
      <c r="U5779" s="58" t="str">
        <f t="shared" si="272"/>
        <v/>
      </c>
    </row>
    <row r="5780" spans="19:21" ht="23.25" customHeight="1" x14ac:dyDescent="0.35">
      <c r="S5780" s="56" t="str">
        <f t="shared" si="270"/>
        <v/>
      </c>
      <c r="T5780" s="57" t="str">
        <f t="shared" si="271"/>
        <v/>
      </c>
      <c r="U5780" s="58" t="str">
        <f t="shared" si="272"/>
        <v/>
      </c>
    </row>
    <row r="5781" spans="19:21" ht="23.25" customHeight="1" x14ac:dyDescent="0.35">
      <c r="S5781" s="56" t="str">
        <f t="shared" si="270"/>
        <v/>
      </c>
      <c r="T5781" s="57" t="str">
        <f t="shared" si="271"/>
        <v/>
      </c>
      <c r="U5781" s="58" t="str">
        <f t="shared" si="272"/>
        <v/>
      </c>
    </row>
    <row r="5782" spans="19:21" ht="23.25" customHeight="1" x14ac:dyDescent="0.35">
      <c r="S5782" s="56" t="str">
        <f t="shared" si="270"/>
        <v/>
      </c>
      <c r="T5782" s="57" t="str">
        <f t="shared" si="271"/>
        <v/>
      </c>
      <c r="U5782" s="58" t="str">
        <f t="shared" si="272"/>
        <v/>
      </c>
    </row>
    <row r="5783" spans="19:21" ht="23.25" customHeight="1" x14ac:dyDescent="0.35">
      <c r="S5783" s="56" t="str">
        <f t="shared" si="270"/>
        <v/>
      </c>
      <c r="T5783" s="57" t="str">
        <f t="shared" si="271"/>
        <v/>
      </c>
      <c r="U5783" s="58" t="str">
        <f t="shared" si="272"/>
        <v/>
      </c>
    </row>
    <row r="5784" spans="19:21" ht="23.25" customHeight="1" x14ac:dyDescent="0.35">
      <c r="S5784" s="56" t="str">
        <f t="shared" si="270"/>
        <v/>
      </c>
      <c r="T5784" s="57" t="str">
        <f t="shared" si="271"/>
        <v/>
      </c>
      <c r="U5784" s="58" t="str">
        <f t="shared" si="272"/>
        <v/>
      </c>
    </row>
    <row r="5785" spans="19:21" ht="23.25" customHeight="1" x14ac:dyDescent="0.35">
      <c r="S5785" s="56" t="str">
        <f t="shared" si="270"/>
        <v/>
      </c>
      <c r="T5785" s="57" t="str">
        <f t="shared" si="271"/>
        <v/>
      </c>
      <c r="U5785" s="58" t="str">
        <f t="shared" si="272"/>
        <v/>
      </c>
    </row>
    <row r="5786" spans="19:21" ht="23.25" customHeight="1" x14ac:dyDescent="0.35">
      <c r="S5786" s="56" t="str">
        <f t="shared" si="270"/>
        <v/>
      </c>
      <c r="T5786" s="57" t="str">
        <f t="shared" si="271"/>
        <v/>
      </c>
      <c r="U5786" s="58" t="str">
        <f t="shared" si="272"/>
        <v/>
      </c>
    </row>
    <row r="5787" spans="19:21" ht="23.25" customHeight="1" x14ac:dyDescent="0.35">
      <c r="S5787" s="56" t="str">
        <f t="shared" si="270"/>
        <v/>
      </c>
      <c r="T5787" s="57" t="str">
        <f t="shared" si="271"/>
        <v/>
      </c>
      <c r="U5787" s="58" t="str">
        <f t="shared" si="272"/>
        <v/>
      </c>
    </row>
    <row r="5788" spans="19:21" ht="23.25" customHeight="1" x14ac:dyDescent="0.35">
      <c r="S5788" s="56" t="str">
        <f t="shared" si="270"/>
        <v/>
      </c>
      <c r="T5788" s="57" t="str">
        <f t="shared" si="271"/>
        <v/>
      </c>
      <c r="U5788" s="58" t="str">
        <f t="shared" si="272"/>
        <v/>
      </c>
    </row>
    <row r="5789" spans="19:21" ht="23.25" customHeight="1" x14ac:dyDescent="0.35">
      <c r="S5789" s="56" t="str">
        <f t="shared" si="270"/>
        <v/>
      </c>
      <c r="T5789" s="57" t="str">
        <f t="shared" si="271"/>
        <v/>
      </c>
      <c r="U5789" s="58" t="str">
        <f t="shared" si="272"/>
        <v/>
      </c>
    </row>
    <row r="5790" spans="19:21" ht="23.25" customHeight="1" x14ac:dyDescent="0.35">
      <c r="S5790" s="56" t="str">
        <f t="shared" si="270"/>
        <v/>
      </c>
      <c r="T5790" s="57" t="str">
        <f t="shared" si="271"/>
        <v/>
      </c>
      <c r="U5790" s="58" t="str">
        <f t="shared" si="272"/>
        <v/>
      </c>
    </row>
    <row r="5791" spans="19:21" ht="23.25" customHeight="1" x14ac:dyDescent="0.35">
      <c r="S5791" s="56" t="str">
        <f t="shared" si="270"/>
        <v/>
      </c>
      <c r="T5791" s="57" t="str">
        <f t="shared" si="271"/>
        <v/>
      </c>
      <c r="U5791" s="58" t="str">
        <f t="shared" si="272"/>
        <v/>
      </c>
    </row>
    <row r="5792" spans="19:21" ht="23.25" customHeight="1" x14ac:dyDescent="0.35">
      <c r="S5792" s="56" t="str">
        <f t="shared" si="270"/>
        <v/>
      </c>
      <c r="T5792" s="57" t="str">
        <f t="shared" si="271"/>
        <v/>
      </c>
      <c r="U5792" s="58" t="str">
        <f t="shared" si="272"/>
        <v/>
      </c>
    </row>
    <row r="5793" spans="19:21" ht="23.25" customHeight="1" x14ac:dyDescent="0.35">
      <c r="S5793" s="56" t="str">
        <f t="shared" si="270"/>
        <v/>
      </c>
      <c r="T5793" s="57" t="str">
        <f t="shared" si="271"/>
        <v/>
      </c>
      <c r="U5793" s="58" t="str">
        <f t="shared" si="272"/>
        <v/>
      </c>
    </row>
    <row r="5794" spans="19:21" ht="23.25" customHeight="1" x14ac:dyDescent="0.35">
      <c r="S5794" s="56" t="str">
        <f t="shared" si="270"/>
        <v/>
      </c>
      <c r="T5794" s="57" t="str">
        <f t="shared" si="271"/>
        <v/>
      </c>
      <c r="U5794" s="58" t="str">
        <f t="shared" si="272"/>
        <v/>
      </c>
    </row>
    <row r="5795" spans="19:21" ht="23.25" customHeight="1" x14ac:dyDescent="0.35">
      <c r="S5795" s="56" t="str">
        <f t="shared" si="270"/>
        <v/>
      </c>
      <c r="T5795" s="57" t="str">
        <f t="shared" si="271"/>
        <v/>
      </c>
      <c r="U5795" s="58" t="str">
        <f t="shared" si="272"/>
        <v/>
      </c>
    </row>
    <row r="5796" spans="19:21" ht="23.25" customHeight="1" x14ac:dyDescent="0.35">
      <c r="S5796" s="56" t="str">
        <f t="shared" si="270"/>
        <v/>
      </c>
      <c r="T5796" s="57" t="str">
        <f t="shared" si="271"/>
        <v/>
      </c>
      <c r="U5796" s="58" t="str">
        <f t="shared" si="272"/>
        <v/>
      </c>
    </row>
    <row r="5797" spans="19:21" ht="23.25" customHeight="1" x14ac:dyDescent="0.35">
      <c r="S5797" s="56" t="str">
        <f t="shared" si="270"/>
        <v/>
      </c>
      <c r="T5797" s="57" t="str">
        <f t="shared" si="271"/>
        <v/>
      </c>
      <c r="U5797" s="58" t="str">
        <f t="shared" si="272"/>
        <v/>
      </c>
    </row>
    <row r="5798" spans="19:21" ht="23.25" customHeight="1" x14ac:dyDescent="0.35">
      <c r="S5798" s="56" t="str">
        <f t="shared" si="270"/>
        <v/>
      </c>
      <c r="T5798" s="57" t="str">
        <f t="shared" si="271"/>
        <v/>
      </c>
      <c r="U5798" s="58" t="str">
        <f t="shared" si="272"/>
        <v/>
      </c>
    </row>
    <row r="5799" spans="19:21" ht="23.25" customHeight="1" x14ac:dyDescent="0.35">
      <c r="S5799" s="56" t="str">
        <f t="shared" si="270"/>
        <v/>
      </c>
      <c r="T5799" s="57" t="str">
        <f t="shared" si="271"/>
        <v/>
      </c>
      <c r="U5799" s="58" t="str">
        <f t="shared" si="272"/>
        <v/>
      </c>
    </row>
    <row r="5800" spans="19:21" ht="23.25" customHeight="1" x14ac:dyDescent="0.35">
      <c r="S5800" s="56" t="str">
        <f t="shared" si="270"/>
        <v/>
      </c>
      <c r="T5800" s="57" t="str">
        <f t="shared" si="271"/>
        <v/>
      </c>
      <c r="U5800" s="58" t="str">
        <f t="shared" si="272"/>
        <v/>
      </c>
    </row>
    <row r="5801" spans="19:21" ht="23.25" customHeight="1" x14ac:dyDescent="0.35">
      <c r="S5801" s="56" t="str">
        <f t="shared" si="270"/>
        <v/>
      </c>
      <c r="T5801" s="57" t="str">
        <f t="shared" si="271"/>
        <v/>
      </c>
      <c r="U5801" s="58" t="str">
        <f t="shared" si="272"/>
        <v/>
      </c>
    </row>
    <row r="5802" spans="19:21" ht="23.25" customHeight="1" x14ac:dyDescent="0.35">
      <c r="S5802" s="56" t="str">
        <f t="shared" si="270"/>
        <v/>
      </c>
      <c r="T5802" s="57" t="str">
        <f t="shared" si="271"/>
        <v/>
      </c>
      <c r="U5802" s="58" t="str">
        <f t="shared" si="272"/>
        <v/>
      </c>
    </row>
    <row r="5803" spans="19:21" ht="23.25" customHeight="1" x14ac:dyDescent="0.35">
      <c r="S5803" s="56" t="str">
        <f t="shared" si="270"/>
        <v/>
      </c>
      <c r="T5803" s="57" t="str">
        <f t="shared" si="271"/>
        <v/>
      </c>
      <c r="U5803" s="58" t="str">
        <f t="shared" si="272"/>
        <v/>
      </c>
    </row>
    <row r="5804" spans="19:21" ht="23.25" customHeight="1" x14ac:dyDescent="0.35">
      <c r="S5804" s="56" t="str">
        <f t="shared" si="270"/>
        <v/>
      </c>
      <c r="T5804" s="57" t="str">
        <f t="shared" si="271"/>
        <v/>
      </c>
      <c r="U5804" s="58" t="str">
        <f t="shared" si="272"/>
        <v/>
      </c>
    </row>
    <row r="5805" spans="19:21" ht="23.25" customHeight="1" x14ac:dyDescent="0.35">
      <c r="S5805" s="56" t="str">
        <f t="shared" si="270"/>
        <v/>
      </c>
      <c r="T5805" s="57" t="str">
        <f t="shared" si="271"/>
        <v/>
      </c>
      <c r="U5805" s="58" t="str">
        <f t="shared" si="272"/>
        <v/>
      </c>
    </row>
    <row r="5806" spans="19:21" ht="23.25" customHeight="1" x14ac:dyDescent="0.35">
      <c r="S5806" s="56" t="str">
        <f t="shared" si="270"/>
        <v/>
      </c>
      <c r="T5806" s="57" t="str">
        <f t="shared" si="271"/>
        <v/>
      </c>
      <c r="U5806" s="58" t="str">
        <f t="shared" si="272"/>
        <v/>
      </c>
    </row>
    <row r="5807" spans="19:21" ht="23.25" customHeight="1" x14ac:dyDescent="0.35">
      <c r="S5807" s="56" t="str">
        <f t="shared" si="270"/>
        <v/>
      </c>
      <c r="T5807" s="57" t="str">
        <f t="shared" si="271"/>
        <v/>
      </c>
      <c r="U5807" s="58" t="str">
        <f t="shared" si="272"/>
        <v/>
      </c>
    </row>
    <row r="5808" spans="19:21" ht="23.25" customHeight="1" x14ac:dyDescent="0.35">
      <c r="S5808" s="56" t="str">
        <f t="shared" si="270"/>
        <v/>
      </c>
      <c r="T5808" s="57" t="str">
        <f t="shared" si="271"/>
        <v/>
      </c>
      <c r="U5808" s="58" t="str">
        <f t="shared" si="272"/>
        <v/>
      </c>
    </row>
    <row r="5809" spans="19:21" ht="23.25" customHeight="1" x14ac:dyDescent="0.35">
      <c r="S5809" s="56" t="str">
        <f t="shared" si="270"/>
        <v/>
      </c>
      <c r="T5809" s="57" t="str">
        <f t="shared" si="271"/>
        <v/>
      </c>
      <c r="U5809" s="58" t="str">
        <f t="shared" si="272"/>
        <v/>
      </c>
    </row>
    <row r="5810" spans="19:21" ht="23.25" customHeight="1" x14ac:dyDescent="0.35">
      <c r="S5810" s="56" t="str">
        <f t="shared" si="270"/>
        <v/>
      </c>
      <c r="T5810" s="57" t="str">
        <f t="shared" si="271"/>
        <v/>
      </c>
      <c r="U5810" s="58" t="str">
        <f t="shared" si="272"/>
        <v/>
      </c>
    </row>
    <row r="5811" spans="19:21" ht="23.25" customHeight="1" x14ac:dyDescent="0.35">
      <c r="S5811" s="56" t="str">
        <f t="shared" si="270"/>
        <v/>
      </c>
      <c r="T5811" s="57" t="str">
        <f t="shared" si="271"/>
        <v/>
      </c>
      <c r="U5811" s="58" t="str">
        <f t="shared" si="272"/>
        <v/>
      </c>
    </row>
    <row r="5812" spans="19:21" ht="23.25" customHeight="1" x14ac:dyDescent="0.35">
      <c r="S5812" s="56" t="str">
        <f t="shared" si="270"/>
        <v/>
      </c>
      <c r="T5812" s="57" t="str">
        <f t="shared" si="271"/>
        <v/>
      </c>
      <c r="U5812" s="58" t="str">
        <f t="shared" si="272"/>
        <v/>
      </c>
    </row>
    <row r="5813" spans="19:21" ht="23.25" customHeight="1" x14ac:dyDescent="0.35">
      <c r="S5813" s="56" t="str">
        <f t="shared" si="270"/>
        <v/>
      </c>
      <c r="T5813" s="57" t="str">
        <f t="shared" si="271"/>
        <v/>
      </c>
      <c r="U5813" s="58" t="str">
        <f t="shared" si="272"/>
        <v/>
      </c>
    </row>
    <row r="5814" spans="19:21" ht="23.25" customHeight="1" x14ac:dyDescent="0.35">
      <c r="S5814" s="56" t="str">
        <f t="shared" si="270"/>
        <v/>
      </c>
      <c r="T5814" s="57" t="str">
        <f t="shared" si="271"/>
        <v/>
      </c>
      <c r="U5814" s="58" t="str">
        <f t="shared" si="272"/>
        <v/>
      </c>
    </row>
    <row r="5815" spans="19:21" ht="23.25" customHeight="1" x14ac:dyDescent="0.35">
      <c r="S5815" s="56" t="str">
        <f t="shared" si="270"/>
        <v/>
      </c>
      <c r="T5815" s="57" t="str">
        <f t="shared" si="271"/>
        <v/>
      </c>
      <c r="U5815" s="58" t="str">
        <f t="shared" si="272"/>
        <v/>
      </c>
    </row>
    <row r="5816" spans="19:21" ht="23.25" customHeight="1" x14ac:dyDescent="0.35">
      <c r="S5816" s="56" t="str">
        <f t="shared" si="270"/>
        <v/>
      </c>
      <c r="T5816" s="57" t="str">
        <f t="shared" si="271"/>
        <v/>
      </c>
      <c r="U5816" s="58" t="str">
        <f t="shared" si="272"/>
        <v/>
      </c>
    </row>
    <row r="5817" spans="19:21" ht="23.25" customHeight="1" x14ac:dyDescent="0.35">
      <c r="S5817" s="56" t="str">
        <f t="shared" si="270"/>
        <v/>
      </c>
      <c r="T5817" s="57" t="str">
        <f t="shared" si="271"/>
        <v/>
      </c>
      <c r="U5817" s="58" t="str">
        <f t="shared" si="272"/>
        <v/>
      </c>
    </row>
    <row r="5818" spans="19:21" ht="23.25" customHeight="1" x14ac:dyDescent="0.35">
      <c r="S5818" s="56" t="str">
        <f t="shared" si="270"/>
        <v/>
      </c>
      <c r="T5818" s="57" t="str">
        <f t="shared" si="271"/>
        <v/>
      </c>
      <c r="U5818" s="58" t="str">
        <f t="shared" si="272"/>
        <v/>
      </c>
    </row>
    <row r="5819" spans="19:21" ht="23.25" customHeight="1" x14ac:dyDescent="0.35">
      <c r="S5819" s="56" t="str">
        <f t="shared" si="270"/>
        <v/>
      </c>
      <c r="T5819" s="57" t="str">
        <f t="shared" si="271"/>
        <v/>
      </c>
      <c r="U5819" s="58" t="str">
        <f t="shared" si="272"/>
        <v/>
      </c>
    </row>
    <row r="5820" spans="19:21" ht="23.25" customHeight="1" x14ac:dyDescent="0.35">
      <c r="S5820" s="56" t="str">
        <f t="shared" si="270"/>
        <v/>
      </c>
      <c r="T5820" s="57" t="str">
        <f t="shared" si="271"/>
        <v/>
      </c>
      <c r="U5820" s="58" t="str">
        <f t="shared" si="272"/>
        <v/>
      </c>
    </row>
    <row r="5821" spans="19:21" ht="23.25" customHeight="1" x14ac:dyDescent="0.35">
      <c r="S5821" s="56" t="str">
        <f t="shared" si="270"/>
        <v/>
      </c>
      <c r="T5821" s="57" t="str">
        <f t="shared" si="271"/>
        <v/>
      </c>
      <c r="U5821" s="58" t="str">
        <f t="shared" si="272"/>
        <v/>
      </c>
    </row>
    <row r="5822" spans="19:21" ht="23.25" customHeight="1" x14ac:dyDescent="0.35">
      <c r="S5822" s="56" t="str">
        <f t="shared" si="270"/>
        <v/>
      </c>
      <c r="T5822" s="57" t="str">
        <f t="shared" si="271"/>
        <v/>
      </c>
      <c r="U5822" s="58" t="str">
        <f t="shared" si="272"/>
        <v/>
      </c>
    </row>
    <row r="5823" spans="19:21" ht="23.25" customHeight="1" x14ac:dyDescent="0.35">
      <c r="S5823" s="56" t="str">
        <f t="shared" si="270"/>
        <v/>
      </c>
      <c r="T5823" s="57" t="str">
        <f t="shared" si="271"/>
        <v/>
      </c>
      <c r="U5823" s="58" t="str">
        <f t="shared" si="272"/>
        <v/>
      </c>
    </row>
    <row r="5824" spans="19:21" ht="23.25" customHeight="1" x14ac:dyDescent="0.35">
      <c r="S5824" s="56" t="str">
        <f t="shared" si="270"/>
        <v/>
      </c>
      <c r="T5824" s="57" t="str">
        <f t="shared" si="271"/>
        <v/>
      </c>
      <c r="U5824" s="58" t="str">
        <f t="shared" si="272"/>
        <v/>
      </c>
    </row>
    <row r="5825" spans="19:21" ht="23.25" customHeight="1" x14ac:dyDescent="0.35">
      <c r="S5825" s="56" t="str">
        <f t="shared" si="270"/>
        <v/>
      </c>
      <c r="T5825" s="57" t="str">
        <f t="shared" si="271"/>
        <v/>
      </c>
      <c r="U5825" s="58" t="str">
        <f t="shared" si="272"/>
        <v/>
      </c>
    </row>
    <row r="5826" spans="19:21" ht="23.25" customHeight="1" x14ac:dyDescent="0.35">
      <c r="S5826" s="56" t="str">
        <f t="shared" si="270"/>
        <v/>
      </c>
      <c r="T5826" s="57" t="str">
        <f t="shared" si="271"/>
        <v/>
      </c>
      <c r="U5826" s="58" t="str">
        <f t="shared" si="272"/>
        <v/>
      </c>
    </row>
    <row r="5827" spans="19:21" ht="23.25" customHeight="1" x14ac:dyDescent="0.35">
      <c r="S5827" s="56" t="str">
        <f t="shared" si="270"/>
        <v/>
      </c>
      <c r="T5827" s="57" t="str">
        <f t="shared" si="271"/>
        <v/>
      </c>
      <c r="U5827" s="58" t="str">
        <f t="shared" si="272"/>
        <v/>
      </c>
    </row>
    <row r="5828" spans="19:21" ht="23.25" customHeight="1" x14ac:dyDescent="0.35">
      <c r="S5828" s="56" t="str">
        <f t="shared" si="270"/>
        <v/>
      </c>
      <c r="T5828" s="57" t="str">
        <f t="shared" si="271"/>
        <v/>
      </c>
      <c r="U5828" s="58" t="str">
        <f t="shared" si="272"/>
        <v/>
      </c>
    </row>
    <row r="5829" spans="19:21" ht="23.25" customHeight="1" x14ac:dyDescent="0.35">
      <c r="S5829" s="56" t="str">
        <f t="shared" si="270"/>
        <v/>
      </c>
      <c r="T5829" s="57" t="str">
        <f t="shared" si="271"/>
        <v/>
      </c>
      <c r="U5829" s="58" t="str">
        <f t="shared" si="272"/>
        <v/>
      </c>
    </row>
    <row r="5830" spans="19:21" ht="23.25" customHeight="1" x14ac:dyDescent="0.35">
      <c r="S5830" s="56" t="str">
        <f t="shared" si="270"/>
        <v/>
      </c>
      <c r="T5830" s="57" t="str">
        <f t="shared" si="271"/>
        <v/>
      </c>
      <c r="U5830" s="58" t="str">
        <f t="shared" si="272"/>
        <v/>
      </c>
    </row>
    <row r="5831" spans="19:21" ht="23.25" customHeight="1" x14ac:dyDescent="0.35">
      <c r="S5831" s="56" t="str">
        <f t="shared" si="270"/>
        <v/>
      </c>
      <c r="T5831" s="57" t="str">
        <f t="shared" si="271"/>
        <v/>
      </c>
      <c r="U5831" s="58" t="str">
        <f t="shared" si="272"/>
        <v/>
      </c>
    </row>
    <row r="5832" spans="19:21" ht="23.25" customHeight="1" x14ac:dyDescent="0.35">
      <c r="S5832" s="56" t="str">
        <f t="shared" si="270"/>
        <v/>
      </c>
      <c r="T5832" s="57" t="str">
        <f t="shared" si="271"/>
        <v/>
      </c>
      <c r="U5832" s="58" t="str">
        <f t="shared" si="272"/>
        <v/>
      </c>
    </row>
    <row r="5833" spans="19:21" ht="23.25" customHeight="1" x14ac:dyDescent="0.35">
      <c r="S5833" s="56" t="str">
        <f t="shared" ref="S5833:S5896" si="273">IF(A5833="","",A$5-A5833)</f>
        <v/>
      </c>
      <c r="T5833" s="57" t="str">
        <f t="shared" ref="T5833:T5896" si="274">IF(S5833="","",IF(S5833&lt;4,"0-3 Days",IF(S5833&lt;31,"4-30 Days",IF(S5833&lt;61,"31-60 Days",IF(S5833&lt;=90,"61-90 Days",IF(S5833&gt;90,"Above 90 Days","0"))))))</f>
        <v/>
      </c>
      <c r="U5833" s="58" t="str">
        <f t="shared" ref="U5833:U5896" si="275">IF(C5833="","",IF(C5833&gt;0,IF(S5833&lt;30,"Normal",IF(S5833&lt;60,"Especially Mentioned",IF(S5833&lt;90,"Substandard",IF(S5833&lt;=180,"Doubtful",IF(S5833&gt;180,"Loss","0"))))),"Not Applicable"))</f>
        <v/>
      </c>
    </row>
    <row r="5834" spans="19:21" ht="23.25" customHeight="1" x14ac:dyDescent="0.35">
      <c r="S5834" s="56" t="str">
        <f t="shared" si="273"/>
        <v/>
      </c>
      <c r="T5834" s="57" t="str">
        <f t="shared" si="274"/>
        <v/>
      </c>
      <c r="U5834" s="58" t="str">
        <f t="shared" si="275"/>
        <v/>
      </c>
    </row>
    <row r="5835" spans="19:21" ht="23.25" customHeight="1" x14ac:dyDescent="0.35">
      <c r="S5835" s="56" t="str">
        <f t="shared" si="273"/>
        <v/>
      </c>
      <c r="T5835" s="57" t="str">
        <f t="shared" si="274"/>
        <v/>
      </c>
      <c r="U5835" s="58" t="str">
        <f t="shared" si="275"/>
        <v/>
      </c>
    </row>
    <row r="5836" spans="19:21" ht="23.25" customHeight="1" x14ac:dyDescent="0.35">
      <c r="S5836" s="56" t="str">
        <f t="shared" si="273"/>
        <v/>
      </c>
      <c r="T5836" s="57" t="str">
        <f t="shared" si="274"/>
        <v/>
      </c>
      <c r="U5836" s="58" t="str">
        <f t="shared" si="275"/>
        <v/>
      </c>
    </row>
    <row r="5837" spans="19:21" ht="23.25" customHeight="1" x14ac:dyDescent="0.35">
      <c r="S5837" s="56" t="str">
        <f t="shared" si="273"/>
        <v/>
      </c>
      <c r="T5837" s="57" t="str">
        <f t="shared" si="274"/>
        <v/>
      </c>
      <c r="U5837" s="58" t="str">
        <f t="shared" si="275"/>
        <v/>
      </c>
    </row>
    <row r="5838" spans="19:21" ht="23.25" customHeight="1" x14ac:dyDescent="0.35">
      <c r="S5838" s="56" t="str">
        <f t="shared" si="273"/>
        <v/>
      </c>
      <c r="T5838" s="57" t="str">
        <f t="shared" si="274"/>
        <v/>
      </c>
      <c r="U5838" s="58" t="str">
        <f t="shared" si="275"/>
        <v/>
      </c>
    </row>
    <row r="5839" spans="19:21" ht="23.25" customHeight="1" x14ac:dyDescent="0.35">
      <c r="S5839" s="56" t="str">
        <f t="shared" si="273"/>
        <v/>
      </c>
      <c r="T5839" s="57" t="str">
        <f t="shared" si="274"/>
        <v/>
      </c>
      <c r="U5839" s="58" t="str">
        <f t="shared" si="275"/>
        <v/>
      </c>
    </row>
    <row r="5840" spans="19:21" ht="23.25" customHeight="1" x14ac:dyDescent="0.35">
      <c r="S5840" s="56" t="str">
        <f t="shared" si="273"/>
        <v/>
      </c>
      <c r="T5840" s="57" t="str">
        <f t="shared" si="274"/>
        <v/>
      </c>
      <c r="U5840" s="58" t="str">
        <f t="shared" si="275"/>
        <v/>
      </c>
    </row>
    <row r="5841" spans="19:21" ht="23.25" customHeight="1" x14ac:dyDescent="0.35">
      <c r="S5841" s="56" t="str">
        <f t="shared" si="273"/>
        <v/>
      </c>
      <c r="T5841" s="57" t="str">
        <f t="shared" si="274"/>
        <v/>
      </c>
      <c r="U5841" s="58" t="str">
        <f t="shared" si="275"/>
        <v/>
      </c>
    </row>
    <row r="5842" spans="19:21" ht="23.25" customHeight="1" x14ac:dyDescent="0.35">
      <c r="S5842" s="56" t="str">
        <f t="shared" si="273"/>
        <v/>
      </c>
      <c r="T5842" s="57" t="str">
        <f t="shared" si="274"/>
        <v/>
      </c>
      <c r="U5842" s="58" t="str">
        <f t="shared" si="275"/>
        <v/>
      </c>
    </row>
    <row r="5843" spans="19:21" ht="23.25" customHeight="1" x14ac:dyDescent="0.35">
      <c r="S5843" s="56" t="str">
        <f t="shared" si="273"/>
        <v/>
      </c>
      <c r="T5843" s="57" t="str">
        <f t="shared" si="274"/>
        <v/>
      </c>
      <c r="U5843" s="58" t="str">
        <f t="shared" si="275"/>
        <v/>
      </c>
    </row>
    <row r="5844" spans="19:21" ht="23.25" customHeight="1" x14ac:dyDescent="0.35">
      <c r="S5844" s="56" t="str">
        <f t="shared" si="273"/>
        <v/>
      </c>
      <c r="T5844" s="57" t="str">
        <f t="shared" si="274"/>
        <v/>
      </c>
      <c r="U5844" s="58" t="str">
        <f t="shared" si="275"/>
        <v/>
      </c>
    </row>
    <row r="5845" spans="19:21" ht="23.25" customHeight="1" x14ac:dyDescent="0.35">
      <c r="S5845" s="56" t="str">
        <f t="shared" si="273"/>
        <v/>
      </c>
      <c r="T5845" s="57" t="str">
        <f t="shared" si="274"/>
        <v/>
      </c>
      <c r="U5845" s="58" t="str">
        <f t="shared" si="275"/>
        <v/>
      </c>
    </row>
    <row r="5846" spans="19:21" ht="23.25" customHeight="1" x14ac:dyDescent="0.35">
      <c r="S5846" s="56" t="str">
        <f t="shared" si="273"/>
        <v/>
      </c>
      <c r="T5846" s="57" t="str">
        <f t="shared" si="274"/>
        <v/>
      </c>
      <c r="U5846" s="58" t="str">
        <f t="shared" si="275"/>
        <v/>
      </c>
    </row>
    <row r="5847" spans="19:21" ht="23.25" customHeight="1" x14ac:dyDescent="0.35">
      <c r="S5847" s="56" t="str">
        <f t="shared" si="273"/>
        <v/>
      </c>
      <c r="T5847" s="57" t="str">
        <f t="shared" si="274"/>
        <v/>
      </c>
      <c r="U5847" s="58" t="str">
        <f t="shared" si="275"/>
        <v/>
      </c>
    </row>
    <row r="5848" spans="19:21" ht="23.25" customHeight="1" x14ac:dyDescent="0.35">
      <c r="S5848" s="56" t="str">
        <f t="shared" si="273"/>
        <v/>
      </c>
      <c r="T5848" s="57" t="str">
        <f t="shared" si="274"/>
        <v/>
      </c>
      <c r="U5848" s="58" t="str">
        <f t="shared" si="275"/>
        <v/>
      </c>
    </row>
    <row r="5849" spans="19:21" ht="23.25" customHeight="1" x14ac:dyDescent="0.35">
      <c r="S5849" s="56" t="str">
        <f t="shared" si="273"/>
        <v/>
      </c>
      <c r="T5849" s="57" t="str">
        <f t="shared" si="274"/>
        <v/>
      </c>
      <c r="U5849" s="58" t="str">
        <f t="shared" si="275"/>
        <v/>
      </c>
    </row>
    <row r="5850" spans="19:21" ht="23.25" customHeight="1" x14ac:dyDescent="0.35">
      <c r="S5850" s="56" t="str">
        <f t="shared" si="273"/>
        <v/>
      </c>
      <c r="T5850" s="57" t="str">
        <f t="shared" si="274"/>
        <v/>
      </c>
      <c r="U5850" s="58" t="str">
        <f t="shared" si="275"/>
        <v/>
      </c>
    </row>
    <row r="5851" spans="19:21" ht="23.25" customHeight="1" x14ac:dyDescent="0.35">
      <c r="S5851" s="56" t="str">
        <f t="shared" si="273"/>
        <v/>
      </c>
      <c r="T5851" s="57" t="str">
        <f t="shared" si="274"/>
        <v/>
      </c>
      <c r="U5851" s="58" t="str">
        <f t="shared" si="275"/>
        <v/>
      </c>
    </row>
    <row r="5852" spans="19:21" ht="23.25" customHeight="1" x14ac:dyDescent="0.35">
      <c r="S5852" s="56" t="str">
        <f t="shared" si="273"/>
        <v/>
      </c>
      <c r="T5852" s="57" t="str">
        <f t="shared" si="274"/>
        <v/>
      </c>
      <c r="U5852" s="58" t="str">
        <f t="shared" si="275"/>
        <v/>
      </c>
    </row>
    <row r="5853" spans="19:21" ht="23.25" customHeight="1" x14ac:dyDescent="0.35">
      <c r="S5853" s="56" t="str">
        <f t="shared" si="273"/>
        <v/>
      </c>
      <c r="T5853" s="57" t="str">
        <f t="shared" si="274"/>
        <v/>
      </c>
      <c r="U5853" s="58" t="str">
        <f t="shared" si="275"/>
        <v/>
      </c>
    </row>
    <row r="5854" spans="19:21" ht="23.25" customHeight="1" x14ac:dyDescent="0.35">
      <c r="S5854" s="56" t="str">
        <f t="shared" si="273"/>
        <v/>
      </c>
      <c r="T5854" s="57" t="str">
        <f t="shared" si="274"/>
        <v/>
      </c>
      <c r="U5854" s="58" t="str">
        <f t="shared" si="275"/>
        <v/>
      </c>
    </row>
    <row r="5855" spans="19:21" ht="23.25" customHeight="1" x14ac:dyDescent="0.35">
      <c r="S5855" s="56" t="str">
        <f t="shared" si="273"/>
        <v/>
      </c>
      <c r="T5855" s="57" t="str">
        <f t="shared" si="274"/>
        <v/>
      </c>
      <c r="U5855" s="58" t="str">
        <f t="shared" si="275"/>
        <v/>
      </c>
    </row>
    <row r="5856" spans="19:21" ht="23.25" customHeight="1" x14ac:dyDescent="0.35">
      <c r="S5856" s="56" t="str">
        <f t="shared" si="273"/>
        <v/>
      </c>
      <c r="T5856" s="57" t="str">
        <f t="shared" si="274"/>
        <v/>
      </c>
      <c r="U5856" s="58" t="str">
        <f t="shared" si="275"/>
        <v/>
      </c>
    </row>
    <row r="5857" spans="19:21" ht="23.25" customHeight="1" x14ac:dyDescent="0.35">
      <c r="S5857" s="56" t="str">
        <f t="shared" si="273"/>
        <v/>
      </c>
      <c r="T5857" s="57" t="str">
        <f t="shared" si="274"/>
        <v/>
      </c>
      <c r="U5857" s="58" t="str">
        <f t="shared" si="275"/>
        <v/>
      </c>
    </row>
    <row r="5858" spans="19:21" ht="23.25" customHeight="1" x14ac:dyDescent="0.35">
      <c r="S5858" s="56" t="str">
        <f t="shared" si="273"/>
        <v/>
      </c>
      <c r="T5858" s="57" t="str">
        <f t="shared" si="274"/>
        <v/>
      </c>
      <c r="U5858" s="58" t="str">
        <f t="shared" si="275"/>
        <v/>
      </c>
    </row>
    <row r="5859" spans="19:21" ht="23.25" customHeight="1" x14ac:dyDescent="0.35">
      <c r="S5859" s="56" t="str">
        <f t="shared" si="273"/>
        <v/>
      </c>
      <c r="T5859" s="57" t="str">
        <f t="shared" si="274"/>
        <v/>
      </c>
      <c r="U5859" s="58" t="str">
        <f t="shared" si="275"/>
        <v/>
      </c>
    </row>
    <row r="5860" spans="19:21" ht="23.25" customHeight="1" x14ac:dyDescent="0.35">
      <c r="S5860" s="56" t="str">
        <f t="shared" si="273"/>
        <v/>
      </c>
      <c r="T5860" s="57" t="str">
        <f t="shared" si="274"/>
        <v/>
      </c>
      <c r="U5860" s="58" t="str">
        <f t="shared" si="275"/>
        <v/>
      </c>
    </row>
    <row r="5861" spans="19:21" ht="23.25" customHeight="1" x14ac:dyDescent="0.35">
      <c r="S5861" s="56" t="str">
        <f t="shared" si="273"/>
        <v/>
      </c>
      <c r="T5861" s="57" t="str">
        <f t="shared" si="274"/>
        <v/>
      </c>
      <c r="U5861" s="58" t="str">
        <f t="shared" si="275"/>
        <v/>
      </c>
    </row>
    <row r="5862" spans="19:21" ht="23.25" customHeight="1" x14ac:dyDescent="0.35">
      <c r="S5862" s="56" t="str">
        <f t="shared" si="273"/>
        <v/>
      </c>
      <c r="T5862" s="57" t="str">
        <f t="shared" si="274"/>
        <v/>
      </c>
      <c r="U5862" s="58" t="str">
        <f t="shared" si="275"/>
        <v/>
      </c>
    </row>
    <row r="5863" spans="19:21" ht="23.25" customHeight="1" x14ac:dyDescent="0.35">
      <c r="S5863" s="56" t="str">
        <f t="shared" si="273"/>
        <v/>
      </c>
      <c r="T5863" s="57" t="str">
        <f t="shared" si="274"/>
        <v/>
      </c>
      <c r="U5863" s="58" t="str">
        <f t="shared" si="275"/>
        <v/>
      </c>
    </row>
    <row r="5864" spans="19:21" ht="23.25" customHeight="1" x14ac:dyDescent="0.35">
      <c r="S5864" s="56" t="str">
        <f t="shared" si="273"/>
        <v/>
      </c>
      <c r="T5864" s="57" t="str">
        <f t="shared" si="274"/>
        <v/>
      </c>
      <c r="U5864" s="58" t="str">
        <f t="shared" si="275"/>
        <v/>
      </c>
    </row>
    <row r="5865" spans="19:21" ht="23.25" customHeight="1" x14ac:dyDescent="0.35">
      <c r="S5865" s="56" t="str">
        <f t="shared" si="273"/>
        <v/>
      </c>
      <c r="T5865" s="57" t="str">
        <f t="shared" si="274"/>
        <v/>
      </c>
      <c r="U5865" s="58" t="str">
        <f t="shared" si="275"/>
        <v/>
      </c>
    </row>
    <row r="5866" spans="19:21" ht="23.25" customHeight="1" x14ac:dyDescent="0.35">
      <c r="S5866" s="56" t="str">
        <f t="shared" si="273"/>
        <v/>
      </c>
      <c r="T5866" s="57" t="str">
        <f t="shared" si="274"/>
        <v/>
      </c>
      <c r="U5866" s="58" t="str">
        <f t="shared" si="275"/>
        <v/>
      </c>
    </row>
    <row r="5867" spans="19:21" ht="23.25" customHeight="1" x14ac:dyDescent="0.35">
      <c r="S5867" s="56" t="str">
        <f t="shared" si="273"/>
        <v/>
      </c>
      <c r="T5867" s="57" t="str">
        <f t="shared" si="274"/>
        <v/>
      </c>
      <c r="U5867" s="58" t="str">
        <f t="shared" si="275"/>
        <v/>
      </c>
    </row>
    <row r="5868" spans="19:21" ht="23.25" customHeight="1" x14ac:dyDescent="0.35">
      <c r="S5868" s="56" t="str">
        <f t="shared" si="273"/>
        <v/>
      </c>
      <c r="T5868" s="57" t="str">
        <f t="shared" si="274"/>
        <v/>
      </c>
      <c r="U5868" s="58" t="str">
        <f t="shared" si="275"/>
        <v/>
      </c>
    </row>
    <row r="5869" spans="19:21" ht="23.25" customHeight="1" x14ac:dyDescent="0.35">
      <c r="S5869" s="56" t="str">
        <f t="shared" si="273"/>
        <v/>
      </c>
      <c r="T5869" s="57" t="str">
        <f t="shared" si="274"/>
        <v/>
      </c>
      <c r="U5869" s="58" t="str">
        <f t="shared" si="275"/>
        <v/>
      </c>
    </row>
    <row r="5870" spans="19:21" ht="23.25" customHeight="1" x14ac:dyDescent="0.35">
      <c r="S5870" s="56" t="str">
        <f t="shared" si="273"/>
        <v/>
      </c>
      <c r="T5870" s="57" t="str">
        <f t="shared" si="274"/>
        <v/>
      </c>
      <c r="U5870" s="58" t="str">
        <f t="shared" si="275"/>
        <v/>
      </c>
    </row>
    <row r="5871" spans="19:21" ht="23.25" customHeight="1" x14ac:dyDescent="0.35">
      <c r="S5871" s="56" t="str">
        <f t="shared" si="273"/>
        <v/>
      </c>
      <c r="T5871" s="57" t="str">
        <f t="shared" si="274"/>
        <v/>
      </c>
      <c r="U5871" s="58" t="str">
        <f t="shared" si="275"/>
        <v/>
      </c>
    </row>
    <row r="5872" spans="19:21" ht="23.25" customHeight="1" x14ac:dyDescent="0.35">
      <c r="S5872" s="56" t="str">
        <f t="shared" si="273"/>
        <v/>
      </c>
      <c r="T5872" s="57" t="str">
        <f t="shared" si="274"/>
        <v/>
      </c>
      <c r="U5872" s="58" t="str">
        <f t="shared" si="275"/>
        <v/>
      </c>
    </row>
    <row r="5873" spans="19:21" ht="23.25" customHeight="1" x14ac:dyDescent="0.35">
      <c r="S5873" s="56" t="str">
        <f t="shared" si="273"/>
        <v/>
      </c>
      <c r="T5873" s="57" t="str">
        <f t="shared" si="274"/>
        <v/>
      </c>
      <c r="U5873" s="58" t="str">
        <f t="shared" si="275"/>
        <v/>
      </c>
    </row>
    <row r="5874" spans="19:21" ht="23.25" customHeight="1" x14ac:dyDescent="0.35">
      <c r="S5874" s="56" t="str">
        <f t="shared" si="273"/>
        <v/>
      </c>
      <c r="T5874" s="57" t="str">
        <f t="shared" si="274"/>
        <v/>
      </c>
      <c r="U5874" s="58" t="str">
        <f t="shared" si="275"/>
        <v/>
      </c>
    </row>
    <row r="5875" spans="19:21" ht="23.25" customHeight="1" x14ac:dyDescent="0.35">
      <c r="S5875" s="56" t="str">
        <f t="shared" si="273"/>
        <v/>
      </c>
      <c r="T5875" s="57" t="str">
        <f t="shared" si="274"/>
        <v/>
      </c>
      <c r="U5875" s="58" t="str">
        <f t="shared" si="275"/>
        <v/>
      </c>
    </row>
    <row r="5876" spans="19:21" ht="23.25" customHeight="1" x14ac:dyDescent="0.35">
      <c r="S5876" s="56" t="str">
        <f t="shared" si="273"/>
        <v/>
      </c>
      <c r="T5876" s="57" t="str">
        <f t="shared" si="274"/>
        <v/>
      </c>
      <c r="U5876" s="58" t="str">
        <f t="shared" si="275"/>
        <v/>
      </c>
    </row>
    <row r="5877" spans="19:21" ht="23.25" customHeight="1" x14ac:dyDescent="0.35">
      <c r="S5877" s="56" t="str">
        <f t="shared" si="273"/>
        <v/>
      </c>
      <c r="T5877" s="57" t="str">
        <f t="shared" si="274"/>
        <v/>
      </c>
      <c r="U5877" s="58" t="str">
        <f t="shared" si="275"/>
        <v/>
      </c>
    </row>
    <row r="5878" spans="19:21" ht="23.25" customHeight="1" x14ac:dyDescent="0.35">
      <c r="S5878" s="56" t="str">
        <f t="shared" si="273"/>
        <v/>
      </c>
      <c r="T5878" s="57" t="str">
        <f t="shared" si="274"/>
        <v/>
      </c>
      <c r="U5878" s="58" t="str">
        <f t="shared" si="275"/>
        <v/>
      </c>
    </row>
    <row r="5879" spans="19:21" ht="23.25" customHeight="1" x14ac:dyDescent="0.35">
      <c r="S5879" s="56" t="str">
        <f t="shared" si="273"/>
        <v/>
      </c>
      <c r="T5879" s="57" t="str">
        <f t="shared" si="274"/>
        <v/>
      </c>
      <c r="U5879" s="58" t="str">
        <f t="shared" si="275"/>
        <v/>
      </c>
    </row>
    <row r="5880" spans="19:21" ht="23.25" customHeight="1" x14ac:dyDescent="0.35">
      <c r="S5880" s="56" t="str">
        <f t="shared" si="273"/>
        <v/>
      </c>
      <c r="T5880" s="57" t="str">
        <f t="shared" si="274"/>
        <v/>
      </c>
      <c r="U5880" s="58" t="str">
        <f t="shared" si="275"/>
        <v/>
      </c>
    </row>
    <row r="5881" spans="19:21" ht="23.25" customHeight="1" x14ac:dyDescent="0.35">
      <c r="S5881" s="56" t="str">
        <f t="shared" si="273"/>
        <v/>
      </c>
      <c r="T5881" s="57" t="str">
        <f t="shared" si="274"/>
        <v/>
      </c>
      <c r="U5881" s="58" t="str">
        <f t="shared" si="275"/>
        <v/>
      </c>
    </row>
    <row r="5882" spans="19:21" ht="23.25" customHeight="1" x14ac:dyDescent="0.35">
      <c r="S5882" s="56" t="str">
        <f t="shared" si="273"/>
        <v/>
      </c>
      <c r="T5882" s="57" t="str">
        <f t="shared" si="274"/>
        <v/>
      </c>
      <c r="U5882" s="58" t="str">
        <f t="shared" si="275"/>
        <v/>
      </c>
    </row>
    <row r="5883" spans="19:21" ht="23.25" customHeight="1" x14ac:dyDescent="0.35">
      <c r="S5883" s="56" t="str">
        <f t="shared" si="273"/>
        <v/>
      </c>
      <c r="T5883" s="57" t="str">
        <f t="shared" si="274"/>
        <v/>
      </c>
      <c r="U5883" s="58" t="str">
        <f t="shared" si="275"/>
        <v/>
      </c>
    </row>
    <row r="5884" spans="19:21" ht="23.25" customHeight="1" x14ac:dyDescent="0.35">
      <c r="S5884" s="56" t="str">
        <f t="shared" si="273"/>
        <v/>
      </c>
      <c r="T5884" s="57" t="str">
        <f t="shared" si="274"/>
        <v/>
      </c>
      <c r="U5884" s="58" t="str">
        <f t="shared" si="275"/>
        <v/>
      </c>
    </row>
    <row r="5885" spans="19:21" ht="23.25" customHeight="1" x14ac:dyDescent="0.35">
      <c r="S5885" s="56" t="str">
        <f t="shared" si="273"/>
        <v/>
      </c>
      <c r="T5885" s="57" t="str">
        <f t="shared" si="274"/>
        <v/>
      </c>
      <c r="U5885" s="58" t="str">
        <f t="shared" si="275"/>
        <v/>
      </c>
    </row>
    <row r="5886" spans="19:21" ht="23.25" customHeight="1" x14ac:dyDescent="0.35">
      <c r="S5886" s="56" t="str">
        <f t="shared" si="273"/>
        <v/>
      </c>
      <c r="T5886" s="57" t="str">
        <f t="shared" si="274"/>
        <v/>
      </c>
      <c r="U5886" s="58" t="str">
        <f t="shared" si="275"/>
        <v/>
      </c>
    </row>
    <row r="5887" spans="19:21" ht="23.25" customHeight="1" x14ac:dyDescent="0.35">
      <c r="S5887" s="56" t="str">
        <f t="shared" si="273"/>
        <v/>
      </c>
      <c r="T5887" s="57" t="str">
        <f t="shared" si="274"/>
        <v/>
      </c>
      <c r="U5887" s="58" t="str">
        <f t="shared" si="275"/>
        <v/>
      </c>
    </row>
    <row r="5888" spans="19:21" ht="23.25" customHeight="1" x14ac:dyDescent="0.35">
      <c r="S5888" s="56" t="str">
        <f t="shared" si="273"/>
        <v/>
      </c>
      <c r="T5888" s="57" t="str">
        <f t="shared" si="274"/>
        <v/>
      </c>
      <c r="U5888" s="58" t="str">
        <f t="shared" si="275"/>
        <v/>
      </c>
    </row>
    <row r="5889" spans="19:21" ht="23.25" customHeight="1" x14ac:dyDescent="0.35">
      <c r="S5889" s="56" t="str">
        <f t="shared" si="273"/>
        <v/>
      </c>
      <c r="T5889" s="57" t="str">
        <f t="shared" si="274"/>
        <v/>
      </c>
      <c r="U5889" s="58" t="str">
        <f t="shared" si="275"/>
        <v/>
      </c>
    </row>
    <row r="5890" spans="19:21" ht="23.25" customHeight="1" x14ac:dyDescent="0.35">
      <c r="S5890" s="56" t="str">
        <f t="shared" si="273"/>
        <v/>
      </c>
      <c r="T5890" s="57" t="str">
        <f t="shared" si="274"/>
        <v/>
      </c>
      <c r="U5890" s="58" t="str">
        <f t="shared" si="275"/>
        <v/>
      </c>
    </row>
    <row r="5891" spans="19:21" ht="23.25" customHeight="1" x14ac:dyDescent="0.35">
      <c r="S5891" s="56" t="str">
        <f t="shared" si="273"/>
        <v/>
      </c>
      <c r="T5891" s="57" t="str">
        <f t="shared" si="274"/>
        <v/>
      </c>
      <c r="U5891" s="58" t="str">
        <f t="shared" si="275"/>
        <v/>
      </c>
    </row>
    <row r="5892" spans="19:21" ht="23.25" customHeight="1" x14ac:dyDescent="0.35">
      <c r="S5892" s="56" t="str">
        <f t="shared" si="273"/>
        <v/>
      </c>
      <c r="T5892" s="57" t="str">
        <f t="shared" si="274"/>
        <v/>
      </c>
      <c r="U5892" s="58" t="str">
        <f t="shared" si="275"/>
        <v/>
      </c>
    </row>
    <row r="5893" spans="19:21" ht="23.25" customHeight="1" x14ac:dyDescent="0.35">
      <c r="S5893" s="56" t="str">
        <f t="shared" si="273"/>
        <v/>
      </c>
      <c r="T5893" s="57" t="str">
        <f t="shared" si="274"/>
        <v/>
      </c>
      <c r="U5893" s="58" t="str">
        <f t="shared" si="275"/>
        <v/>
      </c>
    </row>
    <row r="5894" spans="19:21" ht="23.25" customHeight="1" x14ac:dyDescent="0.35">
      <c r="S5894" s="56" t="str">
        <f t="shared" si="273"/>
        <v/>
      </c>
      <c r="T5894" s="57" t="str">
        <f t="shared" si="274"/>
        <v/>
      </c>
      <c r="U5894" s="58" t="str">
        <f t="shared" si="275"/>
        <v/>
      </c>
    </row>
    <row r="5895" spans="19:21" ht="23.25" customHeight="1" x14ac:dyDescent="0.35">
      <c r="S5895" s="56" t="str">
        <f t="shared" si="273"/>
        <v/>
      </c>
      <c r="T5895" s="57" t="str">
        <f t="shared" si="274"/>
        <v/>
      </c>
      <c r="U5895" s="58" t="str">
        <f t="shared" si="275"/>
        <v/>
      </c>
    </row>
    <row r="5896" spans="19:21" ht="23.25" customHeight="1" x14ac:dyDescent="0.35">
      <c r="S5896" s="56" t="str">
        <f t="shared" si="273"/>
        <v/>
      </c>
      <c r="T5896" s="57" t="str">
        <f t="shared" si="274"/>
        <v/>
      </c>
      <c r="U5896" s="58" t="str">
        <f t="shared" si="275"/>
        <v/>
      </c>
    </row>
    <row r="5897" spans="19:21" ht="23.25" customHeight="1" x14ac:dyDescent="0.35">
      <c r="S5897" s="56" t="str">
        <f t="shared" ref="S5897:S5960" si="276">IF(A5897="","",A$5-A5897)</f>
        <v/>
      </c>
      <c r="T5897" s="57" t="str">
        <f t="shared" ref="T5897:T5960" si="277">IF(S5897="","",IF(S5897&lt;4,"0-3 Days",IF(S5897&lt;31,"4-30 Days",IF(S5897&lt;61,"31-60 Days",IF(S5897&lt;=90,"61-90 Days",IF(S5897&gt;90,"Above 90 Days","0"))))))</f>
        <v/>
      </c>
      <c r="U5897" s="58" t="str">
        <f t="shared" ref="U5897:U5960" si="278">IF(C5897="","",IF(C5897&gt;0,IF(S5897&lt;30,"Normal",IF(S5897&lt;60,"Especially Mentioned",IF(S5897&lt;90,"Substandard",IF(S5897&lt;=180,"Doubtful",IF(S5897&gt;180,"Loss","0"))))),"Not Applicable"))</f>
        <v/>
      </c>
    </row>
    <row r="5898" spans="19:21" ht="23.25" customHeight="1" x14ac:dyDescent="0.35">
      <c r="S5898" s="56" t="str">
        <f t="shared" si="276"/>
        <v/>
      </c>
      <c r="T5898" s="57" t="str">
        <f t="shared" si="277"/>
        <v/>
      </c>
      <c r="U5898" s="58" t="str">
        <f t="shared" si="278"/>
        <v/>
      </c>
    </row>
    <row r="5899" spans="19:21" ht="23.25" customHeight="1" x14ac:dyDescent="0.35">
      <c r="S5899" s="56" t="str">
        <f t="shared" si="276"/>
        <v/>
      </c>
      <c r="T5899" s="57" t="str">
        <f t="shared" si="277"/>
        <v/>
      </c>
      <c r="U5899" s="58" t="str">
        <f t="shared" si="278"/>
        <v/>
      </c>
    </row>
    <row r="5900" spans="19:21" ht="23.25" customHeight="1" x14ac:dyDescent="0.35">
      <c r="S5900" s="56" t="str">
        <f t="shared" si="276"/>
        <v/>
      </c>
      <c r="T5900" s="57" t="str">
        <f t="shared" si="277"/>
        <v/>
      </c>
      <c r="U5900" s="58" t="str">
        <f t="shared" si="278"/>
        <v/>
      </c>
    </row>
    <row r="5901" spans="19:21" ht="23.25" customHeight="1" x14ac:dyDescent="0.35">
      <c r="S5901" s="56" t="str">
        <f t="shared" si="276"/>
        <v/>
      </c>
      <c r="T5901" s="57" t="str">
        <f t="shared" si="277"/>
        <v/>
      </c>
      <c r="U5901" s="58" t="str">
        <f t="shared" si="278"/>
        <v/>
      </c>
    </row>
    <row r="5902" spans="19:21" ht="23.25" customHeight="1" x14ac:dyDescent="0.35">
      <c r="S5902" s="56" t="str">
        <f t="shared" si="276"/>
        <v/>
      </c>
      <c r="T5902" s="57" t="str">
        <f t="shared" si="277"/>
        <v/>
      </c>
      <c r="U5902" s="58" t="str">
        <f t="shared" si="278"/>
        <v/>
      </c>
    </row>
    <row r="5903" spans="19:21" ht="23.25" customHeight="1" x14ac:dyDescent="0.35">
      <c r="S5903" s="56" t="str">
        <f t="shared" si="276"/>
        <v/>
      </c>
      <c r="T5903" s="57" t="str">
        <f t="shared" si="277"/>
        <v/>
      </c>
      <c r="U5903" s="58" t="str">
        <f t="shared" si="278"/>
        <v/>
      </c>
    </row>
    <row r="5904" spans="19:21" ht="23.25" customHeight="1" x14ac:dyDescent="0.35">
      <c r="S5904" s="56" t="str">
        <f t="shared" si="276"/>
        <v/>
      </c>
      <c r="T5904" s="57" t="str">
        <f t="shared" si="277"/>
        <v/>
      </c>
      <c r="U5904" s="58" t="str">
        <f t="shared" si="278"/>
        <v/>
      </c>
    </row>
    <row r="5905" spans="19:21" ht="23.25" customHeight="1" x14ac:dyDescent="0.35">
      <c r="S5905" s="56" t="str">
        <f t="shared" si="276"/>
        <v/>
      </c>
      <c r="T5905" s="57" t="str">
        <f t="shared" si="277"/>
        <v/>
      </c>
      <c r="U5905" s="58" t="str">
        <f t="shared" si="278"/>
        <v/>
      </c>
    </row>
    <row r="5906" spans="19:21" ht="23.25" customHeight="1" x14ac:dyDescent="0.35">
      <c r="S5906" s="56" t="str">
        <f t="shared" si="276"/>
        <v/>
      </c>
      <c r="T5906" s="57" t="str">
        <f t="shared" si="277"/>
        <v/>
      </c>
      <c r="U5906" s="58" t="str">
        <f t="shared" si="278"/>
        <v/>
      </c>
    </row>
    <row r="5907" spans="19:21" ht="23.25" customHeight="1" x14ac:dyDescent="0.35">
      <c r="S5907" s="56" t="str">
        <f t="shared" si="276"/>
        <v/>
      </c>
      <c r="T5907" s="57" t="str">
        <f t="shared" si="277"/>
        <v/>
      </c>
      <c r="U5907" s="58" t="str">
        <f t="shared" si="278"/>
        <v/>
      </c>
    </row>
    <row r="5908" spans="19:21" ht="23.25" customHeight="1" x14ac:dyDescent="0.35">
      <c r="S5908" s="56" t="str">
        <f t="shared" si="276"/>
        <v/>
      </c>
      <c r="T5908" s="57" t="str">
        <f t="shared" si="277"/>
        <v/>
      </c>
      <c r="U5908" s="58" t="str">
        <f t="shared" si="278"/>
        <v/>
      </c>
    </row>
    <row r="5909" spans="19:21" ht="23.25" customHeight="1" x14ac:dyDescent="0.35">
      <c r="S5909" s="56" t="str">
        <f t="shared" si="276"/>
        <v/>
      </c>
      <c r="T5909" s="57" t="str">
        <f t="shared" si="277"/>
        <v/>
      </c>
      <c r="U5909" s="58" t="str">
        <f t="shared" si="278"/>
        <v/>
      </c>
    </row>
    <row r="5910" spans="19:21" ht="23.25" customHeight="1" x14ac:dyDescent="0.35">
      <c r="S5910" s="56" t="str">
        <f t="shared" si="276"/>
        <v/>
      </c>
      <c r="T5910" s="57" t="str">
        <f t="shared" si="277"/>
        <v/>
      </c>
      <c r="U5910" s="58" t="str">
        <f t="shared" si="278"/>
        <v/>
      </c>
    </row>
    <row r="5911" spans="19:21" ht="23.25" customHeight="1" x14ac:dyDescent="0.35">
      <c r="S5911" s="56" t="str">
        <f t="shared" si="276"/>
        <v/>
      </c>
      <c r="T5911" s="57" t="str">
        <f t="shared" si="277"/>
        <v/>
      </c>
      <c r="U5911" s="58" t="str">
        <f t="shared" si="278"/>
        <v/>
      </c>
    </row>
    <row r="5912" spans="19:21" ht="23.25" customHeight="1" x14ac:dyDescent="0.35">
      <c r="S5912" s="56" t="str">
        <f t="shared" si="276"/>
        <v/>
      </c>
      <c r="T5912" s="57" t="str">
        <f t="shared" si="277"/>
        <v/>
      </c>
      <c r="U5912" s="58" t="str">
        <f t="shared" si="278"/>
        <v/>
      </c>
    </row>
    <row r="5913" spans="19:21" ht="23.25" customHeight="1" x14ac:dyDescent="0.35">
      <c r="S5913" s="56" t="str">
        <f t="shared" si="276"/>
        <v/>
      </c>
      <c r="T5913" s="57" t="str">
        <f t="shared" si="277"/>
        <v/>
      </c>
      <c r="U5913" s="58" t="str">
        <f t="shared" si="278"/>
        <v/>
      </c>
    </row>
    <row r="5914" spans="19:21" ht="23.25" customHeight="1" x14ac:dyDescent="0.35">
      <c r="S5914" s="56" t="str">
        <f t="shared" si="276"/>
        <v/>
      </c>
      <c r="T5914" s="57" t="str">
        <f t="shared" si="277"/>
        <v/>
      </c>
      <c r="U5914" s="58" t="str">
        <f t="shared" si="278"/>
        <v/>
      </c>
    </row>
    <row r="5915" spans="19:21" ht="23.25" customHeight="1" x14ac:dyDescent="0.35">
      <c r="S5915" s="56" t="str">
        <f t="shared" si="276"/>
        <v/>
      </c>
      <c r="T5915" s="57" t="str">
        <f t="shared" si="277"/>
        <v/>
      </c>
      <c r="U5915" s="58" t="str">
        <f t="shared" si="278"/>
        <v/>
      </c>
    </row>
    <row r="5916" spans="19:21" ht="23.25" customHeight="1" x14ac:dyDescent="0.35">
      <c r="S5916" s="56" t="str">
        <f t="shared" si="276"/>
        <v/>
      </c>
      <c r="T5916" s="57" t="str">
        <f t="shared" si="277"/>
        <v/>
      </c>
      <c r="U5916" s="58" t="str">
        <f t="shared" si="278"/>
        <v/>
      </c>
    </row>
    <row r="5917" spans="19:21" ht="23.25" customHeight="1" x14ac:dyDescent="0.35">
      <c r="S5917" s="56" t="str">
        <f t="shared" si="276"/>
        <v/>
      </c>
      <c r="T5917" s="57" t="str">
        <f t="shared" si="277"/>
        <v/>
      </c>
      <c r="U5917" s="58" t="str">
        <f t="shared" si="278"/>
        <v/>
      </c>
    </row>
    <row r="5918" spans="19:21" ht="23.25" customHeight="1" x14ac:dyDescent="0.35">
      <c r="S5918" s="56" t="str">
        <f t="shared" si="276"/>
        <v/>
      </c>
      <c r="T5918" s="57" t="str">
        <f t="shared" si="277"/>
        <v/>
      </c>
      <c r="U5918" s="58" t="str">
        <f t="shared" si="278"/>
        <v/>
      </c>
    </row>
    <row r="5919" spans="19:21" ht="23.25" customHeight="1" x14ac:dyDescent="0.35">
      <c r="S5919" s="56" t="str">
        <f t="shared" si="276"/>
        <v/>
      </c>
      <c r="T5919" s="57" t="str">
        <f t="shared" si="277"/>
        <v/>
      </c>
      <c r="U5919" s="58" t="str">
        <f t="shared" si="278"/>
        <v/>
      </c>
    </row>
    <row r="5920" spans="19:21" ht="23.25" customHeight="1" x14ac:dyDescent="0.35">
      <c r="S5920" s="56" t="str">
        <f t="shared" si="276"/>
        <v/>
      </c>
      <c r="T5920" s="57" t="str">
        <f t="shared" si="277"/>
        <v/>
      </c>
      <c r="U5920" s="58" t="str">
        <f t="shared" si="278"/>
        <v/>
      </c>
    </row>
    <row r="5921" spans="19:21" ht="23.25" customHeight="1" x14ac:dyDescent="0.35">
      <c r="S5921" s="56" t="str">
        <f t="shared" si="276"/>
        <v/>
      </c>
      <c r="T5921" s="57" t="str">
        <f t="shared" si="277"/>
        <v/>
      </c>
      <c r="U5921" s="58" t="str">
        <f t="shared" si="278"/>
        <v/>
      </c>
    </row>
    <row r="5922" spans="19:21" ht="23.25" customHeight="1" x14ac:dyDescent="0.35">
      <c r="S5922" s="56" t="str">
        <f t="shared" si="276"/>
        <v/>
      </c>
      <c r="T5922" s="57" t="str">
        <f t="shared" si="277"/>
        <v/>
      </c>
      <c r="U5922" s="58" t="str">
        <f t="shared" si="278"/>
        <v/>
      </c>
    </row>
    <row r="5923" spans="19:21" ht="23.25" customHeight="1" x14ac:dyDescent="0.35">
      <c r="S5923" s="56" t="str">
        <f t="shared" si="276"/>
        <v/>
      </c>
      <c r="T5923" s="57" t="str">
        <f t="shared" si="277"/>
        <v/>
      </c>
      <c r="U5923" s="58" t="str">
        <f t="shared" si="278"/>
        <v/>
      </c>
    </row>
    <row r="5924" spans="19:21" ht="23.25" customHeight="1" x14ac:dyDescent="0.35">
      <c r="S5924" s="56" t="str">
        <f t="shared" si="276"/>
        <v/>
      </c>
      <c r="T5924" s="57" t="str">
        <f t="shared" si="277"/>
        <v/>
      </c>
      <c r="U5924" s="58" t="str">
        <f t="shared" si="278"/>
        <v/>
      </c>
    </row>
    <row r="5925" spans="19:21" ht="23.25" customHeight="1" x14ac:dyDescent="0.35">
      <c r="S5925" s="56" t="str">
        <f t="shared" si="276"/>
        <v/>
      </c>
      <c r="T5925" s="57" t="str">
        <f t="shared" si="277"/>
        <v/>
      </c>
      <c r="U5925" s="58" t="str">
        <f t="shared" si="278"/>
        <v/>
      </c>
    </row>
    <row r="5926" spans="19:21" ht="23.25" customHeight="1" x14ac:dyDescent="0.35">
      <c r="S5926" s="56" t="str">
        <f t="shared" si="276"/>
        <v/>
      </c>
      <c r="T5926" s="57" t="str">
        <f t="shared" si="277"/>
        <v/>
      </c>
      <c r="U5926" s="58" t="str">
        <f t="shared" si="278"/>
        <v/>
      </c>
    </row>
    <row r="5927" spans="19:21" ht="23.25" customHeight="1" x14ac:dyDescent="0.35">
      <c r="S5927" s="56" t="str">
        <f t="shared" si="276"/>
        <v/>
      </c>
      <c r="T5927" s="57" t="str">
        <f t="shared" si="277"/>
        <v/>
      </c>
      <c r="U5927" s="58" t="str">
        <f t="shared" si="278"/>
        <v/>
      </c>
    </row>
    <row r="5928" spans="19:21" ht="23.25" customHeight="1" x14ac:dyDescent="0.35">
      <c r="S5928" s="56" t="str">
        <f t="shared" si="276"/>
        <v/>
      </c>
      <c r="T5928" s="57" t="str">
        <f t="shared" si="277"/>
        <v/>
      </c>
      <c r="U5928" s="58" t="str">
        <f t="shared" si="278"/>
        <v/>
      </c>
    </row>
    <row r="5929" spans="19:21" ht="23.25" customHeight="1" x14ac:dyDescent="0.35">
      <c r="S5929" s="56" t="str">
        <f t="shared" si="276"/>
        <v/>
      </c>
      <c r="T5929" s="57" t="str">
        <f t="shared" si="277"/>
        <v/>
      </c>
      <c r="U5929" s="58" t="str">
        <f t="shared" si="278"/>
        <v/>
      </c>
    </row>
    <row r="5930" spans="19:21" ht="23.25" customHeight="1" x14ac:dyDescent="0.35">
      <c r="S5930" s="56" t="str">
        <f t="shared" si="276"/>
        <v/>
      </c>
      <c r="T5930" s="57" t="str">
        <f t="shared" si="277"/>
        <v/>
      </c>
      <c r="U5930" s="58" t="str">
        <f t="shared" si="278"/>
        <v/>
      </c>
    </row>
    <row r="5931" spans="19:21" ht="23.25" customHeight="1" x14ac:dyDescent="0.35">
      <c r="S5931" s="56" t="str">
        <f t="shared" si="276"/>
        <v/>
      </c>
      <c r="T5931" s="57" t="str">
        <f t="shared" si="277"/>
        <v/>
      </c>
      <c r="U5931" s="58" t="str">
        <f t="shared" si="278"/>
        <v/>
      </c>
    </row>
    <row r="5932" spans="19:21" ht="23.25" customHeight="1" x14ac:dyDescent="0.35">
      <c r="S5932" s="56" t="str">
        <f t="shared" si="276"/>
        <v/>
      </c>
      <c r="T5932" s="57" t="str">
        <f t="shared" si="277"/>
        <v/>
      </c>
      <c r="U5932" s="58" t="str">
        <f t="shared" si="278"/>
        <v/>
      </c>
    </row>
    <row r="5933" spans="19:21" ht="23.25" customHeight="1" x14ac:dyDescent="0.35">
      <c r="S5933" s="56" t="str">
        <f t="shared" si="276"/>
        <v/>
      </c>
      <c r="T5933" s="57" t="str">
        <f t="shared" si="277"/>
        <v/>
      </c>
      <c r="U5933" s="58" t="str">
        <f t="shared" si="278"/>
        <v/>
      </c>
    </row>
    <row r="5934" spans="19:21" ht="23.25" customHeight="1" x14ac:dyDescent="0.35">
      <c r="S5934" s="56" t="str">
        <f t="shared" si="276"/>
        <v/>
      </c>
      <c r="T5934" s="57" t="str">
        <f t="shared" si="277"/>
        <v/>
      </c>
      <c r="U5934" s="58" t="str">
        <f t="shared" si="278"/>
        <v/>
      </c>
    </row>
    <row r="5935" spans="19:21" ht="23.25" customHeight="1" x14ac:dyDescent="0.35">
      <c r="S5935" s="56" t="str">
        <f t="shared" si="276"/>
        <v/>
      </c>
      <c r="T5935" s="57" t="str">
        <f t="shared" si="277"/>
        <v/>
      </c>
      <c r="U5935" s="58" t="str">
        <f t="shared" si="278"/>
        <v/>
      </c>
    </row>
    <row r="5936" spans="19:21" ht="23.25" customHeight="1" x14ac:dyDescent="0.35">
      <c r="S5936" s="56" t="str">
        <f t="shared" si="276"/>
        <v/>
      </c>
      <c r="T5936" s="57" t="str">
        <f t="shared" si="277"/>
        <v/>
      </c>
      <c r="U5936" s="58" t="str">
        <f t="shared" si="278"/>
        <v/>
      </c>
    </row>
    <row r="5937" spans="19:21" ht="23.25" customHeight="1" x14ac:dyDescent="0.35">
      <c r="S5937" s="56" t="str">
        <f t="shared" si="276"/>
        <v/>
      </c>
      <c r="T5937" s="57" t="str">
        <f t="shared" si="277"/>
        <v/>
      </c>
      <c r="U5937" s="58" t="str">
        <f t="shared" si="278"/>
        <v/>
      </c>
    </row>
    <row r="5938" spans="19:21" ht="23.25" customHeight="1" x14ac:dyDescent="0.35">
      <c r="S5938" s="56" t="str">
        <f t="shared" si="276"/>
        <v/>
      </c>
      <c r="T5938" s="57" t="str">
        <f t="shared" si="277"/>
        <v/>
      </c>
      <c r="U5938" s="58" t="str">
        <f t="shared" si="278"/>
        <v/>
      </c>
    </row>
    <row r="5939" spans="19:21" ht="23.25" customHeight="1" x14ac:dyDescent="0.35">
      <c r="S5939" s="56" t="str">
        <f t="shared" si="276"/>
        <v/>
      </c>
      <c r="T5939" s="57" t="str">
        <f t="shared" si="277"/>
        <v/>
      </c>
      <c r="U5939" s="58" t="str">
        <f t="shared" si="278"/>
        <v/>
      </c>
    </row>
    <row r="5940" spans="19:21" ht="23.25" customHeight="1" x14ac:dyDescent="0.35">
      <c r="S5940" s="56" t="str">
        <f t="shared" si="276"/>
        <v/>
      </c>
      <c r="T5940" s="57" t="str">
        <f t="shared" si="277"/>
        <v/>
      </c>
      <c r="U5940" s="58" t="str">
        <f t="shared" si="278"/>
        <v/>
      </c>
    </row>
    <row r="5941" spans="19:21" ht="23.25" customHeight="1" x14ac:dyDescent="0.35">
      <c r="S5941" s="56" t="str">
        <f t="shared" si="276"/>
        <v/>
      </c>
      <c r="T5941" s="57" t="str">
        <f t="shared" si="277"/>
        <v/>
      </c>
      <c r="U5941" s="58" t="str">
        <f t="shared" si="278"/>
        <v/>
      </c>
    </row>
    <row r="5942" spans="19:21" ht="23.25" customHeight="1" x14ac:dyDescent="0.35">
      <c r="S5942" s="56" t="str">
        <f t="shared" si="276"/>
        <v/>
      </c>
      <c r="T5942" s="57" t="str">
        <f t="shared" si="277"/>
        <v/>
      </c>
      <c r="U5942" s="58" t="str">
        <f t="shared" si="278"/>
        <v/>
      </c>
    </row>
    <row r="5943" spans="19:21" ht="23.25" customHeight="1" x14ac:dyDescent="0.35">
      <c r="S5943" s="56" t="str">
        <f t="shared" si="276"/>
        <v/>
      </c>
      <c r="T5943" s="57" t="str">
        <f t="shared" si="277"/>
        <v/>
      </c>
      <c r="U5943" s="58" t="str">
        <f t="shared" si="278"/>
        <v/>
      </c>
    </row>
    <row r="5944" spans="19:21" ht="23.25" customHeight="1" x14ac:dyDescent="0.35">
      <c r="S5944" s="56" t="str">
        <f t="shared" si="276"/>
        <v/>
      </c>
      <c r="T5944" s="57" t="str">
        <f t="shared" si="277"/>
        <v/>
      </c>
      <c r="U5944" s="58" t="str">
        <f t="shared" si="278"/>
        <v/>
      </c>
    </row>
    <row r="5945" spans="19:21" ht="23.25" customHeight="1" x14ac:dyDescent="0.35">
      <c r="S5945" s="56" t="str">
        <f t="shared" si="276"/>
        <v/>
      </c>
      <c r="T5945" s="57" t="str">
        <f t="shared" si="277"/>
        <v/>
      </c>
      <c r="U5945" s="58" t="str">
        <f t="shared" si="278"/>
        <v/>
      </c>
    </row>
    <row r="5946" spans="19:21" ht="23.25" customHeight="1" x14ac:dyDescent="0.35">
      <c r="S5946" s="56" t="str">
        <f t="shared" si="276"/>
        <v/>
      </c>
      <c r="T5946" s="57" t="str">
        <f t="shared" si="277"/>
        <v/>
      </c>
      <c r="U5946" s="58" t="str">
        <f t="shared" si="278"/>
        <v/>
      </c>
    </row>
    <row r="5947" spans="19:21" ht="23.25" customHeight="1" x14ac:dyDescent="0.35">
      <c r="S5947" s="56" t="str">
        <f t="shared" si="276"/>
        <v/>
      </c>
      <c r="T5947" s="57" t="str">
        <f t="shared" si="277"/>
        <v/>
      </c>
      <c r="U5947" s="58" t="str">
        <f t="shared" si="278"/>
        <v/>
      </c>
    </row>
    <row r="5948" spans="19:21" ht="23.25" customHeight="1" x14ac:dyDescent="0.35">
      <c r="S5948" s="56" t="str">
        <f t="shared" si="276"/>
        <v/>
      </c>
      <c r="T5948" s="57" t="str">
        <f t="shared" si="277"/>
        <v/>
      </c>
      <c r="U5948" s="58" t="str">
        <f t="shared" si="278"/>
        <v/>
      </c>
    </row>
    <row r="5949" spans="19:21" ht="23.25" customHeight="1" x14ac:dyDescent="0.35">
      <c r="S5949" s="56" t="str">
        <f t="shared" si="276"/>
        <v/>
      </c>
      <c r="T5949" s="57" t="str">
        <f t="shared" si="277"/>
        <v/>
      </c>
      <c r="U5949" s="58" t="str">
        <f t="shared" si="278"/>
        <v/>
      </c>
    </row>
    <row r="5950" spans="19:21" ht="23.25" customHeight="1" x14ac:dyDescent="0.35">
      <c r="S5950" s="56" t="str">
        <f t="shared" si="276"/>
        <v/>
      </c>
      <c r="T5950" s="57" t="str">
        <f t="shared" si="277"/>
        <v/>
      </c>
      <c r="U5950" s="58" t="str">
        <f t="shared" si="278"/>
        <v/>
      </c>
    </row>
    <row r="5951" spans="19:21" ht="23.25" customHeight="1" x14ac:dyDescent="0.35">
      <c r="S5951" s="56" t="str">
        <f t="shared" si="276"/>
        <v/>
      </c>
      <c r="T5951" s="57" t="str">
        <f t="shared" si="277"/>
        <v/>
      </c>
      <c r="U5951" s="58" t="str">
        <f t="shared" si="278"/>
        <v/>
      </c>
    </row>
    <row r="5952" spans="19:21" ht="23.25" customHeight="1" x14ac:dyDescent="0.35">
      <c r="S5952" s="56" t="str">
        <f t="shared" si="276"/>
        <v/>
      </c>
      <c r="T5952" s="57" t="str">
        <f t="shared" si="277"/>
        <v/>
      </c>
      <c r="U5952" s="58" t="str">
        <f t="shared" si="278"/>
        <v/>
      </c>
    </row>
    <row r="5953" spans="19:21" ht="23.25" customHeight="1" x14ac:dyDescent="0.35">
      <c r="S5953" s="56" t="str">
        <f t="shared" si="276"/>
        <v/>
      </c>
      <c r="T5953" s="57" t="str">
        <f t="shared" si="277"/>
        <v/>
      </c>
      <c r="U5953" s="58" t="str">
        <f t="shared" si="278"/>
        <v/>
      </c>
    </row>
    <row r="5954" spans="19:21" ht="23.25" customHeight="1" x14ac:dyDescent="0.35">
      <c r="S5954" s="56" t="str">
        <f t="shared" si="276"/>
        <v/>
      </c>
      <c r="T5954" s="57" t="str">
        <f t="shared" si="277"/>
        <v/>
      </c>
      <c r="U5954" s="58" t="str">
        <f t="shared" si="278"/>
        <v/>
      </c>
    </row>
    <row r="5955" spans="19:21" ht="23.25" customHeight="1" x14ac:dyDescent="0.35">
      <c r="S5955" s="56" t="str">
        <f t="shared" si="276"/>
        <v/>
      </c>
      <c r="T5955" s="57" t="str">
        <f t="shared" si="277"/>
        <v/>
      </c>
      <c r="U5955" s="58" t="str">
        <f t="shared" si="278"/>
        <v/>
      </c>
    </row>
    <row r="5956" spans="19:21" ht="23.25" customHeight="1" x14ac:dyDescent="0.35">
      <c r="S5956" s="56" t="str">
        <f t="shared" si="276"/>
        <v/>
      </c>
      <c r="T5956" s="57" t="str">
        <f t="shared" si="277"/>
        <v/>
      </c>
      <c r="U5956" s="58" t="str">
        <f t="shared" si="278"/>
        <v/>
      </c>
    </row>
    <row r="5957" spans="19:21" ht="23.25" customHeight="1" x14ac:dyDescent="0.35">
      <c r="S5957" s="56" t="str">
        <f t="shared" si="276"/>
        <v/>
      </c>
      <c r="T5957" s="57" t="str">
        <f t="shared" si="277"/>
        <v/>
      </c>
      <c r="U5957" s="58" t="str">
        <f t="shared" si="278"/>
        <v/>
      </c>
    </row>
    <row r="5958" spans="19:21" ht="23.25" customHeight="1" x14ac:dyDescent="0.35">
      <c r="S5958" s="56" t="str">
        <f t="shared" si="276"/>
        <v/>
      </c>
      <c r="T5958" s="57" t="str">
        <f t="shared" si="277"/>
        <v/>
      </c>
      <c r="U5958" s="58" t="str">
        <f t="shared" si="278"/>
        <v/>
      </c>
    </row>
    <row r="5959" spans="19:21" ht="23.25" customHeight="1" x14ac:dyDescent="0.35">
      <c r="S5959" s="56" t="str">
        <f t="shared" si="276"/>
        <v/>
      </c>
      <c r="T5959" s="57" t="str">
        <f t="shared" si="277"/>
        <v/>
      </c>
      <c r="U5959" s="58" t="str">
        <f t="shared" si="278"/>
        <v/>
      </c>
    </row>
    <row r="5960" spans="19:21" ht="23.25" customHeight="1" x14ac:dyDescent="0.35">
      <c r="S5960" s="56" t="str">
        <f t="shared" si="276"/>
        <v/>
      </c>
      <c r="T5960" s="57" t="str">
        <f t="shared" si="277"/>
        <v/>
      </c>
      <c r="U5960" s="58" t="str">
        <f t="shared" si="278"/>
        <v/>
      </c>
    </row>
    <row r="5961" spans="19:21" ht="23.25" customHeight="1" x14ac:dyDescent="0.35">
      <c r="S5961" s="56" t="str">
        <f t="shared" ref="S5961:S6024" si="279">IF(A5961="","",A$5-A5961)</f>
        <v/>
      </c>
      <c r="T5961" s="57" t="str">
        <f t="shared" ref="T5961:T6024" si="280">IF(S5961="","",IF(S5961&lt;4,"0-3 Days",IF(S5961&lt;31,"4-30 Days",IF(S5961&lt;61,"31-60 Days",IF(S5961&lt;=90,"61-90 Days",IF(S5961&gt;90,"Above 90 Days","0"))))))</f>
        <v/>
      </c>
      <c r="U5961" s="58" t="str">
        <f t="shared" ref="U5961:U6024" si="281">IF(C5961="","",IF(C5961&gt;0,IF(S5961&lt;30,"Normal",IF(S5961&lt;60,"Especially Mentioned",IF(S5961&lt;90,"Substandard",IF(S5961&lt;=180,"Doubtful",IF(S5961&gt;180,"Loss","0"))))),"Not Applicable"))</f>
        <v/>
      </c>
    </row>
    <row r="5962" spans="19:21" ht="23.25" customHeight="1" x14ac:dyDescent="0.35">
      <c r="S5962" s="56" t="str">
        <f t="shared" si="279"/>
        <v/>
      </c>
      <c r="T5962" s="57" t="str">
        <f t="shared" si="280"/>
        <v/>
      </c>
      <c r="U5962" s="58" t="str">
        <f t="shared" si="281"/>
        <v/>
      </c>
    </row>
    <row r="5963" spans="19:21" ht="23.25" customHeight="1" x14ac:dyDescent="0.35">
      <c r="S5963" s="56" t="str">
        <f t="shared" si="279"/>
        <v/>
      </c>
      <c r="T5963" s="57" t="str">
        <f t="shared" si="280"/>
        <v/>
      </c>
      <c r="U5963" s="58" t="str">
        <f t="shared" si="281"/>
        <v/>
      </c>
    </row>
    <row r="5964" spans="19:21" ht="23.25" customHeight="1" x14ac:dyDescent="0.35">
      <c r="S5964" s="56" t="str">
        <f t="shared" si="279"/>
        <v/>
      </c>
      <c r="T5964" s="57" t="str">
        <f t="shared" si="280"/>
        <v/>
      </c>
      <c r="U5964" s="58" t="str">
        <f t="shared" si="281"/>
        <v/>
      </c>
    </row>
    <row r="5965" spans="19:21" ht="23.25" customHeight="1" x14ac:dyDescent="0.35">
      <c r="S5965" s="56" t="str">
        <f t="shared" si="279"/>
        <v/>
      </c>
      <c r="T5965" s="57" t="str">
        <f t="shared" si="280"/>
        <v/>
      </c>
      <c r="U5965" s="58" t="str">
        <f t="shared" si="281"/>
        <v/>
      </c>
    </row>
    <row r="5966" spans="19:21" ht="23.25" customHeight="1" x14ac:dyDescent="0.35">
      <c r="S5966" s="56" t="str">
        <f t="shared" si="279"/>
        <v/>
      </c>
      <c r="T5966" s="57" t="str">
        <f t="shared" si="280"/>
        <v/>
      </c>
      <c r="U5966" s="58" t="str">
        <f t="shared" si="281"/>
        <v/>
      </c>
    </row>
    <row r="5967" spans="19:21" ht="23.25" customHeight="1" x14ac:dyDescent="0.35">
      <c r="S5967" s="56" t="str">
        <f t="shared" si="279"/>
        <v/>
      </c>
      <c r="T5967" s="57" t="str">
        <f t="shared" si="280"/>
        <v/>
      </c>
      <c r="U5967" s="58" t="str">
        <f t="shared" si="281"/>
        <v/>
      </c>
    </row>
    <row r="5968" spans="19:21" ht="23.25" customHeight="1" x14ac:dyDescent="0.35">
      <c r="S5968" s="56" t="str">
        <f t="shared" si="279"/>
        <v/>
      </c>
      <c r="T5968" s="57" t="str">
        <f t="shared" si="280"/>
        <v/>
      </c>
      <c r="U5968" s="58" t="str">
        <f t="shared" si="281"/>
        <v/>
      </c>
    </row>
    <row r="5969" spans="19:21" ht="23.25" customHeight="1" x14ac:dyDescent="0.35">
      <c r="S5969" s="56" t="str">
        <f t="shared" si="279"/>
        <v/>
      </c>
      <c r="T5969" s="57" t="str">
        <f t="shared" si="280"/>
        <v/>
      </c>
      <c r="U5969" s="58" t="str">
        <f t="shared" si="281"/>
        <v/>
      </c>
    </row>
    <row r="5970" spans="19:21" ht="23.25" customHeight="1" x14ac:dyDescent="0.35">
      <c r="S5970" s="56" t="str">
        <f t="shared" si="279"/>
        <v/>
      </c>
      <c r="T5970" s="57" t="str">
        <f t="shared" si="280"/>
        <v/>
      </c>
      <c r="U5970" s="58" t="str">
        <f t="shared" si="281"/>
        <v/>
      </c>
    </row>
    <row r="5971" spans="19:21" ht="23.25" customHeight="1" x14ac:dyDescent="0.35">
      <c r="S5971" s="56" t="str">
        <f t="shared" si="279"/>
        <v/>
      </c>
      <c r="T5971" s="57" t="str">
        <f t="shared" si="280"/>
        <v/>
      </c>
      <c r="U5971" s="58" t="str">
        <f t="shared" si="281"/>
        <v/>
      </c>
    </row>
    <row r="5972" spans="19:21" ht="23.25" customHeight="1" x14ac:dyDescent="0.35">
      <c r="S5972" s="56" t="str">
        <f t="shared" si="279"/>
        <v/>
      </c>
      <c r="T5972" s="57" t="str">
        <f t="shared" si="280"/>
        <v/>
      </c>
      <c r="U5972" s="58" t="str">
        <f t="shared" si="281"/>
        <v/>
      </c>
    </row>
    <row r="5973" spans="19:21" ht="23.25" customHeight="1" x14ac:dyDescent="0.35">
      <c r="S5973" s="56" t="str">
        <f t="shared" si="279"/>
        <v/>
      </c>
      <c r="T5973" s="57" t="str">
        <f t="shared" si="280"/>
        <v/>
      </c>
      <c r="U5973" s="58" t="str">
        <f t="shared" si="281"/>
        <v/>
      </c>
    </row>
    <row r="5974" spans="19:21" ht="23.25" customHeight="1" x14ac:dyDescent="0.35">
      <c r="S5974" s="56" t="str">
        <f t="shared" si="279"/>
        <v/>
      </c>
      <c r="T5974" s="57" t="str">
        <f t="shared" si="280"/>
        <v/>
      </c>
      <c r="U5974" s="58" t="str">
        <f t="shared" si="281"/>
        <v/>
      </c>
    </row>
    <row r="5975" spans="19:21" ht="23.25" customHeight="1" x14ac:dyDescent="0.35">
      <c r="S5975" s="56" t="str">
        <f t="shared" si="279"/>
        <v/>
      </c>
      <c r="T5975" s="57" t="str">
        <f t="shared" si="280"/>
        <v/>
      </c>
      <c r="U5975" s="58" t="str">
        <f t="shared" si="281"/>
        <v/>
      </c>
    </row>
    <row r="5976" spans="19:21" ht="23.25" customHeight="1" x14ac:dyDescent="0.35">
      <c r="S5976" s="56" t="str">
        <f t="shared" si="279"/>
        <v/>
      </c>
      <c r="T5976" s="57" t="str">
        <f t="shared" si="280"/>
        <v/>
      </c>
      <c r="U5976" s="58" t="str">
        <f t="shared" si="281"/>
        <v/>
      </c>
    </row>
    <row r="5977" spans="19:21" ht="23.25" customHeight="1" x14ac:dyDescent="0.35">
      <c r="S5977" s="56" t="str">
        <f t="shared" si="279"/>
        <v/>
      </c>
      <c r="T5977" s="57" t="str">
        <f t="shared" si="280"/>
        <v/>
      </c>
      <c r="U5977" s="58" t="str">
        <f t="shared" si="281"/>
        <v/>
      </c>
    </row>
    <row r="5978" spans="19:21" ht="23.25" customHeight="1" x14ac:dyDescent="0.35">
      <c r="S5978" s="56" t="str">
        <f t="shared" si="279"/>
        <v/>
      </c>
      <c r="T5978" s="57" t="str">
        <f t="shared" si="280"/>
        <v/>
      </c>
      <c r="U5978" s="58" t="str">
        <f t="shared" si="281"/>
        <v/>
      </c>
    </row>
    <row r="5979" spans="19:21" ht="23.25" customHeight="1" x14ac:dyDescent="0.35">
      <c r="S5979" s="56" t="str">
        <f t="shared" si="279"/>
        <v/>
      </c>
      <c r="T5979" s="57" t="str">
        <f t="shared" si="280"/>
        <v/>
      </c>
      <c r="U5979" s="58" t="str">
        <f t="shared" si="281"/>
        <v/>
      </c>
    </row>
    <row r="5980" spans="19:21" ht="23.25" customHeight="1" x14ac:dyDescent="0.35">
      <c r="S5980" s="56" t="str">
        <f t="shared" si="279"/>
        <v/>
      </c>
      <c r="T5980" s="57" t="str">
        <f t="shared" si="280"/>
        <v/>
      </c>
      <c r="U5980" s="58" t="str">
        <f t="shared" si="281"/>
        <v/>
      </c>
    </row>
    <row r="5981" spans="19:21" ht="23.25" customHeight="1" x14ac:dyDescent="0.35">
      <c r="S5981" s="56" t="str">
        <f t="shared" si="279"/>
        <v/>
      </c>
      <c r="T5981" s="57" t="str">
        <f t="shared" si="280"/>
        <v/>
      </c>
      <c r="U5981" s="58" t="str">
        <f t="shared" si="281"/>
        <v/>
      </c>
    </row>
    <row r="5982" spans="19:21" ht="23.25" customHeight="1" x14ac:dyDescent="0.35">
      <c r="S5982" s="56" t="str">
        <f t="shared" si="279"/>
        <v/>
      </c>
      <c r="T5982" s="57" t="str">
        <f t="shared" si="280"/>
        <v/>
      </c>
      <c r="U5982" s="58" t="str">
        <f t="shared" si="281"/>
        <v/>
      </c>
    </row>
    <row r="5983" spans="19:21" ht="23.25" customHeight="1" x14ac:dyDescent="0.35">
      <c r="S5983" s="56" t="str">
        <f t="shared" si="279"/>
        <v/>
      </c>
      <c r="T5983" s="57" t="str">
        <f t="shared" si="280"/>
        <v/>
      </c>
      <c r="U5983" s="58" t="str">
        <f t="shared" si="281"/>
        <v/>
      </c>
    </row>
    <row r="5984" spans="19:21" ht="23.25" customHeight="1" x14ac:dyDescent="0.35">
      <c r="S5984" s="56" t="str">
        <f t="shared" si="279"/>
        <v/>
      </c>
      <c r="T5984" s="57" t="str">
        <f t="shared" si="280"/>
        <v/>
      </c>
      <c r="U5984" s="58" t="str">
        <f t="shared" si="281"/>
        <v/>
      </c>
    </row>
    <row r="5985" spans="19:21" ht="23.25" customHeight="1" x14ac:dyDescent="0.35">
      <c r="S5985" s="56" t="str">
        <f t="shared" si="279"/>
        <v/>
      </c>
      <c r="T5985" s="57" t="str">
        <f t="shared" si="280"/>
        <v/>
      </c>
      <c r="U5985" s="58" t="str">
        <f t="shared" si="281"/>
        <v/>
      </c>
    </row>
    <row r="5986" spans="19:21" ht="23.25" customHeight="1" x14ac:dyDescent="0.35">
      <c r="S5986" s="56" t="str">
        <f t="shared" si="279"/>
        <v/>
      </c>
      <c r="T5986" s="57" t="str">
        <f t="shared" si="280"/>
        <v/>
      </c>
      <c r="U5986" s="58" t="str">
        <f t="shared" si="281"/>
        <v/>
      </c>
    </row>
    <row r="5987" spans="19:21" ht="23.25" customHeight="1" x14ac:dyDescent="0.35">
      <c r="S5987" s="56" t="str">
        <f t="shared" si="279"/>
        <v/>
      </c>
      <c r="T5987" s="57" t="str">
        <f t="shared" si="280"/>
        <v/>
      </c>
      <c r="U5987" s="58" t="str">
        <f t="shared" si="281"/>
        <v/>
      </c>
    </row>
    <row r="5988" spans="19:21" ht="23.25" customHeight="1" x14ac:dyDescent="0.35">
      <c r="S5988" s="56" t="str">
        <f t="shared" si="279"/>
        <v/>
      </c>
      <c r="T5988" s="57" t="str">
        <f t="shared" si="280"/>
        <v/>
      </c>
      <c r="U5988" s="58" t="str">
        <f t="shared" si="281"/>
        <v/>
      </c>
    </row>
    <row r="5989" spans="19:21" ht="23.25" customHeight="1" x14ac:dyDescent="0.35">
      <c r="S5989" s="56" t="str">
        <f t="shared" si="279"/>
        <v/>
      </c>
      <c r="T5989" s="57" t="str">
        <f t="shared" si="280"/>
        <v/>
      </c>
      <c r="U5989" s="58" t="str">
        <f t="shared" si="281"/>
        <v/>
      </c>
    </row>
    <row r="5990" spans="19:21" ht="23.25" customHeight="1" x14ac:dyDescent="0.35">
      <c r="S5990" s="56" t="str">
        <f t="shared" si="279"/>
        <v/>
      </c>
      <c r="T5990" s="57" t="str">
        <f t="shared" si="280"/>
        <v/>
      </c>
      <c r="U5990" s="58" t="str">
        <f t="shared" si="281"/>
        <v/>
      </c>
    </row>
    <row r="5991" spans="19:21" ht="23.25" customHeight="1" x14ac:dyDescent="0.35">
      <c r="S5991" s="56" t="str">
        <f t="shared" si="279"/>
        <v/>
      </c>
      <c r="T5991" s="57" t="str">
        <f t="shared" si="280"/>
        <v/>
      </c>
      <c r="U5991" s="58" t="str">
        <f t="shared" si="281"/>
        <v/>
      </c>
    </row>
    <row r="5992" spans="19:21" ht="23.25" customHeight="1" x14ac:dyDescent="0.35">
      <c r="S5992" s="56" t="str">
        <f t="shared" si="279"/>
        <v/>
      </c>
      <c r="T5992" s="57" t="str">
        <f t="shared" si="280"/>
        <v/>
      </c>
      <c r="U5992" s="58" t="str">
        <f t="shared" si="281"/>
        <v/>
      </c>
    </row>
    <row r="5993" spans="19:21" ht="23.25" customHeight="1" x14ac:dyDescent="0.35">
      <c r="S5993" s="56" t="str">
        <f t="shared" si="279"/>
        <v/>
      </c>
      <c r="T5993" s="57" t="str">
        <f t="shared" si="280"/>
        <v/>
      </c>
      <c r="U5993" s="58" t="str">
        <f t="shared" si="281"/>
        <v/>
      </c>
    </row>
    <row r="5994" spans="19:21" ht="23.25" customHeight="1" x14ac:dyDescent="0.35">
      <c r="S5994" s="56" t="str">
        <f t="shared" si="279"/>
        <v/>
      </c>
      <c r="T5994" s="57" t="str">
        <f t="shared" si="280"/>
        <v/>
      </c>
      <c r="U5994" s="58" t="str">
        <f t="shared" si="281"/>
        <v/>
      </c>
    </row>
    <row r="5995" spans="19:21" ht="23.25" customHeight="1" x14ac:dyDescent="0.35">
      <c r="S5995" s="56" t="str">
        <f t="shared" si="279"/>
        <v/>
      </c>
      <c r="T5995" s="57" t="str">
        <f t="shared" si="280"/>
        <v/>
      </c>
      <c r="U5995" s="58" t="str">
        <f t="shared" si="281"/>
        <v/>
      </c>
    </row>
    <row r="5996" spans="19:21" ht="23.25" customHeight="1" x14ac:dyDescent="0.35">
      <c r="S5996" s="56" t="str">
        <f t="shared" si="279"/>
        <v/>
      </c>
      <c r="T5996" s="57" t="str">
        <f t="shared" si="280"/>
        <v/>
      </c>
      <c r="U5996" s="58" t="str">
        <f t="shared" si="281"/>
        <v/>
      </c>
    </row>
    <row r="5997" spans="19:21" ht="23.25" customHeight="1" x14ac:dyDescent="0.35">
      <c r="S5997" s="56" t="str">
        <f t="shared" si="279"/>
        <v/>
      </c>
      <c r="T5997" s="57" t="str">
        <f t="shared" si="280"/>
        <v/>
      </c>
      <c r="U5997" s="58" t="str">
        <f t="shared" si="281"/>
        <v/>
      </c>
    </row>
    <row r="5998" spans="19:21" ht="23.25" customHeight="1" x14ac:dyDescent="0.35">
      <c r="S5998" s="56" t="str">
        <f t="shared" si="279"/>
        <v/>
      </c>
      <c r="T5998" s="57" t="str">
        <f t="shared" si="280"/>
        <v/>
      </c>
      <c r="U5998" s="58" t="str">
        <f t="shared" si="281"/>
        <v/>
      </c>
    </row>
    <row r="5999" spans="19:21" ht="23.25" customHeight="1" x14ac:dyDescent="0.35">
      <c r="S5999" s="56" t="str">
        <f t="shared" si="279"/>
        <v/>
      </c>
      <c r="T5999" s="57" t="str">
        <f t="shared" si="280"/>
        <v/>
      </c>
      <c r="U5999" s="58" t="str">
        <f t="shared" si="281"/>
        <v/>
      </c>
    </row>
    <row r="6000" spans="19:21" ht="23.25" customHeight="1" x14ac:dyDescent="0.35">
      <c r="S6000" s="56" t="str">
        <f t="shared" si="279"/>
        <v/>
      </c>
      <c r="T6000" s="57" t="str">
        <f t="shared" si="280"/>
        <v/>
      </c>
      <c r="U6000" s="58" t="str">
        <f t="shared" si="281"/>
        <v/>
      </c>
    </row>
    <row r="6001" spans="19:21" ht="23.25" customHeight="1" x14ac:dyDescent="0.35">
      <c r="S6001" s="56" t="str">
        <f t="shared" si="279"/>
        <v/>
      </c>
      <c r="T6001" s="57" t="str">
        <f t="shared" si="280"/>
        <v/>
      </c>
      <c r="U6001" s="58" t="str">
        <f t="shared" si="281"/>
        <v/>
      </c>
    </row>
    <row r="6002" spans="19:21" ht="23.25" customHeight="1" x14ac:dyDescent="0.35">
      <c r="S6002" s="56" t="str">
        <f t="shared" si="279"/>
        <v/>
      </c>
      <c r="T6002" s="57" t="str">
        <f t="shared" si="280"/>
        <v/>
      </c>
      <c r="U6002" s="58" t="str">
        <f t="shared" si="281"/>
        <v/>
      </c>
    </row>
    <row r="6003" spans="19:21" ht="23.25" customHeight="1" x14ac:dyDescent="0.35">
      <c r="S6003" s="56" t="str">
        <f t="shared" si="279"/>
        <v/>
      </c>
      <c r="T6003" s="57" t="str">
        <f t="shared" si="280"/>
        <v/>
      </c>
      <c r="U6003" s="58" t="str">
        <f t="shared" si="281"/>
        <v/>
      </c>
    </row>
    <row r="6004" spans="19:21" ht="23.25" customHeight="1" x14ac:dyDescent="0.35">
      <c r="S6004" s="56" t="str">
        <f t="shared" si="279"/>
        <v/>
      </c>
      <c r="T6004" s="57" t="str">
        <f t="shared" si="280"/>
        <v/>
      </c>
      <c r="U6004" s="58" t="str">
        <f t="shared" si="281"/>
        <v/>
      </c>
    </row>
    <row r="6005" spans="19:21" ht="23.25" customHeight="1" x14ac:dyDescent="0.35">
      <c r="S6005" s="56" t="str">
        <f t="shared" si="279"/>
        <v/>
      </c>
      <c r="T6005" s="57" t="str">
        <f t="shared" si="280"/>
        <v/>
      </c>
      <c r="U6005" s="58" t="str">
        <f t="shared" si="281"/>
        <v/>
      </c>
    </row>
    <row r="6006" spans="19:21" ht="23.25" customHeight="1" x14ac:dyDescent="0.35">
      <c r="S6006" s="56" t="str">
        <f t="shared" si="279"/>
        <v/>
      </c>
      <c r="T6006" s="57" t="str">
        <f t="shared" si="280"/>
        <v/>
      </c>
      <c r="U6006" s="58" t="str">
        <f t="shared" si="281"/>
        <v/>
      </c>
    </row>
    <row r="6007" spans="19:21" ht="23.25" customHeight="1" x14ac:dyDescent="0.35">
      <c r="S6007" s="56" t="str">
        <f t="shared" si="279"/>
        <v/>
      </c>
      <c r="T6007" s="57" t="str">
        <f t="shared" si="280"/>
        <v/>
      </c>
      <c r="U6007" s="58" t="str">
        <f t="shared" si="281"/>
        <v/>
      </c>
    </row>
    <row r="6008" spans="19:21" ht="23.25" customHeight="1" x14ac:dyDescent="0.35">
      <c r="S6008" s="56" t="str">
        <f t="shared" si="279"/>
        <v/>
      </c>
      <c r="T6008" s="57" t="str">
        <f t="shared" si="280"/>
        <v/>
      </c>
      <c r="U6008" s="58" t="str">
        <f t="shared" si="281"/>
        <v/>
      </c>
    </row>
    <row r="6009" spans="19:21" ht="23.25" customHeight="1" x14ac:dyDescent="0.35">
      <c r="S6009" s="56" t="str">
        <f t="shared" si="279"/>
        <v/>
      </c>
      <c r="T6009" s="57" t="str">
        <f t="shared" si="280"/>
        <v/>
      </c>
      <c r="U6009" s="58" t="str">
        <f t="shared" si="281"/>
        <v/>
      </c>
    </row>
    <row r="6010" spans="19:21" ht="23.25" customHeight="1" x14ac:dyDescent="0.35">
      <c r="S6010" s="56" t="str">
        <f t="shared" si="279"/>
        <v/>
      </c>
      <c r="T6010" s="57" t="str">
        <f t="shared" si="280"/>
        <v/>
      </c>
      <c r="U6010" s="58" t="str">
        <f t="shared" si="281"/>
        <v/>
      </c>
    </row>
    <row r="6011" spans="19:21" ht="23.25" customHeight="1" x14ac:dyDescent="0.35">
      <c r="S6011" s="56" t="str">
        <f t="shared" si="279"/>
        <v/>
      </c>
      <c r="T6011" s="57" t="str">
        <f t="shared" si="280"/>
        <v/>
      </c>
      <c r="U6011" s="58" t="str">
        <f t="shared" si="281"/>
        <v/>
      </c>
    </row>
    <row r="6012" spans="19:21" ht="23.25" customHeight="1" x14ac:dyDescent="0.35">
      <c r="S6012" s="56" t="str">
        <f t="shared" si="279"/>
        <v/>
      </c>
      <c r="T6012" s="57" t="str">
        <f t="shared" si="280"/>
        <v/>
      </c>
      <c r="U6012" s="58" t="str">
        <f t="shared" si="281"/>
        <v/>
      </c>
    </row>
    <row r="6013" spans="19:21" ht="23.25" customHeight="1" x14ac:dyDescent="0.35">
      <c r="S6013" s="56" t="str">
        <f t="shared" si="279"/>
        <v/>
      </c>
      <c r="T6013" s="57" t="str">
        <f t="shared" si="280"/>
        <v/>
      </c>
      <c r="U6013" s="58" t="str">
        <f t="shared" si="281"/>
        <v/>
      </c>
    </row>
    <row r="6014" spans="19:21" ht="23.25" customHeight="1" x14ac:dyDescent="0.35">
      <c r="S6014" s="56" t="str">
        <f t="shared" si="279"/>
        <v/>
      </c>
      <c r="T6014" s="57" t="str">
        <f t="shared" si="280"/>
        <v/>
      </c>
      <c r="U6014" s="58" t="str">
        <f t="shared" si="281"/>
        <v/>
      </c>
    </row>
    <row r="6015" spans="19:21" ht="23.25" customHeight="1" x14ac:dyDescent="0.35">
      <c r="S6015" s="56" t="str">
        <f t="shared" si="279"/>
        <v/>
      </c>
      <c r="T6015" s="57" t="str">
        <f t="shared" si="280"/>
        <v/>
      </c>
      <c r="U6015" s="58" t="str">
        <f t="shared" si="281"/>
        <v/>
      </c>
    </row>
    <row r="6016" spans="19:21" ht="23.25" customHeight="1" x14ac:dyDescent="0.35">
      <c r="S6016" s="56" t="str">
        <f t="shared" si="279"/>
        <v/>
      </c>
      <c r="T6016" s="57" t="str">
        <f t="shared" si="280"/>
        <v/>
      </c>
      <c r="U6016" s="58" t="str">
        <f t="shared" si="281"/>
        <v/>
      </c>
    </row>
    <row r="6017" spans="19:21" ht="23.25" customHeight="1" x14ac:dyDescent="0.35">
      <c r="S6017" s="56" t="str">
        <f t="shared" si="279"/>
        <v/>
      </c>
      <c r="T6017" s="57" t="str">
        <f t="shared" si="280"/>
        <v/>
      </c>
      <c r="U6017" s="58" t="str">
        <f t="shared" si="281"/>
        <v/>
      </c>
    </row>
    <row r="6018" spans="19:21" ht="23.25" customHeight="1" x14ac:dyDescent="0.35">
      <c r="S6018" s="56" t="str">
        <f t="shared" si="279"/>
        <v/>
      </c>
      <c r="T6018" s="57" t="str">
        <f t="shared" si="280"/>
        <v/>
      </c>
      <c r="U6018" s="58" t="str">
        <f t="shared" si="281"/>
        <v/>
      </c>
    </row>
    <row r="6019" spans="19:21" ht="23.25" customHeight="1" x14ac:dyDescent="0.35">
      <c r="S6019" s="56" t="str">
        <f t="shared" si="279"/>
        <v/>
      </c>
      <c r="T6019" s="57" t="str">
        <f t="shared" si="280"/>
        <v/>
      </c>
      <c r="U6019" s="58" t="str">
        <f t="shared" si="281"/>
        <v/>
      </c>
    </row>
    <row r="6020" spans="19:21" ht="23.25" customHeight="1" x14ac:dyDescent="0.35">
      <c r="S6020" s="56" t="str">
        <f t="shared" si="279"/>
        <v/>
      </c>
      <c r="T6020" s="57" t="str">
        <f t="shared" si="280"/>
        <v/>
      </c>
      <c r="U6020" s="58" t="str">
        <f t="shared" si="281"/>
        <v/>
      </c>
    </row>
    <row r="6021" spans="19:21" ht="23.25" customHeight="1" x14ac:dyDescent="0.35">
      <c r="S6021" s="56" t="str">
        <f t="shared" si="279"/>
        <v/>
      </c>
      <c r="T6021" s="57" t="str">
        <f t="shared" si="280"/>
        <v/>
      </c>
      <c r="U6021" s="58" t="str">
        <f t="shared" si="281"/>
        <v/>
      </c>
    </row>
    <row r="6022" spans="19:21" ht="23.25" customHeight="1" x14ac:dyDescent="0.35">
      <c r="S6022" s="56" t="str">
        <f t="shared" si="279"/>
        <v/>
      </c>
      <c r="T6022" s="57" t="str">
        <f t="shared" si="280"/>
        <v/>
      </c>
      <c r="U6022" s="58" t="str">
        <f t="shared" si="281"/>
        <v/>
      </c>
    </row>
    <row r="6023" spans="19:21" ht="23.25" customHeight="1" x14ac:dyDescent="0.35">
      <c r="S6023" s="56" t="str">
        <f t="shared" si="279"/>
        <v/>
      </c>
      <c r="T6023" s="57" t="str">
        <f t="shared" si="280"/>
        <v/>
      </c>
      <c r="U6023" s="58" t="str">
        <f t="shared" si="281"/>
        <v/>
      </c>
    </row>
    <row r="6024" spans="19:21" ht="23.25" customHeight="1" x14ac:dyDescent="0.35">
      <c r="S6024" s="56" t="str">
        <f t="shared" si="279"/>
        <v/>
      </c>
      <c r="T6024" s="57" t="str">
        <f t="shared" si="280"/>
        <v/>
      </c>
      <c r="U6024" s="58" t="str">
        <f t="shared" si="281"/>
        <v/>
      </c>
    </row>
    <row r="6025" spans="19:21" ht="23.25" customHeight="1" x14ac:dyDescent="0.35">
      <c r="S6025" s="56" t="str">
        <f t="shared" ref="S6025:S6088" si="282">IF(A6025="","",A$5-A6025)</f>
        <v/>
      </c>
      <c r="T6025" s="57" t="str">
        <f t="shared" ref="T6025:T6088" si="283">IF(S6025="","",IF(S6025&lt;4,"0-3 Days",IF(S6025&lt;31,"4-30 Days",IF(S6025&lt;61,"31-60 Days",IF(S6025&lt;=90,"61-90 Days",IF(S6025&gt;90,"Above 90 Days","0"))))))</f>
        <v/>
      </c>
      <c r="U6025" s="58" t="str">
        <f t="shared" ref="U6025:U6088" si="284">IF(C6025="","",IF(C6025&gt;0,IF(S6025&lt;30,"Normal",IF(S6025&lt;60,"Especially Mentioned",IF(S6025&lt;90,"Substandard",IF(S6025&lt;=180,"Doubtful",IF(S6025&gt;180,"Loss","0"))))),"Not Applicable"))</f>
        <v/>
      </c>
    </row>
    <row r="6026" spans="19:21" ht="23.25" customHeight="1" x14ac:dyDescent="0.35">
      <c r="S6026" s="56" t="str">
        <f t="shared" si="282"/>
        <v/>
      </c>
      <c r="T6026" s="57" t="str">
        <f t="shared" si="283"/>
        <v/>
      </c>
      <c r="U6026" s="58" t="str">
        <f t="shared" si="284"/>
        <v/>
      </c>
    </row>
    <row r="6027" spans="19:21" ht="23.25" customHeight="1" x14ac:dyDescent="0.35">
      <c r="S6027" s="56" t="str">
        <f t="shared" si="282"/>
        <v/>
      </c>
      <c r="T6027" s="57" t="str">
        <f t="shared" si="283"/>
        <v/>
      </c>
      <c r="U6027" s="58" t="str">
        <f t="shared" si="284"/>
        <v/>
      </c>
    </row>
    <row r="6028" spans="19:21" ht="23.25" customHeight="1" x14ac:dyDescent="0.35">
      <c r="S6028" s="56" t="str">
        <f t="shared" si="282"/>
        <v/>
      </c>
      <c r="T6028" s="57" t="str">
        <f t="shared" si="283"/>
        <v/>
      </c>
      <c r="U6028" s="58" t="str">
        <f t="shared" si="284"/>
        <v/>
      </c>
    </row>
    <row r="6029" spans="19:21" ht="23.25" customHeight="1" x14ac:dyDescent="0.35">
      <c r="S6029" s="56" t="str">
        <f t="shared" si="282"/>
        <v/>
      </c>
      <c r="T6029" s="57" t="str">
        <f t="shared" si="283"/>
        <v/>
      </c>
      <c r="U6029" s="58" t="str">
        <f t="shared" si="284"/>
        <v/>
      </c>
    </row>
    <row r="6030" spans="19:21" ht="23.25" customHeight="1" x14ac:dyDescent="0.35">
      <c r="S6030" s="56" t="str">
        <f t="shared" si="282"/>
        <v/>
      </c>
      <c r="T6030" s="57" t="str">
        <f t="shared" si="283"/>
        <v/>
      </c>
      <c r="U6030" s="58" t="str">
        <f t="shared" si="284"/>
        <v/>
      </c>
    </row>
    <row r="6031" spans="19:21" ht="23.25" customHeight="1" x14ac:dyDescent="0.35">
      <c r="S6031" s="56" t="str">
        <f t="shared" si="282"/>
        <v/>
      </c>
      <c r="T6031" s="57" t="str">
        <f t="shared" si="283"/>
        <v/>
      </c>
      <c r="U6031" s="58" t="str">
        <f t="shared" si="284"/>
        <v/>
      </c>
    </row>
    <row r="6032" spans="19:21" ht="23.25" customHeight="1" x14ac:dyDescent="0.35">
      <c r="S6032" s="56" t="str">
        <f t="shared" si="282"/>
        <v/>
      </c>
      <c r="T6032" s="57" t="str">
        <f t="shared" si="283"/>
        <v/>
      </c>
      <c r="U6032" s="58" t="str">
        <f t="shared" si="284"/>
        <v/>
      </c>
    </row>
    <row r="6033" spans="19:21" ht="23.25" customHeight="1" x14ac:dyDescent="0.35">
      <c r="S6033" s="56" t="str">
        <f t="shared" si="282"/>
        <v/>
      </c>
      <c r="T6033" s="57" t="str">
        <f t="shared" si="283"/>
        <v/>
      </c>
      <c r="U6033" s="58" t="str">
        <f t="shared" si="284"/>
        <v/>
      </c>
    </row>
    <row r="6034" spans="19:21" ht="23.25" customHeight="1" x14ac:dyDescent="0.35">
      <c r="S6034" s="56" t="str">
        <f t="shared" si="282"/>
        <v/>
      </c>
      <c r="T6034" s="57" t="str">
        <f t="shared" si="283"/>
        <v/>
      </c>
      <c r="U6034" s="58" t="str">
        <f t="shared" si="284"/>
        <v/>
      </c>
    </row>
    <row r="6035" spans="19:21" ht="23.25" customHeight="1" x14ac:dyDescent="0.35">
      <c r="S6035" s="56" t="str">
        <f t="shared" si="282"/>
        <v/>
      </c>
      <c r="T6035" s="57" t="str">
        <f t="shared" si="283"/>
        <v/>
      </c>
      <c r="U6035" s="58" t="str">
        <f t="shared" si="284"/>
        <v/>
      </c>
    </row>
    <row r="6036" spans="19:21" ht="23.25" customHeight="1" x14ac:dyDescent="0.35">
      <c r="S6036" s="56" t="str">
        <f t="shared" si="282"/>
        <v/>
      </c>
      <c r="T6036" s="57" t="str">
        <f t="shared" si="283"/>
        <v/>
      </c>
      <c r="U6036" s="58" t="str">
        <f t="shared" si="284"/>
        <v/>
      </c>
    </row>
    <row r="6037" spans="19:21" ht="23.25" customHeight="1" x14ac:dyDescent="0.35">
      <c r="S6037" s="56" t="str">
        <f t="shared" si="282"/>
        <v/>
      </c>
      <c r="T6037" s="57" t="str">
        <f t="shared" si="283"/>
        <v/>
      </c>
      <c r="U6037" s="58" t="str">
        <f t="shared" si="284"/>
        <v/>
      </c>
    </row>
    <row r="6038" spans="19:21" ht="23.25" customHeight="1" x14ac:dyDescent="0.35">
      <c r="S6038" s="56" t="str">
        <f t="shared" si="282"/>
        <v/>
      </c>
      <c r="T6038" s="57" t="str">
        <f t="shared" si="283"/>
        <v/>
      </c>
      <c r="U6038" s="58" t="str">
        <f t="shared" si="284"/>
        <v/>
      </c>
    </row>
    <row r="6039" spans="19:21" ht="23.25" customHeight="1" x14ac:dyDescent="0.35">
      <c r="S6039" s="56" t="str">
        <f t="shared" si="282"/>
        <v/>
      </c>
      <c r="T6039" s="57" t="str">
        <f t="shared" si="283"/>
        <v/>
      </c>
      <c r="U6039" s="58" t="str">
        <f t="shared" si="284"/>
        <v/>
      </c>
    </row>
    <row r="6040" spans="19:21" ht="23.25" customHeight="1" x14ac:dyDescent="0.35">
      <c r="S6040" s="56" t="str">
        <f t="shared" si="282"/>
        <v/>
      </c>
      <c r="T6040" s="57" t="str">
        <f t="shared" si="283"/>
        <v/>
      </c>
      <c r="U6040" s="58" t="str">
        <f t="shared" si="284"/>
        <v/>
      </c>
    </row>
    <row r="6041" spans="19:21" ht="23.25" customHeight="1" x14ac:dyDescent="0.35">
      <c r="S6041" s="56" t="str">
        <f t="shared" si="282"/>
        <v/>
      </c>
      <c r="T6041" s="57" t="str">
        <f t="shared" si="283"/>
        <v/>
      </c>
      <c r="U6041" s="58" t="str">
        <f t="shared" si="284"/>
        <v/>
      </c>
    </row>
    <row r="6042" spans="19:21" ht="23.25" customHeight="1" x14ac:dyDescent="0.35">
      <c r="S6042" s="56" t="str">
        <f t="shared" si="282"/>
        <v/>
      </c>
      <c r="T6042" s="57" t="str">
        <f t="shared" si="283"/>
        <v/>
      </c>
      <c r="U6042" s="58" t="str">
        <f t="shared" si="284"/>
        <v/>
      </c>
    </row>
    <row r="6043" spans="19:21" ht="23.25" customHeight="1" x14ac:dyDescent="0.35">
      <c r="S6043" s="56" t="str">
        <f t="shared" si="282"/>
        <v/>
      </c>
      <c r="T6043" s="57" t="str">
        <f t="shared" si="283"/>
        <v/>
      </c>
      <c r="U6043" s="58" t="str">
        <f t="shared" si="284"/>
        <v/>
      </c>
    </row>
    <row r="6044" spans="19:21" ht="23.25" customHeight="1" x14ac:dyDescent="0.35">
      <c r="S6044" s="56" t="str">
        <f t="shared" si="282"/>
        <v/>
      </c>
      <c r="T6044" s="57" t="str">
        <f t="shared" si="283"/>
        <v/>
      </c>
      <c r="U6044" s="58" t="str">
        <f t="shared" si="284"/>
        <v/>
      </c>
    </row>
    <row r="6045" spans="19:21" ht="23.25" customHeight="1" x14ac:dyDescent="0.35">
      <c r="S6045" s="56" t="str">
        <f t="shared" si="282"/>
        <v/>
      </c>
      <c r="T6045" s="57" t="str">
        <f t="shared" si="283"/>
        <v/>
      </c>
      <c r="U6045" s="58" t="str">
        <f t="shared" si="284"/>
        <v/>
      </c>
    </row>
    <row r="6046" spans="19:21" ht="23.25" customHeight="1" x14ac:dyDescent="0.35">
      <c r="S6046" s="56" t="str">
        <f t="shared" si="282"/>
        <v/>
      </c>
      <c r="T6046" s="57" t="str">
        <f t="shared" si="283"/>
        <v/>
      </c>
      <c r="U6046" s="58" t="str">
        <f t="shared" si="284"/>
        <v/>
      </c>
    </row>
    <row r="6047" spans="19:21" ht="23.25" customHeight="1" x14ac:dyDescent="0.35">
      <c r="S6047" s="56" t="str">
        <f t="shared" si="282"/>
        <v/>
      </c>
      <c r="T6047" s="57" t="str">
        <f t="shared" si="283"/>
        <v/>
      </c>
      <c r="U6047" s="58" t="str">
        <f t="shared" si="284"/>
        <v/>
      </c>
    </row>
    <row r="6048" spans="19:21" ht="23.25" customHeight="1" x14ac:dyDescent="0.35">
      <c r="S6048" s="56" t="str">
        <f t="shared" si="282"/>
        <v/>
      </c>
      <c r="T6048" s="57" t="str">
        <f t="shared" si="283"/>
        <v/>
      </c>
      <c r="U6048" s="58" t="str">
        <f t="shared" si="284"/>
        <v/>
      </c>
    </row>
    <row r="6049" spans="19:21" ht="23.25" customHeight="1" x14ac:dyDescent="0.35">
      <c r="S6049" s="56" t="str">
        <f t="shared" si="282"/>
        <v/>
      </c>
      <c r="T6049" s="57" t="str">
        <f t="shared" si="283"/>
        <v/>
      </c>
      <c r="U6049" s="58" t="str">
        <f t="shared" si="284"/>
        <v/>
      </c>
    </row>
    <row r="6050" spans="19:21" ht="23.25" customHeight="1" x14ac:dyDescent="0.35">
      <c r="S6050" s="56" t="str">
        <f t="shared" si="282"/>
        <v/>
      </c>
      <c r="T6050" s="57" t="str">
        <f t="shared" si="283"/>
        <v/>
      </c>
      <c r="U6050" s="58" t="str">
        <f t="shared" si="284"/>
        <v/>
      </c>
    </row>
    <row r="6051" spans="19:21" ht="23.25" customHeight="1" x14ac:dyDescent="0.35">
      <c r="S6051" s="56" t="str">
        <f t="shared" si="282"/>
        <v/>
      </c>
      <c r="T6051" s="57" t="str">
        <f t="shared" si="283"/>
        <v/>
      </c>
      <c r="U6051" s="58" t="str">
        <f t="shared" si="284"/>
        <v/>
      </c>
    </row>
    <row r="6052" spans="19:21" ht="23.25" customHeight="1" x14ac:dyDescent="0.35">
      <c r="S6052" s="56" t="str">
        <f t="shared" si="282"/>
        <v/>
      </c>
      <c r="T6052" s="57" t="str">
        <f t="shared" si="283"/>
        <v/>
      </c>
      <c r="U6052" s="58" t="str">
        <f t="shared" si="284"/>
        <v/>
      </c>
    </row>
    <row r="6053" spans="19:21" ht="23.25" customHeight="1" x14ac:dyDescent="0.35">
      <c r="S6053" s="56" t="str">
        <f t="shared" si="282"/>
        <v/>
      </c>
      <c r="T6053" s="57" t="str">
        <f t="shared" si="283"/>
        <v/>
      </c>
      <c r="U6053" s="58" t="str">
        <f t="shared" si="284"/>
        <v/>
      </c>
    </row>
    <row r="6054" spans="19:21" ht="23.25" customHeight="1" x14ac:dyDescent="0.35">
      <c r="S6054" s="56" t="str">
        <f t="shared" si="282"/>
        <v/>
      </c>
      <c r="T6054" s="57" t="str">
        <f t="shared" si="283"/>
        <v/>
      </c>
      <c r="U6054" s="58" t="str">
        <f t="shared" si="284"/>
        <v/>
      </c>
    </row>
    <row r="6055" spans="19:21" ht="23.25" customHeight="1" x14ac:dyDescent="0.35">
      <c r="S6055" s="56" t="str">
        <f t="shared" si="282"/>
        <v/>
      </c>
      <c r="T6055" s="57" t="str">
        <f t="shared" si="283"/>
        <v/>
      </c>
      <c r="U6055" s="58" t="str">
        <f t="shared" si="284"/>
        <v/>
      </c>
    </row>
    <row r="6056" spans="19:21" ht="23.25" customHeight="1" x14ac:dyDescent="0.35">
      <c r="S6056" s="56" t="str">
        <f t="shared" si="282"/>
        <v/>
      </c>
      <c r="T6056" s="57" t="str">
        <f t="shared" si="283"/>
        <v/>
      </c>
      <c r="U6056" s="58" t="str">
        <f t="shared" si="284"/>
        <v/>
      </c>
    </row>
    <row r="6057" spans="19:21" ht="23.25" customHeight="1" x14ac:dyDescent="0.35">
      <c r="S6057" s="56" t="str">
        <f t="shared" si="282"/>
        <v/>
      </c>
      <c r="T6057" s="57" t="str">
        <f t="shared" si="283"/>
        <v/>
      </c>
      <c r="U6057" s="58" t="str">
        <f t="shared" si="284"/>
        <v/>
      </c>
    </row>
    <row r="6058" spans="19:21" ht="23.25" customHeight="1" x14ac:dyDescent="0.35">
      <c r="S6058" s="56" t="str">
        <f t="shared" si="282"/>
        <v/>
      </c>
      <c r="T6058" s="57" t="str">
        <f t="shared" si="283"/>
        <v/>
      </c>
      <c r="U6058" s="58" t="str">
        <f t="shared" si="284"/>
        <v/>
      </c>
    </row>
    <row r="6059" spans="19:21" ht="23.25" customHeight="1" x14ac:dyDescent="0.35">
      <c r="S6059" s="56" t="str">
        <f t="shared" si="282"/>
        <v/>
      </c>
      <c r="T6059" s="57" t="str">
        <f t="shared" si="283"/>
        <v/>
      </c>
      <c r="U6059" s="58" t="str">
        <f t="shared" si="284"/>
        <v/>
      </c>
    </row>
    <row r="6060" spans="19:21" ht="23.25" customHeight="1" x14ac:dyDescent="0.35">
      <c r="S6060" s="56" t="str">
        <f t="shared" si="282"/>
        <v/>
      </c>
      <c r="T6060" s="57" t="str">
        <f t="shared" si="283"/>
        <v/>
      </c>
      <c r="U6060" s="58" t="str">
        <f t="shared" si="284"/>
        <v/>
      </c>
    </row>
    <row r="6061" spans="19:21" ht="23.25" customHeight="1" x14ac:dyDescent="0.35">
      <c r="S6061" s="56" t="str">
        <f t="shared" si="282"/>
        <v/>
      </c>
      <c r="T6061" s="57" t="str">
        <f t="shared" si="283"/>
        <v/>
      </c>
      <c r="U6061" s="58" t="str">
        <f t="shared" si="284"/>
        <v/>
      </c>
    </row>
    <row r="6062" spans="19:21" ht="23.25" customHeight="1" x14ac:dyDescent="0.35">
      <c r="S6062" s="56" t="str">
        <f t="shared" si="282"/>
        <v/>
      </c>
      <c r="T6062" s="57" t="str">
        <f t="shared" si="283"/>
        <v/>
      </c>
      <c r="U6062" s="58" t="str">
        <f t="shared" si="284"/>
        <v/>
      </c>
    </row>
    <row r="6063" spans="19:21" ht="23.25" customHeight="1" x14ac:dyDescent="0.35">
      <c r="S6063" s="56" t="str">
        <f t="shared" si="282"/>
        <v/>
      </c>
      <c r="T6063" s="57" t="str">
        <f t="shared" si="283"/>
        <v/>
      </c>
      <c r="U6063" s="58" t="str">
        <f t="shared" si="284"/>
        <v/>
      </c>
    </row>
    <row r="6064" spans="19:21" ht="23.25" customHeight="1" x14ac:dyDescent="0.35">
      <c r="S6064" s="56" t="str">
        <f t="shared" si="282"/>
        <v/>
      </c>
      <c r="T6064" s="57" t="str">
        <f t="shared" si="283"/>
        <v/>
      </c>
      <c r="U6064" s="58" t="str">
        <f t="shared" si="284"/>
        <v/>
      </c>
    </row>
    <row r="6065" spans="19:21" ht="23.25" customHeight="1" x14ac:dyDescent="0.35">
      <c r="S6065" s="56" t="str">
        <f t="shared" si="282"/>
        <v/>
      </c>
      <c r="T6065" s="57" t="str">
        <f t="shared" si="283"/>
        <v/>
      </c>
      <c r="U6065" s="58" t="str">
        <f t="shared" si="284"/>
        <v/>
      </c>
    </row>
    <row r="6066" spans="19:21" ht="23.25" customHeight="1" x14ac:dyDescent="0.35">
      <c r="S6066" s="56" t="str">
        <f t="shared" si="282"/>
        <v/>
      </c>
      <c r="T6066" s="57" t="str">
        <f t="shared" si="283"/>
        <v/>
      </c>
      <c r="U6066" s="58" t="str">
        <f t="shared" si="284"/>
        <v/>
      </c>
    </row>
    <row r="6067" spans="19:21" ht="23.25" customHeight="1" x14ac:dyDescent="0.35">
      <c r="S6067" s="56" t="str">
        <f t="shared" si="282"/>
        <v/>
      </c>
      <c r="T6067" s="57" t="str">
        <f t="shared" si="283"/>
        <v/>
      </c>
      <c r="U6067" s="58" t="str">
        <f t="shared" si="284"/>
        <v/>
      </c>
    </row>
    <row r="6068" spans="19:21" ht="23.25" customHeight="1" x14ac:dyDescent="0.35">
      <c r="S6068" s="56" t="str">
        <f t="shared" si="282"/>
        <v/>
      </c>
      <c r="T6068" s="57" t="str">
        <f t="shared" si="283"/>
        <v/>
      </c>
      <c r="U6068" s="58" t="str">
        <f t="shared" si="284"/>
        <v/>
      </c>
    </row>
    <row r="6069" spans="19:21" ht="23.25" customHeight="1" x14ac:dyDescent="0.35">
      <c r="S6069" s="56" t="str">
        <f t="shared" si="282"/>
        <v/>
      </c>
      <c r="T6069" s="57" t="str">
        <f t="shared" si="283"/>
        <v/>
      </c>
      <c r="U6069" s="58" t="str">
        <f t="shared" si="284"/>
        <v/>
      </c>
    </row>
    <row r="6070" spans="19:21" ht="23.25" customHeight="1" x14ac:dyDescent="0.35">
      <c r="S6070" s="56" t="str">
        <f t="shared" si="282"/>
        <v/>
      </c>
      <c r="T6070" s="57" t="str">
        <f t="shared" si="283"/>
        <v/>
      </c>
      <c r="U6070" s="58" t="str">
        <f t="shared" si="284"/>
        <v/>
      </c>
    </row>
    <row r="6071" spans="19:21" ht="23.25" customHeight="1" x14ac:dyDescent="0.35">
      <c r="S6071" s="56" t="str">
        <f t="shared" si="282"/>
        <v/>
      </c>
      <c r="T6071" s="57" t="str">
        <f t="shared" si="283"/>
        <v/>
      </c>
      <c r="U6071" s="58" t="str">
        <f t="shared" si="284"/>
        <v/>
      </c>
    </row>
    <row r="6072" spans="19:21" ht="23.25" customHeight="1" x14ac:dyDescent="0.35">
      <c r="S6072" s="56" t="str">
        <f t="shared" si="282"/>
        <v/>
      </c>
      <c r="T6072" s="57" t="str">
        <f t="shared" si="283"/>
        <v/>
      </c>
      <c r="U6072" s="58" t="str">
        <f t="shared" si="284"/>
        <v/>
      </c>
    </row>
    <row r="6073" spans="19:21" ht="23.25" customHeight="1" x14ac:dyDescent="0.35">
      <c r="S6073" s="56" t="str">
        <f t="shared" si="282"/>
        <v/>
      </c>
      <c r="T6073" s="57" t="str">
        <f t="shared" si="283"/>
        <v/>
      </c>
      <c r="U6073" s="58" t="str">
        <f t="shared" si="284"/>
        <v/>
      </c>
    </row>
    <row r="6074" spans="19:21" ht="23.25" customHeight="1" x14ac:dyDescent="0.35">
      <c r="S6074" s="56" t="str">
        <f t="shared" si="282"/>
        <v/>
      </c>
      <c r="T6074" s="57" t="str">
        <f t="shared" si="283"/>
        <v/>
      </c>
      <c r="U6074" s="58" t="str">
        <f t="shared" si="284"/>
        <v/>
      </c>
    </row>
    <row r="6075" spans="19:21" ht="23.25" customHeight="1" x14ac:dyDescent="0.35">
      <c r="S6075" s="56" t="str">
        <f t="shared" si="282"/>
        <v/>
      </c>
      <c r="T6075" s="57" t="str">
        <f t="shared" si="283"/>
        <v/>
      </c>
      <c r="U6075" s="58" t="str">
        <f t="shared" si="284"/>
        <v/>
      </c>
    </row>
    <row r="6076" spans="19:21" ht="23.25" customHeight="1" x14ac:dyDescent="0.35">
      <c r="S6076" s="56" t="str">
        <f t="shared" si="282"/>
        <v/>
      </c>
      <c r="T6076" s="57" t="str">
        <f t="shared" si="283"/>
        <v/>
      </c>
      <c r="U6076" s="58" t="str">
        <f t="shared" si="284"/>
        <v/>
      </c>
    </row>
    <row r="6077" spans="19:21" ht="23.25" customHeight="1" x14ac:dyDescent="0.35">
      <c r="S6077" s="56" t="str">
        <f t="shared" si="282"/>
        <v/>
      </c>
      <c r="T6077" s="57" t="str">
        <f t="shared" si="283"/>
        <v/>
      </c>
      <c r="U6077" s="58" t="str">
        <f t="shared" si="284"/>
        <v/>
      </c>
    </row>
    <row r="6078" spans="19:21" ht="23.25" customHeight="1" x14ac:dyDescent="0.35">
      <c r="S6078" s="56" t="str">
        <f t="shared" si="282"/>
        <v/>
      </c>
      <c r="T6078" s="57" t="str">
        <f t="shared" si="283"/>
        <v/>
      </c>
      <c r="U6078" s="58" t="str">
        <f t="shared" si="284"/>
        <v/>
      </c>
    </row>
    <row r="6079" spans="19:21" ht="23.25" customHeight="1" x14ac:dyDescent="0.35">
      <c r="S6079" s="56" t="str">
        <f t="shared" si="282"/>
        <v/>
      </c>
      <c r="T6079" s="57" t="str">
        <f t="shared" si="283"/>
        <v/>
      </c>
      <c r="U6079" s="58" t="str">
        <f t="shared" si="284"/>
        <v/>
      </c>
    </row>
    <row r="6080" spans="19:21" ht="23.25" customHeight="1" x14ac:dyDescent="0.35">
      <c r="S6080" s="56" t="str">
        <f t="shared" si="282"/>
        <v/>
      </c>
      <c r="T6080" s="57" t="str">
        <f t="shared" si="283"/>
        <v/>
      </c>
      <c r="U6080" s="58" t="str">
        <f t="shared" si="284"/>
        <v/>
      </c>
    </row>
    <row r="6081" spans="19:21" ht="23.25" customHeight="1" x14ac:dyDescent="0.35">
      <c r="S6081" s="56" t="str">
        <f t="shared" si="282"/>
        <v/>
      </c>
      <c r="T6081" s="57" t="str">
        <f t="shared" si="283"/>
        <v/>
      </c>
      <c r="U6081" s="58" t="str">
        <f t="shared" si="284"/>
        <v/>
      </c>
    </row>
    <row r="6082" spans="19:21" ht="23.25" customHeight="1" x14ac:dyDescent="0.35">
      <c r="S6082" s="56" t="str">
        <f t="shared" si="282"/>
        <v/>
      </c>
      <c r="T6082" s="57" t="str">
        <f t="shared" si="283"/>
        <v/>
      </c>
      <c r="U6082" s="58" t="str">
        <f t="shared" si="284"/>
        <v/>
      </c>
    </row>
    <row r="6083" spans="19:21" ht="23.25" customHeight="1" x14ac:dyDescent="0.35">
      <c r="S6083" s="56" t="str">
        <f t="shared" si="282"/>
        <v/>
      </c>
      <c r="T6083" s="57" t="str">
        <f t="shared" si="283"/>
        <v/>
      </c>
      <c r="U6083" s="58" t="str">
        <f t="shared" si="284"/>
        <v/>
      </c>
    </row>
    <row r="6084" spans="19:21" ht="23.25" customHeight="1" x14ac:dyDescent="0.35">
      <c r="S6084" s="56" t="str">
        <f t="shared" si="282"/>
        <v/>
      </c>
      <c r="T6084" s="57" t="str">
        <f t="shared" si="283"/>
        <v/>
      </c>
      <c r="U6084" s="58" t="str">
        <f t="shared" si="284"/>
        <v/>
      </c>
    </row>
    <row r="6085" spans="19:21" ht="23.25" customHeight="1" x14ac:dyDescent="0.35">
      <c r="S6085" s="56" t="str">
        <f t="shared" si="282"/>
        <v/>
      </c>
      <c r="T6085" s="57" t="str">
        <f t="shared" si="283"/>
        <v/>
      </c>
      <c r="U6085" s="58" t="str">
        <f t="shared" si="284"/>
        <v/>
      </c>
    </row>
    <row r="6086" spans="19:21" ht="23.25" customHeight="1" x14ac:dyDescent="0.35">
      <c r="S6086" s="56" t="str">
        <f t="shared" si="282"/>
        <v/>
      </c>
      <c r="T6086" s="57" t="str">
        <f t="shared" si="283"/>
        <v/>
      </c>
      <c r="U6086" s="58" t="str">
        <f t="shared" si="284"/>
        <v/>
      </c>
    </row>
    <row r="6087" spans="19:21" ht="23.25" customHeight="1" x14ac:dyDescent="0.35">
      <c r="S6087" s="56" t="str">
        <f t="shared" si="282"/>
        <v/>
      </c>
      <c r="T6087" s="57" t="str">
        <f t="shared" si="283"/>
        <v/>
      </c>
      <c r="U6087" s="58" t="str">
        <f t="shared" si="284"/>
        <v/>
      </c>
    </row>
    <row r="6088" spans="19:21" ht="23.25" customHeight="1" x14ac:dyDescent="0.35">
      <c r="S6088" s="56" t="str">
        <f t="shared" si="282"/>
        <v/>
      </c>
      <c r="T6088" s="57" t="str">
        <f t="shared" si="283"/>
        <v/>
      </c>
      <c r="U6088" s="58" t="str">
        <f t="shared" si="284"/>
        <v/>
      </c>
    </row>
    <row r="6089" spans="19:21" ht="23.25" customHeight="1" x14ac:dyDescent="0.35">
      <c r="S6089" s="56" t="str">
        <f t="shared" ref="S6089:S6152" si="285">IF(A6089="","",A$5-A6089)</f>
        <v/>
      </c>
      <c r="T6089" s="57" t="str">
        <f t="shared" ref="T6089:T6152" si="286">IF(S6089="","",IF(S6089&lt;4,"0-3 Days",IF(S6089&lt;31,"4-30 Days",IF(S6089&lt;61,"31-60 Days",IF(S6089&lt;=90,"61-90 Days",IF(S6089&gt;90,"Above 90 Days","0"))))))</f>
        <v/>
      </c>
      <c r="U6089" s="58" t="str">
        <f t="shared" ref="U6089:U6152" si="287">IF(C6089="","",IF(C6089&gt;0,IF(S6089&lt;30,"Normal",IF(S6089&lt;60,"Especially Mentioned",IF(S6089&lt;90,"Substandard",IF(S6089&lt;=180,"Doubtful",IF(S6089&gt;180,"Loss","0"))))),"Not Applicable"))</f>
        <v/>
      </c>
    </row>
    <row r="6090" spans="19:21" ht="23.25" customHeight="1" x14ac:dyDescent="0.35">
      <c r="S6090" s="56" t="str">
        <f t="shared" si="285"/>
        <v/>
      </c>
      <c r="T6090" s="57" t="str">
        <f t="shared" si="286"/>
        <v/>
      </c>
      <c r="U6090" s="58" t="str">
        <f t="shared" si="287"/>
        <v/>
      </c>
    </row>
    <row r="6091" spans="19:21" ht="23.25" customHeight="1" x14ac:dyDescent="0.35">
      <c r="S6091" s="56" t="str">
        <f t="shared" si="285"/>
        <v/>
      </c>
      <c r="T6091" s="57" t="str">
        <f t="shared" si="286"/>
        <v/>
      </c>
      <c r="U6091" s="58" t="str">
        <f t="shared" si="287"/>
        <v/>
      </c>
    </row>
    <row r="6092" spans="19:21" ht="23.25" customHeight="1" x14ac:dyDescent="0.35">
      <c r="S6092" s="56" t="str">
        <f t="shared" si="285"/>
        <v/>
      </c>
      <c r="T6092" s="57" t="str">
        <f t="shared" si="286"/>
        <v/>
      </c>
      <c r="U6092" s="58" t="str">
        <f t="shared" si="287"/>
        <v/>
      </c>
    </row>
    <row r="6093" spans="19:21" ht="23.25" customHeight="1" x14ac:dyDescent="0.35">
      <c r="S6093" s="56" t="str">
        <f t="shared" si="285"/>
        <v/>
      </c>
      <c r="T6093" s="57" t="str">
        <f t="shared" si="286"/>
        <v/>
      </c>
      <c r="U6093" s="58" t="str">
        <f t="shared" si="287"/>
        <v/>
      </c>
    </row>
    <row r="6094" spans="19:21" ht="23.25" customHeight="1" x14ac:dyDescent="0.35">
      <c r="S6094" s="56" t="str">
        <f t="shared" si="285"/>
        <v/>
      </c>
      <c r="T6094" s="57" t="str">
        <f t="shared" si="286"/>
        <v/>
      </c>
      <c r="U6094" s="58" t="str">
        <f t="shared" si="287"/>
        <v/>
      </c>
    </row>
    <row r="6095" spans="19:21" ht="23.25" customHeight="1" x14ac:dyDescent="0.35">
      <c r="S6095" s="56" t="str">
        <f t="shared" si="285"/>
        <v/>
      </c>
      <c r="T6095" s="57" t="str">
        <f t="shared" si="286"/>
        <v/>
      </c>
      <c r="U6095" s="58" t="str">
        <f t="shared" si="287"/>
        <v/>
      </c>
    </row>
    <row r="6096" spans="19:21" ht="23.25" customHeight="1" x14ac:dyDescent="0.35">
      <c r="S6096" s="56" t="str">
        <f t="shared" si="285"/>
        <v/>
      </c>
      <c r="T6096" s="57" t="str">
        <f t="shared" si="286"/>
        <v/>
      </c>
      <c r="U6096" s="58" t="str">
        <f t="shared" si="287"/>
        <v/>
      </c>
    </row>
    <row r="6097" spans="19:21" ht="23.25" customHeight="1" x14ac:dyDescent="0.35">
      <c r="S6097" s="56" t="str">
        <f t="shared" si="285"/>
        <v/>
      </c>
      <c r="T6097" s="57" t="str">
        <f t="shared" si="286"/>
        <v/>
      </c>
      <c r="U6097" s="58" t="str">
        <f t="shared" si="287"/>
        <v/>
      </c>
    </row>
    <row r="6098" spans="19:21" ht="23.25" customHeight="1" x14ac:dyDescent="0.35">
      <c r="S6098" s="56" t="str">
        <f t="shared" si="285"/>
        <v/>
      </c>
      <c r="T6098" s="57" t="str">
        <f t="shared" si="286"/>
        <v/>
      </c>
      <c r="U6098" s="58" t="str">
        <f t="shared" si="287"/>
        <v/>
      </c>
    </row>
    <row r="6099" spans="19:21" ht="23.25" customHeight="1" x14ac:dyDescent="0.35">
      <c r="S6099" s="56" t="str">
        <f t="shared" si="285"/>
        <v/>
      </c>
      <c r="T6099" s="57" t="str">
        <f t="shared" si="286"/>
        <v/>
      </c>
      <c r="U6099" s="58" t="str">
        <f t="shared" si="287"/>
        <v/>
      </c>
    </row>
    <row r="6100" spans="19:21" ht="23.25" customHeight="1" x14ac:dyDescent="0.35">
      <c r="S6100" s="56" t="str">
        <f t="shared" si="285"/>
        <v/>
      </c>
      <c r="T6100" s="57" t="str">
        <f t="shared" si="286"/>
        <v/>
      </c>
      <c r="U6100" s="58" t="str">
        <f t="shared" si="287"/>
        <v/>
      </c>
    </row>
    <row r="6101" spans="19:21" ht="23.25" customHeight="1" x14ac:dyDescent="0.35">
      <c r="S6101" s="56" t="str">
        <f t="shared" si="285"/>
        <v/>
      </c>
      <c r="T6101" s="57" t="str">
        <f t="shared" si="286"/>
        <v/>
      </c>
      <c r="U6101" s="58" t="str">
        <f t="shared" si="287"/>
        <v/>
      </c>
    </row>
    <row r="6102" spans="19:21" ht="23.25" customHeight="1" x14ac:dyDescent="0.35">
      <c r="S6102" s="56" t="str">
        <f t="shared" si="285"/>
        <v/>
      </c>
      <c r="T6102" s="57" t="str">
        <f t="shared" si="286"/>
        <v/>
      </c>
      <c r="U6102" s="58" t="str">
        <f t="shared" si="287"/>
        <v/>
      </c>
    </row>
    <row r="6103" spans="19:21" ht="23.25" customHeight="1" x14ac:dyDescent="0.35">
      <c r="S6103" s="56" t="str">
        <f t="shared" si="285"/>
        <v/>
      </c>
      <c r="T6103" s="57" t="str">
        <f t="shared" si="286"/>
        <v/>
      </c>
      <c r="U6103" s="58" t="str">
        <f t="shared" si="287"/>
        <v/>
      </c>
    </row>
    <row r="6104" spans="19:21" ht="23.25" customHeight="1" x14ac:dyDescent="0.35">
      <c r="S6104" s="56" t="str">
        <f t="shared" si="285"/>
        <v/>
      </c>
      <c r="T6104" s="57" t="str">
        <f t="shared" si="286"/>
        <v/>
      </c>
      <c r="U6104" s="58" t="str">
        <f t="shared" si="287"/>
        <v/>
      </c>
    </row>
    <row r="6105" spans="19:21" ht="23.25" customHeight="1" x14ac:dyDescent="0.35">
      <c r="S6105" s="56" t="str">
        <f t="shared" si="285"/>
        <v/>
      </c>
      <c r="T6105" s="57" t="str">
        <f t="shared" si="286"/>
        <v/>
      </c>
      <c r="U6105" s="58" t="str">
        <f t="shared" si="287"/>
        <v/>
      </c>
    </row>
    <row r="6106" spans="19:21" ht="23.25" customHeight="1" x14ac:dyDescent="0.35">
      <c r="S6106" s="56" t="str">
        <f t="shared" si="285"/>
        <v/>
      </c>
      <c r="T6106" s="57" t="str">
        <f t="shared" si="286"/>
        <v/>
      </c>
      <c r="U6106" s="58" t="str">
        <f t="shared" si="287"/>
        <v/>
      </c>
    </row>
    <row r="6107" spans="19:21" ht="23.25" customHeight="1" x14ac:dyDescent="0.35">
      <c r="S6107" s="56" t="str">
        <f t="shared" si="285"/>
        <v/>
      </c>
      <c r="T6107" s="57" t="str">
        <f t="shared" si="286"/>
        <v/>
      </c>
      <c r="U6107" s="58" t="str">
        <f t="shared" si="287"/>
        <v/>
      </c>
    </row>
    <row r="6108" spans="19:21" ht="23.25" customHeight="1" x14ac:dyDescent="0.35">
      <c r="S6108" s="56" t="str">
        <f t="shared" si="285"/>
        <v/>
      </c>
      <c r="T6108" s="57" t="str">
        <f t="shared" si="286"/>
        <v/>
      </c>
      <c r="U6108" s="58" t="str">
        <f t="shared" si="287"/>
        <v/>
      </c>
    </row>
    <row r="6109" spans="19:21" ht="23.25" customHeight="1" x14ac:dyDescent="0.35">
      <c r="S6109" s="56" t="str">
        <f t="shared" si="285"/>
        <v/>
      </c>
      <c r="T6109" s="57" t="str">
        <f t="shared" si="286"/>
        <v/>
      </c>
      <c r="U6109" s="58" t="str">
        <f t="shared" si="287"/>
        <v/>
      </c>
    </row>
    <row r="6110" spans="19:21" ht="23.25" customHeight="1" x14ac:dyDescent="0.35">
      <c r="S6110" s="56" t="str">
        <f t="shared" si="285"/>
        <v/>
      </c>
      <c r="T6110" s="57" t="str">
        <f t="shared" si="286"/>
        <v/>
      </c>
      <c r="U6110" s="58" t="str">
        <f t="shared" si="287"/>
        <v/>
      </c>
    </row>
    <row r="6111" spans="19:21" ht="23.25" customHeight="1" x14ac:dyDescent="0.35">
      <c r="S6111" s="56" t="str">
        <f t="shared" si="285"/>
        <v/>
      </c>
      <c r="T6111" s="57" t="str">
        <f t="shared" si="286"/>
        <v/>
      </c>
      <c r="U6111" s="58" t="str">
        <f t="shared" si="287"/>
        <v/>
      </c>
    </row>
    <row r="6112" spans="19:21" ht="23.25" customHeight="1" x14ac:dyDescent="0.35">
      <c r="S6112" s="56" t="str">
        <f t="shared" si="285"/>
        <v/>
      </c>
      <c r="T6112" s="57" t="str">
        <f t="shared" si="286"/>
        <v/>
      </c>
      <c r="U6112" s="58" t="str">
        <f t="shared" si="287"/>
        <v/>
      </c>
    </row>
    <row r="6113" spans="19:21" ht="23.25" customHeight="1" x14ac:dyDescent="0.35">
      <c r="S6113" s="56" t="str">
        <f t="shared" si="285"/>
        <v/>
      </c>
      <c r="T6113" s="57" t="str">
        <f t="shared" si="286"/>
        <v/>
      </c>
      <c r="U6113" s="58" t="str">
        <f t="shared" si="287"/>
        <v/>
      </c>
    </row>
    <row r="6114" spans="19:21" ht="23.25" customHeight="1" x14ac:dyDescent="0.35">
      <c r="S6114" s="56" t="str">
        <f t="shared" si="285"/>
        <v/>
      </c>
      <c r="T6114" s="57" t="str">
        <f t="shared" si="286"/>
        <v/>
      </c>
      <c r="U6114" s="58" t="str">
        <f t="shared" si="287"/>
        <v/>
      </c>
    </row>
    <row r="6115" spans="19:21" ht="23.25" customHeight="1" x14ac:dyDescent="0.35">
      <c r="S6115" s="56" t="str">
        <f t="shared" si="285"/>
        <v/>
      </c>
      <c r="T6115" s="57" t="str">
        <f t="shared" si="286"/>
        <v/>
      </c>
      <c r="U6115" s="58" t="str">
        <f t="shared" si="287"/>
        <v/>
      </c>
    </row>
    <row r="6116" spans="19:21" ht="23.25" customHeight="1" x14ac:dyDescent="0.35">
      <c r="S6116" s="56" t="str">
        <f t="shared" si="285"/>
        <v/>
      </c>
      <c r="T6116" s="57" t="str">
        <f t="shared" si="286"/>
        <v/>
      </c>
      <c r="U6116" s="58" t="str">
        <f t="shared" si="287"/>
        <v/>
      </c>
    </row>
    <row r="6117" spans="19:21" ht="23.25" customHeight="1" x14ac:dyDescent="0.35">
      <c r="S6117" s="56" t="str">
        <f t="shared" si="285"/>
        <v/>
      </c>
      <c r="T6117" s="57" t="str">
        <f t="shared" si="286"/>
        <v/>
      </c>
      <c r="U6117" s="58" t="str">
        <f t="shared" si="287"/>
        <v/>
      </c>
    </row>
    <row r="6118" spans="19:21" ht="23.25" customHeight="1" x14ac:dyDescent="0.35">
      <c r="S6118" s="56" t="str">
        <f t="shared" si="285"/>
        <v/>
      </c>
      <c r="T6118" s="57" t="str">
        <f t="shared" si="286"/>
        <v/>
      </c>
      <c r="U6118" s="58" t="str">
        <f t="shared" si="287"/>
        <v/>
      </c>
    </row>
    <row r="6119" spans="19:21" ht="23.25" customHeight="1" x14ac:dyDescent="0.35">
      <c r="S6119" s="56" t="str">
        <f t="shared" si="285"/>
        <v/>
      </c>
      <c r="T6119" s="57" t="str">
        <f t="shared" si="286"/>
        <v/>
      </c>
      <c r="U6119" s="58" t="str">
        <f t="shared" si="287"/>
        <v/>
      </c>
    </row>
    <row r="6120" spans="19:21" ht="23.25" customHeight="1" x14ac:dyDescent="0.35">
      <c r="S6120" s="56" t="str">
        <f t="shared" si="285"/>
        <v/>
      </c>
      <c r="T6120" s="57" t="str">
        <f t="shared" si="286"/>
        <v/>
      </c>
      <c r="U6120" s="58" t="str">
        <f t="shared" si="287"/>
        <v/>
      </c>
    </row>
    <row r="6121" spans="19:21" ht="23.25" customHeight="1" x14ac:dyDescent="0.35">
      <c r="S6121" s="56" t="str">
        <f t="shared" si="285"/>
        <v/>
      </c>
      <c r="T6121" s="57" t="str">
        <f t="shared" si="286"/>
        <v/>
      </c>
      <c r="U6121" s="58" t="str">
        <f t="shared" si="287"/>
        <v/>
      </c>
    </row>
    <row r="6122" spans="19:21" ht="23.25" customHeight="1" x14ac:dyDescent="0.35">
      <c r="S6122" s="56" t="str">
        <f t="shared" si="285"/>
        <v/>
      </c>
      <c r="T6122" s="57" t="str">
        <f t="shared" si="286"/>
        <v/>
      </c>
      <c r="U6122" s="58" t="str">
        <f t="shared" si="287"/>
        <v/>
      </c>
    </row>
    <row r="6123" spans="19:21" ht="23.25" customHeight="1" x14ac:dyDescent="0.35">
      <c r="S6123" s="56" t="str">
        <f t="shared" si="285"/>
        <v/>
      </c>
      <c r="T6123" s="57" t="str">
        <f t="shared" si="286"/>
        <v/>
      </c>
      <c r="U6123" s="58" t="str">
        <f t="shared" si="287"/>
        <v/>
      </c>
    </row>
    <row r="6124" spans="19:21" ht="23.25" customHeight="1" x14ac:dyDescent="0.35">
      <c r="S6124" s="56" t="str">
        <f t="shared" si="285"/>
        <v/>
      </c>
      <c r="T6124" s="57" t="str">
        <f t="shared" si="286"/>
        <v/>
      </c>
      <c r="U6124" s="58" t="str">
        <f t="shared" si="287"/>
        <v/>
      </c>
    </row>
    <row r="6125" spans="19:21" ht="23.25" customHeight="1" x14ac:dyDescent="0.35">
      <c r="S6125" s="56" t="str">
        <f t="shared" si="285"/>
        <v/>
      </c>
      <c r="T6125" s="57" t="str">
        <f t="shared" si="286"/>
        <v/>
      </c>
      <c r="U6125" s="58" t="str">
        <f t="shared" si="287"/>
        <v/>
      </c>
    </row>
    <row r="6126" spans="19:21" ht="23.25" customHeight="1" x14ac:dyDescent="0.35">
      <c r="S6126" s="56" t="str">
        <f t="shared" si="285"/>
        <v/>
      </c>
      <c r="T6126" s="57" t="str">
        <f t="shared" si="286"/>
        <v/>
      </c>
      <c r="U6126" s="58" t="str">
        <f t="shared" si="287"/>
        <v/>
      </c>
    </row>
    <row r="6127" spans="19:21" ht="23.25" customHeight="1" x14ac:dyDescent="0.35">
      <c r="S6127" s="56" t="str">
        <f t="shared" si="285"/>
        <v/>
      </c>
      <c r="T6127" s="57" t="str">
        <f t="shared" si="286"/>
        <v/>
      </c>
      <c r="U6127" s="58" t="str">
        <f t="shared" si="287"/>
        <v/>
      </c>
    </row>
    <row r="6128" spans="19:21" ht="23.25" customHeight="1" x14ac:dyDescent="0.35">
      <c r="S6128" s="56" t="str">
        <f t="shared" si="285"/>
        <v/>
      </c>
      <c r="T6128" s="57" t="str">
        <f t="shared" si="286"/>
        <v/>
      </c>
      <c r="U6128" s="58" t="str">
        <f t="shared" si="287"/>
        <v/>
      </c>
    </row>
    <row r="6129" spans="19:21" ht="23.25" customHeight="1" x14ac:dyDescent="0.35">
      <c r="S6129" s="56" t="str">
        <f t="shared" si="285"/>
        <v/>
      </c>
      <c r="T6129" s="57" t="str">
        <f t="shared" si="286"/>
        <v/>
      </c>
      <c r="U6129" s="58" t="str">
        <f t="shared" si="287"/>
        <v/>
      </c>
    </row>
    <row r="6130" spans="19:21" ht="23.25" customHeight="1" x14ac:dyDescent="0.35">
      <c r="S6130" s="56" t="str">
        <f t="shared" si="285"/>
        <v/>
      </c>
      <c r="T6130" s="57" t="str">
        <f t="shared" si="286"/>
        <v/>
      </c>
      <c r="U6130" s="58" t="str">
        <f t="shared" si="287"/>
        <v/>
      </c>
    </row>
    <row r="6131" spans="19:21" ht="23.25" customHeight="1" x14ac:dyDescent="0.35">
      <c r="S6131" s="56" t="str">
        <f t="shared" si="285"/>
        <v/>
      </c>
      <c r="T6131" s="57" t="str">
        <f t="shared" si="286"/>
        <v/>
      </c>
      <c r="U6131" s="58" t="str">
        <f t="shared" si="287"/>
        <v/>
      </c>
    </row>
    <row r="6132" spans="19:21" ht="23.25" customHeight="1" x14ac:dyDescent="0.35">
      <c r="S6132" s="56" t="str">
        <f t="shared" si="285"/>
        <v/>
      </c>
      <c r="T6132" s="57" t="str">
        <f t="shared" si="286"/>
        <v/>
      </c>
      <c r="U6132" s="58" t="str">
        <f t="shared" si="287"/>
        <v/>
      </c>
    </row>
    <row r="6133" spans="19:21" ht="23.25" customHeight="1" x14ac:dyDescent="0.35">
      <c r="S6133" s="56" t="str">
        <f t="shared" si="285"/>
        <v/>
      </c>
      <c r="T6133" s="57" t="str">
        <f t="shared" si="286"/>
        <v/>
      </c>
      <c r="U6133" s="58" t="str">
        <f t="shared" si="287"/>
        <v/>
      </c>
    </row>
    <row r="6134" spans="19:21" ht="23.25" customHeight="1" x14ac:dyDescent="0.35">
      <c r="S6134" s="56" t="str">
        <f t="shared" si="285"/>
        <v/>
      </c>
      <c r="T6134" s="57" t="str">
        <f t="shared" si="286"/>
        <v/>
      </c>
      <c r="U6134" s="58" t="str">
        <f t="shared" si="287"/>
        <v/>
      </c>
    </row>
    <row r="6135" spans="19:21" ht="23.25" customHeight="1" x14ac:dyDescent="0.35">
      <c r="S6135" s="56" t="str">
        <f t="shared" si="285"/>
        <v/>
      </c>
      <c r="T6135" s="57" t="str">
        <f t="shared" si="286"/>
        <v/>
      </c>
      <c r="U6135" s="58" t="str">
        <f t="shared" si="287"/>
        <v/>
      </c>
    </row>
    <row r="6136" spans="19:21" ht="23.25" customHeight="1" x14ac:dyDescent="0.35">
      <c r="S6136" s="56" t="str">
        <f t="shared" si="285"/>
        <v/>
      </c>
      <c r="T6136" s="57" t="str">
        <f t="shared" si="286"/>
        <v/>
      </c>
      <c r="U6136" s="58" t="str">
        <f t="shared" si="287"/>
        <v/>
      </c>
    </row>
    <row r="6137" spans="19:21" ht="23.25" customHeight="1" x14ac:dyDescent="0.35">
      <c r="S6137" s="56" t="str">
        <f t="shared" si="285"/>
        <v/>
      </c>
      <c r="T6137" s="57" t="str">
        <f t="shared" si="286"/>
        <v/>
      </c>
      <c r="U6137" s="58" t="str">
        <f t="shared" si="287"/>
        <v/>
      </c>
    </row>
    <row r="6138" spans="19:21" ht="23.25" customHeight="1" x14ac:dyDescent="0.35">
      <c r="S6138" s="56" t="str">
        <f t="shared" si="285"/>
        <v/>
      </c>
      <c r="T6138" s="57" t="str">
        <f t="shared" si="286"/>
        <v/>
      </c>
      <c r="U6138" s="58" t="str">
        <f t="shared" si="287"/>
        <v/>
      </c>
    </row>
    <row r="6139" spans="19:21" ht="23.25" customHeight="1" x14ac:dyDescent="0.35">
      <c r="S6139" s="56" t="str">
        <f t="shared" si="285"/>
        <v/>
      </c>
      <c r="T6139" s="57" t="str">
        <f t="shared" si="286"/>
        <v/>
      </c>
      <c r="U6139" s="58" t="str">
        <f t="shared" si="287"/>
        <v/>
      </c>
    </row>
    <row r="6140" spans="19:21" ht="23.25" customHeight="1" x14ac:dyDescent="0.35">
      <c r="S6140" s="56" t="str">
        <f t="shared" si="285"/>
        <v/>
      </c>
      <c r="T6140" s="57" t="str">
        <f t="shared" si="286"/>
        <v/>
      </c>
      <c r="U6140" s="58" t="str">
        <f t="shared" si="287"/>
        <v/>
      </c>
    </row>
    <row r="6141" spans="19:21" ht="23.25" customHeight="1" x14ac:dyDescent="0.35">
      <c r="S6141" s="56" t="str">
        <f t="shared" si="285"/>
        <v/>
      </c>
      <c r="T6141" s="57" t="str">
        <f t="shared" si="286"/>
        <v/>
      </c>
      <c r="U6141" s="58" t="str">
        <f t="shared" si="287"/>
        <v/>
      </c>
    </row>
    <row r="6142" spans="19:21" ht="23.25" customHeight="1" x14ac:dyDescent="0.35">
      <c r="S6142" s="56" t="str">
        <f t="shared" si="285"/>
        <v/>
      </c>
      <c r="T6142" s="57" t="str">
        <f t="shared" si="286"/>
        <v/>
      </c>
      <c r="U6142" s="58" t="str">
        <f t="shared" si="287"/>
        <v/>
      </c>
    </row>
    <row r="6143" spans="19:21" ht="23.25" customHeight="1" x14ac:dyDescent="0.35">
      <c r="S6143" s="56" t="str">
        <f t="shared" si="285"/>
        <v/>
      </c>
      <c r="T6143" s="57" t="str">
        <f t="shared" si="286"/>
        <v/>
      </c>
      <c r="U6143" s="58" t="str">
        <f t="shared" si="287"/>
        <v/>
      </c>
    </row>
    <row r="6144" spans="19:21" ht="23.25" customHeight="1" x14ac:dyDescent="0.35">
      <c r="S6144" s="56" t="str">
        <f t="shared" si="285"/>
        <v/>
      </c>
      <c r="T6144" s="57" t="str">
        <f t="shared" si="286"/>
        <v/>
      </c>
      <c r="U6144" s="58" t="str">
        <f t="shared" si="287"/>
        <v/>
      </c>
    </row>
    <row r="6145" spans="19:21" ht="23.25" customHeight="1" x14ac:dyDescent="0.35">
      <c r="S6145" s="56" t="str">
        <f t="shared" si="285"/>
        <v/>
      </c>
      <c r="T6145" s="57" t="str">
        <f t="shared" si="286"/>
        <v/>
      </c>
      <c r="U6145" s="58" t="str">
        <f t="shared" si="287"/>
        <v/>
      </c>
    </row>
    <row r="6146" spans="19:21" ht="23.25" customHeight="1" x14ac:dyDescent="0.35">
      <c r="S6146" s="56" t="str">
        <f t="shared" si="285"/>
        <v/>
      </c>
      <c r="T6146" s="57" t="str">
        <f t="shared" si="286"/>
        <v/>
      </c>
      <c r="U6146" s="58" t="str">
        <f t="shared" si="287"/>
        <v/>
      </c>
    </row>
    <row r="6147" spans="19:21" ht="23.25" customHeight="1" x14ac:dyDescent="0.35">
      <c r="S6147" s="56" t="str">
        <f t="shared" si="285"/>
        <v/>
      </c>
      <c r="T6147" s="57" t="str">
        <f t="shared" si="286"/>
        <v/>
      </c>
      <c r="U6147" s="58" t="str">
        <f t="shared" si="287"/>
        <v/>
      </c>
    </row>
    <row r="6148" spans="19:21" ht="23.25" customHeight="1" x14ac:dyDescent="0.35">
      <c r="S6148" s="56" t="str">
        <f t="shared" si="285"/>
        <v/>
      </c>
      <c r="T6148" s="57" t="str">
        <f t="shared" si="286"/>
        <v/>
      </c>
      <c r="U6148" s="58" t="str">
        <f t="shared" si="287"/>
        <v/>
      </c>
    </row>
    <row r="6149" spans="19:21" ht="23.25" customHeight="1" x14ac:dyDescent="0.35">
      <c r="S6149" s="56" t="str">
        <f t="shared" si="285"/>
        <v/>
      </c>
      <c r="T6149" s="57" t="str">
        <f t="shared" si="286"/>
        <v/>
      </c>
      <c r="U6149" s="58" t="str">
        <f t="shared" si="287"/>
        <v/>
      </c>
    </row>
    <row r="6150" spans="19:21" ht="23.25" customHeight="1" x14ac:dyDescent="0.35">
      <c r="S6150" s="56" t="str">
        <f t="shared" si="285"/>
        <v/>
      </c>
      <c r="T6150" s="57" t="str">
        <f t="shared" si="286"/>
        <v/>
      </c>
      <c r="U6150" s="58" t="str">
        <f t="shared" si="287"/>
        <v/>
      </c>
    </row>
    <row r="6151" spans="19:21" ht="23.25" customHeight="1" x14ac:dyDescent="0.35">
      <c r="S6151" s="56" t="str">
        <f t="shared" si="285"/>
        <v/>
      </c>
      <c r="T6151" s="57" t="str">
        <f t="shared" si="286"/>
        <v/>
      </c>
      <c r="U6151" s="58" t="str">
        <f t="shared" si="287"/>
        <v/>
      </c>
    </row>
    <row r="6152" spans="19:21" ht="23.25" customHeight="1" x14ac:dyDescent="0.35">
      <c r="S6152" s="56" t="str">
        <f t="shared" si="285"/>
        <v/>
      </c>
      <c r="T6152" s="57" t="str">
        <f t="shared" si="286"/>
        <v/>
      </c>
      <c r="U6152" s="58" t="str">
        <f t="shared" si="287"/>
        <v/>
      </c>
    </row>
    <row r="6153" spans="19:21" ht="23.25" customHeight="1" x14ac:dyDescent="0.35">
      <c r="S6153" s="56" t="str">
        <f t="shared" ref="S6153:S6216" si="288">IF(A6153="","",A$5-A6153)</f>
        <v/>
      </c>
      <c r="T6153" s="57" t="str">
        <f t="shared" ref="T6153:T6216" si="289">IF(S6153="","",IF(S6153&lt;4,"0-3 Days",IF(S6153&lt;31,"4-30 Days",IF(S6153&lt;61,"31-60 Days",IF(S6153&lt;=90,"61-90 Days",IF(S6153&gt;90,"Above 90 Days","0"))))))</f>
        <v/>
      </c>
      <c r="U6153" s="58" t="str">
        <f t="shared" ref="U6153:U6216" si="290">IF(C6153="","",IF(C6153&gt;0,IF(S6153&lt;30,"Normal",IF(S6153&lt;60,"Especially Mentioned",IF(S6153&lt;90,"Substandard",IF(S6153&lt;=180,"Doubtful",IF(S6153&gt;180,"Loss","0"))))),"Not Applicable"))</f>
        <v/>
      </c>
    </row>
    <row r="6154" spans="19:21" ht="23.25" customHeight="1" x14ac:dyDescent="0.35">
      <c r="S6154" s="56" t="str">
        <f t="shared" si="288"/>
        <v/>
      </c>
      <c r="T6154" s="57" t="str">
        <f t="shared" si="289"/>
        <v/>
      </c>
      <c r="U6154" s="58" t="str">
        <f t="shared" si="290"/>
        <v/>
      </c>
    </row>
    <row r="6155" spans="19:21" ht="23.25" customHeight="1" x14ac:dyDescent="0.35">
      <c r="S6155" s="56" t="str">
        <f t="shared" si="288"/>
        <v/>
      </c>
      <c r="T6155" s="57" t="str">
        <f t="shared" si="289"/>
        <v/>
      </c>
      <c r="U6155" s="58" t="str">
        <f t="shared" si="290"/>
        <v/>
      </c>
    </row>
    <row r="6156" spans="19:21" ht="23.25" customHeight="1" x14ac:dyDescent="0.35">
      <c r="S6156" s="56" t="str">
        <f t="shared" si="288"/>
        <v/>
      </c>
      <c r="T6156" s="57" t="str">
        <f t="shared" si="289"/>
        <v/>
      </c>
      <c r="U6156" s="58" t="str">
        <f t="shared" si="290"/>
        <v/>
      </c>
    </row>
    <row r="6157" spans="19:21" ht="23.25" customHeight="1" x14ac:dyDescent="0.35">
      <c r="S6157" s="56" t="str">
        <f t="shared" si="288"/>
        <v/>
      </c>
      <c r="T6157" s="57" t="str">
        <f t="shared" si="289"/>
        <v/>
      </c>
      <c r="U6157" s="58" t="str">
        <f t="shared" si="290"/>
        <v/>
      </c>
    </row>
    <row r="6158" spans="19:21" ht="23.25" customHeight="1" x14ac:dyDescent="0.35">
      <c r="S6158" s="56" t="str">
        <f t="shared" si="288"/>
        <v/>
      </c>
      <c r="T6158" s="57" t="str">
        <f t="shared" si="289"/>
        <v/>
      </c>
      <c r="U6158" s="58" t="str">
        <f t="shared" si="290"/>
        <v/>
      </c>
    </row>
    <row r="6159" spans="19:21" ht="23.25" customHeight="1" x14ac:dyDescent="0.35">
      <c r="S6159" s="56" t="str">
        <f t="shared" si="288"/>
        <v/>
      </c>
      <c r="T6159" s="57" t="str">
        <f t="shared" si="289"/>
        <v/>
      </c>
      <c r="U6159" s="58" t="str">
        <f t="shared" si="290"/>
        <v/>
      </c>
    </row>
    <row r="6160" spans="19:21" ht="23.25" customHeight="1" x14ac:dyDescent="0.35">
      <c r="S6160" s="56" t="str">
        <f t="shared" si="288"/>
        <v/>
      </c>
      <c r="T6160" s="57" t="str">
        <f t="shared" si="289"/>
        <v/>
      </c>
      <c r="U6160" s="58" t="str">
        <f t="shared" si="290"/>
        <v/>
      </c>
    </row>
    <row r="6161" spans="19:21" ht="23.25" customHeight="1" x14ac:dyDescent="0.35">
      <c r="S6161" s="56" t="str">
        <f t="shared" si="288"/>
        <v/>
      </c>
      <c r="T6161" s="57" t="str">
        <f t="shared" si="289"/>
        <v/>
      </c>
      <c r="U6161" s="58" t="str">
        <f t="shared" si="290"/>
        <v/>
      </c>
    </row>
    <row r="6162" spans="19:21" ht="23.25" customHeight="1" x14ac:dyDescent="0.35">
      <c r="S6162" s="56" t="str">
        <f t="shared" si="288"/>
        <v/>
      </c>
      <c r="T6162" s="57" t="str">
        <f t="shared" si="289"/>
        <v/>
      </c>
      <c r="U6162" s="58" t="str">
        <f t="shared" si="290"/>
        <v/>
      </c>
    </row>
    <row r="6163" spans="19:21" ht="23.25" customHeight="1" x14ac:dyDescent="0.35">
      <c r="S6163" s="56" t="str">
        <f t="shared" si="288"/>
        <v/>
      </c>
      <c r="T6163" s="57" t="str">
        <f t="shared" si="289"/>
        <v/>
      </c>
      <c r="U6163" s="58" t="str">
        <f t="shared" si="290"/>
        <v/>
      </c>
    </row>
    <row r="6164" spans="19:21" ht="23.25" customHeight="1" x14ac:dyDescent="0.35">
      <c r="S6164" s="56" t="str">
        <f t="shared" si="288"/>
        <v/>
      </c>
      <c r="T6164" s="57" t="str">
        <f t="shared" si="289"/>
        <v/>
      </c>
      <c r="U6164" s="58" t="str">
        <f t="shared" si="290"/>
        <v/>
      </c>
    </row>
    <row r="6165" spans="19:21" ht="23.25" customHeight="1" x14ac:dyDescent="0.35">
      <c r="S6165" s="56" t="str">
        <f t="shared" si="288"/>
        <v/>
      </c>
      <c r="T6165" s="57" t="str">
        <f t="shared" si="289"/>
        <v/>
      </c>
      <c r="U6165" s="58" t="str">
        <f t="shared" si="290"/>
        <v/>
      </c>
    </row>
    <row r="6166" spans="19:21" ht="23.25" customHeight="1" x14ac:dyDescent="0.35">
      <c r="S6166" s="56" t="str">
        <f t="shared" si="288"/>
        <v/>
      </c>
      <c r="T6166" s="57" t="str">
        <f t="shared" si="289"/>
        <v/>
      </c>
      <c r="U6166" s="58" t="str">
        <f t="shared" si="290"/>
        <v/>
      </c>
    </row>
    <row r="6167" spans="19:21" ht="23.25" customHeight="1" x14ac:dyDescent="0.35">
      <c r="S6167" s="56" t="str">
        <f t="shared" si="288"/>
        <v/>
      </c>
      <c r="T6167" s="57" t="str">
        <f t="shared" si="289"/>
        <v/>
      </c>
      <c r="U6167" s="58" t="str">
        <f t="shared" si="290"/>
        <v/>
      </c>
    </row>
    <row r="6168" spans="19:21" ht="23.25" customHeight="1" x14ac:dyDescent="0.35">
      <c r="S6168" s="56" t="str">
        <f t="shared" si="288"/>
        <v/>
      </c>
      <c r="T6168" s="57" t="str">
        <f t="shared" si="289"/>
        <v/>
      </c>
      <c r="U6168" s="58" t="str">
        <f t="shared" si="290"/>
        <v/>
      </c>
    </row>
    <row r="6169" spans="19:21" ht="23.25" customHeight="1" x14ac:dyDescent="0.35">
      <c r="S6169" s="56" t="str">
        <f t="shared" si="288"/>
        <v/>
      </c>
      <c r="T6169" s="57" t="str">
        <f t="shared" si="289"/>
        <v/>
      </c>
      <c r="U6169" s="58" t="str">
        <f t="shared" si="290"/>
        <v/>
      </c>
    </row>
    <row r="6170" spans="19:21" ht="23.25" customHeight="1" x14ac:dyDescent="0.35">
      <c r="S6170" s="56" t="str">
        <f t="shared" si="288"/>
        <v/>
      </c>
      <c r="T6170" s="57" t="str">
        <f t="shared" si="289"/>
        <v/>
      </c>
      <c r="U6170" s="58" t="str">
        <f t="shared" si="290"/>
        <v/>
      </c>
    </row>
    <row r="6171" spans="19:21" ht="23.25" customHeight="1" x14ac:dyDescent="0.35">
      <c r="S6171" s="56" t="str">
        <f t="shared" si="288"/>
        <v/>
      </c>
      <c r="T6171" s="57" t="str">
        <f t="shared" si="289"/>
        <v/>
      </c>
      <c r="U6171" s="58" t="str">
        <f t="shared" si="290"/>
        <v/>
      </c>
    </row>
    <row r="6172" spans="19:21" ht="23.25" customHeight="1" x14ac:dyDescent="0.35">
      <c r="S6172" s="56" t="str">
        <f t="shared" si="288"/>
        <v/>
      </c>
      <c r="T6172" s="57" t="str">
        <f t="shared" si="289"/>
        <v/>
      </c>
      <c r="U6172" s="58" t="str">
        <f t="shared" si="290"/>
        <v/>
      </c>
    </row>
    <row r="6173" spans="19:21" ht="23.25" customHeight="1" x14ac:dyDescent="0.35">
      <c r="S6173" s="56" t="str">
        <f t="shared" si="288"/>
        <v/>
      </c>
      <c r="T6173" s="57" t="str">
        <f t="shared" si="289"/>
        <v/>
      </c>
      <c r="U6173" s="58" t="str">
        <f t="shared" si="290"/>
        <v/>
      </c>
    </row>
    <row r="6174" spans="19:21" ht="23.25" customHeight="1" x14ac:dyDescent="0.35">
      <c r="S6174" s="56" t="str">
        <f t="shared" si="288"/>
        <v/>
      </c>
      <c r="T6174" s="57" t="str">
        <f t="shared" si="289"/>
        <v/>
      </c>
      <c r="U6174" s="58" t="str">
        <f t="shared" si="290"/>
        <v/>
      </c>
    </row>
    <row r="6175" spans="19:21" ht="23.25" customHeight="1" x14ac:dyDescent="0.35">
      <c r="S6175" s="56" t="str">
        <f t="shared" si="288"/>
        <v/>
      </c>
      <c r="T6175" s="57" t="str">
        <f t="shared" si="289"/>
        <v/>
      </c>
      <c r="U6175" s="58" t="str">
        <f t="shared" si="290"/>
        <v/>
      </c>
    </row>
    <row r="6176" spans="19:21" ht="23.25" customHeight="1" x14ac:dyDescent="0.35">
      <c r="S6176" s="56" t="str">
        <f t="shared" si="288"/>
        <v/>
      </c>
      <c r="T6176" s="57" t="str">
        <f t="shared" si="289"/>
        <v/>
      </c>
      <c r="U6176" s="58" t="str">
        <f t="shared" si="290"/>
        <v/>
      </c>
    </row>
    <row r="6177" spans="19:21" ht="23.25" customHeight="1" x14ac:dyDescent="0.35">
      <c r="S6177" s="56" t="str">
        <f t="shared" si="288"/>
        <v/>
      </c>
      <c r="T6177" s="57" t="str">
        <f t="shared" si="289"/>
        <v/>
      </c>
      <c r="U6177" s="58" t="str">
        <f t="shared" si="290"/>
        <v/>
      </c>
    </row>
    <row r="6178" spans="19:21" ht="23.25" customHeight="1" x14ac:dyDescent="0.35">
      <c r="S6178" s="56" t="str">
        <f t="shared" si="288"/>
        <v/>
      </c>
      <c r="T6178" s="57" t="str">
        <f t="shared" si="289"/>
        <v/>
      </c>
      <c r="U6178" s="58" t="str">
        <f t="shared" si="290"/>
        <v/>
      </c>
    </row>
    <row r="6179" spans="19:21" ht="23.25" customHeight="1" x14ac:dyDescent="0.35">
      <c r="S6179" s="56" t="str">
        <f t="shared" si="288"/>
        <v/>
      </c>
      <c r="T6179" s="57" t="str">
        <f t="shared" si="289"/>
        <v/>
      </c>
      <c r="U6179" s="58" t="str">
        <f t="shared" si="290"/>
        <v/>
      </c>
    </row>
    <row r="6180" spans="19:21" ht="23.25" customHeight="1" x14ac:dyDescent="0.35">
      <c r="S6180" s="56" t="str">
        <f t="shared" si="288"/>
        <v/>
      </c>
      <c r="T6180" s="57" t="str">
        <f t="shared" si="289"/>
        <v/>
      </c>
      <c r="U6180" s="58" t="str">
        <f t="shared" si="290"/>
        <v/>
      </c>
    </row>
    <row r="6181" spans="19:21" ht="23.25" customHeight="1" x14ac:dyDescent="0.35">
      <c r="S6181" s="56" t="str">
        <f t="shared" si="288"/>
        <v/>
      </c>
      <c r="T6181" s="57" t="str">
        <f t="shared" si="289"/>
        <v/>
      </c>
      <c r="U6181" s="58" t="str">
        <f t="shared" si="290"/>
        <v/>
      </c>
    </row>
    <row r="6182" spans="19:21" ht="23.25" customHeight="1" x14ac:dyDescent="0.35">
      <c r="S6182" s="56" t="str">
        <f t="shared" si="288"/>
        <v/>
      </c>
      <c r="T6182" s="57" t="str">
        <f t="shared" si="289"/>
        <v/>
      </c>
      <c r="U6182" s="58" t="str">
        <f t="shared" si="290"/>
        <v/>
      </c>
    </row>
    <row r="6183" spans="19:21" ht="23.25" customHeight="1" x14ac:dyDescent="0.35">
      <c r="S6183" s="56" t="str">
        <f t="shared" si="288"/>
        <v/>
      </c>
      <c r="T6183" s="57" t="str">
        <f t="shared" si="289"/>
        <v/>
      </c>
      <c r="U6183" s="58" t="str">
        <f t="shared" si="290"/>
        <v/>
      </c>
    </row>
    <row r="6184" spans="19:21" ht="23.25" customHeight="1" x14ac:dyDescent="0.35">
      <c r="S6184" s="56" t="str">
        <f t="shared" si="288"/>
        <v/>
      </c>
      <c r="T6184" s="57" t="str">
        <f t="shared" si="289"/>
        <v/>
      </c>
      <c r="U6184" s="58" t="str">
        <f t="shared" si="290"/>
        <v/>
      </c>
    </row>
    <row r="6185" spans="19:21" ht="23.25" customHeight="1" x14ac:dyDescent="0.35">
      <c r="S6185" s="56" t="str">
        <f t="shared" si="288"/>
        <v/>
      </c>
      <c r="T6185" s="57" t="str">
        <f t="shared" si="289"/>
        <v/>
      </c>
      <c r="U6185" s="58" t="str">
        <f t="shared" si="290"/>
        <v/>
      </c>
    </row>
    <row r="6186" spans="19:21" ht="23.25" customHeight="1" x14ac:dyDescent="0.35">
      <c r="S6186" s="56" t="str">
        <f t="shared" si="288"/>
        <v/>
      </c>
      <c r="T6186" s="57" t="str">
        <f t="shared" si="289"/>
        <v/>
      </c>
      <c r="U6186" s="58" t="str">
        <f t="shared" si="290"/>
        <v/>
      </c>
    </row>
    <row r="6187" spans="19:21" ht="23.25" customHeight="1" x14ac:dyDescent="0.35">
      <c r="S6187" s="56" t="str">
        <f t="shared" si="288"/>
        <v/>
      </c>
      <c r="T6187" s="57" t="str">
        <f t="shared" si="289"/>
        <v/>
      </c>
      <c r="U6187" s="58" t="str">
        <f t="shared" si="290"/>
        <v/>
      </c>
    </row>
    <row r="6188" spans="19:21" ht="23.25" customHeight="1" x14ac:dyDescent="0.35">
      <c r="S6188" s="56" t="str">
        <f t="shared" si="288"/>
        <v/>
      </c>
      <c r="T6188" s="57" t="str">
        <f t="shared" si="289"/>
        <v/>
      </c>
      <c r="U6188" s="58" t="str">
        <f t="shared" si="290"/>
        <v/>
      </c>
    </row>
    <row r="6189" spans="19:21" ht="23.25" customHeight="1" x14ac:dyDescent="0.35">
      <c r="S6189" s="56" t="str">
        <f t="shared" si="288"/>
        <v/>
      </c>
      <c r="T6189" s="57" t="str">
        <f t="shared" si="289"/>
        <v/>
      </c>
      <c r="U6189" s="58" t="str">
        <f t="shared" si="290"/>
        <v/>
      </c>
    </row>
    <row r="6190" spans="19:21" ht="23.25" customHeight="1" x14ac:dyDescent="0.35">
      <c r="S6190" s="56" t="str">
        <f t="shared" si="288"/>
        <v/>
      </c>
      <c r="T6190" s="57" t="str">
        <f t="shared" si="289"/>
        <v/>
      </c>
      <c r="U6190" s="58" t="str">
        <f t="shared" si="290"/>
        <v/>
      </c>
    </row>
    <row r="6191" spans="19:21" ht="23.25" customHeight="1" x14ac:dyDescent="0.35">
      <c r="S6191" s="56" t="str">
        <f t="shared" si="288"/>
        <v/>
      </c>
      <c r="T6191" s="57" t="str">
        <f t="shared" si="289"/>
        <v/>
      </c>
      <c r="U6191" s="58" t="str">
        <f t="shared" si="290"/>
        <v/>
      </c>
    </row>
    <row r="6192" spans="19:21" ht="23.25" customHeight="1" x14ac:dyDescent="0.35">
      <c r="S6192" s="56" t="str">
        <f t="shared" si="288"/>
        <v/>
      </c>
      <c r="T6192" s="57" t="str">
        <f t="shared" si="289"/>
        <v/>
      </c>
      <c r="U6192" s="58" t="str">
        <f t="shared" si="290"/>
        <v/>
      </c>
    </row>
    <row r="6193" spans="19:21" ht="23.25" customHeight="1" x14ac:dyDescent="0.35">
      <c r="S6193" s="56" t="str">
        <f t="shared" si="288"/>
        <v/>
      </c>
      <c r="T6193" s="57" t="str">
        <f t="shared" si="289"/>
        <v/>
      </c>
      <c r="U6193" s="58" t="str">
        <f t="shared" si="290"/>
        <v/>
      </c>
    </row>
    <row r="6194" spans="19:21" ht="23.25" customHeight="1" x14ac:dyDescent="0.35">
      <c r="S6194" s="56" t="str">
        <f t="shared" si="288"/>
        <v/>
      </c>
      <c r="T6194" s="57" t="str">
        <f t="shared" si="289"/>
        <v/>
      </c>
      <c r="U6194" s="58" t="str">
        <f t="shared" si="290"/>
        <v/>
      </c>
    </row>
    <row r="6195" spans="19:21" ht="23.25" customHeight="1" x14ac:dyDescent="0.35">
      <c r="S6195" s="56" t="str">
        <f t="shared" si="288"/>
        <v/>
      </c>
      <c r="T6195" s="57" t="str">
        <f t="shared" si="289"/>
        <v/>
      </c>
      <c r="U6195" s="58" t="str">
        <f t="shared" si="290"/>
        <v/>
      </c>
    </row>
    <row r="6196" spans="19:21" ht="23.25" customHeight="1" x14ac:dyDescent="0.35">
      <c r="S6196" s="56" t="str">
        <f t="shared" si="288"/>
        <v/>
      </c>
      <c r="T6196" s="57" t="str">
        <f t="shared" si="289"/>
        <v/>
      </c>
      <c r="U6196" s="58" t="str">
        <f t="shared" si="290"/>
        <v/>
      </c>
    </row>
    <row r="6197" spans="19:21" ht="23.25" customHeight="1" x14ac:dyDescent="0.35">
      <c r="S6197" s="56" t="str">
        <f t="shared" si="288"/>
        <v/>
      </c>
      <c r="T6197" s="57" t="str">
        <f t="shared" si="289"/>
        <v/>
      </c>
      <c r="U6197" s="58" t="str">
        <f t="shared" si="290"/>
        <v/>
      </c>
    </row>
    <row r="6198" spans="19:21" ht="23.25" customHeight="1" x14ac:dyDescent="0.35">
      <c r="S6198" s="56" t="str">
        <f t="shared" si="288"/>
        <v/>
      </c>
      <c r="T6198" s="57" t="str">
        <f t="shared" si="289"/>
        <v/>
      </c>
      <c r="U6198" s="58" t="str">
        <f t="shared" si="290"/>
        <v/>
      </c>
    </row>
    <row r="6199" spans="19:21" ht="23.25" customHeight="1" x14ac:dyDescent="0.35">
      <c r="S6199" s="56" t="str">
        <f t="shared" si="288"/>
        <v/>
      </c>
      <c r="T6199" s="57" t="str">
        <f t="shared" si="289"/>
        <v/>
      </c>
      <c r="U6199" s="58" t="str">
        <f t="shared" si="290"/>
        <v/>
      </c>
    </row>
    <row r="6200" spans="19:21" ht="23.25" customHeight="1" x14ac:dyDescent="0.35">
      <c r="S6200" s="56" t="str">
        <f t="shared" si="288"/>
        <v/>
      </c>
      <c r="T6200" s="57" t="str">
        <f t="shared" si="289"/>
        <v/>
      </c>
      <c r="U6200" s="58" t="str">
        <f t="shared" si="290"/>
        <v/>
      </c>
    </row>
    <row r="6201" spans="19:21" ht="23.25" customHeight="1" x14ac:dyDescent="0.35">
      <c r="S6201" s="56" t="str">
        <f t="shared" si="288"/>
        <v/>
      </c>
      <c r="T6201" s="57" t="str">
        <f t="shared" si="289"/>
        <v/>
      </c>
      <c r="U6201" s="58" t="str">
        <f t="shared" si="290"/>
        <v/>
      </c>
    </row>
    <row r="6202" spans="19:21" ht="23.25" customHeight="1" x14ac:dyDescent="0.35">
      <c r="S6202" s="56" t="str">
        <f t="shared" si="288"/>
        <v/>
      </c>
      <c r="T6202" s="57" t="str">
        <f t="shared" si="289"/>
        <v/>
      </c>
      <c r="U6202" s="58" t="str">
        <f t="shared" si="290"/>
        <v/>
      </c>
    </row>
    <row r="6203" spans="19:21" ht="23.25" customHeight="1" x14ac:dyDescent="0.35">
      <c r="S6203" s="56" t="str">
        <f t="shared" si="288"/>
        <v/>
      </c>
      <c r="T6203" s="57" t="str">
        <f t="shared" si="289"/>
        <v/>
      </c>
      <c r="U6203" s="58" t="str">
        <f t="shared" si="290"/>
        <v/>
      </c>
    </row>
    <row r="6204" spans="19:21" ht="23.25" customHeight="1" x14ac:dyDescent="0.35">
      <c r="S6204" s="56" t="str">
        <f t="shared" si="288"/>
        <v/>
      </c>
      <c r="T6204" s="57" t="str">
        <f t="shared" si="289"/>
        <v/>
      </c>
      <c r="U6204" s="58" t="str">
        <f t="shared" si="290"/>
        <v/>
      </c>
    </row>
    <row r="6205" spans="19:21" ht="23.25" customHeight="1" x14ac:dyDescent="0.35">
      <c r="S6205" s="56" t="str">
        <f t="shared" si="288"/>
        <v/>
      </c>
      <c r="T6205" s="57" t="str">
        <f t="shared" si="289"/>
        <v/>
      </c>
      <c r="U6205" s="58" t="str">
        <f t="shared" si="290"/>
        <v/>
      </c>
    </row>
    <row r="6206" spans="19:21" ht="23.25" customHeight="1" x14ac:dyDescent="0.35">
      <c r="S6206" s="56" t="str">
        <f t="shared" si="288"/>
        <v/>
      </c>
      <c r="T6206" s="57" t="str">
        <f t="shared" si="289"/>
        <v/>
      </c>
      <c r="U6206" s="58" t="str">
        <f t="shared" si="290"/>
        <v/>
      </c>
    </row>
    <row r="6207" spans="19:21" ht="23.25" customHeight="1" x14ac:dyDescent="0.35">
      <c r="S6207" s="56" t="str">
        <f t="shared" si="288"/>
        <v/>
      </c>
      <c r="T6207" s="57" t="str">
        <f t="shared" si="289"/>
        <v/>
      </c>
      <c r="U6207" s="58" t="str">
        <f t="shared" si="290"/>
        <v/>
      </c>
    </row>
    <row r="6208" spans="19:21" ht="23.25" customHeight="1" x14ac:dyDescent="0.35">
      <c r="S6208" s="56" t="str">
        <f t="shared" si="288"/>
        <v/>
      </c>
      <c r="T6208" s="57" t="str">
        <f t="shared" si="289"/>
        <v/>
      </c>
      <c r="U6208" s="58" t="str">
        <f t="shared" si="290"/>
        <v/>
      </c>
    </row>
    <row r="6209" spans="19:21" ht="23.25" customHeight="1" x14ac:dyDescent="0.35">
      <c r="S6209" s="56" t="str">
        <f t="shared" si="288"/>
        <v/>
      </c>
      <c r="T6209" s="57" t="str">
        <f t="shared" si="289"/>
        <v/>
      </c>
      <c r="U6209" s="58" t="str">
        <f t="shared" si="290"/>
        <v/>
      </c>
    </row>
    <row r="6210" spans="19:21" ht="23.25" customHeight="1" x14ac:dyDescent="0.35">
      <c r="S6210" s="56" t="str">
        <f t="shared" si="288"/>
        <v/>
      </c>
      <c r="T6210" s="57" t="str">
        <f t="shared" si="289"/>
        <v/>
      </c>
      <c r="U6210" s="58" t="str">
        <f t="shared" si="290"/>
        <v/>
      </c>
    </row>
    <row r="6211" spans="19:21" ht="23.25" customHeight="1" x14ac:dyDescent="0.35">
      <c r="S6211" s="56" t="str">
        <f t="shared" si="288"/>
        <v/>
      </c>
      <c r="T6211" s="57" t="str">
        <f t="shared" si="289"/>
        <v/>
      </c>
      <c r="U6211" s="58" t="str">
        <f t="shared" si="290"/>
        <v/>
      </c>
    </row>
    <row r="6212" spans="19:21" ht="23.25" customHeight="1" x14ac:dyDescent="0.35">
      <c r="S6212" s="56" t="str">
        <f t="shared" si="288"/>
        <v/>
      </c>
      <c r="T6212" s="57" t="str">
        <f t="shared" si="289"/>
        <v/>
      </c>
      <c r="U6212" s="58" t="str">
        <f t="shared" si="290"/>
        <v/>
      </c>
    </row>
    <row r="6213" spans="19:21" ht="23.25" customHeight="1" x14ac:dyDescent="0.35">
      <c r="S6213" s="56" t="str">
        <f t="shared" si="288"/>
        <v/>
      </c>
      <c r="T6213" s="57" t="str">
        <f t="shared" si="289"/>
        <v/>
      </c>
      <c r="U6213" s="58" t="str">
        <f t="shared" si="290"/>
        <v/>
      </c>
    </row>
    <row r="6214" spans="19:21" ht="23.25" customHeight="1" x14ac:dyDescent="0.35">
      <c r="S6214" s="56" t="str">
        <f t="shared" si="288"/>
        <v/>
      </c>
      <c r="T6214" s="57" t="str">
        <f t="shared" si="289"/>
        <v/>
      </c>
      <c r="U6214" s="58" t="str">
        <f t="shared" si="290"/>
        <v/>
      </c>
    </row>
    <row r="6215" spans="19:21" ht="23.25" customHeight="1" x14ac:dyDescent="0.35">
      <c r="S6215" s="56" t="str">
        <f t="shared" si="288"/>
        <v/>
      </c>
      <c r="T6215" s="57" t="str">
        <f t="shared" si="289"/>
        <v/>
      </c>
      <c r="U6215" s="58" t="str">
        <f t="shared" si="290"/>
        <v/>
      </c>
    </row>
    <row r="6216" spans="19:21" ht="23.25" customHeight="1" x14ac:dyDescent="0.35">
      <c r="S6216" s="56" t="str">
        <f t="shared" si="288"/>
        <v/>
      </c>
      <c r="T6216" s="57" t="str">
        <f t="shared" si="289"/>
        <v/>
      </c>
      <c r="U6216" s="58" t="str">
        <f t="shared" si="290"/>
        <v/>
      </c>
    </row>
    <row r="6217" spans="19:21" ht="23.25" customHeight="1" x14ac:dyDescent="0.35">
      <c r="S6217" s="56" t="str">
        <f t="shared" ref="S6217:S6280" si="291">IF(A6217="","",A$5-A6217)</f>
        <v/>
      </c>
      <c r="T6217" s="57" t="str">
        <f t="shared" ref="T6217:T6280" si="292">IF(S6217="","",IF(S6217&lt;4,"0-3 Days",IF(S6217&lt;31,"4-30 Days",IF(S6217&lt;61,"31-60 Days",IF(S6217&lt;=90,"61-90 Days",IF(S6217&gt;90,"Above 90 Days","0"))))))</f>
        <v/>
      </c>
      <c r="U6217" s="58" t="str">
        <f t="shared" ref="U6217:U6280" si="293">IF(C6217="","",IF(C6217&gt;0,IF(S6217&lt;30,"Normal",IF(S6217&lt;60,"Especially Mentioned",IF(S6217&lt;90,"Substandard",IF(S6217&lt;=180,"Doubtful",IF(S6217&gt;180,"Loss","0"))))),"Not Applicable"))</f>
        <v/>
      </c>
    </row>
    <row r="6218" spans="19:21" ht="23.25" customHeight="1" x14ac:dyDescent="0.35">
      <c r="S6218" s="56" t="str">
        <f t="shared" si="291"/>
        <v/>
      </c>
      <c r="T6218" s="57" t="str">
        <f t="shared" si="292"/>
        <v/>
      </c>
      <c r="U6218" s="58" t="str">
        <f t="shared" si="293"/>
        <v/>
      </c>
    </row>
    <row r="6219" spans="19:21" ht="23.25" customHeight="1" x14ac:dyDescent="0.35">
      <c r="S6219" s="56" t="str">
        <f t="shared" si="291"/>
        <v/>
      </c>
      <c r="T6219" s="57" t="str">
        <f t="shared" si="292"/>
        <v/>
      </c>
      <c r="U6219" s="58" t="str">
        <f t="shared" si="293"/>
        <v/>
      </c>
    </row>
    <row r="6220" spans="19:21" ht="23.25" customHeight="1" x14ac:dyDescent="0.35">
      <c r="S6220" s="56" t="str">
        <f t="shared" si="291"/>
        <v/>
      </c>
      <c r="T6220" s="57" t="str">
        <f t="shared" si="292"/>
        <v/>
      </c>
      <c r="U6220" s="58" t="str">
        <f t="shared" si="293"/>
        <v/>
      </c>
    </row>
    <row r="6221" spans="19:21" ht="23.25" customHeight="1" x14ac:dyDescent="0.35">
      <c r="S6221" s="56" t="str">
        <f t="shared" si="291"/>
        <v/>
      </c>
      <c r="T6221" s="57" t="str">
        <f t="shared" si="292"/>
        <v/>
      </c>
      <c r="U6221" s="58" t="str">
        <f t="shared" si="293"/>
        <v/>
      </c>
    </row>
    <row r="6222" spans="19:21" ht="23.25" customHeight="1" x14ac:dyDescent="0.35">
      <c r="S6222" s="56" t="str">
        <f t="shared" si="291"/>
        <v/>
      </c>
      <c r="T6222" s="57" t="str">
        <f t="shared" si="292"/>
        <v/>
      </c>
      <c r="U6222" s="58" t="str">
        <f t="shared" si="293"/>
        <v/>
      </c>
    </row>
    <row r="6223" spans="19:21" ht="23.25" customHeight="1" x14ac:dyDescent="0.35">
      <c r="S6223" s="56" t="str">
        <f t="shared" si="291"/>
        <v/>
      </c>
      <c r="T6223" s="57" t="str">
        <f t="shared" si="292"/>
        <v/>
      </c>
      <c r="U6223" s="58" t="str">
        <f t="shared" si="293"/>
        <v/>
      </c>
    </row>
    <row r="6224" spans="19:21" ht="23.25" customHeight="1" x14ac:dyDescent="0.35">
      <c r="S6224" s="56" t="str">
        <f t="shared" si="291"/>
        <v/>
      </c>
      <c r="T6224" s="57" t="str">
        <f t="shared" si="292"/>
        <v/>
      </c>
      <c r="U6224" s="58" t="str">
        <f t="shared" si="293"/>
        <v/>
      </c>
    </row>
    <row r="6225" spans="19:21" ht="23.25" customHeight="1" x14ac:dyDescent="0.35">
      <c r="S6225" s="56" t="str">
        <f t="shared" si="291"/>
        <v/>
      </c>
      <c r="T6225" s="57" t="str">
        <f t="shared" si="292"/>
        <v/>
      </c>
      <c r="U6225" s="58" t="str">
        <f t="shared" si="293"/>
        <v/>
      </c>
    </row>
    <row r="6226" spans="19:21" ht="23.25" customHeight="1" x14ac:dyDescent="0.35">
      <c r="S6226" s="56" t="str">
        <f t="shared" si="291"/>
        <v/>
      </c>
      <c r="T6226" s="57" t="str">
        <f t="shared" si="292"/>
        <v/>
      </c>
      <c r="U6226" s="58" t="str">
        <f t="shared" si="293"/>
        <v/>
      </c>
    </row>
    <row r="6227" spans="19:21" ht="23.25" customHeight="1" x14ac:dyDescent="0.35">
      <c r="S6227" s="56" t="str">
        <f t="shared" si="291"/>
        <v/>
      </c>
      <c r="T6227" s="57" t="str">
        <f t="shared" si="292"/>
        <v/>
      </c>
      <c r="U6227" s="58" t="str">
        <f t="shared" si="293"/>
        <v/>
      </c>
    </row>
    <row r="6228" spans="19:21" ht="23.25" customHeight="1" x14ac:dyDescent="0.35">
      <c r="S6228" s="56" t="str">
        <f t="shared" si="291"/>
        <v/>
      </c>
      <c r="T6228" s="57" t="str">
        <f t="shared" si="292"/>
        <v/>
      </c>
      <c r="U6228" s="58" t="str">
        <f t="shared" si="293"/>
        <v/>
      </c>
    </row>
    <row r="6229" spans="19:21" ht="23.25" customHeight="1" x14ac:dyDescent="0.35">
      <c r="S6229" s="56" t="str">
        <f t="shared" si="291"/>
        <v/>
      </c>
      <c r="T6229" s="57" t="str">
        <f t="shared" si="292"/>
        <v/>
      </c>
      <c r="U6229" s="58" t="str">
        <f t="shared" si="293"/>
        <v/>
      </c>
    </row>
    <row r="6230" spans="19:21" ht="23.25" customHeight="1" x14ac:dyDescent="0.35">
      <c r="S6230" s="56" t="str">
        <f t="shared" si="291"/>
        <v/>
      </c>
      <c r="T6230" s="57" t="str">
        <f t="shared" si="292"/>
        <v/>
      </c>
      <c r="U6230" s="58" t="str">
        <f t="shared" si="293"/>
        <v/>
      </c>
    </row>
    <row r="6231" spans="19:21" ht="23.25" customHeight="1" x14ac:dyDescent="0.35">
      <c r="S6231" s="56" t="str">
        <f t="shared" si="291"/>
        <v/>
      </c>
      <c r="T6231" s="57" t="str">
        <f t="shared" si="292"/>
        <v/>
      </c>
      <c r="U6231" s="58" t="str">
        <f t="shared" si="293"/>
        <v/>
      </c>
    </row>
    <row r="6232" spans="19:21" ht="23.25" customHeight="1" x14ac:dyDescent="0.35">
      <c r="S6232" s="56" t="str">
        <f t="shared" si="291"/>
        <v/>
      </c>
      <c r="T6232" s="57" t="str">
        <f t="shared" si="292"/>
        <v/>
      </c>
      <c r="U6232" s="58" t="str">
        <f t="shared" si="293"/>
        <v/>
      </c>
    </row>
    <row r="6233" spans="19:21" ht="23.25" customHeight="1" x14ac:dyDescent="0.35">
      <c r="S6233" s="56" t="str">
        <f t="shared" si="291"/>
        <v/>
      </c>
      <c r="T6233" s="57" t="str">
        <f t="shared" si="292"/>
        <v/>
      </c>
      <c r="U6233" s="58" t="str">
        <f t="shared" si="293"/>
        <v/>
      </c>
    </row>
    <row r="6234" spans="19:21" ht="23.25" customHeight="1" x14ac:dyDescent="0.35">
      <c r="S6234" s="56" t="str">
        <f t="shared" si="291"/>
        <v/>
      </c>
      <c r="T6234" s="57" t="str">
        <f t="shared" si="292"/>
        <v/>
      </c>
      <c r="U6234" s="58" t="str">
        <f t="shared" si="293"/>
        <v/>
      </c>
    </row>
    <row r="6235" spans="19:21" ht="23.25" customHeight="1" x14ac:dyDescent="0.35">
      <c r="S6235" s="56" t="str">
        <f t="shared" si="291"/>
        <v/>
      </c>
      <c r="T6235" s="57" t="str">
        <f t="shared" si="292"/>
        <v/>
      </c>
      <c r="U6235" s="58" t="str">
        <f t="shared" si="293"/>
        <v/>
      </c>
    </row>
    <row r="6236" spans="19:21" ht="23.25" customHeight="1" x14ac:dyDescent="0.35">
      <c r="S6236" s="56" t="str">
        <f t="shared" si="291"/>
        <v/>
      </c>
      <c r="T6236" s="57" t="str">
        <f t="shared" si="292"/>
        <v/>
      </c>
      <c r="U6236" s="58" t="str">
        <f t="shared" si="293"/>
        <v/>
      </c>
    </row>
    <row r="6237" spans="19:21" ht="23.25" customHeight="1" x14ac:dyDescent="0.35">
      <c r="S6237" s="56" t="str">
        <f t="shared" si="291"/>
        <v/>
      </c>
      <c r="T6237" s="57" t="str">
        <f t="shared" si="292"/>
        <v/>
      </c>
      <c r="U6237" s="58" t="str">
        <f t="shared" si="293"/>
        <v/>
      </c>
    </row>
    <row r="6238" spans="19:21" ht="23.25" customHeight="1" x14ac:dyDescent="0.35">
      <c r="S6238" s="56" t="str">
        <f t="shared" si="291"/>
        <v/>
      </c>
      <c r="T6238" s="57" t="str">
        <f t="shared" si="292"/>
        <v/>
      </c>
      <c r="U6238" s="58" t="str">
        <f t="shared" si="293"/>
        <v/>
      </c>
    </row>
    <row r="6239" spans="19:21" ht="23.25" customHeight="1" x14ac:dyDescent="0.35">
      <c r="S6239" s="56" t="str">
        <f t="shared" si="291"/>
        <v/>
      </c>
      <c r="T6239" s="57" t="str">
        <f t="shared" si="292"/>
        <v/>
      </c>
      <c r="U6239" s="58" t="str">
        <f t="shared" si="293"/>
        <v/>
      </c>
    </row>
    <row r="6240" spans="19:21" ht="23.25" customHeight="1" x14ac:dyDescent="0.35">
      <c r="S6240" s="56" t="str">
        <f t="shared" si="291"/>
        <v/>
      </c>
      <c r="T6240" s="57" t="str">
        <f t="shared" si="292"/>
        <v/>
      </c>
      <c r="U6240" s="58" t="str">
        <f t="shared" si="293"/>
        <v/>
      </c>
    </row>
    <row r="6241" spans="19:21" ht="23.25" customHeight="1" x14ac:dyDescent="0.35">
      <c r="S6241" s="56" t="str">
        <f t="shared" si="291"/>
        <v/>
      </c>
      <c r="T6241" s="57" t="str">
        <f t="shared" si="292"/>
        <v/>
      </c>
      <c r="U6241" s="58" t="str">
        <f t="shared" si="293"/>
        <v/>
      </c>
    </row>
    <row r="6242" spans="19:21" ht="23.25" customHeight="1" x14ac:dyDescent="0.35">
      <c r="S6242" s="56" t="str">
        <f t="shared" si="291"/>
        <v/>
      </c>
      <c r="T6242" s="57" t="str">
        <f t="shared" si="292"/>
        <v/>
      </c>
      <c r="U6242" s="58" t="str">
        <f t="shared" si="293"/>
        <v/>
      </c>
    </row>
    <row r="6243" spans="19:21" ht="23.25" customHeight="1" x14ac:dyDescent="0.35">
      <c r="S6243" s="56" t="str">
        <f t="shared" si="291"/>
        <v/>
      </c>
      <c r="T6243" s="57" t="str">
        <f t="shared" si="292"/>
        <v/>
      </c>
      <c r="U6243" s="58" t="str">
        <f t="shared" si="293"/>
        <v/>
      </c>
    </row>
    <row r="6244" spans="19:21" ht="23.25" customHeight="1" x14ac:dyDescent="0.35">
      <c r="S6244" s="56" t="str">
        <f t="shared" si="291"/>
        <v/>
      </c>
      <c r="T6244" s="57" t="str">
        <f t="shared" si="292"/>
        <v/>
      </c>
      <c r="U6244" s="58" t="str">
        <f t="shared" si="293"/>
        <v/>
      </c>
    </row>
    <row r="6245" spans="19:21" ht="23.25" customHeight="1" x14ac:dyDescent="0.35">
      <c r="S6245" s="56" t="str">
        <f t="shared" si="291"/>
        <v/>
      </c>
      <c r="T6245" s="57" t="str">
        <f t="shared" si="292"/>
        <v/>
      </c>
      <c r="U6245" s="58" t="str">
        <f t="shared" si="293"/>
        <v/>
      </c>
    </row>
    <row r="6246" spans="19:21" ht="23.25" customHeight="1" x14ac:dyDescent="0.35">
      <c r="S6246" s="56" t="str">
        <f t="shared" si="291"/>
        <v/>
      </c>
      <c r="T6246" s="57" t="str">
        <f t="shared" si="292"/>
        <v/>
      </c>
      <c r="U6246" s="58" t="str">
        <f t="shared" si="293"/>
        <v/>
      </c>
    </row>
    <row r="6247" spans="19:21" ht="23.25" customHeight="1" x14ac:dyDescent="0.35">
      <c r="S6247" s="56" t="str">
        <f t="shared" si="291"/>
        <v/>
      </c>
      <c r="T6247" s="57" t="str">
        <f t="shared" si="292"/>
        <v/>
      </c>
      <c r="U6247" s="58" t="str">
        <f t="shared" si="293"/>
        <v/>
      </c>
    </row>
    <row r="6248" spans="19:21" ht="23.25" customHeight="1" x14ac:dyDescent="0.35">
      <c r="S6248" s="56" t="str">
        <f t="shared" si="291"/>
        <v/>
      </c>
      <c r="T6248" s="57" t="str">
        <f t="shared" si="292"/>
        <v/>
      </c>
      <c r="U6248" s="58" t="str">
        <f t="shared" si="293"/>
        <v/>
      </c>
    </row>
    <row r="6249" spans="19:21" ht="23.25" customHeight="1" x14ac:dyDescent="0.35">
      <c r="S6249" s="56" t="str">
        <f t="shared" si="291"/>
        <v/>
      </c>
      <c r="T6249" s="57" t="str">
        <f t="shared" si="292"/>
        <v/>
      </c>
      <c r="U6249" s="58" t="str">
        <f t="shared" si="293"/>
        <v/>
      </c>
    </row>
    <row r="6250" spans="19:21" ht="23.25" customHeight="1" x14ac:dyDescent="0.35">
      <c r="S6250" s="56" t="str">
        <f t="shared" si="291"/>
        <v/>
      </c>
      <c r="T6250" s="57" t="str">
        <f t="shared" si="292"/>
        <v/>
      </c>
      <c r="U6250" s="58" t="str">
        <f t="shared" si="293"/>
        <v/>
      </c>
    </row>
    <row r="6251" spans="19:21" ht="23.25" customHeight="1" x14ac:dyDescent="0.35">
      <c r="S6251" s="56" t="str">
        <f t="shared" si="291"/>
        <v/>
      </c>
      <c r="T6251" s="57" t="str">
        <f t="shared" si="292"/>
        <v/>
      </c>
      <c r="U6251" s="58" t="str">
        <f t="shared" si="293"/>
        <v/>
      </c>
    </row>
    <row r="6252" spans="19:21" ht="23.25" customHeight="1" x14ac:dyDescent="0.35">
      <c r="S6252" s="56" t="str">
        <f t="shared" si="291"/>
        <v/>
      </c>
      <c r="T6252" s="57" t="str">
        <f t="shared" si="292"/>
        <v/>
      </c>
      <c r="U6252" s="58" t="str">
        <f t="shared" si="293"/>
        <v/>
      </c>
    </row>
    <row r="6253" spans="19:21" ht="23.25" customHeight="1" x14ac:dyDescent="0.35">
      <c r="S6253" s="56" t="str">
        <f t="shared" si="291"/>
        <v/>
      </c>
      <c r="T6253" s="57" t="str">
        <f t="shared" si="292"/>
        <v/>
      </c>
      <c r="U6253" s="58" t="str">
        <f t="shared" si="293"/>
        <v/>
      </c>
    </row>
    <row r="6254" spans="19:21" ht="23.25" customHeight="1" x14ac:dyDescent="0.35">
      <c r="S6254" s="56" t="str">
        <f t="shared" si="291"/>
        <v/>
      </c>
      <c r="T6254" s="57" t="str">
        <f t="shared" si="292"/>
        <v/>
      </c>
      <c r="U6254" s="58" t="str">
        <f t="shared" si="293"/>
        <v/>
      </c>
    </row>
    <row r="6255" spans="19:21" ht="23.25" customHeight="1" x14ac:dyDescent="0.35">
      <c r="S6255" s="56" t="str">
        <f t="shared" si="291"/>
        <v/>
      </c>
      <c r="T6255" s="57" t="str">
        <f t="shared" si="292"/>
        <v/>
      </c>
      <c r="U6255" s="58" t="str">
        <f t="shared" si="293"/>
        <v/>
      </c>
    </row>
    <row r="6256" spans="19:21" ht="23.25" customHeight="1" x14ac:dyDescent="0.35">
      <c r="S6256" s="56" t="str">
        <f t="shared" si="291"/>
        <v/>
      </c>
      <c r="T6256" s="57" t="str">
        <f t="shared" si="292"/>
        <v/>
      </c>
      <c r="U6256" s="58" t="str">
        <f t="shared" si="293"/>
        <v/>
      </c>
    </row>
    <row r="6257" spans="19:21" ht="23.25" customHeight="1" x14ac:dyDescent="0.35">
      <c r="S6257" s="56" t="str">
        <f t="shared" si="291"/>
        <v/>
      </c>
      <c r="T6257" s="57" t="str">
        <f t="shared" si="292"/>
        <v/>
      </c>
      <c r="U6257" s="58" t="str">
        <f t="shared" si="293"/>
        <v/>
      </c>
    </row>
    <row r="6258" spans="19:21" ht="23.25" customHeight="1" x14ac:dyDescent="0.35">
      <c r="S6258" s="56" t="str">
        <f t="shared" si="291"/>
        <v/>
      </c>
      <c r="T6258" s="57" t="str">
        <f t="shared" si="292"/>
        <v/>
      </c>
      <c r="U6258" s="58" t="str">
        <f t="shared" si="293"/>
        <v/>
      </c>
    </row>
    <row r="6259" spans="19:21" ht="23.25" customHeight="1" x14ac:dyDescent="0.35">
      <c r="S6259" s="56" t="str">
        <f t="shared" si="291"/>
        <v/>
      </c>
      <c r="T6259" s="57" t="str">
        <f t="shared" si="292"/>
        <v/>
      </c>
      <c r="U6259" s="58" t="str">
        <f t="shared" si="293"/>
        <v/>
      </c>
    </row>
    <row r="6260" spans="19:21" ht="23.25" customHeight="1" x14ac:dyDescent="0.35">
      <c r="S6260" s="56" t="str">
        <f t="shared" si="291"/>
        <v/>
      </c>
      <c r="T6260" s="57" t="str">
        <f t="shared" si="292"/>
        <v/>
      </c>
      <c r="U6260" s="58" t="str">
        <f t="shared" si="293"/>
        <v/>
      </c>
    </row>
    <row r="6261" spans="19:21" ht="23.25" customHeight="1" x14ac:dyDescent="0.35">
      <c r="S6261" s="56" t="str">
        <f t="shared" si="291"/>
        <v/>
      </c>
      <c r="T6261" s="57" t="str">
        <f t="shared" si="292"/>
        <v/>
      </c>
      <c r="U6261" s="58" t="str">
        <f t="shared" si="293"/>
        <v/>
      </c>
    </row>
    <row r="6262" spans="19:21" ht="23.25" customHeight="1" x14ac:dyDescent="0.35">
      <c r="S6262" s="56" t="str">
        <f t="shared" si="291"/>
        <v/>
      </c>
      <c r="T6262" s="57" t="str">
        <f t="shared" si="292"/>
        <v/>
      </c>
      <c r="U6262" s="58" t="str">
        <f t="shared" si="293"/>
        <v/>
      </c>
    </row>
    <row r="6263" spans="19:21" ht="23.25" customHeight="1" x14ac:dyDescent="0.35">
      <c r="S6263" s="56" t="str">
        <f t="shared" si="291"/>
        <v/>
      </c>
      <c r="T6263" s="57" t="str">
        <f t="shared" si="292"/>
        <v/>
      </c>
      <c r="U6263" s="58" t="str">
        <f t="shared" si="293"/>
        <v/>
      </c>
    </row>
    <row r="6264" spans="19:21" ht="23.25" customHeight="1" x14ac:dyDescent="0.35">
      <c r="S6264" s="56" t="str">
        <f t="shared" si="291"/>
        <v/>
      </c>
      <c r="T6264" s="57" t="str">
        <f t="shared" si="292"/>
        <v/>
      </c>
      <c r="U6264" s="58" t="str">
        <f t="shared" si="293"/>
        <v/>
      </c>
    </row>
    <row r="6265" spans="19:21" ht="23.25" customHeight="1" x14ac:dyDescent="0.35">
      <c r="S6265" s="56" t="str">
        <f t="shared" si="291"/>
        <v/>
      </c>
      <c r="T6265" s="57" t="str">
        <f t="shared" si="292"/>
        <v/>
      </c>
      <c r="U6265" s="58" t="str">
        <f t="shared" si="293"/>
        <v/>
      </c>
    </row>
    <row r="6266" spans="19:21" ht="23.25" customHeight="1" x14ac:dyDescent="0.35">
      <c r="S6266" s="56" t="str">
        <f t="shared" si="291"/>
        <v/>
      </c>
      <c r="T6266" s="57" t="str">
        <f t="shared" si="292"/>
        <v/>
      </c>
      <c r="U6266" s="58" t="str">
        <f t="shared" si="293"/>
        <v/>
      </c>
    </row>
    <row r="6267" spans="19:21" ht="23.25" customHeight="1" x14ac:dyDescent="0.35">
      <c r="S6267" s="56" t="str">
        <f t="shared" si="291"/>
        <v/>
      </c>
      <c r="T6267" s="57" t="str">
        <f t="shared" si="292"/>
        <v/>
      </c>
      <c r="U6267" s="58" t="str">
        <f t="shared" si="293"/>
        <v/>
      </c>
    </row>
    <row r="6268" spans="19:21" ht="23.25" customHeight="1" x14ac:dyDescent="0.35">
      <c r="S6268" s="56" t="str">
        <f t="shared" si="291"/>
        <v/>
      </c>
      <c r="T6268" s="57" t="str">
        <f t="shared" si="292"/>
        <v/>
      </c>
      <c r="U6268" s="58" t="str">
        <f t="shared" si="293"/>
        <v/>
      </c>
    </row>
    <row r="6269" spans="19:21" ht="23.25" customHeight="1" x14ac:dyDescent="0.35">
      <c r="S6269" s="56" t="str">
        <f t="shared" si="291"/>
        <v/>
      </c>
      <c r="T6269" s="57" t="str">
        <f t="shared" si="292"/>
        <v/>
      </c>
      <c r="U6269" s="58" t="str">
        <f t="shared" si="293"/>
        <v/>
      </c>
    </row>
    <row r="6270" spans="19:21" ht="23.25" customHeight="1" x14ac:dyDescent="0.35">
      <c r="S6270" s="56" t="str">
        <f t="shared" si="291"/>
        <v/>
      </c>
      <c r="T6270" s="57" t="str">
        <f t="shared" si="292"/>
        <v/>
      </c>
      <c r="U6270" s="58" t="str">
        <f t="shared" si="293"/>
        <v/>
      </c>
    </row>
    <row r="6271" spans="19:21" ht="23.25" customHeight="1" x14ac:dyDescent="0.35">
      <c r="S6271" s="56" t="str">
        <f t="shared" si="291"/>
        <v/>
      </c>
      <c r="T6271" s="57" t="str">
        <f t="shared" si="292"/>
        <v/>
      </c>
      <c r="U6271" s="58" t="str">
        <f t="shared" si="293"/>
        <v/>
      </c>
    </row>
    <row r="6272" spans="19:21" ht="23.25" customHeight="1" x14ac:dyDescent="0.35">
      <c r="S6272" s="56" t="str">
        <f t="shared" si="291"/>
        <v/>
      </c>
      <c r="T6272" s="57" t="str">
        <f t="shared" si="292"/>
        <v/>
      </c>
      <c r="U6272" s="58" t="str">
        <f t="shared" si="293"/>
        <v/>
      </c>
    </row>
    <row r="6273" spans="19:21" ht="23.25" customHeight="1" x14ac:dyDescent="0.35">
      <c r="S6273" s="56" t="str">
        <f t="shared" si="291"/>
        <v/>
      </c>
      <c r="T6273" s="57" t="str">
        <f t="shared" si="292"/>
        <v/>
      </c>
      <c r="U6273" s="58" t="str">
        <f t="shared" si="293"/>
        <v/>
      </c>
    </row>
    <row r="6274" spans="19:21" ht="23.25" customHeight="1" x14ac:dyDescent="0.35">
      <c r="S6274" s="56" t="str">
        <f t="shared" si="291"/>
        <v/>
      </c>
      <c r="T6274" s="57" t="str">
        <f t="shared" si="292"/>
        <v/>
      </c>
      <c r="U6274" s="58" t="str">
        <f t="shared" si="293"/>
        <v/>
      </c>
    </row>
    <row r="6275" spans="19:21" ht="23.25" customHeight="1" x14ac:dyDescent="0.35">
      <c r="S6275" s="56" t="str">
        <f t="shared" si="291"/>
        <v/>
      </c>
      <c r="T6275" s="57" t="str">
        <f t="shared" si="292"/>
        <v/>
      </c>
      <c r="U6275" s="58" t="str">
        <f t="shared" si="293"/>
        <v/>
      </c>
    </row>
    <row r="6276" spans="19:21" ht="23.25" customHeight="1" x14ac:dyDescent="0.35">
      <c r="S6276" s="56" t="str">
        <f t="shared" si="291"/>
        <v/>
      </c>
      <c r="T6276" s="57" t="str">
        <f t="shared" si="292"/>
        <v/>
      </c>
      <c r="U6276" s="58" t="str">
        <f t="shared" si="293"/>
        <v/>
      </c>
    </row>
    <row r="6277" spans="19:21" ht="23.25" customHeight="1" x14ac:dyDescent="0.35">
      <c r="S6277" s="56" t="str">
        <f t="shared" si="291"/>
        <v/>
      </c>
      <c r="T6277" s="57" t="str">
        <f t="shared" si="292"/>
        <v/>
      </c>
      <c r="U6277" s="58" t="str">
        <f t="shared" si="293"/>
        <v/>
      </c>
    </row>
    <row r="6278" spans="19:21" ht="23.25" customHeight="1" x14ac:dyDescent="0.35">
      <c r="S6278" s="56" t="str">
        <f t="shared" si="291"/>
        <v/>
      </c>
      <c r="T6278" s="57" t="str">
        <f t="shared" si="292"/>
        <v/>
      </c>
      <c r="U6278" s="58" t="str">
        <f t="shared" si="293"/>
        <v/>
      </c>
    </row>
    <row r="6279" spans="19:21" ht="23.25" customHeight="1" x14ac:dyDescent="0.35">
      <c r="S6279" s="56" t="str">
        <f t="shared" si="291"/>
        <v/>
      </c>
      <c r="T6279" s="57" t="str">
        <f t="shared" si="292"/>
        <v/>
      </c>
      <c r="U6279" s="58" t="str">
        <f t="shared" si="293"/>
        <v/>
      </c>
    </row>
    <row r="6280" spans="19:21" ht="23.25" customHeight="1" x14ac:dyDescent="0.35">
      <c r="S6280" s="56" t="str">
        <f t="shared" si="291"/>
        <v/>
      </c>
      <c r="T6280" s="57" t="str">
        <f t="shared" si="292"/>
        <v/>
      </c>
      <c r="U6280" s="58" t="str">
        <f t="shared" si="293"/>
        <v/>
      </c>
    </row>
    <row r="6281" spans="19:21" ht="23.25" customHeight="1" x14ac:dyDescent="0.35">
      <c r="S6281" s="56" t="str">
        <f t="shared" ref="S6281:S6344" si="294">IF(A6281="","",A$5-A6281)</f>
        <v/>
      </c>
      <c r="T6281" s="57" t="str">
        <f t="shared" ref="T6281:T6344" si="295">IF(S6281="","",IF(S6281&lt;4,"0-3 Days",IF(S6281&lt;31,"4-30 Days",IF(S6281&lt;61,"31-60 Days",IF(S6281&lt;=90,"61-90 Days",IF(S6281&gt;90,"Above 90 Days","0"))))))</f>
        <v/>
      </c>
      <c r="U6281" s="58" t="str">
        <f t="shared" ref="U6281:U6344" si="296">IF(C6281="","",IF(C6281&gt;0,IF(S6281&lt;30,"Normal",IF(S6281&lt;60,"Especially Mentioned",IF(S6281&lt;90,"Substandard",IF(S6281&lt;=180,"Doubtful",IF(S6281&gt;180,"Loss","0"))))),"Not Applicable"))</f>
        <v/>
      </c>
    </row>
    <row r="6282" spans="19:21" ht="23.25" customHeight="1" x14ac:dyDescent="0.35">
      <c r="S6282" s="56" t="str">
        <f t="shared" si="294"/>
        <v/>
      </c>
      <c r="T6282" s="57" t="str">
        <f t="shared" si="295"/>
        <v/>
      </c>
      <c r="U6282" s="58" t="str">
        <f t="shared" si="296"/>
        <v/>
      </c>
    </row>
    <row r="6283" spans="19:21" ht="23.25" customHeight="1" x14ac:dyDescent="0.35">
      <c r="S6283" s="56" t="str">
        <f t="shared" si="294"/>
        <v/>
      </c>
      <c r="T6283" s="57" t="str">
        <f t="shared" si="295"/>
        <v/>
      </c>
      <c r="U6283" s="58" t="str">
        <f t="shared" si="296"/>
        <v/>
      </c>
    </row>
    <row r="6284" spans="19:21" ht="23.25" customHeight="1" x14ac:dyDescent="0.35">
      <c r="S6284" s="56" t="str">
        <f t="shared" si="294"/>
        <v/>
      </c>
      <c r="T6284" s="57" t="str">
        <f t="shared" si="295"/>
        <v/>
      </c>
      <c r="U6284" s="58" t="str">
        <f t="shared" si="296"/>
        <v/>
      </c>
    </row>
    <row r="6285" spans="19:21" ht="23.25" customHeight="1" x14ac:dyDescent="0.35">
      <c r="S6285" s="56" t="str">
        <f t="shared" si="294"/>
        <v/>
      </c>
      <c r="T6285" s="57" t="str">
        <f t="shared" si="295"/>
        <v/>
      </c>
      <c r="U6285" s="58" t="str">
        <f t="shared" si="296"/>
        <v/>
      </c>
    </row>
    <row r="6286" spans="19:21" ht="23.25" customHeight="1" x14ac:dyDescent="0.35">
      <c r="S6286" s="56" t="str">
        <f t="shared" si="294"/>
        <v/>
      </c>
      <c r="T6286" s="57" t="str">
        <f t="shared" si="295"/>
        <v/>
      </c>
      <c r="U6286" s="58" t="str">
        <f t="shared" si="296"/>
        <v/>
      </c>
    </row>
    <row r="6287" spans="19:21" ht="23.25" customHeight="1" x14ac:dyDescent="0.35">
      <c r="S6287" s="56" t="str">
        <f t="shared" si="294"/>
        <v/>
      </c>
      <c r="T6287" s="57" t="str">
        <f t="shared" si="295"/>
        <v/>
      </c>
      <c r="U6287" s="58" t="str">
        <f t="shared" si="296"/>
        <v/>
      </c>
    </row>
    <row r="6288" spans="19:21" ht="23.25" customHeight="1" x14ac:dyDescent="0.35">
      <c r="S6288" s="56" t="str">
        <f t="shared" si="294"/>
        <v/>
      </c>
      <c r="T6288" s="57" t="str">
        <f t="shared" si="295"/>
        <v/>
      </c>
      <c r="U6288" s="58" t="str">
        <f t="shared" si="296"/>
        <v/>
      </c>
    </row>
    <row r="6289" spans="19:21" ht="23.25" customHeight="1" x14ac:dyDescent="0.35">
      <c r="S6289" s="56" t="str">
        <f t="shared" si="294"/>
        <v/>
      </c>
      <c r="T6289" s="57" t="str">
        <f t="shared" si="295"/>
        <v/>
      </c>
      <c r="U6289" s="58" t="str">
        <f t="shared" si="296"/>
        <v/>
      </c>
    </row>
    <row r="6290" spans="19:21" ht="23.25" customHeight="1" x14ac:dyDescent="0.35">
      <c r="S6290" s="56" t="str">
        <f t="shared" si="294"/>
        <v/>
      </c>
      <c r="T6290" s="57" t="str">
        <f t="shared" si="295"/>
        <v/>
      </c>
      <c r="U6290" s="58" t="str">
        <f t="shared" si="296"/>
        <v/>
      </c>
    </row>
    <row r="6291" spans="19:21" ht="23.25" customHeight="1" x14ac:dyDescent="0.35">
      <c r="S6291" s="56" t="str">
        <f t="shared" si="294"/>
        <v/>
      </c>
      <c r="T6291" s="57" t="str">
        <f t="shared" si="295"/>
        <v/>
      </c>
      <c r="U6291" s="58" t="str">
        <f t="shared" si="296"/>
        <v/>
      </c>
    </row>
    <row r="6292" spans="19:21" ht="23.25" customHeight="1" x14ac:dyDescent="0.35">
      <c r="S6292" s="56" t="str">
        <f t="shared" si="294"/>
        <v/>
      </c>
      <c r="T6292" s="57" t="str">
        <f t="shared" si="295"/>
        <v/>
      </c>
      <c r="U6292" s="58" t="str">
        <f t="shared" si="296"/>
        <v/>
      </c>
    </row>
    <row r="6293" spans="19:21" ht="23.25" customHeight="1" x14ac:dyDescent="0.35">
      <c r="S6293" s="56" t="str">
        <f t="shared" si="294"/>
        <v/>
      </c>
      <c r="T6293" s="57" t="str">
        <f t="shared" si="295"/>
        <v/>
      </c>
      <c r="U6293" s="58" t="str">
        <f t="shared" si="296"/>
        <v/>
      </c>
    </row>
    <row r="6294" spans="19:21" ht="23.25" customHeight="1" x14ac:dyDescent="0.35">
      <c r="S6294" s="56" t="str">
        <f t="shared" si="294"/>
        <v/>
      </c>
      <c r="T6294" s="57" t="str">
        <f t="shared" si="295"/>
        <v/>
      </c>
      <c r="U6294" s="58" t="str">
        <f t="shared" si="296"/>
        <v/>
      </c>
    </row>
    <row r="6295" spans="19:21" ht="23.25" customHeight="1" x14ac:dyDescent="0.35">
      <c r="S6295" s="56" t="str">
        <f t="shared" si="294"/>
        <v/>
      </c>
      <c r="T6295" s="57" t="str">
        <f t="shared" si="295"/>
        <v/>
      </c>
      <c r="U6295" s="58" t="str">
        <f t="shared" si="296"/>
        <v/>
      </c>
    </row>
    <row r="6296" spans="19:21" ht="23.25" customHeight="1" x14ac:dyDescent="0.35">
      <c r="S6296" s="56" t="str">
        <f t="shared" si="294"/>
        <v/>
      </c>
      <c r="T6296" s="57" t="str">
        <f t="shared" si="295"/>
        <v/>
      </c>
      <c r="U6296" s="58" t="str">
        <f t="shared" si="296"/>
        <v/>
      </c>
    </row>
    <row r="6297" spans="19:21" ht="23.25" customHeight="1" x14ac:dyDescent="0.35">
      <c r="S6297" s="56" t="str">
        <f t="shared" si="294"/>
        <v/>
      </c>
      <c r="T6297" s="57" t="str">
        <f t="shared" si="295"/>
        <v/>
      </c>
      <c r="U6297" s="58" t="str">
        <f t="shared" si="296"/>
        <v/>
      </c>
    </row>
    <row r="6298" spans="19:21" ht="23.25" customHeight="1" x14ac:dyDescent="0.35">
      <c r="S6298" s="56" t="str">
        <f t="shared" si="294"/>
        <v/>
      </c>
      <c r="T6298" s="57" t="str">
        <f t="shared" si="295"/>
        <v/>
      </c>
      <c r="U6298" s="58" t="str">
        <f t="shared" si="296"/>
        <v/>
      </c>
    </row>
    <row r="6299" spans="19:21" ht="23.25" customHeight="1" x14ac:dyDescent="0.35">
      <c r="S6299" s="56" t="str">
        <f t="shared" si="294"/>
        <v/>
      </c>
      <c r="T6299" s="57" t="str">
        <f t="shared" si="295"/>
        <v/>
      </c>
      <c r="U6299" s="58" t="str">
        <f t="shared" si="296"/>
        <v/>
      </c>
    </row>
    <row r="6300" spans="19:21" ht="23.25" customHeight="1" x14ac:dyDescent="0.35">
      <c r="S6300" s="56" t="str">
        <f t="shared" si="294"/>
        <v/>
      </c>
      <c r="T6300" s="57" t="str">
        <f t="shared" si="295"/>
        <v/>
      </c>
      <c r="U6300" s="58" t="str">
        <f t="shared" si="296"/>
        <v/>
      </c>
    </row>
    <row r="6301" spans="19:21" ht="23.25" customHeight="1" x14ac:dyDescent="0.35">
      <c r="S6301" s="56" t="str">
        <f t="shared" si="294"/>
        <v/>
      </c>
      <c r="T6301" s="57" t="str">
        <f t="shared" si="295"/>
        <v/>
      </c>
      <c r="U6301" s="58" t="str">
        <f t="shared" si="296"/>
        <v/>
      </c>
    </row>
    <row r="6302" spans="19:21" ht="23.25" customHeight="1" x14ac:dyDescent="0.35">
      <c r="S6302" s="56" t="str">
        <f t="shared" si="294"/>
        <v/>
      </c>
      <c r="T6302" s="57" t="str">
        <f t="shared" si="295"/>
        <v/>
      </c>
      <c r="U6302" s="58" t="str">
        <f t="shared" si="296"/>
        <v/>
      </c>
    </row>
    <row r="6303" spans="19:21" ht="23.25" customHeight="1" x14ac:dyDescent="0.35">
      <c r="S6303" s="56" t="str">
        <f t="shared" si="294"/>
        <v/>
      </c>
      <c r="T6303" s="57" t="str">
        <f t="shared" si="295"/>
        <v/>
      </c>
      <c r="U6303" s="58" t="str">
        <f t="shared" si="296"/>
        <v/>
      </c>
    </row>
    <row r="6304" spans="19:21" ht="23.25" customHeight="1" x14ac:dyDescent="0.35">
      <c r="S6304" s="56" t="str">
        <f t="shared" si="294"/>
        <v/>
      </c>
      <c r="T6304" s="57" t="str">
        <f t="shared" si="295"/>
        <v/>
      </c>
      <c r="U6304" s="58" t="str">
        <f t="shared" si="296"/>
        <v/>
      </c>
    </row>
    <row r="6305" spans="19:21" ht="23.25" customHeight="1" x14ac:dyDescent="0.35">
      <c r="S6305" s="56" t="str">
        <f t="shared" si="294"/>
        <v/>
      </c>
      <c r="T6305" s="57" t="str">
        <f t="shared" si="295"/>
        <v/>
      </c>
      <c r="U6305" s="58" t="str">
        <f t="shared" si="296"/>
        <v/>
      </c>
    </row>
    <row r="6306" spans="19:21" ht="23.25" customHeight="1" x14ac:dyDescent="0.35">
      <c r="S6306" s="56" t="str">
        <f t="shared" si="294"/>
        <v/>
      </c>
      <c r="T6306" s="57" t="str">
        <f t="shared" si="295"/>
        <v/>
      </c>
      <c r="U6306" s="58" t="str">
        <f t="shared" si="296"/>
        <v/>
      </c>
    </row>
    <row r="6307" spans="19:21" ht="23.25" customHeight="1" x14ac:dyDescent="0.35">
      <c r="S6307" s="56" t="str">
        <f t="shared" si="294"/>
        <v/>
      </c>
      <c r="T6307" s="57" t="str">
        <f t="shared" si="295"/>
        <v/>
      </c>
      <c r="U6307" s="58" t="str">
        <f t="shared" si="296"/>
        <v/>
      </c>
    </row>
    <row r="6308" spans="19:21" ht="23.25" customHeight="1" x14ac:dyDescent="0.35">
      <c r="S6308" s="56" t="str">
        <f t="shared" si="294"/>
        <v/>
      </c>
      <c r="T6308" s="57" t="str">
        <f t="shared" si="295"/>
        <v/>
      </c>
      <c r="U6308" s="58" t="str">
        <f t="shared" si="296"/>
        <v/>
      </c>
    </row>
    <row r="6309" spans="19:21" ht="23.25" customHeight="1" x14ac:dyDescent="0.35">
      <c r="S6309" s="56" t="str">
        <f t="shared" si="294"/>
        <v/>
      </c>
      <c r="T6309" s="57" t="str">
        <f t="shared" si="295"/>
        <v/>
      </c>
      <c r="U6309" s="58" t="str">
        <f t="shared" si="296"/>
        <v/>
      </c>
    </row>
    <row r="6310" spans="19:21" ht="23.25" customHeight="1" x14ac:dyDescent="0.35">
      <c r="S6310" s="56" t="str">
        <f t="shared" si="294"/>
        <v/>
      </c>
      <c r="T6310" s="57" t="str">
        <f t="shared" si="295"/>
        <v/>
      </c>
      <c r="U6310" s="58" t="str">
        <f t="shared" si="296"/>
        <v/>
      </c>
    </row>
    <row r="6311" spans="19:21" ht="23.25" customHeight="1" x14ac:dyDescent="0.35">
      <c r="S6311" s="56" t="str">
        <f t="shared" si="294"/>
        <v/>
      </c>
      <c r="T6311" s="57" t="str">
        <f t="shared" si="295"/>
        <v/>
      </c>
      <c r="U6311" s="58" t="str">
        <f t="shared" si="296"/>
        <v/>
      </c>
    </row>
    <row r="6312" spans="19:21" ht="23.25" customHeight="1" x14ac:dyDescent="0.35">
      <c r="S6312" s="56" t="str">
        <f t="shared" si="294"/>
        <v/>
      </c>
      <c r="T6312" s="57" t="str">
        <f t="shared" si="295"/>
        <v/>
      </c>
      <c r="U6312" s="58" t="str">
        <f t="shared" si="296"/>
        <v/>
      </c>
    </row>
    <row r="6313" spans="19:21" ht="23.25" customHeight="1" x14ac:dyDescent="0.35">
      <c r="S6313" s="56" t="str">
        <f t="shared" si="294"/>
        <v/>
      </c>
      <c r="T6313" s="57" t="str">
        <f t="shared" si="295"/>
        <v/>
      </c>
      <c r="U6313" s="58" t="str">
        <f t="shared" si="296"/>
        <v/>
      </c>
    </row>
    <row r="6314" spans="19:21" ht="23.25" customHeight="1" x14ac:dyDescent="0.35">
      <c r="S6314" s="56" t="str">
        <f t="shared" si="294"/>
        <v/>
      </c>
      <c r="T6314" s="57" t="str">
        <f t="shared" si="295"/>
        <v/>
      </c>
      <c r="U6314" s="58" t="str">
        <f t="shared" si="296"/>
        <v/>
      </c>
    </row>
    <row r="6315" spans="19:21" ht="23.25" customHeight="1" x14ac:dyDescent="0.35">
      <c r="S6315" s="56" t="str">
        <f t="shared" si="294"/>
        <v/>
      </c>
      <c r="T6315" s="57" t="str">
        <f t="shared" si="295"/>
        <v/>
      </c>
      <c r="U6315" s="58" t="str">
        <f t="shared" si="296"/>
        <v/>
      </c>
    </row>
    <row r="6316" spans="19:21" ht="23.25" customHeight="1" x14ac:dyDescent="0.35">
      <c r="S6316" s="56" t="str">
        <f t="shared" si="294"/>
        <v/>
      </c>
      <c r="T6316" s="57" t="str">
        <f t="shared" si="295"/>
        <v/>
      </c>
      <c r="U6316" s="58" t="str">
        <f t="shared" si="296"/>
        <v/>
      </c>
    </row>
    <row r="6317" spans="19:21" ht="23.25" customHeight="1" x14ac:dyDescent="0.35">
      <c r="S6317" s="56" t="str">
        <f t="shared" si="294"/>
        <v/>
      </c>
      <c r="T6317" s="57" t="str">
        <f t="shared" si="295"/>
        <v/>
      </c>
      <c r="U6317" s="58" t="str">
        <f t="shared" si="296"/>
        <v/>
      </c>
    </row>
    <row r="6318" spans="19:21" ht="23.25" customHeight="1" x14ac:dyDescent="0.35">
      <c r="S6318" s="56" t="str">
        <f t="shared" si="294"/>
        <v/>
      </c>
      <c r="T6318" s="57" t="str">
        <f t="shared" si="295"/>
        <v/>
      </c>
      <c r="U6318" s="58" t="str">
        <f t="shared" si="296"/>
        <v/>
      </c>
    </row>
    <row r="6319" spans="19:21" ht="23.25" customHeight="1" x14ac:dyDescent="0.35">
      <c r="S6319" s="56" t="str">
        <f t="shared" si="294"/>
        <v/>
      </c>
      <c r="T6319" s="57" t="str">
        <f t="shared" si="295"/>
        <v/>
      </c>
      <c r="U6319" s="58" t="str">
        <f t="shared" si="296"/>
        <v/>
      </c>
    </row>
    <row r="6320" spans="19:21" ht="23.25" customHeight="1" x14ac:dyDescent="0.35">
      <c r="S6320" s="56" t="str">
        <f t="shared" si="294"/>
        <v/>
      </c>
      <c r="T6320" s="57" t="str">
        <f t="shared" si="295"/>
        <v/>
      </c>
      <c r="U6320" s="58" t="str">
        <f t="shared" si="296"/>
        <v/>
      </c>
    </row>
    <row r="6321" spans="19:21" ht="23.25" customHeight="1" x14ac:dyDescent="0.35">
      <c r="S6321" s="56" t="str">
        <f t="shared" si="294"/>
        <v/>
      </c>
      <c r="T6321" s="57" t="str">
        <f t="shared" si="295"/>
        <v/>
      </c>
      <c r="U6321" s="58" t="str">
        <f t="shared" si="296"/>
        <v/>
      </c>
    </row>
    <row r="6322" spans="19:21" ht="23.25" customHeight="1" x14ac:dyDescent="0.35">
      <c r="S6322" s="56" t="str">
        <f t="shared" si="294"/>
        <v/>
      </c>
      <c r="T6322" s="57" t="str">
        <f t="shared" si="295"/>
        <v/>
      </c>
      <c r="U6322" s="58" t="str">
        <f t="shared" si="296"/>
        <v/>
      </c>
    </row>
    <row r="6323" spans="19:21" ht="23.25" customHeight="1" x14ac:dyDescent="0.35">
      <c r="S6323" s="56" t="str">
        <f t="shared" si="294"/>
        <v/>
      </c>
      <c r="T6323" s="57" t="str">
        <f t="shared" si="295"/>
        <v/>
      </c>
      <c r="U6323" s="58" t="str">
        <f t="shared" si="296"/>
        <v/>
      </c>
    </row>
    <row r="6324" spans="19:21" ht="23.25" customHeight="1" x14ac:dyDescent="0.35">
      <c r="S6324" s="56" t="str">
        <f t="shared" si="294"/>
        <v/>
      </c>
      <c r="T6324" s="57" t="str">
        <f t="shared" si="295"/>
        <v/>
      </c>
      <c r="U6324" s="58" t="str">
        <f t="shared" si="296"/>
        <v/>
      </c>
    </row>
    <row r="6325" spans="19:21" ht="23.25" customHeight="1" x14ac:dyDescent="0.35">
      <c r="S6325" s="56" t="str">
        <f t="shared" si="294"/>
        <v/>
      </c>
      <c r="T6325" s="57" t="str">
        <f t="shared" si="295"/>
        <v/>
      </c>
      <c r="U6325" s="58" t="str">
        <f t="shared" si="296"/>
        <v/>
      </c>
    </row>
    <row r="6326" spans="19:21" ht="23.25" customHeight="1" x14ac:dyDescent="0.35">
      <c r="S6326" s="56" t="str">
        <f t="shared" si="294"/>
        <v/>
      </c>
      <c r="T6326" s="57" t="str">
        <f t="shared" si="295"/>
        <v/>
      </c>
      <c r="U6326" s="58" t="str">
        <f t="shared" si="296"/>
        <v/>
      </c>
    </row>
    <row r="6327" spans="19:21" ht="23.25" customHeight="1" x14ac:dyDescent="0.35">
      <c r="S6327" s="56" t="str">
        <f t="shared" si="294"/>
        <v/>
      </c>
      <c r="T6327" s="57" t="str">
        <f t="shared" si="295"/>
        <v/>
      </c>
      <c r="U6327" s="58" t="str">
        <f t="shared" si="296"/>
        <v/>
      </c>
    </row>
    <row r="6328" spans="19:21" ht="23.25" customHeight="1" x14ac:dyDescent="0.35">
      <c r="S6328" s="56" t="str">
        <f t="shared" si="294"/>
        <v/>
      </c>
      <c r="T6328" s="57" t="str">
        <f t="shared" si="295"/>
        <v/>
      </c>
      <c r="U6328" s="58" t="str">
        <f t="shared" si="296"/>
        <v/>
      </c>
    </row>
    <row r="6329" spans="19:21" ht="23.25" customHeight="1" x14ac:dyDescent="0.35">
      <c r="S6329" s="56" t="str">
        <f t="shared" si="294"/>
        <v/>
      </c>
      <c r="T6329" s="57" t="str">
        <f t="shared" si="295"/>
        <v/>
      </c>
      <c r="U6329" s="58" t="str">
        <f t="shared" si="296"/>
        <v/>
      </c>
    </row>
    <row r="6330" spans="19:21" ht="23.25" customHeight="1" x14ac:dyDescent="0.35">
      <c r="S6330" s="56" t="str">
        <f t="shared" si="294"/>
        <v/>
      </c>
      <c r="T6330" s="57" t="str">
        <f t="shared" si="295"/>
        <v/>
      </c>
      <c r="U6330" s="58" t="str">
        <f t="shared" si="296"/>
        <v/>
      </c>
    </row>
    <row r="6331" spans="19:21" ht="23.25" customHeight="1" x14ac:dyDescent="0.35">
      <c r="S6331" s="56" t="str">
        <f t="shared" si="294"/>
        <v/>
      </c>
      <c r="T6331" s="57" t="str">
        <f t="shared" si="295"/>
        <v/>
      </c>
      <c r="U6331" s="58" t="str">
        <f t="shared" si="296"/>
        <v/>
      </c>
    </row>
    <row r="6332" spans="19:21" ht="23.25" customHeight="1" x14ac:dyDescent="0.35">
      <c r="S6332" s="56" t="str">
        <f t="shared" si="294"/>
        <v/>
      </c>
      <c r="T6332" s="57" t="str">
        <f t="shared" si="295"/>
        <v/>
      </c>
      <c r="U6332" s="58" t="str">
        <f t="shared" si="296"/>
        <v/>
      </c>
    </row>
    <row r="6333" spans="19:21" ht="23.25" customHeight="1" x14ac:dyDescent="0.35">
      <c r="S6333" s="56" t="str">
        <f t="shared" si="294"/>
        <v/>
      </c>
      <c r="T6333" s="57" t="str">
        <f t="shared" si="295"/>
        <v/>
      </c>
      <c r="U6333" s="58" t="str">
        <f t="shared" si="296"/>
        <v/>
      </c>
    </row>
    <row r="6334" spans="19:21" ht="23.25" customHeight="1" x14ac:dyDescent="0.35">
      <c r="S6334" s="56" t="str">
        <f t="shared" si="294"/>
        <v/>
      </c>
      <c r="T6334" s="57" t="str">
        <f t="shared" si="295"/>
        <v/>
      </c>
      <c r="U6334" s="58" t="str">
        <f t="shared" si="296"/>
        <v/>
      </c>
    </row>
    <row r="6335" spans="19:21" ht="23.25" customHeight="1" x14ac:dyDescent="0.35">
      <c r="S6335" s="56" t="str">
        <f t="shared" si="294"/>
        <v/>
      </c>
      <c r="T6335" s="57" t="str">
        <f t="shared" si="295"/>
        <v/>
      </c>
      <c r="U6335" s="58" t="str">
        <f t="shared" si="296"/>
        <v/>
      </c>
    </row>
    <row r="6336" spans="19:21" ht="23.25" customHeight="1" x14ac:dyDescent="0.35">
      <c r="S6336" s="56" t="str">
        <f t="shared" si="294"/>
        <v/>
      </c>
      <c r="T6336" s="57" t="str">
        <f t="shared" si="295"/>
        <v/>
      </c>
      <c r="U6336" s="58" t="str">
        <f t="shared" si="296"/>
        <v/>
      </c>
    </row>
    <row r="6337" spans="19:21" ht="23.25" customHeight="1" x14ac:dyDescent="0.35">
      <c r="S6337" s="56" t="str">
        <f t="shared" si="294"/>
        <v/>
      </c>
      <c r="T6337" s="57" t="str">
        <f t="shared" si="295"/>
        <v/>
      </c>
      <c r="U6337" s="58" t="str">
        <f t="shared" si="296"/>
        <v/>
      </c>
    </row>
    <row r="6338" spans="19:21" ht="23.25" customHeight="1" x14ac:dyDescent="0.35">
      <c r="S6338" s="56" t="str">
        <f t="shared" si="294"/>
        <v/>
      </c>
      <c r="T6338" s="57" t="str">
        <f t="shared" si="295"/>
        <v/>
      </c>
      <c r="U6338" s="58" t="str">
        <f t="shared" si="296"/>
        <v/>
      </c>
    </row>
    <row r="6339" spans="19:21" ht="23.25" customHeight="1" x14ac:dyDescent="0.35">
      <c r="S6339" s="56" t="str">
        <f t="shared" si="294"/>
        <v/>
      </c>
      <c r="T6339" s="57" t="str">
        <f t="shared" si="295"/>
        <v/>
      </c>
      <c r="U6339" s="58" t="str">
        <f t="shared" si="296"/>
        <v/>
      </c>
    </row>
    <row r="6340" spans="19:21" ht="23.25" customHeight="1" x14ac:dyDescent="0.35">
      <c r="S6340" s="56" t="str">
        <f t="shared" si="294"/>
        <v/>
      </c>
      <c r="T6340" s="57" t="str">
        <f t="shared" si="295"/>
        <v/>
      </c>
      <c r="U6340" s="58" t="str">
        <f t="shared" si="296"/>
        <v/>
      </c>
    </row>
    <row r="6341" spans="19:21" ht="23.25" customHeight="1" x14ac:dyDescent="0.35">
      <c r="S6341" s="56" t="str">
        <f t="shared" si="294"/>
        <v/>
      </c>
      <c r="T6341" s="57" t="str">
        <f t="shared" si="295"/>
        <v/>
      </c>
      <c r="U6341" s="58" t="str">
        <f t="shared" si="296"/>
        <v/>
      </c>
    </row>
    <row r="6342" spans="19:21" ht="23.25" customHeight="1" x14ac:dyDescent="0.35">
      <c r="S6342" s="56" t="str">
        <f t="shared" si="294"/>
        <v/>
      </c>
      <c r="T6342" s="57" t="str">
        <f t="shared" si="295"/>
        <v/>
      </c>
      <c r="U6342" s="58" t="str">
        <f t="shared" si="296"/>
        <v/>
      </c>
    </row>
    <row r="6343" spans="19:21" ht="23.25" customHeight="1" x14ac:dyDescent="0.35">
      <c r="S6343" s="56" t="str">
        <f t="shared" si="294"/>
        <v/>
      </c>
      <c r="T6343" s="57" t="str">
        <f t="shared" si="295"/>
        <v/>
      </c>
      <c r="U6343" s="58" t="str">
        <f t="shared" si="296"/>
        <v/>
      </c>
    </row>
    <row r="6344" spans="19:21" ht="23.25" customHeight="1" x14ac:dyDescent="0.35">
      <c r="S6344" s="56" t="str">
        <f t="shared" si="294"/>
        <v/>
      </c>
      <c r="T6344" s="57" t="str">
        <f t="shared" si="295"/>
        <v/>
      </c>
      <c r="U6344" s="58" t="str">
        <f t="shared" si="296"/>
        <v/>
      </c>
    </row>
    <row r="6345" spans="19:21" ht="23.25" customHeight="1" x14ac:dyDescent="0.35">
      <c r="S6345" s="56" t="str">
        <f t="shared" ref="S6345:S6408" si="297">IF(A6345="","",A$5-A6345)</f>
        <v/>
      </c>
      <c r="T6345" s="57" t="str">
        <f t="shared" ref="T6345:T6408" si="298">IF(S6345="","",IF(S6345&lt;4,"0-3 Days",IF(S6345&lt;31,"4-30 Days",IF(S6345&lt;61,"31-60 Days",IF(S6345&lt;=90,"61-90 Days",IF(S6345&gt;90,"Above 90 Days","0"))))))</f>
        <v/>
      </c>
      <c r="U6345" s="58" t="str">
        <f t="shared" ref="U6345:U6408" si="299">IF(C6345="","",IF(C6345&gt;0,IF(S6345&lt;30,"Normal",IF(S6345&lt;60,"Especially Mentioned",IF(S6345&lt;90,"Substandard",IF(S6345&lt;=180,"Doubtful",IF(S6345&gt;180,"Loss","0"))))),"Not Applicable"))</f>
        <v/>
      </c>
    </row>
    <row r="6346" spans="19:21" ht="23.25" customHeight="1" x14ac:dyDescent="0.35">
      <c r="S6346" s="56" t="str">
        <f t="shared" si="297"/>
        <v/>
      </c>
      <c r="T6346" s="57" t="str">
        <f t="shared" si="298"/>
        <v/>
      </c>
      <c r="U6346" s="58" t="str">
        <f t="shared" si="299"/>
        <v/>
      </c>
    </row>
    <row r="6347" spans="19:21" ht="23.25" customHeight="1" x14ac:dyDescent="0.35">
      <c r="S6347" s="56" t="str">
        <f t="shared" si="297"/>
        <v/>
      </c>
      <c r="T6347" s="57" t="str">
        <f t="shared" si="298"/>
        <v/>
      </c>
      <c r="U6347" s="58" t="str">
        <f t="shared" si="299"/>
        <v/>
      </c>
    </row>
    <row r="6348" spans="19:21" ht="23.25" customHeight="1" x14ac:dyDescent="0.35">
      <c r="S6348" s="56" t="str">
        <f t="shared" si="297"/>
        <v/>
      </c>
      <c r="T6348" s="57" t="str">
        <f t="shared" si="298"/>
        <v/>
      </c>
      <c r="U6348" s="58" t="str">
        <f t="shared" si="299"/>
        <v/>
      </c>
    </row>
    <row r="6349" spans="19:21" ht="23.25" customHeight="1" x14ac:dyDescent="0.35">
      <c r="S6349" s="56" t="str">
        <f t="shared" si="297"/>
        <v/>
      </c>
      <c r="T6349" s="57" t="str">
        <f t="shared" si="298"/>
        <v/>
      </c>
      <c r="U6349" s="58" t="str">
        <f t="shared" si="299"/>
        <v/>
      </c>
    </row>
    <row r="6350" spans="19:21" ht="23.25" customHeight="1" x14ac:dyDescent="0.35">
      <c r="S6350" s="56" t="str">
        <f t="shared" si="297"/>
        <v/>
      </c>
      <c r="T6350" s="57" t="str">
        <f t="shared" si="298"/>
        <v/>
      </c>
      <c r="U6350" s="58" t="str">
        <f t="shared" si="299"/>
        <v/>
      </c>
    </row>
    <row r="6351" spans="19:21" ht="23.25" customHeight="1" x14ac:dyDescent="0.35">
      <c r="S6351" s="56" t="str">
        <f t="shared" si="297"/>
        <v/>
      </c>
      <c r="T6351" s="57" t="str">
        <f t="shared" si="298"/>
        <v/>
      </c>
      <c r="U6351" s="58" t="str">
        <f t="shared" si="299"/>
        <v/>
      </c>
    </row>
    <row r="6352" spans="19:21" ht="23.25" customHeight="1" x14ac:dyDescent="0.35">
      <c r="S6352" s="56" t="str">
        <f t="shared" si="297"/>
        <v/>
      </c>
      <c r="T6352" s="57" t="str">
        <f t="shared" si="298"/>
        <v/>
      </c>
      <c r="U6352" s="58" t="str">
        <f t="shared" si="299"/>
        <v/>
      </c>
    </row>
    <row r="6353" spans="19:21" ht="23.25" customHeight="1" x14ac:dyDescent="0.35">
      <c r="S6353" s="56" t="str">
        <f t="shared" si="297"/>
        <v/>
      </c>
      <c r="T6353" s="57" t="str">
        <f t="shared" si="298"/>
        <v/>
      </c>
      <c r="U6353" s="58" t="str">
        <f t="shared" si="299"/>
        <v/>
      </c>
    </row>
    <row r="6354" spans="19:21" ht="23.25" customHeight="1" x14ac:dyDescent="0.35">
      <c r="S6354" s="56" t="str">
        <f t="shared" si="297"/>
        <v/>
      </c>
      <c r="T6354" s="57" t="str">
        <f t="shared" si="298"/>
        <v/>
      </c>
      <c r="U6354" s="58" t="str">
        <f t="shared" si="299"/>
        <v/>
      </c>
    </row>
    <row r="6355" spans="19:21" ht="23.25" customHeight="1" x14ac:dyDescent="0.35">
      <c r="S6355" s="56" t="str">
        <f t="shared" si="297"/>
        <v/>
      </c>
      <c r="T6355" s="57" t="str">
        <f t="shared" si="298"/>
        <v/>
      </c>
      <c r="U6355" s="58" t="str">
        <f t="shared" si="299"/>
        <v/>
      </c>
    </row>
    <row r="6356" spans="19:21" ht="23.25" customHeight="1" x14ac:dyDescent="0.35">
      <c r="S6356" s="56" t="str">
        <f t="shared" si="297"/>
        <v/>
      </c>
      <c r="T6356" s="57" t="str">
        <f t="shared" si="298"/>
        <v/>
      </c>
      <c r="U6356" s="58" t="str">
        <f t="shared" si="299"/>
        <v/>
      </c>
    </row>
    <row r="6357" spans="19:21" ht="23.25" customHeight="1" x14ac:dyDescent="0.35">
      <c r="S6357" s="56" t="str">
        <f t="shared" si="297"/>
        <v/>
      </c>
      <c r="T6357" s="57" t="str">
        <f t="shared" si="298"/>
        <v/>
      </c>
      <c r="U6357" s="58" t="str">
        <f t="shared" si="299"/>
        <v/>
      </c>
    </row>
    <row r="6358" spans="19:21" ht="23.25" customHeight="1" x14ac:dyDescent="0.35">
      <c r="S6358" s="56" t="str">
        <f t="shared" si="297"/>
        <v/>
      </c>
      <c r="T6358" s="57" t="str">
        <f t="shared" si="298"/>
        <v/>
      </c>
      <c r="U6358" s="58" t="str">
        <f t="shared" si="299"/>
        <v/>
      </c>
    </row>
    <row r="6359" spans="19:21" ht="23.25" customHeight="1" x14ac:dyDescent="0.35">
      <c r="S6359" s="56" t="str">
        <f t="shared" si="297"/>
        <v/>
      </c>
      <c r="T6359" s="57" t="str">
        <f t="shared" si="298"/>
        <v/>
      </c>
      <c r="U6359" s="58" t="str">
        <f t="shared" si="299"/>
        <v/>
      </c>
    </row>
    <row r="6360" spans="19:21" ht="23.25" customHeight="1" x14ac:dyDescent="0.35">
      <c r="S6360" s="56" t="str">
        <f t="shared" si="297"/>
        <v/>
      </c>
      <c r="T6360" s="57" t="str">
        <f t="shared" si="298"/>
        <v/>
      </c>
      <c r="U6360" s="58" t="str">
        <f t="shared" si="299"/>
        <v/>
      </c>
    </row>
    <row r="6361" spans="19:21" ht="23.25" customHeight="1" x14ac:dyDescent="0.35">
      <c r="S6361" s="56" t="str">
        <f t="shared" si="297"/>
        <v/>
      </c>
      <c r="T6361" s="57" t="str">
        <f t="shared" si="298"/>
        <v/>
      </c>
      <c r="U6361" s="58" t="str">
        <f t="shared" si="299"/>
        <v/>
      </c>
    </row>
    <row r="6362" spans="19:21" ht="23.25" customHeight="1" x14ac:dyDescent="0.35">
      <c r="S6362" s="56" t="str">
        <f t="shared" si="297"/>
        <v/>
      </c>
      <c r="T6362" s="57" t="str">
        <f t="shared" si="298"/>
        <v/>
      </c>
      <c r="U6362" s="58" t="str">
        <f t="shared" si="299"/>
        <v/>
      </c>
    </row>
    <row r="6363" spans="19:21" ht="23.25" customHeight="1" x14ac:dyDescent="0.35">
      <c r="S6363" s="56" t="str">
        <f t="shared" si="297"/>
        <v/>
      </c>
      <c r="T6363" s="57" t="str">
        <f t="shared" si="298"/>
        <v/>
      </c>
      <c r="U6363" s="58" t="str">
        <f t="shared" si="299"/>
        <v/>
      </c>
    </row>
    <row r="6364" spans="19:21" ht="23.25" customHeight="1" x14ac:dyDescent="0.35">
      <c r="S6364" s="56" t="str">
        <f t="shared" si="297"/>
        <v/>
      </c>
      <c r="T6364" s="57" t="str">
        <f t="shared" si="298"/>
        <v/>
      </c>
      <c r="U6364" s="58" t="str">
        <f t="shared" si="299"/>
        <v/>
      </c>
    </row>
    <row r="6365" spans="19:21" ht="23.25" customHeight="1" x14ac:dyDescent="0.35">
      <c r="S6365" s="56" t="str">
        <f t="shared" si="297"/>
        <v/>
      </c>
      <c r="T6365" s="57" t="str">
        <f t="shared" si="298"/>
        <v/>
      </c>
      <c r="U6365" s="58" t="str">
        <f t="shared" si="299"/>
        <v/>
      </c>
    </row>
    <row r="6366" spans="19:21" ht="23.25" customHeight="1" x14ac:dyDescent="0.35">
      <c r="S6366" s="56" t="str">
        <f t="shared" si="297"/>
        <v/>
      </c>
      <c r="T6366" s="57" t="str">
        <f t="shared" si="298"/>
        <v/>
      </c>
      <c r="U6366" s="58" t="str">
        <f t="shared" si="299"/>
        <v/>
      </c>
    </row>
    <row r="6367" spans="19:21" ht="23.25" customHeight="1" x14ac:dyDescent="0.35">
      <c r="S6367" s="56" t="str">
        <f t="shared" si="297"/>
        <v/>
      </c>
      <c r="T6367" s="57" t="str">
        <f t="shared" si="298"/>
        <v/>
      </c>
      <c r="U6367" s="58" t="str">
        <f t="shared" si="299"/>
        <v/>
      </c>
    </row>
    <row r="6368" spans="19:21" ht="23.25" customHeight="1" x14ac:dyDescent="0.35">
      <c r="S6368" s="56" t="str">
        <f t="shared" si="297"/>
        <v/>
      </c>
      <c r="T6368" s="57" t="str">
        <f t="shared" si="298"/>
        <v/>
      </c>
      <c r="U6368" s="58" t="str">
        <f t="shared" si="299"/>
        <v/>
      </c>
    </row>
    <row r="6369" spans="19:21" ht="23.25" customHeight="1" x14ac:dyDescent="0.35">
      <c r="S6369" s="56" t="str">
        <f t="shared" si="297"/>
        <v/>
      </c>
      <c r="T6369" s="57" t="str">
        <f t="shared" si="298"/>
        <v/>
      </c>
      <c r="U6369" s="58" t="str">
        <f t="shared" si="299"/>
        <v/>
      </c>
    </row>
    <row r="6370" spans="19:21" ht="23.25" customHeight="1" x14ac:dyDescent="0.35">
      <c r="S6370" s="56" t="str">
        <f t="shared" si="297"/>
        <v/>
      </c>
      <c r="T6370" s="57" t="str">
        <f t="shared" si="298"/>
        <v/>
      </c>
      <c r="U6370" s="58" t="str">
        <f t="shared" si="299"/>
        <v/>
      </c>
    </row>
    <row r="6371" spans="19:21" ht="23.25" customHeight="1" x14ac:dyDescent="0.35">
      <c r="S6371" s="56" t="str">
        <f t="shared" si="297"/>
        <v/>
      </c>
      <c r="T6371" s="57" t="str">
        <f t="shared" si="298"/>
        <v/>
      </c>
      <c r="U6371" s="58" t="str">
        <f t="shared" si="299"/>
        <v/>
      </c>
    </row>
    <row r="6372" spans="19:21" ht="23.25" customHeight="1" x14ac:dyDescent="0.35">
      <c r="S6372" s="56" t="str">
        <f t="shared" si="297"/>
        <v/>
      </c>
      <c r="T6372" s="57" t="str">
        <f t="shared" si="298"/>
        <v/>
      </c>
      <c r="U6372" s="58" t="str">
        <f t="shared" si="299"/>
        <v/>
      </c>
    </row>
    <row r="6373" spans="19:21" ht="23.25" customHeight="1" x14ac:dyDescent="0.35">
      <c r="S6373" s="56" t="str">
        <f t="shared" si="297"/>
        <v/>
      </c>
      <c r="T6373" s="57" t="str">
        <f t="shared" si="298"/>
        <v/>
      </c>
      <c r="U6373" s="58" t="str">
        <f t="shared" si="299"/>
        <v/>
      </c>
    </row>
    <row r="6374" spans="19:21" ht="23.25" customHeight="1" x14ac:dyDescent="0.35">
      <c r="S6374" s="56" t="str">
        <f t="shared" si="297"/>
        <v/>
      </c>
      <c r="T6374" s="57" t="str">
        <f t="shared" si="298"/>
        <v/>
      </c>
      <c r="U6374" s="58" t="str">
        <f t="shared" si="299"/>
        <v/>
      </c>
    </row>
    <row r="6375" spans="19:21" ht="23.25" customHeight="1" x14ac:dyDescent="0.35">
      <c r="S6375" s="56" t="str">
        <f t="shared" si="297"/>
        <v/>
      </c>
      <c r="T6375" s="57" t="str">
        <f t="shared" si="298"/>
        <v/>
      </c>
      <c r="U6375" s="58" t="str">
        <f t="shared" si="299"/>
        <v/>
      </c>
    </row>
    <row r="6376" spans="19:21" ht="23.25" customHeight="1" x14ac:dyDescent="0.35">
      <c r="S6376" s="56" t="str">
        <f t="shared" si="297"/>
        <v/>
      </c>
      <c r="T6376" s="57" t="str">
        <f t="shared" si="298"/>
        <v/>
      </c>
      <c r="U6376" s="58" t="str">
        <f t="shared" si="299"/>
        <v/>
      </c>
    </row>
    <row r="6377" spans="19:21" ht="23.25" customHeight="1" x14ac:dyDescent="0.35">
      <c r="S6377" s="56" t="str">
        <f t="shared" si="297"/>
        <v/>
      </c>
      <c r="T6377" s="57" t="str">
        <f t="shared" si="298"/>
        <v/>
      </c>
      <c r="U6377" s="58" t="str">
        <f t="shared" si="299"/>
        <v/>
      </c>
    </row>
    <row r="6378" spans="19:21" ht="23.25" customHeight="1" x14ac:dyDescent="0.35">
      <c r="S6378" s="56" t="str">
        <f t="shared" si="297"/>
        <v/>
      </c>
      <c r="T6378" s="57" t="str">
        <f t="shared" si="298"/>
        <v/>
      </c>
      <c r="U6378" s="58" t="str">
        <f t="shared" si="299"/>
        <v/>
      </c>
    </row>
    <row r="6379" spans="19:21" ht="23.25" customHeight="1" x14ac:dyDescent="0.35">
      <c r="S6379" s="56" t="str">
        <f t="shared" si="297"/>
        <v/>
      </c>
      <c r="T6379" s="57" t="str">
        <f t="shared" si="298"/>
        <v/>
      </c>
      <c r="U6379" s="58" t="str">
        <f t="shared" si="299"/>
        <v/>
      </c>
    </row>
    <row r="6380" spans="19:21" ht="23.25" customHeight="1" x14ac:dyDescent="0.35">
      <c r="S6380" s="56" t="str">
        <f t="shared" si="297"/>
        <v/>
      </c>
      <c r="T6380" s="57" t="str">
        <f t="shared" si="298"/>
        <v/>
      </c>
      <c r="U6380" s="58" t="str">
        <f t="shared" si="299"/>
        <v/>
      </c>
    </row>
    <row r="6381" spans="19:21" ht="23.25" customHeight="1" x14ac:dyDescent="0.35">
      <c r="S6381" s="56" t="str">
        <f t="shared" si="297"/>
        <v/>
      </c>
      <c r="T6381" s="57" t="str">
        <f t="shared" si="298"/>
        <v/>
      </c>
      <c r="U6381" s="58" t="str">
        <f t="shared" si="299"/>
        <v/>
      </c>
    </row>
    <row r="6382" spans="19:21" ht="23.25" customHeight="1" x14ac:dyDescent="0.35">
      <c r="S6382" s="56" t="str">
        <f t="shared" si="297"/>
        <v/>
      </c>
      <c r="T6382" s="57" t="str">
        <f t="shared" si="298"/>
        <v/>
      </c>
      <c r="U6382" s="58" t="str">
        <f t="shared" si="299"/>
        <v/>
      </c>
    </row>
    <row r="6383" spans="19:21" ht="23.25" customHeight="1" x14ac:dyDescent="0.35">
      <c r="S6383" s="56" t="str">
        <f t="shared" si="297"/>
        <v/>
      </c>
      <c r="T6383" s="57" t="str">
        <f t="shared" si="298"/>
        <v/>
      </c>
      <c r="U6383" s="58" t="str">
        <f t="shared" si="299"/>
        <v/>
      </c>
    </row>
    <row r="6384" spans="19:21" ht="23.25" customHeight="1" x14ac:dyDescent="0.35">
      <c r="S6384" s="56" t="str">
        <f t="shared" si="297"/>
        <v/>
      </c>
      <c r="T6384" s="57" t="str">
        <f t="shared" si="298"/>
        <v/>
      </c>
      <c r="U6384" s="58" t="str">
        <f t="shared" si="299"/>
        <v/>
      </c>
    </row>
    <row r="6385" spans="19:21" ht="23.25" customHeight="1" x14ac:dyDescent="0.35">
      <c r="S6385" s="56" t="str">
        <f t="shared" si="297"/>
        <v/>
      </c>
      <c r="T6385" s="57" t="str">
        <f t="shared" si="298"/>
        <v/>
      </c>
      <c r="U6385" s="58" t="str">
        <f t="shared" si="299"/>
        <v/>
      </c>
    </row>
    <row r="6386" spans="19:21" ht="23.25" customHeight="1" x14ac:dyDescent="0.35">
      <c r="S6386" s="56" t="str">
        <f t="shared" si="297"/>
        <v/>
      </c>
      <c r="T6386" s="57" t="str">
        <f t="shared" si="298"/>
        <v/>
      </c>
      <c r="U6386" s="58" t="str">
        <f t="shared" si="299"/>
        <v/>
      </c>
    </row>
    <row r="6387" spans="19:21" ht="23.25" customHeight="1" x14ac:dyDescent="0.35">
      <c r="S6387" s="56" t="str">
        <f t="shared" si="297"/>
        <v/>
      </c>
      <c r="T6387" s="57" t="str">
        <f t="shared" si="298"/>
        <v/>
      </c>
      <c r="U6387" s="58" t="str">
        <f t="shared" si="299"/>
        <v/>
      </c>
    </row>
    <row r="6388" spans="19:21" ht="23.25" customHeight="1" x14ac:dyDescent="0.35">
      <c r="S6388" s="56" t="str">
        <f t="shared" si="297"/>
        <v/>
      </c>
      <c r="T6388" s="57" t="str">
        <f t="shared" si="298"/>
        <v/>
      </c>
      <c r="U6388" s="58" t="str">
        <f t="shared" si="299"/>
        <v/>
      </c>
    </row>
    <row r="6389" spans="19:21" ht="23.25" customHeight="1" x14ac:dyDescent="0.35">
      <c r="S6389" s="56" t="str">
        <f t="shared" si="297"/>
        <v/>
      </c>
      <c r="T6389" s="57" t="str">
        <f t="shared" si="298"/>
        <v/>
      </c>
      <c r="U6389" s="58" t="str">
        <f t="shared" si="299"/>
        <v/>
      </c>
    </row>
    <row r="6390" spans="19:21" ht="23.25" customHeight="1" x14ac:dyDescent="0.35">
      <c r="S6390" s="56" t="str">
        <f t="shared" si="297"/>
        <v/>
      </c>
      <c r="T6390" s="57" t="str">
        <f t="shared" si="298"/>
        <v/>
      </c>
      <c r="U6390" s="58" t="str">
        <f t="shared" si="299"/>
        <v/>
      </c>
    </row>
    <row r="6391" spans="19:21" ht="23.25" customHeight="1" x14ac:dyDescent="0.35">
      <c r="S6391" s="56" t="str">
        <f t="shared" si="297"/>
        <v/>
      </c>
      <c r="T6391" s="57" t="str">
        <f t="shared" si="298"/>
        <v/>
      </c>
      <c r="U6391" s="58" t="str">
        <f t="shared" si="299"/>
        <v/>
      </c>
    </row>
    <row r="6392" spans="19:21" ht="23.25" customHeight="1" x14ac:dyDescent="0.35">
      <c r="S6392" s="56" t="str">
        <f t="shared" si="297"/>
        <v/>
      </c>
      <c r="T6392" s="57" t="str">
        <f t="shared" si="298"/>
        <v/>
      </c>
      <c r="U6392" s="58" t="str">
        <f t="shared" si="299"/>
        <v/>
      </c>
    </row>
    <row r="6393" spans="19:21" ht="23.25" customHeight="1" x14ac:dyDescent="0.35">
      <c r="S6393" s="56" t="str">
        <f t="shared" si="297"/>
        <v/>
      </c>
      <c r="T6393" s="57" t="str">
        <f t="shared" si="298"/>
        <v/>
      </c>
      <c r="U6393" s="58" t="str">
        <f t="shared" si="299"/>
        <v/>
      </c>
    </row>
    <row r="6394" spans="19:21" ht="23.25" customHeight="1" x14ac:dyDescent="0.35">
      <c r="S6394" s="56" t="str">
        <f t="shared" si="297"/>
        <v/>
      </c>
      <c r="T6394" s="57" t="str">
        <f t="shared" si="298"/>
        <v/>
      </c>
      <c r="U6394" s="58" t="str">
        <f t="shared" si="299"/>
        <v/>
      </c>
    </row>
    <row r="6395" spans="19:21" ht="23.25" customHeight="1" x14ac:dyDescent="0.35">
      <c r="S6395" s="56" t="str">
        <f t="shared" si="297"/>
        <v/>
      </c>
      <c r="T6395" s="57" t="str">
        <f t="shared" si="298"/>
        <v/>
      </c>
      <c r="U6395" s="58" t="str">
        <f t="shared" si="299"/>
        <v/>
      </c>
    </row>
    <row r="6396" spans="19:21" ht="23.25" customHeight="1" x14ac:dyDescent="0.35">
      <c r="S6396" s="56" t="str">
        <f t="shared" si="297"/>
        <v/>
      </c>
      <c r="T6396" s="57" t="str">
        <f t="shared" si="298"/>
        <v/>
      </c>
      <c r="U6396" s="58" t="str">
        <f t="shared" si="299"/>
        <v/>
      </c>
    </row>
    <row r="6397" spans="19:21" ht="23.25" customHeight="1" x14ac:dyDescent="0.35">
      <c r="S6397" s="56" t="str">
        <f t="shared" si="297"/>
        <v/>
      </c>
      <c r="T6397" s="57" t="str">
        <f t="shared" si="298"/>
        <v/>
      </c>
      <c r="U6397" s="58" t="str">
        <f t="shared" si="299"/>
        <v/>
      </c>
    </row>
    <row r="6398" spans="19:21" ht="23.25" customHeight="1" x14ac:dyDescent="0.35">
      <c r="S6398" s="56" t="str">
        <f t="shared" si="297"/>
        <v/>
      </c>
      <c r="T6398" s="57" t="str">
        <f t="shared" si="298"/>
        <v/>
      </c>
      <c r="U6398" s="58" t="str">
        <f t="shared" si="299"/>
        <v/>
      </c>
    </row>
    <row r="6399" spans="19:21" ht="23.25" customHeight="1" x14ac:dyDescent="0.35">
      <c r="S6399" s="56" t="str">
        <f t="shared" si="297"/>
        <v/>
      </c>
      <c r="T6399" s="57" t="str">
        <f t="shared" si="298"/>
        <v/>
      </c>
      <c r="U6399" s="58" t="str">
        <f t="shared" si="299"/>
        <v/>
      </c>
    </row>
    <row r="6400" spans="19:21" ht="23.25" customHeight="1" x14ac:dyDescent="0.35">
      <c r="S6400" s="56" t="str">
        <f t="shared" si="297"/>
        <v/>
      </c>
      <c r="T6400" s="57" t="str">
        <f t="shared" si="298"/>
        <v/>
      </c>
      <c r="U6400" s="58" t="str">
        <f t="shared" si="299"/>
        <v/>
      </c>
    </row>
    <row r="6401" spans="19:21" ht="23.25" customHeight="1" x14ac:dyDescent="0.35">
      <c r="S6401" s="56" t="str">
        <f t="shared" si="297"/>
        <v/>
      </c>
      <c r="T6401" s="57" t="str">
        <f t="shared" si="298"/>
        <v/>
      </c>
      <c r="U6401" s="58" t="str">
        <f t="shared" si="299"/>
        <v/>
      </c>
    </row>
    <row r="6402" spans="19:21" ht="23.25" customHeight="1" x14ac:dyDescent="0.35">
      <c r="S6402" s="56" t="str">
        <f t="shared" si="297"/>
        <v/>
      </c>
      <c r="T6402" s="57" t="str">
        <f t="shared" si="298"/>
        <v/>
      </c>
      <c r="U6402" s="58" t="str">
        <f t="shared" si="299"/>
        <v/>
      </c>
    </row>
    <row r="6403" spans="19:21" ht="23.25" customHeight="1" x14ac:dyDescent="0.35">
      <c r="S6403" s="56" t="str">
        <f t="shared" si="297"/>
        <v/>
      </c>
      <c r="T6403" s="57" t="str">
        <f t="shared" si="298"/>
        <v/>
      </c>
      <c r="U6403" s="58" t="str">
        <f t="shared" si="299"/>
        <v/>
      </c>
    </row>
    <row r="6404" spans="19:21" ht="23.25" customHeight="1" x14ac:dyDescent="0.35">
      <c r="S6404" s="56" t="str">
        <f t="shared" si="297"/>
        <v/>
      </c>
      <c r="T6404" s="57" t="str">
        <f t="shared" si="298"/>
        <v/>
      </c>
      <c r="U6404" s="58" t="str">
        <f t="shared" si="299"/>
        <v/>
      </c>
    </row>
    <row r="6405" spans="19:21" ht="23.25" customHeight="1" x14ac:dyDescent="0.35">
      <c r="S6405" s="56" t="str">
        <f t="shared" si="297"/>
        <v/>
      </c>
      <c r="T6405" s="57" t="str">
        <f t="shared" si="298"/>
        <v/>
      </c>
      <c r="U6405" s="58" t="str">
        <f t="shared" si="299"/>
        <v/>
      </c>
    </row>
    <row r="6406" spans="19:21" ht="23.25" customHeight="1" x14ac:dyDescent="0.35">
      <c r="S6406" s="56" t="str">
        <f t="shared" si="297"/>
        <v/>
      </c>
      <c r="T6406" s="57" t="str">
        <f t="shared" si="298"/>
        <v/>
      </c>
      <c r="U6406" s="58" t="str">
        <f t="shared" si="299"/>
        <v/>
      </c>
    </row>
    <row r="6407" spans="19:21" ht="23.25" customHeight="1" x14ac:dyDescent="0.35">
      <c r="S6407" s="56" t="str">
        <f t="shared" si="297"/>
        <v/>
      </c>
      <c r="T6407" s="57" t="str">
        <f t="shared" si="298"/>
        <v/>
      </c>
      <c r="U6407" s="58" t="str">
        <f t="shared" si="299"/>
        <v/>
      </c>
    </row>
    <row r="6408" spans="19:21" ht="23.25" customHeight="1" x14ac:dyDescent="0.35">
      <c r="S6408" s="56" t="str">
        <f t="shared" si="297"/>
        <v/>
      </c>
      <c r="T6408" s="57" t="str">
        <f t="shared" si="298"/>
        <v/>
      </c>
      <c r="U6408" s="58" t="str">
        <f t="shared" si="299"/>
        <v/>
      </c>
    </row>
    <row r="6409" spans="19:21" ht="23.25" customHeight="1" x14ac:dyDescent="0.35">
      <c r="S6409" s="56" t="str">
        <f t="shared" ref="S6409:S6472" si="300">IF(A6409="","",A$5-A6409)</f>
        <v/>
      </c>
      <c r="T6409" s="57" t="str">
        <f t="shared" ref="T6409:T6472" si="301">IF(S6409="","",IF(S6409&lt;4,"0-3 Days",IF(S6409&lt;31,"4-30 Days",IF(S6409&lt;61,"31-60 Days",IF(S6409&lt;=90,"61-90 Days",IF(S6409&gt;90,"Above 90 Days","0"))))))</f>
        <v/>
      </c>
      <c r="U6409" s="58" t="str">
        <f t="shared" ref="U6409:U6472" si="302">IF(C6409="","",IF(C6409&gt;0,IF(S6409&lt;30,"Normal",IF(S6409&lt;60,"Especially Mentioned",IF(S6409&lt;90,"Substandard",IF(S6409&lt;=180,"Doubtful",IF(S6409&gt;180,"Loss","0"))))),"Not Applicable"))</f>
        <v/>
      </c>
    </row>
    <row r="6410" spans="19:21" ht="23.25" customHeight="1" x14ac:dyDescent="0.35">
      <c r="S6410" s="56" t="str">
        <f t="shared" si="300"/>
        <v/>
      </c>
      <c r="T6410" s="57" t="str">
        <f t="shared" si="301"/>
        <v/>
      </c>
      <c r="U6410" s="58" t="str">
        <f t="shared" si="302"/>
        <v/>
      </c>
    </row>
    <row r="6411" spans="19:21" ht="23.25" customHeight="1" x14ac:dyDescent="0.35">
      <c r="S6411" s="56" t="str">
        <f t="shared" si="300"/>
        <v/>
      </c>
      <c r="T6411" s="57" t="str">
        <f t="shared" si="301"/>
        <v/>
      </c>
      <c r="U6411" s="58" t="str">
        <f t="shared" si="302"/>
        <v/>
      </c>
    </row>
    <row r="6412" spans="19:21" ht="23.25" customHeight="1" x14ac:dyDescent="0.35">
      <c r="S6412" s="56" t="str">
        <f t="shared" si="300"/>
        <v/>
      </c>
      <c r="T6412" s="57" t="str">
        <f t="shared" si="301"/>
        <v/>
      </c>
      <c r="U6412" s="58" t="str">
        <f t="shared" si="302"/>
        <v/>
      </c>
    </row>
    <row r="6413" spans="19:21" ht="23.25" customHeight="1" x14ac:dyDescent="0.35">
      <c r="S6413" s="56" t="str">
        <f t="shared" si="300"/>
        <v/>
      </c>
      <c r="T6413" s="57" t="str">
        <f t="shared" si="301"/>
        <v/>
      </c>
      <c r="U6413" s="58" t="str">
        <f t="shared" si="302"/>
        <v/>
      </c>
    </row>
    <row r="6414" spans="19:21" ht="23.25" customHeight="1" x14ac:dyDescent="0.35">
      <c r="S6414" s="56" t="str">
        <f t="shared" si="300"/>
        <v/>
      </c>
      <c r="T6414" s="57" t="str">
        <f t="shared" si="301"/>
        <v/>
      </c>
      <c r="U6414" s="58" t="str">
        <f t="shared" si="302"/>
        <v/>
      </c>
    </row>
    <row r="6415" spans="19:21" ht="23.25" customHeight="1" x14ac:dyDescent="0.35">
      <c r="S6415" s="56" t="str">
        <f t="shared" si="300"/>
        <v/>
      </c>
      <c r="T6415" s="57" t="str">
        <f t="shared" si="301"/>
        <v/>
      </c>
      <c r="U6415" s="58" t="str">
        <f t="shared" si="302"/>
        <v/>
      </c>
    </row>
    <row r="6416" spans="19:21" ht="23.25" customHeight="1" x14ac:dyDescent="0.35">
      <c r="S6416" s="56" t="str">
        <f t="shared" si="300"/>
        <v/>
      </c>
      <c r="T6416" s="57" t="str">
        <f t="shared" si="301"/>
        <v/>
      </c>
      <c r="U6416" s="58" t="str">
        <f t="shared" si="302"/>
        <v/>
      </c>
    </row>
    <row r="6417" spans="19:21" ht="23.25" customHeight="1" x14ac:dyDescent="0.35">
      <c r="S6417" s="56" t="str">
        <f t="shared" si="300"/>
        <v/>
      </c>
      <c r="T6417" s="57" t="str">
        <f t="shared" si="301"/>
        <v/>
      </c>
      <c r="U6417" s="58" t="str">
        <f t="shared" si="302"/>
        <v/>
      </c>
    </row>
    <row r="6418" spans="19:21" ht="23.25" customHeight="1" x14ac:dyDescent="0.35">
      <c r="S6418" s="56" t="str">
        <f t="shared" si="300"/>
        <v/>
      </c>
      <c r="T6418" s="57" t="str">
        <f t="shared" si="301"/>
        <v/>
      </c>
      <c r="U6418" s="58" t="str">
        <f t="shared" si="302"/>
        <v/>
      </c>
    </row>
    <row r="6419" spans="19:21" ht="23.25" customHeight="1" x14ac:dyDescent="0.35">
      <c r="S6419" s="56" t="str">
        <f t="shared" si="300"/>
        <v/>
      </c>
      <c r="T6419" s="57" t="str">
        <f t="shared" si="301"/>
        <v/>
      </c>
      <c r="U6419" s="58" t="str">
        <f t="shared" si="302"/>
        <v/>
      </c>
    </row>
    <row r="6420" spans="19:21" ht="23.25" customHeight="1" x14ac:dyDescent="0.35">
      <c r="S6420" s="56" t="str">
        <f t="shared" si="300"/>
        <v/>
      </c>
      <c r="T6420" s="57" t="str">
        <f t="shared" si="301"/>
        <v/>
      </c>
      <c r="U6420" s="58" t="str">
        <f t="shared" si="302"/>
        <v/>
      </c>
    </row>
    <row r="6421" spans="19:21" ht="23.25" customHeight="1" x14ac:dyDescent="0.35">
      <c r="S6421" s="56" t="str">
        <f t="shared" si="300"/>
        <v/>
      </c>
      <c r="T6421" s="57" t="str">
        <f t="shared" si="301"/>
        <v/>
      </c>
      <c r="U6421" s="58" t="str">
        <f t="shared" si="302"/>
        <v/>
      </c>
    </row>
    <row r="6422" spans="19:21" ht="23.25" customHeight="1" x14ac:dyDescent="0.35">
      <c r="S6422" s="56" t="str">
        <f t="shared" si="300"/>
        <v/>
      </c>
      <c r="T6422" s="57" t="str">
        <f t="shared" si="301"/>
        <v/>
      </c>
      <c r="U6422" s="58" t="str">
        <f t="shared" si="302"/>
        <v/>
      </c>
    </row>
    <row r="6423" spans="19:21" ht="23.25" customHeight="1" x14ac:dyDescent="0.35">
      <c r="S6423" s="56" t="str">
        <f t="shared" si="300"/>
        <v/>
      </c>
      <c r="T6423" s="57" t="str">
        <f t="shared" si="301"/>
        <v/>
      </c>
      <c r="U6423" s="58" t="str">
        <f t="shared" si="302"/>
        <v/>
      </c>
    </row>
    <row r="6424" spans="19:21" ht="23.25" customHeight="1" x14ac:dyDescent="0.35">
      <c r="S6424" s="56" t="str">
        <f t="shared" si="300"/>
        <v/>
      </c>
      <c r="T6424" s="57" t="str">
        <f t="shared" si="301"/>
        <v/>
      </c>
      <c r="U6424" s="58" t="str">
        <f t="shared" si="302"/>
        <v/>
      </c>
    </row>
    <row r="6425" spans="19:21" ht="23.25" customHeight="1" x14ac:dyDescent="0.35">
      <c r="S6425" s="56" t="str">
        <f t="shared" si="300"/>
        <v/>
      </c>
      <c r="T6425" s="57" t="str">
        <f t="shared" si="301"/>
        <v/>
      </c>
      <c r="U6425" s="58" t="str">
        <f t="shared" si="302"/>
        <v/>
      </c>
    </row>
    <row r="6426" spans="19:21" ht="23.25" customHeight="1" x14ac:dyDescent="0.35">
      <c r="S6426" s="56" t="str">
        <f t="shared" si="300"/>
        <v/>
      </c>
      <c r="T6426" s="57" t="str">
        <f t="shared" si="301"/>
        <v/>
      </c>
      <c r="U6426" s="58" t="str">
        <f t="shared" si="302"/>
        <v/>
      </c>
    </row>
    <row r="6427" spans="19:21" ht="23.25" customHeight="1" x14ac:dyDescent="0.35">
      <c r="S6427" s="56" t="str">
        <f t="shared" si="300"/>
        <v/>
      </c>
      <c r="T6427" s="57" t="str">
        <f t="shared" si="301"/>
        <v/>
      </c>
      <c r="U6427" s="58" t="str">
        <f t="shared" si="302"/>
        <v/>
      </c>
    </row>
    <row r="6428" spans="19:21" ht="23.25" customHeight="1" x14ac:dyDescent="0.35">
      <c r="S6428" s="56" t="str">
        <f t="shared" si="300"/>
        <v/>
      </c>
      <c r="T6428" s="57" t="str">
        <f t="shared" si="301"/>
        <v/>
      </c>
      <c r="U6428" s="58" t="str">
        <f t="shared" si="302"/>
        <v/>
      </c>
    </row>
    <row r="6429" spans="19:21" ht="23.25" customHeight="1" x14ac:dyDescent="0.35">
      <c r="S6429" s="56" t="str">
        <f t="shared" si="300"/>
        <v/>
      </c>
      <c r="T6429" s="57" t="str">
        <f t="shared" si="301"/>
        <v/>
      </c>
      <c r="U6429" s="58" t="str">
        <f t="shared" si="302"/>
        <v/>
      </c>
    </row>
    <row r="6430" spans="19:21" ht="23.25" customHeight="1" x14ac:dyDescent="0.35">
      <c r="S6430" s="56" t="str">
        <f t="shared" si="300"/>
        <v/>
      </c>
      <c r="T6430" s="57" t="str">
        <f t="shared" si="301"/>
        <v/>
      </c>
      <c r="U6430" s="58" t="str">
        <f t="shared" si="302"/>
        <v/>
      </c>
    </row>
    <row r="6431" spans="19:21" ht="23.25" customHeight="1" x14ac:dyDescent="0.35">
      <c r="S6431" s="56" t="str">
        <f t="shared" si="300"/>
        <v/>
      </c>
      <c r="T6431" s="57" t="str">
        <f t="shared" si="301"/>
        <v/>
      </c>
      <c r="U6431" s="58" t="str">
        <f t="shared" si="302"/>
        <v/>
      </c>
    </row>
    <row r="6432" spans="19:21" ht="23.25" customHeight="1" x14ac:dyDescent="0.35">
      <c r="S6432" s="56" t="str">
        <f t="shared" si="300"/>
        <v/>
      </c>
      <c r="T6432" s="57" t="str">
        <f t="shared" si="301"/>
        <v/>
      </c>
      <c r="U6432" s="58" t="str">
        <f t="shared" si="302"/>
        <v/>
      </c>
    </row>
    <row r="6433" spans="19:21" ht="23.25" customHeight="1" x14ac:dyDescent="0.35">
      <c r="S6433" s="56" t="str">
        <f t="shared" si="300"/>
        <v/>
      </c>
      <c r="T6433" s="57" t="str">
        <f t="shared" si="301"/>
        <v/>
      </c>
      <c r="U6433" s="58" t="str">
        <f t="shared" si="302"/>
        <v/>
      </c>
    </row>
    <row r="6434" spans="19:21" ht="23.25" customHeight="1" x14ac:dyDescent="0.35">
      <c r="S6434" s="56" t="str">
        <f t="shared" si="300"/>
        <v/>
      </c>
      <c r="T6434" s="57" t="str">
        <f t="shared" si="301"/>
        <v/>
      </c>
      <c r="U6434" s="58" t="str">
        <f t="shared" si="302"/>
        <v/>
      </c>
    </row>
    <row r="6435" spans="19:21" ht="23.25" customHeight="1" x14ac:dyDescent="0.35">
      <c r="S6435" s="56" t="str">
        <f t="shared" si="300"/>
        <v/>
      </c>
      <c r="T6435" s="57" t="str">
        <f t="shared" si="301"/>
        <v/>
      </c>
      <c r="U6435" s="58" t="str">
        <f t="shared" si="302"/>
        <v/>
      </c>
    </row>
    <row r="6436" spans="19:21" ht="23.25" customHeight="1" x14ac:dyDescent="0.35">
      <c r="S6436" s="56" t="str">
        <f t="shared" si="300"/>
        <v/>
      </c>
      <c r="T6436" s="57" t="str">
        <f t="shared" si="301"/>
        <v/>
      </c>
      <c r="U6436" s="58" t="str">
        <f t="shared" si="302"/>
        <v/>
      </c>
    </row>
    <row r="6437" spans="19:21" ht="23.25" customHeight="1" x14ac:dyDescent="0.35">
      <c r="S6437" s="56" t="str">
        <f t="shared" si="300"/>
        <v/>
      </c>
      <c r="T6437" s="57" t="str">
        <f t="shared" si="301"/>
        <v/>
      </c>
      <c r="U6437" s="58" t="str">
        <f t="shared" si="302"/>
        <v/>
      </c>
    </row>
    <row r="6438" spans="19:21" ht="23.25" customHeight="1" x14ac:dyDescent="0.35">
      <c r="S6438" s="56" t="str">
        <f t="shared" si="300"/>
        <v/>
      </c>
      <c r="T6438" s="57" t="str">
        <f t="shared" si="301"/>
        <v/>
      </c>
      <c r="U6438" s="58" t="str">
        <f t="shared" si="302"/>
        <v/>
      </c>
    </row>
    <row r="6439" spans="19:21" ht="23.25" customHeight="1" x14ac:dyDescent="0.35">
      <c r="S6439" s="56" t="str">
        <f t="shared" si="300"/>
        <v/>
      </c>
      <c r="T6439" s="57" t="str">
        <f t="shared" si="301"/>
        <v/>
      </c>
      <c r="U6439" s="58" t="str">
        <f t="shared" si="302"/>
        <v/>
      </c>
    </row>
    <row r="6440" spans="19:21" ht="23.25" customHeight="1" x14ac:dyDescent="0.35">
      <c r="S6440" s="56" t="str">
        <f t="shared" si="300"/>
        <v/>
      </c>
      <c r="T6440" s="57" t="str">
        <f t="shared" si="301"/>
        <v/>
      </c>
      <c r="U6440" s="58" t="str">
        <f t="shared" si="302"/>
        <v/>
      </c>
    </row>
    <row r="6441" spans="19:21" ht="23.25" customHeight="1" x14ac:dyDescent="0.35">
      <c r="S6441" s="56" t="str">
        <f t="shared" si="300"/>
        <v/>
      </c>
      <c r="T6441" s="57" t="str">
        <f t="shared" si="301"/>
        <v/>
      </c>
      <c r="U6441" s="58" t="str">
        <f t="shared" si="302"/>
        <v/>
      </c>
    </row>
    <row r="6442" spans="19:21" ht="23.25" customHeight="1" x14ac:dyDescent="0.35">
      <c r="S6442" s="56" t="str">
        <f t="shared" si="300"/>
        <v/>
      </c>
      <c r="T6442" s="57" t="str">
        <f t="shared" si="301"/>
        <v/>
      </c>
      <c r="U6442" s="58" t="str">
        <f t="shared" si="302"/>
        <v/>
      </c>
    </row>
    <row r="6443" spans="19:21" ht="23.25" customHeight="1" x14ac:dyDescent="0.35">
      <c r="S6443" s="56" t="str">
        <f t="shared" si="300"/>
        <v/>
      </c>
      <c r="T6443" s="57" t="str">
        <f t="shared" si="301"/>
        <v/>
      </c>
      <c r="U6443" s="58" t="str">
        <f t="shared" si="302"/>
        <v/>
      </c>
    </row>
    <row r="6444" spans="19:21" ht="23.25" customHeight="1" x14ac:dyDescent="0.35">
      <c r="S6444" s="56" t="str">
        <f t="shared" si="300"/>
        <v/>
      </c>
      <c r="T6444" s="57" t="str">
        <f t="shared" si="301"/>
        <v/>
      </c>
      <c r="U6444" s="58" t="str">
        <f t="shared" si="302"/>
        <v/>
      </c>
    </row>
    <row r="6445" spans="19:21" ht="23.25" customHeight="1" x14ac:dyDescent="0.35">
      <c r="S6445" s="56" t="str">
        <f t="shared" si="300"/>
        <v/>
      </c>
      <c r="T6445" s="57" t="str">
        <f t="shared" si="301"/>
        <v/>
      </c>
      <c r="U6445" s="58" t="str">
        <f t="shared" si="302"/>
        <v/>
      </c>
    </row>
    <row r="6446" spans="19:21" ht="23.25" customHeight="1" x14ac:dyDescent="0.35">
      <c r="S6446" s="56" t="str">
        <f t="shared" si="300"/>
        <v/>
      </c>
      <c r="T6446" s="57" t="str">
        <f t="shared" si="301"/>
        <v/>
      </c>
      <c r="U6446" s="58" t="str">
        <f t="shared" si="302"/>
        <v/>
      </c>
    </row>
    <row r="6447" spans="19:21" ht="23.25" customHeight="1" x14ac:dyDescent="0.35">
      <c r="S6447" s="56" t="str">
        <f t="shared" si="300"/>
        <v/>
      </c>
      <c r="T6447" s="57" t="str">
        <f t="shared" si="301"/>
        <v/>
      </c>
      <c r="U6447" s="58" t="str">
        <f t="shared" si="302"/>
        <v/>
      </c>
    </row>
    <row r="6448" spans="19:21" ht="23.25" customHeight="1" x14ac:dyDescent="0.35">
      <c r="S6448" s="56" t="str">
        <f t="shared" si="300"/>
        <v/>
      </c>
      <c r="T6448" s="57" t="str">
        <f t="shared" si="301"/>
        <v/>
      </c>
      <c r="U6448" s="58" t="str">
        <f t="shared" si="302"/>
        <v/>
      </c>
    </row>
    <row r="6449" spans="19:21" ht="23.25" customHeight="1" x14ac:dyDescent="0.35">
      <c r="S6449" s="56" t="str">
        <f t="shared" si="300"/>
        <v/>
      </c>
      <c r="T6449" s="57" t="str">
        <f t="shared" si="301"/>
        <v/>
      </c>
      <c r="U6449" s="58" t="str">
        <f t="shared" si="302"/>
        <v/>
      </c>
    </row>
    <row r="6450" spans="19:21" ht="23.25" customHeight="1" x14ac:dyDescent="0.35">
      <c r="S6450" s="56" t="str">
        <f t="shared" si="300"/>
        <v/>
      </c>
      <c r="T6450" s="57" t="str">
        <f t="shared" si="301"/>
        <v/>
      </c>
      <c r="U6450" s="58" t="str">
        <f t="shared" si="302"/>
        <v/>
      </c>
    </row>
    <row r="6451" spans="19:21" ht="23.25" customHeight="1" x14ac:dyDescent="0.35">
      <c r="S6451" s="56" t="str">
        <f t="shared" si="300"/>
        <v/>
      </c>
      <c r="T6451" s="57" t="str">
        <f t="shared" si="301"/>
        <v/>
      </c>
      <c r="U6451" s="58" t="str">
        <f t="shared" si="302"/>
        <v/>
      </c>
    </row>
    <row r="6452" spans="19:21" ht="23.25" customHeight="1" x14ac:dyDescent="0.35">
      <c r="S6452" s="56" t="str">
        <f t="shared" si="300"/>
        <v/>
      </c>
      <c r="T6452" s="57" t="str">
        <f t="shared" si="301"/>
        <v/>
      </c>
      <c r="U6452" s="58" t="str">
        <f t="shared" si="302"/>
        <v/>
      </c>
    </row>
    <row r="6453" spans="19:21" ht="23.25" customHeight="1" x14ac:dyDescent="0.35">
      <c r="S6453" s="56" t="str">
        <f t="shared" si="300"/>
        <v/>
      </c>
      <c r="T6453" s="57" t="str">
        <f t="shared" si="301"/>
        <v/>
      </c>
      <c r="U6453" s="58" t="str">
        <f t="shared" si="302"/>
        <v/>
      </c>
    </row>
    <row r="6454" spans="19:21" ht="23.25" customHeight="1" x14ac:dyDescent="0.35">
      <c r="S6454" s="56" t="str">
        <f t="shared" si="300"/>
        <v/>
      </c>
      <c r="T6454" s="57" t="str">
        <f t="shared" si="301"/>
        <v/>
      </c>
      <c r="U6454" s="58" t="str">
        <f t="shared" si="302"/>
        <v/>
      </c>
    </row>
    <row r="6455" spans="19:21" ht="23.25" customHeight="1" x14ac:dyDescent="0.35">
      <c r="S6455" s="56" t="str">
        <f t="shared" si="300"/>
        <v/>
      </c>
      <c r="T6455" s="57" t="str">
        <f t="shared" si="301"/>
        <v/>
      </c>
      <c r="U6455" s="58" t="str">
        <f t="shared" si="302"/>
        <v/>
      </c>
    </row>
    <row r="6456" spans="19:21" ht="23.25" customHeight="1" x14ac:dyDescent="0.35">
      <c r="S6456" s="56" t="str">
        <f t="shared" si="300"/>
        <v/>
      </c>
      <c r="T6456" s="57" t="str">
        <f t="shared" si="301"/>
        <v/>
      </c>
      <c r="U6456" s="58" t="str">
        <f t="shared" si="302"/>
        <v/>
      </c>
    </row>
    <row r="6457" spans="19:21" ht="23.25" customHeight="1" x14ac:dyDescent="0.35">
      <c r="S6457" s="56" t="str">
        <f t="shared" si="300"/>
        <v/>
      </c>
      <c r="T6457" s="57" t="str">
        <f t="shared" si="301"/>
        <v/>
      </c>
      <c r="U6457" s="58" t="str">
        <f t="shared" si="302"/>
        <v/>
      </c>
    </row>
    <row r="6458" spans="19:21" ht="23.25" customHeight="1" x14ac:dyDescent="0.35">
      <c r="S6458" s="56" t="str">
        <f t="shared" si="300"/>
        <v/>
      </c>
      <c r="T6458" s="57" t="str">
        <f t="shared" si="301"/>
        <v/>
      </c>
      <c r="U6458" s="58" t="str">
        <f t="shared" si="302"/>
        <v/>
      </c>
    </row>
    <row r="6459" spans="19:21" ht="23.25" customHeight="1" x14ac:dyDescent="0.35">
      <c r="S6459" s="56" t="str">
        <f t="shared" si="300"/>
        <v/>
      </c>
      <c r="T6459" s="57" t="str">
        <f t="shared" si="301"/>
        <v/>
      </c>
      <c r="U6459" s="58" t="str">
        <f t="shared" si="302"/>
        <v/>
      </c>
    </row>
    <row r="6460" spans="19:21" ht="23.25" customHeight="1" x14ac:dyDescent="0.35">
      <c r="S6460" s="56" t="str">
        <f t="shared" si="300"/>
        <v/>
      </c>
      <c r="T6460" s="57" t="str">
        <f t="shared" si="301"/>
        <v/>
      </c>
      <c r="U6460" s="58" t="str">
        <f t="shared" si="302"/>
        <v/>
      </c>
    </row>
    <row r="6461" spans="19:21" ht="23.25" customHeight="1" x14ac:dyDescent="0.35">
      <c r="S6461" s="56" t="str">
        <f t="shared" si="300"/>
        <v/>
      </c>
      <c r="T6461" s="57" t="str">
        <f t="shared" si="301"/>
        <v/>
      </c>
      <c r="U6461" s="58" t="str">
        <f t="shared" si="302"/>
        <v/>
      </c>
    </row>
    <row r="6462" spans="19:21" ht="23.25" customHeight="1" x14ac:dyDescent="0.35">
      <c r="S6462" s="56" t="str">
        <f t="shared" si="300"/>
        <v/>
      </c>
      <c r="T6462" s="57" t="str">
        <f t="shared" si="301"/>
        <v/>
      </c>
      <c r="U6462" s="58" t="str">
        <f t="shared" si="302"/>
        <v/>
      </c>
    </row>
    <row r="6463" spans="19:21" ht="23.25" customHeight="1" x14ac:dyDescent="0.35">
      <c r="S6463" s="56" t="str">
        <f t="shared" si="300"/>
        <v/>
      </c>
      <c r="T6463" s="57" t="str">
        <f t="shared" si="301"/>
        <v/>
      </c>
      <c r="U6463" s="58" t="str">
        <f t="shared" si="302"/>
        <v/>
      </c>
    </row>
    <row r="6464" spans="19:21" ht="23.25" customHeight="1" x14ac:dyDescent="0.35">
      <c r="S6464" s="56" t="str">
        <f t="shared" si="300"/>
        <v/>
      </c>
      <c r="T6464" s="57" t="str">
        <f t="shared" si="301"/>
        <v/>
      </c>
      <c r="U6464" s="58" t="str">
        <f t="shared" si="302"/>
        <v/>
      </c>
    </row>
    <row r="6465" spans="19:21" ht="23.25" customHeight="1" x14ac:dyDescent="0.35">
      <c r="S6465" s="56" t="str">
        <f t="shared" si="300"/>
        <v/>
      </c>
      <c r="T6465" s="57" t="str">
        <f t="shared" si="301"/>
        <v/>
      </c>
      <c r="U6465" s="58" t="str">
        <f t="shared" si="302"/>
        <v/>
      </c>
    </row>
    <row r="6466" spans="19:21" ht="23.25" customHeight="1" x14ac:dyDescent="0.35">
      <c r="S6466" s="56" t="str">
        <f t="shared" si="300"/>
        <v/>
      </c>
      <c r="T6466" s="57" t="str">
        <f t="shared" si="301"/>
        <v/>
      </c>
      <c r="U6466" s="58" t="str">
        <f t="shared" si="302"/>
        <v/>
      </c>
    </row>
    <row r="6467" spans="19:21" ht="23.25" customHeight="1" x14ac:dyDescent="0.35">
      <c r="S6467" s="56" t="str">
        <f t="shared" si="300"/>
        <v/>
      </c>
      <c r="T6467" s="57" t="str">
        <f t="shared" si="301"/>
        <v/>
      </c>
      <c r="U6467" s="58" t="str">
        <f t="shared" si="302"/>
        <v/>
      </c>
    </row>
    <row r="6468" spans="19:21" ht="23.25" customHeight="1" x14ac:dyDescent="0.35">
      <c r="S6468" s="56" t="str">
        <f t="shared" si="300"/>
        <v/>
      </c>
      <c r="T6468" s="57" t="str">
        <f t="shared" si="301"/>
        <v/>
      </c>
      <c r="U6468" s="58" t="str">
        <f t="shared" si="302"/>
        <v/>
      </c>
    </row>
    <row r="6469" spans="19:21" ht="23.25" customHeight="1" x14ac:dyDescent="0.35">
      <c r="S6469" s="56" t="str">
        <f t="shared" si="300"/>
        <v/>
      </c>
      <c r="T6469" s="57" t="str">
        <f t="shared" si="301"/>
        <v/>
      </c>
      <c r="U6469" s="58" t="str">
        <f t="shared" si="302"/>
        <v/>
      </c>
    </row>
    <row r="6470" spans="19:21" ht="23.25" customHeight="1" x14ac:dyDescent="0.35">
      <c r="S6470" s="56" t="str">
        <f t="shared" si="300"/>
        <v/>
      </c>
      <c r="T6470" s="57" t="str">
        <f t="shared" si="301"/>
        <v/>
      </c>
      <c r="U6470" s="58" t="str">
        <f t="shared" si="302"/>
        <v/>
      </c>
    </row>
    <row r="6471" spans="19:21" ht="23.25" customHeight="1" x14ac:dyDescent="0.35">
      <c r="S6471" s="56" t="str">
        <f t="shared" si="300"/>
        <v/>
      </c>
      <c r="T6471" s="57" t="str">
        <f t="shared" si="301"/>
        <v/>
      </c>
      <c r="U6471" s="58" t="str">
        <f t="shared" si="302"/>
        <v/>
      </c>
    </row>
    <row r="6472" spans="19:21" ht="23.25" customHeight="1" x14ac:dyDescent="0.35">
      <c r="S6472" s="56" t="str">
        <f t="shared" si="300"/>
        <v/>
      </c>
      <c r="T6472" s="57" t="str">
        <f t="shared" si="301"/>
        <v/>
      </c>
      <c r="U6472" s="58" t="str">
        <f t="shared" si="302"/>
        <v/>
      </c>
    </row>
    <row r="6473" spans="19:21" ht="23.25" customHeight="1" x14ac:dyDescent="0.35">
      <c r="S6473" s="56" t="str">
        <f t="shared" ref="S6473:S6536" si="303">IF(A6473="","",A$5-A6473)</f>
        <v/>
      </c>
      <c r="T6473" s="57" t="str">
        <f t="shared" ref="T6473:T6536" si="304">IF(S6473="","",IF(S6473&lt;4,"0-3 Days",IF(S6473&lt;31,"4-30 Days",IF(S6473&lt;61,"31-60 Days",IF(S6473&lt;=90,"61-90 Days",IF(S6473&gt;90,"Above 90 Days","0"))))))</f>
        <v/>
      </c>
      <c r="U6473" s="58" t="str">
        <f t="shared" ref="U6473:U6536" si="305">IF(C6473="","",IF(C6473&gt;0,IF(S6473&lt;30,"Normal",IF(S6473&lt;60,"Especially Mentioned",IF(S6473&lt;90,"Substandard",IF(S6473&lt;=180,"Doubtful",IF(S6473&gt;180,"Loss","0"))))),"Not Applicable"))</f>
        <v/>
      </c>
    </row>
    <row r="6474" spans="19:21" ht="23.25" customHeight="1" x14ac:dyDescent="0.35">
      <c r="S6474" s="56" t="str">
        <f t="shared" si="303"/>
        <v/>
      </c>
      <c r="T6474" s="57" t="str">
        <f t="shared" si="304"/>
        <v/>
      </c>
      <c r="U6474" s="58" t="str">
        <f t="shared" si="305"/>
        <v/>
      </c>
    </row>
    <row r="6475" spans="19:21" ht="23.25" customHeight="1" x14ac:dyDescent="0.35">
      <c r="S6475" s="56" t="str">
        <f t="shared" si="303"/>
        <v/>
      </c>
      <c r="T6475" s="57" t="str">
        <f t="shared" si="304"/>
        <v/>
      </c>
      <c r="U6475" s="58" t="str">
        <f t="shared" si="305"/>
        <v/>
      </c>
    </row>
    <row r="6476" spans="19:21" ht="23.25" customHeight="1" x14ac:dyDescent="0.35">
      <c r="S6476" s="56" t="str">
        <f t="shared" si="303"/>
        <v/>
      </c>
      <c r="T6476" s="57" t="str">
        <f t="shared" si="304"/>
        <v/>
      </c>
      <c r="U6476" s="58" t="str">
        <f t="shared" si="305"/>
        <v/>
      </c>
    </row>
    <row r="6477" spans="19:21" ht="23.25" customHeight="1" x14ac:dyDescent="0.35">
      <c r="S6477" s="56" t="str">
        <f t="shared" si="303"/>
        <v/>
      </c>
      <c r="T6477" s="57" t="str">
        <f t="shared" si="304"/>
        <v/>
      </c>
      <c r="U6477" s="58" t="str">
        <f t="shared" si="305"/>
        <v/>
      </c>
    </row>
    <row r="6478" spans="19:21" ht="23.25" customHeight="1" x14ac:dyDescent="0.35">
      <c r="S6478" s="56" t="str">
        <f t="shared" si="303"/>
        <v/>
      </c>
      <c r="T6478" s="57" t="str">
        <f t="shared" si="304"/>
        <v/>
      </c>
      <c r="U6478" s="58" t="str">
        <f t="shared" si="305"/>
        <v/>
      </c>
    </row>
    <row r="6479" spans="19:21" ht="23.25" customHeight="1" x14ac:dyDescent="0.35">
      <c r="S6479" s="56" t="str">
        <f t="shared" si="303"/>
        <v/>
      </c>
      <c r="T6479" s="57" t="str">
        <f t="shared" si="304"/>
        <v/>
      </c>
      <c r="U6479" s="58" t="str">
        <f t="shared" si="305"/>
        <v/>
      </c>
    </row>
    <row r="6480" spans="19:21" ht="23.25" customHeight="1" x14ac:dyDescent="0.35">
      <c r="S6480" s="56" t="str">
        <f t="shared" si="303"/>
        <v/>
      </c>
      <c r="T6480" s="57" t="str">
        <f t="shared" si="304"/>
        <v/>
      </c>
      <c r="U6480" s="58" t="str">
        <f t="shared" si="305"/>
        <v/>
      </c>
    </row>
    <row r="6481" spans="19:21" ht="23.25" customHeight="1" x14ac:dyDescent="0.35">
      <c r="S6481" s="56" t="str">
        <f t="shared" si="303"/>
        <v/>
      </c>
      <c r="T6481" s="57" t="str">
        <f t="shared" si="304"/>
        <v/>
      </c>
      <c r="U6481" s="58" t="str">
        <f t="shared" si="305"/>
        <v/>
      </c>
    </row>
    <row r="6482" spans="19:21" ht="23.25" customHeight="1" x14ac:dyDescent="0.35">
      <c r="S6482" s="56" t="str">
        <f t="shared" si="303"/>
        <v/>
      </c>
      <c r="T6482" s="57" t="str">
        <f t="shared" si="304"/>
        <v/>
      </c>
      <c r="U6482" s="58" t="str">
        <f t="shared" si="305"/>
        <v/>
      </c>
    </row>
    <row r="6483" spans="19:21" ht="23.25" customHeight="1" x14ac:dyDescent="0.35">
      <c r="S6483" s="56" t="str">
        <f t="shared" si="303"/>
        <v/>
      </c>
      <c r="T6483" s="57" t="str">
        <f t="shared" si="304"/>
        <v/>
      </c>
      <c r="U6483" s="58" t="str">
        <f t="shared" si="305"/>
        <v/>
      </c>
    </row>
    <row r="6484" spans="19:21" ht="23.25" customHeight="1" x14ac:dyDescent="0.35">
      <c r="S6484" s="56" t="str">
        <f t="shared" si="303"/>
        <v/>
      </c>
      <c r="T6484" s="57" t="str">
        <f t="shared" si="304"/>
        <v/>
      </c>
      <c r="U6484" s="58" t="str">
        <f t="shared" si="305"/>
        <v/>
      </c>
    </row>
    <row r="6485" spans="19:21" ht="23.25" customHeight="1" x14ac:dyDescent="0.35">
      <c r="S6485" s="56" t="str">
        <f t="shared" si="303"/>
        <v/>
      </c>
      <c r="T6485" s="57" t="str">
        <f t="shared" si="304"/>
        <v/>
      </c>
      <c r="U6485" s="58" t="str">
        <f t="shared" si="305"/>
        <v/>
      </c>
    </row>
    <row r="6486" spans="19:21" ht="23.25" customHeight="1" x14ac:dyDescent="0.35">
      <c r="S6486" s="56" t="str">
        <f t="shared" si="303"/>
        <v/>
      </c>
      <c r="T6486" s="57" t="str">
        <f t="shared" si="304"/>
        <v/>
      </c>
      <c r="U6486" s="58" t="str">
        <f t="shared" si="305"/>
        <v/>
      </c>
    </row>
    <row r="6487" spans="19:21" ht="23.25" customHeight="1" x14ac:dyDescent="0.35">
      <c r="S6487" s="56" t="str">
        <f t="shared" si="303"/>
        <v/>
      </c>
      <c r="T6487" s="57" t="str">
        <f t="shared" si="304"/>
        <v/>
      </c>
      <c r="U6487" s="58" t="str">
        <f t="shared" si="305"/>
        <v/>
      </c>
    </row>
    <row r="6488" spans="19:21" ht="23.25" customHeight="1" x14ac:dyDescent="0.35">
      <c r="S6488" s="56" t="str">
        <f t="shared" si="303"/>
        <v/>
      </c>
      <c r="T6488" s="57" t="str">
        <f t="shared" si="304"/>
        <v/>
      </c>
      <c r="U6488" s="58" t="str">
        <f t="shared" si="305"/>
        <v/>
      </c>
    </row>
    <row r="6489" spans="19:21" ht="23.25" customHeight="1" x14ac:dyDescent="0.35">
      <c r="S6489" s="56" t="str">
        <f t="shared" si="303"/>
        <v/>
      </c>
      <c r="T6489" s="57" t="str">
        <f t="shared" si="304"/>
        <v/>
      </c>
      <c r="U6489" s="58" t="str">
        <f t="shared" si="305"/>
        <v/>
      </c>
    </row>
    <row r="6490" spans="19:21" ht="23.25" customHeight="1" x14ac:dyDescent="0.35">
      <c r="S6490" s="56" t="str">
        <f t="shared" si="303"/>
        <v/>
      </c>
      <c r="T6490" s="57" t="str">
        <f t="shared" si="304"/>
        <v/>
      </c>
      <c r="U6490" s="58" t="str">
        <f t="shared" si="305"/>
        <v/>
      </c>
    </row>
    <row r="6491" spans="19:21" ht="23.25" customHeight="1" x14ac:dyDescent="0.35">
      <c r="S6491" s="56" t="str">
        <f t="shared" si="303"/>
        <v/>
      </c>
      <c r="T6491" s="57" t="str">
        <f t="shared" si="304"/>
        <v/>
      </c>
      <c r="U6491" s="58" t="str">
        <f t="shared" si="305"/>
        <v/>
      </c>
    </row>
    <row r="6492" spans="19:21" ht="23.25" customHeight="1" x14ac:dyDescent="0.35">
      <c r="S6492" s="56" t="str">
        <f t="shared" si="303"/>
        <v/>
      </c>
      <c r="T6492" s="57" t="str">
        <f t="shared" si="304"/>
        <v/>
      </c>
      <c r="U6492" s="58" t="str">
        <f t="shared" si="305"/>
        <v/>
      </c>
    </row>
    <row r="6493" spans="19:21" ht="23.25" customHeight="1" x14ac:dyDescent="0.35">
      <c r="S6493" s="56" t="str">
        <f t="shared" si="303"/>
        <v/>
      </c>
      <c r="T6493" s="57" t="str">
        <f t="shared" si="304"/>
        <v/>
      </c>
      <c r="U6493" s="58" t="str">
        <f t="shared" si="305"/>
        <v/>
      </c>
    </row>
    <row r="6494" spans="19:21" ht="23.25" customHeight="1" x14ac:dyDescent="0.35">
      <c r="S6494" s="56" t="str">
        <f t="shared" si="303"/>
        <v/>
      </c>
      <c r="T6494" s="57" t="str">
        <f t="shared" si="304"/>
        <v/>
      </c>
      <c r="U6494" s="58" t="str">
        <f t="shared" si="305"/>
        <v/>
      </c>
    </row>
    <row r="6495" spans="19:21" ht="23.25" customHeight="1" x14ac:dyDescent="0.35">
      <c r="S6495" s="56" t="str">
        <f t="shared" si="303"/>
        <v/>
      </c>
      <c r="T6495" s="57" t="str">
        <f t="shared" si="304"/>
        <v/>
      </c>
      <c r="U6495" s="58" t="str">
        <f t="shared" si="305"/>
        <v/>
      </c>
    </row>
    <row r="6496" spans="19:21" ht="23.25" customHeight="1" x14ac:dyDescent="0.35">
      <c r="S6496" s="56" t="str">
        <f t="shared" si="303"/>
        <v/>
      </c>
      <c r="T6496" s="57" t="str">
        <f t="shared" si="304"/>
        <v/>
      </c>
      <c r="U6496" s="58" t="str">
        <f t="shared" si="305"/>
        <v/>
      </c>
    </row>
    <row r="6497" spans="19:21" ht="23.25" customHeight="1" x14ac:dyDescent="0.35">
      <c r="S6497" s="56" t="str">
        <f t="shared" si="303"/>
        <v/>
      </c>
      <c r="T6497" s="57" t="str">
        <f t="shared" si="304"/>
        <v/>
      </c>
      <c r="U6497" s="58" t="str">
        <f t="shared" si="305"/>
        <v/>
      </c>
    </row>
    <row r="6498" spans="19:21" ht="23.25" customHeight="1" x14ac:dyDescent="0.35">
      <c r="S6498" s="56" t="str">
        <f t="shared" si="303"/>
        <v/>
      </c>
      <c r="T6498" s="57" t="str">
        <f t="shared" si="304"/>
        <v/>
      </c>
      <c r="U6498" s="58" t="str">
        <f t="shared" si="305"/>
        <v/>
      </c>
    </row>
    <row r="6499" spans="19:21" ht="23.25" customHeight="1" x14ac:dyDescent="0.35">
      <c r="S6499" s="56" t="str">
        <f t="shared" si="303"/>
        <v/>
      </c>
      <c r="T6499" s="57" t="str">
        <f t="shared" si="304"/>
        <v/>
      </c>
      <c r="U6499" s="58" t="str">
        <f t="shared" si="305"/>
        <v/>
      </c>
    </row>
    <row r="6500" spans="19:21" ht="23.25" customHeight="1" x14ac:dyDescent="0.35">
      <c r="S6500" s="56" t="str">
        <f t="shared" si="303"/>
        <v/>
      </c>
      <c r="T6500" s="57" t="str">
        <f t="shared" si="304"/>
        <v/>
      </c>
      <c r="U6500" s="58" t="str">
        <f t="shared" si="305"/>
        <v/>
      </c>
    </row>
    <row r="6501" spans="19:21" ht="23.25" customHeight="1" x14ac:dyDescent="0.35">
      <c r="S6501" s="56" t="str">
        <f t="shared" si="303"/>
        <v/>
      </c>
      <c r="T6501" s="57" t="str">
        <f t="shared" si="304"/>
        <v/>
      </c>
      <c r="U6501" s="58" t="str">
        <f t="shared" si="305"/>
        <v/>
      </c>
    </row>
    <row r="6502" spans="19:21" ht="23.25" customHeight="1" x14ac:dyDescent="0.35">
      <c r="S6502" s="56" t="str">
        <f t="shared" si="303"/>
        <v/>
      </c>
      <c r="T6502" s="57" t="str">
        <f t="shared" si="304"/>
        <v/>
      </c>
      <c r="U6502" s="58" t="str">
        <f t="shared" si="305"/>
        <v/>
      </c>
    </row>
    <row r="6503" spans="19:21" ht="23.25" customHeight="1" x14ac:dyDescent="0.35">
      <c r="S6503" s="56" t="str">
        <f t="shared" si="303"/>
        <v/>
      </c>
      <c r="T6503" s="57" t="str">
        <f t="shared" si="304"/>
        <v/>
      </c>
      <c r="U6503" s="58" t="str">
        <f t="shared" si="305"/>
        <v/>
      </c>
    </row>
    <row r="6504" spans="19:21" ht="23.25" customHeight="1" x14ac:dyDescent="0.35">
      <c r="S6504" s="56" t="str">
        <f t="shared" si="303"/>
        <v/>
      </c>
      <c r="T6504" s="57" t="str">
        <f t="shared" si="304"/>
        <v/>
      </c>
      <c r="U6504" s="58" t="str">
        <f t="shared" si="305"/>
        <v/>
      </c>
    </row>
    <row r="6505" spans="19:21" ht="23.25" customHeight="1" x14ac:dyDescent="0.35">
      <c r="S6505" s="56" t="str">
        <f t="shared" si="303"/>
        <v/>
      </c>
      <c r="T6505" s="57" t="str">
        <f t="shared" si="304"/>
        <v/>
      </c>
      <c r="U6505" s="58" t="str">
        <f t="shared" si="305"/>
        <v/>
      </c>
    </row>
    <row r="6506" spans="19:21" ht="23.25" customHeight="1" x14ac:dyDescent="0.35">
      <c r="S6506" s="56" t="str">
        <f t="shared" si="303"/>
        <v/>
      </c>
      <c r="T6506" s="57" t="str">
        <f t="shared" si="304"/>
        <v/>
      </c>
      <c r="U6506" s="58" t="str">
        <f t="shared" si="305"/>
        <v/>
      </c>
    </row>
    <row r="6507" spans="19:21" ht="23.25" customHeight="1" x14ac:dyDescent="0.35">
      <c r="S6507" s="56" t="str">
        <f t="shared" si="303"/>
        <v/>
      </c>
      <c r="T6507" s="57" t="str">
        <f t="shared" si="304"/>
        <v/>
      </c>
      <c r="U6507" s="58" t="str">
        <f t="shared" si="305"/>
        <v/>
      </c>
    </row>
    <row r="6508" spans="19:21" ht="23.25" customHeight="1" x14ac:dyDescent="0.35">
      <c r="S6508" s="56" t="str">
        <f t="shared" si="303"/>
        <v/>
      </c>
      <c r="T6508" s="57" t="str">
        <f t="shared" si="304"/>
        <v/>
      </c>
      <c r="U6508" s="58" t="str">
        <f t="shared" si="305"/>
        <v/>
      </c>
    </row>
    <row r="6509" spans="19:21" ht="23.25" customHeight="1" x14ac:dyDescent="0.35">
      <c r="S6509" s="56" t="str">
        <f t="shared" si="303"/>
        <v/>
      </c>
      <c r="T6509" s="57" t="str">
        <f t="shared" si="304"/>
        <v/>
      </c>
      <c r="U6509" s="58" t="str">
        <f t="shared" si="305"/>
        <v/>
      </c>
    </row>
    <row r="6510" spans="19:21" ht="23.25" customHeight="1" x14ac:dyDescent="0.35">
      <c r="S6510" s="56" t="str">
        <f t="shared" si="303"/>
        <v/>
      </c>
      <c r="T6510" s="57" t="str">
        <f t="shared" si="304"/>
        <v/>
      </c>
      <c r="U6510" s="58" t="str">
        <f t="shared" si="305"/>
        <v/>
      </c>
    </row>
    <row r="6511" spans="19:21" ht="23.25" customHeight="1" x14ac:dyDescent="0.35">
      <c r="S6511" s="56" t="str">
        <f t="shared" si="303"/>
        <v/>
      </c>
      <c r="T6511" s="57" t="str">
        <f t="shared" si="304"/>
        <v/>
      </c>
      <c r="U6511" s="58" t="str">
        <f t="shared" si="305"/>
        <v/>
      </c>
    </row>
    <row r="6512" spans="19:21" ht="23.25" customHeight="1" x14ac:dyDescent="0.35">
      <c r="S6512" s="56" t="str">
        <f t="shared" si="303"/>
        <v/>
      </c>
      <c r="T6512" s="57" t="str">
        <f t="shared" si="304"/>
        <v/>
      </c>
      <c r="U6512" s="58" t="str">
        <f t="shared" si="305"/>
        <v/>
      </c>
    </row>
    <row r="6513" spans="19:21" ht="23.25" customHeight="1" x14ac:dyDescent="0.35">
      <c r="S6513" s="56" t="str">
        <f t="shared" si="303"/>
        <v/>
      </c>
      <c r="T6513" s="57" t="str">
        <f t="shared" si="304"/>
        <v/>
      </c>
      <c r="U6513" s="58" t="str">
        <f t="shared" si="305"/>
        <v/>
      </c>
    </row>
    <row r="6514" spans="19:21" ht="23.25" customHeight="1" x14ac:dyDescent="0.35">
      <c r="S6514" s="56" t="str">
        <f t="shared" si="303"/>
        <v/>
      </c>
      <c r="T6514" s="57" t="str">
        <f t="shared" si="304"/>
        <v/>
      </c>
      <c r="U6514" s="58" t="str">
        <f t="shared" si="305"/>
        <v/>
      </c>
    </row>
    <row r="6515" spans="19:21" ht="23.25" customHeight="1" x14ac:dyDescent="0.35">
      <c r="S6515" s="56" t="str">
        <f t="shared" si="303"/>
        <v/>
      </c>
      <c r="T6515" s="57" t="str">
        <f t="shared" si="304"/>
        <v/>
      </c>
      <c r="U6515" s="58" t="str">
        <f t="shared" si="305"/>
        <v/>
      </c>
    </row>
    <row r="6516" spans="19:21" ht="23.25" customHeight="1" x14ac:dyDescent="0.35">
      <c r="S6516" s="56" t="str">
        <f t="shared" si="303"/>
        <v/>
      </c>
      <c r="T6516" s="57" t="str">
        <f t="shared" si="304"/>
        <v/>
      </c>
      <c r="U6516" s="58" t="str">
        <f t="shared" si="305"/>
        <v/>
      </c>
    </row>
    <row r="6517" spans="19:21" ht="23.25" customHeight="1" x14ac:dyDescent="0.35">
      <c r="S6517" s="56" t="str">
        <f t="shared" si="303"/>
        <v/>
      </c>
      <c r="T6517" s="57" t="str">
        <f t="shared" si="304"/>
        <v/>
      </c>
      <c r="U6517" s="58" t="str">
        <f t="shared" si="305"/>
        <v/>
      </c>
    </row>
    <row r="6518" spans="19:21" ht="23.25" customHeight="1" x14ac:dyDescent="0.35">
      <c r="S6518" s="56" t="str">
        <f t="shared" si="303"/>
        <v/>
      </c>
      <c r="T6518" s="57" t="str">
        <f t="shared" si="304"/>
        <v/>
      </c>
      <c r="U6518" s="58" t="str">
        <f t="shared" si="305"/>
        <v/>
      </c>
    </row>
    <row r="6519" spans="19:21" ht="23.25" customHeight="1" x14ac:dyDescent="0.35">
      <c r="S6519" s="56" t="str">
        <f t="shared" si="303"/>
        <v/>
      </c>
      <c r="T6519" s="57" t="str">
        <f t="shared" si="304"/>
        <v/>
      </c>
      <c r="U6519" s="58" t="str">
        <f t="shared" si="305"/>
        <v/>
      </c>
    </row>
    <row r="6520" spans="19:21" ht="23.25" customHeight="1" x14ac:dyDescent="0.35">
      <c r="S6520" s="56" t="str">
        <f t="shared" si="303"/>
        <v/>
      </c>
      <c r="T6520" s="57" t="str">
        <f t="shared" si="304"/>
        <v/>
      </c>
      <c r="U6520" s="58" t="str">
        <f t="shared" si="305"/>
        <v/>
      </c>
    </row>
    <row r="6521" spans="19:21" ht="23.25" customHeight="1" x14ac:dyDescent="0.35">
      <c r="S6521" s="56" t="str">
        <f t="shared" si="303"/>
        <v/>
      </c>
      <c r="T6521" s="57" t="str">
        <f t="shared" si="304"/>
        <v/>
      </c>
      <c r="U6521" s="58" t="str">
        <f t="shared" si="305"/>
        <v/>
      </c>
    </row>
    <row r="6522" spans="19:21" ht="23.25" customHeight="1" x14ac:dyDescent="0.35">
      <c r="S6522" s="56" t="str">
        <f t="shared" si="303"/>
        <v/>
      </c>
      <c r="T6522" s="57" t="str">
        <f t="shared" si="304"/>
        <v/>
      </c>
      <c r="U6522" s="58" t="str">
        <f t="shared" si="305"/>
        <v/>
      </c>
    </row>
    <row r="6523" spans="19:21" ht="23.25" customHeight="1" x14ac:dyDescent="0.35">
      <c r="S6523" s="56" t="str">
        <f t="shared" si="303"/>
        <v/>
      </c>
      <c r="T6523" s="57" t="str">
        <f t="shared" si="304"/>
        <v/>
      </c>
      <c r="U6523" s="58" t="str">
        <f t="shared" si="305"/>
        <v/>
      </c>
    </row>
    <row r="6524" spans="19:21" ht="23.25" customHeight="1" x14ac:dyDescent="0.35">
      <c r="S6524" s="56" t="str">
        <f t="shared" si="303"/>
        <v/>
      </c>
      <c r="T6524" s="57" t="str">
        <f t="shared" si="304"/>
        <v/>
      </c>
      <c r="U6524" s="58" t="str">
        <f t="shared" si="305"/>
        <v/>
      </c>
    </row>
    <row r="6525" spans="19:21" ht="23.25" customHeight="1" x14ac:dyDescent="0.35">
      <c r="S6525" s="56" t="str">
        <f t="shared" si="303"/>
        <v/>
      </c>
      <c r="T6525" s="57" t="str">
        <f t="shared" si="304"/>
        <v/>
      </c>
      <c r="U6525" s="58" t="str">
        <f t="shared" si="305"/>
        <v/>
      </c>
    </row>
    <row r="6526" spans="19:21" ht="23.25" customHeight="1" x14ac:dyDescent="0.35">
      <c r="S6526" s="56" t="str">
        <f t="shared" si="303"/>
        <v/>
      </c>
      <c r="T6526" s="57" t="str">
        <f t="shared" si="304"/>
        <v/>
      </c>
      <c r="U6526" s="58" t="str">
        <f t="shared" si="305"/>
        <v/>
      </c>
    </row>
    <row r="6527" spans="19:21" ht="23.25" customHeight="1" x14ac:dyDescent="0.35">
      <c r="S6527" s="56" t="str">
        <f t="shared" si="303"/>
        <v/>
      </c>
      <c r="T6527" s="57" t="str">
        <f t="shared" si="304"/>
        <v/>
      </c>
      <c r="U6527" s="58" t="str">
        <f t="shared" si="305"/>
        <v/>
      </c>
    </row>
    <row r="6528" spans="19:21" ht="23.25" customHeight="1" x14ac:dyDescent="0.35">
      <c r="S6528" s="56" t="str">
        <f t="shared" si="303"/>
        <v/>
      </c>
      <c r="T6528" s="57" t="str">
        <f t="shared" si="304"/>
        <v/>
      </c>
      <c r="U6528" s="58" t="str">
        <f t="shared" si="305"/>
        <v/>
      </c>
    </row>
    <row r="6529" spans="19:21" ht="23.25" customHeight="1" x14ac:dyDescent="0.35">
      <c r="S6529" s="56" t="str">
        <f t="shared" si="303"/>
        <v/>
      </c>
      <c r="T6529" s="57" t="str">
        <f t="shared" si="304"/>
        <v/>
      </c>
      <c r="U6529" s="58" t="str">
        <f t="shared" si="305"/>
        <v/>
      </c>
    </row>
    <row r="6530" spans="19:21" ht="23.25" customHeight="1" x14ac:dyDescent="0.35">
      <c r="S6530" s="56" t="str">
        <f t="shared" si="303"/>
        <v/>
      </c>
      <c r="T6530" s="57" t="str">
        <f t="shared" si="304"/>
        <v/>
      </c>
      <c r="U6530" s="58" t="str">
        <f t="shared" si="305"/>
        <v/>
      </c>
    </row>
    <row r="6531" spans="19:21" ht="23.25" customHeight="1" x14ac:dyDescent="0.35">
      <c r="S6531" s="56" t="str">
        <f t="shared" si="303"/>
        <v/>
      </c>
      <c r="T6531" s="57" t="str">
        <f t="shared" si="304"/>
        <v/>
      </c>
      <c r="U6531" s="58" t="str">
        <f t="shared" si="305"/>
        <v/>
      </c>
    </row>
    <row r="6532" spans="19:21" ht="23.25" customHeight="1" x14ac:dyDescent="0.35">
      <c r="S6532" s="56" t="str">
        <f t="shared" si="303"/>
        <v/>
      </c>
      <c r="T6532" s="57" t="str">
        <f t="shared" si="304"/>
        <v/>
      </c>
      <c r="U6532" s="58" t="str">
        <f t="shared" si="305"/>
        <v/>
      </c>
    </row>
    <row r="6533" spans="19:21" ht="23.25" customHeight="1" x14ac:dyDescent="0.35">
      <c r="S6533" s="56" t="str">
        <f t="shared" si="303"/>
        <v/>
      </c>
      <c r="T6533" s="57" t="str">
        <f t="shared" si="304"/>
        <v/>
      </c>
      <c r="U6533" s="58" t="str">
        <f t="shared" si="305"/>
        <v/>
      </c>
    </row>
    <row r="6534" spans="19:21" ht="23.25" customHeight="1" x14ac:dyDescent="0.35">
      <c r="S6534" s="56" t="str">
        <f t="shared" si="303"/>
        <v/>
      </c>
      <c r="T6534" s="57" t="str">
        <f t="shared" si="304"/>
        <v/>
      </c>
      <c r="U6534" s="58" t="str">
        <f t="shared" si="305"/>
        <v/>
      </c>
    </row>
    <row r="6535" spans="19:21" ht="23.25" customHeight="1" x14ac:dyDescent="0.35">
      <c r="S6535" s="56" t="str">
        <f t="shared" si="303"/>
        <v/>
      </c>
      <c r="T6535" s="57" t="str">
        <f t="shared" si="304"/>
        <v/>
      </c>
      <c r="U6535" s="58" t="str">
        <f t="shared" si="305"/>
        <v/>
      </c>
    </row>
    <row r="6536" spans="19:21" ht="23.25" customHeight="1" x14ac:dyDescent="0.35">
      <c r="S6536" s="56" t="str">
        <f t="shared" si="303"/>
        <v/>
      </c>
      <c r="T6536" s="57" t="str">
        <f t="shared" si="304"/>
        <v/>
      </c>
      <c r="U6536" s="58" t="str">
        <f t="shared" si="305"/>
        <v/>
      </c>
    </row>
    <row r="6537" spans="19:21" ht="23.25" customHeight="1" x14ac:dyDescent="0.35">
      <c r="S6537" s="56" t="str">
        <f t="shared" ref="S6537:S6600" si="306">IF(A6537="","",A$5-A6537)</f>
        <v/>
      </c>
      <c r="T6537" s="57" t="str">
        <f t="shared" ref="T6537:T6600" si="307">IF(S6537="","",IF(S6537&lt;4,"0-3 Days",IF(S6537&lt;31,"4-30 Days",IF(S6537&lt;61,"31-60 Days",IF(S6537&lt;=90,"61-90 Days",IF(S6537&gt;90,"Above 90 Days","0"))))))</f>
        <v/>
      </c>
      <c r="U6537" s="58" t="str">
        <f t="shared" ref="U6537:U6600" si="308">IF(C6537="","",IF(C6537&gt;0,IF(S6537&lt;30,"Normal",IF(S6537&lt;60,"Especially Mentioned",IF(S6537&lt;90,"Substandard",IF(S6537&lt;=180,"Doubtful",IF(S6537&gt;180,"Loss","0"))))),"Not Applicable"))</f>
        <v/>
      </c>
    </row>
    <row r="6538" spans="19:21" ht="23.25" customHeight="1" x14ac:dyDescent="0.35">
      <c r="S6538" s="56" t="str">
        <f t="shared" si="306"/>
        <v/>
      </c>
      <c r="T6538" s="57" t="str">
        <f t="shared" si="307"/>
        <v/>
      </c>
      <c r="U6538" s="58" t="str">
        <f t="shared" si="308"/>
        <v/>
      </c>
    </row>
    <row r="6539" spans="19:21" ht="23.25" customHeight="1" x14ac:dyDescent="0.35">
      <c r="S6539" s="56" t="str">
        <f t="shared" si="306"/>
        <v/>
      </c>
      <c r="T6539" s="57" t="str">
        <f t="shared" si="307"/>
        <v/>
      </c>
      <c r="U6539" s="58" t="str">
        <f t="shared" si="308"/>
        <v/>
      </c>
    </row>
    <row r="6540" spans="19:21" ht="23.25" customHeight="1" x14ac:dyDescent="0.35">
      <c r="S6540" s="56" t="str">
        <f t="shared" si="306"/>
        <v/>
      </c>
      <c r="T6540" s="57" t="str">
        <f t="shared" si="307"/>
        <v/>
      </c>
      <c r="U6540" s="58" t="str">
        <f t="shared" si="308"/>
        <v/>
      </c>
    </row>
    <row r="6541" spans="19:21" ht="23.25" customHeight="1" x14ac:dyDescent="0.35">
      <c r="S6541" s="56" t="str">
        <f t="shared" si="306"/>
        <v/>
      </c>
      <c r="T6541" s="57" t="str">
        <f t="shared" si="307"/>
        <v/>
      </c>
      <c r="U6541" s="58" t="str">
        <f t="shared" si="308"/>
        <v/>
      </c>
    </row>
    <row r="6542" spans="19:21" ht="23.25" customHeight="1" x14ac:dyDescent="0.35">
      <c r="S6542" s="56" t="str">
        <f t="shared" si="306"/>
        <v/>
      </c>
      <c r="T6542" s="57" t="str">
        <f t="shared" si="307"/>
        <v/>
      </c>
      <c r="U6542" s="58" t="str">
        <f t="shared" si="308"/>
        <v/>
      </c>
    </row>
    <row r="6543" spans="19:21" ht="23.25" customHeight="1" x14ac:dyDescent="0.35">
      <c r="S6543" s="56" t="str">
        <f t="shared" si="306"/>
        <v/>
      </c>
      <c r="T6543" s="57" t="str">
        <f t="shared" si="307"/>
        <v/>
      </c>
      <c r="U6543" s="58" t="str">
        <f t="shared" si="308"/>
        <v/>
      </c>
    </row>
    <row r="6544" spans="19:21" ht="23.25" customHeight="1" x14ac:dyDescent="0.35">
      <c r="S6544" s="56" t="str">
        <f t="shared" si="306"/>
        <v/>
      </c>
      <c r="T6544" s="57" t="str">
        <f t="shared" si="307"/>
        <v/>
      </c>
      <c r="U6544" s="58" t="str">
        <f t="shared" si="308"/>
        <v/>
      </c>
    </row>
    <row r="6545" spans="19:21" ht="23.25" customHeight="1" x14ac:dyDescent="0.35">
      <c r="S6545" s="56" t="str">
        <f t="shared" si="306"/>
        <v/>
      </c>
      <c r="T6545" s="57" t="str">
        <f t="shared" si="307"/>
        <v/>
      </c>
      <c r="U6545" s="58" t="str">
        <f t="shared" si="308"/>
        <v/>
      </c>
    </row>
    <row r="6546" spans="19:21" ht="23.25" customHeight="1" x14ac:dyDescent="0.35">
      <c r="S6546" s="56" t="str">
        <f t="shared" si="306"/>
        <v/>
      </c>
      <c r="T6546" s="57" t="str">
        <f t="shared" si="307"/>
        <v/>
      </c>
      <c r="U6546" s="58" t="str">
        <f t="shared" si="308"/>
        <v/>
      </c>
    </row>
    <row r="6547" spans="19:21" ht="23.25" customHeight="1" x14ac:dyDescent="0.35">
      <c r="S6547" s="56" t="str">
        <f t="shared" si="306"/>
        <v/>
      </c>
      <c r="T6547" s="57" t="str">
        <f t="shared" si="307"/>
        <v/>
      </c>
      <c r="U6547" s="58" t="str">
        <f t="shared" si="308"/>
        <v/>
      </c>
    </row>
    <row r="6548" spans="19:21" ht="23.25" customHeight="1" x14ac:dyDescent="0.35">
      <c r="S6548" s="56" t="str">
        <f t="shared" si="306"/>
        <v/>
      </c>
      <c r="T6548" s="57" t="str">
        <f t="shared" si="307"/>
        <v/>
      </c>
      <c r="U6548" s="58" t="str">
        <f t="shared" si="308"/>
        <v/>
      </c>
    </row>
    <row r="6549" spans="19:21" ht="23.25" customHeight="1" x14ac:dyDescent="0.35">
      <c r="S6549" s="56" t="str">
        <f t="shared" si="306"/>
        <v/>
      </c>
      <c r="T6549" s="57" t="str">
        <f t="shared" si="307"/>
        <v/>
      </c>
      <c r="U6549" s="58" t="str">
        <f t="shared" si="308"/>
        <v/>
      </c>
    </row>
    <row r="6550" spans="19:21" ht="23.25" customHeight="1" x14ac:dyDescent="0.35">
      <c r="S6550" s="56" t="str">
        <f t="shared" si="306"/>
        <v/>
      </c>
      <c r="T6550" s="57" t="str">
        <f t="shared" si="307"/>
        <v/>
      </c>
      <c r="U6550" s="58" t="str">
        <f t="shared" si="308"/>
        <v/>
      </c>
    </row>
    <row r="6551" spans="19:21" ht="23.25" customHeight="1" x14ac:dyDescent="0.35">
      <c r="S6551" s="56" t="str">
        <f t="shared" si="306"/>
        <v/>
      </c>
      <c r="T6551" s="57" t="str">
        <f t="shared" si="307"/>
        <v/>
      </c>
      <c r="U6551" s="58" t="str">
        <f t="shared" si="308"/>
        <v/>
      </c>
    </row>
    <row r="6552" spans="19:21" ht="23.25" customHeight="1" x14ac:dyDescent="0.35">
      <c r="S6552" s="56" t="str">
        <f t="shared" si="306"/>
        <v/>
      </c>
      <c r="T6552" s="57" t="str">
        <f t="shared" si="307"/>
        <v/>
      </c>
      <c r="U6552" s="58" t="str">
        <f t="shared" si="308"/>
        <v/>
      </c>
    </row>
    <row r="6553" spans="19:21" ht="23.25" customHeight="1" x14ac:dyDescent="0.35">
      <c r="S6553" s="56" t="str">
        <f t="shared" si="306"/>
        <v/>
      </c>
      <c r="T6553" s="57" t="str">
        <f t="shared" si="307"/>
        <v/>
      </c>
      <c r="U6553" s="58" t="str">
        <f t="shared" si="308"/>
        <v/>
      </c>
    </row>
    <row r="6554" spans="19:21" ht="23.25" customHeight="1" x14ac:dyDescent="0.35">
      <c r="S6554" s="56" t="str">
        <f t="shared" si="306"/>
        <v/>
      </c>
      <c r="T6554" s="57" t="str">
        <f t="shared" si="307"/>
        <v/>
      </c>
      <c r="U6554" s="58" t="str">
        <f t="shared" si="308"/>
        <v/>
      </c>
    </row>
    <row r="6555" spans="19:21" ht="23.25" customHeight="1" x14ac:dyDescent="0.35">
      <c r="S6555" s="56" t="str">
        <f t="shared" si="306"/>
        <v/>
      </c>
      <c r="T6555" s="57" t="str">
        <f t="shared" si="307"/>
        <v/>
      </c>
      <c r="U6555" s="58" t="str">
        <f t="shared" si="308"/>
        <v/>
      </c>
    </row>
    <row r="6556" spans="19:21" ht="23.25" customHeight="1" x14ac:dyDescent="0.35">
      <c r="S6556" s="56" t="str">
        <f t="shared" si="306"/>
        <v/>
      </c>
      <c r="T6556" s="57" t="str">
        <f t="shared" si="307"/>
        <v/>
      </c>
      <c r="U6556" s="58" t="str">
        <f t="shared" si="308"/>
        <v/>
      </c>
    </row>
    <row r="6557" spans="19:21" ht="23.25" customHeight="1" x14ac:dyDescent="0.35">
      <c r="S6557" s="56" t="str">
        <f t="shared" si="306"/>
        <v/>
      </c>
      <c r="T6557" s="57" t="str">
        <f t="shared" si="307"/>
        <v/>
      </c>
      <c r="U6557" s="58" t="str">
        <f t="shared" si="308"/>
        <v/>
      </c>
    </row>
    <row r="6558" spans="19:21" ht="23.25" customHeight="1" x14ac:dyDescent="0.35">
      <c r="S6558" s="56" t="str">
        <f t="shared" si="306"/>
        <v/>
      </c>
      <c r="T6558" s="57" t="str">
        <f t="shared" si="307"/>
        <v/>
      </c>
      <c r="U6558" s="58" t="str">
        <f t="shared" si="308"/>
        <v/>
      </c>
    </row>
    <row r="6559" spans="19:21" ht="23.25" customHeight="1" x14ac:dyDescent="0.35">
      <c r="S6559" s="56" t="str">
        <f t="shared" si="306"/>
        <v/>
      </c>
      <c r="T6559" s="57" t="str">
        <f t="shared" si="307"/>
        <v/>
      </c>
      <c r="U6559" s="58" t="str">
        <f t="shared" si="308"/>
        <v/>
      </c>
    </row>
    <row r="6560" spans="19:21" ht="23.25" customHeight="1" x14ac:dyDescent="0.35">
      <c r="S6560" s="56" t="str">
        <f t="shared" si="306"/>
        <v/>
      </c>
      <c r="T6560" s="57" t="str">
        <f t="shared" si="307"/>
        <v/>
      </c>
      <c r="U6560" s="58" t="str">
        <f t="shared" si="308"/>
        <v/>
      </c>
    </row>
    <row r="6561" spans="19:21" ht="23.25" customHeight="1" x14ac:dyDescent="0.35">
      <c r="S6561" s="56" t="str">
        <f t="shared" si="306"/>
        <v/>
      </c>
      <c r="T6561" s="57" t="str">
        <f t="shared" si="307"/>
        <v/>
      </c>
      <c r="U6561" s="58" t="str">
        <f t="shared" si="308"/>
        <v/>
      </c>
    </row>
    <row r="6562" spans="19:21" ht="23.25" customHeight="1" x14ac:dyDescent="0.35">
      <c r="S6562" s="56" t="str">
        <f t="shared" si="306"/>
        <v/>
      </c>
      <c r="T6562" s="57" t="str">
        <f t="shared" si="307"/>
        <v/>
      </c>
      <c r="U6562" s="58" t="str">
        <f t="shared" si="308"/>
        <v/>
      </c>
    </row>
    <row r="6563" spans="19:21" ht="23.25" customHeight="1" x14ac:dyDescent="0.35">
      <c r="S6563" s="56" t="str">
        <f t="shared" si="306"/>
        <v/>
      </c>
      <c r="T6563" s="57" t="str">
        <f t="shared" si="307"/>
        <v/>
      </c>
      <c r="U6563" s="58" t="str">
        <f t="shared" si="308"/>
        <v/>
      </c>
    </row>
    <row r="6564" spans="19:21" ht="23.25" customHeight="1" x14ac:dyDescent="0.35">
      <c r="S6564" s="56" t="str">
        <f t="shared" si="306"/>
        <v/>
      </c>
      <c r="T6564" s="57" t="str">
        <f t="shared" si="307"/>
        <v/>
      </c>
      <c r="U6564" s="58" t="str">
        <f t="shared" si="308"/>
        <v/>
      </c>
    </row>
    <row r="6565" spans="19:21" ht="23.25" customHeight="1" x14ac:dyDescent="0.35">
      <c r="S6565" s="56" t="str">
        <f t="shared" si="306"/>
        <v/>
      </c>
      <c r="T6565" s="57" t="str">
        <f t="shared" si="307"/>
        <v/>
      </c>
      <c r="U6565" s="58" t="str">
        <f t="shared" si="308"/>
        <v/>
      </c>
    </row>
    <row r="6566" spans="19:21" ht="23.25" customHeight="1" x14ac:dyDescent="0.35">
      <c r="S6566" s="56" t="str">
        <f t="shared" si="306"/>
        <v/>
      </c>
      <c r="T6566" s="57" t="str">
        <f t="shared" si="307"/>
        <v/>
      </c>
      <c r="U6566" s="58" t="str">
        <f t="shared" si="308"/>
        <v/>
      </c>
    </row>
    <row r="6567" spans="19:21" ht="23.25" customHeight="1" x14ac:dyDescent="0.35">
      <c r="S6567" s="56" t="str">
        <f t="shared" si="306"/>
        <v/>
      </c>
      <c r="T6567" s="57" t="str">
        <f t="shared" si="307"/>
        <v/>
      </c>
      <c r="U6567" s="58" t="str">
        <f t="shared" si="308"/>
        <v/>
      </c>
    </row>
    <row r="6568" spans="19:21" ht="23.25" customHeight="1" x14ac:dyDescent="0.35">
      <c r="S6568" s="56" t="str">
        <f t="shared" si="306"/>
        <v/>
      </c>
      <c r="T6568" s="57" t="str">
        <f t="shared" si="307"/>
        <v/>
      </c>
      <c r="U6568" s="58" t="str">
        <f t="shared" si="308"/>
        <v/>
      </c>
    </row>
    <row r="6569" spans="19:21" ht="23.25" customHeight="1" x14ac:dyDescent="0.35">
      <c r="S6569" s="56" t="str">
        <f t="shared" si="306"/>
        <v/>
      </c>
      <c r="T6569" s="57" t="str">
        <f t="shared" si="307"/>
        <v/>
      </c>
      <c r="U6569" s="58" t="str">
        <f t="shared" si="308"/>
        <v/>
      </c>
    </row>
    <row r="6570" spans="19:21" ht="23.25" customHeight="1" x14ac:dyDescent="0.35">
      <c r="S6570" s="56" t="str">
        <f t="shared" si="306"/>
        <v/>
      </c>
      <c r="T6570" s="57" t="str">
        <f t="shared" si="307"/>
        <v/>
      </c>
      <c r="U6570" s="58" t="str">
        <f t="shared" si="308"/>
        <v/>
      </c>
    </row>
    <row r="6571" spans="19:21" ht="23.25" customHeight="1" x14ac:dyDescent="0.35">
      <c r="S6571" s="56" t="str">
        <f t="shared" si="306"/>
        <v/>
      </c>
      <c r="T6571" s="57" t="str">
        <f t="shared" si="307"/>
        <v/>
      </c>
      <c r="U6571" s="58" t="str">
        <f t="shared" si="308"/>
        <v/>
      </c>
    </row>
    <row r="6572" spans="19:21" ht="23.25" customHeight="1" x14ac:dyDescent="0.35">
      <c r="S6572" s="56" t="str">
        <f t="shared" si="306"/>
        <v/>
      </c>
      <c r="T6572" s="57" t="str">
        <f t="shared" si="307"/>
        <v/>
      </c>
      <c r="U6572" s="58" t="str">
        <f t="shared" si="308"/>
        <v/>
      </c>
    </row>
    <row r="6573" spans="19:21" ht="23.25" customHeight="1" x14ac:dyDescent="0.35">
      <c r="S6573" s="56" t="str">
        <f t="shared" si="306"/>
        <v/>
      </c>
      <c r="T6573" s="57" t="str">
        <f t="shared" si="307"/>
        <v/>
      </c>
      <c r="U6573" s="58" t="str">
        <f t="shared" si="308"/>
        <v/>
      </c>
    </row>
    <row r="6574" spans="19:21" ht="23.25" customHeight="1" x14ac:dyDescent="0.35">
      <c r="S6574" s="56" t="str">
        <f t="shared" si="306"/>
        <v/>
      </c>
      <c r="T6574" s="57" t="str">
        <f t="shared" si="307"/>
        <v/>
      </c>
      <c r="U6574" s="58" t="str">
        <f t="shared" si="308"/>
        <v/>
      </c>
    </row>
    <row r="6575" spans="19:21" ht="23.25" customHeight="1" x14ac:dyDescent="0.35">
      <c r="S6575" s="56" t="str">
        <f t="shared" si="306"/>
        <v/>
      </c>
      <c r="T6575" s="57" t="str">
        <f t="shared" si="307"/>
        <v/>
      </c>
      <c r="U6575" s="58" t="str">
        <f t="shared" si="308"/>
        <v/>
      </c>
    </row>
    <row r="6576" spans="19:21" ht="23.25" customHeight="1" x14ac:dyDescent="0.35">
      <c r="S6576" s="56" t="str">
        <f t="shared" si="306"/>
        <v/>
      </c>
      <c r="T6576" s="57" t="str">
        <f t="shared" si="307"/>
        <v/>
      </c>
      <c r="U6576" s="58" t="str">
        <f t="shared" si="308"/>
        <v/>
      </c>
    </row>
    <row r="6577" spans="19:21" ht="23.25" customHeight="1" x14ac:dyDescent="0.35">
      <c r="S6577" s="56" t="str">
        <f t="shared" si="306"/>
        <v/>
      </c>
      <c r="T6577" s="57" t="str">
        <f t="shared" si="307"/>
        <v/>
      </c>
      <c r="U6577" s="58" t="str">
        <f t="shared" si="308"/>
        <v/>
      </c>
    </row>
    <row r="6578" spans="19:21" ht="23.25" customHeight="1" x14ac:dyDescent="0.35">
      <c r="S6578" s="56" t="str">
        <f t="shared" si="306"/>
        <v/>
      </c>
      <c r="T6578" s="57" t="str">
        <f t="shared" si="307"/>
        <v/>
      </c>
      <c r="U6578" s="58" t="str">
        <f t="shared" si="308"/>
        <v/>
      </c>
    </row>
    <row r="6579" spans="19:21" ht="23.25" customHeight="1" x14ac:dyDescent="0.35">
      <c r="S6579" s="56" t="str">
        <f t="shared" si="306"/>
        <v/>
      </c>
      <c r="T6579" s="57" t="str">
        <f t="shared" si="307"/>
        <v/>
      </c>
      <c r="U6579" s="58" t="str">
        <f t="shared" si="308"/>
        <v/>
      </c>
    </row>
    <row r="6580" spans="19:21" ht="23.25" customHeight="1" x14ac:dyDescent="0.35">
      <c r="S6580" s="56" t="str">
        <f t="shared" si="306"/>
        <v/>
      </c>
      <c r="T6580" s="57" t="str">
        <f t="shared" si="307"/>
        <v/>
      </c>
      <c r="U6580" s="58" t="str">
        <f t="shared" si="308"/>
        <v/>
      </c>
    </row>
    <row r="6581" spans="19:21" ht="23.25" customHeight="1" x14ac:dyDescent="0.35">
      <c r="S6581" s="56" t="str">
        <f t="shared" si="306"/>
        <v/>
      </c>
      <c r="T6581" s="57" t="str">
        <f t="shared" si="307"/>
        <v/>
      </c>
      <c r="U6581" s="58" t="str">
        <f t="shared" si="308"/>
        <v/>
      </c>
    </row>
    <row r="6582" spans="19:21" ht="23.25" customHeight="1" x14ac:dyDescent="0.35">
      <c r="S6582" s="56" t="str">
        <f t="shared" si="306"/>
        <v/>
      </c>
      <c r="T6582" s="57" t="str">
        <f t="shared" si="307"/>
        <v/>
      </c>
      <c r="U6582" s="58" t="str">
        <f t="shared" si="308"/>
        <v/>
      </c>
    </row>
    <row r="6583" spans="19:21" ht="23.25" customHeight="1" x14ac:dyDescent="0.35">
      <c r="S6583" s="56" t="str">
        <f t="shared" si="306"/>
        <v/>
      </c>
      <c r="T6583" s="57" t="str">
        <f t="shared" si="307"/>
        <v/>
      </c>
      <c r="U6583" s="58" t="str">
        <f t="shared" si="308"/>
        <v/>
      </c>
    </row>
    <row r="6584" spans="19:21" ht="23.25" customHeight="1" x14ac:dyDescent="0.35">
      <c r="S6584" s="56" t="str">
        <f t="shared" si="306"/>
        <v/>
      </c>
      <c r="T6584" s="57" t="str">
        <f t="shared" si="307"/>
        <v/>
      </c>
      <c r="U6584" s="58" t="str">
        <f t="shared" si="308"/>
        <v/>
      </c>
    </row>
    <row r="6585" spans="19:21" ht="23.25" customHeight="1" x14ac:dyDescent="0.35">
      <c r="S6585" s="56" t="str">
        <f t="shared" si="306"/>
        <v/>
      </c>
      <c r="T6585" s="57" t="str">
        <f t="shared" si="307"/>
        <v/>
      </c>
      <c r="U6585" s="58" t="str">
        <f t="shared" si="308"/>
        <v/>
      </c>
    </row>
    <row r="6586" spans="19:21" ht="23.25" customHeight="1" x14ac:dyDescent="0.35">
      <c r="S6586" s="56" t="str">
        <f t="shared" si="306"/>
        <v/>
      </c>
      <c r="T6586" s="57" t="str">
        <f t="shared" si="307"/>
        <v/>
      </c>
      <c r="U6586" s="58" t="str">
        <f t="shared" si="308"/>
        <v/>
      </c>
    </row>
    <row r="6587" spans="19:21" ht="23.25" customHeight="1" x14ac:dyDescent="0.35">
      <c r="S6587" s="56" t="str">
        <f t="shared" si="306"/>
        <v/>
      </c>
      <c r="T6587" s="57" t="str">
        <f t="shared" si="307"/>
        <v/>
      </c>
      <c r="U6587" s="58" t="str">
        <f t="shared" si="308"/>
        <v/>
      </c>
    </row>
    <row r="6588" spans="19:21" ht="23.25" customHeight="1" x14ac:dyDescent="0.35">
      <c r="S6588" s="56" t="str">
        <f t="shared" si="306"/>
        <v/>
      </c>
      <c r="T6588" s="57" t="str">
        <f t="shared" si="307"/>
        <v/>
      </c>
      <c r="U6588" s="58" t="str">
        <f t="shared" si="308"/>
        <v/>
      </c>
    </row>
    <row r="6589" spans="19:21" ht="23.25" customHeight="1" x14ac:dyDescent="0.35">
      <c r="S6589" s="56" t="str">
        <f t="shared" si="306"/>
        <v/>
      </c>
      <c r="T6589" s="57" t="str">
        <f t="shared" si="307"/>
        <v/>
      </c>
      <c r="U6589" s="58" t="str">
        <f t="shared" si="308"/>
        <v/>
      </c>
    </row>
    <row r="6590" spans="19:21" ht="23.25" customHeight="1" x14ac:dyDescent="0.35">
      <c r="S6590" s="56" t="str">
        <f t="shared" si="306"/>
        <v/>
      </c>
      <c r="T6590" s="57" t="str">
        <f t="shared" si="307"/>
        <v/>
      </c>
      <c r="U6590" s="58" t="str">
        <f t="shared" si="308"/>
        <v/>
      </c>
    </row>
    <row r="6591" spans="19:21" ht="23.25" customHeight="1" x14ac:dyDescent="0.35">
      <c r="S6591" s="56" t="str">
        <f t="shared" si="306"/>
        <v/>
      </c>
      <c r="T6591" s="57" t="str">
        <f t="shared" si="307"/>
        <v/>
      </c>
      <c r="U6591" s="58" t="str">
        <f t="shared" si="308"/>
        <v/>
      </c>
    </row>
    <row r="6592" spans="19:21" ht="23.25" customHeight="1" x14ac:dyDescent="0.35">
      <c r="S6592" s="56" t="str">
        <f t="shared" si="306"/>
        <v/>
      </c>
      <c r="T6592" s="57" t="str">
        <f t="shared" si="307"/>
        <v/>
      </c>
      <c r="U6592" s="58" t="str">
        <f t="shared" si="308"/>
        <v/>
      </c>
    </row>
    <row r="6593" spans="19:21" ht="23.25" customHeight="1" x14ac:dyDescent="0.35">
      <c r="S6593" s="56" t="str">
        <f t="shared" si="306"/>
        <v/>
      </c>
      <c r="T6593" s="57" t="str">
        <f t="shared" si="307"/>
        <v/>
      </c>
      <c r="U6593" s="58" t="str">
        <f t="shared" si="308"/>
        <v/>
      </c>
    </row>
    <row r="6594" spans="19:21" ht="23.25" customHeight="1" x14ac:dyDescent="0.35">
      <c r="S6594" s="56" t="str">
        <f t="shared" si="306"/>
        <v/>
      </c>
      <c r="T6594" s="57" t="str">
        <f t="shared" si="307"/>
        <v/>
      </c>
      <c r="U6594" s="58" t="str">
        <f t="shared" si="308"/>
        <v/>
      </c>
    </row>
    <row r="6595" spans="19:21" ht="23.25" customHeight="1" x14ac:dyDescent="0.35">
      <c r="S6595" s="56" t="str">
        <f t="shared" si="306"/>
        <v/>
      </c>
      <c r="T6595" s="57" t="str">
        <f t="shared" si="307"/>
        <v/>
      </c>
      <c r="U6595" s="58" t="str">
        <f t="shared" si="308"/>
        <v/>
      </c>
    </row>
    <row r="6596" spans="19:21" ht="23.25" customHeight="1" x14ac:dyDescent="0.35">
      <c r="S6596" s="56" t="str">
        <f t="shared" si="306"/>
        <v/>
      </c>
      <c r="T6596" s="57" t="str">
        <f t="shared" si="307"/>
        <v/>
      </c>
      <c r="U6596" s="58" t="str">
        <f t="shared" si="308"/>
        <v/>
      </c>
    </row>
    <row r="6597" spans="19:21" ht="23.25" customHeight="1" x14ac:dyDescent="0.35">
      <c r="S6597" s="56" t="str">
        <f t="shared" si="306"/>
        <v/>
      </c>
      <c r="T6597" s="57" t="str">
        <f t="shared" si="307"/>
        <v/>
      </c>
      <c r="U6597" s="58" t="str">
        <f t="shared" si="308"/>
        <v/>
      </c>
    </row>
    <row r="6598" spans="19:21" ht="23.25" customHeight="1" x14ac:dyDescent="0.35">
      <c r="S6598" s="56" t="str">
        <f t="shared" si="306"/>
        <v/>
      </c>
      <c r="T6598" s="57" t="str">
        <f t="shared" si="307"/>
        <v/>
      </c>
      <c r="U6598" s="58" t="str">
        <f t="shared" si="308"/>
        <v/>
      </c>
    </row>
    <row r="6599" spans="19:21" ht="23.25" customHeight="1" x14ac:dyDescent="0.35">
      <c r="S6599" s="56" t="str">
        <f t="shared" si="306"/>
        <v/>
      </c>
      <c r="T6599" s="57" t="str">
        <f t="shared" si="307"/>
        <v/>
      </c>
      <c r="U6599" s="58" t="str">
        <f t="shared" si="308"/>
        <v/>
      </c>
    </row>
    <row r="6600" spans="19:21" ht="23.25" customHeight="1" x14ac:dyDescent="0.35">
      <c r="S6600" s="56" t="str">
        <f t="shared" si="306"/>
        <v/>
      </c>
      <c r="T6600" s="57" t="str">
        <f t="shared" si="307"/>
        <v/>
      </c>
      <c r="U6600" s="58" t="str">
        <f t="shared" si="308"/>
        <v/>
      </c>
    </row>
    <row r="6601" spans="19:21" ht="23.25" customHeight="1" x14ac:dyDescent="0.35">
      <c r="S6601" s="56" t="str">
        <f t="shared" ref="S6601:S6664" si="309">IF(A6601="","",A$5-A6601)</f>
        <v/>
      </c>
      <c r="T6601" s="57" t="str">
        <f t="shared" ref="T6601:T6664" si="310">IF(S6601="","",IF(S6601&lt;4,"0-3 Days",IF(S6601&lt;31,"4-30 Days",IF(S6601&lt;61,"31-60 Days",IF(S6601&lt;=90,"61-90 Days",IF(S6601&gt;90,"Above 90 Days","0"))))))</f>
        <v/>
      </c>
      <c r="U6601" s="58" t="str">
        <f t="shared" ref="U6601:U6664" si="311">IF(C6601="","",IF(C6601&gt;0,IF(S6601&lt;30,"Normal",IF(S6601&lt;60,"Especially Mentioned",IF(S6601&lt;90,"Substandard",IF(S6601&lt;=180,"Doubtful",IF(S6601&gt;180,"Loss","0"))))),"Not Applicable"))</f>
        <v/>
      </c>
    </row>
    <row r="6602" spans="19:21" ht="23.25" customHeight="1" x14ac:dyDescent="0.35">
      <c r="S6602" s="56" t="str">
        <f t="shared" si="309"/>
        <v/>
      </c>
      <c r="T6602" s="57" t="str">
        <f t="shared" si="310"/>
        <v/>
      </c>
      <c r="U6602" s="58" t="str">
        <f t="shared" si="311"/>
        <v/>
      </c>
    </row>
    <row r="6603" spans="19:21" ht="23.25" customHeight="1" x14ac:dyDescent="0.35">
      <c r="S6603" s="56" t="str">
        <f t="shared" si="309"/>
        <v/>
      </c>
      <c r="T6603" s="57" t="str">
        <f t="shared" si="310"/>
        <v/>
      </c>
      <c r="U6603" s="58" t="str">
        <f t="shared" si="311"/>
        <v/>
      </c>
    </row>
    <row r="6604" spans="19:21" ht="23.25" customHeight="1" x14ac:dyDescent="0.35">
      <c r="S6604" s="56" t="str">
        <f t="shared" si="309"/>
        <v/>
      </c>
      <c r="T6604" s="57" t="str">
        <f t="shared" si="310"/>
        <v/>
      </c>
      <c r="U6604" s="58" t="str">
        <f t="shared" si="311"/>
        <v/>
      </c>
    </row>
    <row r="6605" spans="19:21" ht="23.25" customHeight="1" x14ac:dyDescent="0.35">
      <c r="S6605" s="56" t="str">
        <f t="shared" si="309"/>
        <v/>
      </c>
      <c r="T6605" s="57" t="str">
        <f t="shared" si="310"/>
        <v/>
      </c>
      <c r="U6605" s="58" t="str">
        <f t="shared" si="311"/>
        <v/>
      </c>
    </row>
    <row r="6606" spans="19:21" ht="23.25" customHeight="1" x14ac:dyDescent="0.35">
      <c r="S6606" s="56" t="str">
        <f t="shared" si="309"/>
        <v/>
      </c>
      <c r="T6606" s="57" t="str">
        <f t="shared" si="310"/>
        <v/>
      </c>
      <c r="U6606" s="58" t="str">
        <f t="shared" si="311"/>
        <v/>
      </c>
    </row>
    <row r="6607" spans="19:21" ht="23.25" customHeight="1" x14ac:dyDescent="0.35">
      <c r="S6607" s="56" t="str">
        <f t="shared" si="309"/>
        <v/>
      </c>
      <c r="T6607" s="57" t="str">
        <f t="shared" si="310"/>
        <v/>
      </c>
      <c r="U6607" s="58" t="str">
        <f t="shared" si="311"/>
        <v/>
      </c>
    </row>
    <row r="6608" spans="19:21" ht="23.25" customHeight="1" x14ac:dyDescent="0.35">
      <c r="S6608" s="56" t="str">
        <f t="shared" si="309"/>
        <v/>
      </c>
      <c r="T6608" s="57" t="str">
        <f t="shared" si="310"/>
        <v/>
      </c>
      <c r="U6608" s="58" t="str">
        <f t="shared" si="311"/>
        <v/>
      </c>
    </row>
    <row r="6609" spans="19:21" ht="23.25" customHeight="1" x14ac:dyDescent="0.35">
      <c r="S6609" s="56" t="str">
        <f t="shared" si="309"/>
        <v/>
      </c>
      <c r="T6609" s="57" t="str">
        <f t="shared" si="310"/>
        <v/>
      </c>
      <c r="U6609" s="58" t="str">
        <f t="shared" si="311"/>
        <v/>
      </c>
    </row>
    <row r="6610" spans="19:21" ht="23.25" customHeight="1" x14ac:dyDescent="0.35">
      <c r="S6610" s="56" t="str">
        <f t="shared" si="309"/>
        <v/>
      </c>
      <c r="T6610" s="57" t="str">
        <f t="shared" si="310"/>
        <v/>
      </c>
      <c r="U6610" s="58" t="str">
        <f t="shared" si="311"/>
        <v/>
      </c>
    </row>
    <row r="6611" spans="19:21" ht="23.25" customHeight="1" x14ac:dyDescent="0.35">
      <c r="S6611" s="56" t="str">
        <f t="shared" si="309"/>
        <v/>
      </c>
      <c r="T6611" s="57" t="str">
        <f t="shared" si="310"/>
        <v/>
      </c>
      <c r="U6611" s="58" t="str">
        <f t="shared" si="311"/>
        <v/>
      </c>
    </row>
    <row r="6612" spans="19:21" ht="23.25" customHeight="1" x14ac:dyDescent="0.35">
      <c r="S6612" s="56" t="str">
        <f t="shared" si="309"/>
        <v/>
      </c>
      <c r="T6612" s="57" t="str">
        <f t="shared" si="310"/>
        <v/>
      </c>
      <c r="U6612" s="58" t="str">
        <f t="shared" si="311"/>
        <v/>
      </c>
    </row>
    <row r="6613" spans="19:21" ht="23.25" customHeight="1" x14ac:dyDescent="0.35">
      <c r="S6613" s="56" t="str">
        <f t="shared" si="309"/>
        <v/>
      </c>
      <c r="T6613" s="57" t="str">
        <f t="shared" si="310"/>
        <v/>
      </c>
      <c r="U6613" s="58" t="str">
        <f t="shared" si="311"/>
        <v/>
      </c>
    </row>
    <row r="6614" spans="19:21" ht="23.25" customHeight="1" x14ac:dyDescent="0.35">
      <c r="S6614" s="56" t="str">
        <f t="shared" si="309"/>
        <v/>
      </c>
      <c r="T6614" s="57" t="str">
        <f t="shared" si="310"/>
        <v/>
      </c>
      <c r="U6614" s="58" t="str">
        <f t="shared" si="311"/>
        <v/>
      </c>
    </row>
    <row r="6615" spans="19:21" ht="23.25" customHeight="1" x14ac:dyDescent="0.35">
      <c r="S6615" s="56" t="str">
        <f t="shared" si="309"/>
        <v/>
      </c>
      <c r="T6615" s="57" t="str">
        <f t="shared" si="310"/>
        <v/>
      </c>
      <c r="U6615" s="58" t="str">
        <f t="shared" si="311"/>
        <v/>
      </c>
    </row>
    <row r="6616" spans="19:21" ht="23.25" customHeight="1" x14ac:dyDescent="0.35">
      <c r="S6616" s="56" t="str">
        <f t="shared" si="309"/>
        <v/>
      </c>
      <c r="T6616" s="57" t="str">
        <f t="shared" si="310"/>
        <v/>
      </c>
      <c r="U6616" s="58" t="str">
        <f t="shared" si="311"/>
        <v/>
      </c>
    </row>
    <row r="6617" spans="19:21" ht="23.25" customHeight="1" x14ac:dyDescent="0.35">
      <c r="S6617" s="56" t="str">
        <f t="shared" si="309"/>
        <v/>
      </c>
      <c r="T6617" s="57" t="str">
        <f t="shared" si="310"/>
        <v/>
      </c>
      <c r="U6617" s="58" t="str">
        <f t="shared" si="311"/>
        <v/>
      </c>
    </row>
    <row r="6618" spans="19:21" ht="23.25" customHeight="1" x14ac:dyDescent="0.35">
      <c r="S6618" s="56" t="str">
        <f t="shared" si="309"/>
        <v/>
      </c>
      <c r="T6618" s="57" t="str">
        <f t="shared" si="310"/>
        <v/>
      </c>
      <c r="U6618" s="58" t="str">
        <f t="shared" si="311"/>
        <v/>
      </c>
    </row>
    <row r="6619" spans="19:21" ht="23.25" customHeight="1" x14ac:dyDescent="0.35">
      <c r="S6619" s="56" t="str">
        <f t="shared" si="309"/>
        <v/>
      </c>
      <c r="T6619" s="57" t="str">
        <f t="shared" si="310"/>
        <v/>
      </c>
      <c r="U6619" s="58" t="str">
        <f t="shared" si="311"/>
        <v/>
      </c>
    </row>
    <row r="6620" spans="19:21" ht="23.25" customHeight="1" x14ac:dyDescent="0.35">
      <c r="S6620" s="56" t="str">
        <f t="shared" si="309"/>
        <v/>
      </c>
      <c r="T6620" s="57" t="str">
        <f t="shared" si="310"/>
        <v/>
      </c>
      <c r="U6620" s="58" t="str">
        <f t="shared" si="311"/>
        <v/>
      </c>
    </row>
    <row r="6621" spans="19:21" ht="23.25" customHeight="1" x14ac:dyDescent="0.35">
      <c r="S6621" s="56" t="str">
        <f t="shared" si="309"/>
        <v/>
      </c>
      <c r="T6621" s="57" t="str">
        <f t="shared" si="310"/>
        <v/>
      </c>
      <c r="U6621" s="58" t="str">
        <f t="shared" si="311"/>
        <v/>
      </c>
    </row>
    <row r="6622" spans="19:21" ht="23.25" customHeight="1" x14ac:dyDescent="0.35">
      <c r="S6622" s="56" t="str">
        <f t="shared" si="309"/>
        <v/>
      </c>
      <c r="T6622" s="57" t="str">
        <f t="shared" si="310"/>
        <v/>
      </c>
      <c r="U6622" s="58" t="str">
        <f t="shared" si="311"/>
        <v/>
      </c>
    </row>
    <row r="6623" spans="19:21" ht="23.25" customHeight="1" x14ac:dyDescent="0.35">
      <c r="S6623" s="56" t="str">
        <f t="shared" si="309"/>
        <v/>
      </c>
      <c r="T6623" s="57" t="str">
        <f t="shared" si="310"/>
        <v/>
      </c>
      <c r="U6623" s="58" t="str">
        <f t="shared" si="311"/>
        <v/>
      </c>
    </row>
    <row r="6624" spans="19:21" ht="23.25" customHeight="1" x14ac:dyDescent="0.35">
      <c r="S6624" s="56" t="str">
        <f t="shared" si="309"/>
        <v/>
      </c>
      <c r="T6624" s="57" t="str">
        <f t="shared" si="310"/>
        <v/>
      </c>
      <c r="U6624" s="58" t="str">
        <f t="shared" si="311"/>
        <v/>
      </c>
    </row>
    <row r="6625" spans="19:21" ht="23.25" customHeight="1" x14ac:dyDescent="0.35">
      <c r="S6625" s="56" t="str">
        <f t="shared" si="309"/>
        <v/>
      </c>
      <c r="T6625" s="57" t="str">
        <f t="shared" si="310"/>
        <v/>
      </c>
      <c r="U6625" s="58" t="str">
        <f t="shared" si="311"/>
        <v/>
      </c>
    </row>
    <row r="6626" spans="19:21" ht="23.25" customHeight="1" x14ac:dyDescent="0.35">
      <c r="S6626" s="56" t="str">
        <f t="shared" si="309"/>
        <v/>
      </c>
      <c r="T6626" s="57" t="str">
        <f t="shared" si="310"/>
        <v/>
      </c>
      <c r="U6626" s="58" t="str">
        <f t="shared" si="311"/>
        <v/>
      </c>
    </row>
    <row r="6627" spans="19:21" ht="23.25" customHeight="1" x14ac:dyDescent="0.35">
      <c r="S6627" s="56" t="str">
        <f t="shared" si="309"/>
        <v/>
      </c>
      <c r="T6627" s="57" t="str">
        <f t="shared" si="310"/>
        <v/>
      </c>
      <c r="U6627" s="58" t="str">
        <f t="shared" si="311"/>
        <v/>
      </c>
    </row>
    <row r="6628" spans="19:21" ht="23.25" customHeight="1" x14ac:dyDescent="0.35">
      <c r="S6628" s="56" t="str">
        <f t="shared" si="309"/>
        <v/>
      </c>
      <c r="T6628" s="57" t="str">
        <f t="shared" si="310"/>
        <v/>
      </c>
      <c r="U6628" s="58" t="str">
        <f t="shared" si="311"/>
        <v/>
      </c>
    </row>
    <row r="6629" spans="19:21" ht="23.25" customHeight="1" x14ac:dyDescent="0.35">
      <c r="S6629" s="56" t="str">
        <f t="shared" si="309"/>
        <v/>
      </c>
      <c r="T6629" s="57" t="str">
        <f t="shared" si="310"/>
        <v/>
      </c>
      <c r="U6629" s="58" t="str">
        <f t="shared" si="311"/>
        <v/>
      </c>
    </row>
    <row r="6630" spans="19:21" ht="23.25" customHeight="1" x14ac:dyDescent="0.35">
      <c r="S6630" s="56" t="str">
        <f t="shared" si="309"/>
        <v/>
      </c>
      <c r="T6630" s="57" t="str">
        <f t="shared" si="310"/>
        <v/>
      </c>
      <c r="U6630" s="58" t="str">
        <f t="shared" si="311"/>
        <v/>
      </c>
    </row>
    <row r="6631" spans="19:21" ht="23.25" customHeight="1" x14ac:dyDescent="0.35">
      <c r="S6631" s="56" t="str">
        <f t="shared" si="309"/>
        <v/>
      </c>
      <c r="T6631" s="57" t="str">
        <f t="shared" si="310"/>
        <v/>
      </c>
      <c r="U6631" s="58" t="str">
        <f t="shared" si="311"/>
        <v/>
      </c>
    </row>
    <row r="6632" spans="19:21" ht="23.25" customHeight="1" x14ac:dyDescent="0.35">
      <c r="S6632" s="56" t="str">
        <f t="shared" si="309"/>
        <v/>
      </c>
      <c r="T6632" s="57" t="str">
        <f t="shared" si="310"/>
        <v/>
      </c>
      <c r="U6632" s="58" t="str">
        <f t="shared" si="311"/>
        <v/>
      </c>
    </row>
    <row r="6633" spans="19:21" ht="23.25" customHeight="1" x14ac:dyDescent="0.35">
      <c r="S6633" s="56" t="str">
        <f t="shared" si="309"/>
        <v/>
      </c>
      <c r="T6633" s="57" t="str">
        <f t="shared" si="310"/>
        <v/>
      </c>
      <c r="U6633" s="58" t="str">
        <f t="shared" si="311"/>
        <v/>
      </c>
    </row>
    <row r="6634" spans="19:21" ht="23.25" customHeight="1" x14ac:dyDescent="0.35">
      <c r="S6634" s="56" t="str">
        <f t="shared" si="309"/>
        <v/>
      </c>
      <c r="T6634" s="57" t="str">
        <f t="shared" si="310"/>
        <v/>
      </c>
      <c r="U6634" s="58" t="str">
        <f t="shared" si="311"/>
        <v/>
      </c>
    </row>
    <row r="6635" spans="19:21" ht="23.25" customHeight="1" x14ac:dyDescent="0.35">
      <c r="S6635" s="56" t="str">
        <f t="shared" si="309"/>
        <v/>
      </c>
      <c r="T6635" s="57" t="str">
        <f t="shared" si="310"/>
        <v/>
      </c>
      <c r="U6635" s="58" t="str">
        <f t="shared" si="311"/>
        <v/>
      </c>
    </row>
    <row r="6636" spans="19:21" ht="23.25" customHeight="1" x14ac:dyDescent="0.35">
      <c r="S6636" s="56" t="str">
        <f t="shared" si="309"/>
        <v/>
      </c>
      <c r="T6636" s="57" t="str">
        <f t="shared" si="310"/>
        <v/>
      </c>
      <c r="U6636" s="58" t="str">
        <f t="shared" si="311"/>
        <v/>
      </c>
    </row>
    <row r="6637" spans="19:21" ht="23.25" customHeight="1" x14ac:dyDescent="0.35">
      <c r="S6637" s="56" t="str">
        <f t="shared" si="309"/>
        <v/>
      </c>
      <c r="T6637" s="57" t="str">
        <f t="shared" si="310"/>
        <v/>
      </c>
      <c r="U6637" s="58" t="str">
        <f t="shared" si="311"/>
        <v/>
      </c>
    </row>
    <row r="6638" spans="19:21" ht="23.25" customHeight="1" x14ac:dyDescent="0.35">
      <c r="S6638" s="56" t="str">
        <f t="shared" si="309"/>
        <v/>
      </c>
      <c r="T6638" s="57" t="str">
        <f t="shared" si="310"/>
        <v/>
      </c>
      <c r="U6638" s="58" t="str">
        <f t="shared" si="311"/>
        <v/>
      </c>
    </row>
    <row r="6639" spans="19:21" ht="23.25" customHeight="1" x14ac:dyDescent="0.35">
      <c r="S6639" s="56" t="str">
        <f t="shared" si="309"/>
        <v/>
      </c>
      <c r="T6639" s="57" t="str">
        <f t="shared" si="310"/>
        <v/>
      </c>
      <c r="U6639" s="58" t="str">
        <f t="shared" si="311"/>
        <v/>
      </c>
    </row>
    <row r="6640" spans="19:21" ht="23.25" customHeight="1" x14ac:dyDescent="0.35">
      <c r="S6640" s="56" t="str">
        <f t="shared" si="309"/>
        <v/>
      </c>
      <c r="T6640" s="57" t="str">
        <f t="shared" si="310"/>
        <v/>
      </c>
      <c r="U6640" s="58" t="str">
        <f t="shared" si="311"/>
        <v/>
      </c>
    </row>
    <row r="6641" spans="19:21" ht="23.25" customHeight="1" x14ac:dyDescent="0.35">
      <c r="S6641" s="56" t="str">
        <f t="shared" si="309"/>
        <v/>
      </c>
      <c r="T6641" s="57" t="str">
        <f t="shared" si="310"/>
        <v/>
      </c>
      <c r="U6641" s="58" t="str">
        <f t="shared" si="311"/>
        <v/>
      </c>
    </row>
    <row r="6642" spans="19:21" ht="23.25" customHeight="1" x14ac:dyDescent="0.35">
      <c r="S6642" s="56" t="str">
        <f t="shared" si="309"/>
        <v/>
      </c>
      <c r="T6642" s="57" t="str">
        <f t="shared" si="310"/>
        <v/>
      </c>
      <c r="U6642" s="58" t="str">
        <f t="shared" si="311"/>
        <v/>
      </c>
    </row>
    <row r="6643" spans="19:21" ht="23.25" customHeight="1" x14ac:dyDescent="0.35">
      <c r="S6643" s="56" t="str">
        <f t="shared" si="309"/>
        <v/>
      </c>
      <c r="T6643" s="57" t="str">
        <f t="shared" si="310"/>
        <v/>
      </c>
      <c r="U6643" s="58" t="str">
        <f t="shared" si="311"/>
        <v/>
      </c>
    </row>
    <row r="6644" spans="19:21" ht="23.25" customHeight="1" x14ac:dyDescent="0.35">
      <c r="S6644" s="56" t="str">
        <f t="shared" si="309"/>
        <v/>
      </c>
      <c r="T6644" s="57" t="str">
        <f t="shared" si="310"/>
        <v/>
      </c>
      <c r="U6644" s="58" t="str">
        <f t="shared" si="311"/>
        <v/>
      </c>
    </row>
    <row r="6645" spans="19:21" ht="23.25" customHeight="1" x14ac:dyDescent="0.35">
      <c r="S6645" s="56" t="str">
        <f t="shared" si="309"/>
        <v/>
      </c>
      <c r="T6645" s="57" t="str">
        <f t="shared" si="310"/>
        <v/>
      </c>
      <c r="U6645" s="58" t="str">
        <f t="shared" si="311"/>
        <v/>
      </c>
    </row>
    <row r="6646" spans="19:21" ht="23.25" customHeight="1" x14ac:dyDescent="0.35">
      <c r="S6646" s="56" t="str">
        <f t="shared" si="309"/>
        <v/>
      </c>
      <c r="T6646" s="57" t="str">
        <f t="shared" si="310"/>
        <v/>
      </c>
      <c r="U6646" s="58" t="str">
        <f t="shared" si="311"/>
        <v/>
      </c>
    </row>
    <row r="6647" spans="19:21" ht="23.25" customHeight="1" x14ac:dyDescent="0.35">
      <c r="S6647" s="56" t="str">
        <f t="shared" si="309"/>
        <v/>
      </c>
      <c r="T6647" s="57" t="str">
        <f t="shared" si="310"/>
        <v/>
      </c>
      <c r="U6647" s="58" t="str">
        <f t="shared" si="311"/>
        <v/>
      </c>
    </row>
    <row r="6648" spans="19:21" ht="23.25" customHeight="1" x14ac:dyDescent="0.35">
      <c r="S6648" s="56" t="str">
        <f t="shared" si="309"/>
        <v/>
      </c>
      <c r="T6648" s="57" t="str">
        <f t="shared" si="310"/>
        <v/>
      </c>
      <c r="U6648" s="58" t="str">
        <f t="shared" si="311"/>
        <v/>
      </c>
    </row>
    <row r="6649" spans="19:21" ht="23.25" customHeight="1" x14ac:dyDescent="0.35">
      <c r="S6649" s="56" t="str">
        <f t="shared" si="309"/>
        <v/>
      </c>
      <c r="T6649" s="57" t="str">
        <f t="shared" si="310"/>
        <v/>
      </c>
      <c r="U6649" s="58" t="str">
        <f t="shared" si="311"/>
        <v/>
      </c>
    </row>
    <row r="6650" spans="19:21" ht="23.25" customHeight="1" x14ac:dyDescent="0.35">
      <c r="S6650" s="56" t="str">
        <f t="shared" si="309"/>
        <v/>
      </c>
      <c r="T6650" s="57" t="str">
        <f t="shared" si="310"/>
        <v/>
      </c>
      <c r="U6650" s="58" t="str">
        <f t="shared" si="311"/>
        <v/>
      </c>
    </row>
    <row r="6651" spans="19:21" ht="23.25" customHeight="1" x14ac:dyDescent="0.35">
      <c r="S6651" s="56" t="str">
        <f t="shared" si="309"/>
        <v/>
      </c>
      <c r="T6651" s="57" t="str">
        <f t="shared" si="310"/>
        <v/>
      </c>
      <c r="U6651" s="58" t="str">
        <f t="shared" si="311"/>
        <v/>
      </c>
    </row>
    <row r="6652" spans="19:21" ht="23.25" customHeight="1" x14ac:dyDescent="0.35">
      <c r="S6652" s="56" t="str">
        <f t="shared" si="309"/>
        <v/>
      </c>
      <c r="T6652" s="57" t="str">
        <f t="shared" si="310"/>
        <v/>
      </c>
      <c r="U6652" s="58" t="str">
        <f t="shared" si="311"/>
        <v/>
      </c>
    </row>
    <row r="6653" spans="19:21" ht="23.25" customHeight="1" x14ac:dyDescent="0.35">
      <c r="S6653" s="56" t="str">
        <f t="shared" si="309"/>
        <v/>
      </c>
      <c r="T6653" s="57" t="str">
        <f t="shared" si="310"/>
        <v/>
      </c>
      <c r="U6653" s="58" t="str">
        <f t="shared" si="311"/>
        <v/>
      </c>
    </row>
    <row r="6654" spans="19:21" ht="23.25" customHeight="1" x14ac:dyDescent="0.35">
      <c r="S6654" s="56" t="str">
        <f t="shared" si="309"/>
        <v/>
      </c>
      <c r="T6654" s="57" t="str">
        <f t="shared" si="310"/>
        <v/>
      </c>
      <c r="U6654" s="58" t="str">
        <f t="shared" si="311"/>
        <v/>
      </c>
    </row>
    <row r="6655" spans="19:21" ht="23.25" customHeight="1" x14ac:dyDescent="0.35">
      <c r="S6655" s="56" t="str">
        <f t="shared" si="309"/>
        <v/>
      </c>
      <c r="T6655" s="57" t="str">
        <f t="shared" si="310"/>
        <v/>
      </c>
      <c r="U6655" s="58" t="str">
        <f t="shared" si="311"/>
        <v/>
      </c>
    </row>
    <row r="6656" spans="19:21" ht="23.25" customHeight="1" x14ac:dyDescent="0.35">
      <c r="S6656" s="56" t="str">
        <f t="shared" si="309"/>
        <v/>
      </c>
      <c r="T6656" s="57" t="str">
        <f t="shared" si="310"/>
        <v/>
      </c>
      <c r="U6656" s="58" t="str">
        <f t="shared" si="311"/>
        <v/>
      </c>
    </row>
    <row r="6657" spans="19:21" ht="23.25" customHeight="1" x14ac:dyDescent="0.35">
      <c r="S6657" s="56" t="str">
        <f t="shared" si="309"/>
        <v/>
      </c>
      <c r="T6657" s="57" t="str">
        <f t="shared" si="310"/>
        <v/>
      </c>
      <c r="U6657" s="58" t="str">
        <f t="shared" si="311"/>
        <v/>
      </c>
    </row>
    <row r="6658" spans="19:21" ht="23.25" customHeight="1" x14ac:dyDescent="0.35">
      <c r="S6658" s="56" t="str">
        <f t="shared" si="309"/>
        <v/>
      </c>
      <c r="T6658" s="57" t="str">
        <f t="shared" si="310"/>
        <v/>
      </c>
      <c r="U6658" s="58" t="str">
        <f t="shared" si="311"/>
        <v/>
      </c>
    </row>
    <row r="6659" spans="19:21" ht="23.25" customHeight="1" x14ac:dyDescent="0.35">
      <c r="S6659" s="56" t="str">
        <f t="shared" si="309"/>
        <v/>
      </c>
      <c r="T6659" s="57" t="str">
        <f t="shared" si="310"/>
        <v/>
      </c>
      <c r="U6659" s="58" t="str">
        <f t="shared" si="311"/>
        <v/>
      </c>
    </row>
    <row r="6660" spans="19:21" ht="23.25" customHeight="1" x14ac:dyDescent="0.35">
      <c r="S6660" s="56" t="str">
        <f t="shared" si="309"/>
        <v/>
      </c>
      <c r="T6660" s="57" t="str">
        <f t="shared" si="310"/>
        <v/>
      </c>
      <c r="U6660" s="58" t="str">
        <f t="shared" si="311"/>
        <v/>
      </c>
    </row>
    <row r="6661" spans="19:21" ht="23.25" customHeight="1" x14ac:dyDescent="0.35">
      <c r="S6661" s="56" t="str">
        <f t="shared" si="309"/>
        <v/>
      </c>
      <c r="T6661" s="57" t="str">
        <f t="shared" si="310"/>
        <v/>
      </c>
      <c r="U6661" s="58" t="str">
        <f t="shared" si="311"/>
        <v/>
      </c>
    </row>
    <row r="6662" spans="19:21" ht="23.25" customHeight="1" x14ac:dyDescent="0.35">
      <c r="S6662" s="56" t="str">
        <f t="shared" si="309"/>
        <v/>
      </c>
      <c r="T6662" s="57" t="str">
        <f t="shared" si="310"/>
        <v/>
      </c>
      <c r="U6662" s="58" t="str">
        <f t="shared" si="311"/>
        <v/>
      </c>
    </row>
    <row r="6663" spans="19:21" ht="23.25" customHeight="1" x14ac:dyDescent="0.35">
      <c r="S6663" s="56" t="str">
        <f t="shared" si="309"/>
        <v/>
      </c>
      <c r="T6663" s="57" t="str">
        <f t="shared" si="310"/>
        <v/>
      </c>
      <c r="U6663" s="58" t="str">
        <f t="shared" si="311"/>
        <v/>
      </c>
    </row>
    <row r="6664" spans="19:21" ht="23.25" customHeight="1" x14ac:dyDescent="0.35">
      <c r="S6664" s="56" t="str">
        <f t="shared" si="309"/>
        <v/>
      </c>
      <c r="T6664" s="57" t="str">
        <f t="shared" si="310"/>
        <v/>
      </c>
      <c r="U6664" s="58" t="str">
        <f t="shared" si="311"/>
        <v/>
      </c>
    </row>
    <row r="6665" spans="19:21" ht="23.25" customHeight="1" x14ac:dyDescent="0.35">
      <c r="S6665" s="56" t="str">
        <f t="shared" ref="S6665:S6728" si="312">IF(A6665="","",A$5-A6665)</f>
        <v/>
      </c>
      <c r="T6665" s="57" t="str">
        <f t="shared" ref="T6665:T6728" si="313">IF(S6665="","",IF(S6665&lt;4,"0-3 Days",IF(S6665&lt;31,"4-30 Days",IF(S6665&lt;61,"31-60 Days",IF(S6665&lt;=90,"61-90 Days",IF(S6665&gt;90,"Above 90 Days","0"))))))</f>
        <v/>
      </c>
      <c r="U6665" s="58" t="str">
        <f t="shared" ref="U6665:U6728" si="314">IF(C6665="","",IF(C6665&gt;0,IF(S6665&lt;30,"Normal",IF(S6665&lt;60,"Especially Mentioned",IF(S6665&lt;90,"Substandard",IF(S6665&lt;=180,"Doubtful",IF(S6665&gt;180,"Loss","0"))))),"Not Applicable"))</f>
        <v/>
      </c>
    </row>
    <row r="6666" spans="19:21" ht="23.25" customHeight="1" x14ac:dyDescent="0.35">
      <c r="S6666" s="56" t="str">
        <f t="shared" si="312"/>
        <v/>
      </c>
      <c r="T6666" s="57" t="str">
        <f t="shared" si="313"/>
        <v/>
      </c>
      <c r="U6666" s="58" t="str">
        <f t="shared" si="314"/>
        <v/>
      </c>
    </row>
    <row r="6667" spans="19:21" ht="23.25" customHeight="1" x14ac:dyDescent="0.35">
      <c r="S6667" s="56" t="str">
        <f t="shared" si="312"/>
        <v/>
      </c>
      <c r="T6667" s="57" t="str">
        <f t="shared" si="313"/>
        <v/>
      </c>
      <c r="U6667" s="58" t="str">
        <f t="shared" si="314"/>
        <v/>
      </c>
    </row>
    <row r="6668" spans="19:21" ht="23.25" customHeight="1" x14ac:dyDescent="0.35">
      <c r="S6668" s="56" t="str">
        <f t="shared" si="312"/>
        <v/>
      </c>
      <c r="T6668" s="57" t="str">
        <f t="shared" si="313"/>
        <v/>
      </c>
      <c r="U6668" s="58" t="str">
        <f t="shared" si="314"/>
        <v/>
      </c>
    </row>
    <row r="6669" spans="19:21" ht="23.25" customHeight="1" x14ac:dyDescent="0.35">
      <c r="S6669" s="56" t="str">
        <f t="shared" si="312"/>
        <v/>
      </c>
      <c r="T6669" s="57" t="str">
        <f t="shared" si="313"/>
        <v/>
      </c>
      <c r="U6669" s="58" t="str">
        <f t="shared" si="314"/>
        <v/>
      </c>
    </row>
    <row r="6670" spans="19:21" ht="23.25" customHeight="1" x14ac:dyDescent="0.35">
      <c r="S6670" s="56" t="str">
        <f t="shared" si="312"/>
        <v/>
      </c>
      <c r="T6670" s="57" t="str">
        <f t="shared" si="313"/>
        <v/>
      </c>
      <c r="U6670" s="58" t="str">
        <f t="shared" si="314"/>
        <v/>
      </c>
    </row>
    <row r="6671" spans="19:21" ht="23.25" customHeight="1" x14ac:dyDescent="0.35">
      <c r="S6671" s="56" t="str">
        <f t="shared" si="312"/>
        <v/>
      </c>
      <c r="T6671" s="57" t="str">
        <f t="shared" si="313"/>
        <v/>
      </c>
      <c r="U6671" s="58" t="str">
        <f t="shared" si="314"/>
        <v/>
      </c>
    </row>
    <row r="6672" spans="19:21" ht="23.25" customHeight="1" x14ac:dyDescent="0.35">
      <c r="S6672" s="56" t="str">
        <f t="shared" si="312"/>
        <v/>
      </c>
      <c r="T6672" s="57" t="str">
        <f t="shared" si="313"/>
        <v/>
      </c>
      <c r="U6672" s="58" t="str">
        <f t="shared" si="314"/>
        <v/>
      </c>
    </row>
    <row r="6673" spans="19:21" ht="23.25" customHeight="1" x14ac:dyDescent="0.35">
      <c r="S6673" s="56" t="str">
        <f t="shared" si="312"/>
        <v/>
      </c>
      <c r="T6673" s="57" t="str">
        <f t="shared" si="313"/>
        <v/>
      </c>
      <c r="U6673" s="58" t="str">
        <f t="shared" si="314"/>
        <v/>
      </c>
    </row>
    <row r="6674" spans="19:21" ht="23.25" customHeight="1" x14ac:dyDescent="0.35">
      <c r="S6674" s="56" t="str">
        <f t="shared" si="312"/>
        <v/>
      </c>
      <c r="T6674" s="57" t="str">
        <f t="shared" si="313"/>
        <v/>
      </c>
      <c r="U6674" s="58" t="str">
        <f t="shared" si="314"/>
        <v/>
      </c>
    </row>
    <row r="6675" spans="19:21" ht="23.25" customHeight="1" x14ac:dyDescent="0.35">
      <c r="S6675" s="56" t="str">
        <f t="shared" si="312"/>
        <v/>
      </c>
      <c r="T6675" s="57" t="str">
        <f t="shared" si="313"/>
        <v/>
      </c>
      <c r="U6675" s="58" t="str">
        <f t="shared" si="314"/>
        <v/>
      </c>
    </row>
    <row r="6676" spans="19:21" ht="23.25" customHeight="1" x14ac:dyDescent="0.35">
      <c r="S6676" s="56" t="str">
        <f t="shared" si="312"/>
        <v/>
      </c>
      <c r="T6676" s="57" t="str">
        <f t="shared" si="313"/>
        <v/>
      </c>
      <c r="U6676" s="58" t="str">
        <f t="shared" si="314"/>
        <v/>
      </c>
    </row>
    <row r="6677" spans="19:21" ht="23.25" customHeight="1" x14ac:dyDescent="0.35">
      <c r="S6677" s="56" t="str">
        <f t="shared" si="312"/>
        <v/>
      </c>
      <c r="T6677" s="57" t="str">
        <f t="shared" si="313"/>
        <v/>
      </c>
      <c r="U6677" s="58" t="str">
        <f t="shared" si="314"/>
        <v/>
      </c>
    </row>
    <row r="6678" spans="19:21" ht="23.25" customHeight="1" x14ac:dyDescent="0.35">
      <c r="S6678" s="56" t="str">
        <f t="shared" si="312"/>
        <v/>
      </c>
      <c r="T6678" s="57" t="str">
        <f t="shared" si="313"/>
        <v/>
      </c>
      <c r="U6678" s="58" t="str">
        <f t="shared" si="314"/>
        <v/>
      </c>
    </row>
    <row r="6679" spans="19:21" ht="23.25" customHeight="1" x14ac:dyDescent="0.35">
      <c r="S6679" s="56" t="str">
        <f t="shared" si="312"/>
        <v/>
      </c>
      <c r="T6679" s="57" t="str">
        <f t="shared" si="313"/>
        <v/>
      </c>
      <c r="U6679" s="58" t="str">
        <f t="shared" si="314"/>
        <v/>
      </c>
    </row>
    <row r="6680" spans="19:21" ht="23.25" customHeight="1" x14ac:dyDescent="0.35">
      <c r="S6680" s="56" t="str">
        <f t="shared" si="312"/>
        <v/>
      </c>
      <c r="T6680" s="57" t="str">
        <f t="shared" si="313"/>
        <v/>
      </c>
      <c r="U6680" s="58" t="str">
        <f t="shared" si="314"/>
        <v/>
      </c>
    </row>
    <row r="6681" spans="19:21" ht="23.25" customHeight="1" x14ac:dyDescent="0.35">
      <c r="S6681" s="56" t="str">
        <f t="shared" si="312"/>
        <v/>
      </c>
      <c r="T6681" s="57" t="str">
        <f t="shared" si="313"/>
        <v/>
      </c>
      <c r="U6681" s="58" t="str">
        <f t="shared" si="314"/>
        <v/>
      </c>
    </row>
    <row r="6682" spans="19:21" ht="23.25" customHeight="1" x14ac:dyDescent="0.35">
      <c r="S6682" s="56" t="str">
        <f t="shared" si="312"/>
        <v/>
      </c>
      <c r="T6682" s="57" t="str">
        <f t="shared" si="313"/>
        <v/>
      </c>
      <c r="U6682" s="58" t="str">
        <f t="shared" si="314"/>
        <v/>
      </c>
    </row>
    <row r="6683" spans="19:21" ht="23.25" customHeight="1" x14ac:dyDescent="0.35">
      <c r="S6683" s="56" t="str">
        <f t="shared" si="312"/>
        <v/>
      </c>
      <c r="T6683" s="57" t="str">
        <f t="shared" si="313"/>
        <v/>
      </c>
      <c r="U6683" s="58" t="str">
        <f t="shared" si="314"/>
        <v/>
      </c>
    </row>
    <row r="6684" spans="19:21" ht="23.25" customHeight="1" x14ac:dyDescent="0.35">
      <c r="S6684" s="56" t="str">
        <f t="shared" si="312"/>
        <v/>
      </c>
      <c r="T6684" s="57" t="str">
        <f t="shared" si="313"/>
        <v/>
      </c>
      <c r="U6684" s="58" t="str">
        <f t="shared" si="314"/>
        <v/>
      </c>
    </row>
    <row r="6685" spans="19:21" ht="23.25" customHeight="1" x14ac:dyDescent="0.35">
      <c r="S6685" s="56" t="str">
        <f t="shared" si="312"/>
        <v/>
      </c>
      <c r="T6685" s="57" t="str">
        <f t="shared" si="313"/>
        <v/>
      </c>
      <c r="U6685" s="58" t="str">
        <f t="shared" si="314"/>
        <v/>
      </c>
    </row>
    <row r="6686" spans="19:21" ht="23.25" customHeight="1" x14ac:dyDescent="0.35">
      <c r="S6686" s="56" t="str">
        <f t="shared" si="312"/>
        <v/>
      </c>
      <c r="T6686" s="57" t="str">
        <f t="shared" si="313"/>
        <v/>
      </c>
      <c r="U6686" s="58" t="str">
        <f t="shared" si="314"/>
        <v/>
      </c>
    </row>
    <row r="6687" spans="19:21" ht="23.25" customHeight="1" x14ac:dyDescent="0.35">
      <c r="S6687" s="56" t="str">
        <f t="shared" si="312"/>
        <v/>
      </c>
      <c r="T6687" s="57" t="str">
        <f t="shared" si="313"/>
        <v/>
      </c>
      <c r="U6687" s="58" t="str">
        <f t="shared" si="314"/>
        <v/>
      </c>
    </row>
    <row r="6688" spans="19:21" ht="23.25" customHeight="1" x14ac:dyDescent="0.35">
      <c r="S6688" s="56" t="str">
        <f t="shared" si="312"/>
        <v/>
      </c>
      <c r="T6688" s="57" t="str">
        <f t="shared" si="313"/>
        <v/>
      </c>
      <c r="U6688" s="58" t="str">
        <f t="shared" si="314"/>
        <v/>
      </c>
    </row>
    <row r="6689" spans="19:21" ht="23.25" customHeight="1" x14ac:dyDescent="0.35">
      <c r="S6689" s="56" t="str">
        <f t="shared" si="312"/>
        <v/>
      </c>
      <c r="T6689" s="57" t="str">
        <f t="shared" si="313"/>
        <v/>
      </c>
      <c r="U6689" s="58" t="str">
        <f t="shared" si="314"/>
        <v/>
      </c>
    </row>
    <row r="6690" spans="19:21" ht="23.25" customHeight="1" x14ac:dyDescent="0.35">
      <c r="S6690" s="56" t="str">
        <f t="shared" si="312"/>
        <v/>
      </c>
      <c r="T6690" s="57" t="str">
        <f t="shared" si="313"/>
        <v/>
      </c>
      <c r="U6690" s="58" t="str">
        <f t="shared" si="314"/>
        <v/>
      </c>
    </row>
    <row r="6691" spans="19:21" ht="23.25" customHeight="1" x14ac:dyDescent="0.35">
      <c r="S6691" s="56" t="str">
        <f t="shared" si="312"/>
        <v/>
      </c>
      <c r="T6691" s="57" t="str">
        <f t="shared" si="313"/>
        <v/>
      </c>
      <c r="U6691" s="58" t="str">
        <f t="shared" si="314"/>
        <v/>
      </c>
    </row>
    <row r="6692" spans="19:21" ht="23.25" customHeight="1" x14ac:dyDescent="0.35">
      <c r="S6692" s="56" t="str">
        <f t="shared" si="312"/>
        <v/>
      </c>
      <c r="T6692" s="57" t="str">
        <f t="shared" si="313"/>
        <v/>
      </c>
      <c r="U6692" s="58" t="str">
        <f t="shared" si="314"/>
        <v/>
      </c>
    </row>
    <row r="6693" spans="19:21" ht="23.25" customHeight="1" x14ac:dyDescent="0.35">
      <c r="S6693" s="56" t="str">
        <f t="shared" si="312"/>
        <v/>
      </c>
      <c r="T6693" s="57" t="str">
        <f t="shared" si="313"/>
        <v/>
      </c>
      <c r="U6693" s="58" t="str">
        <f t="shared" si="314"/>
        <v/>
      </c>
    </row>
    <row r="6694" spans="19:21" ht="23.25" customHeight="1" x14ac:dyDescent="0.35">
      <c r="S6694" s="56" t="str">
        <f t="shared" si="312"/>
        <v/>
      </c>
      <c r="T6694" s="57" t="str">
        <f t="shared" si="313"/>
        <v/>
      </c>
      <c r="U6694" s="58" t="str">
        <f t="shared" si="314"/>
        <v/>
      </c>
    </row>
    <row r="6695" spans="19:21" ht="23.25" customHeight="1" x14ac:dyDescent="0.35">
      <c r="S6695" s="56" t="str">
        <f t="shared" si="312"/>
        <v/>
      </c>
      <c r="T6695" s="57" t="str">
        <f t="shared" si="313"/>
        <v/>
      </c>
      <c r="U6695" s="58" t="str">
        <f t="shared" si="314"/>
        <v/>
      </c>
    </row>
    <row r="6696" spans="19:21" ht="23.25" customHeight="1" x14ac:dyDescent="0.35">
      <c r="S6696" s="56" t="str">
        <f t="shared" si="312"/>
        <v/>
      </c>
      <c r="T6696" s="57" t="str">
        <f t="shared" si="313"/>
        <v/>
      </c>
      <c r="U6696" s="58" t="str">
        <f t="shared" si="314"/>
        <v/>
      </c>
    </row>
    <row r="6697" spans="19:21" ht="23.25" customHeight="1" x14ac:dyDescent="0.35">
      <c r="S6697" s="56" t="str">
        <f t="shared" si="312"/>
        <v/>
      </c>
      <c r="T6697" s="57" t="str">
        <f t="shared" si="313"/>
        <v/>
      </c>
      <c r="U6697" s="58" t="str">
        <f t="shared" si="314"/>
        <v/>
      </c>
    </row>
    <row r="6698" spans="19:21" ht="23.25" customHeight="1" x14ac:dyDescent="0.35">
      <c r="S6698" s="56" t="str">
        <f t="shared" si="312"/>
        <v/>
      </c>
      <c r="T6698" s="57" t="str">
        <f t="shared" si="313"/>
        <v/>
      </c>
      <c r="U6698" s="58" t="str">
        <f t="shared" si="314"/>
        <v/>
      </c>
    </row>
    <row r="6699" spans="19:21" ht="23.25" customHeight="1" x14ac:dyDescent="0.35">
      <c r="S6699" s="56" t="str">
        <f t="shared" si="312"/>
        <v/>
      </c>
      <c r="T6699" s="57" t="str">
        <f t="shared" si="313"/>
        <v/>
      </c>
      <c r="U6699" s="58" t="str">
        <f t="shared" si="314"/>
        <v/>
      </c>
    </row>
    <row r="6700" spans="19:21" ht="23.25" customHeight="1" x14ac:dyDescent="0.35">
      <c r="S6700" s="56" t="str">
        <f t="shared" si="312"/>
        <v/>
      </c>
      <c r="T6700" s="57" t="str">
        <f t="shared" si="313"/>
        <v/>
      </c>
      <c r="U6700" s="58" t="str">
        <f t="shared" si="314"/>
        <v/>
      </c>
    </row>
    <row r="6701" spans="19:21" ht="23.25" customHeight="1" x14ac:dyDescent="0.35">
      <c r="S6701" s="56" t="str">
        <f t="shared" si="312"/>
        <v/>
      </c>
      <c r="T6701" s="57" t="str">
        <f t="shared" si="313"/>
        <v/>
      </c>
      <c r="U6701" s="58" t="str">
        <f t="shared" si="314"/>
        <v/>
      </c>
    </row>
    <row r="6702" spans="19:21" ht="23.25" customHeight="1" x14ac:dyDescent="0.35">
      <c r="S6702" s="56" t="str">
        <f t="shared" si="312"/>
        <v/>
      </c>
      <c r="T6702" s="57" t="str">
        <f t="shared" si="313"/>
        <v/>
      </c>
      <c r="U6702" s="58" t="str">
        <f t="shared" si="314"/>
        <v/>
      </c>
    </row>
    <row r="6703" spans="19:21" ht="23.25" customHeight="1" x14ac:dyDescent="0.35">
      <c r="S6703" s="56" t="str">
        <f t="shared" si="312"/>
        <v/>
      </c>
      <c r="T6703" s="57" t="str">
        <f t="shared" si="313"/>
        <v/>
      </c>
      <c r="U6703" s="58" t="str">
        <f t="shared" si="314"/>
        <v/>
      </c>
    </row>
    <row r="6704" spans="19:21" ht="23.25" customHeight="1" x14ac:dyDescent="0.35">
      <c r="S6704" s="56" t="str">
        <f t="shared" si="312"/>
        <v/>
      </c>
      <c r="T6704" s="57" t="str">
        <f t="shared" si="313"/>
        <v/>
      </c>
      <c r="U6704" s="58" t="str">
        <f t="shared" si="314"/>
        <v/>
      </c>
    </row>
    <row r="6705" spans="19:21" ht="23.25" customHeight="1" x14ac:dyDescent="0.35">
      <c r="S6705" s="56" t="str">
        <f t="shared" si="312"/>
        <v/>
      </c>
      <c r="T6705" s="57" t="str">
        <f t="shared" si="313"/>
        <v/>
      </c>
      <c r="U6705" s="58" t="str">
        <f t="shared" si="314"/>
        <v/>
      </c>
    </row>
    <row r="6706" spans="19:21" ht="23.25" customHeight="1" x14ac:dyDescent="0.35">
      <c r="S6706" s="56" t="str">
        <f t="shared" si="312"/>
        <v/>
      </c>
      <c r="T6706" s="57" t="str">
        <f t="shared" si="313"/>
        <v/>
      </c>
      <c r="U6706" s="58" t="str">
        <f t="shared" si="314"/>
        <v/>
      </c>
    </row>
    <row r="6707" spans="19:21" ht="23.25" customHeight="1" x14ac:dyDescent="0.35">
      <c r="S6707" s="56" t="str">
        <f t="shared" si="312"/>
        <v/>
      </c>
      <c r="T6707" s="57" t="str">
        <f t="shared" si="313"/>
        <v/>
      </c>
      <c r="U6707" s="58" t="str">
        <f t="shared" si="314"/>
        <v/>
      </c>
    </row>
    <row r="6708" spans="19:21" ht="23.25" customHeight="1" x14ac:dyDescent="0.35">
      <c r="S6708" s="56" t="str">
        <f t="shared" si="312"/>
        <v/>
      </c>
      <c r="T6708" s="57" t="str">
        <f t="shared" si="313"/>
        <v/>
      </c>
      <c r="U6708" s="58" t="str">
        <f t="shared" si="314"/>
        <v/>
      </c>
    </row>
    <row r="6709" spans="19:21" ht="23.25" customHeight="1" x14ac:dyDescent="0.35">
      <c r="S6709" s="56" t="str">
        <f t="shared" si="312"/>
        <v/>
      </c>
      <c r="T6709" s="57" t="str">
        <f t="shared" si="313"/>
        <v/>
      </c>
      <c r="U6709" s="58" t="str">
        <f t="shared" si="314"/>
        <v/>
      </c>
    </row>
    <row r="6710" spans="19:21" ht="23.25" customHeight="1" x14ac:dyDescent="0.35">
      <c r="S6710" s="56" t="str">
        <f t="shared" si="312"/>
        <v/>
      </c>
      <c r="T6710" s="57" t="str">
        <f t="shared" si="313"/>
        <v/>
      </c>
      <c r="U6710" s="58" t="str">
        <f t="shared" si="314"/>
        <v/>
      </c>
    </row>
    <row r="6711" spans="19:21" ht="23.25" customHeight="1" x14ac:dyDescent="0.35">
      <c r="S6711" s="56" t="str">
        <f t="shared" si="312"/>
        <v/>
      </c>
      <c r="T6711" s="57" t="str">
        <f t="shared" si="313"/>
        <v/>
      </c>
      <c r="U6711" s="58" t="str">
        <f t="shared" si="314"/>
        <v/>
      </c>
    </row>
    <row r="6712" spans="19:21" ht="23.25" customHeight="1" x14ac:dyDescent="0.35">
      <c r="S6712" s="56" t="str">
        <f t="shared" si="312"/>
        <v/>
      </c>
      <c r="T6712" s="57" t="str">
        <f t="shared" si="313"/>
        <v/>
      </c>
      <c r="U6712" s="58" t="str">
        <f t="shared" si="314"/>
        <v/>
      </c>
    </row>
    <row r="6713" spans="19:21" ht="23.25" customHeight="1" x14ac:dyDescent="0.35">
      <c r="S6713" s="56" t="str">
        <f t="shared" si="312"/>
        <v/>
      </c>
      <c r="T6713" s="57" t="str">
        <f t="shared" si="313"/>
        <v/>
      </c>
      <c r="U6713" s="58" t="str">
        <f t="shared" si="314"/>
        <v/>
      </c>
    </row>
    <row r="6714" spans="19:21" ht="23.25" customHeight="1" x14ac:dyDescent="0.35">
      <c r="S6714" s="56" t="str">
        <f t="shared" si="312"/>
        <v/>
      </c>
      <c r="T6714" s="57" t="str">
        <f t="shared" si="313"/>
        <v/>
      </c>
      <c r="U6714" s="58" t="str">
        <f t="shared" si="314"/>
        <v/>
      </c>
    </row>
    <row r="6715" spans="19:21" ht="23.25" customHeight="1" x14ac:dyDescent="0.35">
      <c r="S6715" s="56" t="str">
        <f t="shared" si="312"/>
        <v/>
      </c>
      <c r="T6715" s="57" t="str">
        <f t="shared" si="313"/>
        <v/>
      </c>
      <c r="U6715" s="58" t="str">
        <f t="shared" si="314"/>
        <v/>
      </c>
    </row>
    <row r="6716" spans="19:21" ht="23.25" customHeight="1" x14ac:dyDescent="0.35">
      <c r="S6716" s="56" t="str">
        <f t="shared" si="312"/>
        <v/>
      </c>
      <c r="T6716" s="57" t="str">
        <f t="shared" si="313"/>
        <v/>
      </c>
      <c r="U6716" s="58" t="str">
        <f t="shared" si="314"/>
        <v/>
      </c>
    </row>
    <row r="6717" spans="19:21" ht="23.25" customHeight="1" x14ac:dyDescent="0.35">
      <c r="S6717" s="56" t="str">
        <f t="shared" si="312"/>
        <v/>
      </c>
      <c r="T6717" s="57" t="str">
        <f t="shared" si="313"/>
        <v/>
      </c>
      <c r="U6717" s="58" t="str">
        <f t="shared" si="314"/>
        <v/>
      </c>
    </row>
    <row r="6718" spans="19:21" ht="23.25" customHeight="1" x14ac:dyDescent="0.35">
      <c r="S6718" s="56" t="str">
        <f t="shared" si="312"/>
        <v/>
      </c>
      <c r="T6718" s="57" t="str">
        <f t="shared" si="313"/>
        <v/>
      </c>
      <c r="U6718" s="58" t="str">
        <f t="shared" si="314"/>
        <v/>
      </c>
    </row>
    <row r="6719" spans="19:21" ht="23.25" customHeight="1" x14ac:dyDescent="0.35">
      <c r="S6719" s="56" t="str">
        <f t="shared" si="312"/>
        <v/>
      </c>
      <c r="T6719" s="57" t="str">
        <f t="shared" si="313"/>
        <v/>
      </c>
      <c r="U6719" s="58" t="str">
        <f t="shared" si="314"/>
        <v/>
      </c>
    </row>
    <row r="6720" spans="19:21" ht="23.25" customHeight="1" x14ac:dyDescent="0.35">
      <c r="S6720" s="56" t="str">
        <f t="shared" si="312"/>
        <v/>
      </c>
      <c r="T6720" s="57" t="str">
        <f t="shared" si="313"/>
        <v/>
      </c>
      <c r="U6720" s="58" t="str">
        <f t="shared" si="314"/>
        <v/>
      </c>
    </row>
    <row r="6721" spans="19:21" ht="23.25" customHeight="1" x14ac:dyDescent="0.35">
      <c r="S6721" s="56" t="str">
        <f t="shared" si="312"/>
        <v/>
      </c>
      <c r="T6721" s="57" t="str">
        <f t="shared" si="313"/>
        <v/>
      </c>
      <c r="U6721" s="58" t="str">
        <f t="shared" si="314"/>
        <v/>
      </c>
    </row>
    <row r="6722" spans="19:21" ht="23.25" customHeight="1" x14ac:dyDescent="0.35">
      <c r="S6722" s="56" t="str">
        <f t="shared" si="312"/>
        <v/>
      </c>
      <c r="T6722" s="57" t="str">
        <f t="shared" si="313"/>
        <v/>
      </c>
      <c r="U6722" s="58" t="str">
        <f t="shared" si="314"/>
        <v/>
      </c>
    </row>
    <row r="6723" spans="19:21" ht="23.25" customHeight="1" x14ac:dyDescent="0.35">
      <c r="S6723" s="56" t="str">
        <f t="shared" si="312"/>
        <v/>
      </c>
      <c r="T6723" s="57" t="str">
        <f t="shared" si="313"/>
        <v/>
      </c>
      <c r="U6723" s="58" t="str">
        <f t="shared" si="314"/>
        <v/>
      </c>
    </row>
    <row r="6724" spans="19:21" ht="23.25" customHeight="1" x14ac:dyDescent="0.35">
      <c r="S6724" s="56" t="str">
        <f t="shared" si="312"/>
        <v/>
      </c>
      <c r="T6724" s="57" t="str">
        <f t="shared" si="313"/>
        <v/>
      </c>
      <c r="U6724" s="58" t="str">
        <f t="shared" si="314"/>
        <v/>
      </c>
    </row>
    <row r="6725" spans="19:21" ht="23.25" customHeight="1" x14ac:dyDescent="0.35">
      <c r="S6725" s="56" t="str">
        <f t="shared" si="312"/>
        <v/>
      </c>
      <c r="T6725" s="57" t="str">
        <f t="shared" si="313"/>
        <v/>
      </c>
      <c r="U6725" s="58" t="str">
        <f t="shared" si="314"/>
        <v/>
      </c>
    </row>
    <row r="6726" spans="19:21" ht="23.25" customHeight="1" x14ac:dyDescent="0.35">
      <c r="S6726" s="56" t="str">
        <f t="shared" si="312"/>
        <v/>
      </c>
      <c r="T6726" s="57" t="str">
        <f t="shared" si="313"/>
        <v/>
      </c>
      <c r="U6726" s="58" t="str">
        <f t="shared" si="314"/>
        <v/>
      </c>
    </row>
    <row r="6727" spans="19:21" ht="23.25" customHeight="1" x14ac:dyDescent="0.35">
      <c r="S6727" s="56" t="str">
        <f t="shared" si="312"/>
        <v/>
      </c>
      <c r="T6727" s="57" t="str">
        <f t="shared" si="313"/>
        <v/>
      </c>
      <c r="U6727" s="58" t="str">
        <f t="shared" si="314"/>
        <v/>
      </c>
    </row>
    <row r="6728" spans="19:21" ht="23.25" customHeight="1" x14ac:dyDescent="0.35">
      <c r="S6728" s="56" t="str">
        <f t="shared" si="312"/>
        <v/>
      </c>
      <c r="T6728" s="57" t="str">
        <f t="shared" si="313"/>
        <v/>
      </c>
      <c r="U6728" s="58" t="str">
        <f t="shared" si="314"/>
        <v/>
      </c>
    </row>
    <row r="6729" spans="19:21" ht="23.25" customHeight="1" x14ac:dyDescent="0.35">
      <c r="S6729" s="56" t="str">
        <f t="shared" ref="S6729:S6792" si="315">IF(A6729="","",A$5-A6729)</f>
        <v/>
      </c>
      <c r="T6729" s="57" t="str">
        <f t="shared" ref="T6729:T6792" si="316">IF(S6729="","",IF(S6729&lt;4,"0-3 Days",IF(S6729&lt;31,"4-30 Days",IF(S6729&lt;61,"31-60 Days",IF(S6729&lt;=90,"61-90 Days",IF(S6729&gt;90,"Above 90 Days","0"))))))</f>
        <v/>
      </c>
      <c r="U6729" s="58" t="str">
        <f t="shared" ref="U6729:U6792" si="317">IF(C6729="","",IF(C6729&gt;0,IF(S6729&lt;30,"Normal",IF(S6729&lt;60,"Especially Mentioned",IF(S6729&lt;90,"Substandard",IF(S6729&lt;=180,"Doubtful",IF(S6729&gt;180,"Loss","0"))))),"Not Applicable"))</f>
        <v/>
      </c>
    </row>
    <row r="6730" spans="19:21" ht="23.25" customHeight="1" x14ac:dyDescent="0.35">
      <c r="S6730" s="56" t="str">
        <f t="shared" si="315"/>
        <v/>
      </c>
      <c r="T6730" s="57" t="str">
        <f t="shared" si="316"/>
        <v/>
      </c>
      <c r="U6730" s="58" t="str">
        <f t="shared" si="317"/>
        <v/>
      </c>
    </row>
    <row r="6731" spans="19:21" ht="23.25" customHeight="1" x14ac:dyDescent="0.35">
      <c r="S6731" s="56" t="str">
        <f t="shared" si="315"/>
        <v/>
      </c>
      <c r="T6731" s="57" t="str">
        <f t="shared" si="316"/>
        <v/>
      </c>
      <c r="U6731" s="58" t="str">
        <f t="shared" si="317"/>
        <v/>
      </c>
    </row>
    <row r="6732" spans="19:21" ht="23.25" customHeight="1" x14ac:dyDescent="0.35">
      <c r="S6732" s="56" t="str">
        <f t="shared" si="315"/>
        <v/>
      </c>
      <c r="T6732" s="57" t="str">
        <f t="shared" si="316"/>
        <v/>
      </c>
      <c r="U6732" s="58" t="str">
        <f t="shared" si="317"/>
        <v/>
      </c>
    </row>
    <row r="6733" spans="19:21" ht="23.25" customHeight="1" x14ac:dyDescent="0.35">
      <c r="S6733" s="56" t="str">
        <f t="shared" si="315"/>
        <v/>
      </c>
      <c r="T6733" s="57" t="str">
        <f t="shared" si="316"/>
        <v/>
      </c>
      <c r="U6733" s="58" t="str">
        <f t="shared" si="317"/>
        <v/>
      </c>
    </row>
    <row r="6734" spans="19:21" ht="23.25" customHeight="1" x14ac:dyDescent="0.35">
      <c r="S6734" s="56" t="str">
        <f t="shared" si="315"/>
        <v/>
      </c>
      <c r="T6734" s="57" t="str">
        <f t="shared" si="316"/>
        <v/>
      </c>
      <c r="U6734" s="58" t="str">
        <f t="shared" si="317"/>
        <v/>
      </c>
    </row>
    <row r="6735" spans="19:21" ht="23.25" customHeight="1" x14ac:dyDescent="0.35">
      <c r="S6735" s="56" t="str">
        <f t="shared" si="315"/>
        <v/>
      </c>
      <c r="T6735" s="57" t="str">
        <f t="shared" si="316"/>
        <v/>
      </c>
      <c r="U6735" s="58" t="str">
        <f t="shared" si="317"/>
        <v/>
      </c>
    </row>
    <row r="6736" spans="19:21" ht="23.25" customHeight="1" x14ac:dyDescent="0.35">
      <c r="S6736" s="56" t="str">
        <f t="shared" si="315"/>
        <v/>
      </c>
      <c r="T6736" s="57" t="str">
        <f t="shared" si="316"/>
        <v/>
      </c>
      <c r="U6736" s="58" t="str">
        <f t="shared" si="317"/>
        <v/>
      </c>
    </row>
    <row r="6737" spans="19:21" ht="23.25" customHeight="1" x14ac:dyDescent="0.35">
      <c r="S6737" s="56" t="str">
        <f t="shared" si="315"/>
        <v/>
      </c>
      <c r="T6737" s="57" t="str">
        <f t="shared" si="316"/>
        <v/>
      </c>
      <c r="U6737" s="58" t="str">
        <f t="shared" si="317"/>
        <v/>
      </c>
    </row>
    <row r="6738" spans="19:21" ht="23.25" customHeight="1" x14ac:dyDescent="0.35">
      <c r="S6738" s="56" t="str">
        <f t="shared" si="315"/>
        <v/>
      </c>
      <c r="T6738" s="57" t="str">
        <f t="shared" si="316"/>
        <v/>
      </c>
      <c r="U6738" s="58" t="str">
        <f t="shared" si="317"/>
        <v/>
      </c>
    </row>
    <row r="6739" spans="19:21" ht="23.25" customHeight="1" x14ac:dyDescent="0.35">
      <c r="S6739" s="56" t="str">
        <f t="shared" si="315"/>
        <v/>
      </c>
      <c r="T6739" s="57" t="str">
        <f t="shared" si="316"/>
        <v/>
      </c>
      <c r="U6739" s="58" t="str">
        <f t="shared" si="317"/>
        <v/>
      </c>
    </row>
    <row r="6740" spans="19:21" ht="23.25" customHeight="1" x14ac:dyDescent="0.35">
      <c r="S6740" s="56" t="str">
        <f t="shared" si="315"/>
        <v/>
      </c>
      <c r="T6740" s="57" t="str">
        <f t="shared" si="316"/>
        <v/>
      </c>
      <c r="U6740" s="58" t="str">
        <f t="shared" si="317"/>
        <v/>
      </c>
    </row>
    <row r="6741" spans="19:21" ht="23.25" customHeight="1" x14ac:dyDescent="0.35">
      <c r="S6741" s="56" t="str">
        <f t="shared" si="315"/>
        <v/>
      </c>
      <c r="T6741" s="57" t="str">
        <f t="shared" si="316"/>
        <v/>
      </c>
      <c r="U6741" s="58" t="str">
        <f t="shared" si="317"/>
        <v/>
      </c>
    </row>
    <row r="6742" spans="19:21" ht="23.25" customHeight="1" x14ac:dyDescent="0.35">
      <c r="S6742" s="56" t="str">
        <f t="shared" si="315"/>
        <v/>
      </c>
      <c r="T6742" s="57" t="str">
        <f t="shared" si="316"/>
        <v/>
      </c>
      <c r="U6742" s="58" t="str">
        <f t="shared" si="317"/>
        <v/>
      </c>
    </row>
    <row r="6743" spans="19:21" ht="23.25" customHeight="1" x14ac:dyDescent="0.35">
      <c r="S6743" s="56" t="str">
        <f t="shared" si="315"/>
        <v/>
      </c>
      <c r="T6743" s="57" t="str">
        <f t="shared" si="316"/>
        <v/>
      </c>
      <c r="U6743" s="58" t="str">
        <f t="shared" si="317"/>
        <v/>
      </c>
    </row>
    <row r="6744" spans="19:21" ht="23.25" customHeight="1" x14ac:dyDescent="0.35">
      <c r="S6744" s="56" t="str">
        <f t="shared" si="315"/>
        <v/>
      </c>
      <c r="T6744" s="57" t="str">
        <f t="shared" si="316"/>
        <v/>
      </c>
      <c r="U6744" s="58" t="str">
        <f t="shared" si="317"/>
        <v/>
      </c>
    </row>
    <row r="6745" spans="19:21" ht="23.25" customHeight="1" x14ac:dyDescent="0.35">
      <c r="S6745" s="56" t="str">
        <f t="shared" si="315"/>
        <v/>
      </c>
      <c r="T6745" s="57" t="str">
        <f t="shared" si="316"/>
        <v/>
      </c>
      <c r="U6745" s="58" t="str">
        <f t="shared" si="317"/>
        <v/>
      </c>
    </row>
    <row r="6746" spans="19:21" ht="23.25" customHeight="1" x14ac:dyDescent="0.35">
      <c r="S6746" s="56" t="str">
        <f t="shared" si="315"/>
        <v/>
      </c>
      <c r="T6746" s="57" t="str">
        <f t="shared" si="316"/>
        <v/>
      </c>
      <c r="U6746" s="58" t="str">
        <f t="shared" si="317"/>
        <v/>
      </c>
    </row>
    <row r="6747" spans="19:21" ht="23.25" customHeight="1" x14ac:dyDescent="0.35">
      <c r="S6747" s="56" t="str">
        <f t="shared" si="315"/>
        <v/>
      </c>
      <c r="T6747" s="57" t="str">
        <f t="shared" si="316"/>
        <v/>
      </c>
      <c r="U6747" s="58" t="str">
        <f t="shared" si="317"/>
        <v/>
      </c>
    </row>
    <row r="6748" spans="19:21" ht="23.25" customHeight="1" x14ac:dyDescent="0.35">
      <c r="S6748" s="56" t="str">
        <f t="shared" si="315"/>
        <v/>
      </c>
      <c r="T6748" s="57" t="str">
        <f t="shared" si="316"/>
        <v/>
      </c>
      <c r="U6748" s="58" t="str">
        <f t="shared" si="317"/>
        <v/>
      </c>
    </row>
    <row r="6749" spans="19:21" ht="23.25" customHeight="1" x14ac:dyDescent="0.35">
      <c r="S6749" s="56" t="str">
        <f t="shared" si="315"/>
        <v/>
      </c>
      <c r="T6749" s="57" t="str">
        <f t="shared" si="316"/>
        <v/>
      </c>
      <c r="U6749" s="58" t="str">
        <f t="shared" si="317"/>
        <v/>
      </c>
    </row>
    <row r="6750" spans="19:21" ht="23.25" customHeight="1" x14ac:dyDescent="0.35">
      <c r="S6750" s="56" t="str">
        <f t="shared" si="315"/>
        <v/>
      </c>
      <c r="T6750" s="57" t="str">
        <f t="shared" si="316"/>
        <v/>
      </c>
      <c r="U6750" s="58" t="str">
        <f t="shared" si="317"/>
        <v/>
      </c>
    </row>
    <row r="6751" spans="19:21" ht="23.25" customHeight="1" x14ac:dyDescent="0.35">
      <c r="S6751" s="56" t="str">
        <f t="shared" si="315"/>
        <v/>
      </c>
      <c r="T6751" s="57" t="str">
        <f t="shared" si="316"/>
        <v/>
      </c>
      <c r="U6751" s="58" t="str">
        <f t="shared" si="317"/>
        <v/>
      </c>
    </row>
    <row r="6752" spans="19:21" ht="23.25" customHeight="1" x14ac:dyDescent="0.35">
      <c r="S6752" s="56" t="str">
        <f t="shared" si="315"/>
        <v/>
      </c>
      <c r="T6752" s="57" t="str">
        <f t="shared" si="316"/>
        <v/>
      </c>
      <c r="U6752" s="58" t="str">
        <f t="shared" si="317"/>
        <v/>
      </c>
    </row>
    <row r="6753" spans="19:21" ht="23.25" customHeight="1" x14ac:dyDescent="0.35">
      <c r="S6753" s="56" t="str">
        <f t="shared" si="315"/>
        <v/>
      </c>
      <c r="T6753" s="57" t="str">
        <f t="shared" si="316"/>
        <v/>
      </c>
      <c r="U6753" s="58" t="str">
        <f t="shared" si="317"/>
        <v/>
      </c>
    </row>
    <row r="6754" spans="19:21" ht="23.25" customHeight="1" x14ac:dyDescent="0.35">
      <c r="S6754" s="56" t="str">
        <f t="shared" si="315"/>
        <v/>
      </c>
      <c r="T6754" s="57" t="str">
        <f t="shared" si="316"/>
        <v/>
      </c>
      <c r="U6754" s="58" t="str">
        <f t="shared" si="317"/>
        <v/>
      </c>
    </row>
    <row r="6755" spans="19:21" ht="23.25" customHeight="1" x14ac:dyDescent="0.35">
      <c r="S6755" s="56" t="str">
        <f t="shared" si="315"/>
        <v/>
      </c>
      <c r="T6755" s="57" t="str">
        <f t="shared" si="316"/>
        <v/>
      </c>
      <c r="U6755" s="58" t="str">
        <f t="shared" si="317"/>
        <v/>
      </c>
    </row>
    <row r="6756" spans="19:21" ht="23.25" customHeight="1" x14ac:dyDescent="0.35">
      <c r="S6756" s="56" t="str">
        <f t="shared" si="315"/>
        <v/>
      </c>
      <c r="T6756" s="57" t="str">
        <f t="shared" si="316"/>
        <v/>
      </c>
      <c r="U6756" s="58" t="str">
        <f t="shared" si="317"/>
        <v/>
      </c>
    </row>
    <row r="6757" spans="19:21" ht="23.25" customHeight="1" x14ac:dyDescent="0.35">
      <c r="S6757" s="56" t="str">
        <f t="shared" si="315"/>
        <v/>
      </c>
      <c r="T6757" s="57" t="str">
        <f t="shared" si="316"/>
        <v/>
      </c>
      <c r="U6757" s="58" t="str">
        <f t="shared" si="317"/>
        <v/>
      </c>
    </row>
    <row r="6758" spans="19:21" ht="23.25" customHeight="1" x14ac:dyDescent="0.35">
      <c r="S6758" s="56" t="str">
        <f t="shared" si="315"/>
        <v/>
      </c>
      <c r="T6758" s="57" t="str">
        <f t="shared" si="316"/>
        <v/>
      </c>
      <c r="U6758" s="58" t="str">
        <f t="shared" si="317"/>
        <v/>
      </c>
    </row>
    <row r="6759" spans="19:21" ht="23.25" customHeight="1" x14ac:dyDescent="0.35">
      <c r="S6759" s="56" t="str">
        <f t="shared" si="315"/>
        <v/>
      </c>
      <c r="T6759" s="57" t="str">
        <f t="shared" si="316"/>
        <v/>
      </c>
      <c r="U6759" s="58" t="str">
        <f t="shared" si="317"/>
        <v/>
      </c>
    </row>
    <row r="6760" spans="19:21" ht="23.25" customHeight="1" x14ac:dyDescent="0.35">
      <c r="S6760" s="56" t="str">
        <f t="shared" si="315"/>
        <v/>
      </c>
      <c r="T6760" s="57" t="str">
        <f t="shared" si="316"/>
        <v/>
      </c>
      <c r="U6760" s="58" t="str">
        <f t="shared" si="317"/>
        <v/>
      </c>
    </row>
    <row r="6761" spans="19:21" ht="23.25" customHeight="1" x14ac:dyDescent="0.35">
      <c r="S6761" s="56" t="str">
        <f t="shared" si="315"/>
        <v/>
      </c>
      <c r="T6761" s="57" t="str">
        <f t="shared" si="316"/>
        <v/>
      </c>
      <c r="U6761" s="58" t="str">
        <f t="shared" si="317"/>
        <v/>
      </c>
    </row>
    <row r="6762" spans="19:21" ht="23.25" customHeight="1" x14ac:dyDescent="0.35">
      <c r="S6762" s="56" t="str">
        <f t="shared" si="315"/>
        <v/>
      </c>
      <c r="T6762" s="57" t="str">
        <f t="shared" si="316"/>
        <v/>
      </c>
      <c r="U6762" s="58" t="str">
        <f t="shared" si="317"/>
        <v/>
      </c>
    </row>
    <row r="6763" spans="19:21" ht="23.25" customHeight="1" x14ac:dyDescent="0.35">
      <c r="S6763" s="56" t="str">
        <f t="shared" si="315"/>
        <v/>
      </c>
      <c r="T6763" s="57" t="str">
        <f t="shared" si="316"/>
        <v/>
      </c>
      <c r="U6763" s="58" t="str">
        <f t="shared" si="317"/>
        <v/>
      </c>
    </row>
    <row r="6764" spans="19:21" ht="23.25" customHeight="1" x14ac:dyDescent="0.35">
      <c r="S6764" s="56" t="str">
        <f t="shared" si="315"/>
        <v/>
      </c>
      <c r="T6764" s="57" t="str">
        <f t="shared" si="316"/>
        <v/>
      </c>
      <c r="U6764" s="58" t="str">
        <f t="shared" si="317"/>
        <v/>
      </c>
    </row>
    <row r="6765" spans="19:21" ht="23.25" customHeight="1" x14ac:dyDescent="0.35">
      <c r="S6765" s="56" t="str">
        <f t="shared" si="315"/>
        <v/>
      </c>
      <c r="T6765" s="57" t="str">
        <f t="shared" si="316"/>
        <v/>
      </c>
      <c r="U6765" s="58" t="str">
        <f t="shared" si="317"/>
        <v/>
      </c>
    </row>
    <row r="6766" spans="19:21" ht="23.25" customHeight="1" x14ac:dyDescent="0.35">
      <c r="S6766" s="56" t="str">
        <f t="shared" si="315"/>
        <v/>
      </c>
      <c r="T6766" s="57" t="str">
        <f t="shared" si="316"/>
        <v/>
      </c>
      <c r="U6766" s="58" t="str">
        <f t="shared" si="317"/>
        <v/>
      </c>
    </row>
    <row r="6767" spans="19:21" ht="23.25" customHeight="1" x14ac:dyDescent="0.35">
      <c r="S6767" s="56" t="str">
        <f t="shared" si="315"/>
        <v/>
      </c>
      <c r="T6767" s="57" t="str">
        <f t="shared" si="316"/>
        <v/>
      </c>
      <c r="U6767" s="58" t="str">
        <f t="shared" si="317"/>
        <v/>
      </c>
    </row>
    <row r="6768" spans="19:21" ht="23.25" customHeight="1" x14ac:dyDescent="0.35">
      <c r="S6768" s="56" t="str">
        <f t="shared" si="315"/>
        <v/>
      </c>
      <c r="T6768" s="57" t="str">
        <f t="shared" si="316"/>
        <v/>
      </c>
      <c r="U6768" s="58" t="str">
        <f t="shared" si="317"/>
        <v/>
      </c>
    </row>
    <row r="6769" spans="19:21" ht="23.25" customHeight="1" x14ac:dyDescent="0.35">
      <c r="S6769" s="56" t="str">
        <f t="shared" si="315"/>
        <v/>
      </c>
      <c r="T6769" s="57" t="str">
        <f t="shared" si="316"/>
        <v/>
      </c>
      <c r="U6769" s="58" t="str">
        <f t="shared" si="317"/>
        <v/>
      </c>
    </row>
    <row r="6770" spans="19:21" ht="23.25" customHeight="1" x14ac:dyDescent="0.35">
      <c r="S6770" s="56" t="str">
        <f t="shared" si="315"/>
        <v/>
      </c>
      <c r="T6770" s="57" t="str">
        <f t="shared" si="316"/>
        <v/>
      </c>
      <c r="U6770" s="58" t="str">
        <f t="shared" si="317"/>
        <v/>
      </c>
    </row>
    <row r="6771" spans="19:21" ht="23.25" customHeight="1" x14ac:dyDescent="0.35">
      <c r="S6771" s="56" t="str">
        <f t="shared" si="315"/>
        <v/>
      </c>
      <c r="T6771" s="57" t="str">
        <f t="shared" si="316"/>
        <v/>
      </c>
      <c r="U6771" s="58" t="str">
        <f t="shared" si="317"/>
        <v/>
      </c>
    </row>
    <row r="6772" spans="19:21" ht="23.25" customHeight="1" x14ac:dyDescent="0.35">
      <c r="S6772" s="56" t="str">
        <f t="shared" si="315"/>
        <v/>
      </c>
      <c r="T6772" s="57" t="str">
        <f t="shared" si="316"/>
        <v/>
      </c>
      <c r="U6772" s="58" t="str">
        <f t="shared" si="317"/>
        <v/>
      </c>
    </row>
    <row r="6773" spans="19:21" ht="23.25" customHeight="1" x14ac:dyDescent="0.35">
      <c r="S6773" s="56" t="str">
        <f t="shared" si="315"/>
        <v/>
      </c>
      <c r="T6773" s="57" t="str">
        <f t="shared" si="316"/>
        <v/>
      </c>
      <c r="U6773" s="58" t="str">
        <f t="shared" si="317"/>
        <v/>
      </c>
    </row>
    <row r="6774" spans="19:21" ht="23.25" customHeight="1" x14ac:dyDescent="0.35">
      <c r="S6774" s="56" t="str">
        <f t="shared" si="315"/>
        <v/>
      </c>
      <c r="T6774" s="57" t="str">
        <f t="shared" si="316"/>
        <v/>
      </c>
      <c r="U6774" s="58" t="str">
        <f t="shared" si="317"/>
        <v/>
      </c>
    </row>
    <row r="6775" spans="19:21" ht="23.25" customHeight="1" x14ac:dyDescent="0.35">
      <c r="S6775" s="56" t="str">
        <f t="shared" si="315"/>
        <v/>
      </c>
      <c r="T6775" s="57" t="str">
        <f t="shared" si="316"/>
        <v/>
      </c>
      <c r="U6775" s="58" t="str">
        <f t="shared" si="317"/>
        <v/>
      </c>
    </row>
    <row r="6776" spans="19:21" ht="23.25" customHeight="1" x14ac:dyDescent="0.35">
      <c r="S6776" s="56" t="str">
        <f t="shared" si="315"/>
        <v/>
      </c>
      <c r="T6776" s="57" t="str">
        <f t="shared" si="316"/>
        <v/>
      </c>
      <c r="U6776" s="58" t="str">
        <f t="shared" si="317"/>
        <v/>
      </c>
    </row>
    <row r="6777" spans="19:21" ht="23.25" customHeight="1" x14ac:dyDescent="0.35">
      <c r="S6777" s="56" t="str">
        <f t="shared" si="315"/>
        <v/>
      </c>
      <c r="T6777" s="57" t="str">
        <f t="shared" si="316"/>
        <v/>
      </c>
      <c r="U6777" s="58" t="str">
        <f t="shared" si="317"/>
        <v/>
      </c>
    </row>
    <row r="6778" spans="19:21" ht="23.25" customHeight="1" x14ac:dyDescent="0.35">
      <c r="S6778" s="56" t="str">
        <f t="shared" si="315"/>
        <v/>
      </c>
      <c r="T6778" s="57" t="str">
        <f t="shared" si="316"/>
        <v/>
      </c>
      <c r="U6778" s="58" t="str">
        <f t="shared" si="317"/>
        <v/>
      </c>
    </row>
    <row r="6779" spans="19:21" ht="23.25" customHeight="1" x14ac:dyDescent="0.35">
      <c r="S6779" s="56" t="str">
        <f t="shared" si="315"/>
        <v/>
      </c>
      <c r="T6779" s="57" t="str">
        <f t="shared" si="316"/>
        <v/>
      </c>
      <c r="U6779" s="58" t="str">
        <f t="shared" si="317"/>
        <v/>
      </c>
    </row>
    <row r="6780" spans="19:21" ht="23.25" customHeight="1" x14ac:dyDescent="0.35">
      <c r="S6780" s="56" t="str">
        <f t="shared" si="315"/>
        <v/>
      </c>
      <c r="T6780" s="57" t="str">
        <f t="shared" si="316"/>
        <v/>
      </c>
      <c r="U6780" s="58" t="str">
        <f t="shared" si="317"/>
        <v/>
      </c>
    </row>
    <row r="6781" spans="19:21" ht="23.25" customHeight="1" x14ac:dyDescent="0.35">
      <c r="S6781" s="56" t="str">
        <f t="shared" si="315"/>
        <v/>
      </c>
      <c r="T6781" s="57" t="str">
        <f t="shared" si="316"/>
        <v/>
      </c>
      <c r="U6781" s="58" t="str">
        <f t="shared" si="317"/>
        <v/>
      </c>
    </row>
    <row r="6782" spans="19:21" ht="23.25" customHeight="1" x14ac:dyDescent="0.35">
      <c r="S6782" s="56" t="str">
        <f t="shared" si="315"/>
        <v/>
      </c>
      <c r="T6782" s="57" t="str">
        <f t="shared" si="316"/>
        <v/>
      </c>
      <c r="U6782" s="58" t="str">
        <f t="shared" si="317"/>
        <v/>
      </c>
    </row>
    <row r="6783" spans="19:21" ht="23.25" customHeight="1" x14ac:dyDescent="0.35">
      <c r="S6783" s="56" t="str">
        <f t="shared" si="315"/>
        <v/>
      </c>
      <c r="T6783" s="57" t="str">
        <f t="shared" si="316"/>
        <v/>
      </c>
      <c r="U6783" s="58" t="str">
        <f t="shared" si="317"/>
        <v/>
      </c>
    </row>
    <row r="6784" spans="19:21" ht="23.25" customHeight="1" x14ac:dyDescent="0.35">
      <c r="S6784" s="56" t="str">
        <f t="shared" si="315"/>
        <v/>
      </c>
      <c r="T6784" s="57" t="str">
        <f t="shared" si="316"/>
        <v/>
      </c>
      <c r="U6784" s="58" t="str">
        <f t="shared" si="317"/>
        <v/>
      </c>
    </row>
    <row r="6785" spans="19:21" ht="23.25" customHeight="1" x14ac:dyDescent="0.35">
      <c r="S6785" s="56" t="str">
        <f t="shared" si="315"/>
        <v/>
      </c>
      <c r="T6785" s="57" t="str">
        <f t="shared" si="316"/>
        <v/>
      </c>
      <c r="U6785" s="58" t="str">
        <f t="shared" si="317"/>
        <v/>
      </c>
    </row>
    <row r="6786" spans="19:21" ht="23.25" customHeight="1" x14ac:dyDescent="0.35">
      <c r="S6786" s="56" t="str">
        <f t="shared" si="315"/>
        <v/>
      </c>
      <c r="T6786" s="57" t="str">
        <f t="shared" si="316"/>
        <v/>
      </c>
      <c r="U6786" s="58" t="str">
        <f t="shared" si="317"/>
        <v/>
      </c>
    </row>
    <row r="6787" spans="19:21" ht="23.25" customHeight="1" x14ac:dyDescent="0.35">
      <c r="S6787" s="56" t="str">
        <f t="shared" si="315"/>
        <v/>
      </c>
      <c r="T6787" s="57" t="str">
        <f t="shared" si="316"/>
        <v/>
      </c>
      <c r="U6787" s="58" t="str">
        <f t="shared" si="317"/>
        <v/>
      </c>
    </row>
    <row r="6788" spans="19:21" ht="23.25" customHeight="1" x14ac:dyDescent="0.35">
      <c r="S6788" s="56" t="str">
        <f t="shared" si="315"/>
        <v/>
      </c>
      <c r="T6788" s="57" t="str">
        <f t="shared" si="316"/>
        <v/>
      </c>
      <c r="U6788" s="58" t="str">
        <f t="shared" si="317"/>
        <v/>
      </c>
    </row>
    <row r="6789" spans="19:21" ht="23.25" customHeight="1" x14ac:dyDescent="0.35">
      <c r="S6789" s="56" t="str">
        <f t="shared" si="315"/>
        <v/>
      </c>
      <c r="T6789" s="57" t="str">
        <f t="shared" si="316"/>
        <v/>
      </c>
      <c r="U6789" s="58" t="str">
        <f t="shared" si="317"/>
        <v/>
      </c>
    </row>
    <row r="6790" spans="19:21" ht="23.25" customHeight="1" x14ac:dyDescent="0.35">
      <c r="S6790" s="56" t="str">
        <f t="shared" si="315"/>
        <v/>
      </c>
      <c r="T6790" s="57" t="str">
        <f t="shared" si="316"/>
        <v/>
      </c>
      <c r="U6790" s="58" t="str">
        <f t="shared" si="317"/>
        <v/>
      </c>
    </row>
    <row r="6791" spans="19:21" ht="23.25" customHeight="1" x14ac:dyDescent="0.35">
      <c r="S6791" s="56" t="str">
        <f t="shared" si="315"/>
        <v/>
      </c>
      <c r="T6791" s="57" t="str">
        <f t="shared" si="316"/>
        <v/>
      </c>
      <c r="U6791" s="58" t="str">
        <f t="shared" si="317"/>
        <v/>
      </c>
    </row>
    <row r="6792" spans="19:21" ht="23.25" customHeight="1" x14ac:dyDescent="0.35">
      <c r="S6792" s="56" t="str">
        <f t="shared" si="315"/>
        <v/>
      </c>
      <c r="T6792" s="57" t="str">
        <f t="shared" si="316"/>
        <v/>
      </c>
      <c r="U6792" s="58" t="str">
        <f t="shared" si="317"/>
        <v/>
      </c>
    </row>
    <row r="6793" spans="19:21" ht="23.25" customHeight="1" x14ac:dyDescent="0.35">
      <c r="S6793" s="56" t="str">
        <f t="shared" ref="S6793:S6856" si="318">IF(A6793="","",A$5-A6793)</f>
        <v/>
      </c>
      <c r="T6793" s="57" t="str">
        <f t="shared" ref="T6793:T6856" si="319">IF(S6793="","",IF(S6793&lt;4,"0-3 Days",IF(S6793&lt;31,"4-30 Days",IF(S6793&lt;61,"31-60 Days",IF(S6793&lt;=90,"61-90 Days",IF(S6793&gt;90,"Above 90 Days","0"))))))</f>
        <v/>
      </c>
      <c r="U6793" s="58" t="str">
        <f t="shared" ref="U6793:U6856" si="320">IF(C6793="","",IF(C6793&gt;0,IF(S6793&lt;30,"Normal",IF(S6793&lt;60,"Especially Mentioned",IF(S6793&lt;90,"Substandard",IF(S6793&lt;=180,"Doubtful",IF(S6793&gt;180,"Loss","0"))))),"Not Applicable"))</f>
        <v/>
      </c>
    </row>
    <row r="6794" spans="19:21" ht="23.25" customHeight="1" x14ac:dyDescent="0.35">
      <c r="S6794" s="56" t="str">
        <f t="shared" si="318"/>
        <v/>
      </c>
      <c r="T6794" s="57" t="str">
        <f t="shared" si="319"/>
        <v/>
      </c>
      <c r="U6794" s="58" t="str">
        <f t="shared" si="320"/>
        <v/>
      </c>
    </row>
    <row r="6795" spans="19:21" ht="23.25" customHeight="1" x14ac:dyDescent="0.35">
      <c r="S6795" s="56" t="str">
        <f t="shared" si="318"/>
        <v/>
      </c>
      <c r="T6795" s="57" t="str">
        <f t="shared" si="319"/>
        <v/>
      </c>
      <c r="U6795" s="58" t="str">
        <f t="shared" si="320"/>
        <v/>
      </c>
    </row>
    <row r="6796" spans="19:21" ht="23.25" customHeight="1" x14ac:dyDescent="0.35">
      <c r="S6796" s="56" t="str">
        <f t="shared" si="318"/>
        <v/>
      </c>
      <c r="T6796" s="57" t="str">
        <f t="shared" si="319"/>
        <v/>
      </c>
      <c r="U6796" s="58" t="str">
        <f t="shared" si="320"/>
        <v/>
      </c>
    </row>
    <row r="6797" spans="19:21" ht="23.25" customHeight="1" x14ac:dyDescent="0.35">
      <c r="S6797" s="56" t="str">
        <f t="shared" si="318"/>
        <v/>
      </c>
      <c r="T6797" s="57" t="str">
        <f t="shared" si="319"/>
        <v/>
      </c>
      <c r="U6797" s="58" t="str">
        <f t="shared" si="320"/>
        <v/>
      </c>
    </row>
    <row r="6798" spans="19:21" ht="23.25" customHeight="1" x14ac:dyDescent="0.35">
      <c r="S6798" s="56" t="str">
        <f t="shared" si="318"/>
        <v/>
      </c>
      <c r="T6798" s="57" t="str">
        <f t="shared" si="319"/>
        <v/>
      </c>
      <c r="U6798" s="58" t="str">
        <f t="shared" si="320"/>
        <v/>
      </c>
    </row>
    <row r="6799" spans="19:21" ht="23.25" customHeight="1" x14ac:dyDescent="0.35">
      <c r="S6799" s="56" t="str">
        <f t="shared" si="318"/>
        <v/>
      </c>
      <c r="T6799" s="57" t="str">
        <f t="shared" si="319"/>
        <v/>
      </c>
      <c r="U6799" s="58" t="str">
        <f t="shared" si="320"/>
        <v/>
      </c>
    </row>
    <row r="6800" spans="19:21" ht="23.25" customHeight="1" x14ac:dyDescent="0.35">
      <c r="S6800" s="56" t="str">
        <f t="shared" si="318"/>
        <v/>
      </c>
      <c r="T6800" s="57" t="str">
        <f t="shared" si="319"/>
        <v/>
      </c>
      <c r="U6800" s="58" t="str">
        <f t="shared" si="320"/>
        <v/>
      </c>
    </row>
    <row r="6801" spans="19:21" ht="23.25" customHeight="1" x14ac:dyDescent="0.35">
      <c r="S6801" s="56" t="str">
        <f t="shared" si="318"/>
        <v/>
      </c>
      <c r="T6801" s="57" t="str">
        <f t="shared" si="319"/>
        <v/>
      </c>
      <c r="U6801" s="58" t="str">
        <f t="shared" si="320"/>
        <v/>
      </c>
    </row>
    <row r="6802" spans="19:21" ht="23.25" customHeight="1" x14ac:dyDescent="0.35">
      <c r="S6802" s="56" t="str">
        <f t="shared" si="318"/>
        <v/>
      </c>
      <c r="T6802" s="57" t="str">
        <f t="shared" si="319"/>
        <v/>
      </c>
      <c r="U6802" s="58" t="str">
        <f t="shared" si="320"/>
        <v/>
      </c>
    </row>
    <row r="6803" spans="19:21" ht="23.25" customHeight="1" x14ac:dyDescent="0.35">
      <c r="S6803" s="56" t="str">
        <f t="shared" si="318"/>
        <v/>
      </c>
      <c r="T6803" s="57" t="str">
        <f t="shared" si="319"/>
        <v/>
      </c>
      <c r="U6803" s="58" t="str">
        <f t="shared" si="320"/>
        <v/>
      </c>
    </row>
    <row r="6804" spans="19:21" ht="23.25" customHeight="1" x14ac:dyDescent="0.35">
      <c r="S6804" s="56" t="str">
        <f t="shared" si="318"/>
        <v/>
      </c>
      <c r="T6804" s="57" t="str">
        <f t="shared" si="319"/>
        <v/>
      </c>
      <c r="U6804" s="58" t="str">
        <f t="shared" si="320"/>
        <v/>
      </c>
    </row>
    <row r="6805" spans="19:21" ht="23.25" customHeight="1" x14ac:dyDescent="0.35">
      <c r="S6805" s="56" t="str">
        <f t="shared" si="318"/>
        <v/>
      </c>
      <c r="T6805" s="57" t="str">
        <f t="shared" si="319"/>
        <v/>
      </c>
      <c r="U6805" s="58" t="str">
        <f t="shared" si="320"/>
        <v/>
      </c>
    </row>
    <row r="6806" spans="19:21" ht="23.25" customHeight="1" x14ac:dyDescent="0.35">
      <c r="S6806" s="56" t="str">
        <f t="shared" si="318"/>
        <v/>
      </c>
      <c r="T6806" s="57" t="str">
        <f t="shared" si="319"/>
        <v/>
      </c>
      <c r="U6806" s="58" t="str">
        <f t="shared" si="320"/>
        <v/>
      </c>
    </row>
    <row r="6807" spans="19:21" ht="23.25" customHeight="1" x14ac:dyDescent="0.35">
      <c r="S6807" s="56" t="str">
        <f t="shared" si="318"/>
        <v/>
      </c>
      <c r="T6807" s="57" t="str">
        <f t="shared" si="319"/>
        <v/>
      </c>
      <c r="U6807" s="58" t="str">
        <f t="shared" si="320"/>
        <v/>
      </c>
    </row>
    <row r="6808" spans="19:21" ht="23.25" customHeight="1" x14ac:dyDescent="0.35">
      <c r="S6808" s="56" t="str">
        <f t="shared" si="318"/>
        <v/>
      </c>
      <c r="T6808" s="57" t="str">
        <f t="shared" si="319"/>
        <v/>
      </c>
      <c r="U6808" s="58" t="str">
        <f t="shared" si="320"/>
        <v/>
      </c>
    </row>
    <row r="6809" spans="19:21" ht="23.25" customHeight="1" x14ac:dyDescent="0.35">
      <c r="S6809" s="56" t="str">
        <f t="shared" si="318"/>
        <v/>
      </c>
      <c r="T6809" s="57" t="str">
        <f t="shared" si="319"/>
        <v/>
      </c>
      <c r="U6809" s="58" t="str">
        <f t="shared" si="320"/>
        <v/>
      </c>
    </row>
    <row r="6810" spans="19:21" ht="23.25" customHeight="1" x14ac:dyDescent="0.35">
      <c r="S6810" s="56" t="str">
        <f t="shared" si="318"/>
        <v/>
      </c>
      <c r="T6810" s="57" t="str">
        <f t="shared" si="319"/>
        <v/>
      </c>
      <c r="U6810" s="58" t="str">
        <f t="shared" si="320"/>
        <v/>
      </c>
    </row>
    <row r="6811" spans="19:21" ht="23.25" customHeight="1" x14ac:dyDescent="0.35">
      <c r="S6811" s="56" t="str">
        <f t="shared" si="318"/>
        <v/>
      </c>
      <c r="T6811" s="57" t="str">
        <f t="shared" si="319"/>
        <v/>
      </c>
      <c r="U6811" s="58" t="str">
        <f t="shared" si="320"/>
        <v/>
      </c>
    </row>
    <row r="6812" spans="19:21" ht="23.25" customHeight="1" x14ac:dyDescent="0.35">
      <c r="S6812" s="56" t="str">
        <f t="shared" si="318"/>
        <v/>
      </c>
      <c r="T6812" s="57" t="str">
        <f t="shared" si="319"/>
        <v/>
      </c>
      <c r="U6812" s="58" t="str">
        <f t="shared" si="320"/>
        <v/>
      </c>
    </row>
    <row r="6813" spans="19:21" ht="23.25" customHeight="1" x14ac:dyDescent="0.35">
      <c r="S6813" s="56" t="str">
        <f t="shared" si="318"/>
        <v/>
      </c>
      <c r="T6813" s="57" t="str">
        <f t="shared" si="319"/>
        <v/>
      </c>
      <c r="U6813" s="58" t="str">
        <f t="shared" si="320"/>
        <v/>
      </c>
    </row>
    <row r="6814" spans="19:21" ht="23.25" customHeight="1" x14ac:dyDescent="0.35">
      <c r="S6814" s="56" t="str">
        <f t="shared" si="318"/>
        <v/>
      </c>
      <c r="T6814" s="57" t="str">
        <f t="shared" si="319"/>
        <v/>
      </c>
      <c r="U6814" s="58" t="str">
        <f t="shared" si="320"/>
        <v/>
      </c>
    </row>
    <row r="6815" spans="19:21" ht="23.25" customHeight="1" x14ac:dyDescent="0.35">
      <c r="S6815" s="56" t="str">
        <f t="shared" si="318"/>
        <v/>
      </c>
      <c r="T6815" s="57" t="str">
        <f t="shared" si="319"/>
        <v/>
      </c>
      <c r="U6815" s="58" t="str">
        <f t="shared" si="320"/>
        <v/>
      </c>
    </row>
    <row r="6816" spans="19:21" ht="23.25" customHeight="1" x14ac:dyDescent="0.35">
      <c r="S6816" s="56" t="str">
        <f t="shared" si="318"/>
        <v/>
      </c>
      <c r="T6816" s="57" t="str">
        <f t="shared" si="319"/>
        <v/>
      </c>
      <c r="U6816" s="58" t="str">
        <f t="shared" si="320"/>
        <v/>
      </c>
    </row>
    <row r="6817" spans="19:21" ht="23.25" customHeight="1" x14ac:dyDescent="0.35">
      <c r="S6817" s="56" t="str">
        <f t="shared" si="318"/>
        <v/>
      </c>
      <c r="T6817" s="57" t="str">
        <f t="shared" si="319"/>
        <v/>
      </c>
      <c r="U6817" s="58" t="str">
        <f t="shared" si="320"/>
        <v/>
      </c>
    </row>
    <row r="6818" spans="19:21" ht="23.25" customHeight="1" x14ac:dyDescent="0.35">
      <c r="S6818" s="56" t="str">
        <f t="shared" si="318"/>
        <v/>
      </c>
      <c r="T6818" s="57" t="str">
        <f t="shared" si="319"/>
        <v/>
      </c>
      <c r="U6818" s="58" t="str">
        <f t="shared" si="320"/>
        <v/>
      </c>
    </row>
    <row r="6819" spans="19:21" ht="23.25" customHeight="1" x14ac:dyDescent="0.35">
      <c r="S6819" s="56" t="str">
        <f t="shared" si="318"/>
        <v/>
      </c>
      <c r="T6819" s="57" t="str">
        <f t="shared" si="319"/>
        <v/>
      </c>
      <c r="U6819" s="58" t="str">
        <f t="shared" si="320"/>
        <v/>
      </c>
    </row>
    <row r="6820" spans="19:21" ht="23.25" customHeight="1" x14ac:dyDescent="0.35">
      <c r="S6820" s="56" t="str">
        <f t="shared" si="318"/>
        <v/>
      </c>
      <c r="T6820" s="57" t="str">
        <f t="shared" si="319"/>
        <v/>
      </c>
      <c r="U6820" s="58" t="str">
        <f t="shared" si="320"/>
        <v/>
      </c>
    </row>
    <row r="6821" spans="19:21" ht="23.25" customHeight="1" x14ac:dyDescent="0.35">
      <c r="S6821" s="56" t="str">
        <f t="shared" si="318"/>
        <v/>
      </c>
      <c r="T6821" s="57" t="str">
        <f t="shared" si="319"/>
        <v/>
      </c>
      <c r="U6821" s="58" t="str">
        <f t="shared" si="320"/>
        <v/>
      </c>
    </row>
    <row r="6822" spans="19:21" ht="23.25" customHeight="1" x14ac:dyDescent="0.35">
      <c r="S6822" s="56" t="str">
        <f t="shared" si="318"/>
        <v/>
      </c>
      <c r="T6822" s="57" t="str">
        <f t="shared" si="319"/>
        <v/>
      </c>
      <c r="U6822" s="58" t="str">
        <f t="shared" si="320"/>
        <v/>
      </c>
    </row>
    <row r="6823" spans="19:21" ht="23.25" customHeight="1" x14ac:dyDescent="0.35">
      <c r="S6823" s="56" t="str">
        <f t="shared" si="318"/>
        <v/>
      </c>
      <c r="T6823" s="57" t="str">
        <f t="shared" si="319"/>
        <v/>
      </c>
      <c r="U6823" s="58" t="str">
        <f t="shared" si="320"/>
        <v/>
      </c>
    </row>
    <row r="6824" spans="19:21" ht="23.25" customHeight="1" x14ac:dyDescent="0.35">
      <c r="S6824" s="56" t="str">
        <f t="shared" si="318"/>
        <v/>
      </c>
      <c r="T6824" s="57" t="str">
        <f t="shared" si="319"/>
        <v/>
      </c>
      <c r="U6824" s="58" t="str">
        <f t="shared" si="320"/>
        <v/>
      </c>
    </row>
    <row r="6825" spans="19:21" ht="23.25" customHeight="1" x14ac:dyDescent="0.35">
      <c r="S6825" s="56" t="str">
        <f t="shared" si="318"/>
        <v/>
      </c>
      <c r="T6825" s="57" t="str">
        <f t="shared" si="319"/>
        <v/>
      </c>
      <c r="U6825" s="58" t="str">
        <f t="shared" si="320"/>
        <v/>
      </c>
    </row>
    <row r="6826" spans="19:21" ht="23.25" customHeight="1" x14ac:dyDescent="0.35">
      <c r="S6826" s="56" t="str">
        <f t="shared" si="318"/>
        <v/>
      </c>
      <c r="T6826" s="57" t="str">
        <f t="shared" si="319"/>
        <v/>
      </c>
      <c r="U6826" s="58" t="str">
        <f t="shared" si="320"/>
        <v/>
      </c>
    </row>
    <row r="6827" spans="19:21" ht="23.25" customHeight="1" x14ac:dyDescent="0.35">
      <c r="S6827" s="56" t="str">
        <f t="shared" si="318"/>
        <v/>
      </c>
      <c r="T6827" s="57" t="str">
        <f t="shared" si="319"/>
        <v/>
      </c>
      <c r="U6827" s="58" t="str">
        <f t="shared" si="320"/>
        <v/>
      </c>
    </row>
    <row r="6828" spans="19:21" ht="23.25" customHeight="1" x14ac:dyDescent="0.35">
      <c r="S6828" s="56" t="str">
        <f t="shared" si="318"/>
        <v/>
      </c>
      <c r="T6828" s="57" t="str">
        <f t="shared" si="319"/>
        <v/>
      </c>
      <c r="U6828" s="58" t="str">
        <f t="shared" si="320"/>
        <v/>
      </c>
    </row>
    <row r="6829" spans="19:21" ht="23.25" customHeight="1" x14ac:dyDescent="0.35">
      <c r="S6829" s="56" t="str">
        <f t="shared" si="318"/>
        <v/>
      </c>
      <c r="T6829" s="57" t="str">
        <f t="shared" si="319"/>
        <v/>
      </c>
      <c r="U6829" s="58" t="str">
        <f t="shared" si="320"/>
        <v/>
      </c>
    </row>
    <row r="6830" spans="19:21" ht="23.25" customHeight="1" x14ac:dyDescent="0.35">
      <c r="S6830" s="56" t="str">
        <f t="shared" si="318"/>
        <v/>
      </c>
      <c r="T6830" s="57" t="str">
        <f t="shared" si="319"/>
        <v/>
      </c>
      <c r="U6830" s="58" t="str">
        <f t="shared" si="320"/>
        <v/>
      </c>
    </row>
    <row r="6831" spans="19:21" ht="23.25" customHeight="1" x14ac:dyDescent="0.35">
      <c r="S6831" s="56" t="str">
        <f t="shared" si="318"/>
        <v/>
      </c>
      <c r="T6831" s="57" t="str">
        <f t="shared" si="319"/>
        <v/>
      </c>
      <c r="U6831" s="58" t="str">
        <f t="shared" si="320"/>
        <v/>
      </c>
    </row>
    <row r="6832" spans="19:21" ht="23.25" customHeight="1" x14ac:dyDescent="0.35">
      <c r="S6832" s="56" t="str">
        <f t="shared" si="318"/>
        <v/>
      </c>
      <c r="T6832" s="57" t="str">
        <f t="shared" si="319"/>
        <v/>
      </c>
      <c r="U6832" s="58" t="str">
        <f t="shared" si="320"/>
        <v/>
      </c>
    </row>
    <row r="6833" spans="19:21" ht="23.25" customHeight="1" x14ac:dyDescent="0.35">
      <c r="S6833" s="56" t="str">
        <f t="shared" si="318"/>
        <v/>
      </c>
      <c r="T6833" s="57" t="str">
        <f t="shared" si="319"/>
        <v/>
      </c>
      <c r="U6833" s="58" t="str">
        <f t="shared" si="320"/>
        <v/>
      </c>
    </row>
    <row r="6834" spans="19:21" ht="23.25" customHeight="1" x14ac:dyDescent="0.35">
      <c r="S6834" s="56" t="str">
        <f t="shared" si="318"/>
        <v/>
      </c>
      <c r="T6834" s="57" t="str">
        <f t="shared" si="319"/>
        <v/>
      </c>
      <c r="U6834" s="58" t="str">
        <f t="shared" si="320"/>
        <v/>
      </c>
    </row>
    <row r="6835" spans="19:21" ht="23.25" customHeight="1" x14ac:dyDescent="0.35">
      <c r="S6835" s="56" t="str">
        <f t="shared" si="318"/>
        <v/>
      </c>
      <c r="T6835" s="57" t="str">
        <f t="shared" si="319"/>
        <v/>
      </c>
      <c r="U6835" s="58" t="str">
        <f t="shared" si="320"/>
        <v/>
      </c>
    </row>
    <row r="6836" spans="19:21" ht="23.25" customHeight="1" x14ac:dyDescent="0.35">
      <c r="S6836" s="56" t="str">
        <f t="shared" si="318"/>
        <v/>
      </c>
      <c r="T6836" s="57" t="str">
        <f t="shared" si="319"/>
        <v/>
      </c>
      <c r="U6836" s="58" t="str">
        <f t="shared" si="320"/>
        <v/>
      </c>
    </row>
    <row r="6837" spans="19:21" ht="23.25" customHeight="1" x14ac:dyDescent="0.35">
      <c r="S6837" s="56" t="str">
        <f t="shared" si="318"/>
        <v/>
      </c>
      <c r="T6837" s="57" t="str">
        <f t="shared" si="319"/>
        <v/>
      </c>
      <c r="U6837" s="58" t="str">
        <f t="shared" si="320"/>
        <v/>
      </c>
    </row>
    <row r="6838" spans="19:21" ht="23.25" customHeight="1" x14ac:dyDescent="0.35">
      <c r="S6838" s="56" t="str">
        <f t="shared" si="318"/>
        <v/>
      </c>
      <c r="T6838" s="57" t="str">
        <f t="shared" si="319"/>
        <v/>
      </c>
      <c r="U6838" s="58" t="str">
        <f t="shared" si="320"/>
        <v/>
      </c>
    </row>
    <row r="6839" spans="19:21" ht="23.25" customHeight="1" x14ac:dyDescent="0.35">
      <c r="S6839" s="56" t="str">
        <f t="shared" si="318"/>
        <v/>
      </c>
      <c r="T6839" s="57" t="str">
        <f t="shared" si="319"/>
        <v/>
      </c>
      <c r="U6839" s="58" t="str">
        <f t="shared" si="320"/>
        <v/>
      </c>
    </row>
    <row r="6840" spans="19:21" ht="23.25" customHeight="1" x14ac:dyDescent="0.35">
      <c r="S6840" s="56" t="str">
        <f t="shared" si="318"/>
        <v/>
      </c>
      <c r="T6840" s="57" t="str">
        <f t="shared" si="319"/>
        <v/>
      </c>
      <c r="U6840" s="58" t="str">
        <f t="shared" si="320"/>
        <v/>
      </c>
    </row>
    <row r="6841" spans="19:21" ht="23.25" customHeight="1" x14ac:dyDescent="0.35">
      <c r="S6841" s="56" t="str">
        <f t="shared" si="318"/>
        <v/>
      </c>
      <c r="T6841" s="57" t="str">
        <f t="shared" si="319"/>
        <v/>
      </c>
      <c r="U6841" s="58" t="str">
        <f t="shared" si="320"/>
        <v/>
      </c>
    </row>
    <row r="6842" spans="19:21" ht="23.25" customHeight="1" x14ac:dyDescent="0.35">
      <c r="S6842" s="56" t="str">
        <f t="shared" si="318"/>
        <v/>
      </c>
      <c r="T6842" s="57" t="str">
        <f t="shared" si="319"/>
        <v/>
      </c>
      <c r="U6842" s="58" t="str">
        <f t="shared" si="320"/>
        <v/>
      </c>
    </row>
    <row r="6843" spans="19:21" ht="23.25" customHeight="1" x14ac:dyDescent="0.35">
      <c r="S6843" s="56" t="str">
        <f t="shared" si="318"/>
        <v/>
      </c>
      <c r="T6843" s="57" t="str">
        <f t="shared" si="319"/>
        <v/>
      </c>
      <c r="U6843" s="58" t="str">
        <f t="shared" si="320"/>
        <v/>
      </c>
    </row>
    <row r="6844" spans="19:21" ht="23.25" customHeight="1" x14ac:dyDescent="0.35">
      <c r="S6844" s="56" t="str">
        <f t="shared" si="318"/>
        <v/>
      </c>
      <c r="T6844" s="57" t="str">
        <f t="shared" si="319"/>
        <v/>
      </c>
      <c r="U6844" s="58" t="str">
        <f t="shared" si="320"/>
        <v/>
      </c>
    </row>
    <row r="6845" spans="19:21" ht="23.25" customHeight="1" x14ac:dyDescent="0.35">
      <c r="S6845" s="56" t="str">
        <f t="shared" si="318"/>
        <v/>
      </c>
      <c r="T6845" s="57" t="str">
        <f t="shared" si="319"/>
        <v/>
      </c>
      <c r="U6845" s="58" t="str">
        <f t="shared" si="320"/>
        <v/>
      </c>
    </row>
    <row r="6846" spans="19:21" ht="23.25" customHeight="1" x14ac:dyDescent="0.35">
      <c r="S6846" s="56" t="str">
        <f t="shared" si="318"/>
        <v/>
      </c>
      <c r="T6846" s="57" t="str">
        <f t="shared" si="319"/>
        <v/>
      </c>
      <c r="U6846" s="58" t="str">
        <f t="shared" si="320"/>
        <v/>
      </c>
    </row>
    <row r="6847" spans="19:21" ht="23.25" customHeight="1" x14ac:dyDescent="0.35">
      <c r="S6847" s="56" t="str">
        <f t="shared" si="318"/>
        <v/>
      </c>
      <c r="T6847" s="57" t="str">
        <f t="shared" si="319"/>
        <v/>
      </c>
      <c r="U6847" s="58" t="str">
        <f t="shared" si="320"/>
        <v/>
      </c>
    </row>
    <row r="6848" spans="19:21" ht="23.25" customHeight="1" x14ac:dyDescent="0.35">
      <c r="S6848" s="56" t="str">
        <f t="shared" si="318"/>
        <v/>
      </c>
      <c r="T6848" s="57" t="str">
        <f t="shared" si="319"/>
        <v/>
      </c>
      <c r="U6848" s="58" t="str">
        <f t="shared" si="320"/>
        <v/>
      </c>
    </row>
    <row r="6849" spans="19:21" ht="23.25" customHeight="1" x14ac:dyDescent="0.35">
      <c r="S6849" s="56" t="str">
        <f t="shared" si="318"/>
        <v/>
      </c>
      <c r="T6849" s="57" t="str">
        <f t="shared" si="319"/>
        <v/>
      </c>
      <c r="U6849" s="58" t="str">
        <f t="shared" si="320"/>
        <v/>
      </c>
    </row>
    <row r="6850" spans="19:21" ht="23.25" customHeight="1" x14ac:dyDescent="0.35">
      <c r="S6850" s="56" t="str">
        <f t="shared" si="318"/>
        <v/>
      </c>
      <c r="T6850" s="57" t="str">
        <f t="shared" si="319"/>
        <v/>
      </c>
      <c r="U6850" s="58" t="str">
        <f t="shared" si="320"/>
        <v/>
      </c>
    </row>
    <row r="6851" spans="19:21" ht="23.25" customHeight="1" x14ac:dyDescent="0.35">
      <c r="S6851" s="56" t="str">
        <f t="shared" si="318"/>
        <v/>
      </c>
      <c r="T6851" s="57" t="str">
        <f t="shared" si="319"/>
        <v/>
      </c>
      <c r="U6851" s="58" t="str">
        <f t="shared" si="320"/>
        <v/>
      </c>
    </row>
    <row r="6852" spans="19:21" ht="23.25" customHeight="1" x14ac:dyDescent="0.35">
      <c r="S6852" s="56" t="str">
        <f t="shared" si="318"/>
        <v/>
      </c>
      <c r="T6852" s="57" t="str">
        <f t="shared" si="319"/>
        <v/>
      </c>
      <c r="U6852" s="58" t="str">
        <f t="shared" si="320"/>
        <v/>
      </c>
    </row>
    <row r="6853" spans="19:21" ht="23.25" customHeight="1" x14ac:dyDescent="0.35">
      <c r="S6853" s="56" t="str">
        <f t="shared" si="318"/>
        <v/>
      </c>
      <c r="T6853" s="57" t="str">
        <f t="shared" si="319"/>
        <v/>
      </c>
      <c r="U6853" s="58" t="str">
        <f t="shared" si="320"/>
        <v/>
      </c>
    </row>
    <row r="6854" spans="19:21" ht="23.25" customHeight="1" x14ac:dyDescent="0.35">
      <c r="S6854" s="56" t="str">
        <f t="shared" si="318"/>
        <v/>
      </c>
      <c r="T6854" s="57" t="str">
        <f t="shared" si="319"/>
        <v/>
      </c>
      <c r="U6854" s="58" t="str">
        <f t="shared" si="320"/>
        <v/>
      </c>
    </row>
    <row r="6855" spans="19:21" ht="23.25" customHeight="1" x14ac:dyDescent="0.35">
      <c r="S6855" s="56" t="str">
        <f t="shared" si="318"/>
        <v/>
      </c>
      <c r="T6855" s="57" t="str">
        <f t="shared" si="319"/>
        <v/>
      </c>
      <c r="U6855" s="58" t="str">
        <f t="shared" si="320"/>
        <v/>
      </c>
    </row>
    <row r="6856" spans="19:21" ht="23.25" customHeight="1" x14ac:dyDescent="0.35">
      <c r="S6856" s="56" t="str">
        <f t="shared" si="318"/>
        <v/>
      </c>
      <c r="T6856" s="57" t="str">
        <f t="shared" si="319"/>
        <v/>
      </c>
      <c r="U6856" s="58" t="str">
        <f t="shared" si="320"/>
        <v/>
      </c>
    </row>
    <row r="6857" spans="19:21" ht="23.25" customHeight="1" x14ac:dyDescent="0.35">
      <c r="S6857" s="56" t="str">
        <f t="shared" ref="S6857:S6920" si="321">IF(A6857="","",A$5-A6857)</f>
        <v/>
      </c>
      <c r="T6857" s="57" t="str">
        <f t="shared" ref="T6857:T6920" si="322">IF(S6857="","",IF(S6857&lt;4,"0-3 Days",IF(S6857&lt;31,"4-30 Days",IF(S6857&lt;61,"31-60 Days",IF(S6857&lt;=90,"61-90 Days",IF(S6857&gt;90,"Above 90 Days","0"))))))</f>
        <v/>
      </c>
      <c r="U6857" s="58" t="str">
        <f t="shared" ref="U6857:U6920" si="323">IF(C6857="","",IF(C6857&gt;0,IF(S6857&lt;30,"Normal",IF(S6857&lt;60,"Especially Mentioned",IF(S6857&lt;90,"Substandard",IF(S6857&lt;=180,"Doubtful",IF(S6857&gt;180,"Loss","0"))))),"Not Applicable"))</f>
        <v/>
      </c>
    </row>
    <row r="6858" spans="19:21" ht="23.25" customHeight="1" x14ac:dyDescent="0.35">
      <c r="S6858" s="56" t="str">
        <f t="shared" si="321"/>
        <v/>
      </c>
      <c r="T6858" s="57" t="str">
        <f t="shared" si="322"/>
        <v/>
      </c>
      <c r="U6858" s="58" t="str">
        <f t="shared" si="323"/>
        <v/>
      </c>
    </row>
    <row r="6859" spans="19:21" ht="23.25" customHeight="1" x14ac:dyDescent="0.35">
      <c r="S6859" s="56" t="str">
        <f t="shared" si="321"/>
        <v/>
      </c>
      <c r="T6859" s="57" t="str">
        <f t="shared" si="322"/>
        <v/>
      </c>
      <c r="U6859" s="58" t="str">
        <f t="shared" si="323"/>
        <v/>
      </c>
    </row>
    <row r="6860" spans="19:21" ht="23.25" customHeight="1" x14ac:dyDescent="0.35">
      <c r="S6860" s="56" t="str">
        <f t="shared" si="321"/>
        <v/>
      </c>
      <c r="T6860" s="57" t="str">
        <f t="shared" si="322"/>
        <v/>
      </c>
      <c r="U6860" s="58" t="str">
        <f t="shared" si="323"/>
        <v/>
      </c>
    </row>
    <row r="6861" spans="19:21" ht="23.25" customHeight="1" x14ac:dyDescent="0.35">
      <c r="S6861" s="56" t="str">
        <f t="shared" si="321"/>
        <v/>
      </c>
      <c r="T6861" s="57" t="str">
        <f t="shared" si="322"/>
        <v/>
      </c>
      <c r="U6861" s="58" t="str">
        <f t="shared" si="323"/>
        <v/>
      </c>
    </row>
    <row r="6862" spans="19:21" ht="23.25" customHeight="1" x14ac:dyDescent="0.35">
      <c r="S6862" s="56" t="str">
        <f t="shared" si="321"/>
        <v/>
      </c>
      <c r="T6862" s="57" t="str">
        <f t="shared" si="322"/>
        <v/>
      </c>
      <c r="U6862" s="58" t="str">
        <f t="shared" si="323"/>
        <v/>
      </c>
    </row>
    <row r="6863" spans="19:21" ht="23.25" customHeight="1" x14ac:dyDescent="0.35">
      <c r="S6863" s="56" t="str">
        <f t="shared" si="321"/>
        <v/>
      </c>
      <c r="T6863" s="57" t="str">
        <f t="shared" si="322"/>
        <v/>
      </c>
      <c r="U6863" s="58" t="str">
        <f t="shared" si="323"/>
        <v/>
      </c>
    </row>
    <row r="6864" spans="19:21" ht="23.25" customHeight="1" x14ac:dyDescent="0.35">
      <c r="S6864" s="56" t="str">
        <f t="shared" si="321"/>
        <v/>
      </c>
      <c r="T6864" s="57" t="str">
        <f t="shared" si="322"/>
        <v/>
      </c>
      <c r="U6864" s="58" t="str">
        <f t="shared" si="323"/>
        <v/>
      </c>
    </row>
    <row r="6865" spans="19:21" ht="23.25" customHeight="1" x14ac:dyDescent="0.35">
      <c r="S6865" s="56" t="str">
        <f t="shared" si="321"/>
        <v/>
      </c>
      <c r="T6865" s="57" t="str">
        <f t="shared" si="322"/>
        <v/>
      </c>
      <c r="U6865" s="58" t="str">
        <f t="shared" si="323"/>
        <v/>
      </c>
    </row>
    <row r="6866" spans="19:21" ht="23.25" customHeight="1" x14ac:dyDescent="0.35">
      <c r="S6866" s="56" t="str">
        <f t="shared" si="321"/>
        <v/>
      </c>
      <c r="T6866" s="57" t="str">
        <f t="shared" si="322"/>
        <v/>
      </c>
      <c r="U6866" s="58" t="str">
        <f t="shared" si="323"/>
        <v/>
      </c>
    </row>
    <row r="6867" spans="19:21" ht="23.25" customHeight="1" x14ac:dyDescent="0.35">
      <c r="S6867" s="56" t="str">
        <f t="shared" si="321"/>
        <v/>
      </c>
      <c r="T6867" s="57" t="str">
        <f t="shared" si="322"/>
        <v/>
      </c>
      <c r="U6867" s="58" t="str">
        <f t="shared" si="323"/>
        <v/>
      </c>
    </row>
    <row r="6868" spans="19:21" ht="23.25" customHeight="1" x14ac:dyDescent="0.35">
      <c r="S6868" s="56" t="str">
        <f t="shared" si="321"/>
        <v/>
      </c>
      <c r="T6868" s="57" t="str">
        <f t="shared" si="322"/>
        <v/>
      </c>
      <c r="U6868" s="58" t="str">
        <f t="shared" si="323"/>
        <v/>
      </c>
    </row>
    <row r="6869" spans="19:21" ht="23.25" customHeight="1" x14ac:dyDescent="0.35">
      <c r="S6869" s="56" t="str">
        <f t="shared" si="321"/>
        <v/>
      </c>
      <c r="T6869" s="57" t="str">
        <f t="shared" si="322"/>
        <v/>
      </c>
      <c r="U6869" s="58" t="str">
        <f t="shared" si="323"/>
        <v/>
      </c>
    </row>
    <row r="6870" spans="19:21" ht="23.25" customHeight="1" x14ac:dyDescent="0.35">
      <c r="S6870" s="56" t="str">
        <f t="shared" si="321"/>
        <v/>
      </c>
      <c r="T6870" s="57" t="str">
        <f t="shared" si="322"/>
        <v/>
      </c>
      <c r="U6870" s="58" t="str">
        <f t="shared" si="323"/>
        <v/>
      </c>
    </row>
    <row r="6871" spans="19:21" ht="23.25" customHeight="1" x14ac:dyDescent="0.35">
      <c r="S6871" s="56" t="str">
        <f t="shared" si="321"/>
        <v/>
      </c>
      <c r="T6871" s="57" t="str">
        <f t="shared" si="322"/>
        <v/>
      </c>
      <c r="U6871" s="58" t="str">
        <f t="shared" si="323"/>
        <v/>
      </c>
    </row>
    <row r="6872" spans="19:21" ht="23.25" customHeight="1" x14ac:dyDescent="0.35">
      <c r="S6872" s="56" t="str">
        <f t="shared" si="321"/>
        <v/>
      </c>
      <c r="T6872" s="57" t="str">
        <f t="shared" si="322"/>
        <v/>
      </c>
      <c r="U6872" s="58" t="str">
        <f t="shared" si="323"/>
        <v/>
      </c>
    </row>
    <row r="6873" spans="19:21" ht="23.25" customHeight="1" x14ac:dyDescent="0.35">
      <c r="S6873" s="56" t="str">
        <f t="shared" si="321"/>
        <v/>
      </c>
      <c r="T6873" s="57" t="str">
        <f t="shared" si="322"/>
        <v/>
      </c>
      <c r="U6873" s="58" t="str">
        <f t="shared" si="323"/>
        <v/>
      </c>
    </row>
    <row r="6874" spans="19:21" ht="23.25" customHeight="1" x14ac:dyDescent="0.35">
      <c r="S6874" s="56" t="str">
        <f t="shared" si="321"/>
        <v/>
      </c>
      <c r="T6874" s="57" t="str">
        <f t="shared" si="322"/>
        <v/>
      </c>
      <c r="U6874" s="58" t="str">
        <f t="shared" si="323"/>
        <v/>
      </c>
    </row>
    <row r="6875" spans="19:21" ht="23.25" customHeight="1" x14ac:dyDescent="0.35">
      <c r="S6875" s="56" t="str">
        <f t="shared" si="321"/>
        <v/>
      </c>
      <c r="T6875" s="57" t="str">
        <f t="shared" si="322"/>
        <v/>
      </c>
      <c r="U6875" s="58" t="str">
        <f t="shared" si="323"/>
        <v/>
      </c>
    </row>
    <row r="6876" spans="19:21" ht="23.25" customHeight="1" x14ac:dyDescent="0.35">
      <c r="S6876" s="56" t="str">
        <f t="shared" si="321"/>
        <v/>
      </c>
      <c r="T6876" s="57" t="str">
        <f t="shared" si="322"/>
        <v/>
      </c>
      <c r="U6876" s="58" t="str">
        <f t="shared" si="323"/>
        <v/>
      </c>
    </row>
    <row r="6877" spans="19:21" ht="23.25" customHeight="1" x14ac:dyDescent="0.35">
      <c r="S6877" s="56" t="str">
        <f t="shared" si="321"/>
        <v/>
      </c>
      <c r="T6877" s="57" t="str">
        <f t="shared" si="322"/>
        <v/>
      </c>
      <c r="U6877" s="58" t="str">
        <f t="shared" si="323"/>
        <v/>
      </c>
    </row>
    <row r="6878" spans="19:21" ht="23.25" customHeight="1" x14ac:dyDescent="0.35">
      <c r="S6878" s="56" t="str">
        <f t="shared" si="321"/>
        <v/>
      </c>
      <c r="T6878" s="57" t="str">
        <f t="shared" si="322"/>
        <v/>
      </c>
      <c r="U6878" s="58" t="str">
        <f t="shared" si="323"/>
        <v/>
      </c>
    </row>
    <row r="6879" spans="19:21" ht="23.25" customHeight="1" x14ac:dyDescent="0.35">
      <c r="S6879" s="56" t="str">
        <f t="shared" si="321"/>
        <v/>
      </c>
      <c r="T6879" s="57" t="str">
        <f t="shared" si="322"/>
        <v/>
      </c>
      <c r="U6879" s="58" t="str">
        <f t="shared" si="323"/>
        <v/>
      </c>
    </row>
    <row r="6880" spans="19:21" ht="23.25" customHeight="1" x14ac:dyDescent="0.35">
      <c r="S6880" s="56" t="str">
        <f t="shared" si="321"/>
        <v/>
      </c>
      <c r="T6880" s="57" t="str">
        <f t="shared" si="322"/>
        <v/>
      </c>
      <c r="U6880" s="58" t="str">
        <f t="shared" si="323"/>
        <v/>
      </c>
    </row>
    <row r="6881" spans="19:21" ht="23.25" customHeight="1" x14ac:dyDescent="0.35">
      <c r="S6881" s="56" t="str">
        <f t="shared" si="321"/>
        <v/>
      </c>
      <c r="T6881" s="57" t="str">
        <f t="shared" si="322"/>
        <v/>
      </c>
      <c r="U6881" s="58" t="str">
        <f t="shared" si="323"/>
        <v/>
      </c>
    </row>
    <row r="6882" spans="19:21" ht="23.25" customHeight="1" x14ac:dyDescent="0.35">
      <c r="S6882" s="56" t="str">
        <f t="shared" si="321"/>
        <v/>
      </c>
      <c r="T6882" s="57" t="str">
        <f t="shared" si="322"/>
        <v/>
      </c>
      <c r="U6882" s="58" t="str">
        <f t="shared" si="323"/>
        <v/>
      </c>
    </row>
    <row r="6883" spans="19:21" ht="23.25" customHeight="1" x14ac:dyDescent="0.35">
      <c r="S6883" s="56" t="str">
        <f t="shared" si="321"/>
        <v/>
      </c>
      <c r="T6883" s="57" t="str">
        <f t="shared" si="322"/>
        <v/>
      </c>
      <c r="U6883" s="58" t="str">
        <f t="shared" si="323"/>
        <v/>
      </c>
    </row>
    <row r="6884" spans="19:21" ht="23.25" customHeight="1" x14ac:dyDescent="0.35">
      <c r="S6884" s="56" t="str">
        <f t="shared" si="321"/>
        <v/>
      </c>
      <c r="T6884" s="57" t="str">
        <f t="shared" si="322"/>
        <v/>
      </c>
      <c r="U6884" s="58" t="str">
        <f t="shared" si="323"/>
        <v/>
      </c>
    </row>
    <row r="6885" spans="19:21" ht="23.25" customHeight="1" x14ac:dyDescent="0.35">
      <c r="S6885" s="56" t="str">
        <f t="shared" si="321"/>
        <v/>
      </c>
      <c r="T6885" s="57" t="str">
        <f t="shared" si="322"/>
        <v/>
      </c>
      <c r="U6885" s="58" t="str">
        <f t="shared" si="323"/>
        <v/>
      </c>
    </row>
    <row r="6886" spans="19:21" ht="23.25" customHeight="1" x14ac:dyDescent="0.35">
      <c r="S6886" s="56" t="str">
        <f t="shared" si="321"/>
        <v/>
      </c>
      <c r="T6886" s="57" t="str">
        <f t="shared" si="322"/>
        <v/>
      </c>
      <c r="U6886" s="58" t="str">
        <f t="shared" si="323"/>
        <v/>
      </c>
    </row>
    <row r="6887" spans="19:21" ht="23.25" customHeight="1" x14ac:dyDescent="0.35">
      <c r="S6887" s="56" t="str">
        <f t="shared" si="321"/>
        <v/>
      </c>
      <c r="T6887" s="57" t="str">
        <f t="shared" si="322"/>
        <v/>
      </c>
      <c r="U6887" s="58" t="str">
        <f t="shared" si="323"/>
        <v/>
      </c>
    </row>
    <row r="6888" spans="19:21" ht="23.25" customHeight="1" x14ac:dyDescent="0.35">
      <c r="S6888" s="56" t="str">
        <f t="shared" si="321"/>
        <v/>
      </c>
      <c r="T6888" s="57" t="str">
        <f t="shared" si="322"/>
        <v/>
      </c>
      <c r="U6888" s="58" t="str">
        <f t="shared" si="323"/>
        <v/>
      </c>
    </row>
    <row r="6889" spans="19:21" ht="23.25" customHeight="1" x14ac:dyDescent="0.35">
      <c r="S6889" s="56" t="str">
        <f t="shared" si="321"/>
        <v/>
      </c>
      <c r="T6889" s="57" t="str">
        <f t="shared" si="322"/>
        <v/>
      </c>
      <c r="U6889" s="58" t="str">
        <f t="shared" si="323"/>
        <v/>
      </c>
    </row>
    <row r="6890" spans="19:21" ht="23.25" customHeight="1" x14ac:dyDescent="0.35">
      <c r="S6890" s="56" t="str">
        <f t="shared" si="321"/>
        <v/>
      </c>
      <c r="T6890" s="57" t="str">
        <f t="shared" si="322"/>
        <v/>
      </c>
      <c r="U6890" s="58" t="str">
        <f t="shared" si="323"/>
        <v/>
      </c>
    </row>
    <row r="6891" spans="19:21" ht="23.25" customHeight="1" x14ac:dyDescent="0.35">
      <c r="S6891" s="56" t="str">
        <f t="shared" si="321"/>
        <v/>
      </c>
      <c r="T6891" s="57" t="str">
        <f t="shared" si="322"/>
        <v/>
      </c>
      <c r="U6891" s="58" t="str">
        <f t="shared" si="323"/>
        <v/>
      </c>
    </row>
    <row r="6892" spans="19:21" ht="23.25" customHeight="1" x14ac:dyDescent="0.35">
      <c r="S6892" s="56" t="str">
        <f t="shared" si="321"/>
        <v/>
      </c>
      <c r="T6892" s="57" t="str">
        <f t="shared" si="322"/>
        <v/>
      </c>
      <c r="U6892" s="58" t="str">
        <f t="shared" si="323"/>
        <v/>
      </c>
    </row>
    <row r="6893" spans="19:21" ht="23.25" customHeight="1" x14ac:dyDescent="0.35">
      <c r="S6893" s="56" t="str">
        <f t="shared" si="321"/>
        <v/>
      </c>
      <c r="T6893" s="57" t="str">
        <f t="shared" si="322"/>
        <v/>
      </c>
      <c r="U6893" s="58" t="str">
        <f t="shared" si="323"/>
        <v/>
      </c>
    </row>
    <row r="6894" spans="19:21" ht="23.25" customHeight="1" x14ac:dyDescent="0.35">
      <c r="S6894" s="56" t="str">
        <f t="shared" si="321"/>
        <v/>
      </c>
      <c r="T6894" s="57" t="str">
        <f t="shared" si="322"/>
        <v/>
      </c>
      <c r="U6894" s="58" t="str">
        <f t="shared" si="323"/>
        <v/>
      </c>
    </row>
    <row r="6895" spans="19:21" ht="23.25" customHeight="1" x14ac:dyDescent="0.35">
      <c r="S6895" s="56" t="str">
        <f t="shared" si="321"/>
        <v/>
      </c>
      <c r="T6895" s="57" t="str">
        <f t="shared" si="322"/>
        <v/>
      </c>
      <c r="U6895" s="58" t="str">
        <f t="shared" si="323"/>
        <v/>
      </c>
    </row>
    <row r="6896" spans="19:21" ht="23.25" customHeight="1" x14ac:dyDescent="0.35">
      <c r="S6896" s="56" t="str">
        <f t="shared" si="321"/>
        <v/>
      </c>
      <c r="T6896" s="57" t="str">
        <f t="shared" si="322"/>
        <v/>
      </c>
      <c r="U6896" s="58" t="str">
        <f t="shared" si="323"/>
        <v/>
      </c>
    </row>
    <row r="6897" spans="19:21" ht="23.25" customHeight="1" x14ac:dyDescent="0.35">
      <c r="S6897" s="56" t="str">
        <f t="shared" si="321"/>
        <v/>
      </c>
      <c r="T6897" s="57" t="str">
        <f t="shared" si="322"/>
        <v/>
      </c>
      <c r="U6897" s="58" t="str">
        <f t="shared" si="323"/>
        <v/>
      </c>
    </row>
    <row r="6898" spans="19:21" ht="23.25" customHeight="1" x14ac:dyDescent="0.35">
      <c r="S6898" s="56" t="str">
        <f t="shared" si="321"/>
        <v/>
      </c>
      <c r="T6898" s="57" t="str">
        <f t="shared" si="322"/>
        <v/>
      </c>
      <c r="U6898" s="58" t="str">
        <f t="shared" si="323"/>
        <v/>
      </c>
    </row>
    <row r="6899" spans="19:21" ht="23.25" customHeight="1" x14ac:dyDescent="0.35">
      <c r="S6899" s="56" t="str">
        <f t="shared" si="321"/>
        <v/>
      </c>
      <c r="T6899" s="57" t="str">
        <f t="shared" si="322"/>
        <v/>
      </c>
      <c r="U6899" s="58" t="str">
        <f t="shared" si="323"/>
        <v/>
      </c>
    </row>
    <row r="6900" spans="19:21" ht="23.25" customHeight="1" x14ac:dyDescent="0.35">
      <c r="S6900" s="56" t="str">
        <f t="shared" si="321"/>
        <v/>
      </c>
      <c r="T6900" s="57" t="str">
        <f t="shared" si="322"/>
        <v/>
      </c>
      <c r="U6900" s="58" t="str">
        <f t="shared" si="323"/>
        <v/>
      </c>
    </row>
    <row r="6901" spans="19:21" ht="23.25" customHeight="1" x14ac:dyDescent="0.35">
      <c r="S6901" s="56" t="str">
        <f t="shared" si="321"/>
        <v/>
      </c>
      <c r="T6901" s="57" t="str">
        <f t="shared" si="322"/>
        <v/>
      </c>
      <c r="U6901" s="58" t="str">
        <f t="shared" si="323"/>
        <v/>
      </c>
    </row>
    <row r="6902" spans="19:21" ht="23.25" customHeight="1" x14ac:dyDescent="0.35">
      <c r="S6902" s="56" t="str">
        <f t="shared" si="321"/>
        <v/>
      </c>
      <c r="T6902" s="57" t="str">
        <f t="shared" si="322"/>
        <v/>
      </c>
      <c r="U6902" s="58" t="str">
        <f t="shared" si="323"/>
        <v/>
      </c>
    </row>
    <row r="6903" spans="19:21" ht="23.25" customHeight="1" x14ac:dyDescent="0.35">
      <c r="S6903" s="56" t="str">
        <f t="shared" si="321"/>
        <v/>
      </c>
      <c r="T6903" s="57" t="str">
        <f t="shared" si="322"/>
        <v/>
      </c>
      <c r="U6903" s="58" t="str">
        <f t="shared" si="323"/>
        <v/>
      </c>
    </row>
    <row r="6904" spans="19:21" ht="23.25" customHeight="1" x14ac:dyDescent="0.35">
      <c r="S6904" s="56" t="str">
        <f t="shared" si="321"/>
        <v/>
      </c>
      <c r="T6904" s="57" t="str">
        <f t="shared" si="322"/>
        <v/>
      </c>
      <c r="U6904" s="58" t="str">
        <f t="shared" si="323"/>
        <v/>
      </c>
    </row>
    <row r="6905" spans="19:21" ht="23.25" customHeight="1" x14ac:dyDescent="0.35">
      <c r="S6905" s="56" t="str">
        <f t="shared" si="321"/>
        <v/>
      </c>
      <c r="T6905" s="57" t="str">
        <f t="shared" si="322"/>
        <v/>
      </c>
      <c r="U6905" s="58" t="str">
        <f t="shared" si="323"/>
        <v/>
      </c>
    </row>
    <row r="6906" spans="19:21" ht="23.25" customHeight="1" x14ac:dyDescent="0.35">
      <c r="S6906" s="56" t="str">
        <f t="shared" si="321"/>
        <v/>
      </c>
      <c r="T6906" s="57" t="str">
        <f t="shared" si="322"/>
        <v/>
      </c>
      <c r="U6906" s="58" t="str">
        <f t="shared" si="323"/>
        <v/>
      </c>
    </row>
    <row r="6907" spans="19:21" ht="23.25" customHeight="1" x14ac:dyDescent="0.35">
      <c r="S6907" s="56" t="str">
        <f t="shared" si="321"/>
        <v/>
      </c>
      <c r="T6907" s="57" t="str">
        <f t="shared" si="322"/>
        <v/>
      </c>
      <c r="U6907" s="58" t="str">
        <f t="shared" si="323"/>
        <v/>
      </c>
    </row>
    <row r="6908" spans="19:21" ht="23.25" customHeight="1" x14ac:dyDescent="0.35">
      <c r="S6908" s="56" t="str">
        <f t="shared" si="321"/>
        <v/>
      </c>
      <c r="T6908" s="57" t="str">
        <f t="shared" si="322"/>
        <v/>
      </c>
      <c r="U6908" s="58" t="str">
        <f t="shared" si="323"/>
        <v/>
      </c>
    </row>
    <row r="6909" spans="19:21" ht="23.25" customHeight="1" x14ac:dyDescent="0.35">
      <c r="S6909" s="56" t="str">
        <f t="shared" si="321"/>
        <v/>
      </c>
      <c r="T6909" s="57" t="str">
        <f t="shared" si="322"/>
        <v/>
      </c>
      <c r="U6909" s="58" t="str">
        <f t="shared" si="323"/>
        <v/>
      </c>
    </row>
    <row r="6910" spans="19:21" ht="23.25" customHeight="1" x14ac:dyDescent="0.35">
      <c r="S6910" s="56" t="str">
        <f t="shared" si="321"/>
        <v/>
      </c>
      <c r="T6910" s="57" t="str">
        <f t="shared" si="322"/>
        <v/>
      </c>
      <c r="U6910" s="58" t="str">
        <f t="shared" si="323"/>
        <v/>
      </c>
    </row>
    <row r="6911" spans="19:21" ht="23.25" customHeight="1" x14ac:dyDescent="0.35">
      <c r="S6911" s="56" t="str">
        <f t="shared" si="321"/>
        <v/>
      </c>
      <c r="T6911" s="57" t="str">
        <f t="shared" si="322"/>
        <v/>
      </c>
      <c r="U6911" s="58" t="str">
        <f t="shared" si="323"/>
        <v/>
      </c>
    </row>
    <row r="6912" spans="19:21" ht="23.25" customHeight="1" x14ac:dyDescent="0.35">
      <c r="S6912" s="56" t="str">
        <f t="shared" si="321"/>
        <v/>
      </c>
      <c r="T6912" s="57" t="str">
        <f t="shared" si="322"/>
        <v/>
      </c>
      <c r="U6912" s="58" t="str">
        <f t="shared" si="323"/>
        <v/>
      </c>
    </row>
    <row r="6913" spans="19:21" ht="23.25" customHeight="1" x14ac:dyDescent="0.35">
      <c r="S6913" s="56" t="str">
        <f t="shared" si="321"/>
        <v/>
      </c>
      <c r="T6913" s="57" t="str">
        <f t="shared" si="322"/>
        <v/>
      </c>
      <c r="U6913" s="58" t="str">
        <f t="shared" si="323"/>
        <v/>
      </c>
    </row>
    <row r="6914" spans="19:21" ht="23.25" customHeight="1" x14ac:dyDescent="0.35">
      <c r="S6914" s="56" t="str">
        <f t="shared" si="321"/>
        <v/>
      </c>
      <c r="T6914" s="57" t="str">
        <f t="shared" si="322"/>
        <v/>
      </c>
      <c r="U6914" s="58" t="str">
        <f t="shared" si="323"/>
        <v/>
      </c>
    </row>
    <row r="6915" spans="19:21" ht="23.25" customHeight="1" x14ac:dyDescent="0.35">
      <c r="S6915" s="56" t="str">
        <f t="shared" si="321"/>
        <v/>
      </c>
      <c r="T6915" s="57" t="str">
        <f t="shared" si="322"/>
        <v/>
      </c>
      <c r="U6915" s="58" t="str">
        <f t="shared" si="323"/>
        <v/>
      </c>
    </row>
    <row r="6916" spans="19:21" ht="23.25" customHeight="1" x14ac:dyDescent="0.35">
      <c r="S6916" s="56" t="str">
        <f t="shared" si="321"/>
        <v/>
      </c>
      <c r="T6916" s="57" t="str">
        <f t="shared" si="322"/>
        <v/>
      </c>
      <c r="U6916" s="58" t="str">
        <f t="shared" si="323"/>
        <v/>
      </c>
    </row>
    <row r="6917" spans="19:21" ht="23.25" customHeight="1" x14ac:dyDescent="0.35">
      <c r="S6917" s="56" t="str">
        <f t="shared" si="321"/>
        <v/>
      </c>
      <c r="T6917" s="57" t="str">
        <f t="shared" si="322"/>
        <v/>
      </c>
      <c r="U6917" s="58" t="str">
        <f t="shared" si="323"/>
        <v/>
      </c>
    </row>
    <row r="6918" spans="19:21" ht="23.25" customHeight="1" x14ac:dyDescent="0.35">
      <c r="S6918" s="56" t="str">
        <f t="shared" si="321"/>
        <v/>
      </c>
      <c r="T6918" s="57" t="str">
        <f t="shared" si="322"/>
        <v/>
      </c>
      <c r="U6918" s="58" t="str">
        <f t="shared" si="323"/>
        <v/>
      </c>
    </row>
    <row r="6919" spans="19:21" ht="23.25" customHeight="1" x14ac:dyDescent="0.35">
      <c r="S6919" s="56" t="str">
        <f t="shared" si="321"/>
        <v/>
      </c>
      <c r="T6919" s="57" t="str">
        <f t="shared" si="322"/>
        <v/>
      </c>
      <c r="U6919" s="58" t="str">
        <f t="shared" si="323"/>
        <v/>
      </c>
    </row>
    <row r="6920" spans="19:21" ht="23.25" customHeight="1" x14ac:dyDescent="0.35">
      <c r="S6920" s="56" t="str">
        <f t="shared" si="321"/>
        <v/>
      </c>
      <c r="T6920" s="57" t="str">
        <f t="shared" si="322"/>
        <v/>
      </c>
      <c r="U6920" s="58" t="str">
        <f t="shared" si="323"/>
        <v/>
      </c>
    </row>
    <row r="6921" spans="19:21" ht="23.25" customHeight="1" x14ac:dyDescent="0.35">
      <c r="S6921" s="56" t="str">
        <f t="shared" ref="S6921:S6984" si="324">IF(A6921="","",A$5-A6921)</f>
        <v/>
      </c>
      <c r="T6921" s="57" t="str">
        <f t="shared" ref="T6921:T6984" si="325">IF(S6921="","",IF(S6921&lt;4,"0-3 Days",IF(S6921&lt;31,"4-30 Days",IF(S6921&lt;61,"31-60 Days",IF(S6921&lt;=90,"61-90 Days",IF(S6921&gt;90,"Above 90 Days","0"))))))</f>
        <v/>
      </c>
      <c r="U6921" s="58" t="str">
        <f t="shared" ref="U6921:U6984" si="326">IF(C6921="","",IF(C6921&gt;0,IF(S6921&lt;30,"Normal",IF(S6921&lt;60,"Especially Mentioned",IF(S6921&lt;90,"Substandard",IF(S6921&lt;=180,"Doubtful",IF(S6921&gt;180,"Loss","0"))))),"Not Applicable"))</f>
        <v/>
      </c>
    </row>
    <row r="6922" spans="19:21" ht="23.25" customHeight="1" x14ac:dyDescent="0.35">
      <c r="S6922" s="56" t="str">
        <f t="shared" si="324"/>
        <v/>
      </c>
      <c r="T6922" s="57" t="str">
        <f t="shared" si="325"/>
        <v/>
      </c>
      <c r="U6922" s="58" t="str">
        <f t="shared" si="326"/>
        <v/>
      </c>
    </row>
    <row r="6923" spans="19:21" ht="23.25" customHeight="1" x14ac:dyDescent="0.35">
      <c r="S6923" s="56" t="str">
        <f t="shared" si="324"/>
        <v/>
      </c>
      <c r="T6923" s="57" t="str">
        <f t="shared" si="325"/>
        <v/>
      </c>
      <c r="U6923" s="58" t="str">
        <f t="shared" si="326"/>
        <v/>
      </c>
    </row>
    <row r="6924" spans="19:21" ht="23.25" customHeight="1" x14ac:dyDescent="0.35">
      <c r="S6924" s="56" t="str">
        <f t="shared" si="324"/>
        <v/>
      </c>
      <c r="T6924" s="57" t="str">
        <f t="shared" si="325"/>
        <v/>
      </c>
      <c r="U6924" s="58" t="str">
        <f t="shared" si="326"/>
        <v/>
      </c>
    </row>
    <row r="6925" spans="19:21" ht="23.25" customHeight="1" x14ac:dyDescent="0.35">
      <c r="S6925" s="56" t="str">
        <f t="shared" si="324"/>
        <v/>
      </c>
      <c r="T6925" s="57" t="str">
        <f t="shared" si="325"/>
        <v/>
      </c>
      <c r="U6925" s="58" t="str">
        <f t="shared" si="326"/>
        <v/>
      </c>
    </row>
    <row r="6926" spans="19:21" ht="23.25" customHeight="1" x14ac:dyDescent="0.35">
      <c r="S6926" s="56" t="str">
        <f t="shared" si="324"/>
        <v/>
      </c>
      <c r="T6926" s="57" t="str">
        <f t="shared" si="325"/>
        <v/>
      </c>
      <c r="U6926" s="58" t="str">
        <f t="shared" si="326"/>
        <v/>
      </c>
    </row>
    <row r="6927" spans="19:21" ht="23.25" customHeight="1" x14ac:dyDescent="0.35">
      <c r="S6927" s="56" t="str">
        <f t="shared" si="324"/>
        <v/>
      </c>
      <c r="T6927" s="57" t="str">
        <f t="shared" si="325"/>
        <v/>
      </c>
      <c r="U6927" s="58" t="str">
        <f t="shared" si="326"/>
        <v/>
      </c>
    </row>
    <row r="6928" spans="19:21" ht="23.25" customHeight="1" x14ac:dyDescent="0.35">
      <c r="S6928" s="56" t="str">
        <f t="shared" si="324"/>
        <v/>
      </c>
      <c r="T6928" s="57" t="str">
        <f t="shared" si="325"/>
        <v/>
      </c>
      <c r="U6928" s="58" t="str">
        <f t="shared" si="326"/>
        <v/>
      </c>
    </row>
    <row r="6929" spans="19:21" ht="23.25" customHeight="1" x14ac:dyDescent="0.35">
      <c r="S6929" s="56" t="str">
        <f t="shared" si="324"/>
        <v/>
      </c>
      <c r="T6929" s="57" t="str">
        <f t="shared" si="325"/>
        <v/>
      </c>
      <c r="U6929" s="58" t="str">
        <f t="shared" si="326"/>
        <v/>
      </c>
    </row>
    <row r="6930" spans="19:21" ht="23.25" customHeight="1" x14ac:dyDescent="0.35">
      <c r="S6930" s="56" t="str">
        <f t="shared" si="324"/>
        <v/>
      </c>
      <c r="T6930" s="57" t="str">
        <f t="shared" si="325"/>
        <v/>
      </c>
      <c r="U6930" s="58" t="str">
        <f t="shared" si="326"/>
        <v/>
      </c>
    </row>
    <row r="6931" spans="19:21" ht="23.25" customHeight="1" x14ac:dyDescent="0.35">
      <c r="S6931" s="56" t="str">
        <f t="shared" si="324"/>
        <v/>
      </c>
      <c r="T6931" s="57" t="str">
        <f t="shared" si="325"/>
        <v/>
      </c>
      <c r="U6931" s="58" t="str">
        <f t="shared" si="326"/>
        <v/>
      </c>
    </row>
    <row r="6932" spans="19:21" ht="23.25" customHeight="1" x14ac:dyDescent="0.35">
      <c r="S6932" s="56" t="str">
        <f t="shared" si="324"/>
        <v/>
      </c>
      <c r="T6932" s="57" t="str">
        <f t="shared" si="325"/>
        <v/>
      </c>
      <c r="U6932" s="58" t="str">
        <f t="shared" si="326"/>
        <v/>
      </c>
    </row>
    <row r="6933" spans="19:21" ht="23.25" customHeight="1" x14ac:dyDescent="0.35">
      <c r="S6933" s="56" t="str">
        <f t="shared" si="324"/>
        <v/>
      </c>
      <c r="T6933" s="57" t="str">
        <f t="shared" si="325"/>
        <v/>
      </c>
      <c r="U6933" s="58" t="str">
        <f t="shared" si="326"/>
        <v/>
      </c>
    </row>
    <row r="6934" spans="19:21" ht="23.25" customHeight="1" x14ac:dyDescent="0.35">
      <c r="S6934" s="56" t="str">
        <f t="shared" si="324"/>
        <v/>
      </c>
      <c r="T6934" s="57" t="str">
        <f t="shared" si="325"/>
        <v/>
      </c>
      <c r="U6934" s="58" t="str">
        <f t="shared" si="326"/>
        <v/>
      </c>
    </row>
    <row r="6935" spans="19:21" ht="23.25" customHeight="1" x14ac:dyDescent="0.35">
      <c r="S6935" s="56" t="str">
        <f t="shared" si="324"/>
        <v/>
      </c>
      <c r="T6935" s="57" t="str">
        <f t="shared" si="325"/>
        <v/>
      </c>
      <c r="U6935" s="58" t="str">
        <f t="shared" si="326"/>
        <v/>
      </c>
    </row>
    <row r="6936" spans="19:21" ht="23.25" customHeight="1" x14ac:dyDescent="0.35">
      <c r="S6936" s="56" t="str">
        <f t="shared" si="324"/>
        <v/>
      </c>
      <c r="T6936" s="57" t="str">
        <f t="shared" si="325"/>
        <v/>
      </c>
      <c r="U6936" s="58" t="str">
        <f t="shared" si="326"/>
        <v/>
      </c>
    </row>
    <row r="6937" spans="19:21" ht="23.25" customHeight="1" x14ac:dyDescent="0.35">
      <c r="S6937" s="56" t="str">
        <f t="shared" si="324"/>
        <v/>
      </c>
      <c r="T6937" s="57" t="str">
        <f t="shared" si="325"/>
        <v/>
      </c>
      <c r="U6937" s="58" t="str">
        <f t="shared" si="326"/>
        <v/>
      </c>
    </row>
    <row r="6938" spans="19:21" ht="23.25" customHeight="1" x14ac:dyDescent="0.35">
      <c r="S6938" s="56" t="str">
        <f t="shared" si="324"/>
        <v/>
      </c>
      <c r="T6938" s="57" t="str">
        <f t="shared" si="325"/>
        <v/>
      </c>
      <c r="U6938" s="58" t="str">
        <f t="shared" si="326"/>
        <v/>
      </c>
    </row>
    <row r="6939" spans="19:21" ht="23.25" customHeight="1" x14ac:dyDescent="0.35">
      <c r="S6939" s="56" t="str">
        <f t="shared" si="324"/>
        <v/>
      </c>
      <c r="T6939" s="57" t="str">
        <f t="shared" si="325"/>
        <v/>
      </c>
      <c r="U6939" s="58" t="str">
        <f t="shared" si="326"/>
        <v/>
      </c>
    </row>
    <row r="6940" spans="19:21" ht="23.25" customHeight="1" x14ac:dyDescent="0.35">
      <c r="S6940" s="56" t="str">
        <f t="shared" si="324"/>
        <v/>
      </c>
      <c r="T6940" s="57" t="str">
        <f t="shared" si="325"/>
        <v/>
      </c>
      <c r="U6940" s="58" t="str">
        <f t="shared" si="326"/>
        <v/>
      </c>
    </row>
    <row r="6941" spans="19:21" ht="23.25" customHeight="1" x14ac:dyDescent="0.35">
      <c r="S6941" s="56" t="str">
        <f t="shared" si="324"/>
        <v/>
      </c>
      <c r="T6941" s="57" t="str">
        <f t="shared" si="325"/>
        <v/>
      </c>
      <c r="U6941" s="58" t="str">
        <f t="shared" si="326"/>
        <v/>
      </c>
    </row>
    <row r="6942" spans="19:21" ht="23.25" customHeight="1" x14ac:dyDescent="0.35">
      <c r="S6942" s="56" t="str">
        <f t="shared" si="324"/>
        <v/>
      </c>
      <c r="T6942" s="57" t="str">
        <f t="shared" si="325"/>
        <v/>
      </c>
      <c r="U6942" s="58" t="str">
        <f t="shared" si="326"/>
        <v/>
      </c>
    </row>
    <row r="6943" spans="19:21" ht="23.25" customHeight="1" x14ac:dyDescent="0.35">
      <c r="S6943" s="56" t="str">
        <f t="shared" si="324"/>
        <v/>
      </c>
      <c r="T6943" s="57" t="str">
        <f t="shared" si="325"/>
        <v/>
      </c>
      <c r="U6943" s="58" t="str">
        <f t="shared" si="326"/>
        <v/>
      </c>
    </row>
    <row r="6944" spans="19:21" ht="23.25" customHeight="1" x14ac:dyDescent="0.35">
      <c r="S6944" s="56" t="str">
        <f t="shared" si="324"/>
        <v/>
      </c>
      <c r="T6944" s="57" t="str">
        <f t="shared" si="325"/>
        <v/>
      </c>
      <c r="U6944" s="58" t="str">
        <f t="shared" si="326"/>
        <v/>
      </c>
    </row>
    <row r="6945" spans="19:21" ht="23.25" customHeight="1" x14ac:dyDescent="0.35">
      <c r="S6945" s="56" t="str">
        <f t="shared" si="324"/>
        <v/>
      </c>
      <c r="T6945" s="57" t="str">
        <f t="shared" si="325"/>
        <v/>
      </c>
      <c r="U6945" s="58" t="str">
        <f t="shared" si="326"/>
        <v/>
      </c>
    </row>
    <row r="6946" spans="19:21" ht="23.25" customHeight="1" x14ac:dyDescent="0.35">
      <c r="S6946" s="56" t="str">
        <f t="shared" si="324"/>
        <v/>
      </c>
      <c r="T6946" s="57" t="str">
        <f t="shared" si="325"/>
        <v/>
      </c>
      <c r="U6946" s="58" t="str">
        <f t="shared" si="326"/>
        <v/>
      </c>
    </row>
    <row r="6947" spans="19:21" ht="23.25" customHeight="1" x14ac:dyDescent="0.35">
      <c r="S6947" s="56" t="str">
        <f t="shared" si="324"/>
        <v/>
      </c>
      <c r="T6947" s="57" t="str">
        <f t="shared" si="325"/>
        <v/>
      </c>
      <c r="U6947" s="58" t="str">
        <f t="shared" si="326"/>
        <v/>
      </c>
    </row>
    <row r="6948" spans="19:21" ht="23.25" customHeight="1" x14ac:dyDescent="0.35">
      <c r="S6948" s="56" t="str">
        <f t="shared" si="324"/>
        <v/>
      </c>
      <c r="T6948" s="57" t="str">
        <f t="shared" si="325"/>
        <v/>
      </c>
      <c r="U6948" s="58" t="str">
        <f t="shared" si="326"/>
        <v/>
      </c>
    </row>
    <row r="6949" spans="19:21" ht="23.25" customHeight="1" x14ac:dyDescent="0.35">
      <c r="S6949" s="56" t="str">
        <f t="shared" si="324"/>
        <v/>
      </c>
      <c r="T6949" s="57" t="str">
        <f t="shared" si="325"/>
        <v/>
      </c>
      <c r="U6949" s="58" t="str">
        <f t="shared" si="326"/>
        <v/>
      </c>
    </row>
    <row r="6950" spans="19:21" ht="23.25" customHeight="1" x14ac:dyDescent="0.35">
      <c r="S6950" s="56" t="str">
        <f t="shared" si="324"/>
        <v/>
      </c>
      <c r="T6950" s="57" t="str">
        <f t="shared" si="325"/>
        <v/>
      </c>
      <c r="U6950" s="58" t="str">
        <f t="shared" si="326"/>
        <v/>
      </c>
    </row>
    <row r="6951" spans="19:21" ht="23.25" customHeight="1" x14ac:dyDescent="0.35">
      <c r="S6951" s="56" t="str">
        <f t="shared" si="324"/>
        <v/>
      </c>
      <c r="T6951" s="57" t="str">
        <f t="shared" si="325"/>
        <v/>
      </c>
      <c r="U6951" s="58" t="str">
        <f t="shared" si="326"/>
        <v/>
      </c>
    </row>
    <row r="6952" spans="19:21" ht="23.25" customHeight="1" x14ac:dyDescent="0.35">
      <c r="S6952" s="56" t="str">
        <f t="shared" si="324"/>
        <v/>
      </c>
      <c r="T6952" s="57" t="str">
        <f t="shared" si="325"/>
        <v/>
      </c>
      <c r="U6952" s="58" t="str">
        <f t="shared" si="326"/>
        <v/>
      </c>
    </row>
    <row r="6953" spans="19:21" ht="23.25" customHeight="1" x14ac:dyDescent="0.35">
      <c r="S6953" s="56" t="str">
        <f t="shared" si="324"/>
        <v/>
      </c>
      <c r="T6953" s="57" t="str">
        <f t="shared" si="325"/>
        <v/>
      </c>
      <c r="U6953" s="58" t="str">
        <f t="shared" si="326"/>
        <v/>
      </c>
    </row>
    <row r="6954" spans="19:21" ht="23.25" customHeight="1" x14ac:dyDescent="0.35">
      <c r="S6954" s="56" t="str">
        <f t="shared" si="324"/>
        <v/>
      </c>
      <c r="T6954" s="57" t="str">
        <f t="shared" si="325"/>
        <v/>
      </c>
      <c r="U6954" s="58" t="str">
        <f t="shared" si="326"/>
        <v/>
      </c>
    </row>
    <row r="6955" spans="19:21" ht="23.25" customHeight="1" x14ac:dyDescent="0.35">
      <c r="S6955" s="56" t="str">
        <f t="shared" si="324"/>
        <v/>
      </c>
      <c r="T6955" s="57" t="str">
        <f t="shared" si="325"/>
        <v/>
      </c>
      <c r="U6955" s="58" t="str">
        <f t="shared" si="326"/>
        <v/>
      </c>
    </row>
    <row r="6956" spans="19:21" ht="23.25" customHeight="1" x14ac:dyDescent="0.35">
      <c r="S6956" s="56" t="str">
        <f t="shared" si="324"/>
        <v/>
      </c>
      <c r="T6956" s="57" t="str">
        <f t="shared" si="325"/>
        <v/>
      </c>
      <c r="U6956" s="58" t="str">
        <f t="shared" si="326"/>
        <v/>
      </c>
    </row>
    <row r="6957" spans="19:21" ht="23.25" customHeight="1" x14ac:dyDescent="0.35">
      <c r="S6957" s="56" t="str">
        <f t="shared" si="324"/>
        <v/>
      </c>
      <c r="T6957" s="57" t="str">
        <f t="shared" si="325"/>
        <v/>
      </c>
      <c r="U6957" s="58" t="str">
        <f t="shared" si="326"/>
        <v/>
      </c>
    </row>
    <row r="6958" spans="19:21" ht="23.25" customHeight="1" x14ac:dyDescent="0.35">
      <c r="S6958" s="56" t="str">
        <f t="shared" si="324"/>
        <v/>
      </c>
      <c r="T6958" s="57" t="str">
        <f t="shared" si="325"/>
        <v/>
      </c>
      <c r="U6958" s="58" t="str">
        <f t="shared" si="326"/>
        <v/>
      </c>
    </row>
    <row r="6959" spans="19:21" ht="23.25" customHeight="1" x14ac:dyDescent="0.35">
      <c r="S6959" s="56" t="str">
        <f t="shared" si="324"/>
        <v/>
      </c>
      <c r="T6959" s="57" t="str">
        <f t="shared" si="325"/>
        <v/>
      </c>
      <c r="U6959" s="58" t="str">
        <f t="shared" si="326"/>
        <v/>
      </c>
    </row>
    <row r="6960" spans="19:21" ht="23.25" customHeight="1" x14ac:dyDescent="0.35">
      <c r="S6960" s="56" t="str">
        <f t="shared" si="324"/>
        <v/>
      </c>
      <c r="T6960" s="57" t="str">
        <f t="shared" si="325"/>
        <v/>
      </c>
      <c r="U6960" s="58" t="str">
        <f t="shared" si="326"/>
        <v/>
      </c>
    </row>
    <row r="6961" spans="19:21" ht="23.25" customHeight="1" x14ac:dyDescent="0.35">
      <c r="S6961" s="56" t="str">
        <f t="shared" si="324"/>
        <v/>
      </c>
      <c r="T6961" s="57" t="str">
        <f t="shared" si="325"/>
        <v/>
      </c>
      <c r="U6961" s="58" t="str">
        <f t="shared" si="326"/>
        <v/>
      </c>
    </row>
    <row r="6962" spans="19:21" ht="23.25" customHeight="1" x14ac:dyDescent="0.35">
      <c r="S6962" s="56" t="str">
        <f t="shared" si="324"/>
        <v/>
      </c>
      <c r="T6962" s="57" t="str">
        <f t="shared" si="325"/>
        <v/>
      </c>
      <c r="U6962" s="58" t="str">
        <f t="shared" si="326"/>
        <v/>
      </c>
    </row>
    <row r="6963" spans="19:21" ht="23.25" customHeight="1" x14ac:dyDescent="0.35">
      <c r="S6963" s="56" t="str">
        <f t="shared" si="324"/>
        <v/>
      </c>
      <c r="T6963" s="57" t="str">
        <f t="shared" si="325"/>
        <v/>
      </c>
      <c r="U6963" s="58" t="str">
        <f t="shared" si="326"/>
        <v/>
      </c>
    </row>
    <row r="6964" spans="19:21" ht="23.25" customHeight="1" x14ac:dyDescent="0.35">
      <c r="S6964" s="56" t="str">
        <f t="shared" si="324"/>
        <v/>
      </c>
      <c r="T6964" s="57" t="str">
        <f t="shared" si="325"/>
        <v/>
      </c>
      <c r="U6964" s="58" t="str">
        <f t="shared" si="326"/>
        <v/>
      </c>
    </row>
    <row r="6965" spans="19:21" ht="23.25" customHeight="1" x14ac:dyDescent="0.35">
      <c r="S6965" s="56" t="str">
        <f t="shared" si="324"/>
        <v/>
      </c>
      <c r="T6965" s="57" t="str">
        <f t="shared" si="325"/>
        <v/>
      </c>
      <c r="U6965" s="58" t="str">
        <f t="shared" si="326"/>
        <v/>
      </c>
    </row>
    <row r="6966" spans="19:21" ht="23.25" customHeight="1" x14ac:dyDescent="0.35">
      <c r="S6966" s="56" t="str">
        <f t="shared" si="324"/>
        <v/>
      </c>
      <c r="T6966" s="57" t="str">
        <f t="shared" si="325"/>
        <v/>
      </c>
      <c r="U6966" s="58" t="str">
        <f t="shared" si="326"/>
        <v/>
      </c>
    </row>
    <row r="6967" spans="19:21" ht="23.25" customHeight="1" x14ac:dyDescent="0.35">
      <c r="S6967" s="56" t="str">
        <f t="shared" si="324"/>
        <v/>
      </c>
      <c r="T6967" s="57" t="str">
        <f t="shared" si="325"/>
        <v/>
      </c>
      <c r="U6967" s="58" t="str">
        <f t="shared" si="326"/>
        <v/>
      </c>
    </row>
    <row r="6968" spans="19:21" ht="23.25" customHeight="1" x14ac:dyDescent="0.35">
      <c r="S6968" s="56" t="str">
        <f t="shared" si="324"/>
        <v/>
      </c>
      <c r="T6968" s="57" t="str">
        <f t="shared" si="325"/>
        <v/>
      </c>
      <c r="U6968" s="58" t="str">
        <f t="shared" si="326"/>
        <v/>
      </c>
    </row>
    <row r="6969" spans="19:21" ht="23.25" customHeight="1" x14ac:dyDescent="0.35">
      <c r="S6969" s="56" t="str">
        <f t="shared" si="324"/>
        <v/>
      </c>
      <c r="T6969" s="57" t="str">
        <f t="shared" si="325"/>
        <v/>
      </c>
      <c r="U6969" s="58" t="str">
        <f t="shared" si="326"/>
        <v/>
      </c>
    </row>
    <row r="6970" spans="19:21" ht="23.25" customHeight="1" x14ac:dyDescent="0.35">
      <c r="S6970" s="56" t="str">
        <f t="shared" si="324"/>
        <v/>
      </c>
      <c r="T6970" s="57" t="str">
        <f t="shared" si="325"/>
        <v/>
      </c>
      <c r="U6970" s="58" t="str">
        <f t="shared" si="326"/>
        <v/>
      </c>
    </row>
    <row r="6971" spans="19:21" ht="23.25" customHeight="1" x14ac:dyDescent="0.35">
      <c r="S6971" s="56" t="str">
        <f t="shared" si="324"/>
        <v/>
      </c>
      <c r="T6971" s="57" t="str">
        <f t="shared" si="325"/>
        <v/>
      </c>
      <c r="U6971" s="58" t="str">
        <f t="shared" si="326"/>
        <v/>
      </c>
    </row>
    <row r="6972" spans="19:21" ht="23.25" customHeight="1" x14ac:dyDescent="0.35">
      <c r="S6972" s="56" t="str">
        <f t="shared" si="324"/>
        <v/>
      </c>
      <c r="T6972" s="57" t="str">
        <f t="shared" si="325"/>
        <v/>
      </c>
      <c r="U6972" s="58" t="str">
        <f t="shared" si="326"/>
        <v/>
      </c>
    </row>
    <row r="6973" spans="19:21" ht="23.25" customHeight="1" x14ac:dyDescent="0.35">
      <c r="S6973" s="56" t="str">
        <f t="shared" si="324"/>
        <v/>
      </c>
      <c r="T6973" s="57" t="str">
        <f t="shared" si="325"/>
        <v/>
      </c>
      <c r="U6973" s="58" t="str">
        <f t="shared" si="326"/>
        <v/>
      </c>
    </row>
    <row r="6974" spans="19:21" ht="23.25" customHeight="1" x14ac:dyDescent="0.35">
      <c r="S6974" s="56" t="str">
        <f t="shared" si="324"/>
        <v/>
      </c>
      <c r="T6974" s="57" t="str">
        <f t="shared" si="325"/>
        <v/>
      </c>
      <c r="U6974" s="58" t="str">
        <f t="shared" si="326"/>
        <v/>
      </c>
    </row>
    <row r="6975" spans="19:21" ht="23.25" customHeight="1" x14ac:dyDescent="0.35">
      <c r="S6975" s="56" t="str">
        <f t="shared" si="324"/>
        <v/>
      </c>
      <c r="T6975" s="57" t="str">
        <f t="shared" si="325"/>
        <v/>
      </c>
      <c r="U6975" s="58" t="str">
        <f t="shared" si="326"/>
        <v/>
      </c>
    </row>
    <row r="6976" spans="19:21" ht="23.25" customHeight="1" x14ac:dyDescent="0.35">
      <c r="S6976" s="56" t="str">
        <f t="shared" si="324"/>
        <v/>
      </c>
      <c r="T6976" s="57" t="str">
        <f t="shared" si="325"/>
        <v/>
      </c>
      <c r="U6976" s="58" t="str">
        <f t="shared" si="326"/>
        <v/>
      </c>
    </row>
    <row r="6977" spans="19:21" ht="23.25" customHeight="1" x14ac:dyDescent="0.35">
      <c r="S6977" s="56" t="str">
        <f t="shared" si="324"/>
        <v/>
      </c>
      <c r="T6977" s="57" t="str">
        <f t="shared" si="325"/>
        <v/>
      </c>
      <c r="U6977" s="58" t="str">
        <f t="shared" si="326"/>
        <v/>
      </c>
    </row>
    <row r="6978" spans="19:21" ht="23.25" customHeight="1" x14ac:dyDescent="0.35">
      <c r="S6978" s="56" t="str">
        <f t="shared" si="324"/>
        <v/>
      </c>
      <c r="T6978" s="57" t="str">
        <f t="shared" si="325"/>
        <v/>
      </c>
      <c r="U6978" s="58" t="str">
        <f t="shared" si="326"/>
        <v/>
      </c>
    </row>
    <row r="6979" spans="19:21" ht="23.25" customHeight="1" x14ac:dyDescent="0.35">
      <c r="S6979" s="56" t="str">
        <f t="shared" si="324"/>
        <v/>
      </c>
      <c r="T6979" s="57" t="str">
        <f t="shared" si="325"/>
        <v/>
      </c>
      <c r="U6979" s="58" t="str">
        <f t="shared" si="326"/>
        <v/>
      </c>
    </row>
    <row r="6980" spans="19:21" ht="23.25" customHeight="1" x14ac:dyDescent="0.35">
      <c r="S6980" s="56" t="str">
        <f t="shared" si="324"/>
        <v/>
      </c>
      <c r="T6980" s="57" t="str">
        <f t="shared" si="325"/>
        <v/>
      </c>
      <c r="U6980" s="58" t="str">
        <f t="shared" si="326"/>
        <v/>
      </c>
    </row>
    <row r="6981" spans="19:21" ht="23.25" customHeight="1" x14ac:dyDescent="0.35">
      <c r="S6981" s="56" t="str">
        <f t="shared" si="324"/>
        <v/>
      </c>
      <c r="T6981" s="57" t="str">
        <f t="shared" si="325"/>
        <v/>
      </c>
      <c r="U6981" s="58" t="str">
        <f t="shared" si="326"/>
        <v/>
      </c>
    </row>
    <row r="6982" spans="19:21" ht="23.25" customHeight="1" x14ac:dyDescent="0.35">
      <c r="S6982" s="56" t="str">
        <f t="shared" si="324"/>
        <v/>
      </c>
      <c r="T6982" s="57" t="str">
        <f t="shared" si="325"/>
        <v/>
      </c>
      <c r="U6982" s="58" t="str">
        <f t="shared" si="326"/>
        <v/>
      </c>
    </row>
    <row r="6983" spans="19:21" ht="23.25" customHeight="1" x14ac:dyDescent="0.35">
      <c r="S6983" s="56" t="str">
        <f t="shared" si="324"/>
        <v/>
      </c>
      <c r="T6983" s="57" t="str">
        <f t="shared" si="325"/>
        <v/>
      </c>
      <c r="U6983" s="58" t="str">
        <f t="shared" si="326"/>
        <v/>
      </c>
    </row>
    <row r="6984" spans="19:21" ht="23.25" customHeight="1" x14ac:dyDescent="0.35">
      <c r="S6984" s="56" t="str">
        <f t="shared" si="324"/>
        <v/>
      </c>
      <c r="T6984" s="57" t="str">
        <f t="shared" si="325"/>
        <v/>
      </c>
      <c r="U6984" s="58" t="str">
        <f t="shared" si="326"/>
        <v/>
      </c>
    </row>
    <row r="6985" spans="19:21" ht="23.25" customHeight="1" x14ac:dyDescent="0.35">
      <c r="S6985" s="56" t="str">
        <f t="shared" ref="S6985:S7048" si="327">IF(A6985="","",A$5-A6985)</f>
        <v/>
      </c>
      <c r="T6985" s="57" t="str">
        <f t="shared" ref="T6985:T7048" si="328">IF(S6985="","",IF(S6985&lt;4,"0-3 Days",IF(S6985&lt;31,"4-30 Days",IF(S6985&lt;61,"31-60 Days",IF(S6985&lt;=90,"61-90 Days",IF(S6985&gt;90,"Above 90 Days","0"))))))</f>
        <v/>
      </c>
      <c r="U6985" s="58" t="str">
        <f t="shared" ref="U6985:U7048" si="329">IF(C6985="","",IF(C6985&gt;0,IF(S6985&lt;30,"Normal",IF(S6985&lt;60,"Especially Mentioned",IF(S6985&lt;90,"Substandard",IF(S6985&lt;=180,"Doubtful",IF(S6985&gt;180,"Loss","0"))))),"Not Applicable"))</f>
        <v/>
      </c>
    </row>
    <row r="6986" spans="19:21" ht="23.25" customHeight="1" x14ac:dyDescent="0.35">
      <c r="S6986" s="56" t="str">
        <f t="shared" si="327"/>
        <v/>
      </c>
      <c r="T6986" s="57" t="str">
        <f t="shared" si="328"/>
        <v/>
      </c>
      <c r="U6986" s="58" t="str">
        <f t="shared" si="329"/>
        <v/>
      </c>
    </row>
    <row r="6987" spans="19:21" ht="23.25" customHeight="1" x14ac:dyDescent="0.35">
      <c r="S6987" s="56" t="str">
        <f t="shared" si="327"/>
        <v/>
      </c>
      <c r="T6987" s="57" t="str">
        <f t="shared" si="328"/>
        <v/>
      </c>
      <c r="U6987" s="58" t="str">
        <f t="shared" si="329"/>
        <v/>
      </c>
    </row>
    <row r="6988" spans="19:21" ht="23.25" customHeight="1" x14ac:dyDescent="0.35">
      <c r="S6988" s="56" t="str">
        <f t="shared" si="327"/>
        <v/>
      </c>
      <c r="T6988" s="57" t="str">
        <f t="shared" si="328"/>
        <v/>
      </c>
      <c r="U6988" s="58" t="str">
        <f t="shared" si="329"/>
        <v/>
      </c>
    </row>
    <row r="6989" spans="19:21" ht="23.25" customHeight="1" x14ac:dyDescent="0.35">
      <c r="S6989" s="56" t="str">
        <f t="shared" si="327"/>
        <v/>
      </c>
      <c r="T6989" s="57" t="str">
        <f t="shared" si="328"/>
        <v/>
      </c>
      <c r="U6989" s="58" t="str">
        <f t="shared" si="329"/>
        <v/>
      </c>
    </row>
    <row r="6990" spans="19:21" ht="23.25" customHeight="1" x14ac:dyDescent="0.35">
      <c r="S6990" s="56" t="str">
        <f t="shared" si="327"/>
        <v/>
      </c>
      <c r="T6990" s="57" t="str">
        <f t="shared" si="328"/>
        <v/>
      </c>
      <c r="U6990" s="58" t="str">
        <f t="shared" si="329"/>
        <v/>
      </c>
    </row>
    <row r="6991" spans="19:21" ht="23.25" customHeight="1" x14ac:dyDescent="0.35">
      <c r="S6991" s="56" t="str">
        <f t="shared" si="327"/>
        <v/>
      </c>
      <c r="T6991" s="57" t="str">
        <f t="shared" si="328"/>
        <v/>
      </c>
      <c r="U6991" s="58" t="str">
        <f t="shared" si="329"/>
        <v/>
      </c>
    </row>
    <row r="6992" spans="19:21" ht="23.25" customHeight="1" x14ac:dyDescent="0.35">
      <c r="S6992" s="56" t="str">
        <f t="shared" si="327"/>
        <v/>
      </c>
      <c r="T6992" s="57" t="str">
        <f t="shared" si="328"/>
        <v/>
      </c>
      <c r="U6992" s="58" t="str">
        <f t="shared" si="329"/>
        <v/>
      </c>
    </row>
    <row r="6993" spans="19:21" ht="23.25" customHeight="1" x14ac:dyDescent="0.35">
      <c r="S6993" s="56" t="str">
        <f t="shared" si="327"/>
        <v/>
      </c>
      <c r="T6993" s="57" t="str">
        <f t="shared" si="328"/>
        <v/>
      </c>
      <c r="U6993" s="58" t="str">
        <f t="shared" si="329"/>
        <v/>
      </c>
    </row>
    <row r="6994" spans="19:21" ht="23.25" customHeight="1" x14ac:dyDescent="0.35">
      <c r="S6994" s="56" t="str">
        <f t="shared" si="327"/>
        <v/>
      </c>
      <c r="T6994" s="57" t="str">
        <f t="shared" si="328"/>
        <v/>
      </c>
      <c r="U6994" s="58" t="str">
        <f t="shared" si="329"/>
        <v/>
      </c>
    </row>
    <row r="6995" spans="19:21" ht="23.25" customHeight="1" x14ac:dyDescent="0.35">
      <c r="S6995" s="56" t="str">
        <f t="shared" si="327"/>
        <v/>
      </c>
      <c r="T6995" s="57" t="str">
        <f t="shared" si="328"/>
        <v/>
      </c>
      <c r="U6995" s="58" t="str">
        <f t="shared" si="329"/>
        <v/>
      </c>
    </row>
    <row r="6996" spans="19:21" ht="23.25" customHeight="1" x14ac:dyDescent="0.35">
      <c r="S6996" s="56" t="str">
        <f t="shared" si="327"/>
        <v/>
      </c>
      <c r="T6996" s="57" t="str">
        <f t="shared" si="328"/>
        <v/>
      </c>
      <c r="U6996" s="58" t="str">
        <f t="shared" si="329"/>
        <v/>
      </c>
    </row>
    <row r="6997" spans="19:21" ht="23.25" customHeight="1" x14ac:dyDescent="0.35">
      <c r="S6997" s="56" t="str">
        <f t="shared" si="327"/>
        <v/>
      </c>
      <c r="T6997" s="57" t="str">
        <f t="shared" si="328"/>
        <v/>
      </c>
      <c r="U6997" s="58" t="str">
        <f t="shared" si="329"/>
        <v/>
      </c>
    </row>
    <row r="6998" spans="19:21" ht="23.25" customHeight="1" x14ac:dyDescent="0.35">
      <c r="S6998" s="56" t="str">
        <f t="shared" si="327"/>
        <v/>
      </c>
      <c r="T6998" s="57" t="str">
        <f t="shared" si="328"/>
        <v/>
      </c>
      <c r="U6998" s="58" t="str">
        <f t="shared" si="329"/>
        <v/>
      </c>
    </row>
    <row r="6999" spans="19:21" ht="23.25" customHeight="1" x14ac:dyDescent="0.35">
      <c r="S6999" s="56" t="str">
        <f t="shared" si="327"/>
        <v/>
      </c>
      <c r="T6999" s="57" t="str">
        <f t="shared" si="328"/>
        <v/>
      </c>
      <c r="U6999" s="58" t="str">
        <f t="shared" si="329"/>
        <v/>
      </c>
    </row>
    <row r="7000" spans="19:21" ht="23.25" customHeight="1" x14ac:dyDescent="0.35">
      <c r="S7000" s="56" t="str">
        <f t="shared" si="327"/>
        <v/>
      </c>
      <c r="T7000" s="57" t="str">
        <f t="shared" si="328"/>
        <v/>
      </c>
      <c r="U7000" s="58" t="str">
        <f t="shared" si="329"/>
        <v/>
      </c>
    </row>
    <row r="7001" spans="19:21" ht="23.25" customHeight="1" x14ac:dyDescent="0.35">
      <c r="S7001" s="56" t="str">
        <f t="shared" si="327"/>
        <v/>
      </c>
      <c r="T7001" s="57" t="str">
        <f t="shared" si="328"/>
        <v/>
      </c>
      <c r="U7001" s="58" t="str">
        <f t="shared" si="329"/>
        <v/>
      </c>
    </row>
    <row r="7002" spans="19:21" ht="23.25" customHeight="1" x14ac:dyDescent="0.35">
      <c r="S7002" s="56" t="str">
        <f t="shared" si="327"/>
        <v/>
      </c>
      <c r="T7002" s="57" t="str">
        <f t="shared" si="328"/>
        <v/>
      </c>
      <c r="U7002" s="58" t="str">
        <f t="shared" si="329"/>
        <v/>
      </c>
    </row>
    <row r="7003" spans="19:21" ht="23.25" customHeight="1" x14ac:dyDescent="0.35">
      <c r="S7003" s="56" t="str">
        <f t="shared" si="327"/>
        <v/>
      </c>
      <c r="T7003" s="57" t="str">
        <f t="shared" si="328"/>
        <v/>
      </c>
      <c r="U7003" s="58" t="str">
        <f t="shared" si="329"/>
        <v/>
      </c>
    </row>
    <row r="7004" spans="19:21" ht="23.25" customHeight="1" x14ac:dyDescent="0.35">
      <c r="S7004" s="56" t="str">
        <f t="shared" si="327"/>
        <v/>
      </c>
      <c r="T7004" s="57" t="str">
        <f t="shared" si="328"/>
        <v/>
      </c>
      <c r="U7004" s="58" t="str">
        <f t="shared" si="329"/>
        <v/>
      </c>
    </row>
    <row r="7005" spans="19:21" ht="23.25" customHeight="1" x14ac:dyDescent="0.35">
      <c r="S7005" s="56" t="str">
        <f t="shared" si="327"/>
        <v/>
      </c>
      <c r="T7005" s="57" t="str">
        <f t="shared" si="328"/>
        <v/>
      </c>
      <c r="U7005" s="58" t="str">
        <f t="shared" si="329"/>
        <v/>
      </c>
    </row>
    <row r="7006" spans="19:21" ht="23.25" customHeight="1" x14ac:dyDescent="0.35">
      <c r="S7006" s="56" t="str">
        <f t="shared" si="327"/>
        <v/>
      </c>
      <c r="T7006" s="57" t="str">
        <f t="shared" si="328"/>
        <v/>
      </c>
      <c r="U7006" s="58" t="str">
        <f t="shared" si="329"/>
        <v/>
      </c>
    </row>
    <row r="7007" spans="19:21" ht="23.25" customHeight="1" x14ac:dyDescent="0.35">
      <c r="S7007" s="56" t="str">
        <f t="shared" si="327"/>
        <v/>
      </c>
      <c r="T7007" s="57" t="str">
        <f t="shared" si="328"/>
        <v/>
      </c>
      <c r="U7007" s="58" t="str">
        <f t="shared" si="329"/>
        <v/>
      </c>
    </row>
    <row r="7008" spans="19:21" ht="23.25" customHeight="1" x14ac:dyDescent="0.35">
      <c r="S7008" s="56" t="str">
        <f t="shared" si="327"/>
        <v/>
      </c>
      <c r="T7008" s="57" t="str">
        <f t="shared" si="328"/>
        <v/>
      </c>
      <c r="U7008" s="58" t="str">
        <f t="shared" si="329"/>
        <v/>
      </c>
    </row>
    <row r="7009" spans="19:21" ht="23.25" customHeight="1" x14ac:dyDescent="0.35">
      <c r="S7009" s="56" t="str">
        <f t="shared" si="327"/>
        <v/>
      </c>
      <c r="T7009" s="57" t="str">
        <f t="shared" si="328"/>
        <v/>
      </c>
      <c r="U7009" s="58" t="str">
        <f t="shared" si="329"/>
        <v/>
      </c>
    </row>
    <row r="7010" spans="19:21" ht="23.25" customHeight="1" x14ac:dyDescent="0.35">
      <c r="S7010" s="56" t="str">
        <f t="shared" si="327"/>
        <v/>
      </c>
      <c r="T7010" s="57" t="str">
        <f t="shared" si="328"/>
        <v/>
      </c>
      <c r="U7010" s="58" t="str">
        <f t="shared" si="329"/>
        <v/>
      </c>
    </row>
    <row r="7011" spans="19:21" ht="23.25" customHeight="1" x14ac:dyDescent="0.35">
      <c r="S7011" s="56" t="str">
        <f t="shared" si="327"/>
        <v/>
      </c>
      <c r="T7011" s="57" t="str">
        <f t="shared" si="328"/>
        <v/>
      </c>
      <c r="U7011" s="58" t="str">
        <f t="shared" si="329"/>
        <v/>
      </c>
    </row>
    <row r="7012" spans="19:21" ht="23.25" customHeight="1" x14ac:dyDescent="0.35">
      <c r="S7012" s="56" t="str">
        <f t="shared" si="327"/>
        <v/>
      </c>
      <c r="T7012" s="57" t="str">
        <f t="shared" si="328"/>
        <v/>
      </c>
      <c r="U7012" s="58" t="str">
        <f t="shared" si="329"/>
        <v/>
      </c>
    </row>
    <row r="7013" spans="19:21" ht="23.25" customHeight="1" x14ac:dyDescent="0.35">
      <c r="S7013" s="56" t="str">
        <f t="shared" si="327"/>
        <v/>
      </c>
      <c r="T7013" s="57" t="str">
        <f t="shared" si="328"/>
        <v/>
      </c>
      <c r="U7013" s="58" t="str">
        <f t="shared" si="329"/>
        <v/>
      </c>
    </row>
    <row r="7014" spans="19:21" ht="23.25" customHeight="1" x14ac:dyDescent="0.35">
      <c r="S7014" s="56" t="str">
        <f t="shared" si="327"/>
        <v/>
      </c>
      <c r="T7014" s="57" t="str">
        <f t="shared" si="328"/>
        <v/>
      </c>
      <c r="U7014" s="58" t="str">
        <f t="shared" si="329"/>
        <v/>
      </c>
    </row>
    <row r="7015" spans="19:21" ht="23.25" customHeight="1" x14ac:dyDescent="0.35">
      <c r="S7015" s="56" t="str">
        <f t="shared" si="327"/>
        <v/>
      </c>
      <c r="T7015" s="57" t="str">
        <f t="shared" si="328"/>
        <v/>
      </c>
      <c r="U7015" s="58" t="str">
        <f t="shared" si="329"/>
        <v/>
      </c>
    </row>
    <row r="7016" spans="19:21" ht="23.25" customHeight="1" x14ac:dyDescent="0.35">
      <c r="S7016" s="56" t="str">
        <f t="shared" si="327"/>
        <v/>
      </c>
      <c r="T7016" s="57" t="str">
        <f t="shared" si="328"/>
        <v/>
      </c>
      <c r="U7016" s="58" t="str">
        <f t="shared" si="329"/>
        <v/>
      </c>
    </row>
    <row r="7017" spans="19:21" ht="23.25" customHeight="1" x14ac:dyDescent="0.35">
      <c r="S7017" s="56" t="str">
        <f t="shared" si="327"/>
        <v/>
      </c>
      <c r="T7017" s="57" t="str">
        <f t="shared" si="328"/>
        <v/>
      </c>
      <c r="U7017" s="58" t="str">
        <f t="shared" si="329"/>
        <v/>
      </c>
    </row>
    <row r="7018" spans="19:21" ht="23.25" customHeight="1" x14ac:dyDescent="0.35">
      <c r="S7018" s="56" t="str">
        <f t="shared" si="327"/>
        <v/>
      </c>
      <c r="T7018" s="57" t="str">
        <f t="shared" si="328"/>
        <v/>
      </c>
      <c r="U7018" s="58" t="str">
        <f t="shared" si="329"/>
        <v/>
      </c>
    </row>
    <row r="7019" spans="19:21" ht="23.25" customHeight="1" x14ac:dyDescent="0.35">
      <c r="S7019" s="56" t="str">
        <f t="shared" si="327"/>
        <v/>
      </c>
      <c r="T7019" s="57" t="str">
        <f t="shared" si="328"/>
        <v/>
      </c>
      <c r="U7019" s="58" t="str">
        <f t="shared" si="329"/>
        <v/>
      </c>
    </row>
    <row r="7020" spans="19:21" ht="23.25" customHeight="1" x14ac:dyDescent="0.35">
      <c r="S7020" s="56" t="str">
        <f t="shared" si="327"/>
        <v/>
      </c>
      <c r="T7020" s="57" t="str">
        <f t="shared" si="328"/>
        <v/>
      </c>
      <c r="U7020" s="58" t="str">
        <f t="shared" si="329"/>
        <v/>
      </c>
    </row>
    <row r="7021" spans="19:21" ht="23.25" customHeight="1" x14ac:dyDescent="0.35">
      <c r="S7021" s="56" t="str">
        <f t="shared" si="327"/>
        <v/>
      </c>
      <c r="T7021" s="57" t="str">
        <f t="shared" si="328"/>
        <v/>
      </c>
      <c r="U7021" s="58" t="str">
        <f t="shared" si="329"/>
        <v/>
      </c>
    </row>
    <row r="7022" spans="19:21" ht="23.25" customHeight="1" x14ac:dyDescent="0.35">
      <c r="S7022" s="56" t="str">
        <f t="shared" si="327"/>
        <v/>
      </c>
      <c r="T7022" s="57" t="str">
        <f t="shared" si="328"/>
        <v/>
      </c>
      <c r="U7022" s="58" t="str">
        <f t="shared" si="329"/>
        <v/>
      </c>
    </row>
    <row r="7023" spans="19:21" ht="23.25" customHeight="1" x14ac:dyDescent="0.35">
      <c r="S7023" s="56" t="str">
        <f t="shared" si="327"/>
        <v/>
      </c>
      <c r="T7023" s="57" t="str">
        <f t="shared" si="328"/>
        <v/>
      </c>
      <c r="U7023" s="58" t="str">
        <f t="shared" si="329"/>
        <v/>
      </c>
    </row>
    <row r="7024" spans="19:21" ht="23.25" customHeight="1" x14ac:dyDescent="0.35">
      <c r="S7024" s="56" t="str">
        <f t="shared" si="327"/>
        <v/>
      </c>
      <c r="T7024" s="57" t="str">
        <f t="shared" si="328"/>
        <v/>
      </c>
      <c r="U7024" s="58" t="str">
        <f t="shared" si="329"/>
        <v/>
      </c>
    </row>
    <row r="7025" spans="19:21" ht="23.25" customHeight="1" x14ac:dyDescent="0.35">
      <c r="S7025" s="56" t="str">
        <f t="shared" si="327"/>
        <v/>
      </c>
      <c r="T7025" s="57" t="str">
        <f t="shared" si="328"/>
        <v/>
      </c>
      <c r="U7025" s="58" t="str">
        <f t="shared" si="329"/>
        <v/>
      </c>
    </row>
    <row r="7026" spans="19:21" ht="23.25" customHeight="1" x14ac:dyDescent="0.35">
      <c r="S7026" s="56" t="str">
        <f t="shared" si="327"/>
        <v/>
      </c>
      <c r="T7026" s="57" t="str">
        <f t="shared" si="328"/>
        <v/>
      </c>
      <c r="U7026" s="58" t="str">
        <f t="shared" si="329"/>
        <v/>
      </c>
    </row>
    <row r="7027" spans="19:21" ht="23.25" customHeight="1" x14ac:dyDescent="0.35">
      <c r="S7027" s="56" t="str">
        <f t="shared" si="327"/>
        <v/>
      </c>
      <c r="T7027" s="57" t="str">
        <f t="shared" si="328"/>
        <v/>
      </c>
      <c r="U7027" s="58" t="str">
        <f t="shared" si="329"/>
        <v/>
      </c>
    </row>
    <row r="7028" spans="19:21" ht="23.25" customHeight="1" x14ac:dyDescent="0.35">
      <c r="S7028" s="56" t="str">
        <f t="shared" si="327"/>
        <v/>
      </c>
      <c r="T7028" s="57" t="str">
        <f t="shared" si="328"/>
        <v/>
      </c>
      <c r="U7028" s="58" t="str">
        <f t="shared" si="329"/>
        <v/>
      </c>
    </row>
    <row r="7029" spans="19:21" ht="23.25" customHeight="1" x14ac:dyDescent="0.35">
      <c r="S7029" s="56" t="str">
        <f t="shared" si="327"/>
        <v/>
      </c>
      <c r="T7029" s="57" t="str">
        <f t="shared" si="328"/>
        <v/>
      </c>
      <c r="U7029" s="58" t="str">
        <f t="shared" si="329"/>
        <v/>
      </c>
    </row>
    <row r="7030" spans="19:21" ht="23.25" customHeight="1" x14ac:dyDescent="0.35">
      <c r="S7030" s="56" t="str">
        <f t="shared" si="327"/>
        <v/>
      </c>
      <c r="T7030" s="57" t="str">
        <f t="shared" si="328"/>
        <v/>
      </c>
      <c r="U7030" s="58" t="str">
        <f t="shared" si="329"/>
        <v/>
      </c>
    </row>
    <row r="7031" spans="19:21" ht="23.25" customHeight="1" x14ac:dyDescent="0.35">
      <c r="S7031" s="56" t="str">
        <f t="shared" si="327"/>
        <v/>
      </c>
      <c r="T7031" s="57" t="str">
        <f t="shared" si="328"/>
        <v/>
      </c>
      <c r="U7031" s="58" t="str">
        <f t="shared" si="329"/>
        <v/>
      </c>
    </row>
    <row r="7032" spans="19:21" ht="23.25" customHeight="1" x14ac:dyDescent="0.35">
      <c r="S7032" s="56" t="str">
        <f t="shared" si="327"/>
        <v/>
      </c>
      <c r="T7032" s="57" t="str">
        <f t="shared" si="328"/>
        <v/>
      </c>
      <c r="U7032" s="58" t="str">
        <f t="shared" si="329"/>
        <v/>
      </c>
    </row>
    <row r="7033" spans="19:21" ht="23.25" customHeight="1" x14ac:dyDescent="0.35">
      <c r="S7033" s="56" t="str">
        <f t="shared" si="327"/>
        <v/>
      </c>
      <c r="T7033" s="57" t="str">
        <f t="shared" si="328"/>
        <v/>
      </c>
      <c r="U7033" s="58" t="str">
        <f t="shared" si="329"/>
        <v/>
      </c>
    </row>
    <row r="7034" spans="19:21" ht="23.25" customHeight="1" x14ac:dyDescent="0.35">
      <c r="S7034" s="56" t="str">
        <f t="shared" si="327"/>
        <v/>
      </c>
      <c r="T7034" s="57" t="str">
        <f t="shared" si="328"/>
        <v/>
      </c>
      <c r="U7034" s="58" t="str">
        <f t="shared" si="329"/>
        <v/>
      </c>
    </row>
    <row r="7035" spans="19:21" ht="23.25" customHeight="1" x14ac:dyDescent="0.35">
      <c r="S7035" s="56" t="str">
        <f t="shared" si="327"/>
        <v/>
      </c>
      <c r="T7035" s="57" t="str">
        <f t="shared" si="328"/>
        <v/>
      </c>
      <c r="U7035" s="58" t="str">
        <f t="shared" si="329"/>
        <v/>
      </c>
    </row>
    <row r="7036" spans="19:21" ht="23.25" customHeight="1" x14ac:dyDescent="0.35">
      <c r="S7036" s="56" t="str">
        <f t="shared" si="327"/>
        <v/>
      </c>
      <c r="T7036" s="57" t="str">
        <f t="shared" si="328"/>
        <v/>
      </c>
      <c r="U7036" s="58" t="str">
        <f t="shared" si="329"/>
        <v/>
      </c>
    </row>
    <row r="7037" spans="19:21" ht="23.25" customHeight="1" x14ac:dyDescent="0.35">
      <c r="S7037" s="56" t="str">
        <f t="shared" si="327"/>
        <v/>
      </c>
      <c r="T7037" s="57" t="str">
        <f t="shared" si="328"/>
        <v/>
      </c>
      <c r="U7037" s="58" t="str">
        <f t="shared" si="329"/>
        <v/>
      </c>
    </row>
    <row r="7038" spans="19:21" ht="23.25" customHeight="1" x14ac:dyDescent="0.35">
      <c r="S7038" s="56" t="str">
        <f t="shared" si="327"/>
        <v/>
      </c>
      <c r="T7038" s="57" t="str">
        <f t="shared" si="328"/>
        <v/>
      </c>
      <c r="U7038" s="58" t="str">
        <f t="shared" si="329"/>
        <v/>
      </c>
    </row>
    <row r="7039" spans="19:21" ht="23.25" customHeight="1" x14ac:dyDescent="0.35">
      <c r="S7039" s="56" t="str">
        <f t="shared" si="327"/>
        <v/>
      </c>
      <c r="T7039" s="57" t="str">
        <f t="shared" si="328"/>
        <v/>
      </c>
      <c r="U7039" s="58" t="str">
        <f t="shared" si="329"/>
        <v/>
      </c>
    </row>
    <row r="7040" spans="19:21" ht="23.25" customHeight="1" x14ac:dyDescent="0.35">
      <c r="S7040" s="56" t="str">
        <f t="shared" si="327"/>
        <v/>
      </c>
      <c r="T7040" s="57" t="str">
        <f t="shared" si="328"/>
        <v/>
      </c>
      <c r="U7040" s="58" t="str">
        <f t="shared" si="329"/>
        <v/>
      </c>
    </row>
    <row r="7041" spans="19:21" ht="23.25" customHeight="1" x14ac:dyDescent="0.35">
      <c r="S7041" s="56" t="str">
        <f t="shared" si="327"/>
        <v/>
      </c>
      <c r="T7041" s="57" t="str">
        <f t="shared" si="328"/>
        <v/>
      </c>
      <c r="U7041" s="58" t="str">
        <f t="shared" si="329"/>
        <v/>
      </c>
    </row>
    <row r="7042" spans="19:21" ht="23.25" customHeight="1" x14ac:dyDescent="0.35">
      <c r="S7042" s="56" t="str">
        <f t="shared" si="327"/>
        <v/>
      </c>
      <c r="T7042" s="57" t="str">
        <f t="shared" si="328"/>
        <v/>
      </c>
      <c r="U7042" s="58" t="str">
        <f t="shared" si="329"/>
        <v/>
      </c>
    </row>
    <row r="7043" spans="19:21" ht="23.25" customHeight="1" x14ac:dyDescent="0.35">
      <c r="S7043" s="56" t="str">
        <f t="shared" si="327"/>
        <v/>
      </c>
      <c r="T7043" s="57" t="str">
        <f t="shared" si="328"/>
        <v/>
      </c>
      <c r="U7043" s="58" t="str">
        <f t="shared" si="329"/>
        <v/>
      </c>
    </row>
    <row r="7044" spans="19:21" ht="23.25" customHeight="1" x14ac:dyDescent="0.35">
      <c r="S7044" s="56" t="str">
        <f t="shared" si="327"/>
        <v/>
      </c>
      <c r="T7044" s="57" t="str">
        <f t="shared" si="328"/>
        <v/>
      </c>
      <c r="U7044" s="58" t="str">
        <f t="shared" si="329"/>
        <v/>
      </c>
    </row>
    <row r="7045" spans="19:21" ht="23.25" customHeight="1" x14ac:dyDescent="0.35">
      <c r="S7045" s="56" t="str">
        <f t="shared" si="327"/>
        <v/>
      </c>
      <c r="T7045" s="57" t="str">
        <f t="shared" si="328"/>
        <v/>
      </c>
      <c r="U7045" s="58" t="str">
        <f t="shared" si="329"/>
        <v/>
      </c>
    </row>
    <row r="7046" spans="19:21" ht="23.25" customHeight="1" x14ac:dyDescent="0.35">
      <c r="S7046" s="56" t="str">
        <f t="shared" si="327"/>
        <v/>
      </c>
      <c r="T7046" s="57" t="str">
        <f t="shared" si="328"/>
        <v/>
      </c>
      <c r="U7046" s="58" t="str">
        <f t="shared" si="329"/>
        <v/>
      </c>
    </row>
    <row r="7047" spans="19:21" ht="23.25" customHeight="1" x14ac:dyDescent="0.35">
      <c r="S7047" s="56" t="str">
        <f t="shared" si="327"/>
        <v/>
      </c>
      <c r="T7047" s="57" t="str">
        <f t="shared" si="328"/>
        <v/>
      </c>
      <c r="U7047" s="58" t="str">
        <f t="shared" si="329"/>
        <v/>
      </c>
    </row>
    <row r="7048" spans="19:21" ht="23.25" customHeight="1" x14ac:dyDescent="0.35">
      <c r="S7048" s="56" t="str">
        <f t="shared" si="327"/>
        <v/>
      </c>
      <c r="T7048" s="57" t="str">
        <f t="shared" si="328"/>
        <v/>
      </c>
      <c r="U7048" s="58" t="str">
        <f t="shared" si="329"/>
        <v/>
      </c>
    </row>
    <row r="7049" spans="19:21" ht="23.25" customHeight="1" x14ac:dyDescent="0.35">
      <c r="S7049" s="56" t="str">
        <f t="shared" ref="S7049:S7112" si="330">IF(A7049="","",A$5-A7049)</f>
        <v/>
      </c>
      <c r="T7049" s="57" t="str">
        <f t="shared" ref="T7049:T7112" si="331">IF(S7049="","",IF(S7049&lt;4,"0-3 Days",IF(S7049&lt;31,"4-30 Days",IF(S7049&lt;61,"31-60 Days",IF(S7049&lt;=90,"61-90 Days",IF(S7049&gt;90,"Above 90 Days","0"))))))</f>
        <v/>
      </c>
      <c r="U7049" s="58" t="str">
        <f t="shared" ref="U7049:U7112" si="332">IF(C7049="","",IF(C7049&gt;0,IF(S7049&lt;30,"Normal",IF(S7049&lt;60,"Especially Mentioned",IF(S7049&lt;90,"Substandard",IF(S7049&lt;=180,"Doubtful",IF(S7049&gt;180,"Loss","0"))))),"Not Applicable"))</f>
        <v/>
      </c>
    </row>
    <row r="7050" spans="19:21" ht="23.25" customHeight="1" x14ac:dyDescent="0.35">
      <c r="S7050" s="56" t="str">
        <f t="shared" si="330"/>
        <v/>
      </c>
      <c r="T7050" s="57" t="str">
        <f t="shared" si="331"/>
        <v/>
      </c>
      <c r="U7050" s="58" t="str">
        <f t="shared" si="332"/>
        <v/>
      </c>
    </row>
    <row r="7051" spans="19:21" ht="23.25" customHeight="1" x14ac:dyDescent="0.35">
      <c r="S7051" s="56" t="str">
        <f t="shared" si="330"/>
        <v/>
      </c>
      <c r="T7051" s="57" t="str">
        <f t="shared" si="331"/>
        <v/>
      </c>
      <c r="U7051" s="58" t="str">
        <f t="shared" si="332"/>
        <v/>
      </c>
    </row>
    <row r="7052" spans="19:21" ht="23.25" customHeight="1" x14ac:dyDescent="0.35">
      <c r="S7052" s="56" t="str">
        <f t="shared" si="330"/>
        <v/>
      </c>
      <c r="T7052" s="57" t="str">
        <f t="shared" si="331"/>
        <v/>
      </c>
      <c r="U7052" s="58" t="str">
        <f t="shared" si="332"/>
        <v/>
      </c>
    </row>
    <row r="7053" spans="19:21" ht="23.25" customHeight="1" x14ac:dyDescent="0.35">
      <c r="S7053" s="56" t="str">
        <f t="shared" si="330"/>
        <v/>
      </c>
      <c r="T7053" s="57" t="str">
        <f t="shared" si="331"/>
        <v/>
      </c>
      <c r="U7053" s="58" t="str">
        <f t="shared" si="332"/>
        <v/>
      </c>
    </row>
    <row r="7054" spans="19:21" ht="23.25" customHeight="1" x14ac:dyDescent="0.35">
      <c r="S7054" s="56" t="str">
        <f t="shared" si="330"/>
        <v/>
      </c>
      <c r="T7054" s="57" t="str">
        <f t="shared" si="331"/>
        <v/>
      </c>
      <c r="U7054" s="58" t="str">
        <f t="shared" si="332"/>
        <v/>
      </c>
    </row>
    <row r="7055" spans="19:21" ht="23.25" customHeight="1" x14ac:dyDescent="0.35">
      <c r="S7055" s="56" t="str">
        <f t="shared" si="330"/>
        <v/>
      </c>
      <c r="T7055" s="57" t="str">
        <f t="shared" si="331"/>
        <v/>
      </c>
      <c r="U7055" s="58" t="str">
        <f t="shared" si="332"/>
        <v/>
      </c>
    </row>
    <row r="7056" spans="19:21" ht="23.25" customHeight="1" x14ac:dyDescent="0.35">
      <c r="S7056" s="56" t="str">
        <f t="shared" si="330"/>
        <v/>
      </c>
      <c r="T7056" s="57" t="str">
        <f t="shared" si="331"/>
        <v/>
      </c>
      <c r="U7056" s="58" t="str">
        <f t="shared" si="332"/>
        <v/>
      </c>
    </row>
    <row r="7057" spans="19:21" ht="23.25" customHeight="1" x14ac:dyDescent="0.35">
      <c r="S7057" s="56" t="str">
        <f t="shared" si="330"/>
        <v/>
      </c>
      <c r="T7057" s="57" t="str">
        <f t="shared" si="331"/>
        <v/>
      </c>
      <c r="U7057" s="58" t="str">
        <f t="shared" si="332"/>
        <v/>
      </c>
    </row>
    <row r="7058" spans="19:21" ht="23.25" customHeight="1" x14ac:dyDescent="0.35">
      <c r="S7058" s="56" t="str">
        <f t="shared" si="330"/>
        <v/>
      </c>
      <c r="T7058" s="57" t="str">
        <f t="shared" si="331"/>
        <v/>
      </c>
      <c r="U7058" s="58" t="str">
        <f t="shared" si="332"/>
        <v/>
      </c>
    </row>
    <row r="7059" spans="19:21" ht="23.25" customHeight="1" x14ac:dyDescent="0.35">
      <c r="S7059" s="56" t="str">
        <f t="shared" si="330"/>
        <v/>
      </c>
      <c r="T7059" s="57" t="str">
        <f t="shared" si="331"/>
        <v/>
      </c>
      <c r="U7059" s="58" t="str">
        <f t="shared" si="332"/>
        <v/>
      </c>
    </row>
    <row r="7060" spans="19:21" ht="23.25" customHeight="1" x14ac:dyDescent="0.35">
      <c r="S7060" s="56" t="str">
        <f t="shared" si="330"/>
        <v/>
      </c>
      <c r="T7060" s="57" t="str">
        <f t="shared" si="331"/>
        <v/>
      </c>
      <c r="U7060" s="58" t="str">
        <f t="shared" si="332"/>
        <v/>
      </c>
    </row>
    <row r="7061" spans="19:21" ht="23.25" customHeight="1" x14ac:dyDescent="0.35">
      <c r="S7061" s="56" t="str">
        <f t="shared" si="330"/>
        <v/>
      </c>
      <c r="T7061" s="57" t="str">
        <f t="shared" si="331"/>
        <v/>
      </c>
      <c r="U7061" s="58" t="str">
        <f t="shared" si="332"/>
        <v/>
      </c>
    </row>
    <row r="7062" spans="19:21" ht="23.25" customHeight="1" x14ac:dyDescent="0.35">
      <c r="S7062" s="56" t="str">
        <f t="shared" si="330"/>
        <v/>
      </c>
      <c r="T7062" s="57" t="str">
        <f t="shared" si="331"/>
        <v/>
      </c>
      <c r="U7062" s="58" t="str">
        <f t="shared" si="332"/>
        <v/>
      </c>
    </row>
    <row r="7063" spans="19:21" ht="23.25" customHeight="1" x14ac:dyDescent="0.35">
      <c r="S7063" s="56" t="str">
        <f t="shared" si="330"/>
        <v/>
      </c>
      <c r="T7063" s="57" t="str">
        <f t="shared" si="331"/>
        <v/>
      </c>
      <c r="U7063" s="58" t="str">
        <f t="shared" si="332"/>
        <v/>
      </c>
    </row>
    <row r="7064" spans="19:21" ht="23.25" customHeight="1" x14ac:dyDescent="0.35">
      <c r="S7064" s="56" t="str">
        <f t="shared" si="330"/>
        <v/>
      </c>
      <c r="T7064" s="57" t="str">
        <f t="shared" si="331"/>
        <v/>
      </c>
      <c r="U7064" s="58" t="str">
        <f t="shared" si="332"/>
        <v/>
      </c>
    </row>
    <row r="7065" spans="19:21" ht="23.25" customHeight="1" x14ac:dyDescent="0.35">
      <c r="S7065" s="56" t="str">
        <f t="shared" si="330"/>
        <v/>
      </c>
      <c r="T7065" s="57" t="str">
        <f t="shared" si="331"/>
        <v/>
      </c>
      <c r="U7065" s="58" t="str">
        <f t="shared" si="332"/>
        <v/>
      </c>
    </row>
    <row r="7066" spans="19:21" ht="23.25" customHeight="1" x14ac:dyDescent="0.35">
      <c r="S7066" s="56" t="str">
        <f t="shared" si="330"/>
        <v/>
      </c>
      <c r="T7066" s="57" t="str">
        <f t="shared" si="331"/>
        <v/>
      </c>
      <c r="U7066" s="58" t="str">
        <f t="shared" si="332"/>
        <v/>
      </c>
    </row>
    <row r="7067" spans="19:21" ht="23.25" customHeight="1" x14ac:dyDescent="0.35">
      <c r="S7067" s="56" t="str">
        <f t="shared" si="330"/>
        <v/>
      </c>
      <c r="T7067" s="57" t="str">
        <f t="shared" si="331"/>
        <v/>
      </c>
      <c r="U7067" s="58" t="str">
        <f t="shared" si="332"/>
        <v/>
      </c>
    </row>
    <row r="7068" spans="19:21" ht="23.25" customHeight="1" x14ac:dyDescent="0.35">
      <c r="S7068" s="56" t="str">
        <f t="shared" si="330"/>
        <v/>
      </c>
      <c r="T7068" s="57" t="str">
        <f t="shared" si="331"/>
        <v/>
      </c>
      <c r="U7068" s="58" t="str">
        <f t="shared" si="332"/>
        <v/>
      </c>
    </row>
    <row r="7069" spans="19:21" ht="23.25" customHeight="1" x14ac:dyDescent="0.35">
      <c r="S7069" s="56" t="str">
        <f t="shared" si="330"/>
        <v/>
      </c>
      <c r="T7069" s="57" t="str">
        <f t="shared" si="331"/>
        <v/>
      </c>
      <c r="U7069" s="58" t="str">
        <f t="shared" si="332"/>
        <v/>
      </c>
    </row>
    <row r="7070" spans="19:21" ht="23.25" customHeight="1" x14ac:dyDescent="0.35">
      <c r="S7070" s="56" t="str">
        <f t="shared" si="330"/>
        <v/>
      </c>
      <c r="T7070" s="57" t="str">
        <f t="shared" si="331"/>
        <v/>
      </c>
      <c r="U7070" s="58" t="str">
        <f t="shared" si="332"/>
        <v/>
      </c>
    </row>
    <row r="7071" spans="19:21" ht="23.25" customHeight="1" x14ac:dyDescent="0.35">
      <c r="S7071" s="56" t="str">
        <f t="shared" si="330"/>
        <v/>
      </c>
      <c r="T7071" s="57" t="str">
        <f t="shared" si="331"/>
        <v/>
      </c>
      <c r="U7071" s="58" t="str">
        <f t="shared" si="332"/>
        <v/>
      </c>
    </row>
    <row r="7072" spans="19:21" ht="23.25" customHeight="1" x14ac:dyDescent="0.35">
      <c r="S7072" s="56" t="str">
        <f t="shared" si="330"/>
        <v/>
      </c>
      <c r="T7072" s="57" t="str">
        <f t="shared" si="331"/>
        <v/>
      </c>
      <c r="U7072" s="58" t="str">
        <f t="shared" si="332"/>
        <v/>
      </c>
    </row>
    <row r="7073" spans="19:21" ht="23.25" customHeight="1" x14ac:dyDescent="0.35">
      <c r="S7073" s="56" t="str">
        <f t="shared" si="330"/>
        <v/>
      </c>
      <c r="T7073" s="57" t="str">
        <f t="shared" si="331"/>
        <v/>
      </c>
      <c r="U7073" s="58" t="str">
        <f t="shared" si="332"/>
        <v/>
      </c>
    </row>
    <row r="7074" spans="19:21" ht="23.25" customHeight="1" x14ac:dyDescent="0.35">
      <c r="S7074" s="56" t="str">
        <f t="shared" si="330"/>
        <v/>
      </c>
      <c r="T7074" s="57" t="str">
        <f t="shared" si="331"/>
        <v/>
      </c>
      <c r="U7074" s="58" t="str">
        <f t="shared" si="332"/>
        <v/>
      </c>
    </row>
    <row r="7075" spans="19:21" ht="23.25" customHeight="1" x14ac:dyDescent="0.35">
      <c r="S7075" s="56" t="str">
        <f t="shared" si="330"/>
        <v/>
      </c>
      <c r="T7075" s="57" t="str">
        <f t="shared" si="331"/>
        <v/>
      </c>
      <c r="U7075" s="58" t="str">
        <f t="shared" si="332"/>
        <v/>
      </c>
    </row>
    <row r="7076" spans="19:21" ht="23.25" customHeight="1" x14ac:dyDescent="0.35">
      <c r="S7076" s="56" t="str">
        <f t="shared" si="330"/>
        <v/>
      </c>
      <c r="T7076" s="57" t="str">
        <f t="shared" si="331"/>
        <v/>
      </c>
      <c r="U7076" s="58" t="str">
        <f t="shared" si="332"/>
        <v/>
      </c>
    </row>
    <row r="7077" spans="19:21" ht="23.25" customHeight="1" x14ac:dyDescent="0.35">
      <c r="S7077" s="56" t="str">
        <f t="shared" si="330"/>
        <v/>
      </c>
      <c r="T7077" s="57" t="str">
        <f t="shared" si="331"/>
        <v/>
      </c>
      <c r="U7077" s="58" t="str">
        <f t="shared" si="332"/>
        <v/>
      </c>
    </row>
    <row r="7078" spans="19:21" ht="23.25" customHeight="1" x14ac:dyDescent="0.35">
      <c r="S7078" s="56" t="str">
        <f t="shared" si="330"/>
        <v/>
      </c>
      <c r="T7078" s="57" t="str">
        <f t="shared" si="331"/>
        <v/>
      </c>
      <c r="U7078" s="58" t="str">
        <f t="shared" si="332"/>
        <v/>
      </c>
    </row>
    <row r="7079" spans="19:21" ht="23.25" customHeight="1" x14ac:dyDescent="0.35">
      <c r="S7079" s="56" t="str">
        <f t="shared" si="330"/>
        <v/>
      </c>
      <c r="T7079" s="57" t="str">
        <f t="shared" si="331"/>
        <v/>
      </c>
      <c r="U7079" s="58" t="str">
        <f t="shared" si="332"/>
        <v/>
      </c>
    </row>
    <row r="7080" spans="19:21" ht="23.25" customHeight="1" x14ac:dyDescent="0.35">
      <c r="S7080" s="56" t="str">
        <f t="shared" si="330"/>
        <v/>
      </c>
      <c r="T7080" s="57" t="str">
        <f t="shared" si="331"/>
        <v/>
      </c>
      <c r="U7080" s="58" t="str">
        <f t="shared" si="332"/>
        <v/>
      </c>
    </row>
    <row r="7081" spans="19:21" ht="23.25" customHeight="1" x14ac:dyDescent="0.35">
      <c r="S7081" s="56" t="str">
        <f t="shared" si="330"/>
        <v/>
      </c>
      <c r="T7081" s="57" t="str">
        <f t="shared" si="331"/>
        <v/>
      </c>
      <c r="U7081" s="58" t="str">
        <f t="shared" si="332"/>
        <v/>
      </c>
    </row>
    <row r="7082" spans="19:21" ht="23.25" customHeight="1" x14ac:dyDescent="0.35">
      <c r="S7082" s="56" t="str">
        <f t="shared" si="330"/>
        <v/>
      </c>
      <c r="T7082" s="57" t="str">
        <f t="shared" si="331"/>
        <v/>
      </c>
      <c r="U7082" s="58" t="str">
        <f t="shared" si="332"/>
        <v/>
      </c>
    </row>
    <row r="7083" spans="19:21" ht="23.25" customHeight="1" x14ac:dyDescent="0.35">
      <c r="S7083" s="56" t="str">
        <f t="shared" si="330"/>
        <v/>
      </c>
      <c r="T7083" s="57" t="str">
        <f t="shared" si="331"/>
        <v/>
      </c>
      <c r="U7083" s="58" t="str">
        <f t="shared" si="332"/>
        <v/>
      </c>
    </row>
    <row r="7084" spans="19:21" ht="23.25" customHeight="1" x14ac:dyDescent="0.35">
      <c r="S7084" s="56" t="str">
        <f t="shared" si="330"/>
        <v/>
      </c>
      <c r="T7084" s="57" t="str">
        <f t="shared" si="331"/>
        <v/>
      </c>
      <c r="U7084" s="58" t="str">
        <f t="shared" si="332"/>
        <v/>
      </c>
    </row>
    <row r="7085" spans="19:21" ht="23.25" customHeight="1" x14ac:dyDescent="0.35">
      <c r="S7085" s="56" t="str">
        <f t="shared" si="330"/>
        <v/>
      </c>
      <c r="T7085" s="57" t="str">
        <f t="shared" si="331"/>
        <v/>
      </c>
      <c r="U7085" s="58" t="str">
        <f t="shared" si="332"/>
        <v/>
      </c>
    </row>
    <row r="7086" spans="19:21" ht="23.25" customHeight="1" x14ac:dyDescent="0.35">
      <c r="S7086" s="56" t="str">
        <f t="shared" si="330"/>
        <v/>
      </c>
      <c r="T7086" s="57" t="str">
        <f t="shared" si="331"/>
        <v/>
      </c>
      <c r="U7086" s="58" t="str">
        <f t="shared" si="332"/>
        <v/>
      </c>
    </row>
    <row r="7087" spans="19:21" ht="23.25" customHeight="1" x14ac:dyDescent="0.35">
      <c r="S7087" s="56" t="str">
        <f t="shared" si="330"/>
        <v/>
      </c>
      <c r="T7087" s="57" t="str">
        <f t="shared" si="331"/>
        <v/>
      </c>
      <c r="U7087" s="58" t="str">
        <f t="shared" si="332"/>
        <v/>
      </c>
    </row>
    <row r="7088" spans="19:21" ht="23.25" customHeight="1" x14ac:dyDescent="0.35">
      <c r="S7088" s="56" t="str">
        <f t="shared" si="330"/>
        <v/>
      </c>
      <c r="T7088" s="57" t="str">
        <f t="shared" si="331"/>
        <v/>
      </c>
      <c r="U7088" s="58" t="str">
        <f t="shared" si="332"/>
        <v/>
      </c>
    </row>
    <row r="7089" spans="19:21" ht="23.25" customHeight="1" x14ac:dyDescent="0.35">
      <c r="S7089" s="56" t="str">
        <f t="shared" si="330"/>
        <v/>
      </c>
      <c r="T7089" s="57" t="str">
        <f t="shared" si="331"/>
        <v/>
      </c>
      <c r="U7089" s="58" t="str">
        <f t="shared" si="332"/>
        <v/>
      </c>
    </row>
    <row r="7090" spans="19:21" ht="23.25" customHeight="1" x14ac:dyDescent="0.35">
      <c r="S7090" s="56" t="str">
        <f t="shared" si="330"/>
        <v/>
      </c>
      <c r="T7090" s="57" t="str">
        <f t="shared" si="331"/>
        <v/>
      </c>
      <c r="U7090" s="58" t="str">
        <f t="shared" si="332"/>
        <v/>
      </c>
    </row>
    <row r="7091" spans="19:21" ht="23.25" customHeight="1" x14ac:dyDescent="0.35">
      <c r="S7091" s="56" t="str">
        <f t="shared" si="330"/>
        <v/>
      </c>
      <c r="T7091" s="57" t="str">
        <f t="shared" si="331"/>
        <v/>
      </c>
      <c r="U7091" s="58" t="str">
        <f t="shared" si="332"/>
        <v/>
      </c>
    </row>
    <row r="7092" spans="19:21" ht="23.25" customHeight="1" x14ac:dyDescent="0.35">
      <c r="S7092" s="56" t="str">
        <f t="shared" si="330"/>
        <v/>
      </c>
      <c r="T7092" s="57" t="str">
        <f t="shared" si="331"/>
        <v/>
      </c>
      <c r="U7092" s="58" t="str">
        <f t="shared" si="332"/>
        <v/>
      </c>
    </row>
    <row r="7093" spans="19:21" ht="23.25" customHeight="1" x14ac:dyDescent="0.35">
      <c r="S7093" s="56" t="str">
        <f t="shared" si="330"/>
        <v/>
      </c>
      <c r="T7093" s="57" t="str">
        <f t="shared" si="331"/>
        <v/>
      </c>
      <c r="U7093" s="58" t="str">
        <f t="shared" si="332"/>
        <v/>
      </c>
    </row>
    <row r="7094" spans="19:21" ht="23.25" customHeight="1" x14ac:dyDescent="0.35">
      <c r="S7094" s="56" t="str">
        <f t="shared" si="330"/>
        <v/>
      </c>
      <c r="T7094" s="57" t="str">
        <f t="shared" si="331"/>
        <v/>
      </c>
      <c r="U7094" s="58" t="str">
        <f t="shared" si="332"/>
        <v/>
      </c>
    </row>
    <row r="7095" spans="19:21" ht="23.25" customHeight="1" x14ac:dyDescent="0.35">
      <c r="S7095" s="56" t="str">
        <f t="shared" si="330"/>
        <v/>
      </c>
      <c r="T7095" s="57" t="str">
        <f t="shared" si="331"/>
        <v/>
      </c>
      <c r="U7095" s="58" t="str">
        <f t="shared" si="332"/>
        <v/>
      </c>
    </row>
    <row r="7096" spans="19:21" ht="23.25" customHeight="1" x14ac:dyDescent="0.35">
      <c r="S7096" s="56" t="str">
        <f t="shared" si="330"/>
        <v/>
      </c>
      <c r="T7096" s="57" t="str">
        <f t="shared" si="331"/>
        <v/>
      </c>
      <c r="U7096" s="58" t="str">
        <f t="shared" si="332"/>
        <v/>
      </c>
    </row>
    <row r="7097" spans="19:21" ht="23.25" customHeight="1" x14ac:dyDescent="0.35">
      <c r="S7097" s="56" t="str">
        <f t="shared" si="330"/>
        <v/>
      </c>
      <c r="T7097" s="57" t="str">
        <f t="shared" si="331"/>
        <v/>
      </c>
      <c r="U7097" s="58" t="str">
        <f t="shared" si="332"/>
        <v/>
      </c>
    </row>
    <row r="7098" spans="19:21" ht="23.25" customHeight="1" x14ac:dyDescent="0.35">
      <c r="S7098" s="56" t="str">
        <f t="shared" si="330"/>
        <v/>
      </c>
      <c r="T7098" s="57" t="str">
        <f t="shared" si="331"/>
        <v/>
      </c>
      <c r="U7098" s="58" t="str">
        <f t="shared" si="332"/>
        <v/>
      </c>
    </row>
    <row r="7099" spans="19:21" ht="23.25" customHeight="1" x14ac:dyDescent="0.35">
      <c r="S7099" s="56" t="str">
        <f t="shared" si="330"/>
        <v/>
      </c>
      <c r="T7099" s="57" t="str">
        <f t="shared" si="331"/>
        <v/>
      </c>
      <c r="U7099" s="58" t="str">
        <f t="shared" si="332"/>
        <v/>
      </c>
    </row>
    <row r="7100" spans="19:21" ht="23.25" customHeight="1" x14ac:dyDescent="0.35">
      <c r="S7100" s="56" t="str">
        <f t="shared" si="330"/>
        <v/>
      </c>
      <c r="T7100" s="57" t="str">
        <f t="shared" si="331"/>
        <v/>
      </c>
      <c r="U7100" s="58" t="str">
        <f t="shared" si="332"/>
        <v/>
      </c>
    </row>
    <row r="7101" spans="19:21" ht="23.25" customHeight="1" x14ac:dyDescent="0.35">
      <c r="S7101" s="56" t="str">
        <f t="shared" si="330"/>
        <v/>
      </c>
      <c r="T7101" s="57" t="str">
        <f t="shared" si="331"/>
        <v/>
      </c>
      <c r="U7101" s="58" t="str">
        <f t="shared" si="332"/>
        <v/>
      </c>
    </row>
    <row r="7102" spans="19:21" ht="23.25" customHeight="1" x14ac:dyDescent="0.35">
      <c r="S7102" s="56" t="str">
        <f t="shared" si="330"/>
        <v/>
      </c>
      <c r="T7102" s="57" t="str">
        <f t="shared" si="331"/>
        <v/>
      </c>
      <c r="U7102" s="58" t="str">
        <f t="shared" si="332"/>
        <v/>
      </c>
    </row>
    <row r="7103" spans="19:21" ht="23.25" customHeight="1" x14ac:dyDescent="0.35">
      <c r="S7103" s="56" t="str">
        <f t="shared" si="330"/>
        <v/>
      </c>
      <c r="T7103" s="57" t="str">
        <f t="shared" si="331"/>
        <v/>
      </c>
      <c r="U7103" s="58" t="str">
        <f t="shared" si="332"/>
        <v/>
      </c>
    </row>
    <row r="7104" spans="19:21" ht="23.25" customHeight="1" x14ac:dyDescent="0.35">
      <c r="S7104" s="56" t="str">
        <f t="shared" si="330"/>
        <v/>
      </c>
      <c r="T7104" s="57" t="str">
        <f t="shared" si="331"/>
        <v/>
      </c>
      <c r="U7104" s="58" t="str">
        <f t="shared" si="332"/>
        <v/>
      </c>
    </row>
    <row r="7105" spans="19:21" ht="23.25" customHeight="1" x14ac:dyDescent="0.35">
      <c r="S7105" s="56" t="str">
        <f t="shared" si="330"/>
        <v/>
      </c>
      <c r="T7105" s="57" t="str">
        <f t="shared" si="331"/>
        <v/>
      </c>
      <c r="U7105" s="58" t="str">
        <f t="shared" si="332"/>
        <v/>
      </c>
    </row>
    <row r="7106" spans="19:21" ht="23.25" customHeight="1" x14ac:dyDescent="0.35">
      <c r="S7106" s="56" t="str">
        <f t="shared" si="330"/>
        <v/>
      </c>
      <c r="T7106" s="57" t="str">
        <f t="shared" si="331"/>
        <v/>
      </c>
      <c r="U7106" s="58" t="str">
        <f t="shared" si="332"/>
        <v/>
      </c>
    </row>
    <row r="7107" spans="19:21" ht="23.25" customHeight="1" x14ac:dyDescent="0.35">
      <c r="S7107" s="56" t="str">
        <f t="shared" si="330"/>
        <v/>
      </c>
      <c r="T7107" s="57" t="str">
        <f t="shared" si="331"/>
        <v/>
      </c>
      <c r="U7107" s="58" t="str">
        <f t="shared" si="332"/>
        <v/>
      </c>
    </row>
    <row r="7108" spans="19:21" ht="23.25" customHeight="1" x14ac:dyDescent="0.35">
      <c r="S7108" s="56" t="str">
        <f t="shared" si="330"/>
        <v/>
      </c>
      <c r="T7108" s="57" t="str">
        <f t="shared" si="331"/>
        <v/>
      </c>
      <c r="U7108" s="58" t="str">
        <f t="shared" si="332"/>
        <v/>
      </c>
    </row>
    <row r="7109" spans="19:21" ht="23.25" customHeight="1" x14ac:dyDescent="0.35">
      <c r="S7109" s="56" t="str">
        <f t="shared" si="330"/>
        <v/>
      </c>
      <c r="T7109" s="57" t="str">
        <f t="shared" si="331"/>
        <v/>
      </c>
      <c r="U7109" s="58" t="str">
        <f t="shared" si="332"/>
        <v/>
      </c>
    </row>
    <row r="7110" spans="19:21" ht="23.25" customHeight="1" x14ac:dyDescent="0.35">
      <c r="S7110" s="56" t="str">
        <f t="shared" si="330"/>
        <v/>
      </c>
      <c r="T7110" s="57" t="str">
        <f t="shared" si="331"/>
        <v/>
      </c>
      <c r="U7110" s="58" t="str">
        <f t="shared" si="332"/>
        <v/>
      </c>
    </row>
    <row r="7111" spans="19:21" ht="23.25" customHeight="1" x14ac:dyDescent="0.35">
      <c r="S7111" s="56" t="str">
        <f t="shared" si="330"/>
        <v/>
      </c>
      <c r="T7111" s="57" t="str">
        <f t="shared" si="331"/>
        <v/>
      </c>
      <c r="U7111" s="58" t="str">
        <f t="shared" si="332"/>
        <v/>
      </c>
    </row>
    <row r="7112" spans="19:21" ht="23.25" customHeight="1" x14ac:dyDescent="0.35">
      <c r="S7112" s="56" t="str">
        <f t="shared" si="330"/>
        <v/>
      </c>
      <c r="T7112" s="57" t="str">
        <f t="shared" si="331"/>
        <v/>
      </c>
      <c r="U7112" s="58" t="str">
        <f t="shared" si="332"/>
        <v/>
      </c>
    </row>
    <row r="7113" spans="19:21" ht="23.25" customHeight="1" x14ac:dyDescent="0.35">
      <c r="S7113" s="56" t="str">
        <f t="shared" ref="S7113:S7176" si="333">IF(A7113="","",A$5-A7113)</f>
        <v/>
      </c>
      <c r="T7113" s="57" t="str">
        <f t="shared" ref="T7113:T7176" si="334">IF(S7113="","",IF(S7113&lt;4,"0-3 Days",IF(S7113&lt;31,"4-30 Days",IF(S7113&lt;61,"31-60 Days",IF(S7113&lt;=90,"61-90 Days",IF(S7113&gt;90,"Above 90 Days","0"))))))</f>
        <v/>
      </c>
      <c r="U7113" s="58" t="str">
        <f t="shared" ref="U7113:U7176" si="335">IF(C7113="","",IF(C7113&gt;0,IF(S7113&lt;30,"Normal",IF(S7113&lt;60,"Especially Mentioned",IF(S7113&lt;90,"Substandard",IF(S7113&lt;=180,"Doubtful",IF(S7113&gt;180,"Loss","0"))))),"Not Applicable"))</f>
        <v/>
      </c>
    </row>
    <row r="7114" spans="19:21" ht="23.25" customHeight="1" x14ac:dyDescent="0.35">
      <c r="S7114" s="56" t="str">
        <f t="shared" si="333"/>
        <v/>
      </c>
      <c r="T7114" s="57" t="str">
        <f t="shared" si="334"/>
        <v/>
      </c>
      <c r="U7114" s="58" t="str">
        <f t="shared" si="335"/>
        <v/>
      </c>
    </row>
    <row r="7115" spans="19:21" ht="23.25" customHeight="1" x14ac:dyDescent="0.35">
      <c r="S7115" s="56" t="str">
        <f t="shared" si="333"/>
        <v/>
      </c>
      <c r="T7115" s="57" t="str">
        <f t="shared" si="334"/>
        <v/>
      </c>
      <c r="U7115" s="58" t="str">
        <f t="shared" si="335"/>
        <v/>
      </c>
    </row>
    <row r="7116" spans="19:21" ht="23.25" customHeight="1" x14ac:dyDescent="0.35">
      <c r="S7116" s="56" t="str">
        <f t="shared" si="333"/>
        <v/>
      </c>
      <c r="T7116" s="57" t="str">
        <f t="shared" si="334"/>
        <v/>
      </c>
      <c r="U7116" s="58" t="str">
        <f t="shared" si="335"/>
        <v/>
      </c>
    </row>
    <row r="7117" spans="19:21" ht="23.25" customHeight="1" x14ac:dyDescent="0.35">
      <c r="S7117" s="56" t="str">
        <f t="shared" si="333"/>
        <v/>
      </c>
      <c r="T7117" s="57" t="str">
        <f t="shared" si="334"/>
        <v/>
      </c>
      <c r="U7117" s="58" t="str">
        <f t="shared" si="335"/>
        <v/>
      </c>
    </row>
    <row r="7118" spans="19:21" ht="23.25" customHeight="1" x14ac:dyDescent="0.35">
      <c r="S7118" s="56" t="str">
        <f t="shared" si="333"/>
        <v/>
      </c>
      <c r="T7118" s="57" t="str">
        <f t="shared" si="334"/>
        <v/>
      </c>
      <c r="U7118" s="58" t="str">
        <f t="shared" si="335"/>
        <v/>
      </c>
    </row>
    <row r="7119" spans="19:21" ht="23.25" customHeight="1" x14ac:dyDescent="0.35">
      <c r="S7119" s="56" t="str">
        <f t="shared" si="333"/>
        <v/>
      </c>
      <c r="T7119" s="57" t="str">
        <f t="shared" si="334"/>
        <v/>
      </c>
      <c r="U7119" s="58" t="str">
        <f t="shared" si="335"/>
        <v/>
      </c>
    </row>
    <row r="7120" spans="19:21" ht="23.25" customHeight="1" x14ac:dyDescent="0.35">
      <c r="S7120" s="56" t="str">
        <f t="shared" si="333"/>
        <v/>
      </c>
      <c r="T7120" s="57" t="str">
        <f t="shared" si="334"/>
        <v/>
      </c>
      <c r="U7120" s="58" t="str">
        <f t="shared" si="335"/>
        <v/>
      </c>
    </row>
    <row r="7121" spans="19:21" ht="23.25" customHeight="1" x14ac:dyDescent="0.35">
      <c r="S7121" s="56" t="str">
        <f t="shared" si="333"/>
        <v/>
      </c>
      <c r="T7121" s="57" t="str">
        <f t="shared" si="334"/>
        <v/>
      </c>
      <c r="U7121" s="58" t="str">
        <f t="shared" si="335"/>
        <v/>
      </c>
    </row>
    <row r="7122" spans="19:21" ht="23.25" customHeight="1" x14ac:dyDescent="0.35">
      <c r="S7122" s="56" t="str">
        <f t="shared" si="333"/>
        <v/>
      </c>
      <c r="T7122" s="57" t="str">
        <f t="shared" si="334"/>
        <v/>
      </c>
      <c r="U7122" s="58" t="str">
        <f t="shared" si="335"/>
        <v/>
      </c>
    </row>
    <row r="7123" spans="19:21" ht="23.25" customHeight="1" x14ac:dyDescent="0.35">
      <c r="S7123" s="56" t="str">
        <f t="shared" si="333"/>
        <v/>
      </c>
      <c r="T7123" s="57" t="str">
        <f t="shared" si="334"/>
        <v/>
      </c>
      <c r="U7123" s="58" t="str">
        <f t="shared" si="335"/>
        <v/>
      </c>
    </row>
    <row r="7124" spans="19:21" ht="23.25" customHeight="1" x14ac:dyDescent="0.35">
      <c r="S7124" s="56" t="str">
        <f t="shared" si="333"/>
        <v/>
      </c>
      <c r="T7124" s="57" t="str">
        <f t="shared" si="334"/>
        <v/>
      </c>
      <c r="U7124" s="58" t="str">
        <f t="shared" si="335"/>
        <v/>
      </c>
    </row>
    <row r="7125" spans="19:21" ht="23.25" customHeight="1" x14ac:dyDescent="0.35">
      <c r="S7125" s="56" t="str">
        <f t="shared" si="333"/>
        <v/>
      </c>
      <c r="T7125" s="57" t="str">
        <f t="shared" si="334"/>
        <v/>
      </c>
      <c r="U7125" s="58" t="str">
        <f t="shared" si="335"/>
        <v/>
      </c>
    </row>
    <row r="7126" spans="19:21" ht="23.25" customHeight="1" x14ac:dyDescent="0.35">
      <c r="S7126" s="56" t="str">
        <f t="shared" si="333"/>
        <v/>
      </c>
      <c r="T7126" s="57" t="str">
        <f t="shared" si="334"/>
        <v/>
      </c>
      <c r="U7126" s="58" t="str">
        <f t="shared" si="335"/>
        <v/>
      </c>
    </row>
    <row r="7127" spans="19:21" ht="23.25" customHeight="1" x14ac:dyDescent="0.35">
      <c r="S7127" s="56" t="str">
        <f t="shared" si="333"/>
        <v/>
      </c>
      <c r="T7127" s="57" t="str">
        <f t="shared" si="334"/>
        <v/>
      </c>
      <c r="U7127" s="58" t="str">
        <f t="shared" si="335"/>
        <v/>
      </c>
    </row>
    <row r="7128" spans="19:21" ht="23.25" customHeight="1" x14ac:dyDescent="0.35">
      <c r="S7128" s="56" t="str">
        <f t="shared" si="333"/>
        <v/>
      </c>
      <c r="T7128" s="57" t="str">
        <f t="shared" si="334"/>
        <v/>
      </c>
      <c r="U7128" s="58" t="str">
        <f t="shared" si="335"/>
        <v/>
      </c>
    </row>
    <row r="7129" spans="19:21" ht="23.25" customHeight="1" x14ac:dyDescent="0.35">
      <c r="S7129" s="56" t="str">
        <f t="shared" si="333"/>
        <v/>
      </c>
      <c r="T7129" s="57" t="str">
        <f t="shared" si="334"/>
        <v/>
      </c>
      <c r="U7129" s="58" t="str">
        <f t="shared" si="335"/>
        <v/>
      </c>
    </row>
    <row r="7130" spans="19:21" ht="23.25" customHeight="1" x14ac:dyDescent="0.35">
      <c r="S7130" s="56" t="str">
        <f t="shared" si="333"/>
        <v/>
      </c>
      <c r="T7130" s="57" t="str">
        <f t="shared" si="334"/>
        <v/>
      </c>
      <c r="U7130" s="58" t="str">
        <f t="shared" si="335"/>
        <v/>
      </c>
    </row>
    <row r="7131" spans="19:21" ht="23.25" customHeight="1" x14ac:dyDescent="0.35">
      <c r="S7131" s="56" t="str">
        <f t="shared" si="333"/>
        <v/>
      </c>
      <c r="T7131" s="57" t="str">
        <f t="shared" si="334"/>
        <v/>
      </c>
      <c r="U7131" s="58" t="str">
        <f t="shared" si="335"/>
        <v/>
      </c>
    </row>
    <row r="7132" spans="19:21" ht="23.25" customHeight="1" x14ac:dyDescent="0.35">
      <c r="S7132" s="56" t="str">
        <f t="shared" si="333"/>
        <v/>
      </c>
      <c r="T7132" s="57" t="str">
        <f t="shared" si="334"/>
        <v/>
      </c>
      <c r="U7132" s="58" t="str">
        <f t="shared" si="335"/>
        <v/>
      </c>
    </row>
    <row r="7133" spans="19:21" ht="23.25" customHeight="1" x14ac:dyDescent="0.35">
      <c r="S7133" s="56" t="str">
        <f t="shared" si="333"/>
        <v/>
      </c>
      <c r="T7133" s="57" t="str">
        <f t="shared" si="334"/>
        <v/>
      </c>
      <c r="U7133" s="58" t="str">
        <f t="shared" si="335"/>
        <v/>
      </c>
    </row>
    <row r="7134" spans="19:21" ht="23.25" customHeight="1" x14ac:dyDescent="0.35">
      <c r="S7134" s="56" t="str">
        <f t="shared" si="333"/>
        <v/>
      </c>
      <c r="T7134" s="57" t="str">
        <f t="shared" si="334"/>
        <v/>
      </c>
      <c r="U7134" s="58" t="str">
        <f t="shared" si="335"/>
        <v/>
      </c>
    </row>
    <row r="7135" spans="19:21" ht="23.25" customHeight="1" x14ac:dyDescent="0.35">
      <c r="S7135" s="56" t="str">
        <f t="shared" si="333"/>
        <v/>
      </c>
      <c r="T7135" s="57" t="str">
        <f t="shared" si="334"/>
        <v/>
      </c>
      <c r="U7135" s="58" t="str">
        <f t="shared" si="335"/>
        <v/>
      </c>
    </row>
    <row r="7136" spans="19:21" ht="23.25" customHeight="1" x14ac:dyDescent="0.35">
      <c r="S7136" s="56" t="str">
        <f t="shared" si="333"/>
        <v/>
      </c>
      <c r="T7136" s="57" t="str">
        <f t="shared" si="334"/>
        <v/>
      </c>
      <c r="U7136" s="58" t="str">
        <f t="shared" si="335"/>
        <v/>
      </c>
    </row>
    <row r="7137" spans="19:21" ht="23.25" customHeight="1" x14ac:dyDescent="0.35">
      <c r="S7137" s="56" t="str">
        <f t="shared" si="333"/>
        <v/>
      </c>
      <c r="T7137" s="57" t="str">
        <f t="shared" si="334"/>
        <v/>
      </c>
      <c r="U7137" s="58" t="str">
        <f t="shared" si="335"/>
        <v/>
      </c>
    </row>
    <row r="7138" spans="19:21" ht="23.25" customHeight="1" x14ac:dyDescent="0.35">
      <c r="S7138" s="56" t="str">
        <f t="shared" si="333"/>
        <v/>
      </c>
      <c r="T7138" s="57" t="str">
        <f t="shared" si="334"/>
        <v/>
      </c>
      <c r="U7138" s="58" t="str">
        <f t="shared" si="335"/>
        <v/>
      </c>
    </row>
    <row r="7139" spans="19:21" ht="23.25" customHeight="1" x14ac:dyDescent="0.35">
      <c r="S7139" s="56" t="str">
        <f t="shared" si="333"/>
        <v/>
      </c>
      <c r="T7139" s="57" t="str">
        <f t="shared" si="334"/>
        <v/>
      </c>
      <c r="U7139" s="58" t="str">
        <f t="shared" si="335"/>
        <v/>
      </c>
    </row>
    <row r="7140" spans="19:21" ht="23.25" customHeight="1" x14ac:dyDescent="0.35">
      <c r="S7140" s="56" t="str">
        <f t="shared" si="333"/>
        <v/>
      </c>
      <c r="T7140" s="57" t="str">
        <f t="shared" si="334"/>
        <v/>
      </c>
      <c r="U7140" s="58" t="str">
        <f t="shared" si="335"/>
        <v/>
      </c>
    </row>
    <row r="7141" spans="19:21" ht="23.25" customHeight="1" x14ac:dyDescent="0.35">
      <c r="S7141" s="56" t="str">
        <f t="shared" si="333"/>
        <v/>
      </c>
      <c r="T7141" s="57" t="str">
        <f t="shared" si="334"/>
        <v/>
      </c>
      <c r="U7141" s="58" t="str">
        <f t="shared" si="335"/>
        <v/>
      </c>
    </row>
    <row r="7142" spans="19:21" ht="23.25" customHeight="1" x14ac:dyDescent="0.35">
      <c r="S7142" s="56" t="str">
        <f t="shared" si="333"/>
        <v/>
      </c>
      <c r="T7142" s="57" t="str">
        <f t="shared" si="334"/>
        <v/>
      </c>
      <c r="U7142" s="58" t="str">
        <f t="shared" si="335"/>
        <v/>
      </c>
    </row>
    <row r="7143" spans="19:21" ht="23.25" customHeight="1" x14ac:dyDescent="0.35">
      <c r="S7143" s="56" t="str">
        <f t="shared" si="333"/>
        <v/>
      </c>
      <c r="T7143" s="57" t="str">
        <f t="shared" si="334"/>
        <v/>
      </c>
      <c r="U7143" s="58" t="str">
        <f t="shared" si="335"/>
        <v/>
      </c>
    </row>
    <row r="7144" spans="19:21" ht="23.25" customHeight="1" x14ac:dyDescent="0.35">
      <c r="S7144" s="56" t="str">
        <f t="shared" si="333"/>
        <v/>
      </c>
      <c r="T7144" s="57" t="str">
        <f t="shared" si="334"/>
        <v/>
      </c>
      <c r="U7144" s="58" t="str">
        <f t="shared" si="335"/>
        <v/>
      </c>
    </row>
    <row r="7145" spans="19:21" ht="23.25" customHeight="1" x14ac:dyDescent="0.35">
      <c r="S7145" s="56" t="str">
        <f t="shared" si="333"/>
        <v/>
      </c>
      <c r="T7145" s="57" t="str">
        <f t="shared" si="334"/>
        <v/>
      </c>
      <c r="U7145" s="58" t="str">
        <f t="shared" si="335"/>
        <v/>
      </c>
    </row>
    <row r="7146" spans="19:21" ht="23.25" customHeight="1" x14ac:dyDescent="0.35">
      <c r="S7146" s="56" t="str">
        <f t="shared" si="333"/>
        <v/>
      </c>
      <c r="T7146" s="57" t="str">
        <f t="shared" si="334"/>
        <v/>
      </c>
      <c r="U7146" s="58" t="str">
        <f t="shared" si="335"/>
        <v/>
      </c>
    </row>
    <row r="7147" spans="19:21" ht="23.25" customHeight="1" x14ac:dyDescent="0.35">
      <c r="S7147" s="56" t="str">
        <f t="shared" si="333"/>
        <v/>
      </c>
      <c r="T7147" s="57" t="str">
        <f t="shared" si="334"/>
        <v/>
      </c>
      <c r="U7147" s="58" t="str">
        <f t="shared" si="335"/>
        <v/>
      </c>
    </row>
    <row r="7148" spans="19:21" ht="23.25" customHeight="1" x14ac:dyDescent="0.35">
      <c r="S7148" s="56" t="str">
        <f t="shared" si="333"/>
        <v/>
      </c>
      <c r="T7148" s="57" t="str">
        <f t="shared" si="334"/>
        <v/>
      </c>
      <c r="U7148" s="58" t="str">
        <f t="shared" si="335"/>
        <v/>
      </c>
    </row>
    <row r="7149" spans="19:21" ht="23.25" customHeight="1" x14ac:dyDescent="0.35">
      <c r="S7149" s="56" t="str">
        <f t="shared" si="333"/>
        <v/>
      </c>
      <c r="T7149" s="57" t="str">
        <f t="shared" si="334"/>
        <v/>
      </c>
      <c r="U7149" s="58" t="str">
        <f t="shared" si="335"/>
        <v/>
      </c>
    </row>
    <row r="7150" spans="19:21" ht="23.25" customHeight="1" x14ac:dyDescent="0.35">
      <c r="S7150" s="56" t="str">
        <f t="shared" si="333"/>
        <v/>
      </c>
      <c r="T7150" s="57" t="str">
        <f t="shared" si="334"/>
        <v/>
      </c>
      <c r="U7150" s="58" t="str">
        <f t="shared" si="335"/>
        <v/>
      </c>
    </row>
    <row r="7151" spans="19:21" ht="23.25" customHeight="1" x14ac:dyDescent="0.35">
      <c r="S7151" s="56" t="str">
        <f t="shared" si="333"/>
        <v/>
      </c>
      <c r="T7151" s="57" t="str">
        <f t="shared" si="334"/>
        <v/>
      </c>
      <c r="U7151" s="58" t="str">
        <f t="shared" si="335"/>
        <v/>
      </c>
    </row>
    <row r="7152" spans="19:21" ht="23.25" customHeight="1" x14ac:dyDescent="0.35">
      <c r="S7152" s="56" t="str">
        <f t="shared" si="333"/>
        <v/>
      </c>
      <c r="T7152" s="57" t="str">
        <f t="shared" si="334"/>
        <v/>
      </c>
      <c r="U7152" s="58" t="str">
        <f t="shared" si="335"/>
        <v/>
      </c>
    </row>
    <row r="7153" spans="19:21" ht="23.25" customHeight="1" x14ac:dyDescent="0.35">
      <c r="S7153" s="56" t="str">
        <f t="shared" si="333"/>
        <v/>
      </c>
      <c r="T7153" s="57" t="str">
        <f t="shared" si="334"/>
        <v/>
      </c>
      <c r="U7153" s="58" t="str">
        <f t="shared" si="335"/>
        <v/>
      </c>
    </row>
    <row r="7154" spans="19:21" ht="23.25" customHeight="1" x14ac:dyDescent="0.35">
      <c r="S7154" s="56" t="str">
        <f t="shared" si="333"/>
        <v/>
      </c>
      <c r="T7154" s="57" t="str">
        <f t="shared" si="334"/>
        <v/>
      </c>
      <c r="U7154" s="58" t="str">
        <f t="shared" si="335"/>
        <v/>
      </c>
    </row>
    <row r="7155" spans="19:21" ht="23.25" customHeight="1" x14ac:dyDescent="0.35">
      <c r="S7155" s="56" t="str">
        <f t="shared" si="333"/>
        <v/>
      </c>
      <c r="T7155" s="57" t="str">
        <f t="shared" si="334"/>
        <v/>
      </c>
      <c r="U7155" s="58" t="str">
        <f t="shared" si="335"/>
        <v/>
      </c>
    </row>
    <row r="7156" spans="19:21" ht="23.25" customHeight="1" x14ac:dyDescent="0.35">
      <c r="S7156" s="56" t="str">
        <f t="shared" si="333"/>
        <v/>
      </c>
      <c r="T7156" s="57" t="str">
        <f t="shared" si="334"/>
        <v/>
      </c>
      <c r="U7156" s="58" t="str">
        <f t="shared" si="335"/>
        <v/>
      </c>
    </row>
    <row r="7157" spans="19:21" ht="23.25" customHeight="1" x14ac:dyDescent="0.35">
      <c r="S7157" s="56" t="str">
        <f t="shared" si="333"/>
        <v/>
      </c>
      <c r="T7157" s="57" t="str">
        <f t="shared" si="334"/>
        <v/>
      </c>
      <c r="U7157" s="58" t="str">
        <f t="shared" si="335"/>
        <v/>
      </c>
    </row>
    <row r="7158" spans="19:21" ht="23.25" customHeight="1" x14ac:dyDescent="0.35">
      <c r="S7158" s="56" t="str">
        <f t="shared" si="333"/>
        <v/>
      </c>
      <c r="T7158" s="57" t="str">
        <f t="shared" si="334"/>
        <v/>
      </c>
      <c r="U7158" s="58" t="str">
        <f t="shared" si="335"/>
        <v/>
      </c>
    </row>
    <row r="7159" spans="19:21" ht="23.25" customHeight="1" x14ac:dyDescent="0.35">
      <c r="S7159" s="56" t="str">
        <f t="shared" si="333"/>
        <v/>
      </c>
      <c r="T7159" s="57" t="str">
        <f t="shared" si="334"/>
        <v/>
      </c>
      <c r="U7159" s="58" t="str">
        <f t="shared" si="335"/>
        <v/>
      </c>
    </row>
    <row r="7160" spans="19:21" ht="23.25" customHeight="1" x14ac:dyDescent="0.35">
      <c r="S7160" s="56" t="str">
        <f t="shared" si="333"/>
        <v/>
      </c>
      <c r="T7160" s="57" t="str">
        <f t="shared" si="334"/>
        <v/>
      </c>
      <c r="U7160" s="58" t="str">
        <f t="shared" si="335"/>
        <v/>
      </c>
    </row>
    <row r="7161" spans="19:21" ht="23.25" customHeight="1" x14ac:dyDescent="0.35">
      <c r="S7161" s="56" t="str">
        <f t="shared" si="333"/>
        <v/>
      </c>
      <c r="T7161" s="57" t="str">
        <f t="shared" si="334"/>
        <v/>
      </c>
      <c r="U7161" s="58" t="str">
        <f t="shared" si="335"/>
        <v/>
      </c>
    </row>
    <row r="7162" spans="19:21" ht="23.25" customHeight="1" x14ac:dyDescent="0.35">
      <c r="S7162" s="56" t="str">
        <f t="shared" si="333"/>
        <v/>
      </c>
      <c r="T7162" s="57" t="str">
        <f t="shared" si="334"/>
        <v/>
      </c>
      <c r="U7162" s="58" t="str">
        <f t="shared" si="335"/>
        <v/>
      </c>
    </row>
    <row r="7163" spans="19:21" ht="23.25" customHeight="1" x14ac:dyDescent="0.35">
      <c r="S7163" s="56" t="str">
        <f t="shared" si="333"/>
        <v/>
      </c>
      <c r="T7163" s="57" t="str">
        <f t="shared" si="334"/>
        <v/>
      </c>
      <c r="U7163" s="58" t="str">
        <f t="shared" si="335"/>
        <v/>
      </c>
    </row>
    <row r="7164" spans="19:21" ht="23.25" customHeight="1" x14ac:dyDescent="0.35">
      <c r="S7164" s="56" t="str">
        <f t="shared" si="333"/>
        <v/>
      </c>
      <c r="T7164" s="57" t="str">
        <f t="shared" si="334"/>
        <v/>
      </c>
      <c r="U7164" s="58" t="str">
        <f t="shared" si="335"/>
        <v/>
      </c>
    </row>
    <row r="7165" spans="19:21" ht="23.25" customHeight="1" x14ac:dyDescent="0.35">
      <c r="S7165" s="56" t="str">
        <f t="shared" si="333"/>
        <v/>
      </c>
      <c r="T7165" s="57" t="str">
        <f t="shared" si="334"/>
        <v/>
      </c>
      <c r="U7165" s="58" t="str">
        <f t="shared" si="335"/>
        <v/>
      </c>
    </row>
    <row r="7166" spans="19:21" ht="23.25" customHeight="1" x14ac:dyDescent="0.35">
      <c r="S7166" s="56" t="str">
        <f t="shared" si="333"/>
        <v/>
      </c>
      <c r="T7166" s="57" t="str">
        <f t="shared" si="334"/>
        <v/>
      </c>
      <c r="U7166" s="58" t="str">
        <f t="shared" si="335"/>
        <v/>
      </c>
    </row>
    <row r="7167" spans="19:21" ht="23.25" customHeight="1" x14ac:dyDescent="0.35">
      <c r="S7167" s="56" t="str">
        <f t="shared" si="333"/>
        <v/>
      </c>
      <c r="T7167" s="57" t="str">
        <f t="shared" si="334"/>
        <v/>
      </c>
      <c r="U7167" s="58" t="str">
        <f t="shared" si="335"/>
        <v/>
      </c>
    </row>
    <row r="7168" spans="19:21" ht="23.25" customHeight="1" x14ac:dyDescent="0.35">
      <c r="S7168" s="56" t="str">
        <f t="shared" si="333"/>
        <v/>
      </c>
      <c r="T7168" s="57" t="str">
        <f t="shared" si="334"/>
        <v/>
      </c>
      <c r="U7168" s="58" t="str">
        <f t="shared" si="335"/>
        <v/>
      </c>
    </row>
    <row r="7169" spans="19:21" ht="23.25" customHeight="1" x14ac:dyDescent="0.35">
      <c r="S7169" s="56" t="str">
        <f t="shared" si="333"/>
        <v/>
      </c>
      <c r="T7169" s="57" t="str">
        <f t="shared" si="334"/>
        <v/>
      </c>
      <c r="U7169" s="58" t="str">
        <f t="shared" si="335"/>
        <v/>
      </c>
    </row>
    <row r="7170" spans="19:21" ht="23.25" customHeight="1" x14ac:dyDescent="0.35">
      <c r="S7170" s="56" t="str">
        <f t="shared" si="333"/>
        <v/>
      </c>
      <c r="T7170" s="57" t="str">
        <f t="shared" si="334"/>
        <v/>
      </c>
      <c r="U7170" s="58" t="str">
        <f t="shared" si="335"/>
        <v/>
      </c>
    </row>
    <row r="7171" spans="19:21" ht="23.25" customHeight="1" x14ac:dyDescent="0.35">
      <c r="S7171" s="56" t="str">
        <f t="shared" si="333"/>
        <v/>
      </c>
      <c r="T7171" s="57" t="str">
        <f t="shared" si="334"/>
        <v/>
      </c>
      <c r="U7171" s="58" t="str">
        <f t="shared" si="335"/>
        <v/>
      </c>
    </row>
    <row r="7172" spans="19:21" ht="23.25" customHeight="1" x14ac:dyDescent="0.35">
      <c r="S7172" s="56" t="str">
        <f t="shared" si="333"/>
        <v/>
      </c>
      <c r="T7172" s="57" t="str">
        <f t="shared" si="334"/>
        <v/>
      </c>
      <c r="U7172" s="58" t="str">
        <f t="shared" si="335"/>
        <v/>
      </c>
    </row>
    <row r="7173" spans="19:21" ht="23.25" customHeight="1" x14ac:dyDescent="0.35">
      <c r="S7173" s="56" t="str">
        <f t="shared" si="333"/>
        <v/>
      </c>
      <c r="T7173" s="57" t="str">
        <f t="shared" si="334"/>
        <v/>
      </c>
      <c r="U7173" s="58" t="str">
        <f t="shared" si="335"/>
        <v/>
      </c>
    </row>
    <row r="7174" spans="19:21" ht="23.25" customHeight="1" x14ac:dyDescent="0.35">
      <c r="S7174" s="56" t="str">
        <f t="shared" si="333"/>
        <v/>
      </c>
      <c r="T7174" s="57" t="str">
        <f t="shared" si="334"/>
        <v/>
      </c>
      <c r="U7174" s="58" t="str">
        <f t="shared" si="335"/>
        <v/>
      </c>
    </row>
    <row r="7175" spans="19:21" ht="23.25" customHeight="1" x14ac:dyDescent="0.35">
      <c r="S7175" s="56" t="str">
        <f t="shared" si="333"/>
        <v/>
      </c>
      <c r="T7175" s="57" t="str">
        <f t="shared" si="334"/>
        <v/>
      </c>
      <c r="U7175" s="58" t="str">
        <f t="shared" si="335"/>
        <v/>
      </c>
    </row>
    <row r="7176" spans="19:21" ht="23.25" customHeight="1" x14ac:dyDescent="0.35">
      <c r="S7176" s="56" t="str">
        <f t="shared" si="333"/>
        <v/>
      </c>
      <c r="T7176" s="57" t="str">
        <f t="shared" si="334"/>
        <v/>
      </c>
      <c r="U7176" s="58" t="str">
        <f t="shared" si="335"/>
        <v/>
      </c>
    </row>
    <row r="7177" spans="19:21" ht="23.25" customHeight="1" x14ac:dyDescent="0.35">
      <c r="S7177" s="56" t="str">
        <f t="shared" ref="S7177:S7240" si="336">IF(A7177="","",A$5-A7177)</f>
        <v/>
      </c>
      <c r="T7177" s="57" t="str">
        <f t="shared" ref="T7177:T7240" si="337">IF(S7177="","",IF(S7177&lt;4,"0-3 Days",IF(S7177&lt;31,"4-30 Days",IF(S7177&lt;61,"31-60 Days",IF(S7177&lt;=90,"61-90 Days",IF(S7177&gt;90,"Above 90 Days","0"))))))</f>
        <v/>
      </c>
      <c r="U7177" s="58" t="str">
        <f t="shared" ref="U7177:U7240" si="338">IF(C7177="","",IF(C7177&gt;0,IF(S7177&lt;30,"Normal",IF(S7177&lt;60,"Especially Mentioned",IF(S7177&lt;90,"Substandard",IF(S7177&lt;=180,"Doubtful",IF(S7177&gt;180,"Loss","0"))))),"Not Applicable"))</f>
        <v/>
      </c>
    </row>
    <row r="7178" spans="19:21" ht="23.25" customHeight="1" x14ac:dyDescent="0.35">
      <c r="S7178" s="56" t="str">
        <f t="shared" si="336"/>
        <v/>
      </c>
      <c r="T7178" s="57" t="str">
        <f t="shared" si="337"/>
        <v/>
      </c>
      <c r="U7178" s="58" t="str">
        <f t="shared" si="338"/>
        <v/>
      </c>
    </row>
    <row r="7179" spans="19:21" ht="23.25" customHeight="1" x14ac:dyDescent="0.35">
      <c r="S7179" s="56" t="str">
        <f t="shared" si="336"/>
        <v/>
      </c>
      <c r="T7179" s="57" t="str">
        <f t="shared" si="337"/>
        <v/>
      </c>
      <c r="U7179" s="58" t="str">
        <f t="shared" si="338"/>
        <v/>
      </c>
    </row>
    <row r="7180" spans="19:21" ht="23.25" customHeight="1" x14ac:dyDescent="0.35">
      <c r="S7180" s="56" t="str">
        <f t="shared" si="336"/>
        <v/>
      </c>
      <c r="T7180" s="57" t="str">
        <f t="shared" si="337"/>
        <v/>
      </c>
      <c r="U7180" s="58" t="str">
        <f t="shared" si="338"/>
        <v/>
      </c>
    </row>
    <row r="7181" spans="19:21" ht="23.25" customHeight="1" x14ac:dyDescent="0.35">
      <c r="S7181" s="56" t="str">
        <f t="shared" si="336"/>
        <v/>
      </c>
      <c r="T7181" s="57" t="str">
        <f t="shared" si="337"/>
        <v/>
      </c>
      <c r="U7181" s="58" t="str">
        <f t="shared" si="338"/>
        <v/>
      </c>
    </row>
    <row r="7182" spans="19:21" ht="23.25" customHeight="1" x14ac:dyDescent="0.35">
      <c r="S7182" s="56" t="str">
        <f t="shared" si="336"/>
        <v/>
      </c>
      <c r="T7182" s="57" t="str">
        <f t="shared" si="337"/>
        <v/>
      </c>
      <c r="U7182" s="58" t="str">
        <f t="shared" si="338"/>
        <v/>
      </c>
    </row>
    <row r="7183" spans="19:21" ht="23.25" customHeight="1" x14ac:dyDescent="0.35">
      <c r="S7183" s="56" t="str">
        <f t="shared" si="336"/>
        <v/>
      </c>
      <c r="T7183" s="57" t="str">
        <f t="shared" si="337"/>
        <v/>
      </c>
      <c r="U7183" s="58" t="str">
        <f t="shared" si="338"/>
        <v/>
      </c>
    </row>
    <row r="7184" spans="19:21" ht="23.25" customHeight="1" x14ac:dyDescent="0.35">
      <c r="S7184" s="56" t="str">
        <f t="shared" si="336"/>
        <v/>
      </c>
      <c r="T7184" s="57" t="str">
        <f t="shared" si="337"/>
        <v/>
      </c>
      <c r="U7184" s="58" t="str">
        <f t="shared" si="338"/>
        <v/>
      </c>
    </row>
    <row r="7185" spans="19:21" ht="23.25" customHeight="1" x14ac:dyDescent="0.35">
      <c r="S7185" s="56" t="str">
        <f t="shared" si="336"/>
        <v/>
      </c>
      <c r="T7185" s="57" t="str">
        <f t="shared" si="337"/>
        <v/>
      </c>
      <c r="U7185" s="58" t="str">
        <f t="shared" si="338"/>
        <v/>
      </c>
    </row>
    <row r="7186" spans="19:21" ht="23.25" customHeight="1" x14ac:dyDescent="0.35">
      <c r="S7186" s="56" t="str">
        <f t="shared" si="336"/>
        <v/>
      </c>
      <c r="T7186" s="57" t="str">
        <f t="shared" si="337"/>
        <v/>
      </c>
      <c r="U7186" s="58" t="str">
        <f t="shared" si="338"/>
        <v/>
      </c>
    </row>
    <row r="7187" spans="19:21" ht="23.25" customHeight="1" x14ac:dyDescent="0.35">
      <c r="S7187" s="56" t="str">
        <f t="shared" si="336"/>
        <v/>
      </c>
      <c r="T7187" s="57" t="str">
        <f t="shared" si="337"/>
        <v/>
      </c>
      <c r="U7187" s="58" t="str">
        <f t="shared" si="338"/>
        <v/>
      </c>
    </row>
    <row r="7188" spans="19:21" ht="23.25" customHeight="1" x14ac:dyDescent="0.35">
      <c r="S7188" s="56" t="str">
        <f t="shared" si="336"/>
        <v/>
      </c>
      <c r="T7188" s="57" t="str">
        <f t="shared" si="337"/>
        <v/>
      </c>
      <c r="U7188" s="58" t="str">
        <f t="shared" si="338"/>
        <v/>
      </c>
    </row>
    <row r="7189" spans="19:21" ht="23.25" customHeight="1" x14ac:dyDescent="0.35">
      <c r="S7189" s="56" t="str">
        <f t="shared" si="336"/>
        <v/>
      </c>
      <c r="T7189" s="57" t="str">
        <f t="shared" si="337"/>
        <v/>
      </c>
      <c r="U7189" s="58" t="str">
        <f t="shared" si="338"/>
        <v/>
      </c>
    </row>
    <row r="7190" spans="19:21" ht="23.25" customHeight="1" x14ac:dyDescent="0.35">
      <c r="S7190" s="56" t="str">
        <f t="shared" si="336"/>
        <v/>
      </c>
      <c r="T7190" s="57" t="str">
        <f t="shared" si="337"/>
        <v/>
      </c>
      <c r="U7190" s="58" t="str">
        <f t="shared" si="338"/>
        <v/>
      </c>
    </row>
    <row r="7191" spans="19:21" ht="23.25" customHeight="1" x14ac:dyDescent="0.35">
      <c r="S7191" s="56" t="str">
        <f t="shared" si="336"/>
        <v/>
      </c>
      <c r="T7191" s="57" t="str">
        <f t="shared" si="337"/>
        <v/>
      </c>
      <c r="U7191" s="58" t="str">
        <f t="shared" si="338"/>
        <v/>
      </c>
    </row>
    <row r="7192" spans="19:21" ht="23.25" customHeight="1" x14ac:dyDescent="0.35">
      <c r="S7192" s="56" t="str">
        <f t="shared" si="336"/>
        <v/>
      </c>
      <c r="T7192" s="57" t="str">
        <f t="shared" si="337"/>
        <v/>
      </c>
      <c r="U7192" s="58" t="str">
        <f t="shared" si="338"/>
        <v/>
      </c>
    </row>
    <row r="7193" spans="19:21" ht="23.25" customHeight="1" x14ac:dyDescent="0.35">
      <c r="S7193" s="56" t="str">
        <f t="shared" si="336"/>
        <v/>
      </c>
      <c r="T7193" s="57" t="str">
        <f t="shared" si="337"/>
        <v/>
      </c>
      <c r="U7193" s="58" t="str">
        <f t="shared" si="338"/>
        <v/>
      </c>
    </row>
    <row r="7194" spans="19:21" ht="23.25" customHeight="1" x14ac:dyDescent="0.35">
      <c r="S7194" s="56" t="str">
        <f t="shared" si="336"/>
        <v/>
      </c>
      <c r="T7194" s="57" t="str">
        <f t="shared" si="337"/>
        <v/>
      </c>
      <c r="U7194" s="58" t="str">
        <f t="shared" si="338"/>
        <v/>
      </c>
    </row>
    <row r="7195" spans="19:21" ht="23.25" customHeight="1" x14ac:dyDescent="0.35">
      <c r="S7195" s="56" t="str">
        <f t="shared" si="336"/>
        <v/>
      </c>
      <c r="T7195" s="57" t="str">
        <f t="shared" si="337"/>
        <v/>
      </c>
      <c r="U7195" s="58" t="str">
        <f t="shared" si="338"/>
        <v/>
      </c>
    </row>
    <row r="7196" spans="19:21" ht="23.25" customHeight="1" x14ac:dyDescent="0.35">
      <c r="S7196" s="56" t="str">
        <f t="shared" si="336"/>
        <v/>
      </c>
      <c r="T7196" s="57" t="str">
        <f t="shared" si="337"/>
        <v/>
      </c>
      <c r="U7196" s="58" t="str">
        <f t="shared" si="338"/>
        <v/>
      </c>
    </row>
    <row r="7197" spans="19:21" ht="23.25" customHeight="1" x14ac:dyDescent="0.35">
      <c r="S7197" s="56" t="str">
        <f t="shared" si="336"/>
        <v/>
      </c>
      <c r="T7197" s="57" t="str">
        <f t="shared" si="337"/>
        <v/>
      </c>
      <c r="U7197" s="58" t="str">
        <f t="shared" si="338"/>
        <v/>
      </c>
    </row>
    <row r="7198" spans="19:21" ht="23.25" customHeight="1" x14ac:dyDescent="0.35">
      <c r="S7198" s="56" t="str">
        <f t="shared" si="336"/>
        <v/>
      </c>
      <c r="T7198" s="57" t="str">
        <f t="shared" si="337"/>
        <v/>
      </c>
      <c r="U7198" s="58" t="str">
        <f t="shared" si="338"/>
        <v/>
      </c>
    </row>
    <row r="7199" spans="19:21" ht="23.25" customHeight="1" x14ac:dyDescent="0.35">
      <c r="S7199" s="56" t="str">
        <f t="shared" si="336"/>
        <v/>
      </c>
      <c r="T7199" s="57" t="str">
        <f t="shared" si="337"/>
        <v/>
      </c>
      <c r="U7199" s="58" t="str">
        <f t="shared" si="338"/>
        <v/>
      </c>
    </row>
    <row r="7200" spans="19:21" ht="23.25" customHeight="1" x14ac:dyDescent="0.35">
      <c r="S7200" s="56" t="str">
        <f t="shared" si="336"/>
        <v/>
      </c>
      <c r="T7200" s="57" t="str">
        <f t="shared" si="337"/>
        <v/>
      </c>
      <c r="U7200" s="58" t="str">
        <f t="shared" si="338"/>
        <v/>
      </c>
    </row>
    <row r="7201" spans="19:21" ht="23.25" customHeight="1" x14ac:dyDescent="0.35">
      <c r="S7201" s="56" t="str">
        <f t="shared" si="336"/>
        <v/>
      </c>
      <c r="T7201" s="57" t="str">
        <f t="shared" si="337"/>
        <v/>
      </c>
      <c r="U7201" s="58" t="str">
        <f t="shared" si="338"/>
        <v/>
      </c>
    </row>
    <row r="7202" spans="19:21" ht="23.25" customHeight="1" x14ac:dyDescent="0.35">
      <c r="S7202" s="56" t="str">
        <f t="shared" si="336"/>
        <v/>
      </c>
      <c r="T7202" s="57" t="str">
        <f t="shared" si="337"/>
        <v/>
      </c>
      <c r="U7202" s="58" t="str">
        <f t="shared" si="338"/>
        <v/>
      </c>
    </row>
    <row r="7203" spans="19:21" ht="23.25" customHeight="1" x14ac:dyDescent="0.35">
      <c r="S7203" s="56" t="str">
        <f t="shared" si="336"/>
        <v/>
      </c>
      <c r="T7203" s="57" t="str">
        <f t="shared" si="337"/>
        <v/>
      </c>
      <c r="U7203" s="58" t="str">
        <f t="shared" si="338"/>
        <v/>
      </c>
    </row>
    <row r="7204" spans="19:21" ht="23.25" customHeight="1" x14ac:dyDescent="0.35">
      <c r="S7204" s="56" t="str">
        <f t="shared" si="336"/>
        <v/>
      </c>
      <c r="T7204" s="57" t="str">
        <f t="shared" si="337"/>
        <v/>
      </c>
      <c r="U7204" s="58" t="str">
        <f t="shared" si="338"/>
        <v/>
      </c>
    </row>
    <row r="7205" spans="19:21" ht="23.25" customHeight="1" x14ac:dyDescent="0.35">
      <c r="S7205" s="56" t="str">
        <f t="shared" si="336"/>
        <v/>
      </c>
      <c r="T7205" s="57" t="str">
        <f t="shared" si="337"/>
        <v/>
      </c>
      <c r="U7205" s="58" t="str">
        <f t="shared" si="338"/>
        <v/>
      </c>
    </row>
    <row r="7206" spans="19:21" ht="23.25" customHeight="1" x14ac:dyDescent="0.35">
      <c r="S7206" s="56" t="str">
        <f t="shared" si="336"/>
        <v/>
      </c>
      <c r="T7206" s="57" t="str">
        <f t="shared" si="337"/>
        <v/>
      </c>
      <c r="U7206" s="58" t="str">
        <f t="shared" si="338"/>
        <v/>
      </c>
    </row>
    <row r="7207" spans="19:21" ht="23.25" customHeight="1" x14ac:dyDescent="0.35">
      <c r="S7207" s="56" t="str">
        <f t="shared" si="336"/>
        <v/>
      </c>
      <c r="T7207" s="57" t="str">
        <f t="shared" si="337"/>
        <v/>
      </c>
      <c r="U7207" s="58" t="str">
        <f t="shared" si="338"/>
        <v/>
      </c>
    </row>
    <row r="7208" spans="19:21" ht="23.25" customHeight="1" x14ac:dyDescent="0.35">
      <c r="S7208" s="56" t="str">
        <f t="shared" si="336"/>
        <v/>
      </c>
      <c r="T7208" s="57" t="str">
        <f t="shared" si="337"/>
        <v/>
      </c>
      <c r="U7208" s="58" t="str">
        <f t="shared" si="338"/>
        <v/>
      </c>
    </row>
    <row r="7209" spans="19:21" ht="23.25" customHeight="1" x14ac:dyDescent="0.35">
      <c r="S7209" s="56" t="str">
        <f t="shared" si="336"/>
        <v/>
      </c>
      <c r="T7209" s="57" t="str">
        <f t="shared" si="337"/>
        <v/>
      </c>
      <c r="U7209" s="58" t="str">
        <f t="shared" si="338"/>
        <v/>
      </c>
    </row>
    <row r="7210" spans="19:21" ht="23.25" customHeight="1" x14ac:dyDescent="0.35">
      <c r="S7210" s="56" t="str">
        <f t="shared" si="336"/>
        <v/>
      </c>
      <c r="T7210" s="57" t="str">
        <f t="shared" si="337"/>
        <v/>
      </c>
      <c r="U7210" s="58" t="str">
        <f t="shared" si="338"/>
        <v/>
      </c>
    </row>
    <row r="7211" spans="19:21" ht="23.25" customHeight="1" x14ac:dyDescent="0.35">
      <c r="S7211" s="56" t="str">
        <f t="shared" si="336"/>
        <v/>
      </c>
      <c r="T7211" s="57" t="str">
        <f t="shared" si="337"/>
        <v/>
      </c>
      <c r="U7211" s="58" t="str">
        <f t="shared" si="338"/>
        <v/>
      </c>
    </row>
    <row r="7212" spans="19:21" ht="23.25" customHeight="1" x14ac:dyDescent="0.35">
      <c r="S7212" s="56" t="str">
        <f t="shared" si="336"/>
        <v/>
      </c>
      <c r="T7212" s="57" t="str">
        <f t="shared" si="337"/>
        <v/>
      </c>
      <c r="U7212" s="58" t="str">
        <f t="shared" si="338"/>
        <v/>
      </c>
    </row>
    <row r="7213" spans="19:21" ht="23.25" customHeight="1" x14ac:dyDescent="0.35">
      <c r="S7213" s="56" t="str">
        <f t="shared" si="336"/>
        <v/>
      </c>
      <c r="T7213" s="57" t="str">
        <f t="shared" si="337"/>
        <v/>
      </c>
      <c r="U7213" s="58" t="str">
        <f t="shared" si="338"/>
        <v/>
      </c>
    </row>
    <row r="7214" spans="19:21" ht="23.25" customHeight="1" x14ac:dyDescent="0.35">
      <c r="S7214" s="56" t="str">
        <f t="shared" si="336"/>
        <v/>
      </c>
      <c r="T7214" s="57" t="str">
        <f t="shared" si="337"/>
        <v/>
      </c>
      <c r="U7214" s="58" t="str">
        <f t="shared" si="338"/>
        <v/>
      </c>
    </row>
    <row r="7215" spans="19:21" ht="23.25" customHeight="1" x14ac:dyDescent="0.35">
      <c r="S7215" s="56" t="str">
        <f t="shared" si="336"/>
        <v/>
      </c>
      <c r="T7215" s="57" t="str">
        <f t="shared" si="337"/>
        <v/>
      </c>
      <c r="U7215" s="58" t="str">
        <f t="shared" si="338"/>
        <v/>
      </c>
    </row>
    <row r="7216" spans="19:21" ht="23.25" customHeight="1" x14ac:dyDescent="0.35">
      <c r="S7216" s="56" t="str">
        <f t="shared" si="336"/>
        <v/>
      </c>
      <c r="T7216" s="57" t="str">
        <f t="shared" si="337"/>
        <v/>
      </c>
      <c r="U7216" s="58" t="str">
        <f t="shared" si="338"/>
        <v/>
      </c>
    </row>
    <row r="7217" spans="19:21" ht="23.25" customHeight="1" x14ac:dyDescent="0.35">
      <c r="S7217" s="56" t="str">
        <f t="shared" si="336"/>
        <v/>
      </c>
      <c r="T7217" s="57" t="str">
        <f t="shared" si="337"/>
        <v/>
      </c>
      <c r="U7217" s="58" t="str">
        <f t="shared" si="338"/>
        <v/>
      </c>
    </row>
    <row r="7218" spans="19:21" ht="23.25" customHeight="1" x14ac:dyDescent="0.35">
      <c r="S7218" s="56" t="str">
        <f t="shared" si="336"/>
        <v/>
      </c>
      <c r="T7218" s="57" t="str">
        <f t="shared" si="337"/>
        <v/>
      </c>
      <c r="U7218" s="58" t="str">
        <f t="shared" si="338"/>
        <v/>
      </c>
    </row>
    <row r="7219" spans="19:21" ht="23.25" customHeight="1" x14ac:dyDescent="0.35">
      <c r="S7219" s="56" t="str">
        <f t="shared" si="336"/>
        <v/>
      </c>
      <c r="T7219" s="57" t="str">
        <f t="shared" si="337"/>
        <v/>
      </c>
      <c r="U7219" s="58" t="str">
        <f t="shared" si="338"/>
        <v/>
      </c>
    </row>
    <row r="7220" spans="19:21" ht="23.25" customHeight="1" x14ac:dyDescent="0.35">
      <c r="S7220" s="56" t="str">
        <f t="shared" si="336"/>
        <v/>
      </c>
      <c r="T7220" s="57" t="str">
        <f t="shared" si="337"/>
        <v/>
      </c>
      <c r="U7220" s="58" t="str">
        <f t="shared" si="338"/>
        <v/>
      </c>
    </row>
    <row r="7221" spans="19:21" ht="23.25" customHeight="1" x14ac:dyDescent="0.35">
      <c r="S7221" s="56" t="str">
        <f t="shared" si="336"/>
        <v/>
      </c>
      <c r="T7221" s="57" t="str">
        <f t="shared" si="337"/>
        <v/>
      </c>
      <c r="U7221" s="58" t="str">
        <f t="shared" si="338"/>
        <v/>
      </c>
    </row>
    <row r="7222" spans="19:21" ht="23.25" customHeight="1" x14ac:dyDescent="0.35">
      <c r="S7222" s="56" t="str">
        <f t="shared" si="336"/>
        <v/>
      </c>
      <c r="T7222" s="57" t="str">
        <f t="shared" si="337"/>
        <v/>
      </c>
      <c r="U7222" s="58" t="str">
        <f t="shared" si="338"/>
        <v/>
      </c>
    </row>
    <row r="7223" spans="19:21" ht="23.25" customHeight="1" x14ac:dyDescent="0.35">
      <c r="S7223" s="56" t="str">
        <f t="shared" si="336"/>
        <v/>
      </c>
      <c r="T7223" s="57" t="str">
        <f t="shared" si="337"/>
        <v/>
      </c>
      <c r="U7223" s="58" t="str">
        <f t="shared" si="338"/>
        <v/>
      </c>
    </row>
    <row r="7224" spans="19:21" ht="23.25" customHeight="1" x14ac:dyDescent="0.35">
      <c r="S7224" s="56" t="str">
        <f t="shared" si="336"/>
        <v/>
      </c>
      <c r="T7224" s="57" t="str">
        <f t="shared" si="337"/>
        <v/>
      </c>
      <c r="U7224" s="58" t="str">
        <f t="shared" si="338"/>
        <v/>
      </c>
    </row>
    <row r="7225" spans="19:21" ht="23.25" customHeight="1" x14ac:dyDescent="0.35">
      <c r="S7225" s="56" t="str">
        <f t="shared" si="336"/>
        <v/>
      </c>
      <c r="T7225" s="57" t="str">
        <f t="shared" si="337"/>
        <v/>
      </c>
      <c r="U7225" s="58" t="str">
        <f t="shared" si="338"/>
        <v/>
      </c>
    </row>
    <row r="7226" spans="19:21" ht="23.25" customHeight="1" x14ac:dyDescent="0.35">
      <c r="S7226" s="56" t="str">
        <f t="shared" si="336"/>
        <v/>
      </c>
      <c r="T7226" s="57" t="str">
        <f t="shared" si="337"/>
        <v/>
      </c>
      <c r="U7226" s="58" t="str">
        <f t="shared" si="338"/>
        <v/>
      </c>
    </row>
    <row r="7227" spans="19:21" ht="23.25" customHeight="1" x14ac:dyDescent="0.35">
      <c r="S7227" s="56" t="str">
        <f t="shared" si="336"/>
        <v/>
      </c>
      <c r="T7227" s="57" t="str">
        <f t="shared" si="337"/>
        <v/>
      </c>
      <c r="U7227" s="58" t="str">
        <f t="shared" si="338"/>
        <v/>
      </c>
    </row>
    <row r="7228" spans="19:21" ht="23.25" customHeight="1" x14ac:dyDescent="0.35">
      <c r="S7228" s="56" t="str">
        <f t="shared" si="336"/>
        <v/>
      </c>
      <c r="T7228" s="57" t="str">
        <f t="shared" si="337"/>
        <v/>
      </c>
      <c r="U7228" s="58" t="str">
        <f t="shared" si="338"/>
        <v/>
      </c>
    </row>
    <row r="7229" spans="19:21" ht="23.25" customHeight="1" x14ac:dyDescent="0.35">
      <c r="S7229" s="56" t="str">
        <f t="shared" si="336"/>
        <v/>
      </c>
      <c r="T7229" s="57" t="str">
        <f t="shared" si="337"/>
        <v/>
      </c>
      <c r="U7229" s="58" t="str">
        <f t="shared" si="338"/>
        <v/>
      </c>
    </row>
    <row r="7230" spans="19:21" ht="23.25" customHeight="1" x14ac:dyDescent="0.35">
      <c r="S7230" s="56" t="str">
        <f t="shared" si="336"/>
        <v/>
      </c>
      <c r="T7230" s="57" t="str">
        <f t="shared" si="337"/>
        <v/>
      </c>
      <c r="U7230" s="58" t="str">
        <f t="shared" si="338"/>
        <v/>
      </c>
    </row>
    <row r="7231" spans="19:21" ht="23.25" customHeight="1" x14ac:dyDescent="0.35">
      <c r="S7231" s="56" t="str">
        <f t="shared" si="336"/>
        <v/>
      </c>
      <c r="T7231" s="57" t="str">
        <f t="shared" si="337"/>
        <v/>
      </c>
      <c r="U7231" s="58" t="str">
        <f t="shared" si="338"/>
        <v/>
      </c>
    </row>
    <row r="7232" spans="19:21" ht="23.25" customHeight="1" x14ac:dyDescent="0.35">
      <c r="S7232" s="56" t="str">
        <f t="shared" si="336"/>
        <v/>
      </c>
      <c r="T7232" s="57" t="str">
        <f t="shared" si="337"/>
        <v/>
      </c>
      <c r="U7232" s="58" t="str">
        <f t="shared" si="338"/>
        <v/>
      </c>
    </row>
    <row r="7233" spans="19:21" ht="23.25" customHeight="1" x14ac:dyDescent="0.35">
      <c r="S7233" s="56" t="str">
        <f t="shared" si="336"/>
        <v/>
      </c>
      <c r="T7233" s="57" t="str">
        <f t="shared" si="337"/>
        <v/>
      </c>
      <c r="U7233" s="58" t="str">
        <f t="shared" si="338"/>
        <v/>
      </c>
    </row>
    <row r="7234" spans="19:21" ht="23.25" customHeight="1" x14ac:dyDescent="0.35">
      <c r="S7234" s="56" t="str">
        <f t="shared" si="336"/>
        <v/>
      </c>
      <c r="T7234" s="57" t="str">
        <f t="shared" si="337"/>
        <v/>
      </c>
      <c r="U7234" s="58" t="str">
        <f t="shared" si="338"/>
        <v/>
      </c>
    </row>
    <row r="7235" spans="19:21" ht="23.25" customHeight="1" x14ac:dyDescent="0.35">
      <c r="S7235" s="56" t="str">
        <f t="shared" si="336"/>
        <v/>
      </c>
      <c r="T7235" s="57" t="str">
        <f t="shared" si="337"/>
        <v/>
      </c>
      <c r="U7235" s="58" t="str">
        <f t="shared" si="338"/>
        <v/>
      </c>
    </row>
    <row r="7236" spans="19:21" ht="23.25" customHeight="1" x14ac:dyDescent="0.35">
      <c r="S7236" s="56" t="str">
        <f t="shared" si="336"/>
        <v/>
      </c>
      <c r="T7236" s="57" t="str">
        <f t="shared" si="337"/>
        <v/>
      </c>
      <c r="U7236" s="58" t="str">
        <f t="shared" si="338"/>
        <v/>
      </c>
    </row>
    <row r="7237" spans="19:21" ht="23.25" customHeight="1" x14ac:dyDescent="0.35">
      <c r="S7237" s="56" t="str">
        <f t="shared" si="336"/>
        <v/>
      </c>
      <c r="T7237" s="57" t="str">
        <f t="shared" si="337"/>
        <v/>
      </c>
      <c r="U7237" s="58" t="str">
        <f t="shared" si="338"/>
        <v/>
      </c>
    </row>
    <row r="7238" spans="19:21" ht="23.25" customHeight="1" x14ac:dyDescent="0.35">
      <c r="S7238" s="56" t="str">
        <f t="shared" si="336"/>
        <v/>
      </c>
      <c r="T7238" s="57" t="str">
        <f t="shared" si="337"/>
        <v/>
      </c>
      <c r="U7238" s="58" t="str">
        <f t="shared" si="338"/>
        <v/>
      </c>
    </row>
    <row r="7239" spans="19:21" ht="23.25" customHeight="1" x14ac:dyDescent="0.35">
      <c r="S7239" s="56" t="str">
        <f t="shared" si="336"/>
        <v/>
      </c>
      <c r="T7239" s="57" t="str">
        <f t="shared" si="337"/>
        <v/>
      </c>
      <c r="U7239" s="58" t="str">
        <f t="shared" si="338"/>
        <v/>
      </c>
    </row>
    <row r="7240" spans="19:21" ht="23.25" customHeight="1" x14ac:dyDescent="0.35">
      <c r="S7240" s="56" t="str">
        <f t="shared" si="336"/>
        <v/>
      </c>
      <c r="T7240" s="57" t="str">
        <f t="shared" si="337"/>
        <v/>
      </c>
      <c r="U7240" s="58" t="str">
        <f t="shared" si="338"/>
        <v/>
      </c>
    </row>
    <row r="7241" spans="19:21" ht="23.25" customHeight="1" x14ac:dyDescent="0.35">
      <c r="S7241" s="56" t="str">
        <f t="shared" ref="S7241:S7304" si="339">IF(A7241="","",A$5-A7241)</f>
        <v/>
      </c>
      <c r="T7241" s="57" t="str">
        <f t="shared" ref="T7241:T7304" si="340">IF(S7241="","",IF(S7241&lt;4,"0-3 Days",IF(S7241&lt;31,"4-30 Days",IF(S7241&lt;61,"31-60 Days",IF(S7241&lt;=90,"61-90 Days",IF(S7241&gt;90,"Above 90 Days","0"))))))</f>
        <v/>
      </c>
      <c r="U7241" s="58" t="str">
        <f t="shared" ref="U7241:U7304" si="341">IF(C7241="","",IF(C7241&gt;0,IF(S7241&lt;30,"Normal",IF(S7241&lt;60,"Especially Mentioned",IF(S7241&lt;90,"Substandard",IF(S7241&lt;=180,"Doubtful",IF(S7241&gt;180,"Loss","0"))))),"Not Applicable"))</f>
        <v/>
      </c>
    </row>
    <row r="7242" spans="19:21" ht="23.25" customHeight="1" x14ac:dyDescent="0.35">
      <c r="S7242" s="56" t="str">
        <f t="shared" si="339"/>
        <v/>
      </c>
      <c r="T7242" s="57" t="str">
        <f t="shared" si="340"/>
        <v/>
      </c>
      <c r="U7242" s="58" t="str">
        <f t="shared" si="341"/>
        <v/>
      </c>
    </row>
    <row r="7243" spans="19:21" ht="23.25" customHeight="1" x14ac:dyDescent="0.35">
      <c r="S7243" s="56" t="str">
        <f t="shared" si="339"/>
        <v/>
      </c>
      <c r="T7243" s="57" t="str">
        <f t="shared" si="340"/>
        <v/>
      </c>
      <c r="U7243" s="58" t="str">
        <f t="shared" si="341"/>
        <v/>
      </c>
    </row>
    <row r="7244" spans="19:21" ht="23.25" customHeight="1" x14ac:dyDescent="0.35">
      <c r="S7244" s="56" t="str">
        <f t="shared" si="339"/>
        <v/>
      </c>
      <c r="T7244" s="57" t="str">
        <f t="shared" si="340"/>
        <v/>
      </c>
      <c r="U7244" s="58" t="str">
        <f t="shared" si="341"/>
        <v/>
      </c>
    </row>
    <row r="7245" spans="19:21" ht="23.25" customHeight="1" x14ac:dyDescent="0.35">
      <c r="S7245" s="56" t="str">
        <f t="shared" si="339"/>
        <v/>
      </c>
      <c r="T7245" s="57" t="str">
        <f t="shared" si="340"/>
        <v/>
      </c>
      <c r="U7245" s="58" t="str">
        <f t="shared" si="341"/>
        <v/>
      </c>
    </row>
    <row r="7246" spans="19:21" ht="23.25" customHeight="1" x14ac:dyDescent="0.35">
      <c r="S7246" s="56" t="str">
        <f t="shared" si="339"/>
        <v/>
      </c>
      <c r="T7246" s="57" t="str">
        <f t="shared" si="340"/>
        <v/>
      </c>
      <c r="U7246" s="58" t="str">
        <f t="shared" si="341"/>
        <v/>
      </c>
    </row>
    <row r="7247" spans="19:21" ht="23.25" customHeight="1" x14ac:dyDescent="0.35">
      <c r="S7247" s="56" t="str">
        <f t="shared" si="339"/>
        <v/>
      </c>
      <c r="T7247" s="57" t="str">
        <f t="shared" si="340"/>
        <v/>
      </c>
      <c r="U7247" s="58" t="str">
        <f t="shared" si="341"/>
        <v/>
      </c>
    </row>
    <row r="7248" spans="19:21" ht="23.25" customHeight="1" x14ac:dyDescent="0.35">
      <c r="S7248" s="56" t="str">
        <f t="shared" si="339"/>
        <v/>
      </c>
      <c r="T7248" s="57" t="str">
        <f t="shared" si="340"/>
        <v/>
      </c>
      <c r="U7248" s="58" t="str">
        <f t="shared" si="341"/>
        <v/>
      </c>
    </row>
    <row r="7249" spans="19:21" ht="23.25" customHeight="1" x14ac:dyDescent="0.35">
      <c r="S7249" s="56" t="str">
        <f t="shared" si="339"/>
        <v/>
      </c>
      <c r="T7249" s="57" t="str">
        <f t="shared" si="340"/>
        <v/>
      </c>
      <c r="U7249" s="58" t="str">
        <f t="shared" si="341"/>
        <v/>
      </c>
    </row>
    <row r="7250" spans="19:21" ht="23.25" customHeight="1" x14ac:dyDescent="0.35">
      <c r="S7250" s="56" t="str">
        <f t="shared" si="339"/>
        <v/>
      </c>
      <c r="T7250" s="57" t="str">
        <f t="shared" si="340"/>
        <v/>
      </c>
      <c r="U7250" s="58" t="str">
        <f t="shared" si="341"/>
        <v/>
      </c>
    </row>
    <row r="7251" spans="19:21" ht="23.25" customHeight="1" x14ac:dyDescent="0.35">
      <c r="S7251" s="56" t="str">
        <f t="shared" si="339"/>
        <v/>
      </c>
      <c r="T7251" s="57" t="str">
        <f t="shared" si="340"/>
        <v/>
      </c>
      <c r="U7251" s="58" t="str">
        <f t="shared" si="341"/>
        <v/>
      </c>
    </row>
    <row r="7252" spans="19:21" ht="23.25" customHeight="1" x14ac:dyDescent="0.35">
      <c r="S7252" s="56" t="str">
        <f t="shared" si="339"/>
        <v/>
      </c>
      <c r="T7252" s="57" t="str">
        <f t="shared" si="340"/>
        <v/>
      </c>
      <c r="U7252" s="58" t="str">
        <f t="shared" si="341"/>
        <v/>
      </c>
    </row>
    <row r="7253" spans="19:21" ht="23.25" customHeight="1" x14ac:dyDescent="0.35">
      <c r="S7253" s="56" t="str">
        <f t="shared" si="339"/>
        <v/>
      </c>
      <c r="T7253" s="57" t="str">
        <f t="shared" si="340"/>
        <v/>
      </c>
      <c r="U7253" s="58" t="str">
        <f t="shared" si="341"/>
        <v/>
      </c>
    </row>
    <row r="7254" spans="19:21" ht="23.25" customHeight="1" x14ac:dyDescent="0.35">
      <c r="S7254" s="56" t="str">
        <f t="shared" si="339"/>
        <v/>
      </c>
      <c r="T7254" s="57" t="str">
        <f t="shared" si="340"/>
        <v/>
      </c>
      <c r="U7254" s="58" t="str">
        <f t="shared" si="341"/>
        <v/>
      </c>
    </row>
    <row r="7255" spans="19:21" ht="23.25" customHeight="1" x14ac:dyDescent="0.35">
      <c r="S7255" s="56" t="str">
        <f t="shared" si="339"/>
        <v/>
      </c>
      <c r="T7255" s="57" t="str">
        <f t="shared" si="340"/>
        <v/>
      </c>
      <c r="U7255" s="58" t="str">
        <f t="shared" si="341"/>
        <v/>
      </c>
    </row>
    <row r="7256" spans="19:21" ht="23.25" customHeight="1" x14ac:dyDescent="0.35">
      <c r="S7256" s="56" t="str">
        <f t="shared" si="339"/>
        <v/>
      </c>
      <c r="T7256" s="57" t="str">
        <f t="shared" si="340"/>
        <v/>
      </c>
      <c r="U7256" s="58" t="str">
        <f t="shared" si="341"/>
        <v/>
      </c>
    </row>
    <row r="7257" spans="19:21" ht="23.25" customHeight="1" x14ac:dyDescent="0.35">
      <c r="S7257" s="56" t="str">
        <f t="shared" si="339"/>
        <v/>
      </c>
      <c r="T7257" s="57" t="str">
        <f t="shared" si="340"/>
        <v/>
      </c>
      <c r="U7257" s="58" t="str">
        <f t="shared" si="341"/>
        <v/>
      </c>
    </row>
    <row r="7258" spans="19:21" ht="23.25" customHeight="1" x14ac:dyDescent="0.35">
      <c r="S7258" s="56" t="str">
        <f t="shared" si="339"/>
        <v/>
      </c>
      <c r="T7258" s="57" t="str">
        <f t="shared" si="340"/>
        <v/>
      </c>
      <c r="U7258" s="58" t="str">
        <f t="shared" si="341"/>
        <v/>
      </c>
    </row>
    <row r="7259" spans="19:21" ht="23.25" customHeight="1" x14ac:dyDescent="0.35">
      <c r="S7259" s="56" t="str">
        <f t="shared" si="339"/>
        <v/>
      </c>
      <c r="T7259" s="57" t="str">
        <f t="shared" si="340"/>
        <v/>
      </c>
      <c r="U7259" s="58" t="str">
        <f t="shared" si="341"/>
        <v/>
      </c>
    </row>
    <row r="7260" spans="19:21" ht="23.25" customHeight="1" x14ac:dyDescent="0.35">
      <c r="S7260" s="56" t="str">
        <f t="shared" si="339"/>
        <v/>
      </c>
      <c r="T7260" s="57" t="str">
        <f t="shared" si="340"/>
        <v/>
      </c>
      <c r="U7260" s="58" t="str">
        <f t="shared" si="341"/>
        <v/>
      </c>
    </row>
    <row r="7261" spans="19:21" ht="23.25" customHeight="1" x14ac:dyDescent="0.35">
      <c r="S7261" s="56" t="str">
        <f t="shared" si="339"/>
        <v/>
      </c>
      <c r="T7261" s="57" t="str">
        <f t="shared" si="340"/>
        <v/>
      </c>
      <c r="U7261" s="58" t="str">
        <f t="shared" si="341"/>
        <v/>
      </c>
    </row>
    <row r="7262" spans="19:21" ht="23.25" customHeight="1" x14ac:dyDescent="0.35">
      <c r="S7262" s="56" t="str">
        <f t="shared" si="339"/>
        <v/>
      </c>
      <c r="T7262" s="57" t="str">
        <f t="shared" si="340"/>
        <v/>
      </c>
      <c r="U7262" s="58" t="str">
        <f t="shared" si="341"/>
        <v/>
      </c>
    </row>
    <row r="7263" spans="19:21" ht="23.25" customHeight="1" x14ac:dyDescent="0.35">
      <c r="S7263" s="56" t="str">
        <f t="shared" si="339"/>
        <v/>
      </c>
      <c r="T7263" s="57" t="str">
        <f t="shared" si="340"/>
        <v/>
      </c>
      <c r="U7263" s="58" t="str">
        <f t="shared" si="341"/>
        <v/>
      </c>
    </row>
    <row r="7264" spans="19:21" ht="23.25" customHeight="1" x14ac:dyDescent="0.35">
      <c r="S7264" s="56" t="str">
        <f t="shared" si="339"/>
        <v/>
      </c>
      <c r="T7264" s="57" t="str">
        <f t="shared" si="340"/>
        <v/>
      </c>
      <c r="U7264" s="58" t="str">
        <f t="shared" si="341"/>
        <v/>
      </c>
    </row>
    <row r="7265" spans="19:21" ht="23.25" customHeight="1" x14ac:dyDescent="0.35">
      <c r="S7265" s="56" t="str">
        <f t="shared" si="339"/>
        <v/>
      </c>
      <c r="T7265" s="57" t="str">
        <f t="shared" si="340"/>
        <v/>
      </c>
      <c r="U7265" s="58" t="str">
        <f t="shared" si="341"/>
        <v/>
      </c>
    </row>
    <row r="7266" spans="19:21" ht="23.25" customHeight="1" x14ac:dyDescent="0.35">
      <c r="S7266" s="56" t="str">
        <f t="shared" si="339"/>
        <v/>
      </c>
      <c r="T7266" s="57" t="str">
        <f t="shared" si="340"/>
        <v/>
      </c>
      <c r="U7266" s="58" t="str">
        <f t="shared" si="341"/>
        <v/>
      </c>
    </row>
    <row r="7267" spans="19:21" ht="23.25" customHeight="1" x14ac:dyDescent="0.35">
      <c r="S7267" s="56" t="str">
        <f t="shared" si="339"/>
        <v/>
      </c>
      <c r="T7267" s="57" t="str">
        <f t="shared" si="340"/>
        <v/>
      </c>
      <c r="U7267" s="58" t="str">
        <f t="shared" si="341"/>
        <v/>
      </c>
    </row>
    <row r="7268" spans="19:21" ht="23.25" customHeight="1" x14ac:dyDescent="0.35">
      <c r="S7268" s="56" t="str">
        <f t="shared" si="339"/>
        <v/>
      </c>
      <c r="T7268" s="57" t="str">
        <f t="shared" si="340"/>
        <v/>
      </c>
      <c r="U7268" s="58" t="str">
        <f t="shared" si="341"/>
        <v/>
      </c>
    </row>
    <row r="7269" spans="19:21" ht="23.25" customHeight="1" x14ac:dyDescent="0.35">
      <c r="S7269" s="56" t="str">
        <f t="shared" si="339"/>
        <v/>
      </c>
      <c r="T7269" s="57" t="str">
        <f t="shared" si="340"/>
        <v/>
      </c>
      <c r="U7269" s="58" t="str">
        <f t="shared" si="341"/>
        <v/>
      </c>
    </row>
    <row r="7270" spans="19:21" ht="23.25" customHeight="1" x14ac:dyDescent="0.35">
      <c r="S7270" s="56" t="str">
        <f t="shared" si="339"/>
        <v/>
      </c>
      <c r="T7270" s="57" t="str">
        <f t="shared" si="340"/>
        <v/>
      </c>
      <c r="U7270" s="58" t="str">
        <f t="shared" si="341"/>
        <v/>
      </c>
    </row>
    <row r="7271" spans="19:21" ht="23.25" customHeight="1" x14ac:dyDescent="0.35">
      <c r="S7271" s="56" t="str">
        <f t="shared" si="339"/>
        <v/>
      </c>
      <c r="T7271" s="57" t="str">
        <f t="shared" si="340"/>
        <v/>
      </c>
      <c r="U7271" s="58" t="str">
        <f t="shared" si="341"/>
        <v/>
      </c>
    </row>
    <row r="7272" spans="19:21" ht="23.25" customHeight="1" x14ac:dyDescent="0.35">
      <c r="S7272" s="56" t="str">
        <f t="shared" si="339"/>
        <v/>
      </c>
      <c r="T7272" s="57" t="str">
        <f t="shared" si="340"/>
        <v/>
      </c>
      <c r="U7272" s="58" t="str">
        <f t="shared" si="341"/>
        <v/>
      </c>
    </row>
    <row r="7273" spans="19:21" ht="23.25" customHeight="1" x14ac:dyDescent="0.35">
      <c r="S7273" s="56" t="str">
        <f t="shared" si="339"/>
        <v/>
      </c>
      <c r="T7273" s="57" t="str">
        <f t="shared" si="340"/>
        <v/>
      </c>
      <c r="U7273" s="58" t="str">
        <f t="shared" si="341"/>
        <v/>
      </c>
    </row>
    <row r="7274" spans="19:21" ht="23.25" customHeight="1" x14ac:dyDescent="0.35">
      <c r="S7274" s="56" t="str">
        <f t="shared" si="339"/>
        <v/>
      </c>
      <c r="T7274" s="57" t="str">
        <f t="shared" si="340"/>
        <v/>
      </c>
      <c r="U7274" s="58" t="str">
        <f t="shared" si="341"/>
        <v/>
      </c>
    </row>
    <row r="7275" spans="19:21" ht="23.25" customHeight="1" x14ac:dyDescent="0.35">
      <c r="S7275" s="56" t="str">
        <f t="shared" si="339"/>
        <v/>
      </c>
      <c r="T7275" s="57" t="str">
        <f t="shared" si="340"/>
        <v/>
      </c>
      <c r="U7275" s="58" t="str">
        <f t="shared" si="341"/>
        <v/>
      </c>
    </row>
    <row r="7276" spans="19:21" ht="23.25" customHeight="1" x14ac:dyDescent="0.35">
      <c r="S7276" s="56" t="str">
        <f t="shared" si="339"/>
        <v/>
      </c>
      <c r="T7276" s="57" t="str">
        <f t="shared" si="340"/>
        <v/>
      </c>
      <c r="U7276" s="58" t="str">
        <f t="shared" si="341"/>
        <v/>
      </c>
    </row>
    <row r="7277" spans="19:21" ht="23.25" customHeight="1" x14ac:dyDescent="0.35">
      <c r="S7277" s="56" t="str">
        <f t="shared" si="339"/>
        <v/>
      </c>
      <c r="T7277" s="57" t="str">
        <f t="shared" si="340"/>
        <v/>
      </c>
      <c r="U7277" s="58" t="str">
        <f t="shared" si="341"/>
        <v/>
      </c>
    </row>
    <row r="7278" spans="19:21" ht="23.25" customHeight="1" x14ac:dyDescent="0.35">
      <c r="S7278" s="56" t="str">
        <f t="shared" si="339"/>
        <v/>
      </c>
      <c r="T7278" s="57" t="str">
        <f t="shared" si="340"/>
        <v/>
      </c>
      <c r="U7278" s="58" t="str">
        <f t="shared" si="341"/>
        <v/>
      </c>
    </row>
    <row r="7279" spans="19:21" ht="23.25" customHeight="1" x14ac:dyDescent="0.35">
      <c r="S7279" s="56" t="str">
        <f t="shared" si="339"/>
        <v/>
      </c>
      <c r="T7279" s="57" t="str">
        <f t="shared" si="340"/>
        <v/>
      </c>
      <c r="U7279" s="58" t="str">
        <f t="shared" si="341"/>
        <v/>
      </c>
    </row>
    <row r="7280" spans="19:21" ht="23.25" customHeight="1" x14ac:dyDescent="0.35">
      <c r="S7280" s="56" t="str">
        <f t="shared" si="339"/>
        <v/>
      </c>
      <c r="T7280" s="57" t="str">
        <f t="shared" si="340"/>
        <v/>
      </c>
      <c r="U7280" s="58" t="str">
        <f t="shared" si="341"/>
        <v/>
      </c>
    </row>
    <row r="7281" spans="19:21" ht="23.25" customHeight="1" x14ac:dyDescent="0.35">
      <c r="S7281" s="56" t="str">
        <f t="shared" si="339"/>
        <v/>
      </c>
      <c r="T7281" s="57" t="str">
        <f t="shared" si="340"/>
        <v/>
      </c>
      <c r="U7281" s="58" t="str">
        <f t="shared" si="341"/>
        <v/>
      </c>
    </row>
    <row r="7282" spans="19:21" ht="23.25" customHeight="1" x14ac:dyDescent="0.35">
      <c r="S7282" s="56" t="str">
        <f t="shared" si="339"/>
        <v/>
      </c>
      <c r="T7282" s="57" t="str">
        <f t="shared" si="340"/>
        <v/>
      </c>
      <c r="U7282" s="58" t="str">
        <f t="shared" si="341"/>
        <v/>
      </c>
    </row>
    <row r="7283" spans="19:21" ht="23.25" customHeight="1" x14ac:dyDescent="0.35">
      <c r="S7283" s="56" t="str">
        <f t="shared" si="339"/>
        <v/>
      </c>
      <c r="T7283" s="57" t="str">
        <f t="shared" si="340"/>
        <v/>
      </c>
      <c r="U7283" s="58" t="str">
        <f t="shared" si="341"/>
        <v/>
      </c>
    </row>
    <row r="7284" spans="19:21" ht="23.25" customHeight="1" x14ac:dyDescent="0.35">
      <c r="S7284" s="56" t="str">
        <f t="shared" si="339"/>
        <v/>
      </c>
      <c r="T7284" s="57" t="str">
        <f t="shared" si="340"/>
        <v/>
      </c>
      <c r="U7284" s="58" t="str">
        <f t="shared" si="341"/>
        <v/>
      </c>
    </row>
    <row r="7285" spans="19:21" ht="23.25" customHeight="1" x14ac:dyDescent="0.35">
      <c r="S7285" s="56" t="str">
        <f t="shared" si="339"/>
        <v/>
      </c>
      <c r="T7285" s="57" t="str">
        <f t="shared" si="340"/>
        <v/>
      </c>
      <c r="U7285" s="58" t="str">
        <f t="shared" si="341"/>
        <v/>
      </c>
    </row>
    <row r="7286" spans="19:21" ht="23.25" customHeight="1" x14ac:dyDescent="0.35">
      <c r="S7286" s="56" t="str">
        <f t="shared" si="339"/>
        <v/>
      </c>
      <c r="T7286" s="57" t="str">
        <f t="shared" si="340"/>
        <v/>
      </c>
      <c r="U7286" s="58" t="str">
        <f t="shared" si="341"/>
        <v/>
      </c>
    </row>
    <row r="7287" spans="19:21" ht="23.25" customHeight="1" x14ac:dyDescent="0.35">
      <c r="S7287" s="56" t="str">
        <f t="shared" si="339"/>
        <v/>
      </c>
      <c r="T7287" s="57" t="str">
        <f t="shared" si="340"/>
        <v/>
      </c>
      <c r="U7287" s="58" t="str">
        <f t="shared" si="341"/>
        <v/>
      </c>
    </row>
    <row r="7288" spans="19:21" ht="23.25" customHeight="1" x14ac:dyDescent="0.35">
      <c r="S7288" s="56" t="str">
        <f t="shared" si="339"/>
        <v/>
      </c>
      <c r="T7288" s="57" t="str">
        <f t="shared" si="340"/>
        <v/>
      </c>
      <c r="U7288" s="58" t="str">
        <f t="shared" si="341"/>
        <v/>
      </c>
    </row>
    <row r="7289" spans="19:21" ht="23.25" customHeight="1" x14ac:dyDescent="0.35">
      <c r="S7289" s="56" t="str">
        <f t="shared" si="339"/>
        <v/>
      </c>
      <c r="T7289" s="57" t="str">
        <f t="shared" si="340"/>
        <v/>
      </c>
      <c r="U7289" s="58" t="str">
        <f t="shared" si="341"/>
        <v/>
      </c>
    </row>
    <row r="7290" spans="19:21" ht="23.25" customHeight="1" x14ac:dyDescent="0.35">
      <c r="S7290" s="56" t="str">
        <f t="shared" si="339"/>
        <v/>
      </c>
      <c r="T7290" s="57" t="str">
        <f t="shared" si="340"/>
        <v/>
      </c>
      <c r="U7290" s="58" t="str">
        <f t="shared" si="341"/>
        <v/>
      </c>
    </row>
    <row r="7291" spans="19:21" ht="23.25" customHeight="1" x14ac:dyDescent="0.35">
      <c r="S7291" s="56" t="str">
        <f t="shared" si="339"/>
        <v/>
      </c>
      <c r="T7291" s="57" t="str">
        <f t="shared" si="340"/>
        <v/>
      </c>
      <c r="U7291" s="58" t="str">
        <f t="shared" si="341"/>
        <v/>
      </c>
    </row>
    <row r="7292" spans="19:21" ht="23.25" customHeight="1" x14ac:dyDescent="0.35">
      <c r="S7292" s="56" t="str">
        <f t="shared" si="339"/>
        <v/>
      </c>
      <c r="T7292" s="57" t="str">
        <f t="shared" si="340"/>
        <v/>
      </c>
      <c r="U7292" s="58" t="str">
        <f t="shared" si="341"/>
        <v/>
      </c>
    </row>
    <row r="7293" spans="19:21" ht="23.25" customHeight="1" x14ac:dyDescent="0.35">
      <c r="S7293" s="56" t="str">
        <f t="shared" si="339"/>
        <v/>
      </c>
      <c r="T7293" s="57" t="str">
        <f t="shared" si="340"/>
        <v/>
      </c>
      <c r="U7293" s="58" t="str">
        <f t="shared" si="341"/>
        <v/>
      </c>
    </row>
    <row r="7294" spans="19:21" ht="23.25" customHeight="1" x14ac:dyDescent="0.35">
      <c r="S7294" s="56" t="str">
        <f t="shared" si="339"/>
        <v/>
      </c>
      <c r="T7294" s="57" t="str">
        <f t="shared" si="340"/>
        <v/>
      </c>
      <c r="U7294" s="58" t="str">
        <f t="shared" si="341"/>
        <v/>
      </c>
    </row>
    <row r="7295" spans="19:21" ht="23.25" customHeight="1" x14ac:dyDescent="0.35">
      <c r="S7295" s="56" t="str">
        <f t="shared" si="339"/>
        <v/>
      </c>
      <c r="T7295" s="57" t="str">
        <f t="shared" si="340"/>
        <v/>
      </c>
      <c r="U7295" s="58" t="str">
        <f t="shared" si="341"/>
        <v/>
      </c>
    </row>
    <row r="7296" spans="19:21" ht="23.25" customHeight="1" x14ac:dyDescent="0.35">
      <c r="S7296" s="56" t="str">
        <f t="shared" si="339"/>
        <v/>
      </c>
      <c r="T7296" s="57" t="str">
        <f t="shared" si="340"/>
        <v/>
      </c>
      <c r="U7296" s="58" t="str">
        <f t="shared" si="341"/>
        <v/>
      </c>
    </row>
    <row r="7297" spans="19:21" ht="23.25" customHeight="1" x14ac:dyDescent="0.35">
      <c r="S7297" s="56" t="str">
        <f t="shared" si="339"/>
        <v/>
      </c>
      <c r="T7297" s="57" t="str">
        <f t="shared" si="340"/>
        <v/>
      </c>
      <c r="U7297" s="58" t="str">
        <f t="shared" si="341"/>
        <v/>
      </c>
    </row>
    <row r="7298" spans="19:21" ht="23.25" customHeight="1" x14ac:dyDescent="0.35">
      <c r="S7298" s="56" t="str">
        <f t="shared" si="339"/>
        <v/>
      </c>
      <c r="T7298" s="57" t="str">
        <f t="shared" si="340"/>
        <v/>
      </c>
      <c r="U7298" s="58" t="str">
        <f t="shared" si="341"/>
        <v/>
      </c>
    </row>
    <row r="7299" spans="19:21" ht="23.25" customHeight="1" x14ac:dyDescent="0.35">
      <c r="S7299" s="56" t="str">
        <f t="shared" si="339"/>
        <v/>
      </c>
      <c r="T7299" s="57" t="str">
        <f t="shared" si="340"/>
        <v/>
      </c>
      <c r="U7299" s="58" t="str">
        <f t="shared" si="341"/>
        <v/>
      </c>
    </row>
    <row r="7300" spans="19:21" ht="23.25" customHeight="1" x14ac:dyDescent="0.35">
      <c r="S7300" s="56" t="str">
        <f t="shared" si="339"/>
        <v/>
      </c>
      <c r="T7300" s="57" t="str">
        <f t="shared" si="340"/>
        <v/>
      </c>
      <c r="U7300" s="58" t="str">
        <f t="shared" si="341"/>
        <v/>
      </c>
    </row>
    <row r="7301" spans="19:21" ht="23.25" customHeight="1" x14ac:dyDescent="0.35">
      <c r="S7301" s="56" t="str">
        <f t="shared" si="339"/>
        <v/>
      </c>
      <c r="T7301" s="57" t="str">
        <f t="shared" si="340"/>
        <v/>
      </c>
      <c r="U7301" s="58" t="str">
        <f t="shared" si="341"/>
        <v/>
      </c>
    </row>
    <row r="7302" spans="19:21" ht="23.25" customHeight="1" x14ac:dyDescent="0.35">
      <c r="S7302" s="56" t="str">
        <f t="shared" si="339"/>
        <v/>
      </c>
      <c r="T7302" s="57" t="str">
        <f t="shared" si="340"/>
        <v/>
      </c>
      <c r="U7302" s="58" t="str">
        <f t="shared" si="341"/>
        <v/>
      </c>
    </row>
    <row r="7303" spans="19:21" ht="23.25" customHeight="1" x14ac:dyDescent="0.35">
      <c r="S7303" s="56" t="str">
        <f t="shared" si="339"/>
        <v/>
      </c>
      <c r="T7303" s="57" t="str">
        <f t="shared" si="340"/>
        <v/>
      </c>
      <c r="U7303" s="58" t="str">
        <f t="shared" si="341"/>
        <v/>
      </c>
    </row>
    <row r="7304" spans="19:21" ht="23.25" customHeight="1" x14ac:dyDescent="0.35">
      <c r="S7304" s="58" t="str">
        <f t="shared" si="339"/>
        <v/>
      </c>
      <c r="T7304" s="57" t="str">
        <f t="shared" si="340"/>
        <v/>
      </c>
      <c r="U7304" s="58" t="str">
        <f t="shared" si="341"/>
        <v/>
      </c>
    </row>
    <row r="7305" spans="19:21" ht="23.25" customHeight="1" x14ac:dyDescent="0.35">
      <c r="S7305" s="58" t="str">
        <f t="shared" ref="S7305:S7368" si="342">IF(A7305="","",A$5-A7305)</f>
        <v/>
      </c>
      <c r="T7305" s="57" t="str">
        <f t="shared" ref="T7305:T7368" si="343">IF(S7305="","",IF(S7305&lt;4,"0-3 Days",IF(S7305&lt;31,"4-30 Days",IF(S7305&lt;61,"31-60 Days",IF(S7305&lt;=90,"61-90 Days",IF(S7305&gt;90,"Above 90 Days","0"))))))</f>
        <v/>
      </c>
      <c r="U7305" s="58" t="str">
        <f t="shared" ref="U7305:U7368" si="344">IF(C7305="","",IF(C7305&gt;0,IF(S7305&lt;30,"Normal",IF(S7305&lt;60,"Especially Mentioned",IF(S7305&lt;90,"Substandard",IF(S7305&lt;=180,"Doubtful",IF(S7305&gt;180,"Loss","0"))))),"Not Applicable"))</f>
        <v/>
      </c>
    </row>
    <row r="7306" spans="19:21" ht="23.25" customHeight="1" x14ac:dyDescent="0.35">
      <c r="S7306" s="58" t="str">
        <f t="shared" si="342"/>
        <v/>
      </c>
      <c r="T7306" s="57" t="str">
        <f t="shared" si="343"/>
        <v/>
      </c>
      <c r="U7306" s="58" t="str">
        <f t="shared" si="344"/>
        <v/>
      </c>
    </row>
    <row r="7307" spans="19:21" ht="23.25" customHeight="1" x14ac:dyDescent="0.35">
      <c r="S7307" s="58" t="str">
        <f t="shared" si="342"/>
        <v/>
      </c>
      <c r="T7307" s="57" t="str">
        <f t="shared" si="343"/>
        <v/>
      </c>
      <c r="U7307" s="58" t="str">
        <f t="shared" si="344"/>
        <v/>
      </c>
    </row>
    <row r="7308" spans="19:21" ht="23.25" customHeight="1" x14ac:dyDescent="0.35">
      <c r="S7308" s="58" t="str">
        <f t="shared" si="342"/>
        <v/>
      </c>
      <c r="T7308" s="57" t="str">
        <f t="shared" si="343"/>
        <v/>
      </c>
      <c r="U7308" s="58" t="str">
        <f t="shared" si="344"/>
        <v/>
      </c>
    </row>
    <row r="7309" spans="19:21" ht="23.25" customHeight="1" x14ac:dyDescent="0.35">
      <c r="S7309" s="58" t="str">
        <f t="shared" si="342"/>
        <v/>
      </c>
      <c r="T7309" s="57" t="str">
        <f t="shared" si="343"/>
        <v/>
      </c>
      <c r="U7309" s="58" t="str">
        <f t="shared" si="344"/>
        <v/>
      </c>
    </row>
    <row r="7310" spans="19:21" ht="23.25" customHeight="1" x14ac:dyDescent="0.35">
      <c r="S7310" s="58" t="str">
        <f t="shared" si="342"/>
        <v/>
      </c>
      <c r="T7310" s="57" t="str">
        <f t="shared" si="343"/>
        <v/>
      </c>
      <c r="U7310" s="58" t="str">
        <f t="shared" si="344"/>
        <v/>
      </c>
    </row>
    <row r="7311" spans="19:21" ht="23.25" customHeight="1" x14ac:dyDescent="0.35">
      <c r="S7311" s="58" t="str">
        <f t="shared" si="342"/>
        <v/>
      </c>
      <c r="T7311" s="57" t="str">
        <f t="shared" si="343"/>
        <v/>
      </c>
      <c r="U7311" s="58" t="str">
        <f t="shared" si="344"/>
        <v/>
      </c>
    </row>
    <row r="7312" spans="19:21" ht="23.25" customHeight="1" x14ac:dyDescent="0.35">
      <c r="S7312" s="58" t="str">
        <f t="shared" si="342"/>
        <v/>
      </c>
      <c r="T7312" s="57" t="str">
        <f t="shared" si="343"/>
        <v/>
      </c>
      <c r="U7312" s="58" t="str">
        <f t="shared" si="344"/>
        <v/>
      </c>
    </row>
    <row r="7313" spans="19:21" ht="23.25" customHeight="1" x14ac:dyDescent="0.35">
      <c r="S7313" s="58" t="str">
        <f t="shared" si="342"/>
        <v/>
      </c>
      <c r="T7313" s="57" t="str">
        <f t="shared" si="343"/>
        <v/>
      </c>
      <c r="U7313" s="58" t="str">
        <f t="shared" si="344"/>
        <v/>
      </c>
    </row>
    <row r="7314" spans="19:21" ht="23.25" customHeight="1" x14ac:dyDescent="0.35">
      <c r="S7314" s="58" t="str">
        <f t="shared" si="342"/>
        <v/>
      </c>
      <c r="T7314" s="57" t="str">
        <f t="shared" si="343"/>
        <v/>
      </c>
      <c r="U7314" s="58" t="str">
        <f t="shared" si="344"/>
        <v/>
      </c>
    </row>
    <row r="7315" spans="19:21" ht="23.25" customHeight="1" x14ac:dyDescent="0.35">
      <c r="S7315" s="58" t="str">
        <f t="shared" si="342"/>
        <v/>
      </c>
      <c r="T7315" s="57" t="str">
        <f t="shared" si="343"/>
        <v/>
      </c>
      <c r="U7315" s="58" t="str">
        <f t="shared" si="344"/>
        <v/>
      </c>
    </row>
    <row r="7316" spans="19:21" ht="23.25" customHeight="1" x14ac:dyDescent="0.35">
      <c r="S7316" s="58" t="str">
        <f t="shared" si="342"/>
        <v/>
      </c>
      <c r="T7316" s="57" t="str">
        <f t="shared" si="343"/>
        <v/>
      </c>
      <c r="U7316" s="58" t="str">
        <f t="shared" si="344"/>
        <v/>
      </c>
    </row>
    <row r="7317" spans="19:21" ht="23.25" customHeight="1" x14ac:dyDescent="0.35">
      <c r="S7317" s="58" t="str">
        <f t="shared" si="342"/>
        <v/>
      </c>
      <c r="T7317" s="57" t="str">
        <f t="shared" si="343"/>
        <v/>
      </c>
      <c r="U7317" s="58" t="str">
        <f t="shared" si="344"/>
        <v/>
      </c>
    </row>
    <row r="7318" spans="19:21" ht="23.25" customHeight="1" x14ac:dyDescent="0.35">
      <c r="S7318" s="58" t="str">
        <f t="shared" si="342"/>
        <v/>
      </c>
      <c r="T7318" s="57" t="str">
        <f t="shared" si="343"/>
        <v/>
      </c>
      <c r="U7318" s="58" t="str">
        <f t="shared" si="344"/>
        <v/>
      </c>
    </row>
    <row r="7319" spans="19:21" ht="23.25" customHeight="1" x14ac:dyDescent="0.35">
      <c r="S7319" s="58" t="str">
        <f t="shared" si="342"/>
        <v/>
      </c>
      <c r="T7319" s="57" t="str">
        <f t="shared" si="343"/>
        <v/>
      </c>
      <c r="U7319" s="58" t="str">
        <f t="shared" si="344"/>
        <v/>
      </c>
    </row>
    <row r="7320" spans="19:21" ht="23.25" customHeight="1" x14ac:dyDescent="0.35">
      <c r="S7320" s="58" t="str">
        <f t="shared" si="342"/>
        <v/>
      </c>
      <c r="T7320" s="57" t="str">
        <f t="shared" si="343"/>
        <v/>
      </c>
      <c r="U7320" s="58" t="str">
        <f t="shared" si="344"/>
        <v/>
      </c>
    </row>
    <row r="7321" spans="19:21" ht="23.25" customHeight="1" x14ac:dyDescent="0.35">
      <c r="S7321" s="58" t="str">
        <f t="shared" si="342"/>
        <v/>
      </c>
      <c r="T7321" s="57" t="str">
        <f t="shared" si="343"/>
        <v/>
      </c>
      <c r="U7321" s="58" t="str">
        <f t="shared" si="344"/>
        <v/>
      </c>
    </row>
    <row r="7322" spans="19:21" ht="23.25" customHeight="1" x14ac:dyDescent="0.35">
      <c r="S7322" s="58" t="str">
        <f t="shared" si="342"/>
        <v/>
      </c>
      <c r="T7322" s="57" t="str">
        <f t="shared" si="343"/>
        <v/>
      </c>
      <c r="U7322" s="58" t="str">
        <f t="shared" si="344"/>
        <v/>
      </c>
    </row>
    <row r="7323" spans="19:21" ht="23.25" customHeight="1" x14ac:dyDescent="0.35">
      <c r="S7323" s="58" t="str">
        <f t="shared" si="342"/>
        <v/>
      </c>
      <c r="T7323" s="57" t="str">
        <f t="shared" si="343"/>
        <v/>
      </c>
      <c r="U7323" s="58" t="str">
        <f t="shared" si="344"/>
        <v/>
      </c>
    </row>
    <row r="7324" spans="19:21" ht="23.25" customHeight="1" x14ac:dyDescent="0.35">
      <c r="S7324" s="58" t="str">
        <f t="shared" si="342"/>
        <v/>
      </c>
      <c r="T7324" s="57" t="str">
        <f t="shared" si="343"/>
        <v/>
      </c>
      <c r="U7324" s="58" t="str">
        <f t="shared" si="344"/>
        <v/>
      </c>
    </row>
    <row r="7325" spans="19:21" ht="23.25" customHeight="1" x14ac:dyDescent="0.35">
      <c r="S7325" s="58" t="str">
        <f t="shared" si="342"/>
        <v/>
      </c>
      <c r="T7325" s="57" t="str">
        <f t="shared" si="343"/>
        <v/>
      </c>
      <c r="U7325" s="58" t="str">
        <f t="shared" si="344"/>
        <v/>
      </c>
    </row>
    <row r="7326" spans="19:21" ht="23.25" customHeight="1" x14ac:dyDescent="0.35">
      <c r="S7326" s="58" t="str">
        <f t="shared" si="342"/>
        <v/>
      </c>
      <c r="T7326" s="57" t="str">
        <f t="shared" si="343"/>
        <v/>
      </c>
      <c r="U7326" s="58" t="str">
        <f t="shared" si="344"/>
        <v/>
      </c>
    </row>
    <row r="7327" spans="19:21" ht="23.25" customHeight="1" x14ac:dyDescent="0.35">
      <c r="S7327" s="58" t="str">
        <f t="shared" si="342"/>
        <v/>
      </c>
      <c r="T7327" s="57" t="str">
        <f t="shared" si="343"/>
        <v/>
      </c>
      <c r="U7327" s="58" t="str">
        <f t="shared" si="344"/>
        <v/>
      </c>
    </row>
    <row r="7328" spans="19:21" ht="23.25" customHeight="1" x14ac:dyDescent="0.35">
      <c r="S7328" s="58" t="str">
        <f t="shared" si="342"/>
        <v/>
      </c>
      <c r="T7328" s="57" t="str">
        <f t="shared" si="343"/>
        <v/>
      </c>
      <c r="U7328" s="58" t="str">
        <f t="shared" si="344"/>
        <v/>
      </c>
    </row>
    <row r="7329" spans="19:21" ht="23.25" customHeight="1" x14ac:dyDescent="0.35">
      <c r="S7329" s="58" t="str">
        <f t="shared" si="342"/>
        <v/>
      </c>
      <c r="T7329" s="57" t="str">
        <f t="shared" si="343"/>
        <v/>
      </c>
      <c r="U7329" s="58" t="str">
        <f t="shared" si="344"/>
        <v/>
      </c>
    </row>
    <row r="7330" spans="19:21" ht="23.25" customHeight="1" x14ac:dyDescent="0.35">
      <c r="S7330" s="58" t="str">
        <f t="shared" si="342"/>
        <v/>
      </c>
      <c r="T7330" s="57" t="str">
        <f t="shared" si="343"/>
        <v/>
      </c>
      <c r="U7330" s="58" t="str">
        <f t="shared" si="344"/>
        <v/>
      </c>
    </row>
    <row r="7331" spans="19:21" ht="23.25" customHeight="1" x14ac:dyDescent="0.35">
      <c r="S7331" s="58" t="str">
        <f t="shared" si="342"/>
        <v/>
      </c>
      <c r="T7331" s="57" t="str">
        <f t="shared" si="343"/>
        <v/>
      </c>
      <c r="U7331" s="58" t="str">
        <f t="shared" si="344"/>
        <v/>
      </c>
    </row>
    <row r="7332" spans="19:21" ht="23.25" customHeight="1" x14ac:dyDescent="0.35">
      <c r="S7332" s="58" t="str">
        <f t="shared" si="342"/>
        <v/>
      </c>
      <c r="T7332" s="57" t="str">
        <f t="shared" si="343"/>
        <v/>
      </c>
      <c r="U7332" s="58" t="str">
        <f t="shared" si="344"/>
        <v/>
      </c>
    </row>
    <row r="7333" spans="19:21" ht="23.25" customHeight="1" x14ac:dyDescent="0.35">
      <c r="S7333" s="58" t="str">
        <f t="shared" si="342"/>
        <v/>
      </c>
      <c r="T7333" s="57" t="str">
        <f t="shared" si="343"/>
        <v/>
      </c>
      <c r="U7333" s="58" t="str">
        <f t="shared" si="344"/>
        <v/>
      </c>
    </row>
    <row r="7334" spans="19:21" ht="23.25" customHeight="1" x14ac:dyDescent="0.35">
      <c r="S7334" s="58" t="str">
        <f t="shared" si="342"/>
        <v/>
      </c>
      <c r="T7334" s="57" t="str">
        <f t="shared" si="343"/>
        <v/>
      </c>
      <c r="U7334" s="58" t="str">
        <f t="shared" si="344"/>
        <v/>
      </c>
    </row>
    <row r="7335" spans="19:21" ht="23.25" customHeight="1" x14ac:dyDescent="0.35">
      <c r="S7335" s="58" t="str">
        <f t="shared" si="342"/>
        <v/>
      </c>
      <c r="T7335" s="57" t="str">
        <f t="shared" si="343"/>
        <v/>
      </c>
      <c r="U7335" s="58" t="str">
        <f t="shared" si="344"/>
        <v/>
      </c>
    </row>
    <row r="7336" spans="19:21" ht="23.25" customHeight="1" x14ac:dyDescent="0.35">
      <c r="S7336" s="58" t="str">
        <f t="shared" si="342"/>
        <v/>
      </c>
      <c r="T7336" s="57" t="str">
        <f t="shared" si="343"/>
        <v/>
      </c>
      <c r="U7336" s="58" t="str">
        <f t="shared" si="344"/>
        <v/>
      </c>
    </row>
    <row r="7337" spans="19:21" ht="23.25" customHeight="1" x14ac:dyDescent="0.35">
      <c r="S7337" s="58" t="str">
        <f t="shared" si="342"/>
        <v/>
      </c>
      <c r="T7337" s="57" t="str">
        <f t="shared" si="343"/>
        <v/>
      </c>
      <c r="U7337" s="58" t="str">
        <f t="shared" si="344"/>
        <v/>
      </c>
    </row>
    <row r="7338" spans="19:21" ht="23.25" customHeight="1" x14ac:dyDescent="0.35">
      <c r="S7338" s="58" t="str">
        <f t="shared" si="342"/>
        <v/>
      </c>
      <c r="T7338" s="57" t="str">
        <f t="shared" si="343"/>
        <v/>
      </c>
      <c r="U7338" s="58" t="str">
        <f t="shared" si="344"/>
        <v/>
      </c>
    </row>
    <row r="7339" spans="19:21" ht="23.25" customHeight="1" x14ac:dyDescent="0.35">
      <c r="S7339" s="58" t="str">
        <f t="shared" si="342"/>
        <v/>
      </c>
      <c r="T7339" s="57" t="str">
        <f t="shared" si="343"/>
        <v/>
      </c>
      <c r="U7339" s="58" t="str">
        <f t="shared" si="344"/>
        <v/>
      </c>
    </row>
    <row r="7340" spans="19:21" ht="23.25" customHeight="1" x14ac:dyDescent="0.35">
      <c r="S7340" s="58" t="str">
        <f t="shared" si="342"/>
        <v/>
      </c>
      <c r="T7340" s="57" t="str">
        <f t="shared" si="343"/>
        <v/>
      </c>
      <c r="U7340" s="58" t="str">
        <f t="shared" si="344"/>
        <v/>
      </c>
    </row>
    <row r="7341" spans="19:21" ht="23.25" customHeight="1" x14ac:dyDescent="0.35">
      <c r="S7341" s="58" t="str">
        <f t="shared" si="342"/>
        <v/>
      </c>
      <c r="T7341" s="57" t="str">
        <f t="shared" si="343"/>
        <v/>
      </c>
      <c r="U7341" s="58" t="str">
        <f t="shared" si="344"/>
        <v/>
      </c>
    </row>
    <row r="7342" spans="19:21" ht="23.25" customHeight="1" x14ac:dyDescent="0.35">
      <c r="S7342" s="58" t="str">
        <f t="shared" si="342"/>
        <v/>
      </c>
      <c r="T7342" s="57" t="str">
        <f t="shared" si="343"/>
        <v/>
      </c>
      <c r="U7342" s="58" t="str">
        <f t="shared" si="344"/>
        <v/>
      </c>
    </row>
    <row r="7343" spans="19:21" ht="23.25" customHeight="1" x14ac:dyDescent="0.35">
      <c r="S7343" s="58" t="str">
        <f t="shared" si="342"/>
        <v/>
      </c>
      <c r="T7343" s="57" t="str">
        <f t="shared" si="343"/>
        <v/>
      </c>
      <c r="U7343" s="58" t="str">
        <f t="shared" si="344"/>
        <v/>
      </c>
    </row>
    <row r="7344" spans="19:21" ht="23.25" customHeight="1" x14ac:dyDescent="0.35">
      <c r="S7344" s="58" t="str">
        <f t="shared" si="342"/>
        <v/>
      </c>
      <c r="T7344" s="57" t="str">
        <f t="shared" si="343"/>
        <v/>
      </c>
      <c r="U7344" s="58" t="str">
        <f t="shared" si="344"/>
        <v/>
      </c>
    </row>
    <row r="7345" spans="19:21" ht="23.25" customHeight="1" x14ac:dyDescent="0.35">
      <c r="S7345" s="58" t="str">
        <f t="shared" si="342"/>
        <v/>
      </c>
      <c r="T7345" s="57" t="str">
        <f t="shared" si="343"/>
        <v/>
      </c>
      <c r="U7345" s="58" t="str">
        <f t="shared" si="344"/>
        <v/>
      </c>
    </row>
    <row r="7346" spans="19:21" ht="23.25" customHeight="1" x14ac:dyDescent="0.35">
      <c r="S7346" s="58" t="str">
        <f t="shared" si="342"/>
        <v/>
      </c>
      <c r="T7346" s="57" t="str">
        <f t="shared" si="343"/>
        <v/>
      </c>
      <c r="U7346" s="58" t="str">
        <f t="shared" si="344"/>
        <v/>
      </c>
    </row>
    <row r="7347" spans="19:21" ht="23.25" customHeight="1" x14ac:dyDescent="0.35">
      <c r="S7347" s="58" t="str">
        <f t="shared" si="342"/>
        <v/>
      </c>
      <c r="T7347" s="57" t="str">
        <f t="shared" si="343"/>
        <v/>
      </c>
      <c r="U7347" s="58" t="str">
        <f t="shared" si="344"/>
        <v/>
      </c>
    </row>
    <row r="7348" spans="19:21" ht="23.25" customHeight="1" x14ac:dyDescent="0.35">
      <c r="S7348" s="58" t="str">
        <f t="shared" si="342"/>
        <v/>
      </c>
      <c r="T7348" s="57" t="str">
        <f t="shared" si="343"/>
        <v/>
      </c>
      <c r="U7348" s="58" t="str">
        <f t="shared" si="344"/>
        <v/>
      </c>
    </row>
    <row r="7349" spans="19:21" ht="23.25" customHeight="1" x14ac:dyDescent="0.35">
      <c r="S7349" s="58" t="str">
        <f t="shared" si="342"/>
        <v/>
      </c>
      <c r="T7349" s="57" t="str">
        <f t="shared" si="343"/>
        <v/>
      </c>
      <c r="U7349" s="58" t="str">
        <f t="shared" si="344"/>
        <v/>
      </c>
    </row>
    <row r="7350" spans="19:21" ht="23.25" customHeight="1" x14ac:dyDescent="0.35">
      <c r="S7350" s="58" t="str">
        <f t="shared" si="342"/>
        <v/>
      </c>
      <c r="T7350" s="57" t="str">
        <f t="shared" si="343"/>
        <v/>
      </c>
      <c r="U7350" s="58" t="str">
        <f t="shared" si="344"/>
        <v/>
      </c>
    </row>
    <row r="7351" spans="19:21" ht="23.25" customHeight="1" x14ac:dyDescent="0.35">
      <c r="S7351" s="58" t="str">
        <f t="shared" si="342"/>
        <v/>
      </c>
      <c r="T7351" s="57" t="str">
        <f t="shared" si="343"/>
        <v/>
      </c>
      <c r="U7351" s="58" t="str">
        <f t="shared" si="344"/>
        <v/>
      </c>
    </row>
    <row r="7352" spans="19:21" ht="23.25" customHeight="1" x14ac:dyDescent="0.35">
      <c r="S7352" s="58" t="str">
        <f t="shared" si="342"/>
        <v/>
      </c>
      <c r="T7352" s="57" t="str">
        <f t="shared" si="343"/>
        <v/>
      </c>
      <c r="U7352" s="58" t="str">
        <f t="shared" si="344"/>
        <v/>
      </c>
    </row>
    <row r="7353" spans="19:21" ht="23.25" customHeight="1" x14ac:dyDescent="0.35">
      <c r="S7353" s="58" t="str">
        <f t="shared" si="342"/>
        <v/>
      </c>
      <c r="T7353" s="57" t="str">
        <f t="shared" si="343"/>
        <v/>
      </c>
      <c r="U7353" s="58" t="str">
        <f t="shared" si="344"/>
        <v/>
      </c>
    </row>
    <row r="7354" spans="19:21" ht="23.25" customHeight="1" x14ac:dyDescent="0.35">
      <c r="S7354" s="58" t="str">
        <f t="shared" si="342"/>
        <v/>
      </c>
      <c r="T7354" s="57" t="str">
        <f t="shared" si="343"/>
        <v/>
      </c>
      <c r="U7354" s="58" t="str">
        <f t="shared" si="344"/>
        <v/>
      </c>
    </row>
    <row r="7355" spans="19:21" ht="23.25" customHeight="1" x14ac:dyDescent="0.35">
      <c r="S7355" s="58" t="str">
        <f t="shared" si="342"/>
        <v/>
      </c>
      <c r="T7355" s="57" t="str">
        <f t="shared" si="343"/>
        <v/>
      </c>
      <c r="U7355" s="58" t="str">
        <f t="shared" si="344"/>
        <v/>
      </c>
    </row>
    <row r="7356" spans="19:21" ht="23.25" customHeight="1" x14ac:dyDescent="0.35">
      <c r="S7356" s="58" t="str">
        <f t="shared" si="342"/>
        <v/>
      </c>
      <c r="T7356" s="57" t="str">
        <f t="shared" si="343"/>
        <v/>
      </c>
      <c r="U7356" s="58" t="str">
        <f t="shared" si="344"/>
        <v/>
      </c>
    </row>
    <row r="7357" spans="19:21" ht="23.25" customHeight="1" x14ac:dyDescent="0.35">
      <c r="S7357" s="58" t="str">
        <f t="shared" si="342"/>
        <v/>
      </c>
      <c r="T7357" s="57" t="str">
        <f t="shared" si="343"/>
        <v/>
      </c>
      <c r="U7357" s="58" t="str">
        <f t="shared" si="344"/>
        <v/>
      </c>
    </row>
    <row r="7358" spans="19:21" ht="23.25" customHeight="1" x14ac:dyDescent="0.35">
      <c r="S7358" s="58" t="str">
        <f t="shared" si="342"/>
        <v/>
      </c>
      <c r="T7358" s="57" t="str">
        <f t="shared" si="343"/>
        <v/>
      </c>
      <c r="U7358" s="58" t="str">
        <f t="shared" si="344"/>
        <v/>
      </c>
    </row>
    <row r="7359" spans="19:21" ht="23.25" customHeight="1" x14ac:dyDescent="0.35">
      <c r="S7359" s="58" t="str">
        <f t="shared" si="342"/>
        <v/>
      </c>
      <c r="T7359" s="57" t="str">
        <f t="shared" si="343"/>
        <v/>
      </c>
      <c r="U7359" s="58" t="str">
        <f t="shared" si="344"/>
        <v/>
      </c>
    </row>
    <row r="7360" spans="19:21" ht="23.25" customHeight="1" x14ac:dyDescent="0.35">
      <c r="S7360" s="58" t="str">
        <f t="shared" si="342"/>
        <v/>
      </c>
      <c r="T7360" s="57" t="str">
        <f t="shared" si="343"/>
        <v/>
      </c>
      <c r="U7360" s="58" t="str">
        <f t="shared" si="344"/>
        <v/>
      </c>
    </row>
    <row r="7361" spans="19:21" ht="23.25" customHeight="1" x14ac:dyDescent="0.35">
      <c r="S7361" s="58" t="str">
        <f t="shared" si="342"/>
        <v/>
      </c>
      <c r="T7361" s="57" t="str">
        <f t="shared" si="343"/>
        <v/>
      </c>
      <c r="U7361" s="58" t="str">
        <f t="shared" si="344"/>
        <v/>
      </c>
    </row>
    <row r="7362" spans="19:21" ht="23.25" customHeight="1" x14ac:dyDescent="0.35">
      <c r="S7362" s="58" t="str">
        <f t="shared" si="342"/>
        <v/>
      </c>
      <c r="T7362" s="57" t="str">
        <f t="shared" si="343"/>
        <v/>
      </c>
      <c r="U7362" s="58" t="str">
        <f t="shared" si="344"/>
        <v/>
      </c>
    </row>
    <row r="7363" spans="19:21" ht="23.25" customHeight="1" x14ac:dyDescent="0.35">
      <c r="S7363" s="58" t="str">
        <f t="shared" si="342"/>
        <v/>
      </c>
      <c r="T7363" s="57" t="str">
        <f t="shared" si="343"/>
        <v/>
      </c>
      <c r="U7363" s="58" t="str">
        <f t="shared" si="344"/>
        <v/>
      </c>
    </row>
    <row r="7364" spans="19:21" ht="23.25" customHeight="1" x14ac:dyDescent="0.35">
      <c r="S7364" s="58" t="str">
        <f t="shared" si="342"/>
        <v/>
      </c>
      <c r="T7364" s="57" t="str">
        <f t="shared" si="343"/>
        <v/>
      </c>
      <c r="U7364" s="58" t="str">
        <f t="shared" si="344"/>
        <v/>
      </c>
    </row>
    <row r="7365" spans="19:21" ht="23.25" customHeight="1" x14ac:dyDescent="0.35">
      <c r="S7365" s="58" t="str">
        <f t="shared" si="342"/>
        <v/>
      </c>
      <c r="T7365" s="57" t="str">
        <f t="shared" si="343"/>
        <v/>
      </c>
      <c r="U7365" s="58" t="str">
        <f t="shared" si="344"/>
        <v/>
      </c>
    </row>
    <row r="7366" spans="19:21" ht="23.25" customHeight="1" x14ac:dyDescent="0.35">
      <c r="S7366" s="58" t="str">
        <f t="shared" si="342"/>
        <v/>
      </c>
      <c r="T7366" s="57" t="str">
        <f t="shared" si="343"/>
        <v/>
      </c>
      <c r="U7366" s="58" t="str">
        <f t="shared" si="344"/>
        <v/>
      </c>
    </row>
    <row r="7367" spans="19:21" ht="23.25" customHeight="1" x14ac:dyDescent="0.35">
      <c r="S7367" s="58" t="str">
        <f t="shared" si="342"/>
        <v/>
      </c>
      <c r="T7367" s="57" t="str">
        <f t="shared" si="343"/>
        <v/>
      </c>
      <c r="U7367" s="58" t="str">
        <f t="shared" si="344"/>
        <v/>
      </c>
    </row>
    <row r="7368" spans="19:21" ht="23.25" customHeight="1" x14ac:dyDescent="0.35">
      <c r="S7368" s="58" t="str">
        <f t="shared" si="342"/>
        <v/>
      </c>
      <c r="T7368" s="57" t="str">
        <f t="shared" si="343"/>
        <v/>
      </c>
      <c r="U7368" s="58" t="str">
        <f t="shared" si="344"/>
        <v/>
      </c>
    </row>
    <row r="7369" spans="19:21" ht="23.25" customHeight="1" x14ac:dyDescent="0.35">
      <c r="S7369" s="58" t="str">
        <f t="shared" ref="S7369:S7432" si="345">IF(A7369="","",A$5-A7369)</f>
        <v/>
      </c>
      <c r="T7369" s="57" t="str">
        <f t="shared" ref="T7369:T7432" si="346">IF(S7369="","",IF(S7369&lt;4,"0-3 Days",IF(S7369&lt;31,"4-30 Days",IF(S7369&lt;61,"31-60 Days",IF(S7369&lt;=90,"61-90 Days",IF(S7369&gt;90,"Above 90 Days","0"))))))</f>
        <v/>
      </c>
      <c r="U7369" s="58" t="str">
        <f t="shared" ref="U7369:U7432" si="347">IF(C7369="","",IF(C7369&gt;0,IF(S7369&lt;30,"Normal",IF(S7369&lt;60,"Especially Mentioned",IF(S7369&lt;90,"Substandard",IF(S7369&lt;=180,"Doubtful",IF(S7369&gt;180,"Loss","0"))))),"Not Applicable"))</f>
        <v/>
      </c>
    </row>
    <row r="7370" spans="19:21" ht="23.25" customHeight="1" x14ac:dyDescent="0.35">
      <c r="S7370" s="58" t="str">
        <f t="shared" si="345"/>
        <v/>
      </c>
      <c r="T7370" s="57" t="str">
        <f t="shared" si="346"/>
        <v/>
      </c>
      <c r="U7370" s="58" t="str">
        <f t="shared" si="347"/>
        <v/>
      </c>
    </row>
    <row r="7371" spans="19:21" ht="23.25" customHeight="1" x14ac:dyDescent="0.35">
      <c r="S7371" s="58" t="str">
        <f t="shared" si="345"/>
        <v/>
      </c>
      <c r="T7371" s="57" t="str">
        <f t="shared" si="346"/>
        <v/>
      </c>
      <c r="U7371" s="58" t="str">
        <f t="shared" si="347"/>
        <v/>
      </c>
    </row>
    <row r="7372" spans="19:21" ht="23.25" customHeight="1" x14ac:dyDescent="0.35">
      <c r="S7372" s="58" t="str">
        <f t="shared" si="345"/>
        <v/>
      </c>
      <c r="T7372" s="57" t="str">
        <f t="shared" si="346"/>
        <v/>
      </c>
      <c r="U7372" s="58" t="str">
        <f t="shared" si="347"/>
        <v/>
      </c>
    </row>
    <row r="7373" spans="19:21" ht="23.25" customHeight="1" x14ac:dyDescent="0.35">
      <c r="S7373" s="58" t="str">
        <f t="shared" si="345"/>
        <v/>
      </c>
      <c r="T7373" s="57" t="str">
        <f t="shared" si="346"/>
        <v/>
      </c>
      <c r="U7373" s="58" t="str">
        <f t="shared" si="347"/>
        <v/>
      </c>
    </row>
    <row r="7374" spans="19:21" ht="23.25" customHeight="1" x14ac:dyDescent="0.35">
      <c r="S7374" s="58" t="str">
        <f t="shared" si="345"/>
        <v/>
      </c>
      <c r="T7374" s="57" t="str">
        <f t="shared" si="346"/>
        <v/>
      </c>
      <c r="U7374" s="58" t="str">
        <f t="shared" si="347"/>
        <v/>
      </c>
    </row>
    <row r="7375" spans="19:21" ht="23.25" customHeight="1" x14ac:dyDescent="0.35">
      <c r="S7375" s="58" t="str">
        <f t="shared" si="345"/>
        <v/>
      </c>
      <c r="T7375" s="57" t="str">
        <f t="shared" si="346"/>
        <v/>
      </c>
      <c r="U7375" s="58" t="str">
        <f t="shared" si="347"/>
        <v/>
      </c>
    </row>
    <row r="7376" spans="19:21" ht="23.25" customHeight="1" x14ac:dyDescent="0.35">
      <c r="S7376" s="58" t="str">
        <f t="shared" si="345"/>
        <v/>
      </c>
      <c r="T7376" s="57" t="str">
        <f t="shared" si="346"/>
        <v/>
      </c>
      <c r="U7376" s="58" t="str">
        <f t="shared" si="347"/>
        <v/>
      </c>
    </row>
    <row r="7377" spans="19:21" ht="23.25" customHeight="1" x14ac:dyDescent="0.35">
      <c r="S7377" s="58" t="str">
        <f t="shared" si="345"/>
        <v/>
      </c>
      <c r="T7377" s="57" t="str">
        <f t="shared" si="346"/>
        <v/>
      </c>
      <c r="U7377" s="58" t="str">
        <f t="shared" si="347"/>
        <v/>
      </c>
    </row>
    <row r="7378" spans="19:21" ht="23.25" customHeight="1" x14ac:dyDescent="0.35">
      <c r="S7378" s="58" t="str">
        <f t="shared" si="345"/>
        <v/>
      </c>
      <c r="T7378" s="57" t="str">
        <f t="shared" si="346"/>
        <v/>
      </c>
      <c r="U7378" s="58" t="str">
        <f t="shared" si="347"/>
        <v/>
      </c>
    </row>
    <row r="7379" spans="19:21" ht="23.25" customHeight="1" x14ac:dyDescent="0.35">
      <c r="S7379" s="58" t="str">
        <f t="shared" si="345"/>
        <v/>
      </c>
      <c r="T7379" s="57" t="str">
        <f t="shared" si="346"/>
        <v/>
      </c>
      <c r="U7379" s="58" t="str">
        <f t="shared" si="347"/>
        <v/>
      </c>
    </row>
    <row r="7380" spans="19:21" ht="23.25" customHeight="1" x14ac:dyDescent="0.35">
      <c r="S7380" s="58" t="str">
        <f t="shared" si="345"/>
        <v/>
      </c>
      <c r="T7380" s="57" t="str">
        <f t="shared" si="346"/>
        <v/>
      </c>
      <c r="U7380" s="58" t="str">
        <f t="shared" si="347"/>
        <v/>
      </c>
    </row>
    <row r="7381" spans="19:21" ht="23.25" customHeight="1" x14ac:dyDescent="0.35">
      <c r="S7381" s="58" t="str">
        <f t="shared" si="345"/>
        <v/>
      </c>
      <c r="T7381" s="57" t="str">
        <f t="shared" si="346"/>
        <v/>
      </c>
      <c r="U7381" s="58" t="str">
        <f t="shared" si="347"/>
        <v/>
      </c>
    </row>
    <row r="7382" spans="19:21" ht="23.25" customHeight="1" x14ac:dyDescent="0.35">
      <c r="S7382" s="58" t="str">
        <f t="shared" si="345"/>
        <v/>
      </c>
      <c r="T7382" s="57" t="str">
        <f t="shared" si="346"/>
        <v/>
      </c>
      <c r="U7382" s="58" t="str">
        <f t="shared" si="347"/>
        <v/>
      </c>
    </row>
    <row r="7383" spans="19:21" ht="23.25" customHeight="1" x14ac:dyDescent="0.35">
      <c r="S7383" s="58" t="str">
        <f t="shared" si="345"/>
        <v/>
      </c>
      <c r="T7383" s="57" t="str">
        <f t="shared" si="346"/>
        <v/>
      </c>
      <c r="U7383" s="58" t="str">
        <f t="shared" si="347"/>
        <v/>
      </c>
    </row>
    <row r="7384" spans="19:21" ht="23.25" customHeight="1" x14ac:dyDescent="0.35">
      <c r="S7384" s="58" t="str">
        <f t="shared" si="345"/>
        <v/>
      </c>
      <c r="T7384" s="57" t="str">
        <f t="shared" si="346"/>
        <v/>
      </c>
      <c r="U7384" s="58" t="str">
        <f t="shared" si="347"/>
        <v/>
      </c>
    </row>
    <row r="7385" spans="19:21" ht="23.25" customHeight="1" x14ac:dyDescent="0.35">
      <c r="S7385" s="58" t="str">
        <f t="shared" si="345"/>
        <v/>
      </c>
      <c r="T7385" s="57" t="str">
        <f t="shared" si="346"/>
        <v/>
      </c>
      <c r="U7385" s="58" t="str">
        <f t="shared" si="347"/>
        <v/>
      </c>
    </row>
    <row r="7386" spans="19:21" ht="23.25" customHeight="1" x14ac:dyDescent="0.35">
      <c r="S7386" s="58" t="str">
        <f t="shared" si="345"/>
        <v/>
      </c>
      <c r="T7386" s="57" t="str">
        <f t="shared" si="346"/>
        <v/>
      </c>
      <c r="U7386" s="58" t="str">
        <f t="shared" si="347"/>
        <v/>
      </c>
    </row>
    <row r="7387" spans="19:21" ht="23.25" customHeight="1" x14ac:dyDescent="0.35">
      <c r="S7387" s="58" t="str">
        <f t="shared" si="345"/>
        <v/>
      </c>
      <c r="T7387" s="57" t="str">
        <f t="shared" si="346"/>
        <v/>
      </c>
      <c r="U7387" s="58" t="str">
        <f t="shared" si="347"/>
        <v/>
      </c>
    </row>
    <row r="7388" spans="19:21" ht="23.25" customHeight="1" x14ac:dyDescent="0.35">
      <c r="S7388" s="58" t="str">
        <f t="shared" si="345"/>
        <v/>
      </c>
      <c r="T7388" s="57" t="str">
        <f t="shared" si="346"/>
        <v/>
      </c>
      <c r="U7388" s="58" t="str">
        <f t="shared" si="347"/>
        <v/>
      </c>
    </row>
    <row r="7389" spans="19:21" ht="23.25" customHeight="1" x14ac:dyDescent="0.35">
      <c r="S7389" s="58" t="str">
        <f t="shared" si="345"/>
        <v/>
      </c>
      <c r="T7389" s="57" t="str">
        <f t="shared" si="346"/>
        <v/>
      </c>
      <c r="U7389" s="58" t="str">
        <f t="shared" si="347"/>
        <v/>
      </c>
    </row>
    <row r="7390" spans="19:21" ht="23.25" customHeight="1" x14ac:dyDescent="0.35">
      <c r="S7390" s="58" t="str">
        <f t="shared" si="345"/>
        <v/>
      </c>
      <c r="T7390" s="57" t="str">
        <f t="shared" si="346"/>
        <v/>
      </c>
      <c r="U7390" s="58" t="str">
        <f t="shared" si="347"/>
        <v/>
      </c>
    </row>
    <row r="7391" spans="19:21" ht="23.25" customHeight="1" x14ac:dyDescent="0.35">
      <c r="S7391" s="58" t="str">
        <f t="shared" si="345"/>
        <v/>
      </c>
      <c r="T7391" s="57" t="str">
        <f t="shared" si="346"/>
        <v/>
      </c>
      <c r="U7391" s="58" t="str">
        <f t="shared" si="347"/>
        <v/>
      </c>
    </row>
    <row r="7392" spans="19:21" ht="23.25" customHeight="1" x14ac:dyDescent="0.35">
      <c r="S7392" s="58" t="str">
        <f t="shared" si="345"/>
        <v/>
      </c>
      <c r="T7392" s="57" t="str">
        <f t="shared" si="346"/>
        <v/>
      </c>
      <c r="U7392" s="58" t="str">
        <f t="shared" si="347"/>
        <v/>
      </c>
    </row>
    <row r="7393" spans="19:21" ht="23.25" customHeight="1" x14ac:dyDescent="0.35">
      <c r="S7393" s="58" t="str">
        <f t="shared" si="345"/>
        <v/>
      </c>
      <c r="T7393" s="57" t="str">
        <f t="shared" si="346"/>
        <v/>
      </c>
      <c r="U7393" s="58" t="str">
        <f t="shared" si="347"/>
        <v/>
      </c>
    </row>
    <row r="7394" spans="19:21" ht="23.25" customHeight="1" x14ac:dyDescent="0.35">
      <c r="S7394" s="58" t="str">
        <f t="shared" si="345"/>
        <v/>
      </c>
      <c r="T7394" s="57" t="str">
        <f t="shared" si="346"/>
        <v/>
      </c>
      <c r="U7394" s="58" t="str">
        <f t="shared" si="347"/>
        <v/>
      </c>
    </row>
    <row r="7395" spans="19:21" ht="23.25" customHeight="1" x14ac:dyDescent="0.35">
      <c r="S7395" s="58" t="str">
        <f t="shared" si="345"/>
        <v/>
      </c>
      <c r="T7395" s="57" t="str">
        <f t="shared" si="346"/>
        <v/>
      </c>
      <c r="U7395" s="58" t="str">
        <f t="shared" si="347"/>
        <v/>
      </c>
    </row>
    <row r="7396" spans="19:21" ht="23.25" customHeight="1" x14ac:dyDescent="0.35">
      <c r="S7396" s="58" t="str">
        <f t="shared" si="345"/>
        <v/>
      </c>
      <c r="T7396" s="57" t="str">
        <f t="shared" si="346"/>
        <v/>
      </c>
      <c r="U7396" s="58" t="str">
        <f t="shared" si="347"/>
        <v/>
      </c>
    </row>
    <row r="7397" spans="19:21" ht="23.25" customHeight="1" x14ac:dyDescent="0.35">
      <c r="S7397" s="58" t="str">
        <f t="shared" si="345"/>
        <v/>
      </c>
      <c r="T7397" s="57" t="str">
        <f t="shared" si="346"/>
        <v/>
      </c>
      <c r="U7397" s="58" t="str">
        <f t="shared" si="347"/>
        <v/>
      </c>
    </row>
    <row r="7398" spans="19:21" ht="23.25" customHeight="1" x14ac:dyDescent="0.35">
      <c r="S7398" s="58" t="str">
        <f t="shared" si="345"/>
        <v/>
      </c>
      <c r="T7398" s="57" t="str">
        <f t="shared" si="346"/>
        <v/>
      </c>
      <c r="U7398" s="58" t="str">
        <f t="shared" si="347"/>
        <v/>
      </c>
    </row>
    <row r="7399" spans="19:21" ht="23.25" customHeight="1" x14ac:dyDescent="0.35">
      <c r="S7399" s="58" t="str">
        <f t="shared" si="345"/>
        <v/>
      </c>
      <c r="T7399" s="57" t="str">
        <f t="shared" si="346"/>
        <v/>
      </c>
      <c r="U7399" s="58" t="str">
        <f t="shared" si="347"/>
        <v/>
      </c>
    </row>
    <row r="7400" spans="19:21" ht="23.25" customHeight="1" x14ac:dyDescent="0.35">
      <c r="S7400" s="58" t="str">
        <f t="shared" si="345"/>
        <v/>
      </c>
      <c r="T7400" s="57" t="str">
        <f t="shared" si="346"/>
        <v/>
      </c>
      <c r="U7400" s="58" t="str">
        <f t="shared" si="347"/>
        <v/>
      </c>
    </row>
    <row r="7401" spans="19:21" ht="23.25" customHeight="1" x14ac:dyDescent="0.35">
      <c r="S7401" s="58" t="str">
        <f t="shared" si="345"/>
        <v/>
      </c>
      <c r="T7401" s="57" t="str">
        <f t="shared" si="346"/>
        <v/>
      </c>
      <c r="U7401" s="58" t="str">
        <f t="shared" si="347"/>
        <v/>
      </c>
    </row>
    <row r="7402" spans="19:21" ht="23.25" customHeight="1" x14ac:dyDescent="0.35">
      <c r="S7402" s="58" t="str">
        <f t="shared" si="345"/>
        <v/>
      </c>
      <c r="T7402" s="57" t="str">
        <f t="shared" si="346"/>
        <v/>
      </c>
      <c r="U7402" s="58" t="str">
        <f t="shared" si="347"/>
        <v/>
      </c>
    </row>
    <row r="7403" spans="19:21" ht="23.25" customHeight="1" x14ac:dyDescent="0.35">
      <c r="S7403" s="58" t="str">
        <f t="shared" si="345"/>
        <v/>
      </c>
      <c r="T7403" s="57" t="str">
        <f t="shared" si="346"/>
        <v/>
      </c>
      <c r="U7403" s="58" t="str">
        <f t="shared" si="347"/>
        <v/>
      </c>
    </row>
    <row r="7404" spans="19:21" ht="23.25" customHeight="1" x14ac:dyDescent="0.35">
      <c r="S7404" s="58" t="str">
        <f t="shared" si="345"/>
        <v/>
      </c>
      <c r="T7404" s="57" t="str">
        <f t="shared" si="346"/>
        <v/>
      </c>
      <c r="U7404" s="58" t="str">
        <f t="shared" si="347"/>
        <v/>
      </c>
    </row>
    <row r="7405" spans="19:21" ht="23.25" customHeight="1" x14ac:dyDescent="0.35">
      <c r="S7405" s="58" t="str">
        <f t="shared" si="345"/>
        <v/>
      </c>
      <c r="T7405" s="57" t="str">
        <f t="shared" si="346"/>
        <v/>
      </c>
      <c r="U7405" s="58" t="str">
        <f t="shared" si="347"/>
        <v/>
      </c>
    </row>
    <row r="7406" spans="19:21" ht="23.25" customHeight="1" x14ac:dyDescent="0.35">
      <c r="S7406" s="58" t="str">
        <f t="shared" si="345"/>
        <v/>
      </c>
      <c r="T7406" s="57" t="str">
        <f t="shared" si="346"/>
        <v/>
      </c>
      <c r="U7406" s="58" t="str">
        <f t="shared" si="347"/>
        <v/>
      </c>
    </row>
    <row r="7407" spans="19:21" ht="23.25" customHeight="1" x14ac:dyDescent="0.35">
      <c r="S7407" s="58" t="str">
        <f t="shared" si="345"/>
        <v/>
      </c>
      <c r="T7407" s="57" t="str">
        <f t="shared" si="346"/>
        <v/>
      </c>
      <c r="U7407" s="58" t="str">
        <f t="shared" si="347"/>
        <v/>
      </c>
    </row>
    <row r="7408" spans="19:21" ht="23.25" customHeight="1" x14ac:dyDescent="0.35">
      <c r="S7408" s="58" t="str">
        <f t="shared" si="345"/>
        <v/>
      </c>
      <c r="T7408" s="57" t="str">
        <f t="shared" si="346"/>
        <v/>
      </c>
      <c r="U7408" s="58" t="str">
        <f t="shared" si="347"/>
        <v/>
      </c>
    </row>
    <row r="7409" spans="19:21" ht="23.25" customHeight="1" x14ac:dyDescent="0.35">
      <c r="S7409" s="58" t="str">
        <f t="shared" si="345"/>
        <v/>
      </c>
      <c r="T7409" s="57" t="str">
        <f t="shared" si="346"/>
        <v/>
      </c>
      <c r="U7409" s="58" t="str">
        <f t="shared" si="347"/>
        <v/>
      </c>
    </row>
    <row r="7410" spans="19:21" ht="23.25" customHeight="1" x14ac:dyDescent="0.35">
      <c r="S7410" s="58" t="str">
        <f t="shared" si="345"/>
        <v/>
      </c>
      <c r="T7410" s="57" t="str">
        <f t="shared" si="346"/>
        <v/>
      </c>
      <c r="U7410" s="58" t="str">
        <f t="shared" si="347"/>
        <v/>
      </c>
    </row>
    <row r="7411" spans="19:21" ht="23.25" customHeight="1" x14ac:dyDescent="0.35">
      <c r="S7411" s="58" t="str">
        <f t="shared" si="345"/>
        <v/>
      </c>
      <c r="T7411" s="57" t="str">
        <f t="shared" si="346"/>
        <v/>
      </c>
      <c r="U7411" s="58" t="str">
        <f t="shared" si="347"/>
        <v/>
      </c>
    </row>
    <row r="7412" spans="19:21" ht="23.25" customHeight="1" x14ac:dyDescent="0.35">
      <c r="S7412" s="58" t="str">
        <f t="shared" si="345"/>
        <v/>
      </c>
      <c r="T7412" s="57" t="str">
        <f t="shared" si="346"/>
        <v/>
      </c>
      <c r="U7412" s="58" t="str">
        <f t="shared" si="347"/>
        <v/>
      </c>
    </row>
    <row r="7413" spans="19:21" ht="23.25" customHeight="1" x14ac:dyDescent="0.35">
      <c r="S7413" s="58" t="str">
        <f t="shared" si="345"/>
        <v/>
      </c>
      <c r="T7413" s="57" t="str">
        <f t="shared" si="346"/>
        <v/>
      </c>
      <c r="U7413" s="58" t="str">
        <f t="shared" si="347"/>
        <v/>
      </c>
    </row>
    <row r="7414" spans="19:21" ht="23.25" customHeight="1" x14ac:dyDescent="0.35">
      <c r="S7414" s="58" t="str">
        <f t="shared" si="345"/>
        <v/>
      </c>
      <c r="T7414" s="57" t="str">
        <f t="shared" si="346"/>
        <v/>
      </c>
      <c r="U7414" s="58" t="str">
        <f t="shared" si="347"/>
        <v/>
      </c>
    </row>
    <row r="7415" spans="19:21" ht="23.25" customHeight="1" x14ac:dyDescent="0.35">
      <c r="S7415" s="58" t="str">
        <f t="shared" si="345"/>
        <v/>
      </c>
      <c r="T7415" s="57" t="str">
        <f t="shared" si="346"/>
        <v/>
      </c>
      <c r="U7415" s="58" t="str">
        <f t="shared" si="347"/>
        <v/>
      </c>
    </row>
    <row r="7416" spans="19:21" ht="23.25" customHeight="1" x14ac:dyDescent="0.35">
      <c r="S7416" s="58" t="str">
        <f t="shared" si="345"/>
        <v/>
      </c>
      <c r="T7416" s="57" t="str">
        <f t="shared" si="346"/>
        <v/>
      </c>
      <c r="U7416" s="58" t="str">
        <f t="shared" si="347"/>
        <v/>
      </c>
    </row>
    <row r="7417" spans="19:21" ht="23.25" customHeight="1" x14ac:dyDescent="0.35">
      <c r="S7417" s="58" t="str">
        <f t="shared" si="345"/>
        <v/>
      </c>
      <c r="T7417" s="57" t="str">
        <f t="shared" si="346"/>
        <v/>
      </c>
      <c r="U7417" s="58" t="str">
        <f t="shared" si="347"/>
        <v/>
      </c>
    </row>
    <row r="7418" spans="19:21" ht="23.25" customHeight="1" x14ac:dyDescent="0.35">
      <c r="S7418" s="58" t="str">
        <f t="shared" si="345"/>
        <v/>
      </c>
      <c r="T7418" s="57" t="str">
        <f t="shared" si="346"/>
        <v/>
      </c>
      <c r="U7418" s="58" t="str">
        <f t="shared" si="347"/>
        <v/>
      </c>
    </row>
    <row r="7419" spans="19:21" ht="23.25" customHeight="1" x14ac:dyDescent="0.35">
      <c r="S7419" s="58" t="str">
        <f t="shared" si="345"/>
        <v/>
      </c>
      <c r="T7419" s="57" t="str">
        <f t="shared" si="346"/>
        <v/>
      </c>
      <c r="U7419" s="58" t="str">
        <f t="shared" si="347"/>
        <v/>
      </c>
    </row>
    <row r="7420" spans="19:21" ht="23.25" customHeight="1" x14ac:dyDescent="0.35">
      <c r="S7420" s="58" t="str">
        <f t="shared" si="345"/>
        <v/>
      </c>
      <c r="T7420" s="57" t="str">
        <f t="shared" si="346"/>
        <v/>
      </c>
      <c r="U7420" s="58" t="str">
        <f t="shared" si="347"/>
        <v/>
      </c>
    </row>
    <row r="7421" spans="19:21" ht="23.25" customHeight="1" x14ac:dyDescent="0.35">
      <c r="S7421" s="58" t="str">
        <f t="shared" si="345"/>
        <v/>
      </c>
      <c r="T7421" s="57" t="str">
        <f t="shared" si="346"/>
        <v/>
      </c>
      <c r="U7421" s="58" t="str">
        <f t="shared" si="347"/>
        <v/>
      </c>
    </row>
    <row r="7422" spans="19:21" ht="23.25" customHeight="1" x14ac:dyDescent="0.35">
      <c r="S7422" s="58" t="str">
        <f t="shared" si="345"/>
        <v/>
      </c>
      <c r="T7422" s="57" t="str">
        <f t="shared" si="346"/>
        <v/>
      </c>
      <c r="U7422" s="58" t="str">
        <f t="shared" si="347"/>
        <v/>
      </c>
    </row>
    <row r="7423" spans="19:21" ht="23.25" customHeight="1" x14ac:dyDescent="0.35">
      <c r="S7423" s="58" t="str">
        <f t="shared" si="345"/>
        <v/>
      </c>
      <c r="T7423" s="57" t="str">
        <f t="shared" si="346"/>
        <v/>
      </c>
      <c r="U7423" s="58" t="str">
        <f t="shared" si="347"/>
        <v/>
      </c>
    </row>
    <row r="7424" spans="19:21" ht="23.25" customHeight="1" x14ac:dyDescent="0.35">
      <c r="S7424" s="58" t="str">
        <f t="shared" si="345"/>
        <v/>
      </c>
      <c r="T7424" s="57" t="str">
        <f t="shared" si="346"/>
        <v/>
      </c>
      <c r="U7424" s="58" t="str">
        <f t="shared" si="347"/>
        <v/>
      </c>
    </row>
    <row r="7425" spans="19:21" ht="23.25" customHeight="1" x14ac:dyDescent="0.35">
      <c r="S7425" s="58" t="str">
        <f t="shared" si="345"/>
        <v/>
      </c>
      <c r="T7425" s="57" t="str">
        <f t="shared" si="346"/>
        <v/>
      </c>
      <c r="U7425" s="58" t="str">
        <f t="shared" si="347"/>
        <v/>
      </c>
    </row>
    <row r="7426" spans="19:21" ht="23.25" customHeight="1" x14ac:dyDescent="0.35">
      <c r="S7426" s="58" t="str">
        <f t="shared" si="345"/>
        <v/>
      </c>
      <c r="T7426" s="57" t="str">
        <f t="shared" si="346"/>
        <v/>
      </c>
      <c r="U7426" s="58" t="str">
        <f t="shared" si="347"/>
        <v/>
      </c>
    </row>
    <row r="7427" spans="19:21" ht="23.25" customHeight="1" x14ac:dyDescent="0.35">
      <c r="S7427" s="58" t="str">
        <f t="shared" si="345"/>
        <v/>
      </c>
      <c r="T7427" s="57" t="str">
        <f t="shared" si="346"/>
        <v/>
      </c>
      <c r="U7427" s="58" t="str">
        <f t="shared" si="347"/>
        <v/>
      </c>
    </row>
    <row r="7428" spans="19:21" ht="23.25" customHeight="1" x14ac:dyDescent="0.35">
      <c r="S7428" s="58" t="str">
        <f t="shared" si="345"/>
        <v/>
      </c>
      <c r="T7428" s="57" t="str">
        <f t="shared" si="346"/>
        <v/>
      </c>
      <c r="U7428" s="58" t="str">
        <f t="shared" si="347"/>
        <v/>
      </c>
    </row>
    <row r="7429" spans="19:21" ht="23.25" customHeight="1" x14ac:dyDescent="0.35">
      <c r="S7429" s="58" t="str">
        <f t="shared" si="345"/>
        <v/>
      </c>
      <c r="T7429" s="57" t="str">
        <f t="shared" si="346"/>
        <v/>
      </c>
      <c r="U7429" s="58" t="str">
        <f t="shared" si="347"/>
        <v/>
      </c>
    </row>
    <row r="7430" spans="19:21" ht="23.25" customHeight="1" x14ac:dyDescent="0.35">
      <c r="S7430" s="58" t="str">
        <f t="shared" si="345"/>
        <v/>
      </c>
      <c r="T7430" s="57" t="str">
        <f t="shared" si="346"/>
        <v/>
      </c>
      <c r="U7430" s="58" t="str">
        <f t="shared" si="347"/>
        <v/>
      </c>
    </row>
    <row r="7431" spans="19:21" ht="23.25" customHeight="1" x14ac:dyDescent="0.35">
      <c r="S7431" s="58" t="str">
        <f t="shared" si="345"/>
        <v/>
      </c>
      <c r="T7431" s="57" t="str">
        <f t="shared" si="346"/>
        <v/>
      </c>
      <c r="U7431" s="58" t="str">
        <f t="shared" si="347"/>
        <v/>
      </c>
    </row>
    <row r="7432" spans="19:21" ht="23.25" customHeight="1" x14ac:dyDescent="0.35">
      <c r="S7432" s="58" t="str">
        <f t="shared" si="345"/>
        <v/>
      </c>
      <c r="T7432" s="57" t="str">
        <f t="shared" si="346"/>
        <v/>
      </c>
      <c r="U7432" s="58" t="str">
        <f t="shared" si="347"/>
        <v/>
      </c>
    </row>
    <row r="7433" spans="19:21" ht="23.25" customHeight="1" x14ac:dyDescent="0.35">
      <c r="S7433" s="58" t="str">
        <f t="shared" ref="S7433:S7496" si="348">IF(A7433="","",A$5-A7433)</f>
        <v/>
      </c>
      <c r="T7433" s="57" t="str">
        <f t="shared" ref="T7433:T7496" si="349">IF(S7433="","",IF(S7433&lt;4,"0-3 Days",IF(S7433&lt;31,"4-30 Days",IF(S7433&lt;61,"31-60 Days",IF(S7433&lt;=90,"61-90 Days",IF(S7433&gt;90,"Above 90 Days","0"))))))</f>
        <v/>
      </c>
      <c r="U7433" s="58" t="str">
        <f t="shared" ref="U7433:U7496" si="350">IF(C7433="","",IF(C7433&gt;0,IF(S7433&lt;30,"Normal",IF(S7433&lt;60,"Especially Mentioned",IF(S7433&lt;90,"Substandard",IF(S7433&lt;=180,"Doubtful",IF(S7433&gt;180,"Loss","0"))))),"Not Applicable"))</f>
        <v/>
      </c>
    </row>
    <row r="7434" spans="19:21" ht="23.25" customHeight="1" x14ac:dyDescent="0.35">
      <c r="S7434" s="58" t="str">
        <f t="shared" si="348"/>
        <v/>
      </c>
      <c r="T7434" s="57" t="str">
        <f t="shared" si="349"/>
        <v/>
      </c>
      <c r="U7434" s="58" t="str">
        <f t="shared" si="350"/>
        <v/>
      </c>
    </row>
    <row r="7435" spans="19:21" ht="23.25" customHeight="1" x14ac:dyDescent="0.35">
      <c r="S7435" s="58" t="str">
        <f t="shared" si="348"/>
        <v/>
      </c>
      <c r="T7435" s="57" t="str">
        <f t="shared" si="349"/>
        <v/>
      </c>
      <c r="U7435" s="58" t="str">
        <f t="shared" si="350"/>
        <v/>
      </c>
    </row>
    <row r="7436" spans="19:21" ht="23.25" customHeight="1" x14ac:dyDescent="0.35">
      <c r="S7436" s="58" t="str">
        <f t="shared" si="348"/>
        <v/>
      </c>
      <c r="T7436" s="57" t="str">
        <f t="shared" si="349"/>
        <v/>
      </c>
      <c r="U7436" s="58" t="str">
        <f t="shared" si="350"/>
        <v/>
      </c>
    </row>
    <row r="7437" spans="19:21" ht="23.25" customHeight="1" x14ac:dyDescent="0.35">
      <c r="S7437" s="58" t="str">
        <f t="shared" si="348"/>
        <v/>
      </c>
      <c r="T7437" s="57" t="str">
        <f t="shared" si="349"/>
        <v/>
      </c>
      <c r="U7437" s="58" t="str">
        <f t="shared" si="350"/>
        <v/>
      </c>
    </row>
    <row r="7438" spans="19:21" ht="23.25" customHeight="1" x14ac:dyDescent="0.35">
      <c r="S7438" s="58" t="str">
        <f t="shared" si="348"/>
        <v/>
      </c>
      <c r="T7438" s="57" t="str">
        <f t="shared" si="349"/>
        <v/>
      </c>
      <c r="U7438" s="58" t="str">
        <f t="shared" si="350"/>
        <v/>
      </c>
    </row>
    <row r="7439" spans="19:21" ht="23.25" customHeight="1" x14ac:dyDescent="0.35">
      <c r="S7439" s="58" t="str">
        <f t="shared" si="348"/>
        <v/>
      </c>
      <c r="T7439" s="57" t="str">
        <f t="shared" si="349"/>
        <v/>
      </c>
      <c r="U7439" s="58" t="str">
        <f t="shared" si="350"/>
        <v/>
      </c>
    </row>
    <row r="7440" spans="19:21" ht="23.25" customHeight="1" x14ac:dyDescent="0.35">
      <c r="S7440" s="58" t="str">
        <f t="shared" si="348"/>
        <v/>
      </c>
      <c r="T7440" s="57" t="str">
        <f t="shared" si="349"/>
        <v/>
      </c>
      <c r="U7440" s="58" t="str">
        <f t="shared" si="350"/>
        <v/>
      </c>
    </row>
    <row r="7441" spans="19:21" ht="23.25" customHeight="1" x14ac:dyDescent="0.35">
      <c r="S7441" s="58" t="str">
        <f t="shared" si="348"/>
        <v/>
      </c>
      <c r="T7441" s="57" t="str">
        <f t="shared" si="349"/>
        <v/>
      </c>
      <c r="U7441" s="58" t="str">
        <f t="shared" si="350"/>
        <v/>
      </c>
    </row>
    <row r="7442" spans="19:21" ht="23.25" customHeight="1" x14ac:dyDescent="0.35">
      <c r="S7442" s="58" t="str">
        <f t="shared" si="348"/>
        <v/>
      </c>
      <c r="T7442" s="57" t="str">
        <f t="shared" si="349"/>
        <v/>
      </c>
      <c r="U7442" s="58" t="str">
        <f t="shared" si="350"/>
        <v/>
      </c>
    </row>
    <row r="7443" spans="19:21" ht="23.25" customHeight="1" x14ac:dyDescent="0.35">
      <c r="S7443" s="58" t="str">
        <f t="shared" si="348"/>
        <v/>
      </c>
      <c r="T7443" s="57" t="str">
        <f t="shared" si="349"/>
        <v/>
      </c>
      <c r="U7443" s="58" t="str">
        <f t="shared" si="350"/>
        <v/>
      </c>
    </row>
    <row r="7444" spans="19:21" ht="23.25" customHeight="1" x14ac:dyDescent="0.35">
      <c r="S7444" s="58" t="str">
        <f t="shared" si="348"/>
        <v/>
      </c>
      <c r="T7444" s="57" t="str">
        <f t="shared" si="349"/>
        <v/>
      </c>
      <c r="U7444" s="58" t="str">
        <f t="shared" si="350"/>
        <v/>
      </c>
    </row>
    <row r="7445" spans="19:21" ht="23.25" customHeight="1" x14ac:dyDescent="0.35">
      <c r="S7445" s="58" t="str">
        <f t="shared" si="348"/>
        <v/>
      </c>
      <c r="T7445" s="57" t="str">
        <f t="shared" si="349"/>
        <v/>
      </c>
      <c r="U7445" s="58" t="str">
        <f t="shared" si="350"/>
        <v/>
      </c>
    </row>
    <row r="7446" spans="19:21" ht="23.25" customHeight="1" x14ac:dyDescent="0.35">
      <c r="S7446" s="58" t="str">
        <f t="shared" si="348"/>
        <v/>
      </c>
      <c r="T7446" s="57" t="str">
        <f t="shared" si="349"/>
        <v/>
      </c>
      <c r="U7446" s="58" t="str">
        <f t="shared" si="350"/>
        <v/>
      </c>
    </row>
    <row r="7447" spans="19:21" ht="23.25" customHeight="1" x14ac:dyDescent="0.35">
      <c r="S7447" s="58" t="str">
        <f t="shared" si="348"/>
        <v/>
      </c>
      <c r="T7447" s="57" t="str">
        <f t="shared" si="349"/>
        <v/>
      </c>
      <c r="U7447" s="58" t="str">
        <f t="shared" si="350"/>
        <v/>
      </c>
    </row>
    <row r="7448" spans="19:21" ht="23.25" customHeight="1" x14ac:dyDescent="0.35">
      <c r="S7448" s="58" t="str">
        <f t="shared" si="348"/>
        <v/>
      </c>
      <c r="T7448" s="57" t="str">
        <f t="shared" si="349"/>
        <v/>
      </c>
      <c r="U7448" s="58" t="str">
        <f t="shared" si="350"/>
        <v/>
      </c>
    </row>
    <row r="7449" spans="19:21" ht="23.25" customHeight="1" x14ac:dyDescent="0.35">
      <c r="S7449" s="58" t="str">
        <f t="shared" si="348"/>
        <v/>
      </c>
      <c r="T7449" s="57" t="str">
        <f t="shared" si="349"/>
        <v/>
      </c>
      <c r="U7449" s="58" t="str">
        <f t="shared" si="350"/>
        <v/>
      </c>
    </row>
    <row r="7450" spans="19:21" ht="23.25" customHeight="1" x14ac:dyDescent="0.35">
      <c r="S7450" s="58" t="str">
        <f t="shared" si="348"/>
        <v/>
      </c>
      <c r="T7450" s="57" t="str">
        <f t="shared" si="349"/>
        <v/>
      </c>
      <c r="U7450" s="58" t="str">
        <f t="shared" si="350"/>
        <v/>
      </c>
    </row>
    <row r="7451" spans="19:21" ht="23.25" customHeight="1" x14ac:dyDescent="0.35">
      <c r="S7451" s="58" t="str">
        <f t="shared" si="348"/>
        <v/>
      </c>
      <c r="T7451" s="57" t="str">
        <f t="shared" si="349"/>
        <v/>
      </c>
      <c r="U7451" s="58" t="str">
        <f t="shared" si="350"/>
        <v/>
      </c>
    </row>
    <row r="7452" spans="19:21" ht="23.25" customHeight="1" x14ac:dyDescent="0.35">
      <c r="S7452" s="58" t="str">
        <f t="shared" si="348"/>
        <v/>
      </c>
      <c r="T7452" s="57" t="str">
        <f t="shared" si="349"/>
        <v/>
      </c>
      <c r="U7452" s="58" t="str">
        <f t="shared" si="350"/>
        <v/>
      </c>
    </row>
    <row r="7453" spans="19:21" ht="23.25" customHeight="1" x14ac:dyDescent="0.35">
      <c r="S7453" s="58" t="str">
        <f t="shared" si="348"/>
        <v/>
      </c>
      <c r="T7453" s="57" t="str">
        <f t="shared" si="349"/>
        <v/>
      </c>
      <c r="U7453" s="58" t="str">
        <f t="shared" si="350"/>
        <v/>
      </c>
    </row>
    <row r="7454" spans="19:21" ht="23.25" customHeight="1" x14ac:dyDescent="0.35">
      <c r="S7454" s="58" t="str">
        <f t="shared" si="348"/>
        <v/>
      </c>
      <c r="T7454" s="57" t="str">
        <f t="shared" si="349"/>
        <v/>
      </c>
      <c r="U7454" s="58" t="str">
        <f t="shared" si="350"/>
        <v/>
      </c>
    </row>
    <row r="7455" spans="19:21" ht="23.25" customHeight="1" x14ac:dyDescent="0.35">
      <c r="S7455" s="58" t="str">
        <f t="shared" si="348"/>
        <v/>
      </c>
      <c r="T7455" s="57" t="str">
        <f t="shared" si="349"/>
        <v/>
      </c>
      <c r="U7455" s="58" t="str">
        <f t="shared" si="350"/>
        <v/>
      </c>
    </row>
    <row r="7456" spans="19:21" ht="23.25" customHeight="1" x14ac:dyDescent="0.35">
      <c r="S7456" s="58" t="str">
        <f t="shared" si="348"/>
        <v/>
      </c>
      <c r="T7456" s="57" t="str">
        <f t="shared" si="349"/>
        <v/>
      </c>
      <c r="U7456" s="58" t="str">
        <f t="shared" si="350"/>
        <v/>
      </c>
    </row>
    <row r="7457" spans="19:21" ht="23.25" customHeight="1" x14ac:dyDescent="0.35">
      <c r="S7457" s="58" t="str">
        <f t="shared" si="348"/>
        <v/>
      </c>
      <c r="T7457" s="57" t="str">
        <f t="shared" si="349"/>
        <v/>
      </c>
      <c r="U7457" s="58" t="str">
        <f t="shared" si="350"/>
        <v/>
      </c>
    </row>
    <row r="7458" spans="19:21" ht="23.25" customHeight="1" x14ac:dyDescent="0.35">
      <c r="S7458" s="58" t="str">
        <f t="shared" si="348"/>
        <v/>
      </c>
      <c r="T7458" s="57" t="str">
        <f t="shared" si="349"/>
        <v/>
      </c>
      <c r="U7458" s="58" t="str">
        <f t="shared" si="350"/>
        <v/>
      </c>
    </row>
    <row r="7459" spans="19:21" ht="23.25" customHeight="1" x14ac:dyDescent="0.35">
      <c r="S7459" s="58" t="str">
        <f t="shared" si="348"/>
        <v/>
      </c>
      <c r="T7459" s="57" t="str">
        <f t="shared" si="349"/>
        <v/>
      </c>
      <c r="U7459" s="58" t="str">
        <f t="shared" si="350"/>
        <v/>
      </c>
    </row>
    <row r="7460" spans="19:21" ht="23.25" customHeight="1" x14ac:dyDescent="0.35">
      <c r="S7460" s="58" t="str">
        <f t="shared" si="348"/>
        <v/>
      </c>
      <c r="T7460" s="57" t="str">
        <f t="shared" si="349"/>
        <v/>
      </c>
      <c r="U7460" s="58" t="str">
        <f t="shared" si="350"/>
        <v/>
      </c>
    </row>
    <row r="7461" spans="19:21" ht="23.25" customHeight="1" x14ac:dyDescent="0.35">
      <c r="S7461" s="58" t="str">
        <f t="shared" si="348"/>
        <v/>
      </c>
      <c r="T7461" s="57" t="str">
        <f t="shared" si="349"/>
        <v/>
      </c>
      <c r="U7461" s="58" t="str">
        <f t="shared" si="350"/>
        <v/>
      </c>
    </row>
    <row r="7462" spans="19:21" ht="23.25" customHeight="1" x14ac:dyDescent="0.35">
      <c r="S7462" s="58" t="str">
        <f t="shared" si="348"/>
        <v/>
      </c>
      <c r="T7462" s="57" t="str">
        <f t="shared" si="349"/>
        <v/>
      </c>
      <c r="U7462" s="58" t="str">
        <f t="shared" si="350"/>
        <v/>
      </c>
    </row>
    <row r="7463" spans="19:21" ht="23.25" customHeight="1" x14ac:dyDescent="0.35">
      <c r="S7463" s="58" t="str">
        <f t="shared" si="348"/>
        <v/>
      </c>
      <c r="T7463" s="57" t="str">
        <f t="shared" si="349"/>
        <v/>
      </c>
      <c r="U7463" s="58" t="str">
        <f t="shared" si="350"/>
        <v/>
      </c>
    </row>
    <row r="7464" spans="19:21" ht="23.25" customHeight="1" x14ac:dyDescent="0.35">
      <c r="S7464" s="58" t="str">
        <f t="shared" si="348"/>
        <v/>
      </c>
      <c r="T7464" s="57" t="str">
        <f t="shared" si="349"/>
        <v/>
      </c>
      <c r="U7464" s="58" t="str">
        <f t="shared" si="350"/>
        <v/>
      </c>
    </row>
    <row r="7465" spans="19:21" ht="23.25" customHeight="1" x14ac:dyDescent="0.35">
      <c r="S7465" s="58" t="str">
        <f t="shared" si="348"/>
        <v/>
      </c>
      <c r="T7465" s="57" t="str">
        <f t="shared" si="349"/>
        <v/>
      </c>
      <c r="U7465" s="58" t="str">
        <f t="shared" si="350"/>
        <v/>
      </c>
    </row>
    <row r="7466" spans="19:21" ht="23.25" customHeight="1" x14ac:dyDescent="0.35">
      <c r="S7466" s="58" t="str">
        <f t="shared" si="348"/>
        <v/>
      </c>
      <c r="T7466" s="57" t="str">
        <f t="shared" si="349"/>
        <v/>
      </c>
      <c r="U7466" s="58" t="str">
        <f t="shared" si="350"/>
        <v/>
      </c>
    </row>
    <row r="7467" spans="19:21" ht="23.25" customHeight="1" x14ac:dyDescent="0.35">
      <c r="S7467" s="58" t="str">
        <f t="shared" si="348"/>
        <v/>
      </c>
      <c r="T7467" s="57" t="str">
        <f t="shared" si="349"/>
        <v/>
      </c>
      <c r="U7467" s="58" t="str">
        <f t="shared" si="350"/>
        <v/>
      </c>
    </row>
    <row r="7468" spans="19:21" ht="23.25" customHeight="1" x14ac:dyDescent="0.35">
      <c r="S7468" s="58" t="str">
        <f t="shared" si="348"/>
        <v/>
      </c>
      <c r="T7468" s="57" t="str">
        <f t="shared" si="349"/>
        <v/>
      </c>
      <c r="U7468" s="58" t="str">
        <f t="shared" si="350"/>
        <v/>
      </c>
    </row>
    <row r="7469" spans="19:21" ht="23.25" customHeight="1" x14ac:dyDescent="0.35">
      <c r="S7469" s="58" t="str">
        <f t="shared" si="348"/>
        <v/>
      </c>
      <c r="T7469" s="57" t="str">
        <f t="shared" si="349"/>
        <v/>
      </c>
      <c r="U7469" s="58" t="str">
        <f t="shared" si="350"/>
        <v/>
      </c>
    </row>
    <row r="7470" spans="19:21" ht="23.25" customHeight="1" x14ac:dyDescent="0.35">
      <c r="S7470" s="58" t="str">
        <f t="shared" si="348"/>
        <v/>
      </c>
      <c r="T7470" s="57" t="str">
        <f t="shared" si="349"/>
        <v/>
      </c>
      <c r="U7470" s="58" t="str">
        <f t="shared" si="350"/>
        <v/>
      </c>
    </row>
    <row r="7471" spans="19:21" ht="23.25" customHeight="1" x14ac:dyDescent="0.35">
      <c r="S7471" s="58" t="str">
        <f t="shared" si="348"/>
        <v/>
      </c>
      <c r="T7471" s="57" t="str">
        <f t="shared" si="349"/>
        <v/>
      </c>
      <c r="U7471" s="58" t="str">
        <f t="shared" si="350"/>
        <v/>
      </c>
    </row>
    <row r="7472" spans="19:21" ht="23.25" customHeight="1" x14ac:dyDescent="0.35">
      <c r="S7472" s="58" t="str">
        <f t="shared" si="348"/>
        <v/>
      </c>
      <c r="T7472" s="57" t="str">
        <f t="shared" si="349"/>
        <v/>
      </c>
      <c r="U7472" s="58" t="str">
        <f t="shared" si="350"/>
        <v/>
      </c>
    </row>
    <row r="7473" spans="19:21" ht="23.25" customHeight="1" x14ac:dyDescent="0.35">
      <c r="S7473" s="58" t="str">
        <f t="shared" si="348"/>
        <v/>
      </c>
      <c r="T7473" s="57" t="str">
        <f t="shared" si="349"/>
        <v/>
      </c>
      <c r="U7473" s="58" t="str">
        <f t="shared" si="350"/>
        <v/>
      </c>
    </row>
    <row r="7474" spans="19:21" ht="23.25" customHeight="1" x14ac:dyDescent="0.35">
      <c r="S7474" s="58" t="str">
        <f t="shared" si="348"/>
        <v/>
      </c>
      <c r="T7474" s="57" t="str">
        <f t="shared" si="349"/>
        <v/>
      </c>
      <c r="U7474" s="58" t="str">
        <f t="shared" si="350"/>
        <v/>
      </c>
    </row>
    <row r="7475" spans="19:21" ht="23.25" customHeight="1" x14ac:dyDescent="0.35">
      <c r="S7475" s="58" t="str">
        <f t="shared" si="348"/>
        <v/>
      </c>
      <c r="T7475" s="57" t="str">
        <f t="shared" si="349"/>
        <v/>
      </c>
      <c r="U7475" s="58" t="str">
        <f t="shared" si="350"/>
        <v/>
      </c>
    </row>
    <row r="7476" spans="19:21" ht="23.25" customHeight="1" x14ac:dyDescent="0.35">
      <c r="S7476" s="58" t="str">
        <f t="shared" si="348"/>
        <v/>
      </c>
      <c r="T7476" s="57" t="str">
        <f t="shared" si="349"/>
        <v/>
      </c>
      <c r="U7476" s="58" t="str">
        <f t="shared" si="350"/>
        <v/>
      </c>
    </row>
    <row r="7477" spans="19:21" ht="23.25" customHeight="1" x14ac:dyDescent="0.35">
      <c r="S7477" s="58" t="str">
        <f t="shared" si="348"/>
        <v/>
      </c>
      <c r="T7477" s="57" t="str">
        <f t="shared" si="349"/>
        <v/>
      </c>
      <c r="U7477" s="58" t="str">
        <f t="shared" si="350"/>
        <v/>
      </c>
    </row>
    <row r="7478" spans="19:21" ht="23.25" customHeight="1" x14ac:dyDescent="0.35">
      <c r="S7478" s="58" t="str">
        <f t="shared" si="348"/>
        <v/>
      </c>
      <c r="T7478" s="57" t="str">
        <f t="shared" si="349"/>
        <v/>
      </c>
      <c r="U7478" s="58" t="str">
        <f t="shared" si="350"/>
        <v/>
      </c>
    </row>
    <row r="7479" spans="19:21" ht="23.25" customHeight="1" x14ac:dyDescent="0.35">
      <c r="S7479" s="58" t="str">
        <f t="shared" si="348"/>
        <v/>
      </c>
      <c r="T7479" s="57" t="str">
        <f t="shared" si="349"/>
        <v/>
      </c>
      <c r="U7479" s="58" t="str">
        <f t="shared" si="350"/>
        <v/>
      </c>
    </row>
    <row r="7480" spans="19:21" ht="23.25" customHeight="1" x14ac:dyDescent="0.35">
      <c r="S7480" s="58" t="str">
        <f t="shared" si="348"/>
        <v/>
      </c>
      <c r="T7480" s="57" t="str">
        <f t="shared" si="349"/>
        <v/>
      </c>
      <c r="U7480" s="58" t="str">
        <f t="shared" si="350"/>
        <v/>
      </c>
    </row>
    <row r="7481" spans="19:21" ht="23.25" customHeight="1" x14ac:dyDescent="0.35">
      <c r="S7481" s="58" t="str">
        <f t="shared" si="348"/>
        <v/>
      </c>
      <c r="T7481" s="57" t="str">
        <f t="shared" si="349"/>
        <v/>
      </c>
      <c r="U7481" s="58" t="str">
        <f t="shared" si="350"/>
        <v/>
      </c>
    </row>
    <row r="7482" spans="19:21" ht="23.25" customHeight="1" x14ac:dyDescent="0.35">
      <c r="S7482" s="58" t="str">
        <f t="shared" si="348"/>
        <v/>
      </c>
      <c r="T7482" s="57" t="str">
        <f t="shared" si="349"/>
        <v/>
      </c>
      <c r="U7482" s="58" t="str">
        <f t="shared" si="350"/>
        <v/>
      </c>
    </row>
    <row r="7483" spans="19:21" ht="23.25" customHeight="1" x14ac:dyDescent="0.35">
      <c r="S7483" s="58" t="str">
        <f t="shared" si="348"/>
        <v/>
      </c>
      <c r="T7483" s="57" t="str">
        <f t="shared" si="349"/>
        <v/>
      </c>
      <c r="U7483" s="58" t="str">
        <f t="shared" si="350"/>
        <v/>
      </c>
    </row>
    <row r="7484" spans="19:21" ht="23.25" customHeight="1" x14ac:dyDescent="0.35">
      <c r="S7484" s="58" t="str">
        <f t="shared" si="348"/>
        <v/>
      </c>
      <c r="T7484" s="57" t="str">
        <f t="shared" si="349"/>
        <v/>
      </c>
      <c r="U7484" s="58" t="str">
        <f t="shared" si="350"/>
        <v/>
      </c>
    </row>
    <row r="7485" spans="19:21" ht="23.25" customHeight="1" x14ac:dyDescent="0.35">
      <c r="S7485" s="58" t="str">
        <f t="shared" si="348"/>
        <v/>
      </c>
      <c r="T7485" s="57" t="str">
        <f t="shared" si="349"/>
        <v/>
      </c>
      <c r="U7485" s="58" t="str">
        <f t="shared" si="350"/>
        <v/>
      </c>
    </row>
    <row r="7486" spans="19:21" ht="23.25" customHeight="1" x14ac:dyDescent="0.35">
      <c r="S7486" s="58" t="str">
        <f t="shared" si="348"/>
        <v/>
      </c>
      <c r="T7486" s="57" t="str">
        <f t="shared" si="349"/>
        <v/>
      </c>
      <c r="U7486" s="58" t="str">
        <f t="shared" si="350"/>
        <v/>
      </c>
    </row>
    <row r="7487" spans="19:21" ht="23.25" customHeight="1" x14ac:dyDescent="0.35">
      <c r="S7487" s="58" t="str">
        <f t="shared" si="348"/>
        <v/>
      </c>
      <c r="T7487" s="57" t="str">
        <f t="shared" si="349"/>
        <v/>
      </c>
      <c r="U7487" s="58" t="str">
        <f t="shared" si="350"/>
        <v/>
      </c>
    </row>
    <row r="7488" spans="19:21" ht="23.25" customHeight="1" x14ac:dyDescent="0.35">
      <c r="S7488" s="58" t="str">
        <f t="shared" si="348"/>
        <v/>
      </c>
      <c r="T7488" s="57" t="str">
        <f t="shared" si="349"/>
        <v/>
      </c>
      <c r="U7488" s="58" t="str">
        <f t="shared" si="350"/>
        <v/>
      </c>
    </row>
    <row r="7489" spans="19:21" ht="23.25" customHeight="1" x14ac:dyDescent="0.35">
      <c r="S7489" s="58" t="str">
        <f t="shared" si="348"/>
        <v/>
      </c>
      <c r="T7489" s="57" t="str">
        <f t="shared" si="349"/>
        <v/>
      </c>
      <c r="U7489" s="58" t="str">
        <f t="shared" si="350"/>
        <v/>
      </c>
    </row>
    <row r="7490" spans="19:21" ht="23.25" customHeight="1" x14ac:dyDescent="0.35">
      <c r="S7490" s="58" t="str">
        <f t="shared" si="348"/>
        <v/>
      </c>
      <c r="T7490" s="57" t="str">
        <f t="shared" si="349"/>
        <v/>
      </c>
      <c r="U7490" s="58" t="str">
        <f t="shared" si="350"/>
        <v/>
      </c>
    </row>
    <row r="7491" spans="19:21" ht="23.25" customHeight="1" x14ac:dyDescent="0.35">
      <c r="S7491" s="58" t="str">
        <f t="shared" si="348"/>
        <v/>
      </c>
      <c r="T7491" s="57" t="str">
        <f t="shared" si="349"/>
        <v/>
      </c>
      <c r="U7491" s="58" t="str">
        <f t="shared" si="350"/>
        <v/>
      </c>
    </row>
    <row r="7492" spans="19:21" ht="23.25" customHeight="1" x14ac:dyDescent="0.35">
      <c r="S7492" s="58" t="str">
        <f t="shared" si="348"/>
        <v/>
      </c>
      <c r="T7492" s="57" t="str">
        <f t="shared" si="349"/>
        <v/>
      </c>
      <c r="U7492" s="58" t="str">
        <f t="shared" si="350"/>
        <v/>
      </c>
    </row>
    <row r="7493" spans="19:21" ht="23.25" customHeight="1" x14ac:dyDescent="0.35">
      <c r="S7493" s="58" t="str">
        <f t="shared" si="348"/>
        <v/>
      </c>
      <c r="T7493" s="57" t="str">
        <f t="shared" si="349"/>
        <v/>
      </c>
      <c r="U7493" s="58" t="str">
        <f t="shared" si="350"/>
        <v/>
      </c>
    </row>
    <row r="7494" spans="19:21" ht="23.25" customHeight="1" x14ac:dyDescent="0.35">
      <c r="S7494" s="58" t="str">
        <f t="shared" si="348"/>
        <v/>
      </c>
      <c r="T7494" s="57" t="str">
        <f t="shared" si="349"/>
        <v/>
      </c>
      <c r="U7494" s="58" t="str">
        <f t="shared" si="350"/>
        <v/>
      </c>
    </row>
    <row r="7495" spans="19:21" ht="23.25" customHeight="1" x14ac:dyDescent="0.35">
      <c r="S7495" s="58" t="str">
        <f t="shared" si="348"/>
        <v/>
      </c>
      <c r="T7495" s="57" t="str">
        <f t="shared" si="349"/>
        <v/>
      </c>
      <c r="U7495" s="58" t="str">
        <f t="shared" si="350"/>
        <v/>
      </c>
    </row>
    <row r="7496" spans="19:21" ht="23.25" customHeight="1" x14ac:dyDescent="0.35">
      <c r="S7496" s="58" t="str">
        <f t="shared" si="348"/>
        <v/>
      </c>
      <c r="T7496" s="57" t="str">
        <f t="shared" si="349"/>
        <v/>
      </c>
      <c r="U7496" s="58" t="str">
        <f t="shared" si="350"/>
        <v/>
      </c>
    </row>
    <row r="7497" spans="19:21" ht="23.25" customHeight="1" x14ac:dyDescent="0.35">
      <c r="S7497" s="58" t="str">
        <f t="shared" ref="S7497:S7507" si="351">IF(A7497="","",A$5-A7497)</f>
        <v/>
      </c>
      <c r="T7497" s="57" t="str">
        <f t="shared" ref="T7497:T7507" si="352">IF(S7497="","",IF(S7497&lt;4,"0-3 Days",IF(S7497&lt;31,"4-30 Days",IF(S7497&lt;61,"31-60 Days",IF(S7497&lt;=90,"61-90 Days",IF(S7497&gt;90,"Above 90 Days","0"))))))</f>
        <v/>
      </c>
      <c r="U7497" s="58" t="str">
        <f t="shared" ref="U7497:U7507" si="353">IF(C7497="","",IF(C7497&gt;0,IF(S7497&lt;30,"Normal",IF(S7497&lt;60,"Especially Mentioned",IF(S7497&lt;90,"Substandard",IF(S7497&lt;=180,"Doubtful",IF(S7497&gt;180,"Loss","0"))))),"Not Applicable"))</f>
        <v/>
      </c>
    </row>
    <row r="7498" spans="19:21" ht="23.25" customHeight="1" x14ac:dyDescent="0.35">
      <c r="S7498" s="58" t="str">
        <f t="shared" si="351"/>
        <v/>
      </c>
      <c r="T7498" s="57" t="str">
        <f t="shared" si="352"/>
        <v/>
      </c>
      <c r="U7498" s="58" t="str">
        <f t="shared" si="353"/>
        <v/>
      </c>
    </row>
    <row r="7499" spans="19:21" ht="23.25" customHeight="1" x14ac:dyDescent="0.35">
      <c r="S7499" s="58" t="str">
        <f t="shared" si="351"/>
        <v/>
      </c>
      <c r="T7499" s="57" t="str">
        <f t="shared" si="352"/>
        <v/>
      </c>
      <c r="U7499" s="58" t="str">
        <f t="shared" si="353"/>
        <v/>
      </c>
    </row>
    <row r="7500" spans="19:21" ht="23.25" customHeight="1" x14ac:dyDescent="0.35">
      <c r="S7500" s="58" t="str">
        <f t="shared" si="351"/>
        <v/>
      </c>
      <c r="T7500" s="57" t="str">
        <f t="shared" si="352"/>
        <v/>
      </c>
      <c r="U7500" s="58" t="str">
        <f t="shared" si="353"/>
        <v/>
      </c>
    </row>
    <row r="7501" spans="19:21" ht="23.25" customHeight="1" x14ac:dyDescent="0.35">
      <c r="S7501" s="58" t="str">
        <f t="shared" si="351"/>
        <v/>
      </c>
      <c r="T7501" s="57" t="str">
        <f t="shared" si="352"/>
        <v/>
      </c>
      <c r="U7501" s="58" t="str">
        <f t="shared" si="353"/>
        <v/>
      </c>
    </row>
    <row r="7502" spans="19:21" ht="23.25" customHeight="1" x14ac:dyDescent="0.35">
      <c r="S7502" s="58" t="str">
        <f t="shared" si="351"/>
        <v/>
      </c>
      <c r="T7502" s="57" t="str">
        <f t="shared" si="352"/>
        <v/>
      </c>
      <c r="U7502" s="58" t="str">
        <f t="shared" si="353"/>
        <v/>
      </c>
    </row>
    <row r="7503" spans="19:21" ht="23.25" customHeight="1" x14ac:dyDescent="0.35">
      <c r="S7503" s="58" t="str">
        <f t="shared" si="351"/>
        <v/>
      </c>
      <c r="T7503" s="57" t="str">
        <f t="shared" si="352"/>
        <v/>
      </c>
      <c r="U7503" s="58" t="str">
        <f t="shared" si="353"/>
        <v/>
      </c>
    </row>
    <row r="7504" spans="19:21" ht="23.25" customHeight="1" x14ac:dyDescent="0.35">
      <c r="S7504" s="58" t="str">
        <f t="shared" si="351"/>
        <v/>
      </c>
      <c r="T7504" s="57" t="str">
        <f t="shared" si="352"/>
        <v/>
      </c>
      <c r="U7504" s="58" t="str">
        <f t="shared" si="353"/>
        <v/>
      </c>
    </row>
    <row r="7505" spans="19:21" ht="23.25" customHeight="1" x14ac:dyDescent="0.35">
      <c r="S7505" s="58" t="str">
        <f t="shared" si="351"/>
        <v/>
      </c>
      <c r="T7505" s="57" t="str">
        <f t="shared" si="352"/>
        <v/>
      </c>
      <c r="U7505" s="58" t="str">
        <f t="shared" si="353"/>
        <v/>
      </c>
    </row>
    <row r="7506" spans="19:21" ht="23.25" customHeight="1" x14ac:dyDescent="0.35">
      <c r="S7506" s="58" t="str">
        <f t="shared" si="351"/>
        <v/>
      </c>
      <c r="T7506" s="57" t="str">
        <f t="shared" si="352"/>
        <v/>
      </c>
      <c r="U7506" s="58" t="str">
        <f t="shared" si="353"/>
        <v/>
      </c>
    </row>
    <row r="7507" spans="19:21" ht="23.25" customHeight="1" x14ac:dyDescent="0.35">
      <c r="S7507" s="58" t="str">
        <f t="shared" si="351"/>
        <v/>
      </c>
      <c r="T7507" s="57" t="str">
        <f t="shared" si="352"/>
        <v/>
      </c>
      <c r="U7507" s="58" t="str">
        <f t="shared" si="353"/>
        <v/>
      </c>
    </row>
    <row r="7508" spans="19:21" ht="23.25" customHeight="1" x14ac:dyDescent="0.35">
      <c r="T7508" s="57"/>
    </row>
    <row r="7509" spans="19:21" ht="23.25" customHeight="1" x14ac:dyDescent="0.35">
      <c r="T7509" s="57"/>
    </row>
    <row r="7510" spans="19:21" ht="23.25" customHeight="1" x14ac:dyDescent="0.35">
      <c r="T7510" s="57"/>
    </row>
    <row r="7511" spans="19:21" ht="23.25" customHeight="1" x14ac:dyDescent="0.35">
      <c r="T7511" s="57"/>
    </row>
    <row r="7512" spans="19:21" ht="23.25" customHeight="1" x14ac:dyDescent="0.35">
      <c r="T7512" s="57"/>
    </row>
    <row r="7513" spans="19:21" ht="23.25" customHeight="1" x14ac:dyDescent="0.35">
      <c r="T7513" s="57"/>
    </row>
    <row r="7514" spans="19:21" ht="23.25" customHeight="1" x14ac:dyDescent="0.35">
      <c r="T7514" s="57"/>
    </row>
    <row r="7515" spans="19:21" ht="23.25" customHeight="1" x14ac:dyDescent="0.35">
      <c r="T7515" s="57"/>
    </row>
    <row r="7516" spans="19:21" ht="23.25" customHeight="1" x14ac:dyDescent="0.35">
      <c r="T7516" s="57"/>
    </row>
    <row r="7517" spans="19:21" ht="23.25" customHeight="1" x14ac:dyDescent="0.35">
      <c r="T7517" s="57"/>
    </row>
    <row r="7518" spans="19:21" ht="23.25" customHeight="1" x14ac:dyDescent="0.35">
      <c r="T7518" s="57"/>
    </row>
    <row r="7519" spans="19:21" ht="23.25" customHeight="1" x14ac:dyDescent="0.35">
      <c r="T7519" s="57"/>
    </row>
    <row r="7520" spans="19:21" ht="23.25" customHeight="1" x14ac:dyDescent="0.35">
      <c r="T7520" s="57"/>
    </row>
    <row r="7521" spans="20:20" ht="23.25" customHeight="1" x14ac:dyDescent="0.35">
      <c r="T7521" s="57"/>
    </row>
    <row r="7522" spans="20:20" ht="23.25" customHeight="1" x14ac:dyDescent="0.35">
      <c r="T7522" s="57"/>
    </row>
    <row r="7523" spans="20:20" ht="23.25" customHeight="1" x14ac:dyDescent="0.35">
      <c r="T7523" s="57"/>
    </row>
    <row r="7524" spans="20:20" ht="23.25" customHeight="1" x14ac:dyDescent="0.35">
      <c r="T7524" s="57"/>
    </row>
    <row r="7525" spans="20:20" ht="23.25" customHeight="1" x14ac:dyDescent="0.35">
      <c r="T7525" s="57"/>
    </row>
    <row r="7526" spans="20:20" ht="23.25" customHeight="1" x14ac:dyDescent="0.35">
      <c r="T7526" s="57"/>
    </row>
    <row r="7527" spans="20:20" ht="23.25" customHeight="1" x14ac:dyDescent="0.35">
      <c r="T7527" s="57"/>
    </row>
    <row r="7528" spans="20:20" ht="23.25" customHeight="1" x14ac:dyDescent="0.35">
      <c r="T7528" s="57"/>
    </row>
    <row r="7529" spans="20:20" ht="23.25" customHeight="1" x14ac:dyDescent="0.35">
      <c r="T7529" s="57"/>
    </row>
    <row r="7530" spans="20:20" ht="23.25" customHeight="1" x14ac:dyDescent="0.35">
      <c r="T7530" s="57"/>
    </row>
    <row r="7531" spans="20:20" ht="23.25" customHeight="1" x14ac:dyDescent="0.35">
      <c r="T7531" s="57"/>
    </row>
    <row r="7532" spans="20:20" ht="23.25" customHeight="1" x14ac:dyDescent="0.35">
      <c r="T7532" s="57"/>
    </row>
    <row r="7533" spans="20:20" ht="23.25" customHeight="1" x14ac:dyDescent="0.35">
      <c r="T7533" s="57"/>
    </row>
    <row r="7534" spans="20:20" ht="23.25" customHeight="1" x14ac:dyDescent="0.35">
      <c r="T7534" s="57"/>
    </row>
    <row r="7535" spans="20:20" ht="23.25" customHeight="1" x14ac:dyDescent="0.35">
      <c r="T7535" s="57"/>
    </row>
    <row r="7536" spans="20:20" ht="23.25" customHeight="1" x14ac:dyDescent="0.35">
      <c r="T7536" s="57"/>
    </row>
    <row r="7537" spans="20:20" ht="23.25" customHeight="1" x14ac:dyDescent="0.35">
      <c r="T7537" s="57"/>
    </row>
    <row r="7538" spans="20:20" ht="23.25" customHeight="1" x14ac:dyDescent="0.35">
      <c r="T7538" s="57"/>
    </row>
    <row r="7539" spans="20:20" ht="23.25" customHeight="1" x14ac:dyDescent="0.35">
      <c r="T7539" s="57"/>
    </row>
    <row r="7540" spans="20:20" ht="23.25" customHeight="1" x14ac:dyDescent="0.35">
      <c r="T7540" s="57"/>
    </row>
    <row r="7541" spans="20:20" ht="23.25" customHeight="1" x14ac:dyDescent="0.35">
      <c r="T7541" s="57"/>
    </row>
    <row r="7542" spans="20:20" ht="23.25" customHeight="1" x14ac:dyDescent="0.35">
      <c r="T7542" s="57"/>
    </row>
    <row r="7543" spans="20:20" ht="23.25" customHeight="1" x14ac:dyDescent="0.35">
      <c r="T7543" s="57"/>
    </row>
    <row r="7544" spans="20:20" ht="23.25" customHeight="1" x14ac:dyDescent="0.35">
      <c r="T7544" s="57"/>
    </row>
    <row r="7545" spans="20:20" ht="23.25" customHeight="1" x14ac:dyDescent="0.35">
      <c r="T7545" s="57"/>
    </row>
    <row r="7546" spans="20:20" ht="23.25" customHeight="1" x14ac:dyDescent="0.35">
      <c r="T7546" s="57"/>
    </row>
    <row r="7547" spans="20:20" ht="23.25" customHeight="1" x14ac:dyDescent="0.35">
      <c r="T7547" s="57"/>
    </row>
    <row r="7548" spans="20:20" ht="23.25" customHeight="1" x14ac:dyDescent="0.35">
      <c r="T7548" s="57"/>
    </row>
    <row r="7549" spans="20:20" ht="23.25" customHeight="1" x14ac:dyDescent="0.35">
      <c r="T7549" s="57"/>
    </row>
    <row r="7550" spans="20:20" ht="23.25" customHeight="1" x14ac:dyDescent="0.35">
      <c r="T7550" s="57"/>
    </row>
    <row r="7551" spans="20:20" ht="23.25" customHeight="1" x14ac:dyDescent="0.35">
      <c r="T7551" s="57"/>
    </row>
    <row r="7552" spans="20:20" ht="23.25" customHeight="1" x14ac:dyDescent="0.35">
      <c r="T7552" s="57"/>
    </row>
    <row r="7553" spans="20:20" ht="23.25" customHeight="1" x14ac:dyDescent="0.35">
      <c r="T7553" s="57"/>
    </row>
    <row r="7554" spans="20:20" ht="23.25" customHeight="1" x14ac:dyDescent="0.35">
      <c r="T7554" s="57"/>
    </row>
    <row r="7555" spans="20:20" ht="23.25" customHeight="1" x14ac:dyDescent="0.35">
      <c r="T7555" s="57"/>
    </row>
    <row r="7556" spans="20:20" ht="23.25" customHeight="1" x14ac:dyDescent="0.35">
      <c r="T7556" s="57"/>
    </row>
    <row r="7557" spans="20:20" ht="23.25" customHeight="1" x14ac:dyDescent="0.35">
      <c r="T7557" s="57"/>
    </row>
    <row r="7558" spans="20:20" ht="23.25" customHeight="1" x14ac:dyDescent="0.35">
      <c r="T7558" s="57"/>
    </row>
    <row r="7559" spans="20:20" ht="23.25" customHeight="1" x14ac:dyDescent="0.35">
      <c r="T7559" s="57"/>
    </row>
    <row r="7560" spans="20:20" ht="23.25" customHeight="1" x14ac:dyDescent="0.35">
      <c r="T7560" s="57"/>
    </row>
    <row r="7561" spans="20:20" ht="23.25" customHeight="1" x14ac:dyDescent="0.35">
      <c r="T7561" s="57"/>
    </row>
    <row r="7562" spans="20:20" ht="23.25" customHeight="1" x14ac:dyDescent="0.35">
      <c r="T7562" s="57"/>
    </row>
    <row r="7563" spans="20:20" ht="23.25" customHeight="1" x14ac:dyDescent="0.35">
      <c r="T7563" s="57"/>
    </row>
    <row r="7564" spans="20:20" ht="23.25" customHeight="1" x14ac:dyDescent="0.35">
      <c r="T7564" s="57"/>
    </row>
    <row r="7565" spans="20:20" ht="23.25" customHeight="1" x14ac:dyDescent="0.35">
      <c r="T7565" s="57"/>
    </row>
    <row r="7566" spans="20:20" ht="23.25" customHeight="1" x14ac:dyDescent="0.35">
      <c r="T7566" s="57"/>
    </row>
    <row r="7567" spans="20:20" ht="23.25" customHeight="1" x14ac:dyDescent="0.35">
      <c r="T7567" s="57"/>
    </row>
    <row r="7568" spans="20:20" ht="23.25" customHeight="1" x14ac:dyDescent="0.35">
      <c r="T7568" s="57"/>
    </row>
    <row r="7569" spans="20:20" ht="23.25" customHeight="1" x14ac:dyDescent="0.35">
      <c r="T7569" s="57"/>
    </row>
    <row r="7570" spans="20:20" ht="23.25" customHeight="1" x14ac:dyDescent="0.35">
      <c r="T7570" s="57"/>
    </row>
    <row r="7571" spans="20:20" ht="23.25" customHeight="1" x14ac:dyDescent="0.35">
      <c r="T7571" s="57"/>
    </row>
    <row r="7572" spans="20:20" ht="23.25" customHeight="1" x14ac:dyDescent="0.35">
      <c r="T7572" s="57"/>
    </row>
    <row r="7573" spans="20:20" ht="23.25" customHeight="1" x14ac:dyDescent="0.35">
      <c r="T7573" s="57"/>
    </row>
    <row r="7574" spans="20:20" ht="23.25" customHeight="1" x14ac:dyDescent="0.35">
      <c r="T7574" s="57"/>
    </row>
    <row r="7575" spans="20:20" ht="23.25" customHeight="1" x14ac:dyDescent="0.35">
      <c r="T7575" s="57"/>
    </row>
    <row r="7576" spans="20:20" ht="23.25" customHeight="1" x14ac:dyDescent="0.35">
      <c r="T7576" s="57"/>
    </row>
    <row r="7577" spans="20:20" ht="23.25" customHeight="1" x14ac:dyDescent="0.35">
      <c r="T7577" s="57"/>
    </row>
    <row r="7578" spans="20:20" ht="23.25" customHeight="1" x14ac:dyDescent="0.35">
      <c r="T7578" s="57"/>
    </row>
    <row r="7579" spans="20:20" ht="23.25" customHeight="1" x14ac:dyDescent="0.35">
      <c r="T7579" s="57"/>
    </row>
    <row r="7580" spans="20:20" ht="23.25" customHeight="1" x14ac:dyDescent="0.35">
      <c r="T7580" s="57"/>
    </row>
    <row r="7581" spans="20:20" ht="23.25" customHeight="1" x14ac:dyDescent="0.35">
      <c r="T7581" s="57"/>
    </row>
    <row r="7582" spans="20:20" ht="23.25" customHeight="1" x14ac:dyDescent="0.35">
      <c r="T7582" s="57"/>
    </row>
    <row r="7583" spans="20:20" ht="23.25" customHeight="1" x14ac:dyDescent="0.35">
      <c r="T7583" s="57"/>
    </row>
    <row r="7584" spans="20:20" ht="23.25" customHeight="1" x14ac:dyDescent="0.35">
      <c r="T7584" s="57"/>
    </row>
    <row r="7585" spans="20:20" ht="23.25" customHeight="1" x14ac:dyDescent="0.35">
      <c r="T7585" s="57"/>
    </row>
    <row r="7586" spans="20:20" ht="23.25" customHeight="1" x14ac:dyDescent="0.35">
      <c r="T7586" s="57"/>
    </row>
    <row r="7587" spans="20:20" ht="23.25" customHeight="1" x14ac:dyDescent="0.35">
      <c r="T7587" s="57"/>
    </row>
    <row r="7588" spans="20:20" ht="23.25" customHeight="1" x14ac:dyDescent="0.35">
      <c r="T7588" s="57"/>
    </row>
    <row r="7589" spans="20:20" ht="23.25" customHeight="1" x14ac:dyDescent="0.35">
      <c r="T7589" s="57"/>
    </row>
    <row r="7590" spans="20:20" ht="23.25" customHeight="1" x14ac:dyDescent="0.35">
      <c r="T7590" s="57"/>
    </row>
    <row r="7591" spans="20:20" ht="23.25" customHeight="1" x14ac:dyDescent="0.35">
      <c r="T7591" s="57"/>
    </row>
  </sheetData>
  <mergeCells count="1">
    <mergeCell ref="A1:T4"/>
  </mergeCells>
  <conditionalFormatting sqref="E5:E6">
    <cfRule type="duplicateValues" dxfId="3" priority="1" stopIfTrue="1"/>
    <cfRule type="expression" dxfId="2" priority="2" stopIfTrue="1">
      <formula>AND(COUNTIF($E$8:$E$405, E5)+COUNTIF($E$1:$E$7, E5)+COUNTIF($E$406:$E$65540, E5)&gt;1,NOT(ISBLANK(E5)))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L7591"/>
  <sheetViews>
    <sheetView topLeftCell="A3441" zoomScale="80" zoomScaleNormal="80" workbookViewId="0">
      <selection activeCell="E3448" sqref="E3448"/>
    </sheetView>
  </sheetViews>
  <sheetFormatPr defaultColWidth="21.81640625" defaultRowHeight="15.5" x14ac:dyDescent="0.35"/>
  <cols>
    <col min="1" max="2" width="21.81640625" style="63"/>
    <col min="3" max="4" width="21.81640625" style="75"/>
    <col min="5" max="5" width="21.81640625" style="76"/>
    <col min="6" max="6" width="21.81640625" style="77"/>
    <col min="7" max="7" width="38.1796875" style="77" customWidth="1"/>
    <col min="8" max="12" width="21.81640625" style="56"/>
    <col min="13" max="16384" width="21.81640625" style="64"/>
  </cols>
  <sheetData>
    <row r="1" spans="1:12" s="33" customFormat="1" ht="16.5" customHeight="1" x14ac:dyDescent="0.35">
      <c r="A1" s="84" t="s">
        <v>33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2" s="1" customFormat="1" ht="16.5" customHeight="1" x14ac:dyDescent="0.3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</row>
    <row r="3" spans="1:12" s="1" customFormat="1" ht="16.5" customHeight="1" x14ac:dyDescent="0.3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</row>
    <row r="4" spans="1:12" ht="16.5" customHeight="1" x14ac:dyDescent="0.35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64"/>
    </row>
    <row r="5" spans="1:12" ht="16.5" customHeight="1" x14ac:dyDescent="0.35">
      <c r="A5" s="35">
        <f>'Internal outstanding'!A5</f>
        <v>46321</v>
      </c>
      <c r="B5" s="35"/>
      <c r="C5" s="36">
        <f>SUM(C8:C1048576)</f>
        <v>264224893.65999991</v>
      </c>
      <c r="D5" s="36">
        <f>SUM(D8:D1048576)</f>
        <v>192486390.54000005</v>
      </c>
      <c r="E5" s="37"/>
      <c r="F5" s="38"/>
      <c r="G5" s="38"/>
      <c r="H5" s="39"/>
      <c r="I5" s="39"/>
      <c r="J5" s="37"/>
      <c r="K5" s="37"/>
      <c r="L5" s="64"/>
    </row>
    <row r="6" spans="1:12" ht="16.5" customHeight="1" thickBot="1" x14ac:dyDescent="0.4">
      <c r="A6" s="65"/>
      <c r="B6" s="35"/>
      <c r="C6" s="36"/>
      <c r="D6" s="36"/>
      <c r="E6" s="37"/>
      <c r="F6" s="38"/>
      <c r="G6" s="38"/>
      <c r="H6" s="39"/>
      <c r="I6" s="39"/>
      <c r="J6" s="37"/>
      <c r="K6" s="37"/>
      <c r="L6" s="64"/>
    </row>
    <row r="7" spans="1:12" s="49" customFormat="1" ht="16.5" customHeight="1" x14ac:dyDescent="0.35">
      <c r="A7" s="41" t="s">
        <v>22</v>
      </c>
      <c r="B7" s="66" t="s">
        <v>23</v>
      </c>
      <c r="C7" s="66" t="s">
        <v>24</v>
      </c>
      <c r="D7" s="66" t="s">
        <v>25</v>
      </c>
      <c r="E7" s="67" t="s">
        <v>26</v>
      </c>
      <c r="F7" s="67" t="s">
        <v>27</v>
      </c>
      <c r="G7" s="67" t="s">
        <v>39</v>
      </c>
      <c r="H7" s="41" t="s">
        <v>28</v>
      </c>
      <c r="I7" s="41" t="s">
        <v>38</v>
      </c>
      <c r="J7" s="45" t="s">
        <v>29</v>
      </c>
      <c r="K7" s="45" t="s">
        <v>30</v>
      </c>
      <c r="L7" s="68" t="s">
        <v>31</v>
      </c>
    </row>
    <row r="8" spans="1:12" ht="16.5" customHeight="1" x14ac:dyDescent="0.35">
      <c r="A8" s="50" t="s">
        <v>3450</v>
      </c>
      <c r="B8" s="50" t="s">
        <v>3450</v>
      </c>
      <c r="C8" s="69">
        <v>1000</v>
      </c>
      <c r="D8" s="70">
        <v>0</v>
      </c>
      <c r="E8" s="71" t="s">
        <v>3451</v>
      </c>
      <c r="F8" s="72" t="s">
        <v>3451</v>
      </c>
      <c r="G8" s="72" t="s">
        <v>57</v>
      </c>
      <c r="H8" s="73" t="s">
        <v>3452</v>
      </c>
      <c r="I8" s="73"/>
      <c r="J8" s="56">
        <f>IF(A8="","",A$5-A8)</f>
        <v>342</v>
      </c>
      <c r="K8" s="74" t="str">
        <f>IF(J8="","",IF(J8&lt;4,"0-3 Days",IF(J8&lt;31,"4-30 Days",IF(J8&lt;61,"31-60 Days",IF(J8&lt;=90,"61-90 Days",IF(J8&gt;90,"Above 90 Days","0"))))))</f>
        <v>Above 90 Days</v>
      </c>
      <c r="L8" s="58" t="str">
        <f>IF(C8="","",IF(C8&gt;0,IF(J8&lt;30,"Normal",IF(J8&lt;60,"Especially Mentioned",IF(J8&lt;90,"Substandard",IF(J8&lt;=180,"Doubtful",IF(J8&gt;180,"Loss","0"))))),"Not Applicable"))</f>
        <v>Loss</v>
      </c>
    </row>
    <row r="9" spans="1:12" ht="16.5" customHeight="1" x14ac:dyDescent="0.35">
      <c r="A9" s="50" t="s">
        <v>3453</v>
      </c>
      <c r="B9" s="50" t="s">
        <v>3453</v>
      </c>
      <c r="C9" s="69">
        <v>150</v>
      </c>
      <c r="D9" s="70">
        <v>0</v>
      </c>
      <c r="E9" s="71" t="s">
        <v>3454</v>
      </c>
      <c r="F9" s="72" t="s">
        <v>3454</v>
      </c>
      <c r="G9" s="72" t="s">
        <v>57</v>
      </c>
      <c r="H9" s="73" t="s">
        <v>3455</v>
      </c>
      <c r="I9" s="73"/>
      <c r="J9" s="56">
        <f t="shared" ref="J9:J72" si="0">IF(A9="","",A$5-A9)</f>
        <v>281</v>
      </c>
      <c r="K9" s="74" t="str">
        <f t="shared" ref="K9:K72" si="1">IF(J9="","",IF(J9&lt;4,"0-3 Days",IF(J9&lt;31,"4-30 Days",IF(J9&lt;61,"31-60 Days",IF(J9&lt;=90,"61-90 Days",IF(J9&gt;90,"Above 90 Days","0"))))))</f>
        <v>Above 90 Days</v>
      </c>
      <c r="L9" s="58" t="str">
        <f t="shared" ref="L9:L72" si="2">IF(C9="","",IF(C9&gt;0,IF(J9&lt;30,"Normal",IF(J9&lt;60,"Especially Mentioned",IF(J9&lt;90,"Substandard",IF(J9&lt;=180,"Doubtful",IF(J9&gt;180,"Loss","0"))))),"Not Applicable"))</f>
        <v>Loss</v>
      </c>
    </row>
    <row r="10" spans="1:12" ht="16.5" customHeight="1" x14ac:dyDescent="0.35">
      <c r="A10" s="50" t="s">
        <v>3456</v>
      </c>
      <c r="B10" s="50" t="s">
        <v>3456</v>
      </c>
      <c r="C10" s="69">
        <v>210</v>
      </c>
      <c r="D10" s="70">
        <v>0</v>
      </c>
      <c r="E10" s="71" t="s">
        <v>3457</v>
      </c>
      <c r="F10" s="72" t="s">
        <v>3457</v>
      </c>
      <c r="G10" s="72" t="s">
        <v>57</v>
      </c>
      <c r="H10" s="73" t="s">
        <v>3458</v>
      </c>
      <c r="I10" s="73"/>
      <c r="J10" s="56">
        <f t="shared" si="0"/>
        <v>278</v>
      </c>
      <c r="K10" s="74" t="str">
        <f t="shared" si="1"/>
        <v>Above 90 Days</v>
      </c>
      <c r="L10" s="58" t="str">
        <f t="shared" si="2"/>
        <v>Loss</v>
      </c>
    </row>
    <row r="11" spans="1:12" ht="16.5" customHeight="1" x14ac:dyDescent="0.35">
      <c r="A11" s="50" t="s">
        <v>3459</v>
      </c>
      <c r="B11" s="50" t="s">
        <v>3459</v>
      </c>
      <c r="C11" s="69">
        <v>2860</v>
      </c>
      <c r="D11" s="70">
        <v>0</v>
      </c>
      <c r="E11" s="71" t="s">
        <v>3460</v>
      </c>
      <c r="F11" s="72" t="s">
        <v>3460</v>
      </c>
      <c r="G11" s="72" t="s">
        <v>57</v>
      </c>
      <c r="H11" s="73" t="s">
        <v>3455</v>
      </c>
      <c r="I11" s="73"/>
      <c r="J11" s="56">
        <f t="shared" si="0"/>
        <v>264</v>
      </c>
      <c r="K11" s="74" t="str">
        <f t="shared" si="1"/>
        <v>Above 90 Days</v>
      </c>
      <c r="L11" s="58" t="str">
        <f t="shared" si="2"/>
        <v>Loss</v>
      </c>
    </row>
    <row r="12" spans="1:12" ht="16.5" customHeight="1" x14ac:dyDescent="0.35">
      <c r="A12" s="50" t="s">
        <v>3461</v>
      </c>
      <c r="B12" s="50" t="s">
        <v>3461</v>
      </c>
      <c r="C12" s="69">
        <v>17369.599999999999</v>
      </c>
      <c r="D12" s="70">
        <v>0</v>
      </c>
      <c r="E12" s="71" t="s">
        <v>3462</v>
      </c>
      <c r="F12" s="72" t="s">
        <v>3463</v>
      </c>
      <c r="G12" s="72" t="s">
        <v>57</v>
      </c>
      <c r="H12" s="73" t="s">
        <v>3458</v>
      </c>
      <c r="I12" s="73"/>
      <c r="J12" s="56">
        <f t="shared" si="0"/>
        <v>196</v>
      </c>
      <c r="K12" s="74" t="str">
        <f t="shared" si="1"/>
        <v>Above 90 Days</v>
      </c>
      <c r="L12" s="58" t="str">
        <f t="shared" si="2"/>
        <v>Loss</v>
      </c>
    </row>
    <row r="13" spans="1:12" ht="16.5" customHeight="1" x14ac:dyDescent="0.35">
      <c r="A13" s="50" t="s">
        <v>3461</v>
      </c>
      <c r="B13" s="50" t="s">
        <v>3461</v>
      </c>
      <c r="C13" s="69">
        <v>250</v>
      </c>
      <c r="D13" s="70">
        <v>0</v>
      </c>
      <c r="E13" s="71" t="s">
        <v>3464</v>
      </c>
      <c r="F13" s="72" t="s">
        <v>3465</v>
      </c>
      <c r="G13" s="72" t="s">
        <v>57</v>
      </c>
      <c r="H13" s="73" t="s">
        <v>3466</v>
      </c>
      <c r="I13" s="73"/>
      <c r="J13" s="56">
        <f t="shared" si="0"/>
        <v>196</v>
      </c>
      <c r="K13" s="74" t="str">
        <f t="shared" si="1"/>
        <v>Above 90 Days</v>
      </c>
      <c r="L13" s="58" t="str">
        <f t="shared" si="2"/>
        <v>Loss</v>
      </c>
    </row>
    <row r="14" spans="1:12" ht="16.5" customHeight="1" x14ac:dyDescent="0.35">
      <c r="A14" s="50" t="s">
        <v>3461</v>
      </c>
      <c r="B14" s="50" t="s">
        <v>3461</v>
      </c>
      <c r="C14" s="69">
        <v>400</v>
      </c>
      <c r="D14" s="70">
        <v>0</v>
      </c>
      <c r="E14" s="71" t="s">
        <v>3467</v>
      </c>
      <c r="F14" s="72" t="s">
        <v>3468</v>
      </c>
      <c r="G14" s="72" t="s">
        <v>57</v>
      </c>
      <c r="H14" s="73" t="s">
        <v>3458</v>
      </c>
      <c r="I14" s="73"/>
      <c r="J14" s="56">
        <f t="shared" si="0"/>
        <v>196</v>
      </c>
      <c r="K14" s="74" t="str">
        <f t="shared" si="1"/>
        <v>Above 90 Days</v>
      </c>
      <c r="L14" s="58" t="str">
        <f t="shared" si="2"/>
        <v>Loss</v>
      </c>
    </row>
    <row r="15" spans="1:12" ht="16.5" customHeight="1" x14ac:dyDescent="0.35">
      <c r="A15" s="50" t="s">
        <v>3461</v>
      </c>
      <c r="B15" s="50" t="s">
        <v>3461</v>
      </c>
      <c r="C15" s="69">
        <v>9441.6</v>
      </c>
      <c r="D15" s="70">
        <v>0</v>
      </c>
      <c r="E15" s="71" t="s">
        <v>3469</v>
      </c>
      <c r="F15" s="72" t="s">
        <v>3470</v>
      </c>
      <c r="G15" s="72" t="s">
        <v>57</v>
      </c>
      <c r="H15" s="73" t="s">
        <v>3471</v>
      </c>
      <c r="I15" s="73"/>
      <c r="J15" s="56">
        <f t="shared" si="0"/>
        <v>196</v>
      </c>
      <c r="K15" s="74" t="str">
        <f t="shared" si="1"/>
        <v>Above 90 Days</v>
      </c>
      <c r="L15" s="58" t="str">
        <f t="shared" si="2"/>
        <v>Loss</v>
      </c>
    </row>
    <row r="16" spans="1:12" ht="16.5" customHeight="1" x14ac:dyDescent="0.35">
      <c r="A16" s="50" t="s">
        <v>3461</v>
      </c>
      <c r="B16" s="50" t="s">
        <v>3461</v>
      </c>
      <c r="C16" s="69">
        <v>250</v>
      </c>
      <c r="D16" s="70">
        <v>0</v>
      </c>
      <c r="E16" s="71" t="s">
        <v>3472</v>
      </c>
      <c r="F16" s="72" t="s">
        <v>3473</v>
      </c>
      <c r="G16" s="72" t="s">
        <v>57</v>
      </c>
      <c r="H16" s="73" t="s">
        <v>3466</v>
      </c>
      <c r="I16" s="73"/>
      <c r="J16" s="56">
        <f t="shared" si="0"/>
        <v>196</v>
      </c>
      <c r="K16" s="74" t="str">
        <f t="shared" si="1"/>
        <v>Above 90 Days</v>
      </c>
      <c r="L16" s="58" t="str">
        <f t="shared" si="2"/>
        <v>Loss</v>
      </c>
    </row>
    <row r="17" spans="1:12" ht="16.5" customHeight="1" x14ac:dyDescent="0.35">
      <c r="A17" s="50" t="s">
        <v>3461</v>
      </c>
      <c r="B17" s="50" t="s">
        <v>3461</v>
      </c>
      <c r="C17" s="69">
        <v>50</v>
      </c>
      <c r="D17" s="70">
        <v>0</v>
      </c>
      <c r="E17" s="71" t="s">
        <v>3474</v>
      </c>
      <c r="F17" s="72" t="s">
        <v>3475</v>
      </c>
      <c r="G17" s="72" t="s">
        <v>57</v>
      </c>
      <c r="H17" s="73" t="s">
        <v>3476</v>
      </c>
      <c r="I17" s="73"/>
      <c r="J17" s="56">
        <f t="shared" si="0"/>
        <v>196</v>
      </c>
      <c r="K17" s="74" t="str">
        <f t="shared" si="1"/>
        <v>Above 90 Days</v>
      </c>
      <c r="L17" s="58" t="str">
        <f t="shared" si="2"/>
        <v>Loss</v>
      </c>
    </row>
    <row r="18" spans="1:12" ht="16.5" customHeight="1" x14ac:dyDescent="0.35">
      <c r="A18" s="50" t="s">
        <v>3477</v>
      </c>
      <c r="B18" s="50" t="s">
        <v>3477</v>
      </c>
      <c r="C18" s="69">
        <v>1000</v>
      </c>
      <c r="D18" s="70">
        <v>0</v>
      </c>
      <c r="E18" s="71" t="s">
        <v>3478</v>
      </c>
      <c r="F18" s="72" t="s">
        <v>3479</v>
      </c>
      <c r="G18" s="72" t="s">
        <v>57</v>
      </c>
      <c r="H18" s="73" t="s">
        <v>3476</v>
      </c>
      <c r="I18" s="73"/>
      <c r="J18" s="56">
        <f t="shared" si="0"/>
        <v>195</v>
      </c>
      <c r="K18" s="74" t="str">
        <f t="shared" si="1"/>
        <v>Above 90 Days</v>
      </c>
      <c r="L18" s="58" t="str">
        <f t="shared" si="2"/>
        <v>Loss</v>
      </c>
    </row>
    <row r="19" spans="1:12" ht="16.5" customHeight="1" x14ac:dyDescent="0.35">
      <c r="A19" s="50" t="s">
        <v>3477</v>
      </c>
      <c r="B19" s="50" t="s">
        <v>3477</v>
      </c>
      <c r="C19" s="69">
        <v>890</v>
      </c>
      <c r="D19" s="70">
        <v>0</v>
      </c>
      <c r="E19" s="71" t="s">
        <v>3480</v>
      </c>
      <c r="F19" s="72" t="s">
        <v>3481</v>
      </c>
      <c r="G19" s="72" t="s">
        <v>57</v>
      </c>
      <c r="H19" s="73" t="s">
        <v>3476</v>
      </c>
      <c r="I19" s="73"/>
      <c r="J19" s="56">
        <f t="shared" si="0"/>
        <v>195</v>
      </c>
      <c r="K19" s="74" t="str">
        <f t="shared" si="1"/>
        <v>Above 90 Days</v>
      </c>
      <c r="L19" s="58" t="str">
        <f t="shared" si="2"/>
        <v>Loss</v>
      </c>
    </row>
    <row r="20" spans="1:12" ht="16.5" customHeight="1" x14ac:dyDescent="0.35">
      <c r="A20" s="50" t="s">
        <v>3482</v>
      </c>
      <c r="B20" s="50" t="s">
        <v>3482</v>
      </c>
      <c r="C20" s="69">
        <v>240</v>
      </c>
      <c r="D20" s="70">
        <v>0</v>
      </c>
      <c r="E20" s="71" t="s">
        <v>3483</v>
      </c>
      <c r="F20" s="72" t="s">
        <v>3484</v>
      </c>
      <c r="G20" s="72" t="s">
        <v>57</v>
      </c>
      <c r="H20" s="73" t="s">
        <v>3485</v>
      </c>
      <c r="I20" s="73" t="s">
        <v>3486</v>
      </c>
      <c r="J20" s="56">
        <f t="shared" si="0"/>
        <v>131</v>
      </c>
      <c r="K20" s="74" t="str">
        <f t="shared" si="1"/>
        <v>Above 90 Days</v>
      </c>
      <c r="L20" s="58" t="str">
        <f t="shared" si="2"/>
        <v>Doubtful</v>
      </c>
    </row>
    <row r="21" spans="1:12" ht="16.5" customHeight="1" x14ac:dyDescent="0.35">
      <c r="A21" s="50" t="s">
        <v>3487</v>
      </c>
      <c r="B21" s="50" t="s">
        <v>3487</v>
      </c>
      <c r="C21" s="69">
        <v>0</v>
      </c>
      <c r="D21" s="70">
        <v>40</v>
      </c>
      <c r="E21" s="71" t="s">
        <v>3488</v>
      </c>
      <c r="F21" s="72" t="s">
        <v>3488</v>
      </c>
      <c r="G21" s="72" t="s">
        <v>57</v>
      </c>
      <c r="H21" s="73" t="s">
        <v>3489</v>
      </c>
      <c r="I21" s="73" t="s">
        <v>3490</v>
      </c>
      <c r="J21" s="56">
        <f t="shared" si="0"/>
        <v>109</v>
      </c>
      <c r="K21" s="74" t="str">
        <f t="shared" si="1"/>
        <v>Above 90 Days</v>
      </c>
      <c r="L21" s="58" t="str">
        <f t="shared" si="2"/>
        <v>Not Applicable</v>
      </c>
    </row>
    <row r="22" spans="1:12" ht="16.5" customHeight="1" x14ac:dyDescent="0.35">
      <c r="A22" s="50" t="s">
        <v>3491</v>
      </c>
      <c r="B22" s="50" t="s">
        <v>3491</v>
      </c>
      <c r="C22" s="69">
        <v>0</v>
      </c>
      <c r="D22" s="70">
        <v>280</v>
      </c>
      <c r="E22" s="71" t="s">
        <v>3492</v>
      </c>
      <c r="F22" s="72" t="s">
        <v>3493</v>
      </c>
      <c r="G22" s="72" t="s">
        <v>57</v>
      </c>
      <c r="H22" s="73" t="s">
        <v>3494</v>
      </c>
      <c r="I22" s="73" t="s">
        <v>3490</v>
      </c>
      <c r="J22" s="56">
        <f t="shared" si="0"/>
        <v>103</v>
      </c>
      <c r="K22" s="74" t="str">
        <f t="shared" si="1"/>
        <v>Above 90 Days</v>
      </c>
      <c r="L22" s="58" t="str">
        <f t="shared" si="2"/>
        <v>Not Applicable</v>
      </c>
    </row>
    <row r="23" spans="1:12" ht="16.5" customHeight="1" x14ac:dyDescent="0.35">
      <c r="A23" s="50" t="s">
        <v>3495</v>
      </c>
      <c r="B23" s="50" t="s">
        <v>3495</v>
      </c>
      <c r="C23" s="69">
        <v>0</v>
      </c>
      <c r="D23" s="70">
        <v>1500</v>
      </c>
      <c r="E23" s="71" t="s">
        <v>3496</v>
      </c>
      <c r="F23" s="72" t="s">
        <v>3496</v>
      </c>
      <c r="G23" s="72" t="s">
        <v>57</v>
      </c>
      <c r="H23" s="73" t="s">
        <v>3489</v>
      </c>
      <c r="I23" s="73" t="s">
        <v>3490</v>
      </c>
      <c r="J23" s="56">
        <f t="shared" si="0"/>
        <v>102</v>
      </c>
      <c r="K23" s="74" t="str">
        <f t="shared" si="1"/>
        <v>Above 90 Days</v>
      </c>
      <c r="L23" s="58" t="str">
        <f t="shared" si="2"/>
        <v>Not Applicable</v>
      </c>
    </row>
    <row r="24" spans="1:12" ht="16.5" customHeight="1" x14ac:dyDescent="0.35">
      <c r="A24" s="50" t="s">
        <v>3497</v>
      </c>
      <c r="B24" s="50" t="s">
        <v>3497</v>
      </c>
      <c r="C24" s="69">
        <v>0</v>
      </c>
      <c r="D24" s="70">
        <v>940</v>
      </c>
      <c r="E24" s="71" t="s">
        <v>3498</v>
      </c>
      <c r="F24" s="72" t="s">
        <v>3499</v>
      </c>
      <c r="G24" s="72" t="s">
        <v>57</v>
      </c>
      <c r="H24" s="73" t="s">
        <v>3489</v>
      </c>
      <c r="I24" s="73" t="s">
        <v>3490</v>
      </c>
      <c r="J24" s="56">
        <f t="shared" si="0"/>
        <v>101</v>
      </c>
      <c r="K24" s="74" t="str">
        <f t="shared" si="1"/>
        <v>Above 90 Days</v>
      </c>
      <c r="L24" s="58" t="str">
        <f t="shared" si="2"/>
        <v>Not Applicable</v>
      </c>
    </row>
    <row r="25" spans="1:12" ht="16.5" customHeight="1" x14ac:dyDescent="0.35">
      <c r="A25" s="50" t="s">
        <v>3500</v>
      </c>
      <c r="B25" s="50" t="s">
        <v>3500</v>
      </c>
      <c r="C25" s="69">
        <v>0</v>
      </c>
      <c r="D25" s="70">
        <v>637.20000000000005</v>
      </c>
      <c r="E25" s="71" t="s">
        <v>3501</v>
      </c>
      <c r="F25" s="72" t="s">
        <v>3499</v>
      </c>
      <c r="G25" s="72" t="s">
        <v>57</v>
      </c>
      <c r="H25" s="73" t="s">
        <v>3489</v>
      </c>
      <c r="I25" s="73" t="s">
        <v>3490</v>
      </c>
      <c r="J25" s="56">
        <f t="shared" si="0"/>
        <v>95</v>
      </c>
      <c r="K25" s="74" t="str">
        <f t="shared" si="1"/>
        <v>Above 90 Days</v>
      </c>
      <c r="L25" s="58" t="str">
        <f t="shared" si="2"/>
        <v>Not Applicable</v>
      </c>
    </row>
    <row r="26" spans="1:12" ht="16.5" customHeight="1" x14ac:dyDescent="0.35">
      <c r="A26" s="50" t="s">
        <v>92</v>
      </c>
      <c r="B26" s="50" t="s">
        <v>92</v>
      </c>
      <c r="C26" s="69">
        <v>0</v>
      </c>
      <c r="D26" s="70">
        <v>7882</v>
      </c>
      <c r="E26" s="71" t="s">
        <v>3502</v>
      </c>
      <c r="F26" s="72" t="s">
        <v>3502</v>
      </c>
      <c r="G26" s="72" t="s">
        <v>57</v>
      </c>
      <c r="H26" s="73" t="s">
        <v>3489</v>
      </c>
      <c r="I26" s="73" t="s">
        <v>3490</v>
      </c>
      <c r="J26" s="56">
        <f t="shared" si="0"/>
        <v>94</v>
      </c>
      <c r="K26" s="74" t="str">
        <f t="shared" si="1"/>
        <v>Above 90 Days</v>
      </c>
      <c r="L26" s="58" t="str">
        <f t="shared" si="2"/>
        <v>Not Applicable</v>
      </c>
    </row>
    <row r="27" spans="1:12" ht="16.5" customHeight="1" x14ac:dyDescent="0.35">
      <c r="A27" s="50" t="s">
        <v>3503</v>
      </c>
      <c r="B27" s="50" t="s">
        <v>3503</v>
      </c>
      <c r="C27" s="69">
        <v>0</v>
      </c>
      <c r="D27" s="70">
        <v>70.599999999999994</v>
      </c>
      <c r="E27" s="71" t="s">
        <v>3504</v>
      </c>
      <c r="F27" s="72" t="s">
        <v>3505</v>
      </c>
      <c r="G27" s="72" t="s">
        <v>57</v>
      </c>
      <c r="H27" s="73" t="s">
        <v>3489</v>
      </c>
      <c r="I27" s="73" t="s">
        <v>3486</v>
      </c>
      <c r="J27" s="56">
        <f t="shared" si="0"/>
        <v>91</v>
      </c>
      <c r="K27" s="74" t="str">
        <f t="shared" si="1"/>
        <v>Above 90 Days</v>
      </c>
      <c r="L27" s="58" t="str">
        <f t="shared" si="2"/>
        <v>Not Applicable</v>
      </c>
    </row>
    <row r="28" spans="1:12" ht="16.5" customHeight="1" x14ac:dyDescent="0.35">
      <c r="A28" s="50" t="s">
        <v>3503</v>
      </c>
      <c r="B28" s="50" t="s">
        <v>3503</v>
      </c>
      <c r="C28" s="69">
        <v>0</v>
      </c>
      <c r="D28" s="70">
        <v>222</v>
      </c>
      <c r="E28" s="71" t="s">
        <v>3506</v>
      </c>
      <c r="F28" s="72" t="s">
        <v>3506</v>
      </c>
      <c r="G28" s="72" t="s">
        <v>57</v>
      </c>
      <c r="H28" s="73" t="s">
        <v>3489</v>
      </c>
      <c r="I28" s="73" t="s">
        <v>3507</v>
      </c>
      <c r="J28" s="56">
        <f t="shared" si="0"/>
        <v>91</v>
      </c>
      <c r="K28" s="74" t="str">
        <f t="shared" si="1"/>
        <v>Above 90 Days</v>
      </c>
      <c r="L28" s="58" t="str">
        <f t="shared" si="2"/>
        <v>Not Applicable</v>
      </c>
    </row>
    <row r="29" spans="1:12" ht="16.5" customHeight="1" x14ac:dyDescent="0.35">
      <c r="A29" s="50" t="s">
        <v>3503</v>
      </c>
      <c r="B29" s="50" t="s">
        <v>3503</v>
      </c>
      <c r="C29" s="69">
        <v>0</v>
      </c>
      <c r="D29" s="70">
        <v>1110.8599999999999</v>
      </c>
      <c r="E29" s="71" t="s">
        <v>3508</v>
      </c>
      <c r="F29" s="72" t="s">
        <v>3508</v>
      </c>
      <c r="G29" s="72" t="s">
        <v>57</v>
      </c>
      <c r="H29" s="73" t="s">
        <v>3489</v>
      </c>
      <c r="I29" s="73" t="s">
        <v>3507</v>
      </c>
      <c r="J29" s="56">
        <f t="shared" si="0"/>
        <v>91</v>
      </c>
      <c r="K29" s="74" t="str">
        <f t="shared" si="1"/>
        <v>Above 90 Days</v>
      </c>
      <c r="L29" s="58" t="str">
        <f t="shared" si="2"/>
        <v>Not Applicable</v>
      </c>
    </row>
    <row r="30" spans="1:12" ht="16.5" customHeight="1" x14ac:dyDescent="0.35">
      <c r="A30" s="50" t="s">
        <v>3509</v>
      </c>
      <c r="B30" s="50" t="s">
        <v>3509</v>
      </c>
      <c r="C30" s="69">
        <v>0</v>
      </c>
      <c r="D30" s="70">
        <v>80</v>
      </c>
      <c r="E30" s="71" t="s">
        <v>3510</v>
      </c>
      <c r="F30" s="72" t="s">
        <v>3510</v>
      </c>
      <c r="G30" s="72" t="s">
        <v>57</v>
      </c>
      <c r="H30" s="73" t="s">
        <v>3489</v>
      </c>
      <c r="I30" s="73" t="s">
        <v>3507</v>
      </c>
      <c r="J30" s="56">
        <f t="shared" si="0"/>
        <v>90</v>
      </c>
      <c r="K30" s="74" t="str">
        <f t="shared" si="1"/>
        <v>61-90 Days</v>
      </c>
      <c r="L30" s="58" t="str">
        <f t="shared" si="2"/>
        <v>Not Applicable</v>
      </c>
    </row>
    <row r="31" spans="1:12" ht="16.5" customHeight="1" x14ac:dyDescent="0.35">
      <c r="A31" s="50" t="s">
        <v>3509</v>
      </c>
      <c r="B31" s="50" t="s">
        <v>3509</v>
      </c>
      <c r="C31" s="69">
        <v>0</v>
      </c>
      <c r="D31" s="70">
        <v>280</v>
      </c>
      <c r="E31" s="71" t="s">
        <v>3511</v>
      </c>
      <c r="F31" s="72" t="s">
        <v>3512</v>
      </c>
      <c r="G31" s="72" t="s">
        <v>57</v>
      </c>
      <c r="H31" s="73" t="s">
        <v>3489</v>
      </c>
      <c r="I31" s="73" t="s">
        <v>3486</v>
      </c>
      <c r="J31" s="56">
        <f t="shared" si="0"/>
        <v>90</v>
      </c>
      <c r="K31" s="74" t="str">
        <f t="shared" si="1"/>
        <v>61-90 Days</v>
      </c>
      <c r="L31" s="58" t="str">
        <f t="shared" si="2"/>
        <v>Not Applicable</v>
      </c>
    </row>
    <row r="32" spans="1:12" ht="16.5" customHeight="1" x14ac:dyDescent="0.35">
      <c r="A32" s="50" t="s">
        <v>3513</v>
      </c>
      <c r="B32" s="50" t="s">
        <v>3513</v>
      </c>
      <c r="C32" s="69">
        <v>0</v>
      </c>
      <c r="D32" s="70">
        <v>1510</v>
      </c>
      <c r="E32" s="71" t="s">
        <v>3514</v>
      </c>
      <c r="F32" s="72" t="s">
        <v>3515</v>
      </c>
      <c r="G32" s="72" t="s">
        <v>57</v>
      </c>
      <c r="H32" s="73" t="s">
        <v>3489</v>
      </c>
      <c r="I32" s="73" t="s">
        <v>3486</v>
      </c>
      <c r="J32" s="56">
        <f t="shared" si="0"/>
        <v>88</v>
      </c>
      <c r="K32" s="74" t="str">
        <f t="shared" si="1"/>
        <v>61-90 Days</v>
      </c>
      <c r="L32" s="58" t="str">
        <f t="shared" si="2"/>
        <v>Not Applicable</v>
      </c>
    </row>
    <row r="33" spans="1:12" ht="16.5" customHeight="1" x14ac:dyDescent="0.35">
      <c r="A33" s="50" t="s">
        <v>3513</v>
      </c>
      <c r="B33" s="50" t="s">
        <v>3513</v>
      </c>
      <c r="C33" s="69">
        <v>0</v>
      </c>
      <c r="D33" s="70">
        <v>43063.5</v>
      </c>
      <c r="E33" s="71" t="s">
        <v>3516</v>
      </c>
      <c r="F33" s="72" t="s">
        <v>3516</v>
      </c>
      <c r="G33" s="72" t="s">
        <v>57</v>
      </c>
      <c r="H33" s="73" t="s">
        <v>3489</v>
      </c>
      <c r="I33" s="73" t="s">
        <v>3490</v>
      </c>
      <c r="J33" s="56">
        <f t="shared" si="0"/>
        <v>88</v>
      </c>
      <c r="K33" s="74" t="str">
        <f t="shared" si="1"/>
        <v>61-90 Days</v>
      </c>
      <c r="L33" s="58" t="str">
        <f t="shared" si="2"/>
        <v>Not Applicable</v>
      </c>
    </row>
    <row r="34" spans="1:12" ht="16.5" customHeight="1" x14ac:dyDescent="0.35">
      <c r="A34" s="50" t="s">
        <v>3513</v>
      </c>
      <c r="B34" s="50" t="s">
        <v>3513</v>
      </c>
      <c r="C34" s="69">
        <v>0</v>
      </c>
      <c r="D34" s="70">
        <v>8683.6200000000008</v>
      </c>
      <c r="E34" s="71" t="s">
        <v>3517</v>
      </c>
      <c r="F34" s="72" t="s">
        <v>3517</v>
      </c>
      <c r="G34" s="72" t="s">
        <v>57</v>
      </c>
      <c r="H34" s="73" t="s">
        <v>3489</v>
      </c>
      <c r="I34" s="73" t="s">
        <v>3490</v>
      </c>
      <c r="J34" s="56">
        <f t="shared" si="0"/>
        <v>88</v>
      </c>
      <c r="K34" s="74" t="str">
        <f t="shared" si="1"/>
        <v>61-90 Days</v>
      </c>
      <c r="L34" s="58" t="str">
        <f t="shared" si="2"/>
        <v>Not Applicable</v>
      </c>
    </row>
    <row r="35" spans="1:12" ht="16.5" customHeight="1" x14ac:dyDescent="0.35">
      <c r="A35" s="50" t="s">
        <v>3518</v>
      </c>
      <c r="B35" s="50" t="s">
        <v>3518</v>
      </c>
      <c r="C35" s="69">
        <v>0</v>
      </c>
      <c r="D35" s="70">
        <v>100000</v>
      </c>
      <c r="E35" s="71" t="s">
        <v>3519</v>
      </c>
      <c r="F35" s="72" t="s">
        <v>3519</v>
      </c>
      <c r="G35" s="72" t="s">
        <v>57</v>
      </c>
      <c r="H35" s="73" t="s">
        <v>3489</v>
      </c>
      <c r="I35" s="73" t="s">
        <v>3490</v>
      </c>
      <c r="J35" s="56">
        <f t="shared" si="0"/>
        <v>87</v>
      </c>
      <c r="K35" s="74" t="str">
        <f t="shared" si="1"/>
        <v>61-90 Days</v>
      </c>
      <c r="L35" s="58" t="str">
        <f t="shared" si="2"/>
        <v>Not Applicable</v>
      </c>
    </row>
    <row r="36" spans="1:12" ht="16.5" customHeight="1" x14ac:dyDescent="0.35">
      <c r="A36" s="50" t="s">
        <v>3518</v>
      </c>
      <c r="B36" s="50" t="s">
        <v>3518</v>
      </c>
      <c r="C36" s="69">
        <v>0</v>
      </c>
      <c r="D36" s="70">
        <v>250</v>
      </c>
      <c r="E36" s="71" t="s">
        <v>3520</v>
      </c>
      <c r="F36" s="72" t="s">
        <v>3520</v>
      </c>
      <c r="G36" s="72" t="s">
        <v>57</v>
      </c>
      <c r="H36" s="73" t="s">
        <v>3521</v>
      </c>
      <c r="I36" s="73" t="s">
        <v>3507</v>
      </c>
      <c r="J36" s="56">
        <f t="shared" si="0"/>
        <v>87</v>
      </c>
      <c r="K36" s="74" t="str">
        <f t="shared" si="1"/>
        <v>61-90 Days</v>
      </c>
      <c r="L36" s="58" t="str">
        <f t="shared" si="2"/>
        <v>Not Applicable</v>
      </c>
    </row>
    <row r="37" spans="1:12" ht="16.5" customHeight="1" x14ac:dyDescent="0.35">
      <c r="A37" s="50" t="s">
        <v>3518</v>
      </c>
      <c r="B37" s="50" t="s">
        <v>3518</v>
      </c>
      <c r="C37" s="69">
        <v>0</v>
      </c>
      <c r="D37" s="70">
        <v>2050</v>
      </c>
      <c r="E37" s="71" t="s">
        <v>3522</v>
      </c>
      <c r="F37" s="72" t="s">
        <v>3522</v>
      </c>
      <c r="G37" s="72" t="s">
        <v>57</v>
      </c>
      <c r="H37" s="73" t="s">
        <v>3489</v>
      </c>
      <c r="I37" s="73" t="s">
        <v>3490</v>
      </c>
      <c r="J37" s="56">
        <f t="shared" si="0"/>
        <v>87</v>
      </c>
      <c r="K37" s="74" t="str">
        <f t="shared" si="1"/>
        <v>61-90 Days</v>
      </c>
      <c r="L37" s="58" t="str">
        <f t="shared" si="2"/>
        <v>Not Applicable</v>
      </c>
    </row>
    <row r="38" spans="1:12" ht="16.5" customHeight="1" x14ac:dyDescent="0.35">
      <c r="A38" s="50" t="s">
        <v>3518</v>
      </c>
      <c r="B38" s="50" t="s">
        <v>3518</v>
      </c>
      <c r="C38" s="69">
        <v>0</v>
      </c>
      <c r="D38" s="70">
        <v>32.200000000000003</v>
      </c>
      <c r="E38" s="71" t="s">
        <v>3523</v>
      </c>
      <c r="F38" s="72" t="s">
        <v>3523</v>
      </c>
      <c r="G38" s="72" t="s">
        <v>57</v>
      </c>
      <c r="H38" s="73" t="s">
        <v>3489</v>
      </c>
      <c r="I38" s="73" t="s">
        <v>3490</v>
      </c>
      <c r="J38" s="56">
        <f t="shared" si="0"/>
        <v>87</v>
      </c>
      <c r="K38" s="74" t="str">
        <f t="shared" si="1"/>
        <v>61-90 Days</v>
      </c>
      <c r="L38" s="58" t="str">
        <f t="shared" si="2"/>
        <v>Not Applicable</v>
      </c>
    </row>
    <row r="39" spans="1:12" ht="16.5" customHeight="1" x14ac:dyDescent="0.35">
      <c r="A39" s="50" t="s">
        <v>3518</v>
      </c>
      <c r="B39" s="50" t="s">
        <v>3518</v>
      </c>
      <c r="C39" s="69">
        <v>0</v>
      </c>
      <c r="D39" s="70">
        <v>393.9</v>
      </c>
      <c r="E39" s="71" t="s">
        <v>3524</v>
      </c>
      <c r="F39" s="72" t="s">
        <v>3524</v>
      </c>
      <c r="G39" s="72" t="s">
        <v>57</v>
      </c>
      <c r="H39" s="73" t="s">
        <v>3489</v>
      </c>
      <c r="I39" s="73" t="s">
        <v>3490</v>
      </c>
      <c r="J39" s="56">
        <f t="shared" si="0"/>
        <v>87</v>
      </c>
      <c r="K39" s="74" t="str">
        <f t="shared" si="1"/>
        <v>61-90 Days</v>
      </c>
      <c r="L39" s="58" t="str">
        <f t="shared" si="2"/>
        <v>Not Applicable</v>
      </c>
    </row>
    <row r="40" spans="1:12" ht="16.5" customHeight="1" x14ac:dyDescent="0.35">
      <c r="A40" s="50" t="s">
        <v>3518</v>
      </c>
      <c r="B40" s="50" t="s">
        <v>3518</v>
      </c>
      <c r="C40" s="69">
        <v>0</v>
      </c>
      <c r="D40" s="70">
        <v>100</v>
      </c>
      <c r="E40" s="71" t="s">
        <v>3525</v>
      </c>
      <c r="F40" s="72" t="s">
        <v>3525</v>
      </c>
      <c r="G40" s="72" t="s">
        <v>57</v>
      </c>
      <c r="H40" s="73" t="s">
        <v>3489</v>
      </c>
      <c r="I40" s="73" t="s">
        <v>3490</v>
      </c>
      <c r="J40" s="56">
        <f t="shared" si="0"/>
        <v>87</v>
      </c>
      <c r="K40" s="74" t="str">
        <f t="shared" si="1"/>
        <v>61-90 Days</v>
      </c>
      <c r="L40" s="58" t="str">
        <f t="shared" si="2"/>
        <v>Not Applicable</v>
      </c>
    </row>
    <row r="41" spans="1:12" ht="16.5" customHeight="1" x14ac:dyDescent="0.35">
      <c r="A41" s="50" t="s">
        <v>3518</v>
      </c>
      <c r="B41" s="50" t="s">
        <v>3518</v>
      </c>
      <c r="C41" s="69">
        <v>0</v>
      </c>
      <c r="D41" s="70">
        <v>1269.5999999999999</v>
      </c>
      <c r="E41" s="71" t="s">
        <v>3526</v>
      </c>
      <c r="F41" s="72" t="s">
        <v>3526</v>
      </c>
      <c r="G41" s="72" t="s">
        <v>57</v>
      </c>
      <c r="H41" s="73" t="s">
        <v>3489</v>
      </c>
      <c r="I41" s="73" t="s">
        <v>3490</v>
      </c>
      <c r="J41" s="56">
        <f t="shared" si="0"/>
        <v>87</v>
      </c>
      <c r="K41" s="74" t="str">
        <f t="shared" si="1"/>
        <v>61-90 Days</v>
      </c>
      <c r="L41" s="58" t="str">
        <f t="shared" si="2"/>
        <v>Not Applicable</v>
      </c>
    </row>
    <row r="42" spans="1:12" ht="16.5" customHeight="1" x14ac:dyDescent="0.35">
      <c r="A42" s="50" t="s">
        <v>3518</v>
      </c>
      <c r="B42" s="50" t="s">
        <v>3518</v>
      </c>
      <c r="C42" s="69">
        <v>0</v>
      </c>
      <c r="D42" s="70">
        <v>205</v>
      </c>
      <c r="E42" s="71" t="s">
        <v>3527</v>
      </c>
      <c r="F42" s="72" t="s">
        <v>3527</v>
      </c>
      <c r="G42" s="72" t="s">
        <v>57</v>
      </c>
      <c r="H42" s="73" t="s">
        <v>3489</v>
      </c>
      <c r="I42" s="73" t="s">
        <v>3490</v>
      </c>
      <c r="J42" s="56">
        <f t="shared" si="0"/>
        <v>87</v>
      </c>
      <c r="K42" s="74" t="str">
        <f t="shared" si="1"/>
        <v>61-90 Days</v>
      </c>
      <c r="L42" s="58" t="str">
        <f t="shared" si="2"/>
        <v>Not Applicable</v>
      </c>
    </row>
    <row r="43" spans="1:12" ht="16.5" customHeight="1" x14ac:dyDescent="0.35">
      <c r="A43" s="50" t="s">
        <v>3518</v>
      </c>
      <c r="B43" s="50" t="s">
        <v>3518</v>
      </c>
      <c r="C43" s="69">
        <v>0</v>
      </c>
      <c r="D43" s="70">
        <v>892.8</v>
      </c>
      <c r="E43" s="71" t="s">
        <v>3528</v>
      </c>
      <c r="F43" s="72" t="s">
        <v>3528</v>
      </c>
      <c r="G43" s="72" t="s">
        <v>57</v>
      </c>
      <c r="H43" s="73" t="s">
        <v>3489</v>
      </c>
      <c r="I43" s="73" t="s">
        <v>3490</v>
      </c>
      <c r="J43" s="56">
        <f t="shared" si="0"/>
        <v>87</v>
      </c>
      <c r="K43" s="74" t="str">
        <f t="shared" si="1"/>
        <v>61-90 Days</v>
      </c>
      <c r="L43" s="58" t="str">
        <f t="shared" si="2"/>
        <v>Not Applicable</v>
      </c>
    </row>
    <row r="44" spans="1:12" ht="16.5" customHeight="1" x14ac:dyDescent="0.35">
      <c r="A44" s="50" t="s">
        <v>107</v>
      </c>
      <c r="B44" s="50" t="s">
        <v>107</v>
      </c>
      <c r="C44" s="69">
        <v>0</v>
      </c>
      <c r="D44" s="70">
        <v>200</v>
      </c>
      <c r="E44" s="71" t="s">
        <v>3529</v>
      </c>
      <c r="F44" s="72" t="s">
        <v>3529</v>
      </c>
      <c r="G44" s="72" t="s">
        <v>57</v>
      </c>
      <c r="H44" s="73" t="s">
        <v>3521</v>
      </c>
      <c r="I44" s="73" t="s">
        <v>3490</v>
      </c>
      <c r="J44" s="56">
        <f t="shared" si="0"/>
        <v>86</v>
      </c>
      <c r="K44" s="74" t="str">
        <f t="shared" si="1"/>
        <v>61-90 Days</v>
      </c>
      <c r="L44" s="58" t="str">
        <f t="shared" si="2"/>
        <v>Not Applicable</v>
      </c>
    </row>
    <row r="45" spans="1:12" ht="16.5" customHeight="1" x14ac:dyDescent="0.35">
      <c r="A45" s="50" t="s">
        <v>107</v>
      </c>
      <c r="B45" s="50" t="s">
        <v>107</v>
      </c>
      <c r="C45" s="69">
        <v>0</v>
      </c>
      <c r="D45" s="70">
        <v>2050</v>
      </c>
      <c r="E45" s="71" t="s">
        <v>3530</v>
      </c>
      <c r="F45" s="72" t="s">
        <v>3531</v>
      </c>
      <c r="G45" s="72" t="s">
        <v>57</v>
      </c>
      <c r="H45" s="73" t="s">
        <v>3532</v>
      </c>
      <c r="I45" s="73" t="s">
        <v>3490</v>
      </c>
      <c r="J45" s="56">
        <f t="shared" si="0"/>
        <v>86</v>
      </c>
      <c r="K45" s="74" t="str">
        <f t="shared" si="1"/>
        <v>61-90 Days</v>
      </c>
      <c r="L45" s="58" t="str">
        <f t="shared" si="2"/>
        <v>Not Applicable</v>
      </c>
    </row>
    <row r="46" spans="1:12" ht="16.5" customHeight="1" x14ac:dyDescent="0.35">
      <c r="A46" s="50" t="s">
        <v>107</v>
      </c>
      <c r="B46" s="50" t="s">
        <v>107</v>
      </c>
      <c r="C46" s="69">
        <v>0</v>
      </c>
      <c r="D46" s="70">
        <v>477.9</v>
      </c>
      <c r="E46" s="71" t="s">
        <v>3533</v>
      </c>
      <c r="F46" s="72" t="s">
        <v>3533</v>
      </c>
      <c r="G46" s="72" t="s">
        <v>57</v>
      </c>
      <c r="H46" s="73" t="s">
        <v>3489</v>
      </c>
      <c r="I46" s="73" t="s">
        <v>3490</v>
      </c>
      <c r="J46" s="56">
        <f t="shared" si="0"/>
        <v>86</v>
      </c>
      <c r="K46" s="74" t="str">
        <f t="shared" si="1"/>
        <v>61-90 Days</v>
      </c>
      <c r="L46" s="58" t="str">
        <f t="shared" si="2"/>
        <v>Not Applicable</v>
      </c>
    </row>
    <row r="47" spans="1:12" ht="16.5" customHeight="1" x14ac:dyDescent="0.35">
      <c r="A47" s="50" t="s">
        <v>107</v>
      </c>
      <c r="B47" s="50" t="s">
        <v>107</v>
      </c>
      <c r="C47" s="69">
        <v>0</v>
      </c>
      <c r="D47" s="70">
        <v>300</v>
      </c>
      <c r="E47" s="71" t="s">
        <v>3534</v>
      </c>
      <c r="F47" s="72" t="s">
        <v>3534</v>
      </c>
      <c r="G47" s="72" t="s">
        <v>57</v>
      </c>
      <c r="H47" s="73" t="s">
        <v>3532</v>
      </c>
      <c r="I47" s="73" t="s">
        <v>3490</v>
      </c>
      <c r="J47" s="56">
        <f t="shared" si="0"/>
        <v>86</v>
      </c>
      <c r="K47" s="74" t="str">
        <f t="shared" si="1"/>
        <v>61-90 Days</v>
      </c>
      <c r="L47" s="58" t="str">
        <f t="shared" si="2"/>
        <v>Not Applicable</v>
      </c>
    </row>
    <row r="48" spans="1:12" ht="16.5" customHeight="1" x14ac:dyDescent="0.35">
      <c r="A48" s="50" t="s">
        <v>107</v>
      </c>
      <c r="B48" s="50" t="s">
        <v>107</v>
      </c>
      <c r="C48" s="69">
        <v>0</v>
      </c>
      <c r="D48" s="70">
        <v>2050</v>
      </c>
      <c r="E48" s="71" t="s">
        <v>3535</v>
      </c>
      <c r="F48" s="72" t="s">
        <v>3535</v>
      </c>
      <c r="G48" s="72" t="s">
        <v>57</v>
      </c>
      <c r="H48" s="73" t="s">
        <v>3489</v>
      </c>
      <c r="I48" s="73" t="s">
        <v>3490</v>
      </c>
      <c r="J48" s="56">
        <f t="shared" si="0"/>
        <v>86</v>
      </c>
      <c r="K48" s="74" t="str">
        <f t="shared" si="1"/>
        <v>61-90 Days</v>
      </c>
      <c r="L48" s="58" t="str">
        <f t="shared" si="2"/>
        <v>Not Applicable</v>
      </c>
    </row>
    <row r="49" spans="1:12" ht="16.5" customHeight="1" x14ac:dyDescent="0.35">
      <c r="A49" s="50" t="s">
        <v>107</v>
      </c>
      <c r="B49" s="50" t="s">
        <v>107</v>
      </c>
      <c r="C49" s="69">
        <v>0</v>
      </c>
      <c r="D49" s="70">
        <v>7937</v>
      </c>
      <c r="E49" s="71" t="s">
        <v>3536</v>
      </c>
      <c r="F49" s="72" t="s">
        <v>3536</v>
      </c>
      <c r="G49" s="72" t="s">
        <v>57</v>
      </c>
      <c r="H49" s="73" t="s">
        <v>3489</v>
      </c>
      <c r="I49" s="73" t="s">
        <v>3490</v>
      </c>
      <c r="J49" s="56">
        <f t="shared" si="0"/>
        <v>86</v>
      </c>
      <c r="K49" s="74" t="str">
        <f t="shared" si="1"/>
        <v>61-90 Days</v>
      </c>
      <c r="L49" s="58" t="str">
        <f t="shared" si="2"/>
        <v>Not Applicable</v>
      </c>
    </row>
    <row r="50" spans="1:12" ht="16.5" customHeight="1" x14ac:dyDescent="0.35">
      <c r="A50" s="50" t="s">
        <v>107</v>
      </c>
      <c r="B50" s="50" t="s">
        <v>107</v>
      </c>
      <c r="C50" s="69">
        <v>0</v>
      </c>
      <c r="D50" s="70">
        <v>250</v>
      </c>
      <c r="E50" s="71" t="s">
        <v>3537</v>
      </c>
      <c r="F50" s="72" t="s">
        <v>3537</v>
      </c>
      <c r="G50" s="72" t="s">
        <v>57</v>
      </c>
      <c r="H50" s="73" t="s">
        <v>3489</v>
      </c>
      <c r="I50" s="73" t="s">
        <v>3490</v>
      </c>
      <c r="J50" s="56">
        <f t="shared" si="0"/>
        <v>86</v>
      </c>
      <c r="K50" s="74" t="str">
        <f t="shared" si="1"/>
        <v>61-90 Days</v>
      </c>
      <c r="L50" s="58" t="str">
        <f t="shared" si="2"/>
        <v>Not Applicable</v>
      </c>
    </row>
    <row r="51" spans="1:12" ht="16.5" customHeight="1" x14ac:dyDescent="0.35">
      <c r="A51" s="50" t="s">
        <v>107</v>
      </c>
      <c r="B51" s="50" t="s">
        <v>107</v>
      </c>
      <c r="C51" s="69">
        <v>0</v>
      </c>
      <c r="D51" s="70">
        <v>10</v>
      </c>
      <c r="E51" s="71" t="s">
        <v>3538</v>
      </c>
      <c r="F51" s="72" t="s">
        <v>3538</v>
      </c>
      <c r="G51" s="72" t="s">
        <v>57</v>
      </c>
      <c r="H51" s="73" t="s">
        <v>3521</v>
      </c>
      <c r="I51" s="73" t="s">
        <v>3490</v>
      </c>
      <c r="J51" s="56">
        <f t="shared" si="0"/>
        <v>86</v>
      </c>
      <c r="K51" s="74" t="str">
        <f t="shared" si="1"/>
        <v>61-90 Days</v>
      </c>
      <c r="L51" s="58" t="str">
        <f t="shared" si="2"/>
        <v>Not Applicable</v>
      </c>
    </row>
    <row r="52" spans="1:12" ht="16.5" customHeight="1" x14ac:dyDescent="0.35">
      <c r="A52" s="50" t="s">
        <v>107</v>
      </c>
      <c r="B52" s="50" t="s">
        <v>107</v>
      </c>
      <c r="C52" s="69">
        <v>0</v>
      </c>
      <c r="D52" s="70">
        <v>924</v>
      </c>
      <c r="E52" s="71" t="s">
        <v>3539</v>
      </c>
      <c r="F52" s="72" t="s">
        <v>3539</v>
      </c>
      <c r="G52" s="72" t="s">
        <v>57</v>
      </c>
      <c r="H52" s="73" t="s">
        <v>3489</v>
      </c>
      <c r="I52" s="73" t="s">
        <v>3490</v>
      </c>
      <c r="J52" s="56">
        <f t="shared" si="0"/>
        <v>86</v>
      </c>
      <c r="K52" s="74" t="str">
        <f t="shared" si="1"/>
        <v>61-90 Days</v>
      </c>
      <c r="L52" s="58" t="str">
        <f t="shared" si="2"/>
        <v>Not Applicable</v>
      </c>
    </row>
    <row r="53" spans="1:12" ht="16.5" customHeight="1" x14ac:dyDescent="0.35">
      <c r="A53" s="50" t="s">
        <v>107</v>
      </c>
      <c r="B53" s="50" t="s">
        <v>107</v>
      </c>
      <c r="C53" s="69">
        <v>0</v>
      </c>
      <c r="D53" s="70">
        <v>480.4</v>
      </c>
      <c r="E53" s="71" t="s">
        <v>3540</v>
      </c>
      <c r="F53" s="72" t="s">
        <v>3540</v>
      </c>
      <c r="G53" s="72" t="s">
        <v>57</v>
      </c>
      <c r="H53" s="73" t="s">
        <v>3489</v>
      </c>
      <c r="I53" s="73" t="s">
        <v>3490</v>
      </c>
      <c r="J53" s="56">
        <f t="shared" si="0"/>
        <v>86</v>
      </c>
      <c r="K53" s="74" t="str">
        <f t="shared" si="1"/>
        <v>61-90 Days</v>
      </c>
      <c r="L53" s="58" t="str">
        <f t="shared" si="2"/>
        <v>Not Applicable</v>
      </c>
    </row>
    <row r="54" spans="1:12" ht="16.5" customHeight="1" x14ac:dyDescent="0.35">
      <c r="A54" s="50" t="s">
        <v>107</v>
      </c>
      <c r="B54" s="50" t="s">
        <v>107</v>
      </c>
      <c r="C54" s="69">
        <v>0</v>
      </c>
      <c r="D54" s="70">
        <v>205</v>
      </c>
      <c r="E54" s="71" t="s">
        <v>3541</v>
      </c>
      <c r="F54" s="72" t="s">
        <v>3542</v>
      </c>
      <c r="G54" s="72" t="s">
        <v>57</v>
      </c>
      <c r="H54" s="73" t="s">
        <v>3532</v>
      </c>
      <c r="I54" s="73" t="s">
        <v>3490</v>
      </c>
      <c r="J54" s="56">
        <f t="shared" si="0"/>
        <v>86</v>
      </c>
      <c r="K54" s="74" t="str">
        <f t="shared" si="1"/>
        <v>61-90 Days</v>
      </c>
      <c r="L54" s="58" t="str">
        <f t="shared" si="2"/>
        <v>Not Applicable</v>
      </c>
    </row>
    <row r="55" spans="1:12" ht="16.5" customHeight="1" x14ac:dyDescent="0.35">
      <c r="A55" s="50" t="s">
        <v>3543</v>
      </c>
      <c r="B55" s="50" t="s">
        <v>3543</v>
      </c>
      <c r="C55" s="69">
        <v>0</v>
      </c>
      <c r="D55" s="70">
        <v>100</v>
      </c>
      <c r="E55" s="71" t="s">
        <v>3544</v>
      </c>
      <c r="F55" s="72" t="s">
        <v>3544</v>
      </c>
      <c r="G55" s="72" t="s">
        <v>57</v>
      </c>
      <c r="H55" s="73" t="s">
        <v>3489</v>
      </c>
      <c r="I55" s="73" t="s">
        <v>3490</v>
      </c>
      <c r="J55" s="56">
        <f t="shared" si="0"/>
        <v>85</v>
      </c>
      <c r="K55" s="74" t="str">
        <f t="shared" si="1"/>
        <v>61-90 Days</v>
      </c>
      <c r="L55" s="58" t="str">
        <f t="shared" si="2"/>
        <v>Not Applicable</v>
      </c>
    </row>
    <row r="56" spans="1:12" ht="16.5" customHeight="1" x14ac:dyDescent="0.35">
      <c r="A56" s="50" t="s">
        <v>114</v>
      </c>
      <c r="B56" s="50" t="s">
        <v>114</v>
      </c>
      <c r="C56" s="69">
        <v>0</v>
      </c>
      <c r="D56" s="70">
        <v>20</v>
      </c>
      <c r="E56" s="71" t="s">
        <v>3545</v>
      </c>
      <c r="F56" s="72" t="s">
        <v>3499</v>
      </c>
      <c r="G56" s="72" t="s">
        <v>57</v>
      </c>
      <c r="H56" s="73" t="s">
        <v>3489</v>
      </c>
      <c r="I56" s="73" t="s">
        <v>3490</v>
      </c>
      <c r="J56" s="56">
        <f t="shared" si="0"/>
        <v>84</v>
      </c>
      <c r="K56" s="74" t="str">
        <f t="shared" si="1"/>
        <v>61-90 Days</v>
      </c>
      <c r="L56" s="58" t="str">
        <f t="shared" si="2"/>
        <v>Not Applicable</v>
      </c>
    </row>
    <row r="57" spans="1:12" ht="16.5" customHeight="1" x14ac:dyDescent="0.35">
      <c r="A57" s="50" t="s">
        <v>114</v>
      </c>
      <c r="B57" s="50" t="s">
        <v>114</v>
      </c>
      <c r="C57" s="69">
        <v>0</v>
      </c>
      <c r="D57" s="70">
        <v>550</v>
      </c>
      <c r="E57" s="71" t="s">
        <v>3546</v>
      </c>
      <c r="F57" s="72" t="s">
        <v>3547</v>
      </c>
      <c r="G57" s="72" t="s">
        <v>57</v>
      </c>
      <c r="H57" s="73" t="s">
        <v>3494</v>
      </c>
      <c r="I57" s="73" t="s">
        <v>3490</v>
      </c>
      <c r="J57" s="56">
        <f t="shared" si="0"/>
        <v>84</v>
      </c>
      <c r="K57" s="74" t="str">
        <f t="shared" si="1"/>
        <v>61-90 Days</v>
      </c>
      <c r="L57" s="58" t="str">
        <f t="shared" si="2"/>
        <v>Not Applicable</v>
      </c>
    </row>
    <row r="58" spans="1:12" ht="16.5" customHeight="1" x14ac:dyDescent="0.35">
      <c r="A58" s="50" t="s">
        <v>114</v>
      </c>
      <c r="B58" s="50" t="s">
        <v>114</v>
      </c>
      <c r="C58" s="69">
        <v>0</v>
      </c>
      <c r="D58" s="70">
        <v>100</v>
      </c>
      <c r="E58" s="71" t="s">
        <v>3548</v>
      </c>
      <c r="F58" s="72" t="s">
        <v>3548</v>
      </c>
      <c r="G58" s="72" t="s">
        <v>57</v>
      </c>
      <c r="H58" s="73" t="s">
        <v>3489</v>
      </c>
      <c r="I58" s="73" t="s">
        <v>3507</v>
      </c>
      <c r="J58" s="56">
        <f t="shared" si="0"/>
        <v>84</v>
      </c>
      <c r="K58" s="74" t="str">
        <f t="shared" si="1"/>
        <v>61-90 Days</v>
      </c>
      <c r="L58" s="58" t="str">
        <f t="shared" si="2"/>
        <v>Not Applicable</v>
      </c>
    </row>
    <row r="59" spans="1:12" ht="16.5" customHeight="1" x14ac:dyDescent="0.35">
      <c r="A59" s="50" t="s">
        <v>114</v>
      </c>
      <c r="B59" s="50" t="s">
        <v>114</v>
      </c>
      <c r="C59" s="69">
        <v>0</v>
      </c>
      <c r="D59" s="70">
        <v>100</v>
      </c>
      <c r="E59" s="71" t="s">
        <v>3549</v>
      </c>
      <c r="F59" s="72" t="s">
        <v>3549</v>
      </c>
      <c r="G59" s="72" t="s">
        <v>57</v>
      </c>
      <c r="H59" s="73" t="s">
        <v>3532</v>
      </c>
      <c r="I59" s="73" t="s">
        <v>3490</v>
      </c>
      <c r="J59" s="56">
        <f t="shared" si="0"/>
        <v>84</v>
      </c>
      <c r="K59" s="74" t="str">
        <f t="shared" si="1"/>
        <v>61-90 Days</v>
      </c>
      <c r="L59" s="58" t="str">
        <f t="shared" si="2"/>
        <v>Not Applicable</v>
      </c>
    </row>
    <row r="60" spans="1:12" ht="16.5" customHeight="1" x14ac:dyDescent="0.35">
      <c r="A60" s="50" t="s">
        <v>114</v>
      </c>
      <c r="B60" s="50" t="s">
        <v>114</v>
      </c>
      <c r="C60" s="69">
        <v>0</v>
      </c>
      <c r="D60" s="70">
        <v>14728.8</v>
      </c>
      <c r="E60" s="71" t="s">
        <v>3550</v>
      </c>
      <c r="F60" s="72" t="s">
        <v>3551</v>
      </c>
      <c r="G60" s="72" t="s">
        <v>57</v>
      </c>
      <c r="H60" s="73" t="s">
        <v>3532</v>
      </c>
      <c r="I60" s="73" t="s">
        <v>3490</v>
      </c>
      <c r="J60" s="56">
        <f t="shared" si="0"/>
        <v>84</v>
      </c>
      <c r="K60" s="74" t="str">
        <f t="shared" si="1"/>
        <v>61-90 Days</v>
      </c>
      <c r="L60" s="58" t="str">
        <f t="shared" si="2"/>
        <v>Not Applicable</v>
      </c>
    </row>
    <row r="61" spans="1:12" ht="16.5" customHeight="1" x14ac:dyDescent="0.35">
      <c r="A61" s="50" t="s">
        <v>114</v>
      </c>
      <c r="B61" s="50" t="s">
        <v>114</v>
      </c>
      <c r="C61" s="69">
        <v>0</v>
      </c>
      <c r="D61" s="70">
        <v>389.4</v>
      </c>
      <c r="E61" s="71" t="s">
        <v>3552</v>
      </c>
      <c r="F61" s="72" t="s">
        <v>3552</v>
      </c>
      <c r="G61" s="72" t="s">
        <v>57</v>
      </c>
      <c r="H61" s="73" t="s">
        <v>3489</v>
      </c>
      <c r="I61" s="73" t="s">
        <v>3490</v>
      </c>
      <c r="J61" s="56">
        <f t="shared" si="0"/>
        <v>84</v>
      </c>
      <c r="K61" s="74" t="str">
        <f t="shared" si="1"/>
        <v>61-90 Days</v>
      </c>
      <c r="L61" s="58" t="str">
        <f t="shared" si="2"/>
        <v>Not Applicable</v>
      </c>
    </row>
    <row r="62" spans="1:12" ht="16.5" customHeight="1" x14ac:dyDescent="0.35">
      <c r="A62" s="50" t="s">
        <v>114</v>
      </c>
      <c r="B62" s="50" t="s">
        <v>114</v>
      </c>
      <c r="C62" s="69">
        <v>0</v>
      </c>
      <c r="D62" s="70">
        <v>1000</v>
      </c>
      <c r="E62" s="71" t="s">
        <v>3553</v>
      </c>
      <c r="F62" s="72" t="s">
        <v>3499</v>
      </c>
      <c r="G62" s="72" t="s">
        <v>57</v>
      </c>
      <c r="H62" s="73" t="s">
        <v>3489</v>
      </c>
      <c r="I62" s="73" t="s">
        <v>3490</v>
      </c>
      <c r="J62" s="56">
        <f t="shared" si="0"/>
        <v>84</v>
      </c>
      <c r="K62" s="74" t="str">
        <f t="shared" si="1"/>
        <v>61-90 Days</v>
      </c>
      <c r="L62" s="58" t="str">
        <f t="shared" si="2"/>
        <v>Not Applicable</v>
      </c>
    </row>
    <row r="63" spans="1:12" ht="16.5" customHeight="1" x14ac:dyDescent="0.35">
      <c r="A63" s="50" t="s">
        <v>114</v>
      </c>
      <c r="B63" s="50" t="s">
        <v>114</v>
      </c>
      <c r="C63" s="69">
        <v>0</v>
      </c>
      <c r="D63" s="70">
        <v>807.12</v>
      </c>
      <c r="E63" s="71" t="s">
        <v>3554</v>
      </c>
      <c r="F63" s="72" t="s">
        <v>3555</v>
      </c>
      <c r="G63" s="72" t="s">
        <v>57</v>
      </c>
      <c r="H63" s="73" t="s">
        <v>3532</v>
      </c>
      <c r="I63" s="73" t="s">
        <v>3490</v>
      </c>
      <c r="J63" s="56">
        <f t="shared" si="0"/>
        <v>84</v>
      </c>
      <c r="K63" s="74" t="str">
        <f t="shared" si="1"/>
        <v>61-90 Days</v>
      </c>
      <c r="L63" s="58" t="str">
        <f t="shared" si="2"/>
        <v>Not Applicable</v>
      </c>
    </row>
    <row r="64" spans="1:12" ht="16.5" customHeight="1" x14ac:dyDescent="0.35">
      <c r="A64" s="50" t="s">
        <v>114</v>
      </c>
      <c r="B64" s="50" t="s">
        <v>114</v>
      </c>
      <c r="C64" s="69">
        <v>0</v>
      </c>
      <c r="D64" s="70">
        <v>1000</v>
      </c>
      <c r="E64" s="71" t="s">
        <v>3556</v>
      </c>
      <c r="F64" s="72" t="s">
        <v>3556</v>
      </c>
      <c r="G64" s="72" t="s">
        <v>57</v>
      </c>
      <c r="H64" s="73" t="s">
        <v>3489</v>
      </c>
      <c r="I64" s="73" t="s">
        <v>3490</v>
      </c>
      <c r="J64" s="56">
        <f t="shared" si="0"/>
        <v>84</v>
      </c>
      <c r="K64" s="74" t="str">
        <f t="shared" si="1"/>
        <v>61-90 Days</v>
      </c>
      <c r="L64" s="58" t="str">
        <f t="shared" si="2"/>
        <v>Not Applicable</v>
      </c>
    </row>
    <row r="65" spans="1:12" ht="16.5" customHeight="1" x14ac:dyDescent="0.35">
      <c r="A65" s="50" t="s">
        <v>114</v>
      </c>
      <c r="B65" s="50" t="s">
        <v>114</v>
      </c>
      <c r="C65" s="69">
        <v>0</v>
      </c>
      <c r="D65" s="70">
        <v>182</v>
      </c>
      <c r="E65" s="71" t="s">
        <v>3557</v>
      </c>
      <c r="F65" s="72" t="s">
        <v>3557</v>
      </c>
      <c r="G65" s="72" t="s">
        <v>57</v>
      </c>
      <c r="H65" s="73" t="s">
        <v>3489</v>
      </c>
      <c r="I65" s="73" t="s">
        <v>3490</v>
      </c>
      <c r="J65" s="56">
        <f t="shared" si="0"/>
        <v>84</v>
      </c>
      <c r="K65" s="74" t="str">
        <f t="shared" si="1"/>
        <v>61-90 Days</v>
      </c>
      <c r="L65" s="58" t="str">
        <f t="shared" si="2"/>
        <v>Not Applicable</v>
      </c>
    </row>
    <row r="66" spans="1:12" ht="16.5" customHeight="1" x14ac:dyDescent="0.35">
      <c r="A66" s="50" t="s">
        <v>114</v>
      </c>
      <c r="B66" s="50" t="s">
        <v>114</v>
      </c>
      <c r="C66" s="69">
        <v>0</v>
      </c>
      <c r="D66" s="70">
        <v>50</v>
      </c>
      <c r="E66" s="71" t="s">
        <v>3558</v>
      </c>
      <c r="F66" s="72" t="s">
        <v>3558</v>
      </c>
      <c r="G66" s="72" t="s">
        <v>57</v>
      </c>
      <c r="H66" s="73" t="s">
        <v>3489</v>
      </c>
      <c r="I66" s="73" t="s">
        <v>3490</v>
      </c>
      <c r="J66" s="56">
        <f t="shared" si="0"/>
        <v>84</v>
      </c>
      <c r="K66" s="74" t="str">
        <f t="shared" si="1"/>
        <v>61-90 Days</v>
      </c>
      <c r="L66" s="58" t="str">
        <f t="shared" si="2"/>
        <v>Not Applicable</v>
      </c>
    </row>
    <row r="67" spans="1:12" ht="16.5" customHeight="1" x14ac:dyDescent="0.35">
      <c r="A67" s="50" t="s">
        <v>114</v>
      </c>
      <c r="B67" s="50" t="s">
        <v>114</v>
      </c>
      <c r="C67" s="69">
        <v>0</v>
      </c>
      <c r="D67" s="70">
        <v>1227.6300000000001</v>
      </c>
      <c r="E67" s="71" t="s">
        <v>3559</v>
      </c>
      <c r="F67" s="72" t="s">
        <v>3559</v>
      </c>
      <c r="G67" s="72" t="s">
        <v>57</v>
      </c>
      <c r="H67" s="73" t="s">
        <v>3489</v>
      </c>
      <c r="I67" s="73" t="s">
        <v>3490</v>
      </c>
      <c r="J67" s="56">
        <f t="shared" si="0"/>
        <v>84</v>
      </c>
      <c r="K67" s="74" t="str">
        <f t="shared" si="1"/>
        <v>61-90 Days</v>
      </c>
      <c r="L67" s="58" t="str">
        <f t="shared" si="2"/>
        <v>Not Applicable</v>
      </c>
    </row>
    <row r="68" spans="1:12" ht="16.5" customHeight="1" x14ac:dyDescent="0.35">
      <c r="A68" s="50" t="s">
        <v>114</v>
      </c>
      <c r="B68" s="50" t="s">
        <v>114</v>
      </c>
      <c r="C68" s="69">
        <v>0</v>
      </c>
      <c r="D68" s="70">
        <v>7500</v>
      </c>
      <c r="E68" s="71" t="s">
        <v>3560</v>
      </c>
      <c r="F68" s="72" t="s">
        <v>3561</v>
      </c>
      <c r="G68" s="72" t="s">
        <v>57</v>
      </c>
      <c r="H68" s="73" t="s">
        <v>3562</v>
      </c>
      <c r="I68" s="73" t="s">
        <v>3490</v>
      </c>
      <c r="J68" s="56">
        <f t="shared" si="0"/>
        <v>84</v>
      </c>
      <c r="K68" s="74" t="str">
        <f t="shared" si="1"/>
        <v>61-90 Days</v>
      </c>
      <c r="L68" s="58" t="str">
        <f t="shared" si="2"/>
        <v>Not Applicable</v>
      </c>
    </row>
    <row r="69" spans="1:12" ht="16.5" customHeight="1" x14ac:dyDescent="0.35">
      <c r="A69" s="50" t="s">
        <v>114</v>
      </c>
      <c r="B69" s="50" t="s">
        <v>114</v>
      </c>
      <c r="C69" s="69">
        <v>0</v>
      </c>
      <c r="D69" s="70">
        <v>141.6</v>
      </c>
      <c r="E69" s="71" t="s">
        <v>3563</v>
      </c>
      <c r="F69" s="72" t="s">
        <v>3564</v>
      </c>
      <c r="G69" s="72" t="s">
        <v>57</v>
      </c>
      <c r="H69" s="73" t="s">
        <v>3532</v>
      </c>
      <c r="I69" s="73" t="s">
        <v>3490</v>
      </c>
      <c r="J69" s="56">
        <f t="shared" si="0"/>
        <v>84</v>
      </c>
      <c r="K69" s="74" t="str">
        <f t="shared" si="1"/>
        <v>61-90 Days</v>
      </c>
      <c r="L69" s="58" t="str">
        <f t="shared" si="2"/>
        <v>Not Applicable</v>
      </c>
    </row>
    <row r="70" spans="1:12" ht="16.5" customHeight="1" x14ac:dyDescent="0.35">
      <c r="A70" s="50" t="s">
        <v>114</v>
      </c>
      <c r="B70" s="50" t="s">
        <v>114</v>
      </c>
      <c r="C70" s="69">
        <v>0</v>
      </c>
      <c r="D70" s="70">
        <v>430</v>
      </c>
      <c r="E70" s="71" t="s">
        <v>3565</v>
      </c>
      <c r="F70" s="72" t="s">
        <v>3565</v>
      </c>
      <c r="G70" s="72" t="s">
        <v>57</v>
      </c>
      <c r="H70" s="73" t="s">
        <v>3489</v>
      </c>
      <c r="I70" s="73" t="s">
        <v>3490</v>
      </c>
      <c r="J70" s="56">
        <f t="shared" si="0"/>
        <v>84</v>
      </c>
      <c r="K70" s="74" t="str">
        <f t="shared" si="1"/>
        <v>61-90 Days</v>
      </c>
      <c r="L70" s="58" t="str">
        <f t="shared" si="2"/>
        <v>Not Applicable</v>
      </c>
    </row>
    <row r="71" spans="1:12" ht="16.5" customHeight="1" x14ac:dyDescent="0.35">
      <c r="A71" s="50" t="s">
        <v>114</v>
      </c>
      <c r="B71" s="50" t="s">
        <v>114</v>
      </c>
      <c r="C71" s="69">
        <v>0</v>
      </c>
      <c r="D71" s="70">
        <v>50</v>
      </c>
      <c r="E71" s="71" t="s">
        <v>3566</v>
      </c>
      <c r="F71" s="72" t="s">
        <v>3566</v>
      </c>
      <c r="G71" s="72" t="s">
        <v>57</v>
      </c>
      <c r="H71" s="73" t="s">
        <v>3489</v>
      </c>
      <c r="I71" s="73" t="s">
        <v>3490</v>
      </c>
      <c r="J71" s="56">
        <f t="shared" si="0"/>
        <v>84</v>
      </c>
      <c r="K71" s="74" t="str">
        <f t="shared" si="1"/>
        <v>61-90 Days</v>
      </c>
      <c r="L71" s="58" t="str">
        <f t="shared" si="2"/>
        <v>Not Applicable</v>
      </c>
    </row>
    <row r="72" spans="1:12" ht="16.5" customHeight="1" x14ac:dyDescent="0.35">
      <c r="A72" s="50" t="s">
        <v>114</v>
      </c>
      <c r="B72" s="50" t="s">
        <v>114</v>
      </c>
      <c r="C72">
        <v>0</v>
      </c>
      <c r="D72">
        <v>131.25</v>
      </c>
      <c r="E72" t="s">
        <v>3567</v>
      </c>
      <c r="F72" t="s">
        <v>3567</v>
      </c>
      <c r="G72" t="s">
        <v>57</v>
      </c>
      <c r="H72" t="s">
        <v>3489</v>
      </c>
      <c r="I72" t="s">
        <v>3490</v>
      </c>
      <c r="J72" s="56">
        <f t="shared" si="0"/>
        <v>84</v>
      </c>
      <c r="K72" s="74" t="str">
        <f t="shared" si="1"/>
        <v>61-90 Days</v>
      </c>
      <c r="L72" s="58" t="str">
        <f t="shared" si="2"/>
        <v>Not Applicable</v>
      </c>
    </row>
    <row r="73" spans="1:12" ht="16.5" customHeight="1" x14ac:dyDescent="0.35">
      <c r="A73" s="50" t="s">
        <v>114</v>
      </c>
      <c r="B73" s="50" t="s">
        <v>114</v>
      </c>
      <c r="C73">
        <v>0</v>
      </c>
      <c r="D73">
        <v>53.1</v>
      </c>
      <c r="E73" t="s">
        <v>3568</v>
      </c>
      <c r="F73" t="s">
        <v>3569</v>
      </c>
      <c r="G73" t="s">
        <v>57</v>
      </c>
      <c r="H73" t="s">
        <v>3532</v>
      </c>
      <c r="I73" t="s">
        <v>3490</v>
      </c>
      <c r="J73" s="56">
        <f t="shared" ref="J73:J136" si="3">IF(A73="","",A$5-A73)</f>
        <v>84</v>
      </c>
      <c r="K73" s="74" t="str">
        <f t="shared" ref="K73:K136" si="4">IF(J73="","",IF(J73&lt;4,"0-3 Days",IF(J73&lt;31,"4-30 Days",IF(J73&lt;61,"31-60 Days",IF(J73&lt;=90,"61-90 Days",IF(J73&gt;90,"Above 90 Days","0"))))))</f>
        <v>61-90 Days</v>
      </c>
      <c r="L73" s="58" t="str">
        <f t="shared" ref="L73:L136" si="5">IF(C73="","",IF(C73&gt;0,IF(J73&lt;30,"Normal",IF(J73&lt;60,"Especially Mentioned",IF(J73&lt;90,"Substandard",IF(J73&lt;=180,"Doubtful",IF(J73&gt;180,"Loss","0"))))),"Not Applicable"))</f>
        <v>Not Applicable</v>
      </c>
    </row>
    <row r="74" spans="1:12" ht="16.5" customHeight="1" x14ac:dyDescent="0.35">
      <c r="A74" s="50" t="s">
        <v>114</v>
      </c>
      <c r="B74" s="50" t="s">
        <v>114</v>
      </c>
      <c r="C74">
        <v>0</v>
      </c>
      <c r="D74">
        <v>98.75</v>
      </c>
      <c r="E74" t="s">
        <v>3570</v>
      </c>
      <c r="F74" t="s">
        <v>3570</v>
      </c>
      <c r="G74" t="s">
        <v>57</v>
      </c>
      <c r="H74" t="s">
        <v>3489</v>
      </c>
      <c r="I74" t="s">
        <v>3490</v>
      </c>
      <c r="J74" s="56">
        <f t="shared" si="3"/>
        <v>84</v>
      </c>
      <c r="K74" s="74" t="str">
        <f t="shared" si="4"/>
        <v>61-90 Days</v>
      </c>
      <c r="L74" s="58" t="str">
        <f t="shared" si="5"/>
        <v>Not Applicable</v>
      </c>
    </row>
    <row r="75" spans="1:12" ht="16.5" customHeight="1" x14ac:dyDescent="0.35">
      <c r="A75" s="50" t="s">
        <v>114</v>
      </c>
      <c r="B75" s="50" t="s">
        <v>114</v>
      </c>
      <c r="C75">
        <v>0</v>
      </c>
      <c r="D75">
        <v>1000</v>
      </c>
      <c r="E75" t="s">
        <v>3571</v>
      </c>
      <c r="F75" s="78" t="s">
        <v>3571</v>
      </c>
      <c r="G75" s="78" t="s">
        <v>57</v>
      </c>
      <c r="H75" t="s">
        <v>3489</v>
      </c>
      <c r="I75" t="s">
        <v>3490</v>
      </c>
      <c r="J75" s="56">
        <f t="shared" si="3"/>
        <v>84</v>
      </c>
      <c r="K75" s="74" t="str">
        <f t="shared" si="4"/>
        <v>61-90 Days</v>
      </c>
      <c r="L75" s="58" t="str">
        <f t="shared" si="5"/>
        <v>Not Applicable</v>
      </c>
    </row>
    <row r="76" spans="1:12" ht="16.5" customHeight="1" x14ac:dyDescent="0.35">
      <c r="A76" s="50" t="s">
        <v>114</v>
      </c>
      <c r="B76" s="50" t="s">
        <v>114</v>
      </c>
      <c r="C76">
        <v>0</v>
      </c>
      <c r="D76">
        <v>1000</v>
      </c>
      <c r="E76" t="s">
        <v>3572</v>
      </c>
      <c r="F76" t="s">
        <v>3572</v>
      </c>
      <c r="G76" t="s">
        <v>57</v>
      </c>
      <c r="H76" t="s">
        <v>3489</v>
      </c>
      <c r="I76" t="s">
        <v>3490</v>
      </c>
      <c r="J76" s="56">
        <f t="shared" si="3"/>
        <v>84</v>
      </c>
      <c r="K76" s="74" t="str">
        <f t="shared" si="4"/>
        <v>61-90 Days</v>
      </c>
      <c r="L76" s="58" t="str">
        <f t="shared" si="5"/>
        <v>Not Applicable</v>
      </c>
    </row>
    <row r="77" spans="1:12" ht="16.5" customHeight="1" x14ac:dyDescent="0.35">
      <c r="A77" s="50" t="s">
        <v>114</v>
      </c>
      <c r="B77" s="50" t="s">
        <v>114</v>
      </c>
      <c r="C77">
        <v>0</v>
      </c>
      <c r="D77">
        <v>2832</v>
      </c>
      <c r="E77" t="s">
        <v>3573</v>
      </c>
      <c r="F77" t="s">
        <v>3574</v>
      </c>
      <c r="G77" t="s">
        <v>57</v>
      </c>
      <c r="H77" t="s">
        <v>3489</v>
      </c>
      <c r="I77" t="s">
        <v>3490</v>
      </c>
      <c r="J77" s="56">
        <f t="shared" si="3"/>
        <v>84</v>
      </c>
      <c r="K77" s="74" t="str">
        <f t="shared" si="4"/>
        <v>61-90 Days</v>
      </c>
      <c r="L77" s="58" t="str">
        <f t="shared" si="5"/>
        <v>Not Applicable</v>
      </c>
    </row>
    <row r="78" spans="1:12" ht="16.5" customHeight="1" x14ac:dyDescent="0.35">
      <c r="A78" s="50" t="s">
        <v>114</v>
      </c>
      <c r="B78" s="50" t="s">
        <v>114</v>
      </c>
      <c r="C78">
        <v>0</v>
      </c>
      <c r="D78">
        <v>2650</v>
      </c>
      <c r="E78" t="s">
        <v>3575</v>
      </c>
      <c r="F78" t="s">
        <v>3575</v>
      </c>
      <c r="G78" t="s">
        <v>57</v>
      </c>
      <c r="H78" t="s">
        <v>3489</v>
      </c>
      <c r="I78" t="s">
        <v>3490</v>
      </c>
      <c r="J78" s="56">
        <f t="shared" si="3"/>
        <v>84</v>
      </c>
      <c r="K78" s="74" t="str">
        <f t="shared" si="4"/>
        <v>61-90 Days</v>
      </c>
      <c r="L78" s="58" t="str">
        <f t="shared" si="5"/>
        <v>Not Applicable</v>
      </c>
    </row>
    <row r="79" spans="1:12" ht="16.5" customHeight="1" x14ac:dyDescent="0.35">
      <c r="A79" s="50" t="s">
        <v>114</v>
      </c>
      <c r="B79" s="50" t="s">
        <v>114</v>
      </c>
      <c r="C79">
        <v>0</v>
      </c>
      <c r="D79">
        <v>56.64</v>
      </c>
      <c r="E79" t="s">
        <v>3576</v>
      </c>
      <c r="F79" t="s">
        <v>3577</v>
      </c>
      <c r="G79" t="s">
        <v>57</v>
      </c>
      <c r="H79" t="s">
        <v>3532</v>
      </c>
      <c r="I79" t="s">
        <v>3490</v>
      </c>
      <c r="J79" s="56">
        <f t="shared" si="3"/>
        <v>84</v>
      </c>
      <c r="K79" s="74" t="str">
        <f t="shared" si="4"/>
        <v>61-90 Days</v>
      </c>
      <c r="L79" s="58" t="str">
        <f t="shared" si="5"/>
        <v>Not Applicable</v>
      </c>
    </row>
    <row r="80" spans="1:12" ht="16.5" customHeight="1" x14ac:dyDescent="0.35">
      <c r="A80" s="50" t="s">
        <v>114</v>
      </c>
      <c r="B80" s="50" t="s">
        <v>114</v>
      </c>
      <c r="C80">
        <v>0</v>
      </c>
      <c r="D80">
        <v>1597.72</v>
      </c>
      <c r="E80" t="s">
        <v>3578</v>
      </c>
      <c r="F80" t="s">
        <v>3579</v>
      </c>
      <c r="G80" t="s">
        <v>57</v>
      </c>
      <c r="H80" t="s">
        <v>3532</v>
      </c>
      <c r="I80" t="s">
        <v>3490</v>
      </c>
      <c r="J80" s="56">
        <f t="shared" si="3"/>
        <v>84</v>
      </c>
      <c r="K80" s="74" t="str">
        <f t="shared" si="4"/>
        <v>61-90 Days</v>
      </c>
      <c r="L80" s="58" t="str">
        <f t="shared" si="5"/>
        <v>Not Applicable</v>
      </c>
    </row>
    <row r="81" spans="1:12" ht="16.5" customHeight="1" x14ac:dyDescent="0.35">
      <c r="A81" s="50" t="s">
        <v>114</v>
      </c>
      <c r="B81" s="50" t="s">
        <v>114</v>
      </c>
      <c r="C81">
        <v>0</v>
      </c>
      <c r="D81">
        <v>1970.6</v>
      </c>
      <c r="E81" t="s">
        <v>3580</v>
      </c>
      <c r="F81" t="s">
        <v>3581</v>
      </c>
      <c r="G81" t="s">
        <v>57</v>
      </c>
      <c r="H81" t="s">
        <v>3532</v>
      </c>
      <c r="I81" t="s">
        <v>3490</v>
      </c>
      <c r="J81" s="56">
        <f t="shared" si="3"/>
        <v>84</v>
      </c>
      <c r="K81" s="74" t="str">
        <f t="shared" si="4"/>
        <v>61-90 Days</v>
      </c>
      <c r="L81" s="58" t="str">
        <f t="shared" si="5"/>
        <v>Not Applicable</v>
      </c>
    </row>
    <row r="82" spans="1:12" ht="16.5" customHeight="1" x14ac:dyDescent="0.35">
      <c r="A82" s="50" t="s">
        <v>114</v>
      </c>
      <c r="B82" s="50" t="s">
        <v>114</v>
      </c>
      <c r="C82">
        <v>0</v>
      </c>
      <c r="D82">
        <v>1000</v>
      </c>
      <c r="E82" t="s">
        <v>3582</v>
      </c>
      <c r="F82" t="s">
        <v>3583</v>
      </c>
      <c r="G82" t="s">
        <v>57</v>
      </c>
      <c r="H82" t="s">
        <v>3532</v>
      </c>
      <c r="I82" t="s">
        <v>3490</v>
      </c>
      <c r="J82" s="56">
        <f t="shared" si="3"/>
        <v>84</v>
      </c>
      <c r="K82" s="74" t="str">
        <f t="shared" si="4"/>
        <v>61-90 Days</v>
      </c>
      <c r="L82" s="58" t="str">
        <f t="shared" si="5"/>
        <v>Not Applicable</v>
      </c>
    </row>
    <row r="83" spans="1:12" ht="16.5" customHeight="1" x14ac:dyDescent="0.35">
      <c r="A83" s="50" t="s">
        <v>114</v>
      </c>
      <c r="B83" s="50" t="s">
        <v>114</v>
      </c>
      <c r="C83">
        <v>0</v>
      </c>
      <c r="D83">
        <v>3050</v>
      </c>
      <c r="E83" t="s">
        <v>3584</v>
      </c>
      <c r="F83" t="s">
        <v>3584</v>
      </c>
      <c r="G83" t="s">
        <v>57</v>
      </c>
      <c r="H83" t="s">
        <v>3489</v>
      </c>
      <c r="I83" t="s">
        <v>3490</v>
      </c>
      <c r="J83" s="56">
        <f t="shared" si="3"/>
        <v>84</v>
      </c>
      <c r="K83" s="74" t="str">
        <f t="shared" si="4"/>
        <v>61-90 Days</v>
      </c>
      <c r="L83" s="58" t="str">
        <f t="shared" si="5"/>
        <v>Not Applicable</v>
      </c>
    </row>
    <row r="84" spans="1:12" ht="16.5" customHeight="1" x14ac:dyDescent="0.35">
      <c r="A84" s="50" t="s">
        <v>114</v>
      </c>
      <c r="B84" s="50" t="s">
        <v>114</v>
      </c>
      <c r="C84">
        <v>0</v>
      </c>
      <c r="D84">
        <v>50</v>
      </c>
      <c r="E84" t="s">
        <v>3585</v>
      </c>
      <c r="F84" t="s">
        <v>3585</v>
      </c>
      <c r="G84" t="s">
        <v>57</v>
      </c>
      <c r="H84" t="s">
        <v>3489</v>
      </c>
      <c r="I84" t="s">
        <v>3490</v>
      </c>
      <c r="J84" s="56">
        <f t="shared" si="3"/>
        <v>84</v>
      </c>
      <c r="K84" s="74" t="str">
        <f t="shared" si="4"/>
        <v>61-90 Days</v>
      </c>
      <c r="L84" s="58" t="str">
        <f t="shared" si="5"/>
        <v>Not Applicable</v>
      </c>
    </row>
    <row r="85" spans="1:12" ht="16.5" customHeight="1" x14ac:dyDescent="0.35">
      <c r="A85" s="50" t="s">
        <v>114</v>
      </c>
      <c r="B85" s="50" t="s">
        <v>114</v>
      </c>
      <c r="C85">
        <v>0</v>
      </c>
      <c r="D85">
        <v>2244.36</v>
      </c>
      <c r="E85" t="s">
        <v>3586</v>
      </c>
      <c r="F85" t="s">
        <v>3586</v>
      </c>
      <c r="G85" t="s">
        <v>57</v>
      </c>
      <c r="H85" t="s">
        <v>3489</v>
      </c>
      <c r="I85" t="s">
        <v>3490</v>
      </c>
      <c r="J85" s="56">
        <f t="shared" si="3"/>
        <v>84</v>
      </c>
      <c r="K85" s="74" t="str">
        <f t="shared" si="4"/>
        <v>61-90 Days</v>
      </c>
      <c r="L85" s="58" t="str">
        <f t="shared" si="5"/>
        <v>Not Applicable</v>
      </c>
    </row>
    <row r="86" spans="1:12" ht="16.5" customHeight="1" x14ac:dyDescent="0.35">
      <c r="A86" s="50" t="s">
        <v>114</v>
      </c>
      <c r="B86" s="50" t="s">
        <v>114</v>
      </c>
      <c r="C86">
        <v>0</v>
      </c>
      <c r="D86">
        <v>2650</v>
      </c>
      <c r="E86" t="s">
        <v>3587</v>
      </c>
      <c r="F86" t="s">
        <v>3587</v>
      </c>
      <c r="G86" t="s">
        <v>57</v>
      </c>
      <c r="H86" t="s">
        <v>3489</v>
      </c>
      <c r="I86" t="s">
        <v>3490</v>
      </c>
      <c r="J86" s="56">
        <f t="shared" si="3"/>
        <v>84</v>
      </c>
      <c r="K86" s="74" t="str">
        <f t="shared" si="4"/>
        <v>61-90 Days</v>
      </c>
      <c r="L86" s="58" t="str">
        <f t="shared" si="5"/>
        <v>Not Applicable</v>
      </c>
    </row>
    <row r="87" spans="1:12" ht="16.5" customHeight="1" x14ac:dyDescent="0.35">
      <c r="A87" s="50" t="s">
        <v>114</v>
      </c>
      <c r="B87" s="50" t="s">
        <v>114</v>
      </c>
      <c r="C87">
        <v>0</v>
      </c>
      <c r="D87">
        <v>2650</v>
      </c>
      <c r="E87" t="s">
        <v>3588</v>
      </c>
      <c r="F87" t="s">
        <v>3588</v>
      </c>
      <c r="G87" t="s">
        <v>57</v>
      </c>
      <c r="H87" t="s">
        <v>3489</v>
      </c>
      <c r="I87" t="s">
        <v>3490</v>
      </c>
      <c r="J87" s="56">
        <f t="shared" si="3"/>
        <v>84</v>
      </c>
      <c r="K87" s="74" t="str">
        <f t="shared" si="4"/>
        <v>61-90 Days</v>
      </c>
      <c r="L87" s="58" t="str">
        <f t="shared" si="5"/>
        <v>Not Applicable</v>
      </c>
    </row>
    <row r="88" spans="1:12" ht="16.5" customHeight="1" x14ac:dyDescent="0.35">
      <c r="A88" s="50" t="s">
        <v>114</v>
      </c>
      <c r="B88" s="50" t="s">
        <v>114</v>
      </c>
      <c r="C88">
        <v>0</v>
      </c>
      <c r="D88">
        <v>210</v>
      </c>
      <c r="E88" t="s">
        <v>3589</v>
      </c>
      <c r="F88" t="s">
        <v>3589</v>
      </c>
      <c r="G88" t="s">
        <v>57</v>
      </c>
      <c r="H88" t="s">
        <v>3489</v>
      </c>
      <c r="I88" t="s">
        <v>3490</v>
      </c>
      <c r="J88" s="56">
        <f t="shared" si="3"/>
        <v>84</v>
      </c>
      <c r="K88" s="74" t="str">
        <f t="shared" si="4"/>
        <v>61-90 Days</v>
      </c>
      <c r="L88" s="58" t="str">
        <f t="shared" si="5"/>
        <v>Not Applicable</v>
      </c>
    </row>
    <row r="89" spans="1:12" ht="16.5" customHeight="1" x14ac:dyDescent="0.35">
      <c r="A89" s="50" t="s">
        <v>121</v>
      </c>
      <c r="B89" s="50" t="s">
        <v>121</v>
      </c>
      <c r="C89">
        <v>0</v>
      </c>
      <c r="D89">
        <v>50</v>
      </c>
      <c r="E89" t="s">
        <v>3590</v>
      </c>
      <c r="F89" t="s">
        <v>3590</v>
      </c>
      <c r="G89" t="s">
        <v>57</v>
      </c>
      <c r="H89" t="s">
        <v>3489</v>
      </c>
      <c r="I89" t="s">
        <v>3490</v>
      </c>
      <c r="J89" s="56">
        <f t="shared" si="3"/>
        <v>83</v>
      </c>
      <c r="K89" s="74" t="str">
        <f t="shared" si="4"/>
        <v>61-90 Days</v>
      </c>
      <c r="L89" s="58" t="str">
        <f t="shared" si="5"/>
        <v>Not Applicable</v>
      </c>
    </row>
    <row r="90" spans="1:12" ht="16.5" customHeight="1" x14ac:dyDescent="0.35">
      <c r="A90" s="50" t="s">
        <v>121</v>
      </c>
      <c r="B90" s="50" t="s">
        <v>121</v>
      </c>
      <c r="C90">
        <v>0</v>
      </c>
      <c r="D90">
        <v>1000</v>
      </c>
      <c r="E90" t="s">
        <v>3591</v>
      </c>
      <c r="F90" t="s">
        <v>3591</v>
      </c>
      <c r="G90" t="s">
        <v>57</v>
      </c>
      <c r="H90" t="s">
        <v>3489</v>
      </c>
      <c r="I90" t="s">
        <v>3490</v>
      </c>
      <c r="J90" s="56">
        <f t="shared" si="3"/>
        <v>83</v>
      </c>
      <c r="K90" s="74" t="str">
        <f t="shared" si="4"/>
        <v>61-90 Days</v>
      </c>
      <c r="L90" s="58" t="str">
        <f t="shared" si="5"/>
        <v>Not Applicable</v>
      </c>
    </row>
    <row r="91" spans="1:12" ht="16.5" customHeight="1" x14ac:dyDescent="0.35">
      <c r="A91" s="50" t="s">
        <v>121</v>
      </c>
      <c r="B91" s="50" t="s">
        <v>121</v>
      </c>
      <c r="C91">
        <v>0</v>
      </c>
      <c r="D91">
        <v>508</v>
      </c>
      <c r="E91" t="s">
        <v>3592</v>
      </c>
      <c r="F91" t="s">
        <v>3593</v>
      </c>
      <c r="G91" t="s">
        <v>57</v>
      </c>
      <c r="H91" t="s">
        <v>3532</v>
      </c>
      <c r="I91" t="s">
        <v>3490</v>
      </c>
      <c r="J91" s="56">
        <f t="shared" si="3"/>
        <v>83</v>
      </c>
      <c r="K91" s="74" t="str">
        <f t="shared" si="4"/>
        <v>61-90 Days</v>
      </c>
      <c r="L91" s="58" t="str">
        <f t="shared" si="5"/>
        <v>Not Applicable</v>
      </c>
    </row>
    <row r="92" spans="1:12" ht="16.5" customHeight="1" x14ac:dyDescent="0.35">
      <c r="A92" s="50" t="s">
        <v>121</v>
      </c>
      <c r="B92" s="50" t="s">
        <v>121</v>
      </c>
      <c r="C92">
        <v>0</v>
      </c>
      <c r="D92">
        <v>11532.78</v>
      </c>
      <c r="E92" t="s">
        <v>3594</v>
      </c>
      <c r="F92" t="s">
        <v>3595</v>
      </c>
      <c r="G92" t="s">
        <v>57</v>
      </c>
      <c r="H92" t="s">
        <v>3532</v>
      </c>
      <c r="I92" t="s">
        <v>3490</v>
      </c>
      <c r="J92" s="56">
        <f t="shared" si="3"/>
        <v>83</v>
      </c>
      <c r="K92" s="74" t="str">
        <f t="shared" si="4"/>
        <v>61-90 Days</v>
      </c>
      <c r="L92" s="58" t="str">
        <f t="shared" si="5"/>
        <v>Not Applicable</v>
      </c>
    </row>
    <row r="93" spans="1:12" ht="16.5" customHeight="1" x14ac:dyDescent="0.35">
      <c r="A93" s="50" t="s">
        <v>121</v>
      </c>
      <c r="B93" s="50" t="s">
        <v>121</v>
      </c>
      <c r="C93">
        <v>0</v>
      </c>
      <c r="D93">
        <v>608</v>
      </c>
      <c r="E93" t="s">
        <v>3596</v>
      </c>
      <c r="F93" t="s">
        <v>3597</v>
      </c>
      <c r="G93" t="s">
        <v>57</v>
      </c>
      <c r="H93" t="s">
        <v>3532</v>
      </c>
      <c r="I93" t="s">
        <v>3490</v>
      </c>
      <c r="J93" s="56">
        <f t="shared" si="3"/>
        <v>83</v>
      </c>
      <c r="K93" s="74" t="str">
        <f t="shared" si="4"/>
        <v>61-90 Days</v>
      </c>
      <c r="L93" s="58" t="str">
        <f t="shared" si="5"/>
        <v>Not Applicable</v>
      </c>
    </row>
    <row r="94" spans="1:12" ht="16.5" customHeight="1" x14ac:dyDescent="0.35">
      <c r="A94" s="50" t="s">
        <v>121</v>
      </c>
      <c r="B94" s="50" t="s">
        <v>121</v>
      </c>
      <c r="C94">
        <v>0</v>
      </c>
      <c r="D94">
        <v>50</v>
      </c>
      <c r="E94" t="s">
        <v>3598</v>
      </c>
      <c r="F94" t="s">
        <v>3598</v>
      </c>
      <c r="G94" t="s">
        <v>57</v>
      </c>
      <c r="H94" t="s">
        <v>3489</v>
      </c>
      <c r="I94" t="s">
        <v>3490</v>
      </c>
      <c r="J94" s="56">
        <f t="shared" si="3"/>
        <v>83</v>
      </c>
      <c r="K94" s="74" t="str">
        <f t="shared" si="4"/>
        <v>61-90 Days</v>
      </c>
      <c r="L94" s="58" t="str">
        <f t="shared" si="5"/>
        <v>Not Applicable</v>
      </c>
    </row>
    <row r="95" spans="1:12" ht="16.5" customHeight="1" x14ac:dyDescent="0.35">
      <c r="A95" s="50" t="s">
        <v>121</v>
      </c>
      <c r="B95" s="50" t="s">
        <v>121</v>
      </c>
      <c r="C95">
        <v>0</v>
      </c>
      <c r="D95">
        <v>600</v>
      </c>
      <c r="E95" t="s">
        <v>3599</v>
      </c>
      <c r="F95" t="s">
        <v>3599</v>
      </c>
      <c r="G95" t="s">
        <v>57</v>
      </c>
      <c r="H95" t="s">
        <v>3532</v>
      </c>
      <c r="I95" t="s">
        <v>3490</v>
      </c>
      <c r="J95" s="56">
        <f t="shared" si="3"/>
        <v>83</v>
      </c>
      <c r="K95" s="74" t="str">
        <f t="shared" si="4"/>
        <v>61-90 Days</v>
      </c>
      <c r="L95" s="58" t="str">
        <f t="shared" si="5"/>
        <v>Not Applicable</v>
      </c>
    </row>
    <row r="96" spans="1:12" ht="16.5" customHeight="1" x14ac:dyDescent="0.35">
      <c r="A96" s="50" t="s">
        <v>121</v>
      </c>
      <c r="B96" s="50" t="s">
        <v>121</v>
      </c>
      <c r="C96">
        <v>0</v>
      </c>
      <c r="D96">
        <v>50</v>
      </c>
      <c r="E96" t="s">
        <v>3600</v>
      </c>
      <c r="F96" t="s">
        <v>3600</v>
      </c>
      <c r="G96" t="s">
        <v>57</v>
      </c>
      <c r="H96" t="s">
        <v>3489</v>
      </c>
      <c r="I96" t="s">
        <v>3490</v>
      </c>
      <c r="J96" s="56">
        <f t="shared" si="3"/>
        <v>83</v>
      </c>
      <c r="K96" s="74" t="str">
        <f t="shared" si="4"/>
        <v>61-90 Days</v>
      </c>
      <c r="L96" s="58" t="str">
        <f t="shared" si="5"/>
        <v>Not Applicable</v>
      </c>
    </row>
    <row r="97" spans="1:12" ht="16.5" customHeight="1" x14ac:dyDescent="0.35">
      <c r="A97" s="50" t="s">
        <v>121</v>
      </c>
      <c r="B97" s="50" t="s">
        <v>121</v>
      </c>
      <c r="C97">
        <v>0</v>
      </c>
      <c r="D97">
        <v>608</v>
      </c>
      <c r="E97" t="s">
        <v>3601</v>
      </c>
      <c r="F97" t="s">
        <v>3602</v>
      </c>
      <c r="G97" t="s">
        <v>57</v>
      </c>
      <c r="H97" t="s">
        <v>3532</v>
      </c>
      <c r="I97" t="s">
        <v>3490</v>
      </c>
      <c r="J97" s="56">
        <f t="shared" si="3"/>
        <v>83</v>
      </c>
      <c r="K97" s="74" t="str">
        <f t="shared" si="4"/>
        <v>61-90 Days</v>
      </c>
      <c r="L97" s="58" t="str">
        <f t="shared" si="5"/>
        <v>Not Applicable</v>
      </c>
    </row>
    <row r="98" spans="1:12" ht="16.5" customHeight="1" x14ac:dyDescent="0.35">
      <c r="A98" s="50" t="s">
        <v>121</v>
      </c>
      <c r="B98" s="50" t="s">
        <v>121</v>
      </c>
      <c r="C98">
        <v>0</v>
      </c>
      <c r="D98">
        <v>100</v>
      </c>
      <c r="E98" t="s">
        <v>3603</v>
      </c>
      <c r="F98" t="s">
        <v>3604</v>
      </c>
      <c r="G98" t="s">
        <v>57</v>
      </c>
      <c r="H98" t="s">
        <v>3532</v>
      </c>
      <c r="I98" t="s">
        <v>3490</v>
      </c>
      <c r="J98" s="56">
        <f t="shared" si="3"/>
        <v>83</v>
      </c>
      <c r="K98" s="74" t="str">
        <f t="shared" si="4"/>
        <v>61-90 Days</v>
      </c>
      <c r="L98" s="58" t="str">
        <f t="shared" si="5"/>
        <v>Not Applicable</v>
      </c>
    </row>
    <row r="99" spans="1:12" ht="16.5" customHeight="1" x14ac:dyDescent="0.35">
      <c r="A99" s="50" t="s">
        <v>121</v>
      </c>
      <c r="B99" s="50" t="s">
        <v>121</v>
      </c>
      <c r="C99">
        <v>0</v>
      </c>
      <c r="D99">
        <v>1000</v>
      </c>
      <c r="E99" t="s">
        <v>3605</v>
      </c>
      <c r="F99" t="s">
        <v>3606</v>
      </c>
      <c r="G99" t="s">
        <v>57</v>
      </c>
      <c r="H99" t="s">
        <v>3489</v>
      </c>
      <c r="I99" t="s">
        <v>3490</v>
      </c>
      <c r="J99" s="56">
        <f t="shared" si="3"/>
        <v>83</v>
      </c>
      <c r="K99" s="74" t="str">
        <f t="shared" si="4"/>
        <v>61-90 Days</v>
      </c>
      <c r="L99" s="58" t="str">
        <f t="shared" si="5"/>
        <v>Not Applicable</v>
      </c>
    </row>
    <row r="100" spans="1:12" ht="16.5" customHeight="1" x14ac:dyDescent="0.35">
      <c r="A100" s="50" t="s">
        <v>121</v>
      </c>
      <c r="B100" s="50" t="s">
        <v>121</v>
      </c>
      <c r="C100">
        <v>0</v>
      </c>
      <c r="D100">
        <v>600</v>
      </c>
      <c r="E100" t="s">
        <v>3607</v>
      </c>
      <c r="F100" t="s">
        <v>3607</v>
      </c>
      <c r="G100" t="s">
        <v>57</v>
      </c>
      <c r="H100" t="s">
        <v>3532</v>
      </c>
      <c r="I100" t="s">
        <v>3490</v>
      </c>
      <c r="J100" s="56">
        <f t="shared" si="3"/>
        <v>83</v>
      </c>
      <c r="K100" s="74" t="str">
        <f t="shared" si="4"/>
        <v>61-90 Days</v>
      </c>
      <c r="L100" s="58" t="str">
        <f t="shared" si="5"/>
        <v>Not Applicable</v>
      </c>
    </row>
    <row r="101" spans="1:12" ht="16.5" customHeight="1" x14ac:dyDescent="0.35">
      <c r="A101" s="50" t="s">
        <v>121</v>
      </c>
      <c r="B101" s="50" t="s">
        <v>121</v>
      </c>
      <c r="C101">
        <v>0</v>
      </c>
      <c r="D101">
        <v>2050</v>
      </c>
      <c r="E101" t="s">
        <v>3608</v>
      </c>
      <c r="F101" t="s">
        <v>3608</v>
      </c>
      <c r="G101" t="s">
        <v>57</v>
      </c>
      <c r="H101" t="s">
        <v>3532</v>
      </c>
      <c r="I101" t="s">
        <v>3490</v>
      </c>
      <c r="J101" s="56">
        <f t="shared" si="3"/>
        <v>83</v>
      </c>
      <c r="K101" s="74" t="str">
        <f t="shared" si="4"/>
        <v>61-90 Days</v>
      </c>
      <c r="L101" s="58" t="str">
        <f t="shared" si="5"/>
        <v>Not Applicable</v>
      </c>
    </row>
    <row r="102" spans="1:12" ht="16.5" customHeight="1" x14ac:dyDescent="0.35">
      <c r="A102" s="50" t="s">
        <v>121</v>
      </c>
      <c r="B102" s="50" t="s">
        <v>121</v>
      </c>
      <c r="C102">
        <v>0</v>
      </c>
      <c r="D102">
        <v>508</v>
      </c>
      <c r="E102" t="s">
        <v>3609</v>
      </c>
      <c r="F102" t="s">
        <v>3610</v>
      </c>
      <c r="G102" t="s">
        <v>57</v>
      </c>
      <c r="H102" t="s">
        <v>3532</v>
      </c>
      <c r="I102" t="s">
        <v>3490</v>
      </c>
      <c r="J102" s="56">
        <f t="shared" si="3"/>
        <v>83</v>
      </c>
      <c r="K102" s="74" t="str">
        <f t="shared" si="4"/>
        <v>61-90 Days</v>
      </c>
      <c r="L102" s="58" t="str">
        <f t="shared" si="5"/>
        <v>Not Applicable</v>
      </c>
    </row>
    <row r="103" spans="1:12" ht="16.5" customHeight="1" x14ac:dyDescent="0.35">
      <c r="A103" s="50" t="s">
        <v>121</v>
      </c>
      <c r="B103" s="50" t="s">
        <v>121</v>
      </c>
      <c r="C103">
        <v>0</v>
      </c>
      <c r="D103">
        <v>1001.82</v>
      </c>
      <c r="E103" t="s">
        <v>3611</v>
      </c>
      <c r="F103" t="s">
        <v>3611</v>
      </c>
      <c r="G103" t="s">
        <v>57</v>
      </c>
      <c r="H103" t="s">
        <v>3489</v>
      </c>
      <c r="I103" t="s">
        <v>3507</v>
      </c>
      <c r="J103" s="56">
        <f t="shared" si="3"/>
        <v>83</v>
      </c>
      <c r="K103" s="74" t="str">
        <f t="shared" si="4"/>
        <v>61-90 Days</v>
      </c>
      <c r="L103" s="58" t="str">
        <f t="shared" si="5"/>
        <v>Not Applicable</v>
      </c>
    </row>
    <row r="104" spans="1:12" ht="16.5" customHeight="1" x14ac:dyDescent="0.35">
      <c r="A104" s="50" t="s">
        <v>121</v>
      </c>
      <c r="B104" s="50" t="s">
        <v>121</v>
      </c>
      <c r="C104">
        <v>0</v>
      </c>
      <c r="D104">
        <v>205</v>
      </c>
      <c r="E104" t="s">
        <v>3612</v>
      </c>
      <c r="F104" t="s">
        <v>3612</v>
      </c>
      <c r="G104" t="s">
        <v>57</v>
      </c>
      <c r="H104" t="s">
        <v>3489</v>
      </c>
      <c r="I104" t="s">
        <v>3490</v>
      </c>
      <c r="J104" s="56">
        <f t="shared" si="3"/>
        <v>83</v>
      </c>
      <c r="K104" s="74" t="str">
        <f t="shared" si="4"/>
        <v>61-90 Days</v>
      </c>
      <c r="L104" s="58" t="str">
        <f t="shared" si="5"/>
        <v>Not Applicable</v>
      </c>
    </row>
    <row r="105" spans="1:12" ht="16.5" customHeight="1" x14ac:dyDescent="0.35">
      <c r="A105" s="50" t="s">
        <v>121</v>
      </c>
      <c r="B105" s="50" t="s">
        <v>121</v>
      </c>
      <c r="C105">
        <v>0</v>
      </c>
      <c r="D105">
        <v>100</v>
      </c>
      <c r="E105" t="s">
        <v>3613</v>
      </c>
      <c r="F105" t="s">
        <v>3613</v>
      </c>
      <c r="G105" t="s">
        <v>57</v>
      </c>
      <c r="H105" t="s">
        <v>3489</v>
      </c>
      <c r="I105" t="s">
        <v>3490</v>
      </c>
      <c r="J105" s="56">
        <f t="shared" si="3"/>
        <v>83</v>
      </c>
      <c r="K105" s="74" t="str">
        <f t="shared" si="4"/>
        <v>61-90 Days</v>
      </c>
      <c r="L105" s="58" t="str">
        <f t="shared" si="5"/>
        <v>Not Applicable</v>
      </c>
    </row>
    <row r="106" spans="1:12" ht="16.5" customHeight="1" x14ac:dyDescent="0.35">
      <c r="A106" s="50" t="s">
        <v>121</v>
      </c>
      <c r="B106" s="50" t="s">
        <v>121</v>
      </c>
      <c r="C106">
        <v>0</v>
      </c>
      <c r="D106">
        <v>140</v>
      </c>
      <c r="E106" t="s">
        <v>3614</v>
      </c>
      <c r="F106" t="s">
        <v>3615</v>
      </c>
      <c r="G106" t="s">
        <v>57</v>
      </c>
      <c r="H106" t="s">
        <v>3532</v>
      </c>
      <c r="I106" t="s">
        <v>3490</v>
      </c>
      <c r="J106" s="56">
        <f t="shared" si="3"/>
        <v>83</v>
      </c>
      <c r="K106" s="74" t="str">
        <f t="shared" si="4"/>
        <v>61-90 Days</v>
      </c>
      <c r="L106" s="58" t="str">
        <f t="shared" si="5"/>
        <v>Not Applicable</v>
      </c>
    </row>
    <row r="107" spans="1:12" ht="16.5" customHeight="1" x14ac:dyDescent="0.35">
      <c r="A107" s="50" t="s">
        <v>121</v>
      </c>
      <c r="B107" s="50" t="s">
        <v>121</v>
      </c>
      <c r="C107">
        <v>0</v>
      </c>
      <c r="D107">
        <v>5022.6000000000004</v>
      </c>
      <c r="E107" t="s">
        <v>3616</v>
      </c>
      <c r="F107" t="s">
        <v>3499</v>
      </c>
      <c r="G107" t="s">
        <v>57</v>
      </c>
      <c r="H107" t="s">
        <v>3489</v>
      </c>
      <c r="I107" t="s">
        <v>3490</v>
      </c>
      <c r="J107" s="56">
        <f t="shared" si="3"/>
        <v>83</v>
      </c>
      <c r="K107" s="74" t="str">
        <f t="shared" si="4"/>
        <v>61-90 Days</v>
      </c>
      <c r="L107" s="58" t="str">
        <f t="shared" si="5"/>
        <v>Not Applicable</v>
      </c>
    </row>
    <row r="108" spans="1:12" ht="16.5" customHeight="1" x14ac:dyDescent="0.35">
      <c r="A108" s="50" t="s">
        <v>121</v>
      </c>
      <c r="B108" s="50" t="s">
        <v>121</v>
      </c>
      <c r="C108">
        <v>0</v>
      </c>
      <c r="D108">
        <v>2950</v>
      </c>
      <c r="E108" t="s">
        <v>3617</v>
      </c>
      <c r="F108" t="s">
        <v>3618</v>
      </c>
      <c r="G108" t="s">
        <v>57</v>
      </c>
      <c r="H108" t="s">
        <v>3532</v>
      </c>
      <c r="I108" t="s">
        <v>3490</v>
      </c>
      <c r="J108" s="56">
        <f t="shared" si="3"/>
        <v>83</v>
      </c>
      <c r="K108" s="74" t="str">
        <f t="shared" si="4"/>
        <v>61-90 Days</v>
      </c>
      <c r="L108" s="58" t="str">
        <f t="shared" si="5"/>
        <v>Not Applicable</v>
      </c>
    </row>
    <row r="109" spans="1:12" ht="16.5" customHeight="1" x14ac:dyDescent="0.35">
      <c r="A109" s="50" t="s">
        <v>121</v>
      </c>
      <c r="B109" s="50" t="s">
        <v>121</v>
      </c>
      <c r="C109">
        <v>0</v>
      </c>
      <c r="D109">
        <v>2050</v>
      </c>
      <c r="E109" t="s">
        <v>3619</v>
      </c>
      <c r="F109" t="s">
        <v>3499</v>
      </c>
      <c r="G109" t="s">
        <v>57</v>
      </c>
      <c r="H109" t="s">
        <v>3489</v>
      </c>
      <c r="I109" t="s">
        <v>3490</v>
      </c>
      <c r="J109" s="56">
        <f t="shared" si="3"/>
        <v>83</v>
      </c>
      <c r="K109" s="74" t="str">
        <f t="shared" si="4"/>
        <v>61-90 Days</v>
      </c>
      <c r="L109" s="58" t="str">
        <f t="shared" si="5"/>
        <v>Not Applicable</v>
      </c>
    </row>
    <row r="110" spans="1:12" ht="16.5" customHeight="1" x14ac:dyDescent="0.35">
      <c r="A110" s="50" t="s">
        <v>121</v>
      </c>
      <c r="B110" s="50" t="s">
        <v>121</v>
      </c>
      <c r="C110">
        <v>0</v>
      </c>
      <c r="D110">
        <v>1600</v>
      </c>
      <c r="E110" t="s">
        <v>3620</v>
      </c>
      <c r="F110" t="s">
        <v>3574</v>
      </c>
      <c r="G110" t="s">
        <v>57</v>
      </c>
      <c r="H110" t="s">
        <v>3489</v>
      </c>
      <c r="I110" t="s">
        <v>3490</v>
      </c>
      <c r="J110" s="56">
        <f t="shared" si="3"/>
        <v>83</v>
      </c>
      <c r="K110" s="74" t="str">
        <f t="shared" si="4"/>
        <v>61-90 Days</v>
      </c>
      <c r="L110" s="58" t="str">
        <f t="shared" si="5"/>
        <v>Not Applicable</v>
      </c>
    </row>
    <row r="111" spans="1:12" ht="16.5" customHeight="1" x14ac:dyDescent="0.35">
      <c r="A111" s="50" t="s">
        <v>121</v>
      </c>
      <c r="B111" s="50" t="s">
        <v>121</v>
      </c>
      <c r="C111">
        <v>0</v>
      </c>
      <c r="D111">
        <v>250</v>
      </c>
      <c r="E111" t="s">
        <v>3621</v>
      </c>
      <c r="F111" t="s">
        <v>3621</v>
      </c>
      <c r="G111" t="s">
        <v>57</v>
      </c>
      <c r="H111" t="s">
        <v>3489</v>
      </c>
      <c r="I111" t="s">
        <v>3490</v>
      </c>
      <c r="J111" s="56">
        <f t="shared" si="3"/>
        <v>83</v>
      </c>
      <c r="K111" s="74" t="str">
        <f t="shared" si="4"/>
        <v>61-90 Days</v>
      </c>
      <c r="L111" s="58" t="str">
        <f t="shared" si="5"/>
        <v>Not Applicable</v>
      </c>
    </row>
    <row r="112" spans="1:12" ht="16.5" customHeight="1" x14ac:dyDescent="0.35">
      <c r="A112" s="50" t="s">
        <v>121</v>
      </c>
      <c r="B112" s="50" t="s">
        <v>121</v>
      </c>
      <c r="C112">
        <v>0</v>
      </c>
      <c r="D112">
        <v>150</v>
      </c>
      <c r="E112" t="s">
        <v>3622</v>
      </c>
      <c r="F112" t="s">
        <v>3622</v>
      </c>
      <c r="G112" t="s">
        <v>57</v>
      </c>
      <c r="H112" t="s">
        <v>3489</v>
      </c>
      <c r="I112" t="s">
        <v>3490</v>
      </c>
      <c r="J112" s="56">
        <f t="shared" si="3"/>
        <v>83</v>
      </c>
      <c r="K112" s="74" t="str">
        <f t="shared" si="4"/>
        <v>61-90 Days</v>
      </c>
      <c r="L112" s="58" t="str">
        <f t="shared" si="5"/>
        <v>Not Applicable</v>
      </c>
    </row>
    <row r="113" spans="1:12" ht="16.5" customHeight="1" x14ac:dyDescent="0.35">
      <c r="A113" s="50" t="s">
        <v>121</v>
      </c>
      <c r="B113" s="50" t="s">
        <v>121</v>
      </c>
      <c r="C113">
        <v>0</v>
      </c>
      <c r="D113">
        <v>1000</v>
      </c>
      <c r="E113" t="s">
        <v>3623</v>
      </c>
      <c r="F113" t="s">
        <v>3624</v>
      </c>
      <c r="G113" t="s">
        <v>57</v>
      </c>
      <c r="H113" t="s">
        <v>3532</v>
      </c>
      <c r="I113" t="s">
        <v>3490</v>
      </c>
      <c r="J113" s="56">
        <f t="shared" si="3"/>
        <v>83</v>
      </c>
      <c r="K113" s="74" t="str">
        <f t="shared" si="4"/>
        <v>61-90 Days</v>
      </c>
      <c r="L113" s="58" t="str">
        <f t="shared" si="5"/>
        <v>Not Applicable</v>
      </c>
    </row>
    <row r="114" spans="1:12" ht="16.5" customHeight="1" x14ac:dyDescent="0.35">
      <c r="A114" s="50" t="s">
        <v>121</v>
      </c>
      <c r="B114" s="50" t="s">
        <v>121</v>
      </c>
      <c r="C114">
        <v>0</v>
      </c>
      <c r="D114">
        <v>2100</v>
      </c>
      <c r="E114" t="s">
        <v>3625</v>
      </c>
      <c r="F114" t="s">
        <v>3625</v>
      </c>
      <c r="G114" t="s">
        <v>57</v>
      </c>
      <c r="H114" t="s">
        <v>3489</v>
      </c>
      <c r="I114" t="s">
        <v>3490</v>
      </c>
      <c r="J114" s="56">
        <f t="shared" si="3"/>
        <v>83</v>
      </c>
      <c r="K114" s="74" t="str">
        <f t="shared" si="4"/>
        <v>61-90 Days</v>
      </c>
      <c r="L114" s="58" t="str">
        <f t="shared" si="5"/>
        <v>Not Applicable</v>
      </c>
    </row>
    <row r="115" spans="1:12" ht="16.5" customHeight="1" x14ac:dyDescent="0.35">
      <c r="A115" s="50" t="s">
        <v>121</v>
      </c>
      <c r="B115" s="50" t="s">
        <v>121</v>
      </c>
      <c r="C115">
        <v>0</v>
      </c>
      <c r="D115">
        <v>140</v>
      </c>
      <c r="E115" t="s">
        <v>3626</v>
      </c>
      <c r="F115" t="s">
        <v>3626</v>
      </c>
      <c r="G115" t="s">
        <v>57</v>
      </c>
      <c r="H115" t="s">
        <v>3521</v>
      </c>
      <c r="I115" t="s">
        <v>3490</v>
      </c>
      <c r="J115" s="56">
        <f t="shared" si="3"/>
        <v>83</v>
      </c>
      <c r="K115" s="74" t="str">
        <f t="shared" si="4"/>
        <v>61-90 Days</v>
      </c>
      <c r="L115" s="58" t="str">
        <f t="shared" si="5"/>
        <v>Not Applicable</v>
      </c>
    </row>
    <row r="116" spans="1:12" ht="16.5" customHeight="1" x14ac:dyDescent="0.35">
      <c r="A116" s="50" t="s">
        <v>121</v>
      </c>
      <c r="B116" s="50" t="s">
        <v>121</v>
      </c>
      <c r="C116">
        <v>0</v>
      </c>
      <c r="D116">
        <v>200</v>
      </c>
      <c r="E116" t="s">
        <v>3627</v>
      </c>
      <c r="F116" t="s">
        <v>3628</v>
      </c>
      <c r="G116" t="s">
        <v>57</v>
      </c>
      <c r="H116" t="s">
        <v>3532</v>
      </c>
      <c r="I116" t="s">
        <v>3490</v>
      </c>
      <c r="J116" s="56">
        <f t="shared" si="3"/>
        <v>83</v>
      </c>
      <c r="K116" s="74" t="str">
        <f t="shared" si="4"/>
        <v>61-90 Days</v>
      </c>
      <c r="L116" s="58" t="str">
        <f t="shared" si="5"/>
        <v>Not Applicable</v>
      </c>
    </row>
    <row r="117" spans="1:12" ht="16.5" customHeight="1" x14ac:dyDescent="0.35">
      <c r="A117" s="50" t="s">
        <v>121</v>
      </c>
      <c r="B117" s="50" t="s">
        <v>121</v>
      </c>
      <c r="C117">
        <v>0</v>
      </c>
      <c r="D117">
        <v>608</v>
      </c>
      <c r="E117" t="s">
        <v>3629</v>
      </c>
      <c r="F117" t="s">
        <v>3630</v>
      </c>
      <c r="G117" t="s">
        <v>57</v>
      </c>
      <c r="H117" t="s">
        <v>3532</v>
      </c>
      <c r="I117" t="s">
        <v>3490</v>
      </c>
      <c r="J117" s="56">
        <f t="shared" si="3"/>
        <v>83</v>
      </c>
      <c r="K117" s="74" t="str">
        <f t="shared" si="4"/>
        <v>61-90 Days</v>
      </c>
      <c r="L117" s="58" t="str">
        <f t="shared" si="5"/>
        <v>Not Applicable</v>
      </c>
    </row>
    <row r="118" spans="1:12" ht="16.5" customHeight="1" x14ac:dyDescent="0.35">
      <c r="A118" s="50" t="s">
        <v>121</v>
      </c>
      <c r="B118" s="50" t="s">
        <v>121</v>
      </c>
      <c r="C118">
        <v>0</v>
      </c>
      <c r="D118">
        <v>608</v>
      </c>
      <c r="E118" t="s">
        <v>3631</v>
      </c>
      <c r="F118" t="s">
        <v>3632</v>
      </c>
      <c r="G118" t="s">
        <v>57</v>
      </c>
      <c r="H118" t="s">
        <v>3532</v>
      </c>
      <c r="I118" t="s">
        <v>3490</v>
      </c>
      <c r="J118" s="56">
        <f t="shared" si="3"/>
        <v>83</v>
      </c>
      <c r="K118" s="74" t="str">
        <f t="shared" si="4"/>
        <v>61-90 Days</v>
      </c>
      <c r="L118" s="58" t="str">
        <f t="shared" si="5"/>
        <v>Not Applicable</v>
      </c>
    </row>
    <row r="119" spans="1:12" ht="16.5" customHeight="1" x14ac:dyDescent="0.35">
      <c r="A119" s="50" t="s">
        <v>121</v>
      </c>
      <c r="B119" s="50" t="s">
        <v>121</v>
      </c>
      <c r="C119">
        <v>0</v>
      </c>
      <c r="D119">
        <v>100</v>
      </c>
      <c r="E119" t="s">
        <v>3633</v>
      </c>
      <c r="F119" t="s">
        <v>3634</v>
      </c>
      <c r="G119" t="s">
        <v>57</v>
      </c>
      <c r="H119" t="s">
        <v>3532</v>
      </c>
      <c r="I119" t="s">
        <v>3490</v>
      </c>
      <c r="J119" s="56">
        <f t="shared" si="3"/>
        <v>83</v>
      </c>
      <c r="K119" s="74" t="str">
        <f t="shared" si="4"/>
        <v>61-90 Days</v>
      </c>
      <c r="L119" s="58" t="str">
        <f t="shared" si="5"/>
        <v>Not Applicable</v>
      </c>
    </row>
    <row r="120" spans="1:12" ht="16.5" customHeight="1" x14ac:dyDescent="0.35">
      <c r="A120" s="50" t="s">
        <v>121</v>
      </c>
      <c r="B120" s="50" t="s">
        <v>121</v>
      </c>
      <c r="C120">
        <v>0</v>
      </c>
      <c r="D120">
        <v>1000</v>
      </c>
      <c r="E120" t="s">
        <v>3635</v>
      </c>
      <c r="F120" t="s">
        <v>3635</v>
      </c>
      <c r="G120" t="s">
        <v>57</v>
      </c>
      <c r="H120" t="s">
        <v>3489</v>
      </c>
      <c r="I120" t="s">
        <v>3490</v>
      </c>
      <c r="J120" s="56">
        <f t="shared" si="3"/>
        <v>83</v>
      </c>
      <c r="K120" s="74" t="str">
        <f t="shared" si="4"/>
        <v>61-90 Days</v>
      </c>
      <c r="L120" s="58" t="str">
        <f t="shared" si="5"/>
        <v>Not Applicable</v>
      </c>
    </row>
    <row r="121" spans="1:12" ht="16.5" customHeight="1" x14ac:dyDescent="0.35">
      <c r="A121" s="50" t="s">
        <v>121</v>
      </c>
      <c r="B121" s="50" t="s">
        <v>121</v>
      </c>
      <c r="C121">
        <v>0</v>
      </c>
      <c r="D121">
        <v>250</v>
      </c>
      <c r="E121" t="s">
        <v>3636</v>
      </c>
      <c r="F121" t="s">
        <v>3636</v>
      </c>
      <c r="G121" t="s">
        <v>57</v>
      </c>
      <c r="H121" t="s">
        <v>3489</v>
      </c>
      <c r="I121" t="s">
        <v>3490</v>
      </c>
      <c r="J121" s="56">
        <f t="shared" si="3"/>
        <v>83</v>
      </c>
      <c r="K121" s="74" t="str">
        <f t="shared" si="4"/>
        <v>61-90 Days</v>
      </c>
      <c r="L121" s="58" t="str">
        <f t="shared" si="5"/>
        <v>Not Applicable</v>
      </c>
    </row>
    <row r="122" spans="1:12" ht="16.5" customHeight="1" x14ac:dyDescent="0.35">
      <c r="A122" s="50" t="s">
        <v>121</v>
      </c>
      <c r="B122" s="50" t="s">
        <v>121</v>
      </c>
      <c r="C122">
        <v>0</v>
      </c>
      <c r="D122">
        <v>500000</v>
      </c>
      <c r="E122" t="s">
        <v>3637</v>
      </c>
      <c r="F122" t="s">
        <v>3637</v>
      </c>
      <c r="G122" t="s">
        <v>57</v>
      </c>
      <c r="H122" t="s">
        <v>3638</v>
      </c>
      <c r="I122" t="s">
        <v>3490</v>
      </c>
      <c r="J122" s="56">
        <f t="shared" si="3"/>
        <v>83</v>
      </c>
      <c r="K122" s="74" t="str">
        <f t="shared" si="4"/>
        <v>61-90 Days</v>
      </c>
      <c r="L122" s="58" t="str">
        <f t="shared" si="5"/>
        <v>Not Applicable</v>
      </c>
    </row>
    <row r="123" spans="1:12" ht="16.5" customHeight="1" x14ac:dyDescent="0.35">
      <c r="A123" s="50" t="s">
        <v>121</v>
      </c>
      <c r="B123" s="50" t="s">
        <v>121</v>
      </c>
      <c r="C123">
        <v>0</v>
      </c>
      <c r="D123">
        <v>3500</v>
      </c>
      <c r="E123" t="s">
        <v>3639</v>
      </c>
      <c r="F123" t="s">
        <v>3639</v>
      </c>
      <c r="G123" t="s">
        <v>57</v>
      </c>
      <c r="H123" t="s">
        <v>3489</v>
      </c>
      <c r="I123" t="s">
        <v>3490</v>
      </c>
      <c r="J123" s="56">
        <f t="shared" si="3"/>
        <v>83</v>
      </c>
      <c r="K123" s="74" t="str">
        <f t="shared" si="4"/>
        <v>61-90 Days</v>
      </c>
      <c r="L123" s="58" t="str">
        <f t="shared" si="5"/>
        <v>Not Applicable</v>
      </c>
    </row>
    <row r="124" spans="1:12" ht="16.5" customHeight="1" x14ac:dyDescent="0.35">
      <c r="A124" t="s">
        <v>121</v>
      </c>
      <c r="B124" t="s">
        <v>121</v>
      </c>
      <c r="C124">
        <v>0</v>
      </c>
      <c r="D124">
        <v>2700</v>
      </c>
      <c r="E124" t="s">
        <v>3640</v>
      </c>
      <c r="F124" t="s">
        <v>3640</v>
      </c>
      <c r="G124" t="s">
        <v>57</v>
      </c>
      <c r="H124" t="s">
        <v>3489</v>
      </c>
      <c r="I124" t="s">
        <v>3490</v>
      </c>
      <c r="J124" s="56">
        <f t="shared" si="3"/>
        <v>83</v>
      </c>
      <c r="K124" s="74" t="str">
        <f t="shared" si="4"/>
        <v>61-90 Days</v>
      </c>
      <c r="L124" s="58" t="str">
        <f t="shared" si="5"/>
        <v>Not Applicable</v>
      </c>
    </row>
    <row r="125" spans="1:12" ht="16.5" customHeight="1" x14ac:dyDescent="0.35">
      <c r="A125" t="s">
        <v>121</v>
      </c>
      <c r="B125" t="s">
        <v>121</v>
      </c>
      <c r="C125">
        <v>3046.79</v>
      </c>
      <c r="D125">
        <v>0</v>
      </c>
      <c r="E125" t="s">
        <v>3641</v>
      </c>
      <c r="F125" t="s">
        <v>3641</v>
      </c>
      <c r="G125" t="s">
        <v>57</v>
      </c>
      <c r="H125" t="s">
        <v>3642</v>
      </c>
      <c r="I125" t="s">
        <v>3643</v>
      </c>
      <c r="J125" s="56">
        <f t="shared" si="3"/>
        <v>83</v>
      </c>
      <c r="K125" s="74" t="str">
        <f t="shared" si="4"/>
        <v>61-90 Days</v>
      </c>
      <c r="L125" s="58" t="str">
        <f t="shared" si="5"/>
        <v>Substandard</v>
      </c>
    </row>
    <row r="126" spans="1:12" ht="16.5" customHeight="1" x14ac:dyDescent="0.35">
      <c r="A126" t="s">
        <v>121</v>
      </c>
      <c r="B126" t="s">
        <v>121</v>
      </c>
      <c r="C126">
        <v>0</v>
      </c>
      <c r="D126">
        <v>1000</v>
      </c>
      <c r="E126" t="s">
        <v>3644</v>
      </c>
      <c r="F126" t="s">
        <v>3644</v>
      </c>
      <c r="G126" t="s">
        <v>57</v>
      </c>
      <c r="H126" t="s">
        <v>3489</v>
      </c>
      <c r="I126" t="s">
        <v>3490</v>
      </c>
      <c r="J126" s="56">
        <f t="shared" si="3"/>
        <v>83</v>
      </c>
      <c r="K126" s="74" t="str">
        <f t="shared" si="4"/>
        <v>61-90 Days</v>
      </c>
      <c r="L126" s="58" t="str">
        <f t="shared" si="5"/>
        <v>Not Applicable</v>
      </c>
    </row>
    <row r="127" spans="1:12" ht="16.5" customHeight="1" x14ac:dyDescent="0.35">
      <c r="A127" t="s">
        <v>121</v>
      </c>
      <c r="B127" t="s">
        <v>121</v>
      </c>
      <c r="C127">
        <v>0</v>
      </c>
      <c r="D127">
        <v>608</v>
      </c>
      <c r="E127" t="s">
        <v>3645</v>
      </c>
      <c r="F127" t="s">
        <v>3646</v>
      </c>
      <c r="G127" t="s">
        <v>57</v>
      </c>
      <c r="H127" t="s">
        <v>3532</v>
      </c>
      <c r="I127" t="s">
        <v>3490</v>
      </c>
      <c r="J127" s="56">
        <f t="shared" si="3"/>
        <v>83</v>
      </c>
      <c r="K127" s="74" t="str">
        <f t="shared" si="4"/>
        <v>61-90 Days</v>
      </c>
      <c r="L127" s="58" t="str">
        <f t="shared" si="5"/>
        <v>Not Applicable</v>
      </c>
    </row>
    <row r="128" spans="1:12" ht="16.5" customHeight="1" x14ac:dyDescent="0.35">
      <c r="A128" t="s">
        <v>121</v>
      </c>
      <c r="B128" t="s">
        <v>121</v>
      </c>
      <c r="C128">
        <v>0</v>
      </c>
      <c r="D128">
        <v>550</v>
      </c>
      <c r="E128" t="s">
        <v>3647</v>
      </c>
      <c r="F128" t="s">
        <v>3499</v>
      </c>
      <c r="G128" t="s">
        <v>57</v>
      </c>
      <c r="H128" t="s">
        <v>3489</v>
      </c>
      <c r="I128" t="s">
        <v>3490</v>
      </c>
      <c r="J128" s="56">
        <f t="shared" si="3"/>
        <v>83</v>
      </c>
      <c r="K128" s="74" t="str">
        <f t="shared" si="4"/>
        <v>61-90 Days</v>
      </c>
      <c r="L128" s="58" t="str">
        <f t="shared" si="5"/>
        <v>Not Applicable</v>
      </c>
    </row>
    <row r="129" spans="1:12" ht="16.5" customHeight="1" x14ac:dyDescent="0.35">
      <c r="A129" t="s">
        <v>121</v>
      </c>
      <c r="B129" t="s">
        <v>121</v>
      </c>
      <c r="C129">
        <v>0</v>
      </c>
      <c r="D129">
        <v>2050</v>
      </c>
      <c r="E129" t="s">
        <v>3648</v>
      </c>
      <c r="F129" t="s">
        <v>3648</v>
      </c>
      <c r="G129" t="s">
        <v>57</v>
      </c>
      <c r="H129" t="s">
        <v>3489</v>
      </c>
      <c r="I129" t="s">
        <v>3490</v>
      </c>
      <c r="J129" s="56">
        <f t="shared" si="3"/>
        <v>83</v>
      </c>
      <c r="K129" s="74" t="str">
        <f t="shared" si="4"/>
        <v>61-90 Days</v>
      </c>
      <c r="L129" s="58" t="str">
        <f t="shared" si="5"/>
        <v>Not Applicable</v>
      </c>
    </row>
    <row r="130" spans="1:12" ht="16.5" customHeight="1" x14ac:dyDescent="0.35">
      <c r="A130" t="s">
        <v>121</v>
      </c>
      <c r="B130" t="s">
        <v>121</v>
      </c>
      <c r="C130">
        <v>0</v>
      </c>
      <c r="D130">
        <v>159.30000000000001</v>
      </c>
      <c r="E130" t="s">
        <v>3649</v>
      </c>
      <c r="F130" t="s">
        <v>3649</v>
      </c>
      <c r="G130" t="s">
        <v>57</v>
      </c>
      <c r="H130" t="s">
        <v>3489</v>
      </c>
      <c r="I130" t="s">
        <v>3507</v>
      </c>
      <c r="J130" s="56">
        <f t="shared" si="3"/>
        <v>83</v>
      </c>
      <c r="K130" s="74" t="str">
        <f t="shared" si="4"/>
        <v>61-90 Days</v>
      </c>
      <c r="L130" s="58" t="str">
        <f t="shared" si="5"/>
        <v>Not Applicable</v>
      </c>
    </row>
    <row r="131" spans="1:12" ht="16.5" customHeight="1" x14ac:dyDescent="0.35">
      <c r="A131" t="s">
        <v>121</v>
      </c>
      <c r="B131" t="s">
        <v>121</v>
      </c>
      <c r="C131">
        <v>0</v>
      </c>
      <c r="D131">
        <v>550</v>
      </c>
      <c r="E131" t="s">
        <v>3650</v>
      </c>
      <c r="F131" t="s">
        <v>3650</v>
      </c>
      <c r="G131" t="s">
        <v>57</v>
      </c>
      <c r="H131" t="s">
        <v>3489</v>
      </c>
      <c r="I131" t="s">
        <v>3490</v>
      </c>
      <c r="J131" s="56">
        <f t="shared" si="3"/>
        <v>83</v>
      </c>
      <c r="K131" s="74" t="str">
        <f t="shared" si="4"/>
        <v>61-90 Days</v>
      </c>
      <c r="L131" s="58" t="str">
        <f t="shared" si="5"/>
        <v>Not Applicable</v>
      </c>
    </row>
    <row r="132" spans="1:12" ht="16.5" customHeight="1" x14ac:dyDescent="0.35">
      <c r="A132" t="s">
        <v>121</v>
      </c>
      <c r="B132" t="s">
        <v>121</v>
      </c>
      <c r="C132">
        <v>0</v>
      </c>
      <c r="D132">
        <v>2050</v>
      </c>
      <c r="E132" t="s">
        <v>3651</v>
      </c>
      <c r="F132" t="s">
        <v>3651</v>
      </c>
      <c r="G132" t="s">
        <v>57</v>
      </c>
      <c r="H132" t="s">
        <v>3489</v>
      </c>
      <c r="I132" t="s">
        <v>3490</v>
      </c>
      <c r="J132" s="56">
        <f t="shared" si="3"/>
        <v>83</v>
      </c>
      <c r="K132" s="74" t="str">
        <f t="shared" si="4"/>
        <v>61-90 Days</v>
      </c>
      <c r="L132" s="58" t="str">
        <f t="shared" si="5"/>
        <v>Not Applicable</v>
      </c>
    </row>
    <row r="133" spans="1:12" ht="16.5" customHeight="1" x14ac:dyDescent="0.35">
      <c r="A133" t="s">
        <v>106</v>
      </c>
      <c r="B133" t="s">
        <v>106</v>
      </c>
      <c r="C133">
        <v>0</v>
      </c>
      <c r="D133">
        <v>150</v>
      </c>
      <c r="E133" t="s">
        <v>3652</v>
      </c>
      <c r="F133" t="s">
        <v>3653</v>
      </c>
      <c r="G133" t="s">
        <v>57</v>
      </c>
      <c r="H133" t="s">
        <v>3532</v>
      </c>
      <c r="I133" t="s">
        <v>3490</v>
      </c>
      <c r="J133" s="56">
        <f t="shared" si="3"/>
        <v>82</v>
      </c>
      <c r="K133" s="74" t="str">
        <f t="shared" si="4"/>
        <v>61-90 Days</v>
      </c>
      <c r="L133" s="58" t="str">
        <f t="shared" si="5"/>
        <v>Not Applicable</v>
      </c>
    </row>
    <row r="134" spans="1:12" ht="16.5" customHeight="1" x14ac:dyDescent="0.35">
      <c r="A134" t="s">
        <v>106</v>
      </c>
      <c r="B134" t="s">
        <v>106</v>
      </c>
      <c r="C134">
        <v>959.97</v>
      </c>
      <c r="D134">
        <v>0</v>
      </c>
      <c r="E134" t="s">
        <v>3654</v>
      </c>
      <c r="F134" t="s">
        <v>3655</v>
      </c>
      <c r="G134" t="s">
        <v>57</v>
      </c>
      <c r="H134" t="s">
        <v>3476</v>
      </c>
      <c r="I134" t="s">
        <v>3490</v>
      </c>
      <c r="J134" s="56">
        <f t="shared" si="3"/>
        <v>82</v>
      </c>
      <c r="K134" s="74" t="str">
        <f t="shared" si="4"/>
        <v>61-90 Days</v>
      </c>
      <c r="L134" s="58" t="str">
        <f t="shared" si="5"/>
        <v>Substandard</v>
      </c>
    </row>
    <row r="135" spans="1:12" ht="16.5" customHeight="1" x14ac:dyDescent="0.35">
      <c r="A135" t="s">
        <v>106</v>
      </c>
      <c r="B135" t="s">
        <v>106</v>
      </c>
      <c r="C135">
        <v>0</v>
      </c>
      <c r="D135">
        <v>2410.1999999999998</v>
      </c>
      <c r="E135" t="s">
        <v>3656</v>
      </c>
      <c r="F135" t="s">
        <v>3656</v>
      </c>
      <c r="G135" t="s">
        <v>57</v>
      </c>
      <c r="H135" t="s">
        <v>3489</v>
      </c>
      <c r="I135" t="s">
        <v>3490</v>
      </c>
      <c r="J135" s="56">
        <f t="shared" si="3"/>
        <v>82</v>
      </c>
      <c r="K135" s="74" t="str">
        <f t="shared" si="4"/>
        <v>61-90 Days</v>
      </c>
      <c r="L135" s="58" t="str">
        <f t="shared" si="5"/>
        <v>Not Applicable</v>
      </c>
    </row>
    <row r="136" spans="1:12" ht="16.5" customHeight="1" x14ac:dyDescent="0.35">
      <c r="A136" t="s">
        <v>106</v>
      </c>
      <c r="B136" t="s">
        <v>106</v>
      </c>
      <c r="C136">
        <v>0</v>
      </c>
      <c r="D136">
        <v>1000</v>
      </c>
      <c r="E136" t="s">
        <v>3657</v>
      </c>
      <c r="F136" t="s">
        <v>3658</v>
      </c>
      <c r="G136" t="s">
        <v>57</v>
      </c>
      <c r="H136" t="s">
        <v>3489</v>
      </c>
      <c r="I136" t="s">
        <v>3490</v>
      </c>
      <c r="J136" s="56">
        <f t="shared" si="3"/>
        <v>82</v>
      </c>
      <c r="K136" s="74" t="str">
        <f t="shared" si="4"/>
        <v>61-90 Days</v>
      </c>
      <c r="L136" s="58" t="str">
        <f t="shared" si="5"/>
        <v>Not Applicable</v>
      </c>
    </row>
    <row r="137" spans="1:12" ht="16.5" customHeight="1" x14ac:dyDescent="0.35">
      <c r="A137" t="s">
        <v>106</v>
      </c>
      <c r="B137" t="s">
        <v>106</v>
      </c>
      <c r="C137">
        <v>85</v>
      </c>
      <c r="D137">
        <v>0</v>
      </c>
      <c r="E137" t="s">
        <v>3659</v>
      </c>
      <c r="F137" t="s">
        <v>3660</v>
      </c>
      <c r="G137" t="s">
        <v>57</v>
      </c>
      <c r="H137" t="s">
        <v>3476</v>
      </c>
      <c r="I137" t="s">
        <v>3490</v>
      </c>
      <c r="J137" s="56">
        <f t="shared" ref="J137:J200" si="6">IF(A137="","",A$5-A137)</f>
        <v>82</v>
      </c>
      <c r="K137" s="74" t="str">
        <f t="shared" ref="K137:K200" si="7">IF(J137="","",IF(J137&lt;4,"0-3 Days",IF(J137&lt;31,"4-30 Days",IF(J137&lt;61,"31-60 Days",IF(J137&lt;=90,"61-90 Days",IF(J137&gt;90,"Above 90 Days","0"))))))</f>
        <v>61-90 Days</v>
      </c>
      <c r="L137" s="58" t="str">
        <f t="shared" ref="L137:L200" si="8">IF(C137="","",IF(C137&gt;0,IF(J137&lt;30,"Normal",IF(J137&lt;60,"Especially Mentioned",IF(J137&lt;90,"Substandard",IF(J137&lt;=180,"Doubtful",IF(J137&gt;180,"Loss","0"))))),"Not Applicable"))</f>
        <v>Substandard</v>
      </c>
    </row>
    <row r="138" spans="1:12" ht="16.5" customHeight="1" x14ac:dyDescent="0.35">
      <c r="A138" t="s">
        <v>106</v>
      </c>
      <c r="B138" t="s">
        <v>106</v>
      </c>
      <c r="C138">
        <v>0</v>
      </c>
      <c r="D138">
        <v>8238.76</v>
      </c>
      <c r="E138" t="s">
        <v>3661</v>
      </c>
      <c r="F138" t="s">
        <v>3662</v>
      </c>
      <c r="G138" t="s">
        <v>57</v>
      </c>
      <c r="H138" t="s">
        <v>3532</v>
      </c>
      <c r="I138" t="s">
        <v>3490</v>
      </c>
      <c r="J138" s="56">
        <f t="shared" si="6"/>
        <v>82</v>
      </c>
      <c r="K138" s="74" t="str">
        <f t="shared" si="7"/>
        <v>61-90 Days</v>
      </c>
      <c r="L138" s="58" t="str">
        <f t="shared" si="8"/>
        <v>Not Applicable</v>
      </c>
    </row>
    <row r="139" spans="1:12" ht="16.5" customHeight="1" x14ac:dyDescent="0.35">
      <c r="A139" t="s">
        <v>106</v>
      </c>
      <c r="B139" t="s">
        <v>106</v>
      </c>
      <c r="C139">
        <v>0</v>
      </c>
      <c r="D139">
        <v>100</v>
      </c>
      <c r="E139" t="s">
        <v>3663</v>
      </c>
      <c r="F139" t="s">
        <v>3663</v>
      </c>
      <c r="G139" t="s">
        <v>57</v>
      </c>
      <c r="H139" t="s">
        <v>3521</v>
      </c>
      <c r="I139" t="s">
        <v>3490</v>
      </c>
      <c r="J139" s="56">
        <f t="shared" si="6"/>
        <v>82</v>
      </c>
      <c r="K139" s="74" t="str">
        <f t="shared" si="7"/>
        <v>61-90 Days</v>
      </c>
      <c r="L139" s="58" t="str">
        <f t="shared" si="8"/>
        <v>Not Applicable</v>
      </c>
    </row>
    <row r="140" spans="1:12" ht="16.5" customHeight="1" x14ac:dyDescent="0.35">
      <c r="A140" t="s">
        <v>106</v>
      </c>
      <c r="B140" t="s">
        <v>106</v>
      </c>
      <c r="C140">
        <v>0</v>
      </c>
      <c r="D140">
        <v>1000</v>
      </c>
      <c r="E140" t="s">
        <v>3664</v>
      </c>
      <c r="F140" t="s">
        <v>3665</v>
      </c>
      <c r="G140" t="s">
        <v>57</v>
      </c>
      <c r="H140" t="s">
        <v>3489</v>
      </c>
      <c r="I140" t="s">
        <v>3490</v>
      </c>
      <c r="J140" s="56">
        <f t="shared" si="6"/>
        <v>82</v>
      </c>
      <c r="K140" s="74" t="str">
        <f t="shared" si="7"/>
        <v>61-90 Days</v>
      </c>
      <c r="L140" s="58" t="str">
        <f t="shared" si="8"/>
        <v>Not Applicable</v>
      </c>
    </row>
    <row r="141" spans="1:12" ht="16.5" customHeight="1" x14ac:dyDescent="0.35">
      <c r="A141" t="s">
        <v>106</v>
      </c>
      <c r="B141" t="s">
        <v>106</v>
      </c>
      <c r="C141">
        <v>0</v>
      </c>
      <c r="D141">
        <v>500</v>
      </c>
      <c r="E141" t="s">
        <v>3666</v>
      </c>
      <c r="F141" t="s">
        <v>3666</v>
      </c>
      <c r="G141" t="s">
        <v>57</v>
      </c>
      <c r="H141" t="s">
        <v>3489</v>
      </c>
      <c r="I141" t="s">
        <v>3490</v>
      </c>
      <c r="J141" s="56">
        <f t="shared" si="6"/>
        <v>82</v>
      </c>
      <c r="K141" s="74" t="str">
        <f t="shared" si="7"/>
        <v>61-90 Days</v>
      </c>
      <c r="L141" s="58" t="str">
        <f t="shared" si="8"/>
        <v>Not Applicable</v>
      </c>
    </row>
    <row r="142" spans="1:12" ht="16.5" customHeight="1" x14ac:dyDescent="0.35">
      <c r="A142" t="s">
        <v>106</v>
      </c>
      <c r="B142" t="s">
        <v>106</v>
      </c>
      <c r="C142">
        <v>0</v>
      </c>
      <c r="D142">
        <v>250</v>
      </c>
      <c r="E142" t="s">
        <v>3667</v>
      </c>
      <c r="F142" t="s">
        <v>3668</v>
      </c>
      <c r="G142" t="s">
        <v>57</v>
      </c>
      <c r="H142" t="s">
        <v>3532</v>
      </c>
      <c r="I142" t="s">
        <v>3490</v>
      </c>
      <c r="J142" s="56">
        <f t="shared" si="6"/>
        <v>82</v>
      </c>
      <c r="K142" s="74" t="str">
        <f t="shared" si="7"/>
        <v>61-90 Days</v>
      </c>
      <c r="L142" s="58" t="str">
        <f t="shared" si="8"/>
        <v>Not Applicable</v>
      </c>
    </row>
    <row r="143" spans="1:12" ht="16.5" customHeight="1" x14ac:dyDescent="0.35">
      <c r="A143" t="s">
        <v>106</v>
      </c>
      <c r="B143" t="s">
        <v>106</v>
      </c>
      <c r="C143">
        <v>0</v>
      </c>
      <c r="D143">
        <v>100</v>
      </c>
      <c r="E143" t="s">
        <v>3669</v>
      </c>
      <c r="F143" t="s">
        <v>3669</v>
      </c>
      <c r="G143" t="s">
        <v>57</v>
      </c>
      <c r="H143" t="s">
        <v>3489</v>
      </c>
      <c r="I143" t="s">
        <v>3490</v>
      </c>
      <c r="J143" s="56">
        <f t="shared" si="6"/>
        <v>82</v>
      </c>
      <c r="K143" s="74" t="str">
        <f t="shared" si="7"/>
        <v>61-90 Days</v>
      </c>
      <c r="L143" s="58" t="str">
        <f t="shared" si="8"/>
        <v>Not Applicable</v>
      </c>
    </row>
    <row r="144" spans="1:12" ht="16.5" customHeight="1" x14ac:dyDescent="0.35">
      <c r="A144" t="s">
        <v>106</v>
      </c>
      <c r="B144" t="s">
        <v>106</v>
      </c>
      <c r="C144">
        <v>0</v>
      </c>
      <c r="D144">
        <v>1000</v>
      </c>
      <c r="E144" t="s">
        <v>3670</v>
      </c>
      <c r="F144" t="s">
        <v>3670</v>
      </c>
      <c r="G144" t="s">
        <v>57</v>
      </c>
      <c r="H144" t="s">
        <v>3489</v>
      </c>
      <c r="I144" t="s">
        <v>3490</v>
      </c>
      <c r="J144" s="56">
        <f t="shared" si="6"/>
        <v>82</v>
      </c>
      <c r="K144" s="74" t="str">
        <f t="shared" si="7"/>
        <v>61-90 Days</v>
      </c>
      <c r="L144" s="58" t="str">
        <f t="shared" si="8"/>
        <v>Not Applicable</v>
      </c>
    </row>
    <row r="145" spans="1:12" ht="16.5" customHeight="1" x14ac:dyDescent="0.35">
      <c r="A145" t="s">
        <v>106</v>
      </c>
      <c r="B145" t="s">
        <v>106</v>
      </c>
      <c r="C145">
        <v>0</v>
      </c>
      <c r="D145">
        <v>250</v>
      </c>
      <c r="E145" t="s">
        <v>3671</v>
      </c>
      <c r="F145" t="s">
        <v>3671</v>
      </c>
      <c r="G145" t="s">
        <v>57</v>
      </c>
      <c r="H145" t="s">
        <v>3489</v>
      </c>
      <c r="I145" t="s">
        <v>3490</v>
      </c>
      <c r="J145" s="56">
        <f t="shared" si="6"/>
        <v>82</v>
      </c>
      <c r="K145" s="74" t="str">
        <f t="shared" si="7"/>
        <v>61-90 Days</v>
      </c>
      <c r="L145" s="58" t="str">
        <f t="shared" si="8"/>
        <v>Not Applicable</v>
      </c>
    </row>
    <row r="146" spans="1:12" ht="16.5" customHeight="1" x14ac:dyDescent="0.35">
      <c r="A146" t="s">
        <v>106</v>
      </c>
      <c r="B146" t="s">
        <v>106</v>
      </c>
      <c r="C146">
        <v>0</v>
      </c>
      <c r="D146">
        <v>360</v>
      </c>
      <c r="E146" t="s">
        <v>3672</v>
      </c>
      <c r="F146" t="s">
        <v>3673</v>
      </c>
      <c r="G146" t="s">
        <v>57</v>
      </c>
      <c r="H146" t="s">
        <v>3532</v>
      </c>
      <c r="I146" t="s">
        <v>3490</v>
      </c>
      <c r="J146" s="56">
        <f t="shared" si="6"/>
        <v>82</v>
      </c>
      <c r="K146" s="74" t="str">
        <f t="shared" si="7"/>
        <v>61-90 Days</v>
      </c>
      <c r="L146" s="58" t="str">
        <f t="shared" si="8"/>
        <v>Not Applicable</v>
      </c>
    </row>
    <row r="147" spans="1:12" ht="16.5" customHeight="1" x14ac:dyDescent="0.35">
      <c r="A147" t="s">
        <v>106</v>
      </c>
      <c r="B147" t="s">
        <v>106</v>
      </c>
      <c r="C147">
        <v>0</v>
      </c>
      <c r="D147">
        <v>600</v>
      </c>
      <c r="E147" t="s">
        <v>3674</v>
      </c>
      <c r="F147" t="s">
        <v>3674</v>
      </c>
      <c r="G147" t="s">
        <v>57</v>
      </c>
      <c r="H147" t="s">
        <v>3489</v>
      </c>
      <c r="I147" t="s">
        <v>3490</v>
      </c>
      <c r="J147" s="56">
        <f t="shared" si="6"/>
        <v>82</v>
      </c>
      <c r="K147" s="74" t="str">
        <f t="shared" si="7"/>
        <v>61-90 Days</v>
      </c>
      <c r="L147" s="58" t="str">
        <f t="shared" si="8"/>
        <v>Not Applicable</v>
      </c>
    </row>
    <row r="148" spans="1:12" ht="16.5" customHeight="1" x14ac:dyDescent="0.35">
      <c r="A148" t="s">
        <v>106</v>
      </c>
      <c r="B148" t="s">
        <v>106</v>
      </c>
      <c r="C148">
        <v>0</v>
      </c>
      <c r="D148">
        <v>2050</v>
      </c>
      <c r="E148" t="s">
        <v>3675</v>
      </c>
      <c r="F148" t="s">
        <v>3676</v>
      </c>
      <c r="G148" t="s">
        <v>57</v>
      </c>
      <c r="H148" t="s">
        <v>3532</v>
      </c>
      <c r="I148" t="s">
        <v>3490</v>
      </c>
      <c r="J148" s="56">
        <f t="shared" si="6"/>
        <v>82</v>
      </c>
      <c r="K148" s="74" t="str">
        <f t="shared" si="7"/>
        <v>61-90 Days</v>
      </c>
      <c r="L148" s="58" t="str">
        <f t="shared" si="8"/>
        <v>Not Applicable</v>
      </c>
    </row>
    <row r="149" spans="1:12" ht="16.5" customHeight="1" x14ac:dyDescent="0.35">
      <c r="A149" t="s">
        <v>106</v>
      </c>
      <c r="B149" t="s">
        <v>106</v>
      </c>
      <c r="C149">
        <v>0</v>
      </c>
      <c r="D149">
        <v>100</v>
      </c>
      <c r="E149" t="s">
        <v>3677</v>
      </c>
      <c r="F149" t="s">
        <v>3677</v>
      </c>
      <c r="G149" t="s">
        <v>57</v>
      </c>
      <c r="H149" t="s">
        <v>3489</v>
      </c>
      <c r="I149" t="s">
        <v>3490</v>
      </c>
      <c r="J149" s="56">
        <f t="shared" si="6"/>
        <v>82</v>
      </c>
      <c r="K149" s="74" t="str">
        <f t="shared" si="7"/>
        <v>61-90 Days</v>
      </c>
      <c r="L149" s="58" t="str">
        <f t="shared" si="8"/>
        <v>Not Applicable</v>
      </c>
    </row>
    <row r="150" spans="1:12" ht="16.5" customHeight="1" x14ac:dyDescent="0.35">
      <c r="A150" t="s">
        <v>106</v>
      </c>
      <c r="B150" t="s">
        <v>106</v>
      </c>
      <c r="C150">
        <v>0</v>
      </c>
      <c r="D150">
        <v>1000</v>
      </c>
      <c r="E150" t="s">
        <v>3678</v>
      </c>
      <c r="F150" t="s">
        <v>3678</v>
      </c>
      <c r="G150" t="s">
        <v>57</v>
      </c>
      <c r="H150" t="s">
        <v>3489</v>
      </c>
      <c r="I150" t="s">
        <v>3490</v>
      </c>
      <c r="J150" s="56">
        <f t="shared" si="6"/>
        <v>82</v>
      </c>
      <c r="K150" s="74" t="str">
        <f t="shared" si="7"/>
        <v>61-90 Days</v>
      </c>
      <c r="L150" s="58" t="str">
        <f t="shared" si="8"/>
        <v>Not Applicable</v>
      </c>
    </row>
    <row r="151" spans="1:12" ht="16.5" customHeight="1" x14ac:dyDescent="0.35">
      <c r="A151" t="s">
        <v>106</v>
      </c>
      <c r="B151" t="s">
        <v>106</v>
      </c>
      <c r="C151">
        <v>0</v>
      </c>
      <c r="D151">
        <v>1000</v>
      </c>
      <c r="E151" t="s">
        <v>3679</v>
      </c>
      <c r="F151" t="s">
        <v>3680</v>
      </c>
      <c r="G151" t="s">
        <v>57</v>
      </c>
      <c r="H151" t="s">
        <v>3489</v>
      </c>
      <c r="I151" t="s">
        <v>3490</v>
      </c>
      <c r="J151" s="56">
        <f t="shared" si="6"/>
        <v>82</v>
      </c>
      <c r="K151" s="74" t="str">
        <f t="shared" si="7"/>
        <v>61-90 Days</v>
      </c>
      <c r="L151" s="58" t="str">
        <f t="shared" si="8"/>
        <v>Not Applicable</v>
      </c>
    </row>
    <row r="152" spans="1:12" ht="16.5" customHeight="1" x14ac:dyDescent="0.35">
      <c r="A152" t="s">
        <v>106</v>
      </c>
      <c r="B152" t="s">
        <v>106</v>
      </c>
      <c r="C152">
        <v>0</v>
      </c>
      <c r="D152">
        <v>50</v>
      </c>
      <c r="E152" t="s">
        <v>3681</v>
      </c>
      <c r="F152" t="s">
        <v>3681</v>
      </c>
      <c r="G152" t="s">
        <v>57</v>
      </c>
      <c r="H152" t="s">
        <v>3489</v>
      </c>
      <c r="I152" t="s">
        <v>3490</v>
      </c>
      <c r="J152" s="56">
        <f t="shared" si="6"/>
        <v>82</v>
      </c>
      <c r="K152" s="74" t="str">
        <f t="shared" si="7"/>
        <v>61-90 Days</v>
      </c>
      <c r="L152" s="58" t="str">
        <f t="shared" si="8"/>
        <v>Not Applicable</v>
      </c>
    </row>
    <row r="153" spans="1:12" ht="16.5" customHeight="1" x14ac:dyDescent="0.35">
      <c r="A153" t="s">
        <v>106</v>
      </c>
      <c r="B153" t="s">
        <v>106</v>
      </c>
      <c r="C153">
        <v>0</v>
      </c>
      <c r="D153">
        <v>1000</v>
      </c>
      <c r="E153" t="s">
        <v>3682</v>
      </c>
      <c r="F153" t="s">
        <v>3682</v>
      </c>
      <c r="G153" t="s">
        <v>57</v>
      </c>
      <c r="H153" t="s">
        <v>3532</v>
      </c>
      <c r="I153" t="s">
        <v>3490</v>
      </c>
      <c r="J153" s="56">
        <f t="shared" si="6"/>
        <v>82</v>
      </c>
      <c r="K153" s="74" t="str">
        <f t="shared" si="7"/>
        <v>61-90 Days</v>
      </c>
      <c r="L153" s="58" t="str">
        <f t="shared" si="8"/>
        <v>Not Applicable</v>
      </c>
    </row>
    <row r="154" spans="1:12" ht="16.5" customHeight="1" x14ac:dyDescent="0.35">
      <c r="A154" t="s">
        <v>106</v>
      </c>
      <c r="B154" t="s">
        <v>106</v>
      </c>
      <c r="C154">
        <v>0</v>
      </c>
      <c r="D154">
        <v>1500</v>
      </c>
      <c r="E154" t="s">
        <v>3683</v>
      </c>
      <c r="F154" t="s">
        <v>3684</v>
      </c>
      <c r="G154" t="s">
        <v>57</v>
      </c>
      <c r="H154" t="s">
        <v>3489</v>
      </c>
      <c r="I154" t="s">
        <v>3486</v>
      </c>
      <c r="J154" s="56">
        <f t="shared" si="6"/>
        <v>82</v>
      </c>
      <c r="K154" s="74" t="str">
        <f t="shared" si="7"/>
        <v>61-90 Days</v>
      </c>
      <c r="L154" s="58" t="str">
        <f t="shared" si="8"/>
        <v>Not Applicable</v>
      </c>
    </row>
    <row r="155" spans="1:12" ht="16.5" customHeight="1" x14ac:dyDescent="0.35">
      <c r="A155" t="s">
        <v>106</v>
      </c>
      <c r="B155" t="s">
        <v>106</v>
      </c>
      <c r="C155">
        <v>0</v>
      </c>
      <c r="D155">
        <v>1000</v>
      </c>
      <c r="E155" t="s">
        <v>3685</v>
      </c>
      <c r="F155" t="s">
        <v>3685</v>
      </c>
      <c r="G155" t="s">
        <v>57</v>
      </c>
      <c r="H155" t="s">
        <v>3489</v>
      </c>
      <c r="I155" t="s">
        <v>3490</v>
      </c>
      <c r="J155" s="56">
        <f t="shared" si="6"/>
        <v>82</v>
      </c>
      <c r="K155" s="74" t="str">
        <f t="shared" si="7"/>
        <v>61-90 Days</v>
      </c>
      <c r="L155" s="58" t="str">
        <f t="shared" si="8"/>
        <v>Not Applicable</v>
      </c>
    </row>
    <row r="156" spans="1:12" ht="16.5" customHeight="1" x14ac:dyDescent="0.35">
      <c r="A156" t="s">
        <v>106</v>
      </c>
      <c r="B156" t="s">
        <v>106</v>
      </c>
      <c r="C156">
        <v>0</v>
      </c>
      <c r="D156">
        <v>150</v>
      </c>
      <c r="E156" t="s">
        <v>3686</v>
      </c>
      <c r="F156" t="s">
        <v>3687</v>
      </c>
      <c r="G156" t="s">
        <v>57</v>
      </c>
      <c r="H156" t="s">
        <v>3532</v>
      </c>
      <c r="I156" t="s">
        <v>3490</v>
      </c>
      <c r="J156" s="56">
        <f t="shared" si="6"/>
        <v>82</v>
      </c>
      <c r="K156" s="74" t="str">
        <f t="shared" si="7"/>
        <v>61-90 Days</v>
      </c>
      <c r="L156" s="58" t="str">
        <f t="shared" si="8"/>
        <v>Not Applicable</v>
      </c>
    </row>
    <row r="157" spans="1:12" ht="16.5" customHeight="1" x14ac:dyDescent="0.35">
      <c r="A157" t="s">
        <v>106</v>
      </c>
      <c r="B157" t="s">
        <v>106</v>
      </c>
      <c r="C157">
        <v>0</v>
      </c>
      <c r="D157">
        <v>805</v>
      </c>
      <c r="E157" t="s">
        <v>3688</v>
      </c>
      <c r="F157" t="s">
        <v>3688</v>
      </c>
      <c r="G157" t="s">
        <v>57</v>
      </c>
      <c r="H157" t="s">
        <v>3489</v>
      </c>
      <c r="I157" t="s">
        <v>3490</v>
      </c>
      <c r="J157" s="56">
        <f t="shared" si="6"/>
        <v>82</v>
      </c>
      <c r="K157" s="74" t="str">
        <f t="shared" si="7"/>
        <v>61-90 Days</v>
      </c>
      <c r="L157" s="58" t="str">
        <f t="shared" si="8"/>
        <v>Not Applicable</v>
      </c>
    </row>
    <row r="158" spans="1:12" ht="16.5" customHeight="1" x14ac:dyDescent="0.35">
      <c r="A158" t="s">
        <v>106</v>
      </c>
      <c r="B158" t="s">
        <v>106</v>
      </c>
      <c r="C158">
        <v>0</v>
      </c>
      <c r="D158">
        <v>770</v>
      </c>
      <c r="E158" t="s">
        <v>3689</v>
      </c>
      <c r="F158" t="s">
        <v>3690</v>
      </c>
      <c r="G158" t="s">
        <v>57</v>
      </c>
      <c r="H158" t="s">
        <v>3532</v>
      </c>
      <c r="I158" t="s">
        <v>3490</v>
      </c>
      <c r="J158" s="56">
        <f t="shared" si="6"/>
        <v>82</v>
      </c>
      <c r="K158" s="74" t="str">
        <f t="shared" si="7"/>
        <v>61-90 Days</v>
      </c>
      <c r="L158" s="58" t="str">
        <f t="shared" si="8"/>
        <v>Not Applicable</v>
      </c>
    </row>
    <row r="159" spans="1:12" ht="16.5" customHeight="1" x14ac:dyDescent="0.35">
      <c r="A159" t="s">
        <v>106</v>
      </c>
      <c r="B159" t="s">
        <v>106</v>
      </c>
      <c r="C159">
        <v>0</v>
      </c>
      <c r="D159">
        <v>205</v>
      </c>
      <c r="E159" t="s">
        <v>3691</v>
      </c>
      <c r="F159" t="s">
        <v>3691</v>
      </c>
      <c r="G159" t="s">
        <v>57</v>
      </c>
      <c r="H159" t="s">
        <v>3489</v>
      </c>
      <c r="I159" t="s">
        <v>3490</v>
      </c>
      <c r="J159" s="56">
        <f t="shared" si="6"/>
        <v>82</v>
      </c>
      <c r="K159" s="74" t="str">
        <f t="shared" si="7"/>
        <v>61-90 Days</v>
      </c>
      <c r="L159" s="58" t="str">
        <f t="shared" si="8"/>
        <v>Not Applicable</v>
      </c>
    </row>
    <row r="160" spans="1:12" ht="16.5" customHeight="1" x14ac:dyDescent="0.35">
      <c r="A160" t="s">
        <v>106</v>
      </c>
      <c r="B160" t="s">
        <v>106</v>
      </c>
      <c r="C160">
        <v>0</v>
      </c>
      <c r="D160">
        <v>5000</v>
      </c>
      <c r="E160" t="s">
        <v>3692</v>
      </c>
      <c r="F160" t="s">
        <v>3692</v>
      </c>
      <c r="G160" t="s">
        <v>57</v>
      </c>
      <c r="H160" t="s">
        <v>3521</v>
      </c>
      <c r="I160" t="s">
        <v>3490</v>
      </c>
      <c r="J160" s="56">
        <f t="shared" si="6"/>
        <v>82</v>
      </c>
      <c r="K160" s="74" t="str">
        <f t="shared" si="7"/>
        <v>61-90 Days</v>
      </c>
      <c r="L160" s="58" t="str">
        <f t="shared" si="8"/>
        <v>Not Applicable</v>
      </c>
    </row>
    <row r="161" spans="1:12" ht="16.5" customHeight="1" x14ac:dyDescent="0.35">
      <c r="A161" t="s">
        <v>106</v>
      </c>
      <c r="B161" t="s">
        <v>106</v>
      </c>
      <c r="C161">
        <v>0</v>
      </c>
      <c r="D161">
        <v>1000</v>
      </c>
      <c r="E161" t="s">
        <v>3693</v>
      </c>
      <c r="F161" t="s">
        <v>3693</v>
      </c>
      <c r="G161" t="s">
        <v>57</v>
      </c>
      <c r="H161" t="s">
        <v>3489</v>
      </c>
      <c r="I161" t="s">
        <v>3490</v>
      </c>
      <c r="J161" s="56">
        <f t="shared" si="6"/>
        <v>82</v>
      </c>
      <c r="K161" s="74" t="str">
        <f t="shared" si="7"/>
        <v>61-90 Days</v>
      </c>
      <c r="L161" s="58" t="str">
        <f t="shared" si="8"/>
        <v>Not Applicable</v>
      </c>
    </row>
    <row r="162" spans="1:12" ht="16.5" customHeight="1" x14ac:dyDescent="0.35">
      <c r="A162" t="s">
        <v>106</v>
      </c>
      <c r="B162" t="s">
        <v>106</v>
      </c>
      <c r="C162">
        <v>0</v>
      </c>
      <c r="D162">
        <v>2100</v>
      </c>
      <c r="E162" t="s">
        <v>3694</v>
      </c>
      <c r="F162" t="s">
        <v>3499</v>
      </c>
      <c r="G162" t="s">
        <v>57</v>
      </c>
      <c r="H162" t="s">
        <v>3489</v>
      </c>
      <c r="I162" t="s">
        <v>3490</v>
      </c>
      <c r="J162" s="56">
        <f t="shared" si="6"/>
        <v>82</v>
      </c>
      <c r="K162" s="74" t="str">
        <f t="shared" si="7"/>
        <v>61-90 Days</v>
      </c>
      <c r="L162" s="58" t="str">
        <f t="shared" si="8"/>
        <v>Not Applicable</v>
      </c>
    </row>
    <row r="163" spans="1:12" ht="16.5" customHeight="1" x14ac:dyDescent="0.35">
      <c r="A163" t="s">
        <v>106</v>
      </c>
      <c r="B163" t="s">
        <v>106</v>
      </c>
      <c r="C163">
        <v>0</v>
      </c>
      <c r="D163">
        <v>28131.200000000001</v>
      </c>
      <c r="E163" t="s">
        <v>3695</v>
      </c>
      <c r="F163" t="s">
        <v>3696</v>
      </c>
      <c r="G163" t="s">
        <v>57</v>
      </c>
      <c r="H163" t="s">
        <v>3532</v>
      </c>
      <c r="I163" t="s">
        <v>3490</v>
      </c>
      <c r="J163" s="56">
        <f t="shared" si="6"/>
        <v>82</v>
      </c>
      <c r="K163" s="74" t="str">
        <f t="shared" si="7"/>
        <v>61-90 Days</v>
      </c>
      <c r="L163" s="58" t="str">
        <f t="shared" si="8"/>
        <v>Not Applicable</v>
      </c>
    </row>
    <row r="164" spans="1:12" ht="16.5" customHeight="1" x14ac:dyDescent="0.35">
      <c r="A164" t="s">
        <v>106</v>
      </c>
      <c r="B164" t="s">
        <v>106</v>
      </c>
      <c r="C164">
        <v>699.37</v>
      </c>
      <c r="D164">
        <v>0</v>
      </c>
      <c r="E164" t="s">
        <v>3697</v>
      </c>
      <c r="F164" t="s">
        <v>3698</v>
      </c>
      <c r="G164" t="s">
        <v>57</v>
      </c>
      <c r="H164" t="s">
        <v>3471</v>
      </c>
      <c r="I164" t="s">
        <v>3490</v>
      </c>
      <c r="J164" s="56">
        <f t="shared" si="6"/>
        <v>82</v>
      </c>
      <c r="K164" s="74" t="str">
        <f t="shared" si="7"/>
        <v>61-90 Days</v>
      </c>
      <c r="L164" s="58" t="str">
        <f t="shared" si="8"/>
        <v>Substandard</v>
      </c>
    </row>
    <row r="165" spans="1:12" ht="16.5" customHeight="1" x14ac:dyDescent="0.35">
      <c r="A165" t="s">
        <v>106</v>
      </c>
      <c r="B165" t="s">
        <v>106</v>
      </c>
      <c r="C165">
        <v>1348</v>
      </c>
      <c r="D165">
        <v>0</v>
      </c>
      <c r="E165" t="s">
        <v>3699</v>
      </c>
      <c r="F165" t="s">
        <v>3700</v>
      </c>
      <c r="G165" t="s">
        <v>57</v>
      </c>
      <c r="H165" t="s">
        <v>3485</v>
      </c>
      <c r="I165" t="s">
        <v>3490</v>
      </c>
      <c r="J165" s="56">
        <f t="shared" si="6"/>
        <v>82</v>
      </c>
      <c r="K165" s="74" t="str">
        <f t="shared" si="7"/>
        <v>61-90 Days</v>
      </c>
      <c r="L165" s="58" t="str">
        <f t="shared" si="8"/>
        <v>Substandard</v>
      </c>
    </row>
    <row r="166" spans="1:12" ht="16.5" customHeight="1" x14ac:dyDescent="0.35">
      <c r="A166" t="s">
        <v>106</v>
      </c>
      <c r="B166" t="s">
        <v>106</v>
      </c>
      <c r="C166">
        <v>23750</v>
      </c>
      <c r="D166">
        <v>0</v>
      </c>
      <c r="E166" t="s">
        <v>3701</v>
      </c>
      <c r="F166" t="s">
        <v>3702</v>
      </c>
      <c r="G166" t="s">
        <v>57</v>
      </c>
      <c r="H166" t="s">
        <v>3455</v>
      </c>
      <c r="I166" t="s">
        <v>3490</v>
      </c>
      <c r="J166" s="56">
        <f t="shared" si="6"/>
        <v>82</v>
      </c>
      <c r="K166" s="74" t="str">
        <f t="shared" si="7"/>
        <v>61-90 Days</v>
      </c>
      <c r="L166" s="58" t="str">
        <f t="shared" si="8"/>
        <v>Substandard</v>
      </c>
    </row>
    <row r="167" spans="1:12" ht="16.5" customHeight="1" x14ac:dyDescent="0.35">
      <c r="A167" t="s">
        <v>106</v>
      </c>
      <c r="B167" t="s">
        <v>106</v>
      </c>
      <c r="C167">
        <v>0</v>
      </c>
      <c r="D167">
        <v>1000</v>
      </c>
      <c r="E167" t="s">
        <v>3703</v>
      </c>
      <c r="F167" t="s">
        <v>3704</v>
      </c>
      <c r="G167" t="s">
        <v>57</v>
      </c>
      <c r="H167" t="s">
        <v>3489</v>
      </c>
      <c r="I167" t="s">
        <v>3490</v>
      </c>
      <c r="J167" s="56">
        <f t="shared" si="6"/>
        <v>82</v>
      </c>
      <c r="K167" s="74" t="str">
        <f t="shared" si="7"/>
        <v>61-90 Days</v>
      </c>
      <c r="L167" s="58" t="str">
        <f t="shared" si="8"/>
        <v>Not Applicable</v>
      </c>
    </row>
    <row r="168" spans="1:12" ht="16.5" customHeight="1" x14ac:dyDescent="0.35">
      <c r="A168" t="s">
        <v>106</v>
      </c>
      <c r="B168" t="s">
        <v>106</v>
      </c>
      <c r="C168">
        <v>0</v>
      </c>
      <c r="D168">
        <v>2050</v>
      </c>
      <c r="E168" t="s">
        <v>3705</v>
      </c>
      <c r="F168" t="s">
        <v>3705</v>
      </c>
      <c r="G168" t="s">
        <v>57</v>
      </c>
      <c r="H168" t="s">
        <v>3489</v>
      </c>
      <c r="I168" t="s">
        <v>3490</v>
      </c>
      <c r="J168" s="56">
        <f t="shared" si="6"/>
        <v>82</v>
      </c>
      <c r="K168" s="74" t="str">
        <f t="shared" si="7"/>
        <v>61-90 Days</v>
      </c>
      <c r="L168" s="58" t="str">
        <f t="shared" si="8"/>
        <v>Not Applicable</v>
      </c>
    </row>
    <row r="169" spans="1:12" ht="16.5" customHeight="1" x14ac:dyDescent="0.35">
      <c r="A169" t="s">
        <v>106</v>
      </c>
      <c r="B169" t="s">
        <v>106</v>
      </c>
      <c r="C169">
        <v>0</v>
      </c>
      <c r="D169">
        <v>820</v>
      </c>
      <c r="E169" t="s">
        <v>3706</v>
      </c>
      <c r="F169" t="s">
        <v>3706</v>
      </c>
      <c r="G169" t="s">
        <v>57</v>
      </c>
      <c r="H169" t="s">
        <v>3489</v>
      </c>
      <c r="I169" t="s">
        <v>3507</v>
      </c>
      <c r="J169" s="56">
        <f t="shared" si="6"/>
        <v>82</v>
      </c>
      <c r="K169" s="74" t="str">
        <f t="shared" si="7"/>
        <v>61-90 Days</v>
      </c>
      <c r="L169" s="58" t="str">
        <f t="shared" si="8"/>
        <v>Not Applicable</v>
      </c>
    </row>
    <row r="170" spans="1:12" ht="16.5" customHeight="1" x14ac:dyDescent="0.35">
      <c r="A170" t="s">
        <v>106</v>
      </c>
      <c r="B170" t="s">
        <v>106</v>
      </c>
      <c r="C170">
        <v>0</v>
      </c>
      <c r="D170">
        <v>3050</v>
      </c>
      <c r="E170" t="s">
        <v>3707</v>
      </c>
      <c r="F170" t="s">
        <v>3707</v>
      </c>
      <c r="G170" t="s">
        <v>57</v>
      </c>
      <c r="H170" t="s">
        <v>3489</v>
      </c>
      <c r="I170" t="s">
        <v>3490</v>
      </c>
      <c r="J170" s="56">
        <f t="shared" si="6"/>
        <v>82</v>
      </c>
      <c r="K170" s="74" t="str">
        <f t="shared" si="7"/>
        <v>61-90 Days</v>
      </c>
      <c r="L170" s="58" t="str">
        <f t="shared" si="8"/>
        <v>Not Applicable</v>
      </c>
    </row>
    <row r="171" spans="1:12" ht="16.5" customHeight="1" x14ac:dyDescent="0.35">
      <c r="A171" t="s">
        <v>106</v>
      </c>
      <c r="B171" t="s">
        <v>106</v>
      </c>
      <c r="C171">
        <v>959.97</v>
      </c>
      <c r="D171">
        <v>0</v>
      </c>
      <c r="E171" t="s">
        <v>3708</v>
      </c>
      <c r="F171" t="s">
        <v>3709</v>
      </c>
      <c r="G171" t="s">
        <v>57</v>
      </c>
      <c r="H171" t="s">
        <v>3476</v>
      </c>
      <c r="I171" t="s">
        <v>3490</v>
      </c>
      <c r="J171" s="56">
        <f t="shared" si="6"/>
        <v>82</v>
      </c>
      <c r="K171" s="74" t="str">
        <f t="shared" si="7"/>
        <v>61-90 Days</v>
      </c>
      <c r="L171" s="58" t="str">
        <f t="shared" si="8"/>
        <v>Substandard</v>
      </c>
    </row>
    <row r="172" spans="1:12" ht="16.5" customHeight="1" x14ac:dyDescent="0.35">
      <c r="A172" t="s">
        <v>106</v>
      </c>
      <c r="B172" t="s">
        <v>106</v>
      </c>
      <c r="C172">
        <v>0</v>
      </c>
      <c r="D172">
        <v>1000</v>
      </c>
      <c r="E172" t="s">
        <v>3710</v>
      </c>
      <c r="F172" t="s">
        <v>3710</v>
      </c>
      <c r="G172" t="s">
        <v>57</v>
      </c>
      <c r="H172" t="s">
        <v>3489</v>
      </c>
      <c r="I172" t="s">
        <v>3490</v>
      </c>
      <c r="J172" s="56">
        <f t="shared" si="6"/>
        <v>82</v>
      </c>
      <c r="K172" s="74" t="str">
        <f t="shared" si="7"/>
        <v>61-90 Days</v>
      </c>
      <c r="L172" s="58" t="str">
        <f t="shared" si="8"/>
        <v>Not Applicable</v>
      </c>
    </row>
    <row r="173" spans="1:12" ht="16.5" customHeight="1" x14ac:dyDescent="0.35">
      <c r="A173" t="s">
        <v>106</v>
      </c>
      <c r="B173" t="s">
        <v>106</v>
      </c>
      <c r="C173">
        <v>0</v>
      </c>
      <c r="D173">
        <v>28508.799999999999</v>
      </c>
      <c r="E173" t="s">
        <v>3711</v>
      </c>
      <c r="F173" t="s">
        <v>3712</v>
      </c>
      <c r="G173" t="s">
        <v>57</v>
      </c>
      <c r="H173" t="s">
        <v>3532</v>
      </c>
      <c r="I173" t="s">
        <v>3490</v>
      </c>
      <c r="J173" s="56">
        <f t="shared" si="6"/>
        <v>82</v>
      </c>
      <c r="K173" s="74" t="str">
        <f t="shared" si="7"/>
        <v>61-90 Days</v>
      </c>
      <c r="L173" s="58" t="str">
        <f t="shared" si="8"/>
        <v>Not Applicable</v>
      </c>
    </row>
    <row r="174" spans="1:12" ht="16.5" customHeight="1" x14ac:dyDescent="0.35">
      <c r="A174" t="s">
        <v>106</v>
      </c>
      <c r="B174" t="s">
        <v>106</v>
      </c>
      <c r="C174">
        <v>0</v>
      </c>
      <c r="D174">
        <v>250</v>
      </c>
      <c r="E174" t="s">
        <v>3713</v>
      </c>
      <c r="F174" t="s">
        <v>3714</v>
      </c>
      <c r="G174" t="s">
        <v>57</v>
      </c>
      <c r="H174" t="s">
        <v>3532</v>
      </c>
      <c r="I174" t="s">
        <v>3490</v>
      </c>
      <c r="J174" s="56">
        <f t="shared" si="6"/>
        <v>82</v>
      </c>
      <c r="K174" s="74" t="str">
        <f t="shared" si="7"/>
        <v>61-90 Days</v>
      </c>
      <c r="L174" s="58" t="str">
        <f t="shared" si="8"/>
        <v>Not Applicable</v>
      </c>
    </row>
    <row r="175" spans="1:12" ht="16.5" customHeight="1" x14ac:dyDescent="0.35">
      <c r="A175" t="s">
        <v>106</v>
      </c>
      <c r="B175" t="s">
        <v>106</v>
      </c>
      <c r="C175">
        <v>0</v>
      </c>
      <c r="D175">
        <v>1000</v>
      </c>
      <c r="E175" t="s">
        <v>3715</v>
      </c>
      <c r="F175" t="s">
        <v>3716</v>
      </c>
      <c r="G175" t="s">
        <v>57</v>
      </c>
      <c r="H175" t="s">
        <v>3489</v>
      </c>
      <c r="I175" t="s">
        <v>3490</v>
      </c>
      <c r="J175" s="56">
        <f t="shared" si="6"/>
        <v>82</v>
      </c>
      <c r="K175" s="74" t="str">
        <f t="shared" si="7"/>
        <v>61-90 Days</v>
      </c>
      <c r="L175" s="58" t="str">
        <f t="shared" si="8"/>
        <v>Not Applicable</v>
      </c>
    </row>
    <row r="176" spans="1:12" ht="16.5" customHeight="1" x14ac:dyDescent="0.35">
      <c r="A176" t="s">
        <v>106</v>
      </c>
      <c r="B176" t="s">
        <v>106</v>
      </c>
      <c r="C176">
        <v>0</v>
      </c>
      <c r="D176">
        <v>2050</v>
      </c>
      <c r="E176" t="s">
        <v>3717</v>
      </c>
      <c r="F176" t="s">
        <v>3718</v>
      </c>
      <c r="G176" t="s">
        <v>57</v>
      </c>
      <c r="H176" t="s">
        <v>3532</v>
      </c>
      <c r="I176" t="s">
        <v>3490</v>
      </c>
      <c r="J176" s="56">
        <f t="shared" si="6"/>
        <v>82</v>
      </c>
      <c r="K176" s="74" t="str">
        <f t="shared" si="7"/>
        <v>61-90 Days</v>
      </c>
      <c r="L176" s="58" t="str">
        <f t="shared" si="8"/>
        <v>Not Applicable</v>
      </c>
    </row>
    <row r="177" spans="1:12" ht="16.5" customHeight="1" x14ac:dyDescent="0.35">
      <c r="A177" t="s">
        <v>106</v>
      </c>
      <c r="B177" t="s">
        <v>106</v>
      </c>
      <c r="C177">
        <v>1600</v>
      </c>
      <c r="D177">
        <v>0</v>
      </c>
      <c r="E177" t="s">
        <v>3719</v>
      </c>
      <c r="F177" t="s">
        <v>3720</v>
      </c>
      <c r="G177" t="s">
        <v>57</v>
      </c>
      <c r="H177" t="s">
        <v>3455</v>
      </c>
      <c r="I177" t="s">
        <v>3490</v>
      </c>
      <c r="J177" s="56">
        <f t="shared" si="6"/>
        <v>82</v>
      </c>
      <c r="K177" s="74" t="str">
        <f t="shared" si="7"/>
        <v>61-90 Days</v>
      </c>
      <c r="L177" s="58" t="str">
        <f t="shared" si="8"/>
        <v>Substandard</v>
      </c>
    </row>
    <row r="178" spans="1:12" ht="16.5" customHeight="1" x14ac:dyDescent="0.35">
      <c r="A178" t="s">
        <v>106</v>
      </c>
      <c r="B178" t="s">
        <v>106</v>
      </c>
      <c r="C178">
        <v>0</v>
      </c>
      <c r="D178">
        <v>50</v>
      </c>
      <c r="E178" t="s">
        <v>3721</v>
      </c>
      <c r="F178" t="s">
        <v>3721</v>
      </c>
      <c r="G178" t="s">
        <v>57</v>
      </c>
      <c r="H178" t="s">
        <v>3489</v>
      </c>
      <c r="I178" t="s">
        <v>3490</v>
      </c>
      <c r="J178" s="56">
        <f t="shared" si="6"/>
        <v>82</v>
      </c>
      <c r="K178" s="74" t="str">
        <f t="shared" si="7"/>
        <v>61-90 Days</v>
      </c>
      <c r="L178" s="58" t="str">
        <f t="shared" si="8"/>
        <v>Not Applicable</v>
      </c>
    </row>
    <row r="179" spans="1:12" ht="16.5" customHeight="1" x14ac:dyDescent="0.35">
      <c r="A179" t="s">
        <v>106</v>
      </c>
      <c r="B179" t="s">
        <v>106</v>
      </c>
      <c r="C179">
        <v>0</v>
      </c>
      <c r="D179">
        <v>424.8</v>
      </c>
      <c r="E179" t="s">
        <v>3722</v>
      </c>
      <c r="F179" t="s">
        <v>3723</v>
      </c>
      <c r="G179" t="s">
        <v>57</v>
      </c>
      <c r="H179" t="s">
        <v>3532</v>
      </c>
      <c r="I179" t="s">
        <v>3490</v>
      </c>
      <c r="J179" s="56">
        <f t="shared" si="6"/>
        <v>82</v>
      </c>
      <c r="K179" s="74" t="str">
        <f t="shared" si="7"/>
        <v>61-90 Days</v>
      </c>
      <c r="L179" s="58" t="str">
        <f t="shared" si="8"/>
        <v>Not Applicable</v>
      </c>
    </row>
    <row r="180" spans="1:12" ht="16.5" customHeight="1" x14ac:dyDescent="0.35">
      <c r="A180" t="s">
        <v>125</v>
      </c>
      <c r="B180" t="s">
        <v>125</v>
      </c>
      <c r="C180">
        <v>5000</v>
      </c>
      <c r="D180">
        <v>0</v>
      </c>
      <c r="E180" t="s">
        <v>3724</v>
      </c>
      <c r="F180" t="s">
        <v>3724</v>
      </c>
      <c r="G180" t="s">
        <v>57</v>
      </c>
      <c r="H180" t="s">
        <v>3642</v>
      </c>
      <c r="I180" t="s">
        <v>3643</v>
      </c>
      <c r="J180" s="56">
        <f t="shared" si="6"/>
        <v>81</v>
      </c>
      <c r="K180" s="74" t="str">
        <f t="shared" si="7"/>
        <v>61-90 Days</v>
      </c>
      <c r="L180" s="58" t="str">
        <f t="shared" si="8"/>
        <v>Substandard</v>
      </c>
    </row>
    <row r="181" spans="1:12" ht="16.5" customHeight="1" x14ac:dyDescent="0.35">
      <c r="A181" t="s">
        <v>125</v>
      </c>
      <c r="B181" t="s">
        <v>125</v>
      </c>
      <c r="C181">
        <v>0</v>
      </c>
      <c r="D181">
        <v>94310.2</v>
      </c>
      <c r="E181" t="s">
        <v>3725</v>
      </c>
      <c r="F181" t="s">
        <v>3726</v>
      </c>
      <c r="G181" t="s">
        <v>57</v>
      </c>
      <c r="H181" t="s">
        <v>3532</v>
      </c>
      <c r="I181" t="s">
        <v>3490</v>
      </c>
      <c r="J181" s="56">
        <f t="shared" si="6"/>
        <v>81</v>
      </c>
      <c r="K181" s="74" t="str">
        <f t="shared" si="7"/>
        <v>61-90 Days</v>
      </c>
      <c r="L181" s="58" t="str">
        <f t="shared" si="8"/>
        <v>Not Applicable</v>
      </c>
    </row>
    <row r="182" spans="1:12" ht="16.5" customHeight="1" x14ac:dyDescent="0.35">
      <c r="A182" t="s">
        <v>125</v>
      </c>
      <c r="B182" t="s">
        <v>125</v>
      </c>
      <c r="C182">
        <v>0</v>
      </c>
      <c r="D182">
        <v>550</v>
      </c>
      <c r="E182" t="s">
        <v>3727</v>
      </c>
      <c r="F182" t="s">
        <v>3728</v>
      </c>
      <c r="G182" t="s">
        <v>57</v>
      </c>
      <c r="H182" t="s">
        <v>3532</v>
      </c>
      <c r="I182" t="s">
        <v>3490</v>
      </c>
      <c r="J182" s="56">
        <f t="shared" si="6"/>
        <v>81</v>
      </c>
      <c r="K182" s="74" t="str">
        <f t="shared" si="7"/>
        <v>61-90 Days</v>
      </c>
      <c r="L182" s="58" t="str">
        <f t="shared" si="8"/>
        <v>Not Applicable</v>
      </c>
    </row>
    <row r="183" spans="1:12" ht="16.5" customHeight="1" x14ac:dyDescent="0.35">
      <c r="A183" t="s">
        <v>125</v>
      </c>
      <c r="B183" t="s">
        <v>125</v>
      </c>
      <c r="C183">
        <v>0</v>
      </c>
      <c r="D183">
        <v>250</v>
      </c>
      <c r="E183" t="s">
        <v>3729</v>
      </c>
      <c r="F183" t="s">
        <v>3729</v>
      </c>
      <c r="G183" t="s">
        <v>57</v>
      </c>
      <c r="H183" t="s">
        <v>3489</v>
      </c>
      <c r="I183" t="s">
        <v>3490</v>
      </c>
      <c r="J183" s="56">
        <f t="shared" si="6"/>
        <v>81</v>
      </c>
      <c r="K183" s="74" t="str">
        <f t="shared" si="7"/>
        <v>61-90 Days</v>
      </c>
      <c r="L183" s="58" t="str">
        <f t="shared" si="8"/>
        <v>Not Applicable</v>
      </c>
    </row>
    <row r="184" spans="1:12" ht="16.5" customHeight="1" x14ac:dyDescent="0.35">
      <c r="A184" t="s">
        <v>125</v>
      </c>
      <c r="B184" t="s">
        <v>125</v>
      </c>
      <c r="C184">
        <v>0</v>
      </c>
      <c r="D184">
        <v>250</v>
      </c>
      <c r="E184" t="s">
        <v>3730</v>
      </c>
      <c r="F184" t="s">
        <v>3730</v>
      </c>
      <c r="G184" t="s">
        <v>57</v>
      </c>
      <c r="H184" t="s">
        <v>3489</v>
      </c>
      <c r="I184" t="s">
        <v>3490</v>
      </c>
      <c r="J184" s="56">
        <f t="shared" si="6"/>
        <v>81</v>
      </c>
      <c r="K184" s="74" t="str">
        <f t="shared" si="7"/>
        <v>61-90 Days</v>
      </c>
      <c r="L184" s="58" t="str">
        <f t="shared" si="8"/>
        <v>Not Applicable</v>
      </c>
    </row>
    <row r="185" spans="1:12" ht="16.5" customHeight="1" x14ac:dyDescent="0.35">
      <c r="A185" t="s">
        <v>125</v>
      </c>
      <c r="B185" t="s">
        <v>125</v>
      </c>
      <c r="C185">
        <v>0</v>
      </c>
      <c r="D185">
        <v>150</v>
      </c>
      <c r="E185" t="s">
        <v>3731</v>
      </c>
      <c r="F185" t="s">
        <v>3732</v>
      </c>
      <c r="G185" t="s">
        <v>57</v>
      </c>
      <c r="H185" t="s">
        <v>3532</v>
      </c>
      <c r="I185" t="s">
        <v>3490</v>
      </c>
      <c r="J185" s="56">
        <f t="shared" si="6"/>
        <v>81</v>
      </c>
      <c r="K185" s="74" t="str">
        <f t="shared" si="7"/>
        <v>61-90 Days</v>
      </c>
      <c r="L185" s="58" t="str">
        <f t="shared" si="8"/>
        <v>Not Applicable</v>
      </c>
    </row>
    <row r="186" spans="1:12" ht="16.5" customHeight="1" x14ac:dyDescent="0.35">
      <c r="A186" t="s">
        <v>125</v>
      </c>
      <c r="B186" t="s">
        <v>125</v>
      </c>
      <c r="C186">
        <v>0</v>
      </c>
      <c r="D186">
        <v>840</v>
      </c>
      <c r="E186" t="s">
        <v>3733</v>
      </c>
      <c r="F186" t="s">
        <v>3733</v>
      </c>
      <c r="G186" t="s">
        <v>57</v>
      </c>
      <c r="H186" t="s">
        <v>3489</v>
      </c>
      <c r="I186" t="s">
        <v>3490</v>
      </c>
      <c r="J186" s="56">
        <f t="shared" si="6"/>
        <v>81</v>
      </c>
      <c r="K186" s="74" t="str">
        <f t="shared" si="7"/>
        <v>61-90 Days</v>
      </c>
      <c r="L186" s="58" t="str">
        <f t="shared" si="8"/>
        <v>Not Applicable</v>
      </c>
    </row>
    <row r="187" spans="1:12" ht="16.5" customHeight="1" x14ac:dyDescent="0.35">
      <c r="A187" t="s">
        <v>125</v>
      </c>
      <c r="B187" t="s">
        <v>125</v>
      </c>
      <c r="C187">
        <v>500</v>
      </c>
      <c r="D187">
        <v>0</v>
      </c>
      <c r="E187" t="s">
        <v>3734</v>
      </c>
      <c r="F187" t="s">
        <v>3735</v>
      </c>
      <c r="G187" t="s">
        <v>57</v>
      </c>
      <c r="H187" t="s">
        <v>3485</v>
      </c>
      <c r="I187" t="s">
        <v>3490</v>
      </c>
      <c r="J187" s="56">
        <f t="shared" si="6"/>
        <v>81</v>
      </c>
      <c r="K187" s="74" t="str">
        <f t="shared" si="7"/>
        <v>61-90 Days</v>
      </c>
      <c r="L187" s="58" t="str">
        <f t="shared" si="8"/>
        <v>Substandard</v>
      </c>
    </row>
    <row r="188" spans="1:12" ht="16.5" customHeight="1" x14ac:dyDescent="0.35">
      <c r="A188" t="s">
        <v>125</v>
      </c>
      <c r="B188" t="s">
        <v>125</v>
      </c>
      <c r="C188">
        <v>0</v>
      </c>
      <c r="D188">
        <v>100</v>
      </c>
      <c r="E188" t="s">
        <v>3736</v>
      </c>
      <c r="F188" t="s">
        <v>3499</v>
      </c>
      <c r="G188" t="s">
        <v>57</v>
      </c>
      <c r="H188" t="s">
        <v>3489</v>
      </c>
      <c r="I188" t="s">
        <v>3490</v>
      </c>
      <c r="J188" s="56">
        <f t="shared" si="6"/>
        <v>81</v>
      </c>
      <c r="K188" s="74" t="str">
        <f t="shared" si="7"/>
        <v>61-90 Days</v>
      </c>
      <c r="L188" s="58" t="str">
        <f t="shared" si="8"/>
        <v>Not Applicable</v>
      </c>
    </row>
    <row r="189" spans="1:12" ht="16.5" customHeight="1" x14ac:dyDescent="0.35">
      <c r="A189" t="s">
        <v>125</v>
      </c>
      <c r="B189" t="s">
        <v>125</v>
      </c>
      <c r="C189">
        <v>0</v>
      </c>
      <c r="D189">
        <v>1000</v>
      </c>
      <c r="E189" t="s">
        <v>3737</v>
      </c>
      <c r="F189" t="s">
        <v>3737</v>
      </c>
      <c r="G189" t="s">
        <v>57</v>
      </c>
      <c r="H189" t="s">
        <v>3489</v>
      </c>
      <c r="I189" t="s">
        <v>3490</v>
      </c>
      <c r="J189" s="56">
        <f t="shared" si="6"/>
        <v>81</v>
      </c>
      <c r="K189" s="74" t="str">
        <f t="shared" si="7"/>
        <v>61-90 Days</v>
      </c>
      <c r="L189" s="58" t="str">
        <f t="shared" si="8"/>
        <v>Not Applicable</v>
      </c>
    </row>
    <row r="190" spans="1:12" ht="16.5" customHeight="1" x14ac:dyDescent="0.35">
      <c r="A190" t="s">
        <v>125</v>
      </c>
      <c r="B190" t="s">
        <v>125</v>
      </c>
      <c r="C190">
        <v>1119</v>
      </c>
      <c r="D190">
        <v>0</v>
      </c>
      <c r="E190" t="s">
        <v>3738</v>
      </c>
      <c r="F190" t="s">
        <v>3739</v>
      </c>
      <c r="G190" t="s">
        <v>57</v>
      </c>
      <c r="H190" t="s">
        <v>3466</v>
      </c>
      <c r="I190" t="s">
        <v>3490</v>
      </c>
      <c r="J190" s="56">
        <f t="shared" si="6"/>
        <v>81</v>
      </c>
      <c r="K190" s="74" t="str">
        <f t="shared" si="7"/>
        <v>61-90 Days</v>
      </c>
      <c r="L190" s="58" t="str">
        <f t="shared" si="8"/>
        <v>Substandard</v>
      </c>
    </row>
    <row r="191" spans="1:12" ht="16.5" customHeight="1" x14ac:dyDescent="0.35">
      <c r="A191" t="s">
        <v>125</v>
      </c>
      <c r="B191" t="s">
        <v>125</v>
      </c>
      <c r="C191">
        <v>0</v>
      </c>
      <c r="D191">
        <v>150</v>
      </c>
      <c r="E191" t="s">
        <v>3740</v>
      </c>
      <c r="F191" t="s">
        <v>3741</v>
      </c>
      <c r="G191" t="s">
        <v>57</v>
      </c>
      <c r="H191" t="s">
        <v>3532</v>
      </c>
      <c r="I191" t="s">
        <v>3490</v>
      </c>
      <c r="J191" s="56">
        <f t="shared" si="6"/>
        <v>81</v>
      </c>
      <c r="K191" s="74" t="str">
        <f t="shared" si="7"/>
        <v>61-90 Days</v>
      </c>
      <c r="L191" s="58" t="str">
        <f t="shared" si="8"/>
        <v>Not Applicable</v>
      </c>
    </row>
    <row r="192" spans="1:12" ht="16.5" customHeight="1" x14ac:dyDescent="0.35">
      <c r="A192" t="s">
        <v>125</v>
      </c>
      <c r="B192" t="s">
        <v>125</v>
      </c>
      <c r="C192">
        <v>491</v>
      </c>
      <c r="D192">
        <v>0</v>
      </c>
      <c r="E192" t="s">
        <v>3742</v>
      </c>
      <c r="F192" t="s">
        <v>3743</v>
      </c>
      <c r="G192" t="s">
        <v>57</v>
      </c>
      <c r="H192" t="s">
        <v>3744</v>
      </c>
      <c r="I192" t="s">
        <v>3490</v>
      </c>
      <c r="J192" s="56">
        <f t="shared" si="6"/>
        <v>81</v>
      </c>
      <c r="K192" s="74" t="str">
        <f t="shared" si="7"/>
        <v>61-90 Days</v>
      </c>
      <c r="L192" s="58" t="str">
        <f t="shared" si="8"/>
        <v>Substandard</v>
      </c>
    </row>
    <row r="193" spans="1:12" ht="16.5" customHeight="1" x14ac:dyDescent="0.35">
      <c r="A193" t="s">
        <v>125</v>
      </c>
      <c r="B193" t="s">
        <v>125</v>
      </c>
      <c r="C193">
        <v>0</v>
      </c>
      <c r="D193">
        <v>250</v>
      </c>
      <c r="E193" t="s">
        <v>3745</v>
      </c>
      <c r="F193" t="s">
        <v>3745</v>
      </c>
      <c r="G193" t="s">
        <v>57</v>
      </c>
      <c r="H193" t="s">
        <v>3489</v>
      </c>
      <c r="I193" t="s">
        <v>3490</v>
      </c>
      <c r="J193" s="56">
        <f t="shared" si="6"/>
        <v>81</v>
      </c>
      <c r="K193" s="74" t="str">
        <f t="shared" si="7"/>
        <v>61-90 Days</v>
      </c>
      <c r="L193" s="58" t="str">
        <f t="shared" si="8"/>
        <v>Not Applicable</v>
      </c>
    </row>
    <row r="194" spans="1:12" ht="16.5" customHeight="1" x14ac:dyDescent="0.35">
      <c r="A194" t="s">
        <v>125</v>
      </c>
      <c r="B194" t="s">
        <v>125</v>
      </c>
      <c r="C194">
        <v>0</v>
      </c>
      <c r="D194">
        <v>1000</v>
      </c>
      <c r="E194" t="s">
        <v>3746</v>
      </c>
      <c r="F194" t="s">
        <v>3746</v>
      </c>
      <c r="G194" t="s">
        <v>57</v>
      </c>
      <c r="H194" t="s">
        <v>3489</v>
      </c>
      <c r="I194" t="s">
        <v>3490</v>
      </c>
      <c r="J194" s="56">
        <f t="shared" si="6"/>
        <v>81</v>
      </c>
      <c r="K194" s="74" t="str">
        <f t="shared" si="7"/>
        <v>61-90 Days</v>
      </c>
      <c r="L194" s="58" t="str">
        <f t="shared" si="8"/>
        <v>Not Applicable</v>
      </c>
    </row>
    <row r="195" spans="1:12" ht="16.5" customHeight="1" x14ac:dyDescent="0.35">
      <c r="A195" t="s">
        <v>125</v>
      </c>
      <c r="B195" t="s">
        <v>125</v>
      </c>
      <c r="C195">
        <v>0</v>
      </c>
      <c r="D195">
        <v>16372.5</v>
      </c>
      <c r="E195" t="s">
        <v>3747</v>
      </c>
      <c r="F195" t="s">
        <v>3748</v>
      </c>
      <c r="G195" t="s">
        <v>57</v>
      </c>
      <c r="H195" t="s">
        <v>3532</v>
      </c>
      <c r="I195" t="s">
        <v>3490</v>
      </c>
      <c r="J195" s="56">
        <f t="shared" si="6"/>
        <v>81</v>
      </c>
      <c r="K195" s="74" t="str">
        <f t="shared" si="7"/>
        <v>61-90 Days</v>
      </c>
      <c r="L195" s="58" t="str">
        <f t="shared" si="8"/>
        <v>Not Applicable</v>
      </c>
    </row>
    <row r="196" spans="1:12" ht="16.5" customHeight="1" x14ac:dyDescent="0.35">
      <c r="A196" t="s">
        <v>125</v>
      </c>
      <c r="B196" t="s">
        <v>125</v>
      </c>
      <c r="C196">
        <v>0</v>
      </c>
      <c r="D196">
        <v>33889.599999999999</v>
      </c>
      <c r="E196" t="s">
        <v>3749</v>
      </c>
      <c r="F196" t="s">
        <v>3749</v>
      </c>
      <c r="G196" t="s">
        <v>57</v>
      </c>
      <c r="H196" t="s">
        <v>3489</v>
      </c>
      <c r="I196" t="s">
        <v>3490</v>
      </c>
      <c r="J196" s="56">
        <f t="shared" si="6"/>
        <v>81</v>
      </c>
      <c r="K196" s="74" t="str">
        <f t="shared" si="7"/>
        <v>61-90 Days</v>
      </c>
      <c r="L196" s="58" t="str">
        <f t="shared" si="8"/>
        <v>Not Applicable</v>
      </c>
    </row>
    <row r="197" spans="1:12" ht="16.5" customHeight="1" x14ac:dyDescent="0.35">
      <c r="A197" t="s">
        <v>125</v>
      </c>
      <c r="B197" t="s">
        <v>125</v>
      </c>
      <c r="C197">
        <v>0</v>
      </c>
      <c r="D197">
        <v>250</v>
      </c>
      <c r="E197" t="s">
        <v>3750</v>
      </c>
      <c r="F197" t="s">
        <v>3751</v>
      </c>
      <c r="G197" t="s">
        <v>57</v>
      </c>
      <c r="H197" t="s">
        <v>3532</v>
      </c>
      <c r="I197" t="s">
        <v>3490</v>
      </c>
      <c r="J197" s="56">
        <f t="shared" si="6"/>
        <v>81</v>
      </c>
      <c r="K197" s="74" t="str">
        <f t="shared" si="7"/>
        <v>61-90 Days</v>
      </c>
      <c r="L197" s="58" t="str">
        <f t="shared" si="8"/>
        <v>Not Applicable</v>
      </c>
    </row>
    <row r="198" spans="1:12" ht="16.5" customHeight="1" x14ac:dyDescent="0.35">
      <c r="A198" t="s">
        <v>125</v>
      </c>
      <c r="B198" t="s">
        <v>125</v>
      </c>
      <c r="C198">
        <v>1333.2</v>
      </c>
      <c r="D198">
        <v>0</v>
      </c>
      <c r="E198" t="s">
        <v>3752</v>
      </c>
      <c r="F198" t="s">
        <v>3753</v>
      </c>
      <c r="G198" t="s">
        <v>57</v>
      </c>
      <c r="H198" t="s">
        <v>3455</v>
      </c>
      <c r="I198" t="s">
        <v>3490</v>
      </c>
      <c r="J198" s="56">
        <f t="shared" si="6"/>
        <v>81</v>
      </c>
      <c r="K198" s="74" t="str">
        <f t="shared" si="7"/>
        <v>61-90 Days</v>
      </c>
      <c r="L198" s="58" t="str">
        <f t="shared" si="8"/>
        <v>Substandard</v>
      </c>
    </row>
    <row r="199" spans="1:12" ht="16.5" customHeight="1" x14ac:dyDescent="0.35">
      <c r="A199" t="s">
        <v>125</v>
      </c>
      <c r="B199" t="s">
        <v>125</v>
      </c>
      <c r="C199">
        <v>0</v>
      </c>
      <c r="D199">
        <v>2500</v>
      </c>
      <c r="E199" t="s">
        <v>3754</v>
      </c>
      <c r="F199" t="s">
        <v>3755</v>
      </c>
      <c r="G199" t="s">
        <v>57</v>
      </c>
      <c r="H199" t="s">
        <v>3532</v>
      </c>
      <c r="I199" t="s">
        <v>3490</v>
      </c>
      <c r="J199" s="56">
        <f t="shared" si="6"/>
        <v>81</v>
      </c>
      <c r="K199" s="74" t="str">
        <f t="shared" si="7"/>
        <v>61-90 Days</v>
      </c>
      <c r="L199" s="58" t="str">
        <f t="shared" si="8"/>
        <v>Not Applicable</v>
      </c>
    </row>
    <row r="200" spans="1:12" ht="16.5" customHeight="1" x14ac:dyDescent="0.35">
      <c r="A200" t="s">
        <v>125</v>
      </c>
      <c r="B200" t="s">
        <v>125</v>
      </c>
      <c r="C200">
        <v>0</v>
      </c>
      <c r="D200">
        <v>1000</v>
      </c>
      <c r="E200" t="s">
        <v>3756</v>
      </c>
      <c r="F200" t="s">
        <v>3756</v>
      </c>
      <c r="G200" t="s">
        <v>57</v>
      </c>
      <c r="H200" t="s">
        <v>3489</v>
      </c>
      <c r="I200" t="s">
        <v>3490</v>
      </c>
      <c r="J200" s="56">
        <f t="shared" si="6"/>
        <v>81</v>
      </c>
      <c r="K200" s="74" t="str">
        <f t="shared" si="7"/>
        <v>61-90 Days</v>
      </c>
      <c r="L200" s="58" t="str">
        <f t="shared" si="8"/>
        <v>Not Applicable</v>
      </c>
    </row>
    <row r="201" spans="1:12" ht="16.5" customHeight="1" x14ac:dyDescent="0.35">
      <c r="A201" t="s">
        <v>125</v>
      </c>
      <c r="B201" t="s">
        <v>125</v>
      </c>
      <c r="C201">
        <v>399.18</v>
      </c>
      <c r="D201">
        <v>0</v>
      </c>
      <c r="E201" t="s">
        <v>3757</v>
      </c>
      <c r="F201" t="s">
        <v>3758</v>
      </c>
      <c r="G201" t="s">
        <v>57</v>
      </c>
      <c r="H201" t="s">
        <v>3458</v>
      </c>
      <c r="I201" t="s">
        <v>3490</v>
      </c>
      <c r="J201" s="56">
        <f t="shared" ref="J201:J264" si="9">IF(A201="","",A$5-A201)</f>
        <v>81</v>
      </c>
      <c r="K201" s="74" t="str">
        <f t="shared" ref="K201:K264" si="10">IF(J201="","",IF(J201&lt;4,"0-3 Days",IF(J201&lt;31,"4-30 Days",IF(J201&lt;61,"31-60 Days",IF(J201&lt;=90,"61-90 Days",IF(J201&gt;90,"Above 90 Days","0"))))))</f>
        <v>61-90 Days</v>
      </c>
      <c r="L201" s="58" t="str">
        <f t="shared" ref="L201:L264" si="11">IF(C201="","",IF(C201&gt;0,IF(J201&lt;30,"Normal",IF(J201&lt;60,"Especially Mentioned",IF(J201&lt;90,"Substandard",IF(J201&lt;=180,"Doubtful",IF(J201&gt;180,"Loss","0"))))),"Not Applicable"))</f>
        <v>Substandard</v>
      </c>
    </row>
    <row r="202" spans="1:12" ht="16.5" customHeight="1" x14ac:dyDescent="0.35">
      <c r="A202" t="s">
        <v>125</v>
      </c>
      <c r="B202" t="s">
        <v>125</v>
      </c>
      <c r="C202">
        <v>0</v>
      </c>
      <c r="D202">
        <v>1000</v>
      </c>
      <c r="E202" t="s">
        <v>3759</v>
      </c>
      <c r="F202" t="s">
        <v>3760</v>
      </c>
      <c r="G202" t="s">
        <v>57</v>
      </c>
      <c r="H202" t="s">
        <v>3489</v>
      </c>
      <c r="I202" t="s">
        <v>3490</v>
      </c>
      <c r="J202" s="56">
        <f t="shared" si="9"/>
        <v>81</v>
      </c>
      <c r="K202" s="74" t="str">
        <f t="shared" si="10"/>
        <v>61-90 Days</v>
      </c>
      <c r="L202" s="58" t="str">
        <f t="shared" si="11"/>
        <v>Not Applicable</v>
      </c>
    </row>
    <row r="203" spans="1:12" ht="16.5" customHeight="1" x14ac:dyDescent="0.35">
      <c r="A203" t="s">
        <v>125</v>
      </c>
      <c r="B203" t="s">
        <v>125</v>
      </c>
      <c r="C203">
        <v>0</v>
      </c>
      <c r="D203">
        <v>1000</v>
      </c>
      <c r="E203" t="s">
        <v>3761</v>
      </c>
      <c r="F203" t="s">
        <v>3761</v>
      </c>
      <c r="G203" t="s">
        <v>57</v>
      </c>
      <c r="H203" t="s">
        <v>3489</v>
      </c>
      <c r="I203" t="s">
        <v>3490</v>
      </c>
      <c r="J203" s="56">
        <f t="shared" si="9"/>
        <v>81</v>
      </c>
      <c r="K203" s="74" t="str">
        <f t="shared" si="10"/>
        <v>61-90 Days</v>
      </c>
      <c r="L203" s="58" t="str">
        <f t="shared" si="11"/>
        <v>Not Applicable</v>
      </c>
    </row>
    <row r="204" spans="1:12" ht="16.5" customHeight="1" x14ac:dyDescent="0.35">
      <c r="A204" t="s">
        <v>125</v>
      </c>
      <c r="B204" t="s">
        <v>125</v>
      </c>
      <c r="C204">
        <v>0</v>
      </c>
      <c r="D204">
        <v>1000</v>
      </c>
      <c r="E204" t="s">
        <v>3762</v>
      </c>
      <c r="F204" t="s">
        <v>3762</v>
      </c>
      <c r="G204" t="s">
        <v>57</v>
      </c>
      <c r="H204" t="s">
        <v>3489</v>
      </c>
      <c r="I204" t="s">
        <v>3490</v>
      </c>
      <c r="J204" s="56">
        <f t="shared" si="9"/>
        <v>81</v>
      </c>
      <c r="K204" s="74" t="str">
        <f t="shared" si="10"/>
        <v>61-90 Days</v>
      </c>
      <c r="L204" s="58" t="str">
        <f t="shared" si="11"/>
        <v>Not Applicable</v>
      </c>
    </row>
    <row r="205" spans="1:12" ht="16.5" customHeight="1" x14ac:dyDescent="0.35">
      <c r="A205" t="s">
        <v>125</v>
      </c>
      <c r="B205" t="s">
        <v>125</v>
      </c>
      <c r="C205">
        <v>0</v>
      </c>
      <c r="D205">
        <v>265.5</v>
      </c>
      <c r="E205" t="s">
        <v>3763</v>
      </c>
      <c r="F205" t="s">
        <v>3764</v>
      </c>
      <c r="G205" t="s">
        <v>57</v>
      </c>
      <c r="H205" t="s">
        <v>3532</v>
      </c>
      <c r="I205" t="s">
        <v>3490</v>
      </c>
      <c r="J205" s="56">
        <f t="shared" si="9"/>
        <v>81</v>
      </c>
      <c r="K205" s="74" t="str">
        <f t="shared" si="10"/>
        <v>61-90 Days</v>
      </c>
      <c r="L205" s="58" t="str">
        <f t="shared" si="11"/>
        <v>Not Applicable</v>
      </c>
    </row>
    <row r="206" spans="1:12" ht="16.5" customHeight="1" x14ac:dyDescent="0.35">
      <c r="A206" t="s">
        <v>125</v>
      </c>
      <c r="B206" t="s">
        <v>125</v>
      </c>
      <c r="C206">
        <v>0</v>
      </c>
      <c r="D206">
        <v>250</v>
      </c>
      <c r="E206" t="s">
        <v>3765</v>
      </c>
      <c r="F206" t="s">
        <v>3765</v>
      </c>
      <c r="G206" t="s">
        <v>57</v>
      </c>
      <c r="H206" t="s">
        <v>3489</v>
      </c>
      <c r="I206" t="s">
        <v>3490</v>
      </c>
      <c r="J206" s="56">
        <f t="shared" si="9"/>
        <v>81</v>
      </c>
      <c r="K206" s="74" t="str">
        <f t="shared" si="10"/>
        <v>61-90 Days</v>
      </c>
      <c r="L206" s="58" t="str">
        <f t="shared" si="11"/>
        <v>Not Applicable</v>
      </c>
    </row>
    <row r="207" spans="1:12" ht="16.5" customHeight="1" x14ac:dyDescent="0.35">
      <c r="A207" t="s">
        <v>125</v>
      </c>
      <c r="B207" t="s">
        <v>125</v>
      </c>
      <c r="C207">
        <v>0</v>
      </c>
      <c r="D207">
        <v>600</v>
      </c>
      <c r="E207" t="s">
        <v>3766</v>
      </c>
      <c r="F207" t="s">
        <v>3766</v>
      </c>
      <c r="G207" t="s">
        <v>57</v>
      </c>
      <c r="H207" t="s">
        <v>3489</v>
      </c>
      <c r="I207" t="s">
        <v>3490</v>
      </c>
      <c r="J207" s="56">
        <f t="shared" si="9"/>
        <v>81</v>
      </c>
      <c r="K207" s="74" t="str">
        <f t="shared" si="10"/>
        <v>61-90 Days</v>
      </c>
      <c r="L207" s="58" t="str">
        <f t="shared" si="11"/>
        <v>Not Applicable</v>
      </c>
    </row>
    <row r="208" spans="1:12" ht="16.5" customHeight="1" x14ac:dyDescent="0.35">
      <c r="A208" t="s">
        <v>125</v>
      </c>
      <c r="B208" t="s">
        <v>125</v>
      </c>
      <c r="C208">
        <v>0</v>
      </c>
      <c r="D208">
        <v>82692.72</v>
      </c>
      <c r="E208" t="s">
        <v>3767</v>
      </c>
      <c r="F208" t="s">
        <v>3768</v>
      </c>
      <c r="G208" t="s">
        <v>57</v>
      </c>
      <c r="H208" t="s">
        <v>3532</v>
      </c>
      <c r="I208" t="s">
        <v>3490</v>
      </c>
      <c r="J208" s="56">
        <f t="shared" si="9"/>
        <v>81</v>
      </c>
      <c r="K208" s="74" t="str">
        <f t="shared" si="10"/>
        <v>61-90 Days</v>
      </c>
      <c r="L208" s="58" t="str">
        <f t="shared" si="11"/>
        <v>Not Applicable</v>
      </c>
    </row>
    <row r="209" spans="1:12" ht="16.5" customHeight="1" x14ac:dyDescent="0.35">
      <c r="A209" t="s">
        <v>125</v>
      </c>
      <c r="B209" t="s">
        <v>125</v>
      </c>
      <c r="C209">
        <v>0</v>
      </c>
      <c r="D209">
        <v>840</v>
      </c>
      <c r="E209" t="s">
        <v>3769</v>
      </c>
      <c r="F209" t="s">
        <v>3769</v>
      </c>
      <c r="G209" t="s">
        <v>57</v>
      </c>
      <c r="H209" t="s">
        <v>3521</v>
      </c>
      <c r="I209" t="s">
        <v>3490</v>
      </c>
      <c r="J209" s="56">
        <f t="shared" si="9"/>
        <v>81</v>
      </c>
      <c r="K209" s="74" t="str">
        <f t="shared" si="10"/>
        <v>61-90 Days</v>
      </c>
      <c r="L209" s="58" t="str">
        <f t="shared" si="11"/>
        <v>Not Applicable</v>
      </c>
    </row>
    <row r="210" spans="1:12" ht="16.5" customHeight="1" x14ac:dyDescent="0.35">
      <c r="A210" t="s">
        <v>125</v>
      </c>
      <c r="B210" t="s">
        <v>125</v>
      </c>
      <c r="C210">
        <v>38.14</v>
      </c>
      <c r="D210">
        <v>0</v>
      </c>
      <c r="E210" t="s">
        <v>3770</v>
      </c>
      <c r="F210" t="s">
        <v>3771</v>
      </c>
      <c r="G210" t="s">
        <v>57</v>
      </c>
      <c r="H210" t="s">
        <v>3485</v>
      </c>
      <c r="I210" t="s">
        <v>3490</v>
      </c>
      <c r="J210" s="56">
        <f t="shared" si="9"/>
        <v>81</v>
      </c>
      <c r="K210" s="74" t="str">
        <f t="shared" si="10"/>
        <v>61-90 Days</v>
      </c>
      <c r="L210" s="58" t="str">
        <f t="shared" si="11"/>
        <v>Substandard</v>
      </c>
    </row>
    <row r="211" spans="1:12" ht="16.5" customHeight="1" x14ac:dyDescent="0.35">
      <c r="A211" t="s">
        <v>125</v>
      </c>
      <c r="B211" t="s">
        <v>125</v>
      </c>
      <c r="C211">
        <v>52000</v>
      </c>
      <c r="D211">
        <v>0</v>
      </c>
      <c r="E211" t="s">
        <v>3772</v>
      </c>
      <c r="F211" t="s">
        <v>3773</v>
      </c>
      <c r="G211" t="s">
        <v>57</v>
      </c>
      <c r="H211" t="s">
        <v>3455</v>
      </c>
      <c r="I211" t="s">
        <v>3490</v>
      </c>
      <c r="J211" s="56">
        <f t="shared" si="9"/>
        <v>81</v>
      </c>
      <c r="K211" s="74" t="str">
        <f t="shared" si="10"/>
        <v>61-90 Days</v>
      </c>
      <c r="L211" s="58" t="str">
        <f t="shared" si="11"/>
        <v>Substandard</v>
      </c>
    </row>
    <row r="212" spans="1:12" ht="16.5" customHeight="1" x14ac:dyDescent="0.35">
      <c r="A212" t="s">
        <v>125</v>
      </c>
      <c r="B212" t="s">
        <v>125</v>
      </c>
      <c r="C212">
        <v>0</v>
      </c>
      <c r="D212">
        <v>100</v>
      </c>
      <c r="E212" t="s">
        <v>3774</v>
      </c>
      <c r="F212" t="s">
        <v>3775</v>
      </c>
      <c r="G212" t="s">
        <v>57</v>
      </c>
      <c r="H212" t="s">
        <v>3532</v>
      </c>
      <c r="I212" t="s">
        <v>3490</v>
      </c>
      <c r="J212" s="56">
        <f t="shared" si="9"/>
        <v>81</v>
      </c>
      <c r="K212" s="74" t="str">
        <f t="shared" si="10"/>
        <v>61-90 Days</v>
      </c>
      <c r="L212" s="58" t="str">
        <f t="shared" si="11"/>
        <v>Not Applicable</v>
      </c>
    </row>
    <row r="213" spans="1:12" ht="16.5" customHeight="1" x14ac:dyDescent="0.35">
      <c r="A213" t="s">
        <v>125</v>
      </c>
      <c r="B213" t="s">
        <v>125</v>
      </c>
      <c r="C213">
        <v>0</v>
      </c>
      <c r="D213">
        <v>150</v>
      </c>
      <c r="E213" t="s">
        <v>3776</v>
      </c>
      <c r="F213" t="s">
        <v>3777</v>
      </c>
      <c r="G213" t="s">
        <v>57</v>
      </c>
      <c r="H213" t="s">
        <v>3532</v>
      </c>
      <c r="I213" t="s">
        <v>3490</v>
      </c>
      <c r="J213" s="56">
        <f t="shared" si="9"/>
        <v>81</v>
      </c>
      <c r="K213" s="74" t="str">
        <f t="shared" si="10"/>
        <v>61-90 Days</v>
      </c>
      <c r="L213" s="58" t="str">
        <f t="shared" si="11"/>
        <v>Not Applicable</v>
      </c>
    </row>
    <row r="214" spans="1:12" ht="16.5" customHeight="1" x14ac:dyDescent="0.35">
      <c r="A214" t="s">
        <v>125</v>
      </c>
      <c r="B214" t="s">
        <v>125</v>
      </c>
      <c r="C214">
        <v>4350</v>
      </c>
      <c r="D214">
        <v>0</v>
      </c>
      <c r="E214" t="s">
        <v>3778</v>
      </c>
      <c r="F214" t="s">
        <v>3779</v>
      </c>
      <c r="G214" t="s">
        <v>57</v>
      </c>
      <c r="H214" t="s">
        <v>3455</v>
      </c>
      <c r="I214" t="s">
        <v>3490</v>
      </c>
      <c r="J214" s="56">
        <f t="shared" si="9"/>
        <v>81</v>
      </c>
      <c r="K214" s="74" t="str">
        <f t="shared" si="10"/>
        <v>61-90 Days</v>
      </c>
      <c r="L214" s="58" t="str">
        <f t="shared" si="11"/>
        <v>Substandard</v>
      </c>
    </row>
    <row r="215" spans="1:12" ht="16.5" customHeight="1" x14ac:dyDescent="0.35">
      <c r="A215" t="s">
        <v>125</v>
      </c>
      <c r="B215" t="s">
        <v>125</v>
      </c>
      <c r="C215">
        <v>300</v>
      </c>
      <c r="D215">
        <v>0</v>
      </c>
      <c r="E215" t="s">
        <v>3780</v>
      </c>
      <c r="F215" t="s">
        <v>3781</v>
      </c>
      <c r="G215" t="s">
        <v>57</v>
      </c>
      <c r="H215" t="s">
        <v>3782</v>
      </c>
      <c r="I215" t="s">
        <v>3490</v>
      </c>
      <c r="J215" s="56">
        <f t="shared" si="9"/>
        <v>81</v>
      </c>
      <c r="K215" s="74" t="str">
        <f t="shared" si="10"/>
        <v>61-90 Days</v>
      </c>
      <c r="L215" s="58" t="str">
        <f t="shared" si="11"/>
        <v>Substandard</v>
      </c>
    </row>
    <row r="216" spans="1:12" ht="16.5" customHeight="1" x14ac:dyDescent="0.35">
      <c r="A216" t="s">
        <v>125</v>
      </c>
      <c r="B216" t="s">
        <v>125</v>
      </c>
      <c r="C216">
        <v>500</v>
      </c>
      <c r="D216">
        <v>0</v>
      </c>
      <c r="E216" t="s">
        <v>3783</v>
      </c>
      <c r="F216" t="s">
        <v>3784</v>
      </c>
      <c r="G216" t="s">
        <v>57</v>
      </c>
      <c r="H216" t="s">
        <v>3744</v>
      </c>
      <c r="I216" t="s">
        <v>3490</v>
      </c>
      <c r="J216" s="56">
        <f t="shared" si="9"/>
        <v>81</v>
      </c>
      <c r="K216" s="74" t="str">
        <f t="shared" si="10"/>
        <v>61-90 Days</v>
      </c>
      <c r="L216" s="58" t="str">
        <f t="shared" si="11"/>
        <v>Substandard</v>
      </c>
    </row>
    <row r="217" spans="1:12" ht="16.5" customHeight="1" x14ac:dyDescent="0.35">
      <c r="A217" t="s">
        <v>125</v>
      </c>
      <c r="B217" t="s">
        <v>125</v>
      </c>
      <c r="C217">
        <v>624.33000000000004</v>
      </c>
      <c r="D217">
        <v>0</v>
      </c>
      <c r="E217" t="s">
        <v>3785</v>
      </c>
      <c r="F217" t="s">
        <v>3786</v>
      </c>
      <c r="G217" t="s">
        <v>57</v>
      </c>
      <c r="H217" t="s">
        <v>3455</v>
      </c>
      <c r="I217" t="s">
        <v>3490</v>
      </c>
      <c r="J217" s="56">
        <f t="shared" si="9"/>
        <v>81</v>
      </c>
      <c r="K217" s="74" t="str">
        <f t="shared" si="10"/>
        <v>61-90 Days</v>
      </c>
      <c r="L217" s="58" t="str">
        <f t="shared" si="11"/>
        <v>Substandard</v>
      </c>
    </row>
    <row r="218" spans="1:12" ht="16.5" customHeight="1" x14ac:dyDescent="0.35">
      <c r="A218" t="s">
        <v>125</v>
      </c>
      <c r="B218" t="s">
        <v>125</v>
      </c>
      <c r="C218">
        <v>0</v>
      </c>
      <c r="D218">
        <v>150</v>
      </c>
      <c r="E218" t="s">
        <v>3787</v>
      </c>
      <c r="F218" t="s">
        <v>3788</v>
      </c>
      <c r="G218" t="s">
        <v>57</v>
      </c>
      <c r="H218" t="s">
        <v>3532</v>
      </c>
      <c r="I218" t="s">
        <v>3490</v>
      </c>
      <c r="J218" s="56">
        <f t="shared" si="9"/>
        <v>81</v>
      </c>
      <c r="K218" s="74" t="str">
        <f t="shared" si="10"/>
        <v>61-90 Days</v>
      </c>
      <c r="L218" s="58" t="str">
        <f t="shared" si="11"/>
        <v>Not Applicable</v>
      </c>
    </row>
    <row r="219" spans="1:12" ht="16.5" customHeight="1" x14ac:dyDescent="0.35">
      <c r="A219" t="s">
        <v>125</v>
      </c>
      <c r="B219" t="s">
        <v>125</v>
      </c>
      <c r="C219">
        <v>0</v>
      </c>
      <c r="D219">
        <v>250</v>
      </c>
      <c r="E219" t="s">
        <v>3789</v>
      </c>
      <c r="F219" t="s">
        <v>3790</v>
      </c>
      <c r="G219" t="s">
        <v>57</v>
      </c>
      <c r="H219" t="s">
        <v>3532</v>
      </c>
      <c r="I219" t="s">
        <v>3490</v>
      </c>
      <c r="J219" s="56">
        <f t="shared" si="9"/>
        <v>81</v>
      </c>
      <c r="K219" s="74" t="str">
        <f t="shared" si="10"/>
        <v>61-90 Days</v>
      </c>
      <c r="L219" s="58" t="str">
        <f t="shared" si="11"/>
        <v>Not Applicable</v>
      </c>
    </row>
    <row r="220" spans="1:12" ht="16.5" customHeight="1" x14ac:dyDescent="0.35">
      <c r="A220" t="s">
        <v>125</v>
      </c>
      <c r="B220" t="s">
        <v>125</v>
      </c>
      <c r="C220">
        <v>0</v>
      </c>
      <c r="D220">
        <v>100</v>
      </c>
      <c r="E220" t="s">
        <v>3791</v>
      </c>
      <c r="F220" t="s">
        <v>3791</v>
      </c>
      <c r="G220" t="s">
        <v>57</v>
      </c>
      <c r="H220" t="s">
        <v>3489</v>
      </c>
      <c r="I220" t="s">
        <v>3490</v>
      </c>
      <c r="J220" s="56">
        <f t="shared" si="9"/>
        <v>81</v>
      </c>
      <c r="K220" s="74" t="str">
        <f t="shared" si="10"/>
        <v>61-90 Days</v>
      </c>
      <c r="L220" s="58" t="str">
        <f t="shared" si="11"/>
        <v>Not Applicable</v>
      </c>
    </row>
    <row r="221" spans="1:12" ht="16.5" customHeight="1" x14ac:dyDescent="0.35">
      <c r="A221" t="s">
        <v>125</v>
      </c>
      <c r="B221" t="s">
        <v>125</v>
      </c>
      <c r="C221">
        <v>0</v>
      </c>
      <c r="D221">
        <v>70.8</v>
      </c>
      <c r="E221" t="s">
        <v>3792</v>
      </c>
      <c r="F221" t="s">
        <v>3793</v>
      </c>
      <c r="G221" t="s">
        <v>57</v>
      </c>
      <c r="H221" t="s">
        <v>3532</v>
      </c>
      <c r="I221" t="s">
        <v>3490</v>
      </c>
      <c r="J221" s="56">
        <f t="shared" si="9"/>
        <v>81</v>
      </c>
      <c r="K221" s="74" t="str">
        <f t="shared" si="10"/>
        <v>61-90 Days</v>
      </c>
      <c r="L221" s="58" t="str">
        <f t="shared" si="11"/>
        <v>Not Applicable</v>
      </c>
    </row>
    <row r="222" spans="1:12" ht="16.5" customHeight="1" x14ac:dyDescent="0.35">
      <c r="A222" t="s">
        <v>125</v>
      </c>
      <c r="B222" t="s">
        <v>125</v>
      </c>
      <c r="C222">
        <v>20000</v>
      </c>
      <c r="D222">
        <v>0</v>
      </c>
      <c r="E222" t="s">
        <v>3794</v>
      </c>
      <c r="F222" t="s">
        <v>3795</v>
      </c>
      <c r="G222" t="s">
        <v>57</v>
      </c>
      <c r="H222" t="s">
        <v>3466</v>
      </c>
      <c r="I222" t="s">
        <v>3490</v>
      </c>
      <c r="J222" s="56">
        <f t="shared" si="9"/>
        <v>81</v>
      </c>
      <c r="K222" s="74" t="str">
        <f t="shared" si="10"/>
        <v>61-90 Days</v>
      </c>
      <c r="L222" s="58" t="str">
        <f t="shared" si="11"/>
        <v>Substandard</v>
      </c>
    </row>
    <row r="223" spans="1:12" ht="16.5" customHeight="1" x14ac:dyDescent="0.35">
      <c r="A223" t="s">
        <v>125</v>
      </c>
      <c r="B223" t="s">
        <v>125</v>
      </c>
      <c r="C223">
        <v>0</v>
      </c>
      <c r="D223">
        <v>1000</v>
      </c>
      <c r="E223" t="s">
        <v>3796</v>
      </c>
      <c r="F223" t="s">
        <v>3796</v>
      </c>
      <c r="G223" t="s">
        <v>57</v>
      </c>
      <c r="H223" t="s">
        <v>3489</v>
      </c>
      <c r="I223" t="s">
        <v>3490</v>
      </c>
      <c r="J223" s="56">
        <f t="shared" si="9"/>
        <v>81</v>
      </c>
      <c r="K223" s="74" t="str">
        <f t="shared" si="10"/>
        <v>61-90 Days</v>
      </c>
      <c r="L223" s="58" t="str">
        <f t="shared" si="11"/>
        <v>Not Applicable</v>
      </c>
    </row>
    <row r="224" spans="1:12" ht="16.5" customHeight="1" x14ac:dyDescent="0.35">
      <c r="A224" t="s">
        <v>125</v>
      </c>
      <c r="B224" t="s">
        <v>125</v>
      </c>
      <c r="C224">
        <v>0</v>
      </c>
      <c r="D224">
        <v>500</v>
      </c>
      <c r="E224" t="s">
        <v>3797</v>
      </c>
      <c r="F224" t="s">
        <v>3499</v>
      </c>
      <c r="G224" t="s">
        <v>57</v>
      </c>
      <c r="H224" t="s">
        <v>3489</v>
      </c>
      <c r="I224" t="s">
        <v>3490</v>
      </c>
      <c r="J224" s="56">
        <f t="shared" si="9"/>
        <v>81</v>
      </c>
      <c r="K224" s="74" t="str">
        <f t="shared" si="10"/>
        <v>61-90 Days</v>
      </c>
      <c r="L224" s="58" t="str">
        <f t="shared" si="11"/>
        <v>Not Applicable</v>
      </c>
    </row>
    <row r="225" spans="1:12" ht="16.5" customHeight="1" x14ac:dyDescent="0.35">
      <c r="A225" t="s">
        <v>125</v>
      </c>
      <c r="B225" t="s">
        <v>125</v>
      </c>
      <c r="C225">
        <v>0</v>
      </c>
      <c r="D225">
        <v>500</v>
      </c>
      <c r="E225" t="s">
        <v>3798</v>
      </c>
      <c r="F225" t="s">
        <v>3798</v>
      </c>
      <c r="G225" t="s">
        <v>57</v>
      </c>
      <c r="H225" t="s">
        <v>3489</v>
      </c>
      <c r="I225" t="s">
        <v>3490</v>
      </c>
      <c r="J225" s="56">
        <f t="shared" si="9"/>
        <v>81</v>
      </c>
      <c r="K225" s="74" t="str">
        <f t="shared" si="10"/>
        <v>61-90 Days</v>
      </c>
      <c r="L225" s="58" t="str">
        <f t="shared" si="11"/>
        <v>Not Applicable</v>
      </c>
    </row>
    <row r="226" spans="1:12" ht="16.5" customHeight="1" x14ac:dyDescent="0.35">
      <c r="A226" t="s">
        <v>125</v>
      </c>
      <c r="B226" t="s">
        <v>125</v>
      </c>
      <c r="C226">
        <v>0</v>
      </c>
      <c r="D226">
        <v>17110</v>
      </c>
      <c r="E226" t="s">
        <v>3799</v>
      </c>
      <c r="F226" t="s">
        <v>3800</v>
      </c>
      <c r="G226" t="s">
        <v>57</v>
      </c>
      <c r="H226" t="s">
        <v>3532</v>
      </c>
      <c r="I226" t="s">
        <v>3490</v>
      </c>
      <c r="J226" s="56">
        <f t="shared" si="9"/>
        <v>81</v>
      </c>
      <c r="K226" s="74" t="str">
        <f t="shared" si="10"/>
        <v>61-90 Days</v>
      </c>
      <c r="L226" s="58" t="str">
        <f t="shared" si="11"/>
        <v>Not Applicable</v>
      </c>
    </row>
    <row r="227" spans="1:12" ht="16.5" customHeight="1" x14ac:dyDescent="0.35">
      <c r="A227" t="s">
        <v>125</v>
      </c>
      <c r="B227" t="s">
        <v>125</v>
      </c>
      <c r="C227">
        <v>0</v>
      </c>
      <c r="D227">
        <v>1000</v>
      </c>
      <c r="E227" t="s">
        <v>3801</v>
      </c>
      <c r="F227" t="s">
        <v>3802</v>
      </c>
      <c r="G227" t="s">
        <v>57</v>
      </c>
      <c r="H227" t="s">
        <v>3489</v>
      </c>
      <c r="I227" t="s">
        <v>3490</v>
      </c>
      <c r="J227" s="56">
        <f t="shared" si="9"/>
        <v>81</v>
      </c>
      <c r="K227" s="74" t="str">
        <f t="shared" si="10"/>
        <v>61-90 Days</v>
      </c>
      <c r="L227" s="58" t="str">
        <f t="shared" si="11"/>
        <v>Not Applicable</v>
      </c>
    </row>
    <row r="228" spans="1:12" ht="16.5" customHeight="1" x14ac:dyDescent="0.35">
      <c r="A228" t="s">
        <v>125</v>
      </c>
      <c r="B228" t="s">
        <v>125</v>
      </c>
      <c r="C228">
        <v>240</v>
      </c>
      <c r="D228">
        <v>0</v>
      </c>
      <c r="E228" t="s">
        <v>3803</v>
      </c>
      <c r="F228" t="s">
        <v>3804</v>
      </c>
      <c r="G228" t="s">
        <v>57</v>
      </c>
      <c r="H228" t="s">
        <v>3805</v>
      </c>
      <c r="I228" t="s">
        <v>3490</v>
      </c>
      <c r="J228" s="56">
        <f t="shared" si="9"/>
        <v>81</v>
      </c>
      <c r="K228" s="74" t="str">
        <f t="shared" si="10"/>
        <v>61-90 Days</v>
      </c>
      <c r="L228" s="58" t="str">
        <f t="shared" si="11"/>
        <v>Substandard</v>
      </c>
    </row>
    <row r="229" spans="1:12" ht="16.5" customHeight="1" x14ac:dyDescent="0.35">
      <c r="A229" t="s">
        <v>125</v>
      </c>
      <c r="B229" t="s">
        <v>125</v>
      </c>
      <c r="C229">
        <v>0</v>
      </c>
      <c r="D229">
        <v>1000</v>
      </c>
      <c r="E229" t="s">
        <v>3806</v>
      </c>
      <c r="F229" t="s">
        <v>3806</v>
      </c>
      <c r="G229" t="s">
        <v>57</v>
      </c>
      <c r="H229" t="s">
        <v>3489</v>
      </c>
      <c r="I229" t="s">
        <v>3490</v>
      </c>
      <c r="J229" s="56">
        <f t="shared" si="9"/>
        <v>81</v>
      </c>
      <c r="K229" s="74" t="str">
        <f t="shared" si="10"/>
        <v>61-90 Days</v>
      </c>
      <c r="L229" s="58" t="str">
        <f t="shared" si="11"/>
        <v>Not Applicable</v>
      </c>
    </row>
    <row r="230" spans="1:12" ht="16.5" customHeight="1" x14ac:dyDescent="0.35">
      <c r="A230" t="s">
        <v>125</v>
      </c>
      <c r="B230" t="s">
        <v>125</v>
      </c>
      <c r="C230">
        <v>0</v>
      </c>
      <c r="D230">
        <v>1000</v>
      </c>
      <c r="E230" t="s">
        <v>3807</v>
      </c>
      <c r="F230" t="s">
        <v>3807</v>
      </c>
      <c r="G230" t="s">
        <v>57</v>
      </c>
      <c r="H230" t="s">
        <v>3489</v>
      </c>
      <c r="I230" t="s">
        <v>3490</v>
      </c>
      <c r="J230" s="56">
        <f t="shared" si="9"/>
        <v>81</v>
      </c>
      <c r="K230" s="74" t="str">
        <f t="shared" si="10"/>
        <v>61-90 Days</v>
      </c>
      <c r="L230" s="58" t="str">
        <f t="shared" si="11"/>
        <v>Not Applicable</v>
      </c>
    </row>
    <row r="231" spans="1:12" ht="16.5" customHeight="1" x14ac:dyDescent="0.35">
      <c r="A231" t="s">
        <v>125</v>
      </c>
      <c r="B231" t="s">
        <v>125</v>
      </c>
      <c r="C231">
        <v>0</v>
      </c>
      <c r="D231">
        <v>1000</v>
      </c>
      <c r="E231" t="s">
        <v>3808</v>
      </c>
      <c r="F231" t="s">
        <v>3808</v>
      </c>
      <c r="G231" t="s">
        <v>57</v>
      </c>
      <c r="H231" t="s">
        <v>3489</v>
      </c>
      <c r="I231" t="s">
        <v>3490</v>
      </c>
      <c r="J231" s="56">
        <f t="shared" si="9"/>
        <v>81</v>
      </c>
      <c r="K231" s="74" t="str">
        <f t="shared" si="10"/>
        <v>61-90 Days</v>
      </c>
      <c r="L231" s="58" t="str">
        <f t="shared" si="11"/>
        <v>Not Applicable</v>
      </c>
    </row>
    <row r="232" spans="1:12" ht="16.5" customHeight="1" x14ac:dyDescent="0.35">
      <c r="A232" t="s">
        <v>125</v>
      </c>
      <c r="B232" t="s">
        <v>125</v>
      </c>
      <c r="C232">
        <v>25</v>
      </c>
      <c r="D232">
        <v>0</v>
      </c>
      <c r="E232" t="s">
        <v>3809</v>
      </c>
      <c r="F232" t="s">
        <v>3809</v>
      </c>
      <c r="G232" t="s">
        <v>57</v>
      </c>
      <c r="H232" t="s">
        <v>3810</v>
      </c>
      <c r="I232" t="s">
        <v>3811</v>
      </c>
      <c r="J232" s="56">
        <f t="shared" si="9"/>
        <v>81</v>
      </c>
      <c r="K232" s="74" t="str">
        <f t="shared" si="10"/>
        <v>61-90 Days</v>
      </c>
      <c r="L232" s="58" t="str">
        <f t="shared" si="11"/>
        <v>Substandard</v>
      </c>
    </row>
    <row r="233" spans="1:12" ht="16.5" customHeight="1" x14ac:dyDescent="0.35">
      <c r="A233" t="s">
        <v>125</v>
      </c>
      <c r="B233" t="s">
        <v>125</v>
      </c>
      <c r="C233">
        <v>0</v>
      </c>
      <c r="D233">
        <v>1000</v>
      </c>
      <c r="E233" t="s">
        <v>3812</v>
      </c>
      <c r="F233" t="s">
        <v>3812</v>
      </c>
      <c r="G233" t="s">
        <v>57</v>
      </c>
      <c r="H233" t="s">
        <v>3489</v>
      </c>
      <c r="I233" t="s">
        <v>3490</v>
      </c>
      <c r="J233" s="56">
        <f t="shared" si="9"/>
        <v>81</v>
      </c>
      <c r="K233" s="74" t="str">
        <f t="shared" si="10"/>
        <v>61-90 Days</v>
      </c>
      <c r="L233" s="58" t="str">
        <f t="shared" si="11"/>
        <v>Not Applicable</v>
      </c>
    </row>
    <row r="234" spans="1:12" ht="16.5" customHeight="1" x14ac:dyDescent="0.35">
      <c r="A234" t="s">
        <v>125</v>
      </c>
      <c r="B234" t="s">
        <v>125</v>
      </c>
      <c r="C234">
        <v>1277.5</v>
      </c>
      <c r="D234">
        <v>0</v>
      </c>
      <c r="E234" t="s">
        <v>3813</v>
      </c>
      <c r="F234" t="s">
        <v>3814</v>
      </c>
      <c r="G234" t="s">
        <v>57</v>
      </c>
      <c r="H234" t="s">
        <v>3476</v>
      </c>
      <c r="I234" t="s">
        <v>3490</v>
      </c>
      <c r="J234" s="56">
        <f t="shared" si="9"/>
        <v>81</v>
      </c>
      <c r="K234" s="74" t="str">
        <f t="shared" si="10"/>
        <v>61-90 Days</v>
      </c>
      <c r="L234" s="58" t="str">
        <f t="shared" si="11"/>
        <v>Substandard</v>
      </c>
    </row>
    <row r="235" spans="1:12" ht="16.5" customHeight="1" x14ac:dyDescent="0.35">
      <c r="A235" t="s">
        <v>125</v>
      </c>
      <c r="B235" t="s">
        <v>125</v>
      </c>
      <c r="C235">
        <v>0</v>
      </c>
      <c r="D235">
        <v>35.4</v>
      </c>
      <c r="E235" t="s">
        <v>3815</v>
      </c>
      <c r="F235" t="s">
        <v>3816</v>
      </c>
      <c r="G235" t="s">
        <v>57</v>
      </c>
      <c r="H235" t="s">
        <v>3532</v>
      </c>
      <c r="I235" t="s">
        <v>3490</v>
      </c>
      <c r="J235" s="56">
        <f t="shared" si="9"/>
        <v>81</v>
      </c>
      <c r="K235" s="74" t="str">
        <f t="shared" si="10"/>
        <v>61-90 Days</v>
      </c>
      <c r="L235" s="58" t="str">
        <f t="shared" si="11"/>
        <v>Not Applicable</v>
      </c>
    </row>
    <row r="236" spans="1:12" ht="16.5" customHeight="1" x14ac:dyDescent="0.35">
      <c r="A236" t="s">
        <v>125</v>
      </c>
      <c r="B236" t="s">
        <v>125</v>
      </c>
      <c r="C236">
        <v>0</v>
      </c>
      <c r="D236">
        <v>205</v>
      </c>
      <c r="E236" t="s">
        <v>3817</v>
      </c>
      <c r="F236" t="s">
        <v>3817</v>
      </c>
      <c r="G236" t="s">
        <v>57</v>
      </c>
      <c r="H236" t="s">
        <v>3489</v>
      </c>
      <c r="I236" t="s">
        <v>3490</v>
      </c>
      <c r="J236" s="56">
        <f t="shared" si="9"/>
        <v>81</v>
      </c>
      <c r="K236" s="74" t="str">
        <f t="shared" si="10"/>
        <v>61-90 Days</v>
      </c>
      <c r="L236" s="58" t="str">
        <f t="shared" si="11"/>
        <v>Not Applicable</v>
      </c>
    </row>
    <row r="237" spans="1:12" ht="16.5" customHeight="1" x14ac:dyDescent="0.35">
      <c r="A237" t="s">
        <v>125</v>
      </c>
      <c r="B237" t="s">
        <v>125</v>
      </c>
      <c r="C237">
        <v>11700</v>
      </c>
      <c r="D237">
        <v>0</v>
      </c>
      <c r="E237" t="s">
        <v>3818</v>
      </c>
      <c r="F237" t="s">
        <v>3819</v>
      </c>
      <c r="G237" t="s">
        <v>57</v>
      </c>
      <c r="H237" t="s">
        <v>3455</v>
      </c>
      <c r="I237" t="s">
        <v>3490</v>
      </c>
      <c r="J237" s="56">
        <f t="shared" si="9"/>
        <v>81</v>
      </c>
      <c r="K237" s="74" t="str">
        <f t="shared" si="10"/>
        <v>61-90 Days</v>
      </c>
      <c r="L237" s="58" t="str">
        <f t="shared" si="11"/>
        <v>Substandard</v>
      </c>
    </row>
    <row r="238" spans="1:12" ht="16.5" customHeight="1" x14ac:dyDescent="0.35">
      <c r="A238" t="s">
        <v>125</v>
      </c>
      <c r="B238" t="s">
        <v>125</v>
      </c>
      <c r="C238">
        <v>208</v>
      </c>
      <c r="D238">
        <v>0</v>
      </c>
      <c r="E238" t="s">
        <v>3820</v>
      </c>
      <c r="F238" t="s">
        <v>3821</v>
      </c>
      <c r="G238" t="s">
        <v>57</v>
      </c>
      <c r="H238" t="s">
        <v>3485</v>
      </c>
      <c r="I238" t="s">
        <v>3490</v>
      </c>
      <c r="J238" s="56">
        <f t="shared" si="9"/>
        <v>81</v>
      </c>
      <c r="K238" s="74" t="str">
        <f t="shared" si="10"/>
        <v>61-90 Days</v>
      </c>
      <c r="L238" s="58" t="str">
        <f t="shared" si="11"/>
        <v>Substandard</v>
      </c>
    </row>
    <row r="239" spans="1:12" ht="16.5" customHeight="1" x14ac:dyDescent="0.35">
      <c r="A239" t="s">
        <v>125</v>
      </c>
      <c r="B239" t="s">
        <v>125</v>
      </c>
      <c r="C239">
        <v>0</v>
      </c>
      <c r="D239">
        <v>250</v>
      </c>
      <c r="E239" t="s">
        <v>3822</v>
      </c>
      <c r="F239" t="s">
        <v>3823</v>
      </c>
      <c r="G239" t="s">
        <v>57</v>
      </c>
      <c r="H239" t="s">
        <v>3532</v>
      </c>
      <c r="I239" t="s">
        <v>3490</v>
      </c>
      <c r="J239" s="56">
        <f t="shared" si="9"/>
        <v>81</v>
      </c>
      <c r="K239" s="74" t="str">
        <f t="shared" si="10"/>
        <v>61-90 Days</v>
      </c>
      <c r="L239" s="58" t="str">
        <f t="shared" si="11"/>
        <v>Not Applicable</v>
      </c>
    </row>
    <row r="240" spans="1:12" ht="16.5" customHeight="1" x14ac:dyDescent="0.35">
      <c r="A240" t="s">
        <v>125</v>
      </c>
      <c r="B240" t="s">
        <v>125</v>
      </c>
      <c r="C240">
        <v>0</v>
      </c>
      <c r="D240">
        <v>1000</v>
      </c>
      <c r="E240" t="s">
        <v>3824</v>
      </c>
      <c r="F240" t="s">
        <v>3825</v>
      </c>
      <c r="G240" t="s">
        <v>57</v>
      </c>
      <c r="H240" t="s">
        <v>3489</v>
      </c>
      <c r="I240" t="s">
        <v>3490</v>
      </c>
      <c r="J240" s="56">
        <f t="shared" si="9"/>
        <v>81</v>
      </c>
      <c r="K240" s="74" t="str">
        <f t="shared" si="10"/>
        <v>61-90 Days</v>
      </c>
      <c r="L240" s="58" t="str">
        <f t="shared" si="11"/>
        <v>Not Applicable</v>
      </c>
    </row>
    <row r="241" spans="1:12" ht="16.5" customHeight="1" x14ac:dyDescent="0.35">
      <c r="A241" t="s">
        <v>125</v>
      </c>
      <c r="B241" t="s">
        <v>125</v>
      </c>
      <c r="C241">
        <v>925</v>
      </c>
      <c r="D241">
        <v>0</v>
      </c>
      <c r="E241" t="s">
        <v>3826</v>
      </c>
      <c r="F241" t="s">
        <v>3827</v>
      </c>
      <c r="G241" t="s">
        <v>57</v>
      </c>
      <c r="H241" t="s">
        <v>3485</v>
      </c>
      <c r="I241" t="s">
        <v>3490</v>
      </c>
      <c r="J241" s="56">
        <f t="shared" si="9"/>
        <v>81</v>
      </c>
      <c r="K241" s="74" t="str">
        <f t="shared" si="10"/>
        <v>61-90 Days</v>
      </c>
      <c r="L241" s="58" t="str">
        <f t="shared" si="11"/>
        <v>Substandard</v>
      </c>
    </row>
    <row r="242" spans="1:12" ht="16.5" customHeight="1" x14ac:dyDescent="0.35">
      <c r="A242" t="s">
        <v>125</v>
      </c>
      <c r="B242" t="s">
        <v>125</v>
      </c>
      <c r="C242">
        <v>0</v>
      </c>
      <c r="D242">
        <v>1000</v>
      </c>
      <c r="E242" t="s">
        <v>3828</v>
      </c>
      <c r="F242" t="s">
        <v>3828</v>
      </c>
      <c r="G242" t="s">
        <v>57</v>
      </c>
      <c r="H242" t="s">
        <v>3489</v>
      </c>
      <c r="I242" t="s">
        <v>3490</v>
      </c>
      <c r="J242" s="56">
        <f t="shared" si="9"/>
        <v>81</v>
      </c>
      <c r="K242" s="74" t="str">
        <f t="shared" si="10"/>
        <v>61-90 Days</v>
      </c>
      <c r="L242" s="58" t="str">
        <f t="shared" si="11"/>
        <v>Not Applicable</v>
      </c>
    </row>
    <row r="243" spans="1:12" ht="16.5" customHeight="1" x14ac:dyDescent="0.35">
      <c r="A243" t="s">
        <v>125</v>
      </c>
      <c r="B243" t="s">
        <v>125</v>
      </c>
      <c r="C243">
        <v>0</v>
      </c>
      <c r="D243">
        <v>59058</v>
      </c>
      <c r="E243" t="s">
        <v>3829</v>
      </c>
      <c r="F243" t="s">
        <v>3830</v>
      </c>
      <c r="G243" t="s">
        <v>57</v>
      </c>
      <c r="H243" t="s">
        <v>3532</v>
      </c>
      <c r="I243" t="s">
        <v>3490</v>
      </c>
      <c r="J243" s="56">
        <f t="shared" si="9"/>
        <v>81</v>
      </c>
      <c r="K243" s="74" t="str">
        <f t="shared" si="10"/>
        <v>61-90 Days</v>
      </c>
      <c r="L243" s="58" t="str">
        <f t="shared" si="11"/>
        <v>Not Applicable</v>
      </c>
    </row>
    <row r="244" spans="1:12" ht="16.5" customHeight="1" x14ac:dyDescent="0.35">
      <c r="A244" t="s">
        <v>125</v>
      </c>
      <c r="B244" t="s">
        <v>125</v>
      </c>
      <c r="C244">
        <v>0</v>
      </c>
      <c r="D244">
        <v>1073</v>
      </c>
      <c r="E244" t="s">
        <v>3831</v>
      </c>
      <c r="F244" t="s">
        <v>3831</v>
      </c>
      <c r="G244" t="s">
        <v>57</v>
      </c>
      <c r="H244" t="s">
        <v>3489</v>
      </c>
      <c r="I244" t="s">
        <v>3490</v>
      </c>
      <c r="J244" s="56">
        <f t="shared" si="9"/>
        <v>81</v>
      </c>
      <c r="K244" s="74" t="str">
        <f t="shared" si="10"/>
        <v>61-90 Days</v>
      </c>
      <c r="L244" s="58" t="str">
        <f t="shared" si="11"/>
        <v>Not Applicable</v>
      </c>
    </row>
    <row r="245" spans="1:12" ht="16.5" customHeight="1" x14ac:dyDescent="0.35">
      <c r="A245" t="s">
        <v>125</v>
      </c>
      <c r="B245" t="s">
        <v>125</v>
      </c>
      <c r="C245">
        <v>0</v>
      </c>
      <c r="D245">
        <v>150</v>
      </c>
      <c r="E245" t="s">
        <v>3832</v>
      </c>
      <c r="F245" t="s">
        <v>3833</v>
      </c>
      <c r="G245" t="s">
        <v>57</v>
      </c>
      <c r="H245" t="s">
        <v>3532</v>
      </c>
      <c r="I245" t="s">
        <v>3490</v>
      </c>
      <c r="J245" s="56">
        <f t="shared" si="9"/>
        <v>81</v>
      </c>
      <c r="K245" s="74" t="str">
        <f t="shared" si="10"/>
        <v>61-90 Days</v>
      </c>
      <c r="L245" s="58" t="str">
        <f t="shared" si="11"/>
        <v>Not Applicable</v>
      </c>
    </row>
    <row r="246" spans="1:12" ht="16.5" customHeight="1" x14ac:dyDescent="0.35">
      <c r="A246" t="s">
        <v>125</v>
      </c>
      <c r="B246" t="s">
        <v>125</v>
      </c>
      <c r="C246">
        <v>0</v>
      </c>
      <c r="D246">
        <v>1000</v>
      </c>
      <c r="E246" t="s">
        <v>3834</v>
      </c>
      <c r="F246" t="s">
        <v>3834</v>
      </c>
      <c r="G246" t="s">
        <v>57</v>
      </c>
      <c r="H246" t="s">
        <v>3489</v>
      </c>
      <c r="I246" t="s">
        <v>3490</v>
      </c>
      <c r="J246" s="56">
        <f t="shared" si="9"/>
        <v>81</v>
      </c>
      <c r="K246" s="74" t="str">
        <f t="shared" si="10"/>
        <v>61-90 Days</v>
      </c>
      <c r="L246" s="58" t="str">
        <f t="shared" si="11"/>
        <v>Not Applicable</v>
      </c>
    </row>
    <row r="247" spans="1:12" ht="16.5" customHeight="1" x14ac:dyDescent="0.35">
      <c r="A247" t="s">
        <v>125</v>
      </c>
      <c r="B247" t="s">
        <v>125</v>
      </c>
      <c r="C247">
        <v>0</v>
      </c>
      <c r="D247">
        <v>1000</v>
      </c>
      <c r="E247" t="s">
        <v>3835</v>
      </c>
      <c r="F247" t="s">
        <v>3835</v>
      </c>
      <c r="G247" t="s">
        <v>57</v>
      </c>
      <c r="H247" t="s">
        <v>3489</v>
      </c>
      <c r="I247" t="s">
        <v>3490</v>
      </c>
      <c r="J247" s="56">
        <f t="shared" si="9"/>
        <v>81</v>
      </c>
      <c r="K247" s="74" t="str">
        <f t="shared" si="10"/>
        <v>61-90 Days</v>
      </c>
      <c r="L247" s="58" t="str">
        <f t="shared" si="11"/>
        <v>Not Applicable</v>
      </c>
    </row>
    <row r="248" spans="1:12" ht="16.5" customHeight="1" x14ac:dyDescent="0.35">
      <c r="A248" t="s">
        <v>125</v>
      </c>
      <c r="B248" t="s">
        <v>125</v>
      </c>
      <c r="C248">
        <v>0</v>
      </c>
      <c r="D248">
        <v>1000</v>
      </c>
      <c r="E248" t="s">
        <v>3836</v>
      </c>
      <c r="F248" t="s">
        <v>3837</v>
      </c>
      <c r="G248" t="s">
        <v>57</v>
      </c>
      <c r="H248" t="s">
        <v>3489</v>
      </c>
      <c r="I248" t="s">
        <v>3490</v>
      </c>
      <c r="J248" s="56">
        <f t="shared" si="9"/>
        <v>81</v>
      </c>
      <c r="K248" s="74" t="str">
        <f t="shared" si="10"/>
        <v>61-90 Days</v>
      </c>
      <c r="L248" s="58" t="str">
        <f t="shared" si="11"/>
        <v>Not Applicable</v>
      </c>
    </row>
    <row r="249" spans="1:12" ht="16.5" customHeight="1" x14ac:dyDescent="0.35">
      <c r="A249" t="s">
        <v>125</v>
      </c>
      <c r="B249" t="s">
        <v>125</v>
      </c>
      <c r="C249">
        <v>0</v>
      </c>
      <c r="D249">
        <v>18969.599999999999</v>
      </c>
      <c r="E249" t="s">
        <v>3838</v>
      </c>
      <c r="F249" t="s">
        <v>3839</v>
      </c>
      <c r="G249" t="s">
        <v>57</v>
      </c>
      <c r="H249" t="s">
        <v>3532</v>
      </c>
      <c r="I249" t="s">
        <v>3490</v>
      </c>
      <c r="J249" s="56">
        <f t="shared" si="9"/>
        <v>81</v>
      </c>
      <c r="K249" s="74" t="str">
        <f t="shared" si="10"/>
        <v>61-90 Days</v>
      </c>
      <c r="L249" s="58" t="str">
        <f t="shared" si="11"/>
        <v>Not Applicable</v>
      </c>
    </row>
    <row r="250" spans="1:12" ht="16.5" customHeight="1" x14ac:dyDescent="0.35">
      <c r="A250" t="s">
        <v>125</v>
      </c>
      <c r="B250" t="s">
        <v>125</v>
      </c>
      <c r="C250">
        <v>0</v>
      </c>
      <c r="D250">
        <v>100</v>
      </c>
      <c r="E250" t="s">
        <v>3840</v>
      </c>
      <c r="F250" t="s">
        <v>3840</v>
      </c>
      <c r="G250" t="s">
        <v>57</v>
      </c>
      <c r="H250" t="s">
        <v>3489</v>
      </c>
      <c r="I250" t="s">
        <v>3490</v>
      </c>
      <c r="J250" s="56">
        <f t="shared" si="9"/>
        <v>81</v>
      </c>
      <c r="K250" s="74" t="str">
        <f t="shared" si="10"/>
        <v>61-90 Days</v>
      </c>
      <c r="L250" s="58" t="str">
        <f t="shared" si="11"/>
        <v>Not Applicable</v>
      </c>
    </row>
    <row r="251" spans="1:12" ht="16.5" customHeight="1" x14ac:dyDescent="0.35">
      <c r="A251" t="s">
        <v>125</v>
      </c>
      <c r="B251" t="s">
        <v>125</v>
      </c>
      <c r="C251">
        <v>0</v>
      </c>
      <c r="D251">
        <v>1000</v>
      </c>
      <c r="E251" t="s">
        <v>3841</v>
      </c>
      <c r="F251" t="s">
        <v>3841</v>
      </c>
      <c r="G251" t="s">
        <v>57</v>
      </c>
      <c r="H251" t="s">
        <v>3489</v>
      </c>
      <c r="I251" t="s">
        <v>3490</v>
      </c>
      <c r="J251" s="56">
        <f t="shared" si="9"/>
        <v>81</v>
      </c>
      <c r="K251" s="74" t="str">
        <f t="shared" si="10"/>
        <v>61-90 Days</v>
      </c>
      <c r="L251" s="58" t="str">
        <f t="shared" si="11"/>
        <v>Not Applicable</v>
      </c>
    </row>
    <row r="252" spans="1:12" ht="16.5" customHeight="1" x14ac:dyDescent="0.35">
      <c r="A252" t="s">
        <v>125</v>
      </c>
      <c r="B252" t="s">
        <v>125</v>
      </c>
      <c r="C252">
        <v>0</v>
      </c>
      <c r="D252">
        <v>250</v>
      </c>
      <c r="E252" t="s">
        <v>3842</v>
      </c>
      <c r="F252" t="s">
        <v>3842</v>
      </c>
      <c r="G252" t="s">
        <v>57</v>
      </c>
      <c r="H252" t="s">
        <v>3489</v>
      </c>
      <c r="I252" t="s">
        <v>3490</v>
      </c>
      <c r="J252" s="56">
        <f t="shared" si="9"/>
        <v>81</v>
      </c>
      <c r="K252" s="74" t="str">
        <f t="shared" si="10"/>
        <v>61-90 Days</v>
      </c>
      <c r="L252" s="58" t="str">
        <f t="shared" si="11"/>
        <v>Not Applicable</v>
      </c>
    </row>
    <row r="253" spans="1:12" ht="16.5" customHeight="1" x14ac:dyDescent="0.35">
      <c r="A253" t="s">
        <v>125</v>
      </c>
      <c r="B253" t="s">
        <v>125</v>
      </c>
      <c r="C253">
        <v>0</v>
      </c>
      <c r="D253">
        <v>500</v>
      </c>
      <c r="E253" t="s">
        <v>3843</v>
      </c>
      <c r="F253" t="s">
        <v>3844</v>
      </c>
      <c r="G253" t="s">
        <v>57</v>
      </c>
      <c r="H253" t="s">
        <v>3489</v>
      </c>
      <c r="I253" t="s">
        <v>3486</v>
      </c>
      <c r="J253" s="56">
        <f t="shared" si="9"/>
        <v>81</v>
      </c>
      <c r="K253" s="74" t="str">
        <f t="shared" si="10"/>
        <v>61-90 Days</v>
      </c>
      <c r="L253" s="58" t="str">
        <f t="shared" si="11"/>
        <v>Not Applicable</v>
      </c>
    </row>
    <row r="254" spans="1:12" ht="16.5" customHeight="1" x14ac:dyDescent="0.35">
      <c r="A254" t="s">
        <v>125</v>
      </c>
      <c r="B254" t="s">
        <v>125</v>
      </c>
      <c r="C254">
        <v>6626</v>
      </c>
      <c r="D254">
        <v>0</v>
      </c>
      <c r="E254" t="s">
        <v>3845</v>
      </c>
      <c r="F254" t="s">
        <v>3846</v>
      </c>
      <c r="G254" t="s">
        <v>57</v>
      </c>
      <c r="H254" t="s">
        <v>3455</v>
      </c>
      <c r="I254" t="s">
        <v>3490</v>
      </c>
      <c r="J254" s="56">
        <f t="shared" si="9"/>
        <v>81</v>
      </c>
      <c r="K254" s="74" t="str">
        <f t="shared" si="10"/>
        <v>61-90 Days</v>
      </c>
      <c r="L254" s="58" t="str">
        <f t="shared" si="11"/>
        <v>Substandard</v>
      </c>
    </row>
    <row r="255" spans="1:12" ht="16.5" customHeight="1" x14ac:dyDescent="0.35">
      <c r="A255" t="s">
        <v>125</v>
      </c>
      <c r="B255" t="s">
        <v>125</v>
      </c>
      <c r="C255">
        <v>0</v>
      </c>
      <c r="D255">
        <v>4500</v>
      </c>
      <c r="E255" t="s">
        <v>3847</v>
      </c>
      <c r="F255" t="s">
        <v>3844</v>
      </c>
      <c r="G255" t="s">
        <v>57</v>
      </c>
      <c r="H255" t="s">
        <v>3489</v>
      </c>
      <c r="I255" t="s">
        <v>3486</v>
      </c>
      <c r="J255" s="56">
        <f t="shared" si="9"/>
        <v>81</v>
      </c>
      <c r="K255" s="74" t="str">
        <f t="shared" si="10"/>
        <v>61-90 Days</v>
      </c>
      <c r="L255" s="58" t="str">
        <f t="shared" si="11"/>
        <v>Not Applicable</v>
      </c>
    </row>
    <row r="256" spans="1:12" ht="16.5" customHeight="1" x14ac:dyDescent="0.35">
      <c r="A256" t="s">
        <v>125</v>
      </c>
      <c r="B256" t="s">
        <v>125</v>
      </c>
      <c r="C256">
        <v>0</v>
      </c>
      <c r="D256">
        <v>550</v>
      </c>
      <c r="E256" t="s">
        <v>3848</v>
      </c>
      <c r="F256" t="s">
        <v>3849</v>
      </c>
      <c r="G256" t="s">
        <v>57</v>
      </c>
      <c r="H256" t="s">
        <v>3532</v>
      </c>
      <c r="I256" t="s">
        <v>3490</v>
      </c>
      <c r="J256" s="56">
        <f t="shared" si="9"/>
        <v>81</v>
      </c>
      <c r="K256" s="74" t="str">
        <f t="shared" si="10"/>
        <v>61-90 Days</v>
      </c>
      <c r="L256" s="58" t="str">
        <f t="shared" si="11"/>
        <v>Not Applicable</v>
      </c>
    </row>
    <row r="257" spans="1:12" ht="16.5" customHeight="1" x14ac:dyDescent="0.35">
      <c r="A257" t="s">
        <v>125</v>
      </c>
      <c r="B257" t="s">
        <v>125</v>
      </c>
      <c r="C257">
        <v>7535</v>
      </c>
      <c r="D257">
        <v>0</v>
      </c>
      <c r="E257" t="s">
        <v>3850</v>
      </c>
      <c r="F257" t="s">
        <v>3851</v>
      </c>
      <c r="G257" t="s">
        <v>57</v>
      </c>
      <c r="H257" t="s">
        <v>3455</v>
      </c>
      <c r="I257" t="s">
        <v>3490</v>
      </c>
      <c r="J257" s="56">
        <f t="shared" si="9"/>
        <v>81</v>
      </c>
      <c r="K257" s="74" t="str">
        <f t="shared" si="10"/>
        <v>61-90 Days</v>
      </c>
      <c r="L257" s="58" t="str">
        <f t="shared" si="11"/>
        <v>Substandard</v>
      </c>
    </row>
    <row r="258" spans="1:12" ht="16.5" customHeight="1" x14ac:dyDescent="0.35">
      <c r="A258" t="s">
        <v>125</v>
      </c>
      <c r="B258" t="s">
        <v>125</v>
      </c>
      <c r="C258">
        <v>0</v>
      </c>
      <c r="D258">
        <v>4615</v>
      </c>
      <c r="E258" t="s">
        <v>3852</v>
      </c>
      <c r="F258" t="s">
        <v>3852</v>
      </c>
      <c r="G258" t="s">
        <v>57</v>
      </c>
      <c r="H258" t="s">
        <v>3489</v>
      </c>
      <c r="I258" t="s">
        <v>3490</v>
      </c>
      <c r="J258" s="56">
        <f t="shared" si="9"/>
        <v>81</v>
      </c>
      <c r="K258" s="74" t="str">
        <f t="shared" si="10"/>
        <v>61-90 Days</v>
      </c>
      <c r="L258" s="58" t="str">
        <f t="shared" si="11"/>
        <v>Not Applicable</v>
      </c>
    </row>
    <row r="259" spans="1:12" ht="16.5" customHeight="1" x14ac:dyDescent="0.35">
      <c r="A259" t="s">
        <v>125</v>
      </c>
      <c r="B259" t="s">
        <v>125</v>
      </c>
      <c r="C259">
        <v>0</v>
      </c>
      <c r="D259">
        <v>1000</v>
      </c>
      <c r="E259" t="s">
        <v>3853</v>
      </c>
      <c r="F259" t="s">
        <v>3854</v>
      </c>
      <c r="G259" t="s">
        <v>57</v>
      </c>
      <c r="H259" t="s">
        <v>3489</v>
      </c>
      <c r="I259" t="s">
        <v>3490</v>
      </c>
      <c r="J259" s="56">
        <f t="shared" si="9"/>
        <v>81</v>
      </c>
      <c r="K259" s="74" t="str">
        <f t="shared" si="10"/>
        <v>61-90 Days</v>
      </c>
      <c r="L259" s="58" t="str">
        <f t="shared" si="11"/>
        <v>Not Applicable</v>
      </c>
    </row>
    <row r="260" spans="1:12" ht="16.5" customHeight="1" x14ac:dyDescent="0.35">
      <c r="A260" t="s">
        <v>237</v>
      </c>
      <c r="B260" t="s">
        <v>237</v>
      </c>
      <c r="C260">
        <v>0</v>
      </c>
      <c r="D260">
        <v>531</v>
      </c>
      <c r="E260" t="s">
        <v>3855</v>
      </c>
      <c r="F260" t="s">
        <v>3855</v>
      </c>
      <c r="G260" t="s">
        <v>57</v>
      </c>
      <c r="H260" t="s">
        <v>3489</v>
      </c>
      <c r="I260" t="s">
        <v>3490</v>
      </c>
      <c r="J260" s="56">
        <f t="shared" si="9"/>
        <v>80</v>
      </c>
      <c r="K260" s="74" t="str">
        <f t="shared" si="10"/>
        <v>61-90 Days</v>
      </c>
      <c r="L260" s="58" t="str">
        <f t="shared" si="11"/>
        <v>Not Applicable</v>
      </c>
    </row>
    <row r="261" spans="1:12" ht="16.5" customHeight="1" x14ac:dyDescent="0.35">
      <c r="A261" t="s">
        <v>237</v>
      </c>
      <c r="B261" t="s">
        <v>237</v>
      </c>
      <c r="C261">
        <v>0</v>
      </c>
      <c r="D261">
        <v>1000</v>
      </c>
      <c r="E261" t="s">
        <v>3856</v>
      </c>
      <c r="F261" t="s">
        <v>3499</v>
      </c>
      <c r="G261" t="s">
        <v>57</v>
      </c>
      <c r="H261" t="s">
        <v>3489</v>
      </c>
      <c r="I261" t="s">
        <v>3490</v>
      </c>
      <c r="J261" s="56">
        <f t="shared" si="9"/>
        <v>80</v>
      </c>
      <c r="K261" s="74" t="str">
        <f t="shared" si="10"/>
        <v>61-90 Days</v>
      </c>
      <c r="L261" s="58" t="str">
        <f t="shared" si="11"/>
        <v>Not Applicable</v>
      </c>
    </row>
    <row r="262" spans="1:12" ht="16.5" customHeight="1" x14ac:dyDescent="0.35">
      <c r="A262" t="s">
        <v>237</v>
      </c>
      <c r="B262" t="s">
        <v>237</v>
      </c>
      <c r="C262">
        <v>0</v>
      </c>
      <c r="D262">
        <v>1062</v>
      </c>
      <c r="E262" t="s">
        <v>3857</v>
      </c>
      <c r="F262" t="s">
        <v>3857</v>
      </c>
      <c r="G262" t="s">
        <v>57</v>
      </c>
      <c r="H262" t="s">
        <v>3489</v>
      </c>
      <c r="I262" t="s">
        <v>3490</v>
      </c>
      <c r="J262" s="56">
        <f t="shared" si="9"/>
        <v>80</v>
      </c>
      <c r="K262" s="74" t="str">
        <f t="shared" si="10"/>
        <v>61-90 Days</v>
      </c>
      <c r="L262" s="58" t="str">
        <f t="shared" si="11"/>
        <v>Not Applicable</v>
      </c>
    </row>
    <row r="263" spans="1:12" ht="16.5" customHeight="1" x14ac:dyDescent="0.35">
      <c r="A263" t="s">
        <v>237</v>
      </c>
      <c r="B263" t="s">
        <v>237</v>
      </c>
      <c r="C263">
        <v>0</v>
      </c>
      <c r="D263">
        <v>100</v>
      </c>
      <c r="E263" t="s">
        <v>3858</v>
      </c>
      <c r="F263" t="s">
        <v>3859</v>
      </c>
      <c r="G263" t="s">
        <v>57</v>
      </c>
      <c r="H263" t="s">
        <v>3532</v>
      </c>
      <c r="I263" t="s">
        <v>3490</v>
      </c>
      <c r="J263" s="56">
        <f t="shared" si="9"/>
        <v>80</v>
      </c>
      <c r="K263" s="74" t="str">
        <f t="shared" si="10"/>
        <v>61-90 Days</v>
      </c>
      <c r="L263" s="58" t="str">
        <f t="shared" si="11"/>
        <v>Not Applicable</v>
      </c>
    </row>
    <row r="264" spans="1:12" ht="16.5" customHeight="1" x14ac:dyDescent="0.35">
      <c r="A264" t="s">
        <v>237</v>
      </c>
      <c r="B264" t="s">
        <v>237</v>
      </c>
      <c r="C264">
        <v>0</v>
      </c>
      <c r="D264">
        <v>2050</v>
      </c>
      <c r="E264" t="s">
        <v>3860</v>
      </c>
      <c r="F264" t="s">
        <v>3860</v>
      </c>
      <c r="G264" t="s">
        <v>57</v>
      </c>
      <c r="H264" t="s">
        <v>3489</v>
      </c>
      <c r="I264" t="s">
        <v>3490</v>
      </c>
      <c r="J264" s="56">
        <f t="shared" si="9"/>
        <v>80</v>
      </c>
      <c r="K264" s="74" t="str">
        <f t="shared" si="10"/>
        <v>61-90 Days</v>
      </c>
      <c r="L264" s="58" t="str">
        <f t="shared" si="11"/>
        <v>Not Applicable</v>
      </c>
    </row>
    <row r="265" spans="1:12" ht="16.5" customHeight="1" x14ac:dyDescent="0.35">
      <c r="A265" t="s">
        <v>237</v>
      </c>
      <c r="B265" t="s">
        <v>237</v>
      </c>
      <c r="C265">
        <v>0</v>
      </c>
      <c r="D265">
        <v>550</v>
      </c>
      <c r="E265" t="s">
        <v>3861</v>
      </c>
      <c r="F265" t="s">
        <v>3861</v>
      </c>
      <c r="G265" t="s">
        <v>57</v>
      </c>
      <c r="H265" t="s">
        <v>3489</v>
      </c>
      <c r="I265" t="s">
        <v>3490</v>
      </c>
      <c r="J265" s="56">
        <f t="shared" ref="J265:J328" si="12">IF(A265="","",A$5-A265)</f>
        <v>80</v>
      </c>
      <c r="K265" s="74" t="str">
        <f t="shared" ref="K265:K328" si="13">IF(J265="","",IF(J265&lt;4,"0-3 Days",IF(J265&lt;31,"4-30 Days",IF(J265&lt;61,"31-60 Days",IF(J265&lt;=90,"61-90 Days",IF(J265&gt;90,"Above 90 Days","0"))))))</f>
        <v>61-90 Days</v>
      </c>
      <c r="L265" s="58" t="str">
        <f t="shared" ref="L265:L328" si="14">IF(C265="","",IF(C265&gt;0,IF(J265&lt;30,"Normal",IF(J265&lt;60,"Especially Mentioned",IF(J265&lt;90,"Substandard",IF(J265&lt;=180,"Doubtful",IF(J265&gt;180,"Loss","0"))))),"Not Applicable"))</f>
        <v>Not Applicable</v>
      </c>
    </row>
    <row r="266" spans="1:12" ht="16.5" customHeight="1" x14ac:dyDescent="0.35">
      <c r="A266" t="s">
        <v>237</v>
      </c>
      <c r="B266" t="s">
        <v>237</v>
      </c>
      <c r="C266">
        <v>0</v>
      </c>
      <c r="D266">
        <v>17369.599999999999</v>
      </c>
      <c r="E266" t="s">
        <v>3862</v>
      </c>
      <c r="F266" t="s">
        <v>3462</v>
      </c>
      <c r="G266" t="s">
        <v>57</v>
      </c>
      <c r="H266" t="s">
        <v>3489</v>
      </c>
      <c r="I266" t="s">
        <v>3486</v>
      </c>
      <c r="J266" s="56">
        <f t="shared" si="12"/>
        <v>80</v>
      </c>
      <c r="K266" s="74" t="str">
        <f t="shared" si="13"/>
        <v>61-90 Days</v>
      </c>
      <c r="L266" s="58" t="str">
        <f t="shared" si="14"/>
        <v>Not Applicable</v>
      </c>
    </row>
    <row r="267" spans="1:12" ht="16.5" customHeight="1" x14ac:dyDescent="0.35">
      <c r="A267" t="s">
        <v>237</v>
      </c>
      <c r="B267" t="s">
        <v>237</v>
      </c>
      <c r="C267">
        <v>0</v>
      </c>
      <c r="D267">
        <v>600</v>
      </c>
      <c r="E267" t="s">
        <v>3863</v>
      </c>
      <c r="F267" t="s">
        <v>3863</v>
      </c>
      <c r="G267" t="s">
        <v>57</v>
      </c>
      <c r="H267" t="s">
        <v>3489</v>
      </c>
      <c r="I267" t="s">
        <v>3490</v>
      </c>
      <c r="J267" s="56">
        <f t="shared" si="12"/>
        <v>80</v>
      </c>
      <c r="K267" s="74" t="str">
        <f t="shared" si="13"/>
        <v>61-90 Days</v>
      </c>
      <c r="L267" s="58" t="str">
        <f t="shared" si="14"/>
        <v>Not Applicable</v>
      </c>
    </row>
    <row r="268" spans="1:12" ht="16.5" customHeight="1" x14ac:dyDescent="0.35">
      <c r="A268" t="s">
        <v>237</v>
      </c>
      <c r="B268" t="s">
        <v>237</v>
      </c>
      <c r="C268">
        <v>0</v>
      </c>
      <c r="D268">
        <v>2650</v>
      </c>
      <c r="E268" t="s">
        <v>3864</v>
      </c>
      <c r="F268" t="s">
        <v>3864</v>
      </c>
      <c r="G268" t="s">
        <v>57</v>
      </c>
      <c r="H268" t="s">
        <v>3489</v>
      </c>
      <c r="I268" t="s">
        <v>3490</v>
      </c>
      <c r="J268" s="56">
        <f t="shared" si="12"/>
        <v>80</v>
      </c>
      <c r="K268" s="74" t="str">
        <f t="shared" si="13"/>
        <v>61-90 Days</v>
      </c>
      <c r="L268" s="58" t="str">
        <f t="shared" si="14"/>
        <v>Not Applicable</v>
      </c>
    </row>
    <row r="269" spans="1:12" ht="16.5" customHeight="1" x14ac:dyDescent="0.35">
      <c r="A269" t="s">
        <v>237</v>
      </c>
      <c r="B269" t="s">
        <v>237</v>
      </c>
      <c r="C269">
        <v>365</v>
      </c>
      <c r="D269">
        <v>0</v>
      </c>
      <c r="E269" t="s">
        <v>3865</v>
      </c>
      <c r="F269" t="s">
        <v>3866</v>
      </c>
      <c r="G269" t="s">
        <v>57</v>
      </c>
      <c r="H269" t="s">
        <v>3455</v>
      </c>
      <c r="I269" t="s">
        <v>3490</v>
      </c>
      <c r="J269" s="56">
        <f t="shared" si="12"/>
        <v>80</v>
      </c>
      <c r="K269" s="74" t="str">
        <f t="shared" si="13"/>
        <v>61-90 Days</v>
      </c>
      <c r="L269" s="58" t="str">
        <f t="shared" si="14"/>
        <v>Substandard</v>
      </c>
    </row>
    <row r="270" spans="1:12" ht="16.5" customHeight="1" x14ac:dyDescent="0.35">
      <c r="A270" t="s">
        <v>237</v>
      </c>
      <c r="B270" t="s">
        <v>237</v>
      </c>
      <c r="C270">
        <v>0</v>
      </c>
      <c r="D270">
        <v>3780</v>
      </c>
      <c r="E270" t="s">
        <v>3867</v>
      </c>
      <c r="F270" t="s">
        <v>3574</v>
      </c>
      <c r="G270" t="s">
        <v>57</v>
      </c>
      <c r="H270" t="s">
        <v>3489</v>
      </c>
      <c r="I270" t="s">
        <v>3490</v>
      </c>
      <c r="J270" s="56">
        <f t="shared" si="12"/>
        <v>80</v>
      </c>
      <c r="K270" s="74" t="str">
        <f t="shared" si="13"/>
        <v>61-90 Days</v>
      </c>
      <c r="L270" s="58" t="str">
        <f t="shared" si="14"/>
        <v>Not Applicable</v>
      </c>
    </row>
    <row r="271" spans="1:12" ht="16.5" customHeight="1" x14ac:dyDescent="0.35">
      <c r="A271" t="s">
        <v>237</v>
      </c>
      <c r="B271" t="s">
        <v>237</v>
      </c>
      <c r="C271">
        <v>0</v>
      </c>
      <c r="D271">
        <v>1455</v>
      </c>
      <c r="E271" t="s">
        <v>3868</v>
      </c>
      <c r="F271" t="s">
        <v>3868</v>
      </c>
      <c r="G271" t="s">
        <v>57</v>
      </c>
      <c r="H271" t="s">
        <v>3489</v>
      </c>
      <c r="I271" t="s">
        <v>3490</v>
      </c>
      <c r="J271" s="56">
        <f t="shared" si="12"/>
        <v>80</v>
      </c>
      <c r="K271" s="74" t="str">
        <f t="shared" si="13"/>
        <v>61-90 Days</v>
      </c>
      <c r="L271" s="58" t="str">
        <f t="shared" si="14"/>
        <v>Not Applicable</v>
      </c>
    </row>
    <row r="272" spans="1:12" ht="16.5" customHeight="1" x14ac:dyDescent="0.35">
      <c r="A272" t="s">
        <v>237</v>
      </c>
      <c r="B272" t="s">
        <v>237</v>
      </c>
      <c r="C272">
        <v>0</v>
      </c>
      <c r="D272">
        <v>1000</v>
      </c>
      <c r="E272" t="s">
        <v>3869</v>
      </c>
      <c r="F272" t="s">
        <v>3869</v>
      </c>
      <c r="G272" t="s">
        <v>57</v>
      </c>
      <c r="H272" t="s">
        <v>3489</v>
      </c>
      <c r="I272" t="s">
        <v>3490</v>
      </c>
      <c r="J272" s="56">
        <f t="shared" si="12"/>
        <v>80</v>
      </c>
      <c r="K272" s="74" t="str">
        <f t="shared" si="13"/>
        <v>61-90 Days</v>
      </c>
      <c r="L272" s="58" t="str">
        <f t="shared" si="14"/>
        <v>Not Applicable</v>
      </c>
    </row>
    <row r="273" spans="1:12" ht="16.5" customHeight="1" x14ac:dyDescent="0.35">
      <c r="A273" t="s">
        <v>237</v>
      </c>
      <c r="B273" t="s">
        <v>237</v>
      </c>
      <c r="C273">
        <v>0</v>
      </c>
      <c r="D273">
        <v>2388.39</v>
      </c>
      <c r="E273" t="s">
        <v>3870</v>
      </c>
      <c r="F273" t="s">
        <v>3870</v>
      </c>
      <c r="G273" t="s">
        <v>57</v>
      </c>
      <c r="H273" t="s">
        <v>3489</v>
      </c>
      <c r="I273" t="s">
        <v>3490</v>
      </c>
      <c r="J273" s="56">
        <f t="shared" si="12"/>
        <v>80</v>
      </c>
      <c r="K273" s="74" t="str">
        <f t="shared" si="13"/>
        <v>61-90 Days</v>
      </c>
      <c r="L273" s="58" t="str">
        <f t="shared" si="14"/>
        <v>Not Applicable</v>
      </c>
    </row>
    <row r="274" spans="1:12" ht="16.5" customHeight="1" x14ac:dyDescent="0.35">
      <c r="A274" t="s">
        <v>237</v>
      </c>
      <c r="B274" t="s">
        <v>237</v>
      </c>
      <c r="C274">
        <v>0</v>
      </c>
      <c r="D274">
        <v>100</v>
      </c>
      <c r="E274" t="s">
        <v>3871</v>
      </c>
      <c r="F274" t="s">
        <v>3871</v>
      </c>
      <c r="G274" t="s">
        <v>57</v>
      </c>
      <c r="H274" t="s">
        <v>3489</v>
      </c>
      <c r="I274" t="s">
        <v>3490</v>
      </c>
      <c r="J274" s="56">
        <f t="shared" si="12"/>
        <v>80</v>
      </c>
      <c r="K274" s="74" t="str">
        <f t="shared" si="13"/>
        <v>61-90 Days</v>
      </c>
      <c r="L274" s="58" t="str">
        <f t="shared" si="14"/>
        <v>Not Applicable</v>
      </c>
    </row>
    <row r="275" spans="1:12" ht="16.5" customHeight="1" x14ac:dyDescent="0.35">
      <c r="A275" t="s">
        <v>237</v>
      </c>
      <c r="B275" t="s">
        <v>237</v>
      </c>
      <c r="C275">
        <v>0</v>
      </c>
      <c r="D275">
        <v>2650</v>
      </c>
      <c r="E275" t="s">
        <v>3872</v>
      </c>
      <c r="F275" t="s">
        <v>3872</v>
      </c>
      <c r="G275" t="s">
        <v>57</v>
      </c>
      <c r="H275" t="s">
        <v>3489</v>
      </c>
      <c r="I275" t="s">
        <v>3490</v>
      </c>
      <c r="J275" s="56">
        <f t="shared" si="12"/>
        <v>80</v>
      </c>
      <c r="K275" s="74" t="str">
        <f t="shared" si="13"/>
        <v>61-90 Days</v>
      </c>
      <c r="L275" s="58" t="str">
        <f t="shared" si="14"/>
        <v>Not Applicable</v>
      </c>
    </row>
    <row r="276" spans="1:12" ht="16.5" customHeight="1" x14ac:dyDescent="0.35">
      <c r="A276" t="s">
        <v>237</v>
      </c>
      <c r="B276" t="s">
        <v>237</v>
      </c>
      <c r="C276">
        <v>0</v>
      </c>
      <c r="D276">
        <v>400</v>
      </c>
      <c r="E276" t="s">
        <v>3873</v>
      </c>
      <c r="F276" t="s">
        <v>3467</v>
      </c>
      <c r="G276" t="s">
        <v>57</v>
      </c>
      <c r="H276" t="s">
        <v>3489</v>
      </c>
      <c r="I276" t="s">
        <v>3486</v>
      </c>
      <c r="J276" s="56">
        <f t="shared" si="12"/>
        <v>80</v>
      </c>
      <c r="K276" s="74" t="str">
        <f t="shared" si="13"/>
        <v>61-90 Days</v>
      </c>
      <c r="L276" s="58" t="str">
        <f t="shared" si="14"/>
        <v>Not Applicable</v>
      </c>
    </row>
    <row r="277" spans="1:12" ht="16.5" customHeight="1" x14ac:dyDescent="0.35">
      <c r="A277" t="s">
        <v>237</v>
      </c>
      <c r="B277" t="s">
        <v>237</v>
      </c>
      <c r="C277">
        <v>0</v>
      </c>
      <c r="D277">
        <v>1000</v>
      </c>
      <c r="E277" t="s">
        <v>3874</v>
      </c>
      <c r="F277" t="s">
        <v>3874</v>
      </c>
      <c r="G277" t="s">
        <v>57</v>
      </c>
      <c r="H277" t="s">
        <v>3489</v>
      </c>
      <c r="I277" t="s">
        <v>3490</v>
      </c>
      <c r="J277" s="56">
        <f t="shared" si="12"/>
        <v>80</v>
      </c>
      <c r="K277" s="74" t="str">
        <f t="shared" si="13"/>
        <v>61-90 Days</v>
      </c>
      <c r="L277" s="58" t="str">
        <f t="shared" si="14"/>
        <v>Not Applicable</v>
      </c>
    </row>
    <row r="278" spans="1:12" ht="16.5" customHeight="1" x14ac:dyDescent="0.35">
      <c r="A278" t="s">
        <v>237</v>
      </c>
      <c r="B278" t="s">
        <v>237</v>
      </c>
      <c r="C278">
        <v>0</v>
      </c>
      <c r="D278">
        <v>2050</v>
      </c>
      <c r="E278" t="s">
        <v>3875</v>
      </c>
      <c r="F278" t="s">
        <v>3875</v>
      </c>
      <c r="G278" t="s">
        <v>57</v>
      </c>
      <c r="H278" t="s">
        <v>3489</v>
      </c>
      <c r="I278" t="s">
        <v>3490</v>
      </c>
      <c r="J278" s="56">
        <f t="shared" si="12"/>
        <v>80</v>
      </c>
      <c r="K278" s="74" t="str">
        <f t="shared" si="13"/>
        <v>61-90 Days</v>
      </c>
      <c r="L278" s="58" t="str">
        <f t="shared" si="14"/>
        <v>Not Applicable</v>
      </c>
    </row>
    <row r="279" spans="1:12" ht="16.5" customHeight="1" x14ac:dyDescent="0.35">
      <c r="A279" t="s">
        <v>237</v>
      </c>
      <c r="B279" t="s">
        <v>237</v>
      </c>
      <c r="C279">
        <v>430</v>
      </c>
      <c r="D279">
        <v>0</v>
      </c>
      <c r="E279" t="s">
        <v>3876</v>
      </c>
      <c r="F279" t="s">
        <v>3877</v>
      </c>
      <c r="G279" t="s">
        <v>57</v>
      </c>
      <c r="H279" t="s">
        <v>3878</v>
      </c>
      <c r="I279" t="s">
        <v>3490</v>
      </c>
      <c r="J279" s="56">
        <f t="shared" si="12"/>
        <v>80</v>
      </c>
      <c r="K279" s="74" t="str">
        <f t="shared" si="13"/>
        <v>61-90 Days</v>
      </c>
      <c r="L279" s="58" t="str">
        <f t="shared" si="14"/>
        <v>Substandard</v>
      </c>
    </row>
    <row r="280" spans="1:12" ht="16.5" customHeight="1" x14ac:dyDescent="0.35">
      <c r="A280" t="s">
        <v>237</v>
      </c>
      <c r="B280" t="s">
        <v>237</v>
      </c>
      <c r="C280">
        <v>0</v>
      </c>
      <c r="D280">
        <v>250</v>
      </c>
      <c r="E280" t="s">
        <v>3879</v>
      </c>
      <c r="F280" t="s">
        <v>3879</v>
      </c>
      <c r="G280" t="s">
        <v>57</v>
      </c>
      <c r="H280" t="s">
        <v>3489</v>
      </c>
      <c r="I280" t="s">
        <v>3490</v>
      </c>
      <c r="J280" s="56">
        <f t="shared" si="12"/>
        <v>80</v>
      </c>
      <c r="K280" s="74" t="str">
        <f t="shared" si="13"/>
        <v>61-90 Days</v>
      </c>
      <c r="L280" s="58" t="str">
        <f t="shared" si="14"/>
        <v>Not Applicable</v>
      </c>
    </row>
    <row r="281" spans="1:12" ht="16.5" customHeight="1" x14ac:dyDescent="0.35">
      <c r="A281" t="s">
        <v>237</v>
      </c>
      <c r="B281" t="s">
        <v>237</v>
      </c>
      <c r="C281">
        <v>0</v>
      </c>
      <c r="D281">
        <v>1000</v>
      </c>
      <c r="E281" t="s">
        <v>3880</v>
      </c>
      <c r="F281" t="s">
        <v>3574</v>
      </c>
      <c r="G281" t="s">
        <v>57</v>
      </c>
      <c r="H281" t="s">
        <v>3489</v>
      </c>
      <c r="I281" t="s">
        <v>3490</v>
      </c>
      <c r="J281" s="56">
        <f t="shared" si="12"/>
        <v>80</v>
      </c>
      <c r="K281" s="74" t="str">
        <f t="shared" si="13"/>
        <v>61-90 Days</v>
      </c>
      <c r="L281" s="58" t="str">
        <f t="shared" si="14"/>
        <v>Not Applicable</v>
      </c>
    </row>
    <row r="282" spans="1:12" ht="16.5" customHeight="1" x14ac:dyDescent="0.35">
      <c r="A282" t="s">
        <v>237</v>
      </c>
      <c r="B282" t="s">
        <v>237</v>
      </c>
      <c r="C282">
        <v>1718.5</v>
      </c>
      <c r="D282">
        <v>0</v>
      </c>
      <c r="E282" t="s">
        <v>3881</v>
      </c>
      <c r="F282" t="s">
        <v>3882</v>
      </c>
      <c r="G282" t="s">
        <v>57</v>
      </c>
      <c r="H282" t="s">
        <v>3455</v>
      </c>
      <c r="I282" t="s">
        <v>3490</v>
      </c>
      <c r="J282" s="56">
        <f t="shared" si="12"/>
        <v>80</v>
      </c>
      <c r="K282" s="74" t="str">
        <f t="shared" si="13"/>
        <v>61-90 Days</v>
      </c>
      <c r="L282" s="58" t="str">
        <f t="shared" si="14"/>
        <v>Substandard</v>
      </c>
    </row>
    <row r="283" spans="1:12" ht="16.5" customHeight="1" x14ac:dyDescent="0.35">
      <c r="A283" t="s">
        <v>237</v>
      </c>
      <c r="B283" t="s">
        <v>237</v>
      </c>
      <c r="C283">
        <v>0</v>
      </c>
      <c r="D283">
        <v>100</v>
      </c>
      <c r="E283" t="s">
        <v>3883</v>
      </c>
      <c r="F283" t="s">
        <v>3883</v>
      </c>
      <c r="G283" t="s">
        <v>57</v>
      </c>
      <c r="H283" t="s">
        <v>3489</v>
      </c>
      <c r="I283" t="s">
        <v>3490</v>
      </c>
      <c r="J283" s="56">
        <f t="shared" si="12"/>
        <v>80</v>
      </c>
      <c r="K283" s="74" t="str">
        <f t="shared" si="13"/>
        <v>61-90 Days</v>
      </c>
      <c r="L283" s="58" t="str">
        <f t="shared" si="14"/>
        <v>Not Applicable</v>
      </c>
    </row>
    <row r="284" spans="1:12" ht="16.5" customHeight="1" x14ac:dyDescent="0.35">
      <c r="A284" t="s">
        <v>237</v>
      </c>
      <c r="B284" t="s">
        <v>237</v>
      </c>
      <c r="C284">
        <v>725</v>
      </c>
      <c r="D284">
        <v>0</v>
      </c>
      <c r="E284" t="s">
        <v>3884</v>
      </c>
      <c r="F284" t="s">
        <v>3885</v>
      </c>
      <c r="G284" t="s">
        <v>57</v>
      </c>
      <c r="H284" t="s">
        <v>3886</v>
      </c>
      <c r="I284" t="s">
        <v>3490</v>
      </c>
      <c r="J284" s="56">
        <f t="shared" si="12"/>
        <v>80</v>
      </c>
      <c r="K284" s="74" t="str">
        <f t="shared" si="13"/>
        <v>61-90 Days</v>
      </c>
      <c r="L284" s="58" t="str">
        <f t="shared" si="14"/>
        <v>Substandard</v>
      </c>
    </row>
    <row r="285" spans="1:12" ht="16.5" customHeight="1" x14ac:dyDescent="0.35">
      <c r="A285" t="s">
        <v>237</v>
      </c>
      <c r="B285" t="s">
        <v>237</v>
      </c>
      <c r="C285">
        <v>0</v>
      </c>
      <c r="D285">
        <v>70516.800000000003</v>
      </c>
      <c r="E285" t="s">
        <v>3887</v>
      </c>
      <c r="F285" t="s">
        <v>3887</v>
      </c>
      <c r="G285" t="s">
        <v>57</v>
      </c>
      <c r="H285" t="s">
        <v>3489</v>
      </c>
      <c r="I285" t="s">
        <v>3490</v>
      </c>
      <c r="J285" s="56">
        <f t="shared" si="12"/>
        <v>80</v>
      </c>
      <c r="K285" s="74" t="str">
        <f t="shared" si="13"/>
        <v>61-90 Days</v>
      </c>
      <c r="L285" s="58" t="str">
        <f t="shared" si="14"/>
        <v>Not Applicable</v>
      </c>
    </row>
    <row r="286" spans="1:12" ht="16.5" customHeight="1" x14ac:dyDescent="0.35">
      <c r="A286" t="s">
        <v>237</v>
      </c>
      <c r="B286" t="s">
        <v>237</v>
      </c>
      <c r="C286">
        <v>0</v>
      </c>
      <c r="D286">
        <v>14833</v>
      </c>
      <c r="E286" t="s">
        <v>3888</v>
      </c>
      <c r="F286" t="s">
        <v>3888</v>
      </c>
      <c r="G286" t="s">
        <v>57</v>
      </c>
      <c r="H286" t="s">
        <v>3489</v>
      </c>
      <c r="I286" t="s">
        <v>3490</v>
      </c>
      <c r="J286" s="56">
        <f t="shared" si="12"/>
        <v>80</v>
      </c>
      <c r="K286" s="74" t="str">
        <f t="shared" si="13"/>
        <v>61-90 Days</v>
      </c>
      <c r="L286" s="58" t="str">
        <f t="shared" si="14"/>
        <v>Not Applicable</v>
      </c>
    </row>
    <row r="287" spans="1:12" ht="16.5" customHeight="1" x14ac:dyDescent="0.35">
      <c r="A287" t="s">
        <v>237</v>
      </c>
      <c r="B287" t="s">
        <v>237</v>
      </c>
      <c r="C287">
        <v>0</v>
      </c>
      <c r="D287">
        <v>100</v>
      </c>
      <c r="E287" t="s">
        <v>3889</v>
      </c>
      <c r="F287" t="s">
        <v>3889</v>
      </c>
      <c r="G287" t="s">
        <v>57</v>
      </c>
      <c r="H287" t="s">
        <v>3489</v>
      </c>
      <c r="I287" t="s">
        <v>3490</v>
      </c>
      <c r="J287" s="56">
        <f t="shared" si="12"/>
        <v>80</v>
      </c>
      <c r="K287" s="74" t="str">
        <f t="shared" si="13"/>
        <v>61-90 Days</v>
      </c>
      <c r="L287" s="58" t="str">
        <f t="shared" si="14"/>
        <v>Not Applicable</v>
      </c>
    </row>
    <row r="288" spans="1:12" ht="16.5" customHeight="1" x14ac:dyDescent="0.35">
      <c r="A288" t="s">
        <v>237</v>
      </c>
      <c r="B288" t="s">
        <v>237</v>
      </c>
      <c r="C288">
        <v>0</v>
      </c>
      <c r="D288">
        <v>550</v>
      </c>
      <c r="E288" t="s">
        <v>3890</v>
      </c>
      <c r="F288" t="s">
        <v>3890</v>
      </c>
      <c r="G288" t="s">
        <v>57</v>
      </c>
      <c r="H288" t="s">
        <v>3489</v>
      </c>
      <c r="I288" t="s">
        <v>3490</v>
      </c>
      <c r="J288" s="56">
        <f t="shared" si="12"/>
        <v>80</v>
      </c>
      <c r="K288" s="74" t="str">
        <f t="shared" si="13"/>
        <v>61-90 Days</v>
      </c>
      <c r="L288" s="58" t="str">
        <f t="shared" si="14"/>
        <v>Not Applicable</v>
      </c>
    </row>
    <row r="289" spans="1:12" ht="16.5" customHeight="1" x14ac:dyDescent="0.35">
      <c r="A289" t="s">
        <v>237</v>
      </c>
      <c r="B289" t="s">
        <v>237</v>
      </c>
      <c r="C289">
        <v>0</v>
      </c>
      <c r="D289">
        <v>25</v>
      </c>
      <c r="E289" t="s">
        <v>3891</v>
      </c>
      <c r="F289" t="s">
        <v>3892</v>
      </c>
      <c r="G289" t="s">
        <v>57</v>
      </c>
      <c r="H289" t="s">
        <v>3532</v>
      </c>
      <c r="I289" t="s">
        <v>3490</v>
      </c>
      <c r="J289" s="56">
        <f t="shared" si="12"/>
        <v>80</v>
      </c>
      <c r="K289" s="74" t="str">
        <f t="shared" si="13"/>
        <v>61-90 Days</v>
      </c>
      <c r="L289" s="58" t="str">
        <f t="shared" si="14"/>
        <v>Not Applicable</v>
      </c>
    </row>
    <row r="290" spans="1:12" ht="16.5" customHeight="1" x14ac:dyDescent="0.35">
      <c r="A290" t="s">
        <v>237</v>
      </c>
      <c r="B290" t="s">
        <v>237</v>
      </c>
      <c r="C290">
        <v>0</v>
      </c>
      <c r="D290">
        <v>1000</v>
      </c>
      <c r="E290" t="s">
        <v>3893</v>
      </c>
      <c r="F290" t="s">
        <v>3574</v>
      </c>
      <c r="G290" t="s">
        <v>57</v>
      </c>
      <c r="H290" t="s">
        <v>3489</v>
      </c>
      <c r="I290" t="s">
        <v>3490</v>
      </c>
      <c r="J290" s="56">
        <f t="shared" si="12"/>
        <v>80</v>
      </c>
      <c r="K290" s="74" t="str">
        <f t="shared" si="13"/>
        <v>61-90 Days</v>
      </c>
      <c r="L290" s="58" t="str">
        <f t="shared" si="14"/>
        <v>Not Applicable</v>
      </c>
    </row>
    <row r="291" spans="1:12" ht="16.5" customHeight="1" x14ac:dyDescent="0.35">
      <c r="A291" t="s">
        <v>237</v>
      </c>
      <c r="B291" t="s">
        <v>237</v>
      </c>
      <c r="C291">
        <v>0</v>
      </c>
      <c r="D291">
        <v>1510</v>
      </c>
      <c r="E291" t="s">
        <v>3894</v>
      </c>
      <c r="F291" t="s">
        <v>3894</v>
      </c>
      <c r="G291" t="s">
        <v>57</v>
      </c>
      <c r="H291" t="s">
        <v>3489</v>
      </c>
      <c r="I291" t="s">
        <v>3490</v>
      </c>
      <c r="J291" s="56">
        <f t="shared" si="12"/>
        <v>80</v>
      </c>
      <c r="K291" s="74" t="str">
        <f t="shared" si="13"/>
        <v>61-90 Days</v>
      </c>
      <c r="L291" s="58" t="str">
        <f t="shared" si="14"/>
        <v>Not Applicable</v>
      </c>
    </row>
    <row r="292" spans="1:12" ht="16.5" customHeight="1" x14ac:dyDescent="0.35">
      <c r="A292" t="s">
        <v>237</v>
      </c>
      <c r="B292" t="s">
        <v>237</v>
      </c>
      <c r="C292">
        <v>0</v>
      </c>
      <c r="D292">
        <v>1000</v>
      </c>
      <c r="E292" t="s">
        <v>3895</v>
      </c>
      <c r="F292" t="s">
        <v>3895</v>
      </c>
      <c r="G292" t="s">
        <v>57</v>
      </c>
      <c r="H292" t="s">
        <v>3489</v>
      </c>
      <c r="I292" t="s">
        <v>3490</v>
      </c>
      <c r="J292" s="56">
        <f t="shared" si="12"/>
        <v>80</v>
      </c>
      <c r="K292" s="74" t="str">
        <f t="shared" si="13"/>
        <v>61-90 Days</v>
      </c>
      <c r="L292" s="58" t="str">
        <f t="shared" si="14"/>
        <v>Not Applicable</v>
      </c>
    </row>
    <row r="293" spans="1:12" ht="16.5" customHeight="1" x14ac:dyDescent="0.35">
      <c r="A293" t="s">
        <v>237</v>
      </c>
      <c r="B293" t="s">
        <v>237</v>
      </c>
      <c r="C293">
        <v>0</v>
      </c>
      <c r="D293">
        <v>1000</v>
      </c>
      <c r="E293" t="s">
        <v>3896</v>
      </c>
      <c r="F293" t="s">
        <v>3896</v>
      </c>
      <c r="G293" t="s">
        <v>57</v>
      </c>
      <c r="H293" t="s">
        <v>3489</v>
      </c>
      <c r="I293" t="s">
        <v>3490</v>
      </c>
      <c r="J293" s="56">
        <f t="shared" si="12"/>
        <v>80</v>
      </c>
      <c r="K293" s="74" t="str">
        <f t="shared" si="13"/>
        <v>61-90 Days</v>
      </c>
      <c r="L293" s="58" t="str">
        <f t="shared" si="14"/>
        <v>Not Applicable</v>
      </c>
    </row>
    <row r="294" spans="1:12" ht="16.5" customHeight="1" x14ac:dyDescent="0.35">
      <c r="A294" t="s">
        <v>237</v>
      </c>
      <c r="B294" t="s">
        <v>237</v>
      </c>
      <c r="C294">
        <v>0</v>
      </c>
      <c r="D294">
        <v>100</v>
      </c>
      <c r="E294" t="s">
        <v>3897</v>
      </c>
      <c r="F294" t="s">
        <v>3897</v>
      </c>
      <c r="G294" t="s">
        <v>57</v>
      </c>
      <c r="H294" t="s">
        <v>3489</v>
      </c>
      <c r="I294" t="s">
        <v>3490</v>
      </c>
      <c r="J294" s="56">
        <f t="shared" si="12"/>
        <v>80</v>
      </c>
      <c r="K294" s="74" t="str">
        <f t="shared" si="13"/>
        <v>61-90 Days</v>
      </c>
      <c r="L294" s="58" t="str">
        <f t="shared" si="14"/>
        <v>Not Applicable</v>
      </c>
    </row>
    <row r="295" spans="1:12" ht="16.5" customHeight="1" x14ac:dyDescent="0.35">
      <c r="A295" t="s">
        <v>237</v>
      </c>
      <c r="B295" t="s">
        <v>237</v>
      </c>
      <c r="C295">
        <v>0</v>
      </c>
      <c r="D295">
        <v>2948.1</v>
      </c>
      <c r="E295" t="s">
        <v>3898</v>
      </c>
      <c r="F295" t="s">
        <v>3898</v>
      </c>
      <c r="G295" t="s">
        <v>57</v>
      </c>
      <c r="H295" t="s">
        <v>3489</v>
      </c>
      <c r="I295" t="s">
        <v>3490</v>
      </c>
      <c r="J295" s="56">
        <f t="shared" si="12"/>
        <v>80</v>
      </c>
      <c r="K295" s="74" t="str">
        <f t="shared" si="13"/>
        <v>61-90 Days</v>
      </c>
      <c r="L295" s="58" t="str">
        <f t="shared" si="14"/>
        <v>Not Applicable</v>
      </c>
    </row>
    <row r="296" spans="1:12" ht="16.5" customHeight="1" x14ac:dyDescent="0.35">
      <c r="A296" t="s">
        <v>237</v>
      </c>
      <c r="B296" t="s">
        <v>237</v>
      </c>
      <c r="C296">
        <v>0</v>
      </c>
      <c r="D296">
        <v>1000</v>
      </c>
      <c r="E296" t="s">
        <v>3899</v>
      </c>
      <c r="F296" t="s">
        <v>3899</v>
      </c>
      <c r="G296" t="s">
        <v>57</v>
      </c>
      <c r="H296" t="s">
        <v>3489</v>
      </c>
      <c r="I296" t="s">
        <v>3490</v>
      </c>
      <c r="J296" s="56">
        <f t="shared" si="12"/>
        <v>80</v>
      </c>
      <c r="K296" s="74" t="str">
        <f t="shared" si="13"/>
        <v>61-90 Days</v>
      </c>
      <c r="L296" s="58" t="str">
        <f t="shared" si="14"/>
        <v>Not Applicable</v>
      </c>
    </row>
    <row r="297" spans="1:12" ht="16.5" customHeight="1" x14ac:dyDescent="0.35">
      <c r="A297" t="s">
        <v>237</v>
      </c>
      <c r="B297" t="s">
        <v>237</v>
      </c>
      <c r="C297">
        <v>11200</v>
      </c>
      <c r="D297">
        <v>0</v>
      </c>
      <c r="E297" t="s">
        <v>3900</v>
      </c>
      <c r="F297" t="s">
        <v>3901</v>
      </c>
      <c r="G297" t="s">
        <v>57</v>
      </c>
      <c r="H297" t="s">
        <v>3455</v>
      </c>
      <c r="I297" t="s">
        <v>3490</v>
      </c>
      <c r="J297" s="56">
        <f t="shared" si="12"/>
        <v>80</v>
      </c>
      <c r="K297" s="74" t="str">
        <f t="shared" si="13"/>
        <v>61-90 Days</v>
      </c>
      <c r="L297" s="58" t="str">
        <f t="shared" si="14"/>
        <v>Substandard</v>
      </c>
    </row>
    <row r="298" spans="1:12" ht="16.5" customHeight="1" x14ac:dyDescent="0.35">
      <c r="A298" t="s">
        <v>237</v>
      </c>
      <c r="B298" t="s">
        <v>237</v>
      </c>
      <c r="C298">
        <v>0</v>
      </c>
      <c r="D298">
        <v>2650</v>
      </c>
      <c r="E298" t="s">
        <v>3902</v>
      </c>
      <c r="F298" t="s">
        <v>3902</v>
      </c>
      <c r="G298" t="s">
        <v>57</v>
      </c>
      <c r="H298" t="s">
        <v>3489</v>
      </c>
      <c r="I298" t="s">
        <v>3490</v>
      </c>
      <c r="J298" s="56">
        <f t="shared" si="12"/>
        <v>80</v>
      </c>
      <c r="K298" s="74" t="str">
        <f t="shared" si="13"/>
        <v>61-90 Days</v>
      </c>
      <c r="L298" s="58" t="str">
        <f t="shared" si="14"/>
        <v>Not Applicable</v>
      </c>
    </row>
    <row r="299" spans="1:12" ht="16.5" customHeight="1" x14ac:dyDescent="0.35">
      <c r="A299" t="s">
        <v>237</v>
      </c>
      <c r="B299" t="s">
        <v>237</v>
      </c>
      <c r="C299">
        <v>0</v>
      </c>
      <c r="D299">
        <v>35.4</v>
      </c>
      <c r="E299" t="s">
        <v>3903</v>
      </c>
      <c r="F299" t="s">
        <v>3904</v>
      </c>
      <c r="G299" t="s">
        <v>57</v>
      </c>
      <c r="H299" t="s">
        <v>3532</v>
      </c>
      <c r="I299" t="s">
        <v>3490</v>
      </c>
      <c r="J299" s="56">
        <f t="shared" si="12"/>
        <v>80</v>
      </c>
      <c r="K299" s="74" t="str">
        <f t="shared" si="13"/>
        <v>61-90 Days</v>
      </c>
      <c r="L299" s="58" t="str">
        <f t="shared" si="14"/>
        <v>Not Applicable</v>
      </c>
    </row>
    <row r="300" spans="1:12" ht="16.5" customHeight="1" x14ac:dyDescent="0.35">
      <c r="A300" t="s">
        <v>237</v>
      </c>
      <c r="B300" t="s">
        <v>237</v>
      </c>
      <c r="C300">
        <v>0</v>
      </c>
      <c r="D300">
        <v>100</v>
      </c>
      <c r="E300" t="s">
        <v>3905</v>
      </c>
      <c r="F300" t="s">
        <v>3905</v>
      </c>
      <c r="G300" t="s">
        <v>57</v>
      </c>
      <c r="H300" t="s">
        <v>3489</v>
      </c>
      <c r="I300" t="s">
        <v>3490</v>
      </c>
      <c r="J300" s="56">
        <f t="shared" si="12"/>
        <v>80</v>
      </c>
      <c r="K300" s="74" t="str">
        <f t="shared" si="13"/>
        <v>61-90 Days</v>
      </c>
      <c r="L300" s="58" t="str">
        <f t="shared" si="14"/>
        <v>Not Applicable</v>
      </c>
    </row>
    <row r="301" spans="1:12" ht="16.5" customHeight="1" x14ac:dyDescent="0.35">
      <c r="A301" t="s">
        <v>237</v>
      </c>
      <c r="B301" t="s">
        <v>237</v>
      </c>
      <c r="C301">
        <v>0</v>
      </c>
      <c r="D301">
        <v>1000</v>
      </c>
      <c r="E301" t="s">
        <v>3906</v>
      </c>
      <c r="F301" t="s">
        <v>3906</v>
      </c>
      <c r="G301" t="s">
        <v>57</v>
      </c>
      <c r="H301" t="s">
        <v>3489</v>
      </c>
      <c r="I301" t="s">
        <v>3490</v>
      </c>
      <c r="J301" s="56">
        <f t="shared" si="12"/>
        <v>80</v>
      </c>
      <c r="K301" s="74" t="str">
        <f t="shared" si="13"/>
        <v>61-90 Days</v>
      </c>
      <c r="L301" s="58" t="str">
        <f t="shared" si="14"/>
        <v>Not Applicable</v>
      </c>
    </row>
    <row r="302" spans="1:12" ht="16.5" customHeight="1" x14ac:dyDescent="0.35">
      <c r="A302" t="s">
        <v>237</v>
      </c>
      <c r="B302" t="s">
        <v>237</v>
      </c>
      <c r="C302">
        <v>50000</v>
      </c>
      <c r="D302">
        <v>0</v>
      </c>
      <c r="E302" t="s">
        <v>3907</v>
      </c>
      <c r="F302" t="s">
        <v>3908</v>
      </c>
      <c r="G302" t="s">
        <v>57</v>
      </c>
      <c r="H302" t="s">
        <v>3886</v>
      </c>
      <c r="I302" t="s">
        <v>3490</v>
      </c>
      <c r="J302" s="56">
        <f t="shared" si="12"/>
        <v>80</v>
      </c>
      <c r="K302" s="74" t="str">
        <f t="shared" si="13"/>
        <v>61-90 Days</v>
      </c>
      <c r="L302" s="58" t="str">
        <f t="shared" si="14"/>
        <v>Substandard</v>
      </c>
    </row>
    <row r="303" spans="1:12" ht="16.5" customHeight="1" x14ac:dyDescent="0.35">
      <c r="A303" t="s">
        <v>237</v>
      </c>
      <c r="B303" t="s">
        <v>237</v>
      </c>
      <c r="C303">
        <v>0</v>
      </c>
      <c r="D303">
        <v>550</v>
      </c>
      <c r="E303" t="s">
        <v>3909</v>
      </c>
      <c r="F303" t="s">
        <v>3909</v>
      </c>
      <c r="G303" t="s">
        <v>57</v>
      </c>
      <c r="H303" t="s">
        <v>3489</v>
      </c>
      <c r="I303" t="s">
        <v>3490</v>
      </c>
      <c r="J303" s="56">
        <f t="shared" si="12"/>
        <v>80</v>
      </c>
      <c r="K303" s="74" t="str">
        <f t="shared" si="13"/>
        <v>61-90 Days</v>
      </c>
      <c r="L303" s="58" t="str">
        <f t="shared" si="14"/>
        <v>Not Applicable</v>
      </c>
    </row>
    <row r="304" spans="1:12" ht="16.5" customHeight="1" x14ac:dyDescent="0.35">
      <c r="A304" t="s">
        <v>237</v>
      </c>
      <c r="B304" t="s">
        <v>237</v>
      </c>
      <c r="C304">
        <v>0</v>
      </c>
      <c r="D304">
        <v>250</v>
      </c>
      <c r="E304" t="s">
        <v>3910</v>
      </c>
      <c r="F304" t="s">
        <v>3910</v>
      </c>
      <c r="G304" t="s">
        <v>57</v>
      </c>
      <c r="H304" t="s">
        <v>3489</v>
      </c>
      <c r="I304" t="s">
        <v>3490</v>
      </c>
      <c r="J304" s="56">
        <f t="shared" si="12"/>
        <v>80</v>
      </c>
      <c r="K304" s="74" t="str">
        <f t="shared" si="13"/>
        <v>61-90 Days</v>
      </c>
      <c r="L304" s="58" t="str">
        <f t="shared" si="14"/>
        <v>Not Applicable</v>
      </c>
    </row>
    <row r="305" spans="1:12" ht="16.5" customHeight="1" x14ac:dyDescent="0.35">
      <c r="A305" t="s">
        <v>237</v>
      </c>
      <c r="B305" t="s">
        <v>237</v>
      </c>
      <c r="C305">
        <v>0</v>
      </c>
      <c r="D305">
        <v>2050</v>
      </c>
      <c r="E305" t="s">
        <v>3911</v>
      </c>
      <c r="F305" t="s">
        <v>3911</v>
      </c>
      <c r="G305" t="s">
        <v>57</v>
      </c>
      <c r="H305" t="s">
        <v>3489</v>
      </c>
      <c r="I305" t="s">
        <v>3490</v>
      </c>
      <c r="J305" s="56">
        <f t="shared" si="12"/>
        <v>80</v>
      </c>
      <c r="K305" s="74" t="str">
        <f t="shared" si="13"/>
        <v>61-90 Days</v>
      </c>
      <c r="L305" s="58" t="str">
        <f t="shared" si="14"/>
        <v>Not Applicable</v>
      </c>
    </row>
    <row r="306" spans="1:12" ht="16.5" customHeight="1" x14ac:dyDescent="0.35">
      <c r="A306" t="s">
        <v>237</v>
      </c>
      <c r="B306" t="s">
        <v>237</v>
      </c>
      <c r="C306">
        <v>0</v>
      </c>
      <c r="D306">
        <v>1000</v>
      </c>
      <c r="E306" t="s">
        <v>3912</v>
      </c>
      <c r="F306" t="s">
        <v>3912</v>
      </c>
      <c r="G306" t="s">
        <v>57</v>
      </c>
      <c r="H306" t="s">
        <v>3489</v>
      </c>
      <c r="I306" t="s">
        <v>3490</v>
      </c>
      <c r="J306" s="56">
        <f t="shared" si="12"/>
        <v>80</v>
      </c>
      <c r="K306" s="74" t="str">
        <f t="shared" si="13"/>
        <v>61-90 Days</v>
      </c>
      <c r="L306" s="58" t="str">
        <f t="shared" si="14"/>
        <v>Not Applicable</v>
      </c>
    </row>
    <row r="307" spans="1:12" ht="16.5" customHeight="1" x14ac:dyDescent="0.35">
      <c r="A307" t="s">
        <v>237</v>
      </c>
      <c r="B307" t="s">
        <v>237</v>
      </c>
      <c r="C307">
        <v>0</v>
      </c>
      <c r="D307">
        <v>126432.05</v>
      </c>
      <c r="E307" t="s">
        <v>3913</v>
      </c>
      <c r="F307" t="s">
        <v>3913</v>
      </c>
      <c r="G307" t="s">
        <v>57</v>
      </c>
      <c r="H307" t="s">
        <v>3914</v>
      </c>
      <c r="I307" t="s">
        <v>3643</v>
      </c>
      <c r="J307" s="56">
        <f t="shared" si="12"/>
        <v>80</v>
      </c>
      <c r="K307" s="74" t="str">
        <f t="shared" si="13"/>
        <v>61-90 Days</v>
      </c>
      <c r="L307" s="58" t="str">
        <f t="shared" si="14"/>
        <v>Not Applicable</v>
      </c>
    </row>
    <row r="308" spans="1:12" ht="16.5" customHeight="1" x14ac:dyDescent="0.35">
      <c r="A308" t="s">
        <v>237</v>
      </c>
      <c r="B308" t="s">
        <v>237</v>
      </c>
      <c r="C308">
        <v>0</v>
      </c>
      <c r="D308">
        <v>2650</v>
      </c>
      <c r="E308" t="s">
        <v>3915</v>
      </c>
      <c r="F308" t="s">
        <v>3915</v>
      </c>
      <c r="G308" t="s">
        <v>57</v>
      </c>
      <c r="H308" t="s">
        <v>3489</v>
      </c>
      <c r="I308" t="s">
        <v>3490</v>
      </c>
      <c r="J308" s="56">
        <f t="shared" si="12"/>
        <v>80</v>
      </c>
      <c r="K308" s="74" t="str">
        <f t="shared" si="13"/>
        <v>61-90 Days</v>
      </c>
      <c r="L308" s="58" t="str">
        <f t="shared" si="14"/>
        <v>Not Applicable</v>
      </c>
    </row>
    <row r="309" spans="1:12" ht="16.5" customHeight="1" x14ac:dyDescent="0.35">
      <c r="A309" t="s">
        <v>237</v>
      </c>
      <c r="B309" t="s">
        <v>237</v>
      </c>
      <c r="C309">
        <v>0</v>
      </c>
      <c r="D309">
        <v>5123.24</v>
      </c>
      <c r="E309" t="s">
        <v>3916</v>
      </c>
      <c r="F309" t="s">
        <v>3916</v>
      </c>
      <c r="G309" t="s">
        <v>57</v>
      </c>
      <c r="H309" t="s">
        <v>3489</v>
      </c>
      <c r="I309" t="s">
        <v>3490</v>
      </c>
      <c r="J309" s="56">
        <f t="shared" si="12"/>
        <v>80</v>
      </c>
      <c r="K309" s="74" t="str">
        <f t="shared" si="13"/>
        <v>61-90 Days</v>
      </c>
      <c r="L309" s="58" t="str">
        <f t="shared" si="14"/>
        <v>Not Applicable</v>
      </c>
    </row>
    <row r="310" spans="1:12" ht="16.5" customHeight="1" x14ac:dyDescent="0.35">
      <c r="A310" t="s">
        <v>237</v>
      </c>
      <c r="B310" t="s">
        <v>237</v>
      </c>
      <c r="C310">
        <v>0</v>
      </c>
      <c r="D310">
        <v>1000</v>
      </c>
      <c r="E310" t="s">
        <v>3917</v>
      </c>
      <c r="F310" t="s">
        <v>3574</v>
      </c>
      <c r="G310" t="s">
        <v>57</v>
      </c>
      <c r="H310" t="s">
        <v>3489</v>
      </c>
      <c r="I310" t="s">
        <v>3490</v>
      </c>
      <c r="J310" s="56">
        <f t="shared" si="12"/>
        <v>80</v>
      </c>
      <c r="K310" s="74" t="str">
        <f t="shared" si="13"/>
        <v>61-90 Days</v>
      </c>
      <c r="L310" s="58" t="str">
        <f t="shared" si="14"/>
        <v>Not Applicable</v>
      </c>
    </row>
    <row r="311" spans="1:12" ht="16.5" customHeight="1" x14ac:dyDescent="0.35">
      <c r="A311" t="s">
        <v>237</v>
      </c>
      <c r="B311" t="s">
        <v>237</v>
      </c>
      <c r="C311">
        <v>0</v>
      </c>
      <c r="D311">
        <v>708</v>
      </c>
      <c r="E311" t="s">
        <v>3918</v>
      </c>
      <c r="F311" t="s">
        <v>3918</v>
      </c>
      <c r="G311" t="s">
        <v>57</v>
      </c>
      <c r="H311" t="s">
        <v>3489</v>
      </c>
      <c r="I311" t="s">
        <v>3490</v>
      </c>
      <c r="J311" s="56">
        <f t="shared" si="12"/>
        <v>80</v>
      </c>
      <c r="K311" s="74" t="str">
        <f t="shared" si="13"/>
        <v>61-90 Days</v>
      </c>
      <c r="L311" s="58" t="str">
        <f t="shared" si="14"/>
        <v>Not Applicable</v>
      </c>
    </row>
    <row r="312" spans="1:12" ht="16.5" customHeight="1" x14ac:dyDescent="0.35">
      <c r="A312" t="s">
        <v>237</v>
      </c>
      <c r="B312" t="s">
        <v>237</v>
      </c>
      <c r="C312">
        <v>1278.8</v>
      </c>
      <c r="D312">
        <v>0</v>
      </c>
      <c r="E312" t="s">
        <v>3919</v>
      </c>
      <c r="F312" t="s">
        <v>3920</v>
      </c>
      <c r="G312" t="s">
        <v>57</v>
      </c>
      <c r="H312" t="s">
        <v>3921</v>
      </c>
      <c r="I312" t="s">
        <v>3490</v>
      </c>
      <c r="J312" s="56">
        <f t="shared" si="12"/>
        <v>80</v>
      </c>
      <c r="K312" s="74" t="str">
        <f t="shared" si="13"/>
        <v>61-90 Days</v>
      </c>
      <c r="L312" s="58" t="str">
        <f t="shared" si="14"/>
        <v>Substandard</v>
      </c>
    </row>
    <row r="313" spans="1:12" ht="16.5" customHeight="1" x14ac:dyDescent="0.35">
      <c r="A313" t="s">
        <v>237</v>
      </c>
      <c r="B313" t="s">
        <v>237</v>
      </c>
      <c r="C313">
        <v>300</v>
      </c>
      <c r="D313">
        <v>0</v>
      </c>
      <c r="E313" t="s">
        <v>3922</v>
      </c>
      <c r="F313" t="s">
        <v>3923</v>
      </c>
      <c r="G313" t="s">
        <v>57</v>
      </c>
      <c r="H313" t="s">
        <v>3455</v>
      </c>
      <c r="I313" t="s">
        <v>3490</v>
      </c>
      <c r="J313" s="56">
        <f t="shared" si="12"/>
        <v>80</v>
      </c>
      <c r="K313" s="74" t="str">
        <f t="shared" si="13"/>
        <v>61-90 Days</v>
      </c>
      <c r="L313" s="58" t="str">
        <f t="shared" si="14"/>
        <v>Substandard</v>
      </c>
    </row>
    <row r="314" spans="1:12" ht="16.5" customHeight="1" x14ac:dyDescent="0.35">
      <c r="A314" t="s">
        <v>237</v>
      </c>
      <c r="B314" t="s">
        <v>237</v>
      </c>
      <c r="C314">
        <v>0</v>
      </c>
      <c r="D314">
        <v>550</v>
      </c>
      <c r="E314" t="s">
        <v>3924</v>
      </c>
      <c r="F314" t="s">
        <v>3924</v>
      </c>
      <c r="G314" t="s">
        <v>57</v>
      </c>
      <c r="H314" t="s">
        <v>3489</v>
      </c>
      <c r="I314" t="s">
        <v>3490</v>
      </c>
      <c r="J314" s="56">
        <f t="shared" si="12"/>
        <v>80</v>
      </c>
      <c r="K314" s="74" t="str">
        <f t="shared" si="13"/>
        <v>61-90 Days</v>
      </c>
      <c r="L314" s="58" t="str">
        <f t="shared" si="14"/>
        <v>Not Applicable</v>
      </c>
    </row>
    <row r="315" spans="1:12" ht="16.5" customHeight="1" x14ac:dyDescent="0.35">
      <c r="A315" t="s">
        <v>237</v>
      </c>
      <c r="B315" t="s">
        <v>237</v>
      </c>
      <c r="C315">
        <v>0</v>
      </c>
      <c r="D315">
        <v>2700</v>
      </c>
      <c r="E315" t="s">
        <v>3925</v>
      </c>
      <c r="F315" t="s">
        <v>3499</v>
      </c>
      <c r="G315" t="s">
        <v>57</v>
      </c>
      <c r="H315" t="s">
        <v>3489</v>
      </c>
      <c r="I315" t="s">
        <v>3490</v>
      </c>
      <c r="J315" s="56">
        <f t="shared" si="12"/>
        <v>80</v>
      </c>
      <c r="K315" s="74" t="str">
        <f t="shared" si="13"/>
        <v>61-90 Days</v>
      </c>
      <c r="L315" s="58" t="str">
        <f t="shared" si="14"/>
        <v>Not Applicable</v>
      </c>
    </row>
    <row r="316" spans="1:12" ht="16.5" customHeight="1" x14ac:dyDescent="0.35">
      <c r="A316" t="s">
        <v>237</v>
      </c>
      <c r="B316" t="s">
        <v>237</v>
      </c>
      <c r="C316">
        <v>0</v>
      </c>
      <c r="D316">
        <v>1640</v>
      </c>
      <c r="E316" t="s">
        <v>3926</v>
      </c>
      <c r="F316" t="s">
        <v>3926</v>
      </c>
      <c r="G316" t="s">
        <v>57</v>
      </c>
      <c r="H316" t="s">
        <v>3489</v>
      </c>
      <c r="I316" t="s">
        <v>3490</v>
      </c>
      <c r="J316" s="56">
        <f t="shared" si="12"/>
        <v>80</v>
      </c>
      <c r="K316" s="74" t="str">
        <f t="shared" si="13"/>
        <v>61-90 Days</v>
      </c>
      <c r="L316" s="58" t="str">
        <f t="shared" si="14"/>
        <v>Not Applicable</v>
      </c>
    </row>
    <row r="317" spans="1:12" ht="16.5" customHeight="1" x14ac:dyDescent="0.35">
      <c r="A317" t="s">
        <v>237</v>
      </c>
      <c r="B317" t="s">
        <v>237</v>
      </c>
      <c r="C317">
        <v>0</v>
      </c>
      <c r="D317">
        <v>2650</v>
      </c>
      <c r="E317" t="s">
        <v>3927</v>
      </c>
      <c r="F317" t="s">
        <v>3928</v>
      </c>
      <c r="G317" t="s">
        <v>57</v>
      </c>
      <c r="H317" t="s">
        <v>3532</v>
      </c>
      <c r="I317" t="s">
        <v>3490</v>
      </c>
      <c r="J317" s="56">
        <f t="shared" si="12"/>
        <v>80</v>
      </c>
      <c r="K317" s="74" t="str">
        <f t="shared" si="13"/>
        <v>61-90 Days</v>
      </c>
      <c r="L317" s="58" t="str">
        <f t="shared" si="14"/>
        <v>Not Applicable</v>
      </c>
    </row>
    <row r="318" spans="1:12" ht="16.5" customHeight="1" x14ac:dyDescent="0.35">
      <c r="A318" t="s">
        <v>237</v>
      </c>
      <c r="B318" t="s">
        <v>237</v>
      </c>
      <c r="C318">
        <v>0</v>
      </c>
      <c r="D318">
        <v>2568.3200000000002</v>
      </c>
      <c r="E318" t="s">
        <v>3929</v>
      </c>
      <c r="F318" t="s">
        <v>3929</v>
      </c>
      <c r="G318" t="s">
        <v>57</v>
      </c>
      <c r="H318" t="s">
        <v>3489</v>
      </c>
      <c r="I318" t="s">
        <v>3490</v>
      </c>
      <c r="J318" s="56">
        <f t="shared" si="12"/>
        <v>80</v>
      </c>
      <c r="K318" s="74" t="str">
        <f t="shared" si="13"/>
        <v>61-90 Days</v>
      </c>
      <c r="L318" s="58" t="str">
        <f t="shared" si="14"/>
        <v>Not Applicable</v>
      </c>
    </row>
    <row r="319" spans="1:12" ht="16.5" customHeight="1" x14ac:dyDescent="0.35">
      <c r="A319" t="s">
        <v>237</v>
      </c>
      <c r="B319" t="s">
        <v>237</v>
      </c>
      <c r="C319">
        <v>0</v>
      </c>
      <c r="D319">
        <v>2700</v>
      </c>
      <c r="E319" t="s">
        <v>3930</v>
      </c>
      <c r="F319" t="s">
        <v>3930</v>
      </c>
      <c r="G319" t="s">
        <v>57</v>
      </c>
      <c r="H319" t="s">
        <v>3489</v>
      </c>
      <c r="I319" t="s">
        <v>3490</v>
      </c>
      <c r="J319" s="56">
        <f t="shared" si="12"/>
        <v>80</v>
      </c>
      <c r="K319" s="74" t="str">
        <f t="shared" si="13"/>
        <v>61-90 Days</v>
      </c>
      <c r="L319" s="58" t="str">
        <f t="shared" si="14"/>
        <v>Not Applicable</v>
      </c>
    </row>
    <row r="320" spans="1:12" ht="16.5" customHeight="1" x14ac:dyDescent="0.35">
      <c r="A320" t="s">
        <v>237</v>
      </c>
      <c r="B320" t="s">
        <v>237</v>
      </c>
      <c r="C320">
        <v>2100</v>
      </c>
      <c r="D320">
        <v>0</v>
      </c>
      <c r="E320" t="s">
        <v>3931</v>
      </c>
      <c r="F320" t="s">
        <v>3932</v>
      </c>
      <c r="G320" t="s">
        <v>57</v>
      </c>
      <c r="H320" t="s">
        <v>3455</v>
      </c>
      <c r="I320" t="s">
        <v>3490</v>
      </c>
      <c r="J320" s="56">
        <f t="shared" si="12"/>
        <v>80</v>
      </c>
      <c r="K320" s="74" t="str">
        <f t="shared" si="13"/>
        <v>61-90 Days</v>
      </c>
      <c r="L320" s="58" t="str">
        <f t="shared" si="14"/>
        <v>Substandard</v>
      </c>
    </row>
    <row r="321" spans="1:12" ht="16.5" customHeight="1" x14ac:dyDescent="0.35">
      <c r="A321" t="s">
        <v>237</v>
      </c>
      <c r="B321" t="s">
        <v>237</v>
      </c>
      <c r="C321">
        <v>3553.2</v>
      </c>
      <c r="D321">
        <v>0</v>
      </c>
      <c r="E321" t="s">
        <v>3933</v>
      </c>
      <c r="F321" t="s">
        <v>3934</v>
      </c>
      <c r="G321" t="s">
        <v>57</v>
      </c>
      <c r="H321" t="s">
        <v>3476</v>
      </c>
      <c r="I321" t="s">
        <v>3490</v>
      </c>
      <c r="J321" s="56">
        <f t="shared" si="12"/>
        <v>80</v>
      </c>
      <c r="K321" s="74" t="str">
        <f t="shared" si="13"/>
        <v>61-90 Days</v>
      </c>
      <c r="L321" s="58" t="str">
        <f t="shared" si="14"/>
        <v>Substandard</v>
      </c>
    </row>
    <row r="322" spans="1:12" ht="16.5" customHeight="1" x14ac:dyDescent="0.35">
      <c r="A322" t="s">
        <v>237</v>
      </c>
      <c r="B322" t="s">
        <v>237</v>
      </c>
      <c r="C322">
        <v>500</v>
      </c>
      <c r="D322">
        <v>0</v>
      </c>
      <c r="E322" t="s">
        <v>3935</v>
      </c>
      <c r="F322" t="s">
        <v>3936</v>
      </c>
      <c r="G322" t="s">
        <v>57</v>
      </c>
      <c r="H322" t="s">
        <v>3455</v>
      </c>
      <c r="I322" t="s">
        <v>3490</v>
      </c>
      <c r="J322" s="56">
        <f t="shared" si="12"/>
        <v>80</v>
      </c>
      <c r="K322" s="74" t="str">
        <f t="shared" si="13"/>
        <v>61-90 Days</v>
      </c>
      <c r="L322" s="58" t="str">
        <f t="shared" si="14"/>
        <v>Substandard</v>
      </c>
    </row>
    <row r="323" spans="1:12" ht="16.5" customHeight="1" x14ac:dyDescent="0.35">
      <c r="A323" t="s">
        <v>237</v>
      </c>
      <c r="B323" t="s">
        <v>237</v>
      </c>
      <c r="C323">
        <v>0</v>
      </c>
      <c r="D323">
        <v>1000</v>
      </c>
      <c r="E323" t="s">
        <v>3937</v>
      </c>
      <c r="F323" t="s">
        <v>3938</v>
      </c>
      <c r="G323" t="s">
        <v>57</v>
      </c>
      <c r="H323" t="s">
        <v>3532</v>
      </c>
      <c r="I323" t="s">
        <v>3490</v>
      </c>
      <c r="J323" s="56">
        <f t="shared" si="12"/>
        <v>80</v>
      </c>
      <c r="K323" s="74" t="str">
        <f t="shared" si="13"/>
        <v>61-90 Days</v>
      </c>
      <c r="L323" s="58" t="str">
        <f t="shared" si="14"/>
        <v>Not Applicable</v>
      </c>
    </row>
    <row r="324" spans="1:12" ht="16.5" customHeight="1" x14ac:dyDescent="0.35">
      <c r="A324" t="s">
        <v>237</v>
      </c>
      <c r="B324" t="s">
        <v>237</v>
      </c>
      <c r="C324">
        <v>0</v>
      </c>
      <c r="D324">
        <v>1000</v>
      </c>
      <c r="E324" t="s">
        <v>3939</v>
      </c>
      <c r="F324" t="s">
        <v>3940</v>
      </c>
      <c r="G324" t="s">
        <v>57</v>
      </c>
      <c r="H324" t="s">
        <v>3489</v>
      </c>
      <c r="I324" t="s">
        <v>3490</v>
      </c>
      <c r="J324" s="56">
        <f t="shared" si="12"/>
        <v>80</v>
      </c>
      <c r="K324" s="74" t="str">
        <f t="shared" si="13"/>
        <v>61-90 Days</v>
      </c>
      <c r="L324" s="58" t="str">
        <f t="shared" si="14"/>
        <v>Not Applicable</v>
      </c>
    </row>
    <row r="325" spans="1:12" ht="16.5" customHeight="1" x14ac:dyDescent="0.35">
      <c r="A325" t="s">
        <v>237</v>
      </c>
      <c r="B325" t="s">
        <v>237</v>
      </c>
      <c r="C325">
        <v>0</v>
      </c>
      <c r="D325">
        <v>2050</v>
      </c>
      <c r="E325" t="s">
        <v>3941</v>
      </c>
      <c r="F325" t="s">
        <v>3942</v>
      </c>
      <c r="G325" t="s">
        <v>57</v>
      </c>
      <c r="H325" t="s">
        <v>3532</v>
      </c>
      <c r="I325" t="s">
        <v>3490</v>
      </c>
      <c r="J325" s="56">
        <f t="shared" si="12"/>
        <v>80</v>
      </c>
      <c r="K325" s="74" t="str">
        <f t="shared" si="13"/>
        <v>61-90 Days</v>
      </c>
      <c r="L325" s="58" t="str">
        <f t="shared" si="14"/>
        <v>Not Applicable</v>
      </c>
    </row>
    <row r="326" spans="1:12" ht="16.5" customHeight="1" x14ac:dyDescent="0.35">
      <c r="A326" t="s">
        <v>237</v>
      </c>
      <c r="B326" t="s">
        <v>237</v>
      </c>
      <c r="C326">
        <v>0</v>
      </c>
      <c r="D326">
        <v>25</v>
      </c>
      <c r="E326" t="s">
        <v>3943</v>
      </c>
      <c r="F326" t="s">
        <v>3944</v>
      </c>
      <c r="G326" t="s">
        <v>57</v>
      </c>
      <c r="H326" t="s">
        <v>3532</v>
      </c>
      <c r="I326" t="s">
        <v>3490</v>
      </c>
      <c r="J326" s="56">
        <f t="shared" si="12"/>
        <v>80</v>
      </c>
      <c r="K326" s="74" t="str">
        <f t="shared" si="13"/>
        <v>61-90 Days</v>
      </c>
      <c r="L326" s="58" t="str">
        <f t="shared" si="14"/>
        <v>Not Applicable</v>
      </c>
    </row>
    <row r="327" spans="1:12" ht="16.5" customHeight="1" x14ac:dyDescent="0.35">
      <c r="A327" t="s">
        <v>237</v>
      </c>
      <c r="B327" t="s">
        <v>237</v>
      </c>
      <c r="C327">
        <v>0</v>
      </c>
      <c r="D327">
        <v>200</v>
      </c>
      <c r="E327" t="s">
        <v>3945</v>
      </c>
      <c r="F327" t="s">
        <v>3945</v>
      </c>
      <c r="G327" t="s">
        <v>57</v>
      </c>
      <c r="H327" t="s">
        <v>3489</v>
      </c>
      <c r="I327" t="s">
        <v>3490</v>
      </c>
      <c r="J327" s="56">
        <f t="shared" si="12"/>
        <v>80</v>
      </c>
      <c r="K327" s="74" t="str">
        <f t="shared" si="13"/>
        <v>61-90 Days</v>
      </c>
      <c r="L327" s="58" t="str">
        <f t="shared" si="14"/>
        <v>Not Applicable</v>
      </c>
    </row>
    <row r="328" spans="1:12" ht="16.5" customHeight="1" x14ac:dyDescent="0.35">
      <c r="A328" t="s">
        <v>237</v>
      </c>
      <c r="B328" t="s">
        <v>237</v>
      </c>
      <c r="C328">
        <v>0</v>
      </c>
      <c r="D328">
        <v>200</v>
      </c>
      <c r="E328" t="s">
        <v>3946</v>
      </c>
      <c r="F328" t="s">
        <v>3947</v>
      </c>
      <c r="G328" t="s">
        <v>57</v>
      </c>
      <c r="H328" t="s">
        <v>3532</v>
      </c>
      <c r="I328" t="s">
        <v>3490</v>
      </c>
      <c r="J328" s="56">
        <f t="shared" si="12"/>
        <v>80</v>
      </c>
      <c r="K328" s="74" t="str">
        <f t="shared" si="13"/>
        <v>61-90 Days</v>
      </c>
      <c r="L328" s="58" t="str">
        <f t="shared" si="14"/>
        <v>Not Applicable</v>
      </c>
    </row>
    <row r="329" spans="1:12" ht="16.5" customHeight="1" x14ac:dyDescent="0.35">
      <c r="A329" t="s">
        <v>237</v>
      </c>
      <c r="B329" t="s">
        <v>237</v>
      </c>
      <c r="C329">
        <v>0</v>
      </c>
      <c r="D329">
        <v>1000</v>
      </c>
      <c r="E329" t="s">
        <v>3948</v>
      </c>
      <c r="F329" t="s">
        <v>3499</v>
      </c>
      <c r="G329" t="s">
        <v>57</v>
      </c>
      <c r="H329" t="s">
        <v>3489</v>
      </c>
      <c r="I329" t="s">
        <v>3490</v>
      </c>
      <c r="J329" s="56">
        <f t="shared" ref="J329:J392" si="15">IF(A329="","",A$5-A329)</f>
        <v>80</v>
      </c>
      <c r="K329" s="74" t="str">
        <f t="shared" ref="K329:K392" si="16">IF(J329="","",IF(J329&lt;4,"0-3 Days",IF(J329&lt;31,"4-30 Days",IF(J329&lt;61,"31-60 Days",IF(J329&lt;=90,"61-90 Days",IF(J329&gt;90,"Above 90 Days","0"))))))</f>
        <v>61-90 Days</v>
      </c>
      <c r="L329" s="58" t="str">
        <f t="shared" ref="L329:L392" si="17">IF(C329="","",IF(C329&gt;0,IF(J329&lt;30,"Normal",IF(J329&lt;60,"Especially Mentioned",IF(J329&lt;90,"Substandard",IF(J329&lt;=180,"Doubtful",IF(J329&gt;180,"Loss","0"))))),"Not Applicable"))</f>
        <v>Not Applicable</v>
      </c>
    </row>
    <row r="330" spans="1:12" ht="16.5" customHeight="1" x14ac:dyDescent="0.35">
      <c r="A330" t="s">
        <v>237</v>
      </c>
      <c r="B330" t="s">
        <v>237</v>
      </c>
      <c r="C330">
        <v>0</v>
      </c>
      <c r="D330">
        <v>100</v>
      </c>
      <c r="E330" t="s">
        <v>3949</v>
      </c>
      <c r="F330" t="s">
        <v>3949</v>
      </c>
      <c r="G330" t="s">
        <v>57</v>
      </c>
      <c r="H330" t="s">
        <v>3489</v>
      </c>
      <c r="I330" t="s">
        <v>3490</v>
      </c>
      <c r="J330" s="56">
        <f t="shared" si="15"/>
        <v>80</v>
      </c>
      <c r="K330" s="74" t="str">
        <f t="shared" si="16"/>
        <v>61-90 Days</v>
      </c>
      <c r="L330" s="58" t="str">
        <f t="shared" si="17"/>
        <v>Not Applicable</v>
      </c>
    </row>
    <row r="331" spans="1:12" ht="16.5" customHeight="1" x14ac:dyDescent="0.35">
      <c r="A331" t="s">
        <v>237</v>
      </c>
      <c r="B331" t="s">
        <v>237</v>
      </c>
      <c r="C331">
        <v>0</v>
      </c>
      <c r="D331">
        <v>1680</v>
      </c>
      <c r="E331" t="s">
        <v>3950</v>
      </c>
      <c r="F331" t="s">
        <v>3950</v>
      </c>
      <c r="G331" t="s">
        <v>57</v>
      </c>
      <c r="H331" t="s">
        <v>3489</v>
      </c>
      <c r="I331" t="s">
        <v>3490</v>
      </c>
      <c r="J331" s="56">
        <f t="shared" si="15"/>
        <v>80</v>
      </c>
      <c r="K331" s="74" t="str">
        <f t="shared" si="16"/>
        <v>61-90 Days</v>
      </c>
      <c r="L331" s="58" t="str">
        <f t="shared" si="17"/>
        <v>Not Applicable</v>
      </c>
    </row>
    <row r="332" spans="1:12" ht="16.5" customHeight="1" x14ac:dyDescent="0.35">
      <c r="A332" t="s">
        <v>237</v>
      </c>
      <c r="B332" t="s">
        <v>237</v>
      </c>
      <c r="C332">
        <v>0</v>
      </c>
      <c r="D332">
        <v>2650</v>
      </c>
      <c r="E332" t="s">
        <v>3951</v>
      </c>
      <c r="F332" t="s">
        <v>3951</v>
      </c>
      <c r="G332" t="s">
        <v>57</v>
      </c>
      <c r="H332" t="s">
        <v>3489</v>
      </c>
      <c r="I332" t="s">
        <v>3490</v>
      </c>
      <c r="J332" s="56">
        <f t="shared" si="15"/>
        <v>80</v>
      </c>
      <c r="K332" s="74" t="str">
        <f t="shared" si="16"/>
        <v>61-90 Days</v>
      </c>
      <c r="L332" s="58" t="str">
        <f t="shared" si="17"/>
        <v>Not Applicable</v>
      </c>
    </row>
    <row r="333" spans="1:12" ht="16.5" customHeight="1" x14ac:dyDescent="0.35">
      <c r="A333" t="s">
        <v>278</v>
      </c>
      <c r="B333" t="s">
        <v>278</v>
      </c>
      <c r="C333">
        <v>0</v>
      </c>
      <c r="D333">
        <v>50</v>
      </c>
      <c r="E333" t="s">
        <v>3952</v>
      </c>
      <c r="F333" t="s">
        <v>3952</v>
      </c>
      <c r="G333" t="s">
        <v>57</v>
      </c>
      <c r="H333" t="s">
        <v>3489</v>
      </c>
      <c r="I333" t="s">
        <v>3490</v>
      </c>
      <c r="J333" s="56">
        <f t="shared" si="15"/>
        <v>79</v>
      </c>
      <c r="K333" s="74" t="str">
        <f t="shared" si="16"/>
        <v>61-90 Days</v>
      </c>
      <c r="L333" s="58" t="str">
        <f t="shared" si="17"/>
        <v>Not Applicable</v>
      </c>
    </row>
    <row r="334" spans="1:12" ht="16.5" customHeight="1" x14ac:dyDescent="0.35">
      <c r="A334" t="s">
        <v>278</v>
      </c>
      <c r="B334" t="s">
        <v>278</v>
      </c>
      <c r="C334">
        <v>0</v>
      </c>
      <c r="D334">
        <v>2150</v>
      </c>
      <c r="E334" t="s">
        <v>3953</v>
      </c>
      <c r="F334" t="s">
        <v>3954</v>
      </c>
      <c r="G334" t="s">
        <v>57</v>
      </c>
      <c r="H334" t="s">
        <v>3532</v>
      </c>
      <c r="I334" t="s">
        <v>3490</v>
      </c>
      <c r="J334" s="56">
        <f t="shared" si="15"/>
        <v>79</v>
      </c>
      <c r="K334" s="74" t="str">
        <f t="shared" si="16"/>
        <v>61-90 Days</v>
      </c>
      <c r="L334" s="58" t="str">
        <f t="shared" si="17"/>
        <v>Not Applicable</v>
      </c>
    </row>
    <row r="335" spans="1:12" ht="16.5" customHeight="1" x14ac:dyDescent="0.35">
      <c r="A335" t="s">
        <v>278</v>
      </c>
      <c r="B335" t="s">
        <v>278</v>
      </c>
      <c r="C335">
        <v>0</v>
      </c>
      <c r="D335">
        <v>1000</v>
      </c>
      <c r="E335" t="s">
        <v>3955</v>
      </c>
      <c r="F335" t="s">
        <v>3955</v>
      </c>
      <c r="G335" t="s">
        <v>57</v>
      </c>
      <c r="H335" t="s">
        <v>3489</v>
      </c>
      <c r="I335" t="s">
        <v>3490</v>
      </c>
      <c r="J335" s="56">
        <f t="shared" si="15"/>
        <v>79</v>
      </c>
      <c r="K335" s="74" t="str">
        <f t="shared" si="16"/>
        <v>61-90 Days</v>
      </c>
      <c r="L335" s="58" t="str">
        <f t="shared" si="17"/>
        <v>Not Applicable</v>
      </c>
    </row>
    <row r="336" spans="1:12" ht="16.5" customHeight="1" x14ac:dyDescent="0.35">
      <c r="A336" t="s">
        <v>278</v>
      </c>
      <c r="B336" t="s">
        <v>278</v>
      </c>
      <c r="C336">
        <v>0</v>
      </c>
      <c r="D336">
        <v>50</v>
      </c>
      <c r="E336" t="s">
        <v>3956</v>
      </c>
      <c r="F336" t="s">
        <v>3956</v>
      </c>
      <c r="G336" t="s">
        <v>57</v>
      </c>
      <c r="H336" t="s">
        <v>3489</v>
      </c>
      <c r="I336" t="s">
        <v>3490</v>
      </c>
      <c r="J336" s="56">
        <f t="shared" si="15"/>
        <v>79</v>
      </c>
      <c r="K336" s="74" t="str">
        <f t="shared" si="16"/>
        <v>61-90 Days</v>
      </c>
      <c r="L336" s="58" t="str">
        <f t="shared" si="17"/>
        <v>Not Applicable</v>
      </c>
    </row>
    <row r="337" spans="1:12" ht="16.5" customHeight="1" x14ac:dyDescent="0.35">
      <c r="A337" t="s">
        <v>278</v>
      </c>
      <c r="B337" t="s">
        <v>278</v>
      </c>
      <c r="C337">
        <v>25</v>
      </c>
      <c r="D337">
        <v>0</v>
      </c>
      <c r="E337" t="s">
        <v>3957</v>
      </c>
      <c r="F337" t="s">
        <v>3957</v>
      </c>
      <c r="G337" t="s">
        <v>57</v>
      </c>
      <c r="H337" t="s">
        <v>3810</v>
      </c>
      <c r="I337" t="s">
        <v>3811</v>
      </c>
      <c r="J337" s="56">
        <f t="shared" si="15"/>
        <v>79</v>
      </c>
      <c r="K337" s="74" t="str">
        <f t="shared" si="16"/>
        <v>61-90 Days</v>
      </c>
      <c r="L337" s="58" t="str">
        <f t="shared" si="17"/>
        <v>Substandard</v>
      </c>
    </row>
    <row r="338" spans="1:12" ht="16.5" customHeight="1" x14ac:dyDescent="0.35">
      <c r="A338" t="s">
        <v>278</v>
      </c>
      <c r="B338" t="s">
        <v>278</v>
      </c>
      <c r="C338">
        <v>0</v>
      </c>
      <c r="D338">
        <v>5000</v>
      </c>
      <c r="E338" t="s">
        <v>3958</v>
      </c>
      <c r="F338" t="s">
        <v>3958</v>
      </c>
      <c r="G338" t="s">
        <v>57</v>
      </c>
      <c r="H338" t="s">
        <v>3489</v>
      </c>
      <c r="I338" t="s">
        <v>3490</v>
      </c>
      <c r="J338" s="56">
        <f t="shared" si="15"/>
        <v>79</v>
      </c>
      <c r="K338" s="74" t="str">
        <f t="shared" si="16"/>
        <v>61-90 Days</v>
      </c>
      <c r="L338" s="58" t="str">
        <f t="shared" si="17"/>
        <v>Not Applicable</v>
      </c>
    </row>
    <row r="339" spans="1:12" ht="16.5" customHeight="1" x14ac:dyDescent="0.35">
      <c r="A339" t="s">
        <v>236</v>
      </c>
      <c r="B339" t="s">
        <v>236</v>
      </c>
      <c r="C339">
        <v>0</v>
      </c>
      <c r="D339">
        <v>1000</v>
      </c>
      <c r="E339" t="s">
        <v>3959</v>
      </c>
      <c r="F339" t="s">
        <v>3960</v>
      </c>
      <c r="G339" t="s">
        <v>57</v>
      </c>
      <c r="H339" t="s">
        <v>3489</v>
      </c>
      <c r="I339" t="s">
        <v>3490</v>
      </c>
      <c r="J339" s="56">
        <f t="shared" si="15"/>
        <v>77</v>
      </c>
      <c r="K339" s="74" t="str">
        <f t="shared" si="16"/>
        <v>61-90 Days</v>
      </c>
      <c r="L339" s="58" t="str">
        <f t="shared" si="17"/>
        <v>Not Applicable</v>
      </c>
    </row>
    <row r="340" spans="1:12" ht="16.5" customHeight="1" x14ac:dyDescent="0.35">
      <c r="A340" t="s">
        <v>236</v>
      </c>
      <c r="B340" t="s">
        <v>236</v>
      </c>
      <c r="C340">
        <v>0</v>
      </c>
      <c r="D340">
        <v>1000</v>
      </c>
      <c r="E340" t="s">
        <v>3961</v>
      </c>
      <c r="F340" t="s">
        <v>3962</v>
      </c>
      <c r="G340" t="s">
        <v>57</v>
      </c>
      <c r="H340" t="s">
        <v>3489</v>
      </c>
      <c r="I340" t="s">
        <v>3490</v>
      </c>
      <c r="J340" s="56">
        <f t="shared" si="15"/>
        <v>77</v>
      </c>
      <c r="K340" s="74" t="str">
        <f t="shared" si="16"/>
        <v>61-90 Days</v>
      </c>
      <c r="L340" s="58" t="str">
        <f t="shared" si="17"/>
        <v>Not Applicable</v>
      </c>
    </row>
    <row r="341" spans="1:12" ht="16.5" customHeight="1" x14ac:dyDescent="0.35">
      <c r="A341" t="s">
        <v>236</v>
      </c>
      <c r="B341" t="s">
        <v>236</v>
      </c>
      <c r="C341">
        <v>0</v>
      </c>
      <c r="D341">
        <v>100</v>
      </c>
      <c r="E341" t="s">
        <v>3963</v>
      </c>
      <c r="F341" t="s">
        <v>3963</v>
      </c>
      <c r="G341" t="s">
        <v>57</v>
      </c>
      <c r="H341" t="s">
        <v>3489</v>
      </c>
      <c r="I341" t="s">
        <v>3490</v>
      </c>
      <c r="J341" s="56">
        <f t="shared" si="15"/>
        <v>77</v>
      </c>
      <c r="K341" s="74" t="str">
        <f t="shared" si="16"/>
        <v>61-90 Days</v>
      </c>
      <c r="L341" s="58" t="str">
        <f t="shared" si="17"/>
        <v>Not Applicable</v>
      </c>
    </row>
    <row r="342" spans="1:12" ht="16.5" customHeight="1" x14ac:dyDescent="0.35">
      <c r="A342" t="s">
        <v>236</v>
      </c>
      <c r="B342" t="s">
        <v>236</v>
      </c>
      <c r="C342">
        <v>0</v>
      </c>
      <c r="D342">
        <v>2050</v>
      </c>
      <c r="E342" t="s">
        <v>3964</v>
      </c>
      <c r="F342" t="s">
        <v>3964</v>
      </c>
      <c r="G342" t="s">
        <v>57</v>
      </c>
      <c r="H342" t="s">
        <v>3489</v>
      </c>
      <c r="I342" t="s">
        <v>3490</v>
      </c>
      <c r="J342" s="56">
        <f t="shared" si="15"/>
        <v>77</v>
      </c>
      <c r="K342" s="74" t="str">
        <f t="shared" si="16"/>
        <v>61-90 Days</v>
      </c>
      <c r="L342" s="58" t="str">
        <f t="shared" si="17"/>
        <v>Not Applicable</v>
      </c>
    </row>
    <row r="343" spans="1:12" ht="16.5" customHeight="1" x14ac:dyDescent="0.35">
      <c r="A343" t="s">
        <v>236</v>
      </c>
      <c r="B343" t="s">
        <v>236</v>
      </c>
      <c r="C343">
        <v>0</v>
      </c>
      <c r="D343">
        <v>550</v>
      </c>
      <c r="E343" t="s">
        <v>3965</v>
      </c>
      <c r="F343" t="s">
        <v>3965</v>
      </c>
      <c r="G343" t="s">
        <v>57</v>
      </c>
      <c r="H343" t="s">
        <v>3521</v>
      </c>
      <c r="I343" t="s">
        <v>3490</v>
      </c>
      <c r="J343" s="56">
        <f t="shared" si="15"/>
        <v>77</v>
      </c>
      <c r="K343" s="74" t="str">
        <f t="shared" si="16"/>
        <v>61-90 Days</v>
      </c>
      <c r="L343" s="58" t="str">
        <f t="shared" si="17"/>
        <v>Not Applicable</v>
      </c>
    </row>
    <row r="344" spans="1:12" ht="16.5" customHeight="1" x14ac:dyDescent="0.35">
      <c r="A344" t="s">
        <v>236</v>
      </c>
      <c r="B344" t="s">
        <v>236</v>
      </c>
      <c r="C344">
        <v>0</v>
      </c>
      <c r="D344">
        <v>250</v>
      </c>
      <c r="E344" t="s">
        <v>3966</v>
      </c>
      <c r="F344" t="s">
        <v>3966</v>
      </c>
      <c r="G344" t="s">
        <v>57</v>
      </c>
      <c r="H344" t="s">
        <v>3489</v>
      </c>
      <c r="I344" t="s">
        <v>3490</v>
      </c>
      <c r="J344" s="56">
        <f t="shared" si="15"/>
        <v>77</v>
      </c>
      <c r="K344" s="74" t="str">
        <f t="shared" si="16"/>
        <v>61-90 Days</v>
      </c>
      <c r="L344" s="58" t="str">
        <f t="shared" si="17"/>
        <v>Not Applicable</v>
      </c>
    </row>
    <row r="345" spans="1:12" ht="16.5" customHeight="1" x14ac:dyDescent="0.35">
      <c r="A345" t="s">
        <v>236</v>
      </c>
      <c r="B345" t="s">
        <v>236</v>
      </c>
      <c r="C345">
        <v>0</v>
      </c>
      <c r="D345">
        <v>2152</v>
      </c>
      <c r="E345" t="s">
        <v>3967</v>
      </c>
      <c r="F345" t="s">
        <v>3967</v>
      </c>
      <c r="G345" t="s">
        <v>57</v>
      </c>
      <c r="H345" t="s">
        <v>3489</v>
      </c>
      <c r="I345" t="s">
        <v>3490</v>
      </c>
      <c r="J345" s="56">
        <f t="shared" si="15"/>
        <v>77</v>
      </c>
      <c r="K345" s="74" t="str">
        <f t="shared" si="16"/>
        <v>61-90 Days</v>
      </c>
      <c r="L345" s="58" t="str">
        <f t="shared" si="17"/>
        <v>Not Applicable</v>
      </c>
    </row>
    <row r="346" spans="1:12" ht="16.5" customHeight="1" x14ac:dyDescent="0.35">
      <c r="A346" t="s">
        <v>236</v>
      </c>
      <c r="B346" t="s">
        <v>236</v>
      </c>
      <c r="C346">
        <v>50</v>
      </c>
      <c r="D346">
        <v>0</v>
      </c>
      <c r="E346" t="s">
        <v>3968</v>
      </c>
      <c r="F346" t="s">
        <v>3969</v>
      </c>
      <c r="G346" t="s">
        <v>57</v>
      </c>
      <c r="H346" t="s">
        <v>3455</v>
      </c>
      <c r="I346" t="s">
        <v>3490</v>
      </c>
      <c r="J346" s="56">
        <f t="shared" si="15"/>
        <v>77</v>
      </c>
      <c r="K346" s="74" t="str">
        <f t="shared" si="16"/>
        <v>61-90 Days</v>
      </c>
      <c r="L346" s="58" t="str">
        <f t="shared" si="17"/>
        <v>Substandard</v>
      </c>
    </row>
    <row r="347" spans="1:12" ht="16.5" customHeight="1" x14ac:dyDescent="0.35">
      <c r="A347" t="s">
        <v>236</v>
      </c>
      <c r="B347" t="s">
        <v>236</v>
      </c>
      <c r="C347">
        <v>0</v>
      </c>
      <c r="D347">
        <v>1000</v>
      </c>
      <c r="E347" t="s">
        <v>3970</v>
      </c>
      <c r="F347" t="s">
        <v>3971</v>
      </c>
      <c r="G347" t="s">
        <v>57</v>
      </c>
      <c r="H347" t="s">
        <v>3489</v>
      </c>
      <c r="I347" t="s">
        <v>3490</v>
      </c>
      <c r="J347" s="56">
        <f t="shared" si="15"/>
        <v>77</v>
      </c>
      <c r="K347" s="74" t="str">
        <f t="shared" si="16"/>
        <v>61-90 Days</v>
      </c>
      <c r="L347" s="58" t="str">
        <f t="shared" si="17"/>
        <v>Not Applicable</v>
      </c>
    </row>
    <row r="348" spans="1:12" ht="16.5" customHeight="1" x14ac:dyDescent="0.35">
      <c r="A348" t="s">
        <v>236</v>
      </c>
      <c r="B348" t="s">
        <v>236</v>
      </c>
      <c r="C348">
        <v>0</v>
      </c>
      <c r="D348">
        <v>1000</v>
      </c>
      <c r="E348" t="s">
        <v>3972</v>
      </c>
      <c r="F348" t="s">
        <v>3973</v>
      </c>
      <c r="G348" t="s">
        <v>57</v>
      </c>
      <c r="H348" t="s">
        <v>3489</v>
      </c>
      <c r="I348" t="s">
        <v>3490</v>
      </c>
      <c r="J348" s="56">
        <f t="shared" si="15"/>
        <v>77</v>
      </c>
      <c r="K348" s="74" t="str">
        <f t="shared" si="16"/>
        <v>61-90 Days</v>
      </c>
      <c r="L348" s="58" t="str">
        <f t="shared" si="17"/>
        <v>Not Applicable</v>
      </c>
    </row>
    <row r="349" spans="1:12" ht="16.5" customHeight="1" x14ac:dyDescent="0.35">
      <c r="A349" t="s">
        <v>236</v>
      </c>
      <c r="B349" t="s">
        <v>236</v>
      </c>
      <c r="C349">
        <v>0</v>
      </c>
      <c r="D349">
        <v>1094</v>
      </c>
      <c r="E349" t="s">
        <v>3974</v>
      </c>
      <c r="F349" t="s">
        <v>3974</v>
      </c>
      <c r="G349" t="s">
        <v>57</v>
      </c>
      <c r="H349" t="s">
        <v>3489</v>
      </c>
      <c r="I349" t="s">
        <v>3490</v>
      </c>
      <c r="J349" s="56">
        <f t="shared" si="15"/>
        <v>77</v>
      </c>
      <c r="K349" s="74" t="str">
        <f t="shared" si="16"/>
        <v>61-90 Days</v>
      </c>
      <c r="L349" s="58" t="str">
        <f t="shared" si="17"/>
        <v>Not Applicable</v>
      </c>
    </row>
    <row r="350" spans="1:12" ht="16.5" customHeight="1" x14ac:dyDescent="0.35">
      <c r="A350" t="s">
        <v>236</v>
      </c>
      <c r="B350" t="s">
        <v>236</v>
      </c>
      <c r="C350">
        <v>0</v>
      </c>
      <c r="D350">
        <v>1481.75</v>
      </c>
      <c r="E350" t="s">
        <v>3975</v>
      </c>
      <c r="F350" t="s">
        <v>3975</v>
      </c>
      <c r="G350" t="s">
        <v>57</v>
      </c>
      <c r="H350" t="s">
        <v>3489</v>
      </c>
      <c r="I350" t="s">
        <v>3490</v>
      </c>
      <c r="J350" s="56">
        <f t="shared" si="15"/>
        <v>77</v>
      </c>
      <c r="K350" s="74" t="str">
        <f t="shared" si="16"/>
        <v>61-90 Days</v>
      </c>
      <c r="L350" s="58" t="str">
        <f t="shared" si="17"/>
        <v>Not Applicable</v>
      </c>
    </row>
    <row r="351" spans="1:12" ht="16.5" customHeight="1" x14ac:dyDescent="0.35">
      <c r="A351" t="s">
        <v>236</v>
      </c>
      <c r="B351" t="s">
        <v>236</v>
      </c>
      <c r="C351">
        <v>0</v>
      </c>
      <c r="D351">
        <v>4125</v>
      </c>
      <c r="E351" t="s">
        <v>3976</v>
      </c>
      <c r="F351" t="s">
        <v>3977</v>
      </c>
      <c r="G351" t="s">
        <v>57</v>
      </c>
      <c r="H351" t="s">
        <v>3532</v>
      </c>
      <c r="I351" t="s">
        <v>3490</v>
      </c>
      <c r="J351" s="56">
        <f t="shared" si="15"/>
        <v>77</v>
      </c>
      <c r="K351" s="74" t="str">
        <f t="shared" si="16"/>
        <v>61-90 Days</v>
      </c>
      <c r="L351" s="58" t="str">
        <f t="shared" si="17"/>
        <v>Not Applicable</v>
      </c>
    </row>
    <row r="352" spans="1:12" ht="16.5" customHeight="1" x14ac:dyDescent="0.35">
      <c r="A352" t="s">
        <v>236</v>
      </c>
      <c r="B352" t="s">
        <v>236</v>
      </c>
      <c r="C352">
        <v>0</v>
      </c>
      <c r="D352">
        <v>1000</v>
      </c>
      <c r="E352" t="s">
        <v>3978</v>
      </c>
      <c r="F352" t="s">
        <v>3978</v>
      </c>
      <c r="G352" t="s">
        <v>57</v>
      </c>
      <c r="H352" t="s">
        <v>3489</v>
      </c>
      <c r="I352" t="s">
        <v>3490</v>
      </c>
      <c r="J352" s="56">
        <f t="shared" si="15"/>
        <v>77</v>
      </c>
      <c r="K352" s="74" t="str">
        <f t="shared" si="16"/>
        <v>61-90 Days</v>
      </c>
      <c r="L352" s="58" t="str">
        <f t="shared" si="17"/>
        <v>Not Applicable</v>
      </c>
    </row>
    <row r="353" spans="1:12" ht="16.5" customHeight="1" x14ac:dyDescent="0.35">
      <c r="A353" t="s">
        <v>236</v>
      </c>
      <c r="B353" t="s">
        <v>236</v>
      </c>
      <c r="C353">
        <v>0</v>
      </c>
      <c r="D353">
        <v>1000</v>
      </c>
      <c r="E353" t="s">
        <v>3979</v>
      </c>
      <c r="F353" t="s">
        <v>3979</v>
      </c>
      <c r="G353" t="s">
        <v>57</v>
      </c>
      <c r="H353" t="s">
        <v>3489</v>
      </c>
      <c r="I353" t="s">
        <v>3490</v>
      </c>
      <c r="J353" s="56">
        <f t="shared" si="15"/>
        <v>77</v>
      </c>
      <c r="K353" s="74" t="str">
        <f t="shared" si="16"/>
        <v>61-90 Days</v>
      </c>
      <c r="L353" s="58" t="str">
        <f t="shared" si="17"/>
        <v>Not Applicable</v>
      </c>
    </row>
    <row r="354" spans="1:12" ht="16.5" customHeight="1" x14ac:dyDescent="0.35">
      <c r="A354" t="s">
        <v>236</v>
      </c>
      <c r="B354" t="s">
        <v>236</v>
      </c>
      <c r="C354">
        <v>0</v>
      </c>
      <c r="D354">
        <v>1000</v>
      </c>
      <c r="E354" t="s">
        <v>3980</v>
      </c>
      <c r="F354" t="s">
        <v>3981</v>
      </c>
      <c r="G354" t="s">
        <v>57</v>
      </c>
      <c r="H354" t="s">
        <v>3489</v>
      </c>
      <c r="I354" t="s">
        <v>3490</v>
      </c>
      <c r="J354" s="56">
        <f t="shared" si="15"/>
        <v>77</v>
      </c>
      <c r="K354" s="74" t="str">
        <f t="shared" si="16"/>
        <v>61-90 Days</v>
      </c>
      <c r="L354" s="58" t="str">
        <f t="shared" si="17"/>
        <v>Not Applicable</v>
      </c>
    </row>
    <row r="355" spans="1:12" ht="16.5" customHeight="1" x14ac:dyDescent="0.35">
      <c r="A355" t="s">
        <v>236</v>
      </c>
      <c r="B355" t="s">
        <v>236</v>
      </c>
      <c r="C355">
        <v>0</v>
      </c>
      <c r="D355">
        <v>1000</v>
      </c>
      <c r="E355" t="s">
        <v>3982</v>
      </c>
      <c r="F355" t="s">
        <v>3983</v>
      </c>
      <c r="G355" t="s">
        <v>57</v>
      </c>
      <c r="H355" t="s">
        <v>3489</v>
      </c>
      <c r="I355" t="s">
        <v>3490</v>
      </c>
      <c r="J355" s="56">
        <f t="shared" si="15"/>
        <v>77</v>
      </c>
      <c r="K355" s="74" t="str">
        <f t="shared" si="16"/>
        <v>61-90 Days</v>
      </c>
      <c r="L355" s="58" t="str">
        <f t="shared" si="17"/>
        <v>Not Applicable</v>
      </c>
    </row>
    <row r="356" spans="1:12" ht="16.5" customHeight="1" x14ac:dyDescent="0.35">
      <c r="A356" t="s">
        <v>236</v>
      </c>
      <c r="B356" t="s">
        <v>236</v>
      </c>
      <c r="C356">
        <v>0</v>
      </c>
      <c r="D356">
        <v>1472</v>
      </c>
      <c r="E356" t="s">
        <v>3984</v>
      </c>
      <c r="F356" t="s">
        <v>3985</v>
      </c>
      <c r="G356" t="s">
        <v>57</v>
      </c>
      <c r="H356" t="s">
        <v>3532</v>
      </c>
      <c r="I356" t="s">
        <v>3490</v>
      </c>
      <c r="J356" s="56">
        <f t="shared" si="15"/>
        <v>77</v>
      </c>
      <c r="K356" s="74" t="str">
        <f t="shared" si="16"/>
        <v>61-90 Days</v>
      </c>
      <c r="L356" s="58" t="str">
        <f t="shared" si="17"/>
        <v>Not Applicable</v>
      </c>
    </row>
    <row r="357" spans="1:12" ht="16.5" customHeight="1" x14ac:dyDescent="0.35">
      <c r="A357" t="s">
        <v>236</v>
      </c>
      <c r="B357" t="s">
        <v>236</v>
      </c>
      <c r="C357">
        <v>0</v>
      </c>
      <c r="D357">
        <v>1000</v>
      </c>
      <c r="E357" t="s">
        <v>3986</v>
      </c>
      <c r="F357" t="s">
        <v>3987</v>
      </c>
      <c r="G357" t="s">
        <v>57</v>
      </c>
      <c r="H357" t="s">
        <v>3489</v>
      </c>
      <c r="I357" t="s">
        <v>3490</v>
      </c>
      <c r="J357" s="56">
        <f t="shared" si="15"/>
        <v>77</v>
      </c>
      <c r="K357" s="74" t="str">
        <f t="shared" si="16"/>
        <v>61-90 Days</v>
      </c>
      <c r="L357" s="58" t="str">
        <f t="shared" si="17"/>
        <v>Not Applicable</v>
      </c>
    </row>
    <row r="358" spans="1:12" ht="16.5" customHeight="1" x14ac:dyDescent="0.35">
      <c r="A358" t="s">
        <v>236</v>
      </c>
      <c r="B358" t="s">
        <v>236</v>
      </c>
      <c r="C358">
        <v>0</v>
      </c>
      <c r="D358">
        <v>1000</v>
      </c>
      <c r="E358" t="s">
        <v>3988</v>
      </c>
      <c r="F358" t="s">
        <v>3989</v>
      </c>
      <c r="G358" t="s">
        <v>57</v>
      </c>
      <c r="H358" t="s">
        <v>3489</v>
      </c>
      <c r="I358" t="s">
        <v>3490</v>
      </c>
      <c r="J358" s="56">
        <f t="shared" si="15"/>
        <v>77</v>
      </c>
      <c r="K358" s="74" t="str">
        <f t="shared" si="16"/>
        <v>61-90 Days</v>
      </c>
      <c r="L358" s="58" t="str">
        <f t="shared" si="17"/>
        <v>Not Applicable</v>
      </c>
    </row>
    <row r="359" spans="1:12" ht="16.5" customHeight="1" x14ac:dyDescent="0.35">
      <c r="A359" t="s">
        <v>236</v>
      </c>
      <c r="B359" t="s">
        <v>236</v>
      </c>
      <c r="C359">
        <v>0</v>
      </c>
      <c r="D359">
        <v>248</v>
      </c>
      <c r="E359" t="s">
        <v>3990</v>
      </c>
      <c r="F359" t="s">
        <v>3990</v>
      </c>
      <c r="G359" t="s">
        <v>57</v>
      </c>
      <c r="H359" t="s">
        <v>3489</v>
      </c>
      <c r="I359" t="s">
        <v>3490</v>
      </c>
      <c r="J359" s="56">
        <f t="shared" si="15"/>
        <v>77</v>
      </c>
      <c r="K359" s="74" t="str">
        <f t="shared" si="16"/>
        <v>61-90 Days</v>
      </c>
      <c r="L359" s="58" t="str">
        <f t="shared" si="17"/>
        <v>Not Applicable</v>
      </c>
    </row>
    <row r="360" spans="1:12" ht="16.5" customHeight="1" x14ac:dyDescent="0.35">
      <c r="A360" t="s">
        <v>236</v>
      </c>
      <c r="B360" t="s">
        <v>236</v>
      </c>
      <c r="C360">
        <v>0</v>
      </c>
      <c r="D360">
        <v>1000</v>
      </c>
      <c r="E360" t="s">
        <v>3991</v>
      </c>
      <c r="F360" t="s">
        <v>3992</v>
      </c>
      <c r="G360" t="s">
        <v>57</v>
      </c>
      <c r="H360" t="s">
        <v>3489</v>
      </c>
      <c r="I360" t="s">
        <v>3490</v>
      </c>
      <c r="J360" s="56">
        <f t="shared" si="15"/>
        <v>77</v>
      </c>
      <c r="K360" s="74" t="str">
        <f t="shared" si="16"/>
        <v>61-90 Days</v>
      </c>
      <c r="L360" s="58" t="str">
        <f t="shared" si="17"/>
        <v>Not Applicable</v>
      </c>
    </row>
    <row r="361" spans="1:12" ht="16.5" customHeight="1" x14ac:dyDescent="0.35">
      <c r="A361" t="s">
        <v>236</v>
      </c>
      <c r="B361" t="s">
        <v>236</v>
      </c>
      <c r="C361">
        <v>0</v>
      </c>
      <c r="D361">
        <v>1416</v>
      </c>
      <c r="E361" t="s">
        <v>3993</v>
      </c>
      <c r="F361" t="s">
        <v>3994</v>
      </c>
      <c r="G361" t="s">
        <v>57</v>
      </c>
      <c r="H361" t="s">
        <v>3532</v>
      </c>
      <c r="I361" t="s">
        <v>3490</v>
      </c>
      <c r="J361" s="56">
        <f t="shared" si="15"/>
        <v>77</v>
      </c>
      <c r="K361" s="74" t="str">
        <f t="shared" si="16"/>
        <v>61-90 Days</v>
      </c>
      <c r="L361" s="58" t="str">
        <f t="shared" si="17"/>
        <v>Not Applicable</v>
      </c>
    </row>
    <row r="362" spans="1:12" ht="16.5" customHeight="1" x14ac:dyDescent="0.35">
      <c r="A362" t="s">
        <v>236</v>
      </c>
      <c r="B362" t="s">
        <v>236</v>
      </c>
      <c r="C362">
        <v>0</v>
      </c>
      <c r="D362">
        <v>42264</v>
      </c>
      <c r="E362" t="s">
        <v>3995</v>
      </c>
      <c r="F362" t="s">
        <v>3996</v>
      </c>
      <c r="G362" t="s">
        <v>57</v>
      </c>
      <c r="H362" t="s">
        <v>3532</v>
      </c>
      <c r="I362" t="s">
        <v>3490</v>
      </c>
      <c r="J362" s="56">
        <f t="shared" si="15"/>
        <v>77</v>
      </c>
      <c r="K362" s="74" t="str">
        <f t="shared" si="16"/>
        <v>61-90 Days</v>
      </c>
      <c r="L362" s="58" t="str">
        <f t="shared" si="17"/>
        <v>Not Applicable</v>
      </c>
    </row>
    <row r="363" spans="1:12" ht="16.5" customHeight="1" x14ac:dyDescent="0.35">
      <c r="A363" t="s">
        <v>236</v>
      </c>
      <c r="B363" t="s">
        <v>236</v>
      </c>
      <c r="C363">
        <v>0</v>
      </c>
      <c r="D363">
        <v>2050</v>
      </c>
      <c r="E363" t="s">
        <v>3997</v>
      </c>
      <c r="F363" t="s">
        <v>3997</v>
      </c>
      <c r="G363" t="s">
        <v>57</v>
      </c>
      <c r="H363" t="s">
        <v>3489</v>
      </c>
      <c r="I363" t="s">
        <v>3490</v>
      </c>
      <c r="J363" s="56">
        <f t="shared" si="15"/>
        <v>77</v>
      </c>
      <c r="K363" s="74" t="str">
        <f t="shared" si="16"/>
        <v>61-90 Days</v>
      </c>
      <c r="L363" s="58" t="str">
        <f t="shared" si="17"/>
        <v>Not Applicable</v>
      </c>
    </row>
    <row r="364" spans="1:12" ht="16.5" customHeight="1" x14ac:dyDescent="0.35">
      <c r="A364" t="s">
        <v>236</v>
      </c>
      <c r="B364" t="s">
        <v>236</v>
      </c>
      <c r="C364">
        <v>0</v>
      </c>
      <c r="D364">
        <v>10414.24</v>
      </c>
      <c r="E364" t="s">
        <v>3998</v>
      </c>
      <c r="F364" t="s">
        <v>3998</v>
      </c>
      <c r="G364" t="s">
        <v>57</v>
      </c>
      <c r="H364" t="s">
        <v>3914</v>
      </c>
      <c r="I364" t="s">
        <v>3643</v>
      </c>
      <c r="J364" s="56">
        <f t="shared" si="15"/>
        <v>77</v>
      </c>
      <c r="K364" s="74" t="str">
        <f t="shared" si="16"/>
        <v>61-90 Days</v>
      </c>
      <c r="L364" s="58" t="str">
        <f t="shared" si="17"/>
        <v>Not Applicable</v>
      </c>
    </row>
    <row r="365" spans="1:12" ht="16.5" customHeight="1" x14ac:dyDescent="0.35">
      <c r="A365" t="s">
        <v>236</v>
      </c>
      <c r="B365" t="s">
        <v>236</v>
      </c>
      <c r="C365">
        <v>0</v>
      </c>
      <c r="D365">
        <v>244</v>
      </c>
      <c r="E365" t="s">
        <v>3999</v>
      </c>
      <c r="F365" t="s">
        <v>3999</v>
      </c>
      <c r="G365" t="s">
        <v>57</v>
      </c>
      <c r="H365" t="s">
        <v>3489</v>
      </c>
      <c r="I365" t="s">
        <v>3490</v>
      </c>
      <c r="J365" s="56">
        <f t="shared" si="15"/>
        <v>77</v>
      </c>
      <c r="K365" s="74" t="str">
        <f t="shared" si="16"/>
        <v>61-90 Days</v>
      </c>
      <c r="L365" s="58" t="str">
        <f t="shared" si="17"/>
        <v>Not Applicable</v>
      </c>
    </row>
    <row r="366" spans="1:12" ht="16.5" customHeight="1" x14ac:dyDescent="0.35">
      <c r="A366" t="s">
        <v>236</v>
      </c>
      <c r="B366" t="s">
        <v>236</v>
      </c>
      <c r="C366">
        <v>0</v>
      </c>
      <c r="D366">
        <v>986</v>
      </c>
      <c r="E366" t="s">
        <v>4000</v>
      </c>
      <c r="F366" t="s">
        <v>4000</v>
      </c>
      <c r="G366" t="s">
        <v>57</v>
      </c>
      <c r="H366" t="s">
        <v>3489</v>
      </c>
      <c r="I366" t="s">
        <v>3490</v>
      </c>
      <c r="J366" s="56">
        <f t="shared" si="15"/>
        <v>77</v>
      </c>
      <c r="K366" s="74" t="str">
        <f t="shared" si="16"/>
        <v>61-90 Days</v>
      </c>
      <c r="L366" s="58" t="str">
        <f t="shared" si="17"/>
        <v>Not Applicable</v>
      </c>
    </row>
    <row r="367" spans="1:12" ht="16.5" customHeight="1" x14ac:dyDescent="0.35">
      <c r="A367" t="s">
        <v>236</v>
      </c>
      <c r="B367" t="s">
        <v>236</v>
      </c>
      <c r="C367">
        <v>0</v>
      </c>
      <c r="D367">
        <v>800</v>
      </c>
      <c r="E367" t="s">
        <v>4001</v>
      </c>
      <c r="F367" t="s">
        <v>4001</v>
      </c>
      <c r="G367" t="s">
        <v>57</v>
      </c>
      <c r="H367" t="s">
        <v>3489</v>
      </c>
      <c r="I367" t="s">
        <v>3490</v>
      </c>
      <c r="J367" s="56">
        <f t="shared" si="15"/>
        <v>77</v>
      </c>
      <c r="K367" s="74" t="str">
        <f t="shared" si="16"/>
        <v>61-90 Days</v>
      </c>
      <c r="L367" s="58" t="str">
        <f t="shared" si="17"/>
        <v>Not Applicable</v>
      </c>
    </row>
    <row r="368" spans="1:12" ht="16.5" customHeight="1" x14ac:dyDescent="0.35">
      <c r="A368" t="s">
        <v>236</v>
      </c>
      <c r="B368" t="s">
        <v>236</v>
      </c>
      <c r="C368">
        <v>0</v>
      </c>
      <c r="D368">
        <v>50</v>
      </c>
      <c r="E368" t="s">
        <v>4002</v>
      </c>
      <c r="F368" t="s">
        <v>4002</v>
      </c>
      <c r="G368" t="s">
        <v>57</v>
      </c>
      <c r="H368" t="s">
        <v>3489</v>
      </c>
      <c r="I368" t="s">
        <v>3490</v>
      </c>
      <c r="J368" s="56">
        <f t="shared" si="15"/>
        <v>77</v>
      </c>
      <c r="K368" s="74" t="str">
        <f t="shared" si="16"/>
        <v>61-90 Days</v>
      </c>
      <c r="L368" s="58" t="str">
        <f t="shared" si="17"/>
        <v>Not Applicable</v>
      </c>
    </row>
    <row r="369" spans="1:12" ht="16.5" customHeight="1" x14ac:dyDescent="0.35">
      <c r="A369" t="s">
        <v>236</v>
      </c>
      <c r="B369" t="s">
        <v>236</v>
      </c>
      <c r="C369">
        <v>0</v>
      </c>
      <c r="D369">
        <v>140</v>
      </c>
      <c r="E369" t="s">
        <v>4003</v>
      </c>
      <c r="F369" t="s">
        <v>4003</v>
      </c>
      <c r="G369" t="s">
        <v>57</v>
      </c>
      <c r="H369" t="s">
        <v>3489</v>
      </c>
      <c r="I369" t="s">
        <v>3490</v>
      </c>
      <c r="J369" s="56">
        <f t="shared" si="15"/>
        <v>77</v>
      </c>
      <c r="K369" s="74" t="str">
        <f t="shared" si="16"/>
        <v>61-90 Days</v>
      </c>
      <c r="L369" s="58" t="str">
        <f t="shared" si="17"/>
        <v>Not Applicable</v>
      </c>
    </row>
    <row r="370" spans="1:12" ht="16.5" customHeight="1" x14ac:dyDescent="0.35">
      <c r="A370" t="s">
        <v>236</v>
      </c>
      <c r="B370" t="s">
        <v>236</v>
      </c>
      <c r="C370">
        <v>0</v>
      </c>
      <c r="D370">
        <v>1046</v>
      </c>
      <c r="E370" t="s">
        <v>4004</v>
      </c>
      <c r="F370" t="s">
        <v>4004</v>
      </c>
      <c r="G370" t="s">
        <v>57</v>
      </c>
      <c r="H370" t="s">
        <v>3489</v>
      </c>
      <c r="I370" t="s">
        <v>3490</v>
      </c>
      <c r="J370" s="56">
        <f t="shared" si="15"/>
        <v>77</v>
      </c>
      <c r="K370" s="74" t="str">
        <f t="shared" si="16"/>
        <v>61-90 Days</v>
      </c>
      <c r="L370" s="58" t="str">
        <f t="shared" si="17"/>
        <v>Not Applicable</v>
      </c>
    </row>
    <row r="371" spans="1:12" ht="16.5" customHeight="1" x14ac:dyDescent="0.35">
      <c r="A371" t="s">
        <v>236</v>
      </c>
      <c r="B371" t="s">
        <v>236</v>
      </c>
      <c r="C371">
        <v>0</v>
      </c>
      <c r="D371">
        <v>1000</v>
      </c>
      <c r="E371" t="s">
        <v>4005</v>
      </c>
      <c r="F371" t="s">
        <v>4006</v>
      </c>
      <c r="G371" t="s">
        <v>57</v>
      </c>
      <c r="H371" t="s">
        <v>3489</v>
      </c>
      <c r="I371" t="s">
        <v>3490</v>
      </c>
      <c r="J371" s="56">
        <f t="shared" si="15"/>
        <v>77</v>
      </c>
      <c r="K371" s="74" t="str">
        <f t="shared" si="16"/>
        <v>61-90 Days</v>
      </c>
      <c r="L371" s="58" t="str">
        <f t="shared" si="17"/>
        <v>Not Applicable</v>
      </c>
    </row>
    <row r="372" spans="1:12" ht="16.5" customHeight="1" x14ac:dyDescent="0.35">
      <c r="A372" t="s">
        <v>236</v>
      </c>
      <c r="B372" t="s">
        <v>236</v>
      </c>
      <c r="C372">
        <v>0</v>
      </c>
      <c r="D372">
        <v>1000</v>
      </c>
      <c r="E372" t="s">
        <v>4007</v>
      </c>
      <c r="F372" t="s">
        <v>4008</v>
      </c>
      <c r="G372" t="s">
        <v>57</v>
      </c>
      <c r="H372" t="s">
        <v>3489</v>
      </c>
      <c r="I372" t="s">
        <v>3490</v>
      </c>
      <c r="J372" s="56">
        <f t="shared" si="15"/>
        <v>77</v>
      </c>
      <c r="K372" s="74" t="str">
        <f t="shared" si="16"/>
        <v>61-90 Days</v>
      </c>
      <c r="L372" s="58" t="str">
        <f t="shared" si="17"/>
        <v>Not Applicable</v>
      </c>
    </row>
    <row r="373" spans="1:12" ht="16.5" customHeight="1" x14ac:dyDescent="0.35">
      <c r="A373" t="s">
        <v>236</v>
      </c>
      <c r="B373" t="s">
        <v>236</v>
      </c>
      <c r="C373">
        <v>0</v>
      </c>
      <c r="D373">
        <v>2050</v>
      </c>
      <c r="E373" t="s">
        <v>4009</v>
      </c>
      <c r="F373" t="s">
        <v>4009</v>
      </c>
      <c r="G373" t="s">
        <v>57</v>
      </c>
      <c r="H373" t="s">
        <v>3489</v>
      </c>
      <c r="I373" t="s">
        <v>3490</v>
      </c>
      <c r="J373" s="56">
        <f t="shared" si="15"/>
        <v>77</v>
      </c>
      <c r="K373" s="74" t="str">
        <f t="shared" si="16"/>
        <v>61-90 Days</v>
      </c>
      <c r="L373" s="58" t="str">
        <f t="shared" si="17"/>
        <v>Not Applicable</v>
      </c>
    </row>
    <row r="374" spans="1:12" ht="16.5" customHeight="1" x14ac:dyDescent="0.35">
      <c r="A374" t="s">
        <v>236</v>
      </c>
      <c r="B374" t="s">
        <v>236</v>
      </c>
      <c r="C374">
        <v>0</v>
      </c>
      <c r="D374">
        <v>1416</v>
      </c>
      <c r="E374" t="s">
        <v>4010</v>
      </c>
      <c r="F374" t="s">
        <v>4011</v>
      </c>
      <c r="G374" t="s">
        <v>57</v>
      </c>
      <c r="H374" t="s">
        <v>3532</v>
      </c>
      <c r="I374" t="s">
        <v>3490</v>
      </c>
      <c r="J374" s="56">
        <f t="shared" si="15"/>
        <v>77</v>
      </c>
      <c r="K374" s="74" t="str">
        <f t="shared" si="16"/>
        <v>61-90 Days</v>
      </c>
      <c r="L374" s="58" t="str">
        <f t="shared" si="17"/>
        <v>Not Applicable</v>
      </c>
    </row>
    <row r="375" spans="1:12" ht="16.5" customHeight="1" x14ac:dyDescent="0.35">
      <c r="A375" t="s">
        <v>236</v>
      </c>
      <c r="B375" t="s">
        <v>236</v>
      </c>
      <c r="C375">
        <v>0</v>
      </c>
      <c r="D375">
        <v>1000</v>
      </c>
      <c r="E375" t="s">
        <v>4012</v>
      </c>
      <c r="F375" t="s">
        <v>4013</v>
      </c>
      <c r="G375" t="s">
        <v>57</v>
      </c>
      <c r="H375" t="s">
        <v>3489</v>
      </c>
      <c r="I375" t="s">
        <v>3490</v>
      </c>
      <c r="J375" s="56">
        <f t="shared" si="15"/>
        <v>77</v>
      </c>
      <c r="K375" s="74" t="str">
        <f t="shared" si="16"/>
        <v>61-90 Days</v>
      </c>
      <c r="L375" s="58" t="str">
        <f t="shared" si="17"/>
        <v>Not Applicable</v>
      </c>
    </row>
    <row r="376" spans="1:12" ht="16.5" customHeight="1" x14ac:dyDescent="0.35">
      <c r="A376" t="s">
        <v>236</v>
      </c>
      <c r="B376" t="s">
        <v>236</v>
      </c>
      <c r="C376">
        <v>0</v>
      </c>
      <c r="D376">
        <v>1000</v>
      </c>
      <c r="E376" t="s">
        <v>4014</v>
      </c>
      <c r="F376" t="s">
        <v>4015</v>
      </c>
      <c r="G376" t="s">
        <v>57</v>
      </c>
      <c r="H376" t="s">
        <v>3489</v>
      </c>
      <c r="I376" t="s">
        <v>3490</v>
      </c>
      <c r="J376" s="56">
        <f t="shared" si="15"/>
        <v>77</v>
      </c>
      <c r="K376" s="74" t="str">
        <f t="shared" si="16"/>
        <v>61-90 Days</v>
      </c>
      <c r="L376" s="58" t="str">
        <f t="shared" si="17"/>
        <v>Not Applicable</v>
      </c>
    </row>
    <row r="377" spans="1:12" ht="16.5" customHeight="1" x14ac:dyDescent="0.35">
      <c r="A377" t="s">
        <v>236</v>
      </c>
      <c r="B377" t="s">
        <v>236</v>
      </c>
      <c r="C377">
        <v>0</v>
      </c>
      <c r="D377">
        <v>1000</v>
      </c>
      <c r="E377" t="s">
        <v>4016</v>
      </c>
      <c r="F377" t="s">
        <v>4017</v>
      </c>
      <c r="G377" t="s">
        <v>57</v>
      </c>
      <c r="H377" t="s">
        <v>3489</v>
      </c>
      <c r="I377" t="s">
        <v>3490</v>
      </c>
      <c r="J377" s="56">
        <f t="shared" si="15"/>
        <v>77</v>
      </c>
      <c r="K377" s="74" t="str">
        <f t="shared" si="16"/>
        <v>61-90 Days</v>
      </c>
      <c r="L377" s="58" t="str">
        <f t="shared" si="17"/>
        <v>Not Applicable</v>
      </c>
    </row>
    <row r="378" spans="1:12" ht="16.5" customHeight="1" x14ac:dyDescent="0.35">
      <c r="A378" t="s">
        <v>236</v>
      </c>
      <c r="B378" t="s">
        <v>236</v>
      </c>
      <c r="C378">
        <v>0</v>
      </c>
      <c r="D378">
        <v>1000</v>
      </c>
      <c r="E378" t="s">
        <v>4018</v>
      </c>
      <c r="F378" t="s">
        <v>4019</v>
      </c>
      <c r="G378" t="s">
        <v>57</v>
      </c>
      <c r="H378" t="s">
        <v>3489</v>
      </c>
      <c r="I378" t="s">
        <v>3490</v>
      </c>
      <c r="J378" s="56">
        <f t="shared" si="15"/>
        <v>77</v>
      </c>
      <c r="K378" s="74" t="str">
        <f t="shared" si="16"/>
        <v>61-90 Days</v>
      </c>
      <c r="L378" s="58" t="str">
        <f t="shared" si="17"/>
        <v>Not Applicable</v>
      </c>
    </row>
    <row r="379" spans="1:12" ht="16.5" customHeight="1" x14ac:dyDescent="0.35">
      <c r="A379" t="s">
        <v>236</v>
      </c>
      <c r="B379" t="s">
        <v>236</v>
      </c>
      <c r="C379">
        <v>0</v>
      </c>
      <c r="D379">
        <v>244</v>
      </c>
      <c r="E379" t="s">
        <v>4020</v>
      </c>
      <c r="F379" t="s">
        <v>4020</v>
      </c>
      <c r="G379" t="s">
        <v>57</v>
      </c>
      <c r="H379" t="s">
        <v>3489</v>
      </c>
      <c r="I379" t="s">
        <v>3490</v>
      </c>
      <c r="J379" s="56">
        <f t="shared" si="15"/>
        <v>77</v>
      </c>
      <c r="K379" s="74" t="str">
        <f t="shared" si="16"/>
        <v>61-90 Days</v>
      </c>
      <c r="L379" s="58" t="str">
        <f t="shared" si="17"/>
        <v>Not Applicable</v>
      </c>
    </row>
    <row r="380" spans="1:12" ht="16.5" customHeight="1" x14ac:dyDescent="0.35">
      <c r="A380" t="s">
        <v>236</v>
      </c>
      <c r="B380" t="s">
        <v>236</v>
      </c>
      <c r="C380">
        <v>0</v>
      </c>
      <c r="D380">
        <v>1000</v>
      </c>
      <c r="E380" t="s">
        <v>4021</v>
      </c>
      <c r="F380" t="s">
        <v>4021</v>
      </c>
      <c r="G380" t="s">
        <v>57</v>
      </c>
      <c r="H380" t="s">
        <v>3489</v>
      </c>
      <c r="I380" t="s">
        <v>3490</v>
      </c>
      <c r="J380" s="56">
        <f t="shared" si="15"/>
        <v>77</v>
      </c>
      <c r="K380" s="74" t="str">
        <f t="shared" si="16"/>
        <v>61-90 Days</v>
      </c>
      <c r="L380" s="58" t="str">
        <f t="shared" si="17"/>
        <v>Not Applicable</v>
      </c>
    </row>
    <row r="381" spans="1:12" ht="16.5" customHeight="1" x14ac:dyDescent="0.35">
      <c r="A381" t="s">
        <v>236</v>
      </c>
      <c r="B381" t="s">
        <v>236</v>
      </c>
      <c r="C381">
        <v>0</v>
      </c>
      <c r="D381">
        <v>37020.6</v>
      </c>
      <c r="E381" t="s">
        <v>4022</v>
      </c>
      <c r="F381" t="s">
        <v>4023</v>
      </c>
      <c r="G381" t="s">
        <v>57</v>
      </c>
      <c r="H381" t="s">
        <v>3532</v>
      </c>
      <c r="I381" t="s">
        <v>3490</v>
      </c>
      <c r="J381" s="56">
        <f t="shared" si="15"/>
        <v>77</v>
      </c>
      <c r="K381" s="74" t="str">
        <f t="shared" si="16"/>
        <v>61-90 Days</v>
      </c>
      <c r="L381" s="58" t="str">
        <f t="shared" si="17"/>
        <v>Not Applicable</v>
      </c>
    </row>
    <row r="382" spans="1:12" ht="16.5" customHeight="1" x14ac:dyDescent="0.35">
      <c r="A382" t="s">
        <v>236</v>
      </c>
      <c r="B382" t="s">
        <v>236</v>
      </c>
      <c r="C382">
        <v>0</v>
      </c>
      <c r="D382">
        <v>1172</v>
      </c>
      <c r="E382" t="s">
        <v>4024</v>
      </c>
      <c r="F382" t="s">
        <v>4025</v>
      </c>
      <c r="G382" t="s">
        <v>57</v>
      </c>
      <c r="H382" t="s">
        <v>3532</v>
      </c>
      <c r="I382" t="s">
        <v>3490</v>
      </c>
      <c r="J382" s="56">
        <f t="shared" si="15"/>
        <v>77</v>
      </c>
      <c r="K382" s="74" t="str">
        <f t="shared" si="16"/>
        <v>61-90 Days</v>
      </c>
      <c r="L382" s="58" t="str">
        <f t="shared" si="17"/>
        <v>Not Applicable</v>
      </c>
    </row>
    <row r="383" spans="1:12" ht="16.5" customHeight="1" x14ac:dyDescent="0.35">
      <c r="A383" t="s">
        <v>236</v>
      </c>
      <c r="B383" t="s">
        <v>236</v>
      </c>
      <c r="C383">
        <v>0</v>
      </c>
      <c r="D383">
        <v>283.2</v>
      </c>
      <c r="E383" t="s">
        <v>4026</v>
      </c>
      <c r="F383" t="s">
        <v>4027</v>
      </c>
      <c r="G383" t="s">
        <v>57</v>
      </c>
      <c r="H383" t="s">
        <v>3532</v>
      </c>
      <c r="I383" t="s">
        <v>3490</v>
      </c>
      <c r="J383" s="56">
        <f t="shared" si="15"/>
        <v>77</v>
      </c>
      <c r="K383" s="74" t="str">
        <f t="shared" si="16"/>
        <v>61-90 Days</v>
      </c>
      <c r="L383" s="58" t="str">
        <f t="shared" si="17"/>
        <v>Not Applicable</v>
      </c>
    </row>
    <row r="384" spans="1:12" ht="16.5" customHeight="1" x14ac:dyDescent="0.35">
      <c r="A384" t="s">
        <v>236</v>
      </c>
      <c r="B384" t="s">
        <v>236</v>
      </c>
      <c r="C384">
        <v>0</v>
      </c>
      <c r="D384">
        <v>1000</v>
      </c>
      <c r="E384" t="s">
        <v>4028</v>
      </c>
      <c r="F384" t="s">
        <v>4029</v>
      </c>
      <c r="G384" t="s">
        <v>57</v>
      </c>
      <c r="H384" t="s">
        <v>3489</v>
      </c>
      <c r="I384" t="s">
        <v>3490</v>
      </c>
      <c r="J384" s="56">
        <f t="shared" si="15"/>
        <v>77</v>
      </c>
      <c r="K384" s="74" t="str">
        <f t="shared" si="16"/>
        <v>61-90 Days</v>
      </c>
      <c r="L384" s="58" t="str">
        <f t="shared" si="17"/>
        <v>Not Applicable</v>
      </c>
    </row>
    <row r="385" spans="1:12" ht="16.5" customHeight="1" x14ac:dyDescent="0.35">
      <c r="A385" t="s">
        <v>236</v>
      </c>
      <c r="B385" t="s">
        <v>236</v>
      </c>
      <c r="C385">
        <v>25</v>
      </c>
      <c r="D385">
        <v>0</v>
      </c>
      <c r="E385" t="s">
        <v>4030</v>
      </c>
      <c r="F385" t="s">
        <v>4030</v>
      </c>
      <c r="G385" t="s">
        <v>57</v>
      </c>
      <c r="H385" t="s">
        <v>3810</v>
      </c>
      <c r="I385" t="s">
        <v>3811</v>
      </c>
      <c r="J385" s="56">
        <f t="shared" si="15"/>
        <v>77</v>
      </c>
      <c r="K385" s="74" t="str">
        <f t="shared" si="16"/>
        <v>61-90 Days</v>
      </c>
      <c r="L385" s="58" t="str">
        <f t="shared" si="17"/>
        <v>Substandard</v>
      </c>
    </row>
    <row r="386" spans="1:12" ht="16.5" customHeight="1" x14ac:dyDescent="0.35">
      <c r="A386" t="s">
        <v>236</v>
      </c>
      <c r="B386" t="s">
        <v>236</v>
      </c>
      <c r="C386">
        <v>0</v>
      </c>
      <c r="D386">
        <v>1416</v>
      </c>
      <c r="E386" t="s">
        <v>4031</v>
      </c>
      <c r="F386" t="s">
        <v>4032</v>
      </c>
      <c r="G386" t="s">
        <v>57</v>
      </c>
      <c r="H386" t="s">
        <v>3532</v>
      </c>
      <c r="I386" t="s">
        <v>3490</v>
      </c>
      <c r="J386" s="56">
        <f t="shared" si="15"/>
        <v>77</v>
      </c>
      <c r="K386" s="74" t="str">
        <f t="shared" si="16"/>
        <v>61-90 Days</v>
      </c>
      <c r="L386" s="58" t="str">
        <f t="shared" si="17"/>
        <v>Not Applicable</v>
      </c>
    </row>
    <row r="387" spans="1:12" ht="16.5" customHeight="1" x14ac:dyDescent="0.35">
      <c r="A387" t="s">
        <v>236</v>
      </c>
      <c r="B387" t="s">
        <v>236</v>
      </c>
      <c r="C387">
        <v>0</v>
      </c>
      <c r="D387">
        <v>1000</v>
      </c>
      <c r="E387" t="s">
        <v>4033</v>
      </c>
      <c r="F387" t="s">
        <v>4033</v>
      </c>
      <c r="G387" t="s">
        <v>57</v>
      </c>
      <c r="H387" t="s">
        <v>3489</v>
      </c>
      <c r="I387" t="s">
        <v>3490</v>
      </c>
      <c r="J387" s="56">
        <f t="shared" si="15"/>
        <v>77</v>
      </c>
      <c r="K387" s="74" t="str">
        <f t="shared" si="16"/>
        <v>61-90 Days</v>
      </c>
      <c r="L387" s="58" t="str">
        <f t="shared" si="17"/>
        <v>Not Applicable</v>
      </c>
    </row>
    <row r="388" spans="1:12" ht="16.5" customHeight="1" x14ac:dyDescent="0.35">
      <c r="A388" t="s">
        <v>236</v>
      </c>
      <c r="B388" t="s">
        <v>236</v>
      </c>
      <c r="C388">
        <v>0</v>
      </c>
      <c r="D388">
        <v>2050</v>
      </c>
      <c r="E388" t="s">
        <v>4034</v>
      </c>
      <c r="F388" t="s">
        <v>4035</v>
      </c>
      <c r="G388" t="s">
        <v>57</v>
      </c>
      <c r="H388" t="s">
        <v>3532</v>
      </c>
      <c r="I388" t="s">
        <v>3490</v>
      </c>
      <c r="J388" s="56">
        <f t="shared" si="15"/>
        <v>77</v>
      </c>
      <c r="K388" s="74" t="str">
        <f t="shared" si="16"/>
        <v>61-90 Days</v>
      </c>
      <c r="L388" s="58" t="str">
        <f t="shared" si="17"/>
        <v>Not Applicable</v>
      </c>
    </row>
    <row r="389" spans="1:12" ht="16.5" customHeight="1" x14ac:dyDescent="0.35">
      <c r="A389" t="s">
        <v>236</v>
      </c>
      <c r="B389" t="s">
        <v>236</v>
      </c>
      <c r="C389">
        <v>0</v>
      </c>
      <c r="D389">
        <v>1416</v>
      </c>
      <c r="E389" t="s">
        <v>4036</v>
      </c>
      <c r="F389" t="s">
        <v>4037</v>
      </c>
      <c r="G389" t="s">
        <v>57</v>
      </c>
      <c r="H389" t="s">
        <v>3532</v>
      </c>
      <c r="I389" t="s">
        <v>3490</v>
      </c>
      <c r="J389" s="56">
        <f t="shared" si="15"/>
        <v>77</v>
      </c>
      <c r="K389" s="74" t="str">
        <f t="shared" si="16"/>
        <v>61-90 Days</v>
      </c>
      <c r="L389" s="58" t="str">
        <f t="shared" si="17"/>
        <v>Not Applicable</v>
      </c>
    </row>
    <row r="390" spans="1:12" ht="16.5" customHeight="1" x14ac:dyDescent="0.35">
      <c r="A390" t="s">
        <v>236</v>
      </c>
      <c r="B390" t="s">
        <v>236</v>
      </c>
      <c r="C390">
        <v>0</v>
      </c>
      <c r="D390">
        <v>2650</v>
      </c>
      <c r="E390" t="s">
        <v>4038</v>
      </c>
      <c r="F390" t="s">
        <v>4038</v>
      </c>
      <c r="G390" t="s">
        <v>57</v>
      </c>
      <c r="H390" t="s">
        <v>3489</v>
      </c>
      <c r="I390" t="s">
        <v>3490</v>
      </c>
      <c r="J390" s="56">
        <f t="shared" si="15"/>
        <v>77</v>
      </c>
      <c r="K390" s="74" t="str">
        <f t="shared" si="16"/>
        <v>61-90 Days</v>
      </c>
      <c r="L390" s="58" t="str">
        <f t="shared" si="17"/>
        <v>Not Applicable</v>
      </c>
    </row>
    <row r="391" spans="1:12" ht="16.5" customHeight="1" x14ac:dyDescent="0.35">
      <c r="A391" t="s">
        <v>236</v>
      </c>
      <c r="B391" t="s">
        <v>236</v>
      </c>
      <c r="C391">
        <v>0</v>
      </c>
      <c r="D391">
        <v>1000</v>
      </c>
      <c r="E391" t="s">
        <v>4039</v>
      </c>
      <c r="F391" t="s">
        <v>4040</v>
      </c>
      <c r="G391" t="s">
        <v>57</v>
      </c>
      <c r="H391" t="s">
        <v>3489</v>
      </c>
      <c r="I391" t="s">
        <v>3490</v>
      </c>
      <c r="J391" s="56">
        <f t="shared" si="15"/>
        <v>77</v>
      </c>
      <c r="K391" s="74" t="str">
        <f t="shared" si="16"/>
        <v>61-90 Days</v>
      </c>
      <c r="L391" s="58" t="str">
        <f t="shared" si="17"/>
        <v>Not Applicable</v>
      </c>
    </row>
    <row r="392" spans="1:12" ht="16.5" customHeight="1" x14ac:dyDescent="0.35">
      <c r="A392" t="s">
        <v>236</v>
      </c>
      <c r="B392" t="s">
        <v>236</v>
      </c>
      <c r="C392">
        <v>0</v>
      </c>
      <c r="D392">
        <v>800</v>
      </c>
      <c r="E392" t="s">
        <v>4041</v>
      </c>
      <c r="F392" t="s">
        <v>4041</v>
      </c>
      <c r="G392" t="s">
        <v>57</v>
      </c>
      <c r="H392" t="s">
        <v>3489</v>
      </c>
      <c r="I392" t="s">
        <v>3490</v>
      </c>
      <c r="J392" s="56">
        <f t="shared" si="15"/>
        <v>77</v>
      </c>
      <c r="K392" s="74" t="str">
        <f t="shared" si="16"/>
        <v>61-90 Days</v>
      </c>
      <c r="L392" s="58" t="str">
        <f t="shared" si="17"/>
        <v>Not Applicable</v>
      </c>
    </row>
    <row r="393" spans="1:12" ht="16.5" customHeight="1" x14ac:dyDescent="0.35">
      <c r="A393" t="s">
        <v>236</v>
      </c>
      <c r="B393" t="s">
        <v>236</v>
      </c>
      <c r="C393">
        <v>0</v>
      </c>
      <c r="D393">
        <v>1000</v>
      </c>
      <c r="E393" t="s">
        <v>4042</v>
      </c>
      <c r="F393" t="s">
        <v>4043</v>
      </c>
      <c r="G393" t="s">
        <v>57</v>
      </c>
      <c r="H393" t="s">
        <v>3489</v>
      </c>
      <c r="I393" t="s">
        <v>3490</v>
      </c>
      <c r="J393" s="56">
        <f t="shared" ref="J393:J456" si="18">IF(A393="","",A$5-A393)</f>
        <v>77</v>
      </c>
      <c r="K393" s="74" t="str">
        <f t="shared" ref="K393:K456" si="19">IF(J393="","",IF(J393&lt;4,"0-3 Days",IF(J393&lt;31,"4-30 Days",IF(J393&lt;61,"31-60 Days",IF(J393&lt;=90,"61-90 Days",IF(J393&gt;90,"Above 90 Days","0"))))))</f>
        <v>61-90 Days</v>
      </c>
      <c r="L393" s="58" t="str">
        <f t="shared" ref="L393:L456" si="20">IF(C393="","",IF(C393&gt;0,IF(J393&lt;30,"Normal",IF(J393&lt;60,"Especially Mentioned",IF(J393&lt;90,"Substandard",IF(J393&lt;=180,"Doubtful",IF(J393&gt;180,"Loss","0"))))),"Not Applicable"))</f>
        <v>Not Applicable</v>
      </c>
    </row>
    <row r="394" spans="1:12" ht="16.5" customHeight="1" x14ac:dyDescent="0.35">
      <c r="A394" t="s">
        <v>236</v>
      </c>
      <c r="B394" t="s">
        <v>236</v>
      </c>
      <c r="C394">
        <v>0</v>
      </c>
      <c r="D394">
        <v>1000</v>
      </c>
      <c r="E394" t="s">
        <v>4044</v>
      </c>
      <c r="F394" t="s">
        <v>4045</v>
      </c>
      <c r="G394" t="s">
        <v>57</v>
      </c>
      <c r="H394" t="s">
        <v>3489</v>
      </c>
      <c r="I394" t="s">
        <v>3490</v>
      </c>
      <c r="J394" s="56">
        <f t="shared" si="18"/>
        <v>77</v>
      </c>
      <c r="K394" s="74" t="str">
        <f t="shared" si="19"/>
        <v>61-90 Days</v>
      </c>
      <c r="L394" s="58" t="str">
        <f t="shared" si="20"/>
        <v>Not Applicable</v>
      </c>
    </row>
    <row r="395" spans="1:12" ht="16.5" customHeight="1" x14ac:dyDescent="0.35">
      <c r="A395" t="s">
        <v>236</v>
      </c>
      <c r="B395" t="s">
        <v>236</v>
      </c>
      <c r="C395">
        <v>0</v>
      </c>
      <c r="D395">
        <v>1046</v>
      </c>
      <c r="E395" t="s">
        <v>4046</v>
      </c>
      <c r="F395" t="s">
        <v>4046</v>
      </c>
      <c r="G395" t="s">
        <v>57</v>
      </c>
      <c r="H395" t="s">
        <v>3489</v>
      </c>
      <c r="I395" t="s">
        <v>3490</v>
      </c>
      <c r="J395" s="56">
        <f t="shared" si="18"/>
        <v>77</v>
      </c>
      <c r="K395" s="74" t="str">
        <f t="shared" si="19"/>
        <v>61-90 Days</v>
      </c>
      <c r="L395" s="58" t="str">
        <f t="shared" si="20"/>
        <v>Not Applicable</v>
      </c>
    </row>
    <row r="396" spans="1:12" ht="16.5" customHeight="1" x14ac:dyDescent="0.35">
      <c r="A396" t="s">
        <v>236</v>
      </c>
      <c r="B396" t="s">
        <v>236</v>
      </c>
      <c r="C396">
        <v>0</v>
      </c>
      <c r="D396">
        <v>1000</v>
      </c>
      <c r="E396" t="s">
        <v>4047</v>
      </c>
      <c r="F396" t="s">
        <v>4048</v>
      </c>
      <c r="G396" t="s">
        <v>57</v>
      </c>
      <c r="H396" t="s">
        <v>3489</v>
      </c>
      <c r="I396" t="s">
        <v>3490</v>
      </c>
      <c r="J396" s="56">
        <f t="shared" si="18"/>
        <v>77</v>
      </c>
      <c r="K396" s="74" t="str">
        <f t="shared" si="19"/>
        <v>61-90 Days</v>
      </c>
      <c r="L396" s="58" t="str">
        <f t="shared" si="20"/>
        <v>Not Applicable</v>
      </c>
    </row>
    <row r="397" spans="1:12" ht="16.5" customHeight="1" x14ac:dyDescent="0.35">
      <c r="A397" t="s">
        <v>236</v>
      </c>
      <c r="B397" t="s">
        <v>236</v>
      </c>
      <c r="C397">
        <v>0</v>
      </c>
      <c r="D397">
        <v>1012</v>
      </c>
      <c r="E397" t="s">
        <v>4049</v>
      </c>
      <c r="F397" t="s">
        <v>4050</v>
      </c>
      <c r="G397" t="s">
        <v>57</v>
      </c>
      <c r="H397" t="s">
        <v>3532</v>
      </c>
      <c r="I397" t="s">
        <v>3490</v>
      </c>
      <c r="J397" s="56">
        <f t="shared" si="18"/>
        <v>77</v>
      </c>
      <c r="K397" s="74" t="str">
        <f t="shared" si="19"/>
        <v>61-90 Days</v>
      </c>
      <c r="L397" s="58" t="str">
        <f t="shared" si="20"/>
        <v>Not Applicable</v>
      </c>
    </row>
    <row r="398" spans="1:12" ht="16.5" customHeight="1" x14ac:dyDescent="0.35">
      <c r="A398" t="s">
        <v>236</v>
      </c>
      <c r="B398" t="s">
        <v>236</v>
      </c>
      <c r="C398">
        <v>0</v>
      </c>
      <c r="D398">
        <v>2650</v>
      </c>
      <c r="E398" t="s">
        <v>4051</v>
      </c>
      <c r="F398" t="s">
        <v>4051</v>
      </c>
      <c r="G398" t="s">
        <v>57</v>
      </c>
      <c r="H398" t="s">
        <v>3489</v>
      </c>
      <c r="I398" t="s">
        <v>3490</v>
      </c>
      <c r="J398" s="56">
        <f t="shared" si="18"/>
        <v>77</v>
      </c>
      <c r="K398" s="74" t="str">
        <f t="shared" si="19"/>
        <v>61-90 Days</v>
      </c>
      <c r="L398" s="58" t="str">
        <f t="shared" si="20"/>
        <v>Not Applicable</v>
      </c>
    </row>
    <row r="399" spans="1:12" ht="16.5" customHeight="1" x14ac:dyDescent="0.35">
      <c r="A399" t="s">
        <v>236</v>
      </c>
      <c r="B399" t="s">
        <v>236</v>
      </c>
      <c r="C399">
        <v>0</v>
      </c>
      <c r="D399">
        <v>1082</v>
      </c>
      <c r="E399" t="s">
        <v>4052</v>
      </c>
      <c r="F399" t="s">
        <v>4052</v>
      </c>
      <c r="G399" t="s">
        <v>57</v>
      </c>
      <c r="H399" t="s">
        <v>3489</v>
      </c>
      <c r="I399" t="s">
        <v>3490</v>
      </c>
      <c r="J399" s="56">
        <f t="shared" si="18"/>
        <v>77</v>
      </c>
      <c r="K399" s="74" t="str">
        <f t="shared" si="19"/>
        <v>61-90 Days</v>
      </c>
      <c r="L399" s="58" t="str">
        <f t="shared" si="20"/>
        <v>Not Applicable</v>
      </c>
    </row>
    <row r="400" spans="1:12" ht="16.5" customHeight="1" x14ac:dyDescent="0.35">
      <c r="A400" t="s">
        <v>236</v>
      </c>
      <c r="B400" t="s">
        <v>236</v>
      </c>
      <c r="C400">
        <v>0</v>
      </c>
      <c r="D400">
        <v>850</v>
      </c>
      <c r="E400" t="s">
        <v>4053</v>
      </c>
      <c r="F400" t="s">
        <v>4053</v>
      </c>
      <c r="G400" t="s">
        <v>57</v>
      </c>
      <c r="H400" t="s">
        <v>3489</v>
      </c>
      <c r="I400" t="s">
        <v>3490</v>
      </c>
      <c r="J400" s="56">
        <f t="shared" si="18"/>
        <v>77</v>
      </c>
      <c r="K400" s="74" t="str">
        <f t="shared" si="19"/>
        <v>61-90 Days</v>
      </c>
      <c r="L400" s="58" t="str">
        <f t="shared" si="20"/>
        <v>Not Applicable</v>
      </c>
    </row>
    <row r="401" spans="1:12" ht="16.5" customHeight="1" x14ac:dyDescent="0.35">
      <c r="A401" t="s">
        <v>236</v>
      </c>
      <c r="B401" t="s">
        <v>236</v>
      </c>
      <c r="C401">
        <v>0</v>
      </c>
      <c r="D401">
        <v>250</v>
      </c>
      <c r="E401" t="s">
        <v>4054</v>
      </c>
      <c r="F401" t="s">
        <v>4054</v>
      </c>
      <c r="G401" t="s">
        <v>57</v>
      </c>
      <c r="H401" t="s">
        <v>3489</v>
      </c>
      <c r="I401" t="s">
        <v>3490</v>
      </c>
      <c r="J401" s="56">
        <f t="shared" si="18"/>
        <v>77</v>
      </c>
      <c r="K401" s="74" t="str">
        <f t="shared" si="19"/>
        <v>61-90 Days</v>
      </c>
      <c r="L401" s="58" t="str">
        <f t="shared" si="20"/>
        <v>Not Applicable</v>
      </c>
    </row>
    <row r="402" spans="1:12" ht="16.5" customHeight="1" x14ac:dyDescent="0.35">
      <c r="A402" t="s">
        <v>236</v>
      </c>
      <c r="B402" t="s">
        <v>236</v>
      </c>
      <c r="C402">
        <v>0</v>
      </c>
      <c r="D402">
        <v>250</v>
      </c>
      <c r="E402" t="s">
        <v>4055</v>
      </c>
      <c r="F402" t="s">
        <v>4055</v>
      </c>
      <c r="G402" t="s">
        <v>57</v>
      </c>
      <c r="H402" t="s">
        <v>3489</v>
      </c>
      <c r="I402" t="s">
        <v>3490</v>
      </c>
      <c r="J402" s="56">
        <f t="shared" si="18"/>
        <v>77</v>
      </c>
      <c r="K402" s="74" t="str">
        <f t="shared" si="19"/>
        <v>61-90 Days</v>
      </c>
      <c r="L402" s="58" t="str">
        <f t="shared" si="20"/>
        <v>Not Applicable</v>
      </c>
    </row>
    <row r="403" spans="1:12" ht="16.5" customHeight="1" x14ac:dyDescent="0.35">
      <c r="A403" t="s">
        <v>236</v>
      </c>
      <c r="B403" t="s">
        <v>236</v>
      </c>
      <c r="C403">
        <v>0</v>
      </c>
      <c r="D403">
        <v>1012</v>
      </c>
      <c r="E403" t="s">
        <v>4056</v>
      </c>
      <c r="F403" t="s">
        <v>4057</v>
      </c>
      <c r="G403" t="s">
        <v>57</v>
      </c>
      <c r="H403" t="s">
        <v>3532</v>
      </c>
      <c r="I403" t="s">
        <v>3490</v>
      </c>
      <c r="J403" s="56">
        <f t="shared" si="18"/>
        <v>77</v>
      </c>
      <c r="K403" s="74" t="str">
        <f t="shared" si="19"/>
        <v>61-90 Days</v>
      </c>
      <c r="L403" s="58" t="str">
        <f t="shared" si="20"/>
        <v>Not Applicable</v>
      </c>
    </row>
    <row r="404" spans="1:12" ht="16.5" customHeight="1" x14ac:dyDescent="0.35">
      <c r="A404" t="s">
        <v>236</v>
      </c>
      <c r="B404" t="s">
        <v>236</v>
      </c>
      <c r="C404">
        <v>0</v>
      </c>
      <c r="D404">
        <v>2050</v>
      </c>
      <c r="E404" t="s">
        <v>4058</v>
      </c>
      <c r="F404" t="s">
        <v>4058</v>
      </c>
      <c r="G404" t="s">
        <v>57</v>
      </c>
      <c r="H404" t="s">
        <v>3489</v>
      </c>
      <c r="I404" t="s">
        <v>3490</v>
      </c>
      <c r="J404" s="56">
        <f t="shared" si="18"/>
        <v>77</v>
      </c>
      <c r="K404" s="74" t="str">
        <f t="shared" si="19"/>
        <v>61-90 Days</v>
      </c>
      <c r="L404" s="58" t="str">
        <f t="shared" si="20"/>
        <v>Not Applicable</v>
      </c>
    </row>
    <row r="405" spans="1:12" ht="16.5" customHeight="1" x14ac:dyDescent="0.35">
      <c r="A405" t="s">
        <v>236</v>
      </c>
      <c r="B405" t="s">
        <v>236</v>
      </c>
      <c r="C405">
        <v>0</v>
      </c>
      <c r="D405">
        <v>1000</v>
      </c>
      <c r="E405" t="s">
        <v>4059</v>
      </c>
      <c r="F405" t="s">
        <v>4059</v>
      </c>
      <c r="G405" t="s">
        <v>57</v>
      </c>
      <c r="H405" t="s">
        <v>3489</v>
      </c>
      <c r="I405" t="s">
        <v>3490</v>
      </c>
      <c r="J405" s="56">
        <f t="shared" si="18"/>
        <v>77</v>
      </c>
      <c r="K405" s="74" t="str">
        <f t="shared" si="19"/>
        <v>61-90 Days</v>
      </c>
      <c r="L405" s="58" t="str">
        <f t="shared" si="20"/>
        <v>Not Applicable</v>
      </c>
    </row>
    <row r="406" spans="1:12" ht="16.5" customHeight="1" x14ac:dyDescent="0.35">
      <c r="A406" t="s">
        <v>236</v>
      </c>
      <c r="B406" t="s">
        <v>236</v>
      </c>
      <c r="C406">
        <v>0</v>
      </c>
      <c r="D406">
        <v>224</v>
      </c>
      <c r="E406" t="s">
        <v>4060</v>
      </c>
      <c r="F406" t="s">
        <v>4061</v>
      </c>
      <c r="G406" t="s">
        <v>57</v>
      </c>
      <c r="H406" t="s">
        <v>3489</v>
      </c>
      <c r="I406" t="s">
        <v>3486</v>
      </c>
      <c r="J406" s="56">
        <f t="shared" si="18"/>
        <v>77</v>
      </c>
      <c r="K406" s="74" t="str">
        <f t="shared" si="19"/>
        <v>61-90 Days</v>
      </c>
      <c r="L406" s="58" t="str">
        <f t="shared" si="20"/>
        <v>Not Applicable</v>
      </c>
    </row>
    <row r="407" spans="1:12" ht="16.5" customHeight="1" x14ac:dyDescent="0.35">
      <c r="A407" t="s">
        <v>236</v>
      </c>
      <c r="B407" t="s">
        <v>236</v>
      </c>
      <c r="C407">
        <v>0</v>
      </c>
      <c r="D407">
        <v>1472</v>
      </c>
      <c r="E407" t="s">
        <v>4062</v>
      </c>
      <c r="F407" t="s">
        <v>4063</v>
      </c>
      <c r="G407" t="s">
        <v>57</v>
      </c>
      <c r="H407" t="s">
        <v>3532</v>
      </c>
      <c r="I407" t="s">
        <v>3490</v>
      </c>
      <c r="J407" s="56">
        <f t="shared" si="18"/>
        <v>77</v>
      </c>
      <c r="K407" s="74" t="str">
        <f t="shared" si="19"/>
        <v>61-90 Days</v>
      </c>
      <c r="L407" s="58" t="str">
        <f t="shared" si="20"/>
        <v>Not Applicable</v>
      </c>
    </row>
    <row r="408" spans="1:12" ht="16.5" customHeight="1" x14ac:dyDescent="0.35">
      <c r="A408" t="s">
        <v>236</v>
      </c>
      <c r="B408" t="s">
        <v>236</v>
      </c>
      <c r="C408">
        <v>0</v>
      </c>
      <c r="D408">
        <v>1082</v>
      </c>
      <c r="E408" t="s">
        <v>4064</v>
      </c>
      <c r="F408" t="s">
        <v>4064</v>
      </c>
      <c r="G408" t="s">
        <v>57</v>
      </c>
      <c r="H408" t="s">
        <v>3489</v>
      </c>
      <c r="I408" t="s">
        <v>3490</v>
      </c>
      <c r="J408" s="56">
        <f t="shared" si="18"/>
        <v>77</v>
      </c>
      <c r="K408" s="74" t="str">
        <f t="shared" si="19"/>
        <v>61-90 Days</v>
      </c>
      <c r="L408" s="58" t="str">
        <f t="shared" si="20"/>
        <v>Not Applicable</v>
      </c>
    </row>
    <row r="409" spans="1:12" ht="16.5" customHeight="1" x14ac:dyDescent="0.35">
      <c r="A409" t="s">
        <v>120</v>
      </c>
      <c r="B409" t="s">
        <v>120</v>
      </c>
      <c r="C409">
        <v>0</v>
      </c>
      <c r="D409">
        <v>2650</v>
      </c>
      <c r="E409" t="s">
        <v>4065</v>
      </c>
      <c r="F409" t="s">
        <v>4065</v>
      </c>
      <c r="G409" t="s">
        <v>57</v>
      </c>
      <c r="H409" t="s">
        <v>3489</v>
      </c>
      <c r="I409" t="s">
        <v>3490</v>
      </c>
      <c r="J409" s="56">
        <f t="shared" si="18"/>
        <v>76</v>
      </c>
      <c r="K409" s="74" t="str">
        <f t="shared" si="19"/>
        <v>61-90 Days</v>
      </c>
      <c r="L409" s="58" t="str">
        <f t="shared" si="20"/>
        <v>Not Applicable</v>
      </c>
    </row>
    <row r="410" spans="1:12" ht="16.5" customHeight="1" x14ac:dyDescent="0.35">
      <c r="A410" t="s">
        <v>120</v>
      </c>
      <c r="B410" t="s">
        <v>120</v>
      </c>
      <c r="C410">
        <v>0</v>
      </c>
      <c r="D410">
        <v>10000</v>
      </c>
      <c r="E410" t="s">
        <v>4066</v>
      </c>
      <c r="F410" t="s">
        <v>4066</v>
      </c>
      <c r="G410" t="s">
        <v>57</v>
      </c>
      <c r="H410" t="s">
        <v>3489</v>
      </c>
      <c r="I410" t="s">
        <v>3490</v>
      </c>
      <c r="J410" s="56">
        <f t="shared" si="18"/>
        <v>76</v>
      </c>
      <c r="K410" s="74" t="str">
        <f t="shared" si="19"/>
        <v>61-90 Days</v>
      </c>
      <c r="L410" s="58" t="str">
        <f t="shared" si="20"/>
        <v>Not Applicable</v>
      </c>
    </row>
    <row r="411" spans="1:12" ht="16.5" customHeight="1" x14ac:dyDescent="0.35">
      <c r="A411" t="s">
        <v>120</v>
      </c>
      <c r="B411" t="s">
        <v>120</v>
      </c>
      <c r="C411">
        <v>0</v>
      </c>
      <c r="D411">
        <v>1000</v>
      </c>
      <c r="E411" t="s">
        <v>4067</v>
      </c>
      <c r="F411" t="s">
        <v>4068</v>
      </c>
      <c r="G411" t="s">
        <v>57</v>
      </c>
      <c r="H411" t="s">
        <v>3489</v>
      </c>
      <c r="I411" t="s">
        <v>3490</v>
      </c>
      <c r="J411" s="56">
        <f t="shared" si="18"/>
        <v>76</v>
      </c>
      <c r="K411" s="74" t="str">
        <f t="shared" si="19"/>
        <v>61-90 Days</v>
      </c>
      <c r="L411" s="58" t="str">
        <f t="shared" si="20"/>
        <v>Not Applicable</v>
      </c>
    </row>
    <row r="412" spans="1:12" ht="16.5" customHeight="1" x14ac:dyDescent="0.35">
      <c r="A412" t="s">
        <v>120</v>
      </c>
      <c r="B412" t="s">
        <v>120</v>
      </c>
      <c r="C412">
        <v>0</v>
      </c>
      <c r="D412">
        <v>7500</v>
      </c>
      <c r="E412" t="s">
        <v>4069</v>
      </c>
      <c r="F412" t="s">
        <v>4070</v>
      </c>
      <c r="G412" t="s">
        <v>57</v>
      </c>
      <c r="H412" t="s">
        <v>3489</v>
      </c>
      <c r="I412" t="s">
        <v>3486</v>
      </c>
      <c r="J412" s="56">
        <f t="shared" si="18"/>
        <v>76</v>
      </c>
      <c r="K412" s="74" t="str">
        <f t="shared" si="19"/>
        <v>61-90 Days</v>
      </c>
      <c r="L412" s="58" t="str">
        <f t="shared" si="20"/>
        <v>Not Applicable</v>
      </c>
    </row>
    <row r="413" spans="1:12" ht="16.5" customHeight="1" x14ac:dyDescent="0.35">
      <c r="A413" t="s">
        <v>120</v>
      </c>
      <c r="B413" t="s">
        <v>120</v>
      </c>
      <c r="C413">
        <v>0</v>
      </c>
      <c r="D413">
        <v>1758</v>
      </c>
      <c r="E413" t="s">
        <v>4071</v>
      </c>
      <c r="F413" t="s">
        <v>4071</v>
      </c>
      <c r="G413" t="s">
        <v>57</v>
      </c>
      <c r="H413" t="s">
        <v>3489</v>
      </c>
      <c r="I413" t="s">
        <v>3490</v>
      </c>
      <c r="J413" s="56">
        <f t="shared" si="18"/>
        <v>76</v>
      </c>
      <c r="K413" s="74" t="str">
        <f t="shared" si="19"/>
        <v>61-90 Days</v>
      </c>
      <c r="L413" s="58" t="str">
        <f t="shared" si="20"/>
        <v>Not Applicable</v>
      </c>
    </row>
    <row r="414" spans="1:12" ht="16.5" customHeight="1" x14ac:dyDescent="0.35">
      <c r="A414" t="s">
        <v>120</v>
      </c>
      <c r="B414" t="s">
        <v>120</v>
      </c>
      <c r="C414">
        <v>0</v>
      </c>
      <c r="D414">
        <v>495.6</v>
      </c>
      <c r="E414" t="s">
        <v>4072</v>
      </c>
      <c r="F414" t="s">
        <v>4073</v>
      </c>
      <c r="G414" t="s">
        <v>57</v>
      </c>
      <c r="H414" t="s">
        <v>3532</v>
      </c>
      <c r="I414" t="s">
        <v>3490</v>
      </c>
      <c r="J414" s="56">
        <f t="shared" si="18"/>
        <v>76</v>
      </c>
      <c r="K414" s="74" t="str">
        <f t="shared" si="19"/>
        <v>61-90 Days</v>
      </c>
      <c r="L414" s="58" t="str">
        <f t="shared" si="20"/>
        <v>Not Applicable</v>
      </c>
    </row>
    <row r="415" spans="1:12" ht="16.5" customHeight="1" x14ac:dyDescent="0.35">
      <c r="A415" t="s">
        <v>120</v>
      </c>
      <c r="B415" t="s">
        <v>120</v>
      </c>
      <c r="C415">
        <v>0</v>
      </c>
      <c r="D415">
        <v>247.8</v>
      </c>
      <c r="E415" t="s">
        <v>4074</v>
      </c>
      <c r="F415" t="s">
        <v>4075</v>
      </c>
      <c r="G415" t="s">
        <v>57</v>
      </c>
      <c r="H415" t="s">
        <v>3532</v>
      </c>
      <c r="I415" t="s">
        <v>3490</v>
      </c>
      <c r="J415" s="56">
        <f t="shared" si="18"/>
        <v>76</v>
      </c>
      <c r="K415" s="74" t="str">
        <f t="shared" si="19"/>
        <v>61-90 Days</v>
      </c>
      <c r="L415" s="58" t="str">
        <f t="shared" si="20"/>
        <v>Not Applicable</v>
      </c>
    </row>
    <row r="416" spans="1:12" ht="16.5" customHeight="1" x14ac:dyDescent="0.35">
      <c r="A416" t="s">
        <v>120</v>
      </c>
      <c r="B416" t="s">
        <v>120</v>
      </c>
      <c r="C416">
        <v>0</v>
      </c>
      <c r="D416">
        <v>205</v>
      </c>
      <c r="E416" t="s">
        <v>4076</v>
      </c>
      <c r="F416" t="s">
        <v>4076</v>
      </c>
      <c r="G416" t="s">
        <v>57</v>
      </c>
      <c r="H416" t="s">
        <v>3521</v>
      </c>
      <c r="I416" t="s">
        <v>3490</v>
      </c>
      <c r="J416" s="56">
        <f t="shared" si="18"/>
        <v>76</v>
      </c>
      <c r="K416" s="74" t="str">
        <f t="shared" si="19"/>
        <v>61-90 Days</v>
      </c>
      <c r="L416" s="58" t="str">
        <f t="shared" si="20"/>
        <v>Not Applicable</v>
      </c>
    </row>
    <row r="417" spans="1:12" ht="16.5" customHeight="1" x14ac:dyDescent="0.35">
      <c r="A417" t="s">
        <v>120</v>
      </c>
      <c r="B417" t="s">
        <v>120</v>
      </c>
      <c r="C417">
        <v>0</v>
      </c>
      <c r="D417">
        <v>1000</v>
      </c>
      <c r="E417" t="s">
        <v>4077</v>
      </c>
      <c r="F417" t="s">
        <v>4077</v>
      </c>
      <c r="G417" t="s">
        <v>57</v>
      </c>
      <c r="H417" t="s">
        <v>3489</v>
      </c>
      <c r="I417" t="s">
        <v>3490</v>
      </c>
      <c r="J417" s="56">
        <f t="shared" si="18"/>
        <v>76</v>
      </c>
      <c r="K417" s="74" t="str">
        <f t="shared" si="19"/>
        <v>61-90 Days</v>
      </c>
      <c r="L417" s="58" t="str">
        <f t="shared" si="20"/>
        <v>Not Applicable</v>
      </c>
    </row>
    <row r="418" spans="1:12" ht="16.5" customHeight="1" x14ac:dyDescent="0.35">
      <c r="A418" t="s">
        <v>120</v>
      </c>
      <c r="B418" t="s">
        <v>120</v>
      </c>
      <c r="C418">
        <v>0</v>
      </c>
      <c r="D418">
        <v>495.6</v>
      </c>
      <c r="E418" t="s">
        <v>4078</v>
      </c>
      <c r="F418" t="s">
        <v>4079</v>
      </c>
      <c r="G418" t="s">
        <v>57</v>
      </c>
      <c r="H418" t="s">
        <v>3532</v>
      </c>
      <c r="I418" t="s">
        <v>3490</v>
      </c>
      <c r="J418" s="56">
        <f t="shared" si="18"/>
        <v>76</v>
      </c>
      <c r="K418" s="74" t="str">
        <f t="shared" si="19"/>
        <v>61-90 Days</v>
      </c>
      <c r="L418" s="58" t="str">
        <f t="shared" si="20"/>
        <v>Not Applicable</v>
      </c>
    </row>
    <row r="419" spans="1:12" ht="16.5" customHeight="1" x14ac:dyDescent="0.35">
      <c r="A419" t="s">
        <v>120</v>
      </c>
      <c r="B419" t="s">
        <v>120</v>
      </c>
      <c r="C419">
        <v>5000</v>
      </c>
      <c r="D419">
        <v>0</v>
      </c>
      <c r="E419" t="s">
        <v>4080</v>
      </c>
      <c r="F419" t="s">
        <v>4081</v>
      </c>
      <c r="G419" t="s">
        <v>57</v>
      </c>
      <c r="H419" t="s">
        <v>3458</v>
      </c>
      <c r="I419" t="s">
        <v>3490</v>
      </c>
      <c r="J419" s="56">
        <f t="shared" si="18"/>
        <v>76</v>
      </c>
      <c r="K419" s="74" t="str">
        <f t="shared" si="19"/>
        <v>61-90 Days</v>
      </c>
      <c r="L419" s="58" t="str">
        <f t="shared" si="20"/>
        <v>Substandard</v>
      </c>
    </row>
    <row r="420" spans="1:12" ht="16.5" customHeight="1" x14ac:dyDescent="0.35">
      <c r="A420" t="s">
        <v>120</v>
      </c>
      <c r="B420" t="s">
        <v>120</v>
      </c>
      <c r="C420">
        <v>0</v>
      </c>
      <c r="D420">
        <v>1000</v>
      </c>
      <c r="E420" t="s">
        <v>4082</v>
      </c>
      <c r="F420" t="s">
        <v>4082</v>
      </c>
      <c r="G420" t="s">
        <v>57</v>
      </c>
      <c r="H420" t="s">
        <v>3489</v>
      </c>
      <c r="I420" t="s">
        <v>3490</v>
      </c>
      <c r="J420" s="56">
        <f t="shared" si="18"/>
        <v>76</v>
      </c>
      <c r="K420" s="74" t="str">
        <f t="shared" si="19"/>
        <v>61-90 Days</v>
      </c>
      <c r="L420" s="58" t="str">
        <f t="shared" si="20"/>
        <v>Not Applicable</v>
      </c>
    </row>
    <row r="421" spans="1:12" ht="16.5" customHeight="1" x14ac:dyDescent="0.35">
      <c r="A421" t="s">
        <v>120</v>
      </c>
      <c r="B421" t="s">
        <v>120</v>
      </c>
      <c r="C421">
        <v>0</v>
      </c>
      <c r="D421">
        <v>72</v>
      </c>
      <c r="E421" t="s">
        <v>4083</v>
      </c>
      <c r="F421" t="s">
        <v>3499</v>
      </c>
      <c r="G421" t="s">
        <v>57</v>
      </c>
      <c r="H421" t="s">
        <v>3489</v>
      </c>
      <c r="I421" t="s">
        <v>3490</v>
      </c>
      <c r="J421" s="56">
        <f t="shared" si="18"/>
        <v>76</v>
      </c>
      <c r="K421" s="74" t="str">
        <f t="shared" si="19"/>
        <v>61-90 Days</v>
      </c>
      <c r="L421" s="58" t="str">
        <f t="shared" si="20"/>
        <v>Not Applicable</v>
      </c>
    </row>
    <row r="422" spans="1:12" ht="16.5" customHeight="1" x14ac:dyDescent="0.35">
      <c r="A422" t="s">
        <v>120</v>
      </c>
      <c r="B422" t="s">
        <v>120</v>
      </c>
      <c r="C422">
        <v>0</v>
      </c>
      <c r="D422">
        <v>734</v>
      </c>
      <c r="E422" t="s">
        <v>4084</v>
      </c>
      <c r="F422" t="s">
        <v>4084</v>
      </c>
      <c r="G422" t="s">
        <v>57</v>
      </c>
      <c r="H422" t="s">
        <v>3489</v>
      </c>
      <c r="I422" t="s">
        <v>3490</v>
      </c>
      <c r="J422" s="56">
        <f t="shared" si="18"/>
        <v>76</v>
      </c>
      <c r="K422" s="74" t="str">
        <f t="shared" si="19"/>
        <v>61-90 Days</v>
      </c>
      <c r="L422" s="58" t="str">
        <f t="shared" si="20"/>
        <v>Not Applicable</v>
      </c>
    </row>
    <row r="423" spans="1:12" ht="16.5" customHeight="1" x14ac:dyDescent="0.35">
      <c r="A423" t="s">
        <v>120</v>
      </c>
      <c r="B423" t="s">
        <v>120</v>
      </c>
      <c r="C423">
        <v>0</v>
      </c>
      <c r="D423">
        <v>86</v>
      </c>
      <c r="E423" t="s">
        <v>4085</v>
      </c>
      <c r="F423" t="s">
        <v>4085</v>
      </c>
      <c r="G423" t="s">
        <v>57</v>
      </c>
      <c r="H423" t="s">
        <v>3489</v>
      </c>
      <c r="I423" t="s">
        <v>3490</v>
      </c>
      <c r="J423" s="56">
        <f t="shared" si="18"/>
        <v>76</v>
      </c>
      <c r="K423" s="74" t="str">
        <f t="shared" si="19"/>
        <v>61-90 Days</v>
      </c>
      <c r="L423" s="58" t="str">
        <f t="shared" si="20"/>
        <v>Not Applicable</v>
      </c>
    </row>
    <row r="424" spans="1:12" ht="16.5" customHeight="1" x14ac:dyDescent="0.35">
      <c r="A424" t="s">
        <v>120</v>
      </c>
      <c r="B424" t="s">
        <v>120</v>
      </c>
      <c r="C424">
        <v>0</v>
      </c>
      <c r="D424">
        <v>1744.6</v>
      </c>
      <c r="E424" t="s">
        <v>4086</v>
      </c>
      <c r="F424" t="s">
        <v>4086</v>
      </c>
      <c r="G424" t="s">
        <v>57</v>
      </c>
      <c r="H424" t="s">
        <v>3489</v>
      </c>
      <c r="I424" t="s">
        <v>3490</v>
      </c>
      <c r="J424" s="56">
        <f t="shared" si="18"/>
        <v>76</v>
      </c>
      <c r="K424" s="74" t="str">
        <f t="shared" si="19"/>
        <v>61-90 Days</v>
      </c>
      <c r="L424" s="58" t="str">
        <f t="shared" si="20"/>
        <v>Not Applicable</v>
      </c>
    </row>
    <row r="425" spans="1:12" ht="16.5" customHeight="1" x14ac:dyDescent="0.35">
      <c r="A425" t="s">
        <v>120</v>
      </c>
      <c r="B425" t="s">
        <v>120</v>
      </c>
      <c r="C425">
        <v>0</v>
      </c>
      <c r="D425">
        <v>1000</v>
      </c>
      <c r="E425" t="s">
        <v>4087</v>
      </c>
      <c r="F425" t="s">
        <v>4087</v>
      </c>
      <c r="G425" t="s">
        <v>57</v>
      </c>
      <c r="H425" t="s">
        <v>3489</v>
      </c>
      <c r="I425" t="s">
        <v>3490</v>
      </c>
      <c r="J425" s="56">
        <f t="shared" si="18"/>
        <v>76</v>
      </c>
      <c r="K425" s="74" t="str">
        <f t="shared" si="19"/>
        <v>61-90 Days</v>
      </c>
      <c r="L425" s="58" t="str">
        <f t="shared" si="20"/>
        <v>Not Applicable</v>
      </c>
    </row>
    <row r="426" spans="1:12" ht="16.5" customHeight="1" x14ac:dyDescent="0.35">
      <c r="A426" t="s">
        <v>120</v>
      </c>
      <c r="B426" t="s">
        <v>120</v>
      </c>
      <c r="C426">
        <v>0</v>
      </c>
      <c r="D426">
        <v>205</v>
      </c>
      <c r="E426" t="s">
        <v>4088</v>
      </c>
      <c r="F426" t="s">
        <v>4088</v>
      </c>
      <c r="G426" t="s">
        <v>57</v>
      </c>
      <c r="H426" t="s">
        <v>3489</v>
      </c>
      <c r="I426" t="s">
        <v>3490</v>
      </c>
      <c r="J426" s="56">
        <f t="shared" si="18"/>
        <v>76</v>
      </c>
      <c r="K426" s="74" t="str">
        <f t="shared" si="19"/>
        <v>61-90 Days</v>
      </c>
      <c r="L426" s="58" t="str">
        <f t="shared" si="20"/>
        <v>Not Applicable</v>
      </c>
    </row>
    <row r="427" spans="1:12" ht="16.5" customHeight="1" x14ac:dyDescent="0.35">
      <c r="A427" t="s">
        <v>120</v>
      </c>
      <c r="B427" t="s">
        <v>120</v>
      </c>
      <c r="C427">
        <v>0</v>
      </c>
      <c r="D427">
        <v>600</v>
      </c>
      <c r="E427" t="s">
        <v>4089</v>
      </c>
      <c r="F427" t="s">
        <v>4090</v>
      </c>
      <c r="G427" t="s">
        <v>57</v>
      </c>
      <c r="H427" t="s">
        <v>3532</v>
      </c>
      <c r="I427" t="s">
        <v>3490</v>
      </c>
      <c r="J427" s="56">
        <f t="shared" si="18"/>
        <v>76</v>
      </c>
      <c r="K427" s="74" t="str">
        <f t="shared" si="19"/>
        <v>61-90 Days</v>
      </c>
      <c r="L427" s="58" t="str">
        <f t="shared" si="20"/>
        <v>Not Applicable</v>
      </c>
    </row>
    <row r="428" spans="1:12" ht="16.5" customHeight="1" x14ac:dyDescent="0.35">
      <c r="A428" t="s">
        <v>120</v>
      </c>
      <c r="B428" t="s">
        <v>120</v>
      </c>
      <c r="C428">
        <v>0</v>
      </c>
      <c r="D428">
        <v>2050</v>
      </c>
      <c r="E428" t="s">
        <v>4091</v>
      </c>
      <c r="F428" t="s">
        <v>4091</v>
      </c>
      <c r="G428" t="s">
        <v>57</v>
      </c>
      <c r="H428" t="s">
        <v>3489</v>
      </c>
      <c r="I428" t="s">
        <v>3490</v>
      </c>
      <c r="J428" s="56">
        <f t="shared" si="18"/>
        <v>76</v>
      </c>
      <c r="K428" s="74" t="str">
        <f t="shared" si="19"/>
        <v>61-90 Days</v>
      </c>
      <c r="L428" s="58" t="str">
        <f t="shared" si="20"/>
        <v>Not Applicable</v>
      </c>
    </row>
    <row r="429" spans="1:12" ht="16.5" customHeight="1" x14ac:dyDescent="0.35">
      <c r="A429" t="s">
        <v>120</v>
      </c>
      <c r="B429" t="s">
        <v>120</v>
      </c>
      <c r="C429">
        <v>0</v>
      </c>
      <c r="D429">
        <v>19887.63</v>
      </c>
      <c r="E429" t="s">
        <v>4092</v>
      </c>
      <c r="F429" t="s">
        <v>4092</v>
      </c>
      <c r="G429" t="s">
        <v>57</v>
      </c>
      <c r="H429" t="s">
        <v>3914</v>
      </c>
      <c r="I429" t="s">
        <v>3643</v>
      </c>
      <c r="J429" s="56">
        <f t="shared" si="18"/>
        <v>76</v>
      </c>
      <c r="K429" s="74" t="str">
        <f t="shared" si="19"/>
        <v>61-90 Days</v>
      </c>
      <c r="L429" s="58" t="str">
        <f t="shared" si="20"/>
        <v>Not Applicable</v>
      </c>
    </row>
    <row r="430" spans="1:12" ht="16.5" customHeight="1" x14ac:dyDescent="0.35">
      <c r="A430" t="s">
        <v>120</v>
      </c>
      <c r="B430" t="s">
        <v>120</v>
      </c>
      <c r="C430">
        <v>0</v>
      </c>
      <c r="D430">
        <v>2050</v>
      </c>
      <c r="E430" t="s">
        <v>4093</v>
      </c>
      <c r="F430" t="s">
        <v>4093</v>
      </c>
      <c r="G430" t="s">
        <v>57</v>
      </c>
      <c r="H430" t="s">
        <v>3489</v>
      </c>
      <c r="I430" t="s">
        <v>3490</v>
      </c>
      <c r="J430" s="56">
        <f t="shared" si="18"/>
        <v>76</v>
      </c>
      <c r="K430" s="74" t="str">
        <f t="shared" si="19"/>
        <v>61-90 Days</v>
      </c>
      <c r="L430" s="58" t="str">
        <f t="shared" si="20"/>
        <v>Not Applicable</v>
      </c>
    </row>
    <row r="431" spans="1:12" ht="16.5" customHeight="1" x14ac:dyDescent="0.35">
      <c r="A431" t="s">
        <v>120</v>
      </c>
      <c r="B431" t="s">
        <v>120</v>
      </c>
      <c r="C431">
        <v>0</v>
      </c>
      <c r="D431">
        <v>132</v>
      </c>
      <c r="E431" t="s">
        <v>4094</v>
      </c>
      <c r="F431" t="s">
        <v>4094</v>
      </c>
      <c r="G431" t="s">
        <v>57</v>
      </c>
      <c r="H431" t="s">
        <v>3489</v>
      </c>
      <c r="I431" t="s">
        <v>3486</v>
      </c>
      <c r="J431" s="56">
        <f t="shared" si="18"/>
        <v>76</v>
      </c>
      <c r="K431" s="74" t="str">
        <f t="shared" si="19"/>
        <v>61-90 Days</v>
      </c>
      <c r="L431" s="58" t="str">
        <f t="shared" si="20"/>
        <v>Not Applicable</v>
      </c>
    </row>
    <row r="432" spans="1:12" ht="16.5" customHeight="1" x14ac:dyDescent="0.35">
      <c r="A432" t="s">
        <v>120</v>
      </c>
      <c r="B432" t="s">
        <v>120</v>
      </c>
      <c r="C432">
        <v>0</v>
      </c>
      <c r="D432">
        <v>250.8</v>
      </c>
      <c r="E432" t="s">
        <v>4095</v>
      </c>
      <c r="F432" t="s">
        <v>4096</v>
      </c>
      <c r="G432" t="s">
        <v>57</v>
      </c>
      <c r="H432" t="s">
        <v>3489</v>
      </c>
      <c r="I432" t="s">
        <v>3490</v>
      </c>
      <c r="J432" s="56">
        <f t="shared" si="18"/>
        <v>76</v>
      </c>
      <c r="K432" s="74" t="str">
        <f t="shared" si="19"/>
        <v>61-90 Days</v>
      </c>
      <c r="L432" s="58" t="str">
        <f t="shared" si="20"/>
        <v>Not Applicable</v>
      </c>
    </row>
    <row r="433" spans="1:12" ht="16.5" customHeight="1" x14ac:dyDescent="0.35">
      <c r="A433" t="s">
        <v>120</v>
      </c>
      <c r="B433" t="s">
        <v>120</v>
      </c>
      <c r="C433">
        <v>0</v>
      </c>
      <c r="D433">
        <v>600</v>
      </c>
      <c r="E433" t="s">
        <v>4097</v>
      </c>
      <c r="F433" t="s">
        <v>3574</v>
      </c>
      <c r="G433" t="s">
        <v>57</v>
      </c>
      <c r="H433" t="s">
        <v>3489</v>
      </c>
      <c r="I433" t="s">
        <v>3490</v>
      </c>
      <c r="J433" s="56">
        <f t="shared" si="18"/>
        <v>76</v>
      </c>
      <c r="K433" s="74" t="str">
        <f t="shared" si="19"/>
        <v>61-90 Days</v>
      </c>
      <c r="L433" s="58" t="str">
        <f t="shared" si="20"/>
        <v>Not Applicable</v>
      </c>
    </row>
    <row r="434" spans="1:12" ht="16.5" customHeight="1" x14ac:dyDescent="0.35">
      <c r="A434" t="s">
        <v>120</v>
      </c>
      <c r="B434" t="s">
        <v>120</v>
      </c>
      <c r="C434">
        <v>0</v>
      </c>
      <c r="D434">
        <v>508</v>
      </c>
      <c r="E434" t="s">
        <v>4098</v>
      </c>
      <c r="F434" t="s">
        <v>4099</v>
      </c>
      <c r="G434" t="s">
        <v>57</v>
      </c>
      <c r="H434" t="s">
        <v>3489</v>
      </c>
      <c r="I434" t="s">
        <v>3486</v>
      </c>
      <c r="J434" s="56">
        <f t="shared" si="18"/>
        <v>76</v>
      </c>
      <c r="K434" s="74" t="str">
        <f t="shared" si="19"/>
        <v>61-90 Days</v>
      </c>
      <c r="L434" s="58" t="str">
        <f t="shared" si="20"/>
        <v>Not Applicable</v>
      </c>
    </row>
    <row r="435" spans="1:12" ht="16.5" customHeight="1" x14ac:dyDescent="0.35">
      <c r="A435" t="s">
        <v>120</v>
      </c>
      <c r="B435" t="s">
        <v>120</v>
      </c>
      <c r="C435">
        <v>0</v>
      </c>
      <c r="D435">
        <v>360</v>
      </c>
      <c r="E435" t="s">
        <v>4100</v>
      </c>
      <c r="F435" t="s">
        <v>4100</v>
      </c>
      <c r="G435" t="s">
        <v>57</v>
      </c>
      <c r="H435" t="s">
        <v>3489</v>
      </c>
      <c r="I435" t="s">
        <v>3490</v>
      </c>
      <c r="J435" s="56">
        <f t="shared" si="18"/>
        <v>76</v>
      </c>
      <c r="K435" s="74" t="str">
        <f t="shared" si="19"/>
        <v>61-90 Days</v>
      </c>
      <c r="L435" s="58" t="str">
        <f t="shared" si="20"/>
        <v>Not Applicable</v>
      </c>
    </row>
    <row r="436" spans="1:12" ht="16.5" customHeight="1" x14ac:dyDescent="0.35">
      <c r="A436" t="s">
        <v>120</v>
      </c>
      <c r="B436" t="s">
        <v>120</v>
      </c>
      <c r="C436">
        <v>0</v>
      </c>
      <c r="D436">
        <v>250</v>
      </c>
      <c r="E436" t="s">
        <v>4101</v>
      </c>
      <c r="F436" t="s">
        <v>4101</v>
      </c>
      <c r="G436" t="s">
        <v>57</v>
      </c>
      <c r="H436" t="s">
        <v>3489</v>
      </c>
      <c r="I436" t="s">
        <v>3490</v>
      </c>
      <c r="J436" s="56">
        <f t="shared" si="18"/>
        <v>76</v>
      </c>
      <c r="K436" s="74" t="str">
        <f t="shared" si="19"/>
        <v>61-90 Days</v>
      </c>
      <c r="L436" s="58" t="str">
        <f t="shared" si="20"/>
        <v>Not Applicable</v>
      </c>
    </row>
    <row r="437" spans="1:12" ht="16.5" customHeight="1" x14ac:dyDescent="0.35">
      <c r="A437" t="s">
        <v>120</v>
      </c>
      <c r="B437" t="s">
        <v>120</v>
      </c>
      <c r="C437">
        <v>0</v>
      </c>
      <c r="D437">
        <v>16547.490000000002</v>
      </c>
      <c r="E437" t="s">
        <v>4102</v>
      </c>
      <c r="F437" t="s">
        <v>4102</v>
      </c>
      <c r="G437" t="s">
        <v>57</v>
      </c>
      <c r="H437" t="s">
        <v>3489</v>
      </c>
      <c r="I437" t="s">
        <v>3490</v>
      </c>
      <c r="J437" s="56">
        <f t="shared" si="18"/>
        <v>76</v>
      </c>
      <c r="K437" s="74" t="str">
        <f t="shared" si="19"/>
        <v>61-90 Days</v>
      </c>
      <c r="L437" s="58" t="str">
        <f t="shared" si="20"/>
        <v>Not Applicable</v>
      </c>
    </row>
    <row r="438" spans="1:12" ht="16.5" customHeight="1" x14ac:dyDescent="0.35">
      <c r="A438" t="s">
        <v>120</v>
      </c>
      <c r="B438" t="s">
        <v>120</v>
      </c>
      <c r="C438">
        <v>0</v>
      </c>
      <c r="D438">
        <v>1000</v>
      </c>
      <c r="E438" t="s">
        <v>4103</v>
      </c>
      <c r="F438" t="s">
        <v>4103</v>
      </c>
      <c r="G438" t="s">
        <v>57</v>
      </c>
      <c r="H438" t="s">
        <v>3489</v>
      </c>
      <c r="I438" t="s">
        <v>3490</v>
      </c>
      <c r="J438" s="56">
        <f t="shared" si="18"/>
        <v>76</v>
      </c>
      <c r="K438" s="74" t="str">
        <f t="shared" si="19"/>
        <v>61-90 Days</v>
      </c>
      <c r="L438" s="58" t="str">
        <f t="shared" si="20"/>
        <v>Not Applicable</v>
      </c>
    </row>
    <row r="439" spans="1:12" ht="16.5" customHeight="1" x14ac:dyDescent="0.35">
      <c r="A439" t="s">
        <v>4104</v>
      </c>
      <c r="B439" t="s">
        <v>4104</v>
      </c>
      <c r="C439">
        <v>200</v>
      </c>
      <c r="D439">
        <v>0</v>
      </c>
      <c r="E439" t="s">
        <v>4105</v>
      </c>
      <c r="F439" t="s">
        <v>4105</v>
      </c>
      <c r="G439" t="s">
        <v>57</v>
      </c>
      <c r="H439" t="s">
        <v>3476</v>
      </c>
      <c r="I439" t="s">
        <v>3507</v>
      </c>
      <c r="J439" s="56">
        <f t="shared" si="18"/>
        <v>75</v>
      </c>
      <c r="K439" s="74" t="str">
        <f t="shared" si="19"/>
        <v>61-90 Days</v>
      </c>
      <c r="L439" s="58" t="str">
        <f t="shared" si="20"/>
        <v>Substandard</v>
      </c>
    </row>
    <row r="440" spans="1:12" ht="16.5" customHeight="1" x14ac:dyDescent="0.35">
      <c r="A440" t="s">
        <v>4104</v>
      </c>
      <c r="B440" t="s">
        <v>4104</v>
      </c>
      <c r="C440">
        <v>300</v>
      </c>
      <c r="D440">
        <v>0</v>
      </c>
      <c r="E440" t="s">
        <v>4106</v>
      </c>
      <c r="F440" t="s">
        <v>4106</v>
      </c>
      <c r="G440" t="s">
        <v>57</v>
      </c>
      <c r="H440" t="s">
        <v>3476</v>
      </c>
      <c r="I440" t="s">
        <v>3507</v>
      </c>
      <c r="J440" s="56">
        <f t="shared" si="18"/>
        <v>75</v>
      </c>
      <c r="K440" s="74" t="str">
        <f t="shared" si="19"/>
        <v>61-90 Days</v>
      </c>
      <c r="L440" s="58" t="str">
        <f t="shared" si="20"/>
        <v>Substandard</v>
      </c>
    </row>
    <row r="441" spans="1:12" ht="16.5" customHeight="1" x14ac:dyDescent="0.35">
      <c r="A441" t="s">
        <v>4104</v>
      </c>
      <c r="B441" t="s">
        <v>4104</v>
      </c>
      <c r="C441">
        <v>0</v>
      </c>
      <c r="D441">
        <v>100</v>
      </c>
      <c r="E441" t="s">
        <v>4107</v>
      </c>
      <c r="F441" t="s">
        <v>4107</v>
      </c>
      <c r="G441" t="s">
        <v>57</v>
      </c>
      <c r="H441" t="s">
        <v>3489</v>
      </c>
      <c r="I441" t="s">
        <v>3490</v>
      </c>
      <c r="J441" s="56">
        <f t="shared" si="18"/>
        <v>75</v>
      </c>
      <c r="K441" s="74" t="str">
        <f t="shared" si="19"/>
        <v>61-90 Days</v>
      </c>
      <c r="L441" s="58" t="str">
        <f t="shared" si="20"/>
        <v>Not Applicable</v>
      </c>
    </row>
    <row r="442" spans="1:12" ht="16.5" customHeight="1" x14ac:dyDescent="0.35">
      <c r="A442" t="s">
        <v>4104</v>
      </c>
      <c r="B442" t="s">
        <v>4104</v>
      </c>
      <c r="C442">
        <v>0</v>
      </c>
      <c r="D442">
        <v>1000</v>
      </c>
      <c r="E442" t="s">
        <v>4108</v>
      </c>
      <c r="F442" t="s">
        <v>4108</v>
      </c>
      <c r="G442" t="s">
        <v>57</v>
      </c>
      <c r="H442" t="s">
        <v>3489</v>
      </c>
      <c r="I442" t="s">
        <v>3490</v>
      </c>
      <c r="J442" s="56">
        <f t="shared" si="18"/>
        <v>75</v>
      </c>
      <c r="K442" s="74" t="str">
        <f t="shared" si="19"/>
        <v>61-90 Days</v>
      </c>
      <c r="L442" s="58" t="str">
        <f t="shared" si="20"/>
        <v>Not Applicable</v>
      </c>
    </row>
    <row r="443" spans="1:12" ht="16.5" customHeight="1" x14ac:dyDescent="0.35">
      <c r="A443" t="s">
        <v>4104</v>
      </c>
      <c r="B443" t="s">
        <v>4104</v>
      </c>
      <c r="C443">
        <v>0</v>
      </c>
      <c r="D443">
        <v>2100</v>
      </c>
      <c r="E443" t="s">
        <v>4109</v>
      </c>
      <c r="F443" t="s">
        <v>4109</v>
      </c>
      <c r="G443" t="s">
        <v>57</v>
      </c>
      <c r="H443" t="s">
        <v>3489</v>
      </c>
      <c r="I443" t="s">
        <v>3490</v>
      </c>
      <c r="J443" s="56">
        <f t="shared" si="18"/>
        <v>75</v>
      </c>
      <c r="K443" s="74" t="str">
        <f t="shared" si="19"/>
        <v>61-90 Days</v>
      </c>
      <c r="L443" s="58" t="str">
        <f t="shared" si="20"/>
        <v>Not Applicable</v>
      </c>
    </row>
    <row r="444" spans="1:12" ht="16.5" customHeight="1" x14ac:dyDescent="0.35">
      <c r="A444" t="s">
        <v>4104</v>
      </c>
      <c r="B444" t="s">
        <v>4104</v>
      </c>
      <c r="C444">
        <v>0</v>
      </c>
      <c r="D444">
        <v>2184</v>
      </c>
      <c r="E444" t="s">
        <v>4110</v>
      </c>
      <c r="F444" t="s">
        <v>4110</v>
      </c>
      <c r="G444" t="s">
        <v>57</v>
      </c>
      <c r="H444" t="s">
        <v>3489</v>
      </c>
      <c r="I444" t="s">
        <v>3490</v>
      </c>
      <c r="J444" s="56">
        <f t="shared" si="18"/>
        <v>75</v>
      </c>
      <c r="K444" s="74" t="str">
        <f t="shared" si="19"/>
        <v>61-90 Days</v>
      </c>
      <c r="L444" s="58" t="str">
        <f t="shared" si="20"/>
        <v>Not Applicable</v>
      </c>
    </row>
    <row r="445" spans="1:12" ht="16.5" customHeight="1" x14ac:dyDescent="0.35">
      <c r="A445" t="s">
        <v>4104</v>
      </c>
      <c r="B445" t="s">
        <v>4104</v>
      </c>
      <c r="C445">
        <v>100</v>
      </c>
      <c r="D445">
        <v>0</v>
      </c>
      <c r="E445" t="s">
        <v>4111</v>
      </c>
      <c r="F445" t="s">
        <v>4111</v>
      </c>
      <c r="G445" t="s">
        <v>57</v>
      </c>
      <c r="H445" t="s">
        <v>3476</v>
      </c>
      <c r="I445" t="s">
        <v>3507</v>
      </c>
      <c r="J445" s="56">
        <f t="shared" si="18"/>
        <v>75</v>
      </c>
      <c r="K445" s="74" t="str">
        <f t="shared" si="19"/>
        <v>61-90 Days</v>
      </c>
      <c r="L445" s="58" t="str">
        <f t="shared" si="20"/>
        <v>Substandard</v>
      </c>
    </row>
    <row r="446" spans="1:12" ht="16.5" customHeight="1" x14ac:dyDescent="0.35">
      <c r="A446" t="s">
        <v>4104</v>
      </c>
      <c r="B446" t="s">
        <v>4104</v>
      </c>
      <c r="C446">
        <v>0</v>
      </c>
      <c r="D446">
        <v>1000</v>
      </c>
      <c r="E446" t="s">
        <v>4112</v>
      </c>
      <c r="F446" t="s">
        <v>4112</v>
      </c>
      <c r="G446" t="s">
        <v>57</v>
      </c>
      <c r="H446" t="s">
        <v>3489</v>
      </c>
      <c r="I446" t="s">
        <v>3490</v>
      </c>
      <c r="J446" s="56">
        <f t="shared" si="18"/>
        <v>75</v>
      </c>
      <c r="K446" s="74" t="str">
        <f t="shared" si="19"/>
        <v>61-90 Days</v>
      </c>
      <c r="L446" s="58" t="str">
        <f t="shared" si="20"/>
        <v>Not Applicable</v>
      </c>
    </row>
    <row r="447" spans="1:12" ht="16.5" customHeight="1" x14ac:dyDescent="0.35">
      <c r="A447" t="s">
        <v>4104</v>
      </c>
      <c r="B447" t="s">
        <v>4104</v>
      </c>
      <c r="C447">
        <v>0</v>
      </c>
      <c r="D447">
        <v>2650</v>
      </c>
      <c r="E447" t="s">
        <v>4113</v>
      </c>
      <c r="F447" t="s">
        <v>4113</v>
      </c>
      <c r="G447" t="s">
        <v>57</v>
      </c>
      <c r="H447" t="s">
        <v>3489</v>
      </c>
      <c r="I447" t="s">
        <v>3490</v>
      </c>
      <c r="J447" s="56">
        <f t="shared" si="18"/>
        <v>75</v>
      </c>
      <c r="K447" s="74" t="str">
        <f t="shared" si="19"/>
        <v>61-90 Days</v>
      </c>
      <c r="L447" s="58" t="str">
        <f t="shared" si="20"/>
        <v>Not Applicable</v>
      </c>
    </row>
    <row r="448" spans="1:12" ht="16.5" customHeight="1" x14ac:dyDescent="0.35">
      <c r="A448" t="s">
        <v>4104</v>
      </c>
      <c r="B448" t="s">
        <v>4104</v>
      </c>
      <c r="C448">
        <v>0</v>
      </c>
      <c r="D448">
        <v>10080</v>
      </c>
      <c r="E448" t="s">
        <v>4114</v>
      </c>
      <c r="F448" t="s">
        <v>4114</v>
      </c>
      <c r="G448" t="s">
        <v>57</v>
      </c>
      <c r="H448" t="s">
        <v>3489</v>
      </c>
      <c r="I448" t="s">
        <v>3490</v>
      </c>
      <c r="J448" s="56">
        <f t="shared" si="18"/>
        <v>75</v>
      </c>
      <c r="K448" s="74" t="str">
        <f t="shared" si="19"/>
        <v>61-90 Days</v>
      </c>
      <c r="L448" s="58" t="str">
        <f t="shared" si="20"/>
        <v>Not Applicable</v>
      </c>
    </row>
    <row r="449" spans="1:12" ht="16.5" customHeight="1" x14ac:dyDescent="0.35">
      <c r="A449" t="s">
        <v>4104</v>
      </c>
      <c r="B449" t="s">
        <v>4104</v>
      </c>
      <c r="C449">
        <v>50</v>
      </c>
      <c r="D449">
        <v>0</v>
      </c>
      <c r="E449" t="s">
        <v>4115</v>
      </c>
      <c r="F449" t="s">
        <v>4115</v>
      </c>
      <c r="G449" t="s">
        <v>57</v>
      </c>
      <c r="H449" t="s">
        <v>3805</v>
      </c>
      <c r="I449" t="s">
        <v>3507</v>
      </c>
      <c r="J449" s="56">
        <f t="shared" si="18"/>
        <v>75</v>
      </c>
      <c r="K449" s="74" t="str">
        <f t="shared" si="19"/>
        <v>61-90 Days</v>
      </c>
      <c r="L449" s="58" t="str">
        <f t="shared" si="20"/>
        <v>Substandard</v>
      </c>
    </row>
    <row r="450" spans="1:12" ht="16.5" customHeight="1" x14ac:dyDescent="0.35">
      <c r="A450" t="s">
        <v>4104</v>
      </c>
      <c r="B450" t="s">
        <v>4104</v>
      </c>
      <c r="C450">
        <v>508</v>
      </c>
      <c r="D450">
        <v>0</v>
      </c>
      <c r="E450" t="s">
        <v>4116</v>
      </c>
      <c r="F450" t="s">
        <v>4116</v>
      </c>
      <c r="G450" t="s">
        <v>57</v>
      </c>
      <c r="H450" t="s">
        <v>3476</v>
      </c>
      <c r="I450" t="s">
        <v>3507</v>
      </c>
      <c r="J450" s="56">
        <f t="shared" si="18"/>
        <v>75</v>
      </c>
      <c r="K450" s="74" t="str">
        <f t="shared" si="19"/>
        <v>61-90 Days</v>
      </c>
      <c r="L450" s="58" t="str">
        <f t="shared" si="20"/>
        <v>Substandard</v>
      </c>
    </row>
    <row r="451" spans="1:12" ht="16.5" customHeight="1" x14ac:dyDescent="0.35">
      <c r="A451" t="s">
        <v>4104</v>
      </c>
      <c r="B451" t="s">
        <v>4104</v>
      </c>
      <c r="C451">
        <v>0</v>
      </c>
      <c r="D451">
        <v>4997.63</v>
      </c>
      <c r="E451" t="s">
        <v>4117</v>
      </c>
      <c r="F451" t="s">
        <v>4117</v>
      </c>
      <c r="G451" t="s">
        <v>57</v>
      </c>
      <c r="H451" t="s">
        <v>3914</v>
      </c>
      <c r="I451" t="s">
        <v>3643</v>
      </c>
      <c r="J451" s="56">
        <f t="shared" si="18"/>
        <v>75</v>
      </c>
      <c r="K451" s="74" t="str">
        <f t="shared" si="19"/>
        <v>61-90 Days</v>
      </c>
      <c r="L451" s="58" t="str">
        <f t="shared" si="20"/>
        <v>Not Applicable</v>
      </c>
    </row>
    <row r="452" spans="1:12" ht="16.5" customHeight="1" x14ac:dyDescent="0.35">
      <c r="A452" t="s">
        <v>4104</v>
      </c>
      <c r="B452" t="s">
        <v>4104</v>
      </c>
      <c r="C452">
        <v>0</v>
      </c>
      <c r="D452">
        <v>100</v>
      </c>
      <c r="E452" t="s">
        <v>4118</v>
      </c>
      <c r="F452" t="s">
        <v>4118</v>
      </c>
      <c r="G452" t="s">
        <v>57</v>
      </c>
      <c r="H452" t="s">
        <v>3489</v>
      </c>
      <c r="I452" t="s">
        <v>3490</v>
      </c>
      <c r="J452" s="56">
        <f t="shared" si="18"/>
        <v>75</v>
      </c>
      <c r="K452" s="74" t="str">
        <f t="shared" si="19"/>
        <v>61-90 Days</v>
      </c>
      <c r="L452" s="58" t="str">
        <f t="shared" si="20"/>
        <v>Not Applicable</v>
      </c>
    </row>
    <row r="453" spans="1:12" ht="16.5" customHeight="1" x14ac:dyDescent="0.35">
      <c r="A453" t="s">
        <v>4104</v>
      </c>
      <c r="B453" t="s">
        <v>4104</v>
      </c>
      <c r="C453">
        <v>0</v>
      </c>
      <c r="D453">
        <v>2700</v>
      </c>
      <c r="E453" t="s">
        <v>4119</v>
      </c>
      <c r="F453" t="s">
        <v>4120</v>
      </c>
      <c r="G453" t="s">
        <v>57</v>
      </c>
      <c r="H453" t="s">
        <v>3532</v>
      </c>
      <c r="I453" t="s">
        <v>3490</v>
      </c>
      <c r="J453" s="56">
        <f t="shared" si="18"/>
        <v>75</v>
      </c>
      <c r="K453" s="74" t="str">
        <f t="shared" si="19"/>
        <v>61-90 Days</v>
      </c>
      <c r="L453" s="58" t="str">
        <f t="shared" si="20"/>
        <v>Not Applicable</v>
      </c>
    </row>
    <row r="454" spans="1:12" ht="16.5" customHeight="1" x14ac:dyDescent="0.35">
      <c r="A454" t="s">
        <v>4104</v>
      </c>
      <c r="B454" t="s">
        <v>4104</v>
      </c>
      <c r="C454">
        <v>0</v>
      </c>
      <c r="D454">
        <v>250</v>
      </c>
      <c r="E454" t="s">
        <v>4121</v>
      </c>
      <c r="F454" t="s">
        <v>3499</v>
      </c>
      <c r="G454" t="s">
        <v>57</v>
      </c>
      <c r="H454" t="s">
        <v>3489</v>
      </c>
      <c r="I454" t="s">
        <v>3490</v>
      </c>
      <c r="J454" s="56">
        <f t="shared" si="18"/>
        <v>75</v>
      </c>
      <c r="K454" s="74" t="str">
        <f t="shared" si="19"/>
        <v>61-90 Days</v>
      </c>
      <c r="L454" s="58" t="str">
        <f t="shared" si="20"/>
        <v>Not Applicable</v>
      </c>
    </row>
    <row r="455" spans="1:12" ht="16.5" customHeight="1" x14ac:dyDescent="0.35">
      <c r="A455" t="s">
        <v>4104</v>
      </c>
      <c r="B455" t="s">
        <v>4104</v>
      </c>
      <c r="C455">
        <v>5000</v>
      </c>
      <c r="D455">
        <v>0</v>
      </c>
      <c r="E455" t="s">
        <v>4122</v>
      </c>
      <c r="F455" t="s">
        <v>4122</v>
      </c>
      <c r="G455" t="s">
        <v>57</v>
      </c>
      <c r="H455" t="s">
        <v>3455</v>
      </c>
      <c r="I455" t="s">
        <v>3507</v>
      </c>
      <c r="J455" s="56">
        <f t="shared" si="18"/>
        <v>75</v>
      </c>
      <c r="K455" s="74" t="str">
        <f t="shared" si="19"/>
        <v>61-90 Days</v>
      </c>
      <c r="L455" s="58" t="str">
        <f t="shared" si="20"/>
        <v>Substandard</v>
      </c>
    </row>
    <row r="456" spans="1:12" ht="16.5" customHeight="1" x14ac:dyDescent="0.35">
      <c r="A456" t="s">
        <v>4104</v>
      </c>
      <c r="B456" t="s">
        <v>4104</v>
      </c>
      <c r="C456">
        <v>0</v>
      </c>
      <c r="D456">
        <v>1550</v>
      </c>
      <c r="E456" t="s">
        <v>4123</v>
      </c>
      <c r="F456" t="s">
        <v>4123</v>
      </c>
      <c r="G456" t="s">
        <v>57</v>
      </c>
      <c r="H456" t="s">
        <v>3489</v>
      </c>
      <c r="I456" t="s">
        <v>3490</v>
      </c>
      <c r="J456" s="56">
        <f t="shared" si="18"/>
        <v>75</v>
      </c>
      <c r="K456" s="74" t="str">
        <f t="shared" si="19"/>
        <v>61-90 Days</v>
      </c>
      <c r="L456" s="58" t="str">
        <f t="shared" si="20"/>
        <v>Not Applicable</v>
      </c>
    </row>
    <row r="457" spans="1:12" ht="16.5" customHeight="1" x14ac:dyDescent="0.35">
      <c r="A457" t="s">
        <v>4104</v>
      </c>
      <c r="B457" t="s">
        <v>4104</v>
      </c>
      <c r="C457">
        <v>0</v>
      </c>
      <c r="D457">
        <v>100</v>
      </c>
      <c r="E457" t="s">
        <v>4124</v>
      </c>
      <c r="F457" t="s">
        <v>4124</v>
      </c>
      <c r="G457" t="s">
        <v>57</v>
      </c>
      <c r="H457" t="s">
        <v>3489</v>
      </c>
      <c r="I457" t="s">
        <v>3490</v>
      </c>
      <c r="J457" s="56">
        <f t="shared" ref="J457:J520" si="21">IF(A457="","",A$5-A457)</f>
        <v>75</v>
      </c>
      <c r="K457" s="74" t="str">
        <f t="shared" ref="K457:K520" si="22">IF(J457="","",IF(J457&lt;4,"0-3 Days",IF(J457&lt;31,"4-30 Days",IF(J457&lt;61,"31-60 Days",IF(J457&lt;=90,"61-90 Days",IF(J457&gt;90,"Above 90 Days","0"))))))</f>
        <v>61-90 Days</v>
      </c>
      <c r="L457" s="58" t="str">
        <f t="shared" ref="L457:L520" si="23">IF(C457="","",IF(C457&gt;0,IF(J457&lt;30,"Normal",IF(J457&lt;60,"Especially Mentioned",IF(J457&lt;90,"Substandard",IF(J457&lt;=180,"Doubtful",IF(J457&gt;180,"Loss","0"))))),"Not Applicable"))</f>
        <v>Not Applicable</v>
      </c>
    </row>
    <row r="458" spans="1:12" ht="16.5" customHeight="1" x14ac:dyDescent="0.35">
      <c r="A458" t="s">
        <v>4104</v>
      </c>
      <c r="B458" t="s">
        <v>4104</v>
      </c>
      <c r="C458">
        <v>360</v>
      </c>
      <c r="D458">
        <v>0</v>
      </c>
      <c r="E458" t="s">
        <v>4125</v>
      </c>
      <c r="F458" t="s">
        <v>4125</v>
      </c>
      <c r="G458" t="s">
        <v>57</v>
      </c>
      <c r="H458" t="s">
        <v>3455</v>
      </c>
      <c r="I458" t="s">
        <v>3507</v>
      </c>
      <c r="J458" s="56">
        <f t="shared" si="21"/>
        <v>75</v>
      </c>
      <c r="K458" s="74" t="str">
        <f t="shared" si="22"/>
        <v>61-90 Days</v>
      </c>
      <c r="L458" s="58" t="str">
        <f t="shared" si="23"/>
        <v>Substandard</v>
      </c>
    </row>
    <row r="459" spans="1:12" ht="16.5" customHeight="1" x14ac:dyDescent="0.35">
      <c r="A459" t="s">
        <v>4104</v>
      </c>
      <c r="B459" t="s">
        <v>4104</v>
      </c>
      <c r="C459">
        <v>0</v>
      </c>
      <c r="D459">
        <v>2050</v>
      </c>
      <c r="E459" t="s">
        <v>4126</v>
      </c>
      <c r="F459" t="s">
        <v>4126</v>
      </c>
      <c r="G459" t="s">
        <v>57</v>
      </c>
      <c r="H459" t="s">
        <v>3489</v>
      </c>
      <c r="I459" t="s">
        <v>3490</v>
      </c>
      <c r="J459" s="56">
        <f t="shared" si="21"/>
        <v>75</v>
      </c>
      <c r="K459" s="74" t="str">
        <f t="shared" si="22"/>
        <v>61-90 Days</v>
      </c>
      <c r="L459" s="58" t="str">
        <f t="shared" si="23"/>
        <v>Not Applicable</v>
      </c>
    </row>
    <row r="460" spans="1:12" ht="16.5" customHeight="1" x14ac:dyDescent="0.35">
      <c r="A460" t="s">
        <v>4104</v>
      </c>
      <c r="B460" t="s">
        <v>4104</v>
      </c>
      <c r="C460">
        <v>0</v>
      </c>
      <c r="D460">
        <v>20000</v>
      </c>
      <c r="E460" t="s">
        <v>4127</v>
      </c>
      <c r="F460" t="s">
        <v>4127</v>
      </c>
      <c r="G460" t="s">
        <v>57</v>
      </c>
      <c r="H460" t="s">
        <v>3489</v>
      </c>
      <c r="I460" t="s">
        <v>3490</v>
      </c>
      <c r="J460" s="56">
        <f t="shared" si="21"/>
        <v>75</v>
      </c>
      <c r="K460" s="74" t="str">
        <f t="shared" si="22"/>
        <v>61-90 Days</v>
      </c>
      <c r="L460" s="58" t="str">
        <f t="shared" si="23"/>
        <v>Not Applicable</v>
      </c>
    </row>
    <row r="461" spans="1:12" ht="16.5" customHeight="1" x14ac:dyDescent="0.35">
      <c r="A461" t="s">
        <v>4104</v>
      </c>
      <c r="B461" t="s">
        <v>4104</v>
      </c>
      <c r="C461">
        <v>0</v>
      </c>
      <c r="D461">
        <v>828</v>
      </c>
      <c r="E461" t="s">
        <v>4128</v>
      </c>
      <c r="F461" t="s">
        <v>4129</v>
      </c>
      <c r="G461" t="s">
        <v>57</v>
      </c>
      <c r="H461" t="s">
        <v>3532</v>
      </c>
      <c r="I461" t="s">
        <v>3490</v>
      </c>
      <c r="J461" s="56">
        <f t="shared" si="21"/>
        <v>75</v>
      </c>
      <c r="K461" s="74" t="str">
        <f t="shared" si="22"/>
        <v>61-90 Days</v>
      </c>
      <c r="L461" s="58" t="str">
        <f t="shared" si="23"/>
        <v>Not Applicable</v>
      </c>
    </row>
    <row r="462" spans="1:12" ht="16.5" customHeight="1" x14ac:dyDescent="0.35">
      <c r="A462" t="s">
        <v>4104</v>
      </c>
      <c r="B462" t="s">
        <v>4104</v>
      </c>
      <c r="C462">
        <v>0</v>
      </c>
      <c r="D462">
        <v>2650</v>
      </c>
      <c r="E462" t="s">
        <v>4130</v>
      </c>
      <c r="F462" t="s">
        <v>4130</v>
      </c>
      <c r="G462" t="s">
        <v>57</v>
      </c>
      <c r="H462" t="s">
        <v>3489</v>
      </c>
      <c r="I462" t="s">
        <v>3490</v>
      </c>
      <c r="J462" s="56">
        <f t="shared" si="21"/>
        <v>75</v>
      </c>
      <c r="K462" s="74" t="str">
        <f t="shared" si="22"/>
        <v>61-90 Days</v>
      </c>
      <c r="L462" s="58" t="str">
        <f t="shared" si="23"/>
        <v>Not Applicable</v>
      </c>
    </row>
    <row r="463" spans="1:12" ht="16.5" customHeight="1" x14ac:dyDescent="0.35">
      <c r="A463" t="s">
        <v>4104</v>
      </c>
      <c r="B463" t="s">
        <v>4104</v>
      </c>
      <c r="C463">
        <v>0</v>
      </c>
      <c r="D463">
        <v>600</v>
      </c>
      <c r="E463" t="s">
        <v>4131</v>
      </c>
      <c r="F463" t="s">
        <v>4131</v>
      </c>
      <c r="G463" t="s">
        <v>57</v>
      </c>
      <c r="H463" t="s">
        <v>3489</v>
      </c>
      <c r="I463" t="s">
        <v>3490</v>
      </c>
      <c r="J463" s="56">
        <f t="shared" si="21"/>
        <v>75</v>
      </c>
      <c r="K463" s="74" t="str">
        <f t="shared" si="22"/>
        <v>61-90 Days</v>
      </c>
      <c r="L463" s="58" t="str">
        <f t="shared" si="23"/>
        <v>Not Applicable</v>
      </c>
    </row>
    <row r="464" spans="1:12" ht="16.5" customHeight="1" x14ac:dyDescent="0.35">
      <c r="A464" t="s">
        <v>4104</v>
      </c>
      <c r="B464" t="s">
        <v>4104</v>
      </c>
      <c r="C464">
        <v>0</v>
      </c>
      <c r="D464">
        <v>2650</v>
      </c>
      <c r="E464" t="s">
        <v>4132</v>
      </c>
      <c r="F464" t="s">
        <v>4132</v>
      </c>
      <c r="G464" t="s">
        <v>57</v>
      </c>
      <c r="H464" t="s">
        <v>3489</v>
      </c>
      <c r="I464" t="s">
        <v>3490</v>
      </c>
      <c r="J464" s="56">
        <f t="shared" si="21"/>
        <v>75</v>
      </c>
      <c r="K464" s="74" t="str">
        <f t="shared" si="22"/>
        <v>61-90 Days</v>
      </c>
      <c r="L464" s="58" t="str">
        <f t="shared" si="23"/>
        <v>Not Applicable</v>
      </c>
    </row>
    <row r="465" spans="1:12" ht="16.5" customHeight="1" x14ac:dyDescent="0.35">
      <c r="A465" t="s">
        <v>4104</v>
      </c>
      <c r="B465" t="s">
        <v>4104</v>
      </c>
      <c r="C465">
        <v>0</v>
      </c>
      <c r="D465">
        <v>828</v>
      </c>
      <c r="E465" t="s">
        <v>4133</v>
      </c>
      <c r="F465" t="s">
        <v>4134</v>
      </c>
      <c r="G465" t="s">
        <v>57</v>
      </c>
      <c r="H465" t="s">
        <v>3532</v>
      </c>
      <c r="I465" t="s">
        <v>3490</v>
      </c>
      <c r="J465" s="56">
        <f t="shared" si="21"/>
        <v>75</v>
      </c>
      <c r="K465" s="74" t="str">
        <f t="shared" si="22"/>
        <v>61-90 Days</v>
      </c>
      <c r="L465" s="58" t="str">
        <f t="shared" si="23"/>
        <v>Not Applicable</v>
      </c>
    </row>
    <row r="466" spans="1:12" ht="16.5" customHeight="1" x14ac:dyDescent="0.35">
      <c r="A466" t="s">
        <v>4104</v>
      </c>
      <c r="B466" t="s">
        <v>4104</v>
      </c>
      <c r="C466">
        <v>0</v>
      </c>
      <c r="D466">
        <v>240</v>
      </c>
      <c r="E466" t="s">
        <v>4135</v>
      </c>
      <c r="F466" t="s">
        <v>4135</v>
      </c>
      <c r="G466" t="s">
        <v>57</v>
      </c>
      <c r="H466" t="s">
        <v>3489</v>
      </c>
      <c r="I466" t="s">
        <v>3507</v>
      </c>
      <c r="J466" s="56">
        <f t="shared" si="21"/>
        <v>75</v>
      </c>
      <c r="K466" s="74" t="str">
        <f t="shared" si="22"/>
        <v>61-90 Days</v>
      </c>
      <c r="L466" s="58" t="str">
        <f t="shared" si="23"/>
        <v>Not Applicable</v>
      </c>
    </row>
    <row r="467" spans="1:12" ht="16.5" customHeight="1" x14ac:dyDescent="0.35">
      <c r="A467" t="s">
        <v>4104</v>
      </c>
      <c r="B467" t="s">
        <v>4104</v>
      </c>
      <c r="C467">
        <v>0</v>
      </c>
      <c r="D467">
        <v>3050</v>
      </c>
      <c r="E467" t="s">
        <v>4136</v>
      </c>
      <c r="F467" t="s">
        <v>3499</v>
      </c>
      <c r="G467" t="s">
        <v>57</v>
      </c>
      <c r="H467" t="s">
        <v>3489</v>
      </c>
      <c r="I467" t="s">
        <v>3490</v>
      </c>
      <c r="J467" s="56">
        <f t="shared" si="21"/>
        <v>75</v>
      </c>
      <c r="K467" s="74" t="str">
        <f t="shared" si="22"/>
        <v>61-90 Days</v>
      </c>
      <c r="L467" s="58" t="str">
        <f t="shared" si="23"/>
        <v>Not Applicable</v>
      </c>
    </row>
    <row r="468" spans="1:12" ht="16.5" customHeight="1" x14ac:dyDescent="0.35">
      <c r="A468" t="s">
        <v>4104</v>
      </c>
      <c r="B468" t="s">
        <v>4104</v>
      </c>
      <c r="C468">
        <v>0</v>
      </c>
      <c r="D468">
        <v>2700</v>
      </c>
      <c r="E468" t="s">
        <v>4137</v>
      </c>
      <c r="F468" t="s">
        <v>4137</v>
      </c>
      <c r="G468" t="s">
        <v>57</v>
      </c>
      <c r="H468" t="s">
        <v>3489</v>
      </c>
      <c r="I468" t="s">
        <v>3490</v>
      </c>
      <c r="J468" s="56">
        <f t="shared" si="21"/>
        <v>75</v>
      </c>
      <c r="K468" s="74" t="str">
        <f t="shared" si="22"/>
        <v>61-90 Days</v>
      </c>
      <c r="L468" s="58" t="str">
        <f t="shared" si="23"/>
        <v>Not Applicable</v>
      </c>
    </row>
    <row r="469" spans="1:12" ht="16.5" customHeight="1" x14ac:dyDescent="0.35">
      <c r="A469" t="s">
        <v>4104</v>
      </c>
      <c r="B469" t="s">
        <v>4104</v>
      </c>
      <c r="C469">
        <v>608</v>
      </c>
      <c r="D469">
        <v>0</v>
      </c>
      <c r="E469" t="s">
        <v>4138</v>
      </c>
      <c r="F469" t="s">
        <v>4138</v>
      </c>
      <c r="G469" t="s">
        <v>57</v>
      </c>
      <c r="H469" t="s">
        <v>3476</v>
      </c>
      <c r="I469" t="s">
        <v>3507</v>
      </c>
      <c r="J469" s="56">
        <f t="shared" si="21"/>
        <v>75</v>
      </c>
      <c r="K469" s="74" t="str">
        <f t="shared" si="22"/>
        <v>61-90 Days</v>
      </c>
      <c r="L469" s="58" t="str">
        <f t="shared" si="23"/>
        <v>Substandard</v>
      </c>
    </row>
    <row r="470" spans="1:12" ht="16.5" customHeight="1" x14ac:dyDescent="0.35">
      <c r="A470" t="s">
        <v>4104</v>
      </c>
      <c r="B470" t="s">
        <v>4104</v>
      </c>
      <c r="C470">
        <v>0</v>
      </c>
      <c r="D470">
        <v>1000</v>
      </c>
      <c r="E470" t="s">
        <v>4139</v>
      </c>
      <c r="F470" t="s">
        <v>4139</v>
      </c>
      <c r="G470" t="s">
        <v>57</v>
      </c>
      <c r="H470" t="s">
        <v>3489</v>
      </c>
      <c r="I470" t="s">
        <v>3490</v>
      </c>
      <c r="J470" s="56">
        <f t="shared" si="21"/>
        <v>75</v>
      </c>
      <c r="K470" s="74" t="str">
        <f t="shared" si="22"/>
        <v>61-90 Days</v>
      </c>
      <c r="L470" s="58" t="str">
        <f t="shared" si="23"/>
        <v>Not Applicable</v>
      </c>
    </row>
    <row r="471" spans="1:12" ht="16.5" customHeight="1" x14ac:dyDescent="0.35">
      <c r="A471" t="s">
        <v>4104</v>
      </c>
      <c r="B471" t="s">
        <v>4104</v>
      </c>
      <c r="C471">
        <v>608</v>
      </c>
      <c r="D471">
        <v>0</v>
      </c>
      <c r="E471" t="s">
        <v>4140</v>
      </c>
      <c r="F471" t="s">
        <v>4140</v>
      </c>
      <c r="G471" t="s">
        <v>57</v>
      </c>
      <c r="H471" t="s">
        <v>3476</v>
      </c>
      <c r="I471" t="s">
        <v>3507</v>
      </c>
      <c r="J471" s="56">
        <f t="shared" si="21"/>
        <v>75</v>
      </c>
      <c r="K471" s="74" t="str">
        <f t="shared" si="22"/>
        <v>61-90 Days</v>
      </c>
      <c r="L471" s="58" t="str">
        <f t="shared" si="23"/>
        <v>Substandard</v>
      </c>
    </row>
    <row r="472" spans="1:12" ht="16.5" customHeight="1" x14ac:dyDescent="0.35">
      <c r="A472" t="s">
        <v>4104</v>
      </c>
      <c r="B472" t="s">
        <v>4104</v>
      </c>
      <c r="C472">
        <v>608</v>
      </c>
      <c r="D472">
        <v>0</v>
      </c>
      <c r="E472" t="s">
        <v>4141</v>
      </c>
      <c r="F472" t="s">
        <v>4141</v>
      </c>
      <c r="G472" t="s">
        <v>57</v>
      </c>
      <c r="H472" t="s">
        <v>3476</v>
      </c>
      <c r="I472" t="s">
        <v>3507</v>
      </c>
      <c r="J472" s="56">
        <f t="shared" si="21"/>
        <v>75</v>
      </c>
      <c r="K472" s="74" t="str">
        <f t="shared" si="22"/>
        <v>61-90 Days</v>
      </c>
      <c r="L472" s="58" t="str">
        <f t="shared" si="23"/>
        <v>Substandard</v>
      </c>
    </row>
    <row r="473" spans="1:12" ht="16.5" customHeight="1" x14ac:dyDescent="0.35">
      <c r="A473" t="s">
        <v>4104</v>
      </c>
      <c r="B473" t="s">
        <v>4104</v>
      </c>
      <c r="C473">
        <v>0</v>
      </c>
      <c r="D473">
        <v>1000</v>
      </c>
      <c r="E473" t="s">
        <v>4142</v>
      </c>
      <c r="F473" t="s">
        <v>4142</v>
      </c>
      <c r="G473" t="s">
        <v>57</v>
      </c>
      <c r="H473" t="s">
        <v>3489</v>
      </c>
      <c r="I473" t="s">
        <v>3490</v>
      </c>
      <c r="J473" s="56">
        <f t="shared" si="21"/>
        <v>75</v>
      </c>
      <c r="K473" s="74" t="str">
        <f t="shared" si="22"/>
        <v>61-90 Days</v>
      </c>
      <c r="L473" s="58" t="str">
        <f t="shared" si="23"/>
        <v>Not Applicable</v>
      </c>
    </row>
    <row r="474" spans="1:12" ht="16.5" customHeight="1" x14ac:dyDescent="0.35">
      <c r="A474" t="s">
        <v>4104</v>
      </c>
      <c r="B474" t="s">
        <v>4104</v>
      </c>
      <c r="C474">
        <v>0</v>
      </c>
      <c r="D474">
        <v>828</v>
      </c>
      <c r="E474" t="s">
        <v>4143</v>
      </c>
      <c r="F474" t="s">
        <v>4144</v>
      </c>
      <c r="G474" t="s">
        <v>57</v>
      </c>
      <c r="H474" t="s">
        <v>3532</v>
      </c>
      <c r="I474" t="s">
        <v>3490</v>
      </c>
      <c r="J474" s="56">
        <f t="shared" si="21"/>
        <v>75</v>
      </c>
      <c r="K474" s="74" t="str">
        <f t="shared" si="22"/>
        <v>61-90 Days</v>
      </c>
      <c r="L474" s="58" t="str">
        <f t="shared" si="23"/>
        <v>Not Applicable</v>
      </c>
    </row>
    <row r="475" spans="1:12" ht="16.5" customHeight="1" x14ac:dyDescent="0.35">
      <c r="A475" t="s">
        <v>4104</v>
      </c>
      <c r="B475" t="s">
        <v>4104</v>
      </c>
      <c r="C475">
        <v>50</v>
      </c>
      <c r="D475">
        <v>0</v>
      </c>
      <c r="E475" t="s">
        <v>4145</v>
      </c>
      <c r="F475" t="s">
        <v>4145</v>
      </c>
      <c r="G475" t="s">
        <v>57</v>
      </c>
      <c r="H475" t="s">
        <v>3805</v>
      </c>
      <c r="I475" t="s">
        <v>3507</v>
      </c>
      <c r="J475" s="56">
        <f t="shared" si="21"/>
        <v>75</v>
      </c>
      <c r="K475" s="74" t="str">
        <f t="shared" si="22"/>
        <v>61-90 Days</v>
      </c>
      <c r="L475" s="58" t="str">
        <f t="shared" si="23"/>
        <v>Substandard</v>
      </c>
    </row>
    <row r="476" spans="1:12" ht="16.5" customHeight="1" x14ac:dyDescent="0.35">
      <c r="A476" t="s">
        <v>4104</v>
      </c>
      <c r="B476" t="s">
        <v>4104</v>
      </c>
      <c r="C476">
        <v>0</v>
      </c>
      <c r="D476">
        <v>120</v>
      </c>
      <c r="E476" t="s">
        <v>4146</v>
      </c>
      <c r="F476" t="s">
        <v>4146</v>
      </c>
      <c r="G476" t="s">
        <v>57</v>
      </c>
      <c r="H476" t="s">
        <v>3489</v>
      </c>
      <c r="I476" t="s">
        <v>3490</v>
      </c>
      <c r="J476" s="56">
        <f t="shared" si="21"/>
        <v>75</v>
      </c>
      <c r="K476" s="74" t="str">
        <f t="shared" si="22"/>
        <v>61-90 Days</v>
      </c>
      <c r="L476" s="58" t="str">
        <f t="shared" si="23"/>
        <v>Not Applicable</v>
      </c>
    </row>
    <row r="477" spans="1:12" ht="16.5" customHeight="1" x14ac:dyDescent="0.35">
      <c r="A477" t="s">
        <v>4104</v>
      </c>
      <c r="B477" t="s">
        <v>4104</v>
      </c>
      <c r="C477">
        <v>0</v>
      </c>
      <c r="D477">
        <v>600</v>
      </c>
      <c r="E477" t="s">
        <v>4147</v>
      </c>
      <c r="F477" t="s">
        <v>4147</v>
      </c>
      <c r="G477" t="s">
        <v>57</v>
      </c>
      <c r="H477" t="s">
        <v>3489</v>
      </c>
      <c r="I477" t="s">
        <v>3490</v>
      </c>
      <c r="J477" s="56">
        <f t="shared" si="21"/>
        <v>75</v>
      </c>
      <c r="K477" s="74" t="str">
        <f t="shared" si="22"/>
        <v>61-90 Days</v>
      </c>
      <c r="L477" s="58" t="str">
        <f t="shared" si="23"/>
        <v>Not Applicable</v>
      </c>
    </row>
    <row r="478" spans="1:12" ht="16.5" customHeight="1" x14ac:dyDescent="0.35">
      <c r="A478" t="s">
        <v>4104</v>
      </c>
      <c r="B478" t="s">
        <v>4104</v>
      </c>
      <c r="C478">
        <v>0</v>
      </c>
      <c r="D478">
        <v>1000</v>
      </c>
      <c r="E478" t="s">
        <v>4148</v>
      </c>
      <c r="F478" t="s">
        <v>4149</v>
      </c>
      <c r="G478" t="s">
        <v>57</v>
      </c>
      <c r="H478" t="s">
        <v>3489</v>
      </c>
      <c r="I478" t="s">
        <v>3490</v>
      </c>
      <c r="J478" s="56">
        <f t="shared" si="21"/>
        <v>75</v>
      </c>
      <c r="K478" s="74" t="str">
        <f t="shared" si="22"/>
        <v>61-90 Days</v>
      </c>
      <c r="L478" s="58" t="str">
        <f t="shared" si="23"/>
        <v>Not Applicable</v>
      </c>
    </row>
    <row r="479" spans="1:12" ht="16.5" customHeight="1" x14ac:dyDescent="0.35">
      <c r="A479" t="s">
        <v>4104</v>
      </c>
      <c r="B479" t="s">
        <v>4104</v>
      </c>
      <c r="C479">
        <v>140</v>
      </c>
      <c r="D479">
        <v>0</v>
      </c>
      <c r="E479" t="s">
        <v>4150</v>
      </c>
      <c r="F479" t="s">
        <v>4150</v>
      </c>
      <c r="G479" t="s">
        <v>57</v>
      </c>
      <c r="H479" t="s">
        <v>3476</v>
      </c>
      <c r="I479" t="s">
        <v>3507</v>
      </c>
      <c r="J479" s="56">
        <f t="shared" si="21"/>
        <v>75</v>
      </c>
      <c r="K479" s="74" t="str">
        <f t="shared" si="22"/>
        <v>61-90 Days</v>
      </c>
      <c r="L479" s="58" t="str">
        <f t="shared" si="23"/>
        <v>Substandard</v>
      </c>
    </row>
    <row r="480" spans="1:12" ht="16.5" customHeight="1" x14ac:dyDescent="0.35">
      <c r="A480" t="s">
        <v>4104</v>
      </c>
      <c r="B480" t="s">
        <v>4104</v>
      </c>
      <c r="C480">
        <v>0</v>
      </c>
      <c r="D480">
        <v>828</v>
      </c>
      <c r="E480" t="s">
        <v>4151</v>
      </c>
      <c r="F480" t="s">
        <v>4152</v>
      </c>
      <c r="G480" t="s">
        <v>57</v>
      </c>
      <c r="H480" t="s">
        <v>3532</v>
      </c>
      <c r="I480" t="s">
        <v>3490</v>
      </c>
      <c r="J480" s="56">
        <f t="shared" si="21"/>
        <v>75</v>
      </c>
      <c r="K480" s="74" t="str">
        <f t="shared" si="22"/>
        <v>61-90 Days</v>
      </c>
      <c r="L480" s="58" t="str">
        <f t="shared" si="23"/>
        <v>Not Applicable</v>
      </c>
    </row>
    <row r="481" spans="1:12" ht="16.5" customHeight="1" x14ac:dyDescent="0.35">
      <c r="A481" t="s">
        <v>4104</v>
      </c>
      <c r="B481" t="s">
        <v>4104</v>
      </c>
      <c r="C481">
        <v>50</v>
      </c>
      <c r="D481">
        <v>0</v>
      </c>
      <c r="E481" t="s">
        <v>4153</v>
      </c>
      <c r="F481" t="s">
        <v>4153</v>
      </c>
      <c r="G481" t="s">
        <v>57</v>
      </c>
      <c r="H481" t="s">
        <v>3805</v>
      </c>
      <c r="I481" t="s">
        <v>3507</v>
      </c>
      <c r="J481" s="56">
        <f t="shared" si="21"/>
        <v>75</v>
      </c>
      <c r="K481" s="74" t="str">
        <f t="shared" si="22"/>
        <v>61-90 Days</v>
      </c>
      <c r="L481" s="58" t="str">
        <f t="shared" si="23"/>
        <v>Substandard</v>
      </c>
    </row>
    <row r="482" spans="1:12" ht="16.5" customHeight="1" x14ac:dyDescent="0.35">
      <c r="A482" t="s">
        <v>4104</v>
      </c>
      <c r="B482" t="s">
        <v>4104</v>
      </c>
      <c r="C482">
        <v>0</v>
      </c>
      <c r="D482">
        <v>1000</v>
      </c>
      <c r="E482" t="s">
        <v>4154</v>
      </c>
      <c r="F482" t="s">
        <v>4155</v>
      </c>
      <c r="G482" t="s">
        <v>57</v>
      </c>
      <c r="H482" t="s">
        <v>3489</v>
      </c>
      <c r="I482" t="s">
        <v>3490</v>
      </c>
      <c r="J482" s="56">
        <f t="shared" si="21"/>
        <v>75</v>
      </c>
      <c r="K482" s="74" t="str">
        <f t="shared" si="22"/>
        <v>61-90 Days</v>
      </c>
      <c r="L482" s="58" t="str">
        <f t="shared" si="23"/>
        <v>Not Applicable</v>
      </c>
    </row>
    <row r="483" spans="1:12" ht="16.5" customHeight="1" x14ac:dyDescent="0.35">
      <c r="A483" t="s">
        <v>4104</v>
      </c>
      <c r="B483" t="s">
        <v>4104</v>
      </c>
      <c r="C483">
        <v>100</v>
      </c>
      <c r="D483">
        <v>0</v>
      </c>
      <c r="E483" t="s">
        <v>4156</v>
      </c>
      <c r="F483" t="s">
        <v>4156</v>
      </c>
      <c r="G483" t="s">
        <v>57</v>
      </c>
      <c r="H483" t="s">
        <v>3476</v>
      </c>
      <c r="I483" t="s">
        <v>3507</v>
      </c>
      <c r="J483" s="56">
        <f t="shared" si="21"/>
        <v>75</v>
      </c>
      <c r="K483" s="74" t="str">
        <f t="shared" si="22"/>
        <v>61-90 Days</v>
      </c>
      <c r="L483" s="58" t="str">
        <f t="shared" si="23"/>
        <v>Substandard</v>
      </c>
    </row>
    <row r="484" spans="1:12" ht="16.5" customHeight="1" x14ac:dyDescent="0.35">
      <c r="A484" t="s">
        <v>4104</v>
      </c>
      <c r="B484" t="s">
        <v>4104</v>
      </c>
      <c r="C484">
        <v>0</v>
      </c>
      <c r="D484">
        <v>828</v>
      </c>
      <c r="E484" t="s">
        <v>4157</v>
      </c>
      <c r="F484" t="s">
        <v>4158</v>
      </c>
      <c r="G484" t="s">
        <v>57</v>
      </c>
      <c r="H484" t="s">
        <v>3532</v>
      </c>
      <c r="I484" t="s">
        <v>3490</v>
      </c>
      <c r="J484" s="56">
        <f t="shared" si="21"/>
        <v>75</v>
      </c>
      <c r="K484" s="74" t="str">
        <f t="shared" si="22"/>
        <v>61-90 Days</v>
      </c>
      <c r="L484" s="58" t="str">
        <f t="shared" si="23"/>
        <v>Not Applicable</v>
      </c>
    </row>
    <row r="485" spans="1:12" ht="16.5" customHeight="1" x14ac:dyDescent="0.35">
      <c r="A485" t="s">
        <v>4104</v>
      </c>
      <c r="B485" t="s">
        <v>4104</v>
      </c>
      <c r="C485">
        <v>0</v>
      </c>
      <c r="D485">
        <v>828</v>
      </c>
      <c r="E485" t="s">
        <v>4159</v>
      </c>
      <c r="F485" t="s">
        <v>4160</v>
      </c>
      <c r="G485" t="s">
        <v>57</v>
      </c>
      <c r="H485" t="s">
        <v>3532</v>
      </c>
      <c r="I485" t="s">
        <v>3490</v>
      </c>
      <c r="J485" s="56">
        <f t="shared" si="21"/>
        <v>75</v>
      </c>
      <c r="K485" s="74" t="str">
        <f t="shared" si="22"/>
        <v>61-90 Days</v>
      </c>
      <c r="L485" s="58" t="str">
        <f t="shared" si="23"/>
        <v>Not Applicable</v>
      </c>
    </row>
    <row r="486" spans="1:12" ht="16.5" customHeight="1" x14ac:dyDescent="0.35">
      <c r="A486" t="s">
        <v>4104</v>
      </c>
      <c r="B486" t="s">
        <v>4104</v>
      </c>
      <c r="C486">
        <v>0</v>
      </c>
      <c r="D486">
        <v>600</v>
      </c>
      <c r="E486" t="s">
        <v>4161</v>
      </c>
      <c r="F486" t="s">
        <v>4161</v>
      </c>
      <c r="G486" t="s">
        <v>57</v>
      </c>
      <c r="H486" t="s">
        <v>3489</v>
      </c>
      <c r="I486" t="s">
        <v>3490</v>
      </c>
      <c r="J486" s="56">
        <f t="shared" si="21"/>
        <v>75</v>
      </c>
      <c r="K486" s="74" t="str">
        <f t="shared" si="22"/>
        <v>61-90 Days</v>
      </c>
      <c r="L486" s="58" t="str">
        <f t="shared" si="23"/>
        <v>Not Applicable</v>
      </c>
    </row>
    <row r="487" spans="1:12" ht="16.5" customHeight="1" x14ac:dyDescent="0.35">
      <c r="A487" t="s">
        <v>4104</v>
      </c>
      <c r="B487" t="s">
        <v>4104</v>
      </c>
      <c r="C487">
        <v>0</v>
      </c>
      <c r="D487">
        <v>2100</v>
      </c>
      <c r="E487" t="s">
        <v>4162</v>
      </c>
      <c r="F487" t="s">
        <v>3499</v>
      </c>
      <c r="G487" t="s">
        <v>57</v>
      </c>
      <c r="H487" t="s">
        <v>3489</v>
      </c>
      <c r="I487" t="s">
        <v>3490</v>
      </c>
      <c r="J487" s="56">
        <f t="shared" si="21"/>
        <v>75</v>
      </c>
      <c r="K487" s="74" t="str">
        <f t="shared" si="22"/>
        <v>61-90 Days</v>
      </c>
      <c r="L487" s="58" t="str">
        <f t="shared" si="23"/>
        <v>Not Applicable</v>
      </c>
    </row>
    <row r="488" spans="1:12" ht="16.5" customHeight="1" x14ac:dyDescent="0.35">
      <c r="A488" t="s">
        <v>4104</v>
      </c>
      <c r="B488" t="s">
        <v>4104</v>
      </c>
      <c r="C488">
        <v>0</v>
      </c>
      <c r="D488">
        <v>2050</v>
      </c>
      <c r="E488" t="s">
        <v>4163</v>
      </c>
      <c r="F488" t="s">
        <v>4163</v>
      </c>
      <c r="G488" t="s">
        <v>57</v>
      </c>
      <c r="H488" t="s">
        <v>3489</v>
      </c>
      <c r="I488" t="s">
        <v>3490</v>
      </c>
      <c r="J488" s="56">
        <f t="shared" si="21"/>
        <v>75</v>
      </c>
      <c r="K488" s="74" t="str">
        <f t="shared" si="22"/>
        <v>61-90 Days</v>
      </c>
      <c r="L488" s="58" t="str">
        <f t="shared" si="23"/>
        <v>Not Applicable</v>
      </c>
    </row>
    <row r="489" spans="1:12" ht="16.5" customHeight="1" x14ac:dyDescent="0.35">
      <c r="A489" t="s">
        <v>4104</v>
      </c>
      <c r="B489" t="s">
        <v>4104</v>
      </c>
      <c r="C489">
        <v>508</v>
      </c>
      <c r="D489">
        <v>0</v>
      </c>
      <c r="E489" t="s">
        <v>4164</v>
      </c>
      <c r="F489" t="s">
        <v>4164</v>
      </c>
      <c r="G489" t="s">
        <v>57</v>
      </c>
      <c r="H489" t="s">
        <v>3476</v>
      </c>
      <c r="I489" t="s">
        <v>3507</v>
      </c>
      <c r="J489" s="56">
        <f t="shared" si="21"/>
        <v>75</v>
      </c>
      <c r="K489" s="74" t="str">
        <f t="shared" si="22"/>
        <v>61-90 Days</v>
      </c>
      <c r="L489" s="58" t="str">
        <f t="shared" si="23"/>
        <v>Substandard</v>
      </c>
    </row>
    <row r="490" spans="1:12" ht="16.5" customHeight="1" x14ac:dyDescent="0.35">
      <c r="A490" t="s">
        <v>4104</v>
      </c>
      <c r="B490" t="s">
        <v>4104</v>
      </c>
      <c r="C490">
        <v>0</v>
      </c>
      <c r="D490">
        <v>1000</v>
      </c>
      <c r="E490" t="s">
        <v>4165</v>
      </c>
      <c r="F490" t="s">
        <v>4166</v>
      </c>
      <c r="G490" t="s">
        <v>57</v>
      </c>
      <c r="H490" t="s">
        <v>3489</v>
      </c>
      <c r="I490" t="s">
        <v>3490</v>
      </c>
      <c r="J490" s="56">
        <f t="shared" si="21"/>
        <v>75</v>
      </c>
      <c r="K490" s="74" t="str">
        <f t="shared" si="22"/>
        <v>61-90 Days</v>
      </c>
      <c r="L490" s="58" t="str">
        <f t="shared" si="23"/>
        <v>Not Applicable</v>
      </c>
    </row>
    <row r="491" spans="1:12" ht="16.5" customHeight="1" x14ac:dyDescent="0.35">
      <c r="A491" t="s">
        <v>4104</v>
      </c>
      <c r="B491" t="s">
        <v>4104</v>
      </c>
      <c r="C491">
        <v>0</v>
      </c>
      <c r="D491">
        <v>250</v>
      </c>
      <c r="E491" t="s">
        <v>4167</v>
      </c>
      <c r="F491" t="s">
        <v>4167</v>
      </c>
      <c r="G491" t="s">
        <v>57</v>
      </c>
      <c r="H491" t="s">
        <v>3489</v>
      </c>
      <c r="I491" t="s">
        <v>3490</v>
      </c>
      <c r="J491" s="56">
        <f t="shared" si="21"/>
        <v>75</v>
      </c>
      <c r="K491" s="74" t="str">
        <f t="shared" si="22"/>
        <v>61-90 Days</v>
      </c>
      <c r="L491" s="58" t="str">
        <f t="shared" si="23"/>
        <v>Not Applicable</v>
      </c>
    </row>
    <row r="492" spans="1:12" ht="16.5" customHeight="1" x14ac:dyDescent="0.35">
      <c r="A492" t="s">
        <v>4104</v>
      </c>
      <c r="B492" t="s">
        <v>4104</v>
      </c>
      <c r="C492">
        <v>11532.78</v>
      </c>
      <c r="D492">
        <v>0</v>
      </c>
      <c r="E492" t="s">
        <v>4168</v>
      </c>
      <c r="F492" t="s">
        <v>4168</v>
      </c>
      <c r="G492" t="s">
        <v>57</v>
      </c>
      <c r="H492" t="s">
        <v>3476</v>
      </c>
      <c r="I492" t="s">
        <v>3507</v>
      </c>
      <c r="J492" s="56">
        <f t="shared" si="21"/>
        <v>75</v>
      </c>
      <c r="K492" s="74" t="str">
        <f t="shared" si="22"/>
        <v>61-90 Days</v>
      </c>
      <c r="L492" s="58" t="str">
        <f t="shared" si="23"/>
        <v>Substandard</v>
      </c>
    </row>
    <row r="493" spans="1:12" ht="16.5" customHeight="1" x14ac:dyDescent="0.35">
      <c r="A493" t="s">
        <v>4104</v>
      </c>
      <c r="B493" t="s">
        <v>4104</v>
      </c>
      <c r="C493">
        <v>0</v>
      </c>
      <c r="D493">
        <v>652</v>
      </c>
      <c r="E493" t="s">
        <v>4169</v>
      </c>
      <c r="F493" t="s">
        <v>4170</v>
      </c>
      <c r="G493" t="s">
        <v>57</v>
      </c>
      <c r="H493" t="s">
        <v>3532</v>
      </c>
      <c r="I493" t="s">
        <v>3490</v>
      </c>
      <c r="J493" s="56">
        <f t="shared" si="21"/>
        <v>75</v>
      </c>
      <c r="K493" s="74" t="str">
        <f t="shared" si="22"/>
        <v>61-90 Days</v>
      </c>
      <c r="L493" s="58" t="str">
        <f t="shared" si="23"/>
        <v>Not Applicable</v>
      </c>
    </row>
    <row r="494" spans="1:12" ht="16.5" customHeight="1" x14ac:dyDescent="0.35">
      <c r="A494" t="s">
        <v>4104</v>
      </c>
      <c r="B494" t="s">
        <v>4104</v>
      </c>
      <c r="C494">
        <v>0</v>
      </c>
      <c r="D494">
        <v>1695</v>
      </c>
      <c r="E494" t="s">
        <v>4171</v>
      </c>
      <c r="F494" t="s">
        <v>4171</v>
      </c>
      <c r="G494" t="s">
        <v>57</v>
      </c>
      <c r="H494" t="s">
        <v>3489</v>
      </c>
      <c r="I494" t="s">
        <v>3490</v>
      </c>
      <c r="J494" s="56">
        <f t="shared" si="21"/>
        <v>75</v>
      </c>
      <c r="K494" s="74" t="str">
        <f t="shared" si="22"/>
        <v>61-90 Days</v>
      </c>
      <c r="L494" s="58" t="str">
        <f t="shared" si="23"/>
        <v>Not Applicable</v>
      </c>
    </row>
    <row r="495" spans="1:12" ht="16.5" customHeight="1" x14ac:dyDescent="0.35">
      <c r="A495" t="s">
        <v>4104</v>
      </c>
      <c r="B495" t="s">
        <v>4104</v>
      </c>
      <c r="C495">
        <v>608</v>
      </c>
      <c r="D495">
        <v>0</v>
      </c>
      <c r="E495" t="s">
        <v>4172</v>
      </c>
      <c r="F495" t="s">
        <v>4172</v>
      </c>
      <c r="G495" t="s">
        <v>57</v>
      </c>
      <c r="H495" t="s">
        <v>3476</v>
      </c>
      <c r="I495" t="s">
        <v>3507</v>
      </c>
      <c r="J495" s="56">
        <f t="shared" si="21"/>
        <v>75</v>
      </c>
      <c r="K495" s="74" t="str">
        <f t="shared" si="22"/>
        <v>61-90 Days</v>
      </c>
      <c r="L495" s="58" t="str">
        <f t="shared" si="23"/>
        <v>Substandard</v>
      </c>
    </row>
    <row r="496" spans="1:12" ht="16.5" customHeight="1" x14ac:dyDescent="0.35">
      <c r="A496" t="s">
        <v>4104</v>
      </c>
      <c r="B496" t="s">
        <v>4104</v>
      </c>
      <c r="C496">
        <v>0</v>
      </c>
      <c r="D496">
        <v>100</v>
      </c>
      <c r="E496" t="s">
        <v>4173</v>
      </c>
      <c r="F496" t="s">
        <v>4173</v>
      </c>
      <c r="G496" t="s">
        <v>57</v>
      </c>
      <c r="H496" t="s">
        <v>3489</v>
      </c>
      <c r="I496" t="s">
        <v>3490</v>
      </c>
      <c r="J496" s="56">
        <f t="shared" si="21"/>
        <v>75</v>
      </c>
      <c r="K496" s="74" t="str">
        <f t="shared" si="22"/>
        <v>61-90 Days</v>
      </c>
      <c r="L496" s="58" t="str">
        <f t="shared" si="23"/>
        <v>Not Applicable</v>
      </c>
    </row>
    <row r="497" spans="1:12" ht="16.5" customHeight="1" x14ac:dyDescent="0.35">
      <c r="A497" t="s">
        <v>4104</v>
      </c>
      <c r="B497" t="s">
        <v>4104</v>
      </c>
      <c r="C497">
        <v>50</v>
      </c>
      <c r="D497">
        <v>0</v>
      </c>
      <c r="E497" t="s">
        <v>4174</v>
      </c>
      <c r="F497" t="s">
        <v>4174</v>
      </c>
      <c r="G497" t="s">
        <v>57</v>
      </c>
      <c r="H497" t="s">
        <v>3805</v>
      </c>
      <c r="I497" t="s">
        <v>3507</v>
      </c>
      <c r="J497" s="56">
        <f t="shared" si="21"/>
        <v>75</v>
      </c>
      <c r="K497" s="74" t="str">
        <f t="shared" si="22"/>
        <v>61-90 Days</v>
      </c>
      <c r="L497" s="58" t="str">
        <f t="shared" si="23"/>
        <v>Substandard</v>
      </c>
    </row>
    <row r="498" spans="1:12" ht="16.5" customHeight="1" x14ac:dyDescent="0.35">
      <c r="A498" t="s">
        <v>4104</v>
      </c>
      <c r="B498" t="s">
        <v>4104</v>
      </c>
      <c r="C498">
        <v>0</v>
      </c>
      <c r="D498">
        <v>3050</v>
      </c>
      <c r="E498" t="s">
        <v>4175</v>
      </c>
      <c r="F498" t="s">
        <v>4175</v>
      </c>
      <c r="G498" t="s">
        <v>57</v>
      </c>
      <c r="H498" t="s">
        <v>3532</v>
      </c>
      <c r="I498" t="s">
        <v>3490</v>
      </c>
      <c r="J498" s="56">
        <f t="shared" si="21"/>
        <v>75</v>
      </c>
      <c r="K498" s="74" t="str">
        <f t="shared" si="22"/>
        <v>61-90 Days</v>
      </c>
      <c r="L498" s="58" t="str">
        <f t="shared" si="23"/>
        <v>Not Applicable</v>
      </c>
    </row>
    <row r="499" spans="1:12" ht="16.5" customHeight="1" x14ac:dyDescent="0.35">
      <c r="A499" t="s">
        <v>4104</v>
      </c>
      <c r="B499" t="s">
        <v>4104</v>
      </c>
      <c r="C499">
        <v>0</v>
      </c>
      <c r="D499">
        <v>2050</v>
      </c>
      <c r="E499" t="s">
        <v>4176</v>
      </c>
      <c r="F499" t="s">
        <v>3499</v>
      </c>
      <c r="G499" t="s">
        <v>57</v>
      </c>
      <c r="H499" t="s">
        <v>3489</v>
      </c>
      <c r="I499" t="s">
        <v>3490</v>
      </c>
      <c r="J499" s="56">
        <f t="shared" si="21"/>
        <v>75</v>
      </c>
      <c r="K499" s="74" t="str">
        <f t="shared" si="22"/>
        <v>61-90 Days</v>
      </c>
      <c r="L499" s="58" t="str">
        <f t="shared" si="23"/>
        <v>Not Applicable</v>
      </c>
    </row>
    <row r="500" spans="1:12" ht="16.5" customHeight="1" x14ac:dyDescent="0.35">
      <c r="A500" t="s">
        <v>4104</v>
      </c>
      <c r="B500" t="s">
        <v>4104</v>
      </c>
      <c r="C500">
        <v>0</v>
      </c>
      <c r="D500">
        <v>280</v>
      </c>
      <c r="E500" t="s">
        <v>4177</v>
      </c>
      <c r="F500" t="s">
        <v>4178</v>
      </c>
      <c r="G500" t="s">
        <v>57</v>
      </c>
      <c r="H500" t="s">
        <v>3532</v>
      </c>
      <c r="I500" t="s">
        <v>3490</v>
      </c>
      <c r="J500" s="56">
        <f t="shared" si="21"/>
        <v>75</v>
      </c>
      <c r="K500" s="74" t="str">
        <f t="shared" si="22"/>
        <v>61-90 Days</v>
      </c>
      <c r="L500" s="58" t="str">
        <f t="shared" si="23"/>
        <v>Not Applicable</v>
      </c>
    </row>
    <row r="501" spans="1:12" ht="16.5" customHeight="1" x14ac:dyDescent="0.35">
      <c r="A501" t="s">
        <v>4104</v>
      </c>
      <c r="B501" t="s">
        <v>4104</v>
      </c>
      <c r="C501">
        <v>0</v>
      </c>
      <c r="D501">
        <v>150</v>
      </c>
      <c r="E501" t="s">
        <v>4179</v>
      </c>
      <c r="F501" t="s">
        <v>4179</v>
      </c>
      <c r="G501" t="s">
        <v>57</v>
      </c>
      <c r="H501" t="s">
        <v>3489</v>
      </c>
      <c r="I501" t="s">
        <v>3490</v>
      </c>
      <c r="J501" s="56">
        <f t="shared" si="21"/>
        <v>75</v>
      </c>
      <c r="K501" s="74" t="str">
        <f t="shared" si="22"/>
        <v>61-90 Days</v>
      </c>
      <c r="L501" s="58" t="str">
        <f t="shared" si="23"/>
        <v>Not Applicable</v>
      </c>
    </row>
    <row r="502" spans="1:12" ht="16.5" customHeight="1" x14ac:dyDescent="0.35">
      <c r="A502" t="s">
        <v>4104</v>
      </c>
      <c r="B502" t="s">
        <v>4104</v>
      </c>
      <c r="C502">
        <v>0</v>
      </c>
      <c r="D502">
        <v>1000</v>
      </c>
      <c r="E502" t="s">
        <v>4180</v>
      </c>
      <c r="F502" t="s">
        <v>4181</v>
      </c>
      <c r="G502" t="s">
        <v>57</v>
      </c>
      <c r="H502" t="s">
        <v>3489</v>
      </c>
      <c r="I502" t="s">
        <v>3490</v>
      </c>
      <c r="J502" s="56">
        <f t="shared" si="21"/>
        <v>75</v>
      </c>
      <c r="K502" s="74" t="str">
        <f t="shared" si="22"/>
        <v>61-90 Days</v>
      </c>
      <c r="L502" s="58" t="str">
        <f t="shared" si="23"/>
        <v>Not Applicable</v>
      </c>
    </row>
    <row r="503" spans="1:12" ht="16.5" customHeight="1" x14ac:dyDescent="0.35">
      <c r="A503" t="s">
        <v>304</v>
      </c>
      <c r="B503" t="s">
        <v>304</v>
      </c>
      <c r="C503">
        <v>0</v>
      </c>
      <c r="D503">
        <v>2727</v>
      </c>
      <c r="E503" t="s">
        <v>4182</v>
      </c>
      <c r="F503" t="s">
        <v>4182</v>
      </c>
      <c r="G503" t="s">
        <v>57</v>
      </c>
      <c r="H503" t="s">
        <v>3489</v>
      </c>
      <c r="I503" t="s">
        <v>3490</v>
      </c>
      <c r="J503" s="56">
        <f t="shared" si="21"/>
        <v>74</v>
      </c>
      <c r="K503" s="74" t="str">
        <f t="shared" si="22"/>
        <v>61-90 Days</v>
      </c>
      <c r="L503" s="58" t="str">
        <f t="shared" si="23"/>
        <v>Not Applicable</v>
      </c>
    </row>
    <row r="504" spans="1:12" ht="16.5" customHeight="1" x14ac:dyDescent="0.35">
      <c r="A504" t="s">
        <v>304</v>
      </c>
      <c r="B504" t="s">
        <v>304</v>
      </c>
      <c r="C504">
        <v>0</v>
      </c>
      <c r="D504">
        <v>1000</v>
      </c>
      <c r="E504" t="s">
        <v>4183</v>
      </c>
      <c r="F504" t="s">
        <v>4184</v>
      </c>
      <c r="G504" t="s">
        <v>57</v>
      </c>
      <c r="H504" t="s">
        <v>3489</v>
      </c>
      <c r="I504" t="s">
        <v>3490</v>
      </c>
      <c r="J504" s="56">
        <f t="shared" si="21"/>
        <v>74</v>
      </c>
      <c r="K504" s="74" t="str">
        <f t="shared" si="22"/>
        <v>61-90 Days</v>
      </c>
      <c r="L504" s="58" t="str">
        <f t="shared" si="23"/>
        <v>Not Applicable</v>
      </c>
    </row>
    <row r="505" spans="1:12" ht="16.5" customHeight="1" x14ac:dyDescent="0.35">
      <c r="A505" t="s">
        <v>304</v>
      </c>
      <c r="B505" t="s">
        <v>304</v>
      </c>
      <c r="C505">
        <v>100</v>
      </c>
      <c r="D505">
        <v>0</v>
      </c>
      <c r="E505" t="s">
        <v>4185</v>
      </c>
      <c r="F505" t="s">
        <v>4185</v>
      </c>
      <c r="G505" t="s">
        <v>57</v>
      </c>
      <c r="H505" t="s">
        <v>3455</v>
      </c>
      <c r="I505" t="s">
        <v>3507</v>
      </c>
      <c r="J505" s="56">
        <f t="shared" si="21"/>
        <v>74</v>
      </c>
      <c r="K505" s="74" t="str">
        <f t="shared" si="22"/>
        <v>61-90 Days</v>
      </c>
      <c r="L505" s="58" t="str">
        <f t="shared" si="23"/>
        <v>Substandard</v>
      </c>
    </row>
    <row r="506" spans="1:12" ht="16.5" customHeight="1" x14ac:dyDescent="0.35">
      <c r="A506" t="s">
        <v>304</v>
      </c>
      <c r="B506" t="s">
        <v>304</v>
      </c>
      <c r="C506">
        <v>0</v>
      </c>
      <c r="D506">
        <v>250</v>
      </c>
      <c r="E506" t="s">
        <v>4186</v>
      </c>
      <c r="F506" t="s">
        <v>4187</v>
      </c>
      <c r="G506" t="s">
        <v>57</v>
      </c>
      <c r="H506" t="s">
        <v>3532</v>
      </c>
      <c r="I506" t="s">
        <v>3490</v>
      </c>
      <c r="J506" s="56">
        <f t="shared" si="21"/>
        <v>74</v>
      </c>
      <c r="K506" s="74" t="str">
        <f t="shared" si="22"/>
        <v>61-90 Days</v>
      </c>
      <c r="L506" s="58" t="str">
        <f t="shared" si="23"/>
        <v>Not Applicable</v>
      </c>
    </row>
    <row r="507" spans="1:12" ht="16.5" customHeight="1" x14ac:dyDescent="0.35">
      <c r="A507" t="s">
        <v>304</v>
      </c>
      <c r="B507" t="s">
        <v>304</v>
      </c>
      <c r="C507">
        <v>141.6</v>
      </c>
      <c r="D507">
        <v>0</v>
      </c>
      <c r="E507" t="s">
        <v>4188</v>
      </c>
      <c r="F507" t="s">
        <v>4188</v>
      </c>
      <c r="G507" t="s">
        <v>57</v>
      </c>
      <c r="H507" t="s">
        <v>3476</v>
      </c>
      <c r="I507" t="s">
        <v>3507</v>
      </c>
      <c r="J507" s="56">
        <f t="shared" si="21"/>
        <v>74</v>
      </c>
      <c r="K507" s="74" t="str">
        <f t="shared" si="22"/>
        <v>61-90 Days</v>
      </c>
      <c r="L507" s="58" t="str">
        <f t="shared" si="23"/>
        <v>Substandard</v>
      </c>
    </row>
    <row r="508" spans="1:12" ht="16.5" customHeight="1" x14ac:dyDescent="0.35">
      <c r="A508" t="s">
        <v>304</v>
      </c>
      <c r="B508" t="s">
        <v>304</v>
      </c>
      <c r="C508">
        <v>0</v>
      </c>
      <c r="D508">
        <v>2150</v>
      </c>
      <c r="E508" t="s">
        <v>4189</v>
      </c>
      <c r="F508" t="s">
        <v>4189</v>
      </c>
      <c r="G508" t="s">
        <v>57</v>
      </c>
      <c r="H508" t="s">
        <v>3489</v>
      </c>
      <c r="I508" t="s">
        <v>3490</v>
      </c>
      <c r="J508" s="56">
        <f t="shared" si="21"/>
        <v>74</v>
      </c>
      <c r="K508" s="74" t="str">
        <f t="shared" si="22"/>
        <v>61-90 Days</v>
      </c>
      <c r="L508" s="58" t="str">
        <f t="shared" si="23"/>
        <v>Not Applicable</v>
      </c>
    </row>
    <row r="509" spans="1:12" ht="16.5" customHeight="1" x14ac:dyDescent="0.35">
      <c r="A509" t="s">
        <v>304</v>
      </c>
      <c r="B509" t="s">
        <v>304</v>
      </c>
      <c r="C509">
        <v>3300000</v>
      </c>
      <c r="D509">
        <v>0</v>
      </c>
      <c r="E509" t="s">
        <v>4190</v>
      </c>
      <c r="F509" t="s">
        <v>4190</v>
      </c>
      <c r="G509" t="s">
        <v>57</v>
      </c>
      <c r="H509" t="s">
        <v>3458</v>
      </c>
      <c r="I509" t="s">
        <v>3507</v>
      </c>
      <c r="J509" s="56">
        <f t="shared" si="21"/>
        <v>74</v>
      </c>
      <c r="K509" s="74" t="str">
        <f t="shared" si="22"/>
        <v>61-90 Days</v>
      </c>
      <c r="L509" s="58" t="str">
        <f t="shared" si="23"/>
        <v>Substandard</v>
      </c>
    </row>
    <row r="510" spans="1:12" ht="16.5" customHeight="1" x14ac:dyDescent="0.35">
      <c r="A510" t="s">
        <v>304</v>
      </c>
      <c r="B510" t="s">
        <v>304</v>
      </c>
      <c r="C510">
        <v>0</v>
      </c>
      <c r="D510">
        <v>50</v>
      </c>
      <c r="E510" t="s">
        <v>4191</v>
      </c>
      <c r="F510" t="s">
        <v>4192</v>
      </c>
      <c r="G510" t="s">
        <v>57</v>
      </c>
      <c r="H510" t="s">
        <v>3532</v>
      </c>
      <c r="I510" t="s">
        <v>3490</v>
      </c>
      <c r="J510" s="56">
        <f t="shared" si="21"/>
        <v>74</v>
      </c>
      <c r="K510" s="74" t="str">
        <f t="shared" si="22"/>
        <v>61-90 Days</v>
      </c>
      <c r="L510" s="58" t="str">
        <f t="shared" si="23"/>
        <v>Not Applicable</v>
      </c>
    </row>
    <row r="511" spans="1:12" ht="16.5" customHeight="1" x14ac:dyDescent="0.35">
      <c r="A511" t="s">
        <v>304</v>
      </c>
      <c r="B511" t="s">
        <v>304</v>
      </c>
      <c r="C511">
        <v>2050</v>
      </c>
      <c r="D511">
        <v>0</v>
      </c>
      <c r="E511" t="s">
        <v>4193</v>
      </c>
      <c r="F511" t="s">
        <v>4193</v>
      </c>
      <c r="G511" t="s">
        <v>57</v>
      </c>
      <c r="H511" t="s">
        <v>3466</v>
      </c>
      <c r="I511" t="s">
        <v>3507</v>
      </c>
      <c r="J511" s="56">
        <f t="shared" si="21"/>
        <v>74</v>
      </c>
      <c r="K511" s="74" t="str">
        <f t="shared" si="22"/>
        <v>61-90 Days</v>
      </c>
      <c r="L511" s="58" t="str">
        <f t="shared" si="23"/>
        <v>Substandard</v>
      </c>
    </row>
    <row r="512" spans="1:12" ht="16.5" customHeight="1" x14ac:dyDescent="0.35">
      <c r="A512" t="s">
        <v>304</v>
      </c>
      <c r="B512" t="s">
        <v>304</v>
      </c>
      <c r="C512">
        <v>0</v>
      </c>
      <c r="D512">
        <v>390</v>
      </c>
      <c r="E512" t="s">
        <v>4194</v>
      </c>
      <c r="F512" t="s">
        <v>4194</v>
      </c>
      <c r="G512" t="s">
        <v>57</v>
      </c>
      <c r="H512" t="s">
        <v>3489</v>
      </c>
      <c r="I512" t="s">
        <v>3490</v>
      </c>
      <c r="J512" s="56">
        <f t="shared" si="21"/>
        <v>74</v>
      </c>
      <c r="K512" s="74" t="str">
        <f t="shared" si="22"/>
        <v>61-90 Days</v>
      </c>
      <c r="L512" s="58" t="str">
        <f t="shared" si="23"/>
        <v>Not Applicable</v>
      </c>
    </row>
    <row r="513" spans="1:12" ht="16.5" customHeight="1" x14ac:dyDescent="0.35">
      <c r="A513" t="s">
        <v>304</v>
      </c>
      <c r="B513" t="s">
        <v>304</v>
      </c>
      <c r="C513">
        <v>1000</v>
      </c>
      <c r="D513">
        <v>0</v>
      </c>
      <c r="E513" t="s">
        <v>4195</v>
      </c>
      <c r="F513" t="s">
        <v>4195</v>
      </c>
      <c r="G513" t="s">
        <v>57</v>
      </c>
      <c r="H513" t="s">
        <v>4196</v>
      </c>
      <c r="I513" t="s">
        <v>3507</v>
      </c>
      <c r="J513" s="56">
        <f t="shared" si="21"/>
        <v>74</v>
      </c>
      <c r="K513" s="74" t="str">
        <f t="shared" si="22"/>
        <v>61-90 Days</v>
      </c>
      <c r="L513" s="58" t="str">
        <f t="shared" si="23"/>
        <v>Substandard</v>
      </c>
    </row>
    <row r="514" spans="1:12" ht="16.5" customHeight="1" x14ac:dyDescent="0.35">
      <c r="A514" t="s">
        <v>304</v>
      </c>
      <c r="B514" t="s">
        <v>304</v>
      </c>
      <c r="C514">
        <v>0</v>
      </c>
      <c r="D514">
        <v>1000</v>
      </c>
      <c r="E514" t="s">
        <v>4197</v>
      </c>
      <c r="F514" t="s">
        <v>4198</v>
      </c>
      <c r="G514" t="s">
        <v>57</v>
      </c>
      <c r="H514" t="s">
        <v>3489</v>
      </c>
      <c r="I514" t="s">
        <v>3490</v>
      </c>
      <c r="J514" s="56">
        <f t="shared" si="21"/>
        <v>74</v>
      </c>
      <c r="K514" s="74" t="str">
        <f t="shared" si="22"/>
        <v>61-90 Days</v>
      </c>
      <c r="L514" s="58" t="str">
        <f t="shared" si="23"/>
        <v>Not Applicable</v>
      </c>
    </row>
    <row r="515" spans="1:12" ht="16.5" customHeight="1" x14ac:dyDescent="0.35">
      <c r="A515" t="s">
        <v>304</v>
      </c>
      <c r="B515" t="s">
        <v>304</v>
      </c>
      <c r="C515">
        <v>0</v>
      </c>
      <c r="D515">
        <v>2050</v>
      </c>
      <c r="E515" t="s">
        <v>4199</v>
      </c>
      <c r="F515" t="s">
        <v>3499</v>
      </c>
      <c r="G515" t="s">
        <v>57</v>
      </c>
      <c r="H515" t="s">
        <v>3489</v>
      </c>
      <c r="I515" t="s">
        <v>3490</v>
      </c>
      <c r="J515" s="56">
        <f t="shared" si="21"/>
        <v>74</v>
      </c>
      <c r="K515" s="74" t="str">
        <f t="shared" si="22"/>
        <v>61-90 Days</v>
      </c>
      <c r="L515" s="58" t="str">
        <f t="shared" si="23"/>
        <v>Not Applicable</v>
      </c>
    </row>
    <row r="516" spans="1:12" ht="16.5" customHeight="1" x14ac:dyDescent="0.35">
      <c r="A516" t="s">
        <v>304</v>
      </c>
      <c r="B516" t="s">
        <v>304</v>
      </c>
      <c r="C516">
        <v>2000000</v>
      </c>
      <c r="D516">
        <v>0</v>
      </c>
      <c r="E516" t="s">
        <v>4200</v>
      </c>
      <c r="F516" t="s">
        <v>4200</v>
      </c>
      <c r="G516" t="s">
        <v>57</v>
      </c>
      <c r="H516" t="s">
        <v>4196</v>
      </c>
      <c r="I516" t="s">
        <v>3507</v>
      </c>
      <c r="J516" s="56">
        <f t="shared" si="21"/>
        <v>74</v>
      </c>
      <c r="K516" s="74" t="str">
        <f t="shared" si="22"/>
        <v>61-90 Days</v>
      </c>
      <c r="L516" s="58" t="str">
        <f t="shared" si="23"/>
        <v>Substandard</v>
      </c>
    </row>
    <row r="517" spans="1:12" ht="16.5" customHeight="1" x14ac:dyDescent="0.35">
      <c r="A517" t="s">
        <v>304</v>
      </c>
      <c r="B517" t="s">
        <v>304</v>
      </c>
      <c r="C517">
        <v>0</v>
      </c>
      <c r="D517">
        <v>3790.5</v>
      </c>
      <c r="E517" t="s">
        <v>4201</v>
      </c>
      <c r="F517" t="s">
        <v>4202</v>
      </c>
      <c r="G517" t="s">
        <v>57</v>
      </c>
      <c r="H517" t="s">
        <v>3532</v>
      </c>
      <c r="I517" t="s">
        <v>3490</v>
      </c>
      <c r="J517" s="56">
        <f t="shared" si="21"/>
        <v>74</v>
      </c>
      <c r="K517" s="74" t="str">
        <f t="shared" si="22"/>
        <v>61-90 Days</v>
      </c>
      <c r="L517" s="58" t="str">
        <f t="shared" si="23"/>
        <v>Not Applicable</v>
      </c>
    </row>
    <row r="518" spans="1:12" ht="16.5" customHeight="1" x14ac:dyDescent="0.35">
      <c r="A518" t="s">
        <v>304</v>
      </c>
      <c r="B518" t="s">
        <v>304</v>
      </c>
      <c r="C518">
        <v>0</v>
      </c>
      <c r="D518">
        <v>62870.400000000001</v>
      </c>
      <c r="E518" t="s">
        <v>4203</v>
      </c>
      <c r="F518" t="s">
        <v>4203</v>
      </c>
      <c r="G518" t="s">
        <v>57</v>
      </c>
      <c r="H518" t="s">
        <v>3489</v>
      </c>
      <c r="I518" t="s">
        <v>3490</v>
      </c>
      <c r="J518" s="56">
        <f t="shared" si="21"/>
        <v>74</v>
      </c>
      <c r="K518" s="74" t="str">
        <f t="shared" si="22"/>
        <v>61-90 Days</v>
      </c>
      <c r="L518" s="58" t="str">
        <f t="shared" si="23"/>
        <v>Not Applicable</v>
      </c>
    </row>
    <row r="519" spans="1:12" ht="16.5" customHeight="1" x14ac:dyDescent="0.35">
      <c r="A519" t="s">
        <v>304</v>
      </c>
      <c r="B519" t="s">
        <v>304</v>
      </c>
      <c r="C519">
        <v>0</v>
      </c>
      <c r="D519">
        <v>1000</v>
      </c>
      <c r="E519" t="s">
        <v>4204</v>
      </c>
      <c r="F519" t="s">
        <v>4204</v>
      </c>
      <c r="G519" t="s">
        <v>57</v>
      </c>
      <c r="H519" t="s">
        <v>3489</v>
      </c>
      <c r="I519" t="s">
        <v>3490</v>
      </c>
      <c r="J519" s="56">
        <f t="shared" si="21"/>
        <v>74</v>
      </c>
      <c r="K519" s="74" t="str">
        <f t="shared" si="22"/>
        <v>61-90 Days</v>
      </c>
      <c r="L519" s="58" t="str">
        <f t="shared" si="23"/>
        <v>Not Applicable</v>
      </c>
    </row>
    <row r="520" spans="1:12" ht="16.5" customHeight="1" x14ac:dyDescent="0.35">
      <c r="A520" t="s">
        <v>304</v>
      </c>
      <c r="B520" t="s">
        <v>304</v>
      </c>
      <c r="C520">
        <v>0</v>
      </c>
      <c r="D520">
        <v>1000</v>
      </c>
      <c r="E520" t="s">
        <v>4205</v>
      </c>
      <c r="F520" t="s">
        <v>4206</v>
      </c>
      <c r="G520" t="s">
        <v>57</v>
      </c>
      <c r="H520" t="s">
        <v>3489</v>
      </c>
      <c r="I520" t="s">
        <v>3490</v>
      </c>
      <c r="J520" s="56">
        <f t="shared" si="21"/>
        <v>74</v>
      </c>
      <c r="K520" s="74" t="str">
        <f t="shared" si="22"/>
        <v>61-90 Days</v>
      </c>
      <c r="L520" s="58" t="str">
        <f t="shared" si="23"/>
        <v>Not Applicable</v>
      </c>
    </row>
    <row r="521" spans="1:12" ht="16.5" customHeight="1" x14ac:dyDescent="0.35">
      <c r="A521" t="s">
        <v>304</v>
      </c>
      <c r="B521" t="s">
        <v>304</v>
      </c>
      <c r="C521">
        <v>1073</v>
      </c>
      <c r="D521">
        <v>0</v>
      </c>
      <c r="E521" t="s">
        <v>4207</v>
      </c>
      <c r="F521" t="s">
        <v>4207</v>
      </c>
      <c r="G521" t="s">
        <v>57</v>
      </c>
      <c r="H521" t="s">
        <v>3458</v>
      </c>
      <c r="I521" t="s">
        <v>3507</v>
      </c>
      <c r="J521" s="56">
        <f t="shared" ref="J521:J584" si="24">IF(A521="","",A$5-A521)</f>
        <v>74</v>
      </c>
      <c r="K521" s="74" t="str">
        <f t="shared" ref="K521:K584" si="25">IF(J521="","",IF(J521&lt;4,"0-3 Days",IF(J521&lt;31,"4-30 Days",IF(J521&lt;61,"31-60 Days",IF(J521&lt;=90,"61-90 Days",IF(J521&gt;90,"Above 90 Days","0"))))))</f>
        <v>61-90 Days</v>
      </c>
      <c r="L521" s="58" t="str">
        <f t="shared" ref="L521:L584" si="26">IF(C521="","",IF(C521&gt;0,IF(J521&lt;30,"Normal",IF(J521&lt;60,"Especially Mentioned",IF(J521&lt;90,"Substandard",IF(J521&lt;=180,"Doubtful",IF(J521&gt;180,"Loss","0"))))),"Not Applicable"))</f>
        <v>Substandard</v>
      </c>
    </row>
    <row r="522" spans="1:12" ht="16.5" customHeight="1" x14ac:dyDescent="0.35">
      <c r="A522" t="s">
        <v>304</v>
      </c>
      <c r="B522" t="s">
        <v>304</v>
      </c>
      <c r="C522">
        <v>0</v>
      </c>
      <c r="D522">
        <v>205</v>
      </c>
      <c r="E522" t="s">
        <v>4208</v>
      </c>
      <c r="F522" t="s">
        <v>4208</v>
      </c>
      <c r="G522" t="s">
        <v>57</v>
      </c>
      <c r="H522" t="s">
        <v>3489</v>
      </c>
      <c r="I522" t="s">
        <v>3490</v>
      </c>
      <c r="J522" s="56">
        <f t="shared" si="24"/>
        <v>74</v>
      </c>
      <c r="K522" s="74" t="str">
        <f t="shared" si="25"/>
        <v>61-90 Days</v>
      </c>
      <c r="L522" s="58" t="str">
        <f t="shared" si="26"/>
        <v>Not Applicable</v>
      </c>
    </row>
    <row r="523" spans="1:12" ht="16.5" customHeight="1" x14ac:dyDescent="0.35">
      <c r="A523" t="s">
        <v>304</v>
      </c>
      <c r="B523" t="s">
        <v>304</v>
      </c>
      <c r="C523">
        <v>0</v>
      </c>
      <c r="D523">
        <v>280</v>
      </c>
      <c r="E523" t="s">
        <v>4209</v>
      </c>
      <c r="F523" t="s">
        <v>4210</v>
      </c>
      <c r="G523" t="s">
        <v>57</v>
      </c>
      <c r="H523" t="s">
        <v>3489</v>
      </c>
      <c r="I523" t="s">
        <v>3486</v>
      </c>
      <c r="J523" s="56">
        <f t="shared" si="24"/>
        <v>74</v>
      </c>
      <c r="K523" s="74" t="str">
        <f t="shared" si="25"/>
        <v>61-90 Days</v>
      </c>
      <c r="L523" s="58" t="str">
        <f t="shared" si="26"/>
        <v>Not Applicable</v>
      </c>
    </row>
    <row r="524" spans="1:12" ht="16.5" customHeight="1" x14ac:dyDescent="0.35">
      <c r="A524" t="s">
        <v>304</v>
      </c>
      <c r="B524" t="s">
        <v>304</v>
      </c>
      <c r="C524">
        <v>1597.72</v>
      </c>
      <c r="D524">
        <v>0</v>
      </c>
      <c r="E524" t="s">
        <v>4211</v>
      </c>
      <c r="F524" t="s">
        <v>4211</v>
      </c>
      <c r="G524" t="s">
        <v>57</v>
      </c>
      <c r="H524" t="s">
        <v>3476</v>
      </c>
      <c r="I524" t="s">
        <v>3507</v>
      </c>
      <c r="J524" s="56">
        <f t="shared" si="24"/>
        <v>74</v>
      </c>
      <c r="K524" s="74" t="str">
        <f t="shared" si="25"/>
        <v>61-90 Days</v>
      </c>
      <c r="L524" s="58" t="str">
        <f t="shared" si="26"/>
        <v>Substandard</v>
      </c>
    </row>
    <row r="525" spans="1:12" ht="16.5" customHeight="1" x14ac:dyDescent="0.35">
      <c r="A525" t="s">
        <v>304</v>
      </c>
      <c r="B525" t="s">
        <v>304</v>
      </c>
      <c r="C525">
        <v>0</v>
      </c>
      <c r="D525">
        <v>205</v>
      </c>
      <c r="E525" t="s">
        <v>4212</v>
      </c>
      <c r="F525" t="s">
        <v>4212</v>
      </c>
      <c r="G525" t="s">
        <v>57</v>
      </c>
      <c r="H525" t="s">
        <v>3489</v>
      </c>
      <c r="I525" t="s">
        <v>3490</v>
      </c>
      <c r="J525" s="56">
        <f t="shared" si="24"/>
        <v>74</v>
      </c>
      <c r="K525" s="74" t="str">
        <f t="shared" si="25"/>
        <v>61-90 Days</v>
      </c>
      <c r="L525" s="58" t="str">
        <f t="shared" si="26"/>
        <v>Not Applicable</v>
      </c>
    </row>
    <row r="526" spans="1:12" ht="16.5" customHeight="1" x14ac:dyDescent="0.35">
      <c r="A526" t="s">
        <v>304</v>
      </c>
      <c r="B526" t="s">
        <v>304</v>
      </c>
      <c r="C526">
        <v>53.1</v>
      </c>
      <c r="D526">
        <v>0</v>
      </c>
      <c r="E526" t="s">
        <v>4213</v>
      </c>
      <c r="F526" t="s">
        <v>4213</v>
      </c>
      <c r="G526" t="s">
        <v>57</v>
      </c>
      <c r="H526" t="s">
        <v>3476</v>
      </c>
      <c r="I526" t="s">
        <v>3507</v>
      </c>
      <c r="J526" s="56">
        <f t="shared" si="24"/>
        <v>74</v>
      </c>
      <c r="K526" s="74" t="str">
        <f t="shared" si="25"/>
        <v>61-90 Days</v>
      </c>
      <c r="L526" s="58" t="str">
        <f t="shared" si="26"/>
        <v>Substandard</v>
      </c>
    </row>
    <row r="527" spans="1:12" ht="16.5" customHeight="1" x14ac:dyDescent="0.35">
      <c r="A527" t="s">
        <v>304</v>
      </c>
      <c r="B527" t="s">
        <v>304</v>
      </c>
      <c r="C527">
        <v>0</v>
      </c>
      <c r="D527">
        <v>1000</v>
      </c>
      <c r="E527" t="s">
        <v>4214</v>
      </c>
      <c r="F527" t="s">
        <v>4214</v>
      </c>
      <c r="G527" t="s">
        <v>57</v>
      </c>
      <c r="H527" t="s">
        <v>3489</v>
      </c>
      <c r="I527" t="s">
        <v>3490</v>
      </c>
      <c r="J527" s="56">
        <f t="shared" si="24"/>
        <v>74</v>
      </c>
      <c r="K527" s="74" t="str">
        <f t="shared" si="25"/>
        <v>61-90 Days</v>
      </c>
      <c r="L527" s="58" t="str">
        <f t="shared" si="26"/>
        <v>Not Applicable</v>
      </c>
    </row>
    <row r="528" spans="1:12" ht="16.5" customHeight="1" x14ac:dyDescent="0.35">
      <c r="A528" t="s">
        <v>304</v>
      </c>
      <c r="B528" t="s">
        <v>304</v>
      </c>
      <c r="C528">
        <v>0</v>
      </c>
      <c r="D528">
        <v>648.82000000000005</v>
      </c>
      <c r="E528" t="s">
        <v>4215</v>
      </c>
      <c r="F528" t="s">
        <v>4215</v>
      </c>
      <c r="G528" t="s">
        <v>57</v>
      </c>
      <c r="H528" t="s">
        <v>3489</v>
      </c>
      <c r="I528" t="s">
        <v>3490</v>
      </c>
      <c r="J528" s="56">
        <f t="shared" si="24"/>
        <v>74</v>
      </c>
      <c r="K528" s="74" t="str">
        <f t="shared" si="25"/>
        <v>61-90 Days</v>
      </c>
      <c r="L528" s="58" t="str">
        <f t="shared" si="26"/>
        <v>Not Applicable</v>
      </c>
    </row>
    <row r="529" spans="1:12" ht="16.5" customHeight="1" x14ac:dyDescent="0.35">
      <c r="A529" t="s">
        <v>304</v>
      </c>
      <c r="B529" t="s">
        <v>304</v>
      </c>
      <c r="C529">
        <v>2727</v>
      </c>
      <c r="D529">
        <v>0</v>
      </c>
      <c r="E529" t="s">
        <v>4216</v>
      </c>
      <c r="F529" t="s">
        <v>4216</v>
      </c>
      <c r="G529" t="s">
        <v>57</v>
      </c>
      <c r="H529" t="s">
        <v>3455</v>
      </c>
      <c r="I529" t="s">
        <v>3507</v>
      </c>
      <c r="J529" s="56">
        <f t="shared" si="24"/>
        <v>74</v>
      </c>
      <c r="K529" s="74" t="str">
        <f t="shared" si="25"/>
        <v>61-90 Days</v>
      </c>
      <c r="L529" s="58" t="str">
        <f t="shared" si="26"/>
        <v>Substandard</v>
      </c>
    </row>
    <row r="530" spans="1:12" ht="16.5" customHeight="1" x14ac:dyDescent="0.35">
      <c r="A530" t="s">
        <v>304</v>
      </c>
      <c r="B530" t="s">
        <v>304</v>
      </c>
      <c r="C530">
        <v>0</v>
      </c>
      <c r="D530">
        <v>1000</v>
      </c>
      <c r="E530" t="s">
        <v>4217</v>
      </c>
      <c r="F530" t="s">
        <v>4218</v>
      </c>
      <c r="G530" t="s">
        <v>57</v>
      </c>
      <c r="H530" t="s">
        <v>3489</v>
      </c>
      <c r="I530" t="s">
        <v>3490</v>
      </c>
      <c r="J530" s="56">
        <f t="shared" si="24"/>
        <v>74</v>
      </c>
      <c r="K530" s="74" t="str">
        <f t="shared" si="25"/>
        <v>61-90 Days</v>
      </c>
      <c r="L530" s="58" t="str">
        <f t="shared" si="26"/>
        <v>Not Applicable</v>
      </c>
    </row>
    <row r="531" spans="1:12" ht="16.5" customHeight="1" x14ac:dyDescent="0.35">
      <c r="A531" t="s">
        <v>304</v>
      </c>
      <c r="B531" t="s">
        <v>304</v>
      </c>
      <c r="C531">
        <v>50</v>
      </c>
      <c r="D531">
        <v>0</v>
      </c>
      <c r="E531" t="s">
        <v>4219</v>
      </c>
      <c r="F531" t="s">
        <v>4220</v>
      </c>
      <c r="G531" t="s">
        <v>57</v>
      </c>
      <c r="H531" t="s">
        <v>3455</v>
      </c>
      <c r="I531" t="s">
        <v>3490</v>
      </c>
      <c r="J531" s="56">
        <f t="shared" si="24"/>
        <v>74</v>
      </c>
      <c r="K531" s="74" t="str">
        <f t="shared" si="25"/>
        <v>61-90 Days</v>
      </c>
      <c r="L531" s="58" t="str">
        <f t="shared" si="26"/>
        <v>Substandard</v>
      </c>
    </row>
    <row r="532" spans="1:12" ht="16.5" customHeight="1" x14ac:dyDescent="0.35">
      <c r="A532" t="s">
        <v>304</v>
      </c>
      <c r="B532" t="s">
        <v>304</v>
      </c>
      <c r="C532">
        <v>0</v>
      </c>
      <c r="D532">
        <v>100</v>
      </c>
      <c r="E532" t="s">
        <v>4221</v>
      </c>
      <c r="F532" t="s">
        <v>4222</v>
      </c>
      <c r="G532" t="s">
        <v>57</v>
      </c>
      <c r="H532" t="s">
        <v>3532</v>
      </c>
      <c r="I532" t="s">
        <v>3490</v>
      </c>
      <c r="J532" s="56">
        <f t="shared" si="24"/>
        <v>74</v>
      </c>
      <c r="K532" s="74" t="str">
        <f t="shared" si="25"/>
        <v>61-90 Days</v>
      </c>
      <c r="L532" s="58" t="str">
        <f t="shared" si="26"/>
        <v>Not Applicable</v>
      </c>
    </row>
    <row r="533" spans="1:12" ht="16.5" customHeight="1" x14ac:dyDescent="0.35">
      <c r="A533" t="s">
        <v>304</v>
      </c>
      <c r="B533" t="s">
        <v>304</v>
      </c>
      <c r="C533">
        <v>0</v>
      </c>
      <c r="D533">
        <v>2050</v>
      </c>
      <c r="E533" t="s">
        <v>4223</v>
      </c>
      <c r="F533" t="s">
        <v>3499</v>
      </c>
      <c r="G533" t="s">
        <v>57</v>
      </c>
      <c r="H533" t="s">
        <v>3489</v>
      </c>
      <c r="I533" t="s">
        <v>3490</v>
      </c>
      <c r="J533" s="56">
        <f t="shared" si="24"/>
        <v>74</v>
      </c>
      <c r="K533" s="74" t="str">
        <f t="shared" si="25"/>
        <v>61-90 Days</v>
      </c>
      <c r="L533" s="58" t="str">
        <f t="shared" si="26"/>
        <v>Not Applicable</v>
      </c>
    </row>
    <row r="534" spans="1:12" ht="16.5" customHeight="1" x14ac:dyDescent="0.35">
      <c r="A534" t="s">
        <v>304</v>
      </c>
      <c r="B534" t="s">
        <v>304</v>
      </c>
      <c r="C534">
        <v>0</v>
      </c>
      <c r="D534">
        <v>7000.5</v>
      </c>
      <c r="E534" t="s">
        <v>4224</v>
      </c>
      <c r="F534" t="s">
        <v>4224</v>
      </c>
      <c r="G534" t="s">
        <v>57</v>
      </c>
      <c r="H534" t="s">
        <v>3489</v>
      </c>
      <c r="I534" t="s">
        <v>3490</v>
      </c>
      <c r="J534" s="56">
        <f t="shared" si="24"/>
        <v>74</v>
      </c>
      <c r="K534" s="74" t="str">
        <f t="shared" si="25"/>
        <v>61-90 Days</v>
      </c>
      <c r="L534" s="58" t="str">
        <f t="shared" si="26"/>
        <v>Not Applicable</v>
      </c>
    </row>
    <row r="535" spans="1:12" ht="16.5" customHeight="1" x14ac:dyDescent="0.35">
      <c r="A535" t="s">
        <v>304</v>
      </c>
      <c r="B535" t="s">
        <v>304</v>
      </c>
      <c r="C535">
        <v>0</v>
      </c>
      <c r="D535">
        <v>100</v>
      </c>
      <c r="E535" t="s">
        <v>4225</v>
      </c>
      <c r="F535" t="s">
        <v>4225</v>
      </c>
      <c r="G535" t="s">
        <v>57</v>
      </c>
      <c r="H535" t="s">
        <v>3489</v>
      </c>
      <c r="I535" t="s">
        <v>3490</v>
      </c>
      <c r="J535" s="56">
        <f t="shared" si="24"/>
        <v>74</v>
      </c>
      <c r="K535" s="74" t="str">
        <f t="shared" si="25"/>
        <v>61-90 Days</v>
      </c>
      <c r="L535" s="58" t="str">
        <f t="shared" si="26"/>
        <v>Not Applicable</v>
      </c>
    </row>
    <row r="536" spans="1:12" ht="16.5" customHeight="1" x14ac:dyDescent="0.35">
      <c r="A536" t="s">
        <v>304</v>
      </c>
      <c r="B536" t="s">
        <v>304</v>
      </c>
      <c r="C536">
        <v>14728.8</v>
      </c>
      <c r="D536">
        <v>0</v>
      </c>
      <c r="E536" t="s">
        <v>4226</v>
      </c>
      <c r="F536" t="s">
        <v>4226</v>
      </c>
      <c r="G536" t="s">
        <v>57</v>
      </c>
      <c r="H536" t="s">
        <v>3476</v>
      </c>
      <c r="I536" t="s">
        <v>3507</v>
      </c>
      <c r="J536" s="56">
        <f t="shared" si="24"/>
        <v>74</v>
      </c>
      <c r="K536" s="74" t="str">
        <f t="shared" si="25"/>
        <v>61-90 Days</v>
      </c>
      <c r="L536" s="58" t="str">
        <f t="shared" si="26"/>
        <v>Substandard</v>
      </c>
    </row>
    <row r="537" spans="1:12" ht="16.5" customHeight="1" x14ac:dyDescent="0.35">
      <c r="A537" t="s">
        <v>304</v>
      </c>
      <c r="B537" t="s">
        <v>304</v>
      </c>
      <c r="C537">
        <v>500</v>
      </c>
      <c r="D537">
        <v>0</v>
      </c>
      <c r="E537" t="s">
        <v>4227</v>
      </c>
      <c r="F537" t="s">
        <v>4227</v>
      </c>
      <c r="G537" t="s">
        <v>57</v>
      </c>
      <c r="H537" t="s">
        <v>3458</v>
      </c>
      <c r="I537" t="s">
        <v>3507</v>
      </c>
      <c r="J537" s="56">
        <f t="shared" si="24"/>
        <v>74</v>
      </c>
      <c r="K537" s="74" t="str">
        <f t="shared" si="25"/>
        <v>61-90 Days</v>
      </c>
      <c r="L537" s="58" t="str">
        <f t="shared" si="26"/>
        <v>Substandard</v>
      </c>
    </row>
    <row r="538" spans="1:12" ht="16.5" customHeight="1" x14ac:dyDescent="0.35">
      <c r="A538" t="s">
        <v>304</v>
      </c>
      <c r="B538" t="s">
        <v>304</v>
      </c>
      <c r="C538">
        <v>0</v>
      </c>
      <c r="D538">
        <v>2050</v>
      </c>
      <c r="E538" t="s">
        <v>4228</v>
      </c>
      <c r="F538" t="s">
        <v>3499</v>
      </c>
      <c r="G538" t="s">
        <v>57</v>
      </c>
      <c r="H538" t="s">
        <v>3489</v>
      </c>
      <c r="I538" t="s">
        <v>3490</v>
      </c>
      <c r="J538" s="56">
        <f t="shared" si="24"/>
        <v>74</v>
      </c>
      <c r="K538" s="74" t="str">
        <f t="shared" si="25"/>
        <v>61-90 Days</v>
      </c>
      <c r="L538" s="58" t="str">
        <f t="shared" si="26"/>
        <v>Not Applicable</v>
      </c>
    </row>
    <row r="539" spans="1:12" ht="16.5" customHeight="1" x14ac:dyDescent="0.35">
      <c r="A539" t="s">
        <v>304</v>
      </c>
      <c r="B539" t="s">
        <v>304</v>
      </c>
      <c r="C539">
        <v>1510</v>
      </c>
      <c r="D539">
        <v>0</v>
      </c>
      <c r="E539" t="s">
        <v>4229</v>
      </c>
      <c r="F539" t="s">
        <v>4229</v>
      </c>
      <c r="G539" t="s">
        <v>57</v>
      </c>
      <c r="H539" t="s">
        <v>3455</v>
      </c>
      <c r="I539" t="s">
        <v>3507</v>
      </c>
      <c r="J539" s="56">
        <f t="shared" si="24"/>
        <v>74</v>
      </c>
      <c r="K539" s="74" t="str">
        <f t="shared" si="25"/>
        <v>61-90 Days</v>
      </c>
      <c r="L539" s="58" t="str">
        <f t="shared" si="26"/>
        <v>Substandard</v>
      </c>
    </row>
    <row r="540" spans="1:12" ht="16.5" customHeight="1" x14ac:dyDescent="0.35">
      <c r="A540" t="s">
        <v>304</v>
      </c>
      <c r="B540" t="s">
        <v>304</v>
      </c>
      <c r="C540">
        <v>0</v>
      </c>
      <c r="D540">
        <v>14180</v>
      </c>
      <c r="E540" t="s">
        <v>4230</v>
      </c>
      <c r="F540" t="s">
        <v>4230</v>
      </c>
      <c r="G540" t="s">
        <v>57</v>
      </c>
      <c r="H540" t="s">
        <v>3489</v>
      </c>
      <c r="I540" t="s">
        <v>3490</v>
      </c>
      <c r="J540" s="56">
        <f t="shared" si="24"/>
        <v>74</v>
      </c>
      <c r="K540" s="74" t="str">
        <f t="shared" si="25"/>
        <v>61-90 Days</v>
      </c>
      <c r="L540" s="58" t="str">
        <f t="shared" si="26"/>
        <v>Not Applicable</v>
      </c>
    </row>
    <row r="541" spans="1:12" ht="16.5" customHeight="1" x14ac:dyDescent="0.35">
      <c r="A541" t="s">
        <v>304</v>
      </c>
      <c r="B541" t="s">
        <v>304</v>
      </c>
      <c r="C541">
        <v>0</v>
      </c>
      <c r="D541">
        <v>2050</v>
      </c>
      <c r="E541" t="s">
        <v>4231</v>
      </c>
      <c r="F541" t="s">
        <v>4231</v>
      </c>
      <c r="G541" t="s">
        <v>57</v>
      </c>
      <c r="H541" t="s">
        <v>3532</v>
      </c>
      <c r="I541" t="s">
        <v>3490</v>
      </c>
      <c r="J541" s="56">
        <f t="shared" si="24"/>
        <v>74</v>
      </c>
      <c r="K541" s="74" t="str">
        <f t="shared" si="25"/>
        <v>61-90 Days</v>
      </c>
      <c r="L541" s="58" t="str">
        <f t="shared" si="26"/>
        <v>Not Applicable</v>
      </c>
    </row>
    <row r="542" spans="1:12" ht="16.5" customHeight="1" x14ac:dyDescent="0.35">
      <c r="A542" t="s">
        <v>304</v>
      </c>
      <c r="B542" t="s">
        <v>304</v>
      </c>
      <c r="C542">
        <v>100</v>
      </c>
      <c r="D542">
        <v>0</v>
      </c>
      <c r="E542" t="s">
        <v>4232</v>
      </c>
      <c r="F542" t="s">
        <v>4232</v>
      </c>
      <c r="G542" t="s">
        <v>57</v>
      </c>
      <c r="H542" t="s">
        <v>3476</v>
      </c>
      <c r="I542" t="s">
        <v>3507</v>
      </c>
      <c r="J542" s="56">
        <f t="shared" si="24"/>
        <v>74</v>
      </c>
      <c r="K542" s="74" t="str">
        <f t="shared" si="25"/>
        <v>61-90 Days</v>
      </c>
      <c r="L542" s="58" t="str">
        <f t="shared" si="26"/>
        <v>Substandard</v>
      </c>
    </row>
    <row r="543" spans="1:12" ht="16.5" customHeight="1" x14ac:dyDescent="0.35">
      <c r="A543" t="s">
        <v>304</v>
      </c>
      <c r="B543" t="s">
        <v>304</v>
      </c>
      <c r="C543">
        <v>0</v>
      </c>
      <c r="D543">
        <v>2000</v>
      </c>
      <c r="E543" t="s">
        <v>4233</v>
      </c>
      <c r="F543" t="s">
        <v>4234</v>
      </c>
      <c r="G543" t="s">
        <v>57</v>
      </c>
      <c r="H543" t="s">
        <v>3489</v>
      </c>
      <c r="I543" t="s">
        <v>3486</v>
      </c>
      <c r="J543" s="56">
        <f t="shared" si="24"/>
        <v>74</v>
      </c>
      <c r="K543" s="74" t="str">
        <f t="shared" si="25"/>
        <v>61-90 Days</v>
      </c>
      <c r="L543" s="58" t="str">
        <f t="shared" si="26"/>
        <v>Not Applicable</v>
      </c>
    </row>
    <row r="544" spans="1:12" ht="16.5" customHeight="1" x14ac:dyDescent="0.35">
      <c r="A544" t="s">
        <v>304</v>
      </c>
      <c r="B544" t="s">
        <v>304</v>
      </c>
      <c r="C544">
        <v>2950</v>
      </c>
      <c r="D544">
        <v>0</v>
      </c>
      <c r="E544" t="s">
        <v>4235</v>
      </c>
      <c r="F544" t="s">
        <v>4235</v>
      </c>
      <c r="G544" t="s">
        <v>57</v>
      </c>
      <c r="H544" t="s">
        <v>3476</v>
      </c>
      <c r="I544" t="s">
        <v>3507</v>
      </c>
      <c r="J544" s="56">
        <f t="shared" si="24"/>
        <v>74</v>
      </c>
      <c r="K544" s="74" t="str">
        <f t="shared" si="25"/>
        <v>61-90 Days</v>
      </c>
      <c r="L544" s="58" t="str">
        <f t="shared" si="26"/>
        <v>Substandard</v>
      </c>
    </row>
    <row r="545" spans="1:12" ht="16.5" customHeight="1" x14ac:dyDescent="0.35">
      <c r="A545" t="s">
        <v>304</v>
      </c>
      <c r="B545" t="s">
        <v>304</v>
      </c>
      <c r="C545">
        <v>0</v>
      </c>
      <c r="D545">
        <v>250</v>
      </c>
      <c r="E545" t="s">
        <v>4236</v>
      </c>
      <c r="F545" t="s">
        <v>4237</v>
      </c>
      <c r="G545" t="s">
        <v>57</v>
      </c>
      <c r="H545" t="s">
        <v>3532</v>
      </c>
      <c r="I545" t="s">
        <v>3490</v>
      </c>
      <c r="J545" s="56">
        <f t="shared" si="24"/>
        <v>74</v>
      </c>
      <c r="K545" s="74" t="str">
        <f t="shared" si="25"/>
        <v>61-90 Days</v>
      </c>
      <c r="L545" s="58" t="str">
        <f t="shared" si="26"/>
        <v>Not Applicable</v>
      </c>
    </row>
    <row r="546" spans="1:12" ht="16.5" customHeight="1" x14ac:dyDescent="0.35">
      <c r="A546" t="s">
        <v>304</v>
      </c>
      <c r="B546" t="s">
        <v>304</v>
      </c>
      <c r="C546">
        <v>0</v>
      </c>
      <c r="D546">
        <v>15000</v>
      </c>
      <c r="E546" t="s">
        <v>4238</v>
      </c>
      <c r="F546" t="s">
        <v>4238</v>
      </c>
      <c r="G546" t="s">
        <v>57</v>
      </c>
      <c r="H546" t="s">
        <v>3638</v>
      </c>
      <c r="I546" t="s">
        <v>3490</v>
      </c>
      <c r="J546" s="56">
        <f t="shared" si="24"/>
        <v>74</v>
      </c>
      <c r="K546" s="74" t="str">
        <f t="shared" si="25"/>
        <v>61-90 Days</v>
      </c>
      <c r="L546" s="58" t="str">
        <f t="shared" si="26"/>
        <v>Not Applicable</v>
      </c>
    </row>
    <row r="547" spans="1:12" ht="16.5" customHeight="1" x14ac:dyDescent="0.35">
      <c r="A547" t="s">
        <v>304</v>
      </c>
      <c r="B547" t="s">
        <v>304</v>
      </c>
      <c r="C547">
        <v>2500</v>
      </c>
      <c r="D547">
        <v>0</v>
      </c>
      <c r="E547" t="s">
        <v>4239</v>
      </c>
      <c r="F547" t="s">
        <v>4239</v>
      </c>
      <c r="G547" t="s">
        <v>57</v>
      </c>
      <c r="H547" t="s">
        <v>3476</v>
      </c>
      <c r="I547" t="s">
        <v>3507</v>
      </c>
      <c r="J547" s="56">
        <f t="shared" si="24"/>
        <v>74</v>
      </c>
      <c r="K547" s="74" t="str">
        <f t="shared" si="25"/>
        <v>61-90 Days</v>
      </c>
      <c r="L547" s="58" t="str">
        <f t="shared" si="26"/>
        <v>Substandard</v>
      </c>
    </row>
    <row r="548" spans="1:12" ht="16.5" customHeight="1" x14ac:dyDescent="0.35">
      <c r="A548" t="s">
        <v>304</v>
      </c>
      <c r="B548" t="s">
        <v>304</v>
      </c>
      <c r="C548">
        <v>0</v>
      </c>
      <c r="D548">
        <v>2100</v>
      </c>
      <c r="E548" t="s">
        <v>4240</v>
      </c>
      <c r="F548" t="s">
        <v>3499</v>
      </c>
      <c r="G548" t="s">
        <v>57</v>
      </c>
      <c r="H548" t="s">
        <v>3489</v>
      </c>
      <c r="I548" t="s">
        <v>3490</v>
      </c>
      <c r="J548" s="56">
        <f t="shared" si="24"/>
        <v>74</v>
      </c>
      <c r="K548" s="74" t="str">
        <f t="shared" si="25"/>
        <v>61-90 Days</v>
      </c>
      <c r="L548" s="58" t="str">
        <f t="shared" si="26"/>
        <v>Not Applicable</v>
      </c>
    </row>
    <row r="549" spans="1:12" ht="16.5" customHeight="1" x14ac:dyDescent="0.35">
      <c r="A549" t="s">
        <v>304</v>
      </c>
      <c r="B549" t="s">
        <v>304</v>
      </c>
      <c r="C549">
        <v>0</v>
      </c>
      <c r="D549">
        <v>2050</v>
      </c>
      <c r="E549" t="s">
        <v>4241</v>
      </c>
      <c r="F549" t="s">
        <v>3499</v>
      </c>
      <c r="G549" t="s">
        <v>57</v>
      </c>
      <c r="H549" t="s">
        <v>3489</v>
      </c>
      <c r="I549" t="s">
        <v>3490</v>
      </c>
      <c r="J549" s="56">
        <f t="shared" si="24"/>
        <v>74</v>
      </c>
      <c r="K549" s="74" t="str">
        <f t="shared" si="25"/>
        <v>61-90 Days</v>
      </c>
      <c r="L549" s="58" t="str">
        <f t="shared" si="26"/>
        <v>Not Applicable</v>
      </c>
    </row>
    <row r="550" spans="1:12" ht="16.5" customHeight="1" x14ac:dyDescent="0.35">
      <c r="A550" t="s">
        <v>304</v>
      </c>
      <c r="B550" t="s">
        <v>304</v>
      </c>
      <c r="C550">
        <v>0</v>
      </c>
      <c r="D550">
        <v>550</v>
      </c>
      <c r="E550" t="s">
        <v>4242</v>
      </c>
      <c r="F550" t="s">
        <v>4242</v>
      </c>
      <c r="G550" t="s">
        <v>57</v>
      </c>
      <c r="H550" t="s">
        <v>3489</v>
      </c>
      <c r="I550" t="s">
        <v>3490</v>
      </c>
      <c r="J550" s="56">
        <f t="shared" si="24"/>
        <v>74</v>
      </c>
      <c r="K550" s="74" t="str">
        <f t="shared" si="25"/>
        <v>61-90 Days</v>
      </c>
      <c r="L550" s="58" t="str">
        <f t="shared" si="26"/>
        <v>Not Applicable</v>
      </c>
    </row>
    <row r="551" spans="1:12" ht="16.5" customHeight="1" x14ac:dyDescent="0.35">
      <c r="A551" t="s">
        <v>304</v>
      </c>
      <c r="B551" t="s">
        <v>304</v>
      </c>
      <c r="C551">
        <v>0</v>
      </c>
      <c r="D551">
        <v>197.96</v>
      </c>
      <c r="E551" t="s">
        <v>4243</v>
      </c>
      <c r="F551" t="s">
        <v>4243</v>
      </c>
      <c r="G551" t="s">
        <v>57</v>
      </c>
      <c r="H551" t="s">
        <v>3489</v>
      </c>
      <c r="I551" t="s">
        <v>3490</v>
      </c>
      <c r="J551" s="56">
        <f t="shared" si="24"/>
        <v>74</v>
      </c>
      <c r="K551" s="74" t="str">
        <f t="shared" si="25"/>
        <v>61-90 Days</v>
      </c>
      <c r="L551" s="58" t="str">
        <f t="shared" si="26"/>
        <v>Not Applicable</v>
      </c>
    </row>
    <row r="552" spans="1:12" ht="16.5" customHeight="1" x14ac:dyDescent="0.35">
      <c r="A552" t="s">
        <v>304</v>
      </c>
      <c r="B552" t="s">
        <v>304</v>
      </c>
      <c r="C552">
        <v>1695</v>
      </c>
      <c r="D552">
        <v>0</v>
      </c>
      <c r="E552" t="s">
        <v>4244</v>
      </c>
      <c r="F552" t="s">
        <v>4244</v>
      </c>
      <c r="G552" t="s">
        <v>57</v>
      </c>
      <c r="H552" t="s">
        <v>3455</v>
      </c>
      <c r="I552" t="s">
        <v>3507</v>
      </c>
      <c r="J552" s="56">
        <f t="shared" si="24"/>
        <v>74</v>
      </c>
      <c r="K552" s="74" t="str">
        <f t="shared" si="25"/>
        <v>61-90 Days</v>
      </c>
      <c r="L552" s="58" t="str">
        <f t="shared" si="26"/>
        <v>Substandard</v>
      </c>
    </row>
    <row r="553" spans="1:12" ht="16.5" customHeight="1" x14ac:dyDescent="0.35">
      <c r="A553" t="s">
        <v>304</v>
      </c>
      <c r="B553" t="s">
        <v>304</v>
      </c>
      <c r="C553">
        <v>0</v>
      </c>
      <c r="D553">
        <v>100</v>
      </c>
      <c r="E553" t="s">
        <v>4245</v>
      </c>
      <c r="F553" t="s">
        <v>4245</v>
      </c>
      <c r="G553" t="s">
        <v>57</v>
      </c>
      <c r="H553" t="s">
        <v>3489</v>
      </c>
      <c r="I553" t="s">
        <v>3490</v>
      </c>
      <c r="J553" s="56">
        <f t="shared" si="24"/>
        <v>74</v>
      </c>
      <c r="K553" s="74" t="str">
        <f t="shared" si="25"/>
        <v>61-90 Days</v>
      </c>
      <c r="L553" s="58" t="str">
        <f t="shared" si="26"/>
        <v>Not Applicable</v>
      </c>
    </row>
    <row r="554" spans="1:12" ht="16.5" customHeight="1" x14ac:dyDescent="0.35">
      <c r="A554" t="s">
        <v>304</v>
      </c>
      <c r="B554" t="s">
        <v>304</v>
      </c>
      <c r="C554">
        <v>0</v>
      </c>
      <c r="D554">
        <v>758.1</v>
      </c>
      <c r="E554" t="s">
        <v>4246</v>
      </c>
      <c r="F554" t="s">
        <v>4246</v>
      </c>
      <c r="G554" t="s">
        <v>57</v>
      </c>
      <c r="H554" t="s">
        <v>3489</v>
      </c>
      <c r="I554" t="s">
        <v>3490</v>
      </c>
      <c r="J554" s="56">
        <f t="shared" si="24"/>
        <v>74</v>
      </c>
      <c r="K554" s="74" t="str">
        <f t="shared" si="25"/>
        <v>61-90 Days</v>
      </c>
      <c r="L554" s="58" t="str">
        <f t="shared" si="26"/>
        <v>Not Applicable</v>
      </c>
    </row>
    <row r="555" spans="1:12" ht="16.5" customHeight="1" x14ac:dyDescent="0.35">
      <c r="A555" t="s">
        <v>304</v>
      </c>
      <c r="B555" t="s">
        <v>304</v>
      </c>
      <c r="C555">
        <v>0</v>
      </c>
      <c r="D555">
        <v>1000</v>
      </c>
      <c r="E555" t="s">
        <v>4247</v>
      </c>
      <c r="F555" t="s">
        <v>4247</v>
      </c>
      <c r="G555" t="s">
        <v>57</v>
      </c>
      <c r="H555" t="s">
        <v>3489</v>
      </c>
      <c r="I555" t="s">
        <v>3490</v>
      </c>
      <c r="J555" s="56">
        <f t="shared" si="24"/>
        <v>74</v>
      </c>
      <c r="K555" s="74" t="str">
        <f t="shared" si="25"/>
        <v>61-90 Days</v>
      </c>
      <c r="L555" s="58" t="str">
        <f t="shared" si="26"/>
        <v>Not Applicable</v>
      </c>
    </row>
    <row r="556" spans="1:12" ht="16.5" customHeight="1" x14ac:dyDescent="0.35">
      <c r="A556" t="s">
        <v>304</v>
      </c>
      <c r="B556" t="s">
        <v>304</v>
      </c>
      <c r="C556">
        <v>2050</v>
      </c>
      <c r="D556">
        <v>0</v>
      </c>
      <c r="E556" t="s">
        <v>4248</v>
      </c>
      <c r="F556" t="s">
        <v>4248</v>
      </c>
      <c r="G556" t="s">
        <v>57</v>
      </c>
      <c r="H556" t="s">
        <v>3455</v>
      </c>
      <c r="I556" t="s">
        <v>3507</v>
      </c>
      <c r="J556" s="56">
        <f t="shared" si="24"/>
        <v>74</v>
      </c>
      <c r="K556" s="74" t="str">
        <f t="shared" si="25"/>
        <v>61-90 Days</v>
      </c>
      <c r="L556" s="58" t="str">
        <f t="shared" si="26"/>
        <v>Substandard</v>
      </c>
    </row>
    <row r="557" spans="1:12" ht="16.5" customHeight="1" x14ac:dyDescent="0.35">
      <c r="A557" t="s">
        <v>304</v>
      </c>
      <c r="B557" t="s">
        <v>304</v>
      </c>
      <c r="C557">
        <v>0</v>
      </c>
      <c r="D557">
        <v>1000</v>
      </c>
      <c r="E557" t="s">
        <v>4249</v>
      </c>
      <c r="F557" t="s">
        <v>4250</v>
      </c>
      <c r="G557" t="s">
        <v>57</v>
      </c>
      <c r="H557" t="s">
        <v>3489</v>
      </c>
      <c r="I557" t="s">
        <v>3490</v>
      </c>
      <c r="J557" s="56">
        <f t="shared" si="24"/>
        <v>74</v>
      </c>
      <c r="K557" s="74" t="str">
        <f t="shared" si="25"/>
        <v>61-90 Days</v>
      </c>
      <c r="L557" s="58" t="str">
        <f t="shared" si="26"/>
        <v>Not Applicable</v>
      </c>
    </row>
    <row r="558" spans="1:12" ht="16.5" customHeight="1" x14ac:dyDescent="0.35">
      <c r="A558" t="s">
        <v>304</v>
      </c>
      <c r="B558" t="s">
        <v>304</v>
      </c>
      <c r="C558">
        <v>0</v>
      </c>
      <c r="D558">
        <v>125</v>
      </c>
      <c r="E558" t="s">
        <v>4251</v>
      </c>
      <c r="F558" t="s">
        <v>4252</v>
      </c>
      <c r="G558" t="s">
        <v>57</v>
      </c>
      <c r="H558" t="s">
        <v>3489</v>
      </c>
      <c r="I558" t="s">
        <v>3486</v>
      </c>
      <c r="J558" s="56">
        <f t="shared" si="24"/>
        <v>74</v>
      </c>
      <c r="K558" s="74" t="str">
        <f t="shared" si="25"/>
        <v>61-90 Days</v>
      </c>
      <c r="L558" s="58" t="str">
        <f t="shared" si="26"/>
        <v>Not Applicable</v>
      </c>
    </row>
    <row r="559" spans="1:12" ht="16.5" customHeight="1" x14ac:dyDescent="0.35">
      <c r="A559" t="s">
        <v>304</v>
      </c>
      <c r="B559" t="s">
        <v>304</v>
      </c>
      <c r="C559">
        <v>0</v>
      </c>
      <c r="D559">
        <v>50</v>
      </c>
      <c r="E559" t="s">
        <v>4253</v>
      </c>
      <c r="F559" t="s">
        <v>3499</v>
      </c>
      <c r="G559" t="s">
        <v>57</v>
      </c>
      <c r="H559" t="s">
        <v>3489</v>
      </c>
      <c r="I559" t="s">
        <v>3490</v>
      </c>
      <c r="J559" s="56">
        <f t="shared" si="24"/>
        <v>74</v>
      </c>
      <c r="K559" s="74" t="str">
        <f t="shared" si="25"/>
        <v>61-90 Days</v>
      </c>
      <c r="L559" s="58" t="str">
        <f t="shared" si="26"/>
        <v>Not Applicable</v>
      </c>
    </row>
    <row r="560" spans="1:12" ht="16.5" customHeight="1" x14ac:dyDescent="0.35">
      <c r="A560" t="s">
        <v>304</v>
      </c>
      <c r="B560" t="s">
        <v>304</v>
      </c>
      <c r="C560">
        <v>0</v>
      </c>
      <c r="D560">
        <v>100</v>
      </c>
      <c r="E560" t="s">
        <v>4254</v>
      </c>
      <c r="F560" t="s">
        <v>4254</v>
      </c>
      <c r="G560" t="s">
        <v>57</v>
      </c>
      <c r="H560" t="s">
        <v>3489</v>
      </c>
      <c r="I560" t="s">
        <v>3490</v>
      </c>
      <c r="J560" s="56">
        <f t="shared" si="24"/>
        <v>74</v>
      </c>
      <c r="K560" s="74" t="str">
        <f t="shared" si="25"/>
        <v>61-90 Days</v>
      </c>
      <c r="L560" s="58" t="str">
        <f t="shared" si="26"/>
        <v>Not Applicable</v>
      </c>
    </row>
    <row r="561" spans="1:12" ht="16.5" customHeight="1" x14ac:dyDescent="0.35">
      <c r="A561" t="s">
        <v>304</v>
      </c>
      <c r="B561" t="s">
        <v>304</v>
      </c>
      <c r="C561">
        <v>0</v>
      </c>
      <c r="D561">
        <v>198.82</v>
      </c>
      <c r="E561" t="s">
        <v>4255</v>
      </c>
      <c r="F561" t="s">
        <v>4255</v>
      </c>
      <c r="G561" t="s">
        <v>57</v>
      </c>
      <c r="H561" t="s">
        <v>3489</v>
      </c>
      <c r="I561" t="s">
        <v>3490</v>
      </c>
      <c r="J561" s="56">
        <f t="shared" si="24"/>
        <v>74</v>
      </c>
      <c r="K561" s="74" t="str">
        <f t="shared" si="25"/>
        <v>61-90 Days</v>
      </c>
      <c r="L561" s="58" t="str">
        <f t="shared" si="26"/>
        <v>Not Applicable</v>
      </c>
    </row>
    <row r="562" spans="1:12" ht="16.5" customHeight="1" x14ac:dyDescent="0.35">
      <c r="A562" t="s">
        <v>304</v>
      </c>
      <c r="B562" t="s">
        <v>304</v>
      </c>
      <c r="C562">
        <v>0</v>
      </c>
      <c r="D562">
        <v>100</v>
      </c>
      <c r="E562" t="s">
        <v>4256</v>
      </c>
      <c r="F562" t="s">
        <v>4256</v>
      </c>
      <c r="G562" t="s">
        <v>57</v>
      </c>
      <c r="H562" t="s">
        <v>3489</v>
      </c>
      <c r="I562" t="s">
        <v>3490</v>
      </c>
      <c r="J562" s="56">
        <f t="shared" si="24"/>
        <v>74</v>
      </c>
      <c r="K562" s="74" t="str">
        <f t="shared" si="25"/>
        <v>61-90 Days</v>
      </c>
      <c r="L562" s="58" t="str">
        <f t="shared" si="26"/>
        <v>Not Applicable</v>
      </c>
    </row>
    <row r="563" spans="1:12" ht="16.5" customHeight="1" x14ac:dyDescent="0.35">
      <c r="A563" t="s">
        <v>304</v>
      </c>
      <c r="B563" t="s">
        <v>304</v>
      </c>
      <c r="C563">
        <v>390</v>
      </c>
      <c r="D563">
        <v>0</v>
      </c>
      <c r="E563" t="s">
        <v>4257</v>
      </c>
      <c r="F563" t="s">
        <v>4257</v>
      </c>
      <c r="G563" t="s">
        <v>57</v>
      </c>
      <c r="H563" t="s">
        <v>3455</v>
      </c>
      <c r="I563" t="s">
        <v>3507</v>
      </c>
      <c r="J563" s="56">
        <f t="shared" si="24"/>
        <v>74</v>
      </c>
      <c r="K563" s="74" t="str">
        <f t="shared" si="25"/>
        <v>61-90 Days</v>
      </c>
      <c r="L563" s="58" t="str">
        <f t="shared" si="26"/>
        <v>Substandard</v>
      </c>
    </row>
    <row r="564" spans="1:12" ht="16.5" customHeight="1" x14ac:dyDescent="0.35">
      <c r="A564" t="s">
        <v>304</v>
      </c>
      <c r="B564" t="s">
        <v>304</v>
      </c>
      <c r="C564">
        <v>0</v>
      </c>
      <c r="D564">
        <v>1000</v>
      </c>
      <c r="E564" t="s">
        <v>4258</v>
      </c>
      <c r="F564" t="s">
        <v>4258</v>
      </c>
      <c r="G564" t="s">
        <v>57</v>
      </c>
      <c r="H564" t="s">
        <v>3489</v>
      </c>
      <c r="I564" t="s">
        <v>3490</v>
      </c>
      <c r="J564" s="56">
        <f t="shared" si="24"/>
        <v>74</v>
      </c>
      <c r="K564" s="74" t="str">
        <f t="shared" si="25"/>
        <v>61-90 Days</v>
      </c>
      <c r="L564" s="58" t="str">
        <f t="shared" si="26"/>
        <v>Not Applicable</v>
      </c>
    </row>
    <row r="565" spans="1:12" ht="16.5" customHeight="1" x14ac:dyDescent="0.35">
      <c r="A565" t="s">
        <v>304</v>
      </c>
      <c r="B565" t="s">
        <v>304</v>
      </c>
      <c r="C565">
        <v>100000</v>
      </c>
      <c r="D565">
        <v>0</v>
      </c>
      <c r="E565" t="s">
        <v>4259</v>
      </c>
      <c r="F565" t="s">
        <v>4260</v>
      </c>
      <c r="G565" t="s">
        <v>57</v>
      </c>
      <c r="H565" t="s">
        <v>3455</v>
      </c>
      <c r="I565" t="s">
        <v>3490</v>
      </c>
      <c r="J565" s="56">
        <f t="shared" si="24"/>
        <v>74</v>
      </c>
      <c r="K565" s="74" t="str">
        <f t="shared" si="25"/>
        <v>61-90 Days</v>
      </c>
      <c r="L565" s="58" t="str">
        <f t="shared" si="26"/>
        <v>Substandard</v>
      </c>
    </row>
    <row r="566" spans="1:12" ht="16.5" customHeight="1" x14ac:dyDescent="0.35">
      <c r="A566" t="s">
        <v>304</v>
      </c>
      <c r="B566" t="s">
        <v>304</v>
      </c>
      <c r="C566">
        <v>14180</v>
      </c>
      <c r="D566">
        <v>0</v>
      </c>
      <c r="E566" t="s">
        <v>4261</v>
      </c>
      <c r="F566" t="s">
        <v>4261</v>
      </c>
      <c r="G566" t="s">
        <v>57</v>
      </c>
      <c r="H566" t="s">
        <v>4262</v>
      </c>
      <c r="I566" t="s">
        <v>3507</v>
      </c>
      <c r="J566" s="56">
        <f t="shared" si="24"/>
        <v>74</v>
      </c>
      <c r="K566" s="74" t="str">
        <f t="shared" si="25"/>
        <v>61-90 Days</v>
      </c>
      <c r="L566" s="58" t="str">
        <f t="shared" si="26"/>
        <v>Substandard</v>
      </c>
    </row>
    <row r="567" spans="1:12" ht="16.5" customHeight="1" x14ac:dyDescent="0.35">
      <c r="A567" t="s">
        <v>304</v>
      </c>
      <c r="B567" t="s">
        <v>304</v>
      </c>
      <c r="C567">
        <v>0</v>
      </c>
      <c r="D567">
        <v>39407.5</v>
      </c>
      <c r="E567" t="s">
        <v>4263</v>
      </c>
      <c r="F567" t="s">
        <v>4263</v>
      </c>
      <c r="G567" t="s">
        <v>57</v>
      </c>
      <c r="H567" t="s">
        <v>3914</v>
      </c>
      <c r="I567" t="s">
        <v>3643</v>
      </c>
      <c r="J567" s="56">
        <f t="shared" si="24"/>
        <v>74</v>
      </c>
      <c r="K567" s="74" t="str">
        <f t="shared" si="25"/>
        <v>61-90 Days</v>
      </c>
      <c r="L567" s="58" t="str">
        <f t="shared" si="26"/>
        <v>Not Applicable</v>
      </c>
    </row>
    <row r="568" spans="1:12" ht="16.5" customHeight="1" x14ac:dyDescent="0.35">
      <c r="A568" t="s">
        <v>304</v>
      </c>
      <c r="B568" t="s">
        <v>304</v>
      </c>
      <c r="C568">
        <v>2000000</v>
      </c>
      <c r="D568">
        <v>0</v>
      </c>
      <c r="E568" t="s">
        <v>4264</v>
      </c>
      <c r="F568" t="s">
        <v>4264</v>
      </c>
      <c r="G568" t="s">
        <v>57</v>
      </c>
      <c r="H568" t="s">
        <v>4196</v>
      </c>
      <c r="I568" t="s">
        <v>3507</v>
      </c>
      <c r="J568" s="56">
        <f t="shared" si="24"/>
        <v>74</v>
      </c>
      <c r="K568" s="74" t="str">
        <f t="shared" si="25"/>
        <v>61-90 Days</v>
      </c>
      <c r="L568" s="58" t="str">
        <f t="shared" si="26"/>
        <v>Substandard</v>
      </c>
    </row>
    <row r="569" spans="1:12" ht="16.5" customHeight="1" x14ac:dyDescent="0.35">
      <c r="A569" t="s">
        <v>304</v>
      </c>
      <c r="B569" t="s">
        <v>304</v>
      </c>
      <c r="C569">
        <v>56.64</v>
      </c>
      <c r="D569">
        <v>0</v>
      </c>
      <c r="E569" t="s">
        <v>4265</v>
      </c>
      <c r="F569" t="s">
        <v>4265</v>
      </c>
      <c r="G569" t="s">
        <v>57</v>
      </c>
      <c r="H569" t="s">
        <v>3476</v>
      </c>
      <c r="I569" t="s">
        <v>3507</v>
      </c>
      <c r="J569" s="56">
        <f t="shared" si="24"/>
        <v>74</v>
      </c>
      <c r="K569" s="74" t="str">
        <f t="shared" si="25"/>
        <v>61-90 Days</v>
      </c>
      <c r="L569" s="58" t="str">
        <f t="shared" si="26"/>
        <v>Substandard</v>
      </c>
    </row>
    <row r="570" spans="1:12" ht="16.5" customHeight="1" x14ac:dyDescent="0.35">
      <c r="A570" t="s">
        <v>304</v>
      </c>
      <c r="B570" t="s">
        <v>304</v>
      </c>
      <c r="C570">
        <v>0</v>
      </c>
      <c r="D570">
        <v>100</v>
      </c>
      <c r="E570" t="s">
        <v>4266</v>
      </c>
      <c r="F570" t="s">
        <v>4266</v>
      </c>
      <c r="G570" t="s">
        <v>57</v>
      </c>
      <c r="H570" t="s">
        <v>3489</v>
      </c>
      <c r="I570" t="s">
        <v>3490</v>
      </c>
      <c r="J570" s="56">
        <f t="shared" si="24"/>
        <v>74</v>
      </c>
      <c r="K570" s="74" t="str">
        <f t="shared" si="25"/>
        <v>61-90 Days</v>
      </c>
      <c r="L570" s="58" t="str">
        <f t="shared" si="26"/>
        <v>Not Applicable</v>
      </c>
    </row>
    <row r="571" spans="1:12" ht="16.5" customHeight="1" x14ac:dyDescent="0.35">
      <c r="A571" t="s">
        <v>304</v>
      </c>
      <c r="B571" t="s">
        <v>304</v>
      </c>
      <c r="C571">
        <v>2050</v>
      </c>
      <c r="D571">
        <v>0</v>
      </c>
      <c r="E571" t="s">
        <v>4267</v>
      </c>
      <c r="F571" t="s">
        <v>4267</v>
      </c>
      <c r="G571" t="s">
        <v>57</v>
      </c>
      <c r="H571" t="s">
        <v>3455</v>
      </c>
      <c r="I571" t="s">
        <v>3507</v>
      </c>
      <c r="J571" s="56">
        <f t="shared" si="24"/>
        <v>74</v>
      </c>
      <c r="K571" s="74" t="str">
        <f t="shared" si="25"/>
        <v>61-90 Days</v>
      </c>
      <c r="L571" s="58" t="str">
        <f t="shared" si="26"/>
        <v>Substandard</v>
      </c>
    </row>
    <row r="572" spans="1:12" ht="16.5" customHeight="1" x14ac:dyDescent="0.35">
      <c r="A572" t="s">
        <v>304</v>
      </c>
      <c r="B572" t="s">
        <v>304</v>
      </c>
      <c r="C572">
        <v>0</v>
      </c>
      <c r="D572">
        <v>1000</v>
      </c>
      <c r="E572" t="s">
        <v>4268</v>
      </c>
      <c r="F572" t="s">
        <v>4268</v>
      </c>
      <c r="G572" t="s">
        <v>57</v>
      </c>
      <c r="H572" t="s">
        <v>3489</v>
      </c>
      <c r="I572" t="s">
        <v>3490</v>
      </c>
      <c r="J572" s="56">
        <f t="shared" si="24"/>
        <v>74</v>
      </c>
      <c r="K572" s="74" t="str">
        <f t="shared" si="25"/>
        <v>61-90 Days</v>
      </c>
      <c r="L572" s="58" t="str">
        <f t="shared" si="26"/>
        <v>Not Applicable</v>
      </c>
    </row>
    <row r="573" spans="1:12" ht="16.5" customHeight="1" x14ac:dyDescent="0.35">
      <c r="A573" t="s">
        <v>304</v>
      </c>
      <c r="B573" t="s">
        <v>304</v>
      </c>
      <c r="C573">
        <v>0</v>
      </c>
      <c r="D573">
        <v>1000</v>
      </c>
      <c r="E573" t="s">
        <v>4269</v>
      </c>
      <c r="F573" t="s">
        <v>4270</v>
      </c>
      <c r="G573" t="s">
        <v>57</v>
      </c>
      <c r="H573" t="s">
        <v>3489</v>
      </c>
      <c r="I573" t="s">
        <v>3490</v>
      </c>
      <c r="J573" s="56">
        <f t="shared" si="24"/>
        <v>74</v>
      </c>
      <c r="K573" s="74" t="str">
        <f t="shared" si="25"/>
        <v>61-90 Days</v>
      </c>
      <c r="L573" s="58" t="str">
        <f t="shared" si="26"/>
        <v>Not Applicable</v>
      </c>
    </row>
    <row r="574" spans="1:12" ht="16.5" customHeight="1" x14ac:dyDescent="0.35">
      <c r="A574" t="s">
        <v>304</v>
      </c>
      <c r="B574" t="s">
        <v>304</v>
      </c>
      <c r="C574">
        <v>0</v>
      </c>
      <c r="D574">
        <v>1980</v>
      </c>
      <c r="E574" t="s">
        <v>4271</v>
      </c>
      <c r="F574" t="s">
        <v>4272</v>
      </c>
      <c r="G574" t="s">
        <v>57</v>
      </c>
      <c r="H574" t="s">
        <v>3532</v>
      </c>
      <c r="I574" t="s">
        <v>3490</v>
      </c>
      <c r="J574" s="56">
        <f t="shared" si="24"/>
        <v>74</v>
      </c>
      <c r="K574" s="74" t="str">
        <f t="shared" si="25"/>
        <v>61-90 Days</v>
      </c>
      <c r="L574" s="58" t="str">
        <f t="shared" si="26"/>
        <v>Not Applicable</v>
      </c>
    </row>
    <row r="575" spans="1:12" ht="16.5" customHeight="1" x14ac:dyDescent="0.35">
      <c r="A575" t="s">
        <v>304</v>
      </c>
      <c r="B575" t="s">
        <v>304</v>
      </c>
      <c r="C575">
        <v>150</v>
      </c>
      <c r="D575">
        <v>0</v>
      </c>
      <c r="E575" t="s">
        <v>4273</v>
      </c>
      <c r="F575" t="s">
        <v>4273</v>
      </c>
      <c r="G575" t="s">
        <v>57</v>
      </c>
      <c r="H575" t="s">
        <v>3476</v>
      </c>
      <c r="I575" t="s">
        <v>3507</v>
      </c>
      <c r="J575" s="56">
        <f t="shared" si="24"/>
        <v>74</v>
      </c>
      <c r="K575" s="74" t="str">
        <f t="shared" si="25"/>
        <v>61-90 Days</v>
      </c>
      <c r="L575" s="58" t="str">
        <f t="shared" si="26"/>
        <v>Substandard</v>
      </c>
    </row>
    <row r="576" spans="1:12" ht="16.5" customHeight="1" x14ac:dyDescent="0.35">
      <c r="A576" t="s">
        <v>304</v>
      </c>
      <c r="B576" t="s">
        <v>304</v>
      </c>
      <c r="C576">
        <v>1970.6</v>
      </c>
      <c r="D576">
        <v>0</v>
      </c>
      <c r="E576" t="s">
        <v>4274</v>
      </c>
      <c r="F576" t="s">
        <v>4274</v>
      </c>
      <c r="G576" t="s">
        <v>57</v>
      </c>
      <c r="H576" t="s">
        <v>3476</v>
      </c>
      <c r="I576" t="s">
        <v>3507</v>
      </c>
      <c r="J576" s="56">
        <f t="shared" si="24"/>
        <v>74</v>
      </c>
      <c r="K576" s="74" t="str">
        <f t="shared" si="25"/>
        <v>61-90 Days</v>
      </c>
      <c r="L576" s="58" t="str">
        <f t="shared" si="26"/>
        <v>Substandard</v>
      </c>
    </row>
    <row r="577" spans="1:12" ht="16.5" customHeight="1" x14ac:dyDescent="0.35">
      <c r="A577" t="s">
        <v>304</v>
      </c>
      <c r="B577" t="s">
        <v>304</v>
      </c>
      <c r="C577">
        <v>807.12</v>
      </c>
      <c r="D577">
        <v>0</v>
      </c>
      <c r="E577" t="s">
        <v>4275</v>
      </c>
      <c r="F577" t="s">
        <v>4275</v>
      </c>
      <c r="G577" t="s">
        <v>57</v>
      </c>
      <c r="H577" t="s">
        <v>3476</v>
      </c>
      <c r="I577" t="s">
        <v>3507</v>
      </c>
      <c r="J577" s="56">
        <f t="shared" si="24"/>
        <v>74</v>
      </c>
      <c r="K577" s="74" t="str">
        <f t="shared" si="25"/>
        <v>61-90 Days</v>
      </c>
      <c r="L577" s="58" t="str">
        <f t="shared" si="26"/>
        <v>Substandard</v>
      </c>
    </row>
    <row r="578" spans="1:12" ht="16.5" customHeight="1" x14ac:dyDescent="0.35">
      <c r="A578" t="s">
        <v>304</v>
      </c>
      <c r="B578" t="s">
        <v>304</v>
      </c>
      <c r="C578">
        <v>0</v>
      </c>
      <c r="D578">
        <v>9000</v>
      </c>
      <c r="E578" t="s">
        <v>4276</v>
      </c>
      <c r="F578" t="s">
        <v>4276</v>
      </c>
      <c r="G578" t="s">
        <v>57</v>
      </c>
      <c r="H578" t="s">
        <v>3489</v>
      </c>
      <c r="I578" t="s">
        <v>3490</v>
      </c>
      <c r="J578" s="56">
        <f t="shared" si="24"/>
        <v>74</v>
      </c>
      <c r="K578" s="74" t="str">
        <f t="shared" si="25"/>
        <v>61-90 Days</v>
      </c>
      <c r="L578" s="58" t="str">
        <f t="shared" si="26"/>
        <v>Not Applicable</v>
      </c>
    </row>
    <row r="579" spans="1:12" ht="16.5" customHeight="1" x14ac:dyDescent="0.35">
      <c r="A579" t="s">
        <v>304</v>
      </c>
      <c r="B579" t="s">
        <v>304</v>
      </c>
      <c r="C579">
        <v>150</v>
      </c>
      <c r="D579">
        <v>0</v>
      </c>
      <c r="E579" t="s">
        <v>4277</v>
      </c>
      <c r="F579" t="s">
        <v>4277</v>
      </c>
      <c r="G579" t="s">
        <v>57</v>
      </c>
      <c r="H579" t="s">
        <v>3476</v>
      </c>
      <c r="I579" t="s">
        <v>3507</v>
      </c>
      <c r="J579" s="56">
        <f t="shared" si="24"/>
        <v>74</v>
      </c>
      <c r="K579" s="74" t="str">
        <f t="shared" si="25"/>
        <v>61-90 Days</v>
      </c>
      <c r="L579" s="58" t="str">
        <f t="shared" si="26"/>
        <v>Substandard</v>
      </c>
    </row>
    <row r="580" spans="1:12" ht="16.5" customHeight="1" x14ac:dyDescent="0.35">
      <c r="A580" t="s">
        <v>308</v>
      </c>
      <c r="B580" t="s">
        <v>308</v>
      </c>
      <c r="C580">
        <v>0</v>
      </c>
      <c r="D580">
        <v>250</v>
      </c>
      <c r="E580" t="s">
        <v>4278</v>
      </c>
      <c r="F580" t="s">
        <v>3499</v>
      </c>
      <c r="G580" t="s">
        <v>57</v>
      </c>
      <c r="H580" t="s">
        <v>3489</v>
      </c>
      <c r="I580" t="s">
        <v>3490</v>
      </c>
      <c r="J580" s="56">
        <f t="shared" si="24"/>
        <v>73</v>
      </c>
      <c r="K580" s="74" t="str">
        <f t="shared" si="25"/>
        <v>61-90 Days</v>
      </c>
      <c r="L580" s="58" t="str">
        <f t="shared" si="26"/>
        <v>Not Applicable</v>
      </c>
    </row>
    <row r="581" spans="1:12" ht="16.5" customHeight="1" x14ac:dyDescent="0.35">
      <c r="A581" t="s">
        <v>308</v>
      </c>
      <c r="B581" t="s">
        <v>308</v>
      </c>
      <c r="C581">
        <v>0</v>
      </c>
      <c r="D581">
        <v>360</v>
      </c>
      <c r="E581" t="s">
        <v>4279</v>
      </c>
      <c r="F581" t="s">
        <v>4279</v>
      </c>
      <c r="G581" t="s">
        <v>57</v>
      </c>
      <c r="H581" t="s">
        <v>3489</v>
      </c>
      <c r="I581" t="s">
        <v>3490</v>
      </c>
      <c r="J581" s="56">
        <f t="shared" si="24"/>
        <v>73</v>
      </c>
      <c r="K581" s="74" t="str">
        <f t="shared" si="25"/>
        <v>61-90 Days</v>
      </c>
      <c r="L581" s="58" t="str">
        <f t="shared" si="26"/>
        <v>Not Applicable</v>
      </c>
    </row>
    <row r="582" spans="1:12" ht="16.5" customHeight="1" x14ac:dyDescent="0.35">
      <c r="A582" t="s">
        <v>308</v>
      </c>
      <c r="B582" t="s">
        <v>308</v>
      </c>
      <c r="C582">
        <v>0</v>
      </c>
      <c r="D582">
        <v>1400</v>
      </c>
      <c r="E582" t="s">
        <v>4280</v>
      </c>
      <c r="F582" t="s">
        <v>4280</v>
      </c>
      <c r="G582" t="s">
        <v>57</v>
      </c>
      <c r="H582" t="s">
        <v>3489</v>
      </c>
      <c r="I582" t="s">
        <v>3490</v>
      </c>
      <c r="J582" s="56">
        <f t="shared" si="24"/>
        <v>73</v>
      </c>
      <c r="K582" s="74" t="str">
        <f t="shared" si="25"/>
        <v>61-90 Days</v>
      </c>
      <c r="L582" s="58" t="str">
        <f t="shared" si="26"/>
        <v>Not Applicable</v>
      </c>
    </row>
    <row r="583" spans="1:12" ht="16.5" customHeight="1" x14ac:dyDescent="0.35">
      <c r="A583" t="s">
        <v>308</v>
      </c>
      <c r="B583" t="s">
        <v>308</v>
      </c>
      <c r="C583">
        <v>0</v>
      </c>
      <c r="D583">
        <v>1640</v>
      </c>
      <c r="E583" t="s">
        <v>4281</v>
      </c>
      <c r="F583" t="s">
        <v>4281</v>
      </c>
      <c r="G583" t="s">
        <v>57</v>
      </c>
      <c r="H583" t="s">
        <v>3489</v>
      </c>
      <c r="I583" t="s">
        <v>3490</v>
      </c>
      <c r="J583" s="56">
        <f t="shared" si="24"/>
        <v>73</v>
      </c>
      <c r="K583" s="74" t="str">
        <f t="shared" si="25"/>
        <v>61-90 Days</v>
      </c>
      <c r="L583" s="58" t="str">
        <f t="shared" si="26"/>
        <v>Not Applicable</v>
      </c>
    </row>
    <row r="584" spans="1:12" ht="16.5" customHeight="1" x14ac:dyDescent="0.35">
      <c r="A584" t="s">
        <v>308</v>
      </c>
      <c r="B584" t="s">
        <v>308</v>
      </c>
      <c r="C584">
        <v>0</v>
      </c>
      <c r="D584">
        <v>250</v>
      </c>
      <c r="E584" t="s">
        <v>4282</v>
      </c>
      <c r="F584" t="s">
        <v>4282</v>
      </c>
      <c r="G584" t="s">
        <v>57</v>
      </c>
      <c r="H584" t="s">
        <v>3489</v>
      </c>
      <c r="I584" t="s">
        <v>3490</v>
      </c>
      <c r="J584" s="56">
        <f t="shared" si="24"/>
        <v>73</v>
      </c>
      <c r="K584" s="74" t="str">
        <f t="shared" si="25"/>
        <v>61-90 Days</v>
      </c>
      <c r="L584" s="58" t="str">
        <f t="shared" si="26"/>
        <v>Not Applicable</v>
      </c>
    </row>
    <row r="585" spans="1:12" ht="16.5" customHeight="1" x14ac:dyDescent="0.35">
      <c r="A585" t="s">
        <v>308</v>
      </c>
      <c r="B585" t="s">
        <v>308</v>
      </c>
      <c r="C585">
        <v>0</v>
      </c>
      <c r="D585">
        <v>2050</v>
      </c>
      <c r="E585" t="s">
        <v>4283</v>
      </c>
      <c r="F585" t="s">
        <v>4283</v>
      </c>
      <c r="G585" t="s">
        <v>57</v>
      </c>
      <c r="H585" t="s">
        <v>3489</v>
      </c>
      <c r="I585" t="s">
        <v>3490</v>
      </c>
      <c r="J585" s="56">
        <f t="shared" ref="J585:J648" si="27">IF(A585="","",A$5-A585)</f>
        <v>73</v>
      </c>
      <c r="K585" s="74" t="str">
        <f t="shared" ref="K585:K648" si="28">IF(J585="","",IF(J585&lt;4,"0-3 Days",IF(J585&lt;31,"4-30 Days",IF(J585&lt;61,"31-60 Days",IF(J585&lt;=90,"61-90 Days",IF(J585&gt;90,"Above 90 Days","0"))))))</f>
        <v>61-90 Days</v>
      </c>
      <c r="L585" s="58" t="str">
        <f t="shared" ref="L585:L648" si="29">IF(C585="","",IF(C585&gt;0,IF(J585&lt;30,"Normal",IF(J585&lt;60,"Especially Mentioned",IF(J585&lt;90,"Substandard",IF(J585&lt;=180,"Doubtful",IF(J585&gt;180,"Loss","0"))))),"Not Applicable"))</f>
        <v>Not Applicable</v>
      </c>
    </row>
    <row r="586" spans="1:12" ht="16.5" customHeight="1" x14ac:dyDescent="0.35">
      <c r="A586" t="s">
        <v>308</v>
      </c>
      <c r="B586" t="s">
        <v>308</v>
      </c>
      <c r="C586">
        <v>0</v>
      </c>
      <c r="D586">
        <v>1000</v>
      </c>
      <c r="E586" t="s">
        <v>4284</v>
      </c>
      <c r="F586" t="s">
        <v>4285</v>
      </c>
      <c r="G586" t="s">
        <v>57</v>
      </c>
      <c r="H586" t="s">
        <v>3489</v>
      </c>
      <c r="I586" t="s">
        <v>3490</v>
      </c>
      <c r="J586" s="56">
        <f t="shared" si="27"/>
        <v>73</v>
      </c>
      <c r="K586" s="74" t="str">
        <f t="shared" si="28"/>
        <v>61-90 Days</v>
      </c>
      <c r="L586" s="58" t="str">
        <f t="shared" si="29"/>
        <v>Not Applicable</v>
      </c>
    </row>
    <row r="587" spans="1:12" ht="16.5" customHeight="1" x14ac:dyDescent="0.35">
      <c r="A587" t="s">
        <v>308</v>
      </c>
      <c r="B587" t="s">
        <v>308</v>
      </c>
      <c r="C587">
        <v>1920</v>
      </c>
      <c r="D587">
        <v>0</v>
      </c>
      <c r="E587" t="s">
        <v>4286</v>
      </c>
      <c r="F587" t="s">
        <v>4287</v>
      </c>
      <c r="G587" t="s">
        <v>57</v>
      </c>
      <c r="H587" t="s">
        <v>3886</v>
      </c>
      <c r="I587" t="s">
        <v>3490</v>
      </c>
      <c r="J587" s="56">
        <f t="shared" si="27"/>
        <v>73</v>
      </c>
      <c r="K587" s="74" t="str">
        <f t="shared" si="28"/>
        <v>61-90 Days</v>
      </c>
      <c r="L587" s="58" t="str">
        <f t="shared" si="29"/>
        <v>Substandard</v>
      </c>
    </row>
    <row r="588" spans="1:12" ht="16.5" customHeight="1" x14ac:dyDescent="0.35">
      <c r="A588" t="s">
        <v>308</v>
      </c>
      <c r="B588" t="s">
        <v>308</v>
      </c>
      <c r="C588">
        <v>0</v>
      </c>
      <c r="D588">
        <v>1000</v>
      </c>
      <c r="E588" t="s">
        <v>4288</v>
      </c>
      <c r="F588" t="s">
        <v>4289</v>
      </c>
      <c r="G588" t="s">
        <v>57</v>
      </c>
      <c r="H588" t="s">
        <v>3489</v>
      </c>
      <c r="I588" t="s">
        <v>3490</v>
      </c>
      <c r="J588" s="56">
        <f t="shared" si="27"/>
        <v>73</v>
      </c>
      <c r="K588" s="74" t="str">
        <f t="shared" si="28"/>
        <v>61-90 Days</v>
      </c>
      <c r="L588" s="58" t="str">
        <f t="shared" si="29"/>
        <v>Not Applicable</v>
      </c>
    </row>
    <row r="589" spans="1:12" ht="16.5" customHeight="1" x14ac:dyDescent="0.35">
      <c r="A589" t="s">
        <v>308</v>
      </c>
      <c r="B589" t="s">
        <v>308</v>
      </c>
      <c r="C589">
        <v>0</v>
      </c>
      <c r="D589">
        <v>1000</v>
      </c>
      <c r="E589" t="s">
        <v>4290</v>
      </c>
      <c r="F589" t="s">
        <v>4290</v>
      </c>
      <c r="G589" t="s">
        <v>57</v>
      </c>
      <c r="H589" t="s">
        <v>3489</v>
      </c>
      <c r="I589" t="s">
        <v>3490</v>
      </c>
      <c r="J589" s="56">
        <f t="shared" si="27"/>
        <v>73</v>
      </c>
      <c r="K589" s="74" t="str">
        <f t="shared" si="28"/>
        <v>61-90 Days</v>
      </c>
      <c r="L589" s="58" t="str">
        <f t="shared" si="29"/>
        <v>Not Applicable</v>
      </c>
    </row>
    <row r="590" spans="1:12" ht="16.5" customHeight="1" x14ac:dyDescent="0.35">
      <c r="A590" t="s">
        <v>308</v>
      </c>
      <c r="B590" t="s">
        <v>308</v>
      </c>
      <c r="C590">
        <v>0</v>
      </c>
      <c r="D590">
        <v>1000</v>
      </c>
      <c r="E590" t="s">
        <v>4291</v>
      </c>
      <c r="F590" t="s">
        <v>4292</v>
      </c>
      <c r="G590" t="s">
        <v>57</v>
      </c>
      <c r="H590" t="s">
        <v>3489</v>
      </c>
      <c r="I590" t="s">
        <v>3490</v>
      </c>
      <c r="J590" s="56">
        <f t="shared" si="27"/>
        <v>73</v>
      </c>
      <c r="K590" s="74" t="str">
        <f t="shared" si="28"/>
        <v>61-90 Days</v>
      </c>
      <c r="L590" s="58" t="str">
        <f t="shared" si="29"/>
        <v>Not Applicable</v>
      </c>
    </row>
    <row r="591" spans="1:12" ht="16.5" customHeight="1" x14ac:dyDescent="0.35">
      <c r="A591" t="s">
        <v>308</v>
      </c>
      <c r="B591" t="s">
        <v>308</v>
      </c>
      <c r="C591">
        <v>0</v>
      </c>
      <c r="D591">
        <v>250</v>
      </c>
      <c r="E591" t="s">
        <v>4293</v>
      </c>
      <c r="F591" t="s">
        <v>3574</v>
      </c>
      <c r="G591" t="s">
        <v>57</v>
      </c>
      <c r="H591" t="s">
        <v>3489</v>
      </c>
      <c r="I591" t="s">
        <v>3490</v>
      </c>
      <c r="J591" s="56">
        <f t="shared" si="27"/>
        <v>73</v>
      </c>
      <c r="K591" s="74" t="str">
        <f t="shared" si="28"/>
        <v>61-90 Days</v>
      </c>
      <c r="L591" s="58" t="str">
        <f t="shared" si="29"/>
        <v>Not Applicable</v>
      </c>
    </row>
    <row r="592" spans="1:12" ht="16.5" customHeight="1" x14ac:dyDescent="0.35">
      <c r="A592" t="s">
        <v>308</v>
      </c>
      <c r="B592" t="s">
        <v>308</v>
      </c>
      <c r="C592">
        <v>0</v>
      </c>
      <c r="D592">
        <v>250</v>
      </c>
      <c r="E592" t="s">
        <v>4294</v>
      </c>
      <c r="F592" t="s">
        <v>4294</v>
      </c>
      <c r="G592" t="s">
        <v>57</v>
      </c>
      <c r="H592" t="s">
        <v>3489</v>
      </c>
      <c r="I592" t="s">
        <v>3490</v>
      </c>
      <c r="J592" s="56">
        <f t="shared" si="27"/>
        <v>73</v>
      </c>
      <c r="K592" s="74" t="str">
        <f t="shared" si="28"/>
        <v>61-90 Days</v>
      </c>
      <c r="L592" s="58" t="str">
        <f t="shared" si="29"/>
        <v>Not Applicable</v>
      </c>
    </row>
    <row r="593" spans="1:12" ht="16.5" customHeight="1" x14ac:dyDescent="0.35">
      <c r="A593" t="s">
        <v>308</v>
      </c>
      <c r="B593" t="s">
        <v>308</v>
      </c>
      <c r="C593">
        <v>0</v>
      </c>
      <c r="D593">
        <v>675</v>
      </c>
      <c r="E593" t="s">
        <v>4295</v>
      </c>
      <c r="F593" t="s">
        <v>4295</v>
      </c>
      <c r="G593" t="s">
        <v>57</v>
      </c>
      <c r="H593" t="s">
        <v>3489</v>
      </c>
      <c r="I593" t="s">
        <v>3490</v>
      </c>
      <c r="J593" s="56">
        <f t="shared" si="27"/>
        <v>73</v>
      </c>
      <c r="K593" s="74" t="str">
        <f t="shared" si="28"/>
        <v>61-90 Days</v>
      </c>
      <c r="L593" s="58" t="str">
        <f t="shared" si="29"/>
        <v>Not Applicable</v>
      </c>
    </row>
    <row r="594" spans="1:12" ht="16.5" customHeight="1" x14ac:dyDescent="0.35">
      <c r="A594" t="s">
        <v>308</v>
      </c>
      <c r="B594" t="s">
        <v>308</v>
      </c>
      <c r="C594">
        <v>560</v>
      </c>
      <c r="D594">
        <v>0</v>
      </c>
      <c r="E594" t="s">
        <v>4296</v>
      </c>
      <c r="F594" t="s">
        <v>4297</v>
      </c>
      <c r="G594" t="s">
        <v>57</v>
      </c>
      <c r="H594" t="s">
        <v>3476</v>
      </c>
      <c r="I594" t="s">
        <v>3490</v>
      </c>
      <c r="J594" s="56">
        <f t="shared" si="27"/>
        <v>73</v>
      </c>
      <c r="K594" s="74" t="str">
        <f t="shared" si="28"/>
        <v>61-90 Days</v>
      </c>
      <c r="L594" s="58" t="str">
        <f t="shared" si="29"/>
        <v>Substandard</v>
      </c>
    </row>
    <row r="595" spans="1:12" ht="16.5" customHeight="1" x14ac:dyDescent="0.35">
      <c r="A595" t="s">
        <v>308</v>
      </c>
      <c r="B595" t="s">
        <v>308</v>
      </c>
      <c r="C595">
        <v>0</v>
      </c>
      <c r="D595">
        <v>1587</v>
      </c>
      <c r="E595" t="s">
        <v>4298</v>
      </c>
      <c r="F595" t="s">
        <v>4298</v>
      </c>
      <c r="G595" t="s">
        <v>57</v>
      </c>
      <c r="H595" t="s">
        <v>3489</v>
      </c>
      <c r="I595" t="s">
        <v>3490</v>
      </c>
      <c r="J595" s="56">
        <f t="shared" si="27"/>
        <v>73</v>
      </c>
      <c r="K595" s="74" t="str">
        <f t="shared" si="28"/>
        <v>61-90 Days</v>
      </c>
      <c r="L595" s="58" t="str">
        <f t="shared" si="29"/>
        <v>Not Applicable</v>
      </c>
    </row>
    <row r="596" spans="1:12" ht="16.5" customHeight="1" x14ac:dyDescent="0.35">
      <c r="A596" t="s">
        <v>308</v>
      </c>
      <c r="B596" t="s">
        <v>308</v>
      </c>
      <c r="C596">
        <v>250</v>
      </c>
      <c r="D596">
        <v>0</v>
      </c>
      <c r="E596" t="s">
        <v>4299</v>
      </c>
      <c r="F596" t="s">
        <v>4299</v>
      </c>
      <c r="G596" t="s">
        <v>57</v>
      </c>
      <c r="H596" t="s">
        <v>3471</v>
      </c>
      <c r="I596" t="s">
        <v>3507</v>
      </c>
      <c r="J596" s="56">
        <f t="shared" si="27"/>
        <v>73</v>
      </c>
      <c r="K596" s="74" t="str">
        <f t="shared" si="28"/>
        <v>61-90 Days</v>
      </c>
      <c r="L596" s="58" t="str">
        <f t="shared" si="29"/>
        <v>Substandard</v>
      </c>
    </row>
    <row r="597" spans="1:12" ht="16.5" customHeight="1" x14ac:dyDescent="0.35">
      <c r="A597" t="s">
        <v>308</v>
      </c>
      <c r="B597" t="s">
        <v>308</v>
      </c>
      <c r="C597">
        <v>0</v>
      </c>
      <c r="D597">
        <v>1000</v>
      </c>
      <c r="E597" t="s">
        <v>4300</v>
      </c>
      <c r="F597" t="s">
        <v>4301</v>
      </c>
      <c r="G597" t="s">
        <v>57</v>
      </c>
      <c r="H597" t="s">
        <v>3489</v>
      </c>
      <c r="I597" t="s">
        <v>3490</v>
      </c>
      <c r="J597" s="56">
        <f t="shared" si="27"/>
        <v>73</v>
      </c>
      <c r="K597" s="74" t="str">
        <f t="shared" si="28"/>
        <v>61-90 Days</v>
      </c>
      <c r="L597" s="58" t="str">
        <f t="shared" si="29"/>
        <v>Not Applicable</v>
      </c>
    </row>
    <row r="598" spans="1:12" ht="16.5" customHeight="1" x14ac:dyDescent="0.35">
      <c r="A598" t="s">
        <v>308</v>
      </c>
      <c r="B598" t="s">
        <v>308</v>
      </c>
      <c r="C598">
        <v>0</v>
      </c>
      <c r="D598">
        <v>550</v>
      </c>
      <c r="E598" t="s">
        <v>4302</v>
      </c>
      <c r="F598" t="s">
        <v>4302</v>
      </c>
      <c r="G598" t="s">
        <v>57</v>
      </c>
      <c r="H598" t="s">
        <v>3489</v>
      </c>
      <c r="I598" t="s">
        <v>3490</v>
      </c>
      <c r="J598" s="56">
        <f t="shared" si="27"/>
        <v>73</v>
      </c>
      <c r="K598" s="74" t="str">
        <f t="shared" si="28"/>
        <v>61-90 Days</v>
      </c>
      <c r="L598" s="58" t="str">
        <f t="shared" si="29"/>
        <v>Not Applicable</v>
      </c>
    </row>
    <row r="599" spans="1:12" ht="16.5" customHeight="1" x14ac:dyDescent="0.35">
      <c r="A599" t="s">
        <v>308</v>
      </c>
      <c r="B599" t="s">
        <v>308</v>
      </c>
      <c r="C599">
        <v>0</v>
      </c>
      <c r="D599">
        <v>1000</v>
      </c>
      <c r="E599" t="s">
        <v>4303</v>
      </c>
      <c r="F599" t="s">
        <v>4304</v>
      </c>
      <c r="G599" t="s">
        <v>57</v>
      </c>
      <c r="H599" t="s">
        <v>3489</v>
      </c>
      <c r="I599" t="s">
        <v>3490</v>
      </c>
      <c r="J599" s="56">
        <f t="shared" si="27"/>
        <v>73</v>
      </c>
      <c r="K599" s="74" t="str">
        <f t="shared" si="28"/>
        <v>61-90 Days</v>
      </c>
      <c r="L599" s="58" t="str">
        <f t="shared" si="29"/>
        <v>Not Applicable</v>
      </c>
    </row>
    <row r="600" spans="1:12" ht="16.5" customHeight="1" x14ac:dyDescent="0.35">
      <c r="A600" t="s">
        <v>308</v>
      </c>
      <c r="B600" t="s">
        <v>308</v>
      </c>
      <c r="C600">
        <v>0</v>
      </c>
      <c r="D600">
        <v>1000</v>
      </c>
      <c r="E600" t="s">
        <v>4305</v>
      </c>
      <c r="F600" t="s">
        <v>4305</v>
      </c>
      <c r="G600" t="s">
        <v>57</v>
      </c>
      <c r="H600" t="s">
        <v>3489</v>
      </c>
      <c r="I600" t="s">
        <v>3490</v>
      </c>
      <c r="J600" s="56">
        <f t="shared" si="27"/>
        <v>73</v>
      </c>
      <c r="K600" s="74" t="str">
        <f t="shared" si="28"/>
        <v>61-90 Days</v>
      </c>
      <c r="L600" s="58" t="str">
        <f t="shared" si="29"/>
        <v>Not Applicable</v>
      </c>
    </row>
    <row r="601" spans="1:12" ht="16.5" customHeight="1" x14ac:dyDescent="0.35">
      <c r="A601" t="s">
        <v>308</v>
      </c>
      <c r="B601" t="s">
        <v>308</v>
      </c>
      <c r="C601">
        <v>0</v>
      </c>
      <c r="D601">
        <v>1000</v>
      </c>
      <c r="E601" t="s">
        <v>4306</v>
      </c>
      <c r="F601" t="s">
        <v>4306</v>
      </c>
      <c r="G601" t="s">
        <v>57</v>
      </c>
      <c r="H601" t="s">
        <v>3489</v>
      </c>
      <c r="I601" t="s">
        <v>3490</v>
      </c>
      <c r="J601" s="56">
        <f t="shared" si="27"/>
        <v>73</v>
      </c>
      <c r="K601" s="74" t="str">
        <f t="shared" si="28"/>
        <v>61-90 Days</v>
      </c>
      <c r="L601" s="58" t="str">
        <f t="shared" si="29"/>
        <v>Not Applicable</v>
      </c>
    </row>
    <row r="602" spans="1:12" ht="16.5" customHeight="1" x14ac:dyDescent="0.35">
      <c r="A602" t="s">
        <v>308</v>
      </c>
      <c r="B602" t="s">
        <v>308</v>
      </c>
      <c r="C602">
        <v>0</v>
      </c>
      <c r="D602">
        <v>2055</v>
      </c>
      <c r="E602" t="s">
        <v>4307</v>
      </c>
      <c r="F602" t="s">
        <v>4307</v>
      </c>
      <c r="G602" t="s">
        <v>57</v>
      </c>
      <c r="H602" t="s">
        <v>3489</v>
      </c>
      <c r="I602" t="s">
        <v>3490</v>
      </c>
      <c r="J602" s="56">
        <f t="shared" si="27"/>
        <v>73</v>
      </c>
      <c r="K602" s="74" t="str">
        <f t="shared" si="28"/>
        <v>61-90 Days</v>
      </c>
      <c r="L602" s="58" t="str">
        <f t="shared" si="29"/>
        <v>Not Applicable</v>
      </c>
    </row>
    <row r="603" spans="1:12" ht="16.5" customHeight="1" x14ac:dyDescent="0.35">
      <c r="A603" t="s">
        <v>308</v>
      </c>
      <c r="B603" t="s">
        <v>308</v>
      </c>
      <c r="C603">
        <v>0</v>
      </c>
      <c r="D603">
        <v>205</v>
      </c>
      <c r="E603" t="s">
        <v>4308</v>
      </c>
      <c r="F603" t="s">
        <v>4309</v>
      </c>
      <c r="G603" t="s">
        <v>57</v>
      </c>
      <c r="H603" t="s">
        <v>3532</v>
      </c>
      <c r="I603" t="s">
        <v>3490</v>
      </c>
      <c r="J603" s="56">
        <f t="shared" si="27"/>
        <v>73</v>
      </c>
      <c r="K603" s="74" t="str">
        <f t="shared" si="28"/>
        <v>61-90 Days</v>
      </c>
      <c r="L603" s="58" t="str">
        <f t="shared" si="29"/>
        <v>Not Applicable</v>
      </c>
    </row>
    <row r="604" spans="1:12" ht="16.5" customHeight="1" x14ac:dyDescent="0.35">
      <c r="A604" t="s">
        <v>308</v>
      </c>
      <c r="B604" t="s">
        <v>308</v>
      </c>
      <c r="C604">
        <v>0</v>
      </c>
      <c r="D604">
        <v>2050</v>
      </c>
      <c r="E604" t="s">
        <v>4310</v>
      </c>
      <c r="F604" t="s">
        <v>4310</v>
      </c>
      <c r="G604" t="s">
        <v>57</v>
      </c>
      <c r="H604" t="s">
        <v>3489</v>
      </c>
      <c r="I604" t="s">
        <v>3490</v>
      </c>
      <c r="J604" s="56">
        <f t="shared" si="27"/>
        <v>73</v>
      </c>
      <c r="K604" s="74" t="str">
        <f t="shared" si="28"/>
        <v>61-90 Days</v>
      </c>
      <c r="L604" s="58" t="str">
        <f t="shared" si="29"/>
        <v>Not Applicable</v>
      </c>
    </row>
    <row r="605" spans="1:12" ht="16.5" customHeight="1" x14ac:dyDescent="0.35">
      <c r="A605" t="s">
        <v>308</v>
      </c>
      <c r="B605" t="s">
        <v>308</v>
      </c>
      <c r="C605">
        <v>0</v>
      </c>
      <c r="D605">
        <v>200</v>
      </c>
      <c r="E605" t="s">
        <v>4311</v>
      </c>
      <c r="F605" t="s">
        <v>4311</v>
      </c>
      <c r="G605" t="s">
        <v>57</v>
      </c>
      <c r="H605" t="s">
        <v>3489</v>
      </c>
      <c r="I605" t="s">
        <v>3490</v>
      </c>
      <c r="J605" s="56">
        <f t="shared" si="27"/>
        <v>73</v>
      </c>
      <c r="K605" s="74" t="str">
        <f t="shared" si="28"/>
        <v>61-90 Days</v>
      </c>
      <c r="L605" s="58" t="str">
        <f t="shared" si="29"/>
        <v>Not Applicable</v>
      </c>
    </row>
    <row r="606" spans="1:12" ht="16.5" customHeight="1" x14ac:dyDescent="0.35">
      <c r="A606" t="s">
        <v>308</v>
      </c>
      <c r="B606" t="s">
        <v>308</v>
      </c>
      <c r="C606">
        <v>0</v>
      </c>
      <c r="D606">
        <v>2650</v>
      </c>
      <c r="E606" t="s">
        <v>4312</v>
      </c>
      <c r="F606" t="s">
        <v>4312</v>
      </c>
      <c r="G606" t="s">
        <v>57</v>
      </c>
      <c r="H606" t="s">
        <v>3489</v>
      </c>
      <c r="I606" t="s">
        <v>3490</v>
      </c>
      <c r="J606" s="56">
        <f t="shared" si="27"/>
        <v>73</v>
      </c>
      <c r="K606" s="74" t="str">
        <f t="shared" si="28"/>
        <v>61-90 Days</v>
      </c>
      <c r="L606" s="58" t="str">
        <f t="shared" si="29"/>
        <v>Not Applicable</v>
      </c>
    </row>
    <row r="607" spans="1:12" ht="16.5" customHeight="1" x14ac:dyDescent="0.35">
      <c r="A607" t="s">
        <v>308</v>
      </c>
      <c r="B607" t="s">
        <v>308</v>
      </c>
      <c r="C607">
        <v>0</v>
      </c>
      <c r="D607">
        <v>50</v>
      </c>
      <c r="E607" t="s">
        <v>4313</v>
      </c>
      <c r="F607" t="s">
        <v>4313</v>
      </c>
      <c r="G607" t="s">
        <v>57</v>
      </c>
      <c r="H607" t="s">
        <v>3489</v>
      </c>
      <c r="I607" t="s">
        <v>3490</v>
      </c>
      <c r="J607" s="56">
        <f t="shared" si="27"/>
        <v>73</v>
      </c>
      <c r="K607" s="74" t="str">
        <f t="shared" si="28"/>
        <v>61-90 Days</v>
      </c>
      <c r="L607" s="58" t="str">
        <f t="shared" si="29"/>
        <v>Not Applicable</v>
      </c>
    </row>
    <row r="608" spans="1:12" ht="16.5" customHeight="1" x14ac:dyDescent="0.35">
      <c r="A608" t="s">
        <v>308</v>
      </c>
      <c r="B608" t="s">
        <v>308</v>
      </c>
      <c r="C608">
        <v>0</v>
      </c>
      <c r="D608">
        <v>2050</v>
      </c>
      <c r="E608" t="s">
        <v>4314</v>
      </c>
      <c r="F608" t="s">
        <v>4314</v>
      </c>
      <c r="G608" t="s">
        <v>57</v>
      </c>
      <c r="H608" t="s">
        <v>3532</v>
      </c>
      <c r="I608" t="s">
        <v>3490</v>
      </c>
      <c r="J608" s="56">
        <f t="shared" si="27"/>
        <v>73</v>
      </c>
      <c r="K608" s="74" t="str">
        <f t="shared" si="28"/>
        <v>61-90 Days</v>
      </c>
      <c r="L608" s="58" t="str">
        <f t="shared" si="29"/>
        <v>Not Applicable</v>
      </c>
    </row>
    <row r="609" spans="1:12" ht="16.5" customHeight="1" x14ac:dyDescent="0.35">
      <c r="A609" t="s">
        <v>308</v>
      </c>
      <c r="B609" t="s">
        <v>308</v>
      </c>
      <c r="C609">
        <v>0</v>
      </c>
      <c r="D609">
        <v>4090</v>
      </c>
      <c r="E609" t="s">
        <v>4315</v>
      </c>
      <c r="F609" t="s">
        <v>4315</v>
      </c>
      <c r="G609" t="s">
        <v>57</v>
      </c>
      <c r="H609" t="s">
        <v>3489</v>
      </c>
      <c r="I609" t="s">
        <v>3490</v>
      </c>
      <c r="J609" s="56">
        <f t="shared" si="27"/>
        <v>73</v>
      </c>
      <c r="K609" s="74" t="str">
        <f t="shared" si="28"/>
        <v>61-90 Days</v>
      </c>
      <c r="L609" s="58" t="str">
        <f t="shared" si="29"/>
        <v>Not Applicable</v>
      </c>
    </row>
    <row r="610" spans="1:12" ht="16.5" customHeight="1" x14ac:dyDescent="0.35">
      <c r="A610" t="s">
        <v>308</v>
      </c>
      <c r="B610" t="s">
        <v>308</v>
      </c>
      <c r="C610">
        <v>0</v>
      </c>
      <c r="D610">
        <v>1680</v>
      </c>
      <c r="E610" t="s">
        <v>4316</v>
      </c>
      <c r="F610" t="s">
        <v>4316</v>
      </c>
      <c r="G610" t="s">
        <v>57</v>
      </c>
      <c r="H610" t="s">
        <v>3489</v>
      </c>
      <c r="I610" t="s">
        <v>3490</v>
      </c>
      <c r="J610" s="56">
        <f t="shared" si="27"/>
        <v>73</v>
      </c>
      <c r="K610" s="74" t="str">
        <f t="shared" si="28"/>
        <v>61-90 Days</v>
      </c>
      <c r="L610" s="58" t="str">
        <f t="shared" si="29"/>
        <v>Not Applicable</v>
      </c>
    </row>
    <row r="611" spans="1:12" ht="16.5" customHeight="1" x14ac:dyDescent="0.35">
      <c r="A611" t="s">
        <v>308</v>
      </c>
      <c r="B611" t="s">
        <v>308</v>
      </c>
      <c r="C611">
        <v>0</v>
      </c>
      <c r="D611">
        <v>2050</v>
      </c>
      <c r="E611" t="s">
        <v>4317</v>
      </c>
      <c r="F611" t="s">
        <v>4317</v>
      </c>
      <c r="G611" t="s">
        <v>57</v>
      </c>
      <c r="H611" t="s">
        <v>3489</v>
      </c>
      <c r="I611" t="s">
        <v>3490</v>
      </c>
      <c r="J611" s="56">
        <f t="shared" si="27"/>
        <v>73</v>
      </c>
      <c r="K611" s="74" t="str">
        <f t="shared" si="28"/>
        <v>61-90 Days</v>
      </c>
      <c r="L611" s="58" t="str">
        <f t="shared" si="29"/>
        <v>Not Applicable</v>
      </c>
    </row>
    <row r="612" spans="1:12" ht="16.5" customHeight="1" x14ac:dyDescent="0.35">
      <c r="A612" t="s">
        <v>308</v>
      </c>
      <c r="B612" t="s">
        <v>308</v>
      </c>
      <c r="C612">
        <v>0</v>
      </c>
      <c r="D612">
        <v>10712.9</v>
      </c>
      <c r="E612" t="s">
        <v>4318</v>
      </c>
      <c r="F612" t="s">
        <v>4318</v>
      </c>
      <c r="G612" t="s">
        <v>57</v>
      </c>
      <c r="H612" t="s">
        <v>3489</v>
      </c>
      <c r="I612" t="s">
        <v>3490</v>
      </c>
      <c r="J612" s="56">
        <f t="shared" si="27"/>
        <v>73</v>
      </c>
      <c r="K612" s="74" t="str">
        <f t="shared" si="28"/>
        <v>61-90 Days</v>
      </c>
      <c r="L612" s="58" t="str">
        <f t="shared" si="29"/>
        <v>Not Applicable</v>
      </c>
    </row>
    <row r="613" spans="1:12" ht="16.5" customHeight="1" x14ac:dyDescent="0.35">
      <c r="A613" t="s">
        <v>308</v>
      </c>
      <c r="B613" t="s">
        <v>308</v>
      </c>
      <c r="C613">
        <v>0</v>
      </c>
      <c r="D613">
        <v>500</v>
      </c>
      <c r="E613" t="s">
        <v>4319</v>
      </c>
      <c r="F613" t="s">
        <v>4320</v>
      </c>
      <c r="G613" t="s">
        <v>57</v>
      </c>
      <c r="H613" t="s">
        <v>3489</v>
      </c>
      <c r="I613" t="s">
        <v>3486</v>
      </c>
      <c r="J613" s="56">
        <f t="shared" si="27"/>
        <v>73</v>
      </c>
      <c r="K613" s="74" t="str">
        <f t="shared" si="28"/>
        <v>61-90 Days</v>
      </c>
      <c r="L613" s="58" t="str">
        <f t="shared" si="29"/>
        <v>Not Applicable</v>
      </c>
    </row>
    <row r="614" spans="1:12" ht="16.5" customHeight="1" x14ac:dyDescent="0.35">
      <c r="A614" t="s">
        <v>308</v>
      </c>
      <c r="B614" t="s">
        <v>308</v>
      </c>
      <c r="C614">
        <v>0</v>
      </c>
      <c r="D614">
        <v>250</v>
      </c>
      <c r="E614" t="s">
        <v>4321</v>
      </c>
      <c r="F614" t="s">
        <v>4322</v>
      </c>
      <c r="G614" t="s">
        <v>57</v>
      </c>
      <c r="H614" t="s">
        <v>3489</v>
      </c>
      <c r="I614" t="s">
        <v>3490</v>
      </c>
      <c r="J614" s="56">
        <f t="shared" si="27"/>
        <v>73</v>
      </c>
      <c r="K614" s="74" t="str">
        <f t="shared" si="28"/>
        <v>61-90 Days</v>
      </c>
      <c r="L614" s="58" t="str">
        <f t="shared" si="29"/>
        <v>Not Applicable</v>
      </c>
    </row>
    <row r="615" spans="1:12" ht="16.5" customHeight="1" x14ac:dyDescent="0.35">
      <c r="A615" t="s">
        <v>308</v>
      </c>
      <c r="B615" t="s">
        <v>308</v>
      </c>
      <c r="C615">
        <v>0</v>
      </c>
      <c r="D615">
        <v>2750</v>
      </c>
      <c r="E615" t="s">
        <v>4323</v>
      </c>
      <c r="F615" t="s">
        <v>4323</v>
      </c>
      <c r="G615" t="s">
        <v>57</v>
      </c>
      <c r="H615" t="s">
        <v>3489</v>
      </c>
      <c r="I615" t="s">
        <v>3490</v>
      </c>
      <c r="J615" s="56">
        <f t="shared" si="27"/>
        <v>73</v>
      </c>
      <c r="K615" s="74" t="str">
        <f t="shared" si="28"/>
        <v>61-90 Days</v>
      </c>
      <c r="L615" s="58" t="str">
        <f t="shared" si="29"/>
        <v>Not Applicable</v>
      </c>
    </row>
    <row r="616" spans="1:12" ht="16.5" customHeight="1" x14ac:dyDescent="0.35">
      <c r="A616" t="s">
        <v>308</v>
      </c>
      <c r="B616" t="s">
        <v>308</v>
      </c>
      <c r="C616">
        <v>1680</v>
      </c>
      <c r="D616">
        <v>0</v>
      </c>
      <c r="E616" t="s">
        <v>4324</v>
      </c>
      <c r="F616" t="s">
        <v>4324</v>
      </c>
      <c r="G616" t="s">
        <v>57</v>
      </c>
      <c r="H616" t="s">
        <v>3458</v>
      </c>
      <c r="I616" t="s">
        <v>3507</v>
      </c>
      <c r="J616" s="56">
        <f t="shared" si="27"/>
        <v>73</v>
      </c>
      <c r="K616" s="74" t="str">
        <f t="shared" si="28"/>
        <v>61-90 Days</v>
      </c>
      <c r="L616" s="58" t="str">
        <f t="shared" si="29"/>
        <v>Substandard</v>
      </c>
    </row>
    <row r="617" spans="1:12" ht="16.5" customHeight="1" x14ac:dyDescent="0.35">
      <c r="A617" t="s">
        <v>308</v>
      </c>
      <c r="B617" t="s">
        <v>308</v>
      </c>
      <c r="C617">
        <v>0</v>
      </c>
      <c r="D617">
        <v>1000</v>
      </c>
      <c r="E617" t="s">
        <v>4325</v>
      </c>
      <c r="F617" t="s">
        <v>4325</v>
      </c>
      <c r="G617" t="s">
        <v>57</v>
      </c>
      <c r="H617" t="s">
        <v>3489</v>
      </c>
      <c r="I617" t="s">
        <v>3490</v>
      </c>
      <c r="J617" s="56">
        <f t="shared" si="27"/>
        <v>73</v>
      </c>
      <c r="K617" s="74" t="str">
        <f t="shared" si="28"/>
        <v>61-90 Days</v>
      </c>
      <c r="L617" s="58" t="str">
        <f t="shared" si="29"/>
        <v>Not Applicable</v>
      </c>
    </row>
    <row r="618" spans="1:12" ht="16.5" customHeight="1" x14ac:dyDescent="0.35">
      <c r="A618" t="s">
        <v>308</v>
      </c>
      <c r="B618" t="s">
        <v>308</v>
      </c>
      <c r="C618">
        <v>0</v>
      </c>
      <c r="D618">
        <v>17475.84</v>
      </c>
      <c r="E618" t="s">
        <v>4326</v>
      </c>
      <c r="F618" t="s">
        <v>4326</v>
      </c>
      <c r="G618" t="s">
        <v>57</v>
      </c>
      <c r="H618" t="s">
        <v>3489</v>
      </c>
      <c r="I618" t="s">
        <v>3490</v>
      </c>
      <c r="J618" s="56">
        <f t="shared" si="27"/>
        <v>73</v>
      </c>
      <c r="K618" s="74" t="str">
        <f t="shared" si="28"/>
        <v>61-90 Days</v>
      </c>
      <c r="L618" s="58" t="str">
        <f t="shared" si="29"/>
        <v>Not Applicable</v>
      </c>
    </row>
    <row r="619" spans="1:12" ht="16.5" customHeight="1" x14ac:dyDescent="0.35">
      <c r="A619" t="s">
        <v>308</v>
      </c>
      <c r="B619" t="s">
        <v>308</v>
      </c>
      <c r="C619">
        <v>0</v>
      </c>
      <c r="D619">
        <v>2050</v>
      </c>
      <c r="E619" t="s">
        <v>4327</v>
      </c>
      <c r="F619" t="s">
        <v>4327</v>
      </c>
      <c r="G619" t="s">
        <v>57</v>
      </c>
      <c r="H619" t="s">
        <v>3489</v>
      </c>
      <c r="I619" t="s">
        <v>3490</v>
      </c>
      <c r="J619" s="56">
        <f t="shared" si="27"/>
        <v>73</v>
      </c>
      <c r="K619" s="74" t="str">
        <f t="shared" si="28"/>
        <v>61-90 Days</v>
      </c>
      <c r="L619" s="58" t="str">
        <f t="shared" si="29"/>
        <v>Not Applicable</v>
      </c>
    </row>
    <row r="620" spans="1:12" ht="16.5" customHeight="1" x14ac:dyDescent="0.35">
      <c r="A620" t="s">
        <v>308</v>
      </c>
      <c r="B620" t="s">
        <v>308</v>
      </c>
      <c r="C620">
        <v>0</v>
      </c>
      <c r="D620">
        <v>100</v>
      </c>
      <c r="E620" t="s">
        <v>4328</v>
      </c>
      <c r="F620" t="s">
        <v>3574</v>
      </c>
      <c r="G620" t="s">
        <v>57</v>
      </c>
      <c r="H620" t="s">
        <v>3489</v>
      </c>
      <c r="I620" t="s">
        <v>3490</v>
      </c>
      <c r="J620" s="56">
        <f t="shared" si="27"/>
        <v>73</v>
      </c>
      <c r="K620" s="74" t="str">
        <f t="shared" si="28"/>
        <v>61-90 Days</v>
      </c>
      <c r="L620" s="58" t="str">
        <f t="shared" si="29"/>
        <v>Not Applicable</v>
      </c>
    </row>
    <row r="621" spans="1:12" ht="16.5" customHeight="1" x14ac:dyDescent="0.35">
      <c r="A621" t="s">
        <v>308</v>
      </c>
      <c r="B621" t="s">
        <v>308</v>
      </c>
      <c r="C621">
        <v>0</v>
      </c>
      <c r="D621">
        <v>2650</v>
      </c>
      <c r="E621" t="s">
        <v>4329</v>
      </c>
      <c r="F621" t="s">
        <v>4329</v>
      </c>
      <c r="G621" t="s">
        <v>57</v>
      </c>
      <c r="H621" t="s">
        <v>3489</v>
      </c>
      <c r="I621" t="s">
        <v>3490</v>
      </c>
      <c r="J621" s="56">
        <f t="shared" si="27"/>
        <v>73</v>
      </c>
      <c r="K621" s="74" t="str">
        <f t="shared" si="28"/>
        <v>61-90 Days</v>
      </c>
      <c r="L621" s="58" t="str">
        <f t="shared" si="29"/>
        <v>Not Applicable</v>
      </c>
    </row>
    <row r="622" spans="1:12" ht="16.5" customHeight="1" x14ac:dyDescent="0.35">
      <c r="A622" t="s">
        <v>308</v>
      </c>
      <c r="B622" t="s">
        <v>308</v>
      </c>
      <c r="C622">
        <v>0</v>
      </c>
      <c r="D622">
        <v>1000</v>
      </c>
      <c r="E622" t="s">
        <v>4330</v>
      </c>
      <c r="F622" t="s">
        <v>4331</v>
      </c>
      <c r="G622" t="s">
        <v>57</v>
      </c>
      <c r="H622" t="s">
        <v>3489</v>
      </c>
      <c r="I622" t="s">
        <v>3490</v>
      </c>
      <c r="J622" s="56">
        <f t="shared" si="27"/>
        <v>73</v>
      </c>
      <c r="K622" s="74" t="str">
        <f t="shared" si="28"/>
        <v>61-90 Days</v>
      </c>
      <c r="L622" s="58" t="str">
        <f t="shared" si="29"/>
        <v>Not Applicable</v>
      </c>
    </row>
    <row r="623" spans="1:12" ht="16.5" customHeight="1" x14ac:dyDescent="0.35">
      <c r="A623" t="s">
        <v>308</v>
      </c>
      <c r="B623" t="s">
        <v>308</v>
      </c>
      <c r="C623">
        <v>0</v>
      </c>
      <c r="D623">
        <v>1680</v>
      </c>
      <c r="E623" t="s">
        <v>4332</v>
      </c>
      <c r="F623" t="s">
        <v>4332</v>
      </c>
      <c r="G623" t="s">
        <v>57</v>
      </c>
      <c r="H623" t="s">
        <v>3489</v>
      </c>
      <c r="I623" t="s">
        <v>3490</v>
      </c>
      <c r="J623" s="56">
        <f t="shared" si="27"/>
        <v>73</v>
      </c>
      <c r="K623" s="74" t="str">
        <f t="shared" si="28"/>
        <v>61-90 Days</v>
      </c>
      <c r="L623" s="58" t="str">
        <f t="shared" si="29"/>
        <v>Not Applicable</v>
      </c>
    </row>
    <row r="624" spans="1:12" ht="16.5" customHeight="1" x14ac:dyDescent="0.35">
      <c r="A624" t="s">
        <v>308</v>
      </c>
      <c r="B624" t="s">
        <v>308</v>
      </c>
      <c r="C624">
        <v>0</v>
      </c>
      <c r="D624">
        <v>2150</v>
      </c>
      <c r="E624" t="s">
        <v>4333</v>
      </c>
      <c r="F624" t="s">
        <v>4334</v>
      </c>
      <c r="G624" t="s">
        <v>57</v>
      </c>
      <c r="H624" t="s">
        <v>3532</v>
      </c>
      <c r="I624" t="s">
        <v>3490</v>
      </c>
      <c r="J624" s="56">
        <f t="shared" si="27"/>
        <v>73</v>
      </c>
      <c r="K624" s="74" t="str">
        <f t="shared" si="28"/>
        <v>61-90 Days</v>
      </c>
      <c r="L624" s="58" t="str">
        <f t="shared" si="29"/>
        <v>Not Applicable</v>
      </c>
    </row>
    <row r="625" spans="1:12" ht="16.5" customHeight="1" x14ac:dyDescent="0.35">
      <c r="A625" t="s">
        <v>308</v>
      </c>
      <c r="B625" t="s">
        <v>308</v>
      </c>
      <c r="C625">
        <v>0</v>
      </c>
      <c r="D625">
        <v>250</v>
      </c>
      <c r="E625" t="s">
        <v>4335</v>
      </c>
      <c r="F625" t="s">
        <v>4335</v>
      </c>
      <c r="G625" t="s">
        <v>57</v>
      </c>
      <c r="H625" t="s">
        <v>3489</v>
      </c>
      <c r="I625" t="s">
        <v>3490</v>
      </c>
      <c r="J625" s="56">
        <f t="shared" si="27"/>
        <v>73</v>
      </c>
      <c r="K625" s="74" t="str">
        <f t="shared" si="28"/>
        <v>61-90 Days</v>
      </c>
      <c r="L625" s="58" t="str">
        <f t="shared" si="29"/>
        <v>Not Applicable</v>
      </c>
    </row>
    <row r="626" spans="1:12" ht="16.5" customHeight="1" x14ac:dyDescent="0.35">
      <c r="A626" t="s">
        <v>308</v>
      </c>
      <c r="B626" t="s">
        <v>308</v>
      </c>
      <c r="C626">
        <v>0</v>
      </c>
      <c r="D626">
        <v>3290</v>
      </c>
      <c r="E626" t="s">
        <v>4336</v>
      </c>
      <c r="F626" t="s">
        <v>4336</v>
      </c>
      <c r="G626" t="s">
        <v>57</v>
      </c>
      <c r="H626" t="s">
        <v>3489</v>
      </c>
      <c r="I626" t="s">
        <v>3490</v>
      </c>
      <c r="J626" s="56">
        <f t="shared" si="27"/>
        <v>73</v>
      </c>
      <c r="K626" s="74" t="str">
        <f t="shared" si="28"/>
        <v>61-90 Days</v>
      </c>
      <c r="L626" s="58" t="str">
        <f t="shared" si="29"/>
        <v>Not Applicable</v>
      </c>
    </row>
    <row r="627" spans="1:12" ht="16.5" customHeight="1" x14ac:dyDescent="0.35">
      <c r="A627" t="s">
        <v>308</v>
      </c>
      <c r="B627" t="s">
        <v>308</v>
      </c>
      <c r="C627">
        <v>0</v>
      </c>
      <c r="D627">
        <v>1640</v>
      </c>
      <c r="E627" t="s">
        <v>4337</v>
      </c>
      <c r="F627" t="s">
        <v>4337</v>
      </c>
      <c r="G627" t="s">
        <v>57</v>
      </c>
      <c r="H627" t="s">
        <v>3489</v>
      </c>
      <c r="I627" t="s">
        <v>3490</v>
      </c>
      <c r="J627" s="56">
        <f t="shared" si="27"/>
        <v>73</v>
      </c>
      <c r="K627" s="74" t="str">
        <f t="shared" si="28"/>
        <v>61-90 Days</v>
      </c>
      <c r="L627" s="58" t="str">
        <f t="shared" si="29"/>
        <v>Not Applicable</v>
      </c>
    </row>
    <row r="628" spans="1:12" ht="16.5" customHeight="1" x14ac:dyDescent="0.35">
      <c r="A628" t="s">
        <v>308</v>
      </c>
      <c r="B628" t="s">
        <v>308</v>
      </c>
      <c r="C628">
        <v>0</v>
      </c>
      <c r="D628">
        <v>2137</v>
      </c>
      <c r="E628" t="s">
        <v>4338</v>
      </c>
      <c r="F628" t="s">
        <v>4338</v>
      </c>
      <c r="G628" t="s">
        <v>57</v>
      </c>
      <c r="H628" t="s">
        <v>3489</v>
      </c>
      <c r="I628" t="s">
        <v>3490</v>
      </c>
      <c r="J628" s="56">
        <f t="shared" si="27"/>
        <v>73</v>
      </c>
      <c r="K628" s="74" t="str">
        <f t="shared" si="28"/>
        <v>61-90 Days</v>
      </c>
      <c r="L628" s="58" t="str">
        <f t="shared" si="29"/>
        <v>Not Applicable</v>
      </c>
    </row>
    <row r="629" spans="1:12" ht="16.5" customHeight="1" x14ac:dyDescent="0.35">
      <c r="A629" t="s">
        <v>308</v>
      </c>
      <c r="B629" t="s">
        <v>308</v>
      </c>
      <c r="C629">
        <v>0</v>
      </c>
      <c r="D629">
        <v>28633.119999999999</v>
      </c>
      <c r="E629" t="s">
        <v>4339</v>
      </c>
      <c r="F629" t="s">
        <v>4339</v>
      </c>
      <c r="G629" t="s">
        <v>57</v>
      </c>
      <c r="H629" t="s">
        <v>3914</v>
      </c>
      <c r="I629" t="s">
        <v>3643</v>
      </c>
      <c r="J629" s="56">
        <f t="shared" si="27"/>
        <v>73</v>
      </c>
      <c r="K629" s="74" t="str">
        <f t="shared" si="28"/>
        <v>61-90 Days</v>
      </c>
      <c r="L629" s="58" t="str">
        <f t="shared" si="29"/>
        <v>Not Applicable</v>
      </c>
    </row>
    <row r="630" spans="1:12" ht="16.5" customHeight="1" x14ac:dyDescent="0.35">
      <c r="A630" t="s">
        <v>308</v>
      </c>
      <c r="B630" t="s">
        <v>308</v>
      </c>
      <c r="C630">
        <v>0</v>
      </c>
      <c r="D630">
        <v>2650</v>
      </c>
      <c r="E630" t="s">
        <v>4340</v>
      </c>
      <c r="F630" t="s">
        <v>4340</v>
      </c>
      <c r="G630" t="s">
        <v>57</v>
      </c>
      <c r="H630" t="s">
        <v>3489</v>
      </c>
      <c r="I630" t="s">
        <v>3490</v>
      </c>
      <c r="J630" s="56">
        <f t="shared" si="27"/>
        <v>73</v>
      </c>
      <c r="K630" s="74" t="str">
        <f t="shared" si="28"/>
        <v>61-90 Days</v>
      </c>
      <c r="L630" s="58" t="str">
        <f t="shared" si="29"/>
        <v>Not Applicable</v>
      </c>
    </row>
    <row r="631" spans="1:12" ht="16.5" customHeight="1" x14ac:dyDescent="0.35">
      <c r="A631" t="s">
        <v>308</v>
      </c>
      <c r="B631" t="s">
        <v>308</v>
      </c>
      <c r="C631">
        <v>0</v>
      </c>
      <c r="D631">
        <v>100</v>
      </c>
      <c r="E631" t="s">
        <v>4341</v>
      </c>
      <c r="F631" t="s">
        <v>3574</v>
      </c>
      <c r="G631" t="s">
        <v>57</v>
      </c>
      <c r="H631" t="s">
        <v>3489</v>
      </c>
      <c r="I631" t="s">
        <v>3490</v>
      </c>
      <c r="J631" s="56">
        <f t="shared" si="27"/>
        <v>73</v>
      </c>
      <c r="K631" s="74" t="str">
        <f t="shared" si="28"/>
        <v>61-90 Days</v>
      </c>
      <c r="L631" s="58" t="str">
        <f t="shared" si="29"/>
        <v>Not Applicable</v>
      </c>
    </row>
    <row r="632" spans="1:12" ht="16.5" customHeight="1" x14ac:dyDescent="0.35">
      <c r="A632" t="s">
        <v>308</v>
      </c>
      <c r="B632" t="s">
        <v>308</v>
      </c>
      <c r="C632">
        <v>0</v>
      </c>
      <c r="D632">
        <v>2050</v>
      </c>
      <c r="E632" t="s">
        <v>4342</v>
      </c>
      <c r="F632" t="s">
        <v>4342</v>
      </c>
      <c r="G632" t="s">
        <v>57</v>
      </c>
      <c r="H632" t="s">
        <v>3489</v>
      </c>
      <c r="I632" t="s">
        <v>3490</v>
      </c>
      <c r="J632" s="56">
        <f t="shared" si="27"/>
        <v>73</v>
      </c>
      <c r="K632" s="74" t="str">
        <f t="shared" si="28"/>
        <v>61-90 Days</v>
      </c>
      <c r="L632" s="58" t="str">
        <f t="shared" si="29"/>
        <v>Not Applicable</v>
      </c>
    </row>
    <row r="633" spans="1:12" ht="16.5" customHeight="1" x14ac:dyDescent="0.35">
      <c r="A633" t="s">
        <v>308</v>
      </c>
      <c r="B633" t="s">
        <v>308</v>
      </c>
      <c r="C633">
        <v>200</v>
      </c>
      <c r="D633">
        <v>0</v>
      </c>
      <c r="E633" t="s">
        <v>4343</v>
      </c>
      <c r="F633" t="s">
        <v>4343</v>
      </c>
      <c r="G633" t="s">
        <v>57</v>
      </c>
      <c r="H633" t="s">
        <v>3458</v>
      </c>
      <c r="I633" t="s">
        <v>3507</v>
      </c>
      <c r="J633" s="56">
        <f t="shared" si="27"/>
        <v>73</v>
      </c>
      <c r="K633" s="74" t="str">
        <f t="shared" si="28"/>
        <v>61-90 Days</v>
      </c>
      <c r="L633" s="58" t="str">
        <f t="shared" si="29"/>
        <v>Substandard</v>
      </c>
    </row>
    <row r="634" spans="1:12" ht="16.5" customHeight="1" x14ac:dyDescent="0.35">
      <c r="A634" t="s">
        <v>308</v>
      </c>
      <c r="B634" t="s">
        <v>308</v>
      </c>
      <c r="C634">
        <v>0</v>
      </c>
      <c r="D634">
        <v>1000</v>
      </c>
      <c r="E634" t="s">
        <v>4344</v>
      </c>
      <c r="F634" t="s">
        <v>4345</v>
      </c>
      <c r="G634" t="s">
        <v>57</v>
      </c>
      <c r="H634" t="s">
        <v>3532</v>
      </c>
      <c r="I634" t="s">
        <v>3490</v>
      </c>
      <c r="J634" s="56">
        <f t="shared" si="27"/>
        <v>73</v>
      </c>
      <c r="K634" s="74" t="str">
        <f t="shared" si="28"/>
        <v>61-90 Days</v>
      </c>
      <c r="L634" s="58" t="str">
        <f t="shared" si="29"/>
        <v>Not Applicable</v>
      </c>
    </row>
    <row r="635" spans="1:12" ht="16.5" customHeight="1" x14ac:dyDescent="0.35">
      <c r="A635" t="s">
        <v>308</v>
      </c>
      <c r="B635" t="s">
        <v>308</v>
      </c>
      <c r="C635">
        <v>0</v>
      </c>
      <c r="D635">
        <v>250</v>
      </c>
      <c r="E635" t="s">
        <v>4346</v>
      </c>
      <c r="F635" t="s">
        <v>4346</v>
      </c>
      <c r="G635" t="s">
        <v>57</v>
      </c>
      <c r="H635" t="s">
        <v>3489</v>
      </c>
      <c r="I635" t="s">
        <v>3490</v>
      </c>
      <c r="J635" s="56">
        <f t="shared" si="27"/>
        <v>73</v>
      </c>
      <c r="K635" s="74" t="str">
        <f t="shared" si="28"/>
        <v>61-90 Days</v>
      </c>
      <c r="L635" s="58" t="str">
        <f t="shared" si="29"/>
        <v>Not Applicable</v>
      </c>
    </row>
    <row r="636" spans="1:12" ht="16.5" customHeight="1" x14ac:dyDescent="0.35">
      <c r="A636" t="s">
        <v>308</v>
      </c>
      <c r="B636" t="s">
        <v>308</v>
      </c>
      <c r="C636">
        <v>0</v>
      </c>
      <c r="D636">
        <v>1500</v>
      </c>
      <c r="E636" t="s">
        <v>4347</v>
      </c>
      <c r="F636" t="s">
        <v>4347</v>
      </c>
      <c r="G636" t="s">
        <v>57</v>
      </c>
      <c r="H636" t="s">
        <v>3532</v>
      </c>
      <c r="I636" t="s">
        <v>3490</v>
      </c>
      <c r="J636" s="56">
        <f t="shared" si="27"/>
        <v>73</v>
      </c>
      <c r="K636" s="74" t="str">
        <f t="shared" si="28"/>
        <v>61-90 Days</v>
      </c>
      <c r="L636" s="58" t="str">
        <f t="shared" si="29"/>
        <v>Not Applicable</v>
      </c>
    </row>
    <row r="637" spans="1:12" ht="16.5" customHeight="1" x14ac:dyDescent="0.35">
      <c r="A637" t="s">
        <v>308</v>
      </c>
      <c r="B637" t="s">
        <v>308</v>
      </c>
      <c r="C637">
        <v>0</v>
      </c>
      <c r="D637">
        <v>250</v>
      </c>
      <c r="E637" t="s">
        <v>4348</v>
      </c>
      <c r="F637" t="s">
        <v>4348</v>
      </c>
      <c r="G637" t="s">
        <v>57</v>
      </c>
      <c r="H637" t="s">
        <v>3489</v>
      </c>
      <c r="I637" t="s">
        <v>3490</v>
      </c>
      <c r="J637" s="56">
        <f t="shared" si="27"/>
        <v>73</v>
      </c>
      <c r="K637" s="74" t="str">
        <f t="shared" si="28"/>
        <v>61-90 Days</v>
      </c>
      <c r="L637" s="58" t="str">
        <f t="shared" si="29"/>
        <v>Not Applicable</v>
      </c>
    </row>
    <row r="638" spans="1:12" ht="16.5" customHeight="1" x14ac:dyDescent="0.35">
      <c r="A638" t="s">
        <v>308</v>
      </c>
      <c r="B638" t="s">
        <v>308</v>
      </c>
      <c r="C638">
        <v>0</v>
      </c>
      <c r="D638">
        <v>100</v>
      </c>
      <c r="E638" t="s">
        <v>4349</v>
      </c>
      <c r="F638" t="s">
        <v>4350</v>
      </c>
      <c r="G638" t="s">
        <v>57</v>
      </c>
      <c r="H638" t="s">
        <v>3532</v>
      </c>
      <c r="I638" t="s">
        <v>3490</v>
      </c>
      <c r="J638" s="56">
        <f t="shared" si="27"/>
        <v>73</v>
      </c>
      <c r="K638" s="74" t="str">
        <f t="shared" si="28"/>
        <v>61-90 Days</v>
      </c>
      <c r="L638" s="58" t="str">
        <f t="shared" si="29"/>
        <v>Not Applicable</v>
      </c>
    </row>
    <row r="639" spans="1:12" ht="16.5" customHeight="1" x14ac:dyDescent="0.35">
      <c r="A639" t="s">
        <v>308</v>
      </c>
      <c r="B639" t="s">
        <v>308</v>
      </c>
      <c r="C639">
        <v>0</v>
      </c>
      <c r="D639">
        <v>215</v>
      </c>
      <c r="E639" t="s">
        <v>4351</v>
      </c>
      <c r="F639" t="s">
        <v>3499</v>
      </c>
      <c r="G639" t="s">
        <v>57</v>
      </c>
      <c r="H639" t="s">
        <v>3489</v>
      </c>
      <c r="I639" t="s">
        <v>3490</v>
      </c>
      <c r="J639" s="56">
        <f t="shared" si="27"/>
        <v>73</v>
      </c>
      <c r="K639" s="74" t="str">
        <f t="shared" si="28"/>
        <v>61-90 Days</v>
      </c>
      <c r="L639" s="58" t="str">
        <f t="shared" si="29"/>
        <v>Not Applicable</v>
      </c>
    </row>
    <row r="640" spans="1:12" ht="16.5" customHeight="1" x14ac:dyDescent="0.35">
      <c r="A640" t="s">
        <v>308</v>
      </c>
      <c r="B640" t="s">
        <v>308</v>
      </c>
      <c r="C640">
        <v>0</v>
      </c>
      <c r="D640">
        <v>10324.84</v>
      </c>
      <c r="E640" t="s">
        <v>4352</v>
      </c>
      <c r="F640" t="s">
        <v>4352</v>
      </c>
      <c r="G640" t="s">
        <v>57</v>
      </c>
      <c r="H640" t="s">
        <v>3489</v>
      </c>
      <c r="I640" t="s">
        <v>3490</v>
      </c>
      <c r="J640" s="56">
        <f t="shared" si="27"/>
        <v>73</v>
      </c>
      <c r="K640" s="74" t="str">
        <f t="shared" si="28"/>
        <v>61-90 Days</v>
      </c>
      <c r="L640" s="58" t="str">
        <f t="shared" si="29"/>
        <v>Not Applicable</v>
      </c>
    </row>
    <row r="641" spans="1:12" ht="16.5" customHeight="1" x14ac:dyDescent="0.35">
      <c r="A641" t="s">
        <v>308</v>
      </c>
      <c r="B641" t="s">
        <v>308</v>
      </c>
      <c r="C641">
        <v>0</v>
      </c>
      <c r="D641">
        <v>2050</v>
      </c>
      <c r="E641" t="s">
        <v>4353</v>
      </c>
      <c r="F641" t="s">
        <v>4354</v>
      </c>
      <c r="G641" t="s">
        <v>57</v>
      </c>
      <c r="H641" t="s">
        <v>3532</v>
      </c>
      <c r="I641" t="s">
        <v>3490</v>
      </c>
      <c r="J641" s="56">
        <f t="shared" si="27"/>
        <v>73</v>
      </c>
      <c r="K641" s="74" t="str">
        <f t="shared" si="28"/>
        <v>61-90 Days</v>
      </c>
      <c r="L641" s="58" t="str">
        <f t="shared" si="29"/>
        <v>Not Applicable</v>
      </c>
    </row>
    <row r="642" spans="1:12" ht="16.5" customHeight="1" x14ac:dyDescent="0.35">
      <c r="A642" t="s">
        <v>308</v>
      </c>
      <c r="B642" t="s">
        <v>308</v>
      </c>
      <c r="C642">
        <v>3290</v>
      </c>
      <c r="D642">
        <v>0</v>
      </c>
      <c r="E642" t="s">
        <v>4355</v>
      </c>
      <c r="F642" t="s">
        <v>4355</v>
      </c>
      <c r="G642" t="s">
        <v>57</v>
      </c>
      <c r="H642" t="s">
        <v>3458</v>
      </c>
      <c r="I642" t="s">
        <v>3507</v>
      </c>
      <c r="J642" s="56">
        <f t="shared" si="27"/>
        <v>73</v>
      </c>
      <c r="K642" s="74" t="str">
        <f t="shared" si="28"/>
        <v>61-90 Days</v>
      </c>
      <c r="L642" s="58" t="str">
        <f t="shared" si="29"/>
        <v>Substandard</v>
      </c>
    </row>
    <row r="643" spans="1:12" ht="16.5" customHeight="1" x14ac:dyDescent="0.35">
      <c r="A643" t="s">
        <v>308</v>
      </c>
      <c r="B643" t="s">
        <v>308</v>
      </c>
      <c r="C643">
        <v>0</v>
      </c>
      <c r="D643">
        <v>2150</v>
      </c>
      <c r="E643" t="s">
        <v>4356</v>
      </c>
      <c r="F643" t="s">
        <v>3499</v>
      </c>
      <c r="G643" t="s">
        <v>57</v>
      </c>
      <c r="H643" t="s">
        <v>3489</v>
      </c>
      <c r="I643" t="s">
        <v>3490</v>
      </c>
      <c r="J643" s="56">
        <f t="shared" si="27"/>
        <v>73</v>
      </c>
      <c r="K643" s="74" t="str">
        <f t="shared" si="28"/>
        <v>61-90 Days</v>
      </c>
      <c r="L643" s="58" t="str">
        <f t="shared" si="29"/>
        <v>Not Applicable</v>
      </c>
    </row>
    <row r="644" spans="1:12" ht="16.5" customHeight="1" x14ac:dyDescent="0.35">
      <c r="A644" t="s">
        <v>308</v>
      </c>
      <c r="B644" t="s">
        <v>308</v>
      </c>
      <c r="C644">
        <v>0</v>
      </c>
      <c r="D644">
        <v>1000</v>
      </c>
      <c r="E644" t="s">
        <v>4357</v>
      </c>
      <c r="F644" t="s">
        <v>4358</v>
      </c>
      <c r="G644" t="s">
        <v>57</v>
      </c>
      <c r="H644" t="s">
        <v>3489</v>
      </c>
      <c r="I644" t="s">
        <v>3490</v>
      </c>
      <c r="J644" s="56">
        <f t="shared" si="27"/>
        <v>73</v>
      </c>
      <c r="K644" s="74" t="str">
        <f t="shared" si="28"/>
        <v>61-90 Days</v>
      </c>
      <c r="L644" s="58" t="str">
        <f t="shared" si="29"/>
        <v>Not Applicable</v>
      </c>
    </row>
    <row r="645" spans="1:12" ht="16.5" customHeight="1" x14ac:dyDescent="0.35">
      <c r="A645" t="s">
        <v>308</v>
      </c>
      <c r="B645" t="s">
        <v>308</v>
      </c>
      <c r="C645">
        <v>0</v>
      </c>
      <c r="D645">
        <v>1840</v>
      </c>
      <c r="E645" t="s">
        <v>4359</v>
      </c>
      <c r="F645" t="s">
        <v>4359</v>
      </c>
      <c r="G645" t="s">
        <v>57</v>
      </c>
      <c r="H645" t="s">
        <v>3489</v>
      </c>
      <c r="I645" t="s">
        <v>3490</v>
      </c>
      <c r="J645" s="56">
        <f t="shared" si="27"/>
        <v>73</v>
      </c>
      <c r="K645" s="74" t="str">
        <f t="shared" si="28"/>
        <v>61-90 Days</v>
      </c>
      <c r="L645" s="58" t="str">
        <f t="shared" si="29"/>
        <v>Not Applicable</v>
      </c>
    </row>
    <row r="646" spans="1:12" ht="16.5" customHeight="1" x14ac:dyDescent="0.35">
      <c r="A646" t="s">
        <v>308</v>
      </c>
      <c r="B646" t="s">
        <v>308</v>
      </c>
      <c r="C646">
        <v>0</v>
      </c>
      <c r="D646">
        <v>210</v>
      </c>
      <c r="E646" t="s">
        <v>4360</v>
      </c>
      <c r="F646" t="s">
        <v>4360</v>
      </c>
      <c r="G646" t="s">
        <v>57</v>
      </c>
      <c r="H646" t="s">
        <v>3489</v>
      </c>
      <c r="I646" t="s">
        <v>3490</v>
      </c>
      <c r="J646" s="56">
        <f t="shared" si="27"/>
        <v>73</v>
      </c>
      <c r="K646" s="74" t="str">
        <f t="shared" si="28"/>
        <v>61-90 Days</v>
      </c>
      <c r="L646" s="58" t="str">
        <f t="shared" si="29"/>
        <v>Not Applicable</v>
      </c>
    </row>
    <row r="647" spans="1:12" ht="16.5" customHeight="1" x14ac:dyDescent="0.35">
      <c r="A647" t="s">
        <v>308</v>
      </c>
      <c r="B647" t="s">
        <v>308</v>
      </c>
      <c r="C647">
        <v>0</v>
      </c>
      <c r="D647">
        <v>1550</v>
      </c>
      <c r="E647" t="s">
        <v>4361</v>
      </c>
      <c r="F647" t="s">
        <v>4361</v>
      </c>
      <c r="G647" t="s">
        <v>57</v>
      </c>
      <c r="H647" t="s">
        <v>3489</v>
      </c>
      <c r="I647" t="s">
        <v>3490</v>
      </c>
      <c r="J647" s="56">
        <f t="shared" si="27"/>
        <v>73</v>
      </c>
      <c r="K647" s="74" t="str">
        <f t="shared" si="28"/>
        <v>61-90 Days</v>
      </c>
      <c r="L647" s="58" t="str">
        <f t="shared" si="29"/>
        <v>Not Applicable</v>
      </c>
    </row>
    <row r="648" spans="1:12" ht="16.5" customHeight="1" x14ac:dyDescent="0.35">
      <c r="A648" t="s">
        <v>308</v>
      </c>
      <c r="B648" t="s">
        <v>308</v>
      </c>
      <c r="C648">
        <v>0</v>
      </c>
      <c r="D648">
        <v>2426</v>
      </c>
      <c r="E648" t="s">
        <v>4362</v>
      </c>
      <c r="F648" t="s">
        <v>4362</v>
      </c>
      <c r="G648" t="s">
        <v>57</v>
      </c>
      <c r="H648" t="s">
        <v>3489</v>
      </c>
      <c r="I648" t="s">
        <v>3490</v>
      </c>
      <c r="J648" s="56">
        <f t="shared" si="27"/>
        <v>73</v>
      </c>
      <c r="K648" s="74" t="str">
        <f t="shared" si="28"/>
        <v>61-90 Days</v>
      </c>
      <c r="L648" s="58" t="str">
        <f t="shared" si="29"/>
        <v>Not Applicable</v>
      </c>
    </row>
    <row r="649" spans="1:12" ht="16.5" customHeight="1" x14ac:dyDescent="0.35">
      <c r="A649" t="s">
        <v>308</v>
      </c>
      <c r="B649" t="s">
        <v>308</v>
      </c>
      <c r="C649">
        <v>0</v>
      </c>
      <c r="D649">
        <v>250</v>
      </c>
      <c r="E649" t="s">
        <v>4363</v>
      </c>
      <c r="F649" t="s">
        <v>4363</v>
      </c>
      <c r="G649" t="s">
        <v>57</v>
      </c>
      <c r="H649" t="s">
        <v>3489</v>
      </c>
      <c r="I649" t="s">
        <v>3490</v>
      </c>
      <c r="J649" s="56">
        <f t="shared" ref="J649:J712" si="30">IF(A649="","",A$5-A649)</f>
        <v>73</v>
      </c>
      <c r="K649" s="74" t="str">
        <f t="shared" ref="K649:K712" si="31">IF(J649="","",IF(J649&lt;4,"0-3 Days",IF(J649&lt;31,"4-30 Days",IF(J649&lt;61,"31-60 Days",IF(J649&lt;=90,"61-90 Days",IF(J649&gt;90,"Above 90 Days","0"))))))</f>
        <v>61-90 Days</v>
      </c>
      <c r="L649" s="58" t="str">
        <f t="shared" ref="L649:L712" si="32">IF(C649="","",IF(C649&gt;0,IF(J649&lt;30,"Normal",IF(J649&lt;60,"Especially Mentioned",IF(J649&lt;90,"Substandard",IF(J649&lt;=180,"Doubtful",IF(J649&gt;180,"Loss","0"))))),"Not Applicable"))</f>
        <v>Not Applicable</v>
      </c>
    </row>
    <row r="650" spans="1:12" ht="16.5" customHeight="1" x14ac:dyDescent="0.35">
      <c r="A650" t="s">
        <v>308</v>
      </c>
      <c r="B650" t="s">
        <v>308</v>
      </c>
      <c r="C650">
        <v>0</v>
      </c>
      <c r="D650">
        <v>150000</v>
      </c>
      <c r="E650" t="s">
        <v>4364</v>
      </c>
      <c r="F650" t="s">
        <v>4364</v>
      </c>
      <c r="G650" t="s">
        <v>57</v>
      </c>
      <c r="H650" t="s">
        <v>3489</v>
      </c>
      <c r="I650" t="s">
        <v>3490</v>
      </c>
      <c r="J650" s="56">
        <f t="shared" si="30"/>
        <v>73</v>
      </c>
      <c r="K650" s="74" t="str">
        <f t="shared" si="31"/>
        <v>61-90 Days</v>
      </c>
      <c r="L650" s="58" t="str">
        <f t="shared" si="32"/>
        <v>Not Applicable</v>
      </c>
    </row>
    <row r="651" spans="1:12" ht="16.5" customHeight="1" x14ac:dyDescent="0.35">
      <c r="A651" t="s">
        <v>308</v>
      </c>
      <c r="B651" t="s">
        <v>308</v>
      </c>
      <c r="C651">
        <v>2100</v>
      </c>
      <c r="D651">
        <v>0</v>
      </c>
      <c r="E651" t="s">
        <v>4365</v>
      </c>
      <c r="F651" t="s">
        <v>4365</v>
      </c>
      <c r="G651" t="s">
        <v>57</v>
      </c>
      <c r="H651" t="s">
        <v>3466</v>
      </c>
      <c r="I651" t="s">
        <v>3507</v>
      </c>
      <c r="J651" s="56">
        <f t="shared" si="30"/>
        <v>73</v>
      </c>
      <c r="K651" s="74" t="str">
        <f t="shared" si="31"/>
        <v>61-90 Days</v>
      </c>
      <c r="L651" s="58" t="str">
        <f t="shared" si="32"/>
        <v>Substandard</v>
      </c>
    </row>
    <row r="652" spans="1:12" ht="16.5" customHeight="1" x14ac:dyDescent="0.35">
      <c r="A652" t="s">
        <v>308</v>
      </c>
      <c r="B652" t="s">
        <v>308</v>
      </c>
      <c r="C652">
        <v>0</v>
      </c>
      <c r="D652">
        <v>4932</v>
      </c>
      <c r="E652" t="s">
        <v>4366</v>
      </c>
      <c r="F652" t="s">
        <v>4366</v>
      </c>
      <c r="G652" t="s">
        <v>57</v>
      </c>
      <c r="H652" t="s">
        <v>3489</v>
      </c>
      <c r="I652" t="s">
        <v>3490</v>
      </c>
      <c r="J652" s="56">
        <f t="shared" si="30"/>
        <v>73</v>
      </c>
      <c r="K652" s="74" t="str">
        <f t="shared" si="31"/>
        <v>61-90 Days</v>
      </c>
      <c r="L652" s="58" t="str">
        <f t="shared" si="32"/>
        <v>Not Applicable</v>
      </c>
    </row>
    <row r="653" spans="1:12" ht="16.5" customHeight="1" x14ac:dyDescent="0.35">
      <c r="A653" t="s">
        <v>308</v>
      </c>
      <c r="B653" t="s">
        <v>308</v>
      </c>
      <c r="C653">
        <v>0</v>
      </c>
      <c r="D653">
        <v>2050</v>
      </c>
      <c r="E653" t="s">
        <v>4367</v>
      </c>
      <c r="F653" t="s">
        <v>4367</v>
      </c>
      <c r="G653" t="s">
        <v>57</v>
      </c>
      <c r="H653" t="s">
        <v>3489</v>
      </c>
      <c r="I653" t="s">
        <v>3490</v>
      </c>
      <c r="J653" s="56">
        <f t="shared" si="30"/>
        <v>73</v>
      </c>
      <c r="K653" s="74" t="str">
        <f t="shared" si="31"/>
        <v>61-90 Days</v>
      </c>
      <c r="L653" s="58" t="str">
        <f t="shared" si="32"/>
        <v>Not Applicable</v>
      </c>
    </row>
    <row r="654" spans="1:12" ht="16.5" customHeight="1" x14ac:dyDescent="0.35">
      <c r="A654" t="s">
        <v>308</v>
      </c>
      <c r="B654" t="s">
        <v>308</v>
      </c>
      <c r="C654">
        <v>0</v>
      </c>
      <c r="D654">
        <v>100</v>
      </c>
      <c r="E654" t="s">
        <v>4368</v>
      </c>
      <c r="F654" t="s">
        <v>4368</v>
      </c>
      <c r="G654" t="s">
        <v>57</v>
      </c>
      <c r="H654" t="s">
        <v>3489</v>
      </c>
      <c r="I654" t="s">
        <v>3490</v>
      </c>
      <c r="J654" s="56">
        <f t="shared" si="30"/>
        <v>73</v>
      </c>
      <c r="K654" s="74" t="str">
        <f t="shared" si="31"/>
        <v>61-90 Days</v>
      </c>
      <c r="L654" s="58" t="str">
        <f t="shared" si="32"/>
        <v>Not Applicable</v>
      </c>
    </row>
    <row r="655" spans="1:12" ht="16.5" customHeight="1" x14ac:dyDescent="0.35">
      <c r="A655" t="s">
        <v>308</v>
      </c>
      <c r="B655" t="s">
        <v>308</v>
      </c>
      <c r="C655">
        <v>0</v>
      </c>
      <c r="D655">
        <v>500</v>
      </c>
      <c r="E655" t="s">
        <v>4369</v>
      </c>
      <c r="F655" t="s">
        <v>4369</v>
      </c>
      <c r="G655" t="s">
        <v>57</v>
      </c>
      <c r="H655" t="s">
        <v>3489</v>
      </c>
      <c r="I655" t="s">
        <v>3490</v>
      </c>
      <c r="J655" s="56">
        <f t="shared" si="30"/>
        <v>73</v>
      </c>
      <c r="K655" s="74" t="str">
        <f t="shared" si="31"/>
        <v>61-90 Days</v>
      </c>
      <c r="L655" s="58" t="str">
        <f t="shared" si="32"/>
        <v>Not Applicable</v>
      </c>
    </row>
    <row r="656" spans="1:12" ht="16.5" customHeight="1" x14ac:dyDescent="0.35">
      <c r="A656" t="s">
        <v>308</v>
      </c>
      <c r="B656" t="s">
        <v>308</v>
      </c>
      <c r="C656">
        <v>0</v>
      </c>
      <c r="D656">
        <v>14000</v>
      </c>
      <c r="E656" t="s">
        <v>4370</v>
      </c>
      <c r="F656" t="s">
        <v>4370</v>
      </c>
      <c r="G656" t="s">
        <v>57</v>
      </c>
      <c r="H656" t="s">
        <v>3521</v>
      </c>
      <c r="I656" t="s">
        <v>3490</v>
      </c>
      <c r="J656" s="56">
        <f t="shared" si="30"/>
        <v>73</v>
      </c>
      <c r="K656" s="74" t="str">
        <f t="shared" si="31"/>
        <v>61-90 Days</v>
      </c>
      <c r="L656" s="58" t="str">
        <f t="shared" si="32"/>
        <v>Not Applicable</v>
      </c>
    </row>
    <row r="657" spans="1:12" ht="16.5" customHeight="1" x14ac:dyDescent="0.35">
      <c r="A657" t="s">
        <v>308</v>
      </c>
      <c r="B657" t="s">
        <v>308</v>
      </c>
      <c r="C657">
        <v>0</v>
      </c>
      <c r="D657">
        <v>1000</v>
      </c>
      <c r="E657" t="s">
        <v>4371</v>
      </c>
      <c r="F657" t="s">
        <v>4372</v>
      </c>
      <c r="G657" t="s">
        <v>57</v>
      </c>
      <c r="H657" t="s">
        <v>3489</v>
      </c>
      <c r="I657" t="s">
        <v>3490</v>
      </c>
      <c r="J657" s="56">
        <f t="shared" si="30"/>
        <v>73</v>
      </c>
      <c r="K657" s="74" t="str">
        <f t="shared" si="31"/>
        <v>61-90 Days</v>
      </c>
      <c r="L657" s="58" t="str">
        <f t="shared" si="32"/>
        <v>Not Applicable</v>
      </c>
    </row>
    <row r="658" spans="1:12" ht="16.5" customHeight="1" x14ac:dyDescent="0.35">
      <c r="A658" t="s">
        <v>308</v>
      </c>
      <c r="B658" t="s">
        <v>308</v>
      </c>
      <c r="C658">
        <v>1640</v>
      </c>
      <c r="D658">
        <v>0</v>
      </c>
      <c r="E658" t="s">
        <v>4373</v>
      </c>
      <c r="F658" t="s">
        <v>4373</v>
      </c>
      <c r="G658" t="s">
        <v>57</v>
      </c>
      <c r="H658" t="s">
        <v>3458</v>
      </c>
      <c r="I658" t="s">
        <v>3507</v>
      </c>
      <c r="J658" s="56">
        <f t="shared" si="30"/>
        <v>73</v>
      </c>
      <c r="K658" s="74" t="str">
        <f t="shared" si="31"/>
        <v>61-90 Days</v>
      </c>
      <c r="L658" s="58" t="str">
        <f t="shared" si="32"/>
        <v>Substandard</v>
      </c>
    </row>
    <row r="659" spans="1:12" ht="16.5" customHeight="1" x14ac:dyDescent="0.35">
      <c r="A659" t="s">
        <v>308</v>
      </c>
      <c r="B659" t="s">
        <v>308</v>
      </c>
      <c r="C659">
        <v>0</v>
      </c>
      <c r="D659">
        <v>100</v>
      </c>
      <c r="E659" t="s">
        <v>4374</v>
      </c>
      <c r="F659" t="s">
        <v>4374</v>
      </c>
      <c r="G659" t="s">
        <v>57</v>
      </c>
      <c r="H659" t="s">
        <v>3489</v>
      </c>
      <c r="I659" t="s">
        <v>3490</v>
      </c>
      <c r="J659" s="56">
        <f t="shared" si="30"/>
        <v>73</v>
      </c>
      <c r="K659" s="74" t="str">
        <f t="shared" si="31"/>
        <v>61-90 Days</v>
      </c>
      <c r="L659" s="58" t="str">
        <f t="shared" si="32"/>
        <v>Not Applicable</v>
      </c>
    </row>
    <row r="660" spans="1:12" ht="16.5" customHeight="1" x14ac:dyDescent="0.35">
      <c r="A660" t="s">
        <v>308</v>
      </c>
      <c r="B660" t="s">
        <v>308</v>
      </c>
      <c r="C660">
        <v>0</v>
      </c>
      <c r="D660">
        <v>2050</v>
      </c>
      <c r="E660" t="s">
        <v>4375</v>
      </c>
      <c r="F660" t="s">
        <v>4375</v>
      </c>
      <c r="G660" t="s">
        <v>57</v>
      </c>
      <c r="H660" t="s">
        <v>3489</v>
      </c>
      <c r="I660" t="s">
        <v>3490</v>
      </c>
      <c r="J660" s="56">
        <f t="shared" si="30"/>
        <v>73</v>
      </c>
      <c r="K660" s="74" t="str">
        <f t="shared" si="31"/>
        <v>61-90 Days</v>
      </c>
      <c r="L660" s="58" t="str">
        <f t="shared" si="32"/>
        <v>Not Applicable</v>
      </c>
    </row>
    <row r="661" spans="1:12" ht="16.5" customHeight="1" x14ac:dyDescent="0.35">
      <c r="A661" t="s">
        <v>308</v>
      </c>
      <c r="B661" t="s">
        <v>308</v>
      </c>
      <c r="C661">
        <v>0</v>
      </c>
      <c r="D661">
        <v>100</v>
      </c>
      <c r="E661" t="s">
        <v>4376</v>
      </c>
      <c r="F661" t="s">
        <v>4376</v>
      </c>
      <c r="G661" t="s">
        <v>57</v>
      </c>
      <c r="H661" t="s">
        <v>3489</v>
      </c>
      <c r="I661" t="s">
        <v>3490</v>
      </c>
      <c r="J661" s="56">
        <f t="shared" si="30"/>
        <v>73</v>
      </c>
      <c r="K661" s="74" t="str">
        <f t="shared" si="31"/>
        <v>61-90 Days</v>
      </c>
      <c r="L661" s="58" t="str">
        <f t="shared" si="32"/>
        <v>Not Applicable</v>
      </c>
    </row>
    <row r="662" spans="1:12" ht="16.5" customHeight="1" x14ac:dyDescent="0.35">
      <c r="A662" t="s">
        <v>308</v>
      </c>
      <c r="B662" t="s">
        <v>308</v>
      </c>
      <c r="C662">
        <v>0</v>
      </c>
      <c r="D662">
        <v>2650</v>
      </c>
      <c r="E662" t="s">
        <v>4377</v>
      </c>
      <c r="F662" t="s">
        <v>4377</v>
      </c>
      <c r="G662" t="s">
        <v>57</v>
      </c>
      <c r="H662" t="s">
        <v>3489</v>
      </c>
      <c r="I662" t="s">
        <v>3490</v>
      </c>
      <c r="J662" s="56">
        <f t="shared" si="30"/>
        <v>73</v>
      </c>
      <c r="K662" s="74" t="str">
        <f t="shared" si="31"/>
        <v>61-90 Days</v>
      </c>
      <c r="L662" s="58" t="str">
        <f t="shared" si="32"/>
        <v>Not Applicable</v>
      </c>
    </row>
    <row r="663" spans="1:12" ht="16.5" customHeight="1" x14ac:dyDescent="0.35">
      <c r="A663" t="s">
        <v>308</v>
      </c>
      <c r="B663" t="s">
        <v>308</v>
      </c>
      <c r="C663">
        <v>0</v>
      </c>
      <c r="D663">
        <v>600</v>
      </c>
      <c r="E663" t="s">
        <v>4378</v>
      </c>
      <c r="F663" t="s">
        <v>4379</v>
      </c>
      <c r="G663" t="s">
        <v>57</v>
      </c>
      <c r="H663" t="s">
        <v>3532</v>
      </c>
      <c r="I663" t="s">
        <v>3490</v>
      </c>
      <c r="J663" s="56">
        <f t="shared" si="30"/>
        <v>73</v>
      </c>
      <c r="K663" s="74" t="str">
        <f t="shared" si="31"/>
        <v>61-90 Days</v>
      </c>
      <c r="L663" s="58" t="str">
        <f t="shared" si="32"/>
        <v>Not Applicable</v>
      </c>
    </row>
    <row r="664" spans="1:12" ht="16.5" customHeight="1" x14ac:dyDescent="0.35">
      <c r="A664" t="s">
        <v>308</v>
      </c>
      <c r="B664" t="s">
        <v>308</v>
      </c>
      <c r="C664">
        <v>0</v>
      </c>
      <c r="D664">
        <v>1000</v>
      </c>
      <c r="E664" t="s">
        <v>4380</v>
      </c>
      <c r="F664" t="s">
        <v>4381</v>
      </c>
      <c r="G664" t="s">
        <v>57</v>
      </c>
      <c r="H664" t="s">
        <v>3489</v>
      </c>
      <c r="I664" t="s">
        <v>3490</v>
      </c>
      <c r="J664" s="56">
        <f t="shared" si="30"/>
        <v>73</v>
      </c>
      <c r="K664" s="74" t="str">
        <f t="shared" si="31"/>
        <v>61-90 Days</v>
      </c>
      <c r="L664" s="58" t="str">
        <f t="shared" si="32"/>
        <v>Not Applicable</v>
      </c>
    </row>
    <row r="665" spans="1:12" ht="16.5" customHeight="1" x14ac:dyDescent="0.35">
      <c r="A665" t="s">
        <v>308</v>
      </c>
      <c r="B665" t="s">
        <v>308</v>
      </c>
      <c r="C665">
        <v>0</v>
      </c>
      <c r="D665">
        <v>1000</v>
      </c>
      <c r="E665" t="s">
        <v>4382</v>
      </c>
      <c r="F665" t="s">
        <v>4382</v>
      </c>
      <c r="G665" t="s">
        <v>57</v>
      </c>
      <c r="H665" t="s">
        <v>3532</v>
      </c>
      <c r="I665" t="s">
        <v>3490</v>
      </c>
      <c r="J665" s="56">
        <f t="shared" si="30"/>
        <v>73</v>
      </c>
      <c r="K665" s="74" t="str">
        <f t="shared" si="31"/>
        <v>61-90 Days</v>
      </c>
      <c r="L665" s="58" t="str">
        <f t="shared" si="32"/>
        <v>Not Applicable</v>
      </c>
    </row>
    <row r="666" spans="1:12" ht="16.5" customHeight="1" x14ac:dyDescent="0.35">
      <c r="A666" t="s">
        <v>308</v>
      </c>
      <c r="B666" t="s">
        <v>308</v>
      </c>
      <c r="C666">
        <v>360</v>
      </c>
      <c r="D666">
        <v>0</v>
      </c>
      <c r="E666" t="s">
        <v>4383</v>
      </c>
      <c r="F666" t="s">
        <v>4383</v>
      </c>
      <c r="G666" t="s">
        <v>57</v>
      </c>
      <c r="H666" t="s">
        <v>3455</v>
      </c>
      <c r="I666" t="s">
        <v>3507</v>
      </c>
      <c r="J666" s="56">
        <f t="shared" si="30"/>
        <v>73</v>
      </c>
      <c r="K666" s="74" t="str">
        <f t="shared" si="31"/>
        <v>61-90 Days</v>
      </c>
      <c r="L666" s="58" t="str">
        <f t="shared" si="32"/>
        <v>Substandard</v>
      </c>
    </row>
    <row r="667" spans="1:12" ht="16.5" customHeight="1" x14ac:dyDescent="0.35">
      <c r="A667" t="s">
        <v>308</v>
      </c>
      <c r="B667" t="s">
        <v>308</v>
      </c>
      <c r="C667">
        <v>0</v>
      </c>
      <c r="D667">
        <v>2050</v>
      </c>
      <c r="E667" t="s">
        <v>4384</v>
      </c>
      <c r="F667" t="s">
        <v>4384</v>
      </c>
      <c r="G667" t="s">
        <v>57</v>
      </c>
      <c r="H667" t="s">
        <v>3489</v>
      </c>
      <c r="I667" t="s">
        <v>3490</v>
      </c>
      <c r="J667" s="56">
        <f t="shared" si="30"/>
        <v>73</v>
      </c>
      <c r="K667" s="74" t="str">
        <f t="shared" si="31"/>
        <v>61-90 Days</v>
      </c>
      <c r="L667" s="58" t="str">
        <f t="shared" si="32"/>
        <v>Not Applicable</v>
      </c>
    </row>
    <row r="668" spans="1:12" ht="16.5" customHeight="1" x14ac:dyDescent="0.35">
      <c r="A668" t="s">
        <v>308</v>
      </c>
      <c r="B668" t="s">
        <v>308</v>
      </c>
      <c r="C668">
        <v>0</v>
      </c>
      <c r="D668">
        <v>250</v>
      </c>
      <c r="E668" t="s">
        <v>4385</v>
      </c>
      <c r="F668" t="s">
        <v>4385</v>
      </c>
      <c r="G668" t="s">
        <v>57</v>
      </c>
      <c r="H668" t="s">
        <v>3489</v>
      </c>
      <c r="I668" t="s">
        <v>3490</v>
      </c>
      <c r="J668" s="56">
        <f t="shared" si="30"/>
        <v>73</v>
      </c>
      <c r="K668" s="74" t="str">
        <f t="shared" si="31"/>
        <v>61-90 Days</v>
      </c>
      <c r="L668" s="58" t="str">
        <f t="shared" si="32"/>
        <v>Not Applicable</v>
      </c>
    </row>
    <row r="669" spans="1:12" ht="16.5" customHeight="1" x14ac:dyDescent="0.35">
      <c r="A669" t="s">
        <v>308</v>
      </c>
      <c r="B669" t="s">
        <v>308</v>
      </c>
      <c r="C669">
        <v>0</v>
      </c>
      <c r="D669">
        <v>250</v>
      </c>
      <c r="E669" t="s">
        <v>4386</v>
      </c>
      <c r="F669" t="s">
        <v>4386</v>
      </c>
      <c r="G669" t="s">
        <v>57</v>
      </c>
      <c r="H669" t="s">
        <v>3489</v>
      </c>
      <c r="I669" t="s">
        <v>3490</v>
      </c>
      <c r="J669" s="56">
        <f t="shared" si="30"/>
        <v>73</v>
      </c>
      <c r="K669" s="74" t="str">
        <f t="shared" si="31"/>
        <v>61-90 Days</v>
      </c>
      <c r="L669" s="58" t="str">
        <f t="shared" si="32"/>
        <v>Not Applicable</v>
      </c>
    </row>
    <row r="670" spans="1:12" ht="16.5" customHeight="1" x14ac:dyDescent="0.35">
      <c r="A670" t="s">
        <v>320</v>
      </c>
      <c r="B670" t="s">
        <v>320</v>
      </c>
      <c r="C670">
        <v>675</v>
      </c>
      <c r="D670">
        <v>0</v>
      </c>
      <c r="E670" t="s">
        <v>4387</v>
      </c>
      <c r="F670" t="s">
        <v>4387</v>
      </c>
      <c r="G670" t="s">
        <v>57</v>
      </c>
      <c r="H670" t="s">
        <v>3458</v>
      </c>
      <c r="I670" t="s">
        <v>3507</v>
      </c>
      <c r="J670" s="56">
        <f t="shared" si="30"/>
        <v>72</v>
      </c>
      <c r="K670" s="74" t="str">
        <f t="shared" si="31"/>
        <v>61-90 Days</v>
      </c>
      <c r="L670" s="58" t="str">
        <f t="shared" si="32"/>
        <v>Substandard</v>
      </c>
    </row>
    <row r="671" spans="1:12" ht="16.5" customHeight="1" x14ac:dyDescent="0.35">
      <c r="A671" t="s">
        <v>320</v>
      </c>
      <c r="B671" t="s">
        <v>320</v>
      </c>
      <c r="C671">
        <v>330</v>
      </c>
      <c r="D671">
        <v>0</v>
      </c>
      <c r="E671" t="s">
        <v>4388</v>
      </c>
      <c r="F671" t="s">
        <v>4389</v>
      </c>
      <c r="G671" t="s">
        <v>57</v>
      </c>
      <c r="H671" t="s">
        <v>3455</v>
      </c>
      <c r="I671" t="s">
        <v>3490</v>
      </c>
      <c r="J671" s="56">
        <f t="shared" si="30"/>
        <v>72</v>
      </c>
      <c r="K671" s="74" t="str">
        <f t="shared" si="31"/>
        <v>61-90 Days</v>
      </c>
      <c r="L671" s="58" t="str">
        <f t="shared" si="32"/>
        <v>Substandard</v>
      </c>
    </row>
    <row r="672" spans="1:12" ht="16.5" customHeight="1" x14ac:dyDescent="0.35">
      <c r="A672" t="s">
        <v>320</v>
      </c>
      <c r="B672" t="s">
        <v>320</v>
      </c>
      <c r="C672">
        <v>500</v>
      </c>
      <c r="D672">
        <v>0</v>
      </c>
      <c r="E672" t="s">
        <v>4390</v>
      </c>
      <c r="F672" t="s">
        <v>4390</v>
      </c>
      <c r="G672" t="s">
        <v>57</v>
      </c>
      <c r="H672" t="s">
        <v>3458</v>
      </c>
      <c r="I672" t="s">
        <v>3507</v>
      </c>
      <c r="J672" s="56">
        <f t="shared" si="30"/>
        <v>72</v>
      </c>
      <c r="K672" s="74" t="str">
        <f t="shared" si="31"/>
        <v>61-90 Days</v>
      </c>
      <c r="L672" s="58" t="str">
        <f t="shared" si="32"/>
        <v>Substandard</v>
      </c>
    </row>
    <row r="673" spans="1:12" ht="16.5" customHeight="1" x14ac:dyDescent="0.35">
      <c r="A673" t="s">
        <v>320</v>
      </c>
      <c r="B673" t="s">
        <v>320</v>
      </c>
      <c r="C673">
        <v>100</v>
      </c>
      <c r="D673">
        <v>0</v>
      </c>
      <c r="E673" t="s">
        <v>4391</v>
      </c>
      <c r="F673" t="s">
        <v>4392</v>
      </c>
      <c r="G673" t="s">
        <v>57</v>
      </c>
      <c r="H673" t="s">
        <v>3476</v>
      </c>
      <c r="I673" t="s">
        <v>3490</v>
      </c>
      <c r="J673" s="56">
        <f t="shared" si="30"/>
        <v>72</v>
      </c>
      <c r="K673" s="74" t="str">
        <f t="shared" si="31"/>
        <v>61-90 Days</v>
      </c>
      <c r="L673" s="58" t="str">
        <f t="shared" si="32"/>
        <v>Substandard</v>
      </c>
    </row>
    <row r="674" spans="1:12" ht="16.5" customHeight="1" x14ac:dyDescent="0.35">
      <c r="A674" t="s">
        <v>320</v>
      </c>
      <c r="B674" t="s">
        <v>320</v>
      </c>
      <c r="C674">
        <v>10712.9</v>
      </c>
      <c r="D674">
        <v>0</v>
      </c>
      <c r="E674" t="s">
        <v>4393</v>
      </c>
      <c r="F674" t="s">
        <v>4393</v>
      </c>
      <c r="G674" t="s">
        <v>57</v>
      </c>
      <c r="H674" t="s">
        <v>4394</v>
      </c>
      <c r="I674" t="s">
        <v>3507</v>
      </c>
      <c r="J674" s="56">
        <f t="shared" si="30"/>
        <v>72</v>
      </c>
      <c r="K674" s="74" t="str">
        <f t="shared" si="31"/>
        <v>61-90 Days</v>
      </c>
      <c r="L674" s="58" t="str">
        <f t="shared" si="32"/>
        <v>Substandard</v>
      </c>
    </row>
    <row r="675" spans="1:12" ht="16.5" customHeight="1" x14ac:dyDescent="0.35">
      <c r="A675" t="s">
        <v>320</v>
      </c>
      <c r="B675" t="s">
        <v>320</v>
      </c>
      <c r="C675">
        <v>1550</v>
      </c>
      <c r="D675">
        <v>0</v>
      </c>
      <c r="E675" t="s">
        <v>4395</v>
      </c>
      <c r="F675" t="s">
        <v>4395</v>
      </c>
      <c r="G675" t="s">
        <v>57</v>
      </c>
      <c r="H675" t="s">
        <v>3458</v>
      </c>
      <c r="I675" t="s">
        <v>3507</v>
      </c>
      <c r="J675" s="56">
        <f t="shared" si="30"/>
        <v>72</v>
      </c>
      <c r="K675" s="74" t="str">
        <f t="shared" si="31"/>
        <v>61-90 Days</v>
      </c>
      <c r="L675" s="58" t="str">
        <f t="shared" si="32"/>
        <v>Substandard</v>
      </c>
    </row>
    <row r="676" spans="1:12" ht="16.5" customHeight="1" x14ac:dyDescent="0.35">
      <c r="A676" t="s">
        <v>320</v>
      </c>
      <c r="B676" t="s">
        <v>320</v>
      </c>
      <c r="C676">
        <v>0</v>
      </c>
      <c r="D676">
        <v>300</v>
      </c>
      <c r="E676" t="s">
        <v>4396</v>
      </c>
      <c r="F676" t="s">
        <v>4397</v>
      </c>
      <c r="G676" t="s">
        <v>57</v>
      </c>
      <c r="H676" t="s">
        <v>3489</v>
      </c>
      <c r="I676" t="s">
        <v>3486</v>
      </c>
      <c r="J676" s="56">
        <f t="shared" si="30"/>
        <v>72</v>
      </c>
      <c r="K676" s="74" t="str">
        <f t="shared" si="31"/>
        <v>61-90 Days</v>
      </c>
      <c r="L676" s="58" t="str">
        <f t="shared" si="32"/>
        <v>Not Applicable</v>
      </c>
    </row>
    <row r="677" spans="1:12" ht="16.5" customHeight="1" x14ac:dyDescent="0.35">
      <c r="A677" t="s">
        <v>320</v>
      </c>
      <c r="B677" t="s">
        <v>320</v>
      </c>
      <c r="C677">
        <v>0</v>
      </c>
      <c r="D677">
        <v>360</v>
      </c>
      <c r="E677" t="s">
        <v>4398</v>
      </c>
      <c r="F677" t="s">
        <v>4398</v>
      </c>
      <c r="G677" t="s">
        <v>57</v>
      </c>
      <c r="H677" t="s">
        <v>3489</v>
      </c>
      <c r="I677" t="s">
        <v>3490</v>
      </c>
      <c r="J677" s="56">
        <f t="shared" si="30"/>
        <v>72</v>
      </c>
      <c r="K677" s="74" t="str">
        <f t="shared" si="31"/>
        <v>61-90 Days</v>
      </c>
      <c r="L677" s="58" t="str">
        <f t="shared" si="32"/>
        <v>Not Applicable</v>
      </c>
    </row>
    <row r="678" spans="1:12" ht="16.5" customHeight="1" x14ac:dyDescent="0.35">
      <c r="A678" t="s">
        <v>320</v>
      </c>
      <c r="B678" t="s">
        <v>320</v>
      </c>
      <c r="C678">
        <v>0</v>
      </c>
      <c r="D678">
        <v>43691.09</v>
      </c>
      <c r="E678" t="s">
        <v>4399</v>
      </c>
      <c r="F678" t="s">
        <v>4399</v>
      </c>
      <c r="G678" t="s">
        <v>57</v>
      </c>
      <c r="H678" t="s">
        <v>3914</v>
      </c>
      <c r="I678" t="s">
        <v>3643</v>
      </c>
      <c r="J678" s="56">
        <f t="shared" si="30"/>
        <v>72</v>
      </c>
      <c r="K678" s="74" t="str">
        <f t="shared" si="31"/>
        <v>61-90 Days</v>
      </c>
      <c r="L678" s="58" t="str">
        <f t="shared" si="32"/>
        <v>Not Applicable</v>
      </c>
    </row>
    <row r="679" spans="1:12" ht="16.5" customHeight="1" x14ac:dyDescent="0.35">
      <c r="A679" t="s">
        <v>320</v>
      </c>
      <c r="B679" t="s">
        <v>320</v>
      </c>
      <c r="C679">
        <v>0</v>
      </c>
      <c r="D679">
        <v>550</v>
      </c>
      <c r="E679" t="s">
        <v>4400</v>
      </c>
      <c r="F679" t="s">
        <v>3499</v>
      </c>
      <c r="G679" t="s">
        <v>57</v>
      </c>
      <c r="H679" t="s">
        <v>3489</v>
      </c>
      <c r="I679" t="s">
        <v>3490</v>
      </c>
      <c r="J679" s="56">
        <f t="shared" si="30"/>
        <v>72</v>
      </c>
      <c r="K679" s="74" t="str">
        <f t="shared" si="31"/>
        <v>61-90 Days</v>
      </c>
      <c r="L679" s="58" t="str">
        <f t="shared" si="32"/>
        <v>Not Applicable</v>
      </c>
    </row>
    <row r="680" spans="1:12" ht="16.5" customHeight="1" x14ac:dyDescent="0.35">
      <c r="A680" t="s">
        <v>320</v>
      </c>
      <c r="B680" t="s">
        <v>320</v>
      </c>
      <c r="C680">
        <v>2050</v>
      </c>
      <c r="D680">
        <v>0</v>
      </c>
      <c r="E680" t="s">
        <v>4401</v>
      </c>
      <c r="F680" t="s">
        <v>4401</v>
      </c>
      <c r="G680" t="s">
        <v>57</v>
      </c>
      <c r="H680" t="s">
        <v>3458</v>
      </c>
      <c r="I680" t="s">
        <v>3507</v>
      </c>
      <c r="J680" s="56">
        <f t="shared" si="30"/>
        <v>72</v>
      </c>
      <c r="K680" s="74" t="str">
        <f t="shared" si="31"/>
        <v>61-90 Days</v>
      </c>
      <c r="L680" s="58" t="str">
        <f t="shared" si="32"/>
        <v>Substandard</v>
      </c>
    </row>
    <row r="681" spans="1:12" ht="16.5" customHeight="1" x14ac:dyDescent="0.35">
      <c r="A681" t="s">
        <v>350</v>
      </c>
      <c r="B681" t="s">
        <v>350</v>
      </c>
      <c r="C681">
        <v>0</v>
      </c>
      <c r="D681">
        <v>12750</v>
      </c>
      <c r="E681" t="s">
        <v>4402</v>
      </c>
      <c r="F681" t="s">
        <v>4403</v>
      </c>
      <c r="G681" t="s">
        <v>57</v>
      </c>
      <c r="H681" t="s">
        <v>3532</v>
      </c>
      <c r="I681" t="s">
        <v>3490</v>
      </c>
      <c r="J681" s="56">
        <f t="shared" si="30"/>
        <v>70</v>
      </c>
      <c r="K681" s="74" t="str">
        <f t="shared" si="31"/>
        <v>61-90 Days</v>
      </c>
      <c r="L681" s="58" t="str">
        <f t="shared" si="32"/>
        <v>Not Applicable</v>
      </c>
    </row>
    <row r="682" spans="1:12" ht="16.5" customHeight="1" x14ac:dyDescent="0.35">
      <c r="A682" t="s">
        <v>350</v>
      </c>
      <c r="B682" t="s">
        <v>350</v>
      </c>
      <c r="C682">
        <v>0</v>
      </c>
      <c r="D682">
        <v>896</v>
      </c>
      <c r="E682" t="s">
        <v>4404</v>
      </c>
      <c r="F682" t="s">
        <v>4404</v>
      </c>
      <c r="G682" t="s">
        <v>57</v>
      </c>
      <c r="H682" t="s">
        <v>3489</v>
      </c>
      <c r="I682" t="s">
        <v>3490</v>
      </c>
      <c r="J682" s="56">
        <f t="shared" si="30"/>
        <v>70</v>
      </c>
      <c r="K682" s="74" t="str">
        <f t="shared" si="31"/>
        <v>61-90 Days</v>
      </c>
      <c r="L682" s="58" t="str">
        <f t="shared" si="32"/>
        <v>Not Applicable</v>
      </c>
    </row>
    <row r="683" spans="1:12" ht="16.5" customHeight="1" x14ac:dyDescent="0.35">
      <c r="A683" t="s">
        <v>350</v>
      </c>
      <c r="B683" t="s">
        <v>350</v>
      </c>
      <c r="C683">
        <v>0</v>
      </c>
      <c r="D683">
        <v>1496</v>
      </c>
      <c r="E683" t="s">
        <v>4405</v>
      </c>
      <c r="F683" t="s">
        <v>4406</v>
      </c>
      <c r="G683" t="s">
        <v>57</v>
      </c>
      <c r="H683" t="s">
        <v>3532</v>
      </c>
      <c r="I683" t="s">
        <v>3490</v>
      </c>
      <c r="J683" s="56">
        <f t="shared" si="30"/>
        <v>70</v>
      </c>
      <c r="K683" s="74" t="str">
        <f t="shared" si="31"/>
        <v>61-90 Days</v>
      </c>
      <c r="L683" s="58" t="str">
        <f t="shared" si="32"/>
        <v>Not Applicable</v>
      </c>
    </row>
    <row r="684" spans="1:12" ht="16.5" customHeight="1" x14ac:dyDescent="0.35">
      <c r="A684" t="s">
        <v>350</v>
      </c>
      <c r="B684" t="s">
        <v>350</v>
      </c>
      <c r="C684">
        <v>0</v>
      </c>
      <c r="D684">
        <v>644</v>
      </c>
      <c r="E684" t="s">
        <v>4407</v>
      </c>
      <c r="F684" t="s">
        <v>4408</v>
      </c>
      <c r="G684" t="s">
        <v>57</v>
      </c>
      <c r="H684" t="s">
        <v>3532</v>
      </c>
      <c r="I684" t="s">
        <v>3490</v>
      </c>
      <c r="J684" s="56">
        <f t="shared" si="30"/>
        <v>70</v>
      </c>
      <c r="K684" s="74" t="str">
        <f t="shared" si="31"/>
        <v>61-90 Days</v>
      </c>
      <c r="L684" s="58" t="str">
        <f t="shared" si="32"/>
        <v>Not Applicable</v>
      </c>
    </row>
    <row r="685" spans="1:12" ht="16.5" customHeight="1" x14ac:dyDescent="0.35">
      <c r="A685" t="s">
        <v>350</v>
      </c>
      <c r="B685" t="s">
        <v>350</v>
      </c>
      <c r="C685">
        <v>0</v>
      </c>
      <c r="D685">
        <v>840</v>
      </c>
      <c r="E685" t="s">
        <v>4409</v>
      </c>
      <c r="F685" t="s">
        <v>4410</v>
      </c>
      <c r="G685" t="s">
        <v>57</v>
      </c>
      <c r="H685" t="s">
        <v>3532</v>
      </c>
      <c r="I685" t="s">
        <v>3490</v>
      </c>
      <c r="J685" s="56">
        <f t="shared" si="30"/>
        <v>70</v>
      </c>
      <c r="K685" s="74" t="str">
        <f t="shared" si="31"/>
        <v>61-90 Days</v>
      </c>
      <c r="L685" s="58" t="str">
        <f t="shared" si="32"/>
        <v>Not Applicable</v>
      </c>
    </row>
    <row r="686" spans="1:12" ht="16.5" customHeight="1" x14ac:dyDescent="0.35">
      <c r="A686" t="s">
        <v>350</v>
      </c>
      <c r="B686" t="s">
        <v>350</v>
      </c>
      <c r="C686">
        <v>927480.07</v>
      </c>
      <c r="D686">
        <v>0</v>
      </c>
      <c r="E686" t="s">
        <v>4411</v>
      </c>
      <c r="F686" t="s">
        <v>4411</v>
      </c>
      <c r="G686" t="s">
        <v>57</v>
      </c>
      <c r="H686" t="s">
        <v>3455</v>
      </c>
      <c r="I686" t="s">
        <v>3486</v>
      </c>
      <c r="J686" s="56">
        <f t="shared" si="30"/>
        <v>70</v>
      </c>
      <c r="K686" s="74" t="str">
        <f t="shared" si="31"/>
        <v>61-90 Days</v>
      </c>
      <c r="L686" s="58" t="str">
        <f t="shared" si="32"/>
        <v>Substandard</v>
      </c>
    </row>
    <row r="687" spans="1:12" ht="16.5" customHeight="1" x14ac:dyDescent="0.35">
      <c r="A687" t="s">
        <v>350</v>
      </c>
      <c r="B687" t="s">
        <v>350</v>
      </c>
      <c r="C687">
        <v>360</v>
      </c>
      <c r="D687">
        <v>0</v>
      </c>
      <c r="E687" t="s">
        <v>4412</v>
      </c>
      <c r="F687" t="s">
        <v>4412</v>
      </c>
      <c r="G687" t="s">
        <v>57</v>
      </c>
      <c r="H687" t="s">
        <v>3455</v>
      </c>
      <c r="I687" t="s">
        <v>3507</v>
      </c>
      <c r="J687" s="56">
        <f t="shared" si="30"/>
        <v>70</v>
      </c>
      <c r="K687" s="74" t="str">
        <f t="shared" si="31"/>
        <v>61-90 Days</v>
      </c>
      <c r="L687" s="58" t="str">
        <f t="shared" si="32"/>
        <v>Substandard</v>
      </c>
    </row>
    <row r="688" spans="1:12" ht="16.5" customHeight="1" x14ac:dyDescent="0.35">
      <c r="A688" t="s">
        <v>350</v>
      </c>
      <c r="B688" t="s">
        <v>350</v>
      </c>
      <c r="C688">
        <v>0</v>
      </c>
      <c r="D688">
        <v>2100</v>
      </c>
      <c r="E688" t="s">
        <v>4413</v>
      </c>
      <c r="F688" t="s">
        <v>3499</v>
      </c>
      <c r="G688" t="s">
        <v>57</v>
      </c>
      <c r="H688" t="s">
        <v>3489</v>
      </c>
      <c r="I688" t="s">
        <v>3490</v>
      </c>
      <c r="J688" s="56">
        <f t="shared" si="30"/>
        <v>70</v>
      </c>
      <c r="K688" s="74" t="str">
        <f t="shared" si="31"/>
        <v>61-90 Days</v>
      </c>
      <c r="L688" s="58" t="str">
        <f t="shared" si="32"/>
        <v>Not Applicable</v>
      </c>
    </row>
    <row r="689" spans="1:12" ht="16.5" customHeight="1" x14ac:dyDescent="0.35">
      <c r="A689" t="s">
        <v>350</v>
      </c>
      <c r="B689" t="s">
        <v>350</v>
      </c>
      <c r="C689">
        <v>0</v>
      </c>
      <c r="D689">
        <v>1000</v>
      </c>
      <c r="E689" t="s">
        <v>4414</v>
      </c>
      <c r="F689" t="s">
        <v>4414</v>
      </c>
      <c r="G689" t="s">
        <v>57</v>
      </c>
      <c r="H689" t="s">
        <v>3489</v>
      </c>
      <c r="I689" t="s">
        <v>3490</v>
      </c>
      <c r="J689" s="56">
        <f t="shared" si="30"/>
        <v>70</v>
      </c>
      <c r="K689" s="74" t="str">
        <f t="shared" si="31"/>
        <v>61-90 Days</v>
      </c>
      <c r="L689" s="58" t="str">
        <f t="shared" si="32"/>
        <v>Not Applicable</v>
      </c>
    </row>
    <row r="690" spans="1:12" ht="16.5" customHeight="1" x14ac:dyDescent="0.35">
      <c r="A690" t="s">
        <v>350</v>
      </c>
      <c r="B690" t="s">
        <v>350</v>
      </c>
      <c r="C690">
        <v>0</v>
      </c>
      <c r="D690">
        <v>3050</v>
      </c>
      <c r="E690" t="s">
        <v>4415</v>
      </c>
      <c r="F690" t="s">
        <v>4415</v>
      </c>
      <c r="G690" t="s">
        <v>57</v>
      </c>
      <c r="H690" t="s">
        <v>3489</v>
      </c>
      <c r="I690" t="s">
        <v>3490</v>
      </c>
      <c r="J690" s="56">
        <f t="shared" si="30"/>
        <v>70</v>
      </c>
      <c r="K690" s="74" t="str">
        <f t="shared" si="31"/>
        <v>61-90 Days</v>
      </c>
      <c r="L690" s="58" t="str">
        <f t="shared" si="32"/>
        <v>Not Applicable</v>
      </c>
    </row>
    <row r="691" spans="1:12" ht="16.5" customHeight="1" x14ac:dyDescent="0.35">
      <c r="A691" t="s">
        <v>350</v>
      </c>
      <c r="B691" t="s">
        <v>350</v>
      </c>
      <c r="C691">
        <v>0</v>
      </c>
      <c r="D691">
        <v>1496</v>
      </c>
      <c r="E691" t="s">
        <v>4416</v>
      </c>
      <c r="F691" t="s">
        <v>4417</v>
      </c>
      <c r="G691" t="s">
        <v>57</v>
      </c>
      <c r="H691" t="s">
        <v>3532</v>
      </c>
      <c r="I691" t="s">
        <v>3490</v>
      </c>
      <c r="J691" s="56">
        <f t="shared" si="30"/>
        <v>70</v>
      </c>
      <c r="K691" s="74" t="str">
        <f t="shared" si="31"/>
        <v>61-90 Days</v>
      </c>
      <c r="L691" s="58" t="str">
        <f t="shared" si="32"/>
        <v>Not Applicable</v>
      </c>
    </row>
    <row r="692" spans="1:12" ht="16.5" customHeight="1" x14ac:dyDescent="0.35">
      <c r="A692" t="s">
        <v>350</v>
      </c>
      <c r="B692" t="s">
        <v>350</v>
      </c>
      <c r="C692">
        <v>0</v>
      </c>
      <c r="D692">
        <v>100</v>
      </c>
      <c r="E692" t="s">
        <v>4418</v>
      </c>
      <c r="F692" t="s">
        <v>4418</v>
      </c>
      <c r="G692" t="s">
        <v>57</v>
      </c>
      <c r="H692" t="s">
        <v>3489</v>
      </c>
      <c r="I692" t="s">
        <v>3490</v>
      </c>
      <c r="J692" s="56">
        <f t="shared" si="30"/>
        <v>70</v>
      </c>
      <c r="K692" s="74" t="str">
        <f t="shared" si="31"/>
        <v>61-90 Days</v>
      </c>
      <c r="L692" s="58" t="str">
        <f t="shared" si="32"/>
        <v>Not Applicable</v>
      </c>
    </row>
    <row r="693" spans="1:12" ht="16.5" customHeight="1" x14ac:dyDescent="0.35">
      <c r="A693" t="s">
        <v>350</v>
      </c>
      <c r="B693" t="s">
        <v>350</v>
      </c>
      <c r="C693">
        <v>0</v>
      </c>
      <c r="D693">
        <v>600</v>
      </c>
      <c r="E693" t="s">
        <v>4419</v>
      </c>
      <c r="F693" t="s">
        <v>4420</v>
      </c>
      <c r="G693" t="s">
        <v>57</v>
      </c>
      <c r="H693" t="s">
        <v>3532</v>
      </c>
      <c r="I693" t="s">
        <v>3490</v>
      </c>
      <c r="J693" s="56">
        <f t="shared" si="30"/>
        <v>70</v>
      </c>
      <c r="K693" s="74" t="str">
        <f t="shared" si="31"/>
        <v>61-90 Days</v>
      </c>
      <c r="L693" s="58" t="str">
        <f t="shared" si="32"/>
        <v>Not Applicable</v>
      </c>
    </row>
    <row r="694" spans="1:12" ht="16.5" customHeight="1" x14ac:dyDescent="0.35">
      <c r="A694" t="s">
        <v>350</v>
      </c>
      <c r="B694" t="s">
        <v>350</v>
      </c>
      <c r="C694">
        <v>0</v>
      </c>
      <c r="D694">
        <v>494</v>
      </c>
      <c r="E694" t="s">
        <v>4421</v>
      </c>
      <c r="F694" t="s">
        <v>4421</v>
      </c>
      <c r="G694" t="s">
        <v>57</v>
      </c>
      <c r="H694" t="s">
        <v>3532</v>
      </c>
      <c r="I694" t="s">
        <v>3490</v>
      </c>
      <c r="J694" s="56">
        <f t="shared" si="30"/>
        <v>70</v>
      </c>
      <c r="K694" s="74" t="str">
        <f t="shared" si="31"/>
        <v>61-90 Days</v>
      </c>
      <c r="L694" s="58" t="str">
        <f t="shared" si="32"/>
        <v>Not Applicable</v>
      </c>
    </row>
    <row r="695" spans="1:12" ht="16.5" customHeight="1" x14ac:dyDescent="0.35">
      <c r="A695" t="s">
        <v>350</v>
      </c>
      <c r="B695" t="s">
        <v>350</v>
      </c>
      <c r="C695">
        <v>0</v>
      </c>
      <c r="D695">
        <v>300</v>
      </c>
      <c r="E695" t="s">
        <v>4422</v>
      </c>
      <c r="F695" t="s">
        <v>3574</v>
      </c>
      <c r="G695" t="s">
        <v>57</v>
      </c>
      <c r="H695" t="s">
        <v>3489</v>
      </c>
      <c r="I695" t="s">
        <v>3490</v>
      </c>
      <c r="J695" s="56">
        <f t="shared" si="30"/>
        <v>70</v>
      </c>
      <c r="K695" s="74" t="str">
        <f t="shared" si="31"/>
        <v>61-90 Days</v>
      </c>
      <c r="L695" s="58" t="str">
        <f t="shared" si="32"/>
        <v>Not Applicable</v>
      </c>
    </row>
    <row r="696" spans="1:12" ht="16.5" customHeight="1" x14ac:dyDescent="0.35">
      <c r="A696" t="s">
        <v>350</v>
      </c>
      <c r="B696" t="s">
        <v>350</v>
      </c>
      <c r="C696">
        <v>0</v>
      </c>
      <c r="D696">
        <v>1000</v>
      </c>
      <c r="E696" t="s">
        <v>4423</v>
      </c>
      <c r="F696" t="s">
        <v>4423</v>
      </c>
      <c r="G696" t="s">
        <v>57</v>
      </c>
      <c r="H696" t="s">
        <v>3489</v>
      </c>
      <c r="I696" t="s">
        <v>3490</v>
      </c>
      <c r="J696" s="56">
        <f t="shared" si="30"/>
        <v>70</v>
      </c>
      <c r="K696" s="74" t="str">
        <f t="shared" si="31"/>
        <v>61-90 Days</v>
      </c>
      <c r="L696" s="58" t="str">
        <f t="shared" si="32"/>
        <v>Not Applicable</v>
      </c>
    </row>
    <row r="697" spans="1:12" ht="16.5" customHeight="1" x14ac:dyDescent="0.35">
      <c r="A697" t="s">
        <v>350</v>
      </c>
      <c r="B697" t="s">
        <v>350</v>
      </c>
      <c r="C697">
        <v>0</v>
      </c>
      <c r="D697">
        <v>1000</v>
      </c>
      <c r="E697" t="s">
        <v>4424</v>
      </c>
      <c r="F697" t="s">
        <v>4424</v>
      </c>
      <c r="G697" t="s">
        <v>57</v>
      </c>
      <c r="H697" t="s">
        <v>3489</v>
      </c>
      <c r="I697" t="s">
        <v>3490</v>
      </c>
      <c r="J697" s="56">
        <f t="shared" si="30"/>
        <v>70</v>
      </c>
      <c r="K697" s="74" t="str">
        <f t="shared" si="31"/>
        <v>61-90 Days</v>
      </c>
      <c r="L697" s="58" t="str">
        <f t="shared" si="32"/>
        <v>Not Applicable</v>
      </c>
    </row>
    <row r="698" spans="1:12" ht="16.5" customHeight="1" x14ac:dyDescent="0.35">
      <c r="A698" t="s">
        <v>350</v>
      </c>
      <c r="B698" t="s">
        <v>350</v>
      </c>
      <c r="C698">
        <v>0</v>
      </c>
      <c r="D698">
        <v>1108</v>
      </c>
      <c r="E698" t="s">
        <v>4425</v>
      </c>
      <c r="F698" t="s">
        <v>4426</v>
      </c>
      <c r="G698" t="s">
        <v>57</v>
      </c>
      <c r="H698" t="s">
        <v>3532</v>
      </c>
      <c r="I698" t="s">
        <v>3490</v>
      </c>
      <c r="J698" s="56">
        <f t="shared" si="30"/>
        <v>70</v>
      </c>
      <c r="K698" s="74" t="str">
        <f t="shared" si="31"/>
        <v>61-90 Days</v>
      </c>
      <c r="L698" s="58" t="str">
        <f t="shared" si="32"/>
        <v>Not Applicable</v>
      </c>
    </row>
    <row r="699" spans="1:12" ht="16.5" customHeight="1" x14ac:dyDescent="0.35">
      <c r="A699" t="s">
        <v>350</v>
      </c>
      <c r="B699" t="s">
        <v>350</v>
      </c>
      <c r="C699">
        <v>0</v>
      </c>
      <c r="D699">
        <v>100</v>
      </c>
      <c r="E699" t="s">
        <v>4427</v>
      </c>
      <c r="F699" t="s">
        <v>4427</v>
      </c>
      <c r="G699" t="s">
        <v>57</v>
      </c>
      <c r="H699" t="s">
        <v>3489</v>
      </c>
      <c r="I699" t="s">
        <v>3490</v>
      </c>
      <c r="J699" s="56">
        <f t="shared" si="30"/>
        <v>70</v>
      </c>
      <c r="K699" s="74" t="str">
        <f t="shared" si="31"/>
        <v>61-90 Days</v>
      </c>
      <c r="L699" s="58" t="str">
        <f t="shared" si="32"/>
        <v>Not Applicable</v>
      </c>
    </row>
    <row r="700" spans="1:12" ht="16.5" customHeight="1" x14ac:dyDescent="0.35">
      <c r="A700" t="s">
        <v>350</v>
      </c>
      <c r="B700" t="s">
        <v>350</v>
      </c>
      <c r="C700">
        <v>0</v>
      </c>
      <c r="D700">
        <v>297</v>
      </c>
      <c r="E700" t="s">
        <v>4428</v>
      </c>
      <c r="F700" t="s">
        <v>4428</v>
      </c>
      <c r="G700" t="s">
        <v>57</v>
      </c>
      <c r="H700" t="s">
        <v>3489</v>
      </c>
      <c r="I700" t="s">
        <v>3490</v>
      </c>
      <c r="J700" s="56">
        <f t="shared" si="30"/>
        <v>70</v>
      </c>
      <c r="K700" s="74" t="str">
        <f t="shared" si="31"/>
        <v>61-90 Days</v>
      </c>
      <c r="L700" s="58" t="str">
        <f t="shared" si="32"/>
        <v>Not Applicable</v>
      </c>
    </row>
    <row r="701" spans="1:12" ht="16.5" customHeight="1" x14ac:dyDescent="0.35">
      <c r="A701" t="s">
        <v>350</v>
      </c>
      <c r="B701" t="s">
        <v>350</v>
      </c>
      <c r="C701">
        <v>0</v>
      </c>
      <c r="D701">
        <v>212.4</v>
      </c>
      <c r="E701" t="s">
        <v>4429</v>
      </c>
      <c r="F701" t="s">
        <v>4430</v>
      </c>
      <c r="G701" t="s">
        <v>57</v>
      </c>
      <c r="H701" t="s">
        <v>3532</v>
      </c>
      <c r="I701" t="s">
        <v>3490</v>
      </c>
      <c r="J701" s="56">
        <f t="shared" si="30"/>
        <v>70</v>
      </c>
      <c r="K701" s="74" t="str">
        <f t="shared" si="31"/>
        <v>61-90 Days</v>
      </c>
      <c r="L701" s="58" t="str">
        <f t="shared" si="32"/>
        <v>Not Applicable</v>
      </c>
    </row>
    <row r="702" spans="1:12" ht="16.5" customHeight="1" x14ac:dyDescent="0.35">
      <c r="A702" t="s">
        <v>350</v>
      </c>
      <c r="B702" t="s">
        <v>350</v>
      </c>
      <c r="C702">
        <v>0</v>
      </c>
      <c r="D702">
        <v>1128</v>
      </c>
      <c r="E702" t="s">
        <v>4431</v>
      </c>
      <c r="F702" t="s">
        <v>4432</v>
      </c>
      <c r="G702" t="s">
        <v>57</v>
      </c>
      <c r="H702" t="s">
        <v>3532</v>
      </c>
      <c r="I702" t="s">
        <v>3490</v>
      </c>
      <c r="J702" s="56">
        <f t="shared" si="30"/>
        <v>70</v>
      </c>
      <c r="K702" s="74" t="str">
        <f t="shared" si="31"/>
        <v>61-90 Days</v>
      </c>
      <c r="L702" s="58" t="str">
        <f t="shared" si="32"/>
        <v>Not Applicable</v>
      </c>
    </row>
    <row r="703" spans="1:12" ht="16.5" customHeight="1" x14ac:dyDescent="0.35">
      <c r="A703" t="s">
        <v>350</v>
      </c>
      <c r="B703" t="s">
        <v>350</v>
      </c>
      <c r="C703">
        <v>0</v>
      </c>
      <c r="D703">
        <v>836</v>
      </c>
      <c r="E703" t="s">
        <v>4433</v>
      </c>
      <c r="F703" t="s">
        <v>4434</v>
      </c>
      <c r="G703" t="s">
        <v>57</v>
      </c>
      <c r="H703" t="s">
        <v>3532</v>
      </c>
      <c r="I703" t="s">
        <v>3490</v>
      </c>
      <c r="J703" s="56">
        <f t="shared" si="30"/>
        <v>70</v>
      </c>
      <c r="K703" s="74" t="str">
        <f t="shared" si="31"/>
        <v>61-90 Days</v>
      </c>
      <c r="L703" s="58" t="str">
        <f t="shared" si="32"/>
        <v>Not Applicable</v>
      </c>
    </row>
    <row r="704" spans="1:12" ht="16.5" customHeight="1" x14ac:dyDescent="0.35">
      <c r="A704" t="s">
        <v>350</v>
      </c>
      <c r="B704" t="s">
        <v>350</v>
      </c>
      <c r="C704">
        <v>0</v>
      </c>
      <c r="D704">
        <v>1000</v>
      </c>
      <c r="E704" t="s">
        <v>4435</v>
      </c>
      <c r="F704" t="s">
        <v>4436</v>
      </c>
      <c r="G704" t="s">
        <v>57</v>
      </c>
      <c r="H704" t="s">
        <v>3532</v>
      </c>
      <c r="I704" t="s">
        <v>3490</v>
      </c>
      <c r="J704" s="56">
        <f t="shared" si="30"/>
        <v>70</v>
      </c>
      <c r="K704" s="74" t="str">
        <f t="shared" si="31"/>
        <v>61-90 Days</v>
      </c>
      <c r="L704" s="58" t="str">
        <f t="shared" si="32"/>
        <v>Not Applicable</v>
      </c>
    </row>
    <row r="705" spans="1:12" ht="16.5" customHeight="1" x14ac:dyDescent="0.35">
      <c r="A705" t="s">
        <v>350</v>
      </c>
      <c r="B705" t="s">
        <v>350</v>
      </c>
      <c r="C705">
        <v>0</v>
      </c>
      <c r="D705">
        <v>300</v>
      </c>
      <c r="E705" t="s">
        <v>4437</v>
      </c>
      <c r="F705" t="s">
        <v>3574</v>
      </c>
      <c r="G705" t="s">
        <v>57</v>
      </c>
      <c r="H705" t="s">
        <v>3489</v>
      </c>
      <c r="I705" t="s">
        <v>3490</v>
      </c>
      <c r="J705" s="56">
        <f t="shared" si="30"/>
        <v>70</v>
      </c>
      <c r="K705" s="74" t="str">
        <f t="shared" si="31"/>
        <v>61-90 Days</v>
      </c>
      <c r="L705" s="58" t="str">
        <f t="shared" si="32"/>
        <v>Not Applicable</v>
      </c>
    </row>
    <row r="706" spans="1:12" ht="16.5" customHeight="1" x14ac:dyDescent="0.35">
      <c r="A706" t="s">
        <v>350</v>
      </c>
      <c r="B706" t="s">
        <v>350</v>
      </c>
      <c r="C706">
        <v>0</v>
      </c>
      <c r="D706">
        <v>1524</v>
      </c>
      <c r="E706" t="s">
        <v>4438</v>
      </c>
      <c r="F706" t="s">
        <v>4439</v>
      </c>
      <c r="G706" t="s">
        <v>57</v>
      </c>
      <c r="H706" t="s">
        <v>3532</v>
      </c>
      <c r="I706" t="s">
        <v>3490</v>
      </c>
      <c r="J706" s="56">
        <f t="shared" si="30"/>
        <v>70</v>
      </c>
      <c r="K706" s="74" t="str">
        <f t="shared" si="31"/>
        <v>61-90 Days</v>
      </c>
      <c r="L706" s="58" t="str">
        <f t="shared" si="32"/>
        <v>Not Applicable</v>
      </c>
    </row>
    <row r="707" spans="1:12" ht="16.5" customHeight="1" x14ac:dyDescent="0.35">
      <c r="A707" t="s">
        <v>350</v>
      </c>
      <c r="B707" t="s">
        <v>350</v>
      </c>
      <c r="C707">
        <v>0</v>
      </c>
      <c r="D707">
        <v>1524</v>
      </c>
      <c r="E707" t="s">
        <v>4440</v>
      </c>
      <c r="F707" t="s">
        <v>4441</v>
      </c>
      <c r="G707" t="s">
        <v>57</v>
      </c>
      <c r="H707" t="s">
        <v>3532</v>
      </c>
      <c r="I707" t="s">
        <v>3490</v>
      </c>
      <c r="J707" s="56">
        <f t="shared" si="30"/>
        <v>70</v>
      </c>
      <c r="K707" s="74" t="str">
        <f t="shared" si="31"/>
        <v>61-90 Days</v>
      </c>
      <c r="L707" s="58" t="str">
        <f t="shared" si="32"/>
        <v>Not Applicable</v>
      </c>
    </row>
    <row r="708" spans="1:12" ht="16.5" customHeight="1" x14ac:dyDescent="0.35">
      <c r="A708" t="s">
        <v>350</v>
      </c>
      <c r="B708" t="s">
        <v>350</v>
      </c>
      <c r="C708">
        <v>0</v>
      </c>
      <c r="D708">
        <v>600</v>
      </c>
      <c r="E708" t="s">
        <v>4442</v>
      </c>
      <c r="F708" t="s">
        <v>4442</v>
      </c>
      <c r="G708" t="s">
        <v>57</v>
      </c>
      <c r="H708" t="s">
        <v>3489</v>
      </c>
      <c r="I708" t="s">
        <v>3490</v>
      </c>
      <c r="J708" s="56">
        <f t="shared" si="30"/>
        <v>70</v>
      </c>
      <c r="K708" s="74" t="str">
        <f t="shared" si="31"/>
        <v>61-90 Days</v>
      </c>
      <c r="L708" s="58" t="str">
        <f t="shared" si="32"/>
        <v>Not Applicable</v>
      </c>
    </row>
    <row r="709" spans="1:12" ht="16.5" customHeight="1" x14ac:dyDescent="0.35">
      <c r="A709" t="s">
        <v>350</v>
      </c>
      <c r="B709" t="s">
        <v>350</v>
      </c>
      <c r="C709">
        <v>0</v>
      </c>
      <c r="D709">
        <v>141.6</v>
      </c>
      <c r="E709" t="s">
        <v>4443</v>
      </c>
      <c r="F709" t="s">
        <v>4444</v>
      </c>
      <c r="G709" t="s">
        <v>57</v>
      </c>
      <c r="H709" t="s">
        <v>3532</v>
      </c>
      <c r="I709" t="s">
        <v>3490</v>
      </c>
      <c r="J709" s="56">
        <f t="shared" si="30"/>
        <v>70</v>
      </c>
      <c r="K709" s="74" t="str">
        <f t="shared" si="31"/>
        <v>61-90 Days</v>
      </c>
      <c r="L709" s="58" t="str">
        <f t="shared" si="32"/>
        <v>Not Applicable</v>
      </c>
    </row>
    <row r="710" spans="1:12" ht="16.5" customHeight="1" x14ac:dyDescent="0.35">
      <c r="A710" t="s">
        <v>350</v>
      </c>
      <c r="B710" t="s">
        <v>350</v>
      </c>
      <c r="C710">
        <v>0</v>
      </c>
      <c r="D710">
        <v>1000</v>
      </c>
      <c r="E710" t="s">
        <v>4445</v>
      </c>
      <c r="F710" t="s">
        <v>4445</v>
      </c>
      <c r="G710" t="s">
        <v>57</v>
      </c>
      <c r="H710" t="s">
        <v>3532</v>
      </c>
      <c r="I710" t="s">
        <v>3490</v>
      </c>
      <c r="J710" s="56">
        <f t="shared" si="30"/>
        <v>70</v>
      </c>
      <c r="K710" s="74" t="str">
        <f t="shared" si="31"/>
        <v>61-90 Days</v>
      </c>
      <c r="L710" s="58" t="str">
        <f t="shared" si="32"/>
        <v>Not Applicable</v>
      </c>
    </row>
    <row r="711" spans="1:12" ht="16.5" customHeight="1" x14ac:dyDescent="0.35">
      <c r="A711" t="s">
        <v>350</v>
      </c>
      <c r="B711" t="s">
        <v>350</v>
      </c>
      <c r="C711">
        <v>0</v>
      </c>
      <c r="D711">
        <v>35.4</v>
      </c>
      <c r="E711" t="s">
        <v>4446</v>
      </c>
      <c r="F711" t="s">
        <v>4447</v>
      </c>
      <c r="G711" t="s">
        <v>57</v>
      </c>
      <c r="H711" t="s">
        <v>3532</v>
      </c>
      <c r="I711" t="s">
        <v>3490</v>
      </c>
      <c r="J711" s="56">
        <f t="shared" si="30"/>
        <v>70</v>
      </c>
      <c r="K711" s="74" t="str">
        <f t="shared" si="31"/>
        <v>61-90 Days</v>
      </c>
      <c r="L711" s="58" t="str">
        <f t="shared" si="32"/>
        <v>Not Applicable</v>
      </c>
    </row>
    <row r="712" spans="1:12" ht="16.5" customHeight="1" x14ac:dyDescent="0.35">
      <c r="A712" t="s">
        <v>350</v>
      </c>
      <c r="B712" t="s">
        <v>350</v>
      </c>
      <c r="C712">
        <v>0</v>
      </c>
      <c r="D712">
        <v>1000</v>
      </c>
      <c r="E712" t="s">
        <v>4448</v>
      </c>
      <c r="F712" t="s">
        <v>4449</v>
      </c>
      <c r="G712" t="s">
        <v>57</v>
      </c>
      <c r="H712" t="s">
        <v>3532</v>
      </c>
      <c r="I712" t="s">
        <v>3490</v>
      </c>
      <c r="J712" s="56">
        <f t="shared" si="30"/>
        <v>70</v>
      </c>
      <c r="K712" s="74" t="str">
        <f t="shared" si="31"/>
        <v>61-90 Days</v>
      </c>
      <c r="L712" s="58" t="str">
        <f t="shared" si="32"/>
        <v>Not Applicable</v>
      </c>
    </row>
    <row r="713" spans="1:12" ht="16.5" customHeight="1" x14ac:dyDescent="0.35">
      <c r="A713" t="s">
        <v>350</v>
      </c>
      <c r="B713" t="s">
        <v>350</v>
      </c>
      <c r="C713">
        <v>0</v>
      </c>
      <c r="D713">
        <v>1432</v>
      </c>
      <c r="E713" t="s">
        <v>4450</v>
      </c>
      <c r="F713" t="s">
        <v>4451</v>
      </c>
      <c r="G713" t="s">
        <v>57</v>
      </c>
      <c r="H713" t="s">
        <v>3532</v>
      </c>
      <c r="I713" t="s">
        <v>3490</v>
      </c>
      <c r="J713" s="56">
        <f t="shared" ref="J713:J776" si="33">IF(A713="","",A$5-A713)</f>
        <v>70</v>
      </c>
      <c r="K713" s="74" t="str">
        <f t="shared" ref="K713:K776" si="34">IF(J713="","",IF(J713&lt;4,"0-3 Days",IF(J713&lt;31,"4-30 Days",IF(J713&lt;61,"31-60 Days",IF(J713&lt;=90,"61-90 Days",IF(J713&gt;90,"Above 90 Days","0"))))))</f>
        <v>61-90 Days</v>
      </c>
      <c r="L713" s="58" t="str">
        <f t="shared" ref="L713:L776" si="35">IF(C713="","",IF(C713&gt;0,IF(J713&lt;30,"Normal",IF(J713&lt;60,"Especially Mentioned",IF(J713&lt;90,"Substandard",IF(J713&lt;=180,"Doubtful",IF(J713&gt;180,"Loss","0"))))),"Not Applicable"))</f>
        <v>Not Applicable</v>
      </c>
    </row>
    <row r="714" spans="1:12" ht="16.5" customHeight="1" x14ac:dyDescent="0.35">
      <c r="A714" t="s">
        <v>350</v>
      </c>
      <c r="B714" t="s">
        <v>350</v>
      </c>
      <c r="C714">
        <v>0</v>
      </c>
      <c r="D714">
        <v>140</v>
      </c>
      <c r="E714" t="s">
        <v>4452</v>
      </c>
      <c r="F714" t="s">
        <v>4452</v>
      </c>
      <c r="G714" t="s">
        <v>57</v>
      </c>
      <c r="H714" t="s">
        <v>3532</v>
      </c>
      <c r="I714" t="s">
        <v>3490</v>
      </c>
      <c r="J714" s="56">
        <f t="shared" si="33"/>
        <v>70</v>
      </c>
      <c r="K714" s="74" t="str">
        <f t="shared" si="34"/>
        <v>61-90 Days</v>
      </c>
      <c r="L714" s="58" t="str">
        <f t="shared" si="35"/>
        <v>Not Applicable</v>
      </c>
    </row>
    <row r="715" spans="1:12" ht="16.5" customHeight="1" x14ac:dyDescent="0.35">
      <c r="A715" t="s">
        <v>350</v>
      </c>
      <c r="B715" t="s">
        <v>350</v>
      </c>
      <c r="C715">
        <v>0</v>
      </c>
      <c r="D715">
        <v>2100</v>
      </c>
      <c r="E715" t="s">
        <v>4453</v>
      </c>
      <c r="F715" t="s">
        <v>4453</v>
      </c>
      <c r="G715" t="s">
        <v>57</v>
      </c>
      <c r="H715" t="s">
        <v>3489</v>
      </c>
      <c r="I715" t="s">
        <v>3490</v>
      </c>
      <c r="J715" s="56">
        <f t="shared" si="33"/>
        <v>70</v>
      </c>
      <c r="K715" s="74" t="str">
        <f t="shared" si="34"/>
        <v>61-90 Days</v>
      </c>
      <c r="L715" s="58" t="str">
        <f t="shared" si="35"/>
        <v>Not Applicable</v>
      </c>
    </row>
    <row r="716" spans="1:12" ht="16.5" customHeight="1" x14ac:dyDescent="0.35">
      <c r="A716" t="s">
        <v>350</v>
      </c>
      <c r="B716" t="s">
        <v>350</v>
      </c>
      <c r="C716">
        <v>0</v>
      </c>
      <c r="D716">
        <v>644</v>
      </c>
      <c r="E716" t="s">
        <v>4454</v>
      </c>
      <c r="F716" t="s">
        <v>4455</v>
      </c>
      <c r="G716" t="s">
        <v>57</v>
      </c>
      <c r="H716" t="s">
        <v>3532</v>
      </c>
      <c r="I716" t="s">
        <v>3490</v>
      </c>
      <c r="J716" s="56">
        <f t="shared" si="33"/>
        <v>70</v>
      </c>
      <c r="K716" s="74" t="str">
        <f t="shared" si="34"/>
        <v>61-90 Days</v>
      </c>
      <c r="L716" s="58" t="str">
        <f t="shared" si="35"/>
        <v>Not Applicable</v>
      </c>
    </row>
    <row r="717" spans="1:12" ht="16.5" customHeight="1" x14ac:dyDescent="0.35">
      <c r="A717" t="s">
        <v>350</v>
      </c>
      <c r="B717" t="s">
        <v>350</v>
      </c>
      <c r="C717">
        <v>855.2</v>
      </c>
      <c r="D717">
        <v>0</v>
      </c>
      <c r="E717" t="s">
        <v>4456</v>
      </c>
      <c r="F717" t="s">
        <v>4457</v>
      </c>
      <c r="G717" t="s">
        <v>57</v>
      </c>
      <c r="H717" t="s">
        <v>3455</v>
      </c>
      <c r="I717" t="s">
        <v>3490</v>
      </c>
      <c r="J717" s="56">
        <f t="shared" si="33"/>
        <v>70</v>
      </c>
      <c r="K717" s="74" t="str">
        <f t="shared" si="34"/>
        <v>61-90 Days</v>
      </c>
      <c r="L717" s="58" t="str">
        <f t="shared" si="35"/>
        <v>Substandard</v>
      </c>
    </row>
    <row r="718" spans="1:12" ht="16.5" customHeight="1" x14ac:dyDescent="0.35">
      <c r="A718" t="s">
        <v>350</v>
      </c>
      <c r="B718" t="s">
        <v>350</v>
      </c>
      <c r="C718">
        <v>0</v>
      </c>
      <c r="D718">
        <v>500</v>
      </c>
      <c r="E718" t="s">
        <v>4458</v>
      </c>
      <c r="F718" t="s">
        <v>4458</v>
      </c>
      <c r="G718" t="s">
        <v>57</v>
      </c>
      <c r="H718" t="s">
        <v>3489</v>
      </c>
      <c r="I718" t="s">
        <v>3490</v>
      </c>
      <c r="J718" s="56">
        <f t="shared" si="33"/>
        <v>70</v>
      </c>
      <c r="K718" s="74" t="str">
        <f t="shared" si="34"/>
        <v>61-90 Days</v>
      </c>
      <c r="L718" s="58" t="str">
        <f t="shared" si="35"/>
        <v>Not Applicable</v>
      </c>
    </row>
    <row r="719" spans="1:12" ht="16.5" customHeight="1" x14ac:dyDescent="0.35">
      <c r="A719" t="s">
        <v>350</v>
      </c>
      <c r="B719" t="s">
        <v>350</v>
      </c>
      <c r="C719">
        <v>0</v>
      </c>
      <c r="D719">
        <v>500</v>
      </c>
      <c r="E719" t="s">
        <v>4459</v>
      </c>
      <c r="F719" t="s">
        <v>4459</v>
      </c>
      <c r="G719" t="s">
        <v>57</v>
      </c>
      <c r="H719" t="s">
        <v>3532</v>
      </c>
      <c r="I719" t="s">
        <v>3490</v>
      </c>
      <c r="J719" s="56">
        <f t="shared" si="33"/>
        <v>70</v>
      </c>
      <c r="K719" s="74" t="str">
        <f t="shared" si="34"/>
        <v>61-90 Days</v>
      </c>
      <c r="L719" s="58" t="str">
        <f t="shared" si="35"/>
        <v>Not Applicable</v>
      </c>
    </row>
    <row r="720" spans="1:12" ht="16.5" customHeight="1" x14ac:dyDescent="0.35">
      <c r="A720" t="s">
        <v>350</v>
      </c>
      <c r="B720" t="s">
        <v>350</v>
      </c>
      <c r="C720">
        <v>0</v>
      </c>
      <c r="D720">
        <v>212.4</v>
      </c>
      <c r="E720" t="s">
        <v>4460</v>
      </c>
      <c r="F720" t="s">
        <v>4461</v>
      </c>
      <c r="G720" t="s">
        <v>57</v>
      </c>
      <c r="H720" t="s">
        <v>3532</v>
      </c>
      <c r="I720" t="s">
        <v>3490</v>
      </c>
      <c r="J720" s="56">
        <f t="shared" si="33"/>
        <v>70</v>
      </c>
      <c r="K720" s="74" t="str">
        <f t="shared" si="34"/>
        <v>61-90 Days</v>
      </c>
      <c r="L720" s="58" t="str">
        <f t="shared" si="35"/>
        <v>Not Applicable</v>
      </c>
    </row>
    <row r="721" spans="1:12" ht="16.5" customHeight="1" x14ac:dyDescent="0.35">
      <c r="A721" t="s">
        <v>350</v>
      </c>
      <c r="B721" t="s">
        <v>350</v>
      </c>
      <c r="C721">
        <v>0</v>
      </c>
      <c r="D721">
        <v>1524</v>
      </c>
      <c r="E721" t="s">
        <v>4462</v>
      </c>
      <c r="F721" t="s">
        <v>4463</v>
      </c>
      <c r="G721" t="s">
        <v>57</v>
      </c>
      <c r="H721" t="s">
        <v>3532</v>
      </c>
      <c r="I721" t="s">
        <v>3490</v>
      </c>
      <c r="J721" s="56">
        <f t="shared" si="33"/>
        <v>70</v>
      </c>
      <c r="K721" s="74" t="str">
        <f t="shared" si="34"/>
        <v>61-90 Days</v>
      </c>
      <c r="L721" s="58" t="str">
        <f t="shared" si="35"/>
        <v>Not Applicable</v>
      </c>
    </row>
    <row r="722" spans="1:12" ht="16.5" customHeight="1" x14ac:dyDescent="0.35">
      <c r="A722" t="s">
        <v>350</v>
      </c>
      <c r="B722" t="s">
        <v>350</v>
      </c>
      <c r="C722">
        <v>0</v>
      </c>
      <c r="D722">
        <v>1550</v>
      </c>
      <c r="E722" t="s">
        <v>4464</v>
      </c>
      <c r="F722" t="s">
        <v>3574</v>
      </c>
      <c r="G722" t="s">
        <v>57</v>
      </c>
      <c r="H722" t="s">
        <v>3489</v>
      </c>
      <c r="I722" t="s">
        <v>3490</v>
      </c>
      <c r="J722" s="56">
        <f t="shared" si="33"/>
        <v>70</v>
      </c>
      <c r="K722" s="74" t="str">
        <f t="shared" si="34"/>
        <v>61-90 Days</v>
      </c>
      <c r="L722" s="58" t="str">
        <f t="shared" si="35"/>
        <v>Not Applicable</v>
      </c>
    </row>
    <row r="723" spans="1:12" ht="16.5" customHeight="1" x14ac:dyDescent="0.35">
      <c r="A723" t="s">
        <v>350</v>
      </c>
      <c r="B723" t="s">
        <v>350</v>
      </c>
      <c r="C723">
        <v>0</v>
      </c>
      <c r="D723">
        <v>560</v>
      </c>
      <c r="E723" t="s">
        <v>4465</v>
      </c>
      <c r="F723" t="s">
        <v>4465</v>
      </c>
      <c r="G723" t="s">
        <v>57</v>
      </c>
      <c r="H723" t="s">
        <v>3532</v>
      </c>
      <c r="I723" t="s">
        <v>3490</v>
      </c>
      <c r="J723" s="56">
        <f t="shared" si="33"/>
        <v>70</v>
      </c>
      <c r="K723" s="74" t="str">
        <f t="shared" si="34"/>
        <v>61-90 Days</v>
      </c>
      <c r="L723" s="58" t="str">
        <f t="shared" si="35"/>
        <v>Not Applicable</v>
      </c>
    </row>
    <row r="724" spans="1:12" ht="16.5" customHeight="1" x14ac:dyDescent="0.35">
      <c r="A724" t="s">
        <v>350</v>
      </c>
      <c r="B724" t="s">
        <v>350</v>
      </c>
      <c r="C724">
        <v>0</v>
      </c>
      <c r="D724">
        <v>21250</v>
      </c>
      <c r="E724" t="s">
        <v>4466</v>
      </c>
      <c r="F724" t="s">
        <v>4467</v>
      </c>
      <c r="G724" t="s">
        <v>57</v>
      </c>
      <c r="H724" t="s">
        <v>3532</v>
      </c>
      <c r="I724" t="s">
        <v>3490</v>
      </c>
      <c r="J724" s="56">
        <f t="shared" si="33"/>
        <v>70</v>
      </c>
      <c r="K724" s="74" t="str">
        <f t="shared" si="34"/>
        <v>61-90 Days</v>
      </c>
      <c r="L724" s="58" t="str">
        <f t="shared" si="35"/>
        <v>Not Applicable</v>
      </c>
    </row>
    <row r="725" spans="1:12" ht="16.5" customHeight="1" x14ac:dyDescent="0.35">
      <c r="A725" t="s">
        <v>350</v>
      </c>
      <c r="B725" t="s">
        <v>350</v>
      </c>
      <c r="C725">
        <v>0</v>
      </c>
      <c r="D725">
        <v>500</v>
      </c>
      <c r="E725" t="s">
        <v>4468</v>
      </c>
      <c r="F725" t="s">
        <v>4468</v>
      </c>
      <c r="G725" t="s">
        <v>57</v>
      </c>
      <c r="H725" t="s">
        <v>3532</v>
      </c>
      <c r="I725" t="s">
        <v>3490</v>
      </c>
      <c r="J725" s="56">
        <f t="shared" si="33"/>
        <v>70</v>
      </c>
      <c r="K725" s="74" t="str">
        <f t="shared" si="34"/>
        <v>61-90 Days</v>
      </c>
      <c r="L725" s="58" t="str">
        <f t="shared" si="35"/>
        <v>Not Applicable</v>
      </c>
    </row>
    <row r="726" spans="1:12" ht="16.5" customHeight="1" x14ac:dyDescent="0.35">
      <c r="A726" t="s">
        <v>350</v>
      </c>
      <c r="B726" t="s">
        <v>350</v>
      </c>
      <c r="C726">
        <v>0</v>
      </c>
      <c r="D726">
        <v>2150</v>
      </c>
      <c r="E726" t="s">
        <v>4469</v>
      </c>
      <c r="F726" t="s">
        <v>4469</v>
      </c>
      <c r="G726" t="s">
        <v>57</v>
      </c>
      <c r="H726" t="s">
        <v>3489</v>
      </c>
      <c r="I726" t="s">
        <v>3490</v>
      </c>
      <c r="J726" s="56">
        <f t="shared" si="33"/>
        <v>70</v>
      </c>
      <c r="K726" s="74" t="str">
        <f t="shared" si="34"/>
        <v>61-90 Days</v>
      </c>
      <c r="L726" s="58" t="str">
        <f t="shared" si="35"/>
        <v>Not Applicable</v>
      </c>
    </row>
    <row r="727" spans="1:12" ht="16.5" customHeight="1" x14ac:dyDescent="0.35">
      <c r="A727" t="s">
        <v>350</v>
      </c>
      <c r="B727" t="s">
        <v>350</v>
      </c>
      <c r="C727">
        <v>0</v>
      </c>
      <c r="D727">
        <v>1496</v>
      </c>
      <c r="E727" t="s">
        <v>4470</v>
      </c>
      <c r="F727" t="s">
        <v>4471</v>
      </c>
      <c r="G727" t="s">
        <v>57</v>
      </c>
      <c r="H727" t="s">
        <v>3532</v>
      </c>
      <c r="I727" t="s">
        <v>3490</v>
      </c>
      <c r="J727" s="56">
        <f t="shared" si="33"/>
        <v>70</v>
      </c>
      <c r="K727" s="74" t="str">
        <f t="shared" si="34"/>
        <v>61-90 Days</v>
      </c>
      <c r="L727" s="58" t="str">
        <f t="shared" si="35"/>
        <v>Not Applicable</v>
      </c>
    </row>
    <row r="728" spans="1:12" ht="16.5" customHeight="1" x14ac:dyDescent="0.35">
      <c r="A728" t="s">
        <v>350</v>
      </c>
      <c r="B728" t="s">
        <v>350</v>
      </c>
      <c r="C728">
        <v>0</v>
      </c>
      <c r="D728">
        <v>35.4</v>
      </c>
      <c r="E728" t="s">
        <v>4472</v>
      </c>
      <c r="F728" t="s">
        <v>4473</v>
      </c>
      <c r="G728" t="s">
        <v>57</v>
      </c>
      <c r="H728" t="s">
        <v>3532</v>
      </c>
      <c r="I728" t="s">
        <v>3490</v>
      </c>
      <c r="J728" s="56">
        <f t="shared" si="33"/>
        <v>70</v>
      </c>
      <c r="K728" s="74" t="str">
        <f t="shared" si="34"/>
        <v>61-90 Days</v>
      </c>
      <c r="L728" s="58" t="str">
        <f t="shared" si="35"/>
        <v>Not Applicable</v>
      </c>
    </row>
    <row r="729" spans="1:12" ht="16.5" customHeight="1" x14ac:dyDescent="0.35">
      <c r="A729" t="s">
        <v>350</v>
      </c>
      <c r="B729" t="s">
        <v>350</v>
      </c>
      <c r="C729">
        <v>0</v>
      </c>
      <c r="D729">
        <v>1432</v>
      </c>
      <c r="E729" t="s">
        <v>4474</v>
      </c>
      <c r="F729" t="s">
        <v>4475</v>
      </c>
      <c r="G729" t="s">
        <v>57</v>
      </c>
      <c r="H729" t="s">
        <v>3532</v>
      </c>
      <c r="I729" t="s">
        <v>3490</v>
      </c>
      <c r="J729" s="56">
        <f t="shared" si="33"/>
        <v>70</v>
      </c>
      <c r="K729" s="74" t="str">
        <f t="shared" si="34"/>
        <v>61-90 Days</v>
      </c>
      <c r="L729" s="58" t="str">
        <f t="shared" si="35"/>
        <v>Not Applicable</v>
      </c>
    </row>
    <row r="730" spans="1:12" ht="16.5" customHeight="1" x14ac:dyDescent="0.35">
      <c r="A730" t="s">
        <v>350</v>
      </c>
      <c r="B730" t="s">
        <v>350</v>
      </c>
      <c r="C730">
        <v>0</v>
      </c>
      <c r="D730">
        <v>2050</v>
      </c>
      <c r="E730" t="s">
        <v>4476</v>
      </c>
      <c r="F730" t="s">
        <v>4476</v>
      </c>
      <c r="G730" t="s">
        <v>57</v>
      </c>
      <c r="H730" t="s">
        <v>3532</v>
      </c>
      <c r="I730" t="s">
        <v>3490</v>
      </c>
      <c r="J730" s="56">
        <f t="shared" si="33"/>
        <v>70</v>
      </c>
      <c r="K730" s="74" t="str">
        <f t="shared" si="34"/>
        <v>61-90 Days</v>
      </c>
      <c r="L730" s="58" t="str">
        <f t="shared" si="35"/>
        <v>Not Applicable</v>
      </c>
    </row>
    <row r="731" spans="1:12" ht="16.5" customHeight="1" x14ac:dyDescent="0.35">
      <c r="A731" t="s">
        <v>350</v>
      </c>
      <c r="B731" t="s">
        <v>350</v>
      </c>
      <c r="C731">
        <v>0</v>
      </c>
      <c r="D731">
        <v>1132</v>
      </c>
      <c r="E731" t="s">
        <v>4477</v>
      </c>
      <c r="F731" t="s">
        <v>4478</v>
      </c>
      <c r="G731" t="s">
        <v>57</v>
      </c>
      <c r="H731" t="s">
        <v>3532</v>
      </c>
      <c r="I731" t="s">
        <v>3490</v>
      </c>
      <c r="J731" s="56">
        <f t="shared" si="33"/>
        <v>70</v>
      </c>
      <c r="K731" s="74" t="str">
        <f t="shared" si="34"/>
        <v>61-90 Days</v>
      </c>
      <c r="L731" s="58" t="str">
        <f t="shared" si="35"/>
        <v>Not Applicable</v>
      </c>
    </row>
    <row r="732" spans="1:12" ht="16.5" customHeight="1" x14ac:dyDescent="0.35">
      <c r="A732" t="s">
        <v>350</v>
      </c>
      <c r="B732" t="s">
        <v>350</v>
      </c>
      <c r="C732">
        <v>0</v>
      </c>
      <c r="D732">
        <v>1236</v>
      </c>
      <c r="E732" t="s">
        <v>4479</v>
      </c>
      <c r="F732" t="s">
        <v>4480</v>
      </c>
      <c r="G732" t="s">
        <v>57</v>
      </c>
      <c r="H732" t="s">
        <v>3532</v>
      </c>
      <c r="I732" t="s">
        <v>3490</v>
      </c>
      <c r="J732" s="56">
        <f t="shared" si="33"/>
        <v>70</v>
      </c>
      <c r="K732" s="74" t="str">
        <f t="shared" si="34"/>
        <v>61-90 Days</v>
      </c>
      <c r="L732" s="58" t="str">
        <f t="shared" si="35"/>
        <v>Not Applicable</v>
      </c>
    </row>
    <row r="733" spans="1:12" ht="16.5" customHeight="1" x14ac:dyDescent="0.35">
      <c r="A733" t="s">
        <v>350</v>
      </c>
      <c r="B733" t="s">
        <v>350</v>
      </c>
      <c r="C733">
        <v>0</v>
      </c>
      <c r="D733">
        <v>500</v>
      </c>
      <c r="E733" t="s">
        <v>4481</v>
      </c>
      <c r="F733" t="s">
        <v>4481</v>
      </c>
      <c r="G733" t="s">
        <v>57</v>
      </c>
      <c r="H733" t="s">
        <v>3489</v>
      </c>
      <c r="I733" t="s">
        <v>3490</v>
      </c>
      <c r="J733" s="56">
        <f t="shared" si="33"/>
        <v>70</v>
      </c>
      <c r="K733" s="74" t="str">
        <f t="shared" si="34"/>
        <v>61-90 Days</v>
      </c>
      <c r="L733" s="58" t="str">
        <f t="shared" si="35"/>
        <v>Not Applicable</v>
      </c>
    </row>
    <row r="734" spans="1:12" ht="16.5" customHeight="1" x14ac:dyDescent="0.35">
      <c r="A734" t="s">
        <v>350</v>
      </c>
      <c r="B734" t="s">
        <v>350</v>
      </c>
      <c r="C734">
        <v>0</v>
      </c>
      <c r="D734">
        <v>21250</v>
      </c>
      <c r="E734" t="s">
        <v>4482</v>
      </c>
      <c r="F734" t="s">
        <v>4483</v>
      </c>
      <c r="G734" t="s">
        <v>57</v>
      </c>
      <c r="H734" t="s">
        <v>3532</v>
      </c>
      <c r="I734" t="s">
        <v>3490</v>
      </c>
      <c r="J734" s="56">
        <f t="shared" si="33"/>
        <v>70</v>
      </c>
      <c r="K734" s="74" t="str">
        <f t="shared" si="34"/>
        <v>61-90 Days</v>
      </c>
      <c r="L734" s="58" t="str">
        <f t="shared" si="35"/>
        <v>Not Applicable</v>
      </c>
    </row>
    <row r="735" spans="1:12" ht="16.5" customHeight="1" x14ac:dyDescent="0.35">
      <c r="A735" t="s">
        <v>350</v>
      </c>
      <c r="B735" t="s">
        <v>350</v>
      </c>
      <c r="C735">
        <v>0</v>
      </c>
      <c r="D735">
        <v>732</v>
      </c>
      <c r="E735" t="s">
        <v>4484</v>
      </c>
      <c r="F735" t="s">
        <v>4485</v>
      </c>
      <c r="G735" t="s">
        <v>57</v>
      </c>
      <c r="H735" t="s">
        <v>3532</v>
      </c>
      <c r="I735" t="s">
        <v>3490</v>
      </c>
      <c r="J735" s="56">
        <f t="shared" si="33"/>
        <v>70</v>
      </c>
      <c r="K735" s="74" t="str">
        <f t="shared" si="34"/>
        <v>61-90 Days</v>
      </c>
      <c r="L735" s="58" t="str">
        <f t="shared" si="35"/>
        <v>Not Applicable</v>
      </c>
    </row>
    <row r="736" spans="1:12" ht="16.5" customHeight="1" x14ac:dyDescent="0.35">
      <c r="A736" t="s">
        <v>350</v>
      </c>
      <c r="B736" t="s">
        <v>350</v>
      </c>
      <c r="C736">
        <v>0</v>
      </c>
      <c r="D736">
        <v>12214.17</v>
      </c>
      <c r="E736" t="s">
        <v>4486</v>
      </c>
      <c r="F736" t="s">
        <v>4486</v>
      </c>
      <c r="G736" t="s">
        <v>57</v>
      </c>
      <c r="H736" t="s">
        <v>3914</v>
      </c>
      <c r="I736" t="s">
        <v>3643</v>
      </c>
      <c r="J736" s="56">
        <f t="shared" si="33"/>
        <v>70</v>
      </c>
      <c r="K736" s="74" t="str">
        <f t="shared" si="34"/>
        <v>61-90 Days</v>
      </c>
      <c r="L736" s="58" t="str">
        <f t="shared" si="35"/>
        <v>Not Applicable</v>
      </c>
    </row>
    <row r="737" spans="1:12" ht="16.5" customHeight="1" x14ac:dyDescent="0.35">
      <c r="A737" t="s">
        <v>350</v>
      </c>
      <c r="B737" t="s">
        <v>350</v>
      </c>
      <c r="C737">
        <v>0</v>
      </c>
      <c r="D737">
        <v>600</v>
      </c>
      <c r="E737" t="s">
        <v>4487</v>
      </c>
      <c r="F737" t="s">
        <v>4487</v>
      </c>
      <c r="G737" t="s">
        <v>57</v>
      </c>
      <c r="H737" t="s">
        <v>3489</v>
      </c>
      <c r="I737" t="s">
        <v>3490</v>
      </c>
      <c r="J737" s="56">
        <f t="shared" si="33"/>
        <v>70</v>
      </c>
      <c r="K737" s="74" t="str">
        <f t="shared" si="34"/>
        <v>61-90 Days</v>
      </c>
      <c r="L737" s="58" t="str">
        <f t="shared" si="35"/>
        <v>Not Applicable</v>
      </c>
    </row>
    <row r="738" spans="1:12" ht="16.5" customHeight="1" x14ac:dyDescent="0.35">
      <c r="A738" t="s">
        <v>366</v>
      </c>
      <c r="B738" t="s">
        <v>366</v>
      </c>
      <c r="C738">
        <v>0</v>
      </c>
      <c r="D738">
        <v>2050</v>
      </c>
      <c r="E738" t="s">
        <v>4488</v>
      </c>
      <c r="F738" t="s">
        <v>4488</v>
      </c>
      <c r="G738" t="s">
        <v>57</v>
      </c>
      <c r="H738" t="s">
        <v>3489</v>
      </c>
      <c r="I738" t="s">
        <v>3490</v>
      </c>
      <c r="J738" s="56">
        <f t="shared" si="33"/>
        <v>69</v>
      </c>
      <c r="K738" s="74" t="str">
        <f t="shared" si="34"/>
        <v>61-90 Days</v>
      </c>
      <c r="L738" s="58" t="str">
        <f t="shared" si="35"/>
        <v>Not Applicable</v>
      </c>
    </row>
    <row r="739" spans="1:12" ht="16.5" customHeight="1" x14ac:dyDescent="0.35">
      <c r="A739" t="s">
        <v>366</v>
      </c>
      <c r="B739" t="s">
        <v>366</v>
      </c>
      <c r="C739">
        <v>1800</v>
      </c>
      <c r="D739">
        <v>0</v>
      </c>
      <c r="E739" t="s">
        <v>4489</v>
      </c>
      <c r="F739" t="s">
        <v>4490</v>
      </c>
      <c r="G739" t="s">
        <v>57</v>
      </c>
      <c r="H739" t="s">
        <v>4491</v>
      </c>
      <c r="I739" t="s">
        <v>3490</v>
      </c>
      <c r="J739" s="56">
        <f t="shared" si="33"/>
        <v>69</v>
      </c>
      <c r="K739" s="74" t="str">
        <f t="shared" si="34"/>
        <v>61-90 Days</v>
      </c>
      <c r="L739" s="58" t="str">
        <f t="shared" si="35"/>
        <v>Substandard</v>
      </c>
    </row>
    <row r="740" spans="1:12" ht="16.5" customHeight="1" x14ac:dyDescent="0.35">
      <c r="A740" t="s">
        <v>366</v>
      </c>
      <c r="B740" t="s">
        <v>366</v>
      </c>
      <c r="C740">
        <v>0</v>
      </c>
      <c r="D740">
        <v>1000</v>
      </c>
      <c r="E740" t="s">
        <v>4492</v>
      </c>
      <c r="F740" t="s">
        <v>4492</v>
      </c>
      <c r="G740" t="s">
        <v>57</v>
      </c>
      <c r="H740" t="s">
        <v>3489</v>
      </c>
      <c r="I740" t="s">
        <v>3490</v>
      </c>
      <c r="J740" s="56">
        <f t="shared" si="33"/>
        <v>69</v>
      </c>
      <c r="K740" s="74" t="str">
        <f t="shared" si="34"/>
        <v>61-90 Days</v>
      </c>
      <c r="L740" s="58" t="str">
        <f t="shared" si="35"/>
        <v>Not Applicable</v>
      </c>
    </row>
    <row r="741" spans="1:12" ht="16.5" customHeight="1" x14ac:dyDescent="0.35">
      <c r="A741" t="s">
        <v>366</v>
      </c>
      <c r="B741" t="s">
        <v>366</v>
      </c>
      <c r="C741">
        <v>0</v>
      </c>
      <c r="D741">
        <v>625</v>
      </c>
      <c r="E741" t="s">
        <v>4493</v>
      </c>
      <c r="F741" t="s">
        <v>4493</v>
      </c>
      <c r="G741" t="s">
        <v>57</v>
      </c>
      <c r="H741" t="s">
        <v>3489</v>
      </c>
      <c r="I741" t="s">
        <v>3490</v>
      </c>
      <c r="J741" s="56">
        <f t="shared" si="33"/>
        <v>69</v>
      </c>
      <c r="K741" s="74" t="str">
        <f t="shared" si="34"/>
        <v>61-90 Days</v>
      </c>
      <c r="L741" s="58" t="str">
        <f t="shared" si="35"/>
        <v>Not Applicable</v>
      </c>
    </row>
    <row r="742" spans="1:12" ht="16.5" customHeight="1" x14ac:dyDescent="0.35">
      <c r="A742" t="s">
        <v>366</v>
      </c>
      <c r="B742" t="s">
        <v>366</v>
      </c>
      <c r="C742">
        <v>100</v>
      </c>
      <c r="D742">
        <v>0</v>
      </c>
      <c r="E742" t="s">
        <v>4494</v>
      </c>
      <c r="F742" t="s">
        <v>4494</v>
      </c>
      <c r="G742" t="s">
        <v>57</v>
      </c>
      <c r="H742" t="s">
        <v>3485</v>
      </c>
      <c r="I742" t="s">
        <v>3507</v>
      </c>
      <c r="J742" s="56">
        <f t="shared" si="33"/>
        <v>69</v>
      </c>
      <c r="K742" s="74" t="str">
        <f t="shared" si="34"/>
        <v>61-90 Days</v>
      </c>
      <c r="L742" s="58" t="str">
        <f t="shared" si="35"/>
        <v>Substandard</v>
      </c>
    </row>
    <row r="743" spans="1:12" ht="16.5" customHeight="1" x14ac:dyDescent="0.35">
      <c r="A743" t="s">
        <v>366</v>
      </c>
      <c r="B743" t="s">
        <v>366</v>
      </c>
      <c r="C743">
        <v>0</v>
      </c>
      <c r="D743">
        <v>227</v>
      </c>
      <c r="E743" t="s">
        <v>4495</v>
      </c>
      <c r="F743" t="s">
        <v>4495</v>
      </c>
      <c r="G743" t="s">
        <v>57</v>
      </c>
      <c r="H743" t="s">
        <v>3489</v>
      </c>
      <c r="I743" t="s">
        <v>3490</v>
      </c>
      <c r="J743" s="56">
        <f t="shared" si="33"/>
        <v>69</v>
      </c>
      <c r="K743" s="74" t="str">
        <f t="shared" si="34"/>
        <v>61-90 Days</v>
      </c>
      <c r="L743" s="58" t="str">
        <f t="shared" si="35"/>
        <v>Not Applicable</v>
      </c>
    </row>
    <row r="744" spans="1:12" ht="16.5" customHeight="1" x14ac:dyDescent="0.35">
      <c r="A744" t="s">
        <v>366</v>
      </c>
      <c r="B744" t="s">
        <v>366</v>
      </c>
      <c r="C744">
        <v>0</v>
      </c>
      <c r="D744">
        <v>800</v>
      </c>
      <c r="E744" t="s">
        <v>4496</v>
      </c>
      <c r="F744" t="s">
        <v>4496</v>
      </c>
      <c r="G744" t="s">
        <v>57</v>
      </c>
      <c r="H744" t="s">
        <v>3489</v>
      </c>
      <c r="I744" t="s">
        <v>3490</v>
      </c>
      <c r="J744" s="56">
        <f t="shared" si="33"/>
        <v>69</v>
      </c>
      <c r="K744" s="74" t="str">
        <f t="shared" si="34"/>
        <v>61-90 Days</v>
      </c>
      <c r="L744" s="58" t="str">
        <f t="shared" si="35"/>
        <v>Not Applicable</v>
      </c>
    </row>
    <row r="745" spans="1:12" ht="16.5" customHeight="1" x14ac:dyDescent="0.35">
      <c r="A745" t="s">
        <v>366</v>
      </c>
      <c r="B745" t="s">
        <v>366</v>
      </c>
      <c r="C745">
        <v>0</v>
      </c>
      <c r="D745">
        <v>1000</v>
      </c>
      <c r="E745" t="s">
        <v>4497</v>
      </c>
      <c r="F745" t="s">
        <v>4497</v>
      </c>
      <c r="G745" t="s">
        <v>57</v>
      </c>
      <c r="H745" t="s">
        <v>3489</v>
      </c>
      <c r="I745" t="s">
        <v>3490</v>
      </c>
      <c r="J745" s="56">
        <f t="shared" si="33"/>
        <v>69</v>
      </c>
      <c r="K745" s="74" t="str">
        <f t="shared" si="34"/>
        <v>61-90 Days</v>
      </c>
      <c r="L745" s="58" t="str">
        <f t="shared" si="35"/>
        <v>Not Applicable</v>
      </c>
    </row>
    <row r="746" spans="1:12" ht="16.5" customHeight="1" x14ac:dyDescent="0.35">
      <c r="A746" t="s">
        <v>366</v>
      </c>
      <c r="B746" t="s">
        <v>366</v>
      </c>
      <c r="C746">
        <v>0</v>
      </c>
      <c r="D746">
        <v>10000</v>
      </c>
      <c r="E746" t="s">
        <v>4498</v>
      </c>
      <c r="F746" t="s">
        <v>4498</v>
      </c>
      <c r="G746" t="s">
        <v>57</v>
      </c>
      <c r="H746" t="s">
        <v>3521</v>
      </c>
      <c r="I746" t="s">
        <v>3490</v>
      </c>
      <c r="J746" s="56">
        <f t="shared" si="33"/>
        <v>69</v>
      </c>
      <c r="K746" s="74" t="str">
        <f t="shared" si="34"/>
        <v>61-90 Days</v>
      </c>
      <c r="L746" s="58" t="str">
        <f t="shared" si="35"/>
        <v>Not Applicable</v>
      </c>
    </row>
    <row r="747" spans="1:12" ht="16.5" customHeight="1" x14ac:dyDescent="0.35">
      <c r="A747" t="s">
        <v>366</v>
      </c>
      <c r="B747" t="s">
        <v>366</v>
      </c>
      <c r="C747">
        <v>0</v>
      </c>
      <c r="D747">
        <v>1000</v>
      </c>
      <c r="E747" t="s">
        <v>4499</v>
      </c>
      <c r="F747" t="s">
        <v>4499</v>
      </c>
      <c r="G747" t="s">
        <v>57</v>
      </c>
      <c r="H747" t="s">
        <v>3489</v>
      </c>
      <c r="I747" t="s">
        <v>3490</v>
      </c>
      <c r="J747" s="56">
        <f t="shared" si="33"/>
        <v>69</v>
      </c>
      <c r="K747" s="74" t="str">
        <f t="shared" si="34"/>
        <v>61-90 Days</v>
      </c>
      <c r="L747" s="58" t="str">
        <f t="shared" si="35"/>
        <v>Not Applicable</v>
      </c>
    </row>
    <row r="748" spans="1:12" ht="16.5" customHeight="1" x14ac:dyDescent="0.35">
      <c r="A748" t="s">
        <v>366</v>
      </c>
      <c r="B748" t="s">
        <v>366</v>
      </c>
      <c r="C748">
        <v>0</v>
      </c>
      <c r="D748">
        <v>106.2</v>
      </c>
      <c r="E748" t="s">
        <v>4500</v>
      </c>
      <c r="F748" t="s">
        <v>4501</v>
      </c>
      <c r="G748" t="s">
        <v>57</v>
      </c>
      <c r="H748" t="s">
        <v>3532</v>
      </c>
      <c r="I748" t="s">
        <v>3490</v>
      </c>
      <c r="J748" s="56">
        <f t="shared" si="33"/>
        <v>69</v>
      </c>
      <c r="K748" s="74" t="str">
        <f t="shared" si="34"/>
        <v>61-90 Days</v>
      </c>
      <c r="L748" s="58" t="str">
        <f t="shared" si="35"/>
        <v>Not Applicable</v>
      </c>
    </row>
    <row r="749" spans="1:12" ht="16.5" customHeight="1" x14ac:dyDescent="0.35">
      <c r="A749" t="s">
        <v>366</v>
      </c>
      <c r="B749" t="s">
        <v>366</v>
      </c>
      <c r="C749">
        <v>0</v>
      </c>
      <c r="D749">
        <v>1000</v>
      </c>
      <c r="E749" t="s">
        <v>4502</v>
      </c>
      <c r="F749" t="s">
        <v>4503</v>
      </c>
      <c r="G749" t="s">
        <v>57</v>
      </c>
      <c r="H749" t="s">
        <v>3489</v>
      </c>
      <c r="I749" t="s">
        <v>3490</v>
      </c>
      <c r="J749" s="56">
        <f t="shared" si="33"/>
        <v>69</v>
      </c>
      <c r="K749" s="74" t="str">
        <f t="shared" si="34"/>
        <v>61-90 Days</v>
      </c>
      <c r="L749" s="58" t="str">
        <f t="shared" si="35"/>
        <v>Not Applicable</v>
      </c>
    </row>
    <row r="750" spans="1:12" ht="16.5" customHeight="1" x14ac:dyDescent="0.35">
      <c r="A750" t="s">
        <v>366</v>
      </c>
      <c r="B750" t="s">
        <v>366</v>
      </c>
      <c r="C750">
        <v>0</v>
      </c>
      <c r="D750">
        <v>1000</v>
      </c>
      <c r="E750" t="s">
        <v>4504</v>
      </c>
      <c r="F750" t="s">
        <v>3499</v>
      </c>
      <c r="G750" t="s">
        <v>57</v>
      </c>
      <c r="H750" t="s">
        <v>3489</v>
      </c>
      <c r="I750" t="s">
        <v>3490</v>
      </c>
      <c r="J750" s="56">
        <f t="shared" si="33"/>
        <v>69</v>
      </c>
      <c r="K750" s="74" t="str">
        <f t="shared" si="34"/>
        <v>61-90 Days</v>
      </c>
      <c r="L750" s="58" t="str">
        <f t="shared" si="35"/>
        <v>Not Applicable</v>
      </c>
    </row>
    <row r="751" spans="1:12" ht="16.5" customHeight="1" x14ac:dyDescent="0.35">
      <c r="A751" t="s">
        <v>366</v>
      </c>
      <c r="B751" t="s">
        <v>366</v>
      </c>
      <c r="C751">
        <v>300</v>
      </c>
      <c r="D751">
        <v>0</v>
      </c>
      <c r="E751" t="s">
        <v>4505</v>
      </c>
      <c r="F751" t="s">
        <v>4505</v>
      </c>
      <c r="G751" t="s">
        <v>57</v>
      </c>
      <c r="H751" t="s">
        <v>4506</v>
      </c>
      <c r="I751" t="s">
        <v>3507</v>
      </c>
      <c r="J751" s="56">
        <f t="shared" si="33"/>
        <v>69</v>
      </c>
      <c r="K751" s="74" t="str">
        <f t="shared" si="34"/>
        <v>61-90 Days</v>
      </c>
      <c r="L751" s="58" t="str">
        <f t="shared" si="35"/>
        <v>Substandard</v>
      </c>
    </row>
    <row r="752" spans="1:12" ht="16.5" customHeight="1" x14ac:dyDescent="0.35">
      <c r="A752" t="s">
        <v>366</v>
      </c>
      <c r="B752" t="s">
        <v>366</v>
      </c>
      <c r="C752">
        <v>0</v>
      </c>
      <c r="D752">
        <v>1000</v>
      </c>
      <c r="E752" t="s">
        <v>4507</v>
      </c>
      <c r="F752" t="s">
        <v>4508</v>
      </c>
      <c r="G752" t="s">
        <v>57</v>
      </c>
      <c r="H752" t="s">
        <v>3489</v>
      </c>
      <c r="I752" t="s">
        <v>3490</v>
      </c>
      <c r="J752" s="56">
        <f t="shared" si="33"/>
        <v>69</v>
      </c>
      <c r="K752" s="74" t="str">
        <f t="shared" si="34"/>
        <v>61-90 Days</v>
      </c>
      <c r="L752" s="58" t="str">
        <f t="shared" si="35"/>
        <v>Not Applicable</v>
      </c>
    </row>
    <row r="753" spans="1:12" ht="16.5" customHeight="1" x14ac:dyDescent="0.35">
      <c r="A753" t="s">
        <v>366</v>
      </c>
      <c r="B753" t="s">
        <v>366</v>
      </c>
      <c r="C753">
        <v>512</v>
      </c>
      <c r="D753">
        <v>0</v>
      </c>
      <c r="E753" t="s">
        <v>4509</v>
      </c>
      <c r="F753" t="s">
        <v>4510</v>
      </c>
      <c r="G753" t="s">
        <v>57</v>
      </c>
      <c r="H753" t="s">
        <v>3886</v>
      </c>
      <c r="I753" t="s">
        <v>3490</v>
      </c>
      <c r="J753" s="56">
        <f t="shared" si="33"/>
        <v>69</v>
      </c>
      <c r="K753" s="74" t="str">
        <f t="shared" si="34"/>
        <v>61-90 Days</v>
      </c>
      <c r="L753" s="58" t="str">
        <f t="shared" si="35"/>
        <v>Substandard</v>
      </c>
    </row>
    <row r="754" spans="1:12" ht="16.5" customHeight="1" x14ac:dyDescent="0.35">
      <c r="A754" t="s">
        <v>366</v>
      </c>
      <c r="B754" t="s">
        <v>366</v>
      </c>
      <c r="C754">
        <v>0</v>
      </c>
      <c r="D754">
        <v>177</v>
      </c>
      <c r="E754" t="s">
        <v>4511</v>
      </c>
      <c r="F754" t="s">
        <v>4512</v>
      </c>
      <c r="G754" t="s">
        <v>57</v>
      </c>
      <c r="H754" t="s">
        <v>3532</v>
      </c>
      <c r="I754" t="s">
        <v>3490</v>
      </c>
      <c r="J754" s="56">
        <f t="shared" si="33"/>
        <v>69</v>
      </c>
      <c r="K754" s="74" t="str">
        <f t="shared" si="34"/>
        <v>61-90 Days</v>
      </c>
      <c r="L754" s="58" t="str">
        <f t="shared" si="35"/>
        <v>Not Applicable</v>
      </c>
    </row>
    <row r="755" spans="1:12" ht="16.5" customHeight="1" x14ac:dyDescent="0.35">
      <c r="A755" t="s">
        <v>366</v>
      </c>
      <c r="B755" t="s">
        <v>366</v>
      </c>
      <c r="C755">
        <v>0</v>
      </c>
      <c r="D755">
        <v>1500</v>
      </c>
      <c r="E755" t="s">
        <v>4513</v>
      </c>
      <c r="F755" t="s">
        <v>4513</v>
      </c>
      <c r="G755" t="s">
        <v>57</v>
      </c>
      <c r="H755" t="s">
        <v>3532</v>
      </c>
      <c r="I755" t="s">
        <v>3490</v>
      </c>
      <c r="J755" s="56">
        <f t="shared" si="33"/>
        <v>69</v>
      </c>
      <c r="K755" s="74" t="str">
        <f t="shared" si="34"/>
        <v>61-90 Days</v>
      </c>
      <c r="L755" s="58" t="str">
        <f t="shared" si="35"/>
        <v>Not Applicable</v>
      </c>
    </row>
    <row r="756" spans="1:12" ht="16.5" customHeight="1" x14ac:dyDescent="0.35">
      <c r="A756" t="s">
        <v>366</v>
      </c>
      <c r="B756" t="s">
        <v>366</v>
      </c>
      <c r="C756">
        <v>0</v>
      </c>
      <c r="D756">
        <v>100000</v>
      </c>
      <c r="E756" t="s">
        <v>4514</v>
      </c>
      <c r="F756" t="s">
        <v>4514</v>
      </c>
      <c r="G756" t="s">
        <v>57</v>
      </c>
      <c r="H756" t="s">
        <v>3489</v>
      </c>
      <c r="I756" t="s">
        <v>3490</v>
      </c>
      <c r="J756" s="56">
        <f t="shared" si="33"/>
        <v>69</v>
      </c>
      <c r="K756" s="74" t="str">
        <f t="shared" si="34"/>
        <v>61-90 Days</v>
      </c>
      <c r="L756" s="58" t="str">
        <f t="shared" si="35"/>
        <v>Not Applicable</v>
      </c>
    </row>
    <row r="757" spans="1:12" ht="16.5" customHeight="1" x14ac:dyDescent="0.35">
      <c r="A757" t="s">
        <v>366</v>
      </c>
      <c r="B757" t="s">
        <v>366</v>
      </c>
      <c r="C757">
        <v>0</v>
      </c>
      <c r="D757">
        <v>240</v>
      </c>
      <c r="E757" t="s">
        <v>4515</v>
      </c>
      <c r="F757" t="s">
        <v>4515</v>
      </c>
      <c r="G757" t="s">
        <v>57</v>
      </c>
      <c r="H757" t="s">
        <v>3521</v>
      </c>
      <c r="I757" t="s">
        <v>3490</v>
      </c>
      <c r="J757" s="56">
        <f t="shared" si="33"/>
        <v>69</v>
      </c>
      <c r="K757" s="74" t="str">
        <f t="shared" si="34"/>
        <v>61-90 Days</v>
      </c>
      <c r="L757" s="58" t="str">
        <f t="shared" si="35"/>
        <v>Not Applicable</v>
      </c>
    </row>
    <row r="758" spans="1:12" ht="16.5" customHeight="1" x14ac:dyDescent="0.35">
      <c r="A758" t="s">
        <v>366</v>
      </c>
      <c r="B758" t="s">
        <v>366</v>
      </c>
      <c r="C758">
        <v>0</v>
      </c>
      <c r="D758">
        <v>200</v>
      </c>
      <c r="E758" t="s">
        <v>4516</v>
      </c>
      <c r="F758" t="s">
        <v>4516</v>
      </c>
      <c r="G758" t="s">
        <v>57</v>
      </c>
      <c r="H758" t="s">
        <v>3489</v>
      </c>
      <c r="I758" t="s">
        <v>3490</v>
      </c>
      <c r="J758" s="56">
        <f t="shared" si="33"/>
        <v>69</v>
      </c>
      <c r="K758" s="74" t="str">
        <f t="shared" si="34"/>
        <v>61-90 Days</v>
      </c>
      <c r="L758" s="58" t="str">
        <f t="shared" si="35"/>
        <v>Not Applicable</v>
      </c>
    </row>
    <row r="759" spans="1:12" ht="16.5" customHeight="1" x14ac:dyDescent="0.35">
      <c r="A759" t="s">
        <v>366</v>
      </c>
      <c r="B759" t="s">
        <v>366</v>
      </c>
      <c r="C759">
        <v>0</v>
      </c>
      <c r="D759">
        <v>962</v>
      </c>
      <c r="E759" t="s">
        <v>4517</v>
      </c>
      <c r="F759" t="s">
        <v>4517</v>
      </c>
      <c r="G759" t="s">
        <v>57</v>
      </c>
      <c r="H759" t="s">
        <v>3489</v>
      </c>
      <c r="I759" t="s">
        <v>3490</v>
      </c>
      <c r="J759" s="56">
        <f t="shared" si="33"/>
        <v>69</v>
      </c>
      <c r="K759" s="74" t="str">
        <f t="shared" si="34"/>
        <v>61-90 Days</v>
      </c>
      <c r="L759" s="58" t="str">
        <f t="shared" si="35"/>
        <v>Not Applicable</v>
      </c>
    </row>
    <row r="760" spans="1:12" ht="16.5" customHeight="1" x14ac:dyDescent="0.35">
      <c r="A760" t="s">
        <v>366</v>
      </c>
      <c r="B760" t="s">
        <v>366</v>
      </c>
      <c r="C760">
        <v>0</v>
      </c>
      <c r="D760">
        <v>200</v>
      </c>
      <c r="E760" t="s">
        <v>4518</v>
      </c>
      <c r="F760" t="s">
        <v>4518</v>
      </c>
      <c r="G760" t="s">
        <v>57</v>
      </c>
      <c r="H760" t="s">
        <v>3489</v>
      </c>
      <c r="I760" t="s">
        <v>3490</v>
      </c>
      <c r="J760" s="56">
        <f t="shared" si="33"/>
        <v>69</v>
      </c>
      <c r="K760" s="74" t="str">
        <f t="shared" si="34"/>
        <v>61-90 Days</v>
      </c>
      <c r="L760" s="58" t="str">
        <f t="shared" si="35"/>
        <v>Not Applicable</v>
      </c>
    </row>
    <row r="761" spans="1:12" ht="16.5" customHeight="1" x14ac:dyDescent="0.35">
      <c r="A761" t="s">
        <v>366</v>
      </c>
      <c r="B761" t="s">
        <v>366</v>
      </c>
      <c r="C761">
        <v>0</v>
      </c>
      <c r="D761">
        <v>100000</v>
      </c>
      <c r="E761" t="s">
        <v>4519</v>
      </c>
      <c r="F761" t="s">
        <v>4520</v>
      </c>
      <c r="G761" t="s">
        <v>57</v>
      </c>
      <c r="H761" t="s">
        <v>3489</v>
      </c>
      <c r="I761" t="s">
        <v>3490</v>
      </c>
      <c r="J761" s="56">
        <f t="shared" si="33"/>
        <v>69</v>
      </c>
      <c r="K761" s="74" t="str">
        <f t="shared" si="34"/>
        <v>61-90 Days</v>
      </c>
      <c r="L761" s="58" t="str">
        <f t="shared" si="35"/>
        <v>Not Applicable</v>
      </c>
    </row>
    <row r="762" spans="1:12" ht="16.5" customHeight="1" x14ac:dyDescent="0.35">
      <c r="A762" t="s">
        <v>366</v>
      </c>
      <c r="B762" t="s">
        <v>366</v>
      </c>
      <c r="C762">
        <v>0</v>
      </c>
      <c r="D762">
        <v>100</v>
      </c>
      <c r="E762" t="s">
        <v>4521</v>
      </c>
      <c r="F762" t="s">
        <v>4521</v>
      </c>
      <c r="G762" t="s">
        <v>57</v>
      </c>
      <c r="H762" t="s">
        <v>3489</v>
      </c>
      <c r="I762" t="s">
        <v>3490</v>
      </c>
      <c r="J762" s="56">
        <f t="shared" si="33"/>
        <v>69</v>
      </c>
      <c r="K762" s="74" t="str">
        <f t="shared" si="34"/>
        <v>61-90 Days</v>
      </c>
      <c r="L762" s="58" t="str">
        <f t="shared" si="35"/>
        <v>Not Applicable</v>
      </c>
    </row>
    <row r="763" spans="1:12" ht="16.5" customHeight="1" x14ac:dyDescent="0.35">
      <c r="A763" t="s">
        <v>366</v>
      </c>
      <c r="B763" t="s">
        <v>366</v>
      </c>
      <c r="C763">
        <v>0</v>
      </c>
      <c r="D763">
        <v>24</v>
      </c>
      <c r="E763" t="s">
        <v>4522</v>
      </c>
      <c r="F763" t="s">
        <v>4522</v>
      </c>
      <c r="G763" t="s">
        <v>57</v>
      </c>
      <c r="H763" t="s">
        <v>3489</v>
      </c>
      <c r="I763" t="s">
        <v>3490</v>
      </c>
      <c r="J763" s="56">
        <f t="shared" si="33"/>
        <v>69</v>
      </c>
      <c r="K763" s="74" t="str">
        <f t="shared" si="34"/>
        <v>61-90 Days</v>
      </c>
      <c r="L763" s="58" t="str">
        <f t="shared" si="35"/>
        <v>Not Applicable</v>
      </c>
    </row>
    <row r="764" spans="1:12" ht="16.5" customHeight="1" x14ac:dyDescent="0.35">
      <c r="A764" t="s">
        <v>366</v>
      </c>
      <c r="B764" t="s">
        <v>366</v>
      </c>
      <c r="C764">
        <v>0</v>
      </c>
      <c r="D764">
        <v>1000</v>
      </c>
      <c r="E764" t="s">
        <v>4523</v>
      </c>
      <c r="F764" t="s">
        <v>4523</v>
      </c>
      <c r="G764" t="s">
        <v>57</v>
      </c>
      <c r="H764" t="s">
        <v>3489</v>
      </c>
      <c r="I764" t="s">
        <v>3490</v>
      </c>
      <c r="J764" s="56">
        <f t="shared" si="33"/>
        <v>69</v>
      </c>
      <c r="K764" s="74" t="str">
        <f t="shared" si="34"/>
        <v>61-90 Days</v>
      </c>
      <c r="L764" s="58" t="str">
        <f t="shared" si="35"/>
        <v>Not Applicable</v>
      </c>
    </row>
    <row r="765" spans="1:12" ht="16.5" customHeight="1" x14ac:dyDescent="0.35">
      <c r="A765" t="s">
        <v>366</v>
      </c>
      <c r="B765" t="s">
        <v>366</v>
      </c>
      <c r="C765">
        <v>297</v>
      </c>
      <c r="D765">
        <v>0</v>
      </c>
      <c r="E765" t="s">
        <v>4524</v>
      </c>
      <c r="F765" t="s">
        <v>4524</v>
      </c>
      <c r="G765" t="s">
        <v>57</v>
      </c>
      <c r="H765" t="s">
        <v>3455</v>
      </c>
      <c r="I765" t="s">
        <v>3507</v>
      </c>
      <c r="J765" s="56">
        <f t="shared" si="33"/>
        <v>69</v>
      </c>
      <c r="K765" s="74" t="str">
        <f t="shared" si="34"/>
        <v>61-90 Days</v>
      </c>
      <c r="L765" s="58" t="str">
        <f t="shared" si="35"/>
        <v>Substandard</v>
      </c>
    </row>
    <row r="766" spans="1:12" ht="16.5" customHeight="1" x14ac:dyDescent="0.35">
      <c r="A766" t="s">
        <v>366</v>
      </c>
      <c r="B766" t="s">
        <v>366</v>
      </c>
      <c r="C766">
        <v>200</v>
      </c>
      <c r="D766">
        <v>0</v>
      </c>
      <c r="E766" t="s">
        <v>4525</v>
      </c>
      <c r="F766" t="s">
        <v>4525</v>
      </c>
      <c r="G766" t="s">
        <v>57</v>
      </c>
      <c r="H766" t="s">
        <v>3458</v>
      </c>
      <c r="I766" t="s">
        <v>3507</v>
      </c>
      <c r="J766" s="56">
        <f t="shared" si="33"/>
        <v>69</v>
      </c>
      <c r="K766" s="74" t="str">
        <f t="shared" si="34"/>
        <v>61-90 Days</v>
      </c>
      <c r="L766" s="58" t="str">
        <f t="shared" si="35"/>
        <v>Substandard</v>
      </c>
    </row>
    <row r="767" spans="1:12" ht="16.5" customHeight="1" x14ac:dyDescent="0.35">
      <c r="A767" t="s">
        <v>366</v>
      </c>
      <c r="B767" t="s">
        <v>366</v>
      </c>
      <c r="C767">
        <v>0</v>
      </c>
      <c r="D767">
        <v>140</v>
      </c>
      <c r="E767" t="s">
        <v>4526</v>
      </c>
      <c r="F767" t="s">
        <v>4526</v>
      </c>
      <c r="G767" t="s">
        <v>57</v>
      </c>
      <c r="H767" t="s">
        <v>3489</v>
      </c>
      <c r="I767" t="s">
        <v>3490</v>
      </c>
      <c r="J767" s="56">
        <f t="shared" si="33"/>
        <v>69</v>
      </c>
      <c r="K767" s="74" t="str">
        <f t="shared" si="34"/>
        <v>61-90 Days</v>
      </c>
      <c r="L767" s="58" t="str">
        <f t="shared" si="35"/>
        <v>Not Applicable</v>
      </c>
    </row>
    <row r="768" spans="1:12" ht="16.5" customHeight="1" x14ac:dyDescent="0.35">
      <c r="A768" t="s">
        <v>366</v>
      </c>
      <c r="B768" t="s">
        <v>366</v>
      </c>
      <c r="C768">
        <v>0</v>
      </c>
      <c r="D768">
        <v>2050</v>
      </c>
      <c r="E768" t="s">
        <v>4527</v>
      </c>
      <c r="F768" t="s">
        <v>4527</v>
      </c>
      <c r="G768" t="s">
        <v>57</v>
      </c>
      <c r="H768" t="s">
        <v>3489</v>
      </c>
      <c r="I768" t="s">
        <v>3490</v>
      </c>
      <c r="J768" s="56">
        <f t="shared" si="33"/>
        <v>69</v>
      </c>
      <c r="K768" s="74" t="str">
        <f t="shared" si="34"/>
        <v>61-90 Days</v>
      </c>
      <c r="L768" s="58" t="str">
        <f t="shared" si="35"/>
        <v>Not Applicable</v>
      </c>
    </row>
    <row r="769" spans="1:12" ht="16.5" customHeight="1" x14ac:dyDescent="0.35">
      <c r="A769" t="s">
        <v>366</v>
      </c>
      <c r="B769" t="s">
        <v>366</v>
      </c>
      <c r="C769">
        <v>70000</v>
      </c>
      <c r="D769">
        <v>0</v>
      </c>
      <c r="E769" t="s">
        <v>4528</v>
      </c>
      <c r="F769" t="s">
        <v>4529</v>
      </c>
      <c r="G769" t="s">
        <v>57</v>
      </c>
      <c r="H769" t="s">
        <v>3886</v>
      </c>
      <c r="I769" t="s">
        <v>3490</v>
      </c>
      <c r="J769" s="56">
        <f t="shared" si="33"/>
        <v>69</v>
      </c>
      <c r="K769" s="74" t="str">
        <f t="shared" si="34"/>
        <v>61-90 Days</v>
      </c>
      <c r="L769" s="58" t="str">
        <f t="shared" si="35"/>
        <v>Substandard</v>
      </c>
    </row>
    <row r="770" spans="1:12" ht="16.5" customHeight="1" x14ac:dyDescent="0.35">
      <c r="A770" t="s">
        <v>366</v>
      </c>
      <c r="B770" t="s">
        <v>366</v>
      </c>
      <c r="C770">
        <v>0</v>
      </c>
      <c r="D770">
        <v>440</v>
      </c>
      <c r="E770" t="s">
        <v>4530</v>
      </c>
      <c r="F770" t="s">
        <v>4530</v>
      </c>
      <c r="G770" t="s">
        <v>57</v>
      </c>
      <c r="H770" t="s">
        <v>3521</v>
      </c>
      <c r="I770" t="s">
        <v>3490</v>
      </c>
      <c r="J770" s="56">
        <f t="shared" si="33"/>
        <v>69</v>
      </c>
      <c r="K770" s="74" t="str">
        <f t="shared" si="34"/>
        <v>61-90 Days</v>
      </c>
      <c r="L770" s="58" t="str">
        <f t="shared" si="35"/>
        <v>Not Applicable</v>
      </c>
    </row>
    <row r="771" spans="1:12" ht="16.5" customHeight="1" x14ac:dyDescent="0.35">
      <c r="A771" t="s">
        <v>366</v>
      </c>
      <c r="B771" t="s">
        <v>366</v>
      </c>
      <c r="C771">
        <v>1240</v>
      </c>
      <c r="D771">
        <v>0</v>
      </c>
      <c r="E771" t="s">
        <v>4531</v>
      </c>
      <c r="F771" t="s">
        <v>4532</v>
      </c>
      <c r="G771" t="s">
        <v>57</v>
      </c>
      <c r="H771" t="s">
        <v>3878</v>
      </c>
      <c r="I771" t="s">
        <v>3490</v>
      </c>
      <c r="J771" s="56">
        <f t="shared" si="33"/>
        <v>69</v>
      </c>
      <c r="K771" s="74" t="str">
        <f t="shared" si="34"/>
        <v>61-90 Days</v>
      </c>
      <c r="L771" s="58" t="str">
        <f t="shared" si="35"/>
        <v>Substandard</v>
      </c>
    </row>
    <row r="772" spans="1:12" ht="16.5" customHeight="1" x14ac:dyDescent="0.35">
      <c r="A772" t="s">
        <v>366</v>
      </c>
      <c r="B772" t="s">
        <v>366</v>
      </c>
      <c r="C772">
        <v>0</v>
      </c>
      <c r="D772">
        <v>160</v>
      </c>
      <c r="E772" t="s">
        <v>4533</v>
      </c>
      <c r="F772" t="s">
        <v>4533</v>
      </c>
      <c r="G772" t="s">
        <v>57</v>
      </c>
      <c r="H772" t="s">
        <v>3521</v>
      </c>
      <c r="I772" t="s">
        <v>3490</v>
      </c>
      <c r="J772" s="56">
        <f t="shared" si="33"/>
        <v>69</v>
      </c>
      <c r="K772" s="74" t="str">
        <f t="shared" si="34"/>
        <v>61-90 Days</v>
      </c>
      <c r="L772" s="58" t="str">
        <f t="shared" si="35"/>
        <v>Not Applicable</v>
      </c>
    </row>
    <row r="773" spans="1:12" ht="16.5" customHeight="1" x14ac:dyDescent="0.35">
      <c r="A773" t="s">
        <v>366</v>
      </c>
      <c r="B773" t="s">
        <v>366</v>
      </c>
      <c r="C773">
        <v>3250</v>
      </c>
      <c r="D773">
        <v>0</v>
      </c>
      <c r="E773" t="s">
        <v>4534</v>
      </c>
      <c r="F773" t="s">
        <v>4534</v>
      </c>
      <c r="G773" t="s">
        <v>57</v>
      </c>
      <c r="H773" t="s">
        <v>3455</v>
      </c>
      <c r="I773" t="s">
        <v>3507</v>
      </c>
      <c r="J773" s="56">
        <f t="shared" si="33"/>
        <v>69</v>
      </c>
      <c r="K773" s="74" t="str">
        <f t="shared" si="34"/>
        <v>61-90 Days</v>
      </c>
      <c r="L773" s="58" t="str">
        <f t="shared" si="35"/>
        <v>Substandard</v>
      </c>
    </row>
    <row r="774" spans="1:12" ht="16.5" customHeight="1" x14ac:dyDescent="0.35">
      <c r="A774" t="s">
        <v>366</v>
      </c>
      <c r="B774" t="s">
        <v>366</v>
      </c>
      <c r="C774">
        <v>0</v>
      </c>
      <c r="D774">
        <v>1000</v>
      </c>
      <c r="E774" t="s">
        <v>4535</v>
      </c>
      <c r="F774" t="s">
        <v>4536</v>
      </c>
      <c r="G774" t="s">
        <v>57</v>
      </c>
      <c r="H774" t="s">
        <v>3489</v>
      </c>
      <c r="I774" t="s">
        <v>3490</v>
      </c>
      <c r="J774" s="56">
        <f t="shared" si="33"/>
        <v>69</v>
      </c>
      <c r="K774" s="74" t="str">
        <f t="shared" si="34"/>
        <v>61-90 Days</v>
      </c>
      <c r="L774" s="58" t="str">
        <f t="shared" si="35"/>
        <v>Not Applicable</v>
      </c>
    </row>
    <row r="775" spans="1:12" ht="16.5" customHeight="1" x14ac:dyDescent="0.35">
      <c r="A775" t="s">
        <v>366</v>
      </c>
      <c r="B775" t="s">
        <v>366</v>
      </c>
      <c r="C775">
        <v>0</v>
      </c>
      <c r="D775">
        <v>1000</v>
      </c>
      <c r="E775" t="s">
        <v>4537</v>
      </c>
      <c r="F775" t="s">
        <v>3499</v>
      </c>
      <c r="G775" t="s">
        <v>57</v>
      </c>
      <c r="H775" t="s">
        <v>3489</v>
      </c>
      <c r="I775" t="s">
        <v>3490</v>
      </c>
      <c r="J775" s="56">
        <f t="shared" si="33"/>
        <v>69</v>
      </c>
      <c r="K775" s="74" t="str">
        <f t="shared" si="34"/>
        <v>61-90 Days</v>
      </c>
      <c r="L775" s="58" t="str">
        <f t="shared" si="35"/>
        <v>Not Applicable</v>
      </c>
    </row>
    <row r="776" spans="1:12" ht="16.5" customHeight="1" x14ac:dyDescent="0.35">
      <c r="A776" t="s">
        <v>366</v>
      </c>
      <c r="B776" t="s">
        <v>366</v>
      </c>
      <c r="C776">
        <v>0</v>
      </c>
      <c r="D776">
        <v>2050</v>
      </c>
      <c r="E776" t="s">
        <v>4538</v>
      </c>
      <c r="F776" t="s">
        <v>4538</v>
      </c>
      <c r="G776" t="s">
        <v>57</v>
      </c>
      <c r="H776" t="s">
        <v>3489</v>
      </c>
      <c r="I776" t="s">
        <v>3490</v>
      </c>
      <c r="J776" s="56">
        <f t="shared" si="33"/>
        <v>69</v>
      </c>
      <c r="K776" s="74" t="str">
        <f t="shared" si="34"/>
        <v>61-90 Days</v>
      </c>
      <c r="L776" s="58" t="str">
        <f t="shared" si="35"/>
        <v>Not Applicable</v>
      </c>
    </row>
    <row r="777" spans="1:12" ht="16.5" customHeight="1" x14ac:dyDescent="0.35">
      <c r="A777" t="s">
        <v>366</v>
      </c>
      <c r="B777" t="s">
        <v>366</v>
      </c>
      <c r="C777">
        <v>0</v>
      </c>
      <c r="D777">
        <v>2100</v>
      </c>
      <c r="E777" t="s">
        <v>4539</v>
      </c>
      <c r="F777" t="s">
        <v>3499</v>
      </c>
      <c r="G777" t="s">
        <v>57</v>
      </c>
      <c r="H777" t="s">
        <v>3489</v>
      </c>
      <c r="I777" t="s">
        <v>3490</v>
      </c>
      <c r="J777" s="56">
        <f t="shared" ref="J777:J840" si="36">IF(A777="","",A$5-A777)</f>
        <v>69</v>
      </c>
      <c r="K777" s="74" t="str">
        <f t="shared" ref="K777:K840" si="37">IF(J777="","",IF(J777&lt;4,"0-3 Days",IF(J777&lt;31,"4-30 Days",IF(J777&lt;61,"31-60 Days",IF(J777&lt;=90,"61-90 Days",IF(J777&gt;90,"Above 90 Days","0"))))))</f>
        <v>61-90 Days</v>
      </c>
      <c r="L777" s="58" t="str">
        <f t="shared" ref="L777:L840" si="38">IF(C777="","",IF(C777&gt;0,IF(J777&lt;30,"Normal",IF(J777&lt;60,"Especially Mentioned",IF(J777&lt;90,"Substandard",IF(J777&lt;=180,"Doubtful",IF(J777&gt;180,"Loss","0"))))),"Not Applicable"))</f>
        <v>Not Applicable</v>
      </c>
    </row>
    <row r="778" spans="1:12" ht="16.5" customHeight="1" x14ac:dyDescent="0.35">
      <c r="A778" t="s">
        <v>366</v>
      </c>
      <c r="B778" t="s">
        <v>366</v>
      </c>
      <c r="C778">
        <v>4718</v>
      </c>
      <c r="D778">
        <v>0</v>
      </c>
      <c r="E778" t="s">
        <v>4540</v>
      </c>
      <c r="F778" t="s">
        <v>4541</v>
      </c>
      <c r="G778" t="s">
        <v>57</v>
      </c>
      <c r="H778" t="s">
        <v>3476</v>
      </c>
      <c r="I778" t="s">
        <v>3490</v>
      </c>
      <c r="J778" s="56">
        <f t="shared" si="36"/>
        <v>69</v>
      </c>
      <c r="K778" s="74" t="str">
        <f t="shared" si="37"/>
        <v>61-90 Days</v>
      </c>
      <c r="L778" s="58" t="str">
        <f t="shared" si="38"/>
        <v>Substandard</v>
      </c>
    </row>
    <row r="779" spans="1:12" ht="16.5" customHeight="1" x14ac:dyDescent="0.35">
      <c r="A779" t="s">
        <v>366</v>
      </c>
      <c r="B779" t="s">
        <v>366</v>
      </c>
      <c r="C779">
        <v>0</v>
      </c>
      <c r="D779">
        <v>550</v>
      </c>
      <c r="E779" t="s">
        <v>4542</v>
      </c>
      <c r="F779" t="s">
        <v>4542</v>
      </c>
      <c r="G779" t="s">
        <v>57</v>
      </c>
      <c r="H779" t="s">
        <v>3489</v>
      </c>
      <c r="I779" t="s">
        <v>3490</v>
      </c>
      <c r="J779" s="56">
        <f t="shared" si="36"/>
        <v>69</v>
      </c>
      <c r="K779" s="74" t="str">
        <f t="shared" si="37"/>
        <v>61-90 Days</v>
      </c>
      <c r="L779" s="58" t="str">
        <f t="shared" si="38"/>
        <v>Not Applicable</v>
      </c>
    </row>
    <row r="780" spans="1:12" ht="16.5" customHeight="1" x14ac:dyDescent="0.35">
      <c r="A780" t="s">
        <v>366</v>
      </c>
      <c r="B780" t="s">
        <v>366</v>
      </c>
      <c r="C780">
        <v>10000</v>
      </c>
      <c r="D780">
        <v>0</v>
      </c>
      <c r="E780" t="s">
        <v>4543</v>
      </c>
      <c r="F780" t="s">
        <v>4544</v>
      </c>
      <c r="G780" t="s">
        <v>57</v>
      </c>
      <c r="H780" t="s">
        <v>3455</v>
      </c>
      <c r="I780" t="s">
        <v>3490</v>
      </c>
      <c r="J780" s="56">
        <f t="shared" si="36"/>
        <v>69</v>
      </c>
      <c r="K780" s="74" t="str">
        <f t="shared" si="37"/>
        <v>61-90 Days</v>
      </c>
      <c r="L780" s="58" t="str">
        <f t="shared" si="38"/>
        <v>Substandard</v>
      </c>
    </row>
    <row r="781" spans="1:12" ht="16.5" customHeight="1" x14ac:dyDescent="0.35">
      <c r="A781" t="s">
        <v>366</v>
      </c>
      <c r="B781" t="s">
        <v>366</v>
      </c>
      <c r="C781">
        <v>300000</v>
      </c>
      <c r="D781">
        <v>0</v>
      </c>
      <c r="E781" t="s">
        <v>4545</v>
      </c>
      <c r="F781" t="s">
        <v>4545</v>
      </c>
      <c r="G781" t="s">
        <v>57</v>
      </c>
      <c r="H781" t="s">
        <v>3458</v>
      </c>
      <c r="I781" t="s">
        <v>3507</v>
      </c>
      <c r="J781" s="56">
        <f t="shared" si="36"/>
        <v>69</v>
      </c>
      <c r="K781" s="74" t="str">
        <f t="shared" si="37"/>
        <v>61-90 Days</v>
      </c>
      <c r="L781" s="58" t="str">
        <f t="shared" si="38"/>
        <v>Substandard</v>
      </c>
    </row>
    <row r="782" spans="1:12" ht="16.5" customHeight="1" x14ac:dyDescent="0.35">
      <c r="A782" t="s">
        <v>366</v>
      </c>
      <c r="B782" t="s">
        <v>366</v>
      </c>
      <c r="C782">
        <v>0</v>
      </c>
      <c r="D782">
        <v>500</v>
      </c>
      <c r="E782" t="s">
        <v>4546</v>
      </c>
      <c r="F782" t="s">
        <v>4546</v>
      </c>
      <c r="G782" t="s">
        <v>57</v>
      </c>
      <c r="H782" t="s">
        <v>3489</v>
      </c>
      <c r="I782" t="s">
        <v>3490</v>
      </c>
      <c r="J782" s="56">
        <f t="shared" si="36"/>
        <v>69</v>
      </c>
      <c r="K782" s="74" t="str">
        <f t="shared" si="37"/>
        <v>61-90 Days</v>
      </c>
      <c r="L782" s="58" t="str">
        <f t="shared" si="38"/>
        <v>Not Applicable</v>
      </c>
    </row>
    <row r="783" spans="1:12" ht="16.5" customHeight="1" x14ac:dyDescent="0.35">
      <c r="A783" t="s">
        <v>366</v>
      </c>
      <c r="B783" t="s">
        <v>366</v>
      </c>
      <c r="C783">
        <v>0</v>
      </c>
      <c r="D783">
        <v>600</v>
      </c>
      <c r="E783" t="s">
        <v>4547</v>
      </c>
      <c r="F783" t="s">
        <v>4547</v>
      </c>
      <c r="G783" t="s">
        <v>57</v>
      </c>
      <c r="H783" t="s">
        <v>3489</v>
      </c>
      <c r="I783" t="s">
        <v>3490</v>
      </c>
      <c r="J783" s="56">
        <f t="shared" si="36"/>
        <v>69</v>
      </c>
      <c r="K783" s="74" t="str">
        <f t="shared" si="37"/>
        <v>61-90 Days</v>
      </c>
      <c r="L783" s="58" t="str">
        <f t="shared" si="38"/>
        <v>Not Applicable</v>
      </c>
    </row>
    <row r="784" spans="1:12" ht="16.5" customHeight="1" x14ac:dyDescent="0.35">
      <c r="A784" t="s">
        <v>366</v>
      </c>
      <c r="B784" t="s">
        <v>366</v>
      </c>
      <c r="C784">
        <v>0</v>
      </c>
      <c r="D784">
        <v>4151</v>
      </c>
      <c r="E784" t="s">
        <v>4548</v>
      </c>
      <c r="F784" t="s">
        <v>4548</v>
      </c>
      <c r="G784" t="s">
        <v>57</v>
      </c>
      <c r="H784" t="s">
        <v>3489</v>
      </c>
      <c r="I784" t="s">
        <v>3490</v>
      </c>
      <c r="J784" s="56">
        <f t="shared" si="36"/>
        <v>69</v>
      </c>
      <c r="K784" s="74" t="str">
        <f t="shared" si="37"/>
        <v>61-90 Days</v>
      </c>
      <c r="L784" s="58" t="str">
        <f t="shared" si="38"/>
        <v>Not Applicable</v>
      </c>
    </row>
    <row r="785" spans="1:12" ht="16.5" customHeight="1" x14ac:dyDescent="0.35">
      <c r="A785" t="s">
        <v>366</v>
      </c>
      <c r="B785" t="s">
        <v>366</v>
      </c>
      <c r="C785">
        <v>0</v>
      </c>
      <c r="D785">
        <v>231</v>
      </c>
      <c r="E785" t="s">
        <v>4549</v>
      </c>
      <c r="F785" t="s">
        <v>4549</v>
      </c>
      <c r="G785" t="s">
        <v>57</v>
      </c>
      <c r="H785" t="s">
        <v>3489</v>
      </c>
      <c r="I785" t="s">
        <v>3490</v>
      </c>
      <c r="J785" s="56">
        <f t="shared" si="36"/>
        <v>69</v>
      </c>
      <c r="K785" s="74" t="str">
        <f t="shared" si="37"/>
        <v>61-90 Days</v>
      </c>
      <c r="L785" s="58" t="str">
        <f t="shared" si="38"/>
        <v>Not Applicable</v>
      </c>
    </row>
    <row r="786" spans="1:12" ht="16.5" customHeight="1" x14ac:dyDescent="0.35">
      <c r="A786" t="s">
        <v>366</v>
      </c>
      <c r="B786" t="s">
        <v>366</v>
      </c>
      <c r="C786">
        <v>0</v>
      </c>
      <c r="D786">
        <v>100</v>
      </c>
      <c r="E786" t="s">
        <v>4550</v>
      </c>
      <c r="F786" t="s">
        <v>4550</v>
      </c>
      <c r="G786" t="s">
        <v>57</v>
      </c>
      <c r="H786" t="s">
        <v>3489</v>
      </c>
      <c r="I786" t="s">
        <v>3490</v>
      </c>
      <c r="J786" s="56">
        <f t="shared" si="36"/>
        <v>69</v>
      </c>
      <c r="K786" s="74" t="str">
        <f t="shared" si="37"/>
        <v>61-90 Days</v>
      </c>
      <c r="L786" s="58" t="str">
        <f t="shared" si="38"/>
        <v>Not Applicable</v>
      </c>
    </row>
    <row r="787" spans="1:12" ht="16.5" customHeight="1" x14ac:dyDescent="0.35">
      <c r="A787" t="s">
        <v>366</v>
      </c>
      <c r="B787" t="s">
        <v>366</v>
      </c>
      <c r="C787">
        <v>0</v>
      </c>
      <c r="D787">
        <v>140</v>
      </c>
      <c r="E787" t="s">
        <v>4551</v>
      </c>
      <c r="F787" t="s">
        <v>4551</v>
      </c>
      <c r="G787" t="s">
        <v>57</v>
      </c>
      <c r="H787" t="s">
        <v>3489</v>
      </c>
      <c r="I787" t="s">
        <v>3490</v>
      </c>
      <c r="J787" s="56">
        <f t="shared" si="36"/>
        <v>69</v>
      </c>
      <c r="K787" s="74" t="str">
        <f t="shared" si="37"/>
        <v>61-90 Days</v>
      </c>
      <c r="L787" s="58" t="str">
        <f t="shared" si="38"/>
        <v>Not Applicable</v>
      </c>
    </row>
    <row r="788" spans="1:12" ht="16.5" customHeight="1" x14ac:dyDescent="0.35">
      <c r="A788" t="s">
        <v>366</v>
      </c>
      <c r="B788" t="s">
        <v>366</v>
      </c>
      <c r="C788">
        <v>500</v>
      </c>
      <c r="D788">
        <v>0</v>
      </c>
      <c r="E788" t="s">
        <v>4552</v>
      </c>
      <c r="F788" t="s">
        <v>4552</v>
      </c>
      <c r="G788" t="s">
        <v>57</v>
      </c>
      <c r="H788" t="s">
        <v>3878</v>
      </c>
      <c r="I788" t="s">
        <v>3507</v>
      </c>
      <c r="J788" s="56">
        <f t="shared" si="36"/>
        <v>69</v>
      </c>
      <c r="K788" s="74" t="str">
        <f t="shared" si="37"/>
        <v>61-90 Days</v>
      </c>
      <c r="L788" s="58" t="str">
        <f t="shared" si="38"/>
        <v>Substandard</v>
      </c>
    </row>
    <row r="789" spans="1:12" ht="16.5" customHeight="1" x14ac:dyDescent="0.35">
      <c r="A789" t="s">
        <v>366</v>
      </c>
      <c r="B789" t="s">
        <v>366</v>
      </c>
      <c r="C789">
        <v>0</v>
      </c>
      <c r="D789">
        <v>500</v>
      </c>
      <c r="E789" t="s">
        <v>4553</v>
      </c>
      <c r="F789" t="s">
        <v>4553</v>
      </c>
      <c r="G789" t="s">
        <v>57</v>
      </c>
      <c r="H789" t="s">
        <v>3489</v>
      </c>
      <c r="I789" t="s">
        <v>3490</v>
      </c>
      <c r="J789" s="56">
        <f t="shared" si="36"/>
        <v>69</v>
      </c>
      <c r="K789" s="74" t="str">
        <f t="shared" si="37"/>
        <v>61-90 Days</v>
      </c>
      <c r="L789" s="58" t="str">
        <f t="shared" si="38"/>
        <v>Not Applicable</v>
      </c>
    </row>
    <row r="790" spans="1:12" ht="16.5" customHeight="1" x14ac:dyDescent="0.35">
      <c r="A790" t="s">
        <v>366</v>
      </c>
      <c r="B790" t="s">
        <v>366</v>
      </c>
      <c r="C790">
        <v>0</v>
      </c>
      <c r="D790">
        <v>800</v>
      </c>
      <c r="E790" t="s">
        <v>4554</v>
      </c>
      <c r="F790" t="s">
        <v>4554</v>
      </c>
      <c r="G790" t="s">
        <v>57</v>
      </c>
      <c r="H790" t="s">
        <v>3489</v>
      </c>
      <c r="I790" t="s">
        <v>3490</v>
      </c>
      <c r="J790" s="56">
        <f t="shared" si="36"/>
        <v>69</v>
      </c>
      <c r="K790" s="74" t="str">
        <f t="shared" si="37"/>
        <v>61-90 Days</v>
      </c>
      <c r="L790" s="58" t="str">
        <f t="shared" si="38"/>
        <v>Not Applicable</v>
      </c>
    </row>
    <row r="791" spans="1:12" ht="16.5" customHeight="1" x14ac:dyDescent="0.35">
      <c r="A791" t="s">
        <v>366</v>
      </c>
      <c r="B791" t="s">
        <v>366</v>
      </c>
      <c r="C791">
        <v>0</v>
      </c>
      <c r="D791">
        <v>200000</v>
      </c>
      <c r="E791" t="s">
        <v>4555</v>
      </c>
      <c r="F791" t="s">
        <v>4555</v>
      </c>
      <c r="G791" t="s">
        <v>57</v>
      </c>
      <c r="H791" t="s">
        <v>3521</v>
      </c>
      <c r="I791" t="s">
        <v>3490</v>
      </c>
      <c r="J791" s="56">
        <f t="shared" si="36"/>
        <v>69</v>
      </c>
      <c r="K791" s="74" t="str">
        <f t="shared" si="37"/>
        <v>61-90 Days</v>
      </c>
      <c r="L791" s="58" t="str">
        <f t="shared" si="38"/>
        <v>Not Applicable</v>
      </c>
    </row>
    <row r="792" spans="1:12" ht="16.5" customHeight="1" x14ac:dyDescent="0.35">
      <c r="A792" t="s">
        <v>366</v>
      </c>
      <c r="B792" t="s">
        <v>366</v>
      </c>
      <c r="C792">
        <v>0</v>
      </c>
      <c r="D792">
        <v>240</v>
      </c>
      <c r="E792" t="s">
        <v>4556</v>
      </c>
      <c r="F792" t="s">
        <v>4556</v>
      </c>
      <c r="G792" t="s">
        <v>57</v>
      </c>
      <c r="H792" t="s">
        <v>3489</v>
      </c>
      <c r="I792" t="s">
        <v>3490</v>
      </c>
      <c r="J792" s="56">
        <f t="shared" si="36"/>
        <v>69</v>
      </c>
      <c r="K792" s="74" t="str">
        <f t="shared" si="37"/>
        <v>61-90 Days</v>
      </c>
      <c r="L792" s="58" t="str">
        <f t="shared" si="38"/>
        <v>Not Applicable</v>
      </c>
    </row>
    <row r="793" spans="1:12" ht="16.5" customHeight="1" x14ac:dyDescent="0.35">
      <c r="A793" t="s">
        <v>366</v>
      </c>
      <c r="B793" t="s">
        <v>366</v>
      </c>
      <c r="C793">
        <v>2100</v>
      </c>
      <c r="D793">
        <v>0</v>
      </c>
      <c r="E793" t="s">
        <v>4557</v>
      </c>
      <c r="F793" t="s">
        <v>4558</v>
      </c>
      <c r="G793" t="s">
        <v>57</v>
      </c>
      <c r="H793" t="s">
        <v>3458</v>
      </c>
      <c r="I793" t="s">
        <v>3490</v>
      </c>
      <c r="J793" s="56">
        <f t="shared" si="36"/>
        <v>69</v>
      </c>
      <c r="K793" s="74" t="str">
        <f t="shared" si="37"/>
        <v>61-90 Days</v>
      </c>
      <c r="L793" s="58" t="str">
        <f t="shared" si="38"/>
        <v>Substandard</v>
      </c>
    </row>
    <row r="794" spans="1:12" ht="16.5" customHeight="1" x14ac:dyDescent="0.35">
      <c r="A794" t="s">
        <v>366</v>
      </c>
      <c r="B794" t="s">
        <v>366</v>
      </c>
      <c r="C794">
        <v>0</v>
      </c>
      <c r="D794">
        <v>1000</v>
      </c>
      <c r="E794" t="s">
        <v>4559</v>
      </c>
      <c r="F794" t="s">
        <v>4560</v>
      </c>
      <c r="G794" t="s">
        <v>57</v>
      </c>
      <c r="H794" t="s">
        <v>3532</v>
      </c>
      <c r="I794" t="s">
        <v>3490</v>
      </c>
      <c r="J794" s="56">
        <f t="shared" si="36"/>
        <v>69</v>
      </c>
      <c r="K794" s="74" t="str">
        <f t="shared" si="37"/>
        <v>61-90 Days</v>
      </c>
      <c r="L794" s="58" t="str">
        <f t="shared" si="38"/>
        <v>Not Applicable</v>
      </c>
    </row>
    <row r="795" spans="1:12" ht="16.5" customHeight="1" x14ac:dyDescent="0.35">
      <c r="A795" t="s">
        <v>366</v>
      </c>
      <c r="B795" t="s">
        <v>366</v>
      </c>
      <c r="C795">
        <v>0</v>
      </c>
      <c r="D795">
        <v>1000</v>
      </c>
      <c r="E795" t="s">
        <v>4561</v>
      </c>
      <c r="F795" t="s">
        <v>4562</v>
      </c>
      <c r="G795" t="s">
        <v>57</v>
      </c>
      <c r="H795" t="s">
        <v>3489</v>
      </c>
      <c r="I795" t="s">
        <v>3490</v>
      </c>
      <c r="J795" s="56">
        <f t="shared" si="36"/>
        <v>69</v>
      </c>
      <c r="K795" s="74" t="str">
        <f t="shared" si="37"/>
        <v>61-90 Days</v>
      </c>
      <c r="L795" s="58" t="str">
        <f t="shared" si="38"/>
        <v>Not Applicable</v>
      </c>
    </row>
    <row r="796" spans="1:12" ht="16.5" customHeight="1" x14ac:dyDescent="0.35">
      <c r="A796" t="s">
        <v>366</v>
      </c>
      <c r="B796" t="s">
        <v>366</v>
      </c>
      <c r="C796">
        <v>0</v>
      </c>
      <c r="D796">
        <v>1000</v>
      </c>
      <c r="E796" t="s">
        <v>4563</v>
      </c>
      <c r="F796" t="s">
        <v>4564</v>
      </c>
      <c r="G796" t="s">
        <v>57</v>
      </c>
      <c r="H796" t="s">
        <v>3489</v>
      </c>
      <c r="I796" t="s">
        <v>3490</v>
      </c>
      <c r="J796" s="56">
        <f t="shared" si="36"/>
        <v>69</v>
      </c>
      <c r="K796" s="74" t="str">
        <f t="shared" si="37"/>
        <v>61-90 Days</v>
      </c>
      <c r="L796" s="58" t="str">
        <f t="shared" si="38"/>
        <v>Not Applicable</v>
      </c>
    </row>
    <row r="797" spans="1:12" ht="16.5" customHeight="1" x14ac:dyDescent="0.35">
      <c r="A797" t="s">
        <v>366</v>
      </c>
      <c r="B797" t="s">
        <v>366</v>
      </c>
      <c r="C797">
        <v>0</v>
      </c>
      <c r="D797">
        <v>300000</v>
      </c>
      <c r="E797" t="s">
        <v>4565</v>
      </c>
      <c r="F797" t="s">
        <v>4565</v>
      </c>
      <c r="G797" t="s">
        <v>57</v>
      </c>
      <c r="H797" t="s">
        <v>3489</v>
      </c>
      <c r="I797" t="s">
        <v>3490</v>
      </c>
      <c r="J797" s="56">
        <f t="shared" si="36"/>
        <v>69</v>
      </c>
      <c r="K797" s="74" t="str">
        <f t="shared" si="37"/>
        <v>61-90 Days</v>
      </c>
      <c r="L797" s="58" t="str">
        <f t="shared" si="38"/>
        <v>Not Applicable</v>
      </c>
    </row>
    <row r="798" spans="1:12" ht="16.5" customHeight="1" x14ac:dyDescent="0.35">
      <c r="A798" t="s">
        <v>366</v>
      </c>
      <c r="B798" t="s">
        <v>366</v>
      </c>
      <c r="C798">
        <v>0</v>
      </c>
      <c r="D798">
        <v>328</v>
      </c>
      <c r="E798" t="s">
        <v>4566</v>
      </c>
      <c r="F798" t="s">
        <v>4566</v>
      </c>
      <c r="G798" t="s">
        <v>57</v>
      </c>
      <c r="H798" t="s">
        <v>3489</v>
      </c>
      <c r="I798" t="s">
        <v>3490</v>
      </c>
      <c r="J798" s="56">
        <f t="shared" si="36"/>
        <v>69</v>
      </c>
      <c r="K798" s="74" t="str">
        <f t="shared" si="37"/>
        <v>61-90 Days</v>
      </c>
      <c r="L798" s="58" t="str">
        <f t="shared" si="38"/>
        <v>Not Applicable</v>
      </c>
    </row>
    <row r="799" spans="1:12" ht="16.5" customHeight="1" x14ac:dyDescent="0.35">
      <c r="A799" t="s">
        <v>366</v>
      </c>
      <c r="B799" t="s">
        <v>366</v>
      </c>
      <c r="C799">
        <v>0</v>
      </c>
      <c r="D799">
        <v>1000</v>
      </c>
      <c r="E799" t="s">
        <v>4567</v>
      </c>
      <c r="F799" t="s">
        <v>4567</v>
      </c>
      <c r="G799" t="s">
        <v>57</v>
      </c>
      <c r="H799" t="s">
        <v>3489</v>
      </c>
      <c r="I799" t="s">
        <v>3490</v>
      </c>
      <c r="J799" s="56">
        <f t="shared" si="36"/>
        <v>69</v>
      </c>
      <c r="K799" s="74" t="str">
        <f t="shared" si="37"/>
        <v>61-90 Days</v>
      </c>
      <c r="L799" s="58" t="str">
        <f t="shared" si="38"/>
        <v>Not Applicable</v>
      </c>
    </row>
    <row r="800" spans="1:12" ht="16.5" customHeight="1" x14ac:dyDescent="0.35">
      <c r="A800" t="s">
        <v>366</v>
      </c>
      <c r="B800" t="s">
        <v>366</v>
      </c>
      <c r="C800">
        <v>0</v>
      </c>
      <c r="D800">
        <v>72</v>
      </c>
      <c r="E800" t="s">
        <v>4568</v>
      </c>
      <c r="F800" t="s">
        <v>4568</v>
      </c>
      <c r="G800" t="s">
        <v>57</v>
      </c>
      <c r="H800" t="s">
        <v>3489</v>
      </c>
      <c r="I800" t="s">
        <v>3490</v>
      </c>
      <c r="J800" s="56">
        <f t="shared" si="36"/>
        <v>69</v>
      </c>
      <c r="K800" s="74" t="str">
        <f t="shared" si="37"/>
        <v>61-90 Days</v>
      </c>
      <c r="L800" s="58" t="str">
        <f t="shared" si="38"/>
        <v>Not Applicable</v>
      </c>
    </row>
    <row r="801" spans="1:12" ht="16.5" customHeight="1" x14ac:dyDescent="0.35">
      <c r="A801" t="s">
        <v>366</v>
      </c>
      <c r="B801" t="s">
        <v>366</v>
      </c>
      <c r="C801">
        <v>0</v>
      </c>
      <c r="D801">
        <v>150</v>
      </c>
      <c r="E801" t="s">
        <v>4569</v>
      </c>
      <c r="F801" t="s">
        <v>4569</v>
      </c>
      <c r="G801" t="s">
        <v>57</v>
      </c>
      <c r="H801" t="s">
        <v>3489</v>
      </c>
      <c r="I801" t="s">
        <v>3486</v>
      </c>
      <c r="J801" s="56">
        <f t="shared" si="36"/>
        <v>69</v>
      </c>
      <c r="K801" s="74" t="str">
        <f t="shared" si="37"/>
        <v>61-90 Days</v>
      </c>
      <c r="L801" s="58" t="str">
        <f t="shared" si="38"/>
        <v>Not Applicable</v>
      </c>
    </row>
    <row r="802" spans="1:12" ht="16.5" customHeight="1" x14ac:dyDescent="0.35">
      <c r="A802" t="s">
        <v>366</v>
      </c>
      <c r="B802" t="s">
        <v>366</v>
      </c>
      <c r="C802">
        <v>0</v>
      </c>
      <c r="D802">
        <v>375</v>
      </c>
      <c r="E802" t="s">
        <v>4570</v>
      </c>
      <c r="F802" t="s">
        <v>4570</v>
      </c>
      <c r="G802" t="s">
        <v>57</v>
      </c>
      <c r="H802" t="s">
        <v>3489</v>
      </c>
      <c r="I802" t="s">
        <v>3490</v>
      </c>
      <c r="J802" s="56">
        <f t="shared" si="36"/>
        <v>69</v>
      </c>
      <c r="K802" s="74" t="str">
        <f t="shared" si="37"/>
        <v>61-90 Days</v>
      </c>
      <c r="L802" s="58" t="str">
        <f t="shared" si="38"/>
        <v>Not Applicable</v>
      </c>
    </row>
    <row r="803" spans="1:12" ht="16.5" customHeight="1" x14ac:dyDescent="0.35">
      <c r="A803" t="s">
        <v>366</v>
      </c>
      <c r="B803" t="s">
        <v>366</v>
      </c>
      <c r="C803">
        <v>0</v>
      </c>
      <c r="D803">
        <v>660</v>
      </c>
      <c r="E803" t="s">
        <v>4571</v>
      </c>
      <c r="F803" t="s">
        <v>4571</v>
      </c>
      <c r="G803" t="s">
        <v>57</v>
      </c>
      <c r="H803" t="s">
        <v>3521</v>
      </c>
      <c r="I803" t="s">
        <v>3490</v>
      </c>
      <c r="J803" s="56">
        <f t="shared" si="36"/>
        <v>69</v>
      </c>
      <c r="K803" s="74" t="str">
        <f t="shared" si="37"/>
        <v>61-90 Days</v>
      </c>
      <c r="L803" s="58" t="str">
        <f t="shared" si="38"/>
        <v>Not Applicable</v>
      </c>
    </row>
    <row r="804" spans="1:12" ht="16.5" customHeight="1" x14ac:dyDescent="0.35">
      <c r="A804" t="s">
        <v>366</v>
      </c>
      <c r="B804" t="s">
        <v>366</v>
      </c>
      <c r="C804">
        <v>0</v>
      </c>
      <c r="D804">
        <v>318.08</v>
      </c>
      <c r="E804" t="s">
        <v>4572</v>
      </c>
      <c r="F804" t="s">
        <v>4572</v>
      </c>
      <c r="G804" t="s">
        <v>57</v>
      </c>
      <c r="H804" t="s">
        <v>3521</v>
      </c>
      <c r="I804" t="s">
        <v>3490</v>
      </c>
      <c r="J804" s="56">
        <f t="shared" si="36"/>
        <v>69</v>
      </c>
      <c r="K804" s="74" t="str">
        <f t="shared" si="37"/>
        <v>61-90 Days</v>
      </c>
      <c r="L804" s="58" t="str">
        <f t="shared" si="38"/>
        <v>Not Applicable</v>
      </c>
    </row>
    <row r="805" spans="1:12" ht="16.5" customHeight="1" x14ac:dyDescent="0.35">
      <c r="A805" t="s">
        <v>366</v>
      </c>
      <c r="B805" t="s">
        <v>366</v>
      </c>
      <c r="C805">
        <v>0</v>
      </c>
      <c r="D805">
        <v>3250</v>
      </c>
      <c r="E805" t="s">
        <v>4573</v>
      </c>
      <c r="F805" t="s">
        <v>4573</v>
      </c>
      <c r="G805" t="s">
        <v>57</v>
      </c>
      <c r="H805" t="s">
        <v>3489</v>
      </c>
      <c r="I805" t="s">
        <v>3490</v>
      </c>
      <c r="J805" s="56">
        <f t="shared" si="36"/>
        <v>69</v>
      </c>
      <c r="K805" s="74" t="str">
        <f t="shared" si="37"/>
        <v>61-90 Days</v>
      </c>
      <c r="L805" s="58" t="str">
        <f t="shared" si="38"/>
        <v>Not Applicable</v>
      </c>
    </row>
    <row r="806" spans="1:12" ht="16.5" customHeight="1" x14ac:dyDescent="0.35">
      <c r="A806" t="s">
        <v>366</v>
      </c>
      <c r="B806" t="s">
        <v>366</v>
      </c>
      <c r="C806">
        <v>0</v>
      </c>
      <c r="D806">
        <v>242</v>
      </c>
      <c r="E806" t="s">
        <v>4574</v>
      </c>
      <c r="F806" t="s">
        <v>4574</v>
      </c>
      <c r="G806" t="s">
        <v>57</v>
      </c>
      <c r="H806" t="s">
        <v>3489</v>
      </c>
      <c r="I806" t="s">
        <v>3490</v>
      </c>
      <c r="J806" s="56">
        <f t="shared" si="36"/>
        <v>69</v>
      </c>
      <c r="K806" s="74" t="str">
        <f t="shared" si="37"/>
        <v>61-90 Days</v>
      </c>
      <c r="L806" s="58" t="str">
        <f t="shared" si="38"/>
        <v>Not Applicable</v>
      </c>
    </row>
    <row r="807" spans="1:12" ht="16.5" customHeight="1" x14ac:dyDescent="0.35">
      <c r="A807" t="s">
        <v>366</v>
      </c>
      <c r="B807" t="s">
        <v>366</v>
      </c>
      <c r="C807">
        <v>0</v>
      </c>
      <c r="D807">
        <v>212.4</v>
      </c>
      <c r="E807" t="s">
        <v>4575</v>
      </c>
      <c r="F807" t="s">
        <v>4576</v>
      </c>
      <c r="G807" t="s">
        <v>57</v>
      </c>
      <c r="H807" t="s">
        <v>3532</v>
      </c>
      <c r="I807" t="s">
        <v>3490</v>
      </c>
      <c r="J807" s="56">
        <f t="shared" si="36"/>
        <v>69</v>
      </c>
      <c r="K807" s="74" t="str">
        <f t="shared" si="37"/>
        <v>61-90 Days</v>
      </c>
      <c r="L807" s="58" t="str">
        <f t="shared" si="38"/>
        <v>Not Applicable</v>
      </c>
    </row>
    <row r="808" spans="1:12" ht="16.5" customHeight="1" x14ac:dyDescent="0.35">
      <c r="A808" t="s">
        <v>366</v>
      </c>
      <c r="B808" t="s">
        <v>366</v>
      </c>
      <c r="C808">
        <v>0</v>
      </c>
      <c r="D808">
        <v>340</v>
      </c>
      <c r="E808" t="s">
        <v>4577</v>
      </c>
      <c r="F808" t="s">
        <v>4578</v>
      </c>
      <c r="G808" t="s">
        <v>57</v>
      </c>
      <c r="H808" t="s">
        <v>3489</v>
      </c>
      <c r="I808" t="s">
        <v>3486</v>
      </c>
      <c r="J808" s="56">
        <f t="shared" si="36"/>
        <v>69</v>
      </c>
      <c r="K808" s="74" t="str">
        <f t="shared" si="37"/>
        <v>61-90 Days</v>
      </c>
      <c r="L808" s="58" t="str">
        <f t="shared" si="38"/>
        <v>Not Applicable</v>
      </c>
    </row>
    <row r="809" spans="1:12" ht="16.5" customHeight="1" x14ac:dyDescent="0.35">
      <c r="A809" t="s">
        <v>366</v>
      </c>
      <c r="B809" t="s">
        <v>366</v>
      </c>
      <c r="C809">
        <v>0</v>
      </c>
      <c r="D809">
        <v>2000</v>
      </c>
      <c r="E809" t="s">
        <v>4579</v>
      </c>
      <c r="F809" t="s">
        <v>4579</v>
      </c>
      <c r="G809" t="s">
        <v>57</v>
      </c>
      <c r="H809" t="s">
        <v>3521</v>
      </c>
      <c r="I809" t="s">
        <v>3490</v>
      </c>
      <c r="J809" s="56">
        <f t="shared" si="36"/>
        <v>69</v>
      </c>
      <c r="K809" s="74" t="str">
        <f t="shared" si="37"/>
        <v>61-90 Days</v>
      </c>
      <c r="L809" s="58" t="str">
        <f t="shared" si="38"/>
        <v>Not Applicable</v>
      </c>
    </row>
    <row r="810" spans="1:12" ht="16.5" customHeight="1" x14ac:dyDescent="0.35">
      <c r="A810" t="s">
        <v>366</v>
      </c>
      <c r="B810" t="s">
        <v>366</v>
      </c>
      <c r="C810">
        <v>0</v>
      </c>
      <c r="D810">
        <v>400</v>
      </c>
      <c r="E810" t="s">
        <v>4580</v>
      </c>
      <c r="F810" t="s">
        <v>4581</v>
      </c>
      <c r="G810" t="s">
        <v>57</v>
      </c>
      <c r="H810" t="s">
        <v>3494</v>
      </c>
      <c r="I810" t="s">
        <v>3507</v>
      </c>
      <c r="J810" s="56">
        <f t="shared" si="36"/>
        <v>69</v>
      </c>
      <c r="K810" s="74" t="str">
        <f t="shared" si="37"/>
        <v>61-90 Days</v>
      </c>
      <c r="L810" s="58" t="str">
        <f t="shared" si="38"/>
        <v>Not Applicable</v>
      </c>
    </row>
    <row r="811" spans="1:12" ht="16.5" customHeight="1" x14ac:dyDescent="0.35">
      <c r="A811" t="s">
        <v>412</v>
      </c>
      <c r="B811" t="s">
        <v>412</v>
      </c>
      <c r="C811">
        <v>0</v>
      </c>
      <c r="D811">
        <v>1000</v>
      </c>
      <c r="E811" t="s">
        <v>4582</v>
      </c>
      <c r="F811" t="s">
        <v>4582</v>
      </c>
      <c r="G811" t="s">
        <v>4583</v>
      </c>
      <c r="H811" t="s">
        <v>3532</v>
      </c>
      <c r="I811" t="s">
        <v>3490</v>
      </c>
      <c r="J811" s="56">
        <f t="shared" si="36"/>
        <v>68</v>
      </c>
      <c r="K811" s="74" t="str">
        <f t="shared" si="37"/>
        <v>61-90 Days</v>
      </c>
      <c r="L811" s="58" t="str">
        <f t="shared" si="38"/>
        <v>Not Applicable</v>
      </c>
    </row>
    <row r="812" spans="1:12" ht="16.5" customHeight="1" x14ac:dyDescent="0.35">
      <c r="A812" t="s">
        <v>412</v>
      </c>
      <c r="B812" t="s">
        <v>412</v>
      </c>
      <c r="C812">
        <v>0</v>
      </c>
      <c r="D812">
        <v>1000</v>
      </c>
      <c r="E812" t="s">
        <v>4584</v>
      </c>
      <c r="F812" t="s">
        <v>4584</v>
      </c>
      <c r="G812" t="s">
        <v>4585</v>
      </c>
      <c r="H812" t="s">
        <v>3489</v>
      </c>
      <c r="I812" t="s">
        <v>3490</v>
      </c>
      <c r="J812" s="56">
        <f t="shared" si="36"/>
        <v>68</v>
      </c>
      <c r="K812" s="74" t="str">
        <f t="shared" si="37"/>
        <v>61-90 Days</v>
      </c>
      <c r="L812" s="58" t="str">
        <f t="shared" si="38"/>
        <v>Not Applicable</v>
      </c>
    </row>
    <row r="813" spans="1:12" ht="16.5" customHeight="1" x14ac:dyDescent="0.35">
      <c r="A813" t="s">
        <v>412</v>
      </c>
      <c r="B813" t="s">
        <v>412</v>
      </c>
      <c r="C813">
        <v>0</v>
      </c>
      <c r="D813">
        <v>1236</v>
      </c>
      <c r="E813" t="s">
        <v>4586</v>
      </c>
      <c r="F813" t="s">
        <v>4586</v>
      </c>
      <c r="G813" t="s">
        <v>4587</v>
      </c>
      <c r="H813" t="s">
        <v>3532</v>
      </c>
      <c r="I813" t="s">
        <v>3490</v>
      </c>
      <c r="J813" s="56">
        <f t="shared" si="36"/>
        <v>68</v>
      </c>
      <c r="K813" s="74" t="str">
        <f t="shared" si="37"/>
        <v>61-90 Days</v>
      </c>
      <c r="L813" s="58" t="str">
        <f t="shared" si="38"/>
        <v>Not Applicable</v>
      </c>
    </row>
    <row r="814" spans="1:12" ht="16.5" customHeight="1" x14ac:dyDescent="0.35">
      <c r="A814" t="s">
        <v>412</v>
      </c>
      <c r="B814" t="s">
        <v>412</v>
      </c>
      <c r="C814">
        <v>0</v>
      </c>
      <c r="D814">
        <v>6725</v>
      </c>
      <c r="E814" t="s">
        <v>4588</v>
      </c>
      <c r="F814" t="s">
        <v>4589</v>
      </c>
      <c r="G814" t="s">
        <v>4590</v>
      </c>
      <c r="H814" t="s">
        <v>3489</v>
      </c>
      <c r="I814" t="s">
        <v>3490</v>
      </c>
      <c r="J814" s="56">
        <f t="shared" si="36"/>
        <v>68</v>
      </c>
      <c r="K814" s="74" t="str">
        <f t="shared" si="37"/>
        <v>61-90 Days</v>
      </c>
      <c r="L814" s="58" t="str">
        <f t="shared" si="38"/>
        <v>Not Applicable</v>
      </c>
    </row>
    <row r="815" spans="1:12" ht="16.5" customHeight="1" x14ac:dyDescent="0.35">
      <c r="A815" t="s">
        <v>412</v>
      </c>
      <c r="B815" t="s">
        <v>412</v>
      </c>
      <c r="C815">
        <v>0</v>
      </c>
      <c r="D815">
        <v>26424</v>
      </c>
      <c r="E815" t="s">
        <v>4591</v>
      </c>
      <c r="F815" t="s">
        <v>4591</v>
      </c>
      <c r="G815" t="s">
        <v>4592</v>
      </c>
      <c r="H815" t="s">
        <v>3489</v>
      </c>
      <c r="I815" t="s">
        <v>3490</v>
      </c>
      <c r="J815" s="56">
        <f t="shared" si="36"/>
        <v>68</v>
      </c>
      <c r="K815" s="74" t="str">
        <f t="shared" si="37"/>
        <v>61-90 Days</v>
      </c>
      <c r="L815" s="58" t="str">
        <f t="shared" si="38"/>
        <v>Not Applicable</v>
      </c>
    </row>
    <row r="816" spans="1:12" ht="16.5" customHeight="1" x14ac:dyDescent="0.35">
      <c r="A816" t="s">
        <v>412</v>
      </c>
      <c r="B816" t="s">
        <v>412</v>
      </c>
      <c r="C816">
        <v>0</v>
      </c>
      <c r="D816">
        <v>1000</v>
      </c>
      <c r="E816" t="s">
        <v>4593</v>
      </c>
      <c r="F816" t="s">
        <v>4593</v>
      </c>
      <c r="G816" t="s">
        <v>4594</v>
      </c>
      <c r="H816" t="s">
        <v>3532</v>
      </c>
      <c r="I816" t="s">
        <v>3490</v>
      </c>
      <c r="J816" s="56">
        <f t="shared" si="36"/>
        <v>68</v>
      </c>
      <c r="K816" s="74" t="str">
        <f t="shared" si="37"/>
        <v>61-90 Days</v>
      </c>
      <c r="L816" s="58" t="str">
        <f t="shared" si="38"/>
        <v>Not Applicable</v>
      </c>
    </row>
    <row r="817" spans="1:12" ht="16.5" customHeight="1" x14ac:dyDescent="0.35">
      <c r="A817" t="s">
        <v>412</v>
      </c>
      <c r="B817" t="s">
        <v>412</v>
      </c>
      <c r="C817">
        <v>0</v>
      </c>
      <c r="D817">
        <v>25024.5</v>
      </c>
      <c r="E817" t="s">
        <v>4595</v>
      </c>
      <c r="F817" t="s">
        <v>4595</v>
      </c>
      <c r="G817" t="s">
        <v>4596</v>
      </c>
      <c r="H817" t="s">
        <v>3489</v>
      </c>
      <c r="I817" t="s">
        <v>3490</v>
      </c>
      <c r="J817" s="56">
        <f t="shared" si="36"/>
        <v>68</v>
      </c>
      <c r="K817" s="74" t="str">
        <f t="shared" si="37"/>
        <v>61-90 Days</v>
      </c>
      <c r="L817" s="58" t="str">
        <f t="shared" si="38"/>
        <v>Not Applicable</v>
      </c>
    </row>
    <row r="818" spans="1:12" ht="16.5" customHeight="1" x14ac:dyDescent="0.35">
      <c r="A818" t="s">
        <v>412</v>
      </c>
      <c r="B818" t="s">
        <v>412</v>
      </c>
      <c r="C818">
        <v>0</v>
      </c>
      <c r="D818">
        <v>1000</v>
      </c>
      <c r="E818" t="s">
        <v>4597</v>
      </c>
      <c r="F818" t="s">
        <v>4598</v>
      </c>
      <c r="G818" t="s">
        <v>4599</v>
      </c>
      <c r="H818" t="s">
        <v>3489</v>
      </c>
      <c r="I818" t="s">
        <v>3490</v>
      </c>
      <c r="J818" s="56">
        <f t="shared" si="36"/>
        <v>68</v>
      </c>
      <c r="K818" s="74" t="str">
        <f t="shared" si="37"/>
        <v>61-90 Days</v>
      </c>
      <c r="L818" s="58" t="str">
        <f t="shared" si="38"/>
        <v>Not Applicable</v>
      </c>
    </row>
    <row r="819" spans="1:12" ht="16.5" customHeight="1" x14ac:dyDescent="0.35">
      <c r="A819" t="s">
        <v>412</v>
      </c>
      <c r="B819" t="s">
        <v>412</v>
      </c>
      <c r="C819">
        <v>0</v>
      </c>
      <c r="D819">
        <v>675</v>
      </c>
      <c r="E819" t="s">
        <v>4600</v>
      </c>
      <c r="F819" t="s">
        <v>4600</v>
      </c>
      <c r="G819" t="s">
        <v>4601</v>
      </c>
      <c r="H819" t="s">
        <v>3489</v>
      </c>
      <c r="I819" t="s">
        <v>3490</v>
      </c>
      <c r="J819" s="56">
        <f t="shared" si="36"/>
        <v>68</v>
      </c>
      <c r="K819" s="74" t="str">
        <f t="shared" si="37"/>
        <v>61-90 Days</v>
      </c>
      <c r="L819" s="58" t="str">
        <f t="shared" si="38"/>
        <v>Not Applicable</v>
      </c>
    </row>
    <row r="820" spans="1:12" ht="16.5" customHeight="1" x14ac:dyDescent="0.35">
      <c r="A820" t="s">
        <v>412</v>
      </c>
      <c r="B820" t="s">
        <v>412</v>
      </c>
      <c r="C820">
        <v>86</v>
      </c>
      <c r="D820">
        <v>0</v>
      </c>
      <c r="E820" t="s">
        <v>4602</v>
      </c>
      <c r="F820" t="s">
        <v>4602</v>
      </c>
      <c r="G820" t="s">
        <v>4603</v>
      </c>
      <c r="H820" t="s">
        <v>3455</v>
      </c>
      <c r="I820" t="s">
        <v>3507</v>
      </c>
      <c r="J820" s="56">
        <f t="shared" si="36"/>
        <v>68</v>
      </c>
      <c r="K820" s="74" t="str">
        <f t="shared" si="37"/>
        <v>61-90 Days</v>
      </c>
      <c r="L820" s="58" t="str">
        <f t="shared" si="38"/>
        <v>Substandard</v>
      </c>
    </row>
    <row r="821" spans="1:12" ht="16.5" customHeight="1" x14ac:dyDescent="0.35">
      <c r="A821" t="s">
        <v>412</v>
      </c>
      <c r="B821" t="s">
        <v>412</v>
      </c>
      <c r="C821">
        <v>4151</v>
      </c>
      <c r="D821">
        <v>0</v>
      </c>
      <c r="E821" t="s">
        <v>4604</v>
      </c>
      <c r="F821" t="s">
        <v>4604</v>
      </c>
      <c r="G821" t="s">
        <v>4605</v>
      </c>
      <c r="H821" t="s">
        <v>3471</v>
      </c>
      <c r="I821" t="s">
        <v>3507</v>
      </c>
      <c r="J821" s="56">
        <f t="shared" si="36"/>
        <v>68</v>
      </c>
      <c r="K821" s="74" t="str">
        <f t="shared" si="37"/>
        <v>61-90 Days</v>
      </c>
      <c r="L821" s="58" t="str">
        <f t="shared" si="38"/>
        <v>Substandard</v>
      </c>
    </row>
    <row r="822" spans="1:12" ht="16.5" customHeight="1" x14ac:dyDescent="0.35">
      <c r="A822" t="s">
        <v>412</v>
      </c>
      <c r="B822" t="s">
        <v>412</v>
      </c>
      <c r="C822">
        <v>0</v>
      </c>
      <c r="D822">
        <v>1000</v>
      </c>
      <c r="E822" t="s">
        <v>4606</v>
      </c>
      <c r="F822" t="s">
        <v>4606</v>
      </c>
      <c r="G822" t="s">
        <v>4607</v>
      </c>
      <c r="H822" t="s">
        <v>3532</v>
      </c>
      <c r="I822" t="s">
        <v>3490</v>
      </c>
      <c r="J822" s="56">
        <f t="shared" si="36"/>
        <v>68</v>
      </c>
      <c r="K822" s="74" t="str">
        <f t="shared" si="37"/>
        <v>61-90 Days</v>
      </c>
      <c r="L822" s="58" t="str">
        <f t="shared" si="38"/>
        <v>Not Applicable</v>
      </c>
    </row>
    <row r="823" spans="1:12" ht="16.5" customHeight="1" x14ac:dyDescent="0.35">
      <c r="A823" t="s">
        <v>412</v>
      </c>
      <c r="B823" t="s">
        <v>412</v>
      </c>
      <c r="C823">
        <v>0</v>
      </c>
      <c r="D823">
        <v>900</v>
      </c>
      <c r="E823" t="s">
        <v>4608</v>
      </c>
      <c r="F823" t="s">
        <v>4608</v>
      </c>
      <c r="G823" t="s">
        <v>4609</v>
      </c>
      <c r="H823" t="s">
        <v>3489</v>
      </c>
      <c r="I823" t="s">
        <v>3490</v>
      </c>
      <c r="J823" s="56">
        <f t="shared" si="36"/>
        <v>68</v>
      </c>
      <c r="K823" s="74" t="str">
        <f t="shared" si="37"/>
        <v>61-90 Days</v>
      </c>
      <c r="L823" s="58" t="str">
        <f t="shared" si="38"/>
        <v>Not Applicable</v>
      </c>
    </row>
    <row r="824" spans="1:12" ht="16.5" customHeight="1" x14ac:dyDescent="0.35">
      <c r="A824" t="s">
        <v>412</v>
      </c>
      <c r="B824" t="s">
        <v>412</v>
      </c>
      <c r="C824">
        <v>0</v>
      </c>
      <c r="D824">
        <v>168</v>
      </c>
      <c r="E824" t="s">
        <v>4610</v>
      </c>
      <c r="F824" t="s">
        <v>4610</v>
      </c>
      <c r="G824" t="s">
        <v>4611</v>
      </c>
      <c r="H824" t="s">
        <v>3532</v>
      </c>
      <c r="I824" t="s">
        <v>3490</v>
      </c>
      <c r="J824" s="56">
        <f t="shared" si="36"/>
        <v>68</v>
      </c>
      <c r="K824" s="74" t="str">
        <f t="shared" si="37"/>
        <v>61-90 Days</v>
      </c>
      <c r="L824" s="58" t="str">
        <f t="shared" si="38"/>
        <v>Not Applicable</v>
      </c>
    </row>
    <row r="825" spans="1:12" ht="16.5" customHeight="1" x14ac:dyDescent="0.35">
      <c r="A825" t="s">
        <v>412</v>
      </c>
      <c r="B825" t="s">
        <v>412</v>
      </c>
      <c r="C825">
        <v>0</v>
      </c>
      <c r="D825">
        <v>1345</v>
      </c>
      <c r="E825" t="s">
        <v>4612</v>
      </c>
      <c r="F825" t="s">
        <v>4613</v>
      </c>
      <c r="G825" t="s">
        <v>4614</v>
      </c>
      <c r="H825" t="s">
        <v>3489</v>
      </c>
      <c r="I825" t="s">
        <v>3490</v>
      </c>
      <c r="J825" s="56">
        <f t="shared" si="36"/>
        <v>68</v>
      </c>
      <c r="K825" s="74" t="str">
        <f t="shared" si="37"/>
        <v>61-90 Days</v>
      </c>
      <c r="L825" s="58" t="str">
        <f t="shared" si="38"/>
        <v>Not Applicable</v>
      </c>
    </row>
    <row r="826" spans="1:12" ht="16.5" customHeight="1" x14ac:dyDescent="0.35">
      <c r="A826" t="s">
        <v>412</v>
      </c>
      <c r="B826" t="s">
        <v>412</v>
      </c>
      <c r="C826">
        <v>0</v>
      </c>
      <c r="D826">
        <v>3322</v>
      </c>
      <c r="E826" t="s">
        <v>4615</v>
      </c>
      <c r="F826" t="s">
        <v>4615</v>
      </c>
      <c r="G826" t="s">
        <v>4616</v>
      </c>
      <c r="H826" t="s">
        <v>3489</v>
      </c>
      <c r="I826" t="s">
        <v>3490</v>
      </c>
      <c r="J826" s="56">
        <f t="shared" si="36"/>
        <v>68</v>
      </c>
      <c r="K826" s="74" t="str">
        <f t="shared" si="37"/>
        <v>61-90 Days</v>
      </c>
      <c r="L826" s="58" t="str">
        <f t="shared" si="38"/>
        <v>Not Applicable</v>
      </c>
    </row>
    <row r="827" spans="1:12" ht="16.5" customHeight="1" x14ac:dyDescent="0.35">
      <c r="A827" t="s">
        <v>412</v>
      </c>
      <c r="B827" t="s">
        <v>412</v>
      </c>
      <c r="C827">
        <v>0</v>
      </c>
      <c r="D827">
        <v>808</v>
      </c>
      <c r="E827" t="s">
        <v>4617</v>
      </c>
      <c r="F827" t="s">
        <v>4617</v>
      </c>
      <c r="G827" t="s">
        <v>4618</v>
      </c>
      <c r="H827" t="s">
        <v>3532</v>
      </c>
      <c r="I827" t="s">
        <v>3490</v>
      </c>
      <c r="J827" s="56">
        <f t="shared" si="36"/>
        <v>68</v>
      </c>
      <c r="K827" s="74" t="str">
        <f t="shared" si="37"/>
        <v>61-90 Days</v>
      </c>
      <c r="L827" s="58" t="str">
        <f t="shared" si="38"/>
        <v>Not Applicable</v>
      </c>
    </row>
    <row r="828" spans="1:12" ht="16.5" customHeight="1" x14ac:dyDescent="0.35">
      <c r="A828" t="s">
        <v>412</v>
      </c>
      <c r="B828" t="s">
        <v>412</v>
      </c>
      <c r="C828">
        <v>0</v>
      </c>
      <c r="D828">
        <v>675</v>
      </c>
      <c r="E828" t="s">
        <v>4619</v>
      </c>
      <c r="F828" t="s">
        <v>4619</v>
      </c>
      <c r="G828" t="s">
        <v>4620</v>
      </c>
      <c r="H828" t="s">
        <v>3489</v>
      </c>
      <c r="I828" t="s">
        <v>3490</v>
      </c>
      <c r="J828" s="56">
        <f t="shared" si="36"/>
        <v>68</v>
      </c>
      <c r="K828" s="74" t="str">
        <f t="shared" si="37"/>
        <v>61-90 Days</v>
      </c>
      <c r="L828" s="58" t="str">
        <f t="shared" si="38"/>
        <v>Not Applicable</v>
      </c>
    </row>
    <row r="829" spans="1:12" ht="16.5" customHeight="1" x14ac:dyDescent="0.35">
      <c r="A829" t="s">
        <v>412</v>
      </c>
      <c r="B829" t="s">
        <v>412</v>
      </c>
      <c r="C829">
        <v>0</v>
      </c>
      <c r="D829">
        <v>1000</v>
      </c>
      <c r="E829" t="s">
        <v>4621</v>
      </c>
      <c r="F829" t="s">
        <v>4622</v>
      </c>
      <c r="G829" t="s">
        <v>4623</v>
      </c>
      <c r="H829" t="s">
        <v>3489</v>
      </c>
      <c r="I829" t="s">
        <v>3490</v>
      </c>
      <c r="J829" s="56">
        <f t="shared" si="36"/>
        <v>68</v>
      </c>
      <c r="K829" s="74" t="str">
        <f t="shared" si="37"/>
        <v>61-90 Days</v>
      </c>
      <c r="L829" s="58" t="str">
        <f t="shared" si="38"/>
        <v>Not Applicable</v>
      </c>
    </row>
    <row r="830" spans="1:12" ht="16.5" customHeight="1" x14ac:dyDescent="0.35">
      <c r="A830" t="s">
        <v>412</v>
      </c>
      <c r="B830" t="s">
        <v>412</v>
      </c>
      <c r="C830">
        <v>0</v>
      </c>
      <c r="D830">
        <v>230</v>
      </c>
      <c r="E830" t="s">
        <v>4624</v>
      </c>
      <c r="F830" t="s">
        <v>4624</v>
      </c>
      <c r="G830" t="s">
        <v>4625</v>
      </c>
      <c r="H830" t="s">
        <v>3532</v>
      </c>
      <c r="I830" t="s">
        <v>3490</v>
      </c>
      <c r="J830" s="56">
        <f t="shared" si="36"/>
        <v>68</v>
      </c>
      <c r="K830" s="74" t="str">
        <f t="shared" si="37"/>
        <v>61-90 Days</v>
      </c>
      <c r="L830" s="58" t="str">
        <f t="shared" si="38"/>
        <v>Not Applicable</v>
      </c>
    </row>
    <row r="831" spans="1:12" ht="16.5" customHeight="1" x14ac:dyDescent="0.35">
      <c r="A831" t="s">
        <v>412</v>
      </c>
      <c r="B831" t="s">
        <v>412</v>
      </c>
      <c r="C831">
        <v>0</v>
      </c>
      <c r="D831">
        <v>1000</v>
      </c>
      <c r="E831" t="s">
        <v>4626</v>
      </c>
      <c r="F831" t="s">
        <v>4627</v>
      </c>
      <c r="G831" t="s">
        <v>4628</v>
      </c>
      <c r="H831" t="s">
        <v>3489</v>
      </c>
      <c r="I831" t="s">
        <v>3490</v>
      </c>
      <c r="J831" s="56">
        <f t="shared" si="36"/>
        <v>68</v>
      </c>
      <c r="K831" s="74" t="str">
        <f t="shared" si="37"/>
        <v>61-90 Days</v>
      </c>
      <c r="L831" s="58" t="str">
        <f t="shared" si="38"/>
        <v>Not Applicable</v>
      </c>
    </row>
    <row r="832" spans="1:12" ht="16.5" customHeight="1" x14ac:dyDescent="0.35">
      <c r="A832" t="s">
        <v>412</v>
      </c>
      <c r="B832" t="s">
        <v>412</v>
      </c>
      <c r="C832">
        <v>0</v>
      </c>
      <c r="D832">
        <v>1130</v>
      </c>
      <c r="E832" t="s">
        <v>4629</v>
      </c>
      <c r="F832" t="s">
        <v>3574</v>
      </c>
      <c r="G832" t="s">
        <v>4630</v>
      </c>
      <c r="H832" t="s">
        <v>3489</v>
      </c>
      <c r="I832" t="s">
        <v>3490</v>
      </c>
      <c r="J832" s="56">
        <f t="shared" si="36"/>
        <v>68</v>
      </c>
      <c r="K832" s="74" t="str">
        <f t="shared" si="37"/>
        <v>61-90 Days</v>
      </c>
      <c r="L832" s="58" t="str">
        <f t="shared" si="38"/>
        <v>Not Applicable</v>
      </c>
    </row>
    <row r="833" spans="1:12" ht="16.5" customHeight="1" x14ac:dyDescent="0.35">
      <c r="A833" t="s">
        <v>412</v>
      </c>
      <c r="B833" t="s">
        <v>412</v>
      </c>
      <c r="C833">
        <v>0</v>
      </c>
      <c r="D833">
        <v>1000</v>
      </c>
      <c r="E833" t="s">
        <v>4631</v>
      </c>
      <c r="F833" t="s">
        <v>4632</v>
      </c>
      <c r="G833" t="s">
        <v>4633</v>
      </c>
      <c r="H833" t="s">
        <v>3489</v>
      </c>
      <c r="I833" t="s">
        <v>3490</v>
      </c>
      <c r="J833" s="56">
        <f t="shared" si="36"/>
        <v>68</v>
      </c>
      <c r="K833" s="74" t="str">
        <f t="shared" si="37"/>
        <v>61-90 Days</v>
      </c>
      <c r="L833" s="58" t="str">
        <f t="shared" si="38"/>
        <v>Not Applicable</v>
      </c>
    </row>
    <row r="834" spans="1:12" ht="16.5" customHeight="1" x14ac:dyDescent="0.35">
      <c r="A834" t="s">
        <v>412</v>
      </c>
      <c r="B834" t="s">
        <v>412</v>
      </c>
      <c r="C834">
        <v>0</v>
      </c>
      <c r="D834">
        <v>37778.400000000001</v>
      </c>
      <c r="E834" t="s">
        <v>4634</v>
      </c>
      <c r="F834" t="s">
        <v>4634</v>
      </c>
      <c r="G834" t="s">
        <v>4635</v>
      </c>
      <c r="H834" t="s">
        <v>3489</v>
      </c>
      <c r="I834" t="s">
        <v>3490</v>
      </c>
      <c r="J834" s="56">
        <f t="shared" si="36"/>
        <v>68</v>
      </c>
      <c r="K834" s="74" t="str">
        <f t="shared" si="37"/>
        <v>61-90 Days</v>
      </c>
      <c r="L834" s="58" t="str">
        <f t="shared" si="38"/>
        <v>Not Applicable</v>
      </c>
    </row>
    <row r="835" spans="1:12" ht="16.5" customHeight="1" x14ac:dyDescent="0.35">
      <c r="A835" t="s">
        <v>412</v>
      </c>
      <c r="B835" t="s">
        <v>412</v>
      </c>
      <c r="C835">
        <v>0</v>
      </c>
      <c r="D835">
        <v>300</v>
      </c>
      <c r="E835" t="s">
        <v>4636</v>
      </c>
      <c r="F835" t="s">
        <v>4636</v>
      </c>
      <c r="G835" t="s">
        <v>4637</v>
      </c>
      <c r="H835" t="s">
        <v>3489</v>
      </c>
      <c r="I835" t="s">
        <v>3490</v>
      </c>
      <c r="J835" s="56">
        <f t="shared" si="36"/>
        <v>68</v>
      </c>
      <c r="K835" s="74" t="str">
        <f t="shared" si="37"/>
        <v>61-90 Days</v>
      </c>
      <c r="L835" s="58" t="str">
        <f t="shared" si="38"/>
        <v>Not Applicable</v>
      </c>
    </row>
    <row r="836" spans="1:12" ht="16.5" customHeight="1" x14ac:dyDescent="0.35">
      <c r="A836" t="s">
        <v>412</v>
      </c>
      <c r="B836" t="s">
        <v>412</v>
      </c>
      <c r="C836">
        <v>0</v>
      </c>
      <c r="D836">
        <v>2050</v>
      </c>
      <c r="E836" t="s">
        <v>4638</v>
      </c>
      <c r="F836" t="s">
        <v>4638</v>
      </c>
      <c r="G836" t="s">
        <v>4639</v>
      </c>
      <c r="H836" t="s">
        <v>3489</v>
      </c>
      <c r="I836" t="s">
        <v>3490</v>
      </c>
      <c r="J836" s="56">
        <f t="shared" si="36"/>
        <v>68</v>
      </c>
      <c r="K836" s="74" t="str">
        <f t="shared" si="37"/>
        <v>61-90 Days</v>
      </c>
      <c r="L836" s="58" t="str">
        <f t="shared" si="38"/>
        <v>Not Applicable</v>
      </c>
    </row>
    <row r="837" spans="1:12" ht="16.5" customHeight="1" x14ac:dyDescent="0.35">
      <c r="A837" t="s">
        <v>412</v>
      </c>
      <c r="B837" t="s">
        <v>412</v>
      </c>
      <c r="C837">
        <v>0</v>
      </c>
      <c r="D837">
        <v>216</v>
      </c>
      <c r="E837" t="s">
        <v>4640</v>
      </c>
      <c r="F837" t="s">
        <v>4640</v>
      </c>
      <c r="G837" t="s">
        <v>4641</v>
      </c>
      <c r="H837" t="s">
        <v>3532</v>
      </c>
      <c r="I837" t="s">
        <v>3490</v>
      </c>
      <c r="J837" s="56">
        <f t="shared" si="36"/>
        <v>68</v>
      </c>
      <c r="K837" s="74" t="str">
        <f t="shared" si="37"/>
        <v>61-90 Days</v>
      </c>
      <c r="L837" s="58" t="str">
        <f t="shared" si="38"/>
        <v>Not Applicable</v>
      </c>
    </row>
    <row r="838" spans="1:12" ht="16.5" customHeight="1" x14ac:dyDescent="0.35">
      <c r="A838" t="s">
        <v>412</v>
      </c>
      <c r="B838" t="s">
        <v>412</v>
      </c>
      <c r="C838">
        <v>0</v>
      </c>
      <c r="D838">
        <v>54338</v>
      </c>
      <c r="E838" t="s">
        <v>4642</v>
      </c>
      <c r="F838" t="s">
        <v>4643</v>
      </c>
      <c r="G838" t="s">
        <v>4644</v>
      </c>
      <c r="H838" t="s">
        <v>3489</v>
      </c>
      <c r="I838" t="s">
        <v>3490</v>
      </c>
      <c r="J838" s="56">
        <f t="shared" si="36"/>
        <v>68</v>
      </c>
      <c r="K838" s="74" t="str">
        <f t="shared" si="37"/>
        <v>61-90 Days</v>
      </c>
      <c r="L838" s="58" t="str">
        <f t="shared" si="38"/>
        <v>Not Applicable</v>
      </c>
    </row>
    <row r="839" spans="1:12" ht="16.5" customHeight="1" x14ac:dyDescent="0.35">
      <c r="A839" t="s">
        <v>412</v>
      </c>
      <c r="B839" t="s">
        <v>412</v>
      </c>
      <c r="C839">
        <v>0</v>
      </c>
      <c r="D839">
        <v>8000</v>
      </c>
      <c r="E839" t="s">
        <v>4645</v>
      </c>
      <c r="F839" t="s">
        <v>4646</v>
      </c>
      <c r="G839" t="s">
        <v>4647</v>
      </c>
      <c r="H839" t="s">
        <v>3489</v>
      </c>
      <c r="I839" t="s">
        <v>3486</v>
      </c>
      <c r="J839" s="56">
        <f t="shared" si="36"/>
        <v>68</v>
      </c>
      <c r="K839" s="74" t="str">
        <f t="shared" si="37"/>
        <v>61-90 Days</v>
      </c>
      <c r="L839" s="58" t="str">
        <f t="shared" si="38"/>
        <v>Not Applicable</v>
      </c>
    </row>
    <row r="840" spans="1:12" ht="16.5" customHeight="1" x14ac:dyDescent="0.35">
      <c r="A840" t="s">
        <v>412</v>
      </c>
      <c r="B840" t="s">
        <v>412</v>
      </c>
      <c r="C840">
        <v>0</v>
      </c>
      <c r="D840">
        <v>808</v>
      </c>
      <c r="E840" t="s">
        <v>4648</v>
      </c>
      <c r="F840" t="s">
        <v>4648</v>
      </c>
      <c r="G840" t="s">
        <v>4649</v>
      </c>
      <c r="H840" t="s">
        <v>3532</v>
      </c>
      <c r="I840" t="s">
        <v>3490</v>
      </c>
      <c r="J840" s="56">
        <f t="shared" si="36"/>
        <v>68</v>
      </c>
      <c r="K840" s="74" t="str">
        <f t="shared" si="37"/>
        <v>61-90 Days</v>
      </c>
      <c r="L840" s="58" t="str">
        <f t="shared" si="38"/>
        <v>Not Applicable</v>
      </c>
    </row>
    <row r="841" spans="1:12" ht="16.5" customHeight="1" x14ac:dyDescent="0.35">
      <c r="A841" t="s">
        <v>412</v>
      </c>
      <c r="B841" t="s">
        <v>412</v>
      </c>
      <c r="C841">
        <v>0</v>
      </c>
      <c r="D841">
        <v>206</v>
      </c>
      <c r="E841" t="s">
        <v>4650</v>
      </c>
      <c r="F841" t="s">
        <v>4650</v>
      </c>
      <c r="G841" t="s">
        <v>4651</v>
      </c>
      <c r="H841" t="s">
        <v>3532</v>
      </c>
      <c r="I841" t="s">
        <v>3490</v>
      </c>
      <c r="J841" s="56">
        <f t="shared" ref="J841:J904" si="39">IF(A841="","",A$5-A841)</f>
        <v>68</v>
      </c>
      <c r="K841" s="74" t="str">
        <f t="shared" ref="K841:K904" si="40">IF(J841="","",IF(J841&lt;4,"0-3 Days",IF(J841&lt;31,"4-30 Days",IF(J841&lt;61,"31-60 Days",IF(J841&lt;=90,"61-90 Days",IF(J841&gt;90,"Above 90 Days","0"))))))</f>
        <v>61-90 Days</v>
      </c>
      <c r="L841" s="58" t="str">
        <f t="shared" ref="L841:L904" si="41">IF(C841="","",IF(C841&gt;0,IF(J841&lt;30,"Normal",IF(J841&lt;60,"Especially Mentioned",IF(J841&lt;90,"Substandard",IF(J841&lt;=180,"Doubtful",IF(J841&gt;180,"Loss","0"))))),"Not Applicable"))</f>
        <v>Not Applicable</v>
      </c>
    </row>
    <row r="842" spans="1:12" ht="16.5" customHeight="1" x14ac:dyDescent="0.35">
      <c r="A842" t="s">
        <v>412</v>
      </c>
      <c r="B842" t="s">
        <v>412</v>
      </c>
      <c r="C842">
        <v>0</v>
      </c>
      <c r="D842">
        <v>800</v>
      </c>
      <c r="E842" t="s">
        <v>4652</v>
      </c>
      <c r="F842" t="s">
        <v>4652</v>
      </c>
      <c r="G842" t="s">
        <v>4653</v>
      </c>
      <c r="H842" t="s">
        <v>3532</v>
      </c>
      <c r="I842" t="s">
        <v>3490</v>
      </c>
      <c r="J842" s="56">
        <f t="shared" si="39"/>
        <v>68</v>
      </c>
      <c r="K842" s="74" t="str">
        <f t="shared" si="40"/>
        <v>61-90 Days</v>
      </c>
      <c r="L842" s="58" t="str">
        <f t="shared" si="41"/>
        <v>Not Applicable</v>
      </c>
    </row>
    <row r="843" spans="1:12" ht="16.5" customHeight="1" x14ac:dyDescent="0.35">
      <c r="A843" t="s">
        <v>412</v>
      </c>
      <c r="B843" t="s">
        <v>412</v>
      </c>
      <c r="C843">
        <v>0</v>
      </c>
      <c r="D843">
        <v>255</v>
      </c>
      <c r="E843" t="s">
        <v>4654</v>
      </c>
      <c r="F843" t="s">
        <v>4655</v>
      </c>
      <c r="G843" t="s">
        <v>4656</v>
      </c>
      <c r="H843" t="s">
        <v>3489</v>
      </c>
      <c r="I843" t="s">
        <v>3486</v>
      </c>
      <c r="J843" s="56">
        <f t="shared" si="39"/>
        <v>68</v>
      </c>
      <c r="K843" s="74" t="str">
        <f t="shared" si="40"/>
        <v>61-90 Days</v>
      </c>
      <c r="L843" s="58" t="str">
        <f t="shared" si="41"/>
        <v>Not Applicable</v>
      </c>
    </row>
    <row r="844" spans="1:12" ht="16.5" customHeight="1" x14ac:dyDescent="0.35">
      <c r="A844" t="s">
        <v>412</v>
      </c>
      <c r="B844" t="s">
        <v>412</v>
      </c>
      <c r="C844">
        <v>0</v>
      </c>
      <c r="D844">
        <v>1000</v>
      </c>
      <c r="E844" t="s">
        <v>4657</v>
      </c>
      <c r="F844" t="s">
        <v>4657</v>
      </c>
      <c r="G844" t="s">
        <v>4658</v>
      </c>
      <c r="H844" t="s">
        <v>3489</v>
      </c>
      <c r="I844" t="s">
        <v>3490</v>
      </c>
      <c r="J844" s="56">
        <f t="shared" si="39"/>
        <v>68</v>
      </c>
      <c r="K844" s="74" t="str">
        <f t="shared" si="40"/>
        <v>61-90 Days</v>
      </c>
      <c r="L844" s="58" t="str">
        <f t="shared" si="41"/>
        <v>Not Applicable</v>
      </c>
    </row>
    <row r="845" spans="1:12" ht="16.5" customHeight="1" x14ac:dyDescent="0.35">
      <c r="A845" t="s">
        <v>412</v>
      </c>
      <c r="B845" t="s">
        <v>412</v>
      </c>
      <c r="C845">
        <v>0</v>
      </c>
      <c r="D845">
        <v>96</v>
      </c>
      <c r="E845" t="s">
        <v>4659</v>
      </c>
      <c r="F845" t="s">
        <v>4659</v>
      </c>
      <c r="G845" t="s">
        <v>4660</v>
      </c>
      <c r="H845" t="s">
        <v>3532</v>
      </c>
      <c r="I845" t="s">
        <v>3490</v>
      </c>
      <c r="J845" s="56">
        <f t="shared" si="39"/>
        <v>68</v>
      </c>
      <c r="K845" s="74" t="str">
        <f t="shared" si="40"/>
        <v>61-90 Days</v>
      </c>
      <c r="L845" s="58" t="str">
        <f t="shared" si="41"/>
        <v>Not Applicable</v>
      </c>
    </row>
    <row r="846" spans="1:12" ht="16.5" customHeight="1" x14ac:dyDescent="0.35">
      <c r="A846" t="s">
        <v>412</v>
      </c>
      <c r="B846" t="s">
        <v>412</v>
      </c>
      <c r="C846">
        <v>0</v>
      </c>
      <c r="D846">
        <v>900</v>
      </c>
      <c r="E846" t="s">
        <v>4661</v>
      </c>
      <c r="F846" t="s">
        <v>4661</v>
      </c>
      <c r="G846" t="s">
        <v>4662</v>
      </c>
      <c r="H846" t="s">
        <v>3489</v>
      </c>
      <c r="I846" t="s">
        <v>3490</v>
      </c>
      <c r="J846" s="56">
        <f t="shared" si="39"/>
        <v>68</v>
      </c>
      <c r="K846" s="74" t="str">
        <f t="shared" si="40"/>
        <v>61-90 Days</v>
      </c>
      <c r="L846" s="58" t="str">
        <f t="shared" si="41"/>
        <v>Not Applicable</v>
      </c>
    </row>
    <row r="847" spans="1:12" ht="16.5" customHeight="1" x14ac:dyDescent="0.35">
      <c r="A847" t="s">
        <v>412</v>
      </c>
      <c r="B847" t="s">
        <v>412</v>
      </c>
      <c r="C847">
        <v>0</v>
      </c>
      <c r="D847">
        <v>1000</v>
      </c>
      <c r="E847" t="s">
        <v>4663</v>
      </c>
      <c r="F847" t="s">
        <v>4664</v>
      </c>
      <c r="G847" t="s">
        <v>4665</v>
      </c>
      <c r="H847" t="s">
        <v>3489</v>
      </c>
      <c r="I847" t="s">
        <v>3490</v>
      </c>
      <c r="J847" s="56">
        <f t="shared" si="39"/>
        <v>68</v>
      </c>
      <c r="K847" s="74" t="str">
        <f t="shared" si="40"/>
        <v>61-90 Days</v>
      </c>
      <c r="L847" s="58" t="str">
        <f t="shared" si="41"/>
        <v>Not Applicable</v>
      </c>
    </row>
    <row r="848" spans="1:12" ht="16.5" customHeight="1" x14ac:dyDescent="0.35">
      <c r="A848" t="s">
        <v>412</v>
      </c>
      <c r="B848" t="s">
        <v>412</v>
      </c>
      <c r="C848">
        <v>0</v>
      </c>
      <c r="D848">
        <v>6000</v>
      </c>
      <c r="E848" t="s">
        <v>4666</v>
      </c>
      <c r="F848" t="s">
        <v>4666</v>
      </c>
      <c r="G848" t="s">
        <v>4667</v>
      </c>
      <c r="H848" t="s">
        <v>3489</v>
      </c>
      <c r="I848" t="s">
        <v>3490</v>
      </c>
      <c r="J848" s="56">
        <f t="shared" si="39"/>
        <v>68</v>
      </c>
      <c r="K848" s="74" t="str">
        <f t="shared" si="40"/>
        <v>61-90 Days</v>
      </c>
      <c r="L848" s="58" t="str">
        <f t="shared" si="41"/>
        <v>Not Applicable</v>
      </c>
    </row>
    <row r="849" spans="1:12" ht="16.5" customHeight="1" x14ac:dyDescent="0.35">
      <c r="A849" t="s">
        <v>412</v>
      </c>
      <c r="B849" t="s">
        <v>412</v>
      </c>
      <c r="C849">
        <v>0</v>
      </c>
      <c r="D849">
        <v>500000</v>
      </c>
      <c r="E849" t="s">
        <v>4668</v>
      </c>
      <c r="F849" t="s">
        <v>4668</v>
      </c>
      <c r="G849" t="s">
        <v>4669</v>
      </c>
      <c r="H849" t="s">
        <v>3489</v>
      </c>
      <c r="I849" t="s">
        <v>3486</v>
      </c>
      <c r="J849" s="56">
        <f t="shared" si="39"/>
        <v>68</v>
      </c>
      <c r="K849" s="74" t="str">
        <f t="shared" si="40"/>
        <v>61-90 Days</v>
      </c>
      <c r="L849" s="58" t="str">
        <f t="shared" si="41"/>
        <v>Not Applicable</v>
      </c>
    </row>
    <row r="850" spans="1:12" ht="16.5" customHeight="1" x14ac:dyDescent="0.35">
      <c r="A850" t="s">
        <v>412</v>
      </c>
      <c r="B850" t="s">
        <v>412</v>
      </c>
      <c r="C850">
        <v>0</v>
      </c>
      <c r="D850">
        <v>100</v>
      </c>
      <c r="E850" t="s">
        <v>4670</v>
      </c>
      <c r="F850" t="s">
        <v>4670</v>
      </c>
      <c r="G850" t="s">
        <v>4671</v>
      </c>
      <c r="H850" t="s">
        <v>3521</v>
      </c>
      <c r="I850" t="s">
        <v>3490</v>
      </c>
      <c r="J850" s="56">
        <f t="shared" si="39"/>
        <v>68</v>
      </c>
      <c r="K850" s="74" t="str">
        <f t="shared" si="40"/>
        <v>61-90 Days</v>
      </c>
      <c r="L850" s="58" t="str">
        <f t="shared" si="41"/>
        <v>Not Applicable</v>
      </c>
    </row>
    <row r="851" spans="1:12" ht="16.5" customHeight="1" x14ac:dyDescent="0.35">
      <c r="A851" t="s">
        <v>412</v>
      </c>
      <c r="B851" t="s">
        <v>412</v>
      </c>
      <c r="C851">
        <v>0</v>
      </c>
      <c r="D851">
        <v>675</v>
      </c>
      <c r="E851" t="s">
        <v>4672</v>
      </c>
      <c r="F851" t="s">
        <v>4672</v>
      </c>
      <c r="G851" t="s">
        <v>4673</v>
      </c>
      <c r="H851" t="s">
        <v>3489</v>
      </c>
      <c r="I851" t="s">
        <v>3490</v>
      </c>
      <c r="J851" s="56">
        <f t="shared" si="39"/>
        <v>68</v>
      </c>
      <c r="K851" s="74" t="str">
        <f t="shared" si="40"/>
        <v>61-90 Days</v>
      </c>
      <c r="L851" s="58" t="str">
        <f t="shared" si="41"/>
        <v>Not Applicable</v>
      </c>
    </row>
    <row r="852" spans="1:12" ht="16.5" customHeight="1" x14ac:dyDescent="0.35">
      <c r="A852" t="s">
        <v>412</v>
      </c>
      <c r="B852" t="s">
        <v>412</v>
      </c>
      <c r="C852">
        <v>0</v>
      </c>
      <c r="D852">
        <v>1000</v>
      </c>
      <c r="E852" t="s">
        <v>4674</v>
      </c>
      <c r="F852" t="s">
        <v>4675</v>
      </c>
      <c r="G852" t="s">
        <v>4676</v>
      </c>
      <c r="H852" t="s">
        <v>3489</v>
      </c>
      <c r="I852" t="s">
        <v>3490</v>
      </c>
      <c r="J852" s="56">
        <f t="shared" si="39"/>
        <v>68</v>
      </c>
      <c r="K852" s="74" t="str">
        <f t="shared" si="40"/>
        <v>61-90 Days</v>
      </c>
      <c r="L852" s="58" t="str">
        <f t="shared" si="41"/>
        <v>Not Applicable</v>
      </c>
    </row>
    <row r="853" spans="1:12" ht="16.5" customHeight="1" x14ac:dyDescent="0.35">
      <c r="A853" t="s">
        <v>412</v>
      </c>
      <c r="B853" t="s">
        <v>412</v>
      </c>
      <c r="C853">
        <v>0</v>
      </c>
      <c r="D853">
        <v>100</v>
      </c>
      <c r="E853" t="s">
        <v>4677</v>
      </c>
      <c r="F853" t="s">
        <v>4677</v>
      </c>
      <c r="G853" t="s">
        <v>4678</v>
      </c>
      <c r="H853" t="s">
        <v>3489</v>
      </c>
      <c r="I853" t="s">
        <v>3490</v>
      </c>
      <c r="J853" s="56">
        <f t="shared" si="39"/>
        <v>68</v>
      </c>
      <c r="K853" s="74" t="str">
        <f t="shared" si="40"/>
        <v>61-90 Days</v>
      </c>
      <c r="L853" s="58" t="str">
        <f t="shared" si="41"/>
        <v>Not Applicable</v>
      </c>
    </row>
    <row r="854" spans="1:12" ht="16.5" customHeight="1" x14ac:dyDescent="0.35">
      <c r="A854" t="s">
        <v>412</v>
      </c>
      <c r="B854" t="s">
        <v>412</v>
      </c>
      <c r="C854">
        <v>0</v>
      </c>
      <c r="D854">
        <v>532</v>
      </c>
      <c r="E854" t="s">
        <v>4679</v>
      </c>
      <c r="F854" t="s">
        <v>4679</v>
      </c>
      <c r="G854" t="s">
        <v>4680</v>
      </c>
      <c r="H854" t="s">
        <v>3532</v>
      </c>
      <c r="I854" t="s">
        <v>3490</v>
      </c>
      <c r="J854" s="56">
        <f t="shared" si="39"/>
        <v>68</v>
      </c>
      <c r="K854" s="74" t="str">
        <f t="shared" si="40"/>
        <v>61-90 Days</v>
      </c>
      <c r="L854" s="58" t="str">
        <f t="shared" si="41"/>
        <v>Not Applicable</v>
      </c>
    </row>
    <row r="855" spans="1:12" ht="16.5" customHeight="1" x14ac:dyDescent="0.35">
      <c r="A855" t="s">
        <v>412</v>
      </c>
      <c r="B855" t="s">
        <v>412</v>
      </c>
      <c r="C855">
        <v>0</v>
      </c>
      <c r="D855">
        <v>102</v>
      </c>
      <c r="E855" t="s">
        <v>4681</v>
      </c>
      <c r="F855" t="s">
        <v>4681</v>
      </c>
      <c r="G855" t="s">
        <v>4682</v>
      </c>
      <c r="H855" t="s">
        <v>3532</v>
      </c>
      <c r="I855" t="s">
        <v>3490</v>
      </c>
      <c r="J855" s="56">
        <f t="shared" si="39"/>
        <v>68</v>
      </c>
      <c r="K855" s="74" t="str">
        <f t="shared" si="40"/>
        <v>61-90 Days</v>
      </c>
      <c r="L855" s="58" t="str">
        <f t="shared" si="41"/>
        <v>Not Applicable</v>
      </c>
    </row>
    <row r="856" spans="1:12" ht="16.5" customHeight="1" x14ac:dyDescent="0.35">
      <c r="A856" t="s">
        <v>412</v>
      </c>
      <c r="B856" t="s">
        <v>412</v>
      </c>
      <c r="C856">
        <v>0</v>
      </c>
      <c r="D856">
        <v>118</v>
      </c>
      <c r="E856" t="s">
        <v>4683</v>
      </c>
      <c r="F856" t="s">
        <v>4683</v>
      </c>
      <c r="G856" t="s">
        <v>4684</v>
      </c>
      <c r="H856" t="s">
        <v>3532</v>
      </c>
      <c r="I856" t="s">
        <v>3490</v>
      </c>
      <c r="J856" s="56">
        <f t="shared" si="39"/>
        <v>68</v>
      </c>
      <c r="K856" s="74" t="str">
        <f t="shared" si="40"/>
        <v>61-90 Days</v>
      </c>
      <c r="L856" s="58" t="str">
        <f t="shared" si="41"/>
        <v>Not Applicable</v>
      </c>
    </row>
    <row r="857" spans="1:12" ht="16.5" customHeight="1" x14ac:dyDescent="0.35">
      <c r="A857" t="s">
        <v>412</v>
      </c>
      <c r="B857" t="s">
        <v>412</v>
      </c>
      <c r="C857">
        <v>0</v>
      </c>
      <c r="D857">
        <v>808</v>
      </c>
      <c r="E857" t="s">
        <v>4685</v>
      </c>
      <c r="F857" t="s">
        <v>4685</v>
      </c>
      <c r="G857" t="s">
        <v>4686</v>
      </c>
      <c r="H857" t="s">
        <v>3532</v>
      </c>
      <c r="I857" t="s">
        <v>3490</v>
      </c>
      <c r="J857" s="56">
        <f t="shared" si="39"/>
        <v>68</v>
      </c>
      <c r="K857" s="74" t="str">
        <f t="shared" si="40"/>
        <v>61-90 Days</v>
      </c>
      <c r="L857" s="58" t="str">
        <f t="shared" si="41"/>
        <v>Not Applicable</v>
      </c>
    </row>
    <row r="858" spans="1:12" ht="16.5" customHeight="1" x14ac:dyDescent="0.35">
      <c r="A858" t="s">
        <v>412</v>
      </c>
      <c r="B858" t="s">
        <v>412</v>
      </c>
      <c r="C858">
        <v>0</v>
      </c>
      <c r="D858">
        <v>500</v>
      </c>
      <c r="E858" t="s">
        <v>4687</v>
      </c>
      <c r="F858" t="s">
        <v>4687</v>
      </c>
      <c r="G858" t="s">
        <v>4688</v>
      </c>
      <c r="H858" t="s">
        <v>3489</v>
      </c>
      <c r="I858" t="s">
        <v>3490</v>
      </c>
      <c r="J858" s="56">
        <f t="shared" si="39"/>
        <v>68</v>
      </c>
      <c r="K858" s="74" t="str">
        <f t="shared" si="40"/>
        <v>61-90 Days</v>
      </c>
      <c r="L858" s="58" t="str">
        <f t="shared" si="41"/>
        <v>Not Applicable</v>
      </c>
    </row>
    <row r="859" spans="1:12" ht="16.5" customHeight="1" x14ac:dyDescent="0.35">
      <c r="A859" t="s">
        <v>412</v>
      </c>
      <c r="B859" t="s">
        <v>412</v>
      </c>
      <c r="C859">
        <v>0</v>
      </c>
      <c r="D859">
        <v>2175</v>
      </c>
      <c r="E859" t="s">
        <v>4689</v>
      </c>
      <c r="F859" t="s">
        <v>4690</v>
      </c>
      <c r="G859" t="s">
        <v>4691</v>
      </c>
      <c r="H859" t="s">
        <v>3532</v>
      </c>
      <c r="I859" t="s">
        <v>3490</v>
      </c>
      <c r="J859" s="56">
        <f t="shared" si="39"/>
        <v>68</v>
      </c>
      <c r="K859" s="74" t="str">
        <f t="shared" si="40"/>
        <v>61-90 Days</v>
      </c>
      <c r="L859" s="58" t="str">
        <f t="shared" si="41"/>
        <v>Not Applicable</v>
      </c>
    </row>
    <row r="860" spans="1:12" ht="16.5" customHeight="1" x14ac:dyDescent="0.35">
      <c r="A860" t="s">
        <v>412</v>
      </c>
      <c r="B860" t="s">
        <v>412</v>
      </c>
      <c r="C860">
        <v>0</v>
      </c>
      <c r="D860">
        <v>1000</v>
      </c>
      <c r="E860" t="s">
        <v>4692</v>
      </c>
      <c r="F860" t="s">
        <v>4693</v>
      </c>
      <c r="G860" t="s">
        <v>4694</v>
      </c>
      <c r="H860" t="s">
        <v>3489</v>
      </c>
      <c r="I860" t="s">
        <v>3490</v>
      </c>
      <c r="J860" s="56">
        <f t="shared" si="39"/>
        <v>68</v>
      </c>
      <c r="K860" s="74" t="str">
        <f t="shared" si="40"/>
        <v>61-90 Days</v>
      </c>
      <c r="L860" s="58" t="str">
        <f t="shared" si="41"/>
        <v>Not Applicable</v>
      </c>
    </row>
    <row r="861" spans="1:12" ht="16.5" customHeight="1" x14ac:dyDescent="0.35">
      <c r="A861" t="s">
        <v>412</v>
      </c>
      <c r="B861" t="s">
        <v>412</v>
      </c>
      <c r="C861">
        <v>0</v>
      </c>
      <c r="D861">
        <v>1000</v>
      </c>
      <c r="E861" t="s">
        <v>4695</v>
      </c>
      <c r="F861" t="s">
        <v>4696</v>
      </c>
      <c r="G861" t="s">
        <v>4697</v>
      </c>
      <c r="H861" t="s">
        <v>3532</v>
      </c>
      <c r="I861" t="s">
        <v>3490</v>
      </c>
      <c r="J861" s="56">
        <f t="shared" si="39"/>
        <v>68</v>
      </c>
      <c r="K861" s="74" t="str">
        <f t="shared" si="40"/>
        <v>61-90 Days</v>
      </c>
      <c r="L861" s="58" t="str">
        <f t="shared" si="41"/>
        <v>Not Applicable</v>
      </c>
    </row>
    <row r="862" spans="1:12" ht="16.5" customHeight="1" x14ac:dyDescent="0.35">
      <c r="A862" t="s">
        <v>412</v>
      </c>
      <c r="B862" t="s">
        <v>412</v>
      </c>
      <c r="C862">
        <v>0</v>
      </c>
      <c r="D862">
        <v>1000</v>
      </c>
      <c r="E862" t="s">
        <v>4698</v>
      </c>
      <c r="F862" t="s">
        <v>4699</v>
      </c>
      <c r="G862" t="s">
        <v>4700</v>
      </c>
      <c r="H862" t="s">
        <v>3489</v>
      </c>
      <c r="I862" t="s">
        <v>3490</v>
      </c>
      <c r="J862" s="56">
        <f t="shared" si="39"/>
        <v>68</v>
      </c>
      <c r="K862" s="74" t="str">
        <f t="shared" si="40"/>
        <v>61-90 Days</v>
      </c>
      <c r="L862" s="58" t="str">
        <f t="shared" si="41"/>
        <v>Not Applicable</v>
      </c>
    </row>
    <row r="863" spans="1:12" ht="16.5" customHeight="1" x14ac:dyDescent="0.35">
      <c r="A863" t="s">
        <v>421</v>
      </c>
      <c r="B863" t="s">
        <v>421</v>
      </c>
      <c r="C863">
        <v>4262.2</v>
      </c>
      <c r="D863">
        <v>0</v>
      </c>
      <c r="E863" t="s">
        <v>4701</v>
      </c>
      <c r="F863" t="s">
        <v>4702</v>
      </c>
      <c r="G863" t="s">
        <v>4703</v>
      </c>
      <c r="H863" t="s">
        <v>3458</v>
      </c>
      <c r="I863" t="s">
        <v>3490</v>
      </c>
      <c r="J863" s="56">
        <f t="shared" si="39"/>
        <v>67</v>
      </c>
      <c r="K863" s="74" t="str">
        <f t="shared" si="40"/>
        <v>61-90 Days</v>
      </c>
      <c r="L863" s="58" t="str">
        <f t="shared" si="41"/>
        <v>Substandard</v>
      </c>
    </row>
    <row r="864" spans="1:12" ht="16.5" customHeight="1" x14ac:dyDescent="0.35">
      <c r="A864" t="s">
        <v>421</v>
      </c>
      <c r="B864" t="s">
        <v>421</v>
      </c>
      <c r="C864">
        <v>3600</v>
      </c>
      <c r="D864">
        <v>0</v>
      </c>
      <c r="E864" t="s">
        <v>4704</v>
      </c>
      <c r="F864" t="s">
        <v>4705</v>
      </c>
      <c r="G864" t="s">
        <v>4706</v>
      </c>
      <c r="H864" t="s">
        <v>3455</v>
      </c>
      <c r="I864" t="s">
        <v>3490</v>
      </c>
      <c r="J864" s="56">
        <f t="shared" si="39"/>
        <v>67</v>
      </c>
      <c r="K864" s="74" t="str">
        <f t="shared" si="40"/>
        <v>61-90 Days</v>
      </c>
      <c r="L864" s="58" t="str">
        <f t="shared" si="41"/>
        <v>Substandard</v>
      </c>
    </row>
    <row r="865" spans="1:12" ht="16.5" customHeight="1" x14ac:dyDescent="0.35">
      <c r="A865" t="s">
        <v>421</v>
      </c>
      <c r="B865" t="s">
        <v>421</v>
      </c>
      <c r="C865">
        <v>0</v>
      </c>
      <c r="D865">
        <v>2650</v>
      </c>
      <c r="E865" t="s">
        <v>4707</v>
      </c>
      <c r="F865" t="s">
        <v>3499</v>
      </c>
      <c r="G865" t="s">
        <v>4708</v>
      </c>
      <c r="H865" t="s">
        <v>3489</v>
      </c>
      <c r="I865" t="s">
        <v>3490</v>
      </c>
      <c r="J865" s="56">
        <f t="shared" si="39"/>
        <v>67</v>
      </c>
      <c r="K865" s="74" t="str">
        <f t="shared" si="40"/>
        <v>61-90 Days</v>
      </c>
      <c r="L865" s="58" t="str">
        <f t="shared" si="41"/>
        <v>Not Applicable</v>
      </c>
    </row>
    <row r="866" spans="1:12" ht="16.5" customHeight="1" x14ac:dyDescent="0.35">
      <c r="A866" t="s">
        <v>421</v>
      </c>
      <c r="B866" t="s">
        <v>421</v>
      </c>
      <c r="C866">
        <v>1242.3</v>
      </c>
      <c r="D866">
        <v>0</v>
      </c>
      <c r="E866" t="s">
        <v>4709</v>
      </c>
      <c r="F866" t="s">
        <v>4710</v>
      </c>
      <c r="G866" t="s">
        <v>4711</v>
      </c>
      <c r="H866" t="s">
        <v>3455</v>
      </c>
      <c r="I866" t="s">
        <v>3490</v>
      </c>
      <c r="J866" s="56">
        <f t="shared" si="39"/>
        <v>67</v>
      </c>
      <c r="K866" s="74" t="str">
        <f t="shared" si="40"/>
        <v>61-90 Days</v>
      </c>
      <c r="L866" s="58" t="str">
        <f t="shared" si="41"/>
        <v>Substandard</v>
      </c>
    </row>
    <row r="867" spans="1:12" ht="16.5" customHeight="1" x14ac:dyDescent="0.35">
      <c r="A867" t="s">
        <v>421</v>
      </c>
      <c r="B867" t="s">
        <v>421</v>
      </c>
      <c r="C867">
        <v>210</v>
      </c>
      <c r="D867">
        <v>0</v>
      </c>
      <c r="E867" t="s">
        <v>4712</v>
      </c>
      <c r="F867" t="s">
        <v>4712</v>
      </c>
      <c r="G867" t="s">
        <v>4713</v>
      </c>
      <c r="H867" t="s">
        <v>3458</v>
      </c>
      <c r="I867" t="s">
        <v>3507</v>
      </c>
      <c r="J867" s="56">
        <f t="shared" si="39"/>
        <v>67</v>
      </c>
      <c r="K867" s="74" t="str">
        <f t="shared" si="40"/>
        <v>61-90 Days</v>
      </c>
      <c r="L867" s="58" t="str">
        <f t="shared" si="41"/>
        <v>Substandard</v>
      </c>
    </row>
    <row r="868" spans="1:12" ht="16.5" customHeight="1" x14ac:dyDescent="0.35">
      <c r="A868" t="s">
        <v>421</v>
      </c>
      <c r="B868" t="s">
        <v>421</v>
      </c>
      <c r="C868">
        <v>0</v>
      </c>
      <c r="D868">
        <v>56.64</v>
      </c>
      <c r="E868" t="s">
        <v>4714</v>
      </c>
      <c r="F868" t="s">
        <v>4714</v>
      </c>
      <c r="G868" t="s">
        <v>4715</v>
      </c>
      <c r="H868" t="s">
        <v>3489</v>
      </c>
      <c r="I868" t="s">
        <v>3490</v>
      </c>
      <c r="J868" s="56">
        <f t="shared" si="39"/>
        <v>67</v>
      </c>
      <c r="K868" s="74" t="str">
        <f t="shared" si="40"/>
        <v>61-90 Days</v>
      </c>
      <c r="L868" s="58" t="str">
        <f t="shared" si="41"/>
        <v>Not Applicable</v>
      </c>
    </row>
    <row r="869" spans="1:12" ht="16.5" customHeight="1" x14ac:dyDescent="0.35">
      <c r="A869" t="s">
        <v>421</v>
      </c>
      <c r="B869" t="s">
        <v>421</v>
      </c>
      <c r="C869">
        <v>205</v>
      </c>
      <c r="D869">
        <v>0</v>
      </c>
      <c r="E869" t="s">
        <v>4716</v>
      </c>
      <c r="F869" t="s">
        <v>4716</v>
      </c>
      <c r="G869" t="s">
        <v>4717</v>
      </c>
      <c r="H869" t="s">
        <v>3458</v>
      </c>
      <c r="I869" t="s">
        <v>3507</v>
      </c>
      <c r="J869" s="56">
        <f t="shared" si="39"/>
        <v>67</v>
      </c>
      <c r="K869" s="74" t="str">
        <f t="shared" si="40"/>
        <v>61-90 Days</v>
      </c>
      <c r="L869" s="58" t="str">
        <f t="shared" si="41"/>
        <v>Substandard</v>
      </c>
    </row>
    <row r="870" spans="1:12" ht="16.5" customHeight="1" x14ac:dyDescent="0.35">
      <c r="A870" t="s">
        <v>421</v>
      </c>
      <c r="B870" t="s">
        <v>421</v>
      </c>
      <c r="C870">
        <v>0</v>
      </c>
      <c r="D870">
        <v>1000</v>
      </c>
      <c r="E870" t="s">
        <v>4718</v>
      </c>
      <c r="F870" t="s">
        <v>4719</v>
      </c>
      <c r="G870" t="s">
        <v>4720</v>
      </c>
      <c r="H870" t="s">
        <v>3489</v>
      </c>
      <c r="I870" t="s">
        <v>3490</v>
      </c>
      <c r="J870" s="56">
        <f t="shared" si="39"/>
        <v>67</v>
      </c>
      <c r="K870" s="74" t="str">
        <f t="shared" si="40"/>
        <v>61-90 Days</v>
      </c>
      <c r="L870" s="58" t="str">
        <f t="shared" si="41"/>
        <v>Not Applicable</v>
      </c>
    </row>
    <row r="871" spans="1:12" ht="16.5" customHeight="1" x14ac:dyDescent="0.35">
      <c r="A871" t="s">
        <v>421</v>
      </c>
      <c r="B871" t="s">
        <v>421</v>
      </c>
      <c r="C871">
        <v>0</v>
      </c>
      <c r="D871">
        <v>250</v>
      </c>
      <c r="E871" t="s">
        <v>4721</v>
      </c>
      <c r="F871" t="s">
        <v>4721</v>
      </c>
      <c r="G871" t="s">
        <v>4722</v>
      </c>
      <c r="H871" t="s">
        <v>3489</v>
      </c>
      <c r="I871" t="s">
        <v>3490</v>
      </c>
      <c r="J871" s="56">
        <f t="shared" si="39"/>
        <v>67</v>
      </c>
      <c r="K871" s="74" t="str">
        <f t="shared" si="40"/>
        <v>61-90 Days</v>
      </c>
      <c r="L871" s="58" t="str">
        <f t="shared" si="41"/>
        <v>Not Applicable</v>
      </c>
    </row>
    <row r="872" spans="1:12" ht="16.5" customHeight="1" x14ac:dyDescent="0.35">
      <c r="A872" t="s">
        <v>421</v>
      </c>
      <c r="B872" t="s">
        <v>421</v>
      </c>
      <c r="C872">
        <v>0</v>
      </c>
      <c r="D872">
        <v>120</v>
      </c>
      <c r="E872" t="s">
        <v>4723</v>
      </c>
      <c r="F872" t="s">
        <v>4724</v>
      </c>
      <c r="G872" t="s">
        <v>4725</v>
      </c>
      <c r="H872" t="s">
        <v>3489</v>
      </c>
      <c r="I872" t="s">
        <v>3486</v>
      </c>
      <c r="J872" s="56">
        <f t="shared" si="39"/>
        <v>67</v>
      </c>
      <c r="K872" s="74" t="str">
        <f t="shared" si="40"/>
        <v>61-90 Days</v>
      </c>
      <c r="L872" s="58" t="str">
        <f t="shared" si="41"/>
        <v>Not Applicable</v>
      </c>
    </row>
    <row r="873" spans="1:12" ht="16.5" customHeight="1" x14ac:dyDescent="0.35">
      <c r="A873" t="s">
        <v>421</v>
      </c>
      <c r="B873" t="s">
        <v>421</v>
      </c>
      <c r="C873">
        <v>0</v>
      </c>
      <c r="D873">
        <v>1000</v>
      </c>
      <c r="E873" t="s">
        <v>4726</v>
      </c>
      <c r="F873" t="s">
        <v>4727</v>
      </c>
      <c r="G873" t="s">
        <v>4728</v>
      </c>
      <c r="H873" t="s">
        <v>3494</v>
      </c>
      <c r="I873" t="s">
        <v>3490</v>
      </c>
      <c r="J873" s="56">
        <f t="shared" si="39"/>
        <v>67</v>
      </c>
      <c r="K873" s="74" t="str">
        <f t="shared" si="40"/>
        <v>61-90 Days</v>
      </c>
      <c r="L873" s="58" t="str">
        <f t="shared" si="41"/>
        <v>Not Applicable</v>
      </c>
    </row>
    <row r="874" spans="1:12" ht="16.5" customHeight="1" x14ac:dyDescent="0.35">
      <c r="A874" t="s">
        <v>421</v>
      </c>
      <c r="B874" t="s">
        <v>421</v>
      </c>
      <c r="C874">
        <v>0</v>
      </c>
      <c r="D874">
        <v>1000</v>
      </c>
      <c r="E874" t="s">
        <v>4729</v>
      </c>
      <c r="F874" t="s">
        <v>3499</v>
      </c>
      <c r="G874" t="s">
        <v>4730</v>
      </c>
      <c r="H874" t="s">
        <v>3489</v>
      </c>
      <c r="I874" t="s">
        <v>3490</v>
      </c>
      <c r="J874" s="56">
        <f t="shared" si="39"/>
        <v>67</v>
      </c>
      <c r="K874" s="74" t="str">
        <f t="shared" si="40"/>
        <v>61-90 Days</v>
      </c>
      <c r="L874" s="58" t="str">
        <f t="shared" si="41"/>
        <v>Not Applicable</v>
      </c>
    </row>
    <row r="875" spans="1:12" ht="16.5" customHeight="1" x14ac:dyDescent="0.35">
      <c r="A875" t="s">
        <v>421</v>
      </c>
      <c r="B875" t="s">
        <v>421</v>
      </c>
      <c r="C875">
        <v>0</v>
      </c>
      <c r="D875">
        <v>100</v>
      </c>
      <c r="E875" t="s">
        <v>4731</v>
      </c>
      <c r="F875" t="s">
        <v>4731</v>
      </c>
      <c r="G875" t="s">
        <v>4732</v>
      </c>
      <c r="H875" t="s">
        <v>3489</v>
      </c>
      <c r="I875" t="s">
        <v>3490</v>
      </c>
      <c r="J875" s="56">
        <f t="shared" si="39"/>
        <v>67</v>
      </c>
      <c r="K875" s="74" t="str">
        <f t="shared" si="40"/>
        <v>61-90 Days</v>
      </c>
      <c r="L875" s="58" t="str">
        <f t="shared" si="41"/>
        <v>Not Applicable</v>
      </c>
    </row>
    <row r="876" spans="1:12" ht="16.5" customHeight="1" x14ac:dyDescent="0.35">
      <c r="A876" t="s">
        <v>421</v>
      </c>
      <c r="B876" t="s">
        <v>421</v>
      </c>
      <c r="C876">
        <v>0</v>
      </c>
      <c r="D876">
        <v>3050</v>
      </c>
      <c r="E876" t="s">
        <v>4733</v>
      </c>
      <c r="F876" t="s">
        <v>4733</v>
      </c>
      <c r="G876" t="s">
        <v>4734</v>
      </c>
      <c r="H876" t="s">
        <v>3489</v>
      </c>
      <c r="I876" t="s">
        <v>3490</v>
      </c>
      <c r="J876" s="56">
        <f t="shared" si="39"/>
        <v>67</v>
      </c>
      <c r="K876" s="74" t="str">
        <f t="shared" si="40"/>
        <v>61-90 Days</v>
      </c>
      <c r="L876" s="58" t="str">
        <f t="shared" si="41"/>
        <v>Not Applicable</v>
      </c>
    </row>
    <row r="877" spans="1:12" ht="16.5" customHeight="1" x14ac:dyDescent="0.35">
      <c r="A877" t="s">
        <v>421</v>
      </c>
      <c r="B877" t="s">
        <v>421</v>
      </c>
      <c r="C877">
        <v>0</v>
      </c>
      <c r="D877">
        <v>250</v>
      </c>
      <c r="E877" t="s">
        <v>4735</v>
      </c>
      <c r="F877" t="s">
        <v>4735</v>
      </c>
      <c r="G877" t="s">
        <v>4736</v>
      </c>
      <c r="H877" t="s">
        <v>3489</v>
      </c>
      <c r="I877" t="s">
        <v>3490</v>
      </c>
      <c r="J877" s="56">
        <f t="shared" si="39"/>
        <v>67</v>
      </c>
      <c r="K877" s="74" t="str">
        <f t="shared" si="40"/>
        <v>61-90 Days</v>
      </c>
      <c r="L877" s="58" t="str">
        <f t="shared" si="41"/>
        <v>Not Applicable</v>
      </c>
    </row>
    <row r="878" spans="1:12" ht="16.5" customHeight="1" x14ac:dyDescent="0.35">
      <c r="A878" t="s">
        <v>421</v>
      </c>
      <c r="B878" t="s">
        <v>421</v>
      </c>
      <c r="C878">
        <v>0</v>
      </c>
      <c r="D878">
        <v>250</v>
      </c>
      <c r="E878" t="s">
        <v>4737</v>
      </c>
      <c r="F878" t="s">
        <v>4738</v>
      </c>
      <c r="G878" t="s">
        <v>4739</v>
      </c>
      <c r="H878" t="s">
        <v>3532</v>
      </c>
      <c r="I878" t="s">
        <v>3490</v>
      </c>
      <c r="J878" s="56">
        <f t="shared" si="39"/>
        <v>67</v>
      </c>
      <c r="K878" s="74" t="str">
        <f t="shared" si="40"/>
        <v>61-90 Days</v>
      </c>
      <c r="L878" s="58" t="str">
        <f t="shared" si="41"/>
        <v>Not Applicable</v>
      </c>
    </row>
    <row r="879" spans="1:12" ht="16.5" customHeight="1" x14ac:dyDescent="0.35">
      <c r="A879" t="s">
        <v>421</v>
      </c>
      <c r="B879" t="s">
        <v>421</v>
      </c>
      <c r="C879">
        <v>0</v>
      </c>
      <c r="D879">
        <v>1000</v>
      </c>
      <c r="E879" t="s">
        <v>4740</v>
      </c>
      <c r="F879" t="s">
        <v>4741</v>
      </c>
      <c r="G879" t="s">
        <v>4742</v>
      </c>
      <c r="H879" t="s">
        <v>3489</v>
      </c>
      <c r="I879" t="s">
        <v>3490</v>
      </c>
      <c r="J879" s="56">
        <f t="shared" si="39"/>
        <v>67</v>
      </c>
      <c r="K879" s="74" t="str">
        <f t="shared" si="40"/>
        <v>61-90 Days</v>
      </c>
      <c r="L879" s="58" t="str">
        <f t="shared" si="41"/>
        <v>Not Applicable</v>
      </c>
    </row>
    <row r="880" spans="1:12" ht="16.5" customHeight="1" x14ac:dyDescent="0.35">
      <c r="A880" t="s">
        <v>421</v>
      </c>
      <c r="B880" t="s">
        <v>421</v>
      </c>
      <c r="C880">
        <v>4400</v>
      </c>
      <c r="D880">
        <v>0</v>
      </c>
      <c r="E880" t="s">
        <v>4743</v>
      </c>
      <c r="F880" t="s">
        <v>4744</v>
      </c>
      <c r="G880" t="s">
        <v>4745</v>
      </c>
      <c r="H880" t="s">
        <v>4394</v>
      </c>
      <c r="I880" t="s">
        <v>3490</v>
      </c>
      <c r="J880" s="56">
        <f t="shared" si="39"/>
        <v>67</v>
      </c>
      <c r="K880" s="74" t="str">
        <f t="shared" si="40"/>
        <v>61-90 Days</v>
      </c>
      <c r="L880" s="58" t="str">
        <f t="shared" si="41"/>
        <v>Substandard</v>
      </c>
    </row>
    <row r="881" spans="1:12" ht="16.5" customHeight="1" x14ac:dyDescent="0.35">
      <c r="A881" t="s">
        <v>421</v>
      </c>
      <c r="B881" t="s">
        <v>421</v>
      </c>
      <c r="C881">
        <v>0</v>
      </c>
      <c r="D881">
        <v>1000</v>
      </c>
      <c r="E881" t="s">
        <v>4746</v>
      </c>
      <c r="F881" t="s">
        <v>4746</v>
      </c>
      <c r="G881" t="s">
        <v>4747</v>
      </c>
      <c r="H881" t="s">
        <v>3489</v>
      </c>
      <c r="I881" t="s">
        <v>3490</v>
      </c>
      <c r="J881" s="56">
        <f t="shared" si="39"/>
        <v>67</v>
      </c>
      <c r="K881" s="74" t="str">
        <f t="shared" si="40"/>
        <v>61-90 Days</v>
      </c>
      <c r="L881" s="58" t="str">
        <f t="shared" si="41"/>
        <v>Not Applicable</v>
      </c>
    </row>
    <row r="882" spans="1:12" ht="16.5" customHeight="1" x14ac:dyDescent="0.35">
      <c r="A882" t="s">
        <v>421</v>
      </c>
      <c r="B882" t="s">
        <v>421</v>
      </c>
      <c r="C882">
        <v>0</v>
      </c>
      <c r="D882">
        <v>1000</v>
      </c>
      <c r="E882" t="s">
        <v>4748</v>
      </c>
      <c r="F882" t="s">
        <v>4748</v>
      </c>
      <c r="G882" t="s">
        <v>4749</v>
      </c>
      <c r="H882" t="s">
        <v>3489</v>
      </c>
      <c r="I882" t="s">
        <v>3490</v>
      </c>
      <c r="J882" s="56">
        <f t="shared" si="39"/>
        <v>67</v>
      </c>
      <c r="K882" s="74" t="str">
        <f t="shared" si="40"/>
        <v>61-90 Days</v>
      </c>
      <c r="L882" s="58" t="str">
        <f t="shared" si="41"/>
        <v>Not Applicable</v>
      </c>
    </row>
    <row r="883" spans="1:12" ht="16.5" customHeight="1" x14ac:dyDescent="0.35">
      <c r="A883" t="s">
        <v>421</v>
      </c>
      <c r="B883" t="s">
        <v>421</v>
      </c>
      <c r="C883">
        <v>100</v>
      </c>
      <c r="D883">
        <v>0</v>
      </c>
      <c r="E883" t="s">
        <v>4750</v>
      </c>
      <c r="F883" t="s">
        <v>4750</v>
      </c>
      <c r="G883" t="s">
        <v>4751</v>
      </c>
      <c r="H883" t="s">
        <v>3458</v>
      </c>
      <c r="I883" t="s">
        <v>3507</v>
      </c>
      <c r="J883" s="56">
        <f t="shared" si="39"/>
        <v>67</v>
      </c>
      <c r="K883" s="74" t="str">
        <f t="shared" si="40"/>
        <v>61-90 Days</v>
      </c>
      <c r="L883" s="58" t="str">
        <f t="shared" si="41"/>
        <v>Substandard</v>
      </c>
    </row>
    <row r="884" spans="1:12" ht="16.5" customHeight="1" x14ac:dyDescent="0.35">
      <c r="A884" t="s">
        <v>421</v>
      </c>
      <c r="B884" t="s">
        <v>421</v>
      </c>
      <c r="C884">
        <v>150</v>
      </c>
      <c r="D884">
        <v>0</v>
      </c>
      <c r="E884" t="s">
        <v>4752</v>
      </c>
      <c r="F884" t="s">
        <v>4752</v>
      </c>
      <c r="G884" t="s">
        <v>4753</v>
      </c>
      <c r="H884" t="s">
        <v>3485</v>
      </c>
      <c r="I884" t="s">
        <v>3507</v>
      </c>
      <c r="J884" s="56">
        <f t="shared" si="39"/>
        <v>67</v>
      </c>
      <c r="K884" s="74" t="str">
        <f t="shared" si="40"/>
        <v>61-90 Days</v>
      </c>
      <c r="L884" s="58" t="str">
        <f t="shared" si="41"/>
        <v>Substandard</v>
      </c>
    </row>
    <row r="885" spans="1:12" ht="16.5" customHeight="1" x14ac:dyDescent="0.35">
      <c r="A885" t="s">
        <v>421</v>
      </c>
      <c r="B885" t="s">
        <v>421</v>
      </c>
      <c r="C885">
        <v>0</v>
      </c>
      <c r="D885">
        <v>217.8</v>
      </c>
      <c r="E885" t="s">
        <v>4754</v>
      </c>
      <c r="F885" t="s">
        <v>4755</v>
      </c>
      <c r="G885" t="s">
        <v>4756</v>
      </c>
      <c r="H885" t="s">
        <v>3489</v>
      </c>
      <c r="I885" t="s">
        <v>3486</v>
      </c>
      <c r="J885" s="56">
        <f t="shared" si="39"/>
        <v>67</v>
      </c>
      <c r="K885" s="74" t="str">
        <f t="shared" si="40"/>
        <v>61-90 Days</v>
      </c>
      <c r="L885" s="58" t="str">
        <f t="shared" si="41"/>
        <v>Not Applicable</v>
      </c>
    </row>
    <row r="886" spans="1:12" ht="16.5" customHeight="1" x14ac:dyDescent="0.35">
      <c r="A886" t="s">
        <v>421</v>
      </c>
      <c r="B886" t="s">
        <v>421</v>
      </c>
      <c r="C886">
        <v>0</v>
      </c>
      <c r="D886">
        <v>1000</v>
      </c>
      <c r="E886" t="s">
        <v>4757</v>
      </c>
      <c r="F886" t="s">
        <v>4757</v>
      </c>
      <c r="G886" t="s">
        <v>4758</v>
      </c>
      <c r="H886" t="s">
        <v>3489</v>
      </c>
      <c r="I886" t="s">
        <v>3490</v>
      </c>
      <c r="J886" s="56">
        <f t="shared" si="39"/>
        <v>67</v>
      </c>
      <c r="K886" s="74" t="str">
        <f t="shared" si="40"/>
        <v>61-90 Days</v>
      </c>
      <c r="L886" s="58" t="str">
        <f t="shared" si="41"/>
        <v>Not Applicable</v>
      </c>
    </row>
    <row r="887" spans="1:12" ht="16.5" customHeight="1" x14ac:dyDescent="0.35">
      <c r="A887" t="s">
        <v>421</v>
      </c>
      <c r="B887" t="s">
        <v>421</v>
      </c>
      <c r="C887">
        <v>0</v>
      </c>
      <c r="D887">
        <v>1000</v>
      </c>
      <c r="E887" t="s">
        <v>4759</v>
      </c>
      <c r="F887" t="s">
        <v>4760</v>
      </c>
      <c r="G887" t="s">
        <v>4761</v>
      </c>
      <c r="H887" t="s">
        <v>3489</v>
      </c>
      <c r="I887" t="s">
        <v>3490</v>
      </c>
      <c r="J887" s="56">
        <f t="shared" si="39"/>
        <v>67</v>
      </c>
      <c r="K887" s="74" t="str">
        <f t="shared" si="40"/>
        <v>61-90 Days</v>
      </c>
      <c r="L887" s="58" t="str">
        <f t="shared" si="41"/>
        <v>Not Applicable</v>
      </c>
    </row>
    <row r="888" spans="1:12" ht="16.5" customHeight="1" x14ac:dyDescent="0.35">
      <c r="A888" t="s">
        <v>421</v>
      </c>
      <c r="B888" t="s">
        <v>421</v>
      </c>
      <c r="C888">
        <v>0</v>
      </c>
      <c r="D888">
        <v>250</v>
      </c>
      <c r="E888" t="s">
        <v>4762</v>
      </c>
      <c r="F888" t="s">
        <v>4763</v>
      </c>
      <c r="G888" t="s">
        <v>4764</v>
      </c>
      <c r="H888" t="s">
        <v>3532</v>
      </c>
      <c r="I888" t="s">
        <v>3490</v>
      </c>
      <c r="J888" s="56">
        <f t="shared" si="39"/>
        <v>67</v>
      </c>
      <c r="K888" s="74" t="str">
        <f t="shared" si="40"/>
        <v>61-90 Days</v>
      </c>
      <c r="L888" s="58" t="str">
        <f t="shared" si="41"/>
        <v>Not Applicable</v>
      </c>
    </row>
    <row r="889" spans="1:12" ht="16.5" customHeight="1" x14ac:dyDescent="0.35">
      <c r="A889" t="s">
        <v>421</v>
      </c>
      <c r="B889" t="s">
        <v>421</v>
      </c>
      <c r="C889">
        <v>0</v>
      </c>
      <c r="D889">
        <v>1000</v>
      </c>
      <c r="E889" t="s">
        <v>4765</v>
      </c>
      <c r="F889" t="s">
        <v>4766</v>
      </c>
      <c r="G889" t="s">
        <v>4767</v>
      </c>
      <c r="H889" t="s">
        <v>3489</v>
      </c>
      <c r="I889" t="s">
        <v>3490</v>
      </c>
      <c r="J889" s="56">
        <f t="shared" si="39"/>
        <v>67</v>
      </c>
      <c r="K889" s="74" t="str">
        <f t="shared" si="40"/>
        <v>61-90 Days</v>
      </c>
      <c r="L889" s="58" t="str">
        <f t="shared" si="41"/>
        <v>Not Applicable</v>
      </c>
    </row>
    <row r="890" spans="1:12" ht="16.5" customHeight="1" x14ac:dyDescent="0.35">
      <c r="A890" t="s">
        <v>421</v>
      </c>
      <c r="B890" t="s">
        <v>421</v>
      </c>
      <c r="C890">
        <v>0</v>
      </c>
      <c r="D890">
        <v>13653</v>
      </c>
      <c r="E890" t="s">
        <v>4768</v>
      </c>
      <c r="F890" t="s">
        <v>4768</v>
      </c>
      <c r="G890" t="s">
        <v>4769</v>
      </c>
      <c r="H890" t="s">
        <v>3489</v>
      </c>
      <c r="I890" t="s">
        <v>3490</v>
      </c>
      <c r="J890" s="56">
        <f t="shared" si="39"/>
        <v>67</v>
      </c>
      <c r="K890" s="74" t="str">
        <f t="shared" si="40"/>
        <v>61-90 Days</v>
      </c>
      <c r="L890" s="58" t="str">
        <f t="shared" si="41"/>
        <v>Not Applicable</v>
      </c>
    </row>
    <row r="891" spans="1:12" ht="16.5" customHeight="1" x14ac:dyDescent="0.35">
      <c r="A891" t="s">
        <v>421</v>
      </c>
      <c r="B891" t="s">
        <v>421</v>
      </c>
      <c r="C891">
        <v>0</v>
      </c>
      <c r="D891">
        <v>600</v>
      </c>
      <c r="E891" t="s">
        <v>4770</v>
      </c>
      <c r="F891" t="s">
        <v>4770</v>
      </c>
      <c r="G891" t="s">
        <v>4771</v>
      </c>
      <c r="H891" t="s">
        <v>3489</v>
      </c>
      <c r="I891" t="s">
        <v>3490</v>
      </c>
      <c r="J891" s="56">
        <f t="shared" si="39"/>
        <v>67</v>
      </c>
      <c r="K891" s="74" t="str">
        <f t="shared" si="40"/>
        <v>61-90 Days</v>
      </c>
      <c r="L891" s="58" t="str">
        <f t="shared" si="41"/>
        <v>Not Applicable</v>
      </c>
    </row>
    <row r="892" spans="1:12" ht="16.5" customHeight="1" x14ac:dyDescent="0.35">
      <c r="A892" t="s">
        <v>421</v>
      </c>
      <c r="B892" t="s">
        <v>421</v>
      </c>
      <c r="C892">
        <v>0</v>
      </c>
      <c r="D892">
        <v>250</v>
      </c>
      <c r="E892" t="s">
        <v>4772</v>
      </c>
      <c r="F892" t="s">
        <v>4772</v>
      </c>
      <c r="G892" t="s">
        <v>4773</v>
      </c>
      <c r="H892" t="s">
        <v>3489</v>
      </c>
      <c r="I892" t="s">
        <v>3490</v>
      </c>
      <c r="J892" s="56">
        <f t="shared" si="39"/>
        <v>67</v>
      </c>
      <c r="K892" s="74" t="str">
        <f t="shared" si="40"/>
        <v>61-90 Days</v>
      </c>
      <c r="L892" s="58" t="str">
        <f t="shared" si="41"/>
        <v>Not Applicable</v>
      </c>
    </row>
    <row r="893" spans="1:12" ht="16.5" customHeight="1" x14ac:dyDescent="0.35">
      <c r="A893" t="s">
        <v>421</v>
      </c>
      <c r="B893" t="s">
        <v>421</v>
      </c>
      <c r="C893">
        <v>1000</v>
      </c>
      <c r="D893">
        <v>0</v>
      </c>
      <c r="E893" t="s">
        <v>4774</v>
      </c>
      <c r="F893" t="s">
        <v>4774</v>
      </c>
      <c r="G893" t="s">
        <v>4775</v>
      </c>
      <c r="H893" t="s">
        <v>3455</v>
      </c>
      <c r="I893" t="s">
        <v>3507</v>
      </c>
      <c r="J893" s="56">
        <f t="shared" si="39"/>
        <v>67</v>
      </c>
      <c r="K893" s="74" t="str">
        <f t="shared" si="40"/>
        <v>61-90 Days</v>
      </c>
      <c r="L893" s="58" t="str">
        <f t="shared" si="41"/>
        <v>Substandard</v>
      </c>
    </row>
    <row r="894" spans="1:12" ht="16.5" customHeight="1" x14ac:dyDescent="0.35">
      <c r="A894" t="s">
        <v>421</v>
      </c>
      <c r="B894" t="s">
        <v>421</v>
      </c>
      <c r="C894">
        <v>0</v>
      </c>
      <c r="D894">
        <v>35.4</v>
      </c>
      <c r="E894" t="s">
        <v>4776</v>
      </c>
      <c r="F894" t="s">
        <v>4777</v>
      </c>
      <c r="G894" t="s">
        <v>4778</v>
      </c>
      <c r="H894" t="s">
        <v>3532</v>
      </c>
      <c r="I894" t="s">
        <v>3490</v>
      </c>
      <c r="J894" s="56">
        <f t="shared" si="39"/>
        <v>67</v>
      </c>
      <c r="K894" s="74" t="str">
        <f t="shared" si="40"/>
        <v>61-90 Days</v>
      </c>
      <c r="L894" s="58" t="str">
        <f t="shared" si="41"/>
        <v>Not Applicable</v>
      </c>
    </row>
    <row r="895" spans="1:12" ht="16.5" customHeight="1" x14ac:dyDescent="0.35">
      <c r="A895" t="s">
        <v>421</v>
      </c>
      <c r="B895" t="s">
        <v>421</v>
      </c>
      <c r="C895">
        <v>0</v>
      </c>
      <c r="D895">
        <v>2050</v>
      </c>
      <c r="E895" t="s">
        <v>4779</v>
      </c>
      <c r="F895" t="s">
        <v>4779</v>
      </c>
      <c r="G895" t="s">
        <v>4780</v>
      </c>
      <c r="H895" t="s">
        <v>3489</v>
      </c>
      <c r="I895" t="s">
        <v>3490</v>
      </c>
      <c r="J895" s="56">
        <f t="shared" si="39"/>
        <v>67</v>
      </c>
      <c r="K895" s="74" t="str">
        <f t="shared" si="40"/>
        <v>61-90 Days</v>
      </c>
      <c r="L895" s="58" t="str">
        <f t="shared" si="41"/>
        <v>Not Applicable</v>
      </c>
    </row>
    <row r="896" spans="1:12" ht="16.5" customHeight="1" x14ac:dyDescent="0.35">
      <c r="A896" t="s">
        <v>421</v>
      </c>
      <c r="B896" t="s">
        <v>421</v>
      </c>
      <c r="C896">
        <v>259911.59</v>
      </c>
      <c r="D896">
        <v>0</v>
      </c>
      <c r="E896" t="s">
        <v>4781</v>
      </c>
      <c r="F896" t="s">
        <v>4782</v>
      </c>
      <c r="G896" t="s">
        <v>4783</v>
      </c>
      <c r="H896" t="s">
        <v>3455</v>
      </c>
      <c r="I896" t="s">
        <v>3490</v>
      </c>
      <c r="J896" s="56">
        <f t="shared" si="39"/>
        <v>67</v>
      </c>
      <c r="K896" s="74" t="str">
        <f t="shared" si="40"/>
        <v>61-90 Days</v>
      </c>
      <c r="L896" s="58" t="str">
        <f t="shared" si="41"/>
        <v>Substandard</v>
      </c>
    </row>
    <row r="897" spans="1:12" ht="16.5" customHeight="1" x14ac:dyDescent="0.35">
      <c r="A897" t="s">
        <v>421</v>
      </c>
      <c r="B897" t="s">
        <v>421</v>
      </c>
      <c r="C897">
        <v>100</v>
      </c>
      <c r="D897">
        <v>0</v>
      </c>
      <c r="E897" t="s">
        <v>4784</v>
      </c>
      <c r="F897" t="s">
        <v>4784</v>
      </c>
      <c r="G897" t="s">
        <v>4785</v>
      </c>
      <c r="H897" t="s">
        <v>3455</v>
      </c>
      <c r="I897" t="s">
        <v>3507</v>
      </c>
      <c r="J897" s="56">
        <f t="shared" si="39"/>
        <v>67</v>
      </c>
      <c r="K897" s="74" t="str">
        <f t="shared" si="40"/>
        <v>61-90 Days</v>
      </c>
      <c r="L897" s="58" t="str">
        <f t="shared" si="41"/>
        <v>Substandard</v>
      </c>
    </row>
    <row r="898" spans="1:12" ht="16.5" customHeight="1" x14ac:dyDescent="0.35">
      <c r="A898" t="s">
        <v>421</v>
      </c>
      <c r="B898" t="s">
        <v>421</v>
      </c>
      <c r="C898">
        <v>0</v>
      </c>
      <c r="D898">
        <v>250</v>
      </c>
      <c r="E898" t="s">
        <v>4786</v>
      </c>
      <c r="F898" t="s">
        <v>4787</v>
      </c>
      <c r="G898" t="s">
        <v>4788</v>
      </c>
      <c r="H898" t="s">
        <v>3532</v>
      </c>
      <c r="I898" t="s">
        <v>3490</v>
      </c>
      <c r="J898" s="56">
        <f t="shared" si="39"/>
        <v>67</v>
      </c>
      <c r="K898" s="74" t="str">
        <f t="shared" si="40"/>
        <v>61-90 Days</v>
      </c>
      <c r="L898" s="58" t="str">
        <f t="shared" si="41"/>
        <v>Not Applicable</v>
      </c>
    </row>
    <row r="899" spans="1:12" ht="16.5" customHeight="1" x14ac:dyDescent="0.35">
      <c r="A899" t="s">
        <v>421</v>
      </c>
      <c r="B899" t="s">
        <v>421</v>
      </c>
      <c r="C899">
        <v>353.2</v>
      </c>
      <c r="D899">
        <v>0</v>
      </c>
      <c r="E899" t="s">
        <v>4789</v>
      </c>
      <c r="F899" t="s">
        <v>4790</v>
      </c>
      <c r="G899" t="s">
        <v>4791</v>
      </c>
      <c r="H899" t="s">
        <v>4491</v>
      </c>
      <c r="I899" t="s">
        <v>3490</v>
      </c>
      <c r="J899" s="56">
        <f t="shared" si="39"/>
        <v>67</v>
      </c>
      <c r="K899" s="74" t="str">
        <f t="shared" si="40"/>
        <v>61-90 Days</v>
      </c>
      <c r="L899" s="58" t="str">
        <f t="shared" si="41"/>
        <v>Substandard</v>
      </c>
    </row>
    <row r="900" spans="1:12" ht="16.5" customHeight="1" x14ac:dyDescent="0.35">
      <c r="A900" t="s">
        <v>421</v>
      </c>
      <c r="B900" t="s">
        <v>421</v>
      </c>
      <c r="C900">
        <v>0</v>
      </c>
      <c r="D900">
        <v>250</v>
      </c>
      <c r="E900" t="s">
        <v>4792</v>
      </c>
      <c r="F900" t="s">
        <v>4792</v>
      </c>
      <c r="G900" t="s">
        <v>4793</v>
      </c>
      <c r="H900" t="s">
        <v>3489</v>
      </c>
      <c r="I900" t="s">
        <v>3490</v>
      </c>
      <c r="J900" s="56">
        <f t="shared" si="39"/>
        <v>67</v>
      </c>
      <c r="K900" s="74" t="str">
        <f t="shared" si="40"/>
        <v>61-90 Days</v>
      </c>
      <c r="L900" s="58" t="str">
        <f t="shared" si="41"/>
        <v>Not Applicable</v>
      </c>
    </row>
    <row r="901" spans="1:12" ht="16.5" customHeight="1" x14ac:dyDescent="0.35">
      <c r="A901" t="s">
        <v>421</v>
      </c>
      <c r="B901" t="s">
        <v>421</v>
      </c>
      <c r="C901">
        <v>0</v>
      </c>
      <c r="D901">
        <v>2050</v>
      </c>
      <c r="E901" t="s">
        <v>4794</v>
      </c>
      <c r="F901" t="s">
        <v>4794</v>
      </c>
      <c r="G901" t="s">
        <v>4795</v>
      </c>
      <c r="H901" t="s">
        <v>3489</v>
      </c>
      <c r="I901" t="s">
        <v>3490</v>
      </c>
      <c r="J901" s="56">
        <f t="shared" si="39"/>
        <v>67</v>
      </c>
      <c r="K901" s="74" t="str">
        <f t="shared" si="40"/>
        <v>61-90 Days</v>
      </c>
      <c r="L901" s="58" t="str">
        <f t="shared" si="41"/>
        <v>Not Applicable</v>
      </c>
    </row>
    <row r="902" spans="1:12" ht="16.5" customHeight="1" x14ac:dyDescent="0.35">
      <c r="A902" t="s">
        <v>421</v>
      </c>
      <c r="B902" t="s">
        <v>421</v>
      </c>
      <c r="C902">
        <v>1000</v>
      </c>
      <c r="D902">
        <v>0</v>
      </c>
      <c r="E902" t="s">
        <v>4796</v>
      </c>
      <c r="F902" t="s">
        <v>4796</v>
      </c>
      <c r="G902" t="s">
        <v>4797</v>
      </c>
      <c r="H902" t="s">
        <v>3458</v>
      </c>
      <c r="I902" t="s">
        <v>3507</v>
      </c>
      <c r="J902" s="56">
        <f t="shared" si="39"/>
        <v>67</v>
      </c>
      <c r="K902" s="74" t="str">
        <f t="shared" si="40"/>
        <v>61-90 Days</v>
      </c>
      <c r="L902" s="58" t="str">
        <f t="shared" si="41"/>
        <v>Substandard</v>
      </c>
    </row>
    <row r="903" spans="1:12" ht="16.5" customHeight="1" x14ac:dyDescent="0.35">
      <c r="A903" t="s">
        <v>421</v>
      </c>
      <c r="B903" t="s">
        <v>421</v>
      </c>
      <c r="C903">
        <v>0</v>
      </c>
      <c r="D903">
        <v>600</v>
      </c>
      <c r="E903" t="s">
        <v>4798</v>
      </c>
      <c r="F903" t="s">
        <v>4798</v>
      </c>
      <c r="G903" t="s">
        <v>4799</v>
      </c>
      <c r="H903" t="s">
        <v>3489</v>
      </c>
      <c r="I903" t="s">
        <v>3490</v>
      </c>
      <c r="J903" s="56">
        <f t="shared" si="39"/>
        <v>67</v>
      </c>
      <c r="K903" s="74" t="str">
        <f t="shared" si="40"/>
        <v>61-90 Days</v>
      </c>
      <c r="L903" s="58" t="str">
        <f t="shared" si="41"/>
        <v>Not Applicable</v>
      </c>
    </row>
    <row r="904" spans="1:12" ht="16.5" customHeight="1" x14ac:dyDescent="0.35">
      <c r="A904" t="s">
        <v>421</v>
      </c>
      <c r="B904" t="s">
        <v>421</v>
      </c>
      <c r="C904">
        <v>2650</v>
      </c>
      <c r="D904">
        <v>0</v>
      </c>
      <c r="E904" t="s">
        <v>4800</v>
      </c>
      <c r="F904" t="s">
        <v>4800</v>
      </c>
      <c r="G904" t="s">
        <v>4801</v>
      </c>
      <c r="H904" t="s">
        <v>3458</v>
      </c>
      <c r="I904" t="s">
        <v>3507</v>
      </c>
      <c r="J904" s="56">
        <f t="shared" si="39"/>
        <v>67</v>
      </c>
      <c r="K904" s="74" t="str">
        <f t="shared" si="40"/>
        <v>61-90 Days</v>
      </c>
      <c r="L904" s="58" t="str">
        <f t="shared" si="41"/>
        <v>Substandard</v>
      </c>
    </row>
    <row r="905" spans="1:12" ht="16.5" customHeight="1" x14ac:dyDescent="0.35">
      <c r="A905" t="s">
        <v>421</v>
      </c>
      <c r="B905" t="s">
        <v>421</v>
      </c>
      <c r="C905">
        <v>0</v>
      </c>
      <c r="D905">
        <v>1000</v>
      </c>
      <c r="E905" t="s">
        <v>4802</v>
      </c>
      <c r="F905" t="s">
        <v>4802</v>
      </c>
      <c r="G905" t="s">
        <v>4803</v>
      </c>
      <c r="H905" t="s">
        <v>3489</v>
      </c>
      <c r="I905" t="s">
        <v>3490</v>
      </c>
      <c r="J905" s="56">
        <f t="shared" ref="J905:J968" si="42">IF(A905="","",A$5-A905)</f>
        <v>67</v>
      </c>
      <c r="K905" s="74" t="str">
        <f t="shared" ref="K905:K968" si="43">IF(J905="","",IF(J905&lt;4,"0-3 Days",IF(J905&lt;31,"4-30 Days",IF(J905&lt;61,"31-60 Days",IF(J905&lt;=90,"61-90 Days",IF(J905&gt;90,"Above 90 Days","0"))))))</f>
        <v>61-90 Days</v>
      </c>
      <c r="L905" s="58" t="str">
        <f t="shared" ref="L905:L968" si="44">IF(C905="","",IF(C905&gt;0,IF(J905&lt;30,"Normal",IF(J905&lt;60,"Especially Mentioned",IF(J905&lt;90,"Substandard",IF(J905&lt;=180,"Doubtful",IF(J905&gt;180,"Loss","0"))))),"Not Applicable"))</f>
        <v>Not Applicable</v>
      </c>
    </row>
    <row r="906" spans="1:12" ht="16.5" customHeight="1" x14ac:dyDescent="0.35">
      <c r="A906" t="s">
        <v>421</v>
      </c>
      <c r="B906" t="s">
        <v>421</v>
      </c>
      <c r="C906">
        <v>0</v>
      </c>
      <c r="D906">
        <v>1000</v>
      </c>
      <c r="E906" t="s">
        <v>4804</v>
      </c>
      <c r="F906" t="s">
        <v>4805</v>
      </c>
      <c r="G906" t="s">
        <v>4806</v>
      </c>
      <c r="H906" t="s">
        <v>3489</v>
      </c>
      <c r="I906" t="s">
        <v>3490</v>
      </c>
      <c r="J906" s="56">
        <f t="shared" si="42"/>
        <v>67</v>
      </c>
      <c r="K906" s="74" t="str">
        <f t="shared" si="43"/>
        <v>61-90 Days</v>
      </c>
      <c r="L906" s="58" t="str">
        <f t="shared" si="44"/>
        <v>Not Applicable</v>
      </c>
    </row>
    <row r="907" spans="1:12" ht="16.5" customHeight="1" x14ac:dyDescent="0.35">
      <c r="A907" t="s">
        <v>421</v>
      </c>
      <c r="B907" t="s">
        <v>421</v>
      </c>
      <c r="C907">
        <v>1000</v>
      </c>
      <c r="D907">
        <v>0</v>
      </c>
      <c r="E907" t="s">
        <v>4807</v>
      </c>
      <c r="F907" t="s">
        <v>4807</v>
      </c>
      <c r="G907" t="s">
        <v>4808</v>
      </c>
      <c r="H907" t="s">
        <v>4196</v>
      </c>
      <c r="I907" t="s">
        <v>3507</v>
      </c>
      <c r="J907" s="56">
        <f t="shared" si="42"/>
        <v>67</v>
      </c>
      <c r="K907" s="74" t="str">
        <f t="shared" si="43"/>
        <v>61-90 Days</v>
      </c>
      <c r="L907" s="58" t="str">
        <f t="shared" si="44"/>
        <v>Substandard</v>
      </c>
    </row>
    <row r="908" spans="1:12" ht="16.5" customHeight="1" x14ac:dyDescent="0.35">
      <c r="A908" t="s">
        <v>421</v>
      </c>
      <c r="B908" t="s">
        <v>421</v>
      </c>
      <c r="C908">
        <v>14902.47</v>
      </c>
      <c r="D908">
        <v>0</v>
      </c>
      <c r="E908" t="s">
        <v>4809</v>
      </c>
      <c r="F908" t="s">
        <v>4809</v>
      </c>
      <c r="G908" t="s">
        <v>57</v>
      </c>
      <c r="H908" t="s">
        <v>3642</v>
      </c>
      <c r="I908" t="s">
        <v>3643</v>
      </c>
      <c r="J908" s="56">
        <f t="shared" si="42"/>
        <v>67</v>
      </c>
      <c r="K908" s="74" t="str">
        <f t="shared" si="43"/>
        <v>61-90 Days</v>
      </c>
      <c r="L908" s="58" t="str">
        <f t="shared" si="44"/>
        <v>Substandard</v>
      </c>
    </row>
    <row r="909" spans="1:12" ht="16.5" customHeight="1" x14ac:dyDescent="0.35">
      <c r="A909" t="s">
        <v>421</v>
      </c>
      <c r="B909" t="s">
        <v>421</v>
      </c>
      <c r="C909">
        <v>360</v>
      </c>
      <c r="D909">
        <v>0</v>
      </c>
      <c r="E909" t="s">
        <v>4810</v>
      </c>
      <c r="F909" t="s">
        <v>4811</v>
      </c>
      <c r="G909" t="s">
        <v>4812</v>
      </c>
      <c r="H909" t="s">
        <v>3805</v>
      </c>
      <c r="I909" t="s">
        <v>3490</v>
      </c>
      <c r="J909" s="56">
        <f t="shared" si="42"/>
        <v>67</v>
      </c>
      <c r="K909" s="74" t="str">
        <f t="shared" si="43"/>
        <v>61-90 Days</v>
      </c>
      <c r="L909" s="58" t="str">
        <f t="shared" si="44"/>
        <v>Substandard</v>
      </c>
    </row>
    <row r="910" spans="1:12" ht="16.5" customHeight="1" x14ac:dyDescent="0.35">
      <c r="A910" t="s">
        <v>421</v>
      </c>
      <c r="B910" t="s">
        <v>421</v>
      </c>
      <c r="C910">
        <v>0</v>
      </c>
      <c r="D910">
        <v>2650</v>
      </c>
      <c r="E910" t="s">
        <v>4813</v>
      </c>
      <c r="F910" t="s">
        <v>4814</v>
      </c>
      <c r="G910" t="s">
        <v>4815</v>
      </c>
      <c r="H910" t="s">
        <v>3532</v>
      </c>
      <c r="I910" t="s">
        <v>3490</v>
      </c>
      <c r="J910" s="56">
        <f t="shared" si="42"/>
        <v>67</v>
      </c>
      <c r="K910" s="74" t="str">
        <f t="shared" si="43"/>
        <v>61-90 Days</v>
      </c>
      <c r="L910" s="58" t="str">
        <f t="shared" si="44"/>
        <v>Not Applicable</v>
      </c>
    </row>
    <row r="911" spans="1:12" ht="16.5" customHeight="1" x14ac:dyDescent="0.35">
      <c r="A911" t="s">
        <v>421</v>
      </c>
      <c r="B911" t="s">
        <v>421</v>
      </c>
      <c r="C911">
        <v>0</v>
      </c>
      <c r="D911">
        <v>2100</v>
      </c>
      <c r="E911" t="s">
        <v>4816</v>
      </c>
      <c r="F911" t="s">
        <v>4816</v>
      </c>
      <c r="G911" t="s">
        <v>4817</v>
      </c>
      <c r="H911" t="s">
        <v>3489</v>
      </c>
      <c r="I911" t="s">
        <v>3490</v>
      </c>
      <c r="J911" s="56">
        <f t="shared" si="42"/>
        <v>67</v>
      </c>
      <c r="K911" s="74" t="str">
        <f t="shared" si="43"/>
        <v>61-90 Days</v>
      </c>
      <c r="L911" s="58" t="str">
        <f t="shared" si="44"/>
        <v>Not Applicable</v>
      </c>
    </row>
    <row r="912" spans="1:12" ht="16.5" customHeight="1" x14ac:dyDescent="0.35">
      <c r="A912" t="s">
        <v>428</v>
      </c>
      <c r="B912" t="s">
        <v>428</v>
      </c>
      <c r="C912">
        <v>0</v>
      </c>
      <c r="D912">
        <v>1000</v>
      </c>
      <c r="E912" t="s">
        <v>4818</v>
      </c>
      <c r="F912" t="s">
        <v>4819</v>
      </c>
      <c r="G912" t="s">
        <v>4820</v>
      </c>
      <c r="H912" t="s">
        <v>3532</v>
      </c>
      <c r="I912" t="s">
        <v>3490</v>
      </c>
      <c r="J912" s="56">
        <f t="shared" si="42"/>
        <v>66</v>
      </c>
      <c r="K912" s="74" t="str">
        <f t="shared" si="43"/>
        <v>61-90 Days</v>
      </c>
      <c r="L912" s="58" t="str">
        <f t="shared" si="44"/>
        <v>Not Applicable</v>
      </c>
    </row>
    <row r="913" spans="1:12" ht="16.5" customHeight="1" x14ac:dyDescent="0.35">
      <c r="A913" t="s">
        <v>428</v>
      </c>
      <c r="B913" t="s">
        <v>428</v>
      </c>
      <c r="C913">
        <v>0</v>
      </c>
      <c r="D913">
        <v>1000</v>
      </c>
      <c r="E913" t="s">
        <v>4821</v>
      </c>
      <c r="F913" t="s">
        <v>4821</v>
      </c>
      <c r="G913" t="s">
        <v>4822</v>
      </c>
      <c r="H913" t="s">
        <v>3489</v>
      </c>
      <c r="I913" t="s">
        <v>3490</v>
      </c>
      <c r="J913" s="56">
        <f t="shared" si="42"/>
        <v>66</v>
      </c>
      <c r="K913" s="74" t="str">
        <f t="shared" si="43"/>
        <v>61-90 Days</v>
      </c>
      <c r="L913" s="58" t="str">
        <f t="shared" si="44"/>
        <v>Not Applicable</v>
      </c>
    </row>
    <row r="914" spans="1:12" ht="16.5" customHeight="1" x14ac:dyDescent="0.35">
      <c r="A914" t="s">
        <v>428</v>
      </c>
      <c r="B914" t="s">
        <v>428</v>
      </c>
      <c r="C914">
        <v>0</v>
      </c>
      <c r="D914">
        <v>2700</v>
      </c>
      <c r="E914" t="s">
        <v>4823</v>
      </c>
      <c r="F914" t="s">
        <v>4823</v>
      </c>
      <c r="G914" t="s">
        <v>4824</v>
      </c>
      <c r="H914" t="s">
        <v>3489</v>
      </c>
      <c r="I914" t="s">
        <v>3490</v>
      </c>
      <c r="J914" s="56">
        <f t="shared" si="42"/>
        <v>66</v>
      </c>
      <c r="K914" s="74" t="str">
        <f t="shared" si="43"/>
        <v>61-90 Days</v>
      </c>
      <c r="L914" s="58" t="str">
        <f t="shared" si="44"/>
        <v>Not Applicable</v>
      </c>
    </row>
    <row r="915" spans="1:12" ht="16.5" customHeight="1" x14ac:dyDescent="0.35">
      <c r="A915" t="s">
        <v>428</v>
      </c>
      <c r="B915" t="s">
        <v>428</v>
      </c>
      <c r="C915">
        <v>0</v>
      </c>
      <c r="D915">
        <v>250</v>
      </c>
      <c r="E915" t="s">
        <v>4825</v>
      </c>
      <c r="F915" t="s">
        <v>4825</v>
      </c>
      <c r="G915" t="s">
        <v>4826</v>
      </c>
      <c r="H915" t="s">
        <v>3489</v>
      </c>
      <c r="I915" t="s">
        <v>3490</v>
      </c>
      <c r="J915" s="56">
        <f t="shared" si="42"/>
        <v>66</v>
      </c>
      <c r="K915" s="74" t="str">
        <f t="shared" si="43"/>
        <v>61-90 Days</v>
      </c>
      <c r="L915" s="58" t="str">
        <f t="shared" si="44"/>
        <v>Not Applicable</v>
      </c>
    </row>
    <row r="916" spans="1:12" ht="16.5" customHeight="1" x14ac:dyDescent="0.35">
      <c r="A916" t="s">
        <v>428</v>
      </c>
      <c r="B916" t="s">
        <v>428</v>
      </c>
      <c r="C916">
        <v>0</v>
      </c>
      <c r="D916">
        <v>62115.199999999997</v>
      </c>
      <c r="E916" t="s">
        <v>4827</v>
      </c>
      <c r="F916" t="s">
        <v>4827</v>
      </c>
      <c r="G916" t="s">
        <v>4828</v>
      </c>
      <c r="H916" t="s">
        <v>3489</v>
      </c>
      <c r="I916" t="s">
        <v>3490</v>
      </c>
      <c r="J916" s="56">
        <f t="shared" si="42"/>
        <v>66</v>
      </c>
      <c r="K916" s="74" t="str">
        <f t="shared" si="43"/>
        <v>61-90 Days</v>
      </c>
      <c r="L916" s="58" t="str">
        <f t="shared" si="44"/>
        <v>Not Applicable</v>
      </c>
    </row>
    <row r="917" spans="1:12" ht="16.5" customHeight="1" x14ac:dyDescent="0.35">
      <c r="A917" t="s">
        <v>428</v>
      </c>
      <c r="B917" t="s">
        <v>428</v>
      </c>
      <c r="C917">
        <v>0</v>
      </c>
      <c r="D917">
        <v>150</v>
      </c>
      <c r="E917" t="s">
        <v>4829</v>
      </c>
      <c r="F917" t="s">
        <v>4830</v>
      </c>
      <c r="G917" t="s">
        <v>4831</v>
      </c>
      <c r="H917" t="s">
        <v>3532</v>
      </c>
      <c r="I917" t="s">
        <v>3490</v>
      </c>
      <c r="J917" s="56">
        <f t="shared" si="42"/>
        <v>66</v>
      </c>
      <c r="K917" s="74" t="str">
        <f t="shared" si="43"/>
        <v>61-90 Days</v>
      </c>
      <c r="L917" s="58" t="str">
        <f t="shared" si="44"/>
        <v>Not Applicable</v>
      </c>
    </row>
    <row r="918" spans="1:12" ht="16.5" customHeight="1" x14ac:dyDescent="0.35">
      <c r="A918" t="s">
        <v>428</v>
      </c>
      <c r="B918" t="s">
        <v>428</v>
      </c>
      <c r="C918">
        <v>0</v>
      </c>
      <c r="D918">
        <v>212.4</v>
      </c>
      <c r="E918" t="s">
        <v>4832</v>
      </c>
      <c r="F918" t="s">
        <v>4833</v>
      </c>
      <c r="G918" t="s">
        <v>4834</v>
      </c>
      <c r="H918" t="s">
        <v>3532</v>
      </c>
      <c r="I918" t="s">
        <v>3490</v>
      </c>
      <c r="J918" s="56">
        <f t="shared" si="42"/>
        <v>66</v>
      </c>
      <c r="K918" s="74" t="str">
        <f t="shared" si="43"/>
        <v>61-90 Days</v>
      </c>
      <c r="L918" s="58" t="str">
        <f t="shared" si="44"/>
        <v>Not Applicable</v>
      </c>
    </row>
    <row r="919" spans="1:12" ht="16.5" customHeight="1" x14ac:dyDescent="0.35">
      <c r="A919" t="s">
        <v>428</v>
      </c>
      <c r="B919" t="s">
        <v>428</v>
      </c>
      <c r="C919">
        <v>0</v>
      </c>
      <c r="D919">
        <v>1150</v>
      </c>
      <c r="E919" t="s">
        <v>4835</v>
      </c>
      <c r="F919" t="s">
        <v>4835</v>
      </c>
      <c r="G919" t="s">
        <v>4836</v>
      </c>
      <c r="H919" t="s">
        <v>3489</v>
      </c>
      <c r="I919" t="s">
        <v>3490</v>
      </c>
      <c r="J919" s="56">
        <f t="shared" si="42"/>
        <v>66</v>
      </c>
      <c r="K919" s="74" t="str">
        <f t="shared" si="43"/>
        <v>61-90 Days</v>
      </c>
      <c r="L919" s="58" t="str">
        <f t="shared" si="44"/>
        <v>Not Applicable</v>
      </c>
    </row>
    <row r="920" spans="1:12" ht="16.5" customHeight="1" x14ac:dyDescent="0.35">
      <c r="A920" t="s">
        <v>428</v>
      </c>
      <c r="B920" t="s">
        <v>428</v>
      </c>
      <c r="C920">
        <v>0</v>
      </c>
      <c r="D920">
        <v>1000</v>
      </c>
      <c r="E920" t="s">
        <v>4837</v>
      </c>
      <c r="F920" t="s">
        <v>4837</v>
      </c>
      <c r="G920" t="s">
        <v>4838</v>
      </c>
      <c r="H920" t="s">
        <v>3489</v>
      </c>
      <c r="I920" t="s">
        <v>3490</v>
      </c>
      <c r="J920" s="56">
        <f t="shared" si="42"/>
        <v>66</v>
      </c>
      <c r="K920" s="74" t="str">
        <f t="shared" si="43"/>
        <v>61-90 Days</v>
      </c>
      <c r="L920" s="58" t="str">
        <f t="shared" si="44"/>
        <v>Not Applicable</v>
      </c>
    </row>
    <row r="921" spans="1:12" ht="16.5" customHeight="1" x14ac:dyDescent="0.35">
      <c r="A921" t="s">
        <v>428</v>
      </c>
      <c r="B921" t="s">
        <v>428</v>
      </c>
      <c r="C921">
        <v>0</v>
      </c>
      <c r="D921">
        <v>106.2</v>
      </c>
      <c r="E921" t="s">
        <v>4839</v>
      </c>
      <c r="F921" t="s">
        <v>4840</v>
      </c>
      <c r="G921" t="s">
        <v>4841</v>
      </c>
      <c r="H921" t="s">
        <v>3532</v>
      </c>
      <c r="I921" t="s">
        <v>3490</v>
      </c>
      <c r="J921" s="56">
        <f t="shared" si="42"/>
        <v>66</v>
      </c>
      <c r="K921" s="74" t="str">
        <f t="shared" si="43"/>
        <v>61-90 Days</v>
      </c>
      <c r="L921" s="58" t="str">
        <f t="shared" si="44"/>
        <v>Not Applicable</v>
      </c>
    </row>
    <row r="922" spans="1:12" ht="16.5" customHeight="1" x14ac:dyDescent="0.35">
      <c r="A922" t="s">
        <v>428</v>
      </c>
      <c r="B922" t="s">
        <v>428</v>
      </c>
      <c r="C922">
        <v>0</v>
      </c>
      <c r="D922">
        <v>708</v>
      </c>
      <c r="E922" t="s">
        <v>4842</v>
      </c>
      <c r="F922" t="s">
        <v>4842</v>
      </c>
      <c r="G922" t="s">
        <v>4843</v>
      </c>
      <c r="H922" t="s">
        <v>3489</v>
      </c>
      <c r="I922" t="s">
        <v>3490</v>
      </c>
      <c r="J922" s="56">
        <f t="shared" si="42"/>
        <v>66</v>
      </c>
      <c r="K922" s="74" t="str">
        <f t="shared" si="43"/>
        <v>61-90 Days</v>
      </c>
      <c r="L922" s="58" t="str">
        <f t="shared" si="44"/>
        <v>Not Applicable</v>
      </c>
    </row>
    <row r="923" spans="1:12" ht="16.5" customHeight="1" x14ac:dyDescent="0.35">
      <c r="A923" t="s">
        <v>428</v>
      </c>
      <c r="B923" t="s">
        <v>428</v>
      </c>
      <c r="C923">
        <v>0</v>
      </c>
      <c r="D923">
        <v>2050</v>
      </c>
      <c r="E923" t="s">
        <v>4844</v>
      </c>
      <c r="F923" t="s">
        <v>4845</v>
      </c>
      <c r="G923" t="s">
        <v>4846</v>
      </c>
      <c r="H923" t="s">
        <v>3532</v>
      </c>
      <c r="I923" t="s">
        <v>3490</v>
      </c>
      <c r="J923" s="56">
        <f t="shared" si="42"/>
        <v>66</v>
      </c>
      <c r="K923" s="74" t="str">
        <f t="shared" si="43"/>
        <v>61-90 Days</v>
      </c>
      <c r="L923" s="58" t="str">
        <f t="shared" si="44"/>
        <v>Not Applicable</v>
      </c>
    </row>
    <row r="924" spans="1:12" ht="16.5" customHeight="1" x14ac:dyDescent="0.35">
      <c r="A924" t="s">
        <v>428</v>
      </c>
      <c r="B924" t="s">
        <v>428</v>
      </c>
      <c r="C924">
        <v>0</v>
      </c>
      <c r="D924">
        <v>250</v>
      </c>
      <c r="E924" t="s">
        <v>4847</v>
      </c>
      <c r="F924" t="s">
        <v>4847</v>
      </c>
      <c r="G924" t="s">
        <v>4848</v>
      </c>
      <c r="H924" t="s">
        <v>3489</v>
      </c>
      <c r="I924" t="s">
        <v>3490</v>
      </c>
      <c r="J924" s="56">
        <f t="shared" si="42"/>
        <v>66</v>
      </c>
      <c r="K924" s="74" t="str">
        <f t="shared" si="43"/>
        <v>61-90 Days</v>
      </c>
      <c r="L924" s="58" t="str">
        <f t="shared" si="44"/>
        <v>Not Applicable</v>
      </c>
    </row>
    <row r="925" spans="1:12" ht="16.5" customHeight="1" x14ac:dyDescent="0.35">
      <c r="A925" t="s">
        <v>428</v>
      </c>
      <c r="B925" t="s">
        <v>428</v>
      </c>
      <c r="C925">
        <v>0</v>
      </c>
      <c r="D925">
        <v>3100</v>
      </c>
      <c r="E925" t="s">
        <v>4849</v>
      </c>
      <c r="F925" t="s">
        <v>4849</v>
      </c>
      <c r="G925" t="s">
        <v>4850</v>
      </c>
      <c r="H925" t="s">
        <v>3489</v>
      </c>
      <c r="I925" t="s">
        <v>3490</v>
      </c>
      <c r="J925" s="56">
        <f t="shared" si="42"/>
        <v>66</v>
      </c>
      <c r="K925" s="74" t="str">
        <f t="shared" si="43"/>
        <v>61-90 Days</v>
      </c>
      <c r="L925" s="58" t="str">
        <f t="shared" si="44"/>
        <v>Not Applicable</v>
      </c>
    </row>
    <row r="926" spans="1:12" ht="16.5" customHeight="1" x14ac:dyDescent="0.35">
      <c r="A926" t="s">
        <v>428</v>
      </c>
      <c r="B926" t="s">
        <v>428</v>
      </c>
      <c r="C926">
        <v>0</v>
      </c>
      <c r="D926">
        <v>247.8</v>
      </c>
      <c r="E926" t="s">
        <v>4851</v>
      </c>
      <c r="F926" t="s">
        <v>4852</v>
      </c>
      <c r="G926" t="s">
        <v>4853</v>
      </c>
      <c r="H926" t="s">
        <v>3532</v>
      </c>
      <c r="I926" t="s">
        <v>3490</v>
      </c>
      <c r="J926" s="56">
        <f t="shared" si="42"/>
        <v>66</v>
      </c>
      <c r="K926" s="74" t="str">
        <f t="shared" si="43"/>
        <v>61-90 Days</v>
      </c>
      <c r="L926" s="58" t="str">
        <f t="shared" si="44"/>
        <v>Not Applicable</v>
      </c>
    </row>
    <row r="927" spans="1:12" ht="16.5" customHeight="1" x14ac:dyDescent="0.35">
      <c r="A927" t="s">
        <v>428</v>
      </c>
      <c r="B927" t="s">
        <v>428</v>
      </c>
      <c r="C927">
        <v>0</v>
      </c>
      <c r="D927">
        <v>2100</v>
      </c>
      <c r="E927" t="s">
        <v>4854</v>
      </c>
      <c r="F927" t="s">
        <v>4854</v>
      </c>
      <c r="G927" t="s">
        <v>4855</v>
      </c>
      <c r="H927" t="s">
        <v>3489</v>
      </c>
      <c r="I927" t="s">
        <v>3490</v>
      </c>
      <c r="J927" s="56">
        <f t="shared" si="42"/>
        <v>66</v>
      </c>
      <c r="K927" s="74" t="str">
        <f t="shared" si="43"/>
        <v>61-90 Days</v>
      </c>
      <c r="L927" s="58" t="str">
        <f t="shared" si="44"/>
        <v>Not Applicable</v>
      </c>
    </row>
    <row r="928" spans="1:12" ht="16.5" customHeight="1" x14ac:dyDescent="0.35">
      <c r="A928" t="s">
        <v>428</v>
      </c>
      <c r="B928" t="s">
        <v>428</v>
      </c>
      <c r="C928">
        <v>0</v>
      </c>
      <c r="D928">
        <v>34966.6</v>
      </c>
      <c r="E928" t="s">
        <v>4856</v>
      </c>
      <c r="F928" t="s">
        <v>4856</v>
      </c>
      <c r="G928" t="s">
        <v>4857</v>
      </c>
      <c r="H928" t="s">
        <v>3489</v>
      </c>
      <c r="I928" t="s">
        <v>3490</v>
      </c>
      <c r="J928" s="56">
        <f t="shared" si="42"/>
        <v>66</v>
      </c>
      <c r="K928" s="74" t="str">
        <f t="shared" si="43"/>
        <v>61-90 Days</v>
      </c>
      <c r="L928" s="58" t="str">
        <f t="shared" si="44"/>
        <v>Not Applicable</v>
      </c>
    </row>
    <row r="929" spans="1:12" ht="16.5" customHeight="1" x14ac:dyDescent="0.35">
      <c r="A929" t="s">
        <v>428</v>
      </c>
      <c r="B929" t="s">
        <v>428</v>
      </c>
      <c r="C929">
        <v>0</v>
      </c>
      <c r="D929">
        <v>1000</v>
      </c>
      <c r="E929" t="s">
        <v>4858</v>
      </c>
      <c r="F929" t="s">
        <v>4858</v>
      </c>
      <c r="G929" t="s">
        <v>4859</v>
      </c>
      <c r="H929" t="s">
        <v>3489</v>
      </c>
      <c r="I929" t="s">
        <v>3490</v>
      </c>
      <c r="J929" s="56">
        <f t="shared" si="42"/>
        <v>66</v>
      </c>
      <c r="K929" s="74" t="str">
        <f t="shared" si="43"/>
        <v>61-90 Days</v>
      </c>
      <c r="L929" s="58" t="str">
        <f t="shared" si="44"/>
        <v>Not Applicable</v>
      </c>
    </row>
    <row r="930" spans="1:12" ht="16.5" customHeight="1" x14ac:dyDescent="0.35">
      <c r="A930" t="s">
        <v>428</v>
      </c>
      <c r="B930" t="s">
        <v>428</v>
      </c>
      <c r="C930">
        <v>0</v>
      </c>
      <c r="D930">
        <v>1000</v>
      </c>
      <c r="E930" t="s">
        <v>4860</v>
      </c>
      <c r="F930" t="s">
        <v>4861</v>
      </c>
      <c r="G930" t="s">
        <v>4862</v>
      </c>
      <c r="H930" t="s">
        <v>3489</v>
      </c>
      <c r="I930" t="s">
        <v>3490</v>
      </c>
      <c r="J930" s="56">
        <f t="shared" si="42"/>
        <v>66</v>
      </c>
      <c r="K930" s="74" t="str">
        <f t="shared" si="43"/>
        <v>61-90 Days</v>
      </c>
      <c r="L930" s="58" t="str">
        <f t="shared" si="44"/>
        <v>Not Applicable</v>
      </c>
    </row>
    <row r="931" spans="1:12" ht="16.5" customHeight="1" x14ac:dyDescent="0.35">
      <c r="A931" t="s">
        <v>428</v>
      </c>
      <c r="B931" t="s">
        <v>428</v>
      </c>
      <c r="C931">
        <v>0</v>
      </c>
      <c r="D931">
        <v>1000</v>
      </c>
      <c r="E931" t="s">
        <v>4863</v>
      </c>
      <c r="F931" t="s">
        <v>4864</v>
      </c>
      <c r="G931" t="s">
        <v>4865</v>
      </c>
      <c r="H931" t="s">
        <v>3489</v>
      </c>
      <c r="I931" t="s">
        <v>3490</v>
      </c>
      <c r="J931" s="56">
        <f t="shared" si="42"/>
        <v>66</v>
      </c>
      <c r="K931" s="74" t="str">
        <f t="shared" si="43"/>
        <v>61-90 Days</v>
      </c>
      <c r="L931" s="58" t="str">
        <f t="shared" si="44"/>
        <v>Not Applicable</v>
      </c>
    </row>
    <row r="932" spans="1:12" ht="16.5" customHeight="1" x14ac:dyDescent="0.35">
      <c r="A932" t="s">
        <v>428</v>
      </c>
      <c r="B932" t="s">
        <v>428</v>
      </c>
      <c r="C932">
        <v>0</v>
      </c>
      <c r="D932">
        <v>50</v>
      </c>
      <c r="E932" t="s">
        <v>4866</v>
      </c>
      <c r="F932" t="s">
        <v>4867</v>
      </c>
      <c r="G932" t="s">
        <v>4868</v>
      </c>
      <c r="H932" t="s">
        <v>3532</v>
      </c>
      <c r="I932" t="s">
        <v>3490</v>
      </c>
      <c r="J932" s="56">
        <f t="shared" si="42"/>
        <v>66</v>
      </c>
      <c r="K932" s="74" t="str">
        <f t="shared" si="43"/>
        <v>61-90 Days</v>
      </c>
      <c r="L932" s="58" t="str">
        <f t="shared" si="44"/>
        <v>Not Applicable</v>
      </c>
    </row>
    <row r="933" spans="1:12" ht="16.5" customHeight="1" x14ac:dyDescent="0.35">
      <c r="A933" t="s">
        <v>428</v>
      </c>
      <c r="B933" t="s">
        <v>428</v>
      </c>
      <c r="C933">
        <v>0</v>
      </c>
      <c r="D933">
        <v>100</v>
      </c>
      <c r="E933" t="s">
        <v>4869</v>
      </c>
      <c r="F933" t="s">
        <v>4869</v>
      </c>
      <c r="G933" t="s">
        <v>4870</v>
      </c>
      <c r="H933" t="s">
        <v>3489</v>
      </c>
      <c r="I933" t="s">
        <v>3490</v>
      </c>
      <c r="J933" s="56">
        <f t="shared" si="42"/>
        <v>66</v>
      </c>
      <c r="K933" s="74" t="str">
        <f t="shared" si="43"/>
        <v>61-90 Days</v>
      </c>
      <c r="L933" s="58" t="str">
        <f t="shared" si="44"/>
        <v>Not Applicable</v>
      </c>
    </row>
    <row r="934" spans="1:12" ht="16.5" customHeight="1" x14ac:dyDescent="0.35">
      <c r="A934" t="s">
        <v>428</v>
      </c>
      <c r="B934" t="s">
        <v>428</v>
      </c>
      <c r="C934">
        <v>0</v>
      </c>
      <c r="D934">
        <v>2650</v>
      </c>
      <c r="E934" t="s">
        <v>4871</v>
      </c>
      <c r="F934" t="s">
        <v>4872</v>
      </c>
      <c r="G934" t="s">
        <v>4873</v>
      </c>
      <c r="H934" t="s">
        <v>3532</v>
      </c>
      <c r="I934" t="s">
        <v>3490</v>
      </c>
      <c r="J934" s="56">
        <f t="shared" si="42"/>
        <v>66</v>
      </c>
      <c r="K934" s="74" t="str">
        <f t="shared" si="43"/>
        <v>61-90 Days</v>
      </c>
      <c r="L934" s="58" t="str">
        <f t="shared" si="44"/>
        <v>Not Applicable</v>
      </c>
    </row>
    <row r="935" spans="1:12" ht="16.5" customHeight="1" x14ac:dyDescent="0.35">
      <c r="A935" t="s">
        <v>428</v>
      </c>
      <c r="B935" t="s">
        <v>428</v>
      </c>
      <c r="C935">
        <v>0</v>
      </c>
      <c r="D935">
        <v>1000</v>
      </c>
      <c r="E935" t="s">
        <v>4874</v>
      </c>
      <c r="F935" t="s">
        <v>4874</v>
      </c>
      <c r="G935" t="s">
        <v>4875</v>
      </c>
      <c r="H935" t="s">
        <v>3489</v>
      </c>
      <c r="I935" t="s">
        <v>3490</v>
      </c>
      <c r="J935" s="56">
        <f t="shared" si="42"/>
        <v>66</v>
      </c>
      <c r="K935" s="74" t="str">
        <f t="shared" si="43"/>
        <v>61-90 Days</v>
      </c>
      <c r="L935" s="58" t="str">
        <f t="shared" si="44"/>
        <v>Not Applicable</v>
      </c>
    </row>
    <row r="936" spans="1:12" ht="16.5" customHeight="1" x14ac:dyDescent="0.35">
      <c r="A936" t="s">
        <v>428</v>
      </c>
      <c r="B936" t="s">
        <v>428</v>
      </c>
      <c r="C936">
        <v>0</v>
      </c>
      <c r="D936">
        <v>100</v>
      </c>
      <c r="E936" t="s">
        <v>4876</v>
      </c>
      <c r="F936" t="s">
        <v>4876</v>
      </c>
      <c r="G936" t="s">
        <v>4877</v>
      </c>
      <c r="H936" t="s">
        <v>3489</v>
      </c>
      <c r="I936" t="s">
        <v>3490</v>
      </c>
      <c r="J936" s="56">
        <f t="shared" si="42"/>
        <v>66</v>
      </c>
      <c r="K936" s="74" t="str">
        <f t="shared" si="43"/>
        <v>61-90 Days</v>
      </c>
      <c r="L936" s="58" t="str">
        <f t="shared" si="44"/>
        <v>Not Applicable</v>
      </c>
    </row>
    <row r="937" spans="1:12" ht="16.5" customHeight="1" x14ac:dyDescent="0.35">
      <c r="A937" t="s">
        <v>428</v>
      </c>
      <c r="B937" t="s">
        <v>428</v>
      </c>
      <c r="C937">
        <v>0</v>
      </c>
      <c r="D937">
        <v>50</v>
      </c>
      <c r="E937" t="s">
        <v>4878</v>
      </c>
      <c r="F937" t="s">
        <v>4878</v>
      </c>
      <c r="G937" t="s">
        <v>4879</v>
      </c>
      <c r="H937" t="s">
        <v>3489</v>
      </c>
      <c r="I937" t="s">
        <v>3490</v>
      </c>
      <c r="J937" s="56">
        <f t="shared" si="42"/>
        <v>66</v>
      </c>
      <c r="K937" s="74" t="str">
        <f t="shared" si="43"/>
        <v>61-90 Days</v>
      </c>
      <c r="L937" s="58" t="str">
        <f t="shared" si="44"/>
        <v>Not Applicable</v>
      </c>
    </row>
    <row r="938" spans="1:12" ht="16.5" customHeight="1" x14ac:dyDescent="0.35">
      <c r="A938" t="s">
        <v>428</v>
      </c>
      <c r="B938" t="s">
        <v>428</v>
      </c>
      <c r="C938">
        <v>0</v>
      </c>
      <c r="D938">
        <v>708</v>
      </c>
      <c r="E938" t="s">
        <v>4880</v>
      </c>
      <c r="F938" t="s">
        <v>4880</v>
      </c>
      <c r="G938" t="s">
        <v>4881</v>
      </c>
      <c r="H938" t="s">
        <v>3489</v>
      </c>
      <c r="I938" t="s">
        <v>3490</v>
      </c>
      <c r="J938" s="56">
        <f t="shared" si="42"/>
        <v>66</v>
      </c>
      <c r="K938" s="74" t="str">
        <f t="shared" si="43"/>
        <v>61-90 Days</v>
      </c>
      <c r="L938" s="58" t="str">
        <f t="shared" si="44"/>
        <v>Not Applicable</v>
      </c>
    </row>
    <row r="939" spans="1:12" ht="16.5" customHeight="1" x14ac:dyDescent="0.35">
      <c r="A939" t="s">
        <v>428</v>
      </c>
      <c r="B939" t="s">
        <v>428</v>
      </c>
      <c r="C939">
        <v>0</v>
      </c>
      <c r="D939">
        <v>1000</v>
      </c>
      <c r="E939" t="s">
        <v>4882</v>
      </c>
      <c r="F939" t="s">
        <v>4883</v>
      </c>
      <c r="G939" t="s">
        <v>4884</v>
      </c>
      <c r="H939" t="s">
        <v>3532</v>
      </c>
      <c r="I939" t="s">
        <v>3490</v>
      </c>
      <c r="J939" s="56">
        <f t="shared" si="42"/>
        <v>66</v>
      </c>
      <c r="K939" s="74" t="str">
        <f t="shared" si="43"/>
        <v>61-90 Days</v>
      </c>
      <c r="L939" s="58" t="str">
        <f t="shared" si="44"/>
        <v>Not Applicable</v>
      </c>
    </row>
    <row r="940" spans="1:12" ht="16.5" customHeight="1" x14ac:dyDescent="0.35">
      <c r="A940" t="s">
        <v>428</v>
      </c>
      <c r="B940" t="s">
        <v>428</v>
      </c>
      <c r="C940">
        <v>0</v>
      </c>
      <c r="D940">
        <v>1000</v>
      </c>
      <c r="E940" t="s">
        <v>4885</v>
      </c>
      <c r="F940" t="s">
        <v>4886</v>
      </c>
      <c r="G940" t="s">
        <v>4887</v>
      </c>
      <c r="H940" t="s">
        <v>3489</v>
      </c>
      <c r="I940" t="s">
        <v>3490</v>
      </c>
      <c r="J940" s="56">
        <f t="shared" si="42"/>
        <v>66</v>
      </c>
      <c r="K940" s="74" t="str">
        <f t="shared" si="43"/>
        <v>61-90 Days</v>
      </c>
      <c r="L940" s="58" t="str">
        <f t="shared" si="44"/>
        <v>Not Applicable</v>
      </c>
    </row>
    <row r="941" spans="1:12" ht="16.5" customHeight="1" x14ac:dyDescent="0.35">
      <c r="A941" t="s">
        <v>428</v>
      </c>
      <c r="B941" t="s">
        <v>428</v>
      </c>
      <c r="C941">
        <v>0</v>
      </c>
      <c r="D941">
        <v>1000</v>
      </c>
      <c r="E941" t="s">
        <v>4888</v>
      </c>
      <c r="F941" t="s">
        <v>4889</v>
      </c>
      <c r="G941" t="s">
        <v>4890</v>
      </c>
      <c r="H941" t="s">
        <v>3489</v>
      </c>
      <c r="I941" t="s">
        <v>3490</v>
      </c>
      <c r="J941" s="56">
        <f t="shared" si="42"/>
        <v>66</v>
      </c>
      <c r="K941" s="74" t="str">
        <f t="shared" si="43"/>
        <v>61-90 Days</v>
      </c>
      <c r="L941" s="58" t="str">
        <f t="shared" si="44"/>
        <v>Not Applicable</v>
      </c>
    </row>
    <row r="942" spans="1:12" ht="16.5" customHeight="1" x14ac:dyDescent="0.35">
      <c r="A942" t="s">
        <v>428</v>
      </c>
      <c r="B942" t="s">
        <v>428</v>
      </c>
      <c r="C942">
        <v>0</v>
      </c>
      <c r="D942">
        <v>2000</v>
      </c>
      <c r="E942" t="s">
        <v>4891</v>
      </c>
      <c r="F942" t="s">
        <v>4891</v>
      </c>
      <c r="G942" t="s">
        <v>4892</v>
      </c>
      <c r="H942" t="s">
        <v>3489</v>
      </c>
      <c r="I942" t="s">
        <v>3490</v>
      </c>
      <c r="J942" s="56">
        <f t="shared" si="42"/>
        <v>66</v>
      </c>
      <c r="K942" s="74" t="str">
        <f t="shared" si="43"/>
        <v>61-90 Days</v>
      </c>
      <c r="L942" s="58" t="str">
        <f t="shared" si="44"/>
        <v>Not Applicable</v>
      </c>
    </row>
    <row r="943" spans="1:12" ht="16.5" customHeight="1" x14ac:dyDescent="0.35">
      <c r="A943" t="s">
        <v>428</v>
      </c>
      <c r="B943" t="s">
        <v>428</v>
      </c>
      <c r="C943">
        <v>0</v>
      </c>
      <c r="D943">
        <v>2650</v>
      </c>
      <c r="E943" t="s">
        <v>4893</v>
      </c>
      <c r="F943" t="s">
        <v>4893</v>
      </c>
      <c r="G943" t="s">
        <v>4894</v>
      </c>
      <c r="H943" t="s">
        <v>3489</v>
      </c>
      <c r="I943" t="s">
        <v>3490</v>
      </c>
      <c r="J943" s="56">
        <f t="shared" si="42"/>
        <v>66</v>
      </c>
      <c r="K943" s="74" t="str">
        <f t="shared" si="43"/>
        <v>61-90 Days</v>
      </c>
      <c r="L943" s="58" t="str">
        <f t="shared" si="44"/>
        <v>Not Applicable</v>
      </c>
    </row>
    <row r="944" spans="1:12" ht="16.5" customHeight="1" x14ac:dyDescent="0.35">
      <c r="A944" t="s">
        <v>428</v>
      </c>
      <c r="B944" t="s">
        <v>428</v>
      </c>
      <c r="C944">
        <v>0</v>
      </c>
      <c r="D944">
        <v>2650</v>
      </c>
      <c r="E944" t="s">
        <v>4895</v>
      </c>
      <c r="F944" t="s">
        <v>4896</v>
      </c>
      <c r="G944" t="s">
        <v>4897</v>
      </c>
      <c r="H944" t="s">
        <v>3532</v>
      </c>
      <c r="I944" t="s">
        <v>3490</v>
      </c>
      <c r="J944" s="56">
        <f t="shared" si="42"/>
        <v>66</v>
      </c>
      <c r="K944" s="74" t="str">
        <f t="shared" si="43"/>
        <v>61-90 Days</v>
      </c>
      <c r="L944" s="58" t="str">
        <f t="shared" si="44"/>
        <v>Not Applicable</v>
      </c>
    </row>
    <row r="945" spans="1:12" ht="16.5" customHeight="1" x14ac:dyDescent="0.35">
      <c r="A945" t="s">
        <v>428</v>
      </c>
      <c r="B945" t="s">
        <v>428</v>
      </c>
      <c r="C945">
        <v>0</v>
      </c>
      <c r="D945">
        <v>1000</v>
      </c>
      <c r="E945" t="s">
        <v>4898</v>
      </c>
      <c r="F945" t="s">
        <v>4899</v>
      </c>
      <c r="G945" t="s">
        <v>4900</v>
      </c>
      <c r="H945" t="s">
        <v>3489</v>
      </c>
      <c r="I945" t="s">
        <v>3490</v>
      </c>
      <c r="J945" s="56">
        <f t="shared" si="42"/>
        <v>66</v>
      </c>
      <c r="K945" s="74" t="str">
        <f t="shared" si="43"/>
        <v>61-90 Days</v>
      </c>
      <c r="L945" s="58" t="str">
        <f t="shared" si="44"/>
        <v>Not Applicable</v>
      </c>
    </row>
    <row r="946" spans="1:12" ht="16.5" customHeight="1" x14ac:dyDescent="0.35">
      <c r="A946" t="s">
        <v>428</v>
      </c>
      <c r="B946" t="s">
        <v>428</v>
      </c>
      <c r="C946">
        <v>0</v>
      </c>
      <c r="D946">
        <v>2650</v>
      </c>
      <c r="E946" t="s">
        <v>4901</v>
      </c>
      <c r="F946" t="s">
        <v>4901</v>
      </c>
      <c r="G946" t="s">
        <v>4902</v>
      </c>
      <c r="H946" t="s">
        <v>3489</v>
      </c>
      <c r="I946" t="s">
        <v>3490</v>
      </c>
      <c r="J946" s="56">
        <f t="shared" si="42"/>
        <v>66</v>
      </c>
      <c r="K946" s="74" t="str">
        <f t="shared" si="43"/>
        <v>61-90 Days</v>
      </c>
      <c r="L946" s="58" t="str">
        <f t="shared" si="44"/>
        <v>Not Applicable</v>
      </c>
    </row>
    <row r="947" spans="1:12" ht="16.5" customHeight="1" x14ac:dyDescent="0.35">
      <c r="A947" t="s">
        <v>428</v>
      </c>
      <c r="B947" t="s">
        <v>428</v>
      </c>
      <c r="C947">
        <v>0</v>
      </c>
      <c r="D947">
        <v>708</v>
      </c>
      <c r="E947" t="s">
        <v>4903</v>
      </c>
      <c r="F947" t="s">
        <v>4903</v>
      </c>
      <c r="G947" t="s">
        <v>4904</v>
      </c>
      <c r="H947" t="s">
        <v>3489</v>
      </c>
      <c r="I947" t="s">
        <v>3490</v>
      </c>
      <c r="J947" s="56">
        <f t="shared" si="42"/>
        <v>66</v>
      </c>
      <c r="K947" s="74" t="str">
        <f t="shared" si="43"/>
        <v>61-90 Days</v>
      </c>
      <c r="L947" s="58" t="str">
        <f t="shared" si="44"/>
        <v>Not Applicable</v>
      </c>
    </row>
    <row r="948" spans="1:12" ht="16.5" customHeight="1" x14ac:dyDescent="0.35">
      <c r="A948" t="s">
        <v>428</v>
      </c>
      <c r="B948" t="s">
        <v>428</v>
      </c>
      <c r="C948">
        <v>0</v>
      </c>
      <c r="D948">
        <v>250</v>
      </c>
      <c r="E948" t="s">
        <v>4905</v>
      </c>
      <c r="F948" t="s">
        <v>4905</v>
      </c>
      <c r="G948" t="s">
        <v>4906</v>
      </c>
      <c r="H948" t="s">
        <v>3489</v>
      </c>
      <c r="I948" t="s">
        <v>3490</v>
      </c>
      <c r="J948" s="56">
        <f t="shared" si="42"/>
        <v>66</v>
      </c>
      <c r="K948" s="74" t="str">
        <f t="shared" si="43"/>
        <v>61-90 Days</v>
      </c>
      <c r="L948" s="58" t="str">
        <f t="shared" si="44"/>
        <v>Not Applicable</v>
      </c>
    </row>
    <row r="949" spans="1:12" ht="16.5" customHeight="1" x14ac:dyDescent="0.35">
      <c r="A949" t="s">
        <v>428</v>
      </c>
      <c r="B949" t="s">
        <v>428</v>
      </c>
      <c r="C949">
        <v>0</v>
      </c>
      <c r="D949">
        <v>550</v>
      </c>
      <c r="E949" t="s">
        <v>4907</v>
      </c>
      <c r="F949" t="s">
        <v>4907</v>
      </c>
      <c r="G949" t="s">
        <v>4908</v>
      </c>
      <c r="H949" t="s">
        <v>3489</v>
      </c>
      <c r="I949" t="s">
        <v>3490</v>
      </c>
      <c r="J949" s="56">
        <f t="shared" si="42"/>
        <v>66</v>
      </c>
      <c r="K949" s="74" t="str">
        <f t="shared" si="43"/>
        <v>61-90 Days</v>
      </c>
      <c r="L949" s="58" t="str">
        <f t="shared" si="44"/>
        <v>Not Applicable</v>
      </c>
    </row>
    <row r="950" spans="1:12" ht="16.5" customHeight="1" x14ac:dyDescent="0.35">
      <c r="A950" t="s">
        <v>428</v>
      </c>
      <c r="B950" t="s">
        <v>428</v>
      </c>
      <c r="C950">
        <v>0</v>
      </c>
      <c r="D950">
        <v>150</v>
      </c>
      <c r="E950" t="s">
        <v>4909</v>
      </c>
      <c r="F950" t="s">
        <v>4910</v>
      </c>
      <c r="G950" t="s">
        <v>4911</v>
      </c>
      <c r="H950" t="s">
        <v>3532</v>
      </c>
      <c r="I950" t="s">
        <v>3490</v>
      </c>
      <c r="J950" s="56">
        <f t="shared" si="42"/>
        <v>66</v>
      </c>
      <c r="K950" s="74" t="str">
        <f t="shared" si="43"/>
        <v>61-90 Days</v>
      </c>
      <c r="L950" s="58" t="str">
        <f t="shared" si="44"/>
        <v>Not Applicable</v>
      </c>
    </row>
    <row r="951" spans="1:12" ht="16.5" customHeight="1" x14ac:dyDescent="0.35">
      <c r="A951" t="s">
        <v>428</v>
      </c>
      <c r="B951" t="s">
        <v>428</v>
      </c>
      <c r="C951">
        <v>0</v>
      </c>
      <c r="D951">
        <v>2650</v>
      </c>
      <c r="E951" t="s">
        <v>4912</v>
      </c>
      <c r="F951" t="s">
        <v>4913</v>
      </c>
      <c r="G951" t="s">
        <v>4914</v>
      </c>
      <c r="H951" t="s">
        <v>3532</v>
      </c>
      <c r="I951" t="s">
        <v>3490</v>
      </c>
      <c r="J951" s="56">
        <f t="shared" si="42"/>
        <v>66</v>
      </c>
      <c r="K951" s="74" t="str">
        <f t="shared" si="43"/>
        <v>61-90 Days</v>
      </c>
      <c r="L951" s="58" t="str">
        <f t="shared" si="44"/>
        <v>Not Applicable</v>
      </c>
    </row>
    <row r="952" spans="1:12" ht="16.5" customHeight="1" x14ac:dyDescent="0.35">
      <c r="A952" t="s">
        <v>435</v>
      </c>
      <c r="B952" t="s">
        <v>435</v>
      </c>
      <c r="C952">
        <v>0</v>
      </c>
      <c r="D952">
        <v>250</v>
      </c>
      <c r="E952" t="s">
        <v>4915</v>
      </c>
      <c r="F952" t="s">
        <v>3499</v>
      </c>
      <c r="G952" t="s">
        <v>4916</v>
      </c>
      <c r="H952" t="s">
        <v>3489</v>
      </c>
      <c r="I952" t="s">
        <v>3490</v>
      </c>
      <c r="J952" s="56">
        <f t="shared" si="42"/>
        <v>65</v>
      </c>
      <c r="K952" s="74" t="str">
        <f t="shared" si="43"/>
        <v>61-90 Days</v>
      </c>
      <c r="L952" s="58" t="str">
        <f t="shared" si="44"/>
        <v>Not Applicable</v>
      </c>
    </row>
    <row r="953" spans="1:12" ht="16.5" customHeight="1" x14ac:dyDescent="0.35">
      <c r="A953" t="s">
        <v>435</v>
      </c>
      <c r="B953" t="s">
        <v>435</v>
      </c>
      <c r="C953">
        <v>0</v>
      </c>
      <c r="D953">
        <v>1000</v>
      </c>
      <c r="E953" t="s">
        <v>4917</v>
      </c>
      <c r="F953" t="s">
        <v>4917</v>
      </c>
      <c r="G953" t="s">
        <v>4918</v>
      </c>
      <c r="H953" t="s">
        <v>3489</v>
      </c>
      <c r="I953" t="s">
        <v>3490</v>
      </c>
      <c r="J953" s="56">
        <f t="shared" si="42"/>
        <v>65</v>
      </c>
      <c r="K953" s="74" t="str">
        <f t="shared" si="43"/>
        <v>61-90 Days</v>
      </c>
      <c r="L953" s="58" t="str">
        <f t="shared" si="44"/>
        <v>Not Applicable</v>
      </c>
    </row>
    <row r="954" spans="1:12" ht="16.5" customHeight="1" x14ac:dyDescent="0.35">
      <c r="A954" t="s">
        <v>435</v>
      </c>
      <c r="B954" t="s">
        <v>435</v>
      </c>
      <c r="C954">
        <v>0</v>
      </c>
      <c r="D954">
        <v>750</v>
      </c>
      <c r="E954" t="s">
        <v>4919</v>
      </c>
      <c r="F954" t="s">
        <v>4920</v>
      </c>
      <c r="G954" t="s">
        <v>4921</v>
      </c>
      <c r="H954" t="s">
        <v>3489</v>
      </c>
      <c r="I954" t="s">
        <v>3486</v>
      </c>
      <c r="J954" s="56">
        <f t="shared" si="42"/>
        <v>65</v>
      </c>
      <c r="K954" s="74" t="str">
        <f t="shared" si="43"/>
        <v>61-90 Days</v>
      </c>
      <c r="L954" s="58" t="str">
        <f t="shared" si="44"/>
        <v>Not Applicable</v>
      </c>
    </row>
    <row r="955" spans="1:12" ht="16.5" customHeight="1" x14ac:dyDescent="0.35">
      <c r="A955" t="s">
        <v>435</v>
      </c>
      <c r="B955" t="s">
        <v>435</v>
      </c>
      <c r="C955">
        <v>0</v>
      </c>
      <c r="D955">
        <v>1000</v>
      </c>
      <c r="E955" t="s">
        <v>4922</v>
      </c>
      <c r="F955" t="s">
        <v>4923</v>
      </c>
      <c r="G955" t="s">
        <v>4924</v>
      </c>
      <c r="H955" t="s">
        <v>3489</v>
      </c>
      <c r="I955" t="s">
        <v>3490</v>
      </c>
      <c r="J955" s="56">
        <f t="shared" si="42"/>
        <v>65</v>
      </c>
      <c r="K955" s="74" t="str">
        <f t="shared" si="43"/>
        <v>61-90 Days</v>
      </c>
      <c r="L955" s="58" t="str">
        <f t="shared" si="44"/>
        <v>Not Applicable</v>
      </c>
    </row>
    <row r="956" spans="1:12" ht="16.5" customHeight="1" x14ac:dyDescent="0.35">
      <c r="A956" t="s">
        <v>435</v>
      </c>
      <c r="B956" t="s">
        <v>435</v>
      </c>
      <c r="C956">
        <v>0</v>
      </c>
      <c r="D956">
        <v>2050</v>
      </c>
      <c r="E956" t="s">
        <v>4925</v>
      </c>
      <c r="F956" t="s">
        <v>4926</v>
      </c>
      <c r="G956" t="s">
        <v>4927</v>
      </c>
      <c r="H956" t="s">
        <v>3489</v>
      </c>
      <c r="I956" t="s">
        <v>3490</v>
      </c>
      <c r="J956" s="56">
        <f t="shared" si="42"/>
        <v>65</v>
      </c>
      <c r="K956" s="74" t="str">
        <f t="shared" si="43"/>
        <v>61-90 Days</v>
      </c>
      <c r="L956" s="58" t="str">
        <f t="shared" si="44"/>
        <v>Not Applicable</v>
      </c>
    </row>
    <row r="957" spans="1:12" ht="16.5" customHeight="1" x14ac:dyDescent="0.35">
      <c r="A957" t="s">
        <v>435</v>
      </c>
      <c r="B957" t="s">
        <v>435</v>
      </c>
      <c r="C957">
        <v>0</v>
      </c>
      <c r="D957">
        <v>362.84</v>
      </c>
      <c r="E957" t="s">
        <v>4928</v>
      </c>
      <c r="F957" t="s">
        <v>4929</v>
      </c>
      <c r="G957" t="s">
        <v>4930</v>
      </c>
      <c r="H957" t="s">
        <v>3489</v>
      </c>
      <c r="I957" t="s">
        <v>3486</v>
      </c>
      <c r="J957" s="56">
        <f t="shared" si="42"/>
        <v>65</v>
      </c>
      <c r="K957" s="74" t="str">
        <f t="shared" si="43"/>
        <v>61-90 Days</v>
      </c>
      <c r="L957" s="58" t="str">
        <f t="shared" si="44"/>
        <v>Not Applicable</v>
      </c>
    </row>
    <row r="958" spans="1:12" ht="16.5" customHeight="1" x14ac:dyDescent="0.35">
      <c r="A958" t="s">
        <v>434</v>
      </c>
      <c r="B958" t="s">
        <v>434</v>
      </c>
      <c r="C958">
        <v>0</v>
      </c>
      <c r="D958">
        <v>1070</v>
      </c>
      <c r="E958" t="s">
        <v>4931</v>
      </c>
      <c r="F958" t="s">
        <v>3574</v>
      </c>
      <c r="G958" t="s">
        <v>4932</v>
      </c>
      <c r="H958" t="s">
        <v>3489</v>
      </c>
      <c r="I958" t="s">
        <v>3490</v>
      </c>
      <c r="J958" s="56">
        <f t="shared" si="42"/>
        <v>64</v>
      </c>
      <c r="K958" s="74" t="str">
        <f t="shared" si="43"/>
        <v>61-90 Days</v>
      </c>
      <c r="L958" s="58" t="str">
        <f t="shared" si="44"/>
        <v>Not Applicable</v>
      </c>
    </row>
    <row r="959" spans="1:12" ht="16.5" customHeight="1" x14ac:dyDescent="0.35">
      <c r="A959" t="s">
        <v>448</v>
      </c>
      <c r="B959" t="s">
        <v>448</v>
      </c>
      <c r="C959">
        <v>0</v>
      </c>
      <c r="D959">
        <v>612</v>
      </c>
      <c r="E959" t="s">
        <v>4933</v>
      </c>
      <c r="F959" t="s">
        <v>4934</v>
      </c>
      <c r="G959" t="s">
        <v>4935</v>
      </c>
      <c r="H959" t="s">
        <v>3532</v>
      </c>
      <c r="I959" t="s">
        <v>3490</v>
      </c>
      <c r="J959" s="56">
        <f t="shared" si="42"/>
        <v>63</v>
      </c>
      <c r="K959" s="74" t="str">
        <f t="shared" si="43"/>
        <v>61-90 Days</v>
      </c>
      <c r="L959" s="58" t="str">
        <f t="shared" si="44"/>
        <v>Not Applicable</v>
      </c>
    </row>
    <row r="960" spans="1:12" ht="16.5" customHeight="1" x14ac:dyDescent="0.35">
      <c r="A960" t="s">
        <v>448</v>
      </c>
      <c r="B960" t="s">
        <v>448</v>
      </c>
      <c r="C960">
        <v>0</v>
      </c>
      <c r="D960">
        <v>2350</v>
      </c>
      <c r="E960" t="s">
        <v>4936</v>
      </c>
      <c r="F960" t="s">
        <v>4936</v>
      </c>
      <c r="G960" t="s">
        <v>4937</v>
      </c>
      <c r="H960" t="s">
        <v>3489</v>
      </c>
      <c r="I960" t="s">
        <v>3490</v>
      </c>
      <c r="J960" s="56">
        <f t="shared" si="42"/>
        <v>63</v>
      </c>
      <c r="K960" s="74" t="str">
        <f t="shared" si="43"/>
        <v>61-90 Days</v>
      </c>
      <c r="L960" s="58" t="str">
        <f t="shared" si="44"/>
        <v>Not Applicable</v>
      </c>
    </row>
    <row r="961" spans="1:12" ht="16.5" customHeight="1" x14ac:dyDescent="0.35">
      <c r="A961" t="s">
        <v>448</v>
      </c>
      <c r="B961" t="s">
        <v>448</v>
      </c>
      <c r="C961">
        <v>0</v>
      </c>
      <c r="D961">
        <v>2050</v>
      </c>
      <c r="E961" t="s">
        <v>4938</v>
      </c>
      <c r="F961" t="s">
        <v>4938</v>
      </c>
      <c r="G961" t="s">
        <v>4939</v>
      </c>
      <c r="H961" t="s">
        <v>3489</v>
      </c>
      <c r="I961" t="s">
        <v>3490</v>
      </c>
      <c r="J961" s="56">
        <f t="shared" si="42"/>
        <v>63</v>
      </c>
      <c r="K961" s="74" t="str">
        <f t="shared" si="43"/>
        <v>61-90 Days</v>
      </c>
      <c r="L961" s="58" t="str">
        <f t="shared" si="44"/>
        <v>Not Applicable</v>
      </c>
    </row>
    <row r="962" spans="1:12" ht="16.5" customHeight="1" x14ac:dyDescent="0.35">
      <c r="A962" t="s">
        <v>448</v>
      </c>
      <c r="B962" t="s">
        <v>448</v>
      </c>
      <c r="C962">
        <v>0</v>
      </c>
      <c r="D962">
        <v>1550</v>
      </c>
      <c r="E962" t="s">
        <v>4940</v>
      </c>
      <c r="F962" t="s">
        <v>4940</v>
      </c>
      <c r="G962" t="s">
        <v>4941</v>
      </c>
      <c r="H962" t="s">
        <v>3489</v>
      </c>
      <c r="I962" t="s">
        <v>3490</v>
      </c>
      <c r="J962" s="56">
        <f t="shared" si="42"/>
        <v>63</v>
      </c>
      <c r="K962" s="74" t="str">
        <f t="shared" si="43"/>
        <v>61-90 Days</v>
      </c>
      <c r="L962" s="58" t="str">
        <f t="shared" si="44"/>
        <v>Not Applicable</v>
      </c>
    </row>
    <row r="963" spans="1:12" ht="16.5" customHeight="1" x14ac:dyDescent="0.35">
      <c r="A963" t="s">
        <v>448</v>
      </c>
      <c r="B963" t="s">
        <v>448</v>
      </c>
      <c r="C963">
        <v>0</v>
      </c>
      <c r="D963">
        <v>1000</v>
      </c>
      <c r="E963" t="s">
        <v>4942</v>
      </c>
      <c r="F963" t="s">
        <v>4943</v>
      </c>
      <c r="G963" t="s">
        <v>4944</v>
      </c>
      <c r="H963" t="s">
        <v>3489</v>
      </c>
      <c r="I963" t="s">
        <v>3490</v>
      </c>
      <c r="J963" s="56">
        <f t="shared" si="42"/>
        <v>63</v>
      </c>
      <c r="K963" s="74" t="str">
        <f t="shared" si="43"/>
        <v>61-90 Days</v>
      </c>
      <c r="L963" s="58" t="str">
        <f t="shared" si="44"/>
        <v>Not Applicable</v>
      </c>
    </row>
    <row r="964" spans="1:12" ht="16.5" customHeight="1" x14ac:dyDescent="0.35">
      <c r="A964" t="s">
        <v>448</v>
      </c>
      <c r="B964" t="s">
        <v>448</v>
      </c>
      <c r="C964">
        <v>0</v>
      </c>
      <c r="D964">
        <v>1000</v>
      </c>
      <c r="E964" t="s">
        <v>4945</v>
      </c>
      <c r="F964" t="s">
        <v>4946</v>
      </c>
      <c r="G964" t="s">
        <v>4947</v>
      </c>
      <c r="H964" t="s">
        <v>3489</v>
      </c>
      <c r="I964" t="s">
        <v>3490</v>
      </c>
      <c r="J964" s="56">
        <f t="shared" si="42"/>
        <v>63</v>
      </c>
      <c r="K964" s="74" t="str">
        <f t="shared" si="43"/>
        <v>61-90 Days</v>
      </c>
      <c r="L964" s="58" t="str">
        <f t="shared" si="44"/>
        <v>Not Applicable</v>
      </c>
    </row>
    <row r="965" spans="1:12" ht="16.5" customHeight="1" x14ac:dyDescent="0.35">
      <c r="A965" t="s">
        <v>448</v>
      </c>
      <c r="B965" t="s">
        <v>448</v>
      </c>
      <c r="C965">
        <v>0</v>
      </c>
      <c r="D965">
        <v>1000</v>
      </c>
      <c r="E965" t="s">
        <v>4948</v>
      </c>
      <c r="F965" t="s">
        <v>4949</v>
      </c>
      <c r="G965" t="s">
        <v>4950</v>
      </c>
      <c r="H965" t="s">
        <v>3489</v>
      </c>
      <c r="I965" t="s">
        <v>3490</v>
      </c>
      <c r="J965" s="56">
        <f t="shared" si="42"/>
        <v>63</v>
      </c>
      <c r="K965" s="74" t="str">
        <f t="shared" si="43"/>
        <v>61-90 Days</v>
      </c>
      <c r="L965" s="58" t="str">
        <f t="shared" si="44"/>
        <v>Not Applicable</v>
      </c>
    </row>
    <row r="966" spans="1:12" ht="16.5" customHeight="1" x14ac:dyDescent="0.35">
      <c r="A966" t="s">
        <v>448</v>
      </c>
      <c r="B966" t="s">
        <v>448</v>
      </c>
      <c r="C966">
        <v>0</v>
      </c>
      <c r="D966">
        <v>612718.96</v>
      </c>
      <c r="E966" t="s">
        <v>4951</v>
      </c>
      <c r="F966" t="s">
        <v>4952</v>
      </c>
      <c r="G966" t="s">
        <v>4953</v>
      </c>
      <c r="H966" t="s">
        <v>3489</v>
      </c>
      <c r="I966" t="s">
        <v>3486</v>
      </c>
      <c r="J966" s="56">
        <f t="shared" si="42"/>
        <v>63</v>
      </c>
      <c r="K966" s="74" t="str">
        <f t="shared" si="43"/>
        <v>61-90 Days</v>
      </c>
      <c r="L966" s="58" t="str">
        <f t="shared" si="44"/>
        <v>Not Applicable</v>
      </c>
    </row>
    <row r="967" spans="1:12" ht="16.5" customHeight="1" x14ac:dyDescent="0.35">
      <c r="A967" t="s">
        <v>448</v>
      </c>
      <c r="B967" t="s">
        <v>448</v>
      </c>
      <c r="C967">
        <v>0</v>
      </c>
      <c r="D967">
        <v>1000</v>
      </c>
      <c r="E967" t="s">
        <v>4954</v>
      </c>
      <c r="F967" t="s">
        <v>4955</v>
      </c>
      <c r="G967" t="s">
        <v>4956</v>
      </c>
      <c r="H967" t="s">
        <v>3489</v>
      </c>
      <c r="I967" t="s">
        <v>3490</v>
      </c>
      <c r="J967" s="56">
        <f t="shared" si="42"/>
        <v>63</v>
      </c>
      <c r="K967" s="74" t="str">
        <f t="shared" si="43"/>
        <v>61-90 Days</v>
      </c>
      <c r="L967" s="58" t="str">
        <f t="shared" si="44"/>
        <v>Not Applicable</v>
      </c>
    </row>
    <row r="968" spans="1:12" ht="16.5" customHeight="1" x14ac:dyDescent="0.35">
      <c r="A968" t="s">
        <v>448</v>
      </c>
      <c r="B968" t="s">
        <v>448</v>
      </c>
      <c r="C968">
        <v>0</v>
      </c>
      <c r="D968">
        <v>648</v>
      </c>
      <c r="E968" t="s">
        <v>4957</v>
      </c>
      <c r="F968" t="s">
        <v>4958</v>
      </c>
      <c r="G968" t="s">
        <v>4959</v>
      </c>
      <c r="H968" t="s">
        <v>3532</v>
      </c>
      <c r="I968" t="s">
        <v>3490</v>
      </c>
      <c r="J968" s="56">
        <f t="shared" si="42"/>
        <v>63</v>
      </c>
      <c r="K968" s="74" t="str">
        <f t="shared" si="43"/>
        <v>61-90 Days</v>
      </c>
      <c r="L968" s="58" t="str">
        <f t="shared" si="44"/>
        <v>Not Applicable</v>
      </c>
    </row>
    <row r="969" spans="1:12" ht="16.5" customHeight="1" x14ac:dyDescent="0.35">
      <c r="A969" t="s">
        <v>448</v>
      </c>
      <c r="B969" t="s">
        <v>448</v>
      </c>
      <c r="C969">
        <v>0</v>
      </c>
      <c r="D969">
        <v>250</v>
      </c>
      <c r="E969" t="s">
        <v>4960</v>
      </c>
      <c r="F969" t="s">
        <v>4960</v>
      </c>
      <c r="G969" t="s">
        <v>4961</v>
      </c>
      <c r="H969" t="s">
        <v>3489</v>
      </c>
      <c r="I969" t="s">
        <v>3490</v>
      </c>
      <c r="J969" s="56">
        <f t="shared" ref="J969:J1032" si="45">IF(A969="","",A$5-A969)</f>
        <v>63</v>
      </c>
      <c r="K969" s="74" t="str">
        <f t="shared" ref="K969:K1032" si="46">IF(J969="","",IF(J969&lt;4,"0-3 Days",IF(J969&lt;31,"4-30 Days",IF(J969&lt;61,"31-60 Days",IF(J969&lt;=90,"61-90 Days",IF(J969&gt;90,"Above 90 Days","0"))))))</f>
        <v>61-90 Days</v>
      </c>
      <c r="L969" s="58" t="str">
        <f t="shared" ref="L969:L1032" si="47">IF(C969="","",IF(C969&gt;0,IF(J969&lt;30,"Normal",IF(J969&lt;60,"Especially Mentioned",IF(J969&lt;90,"Substandard",IF(J969&lt;=180,"Doubtful",IF(J969&gt;180,"Loss","0"))))),"Not Applicable"))</f>
        <v>Not Applicable</v>
      </c>
    </row>
    <row r="970" spans="1:12" ht="16.5" customHeight="1" x14ac:dyDescent="0.35">
      <c r="A970" t="s">
        <v>448</v>
      </c>
      <c r="B970" t="s">
        <v>448</v>
      </c>
      <c r="C970">
        <v>0</v>
      </c>
      <c r="D970">
        <v>7186.2</v>
      </c>
      <c r="E970" t="s">
        <v>4962</v>
      </c>
      <c r="F970" t="s">
        <v>4963</v>
      </c>
      <c r="G970" t="s">
        <v>4964</v>
      </c>
      <c r="H970" t="s">
        <v>3532</v>
      </c>
      <c r="I970" t="s">
        <v>3490</v>
      </c>
      <c r="J970" s="56">
        <f t="shared" si="45"/>
        <v>63</v>
      </c>
      <c r="K970" s="74" t="str">
        <f t="shared" si="46"/>
        <v>61-90 Days</v>
      </c>
      <c r="L970" s="58" t="str">
        <f t="shared" si="47"/>
        <v>Not Applicable</v>
      </c>
    </row>
    <row r="971" spans="1:12" ht="16.5" customHeight="1" x14ac:dyDescent="0.35">
      <c r="A971" t="s">
        <v>448</v>
      </c>
      <c r="B971" t="s">
        <v>448</v>
      </c>
      <c r="C971">
        <v>0</v>
      </c>
      <c r="D971">
        <v>2000</v>
      </c>
      <c r="E971" t="s">
        <v>4965</v>
      </c>
      <c r="F971" t="s">
        <v>4966</v>
      </c>
      <c r="G971" t="s">
        <v>4967</v>
      </c>
      <c r="H971" t="s">
        <v>3532</v>
      </c>
      <c r="I971" t="s">
        <v>3490</v>
      </c>
      <c r="J971" s="56">
        <f t="shared" si="45"/>
        <v>63</v>
      </c>
      <c r="K971" s="74" t="str">
        <f t="shared" si="46"/>
        <v>61-90 Days</v>
      </c>
      <c r="L971" s="58" t="str">
        <f t="shared" si="47"/>
        <v>Not Applicable</v>
      </c>
    </row>
    <row r="972" spans="1:12" ht="16.5" customHeight="1" x14ac:dyDescent="0.35">
      <c r="A972" t="s">
        <v>448</v>
      </c>
      <c r="B972" t="s">
        <v>448</v>
      </c>
      <c r="C972">
        <v>0</v>
      </c>
      <c r="D972">
        <v>1000</v>
      </c>
      <c r="E972" t="s">
        <v>4968</v>
      </c>
      <c r="F972" t="s">
        <v>4969</v>
      </c>
      <c r="G972" t="s">
        <v>4970</v>
      </c>
      <c r="H972" t="s">
        <v>3532</v>
      </c>
      <c r="I972" t="s">
        <v>3490</v>
      </c>
      <c r="J972" s="56">
        <f t="shared" si="45"/>
        <v>63</v>
      </c>
      <c r="K972" s="74" t="str">
        <f t="shared" si="46"/>
        <v>61-90 Days</v>
      </c>
      <c r="L972" s="58" t="str">
        <f t="shared" si="47"/>
        <v>Not Applicable</v>
      </c>
    </row>
    <row r="973" spans="1:12" ht="16.5" customHeight="1" x14ac:dyDescent="0.35">
      <c r="A973" t="s">
        <v>448</v>
      </c>
      <c r="B973" t="s">
        <v>448</v>
      </c>
      <c r="C973">
        <v>0</v>
      </c>
      <c r="D973">
        <v>612</v>
      </c>
      <c r="E973" t="s">
        <v>4971</v>
      </c>
      <c r="F973" t="s">
        <v>4972</v>
      </c>
      <c r="G973" t="s">
        <v>4973</v>
      </c>
      <c r="H973" t="s">
        <v>3532</v>
      </c>
      <c r="I973" t="s">
        <v>3490</v>
      </c>
      <c r="J973" s="56">
        <f t="shared" si="45"/>
        <v>63</v>
      </c>
      <c r="K973" s="74" t="str">
        <f t="shared" si="46"/>
        <v>61-90 Days</v>
      </c>
      <c r="L973" s="58" t="str">
        <f t="shared" si="47"/>
        <v>Not Applicable</v>
      </c>
    </row>
    <row r="974" spans="1:12" ht="16.5" customHeight="1" x14ac:dyDescent="0.35">
      <c r="A974" t="s">
        <v>448</v>
      </c>
      <c r="B974" t="s">
        <v>448</v>
      </c>
      <c r="C974">
        <v>0</v>
      </c>
      <c r="D974">
        <v>600</v>
      </c>
      <c r="E974" t="s">
        <v>4974</v>
      </c>
      <c r="F974" t="s">
        <v>4974</v>
      </c>
      <c r="G974" t="s">
        <v>4975</v>
      </c>
      <c r="H974" t="s">
        <v>3489</v>
      </c>
      <c r="I974" t="s">
        <v>3490</v>
      </c>
      <c r="J974" s="56">
        <f t="shared" si="45"/>
        <v>63</v>
      </c>
      <c r="K974" s="74" t="str">
        <f t="shared" si="46"/>
        <v>61-90 Days</v>
      </c>
      <c r="L974" s="58" t="str">
        <f t="shared" si="47"/>
        <v>Not Applicable</v>
      </c>
    </row>
    <row r="975" spans="1:12" ht="16.5" customHeight="1" x14ac:dyDescent="0.35">
      <c r="A975" t="s">
        <v>448</v>
      </c>
      <c r="B975" t="s">
        <v>448</v>
      </c>
      <c r="C975">
        <v>0</v>
      </c>
      <c r="D975">
        <v>1000</v>
      </c>
      <c r="E975" t="s">
        <v>4976</v>
      </c>
      <c r="F975" t="s">
        <v>4977</v>
      </c>
      <c r="G975" t="s">
        <v>4978</v>
      </c>
      <c r="H975" t="s">
        <v>3489</v>
      </c>
      <c r="I975" t="s">
        <v>3490</v>
      </c>
      <c r="J975" s="56">
        <f t="shared" si="45"/>
        <v>63</v>
      </c>
      <c r="K975" s="74" t="str">
        <f t="shared" si="46"/>
        <v>61-90 Days</v>
      </c>
      <c r="L975" s="58" t="str">
        <f t="shared" si="47"/>
        <v>Not Applicable</v>
      </c>
    </row>
    <row r="976" spans="1:12" ht="16.5" customHeight="1" x14ac:dyDescent="0.35">
      <c r="A976" t="s">
        <v>448</v>
      </c>
      <c r="B976" t="s">
        <v>448</v>
      </c>
      <c r="C976">
        <v>0</v>
      </c>
      <c r="D976">
        <v>150</v>
      </c>
      <c r="E976" t="s">
        <v>4979</v>
      </c>
      <c r="F976" t="s">
        <v>4979</v>
      </c>
      <c r="G976" t="s">
        <v>4980</v>
      </c>
      <c r="H976" t="s">
        <v>3489</v>
      </c>
      <c r="I976" t="s">
        <v>3490</v>
      </c>
      <c r="J976" s="56">
        <f t="shared" si="45"/>
        <v>63</v>
      </c>
      <c r="K976" s="74" t="str">
        <f t="shared" si="46"/>
        <v>61-90 Days</v>
      </c>
      <c r="L976" s="58" t="str">
        <f t="shared" si="47"/>
        <v>Not Applicable</v>
      </c>
    </row>
    <row r="977" spans="1:12" ht="16.5" customHeight="1" x14ac:dyDescent="0.35">
      <c r="A977" t="s">
        <v>448</v>
      </c>
      <c r="B977" t="s">
        <v>448</v>
      </c>
      <c r="C977">
        <v>0</v>
      </c>
      <c r="D977">
        <v>648</v>
      </c>
      <c r="E977" t="s">
        <v>4981</v>
      </c>
      <c r="F977" t="s">
        <v>4982</v>
      </c>
      <c r="G977" t="s">
        <v>4983</v>
      </c>
      <c r="H977" t="s">
        <v>3532</v>
      </c>
      <c r="I977" t="s">
        <v>3490</v>
      </c>
      <c r="J977" s="56">
        <f t="shared" si="45"/>
        <v>63</v>
      </c>
      <c r="K977" s="74" t="str">
        <f t="shared" si="46"/>
        <v>61-90 Days</v>
      </c>
      <c r="L977" s="58" t="str">
        <f t="shared" si="47"/>
        <v>Not Applicable</v>
      </c>
    </row>
    <row r="978" spans="1:12" ht="16.5" customHeight="1" x14ac:dyDescent="0.35">
      <c r="A978" t="s">
        <v>448</v>
      </c>
      <c r="B978" t="s">
        <v>448</v>
      </c>
      <c r="C978">
        <v>0</v>
      </c>
      <c r="D978">
        <v>1000</v>
      </c>
      <c r="E978" t="s">
        <v>4984</v>
      </c>
      <c r="F978" t="s">
        <v>4985</v>
      </c>
      <c r="G978" t="s">
        <v>4986</v>
      </c>
      <c r="H978" t="s">
        <v>3532</v>
      </c>
      <c r="I978" t="s">
        <v>3490</v>
      </c>
      <c r="J978" s="56">
        <f t="shared" si="45"/>
        <v>63</v>
      </c>
      <c r="K978" s="74" t="str">
        <f t="shared" si="46"/>
        <v>61-90 Days</v>
      </c>
      <c r="L978" s="58" t="str">
        <f t="shared" si="47"/>
        <v>Not Applicable</v>
      </c>
    </row>
    <row r="979" spans="1:12" ht="16.5" customHeight="1" x14ac:dyDescent="0.35">
      <c r="A979" t="s">
        <v>448</v>
      </c>
      <c r="B979" t="s">
        <v>448</v>
      </c>
      <c r="C979">
        <v>0</v>
      </c>
      <c r="D979">
        <v>100</v>
      </c>
      <c r="E979" t="s">
        <v>4987</v>
      </c>
      <c r="F979" t="s">
        <v>4988</v>
      </c>
      <c r="G979" t="s">
        <v>4989</v>
      </c>
      <c r="H979" t="s">
        <v>3532</v>
      </c>
      <c r="I979" t="s">
        <v>3490</v>
      </c>
      <c r="J979" s="56">
        <f t="shared" si="45"/>
        <v>63</v>
      </c>
      <c r="K979" s="74" t="str">
        <f t="shared" si="46"/>
        <v>61-90 Days</v>
      </c>
      <c r="L979" s="58" t="str">
        <f t="shared" si="47"/>
        <v>Not Applicable</v>
      </c>
    </row>
    <row r="980" spans="1:12" ht="16.5" customHeight="1" x14ac:dyDescent="0.35">
      <c r="A980" t="s">
        <v>448</v>
      </c>
      <c r="B980" t="s">
        <v>448</v>
      </c>
      <c r="C980">
        <v>100</v>
      </c>
      <c r="D980">
        <v>0</v>
      </c>
      <c r="E980" t="s">
        <v>4990</v>
      </c>
      <c r="F980" t="s">
        <v>4990</v>
      </c>
      <c r="G980" t="s">
        <v>4991</v>
      </c>
      <c r="H980" t="s">
        <v>3458</v>
      </c>
      <c r="I980" t="s">
        <v>3507</v>
      </c>
      <c r="J980" s="56">
        <f t="shared" si="45"/>
        <v>63</v>
      </c>
      <c r="K980" s="74" t="str">
        <f t="shared" si="46"/>
        <v>61-90 Days</v>
      </c>
      <c r="L980" s="58" t="str">
        <f t="shared" si="47"/>
        <v>Substandard</v>
      </c>
    </row>
    <row r="981" spans="1:12" ht="16.5" customHeight="1" x14ac:dyDescent="0.35">
      <c r="A981" t="s">
        <v>448</v>
      </c>
      <c r="B981" t="s">
        <v>448</v>
      </c>
      <c r="C981">
        <v>0</v>
      </c>
      <c r="D981">
        <v>5104.17</v>
      </c>
      <c r="E981" t="s">
        <v>4992</v>
      </c>
      <c r="F981" t="s">
        <v>4993</v>
      </c>
      <c r="G981" t="s">
        <v>4994</v>
      </c>
      <c r="H981" t="s">
        <v>3489</v>
      </c>
      <c r="I981" t="s">
        <v>3486</v>
      </c>
      <c r="J981" s="56">
        <f t="shared" si="45"/>
        <v>63</v>
      </c>
      <c r="K981" s="74" t="str">
        <f t="shared" si="46"/>
        <v>61-90 Days</v>
      </c>
      <c r="L981" s="58" t="str">
        <f t="shared" si="47"/>
        <v>Not Applicable</v>
      </c>
    </row>
    <row r="982" spans="1:12" ht="16.5" customHeight="1" x14ac:dyDescent="0.35">
      <c r="A982" t="s">
        <v>448</v>
      </c>
      <c r="B982" t="s">
        <v>448</v>
      </c>
      <c r="C982">
        <v>0</v>
      </c>
      <c r="D982">
        <v>50</v>
      </c>
      <c r="E982" t="s">
        <v>4995</v>
      </c>
      <c r="F982" t="s">
        <v>4995</v>
      </c>
      <c r="G982" t="s">
        <v>4996</v>
      </c>
      <c r="H982" t="s">
        <v>3489</v>
      </c>
      <c r="I982" t="s">
        <v>3490</v>
      </c>
      <c r="J982" s="56">
        <f t="shared" si="45"/>
        <v>63</v>
      </c>
      <c r="K982" s="74" t="str">
        <f t="shared" si="46"/>
        <v>61-90 Days</v>
      </c>
      <c r="L982" s="58" t="str">
        <f t="shared" si="47"/>
        <v>Not Applicable</v>
      </c>
    </row>
    <row r="983" spans="1:12" ht="16.5" customHeight="1" x14ac:dyDescent="0.35">
      <c r="A983" t="s">
        <v>448</v>
      </c>
      <c r="B983" t="s">
        <v>448</v>
      </c>
      <c r="C983">
        <v>0</v>
      </c>
      <c r="D983">
        <v>648</v>
      </c>
      <c r="E983" t="s">
        <v>4997</v>
      </c>
      <c r="F983" t="s">
        <v>4998</v>
      </c>
      <c r="G983" t="s">
        <v>4999</v>
      </c>
      <c r="H983" t="s">
        <v>3532</v>
      </c>
      <c r="I983" t="s">
        <v>3490</v>
      </c>
      <c r="J983" s="56">
        <f t="shared" si="45"/>
        <v>63</v>
      </c>
      <c r="K983" s="74" t="str">
        <f t="shared" si="46"/>
        <v>61-90 Days</v>
      </c>
      <c r="L983" s="58" t="str">
        <f t="shared" si="47"/>
        <v>Not Applicable</v>
      </c>
    </row>
    <row r="984" spans="1:12" ht="16.5" customHeight="1" x14ac:dyDescent="0.35">
      <c r="A984" t="s">
        <v>448</v>
      </c>
      <c r="B984" t="s">
        <v>448</v>
      </c>
      <c r="C984">
        <v>0</v>
      </c>
      <c r="D984">
        <v>648</v>
      </c>
      <c r="E984" t="s">
        <v>5000</v>
      </c>
      <c r="F984" t="s">
        <v>5001</v>
      </c>
      <c r="G984" t="s">
        <v>5002</v>
      </c>
      <c r="H984" t="s">
        <v>3532</v>
      </c>
      <c r="I984" t="s">
        <v>3490</v>
      </c>
      <c r="J984" s="56">
        <f t="shared" si="45"/>
        <v>63</v>
      </c>
      <c r="K984" s="74" t="str">
        <f t="shared" si="46"/>
        <v>61-90 Days</v>
      </c>
      <c r="L984" s="58" t="str">
        <f t="shared" si="47"/>
        <v>Not Applicable</v>
      </c>
    </row>
    <row r="985" spans="1:12" ht="16.5" customHeight="1" x14ac:dyDescent="0.35">
      <c r="A985" t="s">
        <v>448</v>
      </c>
      <c r="B985" t="s">
        <v>448</v>
      </c>
      <c r="C985">
        <v>0</v>
      </c>
      <c r="D985">
        <v>1000</v>
      </c>
      <c r="E985" t="s">
        <v>5003</v>
      </c>
      <c r="F985" t="s">
        <v>5003</v>
      </c>
      <c r="G985" t="s">
        <v>5004</v>
      </c>
      <c r="H985" t="s">
        <v>3489</v>
      </c>
      <c r="I985" t="s">
        <v>3490</v>
      </c>
      <c r="J985" s="56">
        <f t="shared" si="45"/>
        <v>63</v>
      </c>
      <c r="K985" s="74" t="str">
        <f t="shared" si="46"/>
        <v>61-90 Days</v>
      </c>
      <c r="L985" s="58" t="str">
        <f t="shared" si="47"/>
        <v>Not Applicable</v>
      </c>
    </row>
    <row r="986" spans="1:12" ht="16.5" customHeight="1" x14ac:dyDescent="0.35">
      <c r="A986" t="s">
        <v>448</v>
      </c>
      <c r="B986" t="s">
        <v>448</v>
      </c>
      <c r="C986">
        <v>0</v>
      </c>
      <c r="D986">
        <v>1000</v>
      </c>
      <c r="E986" t="s">
        <v>5005</v>
      </c>
      <c r="F986" t="s">
        <v>5006</v>
      </c>
      <c r="G986" t="s">
        <v>5007</v>
      </c>
      <c r="H986" t="s">
        <v>3489</v>
      </c>
      <c r="I986" t="s">
        <v>3490</v>
      </c>
      <c r="J986" s="56">
        <f t="shared" si="45"/>
        <v>63</v>
      </c>
      <c r="K986" s="74" t="str">
        <f t="shared" si="46"/>
        <v>61-90 Days</v>
      </c>
      <c r="L986" s="58" t="str">
        <f t="shared" si="47"/>
        <v>Not Applicable</v>
      </c>
    </row>
    <row r="987" spans="1:12" ht="16.5" customHeight="1" x14ac:dyDescent="0.35">
      <c r="A987" t="s">
        <v>448</v>
      </c>
      <c r="B987" t="s">
        <v>448</v>
      </c>
      <c r="C987">
        <v>0</v>
      </c>
      <c r="D987">
        <v>2050</v>
      </c>
      <c r="E987" t="s">
        <v>5008</v>
      </c>
      <c r="F987" t="s">
        <v>5009</v>
      </c>
      <c r="G987" t="s">
        <v>5010</v>
      </c>
      <c r="H987" t="s">
        <v>3532</v>
      </c>
      <c r="I987" t="s">
        <v>3490</v>
      </c>
      <c r="J987" s="56">
        <f t="shared" si="45"/>
        <v>63</v>
      </c>
      <c r="K987" s="74" t="str">
        <f t="shared" si="46"/>
        <v>61-90 Days</v>
      </c>
      <c r="L987" s="58" t="str">
        <f t="shared" si="47"/>
        <v>Not Applicable</v>
      </c>
    </row>
    <row r="988" spans="1:12" ht="16.5" customHeight="1" x14ac:dyDescent="0.35">
      <c r="A988" t="s">
        <v>448</v>
      </c>
      <c r="B988" t="s">
        <v>448</v>
      </c>
      <c r="C988">
        <v>0</v>
      </c>
      <c r="D988">
        <v>15099.1</v>
      </c>
      <c r="E988" t="s">
        <v>5011</v>
      </c>
      <c r="F988" t="s">
        <v>5011</v>
      </c>
      <c r="G988" t="s">
        <v>57</v>
      </c>
      <c r="H988" t="s">
        <v>3914</v>
      </c>
      <c r="I988" t="s">
        <v>3643</v>
      </c>
      <c r="J988" s="56">
        <f t="shared" si="45"/>
        <v>63</v>
      </c>
      <c r="K988" s="74" t="str">
        <f t="shared" si="46"/>
        <v>61-90 Days</v>
      </c>
      <c r="L988" s="58" t="str">
        <f t="shared" si="47"/>
        <v>Not Applicable</v>
      </c>
    </row>
    <row r="989" spans="1:12" ht="16.5" customHeight="1" x14ac:dyDescent="0.35">
      <c r="A989" t="s">
        <v>448</v>
      </c>
      <c r="B989" t="s">
        <v>448</v>
      </c>
      <c r="C989">
        <v>0</v>
      </c>
      <c r="D989">
        <v>648</v>
      </c>
      <c r="E989" t="s">
        <v>5012</v>
      </c>
      <c r="F989" t="s">
        <v>5013</v>
      </c>
      <c r="G989" t="s">
        <v>5014</v>
      </c>
      <c r="H989" t="s">
        <v>3532</v>
      </c>
      <c r="I989" t="s">
        <v>3490</v>
      </c>
      <c r="J989" s="56">
        <f t="shared" si="45"/>
        <v>63</v>
      </c>
      <c r="K989" s="74" t="str">
        <f t="shared" si="46"/>
        <v>61-90 Days</v>
      </c>
      <c r="L989" s="58" t="str">
        <f t="shared" si="47"/>
        <v>Not Applicable</v>
      </c>
    </row>
    <row r="990" spans="1:12" ht="16.5" customHeight="1" x14ac:dyDescent="0.35">
      <c r="A990" t="s">
        <v>448</v>
      </c>
      <c r="B990" t="s">
        <v>448</v>
      </c>
      <c r="C990">
        <v>0</v>
      </c>
      <c r="D990">
        <v>150</v>
      </c>
      <c r="E990" t="s">
        <v>5015</v>
      </c>
      <c r="F990" t="s">
        <v>3499</v>
      </c>
      <c r="G990" t="s">
        <v>5016</v>
      </c>
      <c r="H990" t="s">
        <v>3489</v>
      </c>
      <c r="I990" t="s">
        <v>3490</v>
      </c>
      <c r="J990" s="56">
        <f t="shared" si="45"/>
        <v>63</v>
      </c>
      <c r="K990" s="74" t="str">
        <f t="shared" si="46"/>
        <v>61-90 Days</v>
      </c>
      <c r="L990" s="58" t="str">
        <f t="shared" si="47"/>
        <v>Not Applicable</v>
      </c>
    </row>
    <row r="991" spans="1:12" ht="16.5" customHeight="1" x14ac:dyDescent="0.35">
      <c r="A991" t="s">
        <v>448</v>
      </c>
      <c r="B991" t="s">
        <v>448</v>
      </c>
      <c r="C991">
        <v>0</v>
      </c>
      <c r="D991">
        <v>2832</v>
      </c>
      <c r="E991" t="s">
        <v>5017</v>
      </c>
      <c r="F991" t="s">
        <v>3574</v>
      </c>
      <c r="G991" t="s">
        <v>5018</v>
      </c>
      <c r="H991" t="s">
        <v>3489</v>
      </c>
      <c r="I991" t="s">
        <v>3490</v>
      </c>
      <c r="J991" s="56">
        <f t="shared" si="45"/>
        <v>63</v>
      </c>
      <c r="K991" s="74" t="str">
        <f t="shared" si="46"/>
        <v>61-90 Days</v>
      </c>
      <c r="L991" s="58" t="str">
        <f t="shared" si="47"/>
        <v>Not Applicable</v>
      </c>
    </row>
    <row r="992" spans="1:12" ht="16.5" customHeight="1" x14ac:dyDescent="0.35">
      <c r="A992" t="s">
        <v>448</v>
      </c>
      <c r="B992" t="s">
        <v>448</v>
      </c>
      <c r="C992">
        <v>0</v>
      </c>
      <c r="D992">
        <v>1000</v>
      </c>
      <c r="E992" t="s">
        <v>5019</v>
      </c>
      <c r="F992" t="s">
        <v>5019</v>
      </c>
      <c r="G992" t="s">
        <v>5020</v>
      </c>
      <c r="H992" t="s">
        <v>3489</v>
      </c>
      <c r="I992" t="s">
        <v>3507</v>
      </c>
      <c r="J992" s="56">
        <f t="shared" si="45"/>
        <v>63</v>
      </c>
      <c r="K992" s="74" t="str">
        <f t="shared" si="46"/>
        <v>61-90 Days</v>
      </c>
      <c r="L992" s="58" t="str">
        <f t="shared" si="47"/>
        <v>Not Applicable</v>
      </c>
    </row>
    <row r="993" spans="1:12" ht="16.5" customHeight="1" x14ac:dyDescent="0.35">
      <c r="A993" t="s">
        <v>448</v>
      </c>
      <c r="B993" t="s">
        <v>448</v>
      </c>
      <c r="C993">
        <v>0</v>
      </c>
      <c r="D993">
        <v>1000</v>
      </c>
      <c r="E993" t="s">
        <v>5021</v>
      </c>
      <c r="F993" t="s">
        <v>5022</v>
      </c>
      <c r="G993" t="s">
        <v>5023</v>
      </c>
      <c r="H993" t="s">
        <v>3489</v>
      </c>
      <c r="I993" t="s">
        <v>3490</v>
      </c>
      <c r="J993" s="56">
        <f t="shared" si="45"/>
        <v>63</v>
      </c>
      <c r="K993" s="74" t="str">
        <f t="shared" si="46"/>
        <v>61-90 Days</v>
      </c>
      <c r="L993" s="58" t="str">
        <f t="shared" si="47"/>
        <v>Not Applicable</v>
      </c>
    </row>
    <row r="994" spans="1:12" ht="16.5" customHeight="1" x14ac:dyDescent="0.35">
      <c r="A994" t="s">
        <v>448</v>
      </c>
      <c r="B994" t="s">
        <v>448</v>
      </c>
      <c r="C994">
        <v>0</v>
      </c>
      <c r="D994">
        <v>305</v>
      </c>
      <c r="E994" t="s">
        <v>5024</v>
      </c>
      <c r="F994" t="s">
        <v>5024</v>
      </c>
      <c r="G994" t="s">
        <v>5025</v>
      </c>
      <c r="H994" t="s">
        <v>3532</v>
      </c>
      <c r="I994" t="s">
        <v>3490</v>
      </c>
      <c r="J994" s="56">
        <f t="shared" si="45"/>
        <v>63</v>
      </c>
      <c r="K994" s="74" t="str">
        <f t="shared" si="46"/>
        <v>61-90 Days</v>
      </c>
      <c r="L994" s="58" t="str">
        <f t="shared" si="47"/>
        <v>Not Applicable</v>
      </c>
    </row>
    <row r="995" spans="1:12" ht="16.5" customHeight="1" x14ac:dyDescent="0.35">
      <c r="A995" t="s">
        <v>448</v>
      </c>
      <c r="B995" t="s">
        <v>448</v>
      </c>
      <c r="C995">
        <v>0</v>
      </c>
      <c r="D995">
        <v>1000</v>
      </c>
      <c r="E995" t="s">
        <v>5026</v>
      </c>
      <c r="F995" t="s">
        <v>5027</v>
      </c>
      <c r="G995" t="s">
        <v>5028</v>
      </c>
      <c r="H995" t="s">
        <v>3489</v>
      </c>
      <c r="I995" t="s">
        <v>3490</v>
      </c>
      <c r="J995" s="56">
        <f t="shared" si="45"/>
        <v>63</v>
      </c>
      <c r="K995" s="74" t="str">
        <f t="shared" si="46"/>
        <v>61-90 Days</v>
      </c>
      <c r="L995" s="58" t="str">
        <f t="shared" si="47"/>
        <v>Not Applicable</v>
      </c>
    </row>
    <row r="996" spans="1:12" ht="16.5" customHeight="1" x14ac:dyDescent="0.35">
      <c r="A996" t="s">
        <v>448</v>
      </c>
      <c r="B996" t="s">
        <v>448</v>
      </c>
      <c r="C996">
        <v>0</v>
      </c>
      <c r="D996">
        <v>529</v>
      </c>
      <c r="E996" t="s">
        <v>5029</v>
      </c>
      <c r="F996" t="s">
        <v>5030</v>
      </c>
      <c r="G996" t="s">
        <v>5031</v>
      </c>
      <c r="H996" t="s">
        <v>3489</v>
      </c>
      <c r="I996" t="s">
        <v>3486</v>
      </c>
      <c r="J996" s="56">
        <f t="shared" si="45"/>
        <v>63</v>
      </c>
      <c r="K996" s="74" t="str">
        <f t="shared" si="46"/>
        <v>61-90 Days</v>
      </c>
      <c r="L996" s="58" t="str">
        <f t="shared" si="47"/>
        <v>Not Applicable</v>
      </c>
    </row>
    <row r="997" spans="1:12" ht="16.5" customHeight="1" x14ac:dyDescent="0.35">
      <c r="A997" t="s">
        <v>448</v>
      </c>
      <c r="B997" t="s">
        <v>448</v>
      </c>
      <c r="C997">
        <v>0</v>
      </c>
      <c r="D997">
        <v>2650</v>
      </c>
      <c r="E997" t="s">
        <v>5032</v>
      </c>
      <c r="F997" t="s">
        <v>5032</v>
      </c>
      <c r="G997" t="s">
        <v>5033</v>
      </c>
      <c r="H997" t="s">
        <v>3489</v>
      </c>
      <c r="I997" t="s">
        <v>3490</v>
      </c>
      <c r="J997" s="56">
        <f t="shared" si="45"/>
        <v>63</v>
      </c>
      <c r="K997" s="74" t="str">
        <f t="shared" si="46"/>
        <v>61-90 Days</v>
      </c>
      <c r="L997" s="58" t="str">
        <f t="shared" si="47"/>
        <v>Not Applicable</v>
      </c>
    </row>
    <row r="998" spans="1:12" ht="16.5" customHeight="1" x14ac:dyDescent="0.35">
      <c r="A998" t="s">
        <v>448</v>
      </c>
      <c r="B998" t="s">
        <v>448</v>
      </c>
      <c r="C998">
        <v>0</v>
      </c>
      <c r="D998">
        <v>600</v>
      </c>
      <c r="E998" t="s">
        <v>5034</v>
      </c>
      <c r="F998" t="s">
        <v>5034</v>
      </c>
      <c r="G998" t="s">
        <v>5035</v>
      </c>
      <c r="H998" t="s">
        <v>3489</v>
      </c>
      <c r="I998" t="s">
        <v>3490</v>
      </c>
      <c r="J998" s="56">
        <f t="shared" si="45"/>
        <v>63</v>
      </c>
      <c r="K998" s="74" t="str">
        <f t="shared" si="46"/>
        <v>61-90 Days</v>
      </c>
      <c r="L998" s="58" t="str">
        <f t="shared" si="47"/>
        <v>Not Applicable</v>
      </c>
    </row>
    <row r="999" spans="1:12" ht="16.5" customHeight="1" x14ac:dyDescent="0.35">
      <c r="A999" t="s">
        <v>448</v>
      </c>
      <c r="B999" t="s">
        <v>448</v>
      </c>
      <c r="C999">
        <v>0</v>
      </c>
      <c r="D999">
        <v>80</v>
      </c>
      <c r="E999" t="s">
        <v>5036</v>
      </c>
      <c r="F999" t="s">
        <v>5037</v>
      </c>
      <c r="G999" t="s">
        <v>5038</v>
      </c>
      <c r="H999" t="s">
        <v>3489</v>
      </c>
      <c r="I999" t="s">
        <v>3486</v>
      </c>
      <c r="J999" s="56">
        <f t="shared" si="45"/>
        <v>63</v>
      </c>
      <c r="K999" s="74" t="str">
        <f t="shared" si="46"/>
        <v>61-90 Days</v>
      </c>
      <c r="L999" s="58" t="str">
        <f t="shared" si="47"/>
        <v>Not Applicable</v>
      </c>
    </row>
    <row r="1000" spans="1:12" ht="16.5" customHeight="1" x14ac:dyDescent="0.35">
      <c r="A1000" t="s">
        <v>448</v>
      </c>
      <c r="B1000" t="s">
        <v>448</v>
      </c>
      <c r="C1000">
        <v>0</v>
      </c>
      <c r="D1000">
        <v>1000</v>
      </c>
      <c r="E1000" t="s">
        <v>5039</v>
      </c>
      <c r="F1000" t="s">
        <v>5040</v>
      </c>
      <c r="G1000" t="s">
        <v>5041</v>
      </c>
      <c r="H1000" t="s">
        <v>3489</v>
      </c>
      <c r="I1000" t="s">
        <v>3490</v>
      </c>
      <c r="J1000" s="56">
        <f t="shared" si="45"/>
        <v>63</v>
      </c>
      <c r="K1000" s="74" t="str">
        <f t="shared" si="46"/>
        <v>61-90 Days</v>
      </c>
      <c r="L1000" s="58" t="str">
        <f t="shared" si="47"/>
        <v>Not Applicable</v>
      </c>
    </row>
    <row r="1001" spans="1:12" ht="16.5" customHeight="1" x14ac:dyDescent="0.35">
      <c r="A1001" t="s">
        <v>448</v>
      </c>
      <c r="B1001" t="s">
        <v>448</v>
      </c>
      <c r="C1001">
        <v>0</v>
      </c>
      <c r="D1001">
        <v>550</v>
      </c>
      <c r="E1001" t="s">
        <v>5042</v>
      </c>
      <c r="F1001" t="s">
        <v>5042</v>
      </c>
      <c r="G1001" t="s">
        <v>5043</v>
      </c>
      <c r="H1001" t="s">
        <v>3489</v>
      </c>
      <c r="I1001" t="s">
        <v>3490</v>
      </c>
      <c r="J1001" s="56">
        <f t="shared" si="45"/>
        <v>63</v>
      </c>
      <c r="K1001" s="74" t="str">
        <f t="shared" si="46"/>
        <v>61-90 Days</v>
      </c>
      <c r="L1001" s="58" t="str">
        <f t="shared" si="47"/>
        <v>Not Applicable</v>
      </c>
    </row>
    <row r="1002" spans="1:12" ht="16.5" customHeight="1" x14ac:dyDescent="0.35">
      <c r="A1002" t="s">
        <v>448</v>
      </c>
      <c r="B1002" t="s">
        <v>448</v>
      </c>
      <c r="C1002">
        <v>0</v>
      </c>
      <c r="D1002">
        <v>648</v>
      </c>
      <c r="E1002" t="s">
        <v>5044</v>
      </c>
      <c r="F1002" t="s">
        <v>5045</v>
      </c>
      <c r="G1002" t="s">
        <v>5046</v>
      </c>
      <c r="H1002" t="s">
        <v>3532</v>
      </c>
      <c r="I1002" t="s">
        <v>3490</v>
      </c>
      <c r="J1002" s="56">
        <f t="shared" si="45"/>
        <v>63</v>
      </c>
      <c r="K1002" s="74" t="str">
        <f t="shared" si="46"/>
        <v>61-90 Days</v>
      </c>
      <c r="L1002" s="58" t="str">
        <f t="shared" si="47"/>
        <v>Not Applicable</v>
      </c>
    </row>
    <row r="1003" spans="1:12" ht="16.5" customHeight="1" x14ac:dyDescent="0.35">
      <c r="A1003" t="s">
        <v>448</v>
      </c>
      <c r="B1003" t="s">
        <v>448</v>
      </c>
      <c r="C1003">
        <v>250</v>
      </c>
      <c r="D1003">
        <v>0</v>
      </c>
      <c r="E1003" t="s">
        <v>5047</v>
      </c>
      <c r="F1003" t="s">
        <v>5047</v>
      </c>
      <c r="G1003" t="s">
        <v>5048</v>
      </c>
      <c r="H1003" t="s">
        <v>3471</v>
      </c>
      <c r="I1003" t="s">
        <v>3507</v>
      </c>
      <c r="J1003" s="56">
        <f t="shared" si="45"/>
        <v>63</v>
      </c>
      <c r="K1003" s="74" t="str">
        <f t="shared" si="46"/>
        <v>61-90 Days</v>
      </c>
      <c r="L1003" s="58" t="str">
        <f t="shared" si="47"/>
        <v>Substandard</v>
      </c>
    </row>
    <row r="1004" spans="1:12" ht="16.5" customHeight="1" x14ac:dyDescent="0.35">
      <c r="A1004" t="s">
        <v>448</v>
      </c>
      <c r="B1004" t="s">
        <v>448</v>
      </c>
      <c r="C1004">
        <v>0</v>
      </c>
      <c r="D1004">
        <v>2650</v>
      </c>
      <c r="E1004" t="s">
        <v>5049</v>
      </c>
      <c r="F1004" t="s">
        <v>5049</v>
      </c>
      <c r="G1004" t="s">
        <v>5050</v>
      </c>
      <c r="H1004" t="s">
        <v>3489</v>
      </c>
      <c r="I1004" t="s">
        <v>3490</v>
      </c>
      <c r="J1004" s="56">
        <f t="shared" si="45"/>
        <v>63</v>
      </c>
      <c r="K1004" s="74" t="str">
        <f t="shared" si="46"/>
        <v>61-90 Days</v>
      </c>
      <c r="L1004" s="58" t="str">
        <f t="shared" si="47"/>
        <v>Not Applicable</v>
      </c>
    </row>
    <row r="1005" spans="1:12" ht="16.5" customHeight="1" x14ac:dyDescent="0.35">
      <c r="A1005" t="s">
        <v>448</v>
      </c>
      <c r="B1005" t="s">
        <v>448</v>
      </c>
      <c r="C1005">
        <v>0</v>
      </c>
      <c r="D1005">
        <v>186430.58</v>
      </c>
      <c r="E1005" t="s">
        <v>5051</v>
      </c>
      <c r="F1005" t="s">
        <v>5052</v>
      </c>
      <c r="G1005" t="s">
        <v>5053</v>
      </c>
      <c r="H1005" t="s">
        <v>3489</v>
      </c>
      <c r="I1005" t="s">
        <v>3486</v>
      </c>
      <c r="J1005" s="56">
        <f t="shared" si="45"/>
        <v>63</v>
      </c>
      <c r="K1005" s="74" t="str">
        <f t="shared" si="46"/>
        <v>61-90 Days</v>
      </c>
      <c r="L1005" s="58" t="str">
        <f t="shared" si="47"/>
        <v>Not Applicable</v>
      </c>
    </row>
    <row r="1006" spans="1:12" ht="16.5" customHeight="1" x14ac:dyDescent="0.35">
      <c r="A1006" t="s">
        <v>448</v>
      </c>
      <c r="B1006" t="s">
        <v>448</v>
      </c>
      <c r="C1006">
        <v>0</v>
      </c>
      <c r="D1006">
        <v>3050</v>
      </c>
      <c r="E1006" t="s">
        <v>5054</v>
      </c>
      <c r="F1006" t="s">
        <v>5054</v>
      </c>
      <c r="G1006" t="s">
        <v>5055</v>
      </c>
      <c r="H1006" t="s">
        <v>3489</v>
      </c>
      <c r="I1006" t="s">
        <v>3490</v>
      </c>
      <c r="J1006" s="56">
        <f t="shared" si="45"/>
        <v>63</v>
      </c>
      <c r="K1006" s="74" t="str">
        <f t="shared" si="46"/>
        <v>61-90 Days</v>
      </c>
      <c r="L1006" s="58" t="str">
        <f t="shared" si="47"/>
        <v>Not Applicable</v>
      </c>
    </row>
    <row r="1007" spans="1:12" ht="16.5" customHeight="1" x14ac:dyDescent="0.35">
      <c r="A1007" t="s">
        <v>448</v>
      </c>
      <c r="B1007" t="s">
        <v>448</v>
      </c>
      <c r="C1007">
        <v>0</v>
      </c>
      <c r="D1007">
        <v>500</v>
      </c>
      <c r="E1007" t="s">
        <v>5056</v>
      </c>
      <c r="F1007" t="s">
        <v>5056</v>
      </c>
      <c r="G1007" t="s">
        <v>5057</v>
      </c>
      <c r="H1007" t="s">
        <v>3489</v>
      </c>
      <c r="I1007" t="s">
        <v>3507</v>
      </c>
      <c r="J1007" s="56">
        <f t="shared" si="45"/>
        <v>63</v>
      </c>
      <c r="K1007" s="74" t="str">
        <f t="shared" si="46"/>
        <v>61-90 Days</v>
      </c>
      <c r="L1007" s="58" t="str">
        <f t="shared" si="47"/>
        <v>Not Applicable</v>
      </c>
    </row>
    <row r="1008" spans="1:12" ht="16.5" customHeight="1" x14ac:dyDescent="0.35">
      <c r="A1008" t="s">
        <v>448</v>
      </c>
      <c r="B1008" t="s">
        <v>448</v>
      </c>
      <c r="C1008">
        <v>0</v>
      </c>
      <c r="D1008">
        <v>2050</v>
      </c>
      <c r="E1008" t="s">
        <v>5058</v>
      </c>
      <c r="F1008" t="s">
        <v>5058</v>
      </c>
      <c r="G1008" t="s">
        <v>5059</v>
      </c>
      <c r="H1008" t="s">
        <v>3489</v>
      </c>
      <c r="I1008" t="s">
        <v>3490</v>
      </c>
      <c r="J1008" s="56">
        <f t="shared" si="45"/>
        <v>63</v>
      </c>
      <c r="K1008" s="74" t="str">
        <f t="shared" si="46"/>
        <v>61-90 Days</v>
      </c>
      <c r="L1008" s="58" t="str">
        <f t="shared" si="47"/>
        <v>Not Applicable</v>
      </c>
    </row>
    <row r="1009" spans="1:12" ht="16.5" customHeight="1" x14ac:dyDescent="0.35">
      <c r="A1009" t="s">
        <v>448</v>
      </c>
      <c r="B1009" t="s">
        <v>448</v>
      </c>
      <c r="C1009">
        <v>0</v>
      </c>
      <c r="D1009">
        <v>612</v>
      </c>
      <c r="E1009" t="s">
        <v>5060</v>
      </c>
      <c r="F1009" t="s">
        <v>5061</v>
      </c>
      <c r="G1009" t="s">
        <v>5062</v>
      </c>
      <c r="H1009" t="s">
        <v>3532</v>
      </c>
      <c r="I1009" t="s">
        <v>3490</v>
      </c>
      <c r="J1009" s="56">
        <f t="shared" si="45"/>
        <v>63</v>
      </c>
      <c r="K1009" s="74" t="str">
        <f t="shared" si="46"/>
        <v>61-90 Days</v>
      </c>
      <c r="L1009" s="58" t="str">
        <f t="shared" si="47"/>
        <v>Not Applicable</v>
      </c>
    </row>
    <row r="1010" spans="1:12" ht="16.5" customHeight="1" x14ac:dyDescent="0.35">
      <c r="A1010" t="s">
        <v>448</v>
      </c>
      <c r="B1010" t="s">
        <v>448</v>
      </c>
      <c r="C1010">
        <v>0</v>
      </c>
      <c r="D1010">
        <v>1000</v>
      </c>
      <c r="E1010" t="s">
        <v>5063</v>
      </c>
      <c r="F1010" t="s">
        <v>5064</v>
      </c>
      <c r="G1010" t="s">
        <v>5065</v>
      </c>
      <c r="H1010" t="s">
        <v>3489</v>
      </c>
      <c r="I1010" t="s">
        <v>3490</v>
      </c>
      <c r="J1010" s="56">
        <f t="shared" si="45"/>
        <v>63</v>
      </c>
      <c r="K1010" s="74" t="str">
        <f t="shared" si="46"/>
        <v>61-90 Days</v>
      </c>
      <c r="L1010" s="58" t="str">
        <f t="shared" si="47"/>
        <v>Not Applicable</v>
      </c>
    </row>
    <row r="1011" spans="1:12" ht="16.5" customHeight="1" x14ac:dyDescent="0.35">
      <c r="A1011" t="s">
        <v>448</v>
      </c>
      <c r="B1011" t="s">
        <v>448</v>
      </c>
      <c r="C1011">
        <v>0</v>
      </c>
      <c r="D1011">
        <v>1000</v>
      </c>
      <c r="E1011" t="s">
        <v>5066</v>
      </c>
      <c r="F1011" t="s">
        <v>5067</v>
      </c>
      <c r="G1011" t="s">
        <v>5068</v>
      </c>
      <c r="H1011" t="s">
        <v>3489</v>
      </c>
      <c r="I1011" t="s">
        <v>3490</v>
      </c>
      <c r="J1011" s="56">
        <f t="shared" si="45"/>
        <v>63</v>
      </c>
      <c r="K1011" s="74" t="str">
        <f t="shared" si="46"/>
        <v>61-90 Days</v>
      </c>
      <c r="L1011" s="58" t="str">
        <f t="shared" si="47"/>
        <v>Not Applicable</v>
      </c>
    </row>
    <row r="1012" spans="1:12" ht="16.5" customHeight="1" x14ac:dyDescent="0.35">
      <c r="A1012" t="s">
        <v>448</v>
      </c>
      <c r="B1012" t="s">
        <v>448</v>
      </c>
      <c r="C1012">
        <v>0</v>
      </c>
      <c r="D1012">
        <v>600</v>
      </c>
      <c r="E1012" t="s">
        <v>5069</v>
      </c>
      <c r="F1012" t="s">
        <v>5069</v>
      </c>
      <c r="G1012" t="s">
        <v>5070</v>
      </c>
      <c r="H1012" t="s">
        <v>3489</v>
      </c>
      <c r="I1012" t="s">
        <v>3490</v>
      </c>
      <c r="J1012" s="56">
        <f t="shared" si="45"/>
        <v>63</v>
      </c>
      <c r="K1012" s="74" t="str">
        <f t="shared" si="46"/>
        <v>61-90 Days</v>
      </c>
      <c r="L1012" s="58" t="str">
        <f t="shared" si="47"/>
        <v>Not Applicable</v>
      </c>
    </row>
    <row r="1013" spans="1:12" ht="16.5" customHeight="1" x14ac:dyDescent="0.35">
      <c r="A1013" t="s">
        <v>448</v>
      </c>
      <c r="B1013" t="s">
        <v>448</v>
      </c>
      <c r="C1013">
        <v>0</v>
      </c>
      <c r="D1013">
        <v>1000</v>
      </c>
      <c r="E1013" t="s">
        <v>5071</v>
      </c>
      <c r="F1013" t="s">
        <v>5072</v>
      </c>
      <c r="G1013" t="s">
        <v>5073</v>
      </c>
      <c r="H1013" t="s">
        <v>3489</v>
      </c>
      <c r="I1013" t="s">
        <v>3490</v>
      </c>
      <c r="J1013" s="56">
        <f t="shared" si="45"/>
        <v>63</v>
      </c>
      <c r="K1013" s="74" t="str">
        <f t="shared" si="46"/>
        <v>61-90 Days</v>
      </c>
      <c r="L1013" s="58" t="str">
        <f t="shared" si="47"/>
        <v>Not Applicable</v>
      </c>
    </row>
    <row r="1014" spans="1:12" ht="16.5" customHeight="1" x14ac:dyDescent="0.35">
      <c r="A1014" t="s">
        <v>463</v>
      </c>
      <c r="B1014" t="s">
        <v>463</v>
      </c>
      <c r="C1014">
        <v>0</v>
      </c>
      <c r="D1014">
        <v>150</v>
      </c>
      <c r="E1014" t="s">
        <v>5074</v>
      </c>
      <c r="F1014" t="s">
        <v>5074</v>
      </c>
      <c r="G1014" t="s">
        <v>5075</v>
      </c>
      <c r="H1014" t="s">
        <v>3489</v>
      </c>
      <c r="I1014" t="s">
        <v>3490</v>
      </c>
      <c r="J1014" s="56">
        <f t="shared" si="45"/>
        <v>61</v>
      </c>
      <c r="K1014" s="74" t="str">
        <f t="shared" si="46"/>
        <v>61-90 Days</v>
      </c>
      <c r="L1014" s="58" t="str">
        <f t="shared" si="47"/>
        <v>Not Applicable</v>
      </c>
    </row>
    <row r="1015" spans="1:12" ht="16.5" customHeight="1" x14ac:dyDescent="0.35">
      <c r="A1015" t="s">
        <v>463</v>
      </c>
      <c r="B1015" t="s">
        <v>463</v>
      </c>
      <c r="C1015">
        <v>0</v>
      </c>
      <c r="D1015">
        <v>1000</v>
      </c>
      <c r="E1015" t="s">
        <v>5076</v>
      </c>
      <c r="F1015" t="s">
        <v>5076</v>
      </c>
      <c r="G1015" t="s">
        <v>5077</v>
      </c>
      <c r="H1015" t="s">
        <v>3489</v>
      </c>
      <c r="I1015" t="s">
        <v>3490</v>
      </c>
      <c r="J1015" s="56">
        <f t="shared" si="45"/>
        <v>61</v>
      </c>
      <c r="K1015" s="74" t="str">
        <f t="shared" si="46"/>
        <v>61-90 Days</v>
      </c>
      <c r="L1015" s="58" t="str">
        <f t="shared" si="47"/>
        <v>Not Applicable</v>
      </c>
    </row>
    <row r="1016" spans="1:12" ht="16.5" customHeight="1" x14ac:dyDescent="0.35">
      <c r="A1016" t="s">
        <v>463</v>
      </c>
      <c r="B1016" t="s">
        <v>463</v>
      </c>
      <c r="C1016">
        <v>0</v>
      </c>
      <c r="D1016">
        <v>1000</v>
      </c>
      <c r="E1016" t="s">
        <v>5078</v>
      </c>
      <c r="F1016" t="s">
        <v>5078</v>
      </c>
      <c r="G1016" t="s">
        <v>5079</v>
      </c>
      <c r="H1016" t="s">
        <v>3489</v>
      </c>
      <c r="I1016" t="s">
        <v>3490</v>
      </c>
      <c r="J1016" s="56">
        <f t="shared" si="45"/>
        <v>61</v>
      </c>
      <c r="K1016" s="74" t="str">
        <f t="shared" si="46"/>
        <v>61-90 Days</v>
      </c>
      <c r="L1016" s="58" t="str">
        <f t="shared" si="47"/>
        <v>Not Applicable</v>
      </c>
    </row>
    <row r="1017" spans="1:12" ht="16.5" customHeight="1" x14ac:dyDescent="0.35">
      <c r="A1017" t="s">
        <v>463</v>
      </c>
      <c r="B1017" t="s">
        <v>463</v>
      </c>
      <c r="C1017">
        <v>0</v>
      </c>
      <c r="D1017">
        <v>1000</v>
      </c>
      <c r="E1017" t="s">
        <v>5080</v>
      </c>
      <c r="F1017" t="s">
        <v>5081</v>
      </c>
      <c r="G1017" t="s">
        <v>5082</v>
      </c>
      <c r="H1017" t="s">
        <v>3532</v>
      </c>
      <c r="I1017" t="s">
        <v>3490</v>
      </c>
      <c r="J1017" s="56">
        <f t="shared" si="45"/>
        <v>61</v>
      </c>
      <c r="K1017" s="74" t="str">
        <f t="shared" si="46"/>
        <v>61-90 Days</v>
      </c>
      <c r="L1017" s="58" t="str">
        <f t="shared" si="47"/>
        <v>Not Applicable</v>
      </c>
    </row>
    <row r="1018" spans="1:12" ht="16.5" customHeight="1" x14ac:dyDescent="0.35">
      <c r="A1018" t="s">
        <v>463</v>
      </c>
      <c r="B1018" t="s">
        <v>463</v>
      </c>
      <c r="C1018">
        <v>0</v>
      </c>
      <c r="D1018">
        <v>1000</v>
      </c>
      <c r="E1018" t="s">
        <v>5083</v>
      </c>
      <c r="F1018" t="s">
        <v>5083</v>
      </c>
      <c r="G1018" t="s">
        <v>5084</v>
      </c>
      <c r="H1018" t="s">
        <v>3489</v>
      </c>
      <c r="I1018" t="s">
        <v>3490</v>
      </c>
      <c r="J1018" s="56">
        <f t="shared" si="45"/>
        <v>61</v>
      </c>
      <c r="K1018" s="74" t="str">
        <f t="shared" si="46"/>
        <v>61-90 Days</v>
      </c>
      <c r="L1018" s="58" t="str">
        <f t="shared" si="47"/>
        <v>Not Applicable</v>
      </c>
    </row>
    <row r="1019" spans="1:12" ht="16.5" customHeight="1" x14ac:dyDescent="0.35">
      <c r="A1019" t="s">
        <v>463</v>
      </c>
      <c r="B1019" t="s">
        <v>463</v>
      </c>
      <c r="C1019">
        <v>0</v>
      </c>
      <c r="D1019">
        <v>1132.8</v>
      </c>
      <c r="E1019" t="s">
        <v>5085</v>
      </c>
      <c r="F1019" t="s">
        <v>5085</v>
      </c>
      <c r="G1019" t="s">
        <v>5086</v>
      </c>
      <c r="H1019" t="s">
        <v>3489</v>
      </c>
      <c r="I1019" t="s">
        <v>3490</v>
      </c>
      <c r="J1019" s="56">
        <f t="shared" si="45"/>
        <v>61</v>
      </c>
      <c r="K1019" s="74" t="str">
        <f t="shared" si="46"/>
        <v>61-90 Days</v>
      </c>
      <c r="L1019" s="58" t="str">
        <f t="shared" si="47"/>
        <v>Not Applicable</v>
      </c>
    </row>
    <row r="1020" spans="1:12" ht="16.5" customHeight="1" x14ac:dyDescent="0.35">
      <c r="A1020" t="s">
        <v>463</v>
      </c>
      <c r="B1020" t="s">
        <v>463</v>
      </c>
      <c r="C1020">
        <v>0</v>
      </c>
      <c r="D1020">
        <v>250</v>
      </c>
      <c r="E1020" t="s">
        <v>5087</v>
      </c>
      <c r="F1020" t="s">
        <v>5087</v>
      </c>
      <c r="G1020" t="s">
        <v>5088</v>
      </c>
      <c r="H1020" t="s">
        <v>3489</v>
      </c>
      <c r="I1020" t="s">
        <v>3490</v>
      </c>
      <c r="J1020" s="56">
        <f t="shared" si="45"/>
        <v>61</v>
      </c>
      <c r="K1020" s="74" t="str">
        <f t="shared" si="46"/>
        <v>61-90 Days</v>
      </c>
      <c r="L1020" s="58" t="str">
        <f t="shared" si="47"/>
        <v>Not Applicable</v>
      </c>
    </row>
    <row r="1021" spans="1:12" ht="16.5" customHeight="1" x14ac:dyDescent="0.35">
      <c r="A1021" t="s">
        <v>463</v>
      </c>
      <c r="B1021" t="s">
        <v>463</v>
      </c>
      <c r="C1021">
        <v>0</v>
      </c>
      <c r="D1021">
        <v>2150</v>
      </c>
      <c r="E1021" t="s">
        <v>5089</v>
      </c>
      <c r="F1021" t="s">
        <v>3499</v>
      </c>
      <c r="G1021" t="s">
        <v>5090</v>
      </c>
      <c r="H1021" t="s">
        <v>3489</v>
      </c>
      <c r="I1021" t="s">
        <v>3490</v>
      </c>
      <c r="J1021" s="56">
        <f t="shared" si="45"/>
        <v>61</v>
      </c>
      <c r="K1021" s="74" t="str">
        <f t="shared" si="46"/>
        <v>61-90 Days</v>
      </c>
      <c r="L1021" s="58" t="str">
        <f t="shared" si="47"/>
        <v>Not Applicable</v>
      </c>
    </row>
    <row r="1022" spans="1:12" ht="16.5" customHeight="1" x14ac:dyDescent="0.35">
      <c r="A1022" t="s">
        <v>463</v>
      </c>
      <c r="B1022" t="s">
        <v>463</v>
      </c>
      <c r="C1022">
        <v>1000000</v>
      </c>
      <c r="D1022">
        <v>0</v>
      </c>
      <c r="E1022" t="s">
        <v>5091</v>
      </c>
      <c r="F1022" t="s">
        <v>5091</v>
      </c>
      <c r="G1022" t="s">
        <v>5092</v>
      </c>
      <c r="H1022" t="s">
        <v>3476</v>
      </c>
      <c r="I1022" t="s">
        <v>3490</v>
      </c>
      <c r="J1022" s="56">
        <f t="shared" si="45"/>
        <v>61</v>
      </c>
      <c r="K1022" s="74" t="str">
        <f t="shared" si="46"/>
        <v>61-90 Days</v>
      </c>
      <c r="L1022" s="58" t="str">
        <f t="shared" si="47"/>
        <v>Substandard</v>
      </c>
    </row>
    <row r="1023" spans="1:12" ht="16.5" customHeight="1" x14ac:dyDescent="0.35">
      <c r="A1023" t="s">
        <v>463</v>
      </c>
      <c r="B1023" t="s">
        <v>463</v>
      </c>
      <c r="C1023">
        <v>0</v>
      </c>
      <c r="D1023">
        <v>15150.46</v>
      </c>
      <c r="E1023" t="s">
        <v>5093</v>
      </c>
      <c r="F1023" t="s">
        <v>5093</v>
      </c>
      <c r="G1023" t="s">
        <v>57</v>
      </c>
      <c r="H1023" t="s">
        <v>3914</v>
      </c>
      <c r="I1023" t="s">
        <v>3643</v>
      </c>
      <c r="J1023" s="56">
        <f t="shared" si="45"/>
        <v>61</v>
      </c>
      <c r="K1023" s="74" t="str">
        <f t="shared" si="46"/>
        <v>61-90 Days</v>
      </c>
      <c r="L1023" s="58" t="str">
        <f t="shared" si="47"/>
        <v>Not Applicable</v>
      </c>
    </row>
    <row r="1024" spans="1:12" ht="16.5" customHeight="1" x14ac:dyDescent="0.35">
      <c r="A1024" t="s">
        <v>463</v>
      </c>
      <c r="B1024" t="s">
        <v>463</v>
      </c>
      <c r="C1024">
        <v>0</v>
      </c>
      <c r="D1024">
        <v>1000</v>
      </c>
      <c r="E1024" t="s">
        <v>5094</v>
      </c>
      <c r="F1024" t="s">
        <v>5094</v>
      </c>
      <c r="G1024" t="s">
        <v>5095</v>
      </c>
      <c r="H1024" t="s">
        <v>3489</v>
      </c>
      <c r="I1024" t="s">
        <v>3490</v>
      </c>
      <c r="J1024" s="56">
        <f t="shared" si="45"/>
        <v>61</v>
      </c>
      <c r="K1024" s="74" t="str">
        <f t="shared" si="46"/>
        <v>61-90 Days</v>
      </c>
      <c r="L1024" s="58" t="str">
        <f t="shared" si="47"/>
        <v>Not Applicable</v>
      </c>
    </row>
    <row r="1025" spans="1:12" ht="16.5" customHeight="1" x14ac:dyDescent="0.35">
      <c r="A1025" t="s">
        <v>463</v>
      </c>
      <c r="B1025" t="s">
        <v>463</v>
      </c>
      <c r="C1025">
        <v>0</v>
      </c>
      <c r="D1025">
        <v>1000</v>
      </c>
      <c r="E1025" t="s">
        <v>5096</v>
      </c>
      <c r="F1025" t="s">
        <v>3499</v>
      </c>
      <c r="G1025" t="s">
        <v>5097</v>
      </c>
      <c r="H1025" t="s">
        <v>3489</v>
      </c>
      <c r="I1025" t="s">
        <v>3490</v>
      </c>
      <c r="J1025" s="56">
        <f t="shared" si="45"/>
        <v>61</v>
      </c>
      <c r="K1025" s="74" t="str">
        <f t="shared" si="46"/>
        <v>61-90 Days</v>
      </c>
      <c r="L1025" s="58" t="str">
        <f t="shared" si="47"/>
        <v>Not Applicable</v>
      </c>
    </row>
    <row r="1026" spans="1:12" ht="16.5" customHeight="1" x14ac:dyDescent="0.35">
      <c r="A1026" t="s">
        <v>463</v>
      </c>
      <c r="B1026" t="s">
        <v>463</v>
      </c>
      <c r="C1026">
        <v>0</v>
      </c>
      <c r="D1026">
        <v>347</v>
      </c>
      <c r="E1026" t="s">
        <v>5098</v>
      </c>
      <c r="F1026" t="s">
        <v>5099</v>
      </c>
      <c r="G1026" t="s">
        <v>5100</v>
      </c>
      <c r="H1026" t="s">
        <v>3489</v>
      </c>
      <c r="I1026" t="s">
        <v>3486</v>
      </c>
      <c r="J1026" s="56">
        <f t="shared" si="45"/>
        <v>61</v>
      </c>
      <c r="K1026" s="74" t="str">
        <f t="shared" si="46"/>
        <v>61-90 Days</v>
      </c>
      <c r="L1026" s="58" t="str">
        <f t="shared" si="47"/>
        <v>Not Applicable</v>
      </c>
    </row>
    <row r="1027" spans="1:12" ht="16.5" customHeight="1" x14ac:dyDescent="0.35">
      <c r="A1027" t="s">
        <v>463</v>
      </c>
      <c r="B1027" t="s">
        <v>463</v>
      </c>
      <c r="C1027">
        <v>0</v>
      </c>
      <c r="D1027">
        <v>33</v>
      </c>
      <c r="E1027" t="s">
        <v>5101</v>
      </c>
      <c r="F1027" t="s">
        <v>5101</v>
      </c>
      <c r="G1027" t="s">
        <v>5102</v>
      </c>
      <c r="H1027" t="s">
        <v>3489</v>
      </c>
      <c r="I1027" t="s">
        <v>3490</v>
      </c>
      <c r="J1027" s="56">
        <f t="shared" si="45"/>
        <v>61</v>
      </c>
      <c r="K1027" s="74" t="str">
        <f t="shared" si="46"/>
        <v>61-90 Days</v>
      </c>
      <c r="L1027" s="58" t="str">
        <f t="shared" si="47"/>
        <v>Not Applicable</v>
      </c>
    </row>
    <row r="1028" spans="1:12" ht="16.5" customHeight="1" x14ac:dyDescent="0.35">
      <c r="A1028" t="s">
        <v>463</v>
      </c>
      <c r="B1028" t="s">
        <v>463</v>
      </c>
      <c r="C1028">
        <v>0</v>
      </c>
      <c r="D1028">
        <v>969</v>
      </c>
      <c r="E1028" t="s">
        <v>5103</v>
      </c>
      <c r="F1028" t="s">
        <v>5103</v>
      </c>
      <c r="G1028" t="s">
        <v>5104</v>
      </c>
      <c r="H1028" t="s">
        <v>3489</v>
      </c>
      <c r="I1028" t="s">
        <v>3490</v>
      </c>
      <c r="J1028" s="56">
        <f t="shared" si="45"/>
        <v>61</v>
      </c>
      <c r="K1028" s="74" t="str">
        <f t="shared" si="46"/>
        <v>61-90 Days</v>
      </c>
      <c r="L1028" s="58" t="str">
        <f t="shared" si="47"/>
        <v>Not Applicable</v>
      </c>
    </row>
    <row r="1029" spans="1:12" ht="16.5" customHeight="1" x14ac:dyDescent="0.35">
      <c r="A1029" t="s">
        <v>463</v>
      </c>
      <c r="B1029" t="s">
        <v>463</v>
      </c>
      <c r="C1029">
        <v>0</v>
      </c>
      <c r="D1029">
        <v>1000</v>
      </c>
      <c r="E1029" t="s">
        <v>5105</v>
      </c>
      <c r="F1029" t="s">
        <v>5106</v>
      </c>
      <c r="G1029" t="s">
        <v>5107</v>
      </c>
      <c r="H1029" t="s">
        <v>3489</v>
      </c>
      <c r="I1029" t="s">
        <v>3490</v>
      </c>
      <c r="J1029" s="56">
        <f t="shared" si="45"/>
        <v>61</v>
      </c>
      <c r="K1029" s="74" t="str">
        <f t="shared" si="46"/>
        <v>61-90 Days</v>
      </c>
      <c r="L1029" s="58" t="str">
        <f t="shared" si="47"/>
        <v>Not Applicable</v>
      </c>
    </row>
    <row r="1030" spans="1:12" ht="16.5" customHeight="1" x14ac:dyDescent="0.35">
      <c r="A1030" t="s">
        <v>463</v>
      </c>
      <c r="B1030" t="s">
        <v>463</v>
      </c>
      <c r="C1030">
        <v>0</v>
      </c>
      <c r="D1030">
        <v>601.79999999999995</v>
      </c>
      <c r="E1030" t="s">
        <v>5108</v>
      </c>
      <c r="F1030" t="s">
        <v>5108</v>
      </c>
      <c r="G1030" t="s">
        <v>5109</v>
      </c>
      <c r="H1030" t="s">
        <v>3489</v>
      </c>
      <c r="I1030" t="s">
        <v>3490</v>
      </c>
      <c r="J1030" s="56">
        <f t="shared" si="45"/>
        <v>61</v>
      </c>
      <c r="K1030" s="74" t="str">
        <f t="shared" si="46"/>
        <v>61-90 Days</v>
      </c>
      <c r="L1030" s="58" t="str">
        <f t="shared" si="47"/>
        <v>Not Applicable</v>
      </c>
    </row>
    <row r="1031" spans="1:12" ht="16.5" customHeight="1" x14ac:dyDescent="0.35">
      <c r="A1031" t="s">
        <v>463</v>
      </c>
      <c r="B1031" t="s">
        <v>463</v>
      </c>
      <c r="C1031">
        <v>0</v>
      </c>
      <c r="D1031">
        <v>1000</v>
      </c>
      <c r="E1031" t="s">
        <v>5110</v>
      </c>
      <c r="F1031" t="s">
        <v>5111</v>
      </c>
      <c r="G1031" t="s">
        <v>5112</v>
      </c>
      <c r="H1031" t="s">
        <v>3489</v>
      </c>
      <c r="I1031" t="s">
        <v>3490</v>
      </c>
      <c r="J1031" s="56">
        <f t="shared" si="45"/>
        <v>61</v>
      </c>
      <c r="K1031" s="74" t="str">
        <f t="shared" si="46"/>
        <v>61-90 Days</v>
      </c>
      <c r="L1031" s="58" t="str">
        <f t="shared" si="47"/>
        <v>Not Applicable</v>
      </c>
    </row>
    <row r="1032" spans="1:12" ht="16.5" customHeight="1" x14ac:dyDescent="0.35">
      <c r="A1032" t="s">
        <v>463</v>
      </c>
      <c r="B1032" t="s">
        <v>463</v>
      </c>
      <c r="C1032">
        <v>0</v>
      </c>
      <c r="D1032">
        <v>1000</v>
      </c>
      <c r="E1032" t="s">
        <v>5113</v>
      </c>
      <c r="F1032" t="s">
        <v>5113</v>
      </c>
      <c r="G1032" t="s">
        <v>5114</v>
      </c>
      <c r="H1032" t="s">
        <v>3489</v>
      </c>
      <c r="I1032" t="s">
        <v>3490</v>
      </c>
      <c r="J1032" s="56">
        <f t="shared" si="45"/>
        <v>61</v>
      </c>
      <c r="K1032" s="74" t="str">
        <f t="shared" si="46"/>
        <v>61-90 Days</v>
      </c>
      <c r="L1032" s="58" t="str">
        <f t="shared" si="47"/>
        <v>Not Applicable</v>
      </c>
    </row>
    <row r="1033" spans="1:12" ht="16.5" customHeight="1" x14ac:dyDescent="0.35">
      <c r="A1033" t="s">
        <v>463</v>
      </c>
      <c r="B1033" t="s">
        <v>463</v>
      </c>
      <c r="C1033">
        <v>0</v>
      </c>
      <c r="D1033">
        <v>14653.5</v>
      </c>
      <c r="E1033" t="s">
        <v>5115</v>
      </c>
      <c r="F1033" t="s">
        <v>5115</v>
      </c>
      <c r="G1033" t="s">
        <v>5116</v>
      </c>
      <c r="H1033" t="s">
        <v>3489</v>
      </c>
      <c r="I1033" t="s">
        <v>3490</v>
      </c>
      <c r="J1033" s="56">
        <f t="shared" ref="J1033:J1096" si="48">IF(A1033="","",A$5-A1033)</f>
        <v>61</v>
      </c>
      <c r="K1033" s="74" t="str">
        <f t="shared" ref="K1033:K1096" si="49">IF(J1033="","",IF(J1033&lt;4,"0-3 Days",IF(J1033&lt;31,"4-30 Days",IF(J1033&lt;61,"31-60 Days",IF(J1033&lt;=90,"61-90 Days",IF(J1033&gt;90,"Above 90 Days","0"))))))</f>
        <v>61-90 Days</v>
      </c>
      <c r="L1033" s="58" t="str">
        <f t="shared" ref="L1033:L1096" si="50">IF(C1033="","",IF(C1033&gt;0,IF(J1033&lt;30,"Normal",IF(J1033&lt;60,"Especially Mentioned",IF(J1033&lt;90,"Substandard",IF(J1033&lt;=180,"Doubtful",IF(J1033&gt;180,"Loss","0"))))),"Not Applicable"))</f>
        <v>Not Applicable</v>
      </c>
    </row>
    <row r="1034" spans="1:12" ht="16.5" customHeight="1" x14ac:dyDescent="0.35">
      <c r="A1034" t="s">
        <v>463</v>
      </c>
      <c r="B1034" t="s">
        <v>463</v>
      </c>
      <c r="C1034">
        <v>300000</v>
      </c>
      <c r="D1034">
        <v>0</v>
      </c>
      <c r="E1034" t="s">
        <v>5117</v>
      </c>
      <c r="F1034" t="s">
        <v>5117</v>
      </c>
      <c r="G1034" t="s">
        <v>5118</v>
      </c>
      <c r="H1034" t="s">
        <v>3455</v>
      </c>
      <c r="I1034" t="s">
        <v>3490</v>
      </c>
      <c r="J1034" s="56">
        <f t="shared" si="48"/>
        <v>61</v>
      </c>
      <c r="K1034" s="74" t="str">
        <f t="shared" si="49"/>
        <v>61-90 Days</v>
      </c>
      <c r="L1034" s="58" t="str">
        <f t="shared" si="50"/>
        <v>Substandard</v>
      </c>
    </row>
    <row r="1035" spans="1:12" ht="16.5" customHeight="1" x14ac:dyDescent="0.35">
      <c r="A1035" t="s">
        <v>463</v>
      </c>
      <c r="B1035" t="s">
        <v>463</v>
      </c>
      <c r="C1035">
        <v>0</v>
      </c>
      <c r="D1035">
        <v>304</v>
      </c>
      <c r="E1035" t="s">
        <v>5119</v>
      </c>
      <c r="F1035" t="s">
        <v>5119</v>
      </c>
      <c r="G1035" t="s">
        <v>5120</v>
      </c>
      <c r="H1035" t="s">
        <v>3489</v>
      </c>
      <c r="I1035" t="s">
        <v>3490</v>
      </c>
      <c r="J1035" s="56">
        <f t="shared" si="48"/>
        <v>61</v>
      </c>
      <c r="K1035" s="74" t="str">
        <f t="shared" si="49"/>
        <v>61-90 Days</v>
      </c>
      <c r="L1035" s="58" t="str">
        <f t="shared" si="50"/>
        <v>Not Applicable</v>
      </c>
    </row>
    <row r="1036" spans="1:12" ht="16.5" customHeight="1" x14ac:dyDescent="0.35">
      <c r="A1036" t="s">
        <v>463</v>
      </c>
      <c r="B1036" t="s">
        <v>463</v>
      </c>
      <c r="C1036">
        <v>0</v>
      </c>
      <c r="D1036">
        <v>11166.24</v>
      </c>
      <c r="E1036" t="s">
        <v>5121</v>
      </c>
      <c r="F1036" t="s">
        <v>5121</v>
      </c>
      <c r="G1036" t="s">
        <v>5122</v>
      </c>
      <c r="H1036" t="s">
        <v>3489</v>
      </c>
      <c r="I1036" t="s">
        <v>3490</v>
      </c>
      <c r="J1036" s="56">
        <f t="shared" si="48"/>
        <v>61</v>
      </c>
      <c r="K1036" s="74" t="str">
        <f t="shared" si="49"/>
        <v>61-90 Days</v>
      </c>
      <c r="L1036" s="58" t="str">
        <f t="shared" si="50"/>
        <v>Not Applicable</v>
      </c>
    </row>
    <row r="1037" spans="1:12" ht="16.5" customHeight="1" x14ac:dyDescent="0.35">
      <c r="A1037" t="s">
        <v>463</v>
      </c>
      <c r="B1037" t="s">
        <v>463</v>
      </c>
      <c r="C1037">
        <v>0</v>
      </c>
      <c r="D1037">
        <v>1000</v>
      </c>
      <c r="E1037" t="s">
        <v>5123</v>
      </c>
      <c r="F1037" t="s">
        <v>5123</v>
      </c>
      <c r="G1037" t="s">
        <v>5124</v>
      </c>
      <c r="H1037" t="s">
        <v>3489</v>
      </c>
      <c r="I1037" t="s">
        <v>3490</v>
      </c>
      <c r="J1037" s="56">
        <f t="shared" si="48"/>
        <v>61</v>
      </c>
      <c r="K1037" s="74" t="str">
        <f t="shared" si="49"/>
        <v>61-90 Days</v>
      </c>
      <c r="L1037" s="58" t="str">
        <f t="shared" si="50"/>
        <v>Not Applicable</v>
      </c>
    </row>
    <row r="1038" spans="1:12" ht="16.5" customHeight="1" x14ac:dyDescent="0.35">
      <c r="A1038" t="s">
        <v>463</v>
      </c>
      <c r="B1038" t="s">
        <v>463</v>
      </c>
      <c r="C1038">
        <v>0</v>
      </c>
      <c r="D1038">
        <v>2605</v>
      </c>
      <c r="E1038" t="s">
        <v>5125</v>
      </c>
      <c r="F1038" t="s">
        <v>5126</v>
      </c>
      <c r="G1038" t="s">
        <v>5127</v>
      </c>
      <c r="H1038" t="s">
        <v>3532</v>
      </c>
      <c r="I1038" t="s">
        <v>3490</v>
      </c>
      <c r="J1038" s="56">
        <f t="shared" si="48"/>
        <v>61</v>
      </c>
      <c r="K1038" s="74" t="str">
        <f t="shared" si="49"/>
        <v>61-90 Days</v>
      </c>
      <c r="L1038" s="58" t="str">
        <f t="shared" si="50"/>
        <v>Not Applicable</v>
      </c>
    </row>
    <row r="1039" spans="1:12" ht="16.5" customHeight="1" x14ac:dyDescent="0.35">
      <c r="A1039" t="s">
        <v>463</v>
      </c>
      <c r="B1039" t="s">
        <v>463</v>
      </c>
      <c r="C1039">
        <v>0</v>
      </c>
      <c r="D1039">
        <v>1000</v>
      </c>
      <c r="E1039" t="s">
        <v>5128</v>
      </c>
      <c r="F1039" t="s">
        <v>5128</v>
      </c>
      <c r="G1039" t="s">
        <v>5129</v>
      </c>
      <c r="H1039" t="s">
        <v>3489</v>
      </c>
      <c r="I1039" t="s">
        <v>3490</v>
      </c>
      <c r="J1039" s="56">
        <f t="shared" si="48"/>
        <v>61</v>
      </c>
      <c r="K1039" s="74" t="str">
        <f t="shared" si="49"/>
        <v>61-90 Days</v>
      </c>
      <c r="L1039" s="58" t="str">
        <f t="shared" si="50"/>
        <v>Not Applicable</v>
      </c>
    </row>
    <row r="1040" spans="1:12" ht="16.5" customHeight="1" x14ac:dyDescent="0.35">
      <c r="A1040" t="s">
        <v>463</v>
      </c>
      <c r="B1040" t="s">
        <v>463</v>
      </c>
      <c r="C1040">
        <v>0</v>
      </c>
      <c r="D1040">
        <v>1000</v>
      </c>
      <c r="E1040" t="s">
        <v>5130</v>
      </c>
      <c r="F1040" t="s">
        <v>5131</v>
      </c>
      <c r="G1040" t="s">
        <v>5132</v>
      </c>
      <c r="H1040" t="s">
        <v>3532</v>
      </c>
      <c r="I1040" t="s">
        <v>3490</v>
      </c>
      <c r="J1040" s="56">
        <f t="shared" si="48"/>
        <v>61</v>
      </c>
      <c r="K1040" s="74" t="str">
        <f t="shared" si="49"/>
        <v>61-90 Days</v>
      </c>
      <c r="L1040" s="58" t="str">
        <f t="shared" si="50"/>
        <v>Not Applicable</v>
      </c>
    </row>
    <row r="1041" spans="1:12" ht="16.5" customHeight="1" x14ac:dyDescent="0.35">
      <c r="A1041" t="s">
        <v>463</v>
      </c>
      <c r="B1041" t="s">
        <v>463</v>
      </c>
      <c r="C1041">
        <v>0</v>
      </c>
      <c r="D1041">
        <v>250</v>
      </c>
      <c r="E1041" t="s">
        <v>5133</v>
      </c>
      <c r="F1041" t="s">
        <v>5133</v>
      </c>
      <c r="G1041" t="s">
        <v>5134</v>
      </c>
      <c r="H1041" t="s">
        <v>3489</v>
      </c>
      <c r="I1041" t="s">
        <v>3490</v>
      </c>
      <c r="J1041" s="56">
        <f t="shared" si="48"/>
        <v>61</v>
      </c>
      <c r="K1041" s="74" t="str">
        <f t="shared" si="49"/>
        <v>61-90 Days</v>
      </c>
      <c r="L1041" s="58" t="str">
        <f t="shared" si="50"/>
        <v>Not Applicable</v>
      </c>
    </row>
    <row r="1042" spans="1:12" ht="16.5" customHeight="1" x14ac:dyDescent="0.35">
      <c r="A1042" t="s">
        <v>463</v>
      </c>
      <c r="B1042" t="s">
        <v>463</v>
      </c>
      <c r="C1042">
        <v>0</v>
      </c>
      <c r="D1042">
        <v>1000</v>
      </c>
      <c r="E1042" t="s">
        <v>5135</v>
      </c>
      <c r="F1042" t="s">
        <v>5135</v>
      </c>
      <c r="G1042" t="s">
        <v>5136</v>
      </c>
      <c r="H1042" t="s">
        <v>3489</v>
      </c>
      <c r="I1042" t="s">
        <v>3490</v>
      </c>
      <c r="J1042" s="56">
        <f t="shared" si="48"/>
        <v>61</v>
      </c>
      <c r="K1042" s="74" t="str">
        <f t="shared" si="49"/>
        <v>61-90 Days</v>
      </c>
      <c r="L1042" s="58" t="str">
        <f t="shared" si="50"/>
        <v>Not Applicable</v>
      </c>
    </row>
    <row r="1043" spans="1:12" ht="16.5" customHeight="1" x14ac:dyDescent="0.35">
      <c r="A1043" t="s">
        <v>463</v>
      </c>
      <c r="B1043" t="s">
        <v>463</v>
      </c>
      <c r="C1043">
        <v>0</v>
      </c>
      <c r="D1043">
        <v>1000</v>
      </c>
      <c r="E1043" t="s">
        <v>5137</v>
      </c>
      <c r="F1043" t="s">
        <v>5137</v>
      </c>
      <c r="G1043" t="s">
        <v>5138</v>
      </c>
      <c r="H1043" t="s">
        <v>3489</v>
      </c>
      <c r="I1043" t="s">
        <v>3490</v>
      </c>
      <c r="J1043" s="56">
        <f t="shared" si="48"/>
        <v>61</v>
      </c>
      <c r="K1043" s="74" t="str">
        <f t="shared" si="49"/>
        <v>61-90 Days</v>
      </c>
      <c r="L1043" s="58" t="str">
        <f t="shared" si="50"/>
        <v>Not Applicable</v>
      </c>
    </row>
    <row r="1044" spans="1:12" ht="16.5" customHeight="1" x14ac:dyDescent="0.35">
      <c r="A1044" t="s">
        <v>463</v>
      </c>
      <c r="B1044" t="s">
        <v>463</v>
      </c>
      <c r="C1044">
        <v>110000</v>
      </c>
      <c r="D1044">
        <v>0</v>
      </c>
      <c r="E1044" t="s">
        <v>5139</v>
      </c>
      <c r="F1044" t="s">
        <v>5139</v>
      </c>
      <c r="G1044" t="s">
        <v>5140</v>
      </c>
      <c r="H1044" t="s">
        <v>3455</v>
      </c>
      <c r="I1044" t="s">
        <v>3490</v>
      </c>
      <c r="J1044" s="56">
        <f t="shared" si="48"/>
        <v>61</v>
      </c>
      <c r="K1044" s="74" t="str">
        <f t="shared" si="49"/>
        <v>61-90 Days</v>
      </c>
      <c r="L1044" s="58" t="str">
        <f t="shared" si="50"/>
        <v>Substandard</v>
      </c>
    </row>
    <row r="1045" spans="1:12" ht="16.5" customHeight="1" x14ac:dyDescent="0.35">
      <c r="A1045" t="s">
        <v>463</v>
      </c>
      <c r="B1045" t="s">
        <v>463</v>
      </c>
      <c r="C1045">
        <v>0</v>
      </c>
      <c r="D1045">
        <v>1000</v>
      </c>
      <c r="E1045" t="s">
        <v>5141</v>
      </c>
      <c r="F1045" t="s">
        <v>5141</v>
      </c>
      <c r="G1045" t="s">
        <v>5142</v>
      </c>
      <c r="H1045" t="s">
        <v>3489</v>
      </c>
      <c r="I1045" t="s">
        <v>3490</v>
      </c>
      <c r="J1045" s="56">
        <f t="shared" si="48"/>
        <v>61</v>
      </c>
      <c r="K1045" s="74" t="str">
        <f t="shared" si="49"/>
        <v>61-90 Days</v>
      </c>
      <c r="L1045" s="58" t="str">
        <f t="shared" si="50"/>
        <v>Not Applicable</v>
      </c>
    </row>
    <row r="1046" spans="1:12" ht="16.5" customHeight="1" x14ac:dyDescent="0.35">
      <c r="A1046" t="s">
        <v>463</v>
      </c>
      <c r="B1046" t="s">
        <v>463</v>
      </c>
      <c r="C1046">
        <v>0</v>
      </c>
      <c r="D1046">
        <v>1062</v>
      </c>
      <c r="E1046" t="s">
        <v>5143</v>
      </c>
      <c r="F1046" t="s">
        <v>5144</v>
      </c>
      <c r="G1046" t="s">
        <v>5145</v>
      </c>
      <c r="H1046" t="s">
        <v>3489</v>
      </c>
      <c r="I1046" t="s">
        <v>3486</v>
      </c>
      <c r="J1046" s="56">
        <f t="shared" si="48"/>
        <v>61</v>
      </c>
      <c r="K1046" s="74" t="str">
        <f t="shared" si="49"/>
        <v>61-90 Days</v>
      </c>
      <c r="L1046" s="58" t="str">
        <f t="shared" si="50"/>
        <v>Not Applicable</v>
      </c>
    </row>
    <row r="1047" spans="1:12" ht="16.5" customHeight="1" x14ac:dyDescent="0.35">
      <c r="A1047" t="s">
        <v>463</v>
      </c>
      <c r="B1047" t="s">
        <v>463</v>
      </c>
      <c r="C1047">
        <v>157769.32</v>
      </c>
      <c r="D1047">
        <v>0</v>
      </c>
      <c r="E1047" t="s">
        <v>5146</v>
      </c>
      <c r="F1047" t="s">
        <v>5146</v>
      </c>
      <c r="G1047" t="s">
        <v>5147</v>
      </c>
      <c r="H1047" t="s">
        <v>3455</v>
      </c>
      <c r="I1047" t="s">
        <v>3486</v>
      </c>
      <c r="J1047" s="56">
        <f t="shared" si="48"/>
        <v>61</v>
      </c>
      <c r="K1047" s="74" t="str">
        <f t="shared" si="49"/>
        <v>61-90 Days</v>
      </c>
      <c r="L1047" s="58" t="str">
        <f t="shared" si="50"/>
        <v>Substandard</v>
      </c>
    </row>
    <row r="1048" spans="1:12" ht="16.5" customHeight="1" x14ac:dyDescent="0.35">
      <c r="A1048" t="s">
        <v>463</v>
      </c>
      <c r="B1048" t="s">
        <v>463</v>
      </c>
      <c r="C1048">
        <v>0</v>
      </c>
      <c r="D1048">
        <v>1965</v>
      </c>
      <c r="E1048" t="s">
        <v>5148</v>
      </c>
      <c r="F1048" t="s">
        <v>5148</v>
      </c>
      <c r="G1048" t="s">
        <v>5149</v>
      </c>
      <c r="H1048" t="s">
        <v>3489</v>
      </c>
      <c r="I1048" t="s">
        <v>3490</v>
      </c>
      <c r="J1048" s="56">
        <f t="shared" si="48"/>
        <v>61</v>
      </c>
      <c r="K1048" s="74" t="str">
        <f t="shared" si="49"/>
        <v>61-90 Days</v>
      </c>
      <c r="L1048" s="58" t="str">
        <f t="shared" si="50"/>
        <v>Not Applicable</v>
      </c>
    </row>
    <row r="1049" spans="1:12" ht="16.5" customHeight="1" x14ac:dyDescent="0.35">
      <c r="A1049" t="s">
        <v>463</v>
      </c>
      <c r="B1049" t="s">
        <v>463</v>
      </c>
      <c r="C1049">
        <v>0</v>
      </c>
      <c r="D1049">
        <v>1000</v>
      </c>
      <c r="E1049" t="s">
        <v>5150</v>
      </c>
      <c r="F1049" t="s">
        <v>5151</v>
      </c>
      <c r="G1049" t="s">
        <v>5152</v>
      </c>
      <c r="H1049" t="s">
        <v>3532</v>
      </c>
      <c r="I1049" t="s">
        <v>3490</v>
      </c>
      <c r="J1049" s="56">
        <f t="shared" si="48"/>
        <v>61</v>
      </c>
      <c r="K1049" s="74" t="str">
        <f t="shared" si="49"/>
        <v>61-90 Days</v>
      </c>
      <c r="L1049" s="58" t="str">
        <f t="shared" si="50"/>
        <v>Not Applicable</v>
      </c>
    </row>
    <row r="1050" spans="1:12" ht="16.5" customHeight="1" x14ac:dyDescent="0.35">
      <c r="A1050" t="s">
        <v>463</v>
      </c>
      <c r="B1050" t="s">
        <v>463</v>
      </c>
      <c r="C1050">
        <v>0</v>
      </c>
      <c r="D1050">
        <v>1000</v>
      </c>
      <c r="E1050" t="s">
        <v>5153</v>
      </c>
      <c r="F1050" t="s">
        <v>5153</v>
      </c>
      <c r="G1050" t="s">
        <v>5154</v>
      </c>
      <c r="H1050" t="s">
        <v>3489</v>
      </c>
      <c r="I1050" t="s">
        <v>3490</v>
      </c>
      <c r="J1050" s="56">
        <f t="shared" si="48"/>
        <v>61</v>
      </c>
      <c r="K1050" s="74" t="str">
        <f t="shared" si="49"/>
        <v>61-90 Days</v>
      </c>
      <c r="L1050" s="58" t="str">
        <f t="shared" si="50"/>
        <v>Not Applicable</v>
      </c>
    </row>
    <row r="1051" spans="1:12" ht="16.5" customHeight="1" x14ac:dyDescent="0.35">
      <c r="A1051" t="s">
        <v>463</v>
      </c>
      <c r="B1051" t="s">
        <v>463</v>
      </c>
      <c r="C1051">
        <v>0</v>
      </c>
      <c r="D1051">
        <v>20000</v>
      </c>
      <c r="E1051" t="s">
        <v>5155</v>
      </c>
      <c r="F1051" t="s">
        <v>5156</v>
      </c>
      <c r="G1051" t="s">
        <v>5157</v>
      </c>
      <c r="H1051" t="s">
        <v>3489</v>
      </c>
      <c r="I1051" t="s">
        <v>3486</v>
      </c>
      <c r="J1051" s="56">
        <f t="shared" si="48"/>
        <v>61</v>
      </c>
      <c r="K1051" s="74" t="str">
        <f t="shared" si="49"/>
        <v>61-90 Days</v>
      </c>
      <c r="L1051" s="58" t="str">
        <f t="shared" si="50"/>
        <v>Not Applicable</v>
      </c>
    </row>
    <row r="1052" spans="1:12" ht="16.5" customHeight="1" x14ac:dyDescent="0.35">
      <c r="A1052" t="s">
        <v>463</v>
      </c>
      <c r="B1052" t="s">
        <v>463</v>
      </c>
      <c r="C1052">
        <v>0</v>
      </c>
      <c r="D1052">
        <v>3558.5</v>
      </c>
      <c r="E1052" t="s">
        <v>5158</v>
      </c>
      <c r="F1052" t="s">
        <v>5158</v>
      </c>
      <c r="G1052" t="s">
        <v>5159</v>
      </c>
      <c r="H1052" t="s">
        <v>3489</v>
      </c>
      <c r="I1052" t="s">
        <v>3490</v>
      </c>
      <c r="J1052" s="56">
        <f t="shared" si="48"/>
        <v>61</v>
      </c>
      <c r="K1052" s="74" t="str">
        <f t="shared" si="49"/>
        <v>61-90 Days</v>
      </c>
      <c r="L1052" s="58" t="str">
        <f t="shared" si="50"/>
        <v>Not Applicable</v>
      </c>
    </row>
    <row r="1053" spans="1:12" ht="16.5" customHeight="1" x14ac:dyDescent="0.35">
      <c r="A1053" t="s">
        <v>463</v>
      </c>
      <c r="B1053" t="s">
        <v>463</v>
      </c>
      <c r="C1053">
        <v>0</v>
      </c>
      <c r="D1053">
        <v>2050</v>
      </c>
      <c r="E1053" t="s">
        <v>5160</v>
      </c>
      <c r="F1053" t="s">
        <v>5160</v>
      </c>
      <c r="G1053" t="s">
        <v>5161</v>
      </c>
      <c r="H1053" t="s">
        <v>3532</v>
      </c>
      <c r="I1053" t="s">
        <v>3490</v>
      </c>
      <c r="J1053" s="56">
        <f t="shared" si="48"/>
        <v>61</v>
      </c>
      <c r="K1053" s="74" t="str">
        <f t="shared" si="49"/>
        <v>61-90 Days</v>
      </c>
      <c r="L1053" s="58" t="str">
        <f t="shared" si="50"/>
        <v>Not Applicable</v>
      </c>
    </row>
    <row r="1054" spans="1:12" ht="16.5" customHeight="1" x14ac:dyDescent="0.35">
      <c r="A1054" t="s">
        <v>463</v>
      </c>
      <c r="B1054" t="s">
        <v>463</v>
      </c>
      <c r="C1054">
        <v>0</v>
      </c>
      <c r="D1054">
        <v>1650</v>
      </c>
      <c r="E1054" t="s">
        <v>5162</v>
      </c>
      <c r="F1054" t="s">
        <v>5163</v>
      </c>
      <c r="G1054" t="s">
        <v>5164</v>
      </c>
      <c r="H1054" t="s">
        <v>3489</v>
      </c>
      <c r="I1054" t="s">
        <v>3486</v>
      </c>
      <c r="J1054" s="56">
        <f t="shared" si="48"/>
        <v>61</v>
      </c>
      <c r="K1054" s="74" t="str">
        <f t="shared" si="49"/>
        <v>61-90 Days</v>
      </c>
      <c r="L1054" s="58" t="str">
        <f t="shared" si="50"/>
        <v>Not Applicable</v>
      </c>
    </row>
    <row r="1055" spans="1:12" ht="16.5" customHeight="1" x14ac:dyDescent="0.35">
      <c r="A1055" t="s">
        <v>463</v>
      </c>
      <c r="B1055" t="s">
        <v>463</v>
      </c>
      <c r="C1055">
        <v>0</v>
      </c>
      <c r="D1055">
        <v>1170</v>
      </c>
      <c r="E1055" t="s">
        <v>5165</v>
      </c>
      <c r="F1055" t="s">
        <v>3499</v>
      </c>
      <c r="G1055" t="s">
        <v>5166</v>
      </c>
      <c r="H1055" t="s">
        <v>3489</v>
      </c>
      <c r="I1055" t="s">
        <v>3490</v>
      </c>
      <c r="J1055" s="56">
        <f t="shared" si="48"/>
        <v>61</v>
      </c>
      <c r="K1055" s="74" t="str">
        <f t="shared" si="49"/>
        <v>61-90 Days</v>
      </c>
      <c r="L1055" s="58" t="str">
        <f t="shared" si="50"/>
        <v>Not Applicable</v>
      </c>
    </row>
    <row r="1056" spans="1:12" ht="16.5" customHeight="1" x14ac:dyDescent="0.35">
      <c r="A1056" t="s">
        <v>463</v>
      </c>
      <c r="B1056" t="s">
        <v>463</v>
      </c>
      <c r="C1056">
        <v>0</v>
      </c>
      <c r="D1056">
        <v>1000</v>
      </c>
      <c r="E1056" t="s">
        <v>5167</v>
      </c>
      <c r="F1056" t="s">
        <v>5167</v>
      </c>
      <c r="G1056" t="s">
        <v>5168</v>
      </c>
      <c r="H1056" t="s">
        <v>3489</v>
      </c>
      <c r="I1056" t="s">
        <v>3490</v>
      </c>
      <c r="J1056" s="56">
        <f t="shared" si="48"/>
        <v>61</v>
      </c>
      <c r="K1056" s="74" t="str">
        <f t="shared" si="49"/>
        <v>61-90 Days</v>
      </c>
      <c r="L1056" s="58" t="str">
        <f t="shared" si="50"/>
        <v>Not Applicable</v>
      </c>
    </row>
    <row r="1057" spans="1:12" ht="16.5" customHeight="1" x14ac:dyDescent="0.35">
      <c r="A1057" t="s">
        <v>463</v>
      </c>
      <c r="B1057" t="s">
        <v>463</v>
      </c>
      <c r="C1057">
        <v>0</v>
      </c>
      <c r="D1057">
        <v>2050</v>
      </c>
      <c r="E1057" t="s">
        <v>5169</v>
      </c>
      <c r="F1057" t="s">
        <v>5169</v>
      </c>
      <c r="G1057" t="s">
        <v>5170</v>
      </c>
      <c r="H1057" t="s">
        <v>3489</v>
      </c>
      <c r="I1057" t="s">
        <v>3490</v>
      </c>
      <c r="J1057" s="56">
        <f t="shared" si="48"/>
        <v>61</v>
      </c>
      <c r="K1057" s="74" t="str">
        <f t="shared" si="49"/>
        <v>61-90 Days</v>
      </c>
      <c r="L1057" s="58" t="str">
        <f t="shared" si="50"/>
        <v>Not Applicable</v>
      </c>
    </row>
    <row r="1058" spans="1:12" ht="16.5" customHeight="1" x14ac:dyDescent="0.35">
      <c r="A1058" t="s">
        <v>482</v>
      </c>
      <c r="B1058" t="s">
        <v>482</v>
      </c>
      <c r="C1058">
        <v>0</v>
      </c>
      <c r="D1058">
        <v>190</v>
      </c>
      <c r="E1058" t="s">
        <v>5171</v>
      </c>
      <c r="F1058" t="s">
        <v>5172</v>
      </c>
      <c r="G1058" t="s">
        <v>5173</v>
      </c>
      <c r="H1058" t="s">
        <v>3532</v>
      </c>
      <c r="I1058" t="s">
        <v>3490</v>
      </c>
      <c r="J1058" s="56">
        <f t="shared" si="48"/>
        <v>60</v>
      </c>
      <c r="K1058" s="74" t="str">
        <f t="shared" si="49"/>
        <v>31-60 Days</v>
      </c>
      <c r="L1058" s="58" t="str">
        <f t="shared" si="50"/>
        <v>Not Applicable</v>
      </c>
    </row>
    <row r="1059" spans="1:12" ht="16.5" customHeight="1" x14ac:dyDescent="0.35">
      <c r="A1059" t="s">
        <v>482</v>
      </c>
      <c r="B1059" t="s">
        <v>482</v>
      </c>
      <c r="C1059">
        <v>0</v>
      </c>
      <c r="D1059">
        <v>856</v>
      </c>
      <c r="E1059" t="s">
        <v>5174</v>
      </c>
      <c r="F1059" t="s">
        <v>5175</v>
      </c>
      <c r="G1059" t="s">
        <v>5176</v>
      </c>
      <c r="H1059" t="s">
        <v>3532</v>
      </c>
      <c r="I1059" t="s">
        <v>3490</v>
      </c>
      <c r="J1059" s="56">
        <f t="shared" si="48"/>
        <v>60</v>
      </c>
      <c r="K1059" s="74" t="str">
        <f t="shared" si="49"/>
        <v>31-60 Days</v>
      </c>
      <c r="L1059" s="58" t="str">
        <f t="shared" si="50"/>
        <v>Not Applicable</v>
      </c>
    </row>
    <row r="1060" spans="1:12" ht="16.5" customHeight="1" x14ac:dyDescent="0.35">
      <c r="A1060" t="s">
        <v>482</v>
      </c>
      <c r="B1060" t="s">
        <v>482</v>
      </c>
      <c r="C1060">
        <v>0</v>
      </c>
      <c r="D1060">
        <v>250</v>
      </c>
      <c r="E1060" t="s">
        <v>5177</v>
      </c>
      <c r="F1060" t="s">
        <v>5178</v>
      </c>
      <c r="G1060" t="s">
        <v>5179</v>
      </c>
      <c r="H1060" t="s">
        <v>3532</v>
      </c>
      <c r="I1060" t="s">
        <v>3490</v>
      </c>
      <c r="J1060" s="56">
        <f t="shared" si="48"/>
        <v>60</v>
      </c>
      <c r="K1060" s="74" t="str">
        <f t="shared" si="49"/>
        <v>31-60 Days</v>
      </c>
      <c r="L1060" s="58" t="str">
        <f t="shared" si="50"/>
        <v>Not Applicable</v>
      </c>
    </row>
    <row r="1061" spans="1:12" ht="16.5" customHeight="1" x14ac:dyDescent="0.35">
      <c r="A1061" t="s">
        <v>482</v>
      </c>
      <c r="B1061" t="s">
        <v>482</v>
      </c>
      <c r="C1061">
        <v>0</v>
      </c>
      <c r="D1061">
        <v>856</v>
      </c>
      <c r="E1061" t="s">
        <v>5180</v>
      </c>
      <c r="F1061" t="s">
        <v>5181</v>
      </c>
      <c r="G1061" t="s">
        <v>5182</v>
      </c>
      <c r="H1061" t="s">
        <v>3532</v>
      </c>
      <c r="I1061" t="s">
        <v>3490</v>
      </c>
      <c r="J1061" s="56">
        <f t="shared" si="48"/>
        <v>60</v>
      </c>
      <c r="K1061" s="74" t="str">
        <f t="shared" si="49"/>
        <v>31-60 Days</v>
      </c>
      <c r="L1061" s="58" t="str">
        <f t="shared" si="50"/>
        <v>Not Applicable</v>
      </c>
    </row>
    <row r="1062" spans="1:12" ht="16.5" customHeight="1" x14ac:dyDescent="0.35">
      <c r="A1062" t="s">
        <v>482</v>
      </c>
      <c r="B1062" t="s">
        <v>482</v>
      </c>
      <c r="C1062">
        <v>0</v>
      </c>
      <c r="D1062">
        <v>637.20000000000005</v>
      </c>
      <c r="E1062" t="s">
        <v>5183</v>
      </c>
      <c r="F1062" t="s">
        <v>5183</v>
      </c>
      <c r="G1062" t="s">
        <v>5184</v>
      </c>
      <c r="H1062" t="s">
        <v>3489</v>
      </c>
      <c r="I1062" t="s">
        <v>3490</v>
      </c>
      <c r="J1062" s="56">
        <f t="shared" si="48"/>
        <v>60</v>
      </c>
      <c r="K1062" s="74" t="str">
        <f t="shared" si="49"/>
        <v>31-60 Days</v>
      </c>
      <c r="L1062" s="58" t="str">
        <f t="shared" si="50"/>
        <v>Not Applicable</v>
      </c>
    </row>
    <row r="1063" spans="1:12" ht="16.5" customHeight="1" x14ac:dyDescent="0.35">
      <c r="A1063" t="s">
        <v>482</v>
      </c>
      <c r="B1063" t="s">
        <v>482</v>
      </c>
      <c r="C1063">
        <v>0</v>
      </c>
      <c r="D1063">
        <v>1000</v>
      </c>
      <c r="E1063" t="s">
        <v>5185</v>
      </c>
      <c r="F1063" t="s">
        <v>3574</v>
      </c>
      <c r="G1063" t="s">
        <v>5186</v>
      </c>
      <c r="H1063" t="s">
        <v>3489</v>
      </c>
      <c r="I1063" t="s">
        <v>3490</v>
      </c>
      <c r="J1063" s="56">
        <f t="shared" si="48"/>
        <v>60</v>
      </c>
      <c r="K1063" s="74" t="str">
        <f t="shared" si="49"/>
        <v>31-60 Days</v>
      </c>
      <c r="L1063" s="58" t="str">
        <f t="shared" si="50"/>
        <v>Not Applicable</v>
      </c>
    </row>
    <row r="1064" spans="1:12" ht="16.5" customHeight="1" x14ac:dyDescent="0.35">
      <c r="A1064" t="s">
        <v>482</v>
      </c>
      <c r="B1064" t="s">
        <v>482</v>
      </c>
      <c r="C1064">
        <v>0</v>
      </c>
      <c r="D1064">
        <v>856</v>
      </c>
      <c r="E1064" t="s">
        <v>5187</v>
      </c>
      <c r="F1064" t="s">
        <v>5188</v>
      </c>
      <c r="G1064" t="s">
        <v>5189</v>
      </c>
      <c r="H1064" t="s">
        <v>3532</v>
      </c>
      <c r="I1064" t="s">
        <v>3490</v>
      </c>
      <c r="J1064" s="56">
        <f t="shared" si="48"/>
        <v>60</v>
      </c>
      <c r="K1064" s="74" t="str">
        <f t="shared" si="49"/>
        <v>31-60 Days</v>
      </c>
      <c r="L1064" s="58" t="str">
        <f t="shared" si="50"/>
        <v>Not Applicable</v>
      </c>
    </row>
    <row r="1065" spans="1:12" ht="16.5" customHeight="1" x14ac:dyDescent="0.35">
      <c r="A1065" t="s">
        <v>482</v>
      </c>
      <c r="B1065" t="s">
        <v>482</v>
      </c>
      <c r="C1065">
        <v>0</v>
      </c>
      <c r="D1065">
        <v>1000</v>
      </c>
      <c r="E1065" t="s">
        <v>5190</v>
      </c>
      <c r="F1065" t="s">
        <v>5190</v>
      </c>
      <c r="G1065" t="s">
        <v>5191</v>
      </c>
      <c r="H1065" t="s">
        <v>3489</v>
      </c>
      <c r="I1065" t="s">
        <v>3490</v>
      </c>
      <c r="J1065" s="56">
        <f t="shared" si="48"/>
        <v>60</v>
      </c>
      <c r="K1065" s="74" t="str">
        <f t="shared" si="49"/>
        <v>31-60 Days</v>
      </c>
      <c r="L1065" s="58" t="str">
        <f t="shared" si="50"/>
        <v>Not Applicable</v>
      </c>
    </row>
    <row r="1066" spans="1:12" ht="16.5" customHeight="1" x14ac:dyDescent="0.35">
      <c r="A1066" t="s">
        <v>482</v>
      </c>
      <c r="B1066" t="s">
        <v>482</v>
      </c>
      <c r="C1066">
        <v>0</v>
      </c>
      <c r="D1066">
        <v>84</v>
      </c>
      <c r="E1066" t="s">
        <v>5192</v>
      </c>
      <c r="F1066" t="s">
        <v>5193</v>
      </c>
      <c r="G1066" t="s">
        <v>5194</v>
      </c>
      <c r="H1066" t="s">
        <v>3532</v>
      </c>
      <c r="I1066" t="s">
        <v>3490</v>
      </c>
      <c r="J1066" s="56">
        <f t="shared" si="48"/>
        <v>60</v>
      </c>
      <c r="K1066" s="74" t="str">
        <f t="shared" si="49"/>
        <v>31-60 Days</v>
      </c>
      <c r="L1066" s="58" t="str">
        <f t="shared" si="50"/>
        <v>Not Applicable</v>
      </c>
    </row>
    <row r="1067" spans="1:12" ht="16.5" customHeight="1" x14ac:dyDescent="0.35">
      <c r="A1067" t="s">
        <v>482</v>
      </c>
      <c r="B1067" t="s">
        <v>482</v>
      </c>
      <c r="C1067">
        <v>0</v>
      </c>
      <c r="D1067">
        <v>1000</v>
      </c>
      <c r="E1067" t="s">
        <v>5195</v>
      </c>
      <c r="F1067" t="s">
        <v>5196</v>
      </c>
      <c r="G1067" t="s">
        <v>5197</v>
      </c>
      <c r="H1067" t="s">
        <v>3489</v>
      </c>
      <c r="I1067" t="s">
        <v>3490</v>
      </c>
      <c r="J1067" s="56">
        <f t="shared" si="48"/>
        <v>60</v>
      </c>
      <c r="K1067" s="74" t="str">
        <f t="shared" si="49"/>
        <v>31-60 Days</v>
      </c>
      <c r="L1067" s="58" t="str">
        <f t="shared" si="50"/>
        <v>Not Applicable</v>
      </c>
    </row>
    <row r="1068" spans="1:12" ht="16.5" customHeight="1" x14ac:dyDescent="0.35">
      <c r="A1068" t="s">
        <v>482</v>
      </c>
      <c r="B1068" t="s">
        <v>482</v>
      </c>
      <c r="C1068">
        <v>0</v>
      </c>
      <c r="D1068">
        <v>1000</v>
      </c>
      <c r="E1068" t="s">
        <v>5198</v>
      </c>
      <c r="F1068" t="s">
        <v>5198</v>
      </c>
      <c r="G1068" t="s">
        <v>5199</v>
      </c>
      <c r="H1068" t="s">
        <v>3489</v>
      </c>
      <c r="I1068" t="s">
        <v>3490</v>
      </c>
      <c r="J1068" s="56">
        <f t="shared" si="48"/>
        <v>60</v>
      </c>
      <c r="K1068" s="74" t="str">
        <f t="shared" si="49"/>
        <v>31-60 Days</v>
      </c>
      <c r="L1068" s="58" t="str">
        <f t="shared" si="50"/>
        <v>Not Applicable</v>
      </c>
    </row>
    <row r="1069" spans="1:12" ht="16.5" customHeight="1" x14ac:dyDescent="0.35">
      <c r="A1069" t="s">
        <v>482</v>
      </c>
      <c r="B1069" t="s">
        <v>482</v>
      </c>
      <c r="C1069">
        <v>0</v>
      </c>
      <c r="D1069">
        <v>637.20000000000005</v>
      </c>
      <c r="E1069" t="s">
        <v>5200</v>
      </c>
      <c r="F1069" t="s">
        <v>5200</v>
      </c>
      <c r="G1069" t="s">
        <v>5201</v>
      </c>
      <c r="H1069" t="s">
        <v>3489</v>
      </c>
      <c r="I1069" t="s">
        <v>3490</v>
      </c>
      <c r="J1069" s="56">
        <f t="shared" si="48"/>
        <v>60</v>
      </c>
      <c r="K1069" s="74" t="str">
        <f t="shared" si="49"/>
        <v>31-60 Days</v>
      </c>
      <c r="L1069" s="58" t="str">
        <f t="shared" si="50"/>
        <v>Not Applicable</v>
      </c>
    </row>
    <row r="1070" spans="1:12" ht="16.5" customHeight="1" x14ac:dyDescent="0.35">
      <c r="A1070" t="s">
        <v>482</v>
      </c>
      <c r="B1070" t="s">
        <v>482</v>
      </c>
      <c r="C1070">
        <v>0</v>
      </c>
      <c r="D1070">
        <v>856</v>
      </c>
      <c r="E1070" t="s">
        <v>5202</v>
      </c>
      <c r="F1070" t="s">
        <v>5203</v>
      </c>
      <c r="G1070" t="s">
        <v>5204</v>
      </c>
      <c r="H1070" t="s">
        <v>3532</v>
      </c>
      <c r="I1070" t="s">
        <v>3490</v>
      </c>
      <c r="J1070" s="56">
        <f t="shared" si="48"/>
        <v>60</v>
      </c>
      <c r="K1070" s="74" t="str">
        <f t="shared" si="49"/>
        <v>31-60 Days</v>
      </c>
      <c r="L1070" s="58" t="str">
        <f t="shared" si="50"/>
        <v>Not Applicable</v>
      </c>
    </row>
    <row r="1071" spans="1:12" ht="16.5" customHeight="1" x14ac:dyDescent="0.35">
      <c r="A1071" t="s">
        <v>482</v>
      </c>
      <c r="B1071" t="s">
        <v>482</v>
      </c>
      <c r="C1071">
        <v>1031039.82</v>
      </c>
      <c r="D1071">
        <v>0</v>
      </c>
      <c r="E1071" t="s">
        <v>5205</v>
      </c>
      <c r="F1071" t="s">
        <v>5205</v>
      </c>
      <c r="G1071" t="s">
        <v>5206</v>
      </c>
      <c r="H1071" t="s">
        <v>3455</v>
      </c>
      <c r="I1071" t="s">
        <v>3486</v>
      </c>
      <c r="J1071" s="56">
        <f t="shared" si="48"/>
        <v>60</v>
      </c>
      <c r="K1071" s="74" t="str">
        <f t="shared" si="49"/>
        <v>31-60 Days</v>
      </c>
      <c r="L1071" s="58" t="str">
        <f t="shared" si="50"/>
        <v>Substandard</v>
      </c>
    </row>
    <row r="1072" spans="1:12" ht="16.5" customHeight="1" x14ac:dyDescent="0.35">
      <c r="A1072" t="s">
        <v>482</v>
      </c>
      <c r="B1072" t="s">
        <v>482</v>
      </c>
      <c r="C1072">
        <v>0</v>
      </c>
      <c r="D1072">
        <v>1416</v>
      </c>
      <c r="E1072" t="s">
        <v>5207</v>
      </c>
      <c r="F1072" t="s">
        <v>3574</v>
      </c>
      <c r="G1072" t="s">
        <v>5208</v>
      </c>
      <c r="H1072" t="s">
        <v>3489</v>
      </c>
      <c r="I1072" t="s">
        <v>3490</v>
      </c>
      <c r="J1072" s="56">
        <f t="shared" si="48"/>
        <v>60</v>
      </c>
      <c r="K1072" s="74" t="str">
        <f t="shared" si="49"/>
        <v>31-60 Days</v>
      </c>
      <c r="L1072" s="58" t="str">
        <f t="shared" si="50"/>
        <v>Not Applicable</v>
      </c>
    </row>
    <row r="1073" spans="1:12" ht="16.5" customHeight="1" x14ac:dyDescent="0.35">
      <c r="A1073" t="s">
        <v>482</v>
      </c>
      <c r="B1073" t="s">
        <v>482</v>
      </c>
      <c r="C1073">
        <v>0</v>
      </c>
      <c r="D1073">
        <v>1000</v>
      </c>
      <c r="E1073" t="s">
        <v>5209</v>
      </c>
      <c r="F1073" t="s">
        <v>5209</v>
      </c>
      <c r="G1073" t="s">
        <v>5210</v>
      </c>
      <c r="H1073" t="s">
        <v>3489</v>
      </c>
      <c r="I1073" t="s">
        <v>3490</v>
      </c>
      <c r="J1073" s="56">
        <f t="shared" si="48"/>
        <v>60</v>
      </c>
      <c r="K1073" s="74" t="str">
        <f t="shared" si="49"/>
        <v>31-60 Days</v>
      </c>
      <c r="L1073" s="58" t="str">
        <f t="shared" si="50"/>
        <v>Not Applicable</v>
      </c>
    </row>
    <row r="1074" spans="1:12" ht="16.5" customHeight="1" x14ac:dyDescent="0.35">
      <c r="A1074" t="s">
        <v>482</v>
      </c>
      <c r="B1074" t="s">
        <v>482</v>
      </c>
      <c r="C1074">
        <v>0</v>
      </c>
      <c r="D1074">
        <v>14991.9</v>
      </c>
      <c r="E1074" t="s">
        <v>5211</v>
      </c>
      <c r="F1074" t="s">
        <v>5211</v>
      </c>
      <c r="G1074" t="s">
        <v>5212</v>
      </c>
      <c r="H1074" t="s">
        <v>3489</v>
      </c>
      <c r="I1074" t="s">
        <v>3490</v>
      </c>
      <c r="J1074" s="56">
        <f t="shared" si="48"/>
        <v>60</v>
      </c>
      <c r="K1074" s="74" t="str">
        <f t="shared" si="49"/>
        <v>31-60 Days</v>
      </c>
      <c r="L1074" s="58" t="str">
        <f t="shared" si="50"/>
        <v>Not Applicable</v>
      </c>
    </row>
    <row r="1075" spans="1:12" ht="16.5" customHeight="1" x14ac:dyDescent="0.35">
      <c r="A1075" t="s">
        <v>482</v>
      </c>
      <c r="B1075" t="s">
        <v>482</v>
      </c>
      <c r="C1075">
        <v>0</v>
      </c>
      <c r="D1075">
        <v>2650</v>
      </c>
      <c r="E1075" t="s">
        <v>5213</v>
      </c>
      <c r="F1075" t="s">
        <v>5214</v>
      </c>
      <c r="G1075" t="s">
        <v>5215</v>
      </c>
      <c r="H1075" t="s">
        <v>3494</v>
      </c>
      <c r="I1075" t="s">
        <v>3490</v>
      </c>
      <c r="J1075" s="56">
        <f t="shared" si="48"/>
        <v>60</v>
      </c>
      <c r="K1075" s="74" t="str">
        <f t="shared" si="49"/>
        <v>31-60 Days</v>
      </c>
      <c r="L1075" s="58" t="str">
        <f t="shared" si="50"/>
        <v>Not Applicable</v>
      </c>
    </row>
    <row r="1076" spans="1:12" ht="16.5" customHeight="1" x14ac:dyDescent="0.35">
      <c r="A1076" t="s">
        <v>482</v>
      </c>
      <c r="B1076" t="s">
        <v>482</v>
      </c>
      <c r="C1076">
        <v>0</v>
      </c>
      <c r="D1076">
        <v>2187.5</v>
      </c>
      <c r="E1076" t="s">
        <v>5216</v>
      </c>
      <c r="F1076" t="s">
        <v>5217</v>
      </c>
      <c r="G1076" t="s">
        <v>5218</v>
      </c>
      <c r="H1076" t="s">
        <v>3489</v>
      </c>
      <c r="I1076" t="s">
        <v>3486</v>
      </c>
      <c r="J1076" s="56">
        <f t="shared" si="48"/>
        <v>60</v>
      </c>
      <c r="K1076" s="74" t="str">
        <f t="shared" si="49"/>
        <v>31-60 Days</v>
      </c>
      <c r="L1076" s="58" t="str">
        <f t="shared" si="50"/>
        <v>Not Applicable</v>
      </c>
    </row>
    <row r="1077" spans="1:12" ht="16.5" customHeight="1" x14ac:dyDescent="0.35">
      <c r="A1077" t="s">
        <v>482</v>
      </c>
      <c r="B1077" t="s">
        <v>482</v>
      </c>
      <c r="C1077">
        <v>0</v>
      </c>
      <c r="D1077">
        <v>856</v>
      </c>
      <c r="E1077" t="s">
        <v>5219</v>
      </c>
      <c r="F1077" t="s">
        <v>5220</v>
      </c>
      <c r="G1077" t="s">
        <v>5221</v>
      </c>
      <c r="H1077" t="s">
        <v>3532</v>
      </c>
      <c r="I1077" t="s">
        <v>3490</v>
      </c>
      <c r="J1077" s="56">
        <f t="shared" si="48"/>
        <v>60</v>
      </c>
      <c r="K1077" s="74" t="str">
        <f t="shared" si="49"/>
        <v>31-60 Days</v>
      </c>
      <c r="L1077" s="58" t="str">
        <f t="shared" si="50"/>
        <v>Not Applicable</v>
      </c>
    </row>
    <row r="1078" spans="1:12" ht="16.5" customHeight="1" x14ac:dyDescent="0.35">
      <c r="A1078" t="s">
        <v>482</v>
      </c>
      <c r="B1078" t="s">
        <v>482</v>
      </c>
      <c r="C1078">
        <v>0</v>
      </c>
      <c r="D1078">
        <v>637.20000000000005</v>
      </c>
      <c r="E1078" t="s">
        <v>5222</v>
      </c>
      <c r="F1078" t="s">
        <v>5222</v>
      </c>
      <c r="G1078" t="s">
        <v>5223</v>
      </c>
      <c r="H1078" t="s">
        <v>3489</v>
      </c>
      <c r="I1078" t="s">
        <v>3490</v>
      </c>
      <c r="J1078" s="56">
        <f t="shared" si="48"/>
        <v>60</v>
      </c>
      <c r="K1078" s="74" t="str">
        <f t="shared" si="49"/>
        <v>31-60 Days</v>
      </c>
      <c r="L1078" s="58" t="str">
        <f t="shared" si="50"/>
        <v>Not Applicable</v>
      </c>
    </row>
    <row r="1079" spans="1:12" ht="16.5" customHeight="1" x14ac:dyDescent="0.35">
      <c r="A1079" t="s">
        <v>482</v>
      </c>
      <c r="B1079" t="s">
        <v>482</v>
      </c>
      <c r="C1079">
        <v>0</v>
      </c>
      <c r="D1079">
        <v>20673.599999999999</v>
      </c>
      <c r="E1079" t="s">
        <v>5224</v>
      </c>
      <c r="F1079" t="s">
        <v>5224</v>
      </c>
      <c r="G1079" t="s">
        <v>5225</v>
      </c>
      <c r="H1079" t="s">
        <v>3489</v>
      </c>
      <c r="I1079" t="s">
        <v>3490</v>
      </c>
      <c r="J1079" s="56">
        <f t="shared" si="48"/>
        <v>60</v>
      </c>
      <c r="K1079" s="74" t="str">
        <f t="shared" si="49"/>
        <v>31-60 Days</v>
      </c>
      <c r="L1079" s="58" t="str">
        <f t="shared" si="50"/>
        <v>Not Applicable</v>
      </c>
    </row>
    <row r="1080" spans="1:12" ht="16.5" customHeight="1" x14ac:dyDescent="0.35">
      <c r="A1080" t="s">
        <v>482</v>
      </c>
      <c r="B1080" t="s">
        <v>482</v>
      </c>
      <c r="C1080">
        <v>0</v>
      </c>
      <c r="D1080">
        <v>1395</v>
      </c>
      <c r="E1080" t="s">
        <v>5226</v>
      </c>
      <c r="F1080" t="s">
        <v>5227</v>
      </c>
      <c r="G1080" t="s">
        <v>5228</v>
      </c>
      <c r="H1080" t="s">
        <v>3532</v>
      </c>
      <c r="I1080" t="s">
        <v>3490</v>
      </c>
      <c r="J1080" s="56">
        <f t="shared" si="48"/>
        <v>60</v>
      </c>
      <c r="K1080" s="74" t="str">
        <f t="shared" si="49"/>
        <v>31-60 Days</v>
      </c>
      <c r="L1080" s="58" t="str">
        <f t="shared" si="50"/>
        <v>Not Applicable</v>
      </c>
    </row>
    <row r="1081" spans="1:12" ht="16.5" customHeight="1" x14ac:dyDescent="0.35">
      <c r="A1081" t="s">
        <v>482</v>
      </c>
      <c r="B1081" t="s">
        <v>482</v>
      </c>
      <c r="C1081">
        <v>0</v>
      </c>
      <c r="D1081">
        <v>180000</v>
      </c>
      <c r="E1081" t="s">
        <v>5229</v>
      </c>
      <c r="F1081" t="s">
        <v>5229</v>
      </c>
      <c r="G1081" t="s">
        <v>5230</v>
      </c>
      <c r="H1081" t="s">
        <v>3521</v>
      </c>
      <c r="I1081" t="s">
        <v>3490</v>
      </c>
      <c r="J1081" s="56">
        <f t="shared" si="48"/>
        <v>60</v>
      </c>
      <c r="K1081" s="74" t="str">
        <f t="shared" si="49"/>
        <v>31-60 Days</v>
      </c>
      <c r="L1081" s="58" t="str">
        <f t="shared" si="50"/>
        <v>Not Applicable</v>
      </c>
    </row>
    <row r="1082" spans="1:12" ht="16.5" customHeight="1" x14ac:dyDescent="0.35">
      <c r="A1082" t="s">
        <v>482</v>
      </c>
      <c r="B1082" t="s">
        <v>482</v>
      </c>
      <c r="C1082">
        <v>0</v>
      </c>
      <c r="D1082">
        <v>856</v>
      </c>
      <c r="E1082" t="s">
        <v>5231</v>
      </c>
      <c r="F1082" t="s">
        <v>5232</v>
      </c>
      <c r="G1082" t="s">
        <v>5233</v>
      </c>
      <c r="H1082" t="s">
        <v>3532</v>
      </c>
      <c r="I1082" t="s">
        <v>3490</v>
      </c>
      <c r="J1082" s="56">
        <f t="shared" si="48"/>
        <v>60</v>
      </c>
      <c r="K1082" s="74" t="str">
        <f t="shared" si="49"/>
        <v>31-60 Days</v>
      </c>
      <c r="L1082" s="58" t="str">
        <f t="shared" si="50"/>
        <v>Not Applicable</v>
      </c>
    </row>
    <row r="1083" spans="1:12" ht="16.5" customHeight="1" x14ac:dyDescent="0.35">
      <c r="A1083" t="s">
        <v>482</v>
      </c>
      <c r="B1083" t="s">
        <v>482</v>
      </c>
      <c r="C1083">
        <v>0</v>
      </c>
      <c r="D1083">
        <v>63</v>
      </c>
      <c r="E1083" t="s">
        <v>5234</v>
      </c>
      <c r="F1083" t="s">
        <v>5235</v>
      </c>
      <c r="G1083" t="s">
        <v>5236</v>
      </c>
      <c r="H1083" t="s">
        <v>3532</v>
      </c>
      <c r="I1083" t="s">
        <v>3490</v>
      </c>
      <c r="J1083" s="56">
        <f t="shared" si="48"/>
        <v>60</v>
      </c>
      <c r="K1083" s="74" t="str">
        <f t="shared" si="49"/>
        <v>31-60 Days</v>
      </c>
      <c r="L1083" s="58" t="str">
        <f t="shared" si="50"/>
        <v>Not Applicable</v>
      </c>
    </row>
    <row r="1084" spans="1:12" ht="16.5" customHeight="1" x14ac:dyDescent="0.35">
      <c r="A1084" t="s">
        <v>482</v>
      </c>
      <c r="B1084" t="s">
        <v>482</v>
      </c>
      <c r="C1084">
        <v>0</v>
      </c>
      <c r="D1084">
        <v>637.20000000000005</v>
      </c>
      <c r="E1084" t="s">
        <v>5237</v>
      </c>
      <c r="F1084" t="s">
        <v>5237</v>
      </c>
      <c r="G1084" t="s">
        <v>5238</v>
      </c>
      <c r="H1084" t="s">
        <v>3489</v>
      </c>
      <c r="I1084" t="s">
        <v>3490</v>
      </c>
      <c r="J1084" s="56">
        <f t="shared" si="48"/>
        <v>60</v>
      </c>
      <c r="K1084" s="74" t="str">
        <f t="shared" si="49"/>
        <v>31-60 Days</v>
      </c>
      <c r="L1084" s="58" t="str">
        <f t="shared" si="50"/>
        <v>Not Applicable</v>
      </c>
    </row>
    <row r="1085" spans="1:12" ht="16.5" customHeight="1" x14ac:dyDescent="0.35">
      <c r="A1085" t="s">
        <v>482</v>
      </c>
      <c r="B1085" t="s">
        <v>482</v>
      </c>
      <c r="C1085">
        <v>0</v>
      </c>
      <c r="D1085">
        <v>2050</v>
      </c>
      <c r="E1085" t="s">
        <v>5239</v>
      </c>
      <c r="F1085" t="s">
        <v>3499</v>
      </c>
      <c r="G1085" t="s">
        <v>5240</v>
      </c>
      <c r="H1085" t="s">
        <v>3489</v>
      </c>
      <c r="I1085" t="s">
        <v>3490</v>
      </c>
      <c r="J1085" s="56">
        <f t="shared" si="48"/>
        <v>60</v>
      </c>
      <c r="K1085" s="74" t="str">
        <f t="shared" si="49"/>
        <v>31-60 Days</v>
      </c>
      <c r="L1085" s="58" t="str">
        <f t="shared" si="50"/>
        <v>Not Applicable</v>
      </c>
    </row>
    <row r="1086" spans="1:12" ht="16.5" customHeight="1" x14ac:dyDescent="0.35">
      <c r="A1086" t="s">
        <v>482</v>
      </c>
      <c r="B1086" t="s">
        <v>482</v>
      </c>
      <c r="C1086">
        <v>950000</v>
      </c>
      <c r="D1086">
        <v>0</v>
      </c>
      <c r="E1086" t="s">
        <v>5241</v>
      </c>
      <c r="F1086" t="s">
        <v>5241</v>
      </c>
      <c r="G1086" t="s">
        <v>5242</v>
      </c>
      <c r="H1086" t="s">
        <v>5243</v>
      </c>
      <c r="I1086" t="s">
        <v>3490</v>
      </c>
      <c r="J1086" s="56">
        <f t="shared" si="48"/>
        <v>60</v>
      </c>
      <c r="K1086" s="74" t="str">
        <f t="shared" si="49"/>
        <v>31-60 Days</v>
      </c>
      <c r="L1086" s="58" t="str">
        <f t="shared" si="50"/>
        <v>Substandard</v>
      </c>
    </row>
    <row r="1087" spans="1:12" ht="16.5" customHeight="1" x14ac:dyDescent="0.35">
      <c r="A1087" t="s">
        <v>482</v>
      </c>
      <c r="B1087" t="s">
        <v>482</v>
      </c>
      <c r="C1087">
        <v>0</v>
      </c>
      <c r="D1087">
        <v>57400</v>
      </c>
      <c r="E1087" t="s">
        <v>5244</v>
      </c>
      <c r="F1087" t="s">
        <v>5244</v>
      </c>
      <c r="G1087" t="s">
        <v>5245</v>
      </c>
      <c r="H1087" t="s">
        <v>3489</v>
      </c>
      <c r="I1087" t="s">
        <v>3490</v>
      </c>
      <c r="J1087" s="56">
        <f t="shared" si="48"/>
        <v>60</v>
      </c>
      <c r="K1087" s="74" t="str">
        <f t="shared" si="49"/>
        <v>31-60 Days</v>
      </c>
      <c r="L1087" s="58" t="str">
        <f t="shared" si="50"/>
        <v>Not Applicable</v>
      </c>
    </row>
    <row r="1088" spans="1:12" ht="16.5" customHeight="1" x14ac:dyDescent="0.35">
      <c r="A1088" t="s">
        <v>482</v>
      </c>
      <c r="B1088" t="s">
        <v>482</v>
      </c>
      <c r="C1088">
        <v>0</v>
      </c>
      <c r="D1088">
        <v>2100</v>
      </c>
      <c r="E1088" t="s">
        <v>5246</v>
      </c>
      <c r="F1088" t="s">
        <v>5247</v>
      </c>
      <c r="G1088" t="s">
        <v>5248</v>
      </c>
      <c r="H1088" t="s">
        <v>3532</v>
      </c>
      <c r="I1088" t="s">
        <v>3490</v>
      </c>
      <c r="J1088" s="56">
        <f t="shared" si="48"/>
        <v>60</v>
      </c>
      <c r="K1088" s="74" t="str">
        <f t="shared" si="49"/>
        <v>31-60 Days</v>
      </c>
      <c r="L1088" s="58" t="str">
        <f t="shared" si="50"/>
        <v>Not Applicable</v>
      </c>
    </row>
    <row r="1089" spans="1:12" ht="16.5" customHeight="1" x14ac:dyDescent="0.35">
      <c r="A1089" t="s">
        <v>482</v>
      </c>
      <c r="B1089" t="s">
        <v>482</v>
      </c>
      <c r="C1089">
        <v>0</v>
      </c>
      <c r="D1089">
        <v>856</v>
      </c>
      <c r="E1089" t="s">
        <v>5249</v>
      </c>
      <c r="F1089" t="s">
        <v>5250</v>
      </c>
      <c r="G1089" t="s">
        <v>5251</v>
      </c>
      <c r="H1089" t="s">
        <v>3532</v>
      </c>
      <c r="I1089" t="s">
        <v>3490</v>
      </c>
      <c r="J1089" s="56">
        <f t="shared" si="48"/>
        <v>60</v>
      </c>
      <c r="K1089" s="74" t="str">
        <f t="shared" si="49"/>
        <v>31-60 Days</v>
      </c>
      <c r="L1089" s="58" t="str">
        <f t="shared" si="50"/>
        <v>Not Applicable</v>
      </c>
    </row>
    <row r="1090" spans="1:12" ht="16.5" customHeight="1" x14ac:dyDescent="0.35">
      <c r="A1090" t="s">
        <v>482</v>
      </c>
      <c r="B1090" t="s">
        <v>482</v>
      </c>
      <c r="C1090">
        <v>0</v>
      </c>
      <c r="D1090">
        <v>210</v>
      </c>
      <c r="E1090" t="s">
        <v>5252</v>
      </c>
      <c r="F1090" t="s">
        <v>5253</v>
      </c>
      <c r="G1090" t="s">
        <v>5254</v>
      </c>
      <c r="H1090" t="s">
        <v>3532</v>
      </c>
      <c r="I1090" t="s">
        <v>3490</v>
      </c>
      <c r="J1090" s="56">
        <f t="shared" si="48"/>
        <v>60</v>
      </c>
      <c r="K1090" s="74" t="str">
        <f t="shared" si="49"/>
        <v>31-60 Days</v>
      </c>
      <c r="L1090" s="58" t="str">
        <f t="shared" si="50"/>
        <v>Not Applicable</v>
      </c>
    </row>
    <row r="1091" spans="1:12" ht="16.5" customHeight="1" x14ac:dyDescent="0.35">
      <c r="A1091" t="s">
        <v>482</v>
      </c>
      <c r="B1091" t="s">
        <v>482</v>
      </c>
      <c r="C1091">
        <v>0</v>
      </c>
      <c r="D1091">
        <v>7359.5</v>
      </c>
      <c r="E1091" t="s">
        <v>5255</v>
      </c>
      <c r="F1091" t="s">
        <v>5255</v>
      </c>
      <c r="G1091" t="s">
        <v>5256</v>
      </c>
      <c r="H1091" t="s">
        <v>3489</v>
      </c>
      <c r="I1091" t="s">
        <v>3490</v>
      </c>
      <c r="J1091" s="56">
        <f t="shared" si="48"/>
        <v>60</v>
      </c>
      <c r="K1091" s="74" t="str">
        <f t="shared" si="49"/>
        <v>31-60 Days</v>
      </c>
      <c r="L1091" s="58" t="str">
        <f t="shared" si="50"/>
        <v>Not Applicable</v>
      </c>
    </row>
    <row r="1092" spans="1:12" ht="16.5" customHeight="1" x14ac:dyDescent="0.35">
      <c r="A1092" t="s">
        <v>482</v>
      </c>
      <c r="B1092" t="s">
        <v>482</v>
      </c>
      <c r="C1092">
        <v>0</v>
      </c>
      <c r="D1092">
        <v>856</v>
      </c>
      <c r="E1092" t="s">
        <v>5257</v>
      </c>
      <c r="F1092" t="s">
        <v>5258</v>
      </c>
      <c r="G1092" t="s">
        <v>5259</v>
      </c>
      <c r="H1092" t="s">
        <v>3532</v>
      </c>
      <c r="I1092" t="s">
        <v>3490</v>
      </c>
      <c r="J1092" s="56">
        <f t="shared" si="48"/>
        <v>60</v>
      </c>
      <c r="K1092" s="74" t="str">
        <f t="shared" si="49"/>
        <v>31-60 Days</v>
      </c>
      <c r="L1092" s="58" t="str">
        <f t="shared" si="50"/>
        <v>Not Applicable</v>
      </c>
    </row>
    <row r="1093" spans="1:12" ht="16.5" customHeight="1" x14ac:dyDescent="0.35">
      <c r="A1093" t="s">
        <v>482</v>
      </c>
      <c r="B1093" t="s">
        <v>482</v>
      </c>
      <c r="C1093">
        <v>0</v>
      </c>
      <c r="D1093">
        <v>637.20000000000005</v>
      </c>
      <c r="E1093" t="s">
        <v>5260</v>
      </c>
      <c r="F1093" t="s">
        <v>5260</v>
      </c>
      <c r="G1093" t="s">
        <v>5261</v>
      </c>
      <c r="H1093" t="s">
        <v>3489</v>
      </c>
      <c r="I1093" t="s">
        <v>3490</v>
      </c>
      <c r="J1093" s="56">
        <f t="shared" si="48"/>
        <v>60</v>
      </c>
      <c r="K1093" s="74" t="str">
        <f t="shared" si="49"/>
        <v>31-60 Days</v>
      </c>
      <c r="L1093" s="58" t="str">
        <f t="shared" si="50"/>
        <v>Not Applicable</v>
      </c>
    </row>
    <row r="1094" spans="1:12" ht="16.5" customHeight="1" x14ac:dyDescent="0.35">
      <c r="A1094" t="s">
        <v>482</v>
      </c>
      <c r="B1094" t="s">
        <v>482</v>
      </c>
      <c r="C1094">
        <v>0</v>
      </c>
      <c r="D1094">
        <v>2050</v>
      </c>
      <c r="E1094" t="s">
        <v>5262</v>
      </c>
      <c r="F1094" t="s">
        <v>5262</v>
      </c>
      <c r="G1094" t="s">
        <v>5263</v>
      </c>
      <c r="H1094" t="s">
        <v>3489</v>
      </c>
      <c r="I1094" t="s">
        <v>3490</v>
      </c>
      <c r="J1094" s="56">
        <f t="shared" si="48"/>
        <v>60</v>
      </c>
      <c r="K1094" s="74" t="str">
        <f t="shared" si="49"/>
        <v>31-60 Days</v>
      </c>
      <c r="L1094" s="58" t="str">
        <f t="shared" si="50"/>
        <v>Not Applicable</v>
      </c>
    </row>
    <row r="1095" spans="1:12" ht="16.5" customHeight="1" x14ac:dyDescent="0.35">
      <c r="A1095" t="s">
        <v>482</v>
      </c>
      <c r="B1095" t="s">
        <v>482</v>
      </c>
      <c r="C1095">
        <v>0</v>
      </c>
      <c r="D1095">
        <v>3.15</v>
      </c>
      <c r="E1095" t="s">
        <v>5264</v>
      </c>
      <c r="F1095" t="s">
        <v>5264</v>
      </c>
      <c r="G1095" t="s">
        <v>5265</v>
      </c>
      <c r="H1095" t="s">
        <v>3489</v>
      </c>
      <c r="I1095" t="s">
        <v>3507</v>
      </c>
      <c r="J1095" s="56">
        <f t="shared" si="48"/>
        <v>60</v>
      </c>
      <c r="K1095" s="74" t="str">
        <f t="shared" si="49"/>
        <v>31-60 Days</v>
      </c>
      <c r="L1095" s="58" t="str">
        <f t="shared" si="50"/>
        <v>Not Applicable</v>
      </c>
    </row>
    <row r="1096" spans="1:12" ht="16.5" customHeight="1" x14ac:dyDescent="0.35">
      <c r="A1096" t="s">
        <v>482</v>
      </c>
      <c r="B1096" t="s">
        <v>482</v>
      </c>
      <c r="C1096">
        <v>0</v>
      </c>
      <c r="D1096">
        <v>95</v>
      </c>
      <c r="E1096" t="s">
        <v>5266</v>
      </c>
      <c r="F1096" t="s">
        <v>5267</v>
      </c>
      <c r="G1096" t="s">
        <v>5268</v>
      </c>
      <c r="H1096" t="s">
        <v>3532</v>
      </c>
      <c r="I1096" t="s">
        <v>3490</v>
      </c>
      <c r="J1096" s="56">
        <f t="shared" si="48"/>
        <v>60</v>
      </c>
      <c r="K1096" s="74" t="str">
        <f t="shared" si="49"/>
        <v>31-60 Days</v>
      </c>
      <c r="L1096" s="58" t="str">
        <f t="shared" si="50"/>
        <v>Not Applicable</v>
      </c>
    </row>
    <row r="1097" spans="1:12" ht="16.5" customHeight="1" x14ac:dyDescent="0.35">
      <c r="A1097" t="s">
        <v>482</v>
      </c>
      <c r="B1097" t="s">
        <v>482</v>
      </c>
      <c r="C1097">
        <v>0</v>
      </c>
      <c r="D1097">
        <v>210</v>
      </c>
      <c r="E1097" t="s">
        <v>5269</v>
      </c>
      <c r="F1097" t="s">
        <v>5270</v>
      </c>
      <c r="G1097" t="s">
        <v>5271</v>
      </c>
      <c r="H1097" t="s">
        <v>3532</v>
      </c>
      <c r="I1097" t="s">
        <v>3490</v>
      </c>
      <c r="J1097" s="56">
        <f t="shared" ref="J1097:J1160" si="51">IF(A1097="","",A$5-A1097)</f>
        <v>60</v>
      </c>
      <c r="K1097" s="74" t="str">
        <f t="shared" ref="K1097:K1160" si="52">IF(J1097="","",IF(J1097&lt;4,"0-3 Days",IF(J1097&lt;31,"4-30 Days",IF(J1097&lt;61,"31-60 Days",IF(J1097&lt;=90,"61-90 Days",IF(J1097&gt;90,"Above 90 Days","0"))))))</f>
        <v>31-60 Days</v>
      </c>
      <c r="L1097" s="58" t="str">
        <f t="shared" ref="L1097:L1160" si="53">IF(C1097="","",IF(C1097&gt;0,IF(J1097&lt;30,"Normal",IF(J1097&lt;60,"Especially Mentioned",IF(J1097&lt;90,"Substandard",IF(J1097&lt;=180,"Doubtful",IF(J1097&gt;180,"Loss","0"))))),"Not Applicable"))</f>
        <v>Not Applicable</v>
      </c>
    </row>
    <row r="1098" spans="1:12" ht="16.5" customHeight="1" x14ac:dyDescent="0.35">
      <c r="A1098" t="s">
        <v>482</v>
      </c>
      <c r="B1098" t="s">
        <v>482</v>
      </c>
      <c r="C1098">
        <v>0</v>
      </c>
      <c r="D1098">
        <v>856</v>
      </c>
      <c r="E1098" t="s">
        <v>5272</v>
      </c>
      <c r="F1098" t="s">
        <v>5273</v>
      </c>
      <c r="G1098" t="s">
        <v>5274</v>
      </c>
      <c r="H1098" t="s">
        <v>3532</v>
      </c>
      <c r="I1098" t="s">
        <v>3490</v>
      </c>
      <c r="J1098" s="56">
        <f t="shared" si="51"/>
        <v>60</v>
      </c>
      <c r="K1098" s="74" t="str">
        <f t="shared" si="52"/>
        <v>31-60 Days</v>
      </c>
      <c r="L1098" s="58" t="str">
        <f t="shared" si="53"/>
        <v>Not Applicable</v>
      </c>
    </row>
    <row r="1099" spans="1:12" ht="16.5" customHeight="1" x14ac:dyDescent="0.35">
      <c r="A1099" t="s">
        <v>482</v>
      </c>
      <c r="B1099" t="s">
        <v>482</v>
      </c>
      <c r="C1099">
        <v>0</v>
      </c>
      <c r="D1099">
        <v>1550</v>
      </c>
      <c r="E1099" t="s">
        <v>5275</v>
      </c>
      <c r="F1099" t="s">
        <v>5275</v>
      </c>
      <c r="G1099" t="s">
        <v>5276</v>
      </c>
      <c r="H1099" t="s">
        <v>3521</v>
      </c>
      <c r="I1099" t="s">
        <v>3490</v>
      </c>
      <c r="J1099" s="56">
        <f t="shared" si="51"/>
        <v>60</v>
      </c>
      <c r="K1099" s="74" t="str">
        <f t="shared" si="52"/>
        <v>31-60 Days</v>
      </c>
      <c r="L1099" s="58" t="str">
        <f t="shared" si="53"/>
        <v>Not Applicable</v>
      </c>
    </row>
    <row r="1100" spans="1:12" ht="16.5" customHeight="1" x14ac:dyDescent="0.35">
      <c r="A1100" t="s">
        <v>482</v>
      </c>
      <c r="B1100" t="s">
        <v>482</v>
      </c>
      <c r="C1100">
        <v>2000000</v>
      </c>
      <c r="D1100">
        <v>0</v>
      </c>
      <c r="E1100" t="s">
        <v>5277</v>
      </c>
      <c r="F1100" t="s">
        <v>5277</v>
      </c>
      <c r="G1100" t="s">
        <v>5278</v>
      </c>
      <c r="H1100" t="s">
        <v>3455</v>
      </c>
      <c r="I1100" t="s">
        <v>3490</v>
      </c>
      <c r="J1100" s="56">
        <f t="shared" si="51"/>
        <v>60</v>
      </c>
      <c r="K1100" s="74" t="str">
        <f t="shared" si="52"/>
        <v>31-60 Days</v>
      </c>
      <c r="L1100" s="58" t="str">
        <f t="shared" si="53"/>
        <v>Substandard</v>
      </c>
    </row>
    <row r="1101" spans="1:12" ht="16.5" customHeight="1" x14ac:dyDescent="0.35">
      <c r="A1101" t="s">
        <v>482</v>
      </c>
      <c r="B1101" t="s">
        <v>482</v>
      </c>
      <c r="C1101">
        <v>0</v>
      </c>
      <c r="D1101">
        <v>2000</v>
      </c>
      <c r="E1101" t="s">
        <v>5279</v>
      </c>
      <c r="F1101" t="s">
        <v>5279</v>
      </c>
      <c r="G1101" t="s">
        <v>5280</v>
      </c>
      <c r="H1101" t="s">
        <v>3489</v>
      </c>
      <c r="I1101" t="s">
        <v>3490</v>
      </c>
      <c r="J1101" s="56">
        <f t="shared" si="51"/>
        <v>60</v>
      </c>
      <c r="K1101" s="74" t="str">
        <f t="shared" si="52"/>
        <v>31-60 Days</v>
      </c>
      <c r="L1101" s="58" t="str">
        <f t="shared" si="53"/>
        <v>Not Applicable</v>
      </c>
    </row>
    <row r="1102" spans="1:12" ht="16.5" customHeight="1" x14ac:dyDescent="0.35">
      <c r="A1102" t="s">
        <v>482</v>
      </c>
      <c r="B1102" t="s">
        <v>482</v>
      </c>
      <c r="C1102">
        <v>0</v>
      </c>
      <c r="D1102">
        <v>2650</v>
      </c>
      <c r="E1102" t="s">
        <v>5281</v>
      </c>
      <c r="F1102" t="s">
        <v>3499</v>
      </c>
      <c r="G1102" t="s">
        <v>5282</v>
      </c>
      <c r="H1102" t="s">
        <v>3489</v>
      </c>
      <c r="I1102" t="s">
        <v>3490</v>
      </c>
      <c r="J1102" s="56">
        <f t="shared" si="51"/>
        <v>60</v>
      </c>
      <c r="K1102" s="74" t="str">
        <f t="shared" si="52"/>
        <v>31-60 Days</v>
      </c>
      <c r="L1102" s="58" t="str">
        <f t="shared" si="53"/>
        <v>Not Applicable</v>
      </c>
    </row>
    <row r="1103" spans="1:12" ht="16.5" customHeight="1" x14ac:dyDescent="0.35">
      <c r="A1103" t="s">
        <v>482</v>
      </c>
      <c r="B1103" t="s">
        <v>482</v>
      </c>
      <c r="C1103">
        <v>0</v>
      </c>
      <c r="D1103">
        <v>2170</v>
      </c>
      <c r="E1103" t="s">
        <v>5283</v>
      </c>
      <c r="F1103" t="s">
        <v>5284</v>
      </c>
      <c r="G1103" t="s">
        <v>5285</v>
      </c>
      <c r="H1103" t="s">
        <v>3532</v>
      </c>
      <c r="I1103" t="s">
        <v>3490</v>
      </c>
      <c r="J1103" s="56">
        <f t="shared" si="51"/>
        <v>60</v>
      </c>
      <c r="K1103" s="74" t="str">
        <f t="shared" si="52"/>
        <v>31-60 Days</v>
      </c>
      <c r="L1103" s="58" t="str">
        <f t="shared" si="53"/>
        <v>Not Applicable</v>
      </c>
    </row>
    <row r="1104" spans="1:12" ht="16.5" customHeight="1" x14ac:dyDescent="0.35">
      <c r="A1104" t="s">
        <v>482</v>
      </c>
      <c r="B1104" t="s">
        <v>482</v>
      </c>
      <c r="C1104">
        <v>0</v>
      </c>
      <c r="D1104">
        <v>856</v>
      </c>
      <c r="E1104" t="s">
        <v>5286</v>
      </c>
      <c r="F1104" t="s">
        <v>5287</v>
      </c>
      <c r="G1104" t="s">
        <v>5288</v>
      </c>
      <c r="H1104" t="s">
        <v>3532</v>
      </c>
      <c r="I1104" t="s">
        <v>3490</v>
      </c>
      <c r="J1104" s="56">
        <f t="shared" si="51"/>
        <v>60</v>
      </c>
      <c r="K1104" s="74" t="str">
        <f t="shared" si="52"/>
        <v>31-60 Days</v>
      </c>
      <c r="L1104" s="58" t="str">
        <f t="shared" si="53"/>
        <v>Not Applicable</v>
      </c>
    </row>
    <row r="1105" spans="1:12" ht="16.5" customHeight="1" x14ac:dyDescent="0.35">
      <c r="A1105" t="s">
        <v>482</v>
      </c>
      <c r="B1105" t="s">
        <v>482</v>
      </c>
      <c r="C1105">
        <v>0</v>
      </c>
      <c r="D1105">
        <v>637.20000000000005</v>
      </c>
      <c r="E1105" t="s">
        <v>5289</v>
      </c>
      <c r="F1105" t="s">
        <v>5289</v>
      </c>
      <c r="G1105" t="s">
        <v>5290</v>
      </c>
      <c r="H1105" t="s">
        <v>3489</v>
      </c>
      <c r="I1105" t="s">
        <v>3490</v>
      </c>
      <c r="J1105" s="56">
        <f t="shared" si="51"/>
        <v>60</v>
      </c>
      <c r="K1105" s="74" t="str">
        <f t="shared" si="52"/>
        <v>31-60 Days</v>
      </c>
      <c r="L1105" s="58" t="str">
        <f t="shared" si="53"/>
        <v>Not Applicable</v>
      </c>
    </row>
    <row r="1106" spans="1:12" ht="16.5" customHeight="1" x14ac:dyDescent="0.35">
      <c r="A1106" t="s">
        <v>482</v>
      </c>
      <c r="B1106" t="s">
        <v>482</v>
      </c>
      <c r="C1106">
        <v>2972455.53</v>
      </c>
      <c r="D1106">
        <v>0</v>
      </c>
      <c r="E1106" t="s">
        <v>5291</v>
      </c>
      <c r="F1106" t="s">
        <v>5291</v>
      </c>
      <c r="G1106" t="s">
        <v>5292</v>
      </c>
      <c r="H1106" t="s">
        <v>3455</v>
      </c>
      <c r="I1106" t="s">
        <v>3486</v>
      </c>
      <c r="J1106" s="56">
        <f t="shared" si="51"/>
        <v>60</v>
      </c>
      <c r="K1106" s="74" t="str">
        <f t="shared" si="52"/>
        <v>31-60 Days</v>
      </c>
      <c r="L1106" s="58" t="str">
        <f t="shared" si="53"/>
        <v>Substandard</v>
      </c>
    </row>
    <row r="1107" spans="1:12" ht="16.5" customHeight="1" x14ac:dyDescent="0.35">
      <c r="A1107" t="s">
        <v>482</v>
      </c>
      <c r="B1107" t="s">
        <v>482</v>
      </c>
      <c r="C1107">
        <v>0</v>
      </c>
      <c r="D1107">
        <v>95</v>
      </c>
      <c r="E1107" t="s">
        <v>5293</v>
      </c>
      <c r="F1107" t="s">
        <v>5294</v>
      </c>
      <c r="G1107" t="s">
        <v>5295</v>
      </c>
      <c r="H1107" t="s">
        <v>3532</v>
      </c>
      <c r="I1107" t="s">
        <v>3490</v>
      </c>
      <c r="J1107" s="56">
        <f t="shared" si="51"/>
        <v>60</v>
      </c>
      <c r="K1107" s="74" t="str">
        <f t="shared" si="52"/>
        <v>31-60 Days</v>
      </c>
      <c r="L1107" s="58" t="str">
        <f t="shared" si="53"/>
        <v>Not Applicable</v>
      </c>
    </row>
    <row r="1108" spans="1:12" ht="16.5" customHeight="1" x14ac:dyDescent="0.35">
      <c r="A1108" t="s">
        <v>482</v>
      </c>
      <c r="B1108" t="s">
        <v>482</v>
      </c>
      <c r="C1108">
        <v>0</v>
      </c>
      <c r="D1108">
        <v>708</v>
      </c>
      <c r="E1108" t="s">
        <v>5296</v>
      </c>
      <c r="F1108" t="s">
        <v>5296</v>
      </c>
      <c r="G1108" t="s">
        <v>5297</v>
      </c>
      <c r="H1108" t="s">
        <v>3489</v>
      </c>
      <c r="I1108" t="s">
        <v>3490</v>
      </c>
      <c r="J1108" s="56">
        <f t="shared" si="51"/>
        <v>60</v>
      </c>
      <c r="K1108" s="74" t="str">
        <f t="shared" si="52"/>
        <v>31-60 Days</v>
      </c>
      <c r="L1108" s="58" t="str">
        <f t="shared" si="53"/>
        <v>Not Applicable</v>
      </c>
    </row>
    <row r="1109" spans="1:12" ht="16.5" customHeight="1" x14ac:dyDescent="0.35">
      <c r="A1109" t="s">
        <v>482</v>
      </c>
      <c r="B1109" t="s">
        <v>482</v>
      </c>
      <c r="C1109">
        <v>1389176.13</v>
      </c>
      <c r="D1109">
        <v>0</v>
      </c>
      <c r="E1109" t="s">
        <v>5298</v>
      </c>
      <c r="F1109" t="s">
        <v>5298</v>
      </c>
      <c r="G1109" t="s">
        <v>5299</v>
      </c>
      <c r="H1109" t="s">
        <v>3455</v>
      </c>
      <c r="I1109" t="s">
        <v>3486</v>
      </c>
      <c r="J1109" s="56">
        <f t="shared" si="51"/>
        <v>60</v>
      </c>
      <c r="K1109" s="74" t="str">
        <f t="shared" si="52"/>
        <v>31-60 Days</v>
      </c>
      <c r="L1109" s="58" t="str">
        <f t="shared" si="53"/>
        <v>Substandard</v>
      </c>
    </row>
    <row r="1110" spans="1:12" ht="16.5" customHeight="1" x14ac:dyDescent="0.35">
      <c r="A1110" t="s">
        <v>482</v>
      </c>
      <c r="B1110" t="s">
        <v>482</v>
      </c>
      <c r="C1110">
        <v>0</v>
      </c>
      <c r="D1110">
        <v>637.20000000000005</v>
      </c>
      <c r="E1110" t="s">
        <v>5300</v>
      </c>
      <c r="F1110" t="s">
        <v>5300</v>
      </c>
      <c r="G1110" t="s">
        <v>5301</v>
      </c>
      <c r="H1110" t="s">
        <v>3489</v>
      </c>
      <c r="I1110" t="s">
        <v>3490</v>
      </c>
      <c r="J1110" s="56">
        <f t="shared" si="51"/>
        <v>60</v>
      </c>
      <c r="K1110" s="74" t="str">
        <f t="shared" si="52"/>
        <v>31-60 Days</v>
      </c>
      <c r="L1110" s="58" t="str">
        <f t="shared" si="53"/>
        <v>Not Applicable</v>
      </c>
    </row>
    <row r="1111" spans="1:12" ht="16.5" customHeight="1" x14ac:dyDescent="0.35">
      <c r="A1111" t="s">
        <v>482</v>
      </c>
      <c r="B1111" t="s">
        <v>482</v>
      </c>
      <c r="C1111">
        <v>0</v>
      </c>
      <c r="D1111">
        <v>100</v>
      </c>
      <c r="E1111" t="s">
        <v>5302</v>
      </c>
      <c r="F1111" t="s">
        <v>5302</v>
      </c>
      <c r="G1111" t="s">
        <v>5303</v>
      </c>
      <c r="H1111" t="s">
        <v>3489</v>
      </c>
      <c r="I1111" t="s">
        <v>3490</v>
      </c>
      <c r="J1111" s="56">
        <f t="shared" si="51"/>
        <v>60</v>
      </c>
      <c r="K1111" s="74" t="str">
        <f t="shared" si="52"/>
        <v>31-60 Days</v>
      </c>
      <c r="L1111" s="58" t="str">
        <f t="shared" si="53"/>
        <v>Not Applicable</v>
      </c>
    </row>
    <row r="1112" spans="1:12" ht="16.5" customHeight="1" x14ac:dyDescent="0.35">
      <c r="A1112" t="s">
        <v>482</v>
      </c>
      <c r="B1112" t="s">
        <v>482</v>
      </c>
      <c r="C1112">
        <v>0</v>
      </c>
      <c r="D1112">
        <v>2050</v>
      </c>
      <c r="E1112" t="s">
        <v>5304</v>
      </c>
      <c r="F1112" t="s">
        <v>5304</v>
      </c>
      <c r="G1112" t="s">
        <v>5305</v>
      </c>
      <c r="H1112" t="s">
        <v>3489</v>
      </c>
      <c r="I1112" t="s">
        <v>3490</v>
      </c>
      <c r="J1112" s="56">
        <f t="shared" si="51"/>
        <v>60</v>
      </c>
      <c r="K1112" s="74" t="str">
        <f t="shared" si="52"/>
        <v>31-60 Days</v>
      </c>
      <c r="L1112" s="58" t="str">
        <f t="shared" si="53"/>
        <v>Not Applicable</v>
      </c>
    </row>
    <row r="1113" spans="1:12" ht="16.5" customHeight="1" x14ac:dyDescent="0.35">
      <c r="A1113" t="s">
        <v>482</v>
      </c>
      <c r="B1113" t="s">
        <v>482</v>
      </c>
      <c r="C1113">
        <v>780616.67</v>
      </c>
      <c r="D1113">
        <v>0</v>
      </c>
      <c r="E1113" t="s">
        <v>5306</v>
      </c>
      <c r="F1113" t="s">
        <v>5306</v>
      </c>
      <c r="G1113" t="s">
        <v>5307</v>
      </c>
      <c r="H1113" t="s">
        <v>3455</v>
      </c>
      <c r="I1113" t="s">
        <v>3486</v>
      </c>
      <c r="J1113" s="56">
        <f t="shared" si="51"/>
        <v>60</v>
      </c>
      <c r="K1113" s="74" t="str">
        <f t="shared" si="52"/>
        <v>31-60 Days</v>
      </c>
      <c r="L1113" s="58" t="str">
        <f t="shared" si="53"/>
        <v>Substandard</v>
      </c>
    </row>
    <row r="1114" spans="1:12" ht="16.5" customHeight="1" x14ac:dyDescent="0.35">
      <c r="A1114" t="s">
        <v>482</v>
      </c>
      <c r="B1114" t="s">
        <v>482</v>
      </c>
      <c r="C1114">
        <v>0</v>
      </c>
      <c r="D1114">
        <v>196.15</v>
      </c>
      <c r="E1114" t="s">
        <v>5308</v>
      </c>
      <c r="F1114" t="s">
        <v>5308</v>
      </c>
      <c r="G1114" t="s">
        <v>5309</v>
      </c>
      <c r="H1114" t="s">
        <v>3489</v>
      </c>
      <c r="I1114" t="s">
        <v>3507</v>
      </c>
      <c r="J1114" s="56">
        <f t="shared" si="51"/>
        <v>60</v>
      </c>
      <c r="K1114" s="74" t="str">
        <f t="shared" si="52"/>
        <v>31-60 Days</v>
      </c>
      <c r="L1114" s="58" t="str">
        <f t="shared" si="53"/>
        <v>Not Applicable</v>
      </c>
    </row>
    <row r="1115" spans="1:12" ht="16.5" customHeight="1" x14ac:dyDescent="0.35">
      <c r="A1115" t="s">
        <v>482</v>
      </c>
      <c r="B1115" t="s">
        <v>482</v>
      </c>
      <c r="C1115">
        <v>0</v>
      </c>
      <c r="D1115">
        <v>1000</v>
      </c>
      <c r="E1115" t="s">
        <v>5310</v>
      </c>
      <c r="F1115" t="s">
        <v>3574</v>
      </c>
      <c r="G1115" t="s">
        <v>5311</v>
      </c>
      <c r="H1115" t="s">
        <v>3489</v>
      </c>
      <c r="I1115" t="s">
        <v>3490</v>
      </c>
      <c r="J1115" s="56">
        <f t="shared" si="51"/>
        <v>60</v>
      </c>
      <c r="K1115" s="74" t="str">
        <f t="shared" si="52"/>
        <v>31-60 Days</v>
      </c>
      <c r="L1115" s="58" t="str">
        <f t="shared" si="53"/>
        <v>Not Applicable</v>
      </c>
    </row>
    <row r="1116" spans="1:12" ht="16.5" customHeight="1" x14ac:dyDescent="0.35">
      <c r="A1116" t="s">
        <v>482</v>
      </c>
      <c r="B1116" t="s">
        <v>482</v>
      </c>
      <c r="C1116">
        <v>0</v>
      </c>
      <c r="D1116">
        <v>91.5</v>
      </c>
      <c r="E1116" t="s">
        <v>5312</v>
      </c>
      <c r="F1116" t="s">
        <v>5313</v>
      </c>
      <c r="G1116" t="s">
        <v>5314</v>
      </c>
      <c r="H1116" t="s">
        <v>3489</v>
      </c>
      <c r="I1116" t="s">
        <v>3486</v>
      </c>
      <c r="J1116" s="56">
        <f t="shared" si="51"/>
        <v>60</v>
      </c>
      <c r="K1116" s="74" t="str">
        <f t="shared" si="52"/>
        <v>31-60 Days</v>
      </c>
      <c r="L1116" s="58" t="str">
        <f t="shared" si="53"/>
        <v>Not Applicable</v>
      </c>
    </row>
    <row r="1117" spans="1:12" ht="16.5" customHeight="1" x14ac:dyDescent="0.35">
      <c r="A1117" t="s">
        <v>482</v>
      </c>
      <c r="B1117" t="s">
        <v>482</v>
      </c>
      <c r="C1117">
        <v>0</v>
      </c>
      <c r="D1117">
        <v>95</v>
      </c>
      <c r="E1117" t="s">
        <v>5315</v>
      </c>
      <c r="F1117" t="s">
        <v>5316</v>
      </c>
      <c r="G1117" t="s">
        <v>5317</v>
      </c>
      <c r="H1117" t="s">
        <v>3532</v>
      </c>
      <c r="I1117" t="s">
        <v>3490</v>
      </c>
      <c r="J1117" s="56">
        <f t="shared" si="51"/>
        <v>60</v>
      </c>
      <c r="K1117" s="74" t="str">
        <f t="shared" si="52"/>
        <v>31-60 Days</v>
      </c>
      <c r="L1117" s="58" t="str">
        <f t="shared" si="53"/>
        <v>Not Applicable</v>
      </c>
    </row>
    <row r="1118" spans="1:12" ht="16.5" customHeight="1" x14ac:dyDescent="0.35">
      <c r="A1118" t="s">
        <v>482</v>
      </c>
      <c r="B1118" t="s">
        <v>482</v>
      </c>
      <c r="C1118">
        <v>820309.04</v>
      </c>
      <c r="D1118">
        <v>0</v>
      </c>
      <c r="E1118" t="s">
        <v>5318</v>
      </c>
      <c r="F1118" t="s">
        <v>5318</v>
      </c>
      <c r="G1118" t="s">
        <v>5319</v>
      </c>
      <c r="H1118" t="s">
        <v>3455</v>
      </c>
      <c r="I1118" t="s">
        <v>3486</v>
      </c>
      <c r="J1118" s="56">
        <f t="shared" si="51"/>
        <v>60</v>
      </c>
      <c r="K1118" s="74" t="str">
        <f t="shared" si="52"/>
        <v>31-60 Days</v>
      </c>
      <c r="L1118" s="58" t="str">
        <f t="shared" si="53"/>
        <v>Substandard</v>
      </c>
    </row>
    <row r="1119" spans="1:12" ht="16.5" customHeight="1" x14ac:dyDescent="0.35">
      <c r="A1119" t="s">
        <v>482</v>
      </c>
      <c r="B1119" t="s">
        <v>482</v>
      </c>
      <c r="C1119">
        <v>127000</v>
      </c>
      <c r="D1119">
        <v>0</v>
      </c>
      <c r="E1119" t="s">
        <v>5320</v>
      </c>
      <c r="F1119" t="s">
        <v>5320</v>
      </c>
      <c r="G1119" t="s">
        <v>5321</v>
      </c>
      <c r="H1119" t="s">
        <v>3476</v>
      </c>
      <c r="I1119" t="s">
        <v>3490</v>
      </c>
      <c r="J1119" s="56">
        <f t="shared" si="51"/>
        <v>60</v>
      </c>
      <c r="K1119" s="74" t="str">
        <f t="shared" si="52"/>
        <v>31-60 Days</v>
      </c>
      <c r="L1119" s="58" t="str">
        <f t="shared" si="53"/>
        <v>Substandard</v>
      </c>
    </row>
    <row r="1120" spans="1:12" ht="16.5" customHeight="1" x14ac:dyDescent="0.35">
      <c r="A1120" t="s">
        <v>482</v>
      </c>
      <c r="B1120" t="s">
        <v>482</v>
      </c>
      <c r="C1120">
        <v>0</v>
      </c>
      <c r="D1120">
        <v>8</v>
      </c>
      <c r="E1120" t="s">
        <v>5322</v>
      </c>
      <c r="F1120" t="s">
        <v>5322</v>
      </c>
      <c r="G1120" t="s">
        <v>5323</v>
      </c>
      <c r="H1120" t="s">
        <v>5324</v>
      </c>
      <c r="I1120" t="s">
        <v>3490</v>
      </c>
      <c r="J1120" s="56">
        <f t="shared" si="51"/>
        <v>60</v>
      </c>
      <c r="K1120" s="74" t="str">
        <f t="shared" si="52"/>
        <v>31-60 Days</v>
      </c>
      <c r="L1120" s="58" t="str">
        <f t="shared" si="53"/>
        <v>Not Applicable</v>
      </c>
    </row>
    <row r="1121" spans="1:12" ht="16.5" customHeight="1" x14ac:dyDescent="0.35">
      <c r="A1121" t="s">
        <v>482</v>
      </c>
      <c r="B1121" t="s">
        <v>482</v>
      </c>
      <c r="C1121">
        <v>0</v>
      </c>
      <c r="D1121">
        <v>2150</v>
      </c>
      <c r="E1121" t="s">
        <v>5325</v>
      </c>
      <c r="F1121" t="s">
        <v>5325</v>
      </c>
      <c r="G1121" t="s">
        <v>5326</v>
      </c>
      <c r="H1121" t="s">
        <v>3489</v>
      </c>
      <c r="I1121" t="s">
        <v>3490</v>
      </c>
      <c r="J1121" s="56">
        <f t="shared" si="51"/>
        <v>60</v>
      </c>
      <c r="K1121" s="74" t="str">
        <f t="shared" si="52"/>
        <v>31-60 Days</v>
      </c>
      <c r="L1121" s="58" t="str">
        <f t="shared" si="53"/>
        <v>Not Applicable</v>
      </c>
    </row>
    <row r="1122" spans="1:12" ht="16.5" customHeight="1" x14ac:dyDescent="0.35">
      <c r="A1122" t="s">
        <v>482</v>
      </c>
      <c r="B1122" t="s">
        <v>482</v>
      </c>
      <c r="C1122">
        <v>0</v>
      </c>
      <c r="D1122">
        <v>22278.400000000001</v>
      </c>
      <c r="E1122" t="s">
        <v>5327</v>
      </c>
      <c r="F1122" t="s">
        <v>5327</v>
      </c>
      <c r="G1122" t="s">
        <v>5328</v>
      </c>
      <c r="H1122" t="s">
        <v>3489</v>
      </c>
      <c r="I1122" t="s">
        <v>3490</v>
      </c>
      <c r="J1122" s="56">
        <f t="shared" si="51"/>
        <v>60</v>
      </c>
      <c r="K1122" s="74" t="str">
        <f t="shared" si="52"/>
        <v>31-60 Days</v>
      </c>
      <c r="L1122" s="58" t="str">
        <f t="shared" si="53"/>
        <v>Not Applicable</v>
      </c>
    </row>
    <row r="1123" spans="1:12" ht="16.5" customHeight="1" x14ac:dyDescent="0.35">
      <c r="A1123" t="s">
        <v>482</v>
      </c>
      <c r="B1123" t="s">
        <v>482</v>
      </c>
      <c r="C1123">
        <v>0</v>
      </c>
      <c r="D1123">
        <v>465</v>
      </c>
      <c r="E1123" t="s">
        <v>5329</v>
      </c>
      <c r="F1123" t="s">
        <v>5330</v>
      </c>
      <c r="G1123" t="s">
        <v>5331</v>
      </c>
      <c r="H1123" t="s">
        <v>3532</v>
      </c>
      <c r="I1123" t="s">
        <v>3490</v>
      </c>
      <c r="J1123" s="56">
        <f t="shared" si="51"/>
        <v>60</v>
      </c>
      <c r="K1123" s="74" t="str">
        <f t="shared" si="52"/>
        <v>31-60 Days</v>
      </c>
      <c r="L1123" s="58" t="str">
        <f t="shared" si="53"/>
        <v>Not Applicable</v>
      </c>
    </row>
    <row r="1124" spans="1:12" ht="16.5" customHeight="1" x14ac:dyDescent="0.35">
      <c r="A1124" t="s">
        <v>482</v>
      </c>
      <c r="B1124" t="s">
        <v>482</v>
      </c>
      <c r="C1124">
        <v>0</v>
      </c>
      <c r="D1124">
        <v>856</v>
      </c>
      <c r="E1124" t="s">
        <v>5332</v>
      </c>
      <c r="F1124" t="s">
        <v>5333</v>
      </c>
      <c r="G1124" t="s">
        <v>5334</v>
      </c>
      <c r="H1124" t="s">
        <v>3532</v>
      </c>
      <c r="I1124" t="s">
        <v>3490</v>
      </c>
      <c r="J1124" s="56">
        <f t="shared" si="51"/>
        <v>60</v>
      </c>
      <c r="K1124" s="74" t="str">
        <f t="shared" si="52"/>
        <v>31-60 Days</v>
      </c>
      <c r="L1124" s="58" t="str">
        <f t="shared" si="53"/>
        <v>Not Applicable</v>
      </c>
    </row>
    <row r="1125" spans="1:12" ht="16.5" customHeight="1" x14ac:dyDescent="0.35">
      <c r="A1125" t="s">
        <v>482</v>
      </c>
      <c r="B1125" t="s">
        <v>482</v>
      </c>
      <c r="C1125">
        <v>0</v>
      </c>
      <c r="D1125">
        <v>100</v>
      </c>
      <c r="E1125" t="s">
        <v>5335</v>
      </c>
      <c r="F1125" t="s">
        <v>5335</v>
      </c>
      <c r="G1125" t="s">
        <v>5336</v>
      </c>
      <c r="H1125" t="s">
        <v>3489</v>
      </c>
      <c r="I1125" t="s">
        <v>3490</v>
      </c>
      <c r="J1125" s="56">
        <f t="shared" si="51"/>
        <v>60</v>
      </c>
      <c r="K1125" s="74" t="str">
        <f t="shared" si="52"/>
        <v>31-60 Days</v>
      </c>
      <c r="L1125" s="58" t="str">
        <f t="shared" si="53"/>
        <v>Not Applicable</v>
      </c>
    </row>
    <row r="1126" spans="1:12" ht="16.5" customHeight="1" x14ac:dyDescent="0.35">
      <c r="A1126" t="s">
        <v>482</v>
      </c>
      <c r="B1126" t="s">
        <v>482</v>
      </c>
      <c r="C1126">
        <v>0</v>
      </c>
      <c r="D1126">
        <v>95</v>
      </c>
      <c r="E1126" t="s">
        <v>5337</v>
      </c>
      <c r="F1126" t="s">
        <v>5338</v>
      </c>
      <c r="G1126" t="s">
        <v>5339</v>
      </c>
      <c r="H1126" t="s">
        <v>3532</v>
      </c>
      <c r="I1126" t="s">
        <v>3490</v>
      </c>
      <c r="J1126" s="56">
        <f t="shared" si="51"/>
        <v>60</v>
      </c>
      <c r="K1126" s="74" t="str">
        <f t="shared" si="52"/>
        <v>31-60 Days</v>
      </c>
      <c r="L1126" s="58" t="str">
        <f t="shared" si="53"/>
        <v>Not Applicable</v>
      </c>
    </row>
    <row r="1127" spans="1:12" ht="16.5" customHeight="1" x14ac:dyDescent="0.35">
      <c r="A1127" t="s">
        <v>482</v>
      </c>
      <c r="B1127" t="s">
        <v>482</v>
      </c>
      <c r="C1127">
        <v>0</v>
      </c>
      <c r="D1127">
        <v>29899.09</v>
      </c>
      <c r="E1127" t="s">
        <v>5340</v>
      </c>
      <c r="F1127" t="s">
        <v>5340</v>
      </c>
      <c r="G1127" t="s">
        <v>57</v>
      </c>
      <c r="H1127" t="s">
        <v>3914</v>
      </c>
      <c r="I1127" t="s">
        <v>3643</v>
      </c>
      <c r="J1127" s="56">
        <f t="shared" si="51"/>
        <v>60</v>
      </c>
      <c r="K1127" s="74" t="str">
        <f t="shared" si="52"/>
        <v>31-60 Days</v>
      </c>
      <c r="L1127" s="58" t="str">
        <f t="shared" si="53"/>
        <v>Not Applicable</v>
      </c>
    </row>
    <row r="1128" spans="1:12" ht="16.5" customHeight="1" x14ac:dyDescent="0.35">
      <c r="A1128" t="s">
        <v>482</v>
      </c>
      <c r="B1128" t="s">
        <v>482</v>
      </c>
      <c r="C1128">
        <v>0</v>
      </c>
      <c r="D1128">
        <v>2150</v>
      </c>
      <c r="E1128" t="s">
        <v>5341</v>
      </c>
      <c r="F1128" t="s">
        <v>5342</v>
      </c>
      <c r="G1128" t="s">
        <v>5343</v>
      </c>
      <c r="H1128" t="s">
        <v>3532</v>
      </c>
      <c r="I1128" t="s">
        <v>3490</v>
      </c>
      <c r="J1128" s="56">
        <f t="shared" si="51"/>
        <v>60</v>
      </c>
      <c r="K1128" s="74" t="str">
        <f t="shared" si="52"/>
        <v>31-60 Days</v>
      </c>
      <c r="L1128" s="58" t="str">
        <f t="shared" si="53"/>
        <v>Not Applicable</v>
      </c>
    </row>
    <row r="1129" spans="1:12" ht="16.5" customHeight="1" x14ac:dyDescent="0.35">
      <c r="A1129" t="s">
        <v>482</v>
      </c>
      <c r="B1129" t="s">
        <v>482</v>
      </c>
      <c r="C1129">
        <v>110000</v>
      </c>
      <c r="D1129">
        <v>0</v>
      </c>
      <c r="E1129" t="s">
        <v>5344</v>
      </c>
      <c r="F1129" t="s">
        <v>5344</v>
      </c>
      <c r="G1129" t="s">
        <v>5345</v>
      </c>
      <c r="H1129" t="s">
        <v>3455</v>
      </c>
      <c r="I1129" t="s">
        <v>3490</v>
      </c>
      <c r="J1129" s="56">
        <f t="shared" si="51"/>
        <v>60</v>
      </c>
      <c r="K1129" s="74" t="str">
        <f t="shared" si="52"/>
        <v>31-60 Days</v>
      </c>
      <c r="L1129" s="58" t="str">
        <f t="shared" si="53"/>
        <v>Substandard</v>
      </c>
    </row>
    <row r="1130" spans="1:12" ht="16.5" customHeight="1" x14ac:dyDescent="0.35">
      <c r="A1130" t="s">
        <v>482</v>
      </c>
      <c r="B1130" t="s">
        <v>482</v>
      </c>
      <c r="C1130">
        <v>840975.54</v>
      </c>
      <c r="D1130">
        <v>0</v>
      </c>
      <c r="E1130" t="s">
        <v>5346</v>
      </c>
      <c r="F1130" t="s">
        <v>5346</v>
      </c>
      <c r="G1130" t="s">
        <v>5347</v>
      </c>
      <c r="H1130" t="s">
        <v>3455</v>
      </c>
      <c r="I1130" t="s">
        <v>3486</v>
      </c>
      <c r="J1130" s="56">
        <f t="shared" si="51"/>
        <v>60</v>
      </c>
      <c r="K1130" s="74" t="str">
        <f t="shared" si="52"/>
        <v>31-60 Days</v>
      </c>
      <c r="L1130" s="58" t="str">
        <f t="shared" si="53"/>
        <v>Substandard</v>
      </c>
    </row>
    <row r="1131" spans="1:12" ht="16.5" customHeight="1" x14ac:dyDescent="0.35">
      <c r="A1131" t="s">
        <v>506</v>
      </c>
      <c r="B1131" t="s">
        <v>506</v>
      </c>
      <c r="C1131">
        <v>0</v>
      </c>
      <c r="D1131">
        <v>250</v>
      </c>
      <c r="E1131" t="s">
        <v>5348</v>
      </c>
      <c r="F1131" t="s">
        <v>5348</v>
      </c>
      <c r="G1131" t="s">
        <v>5349</v>
      </c>
      <c r="H1131" t="s">
        <v>3489</v>
      </c>
      <c r="I1131" t="s">
        <v>3490</v>
      </c>
      <c r="J1131" s="56">
        <f t="shared" si="51"/>
        <v>59</v>
      </c>
      <c r="K1131" s="74" t="str">
        <f t="shared" si="52"/>
        <v>31-60 Days</v>
      </c>
      <c r="L1131" s="58" t="str">
        <f t="shared" si="53"/>
        <v>Not Applicable</v>
      </c>
    </row>
    <row r="1132" spans="1:12" ht="16.5" customHeight="1" x14ac:dyDescent="0.35">
      <c r="A1132" t="s">
        <v>506</v>
      </c>
      <c r="B1132" t="s">
        <v>506</v>
      </c>
      <c r="C1132">
        <v>0</v>
      </c>
      <c r="D1132">
        <v>4125</v>
      </c>
      <c r="E1132" t="s">
        <v>5350</v>
      </c>
      <c r="F1132" t="s">
        <v>3574</v>
      </c>
      <c r="G1132" t="s">
        <v>5351</v>
      </c>
      <c r="H1132" t="s">
        <v>3489</v>
      </c>
      <c r="I1132" t="s">
        <v>3490</v>
      </c>
      <c r="J1132" s="56">
        <f t="shared" si="51"/>
        <v>59</v>
      </c>
      <c r="K1132" s="74" t="str">
        <f t="shared" si="52"/>
        <v>31-60 Days</v>
      </c>
      <c r="L1132" s="58" t="str">
        <f t="shared" si="53"/>
        <v>Not Applicable</v>
      </c>
    </row>
    <row r="1133" spans="1:12" ht="16.5" customHeight="1" x14ac:dyDescent="0.35">
      <c r="A1133" t="s">
        <v>506</v>
      </c>
      <c r="B1133" t="s">
        <v>506</v>
      </c>
      <c r="C1133">
        <v>0</v>
      </c>
      <c r="D1133">
        <v>1000</v>
      </c>
      <c r="E1133" t="s">
        <v>5352</v>
      </c>
      <c r="F1133" t="s">
        <v>3574</v>
      </c>
      <c r="G1133" t="s">
        <v>5353</v>
      </c>
      <c r="H1133" t="s">
        <v>3489</v>
      </c>
      <c r="I1133" t="s">
        <v>3490</v>
      </c>
      <c r="J1133" s="56">
        <f t="shared" si="51"/>
        <v>59</v>
      </c>
      <c r="K1133" s="74" t="str">
        <f t="shared" si="52"/>
        <v>31-60 Days</v>
      </c>
      <c r="L1133" s="58" t="str">
        <f t="shared" si="53"/>
        <v>Not Applicable</v>
      </c>
    </row>
    <row r="1134" spans="1:12" ht="16.5" customHeight="1" x14ac:dyDescent="0.35">
      <c r="A1134" t="s">
        <v>506</v>
      </c>
      <c r="B1134" t="s">
        <v>506</v>
      </c>
      <c r="C1134">
        <v>0</v>
      </c>
      <c r="D1134">
        <v>2050</v>
      </c>
      <c r="E1134" t="s">
        <v>5354</v>
      </c>
      <c r="F1134" t="s">
        <v>5354</v>
      </c>
      <c r="G1134" t="s">
        <v>5355</v>
      </c>
      <c r="H1134" t="s">
        <v>3489</v>
      </c>
      <c r="I1134" t="s">
        <v>3490</v>
      </c>
      <c r="J1134" s="56">
        <f t="shared" si="51"/>
        <v>59</v>
      </c>
      <c r="K1134" s="74" t="str">
        <f t="shared" si="52"/>
        <v>31-60 Days</v>
      </c>
      <c r="L1134" s="58" t="str">
        <f t="shared" si="53"/>
        <v>Not Applicable</v>
      </c>
    </row>
    <row r="1135" spans="1:12" ht="16.5" customHeight="1" x14ac:dyDescent="0.35">
      <c r="A1135" t="s">
        <v>506</v>
      </c>
      <c r="B1135" t="s">
        <v>506</v>
      </c>
      <c r="C1135">
        <v>0</v>
      </c>
      <c r="D1135">
        <v>500</v>
      </c>
      <c r="E1135" t="s">
        <v>5356</v>
      </c>
      <c r="F1135" t="s">
        <v>5356</v>
      </c>
      <c r="G1135" t="s">
        <v>5357</v>
      </c>
      <c r="H1135" t="s">
        <v>3489</v>
      </c>
      <c r="I1135" t="s">
        <v>3490</v>
      </c>
      <c r="J1135" s="56">
        <f t="shared" si="51"/>
        <v>59</v>
      </c>
      <c r="K1135" s="74" t="str">
        <f t="shared" si="52"/>
        <v>31-60 Days</v>
      </c>
      <c r="L1135" s="58" t="str">
        <f t="shared" si="53"/>
        <v>Not Applicable</v>
      </c>
    </row>
    <row r="1136" spans="1:12" ht="16.5" customHeight="1" x14ac:dyDescent="0.35">
      <c r="A1136" t="s">
        <v>506</v>
      </c>
      <c r="B1136" t="s">
        <v>506</v>
      </c>
      <c r="C1136">
        <v>0</v>
      </c>
      <c r="D1136">
        <v>1000</v>
      </c>
      <c r="E1136" t="s">
        <v>5358</v>
      </c>
      <c r="F1136" t="s">
        <v>5359</v>
      </c>
      <c r="G1136" t="s">
        <v>5360</v>
      </c>
      <c r="H1136" t="s">
        <v>3532</v>
      </c>
      <c r="I1136" t="s">
        <v>3490</v>
      </c>
      <c r="J1136" s="56">
        <f t="shared" si="51"/>
        <v>59</v>
      </c>
      <c r="K1136" s="74" t="str">
        <f t="shared" si="52"/>
        <v>31-60 Days</v>
      </c>
      <c r="L1136" s="58" t="str">
        <f t="shared" si="53"/>
        <v>Not Applicable</v>
      </c>
    </row>
    <row r="1137" spans="1:12" ht="16.5" customHeight="1" x14ac:dyDescent="0.35">
      <c r="A1137" t="s">
        <v>506</v>
      </c>
      <c r="B1137" t="s">
        <v>506</v>
      </c>
      <c r="C1137">
        <v>0</v>
      </c>
      <c r="D1137">
        <v>12225.26</v>
      </c>
      <c r="E1137" t="s">
        <v>5361</v>
      </c>
      <c r="F1137" t="s">
        <v>5361</v>
      </c>
      <c r="G1137" t="s">
        <v>5362</v>
      </c>
      <c r="H1137" t="s">
        <v>3489</v>
      </c>
      <c r="I1137" t="s">
        <v>3490</v>
      </c>
      <c r="J1137" s="56">
        <f t="shared" si="51"/>
        <v>59</v>
      </c>
      <c r="K1137" s="74" t="str">
        <f t="shared" si="52"/>
        <v>31-60 Days</v>
      </c>
      <c r="L1137" s="58" t="str">
        <f t="shared" si="53"/>
        <v>Not Applicable</v>
      </c>
    </row>
    <row r="1138" spans="1:12" ht="16.5" customHeight="1" x14ac:dyDescent="0.35">
      <c r="A1138" t="s">
        <v>506</v>
      </c>
      <c r="B1138" t="s">
        <v>506</v>
      </c>
      <c r="C1138">
        <v>20000000</v>
      </c>
      <c r="D1138">
        <v>0</v>
      </c>
      <c r="E1138" t="s">
        <v>5363</v>
      </c>
      <c r="F1138" t="s">
        <v>5363</v>
      </c>
      <c r="G1138" t="s">
        <v>5364</v>
      </c>
      <c r="H1138" t="s">
        <v>4262</v>
      </c>
      <c r="I1138" t="s">
        <v>3486</v>
      </c>
      <c r="J1138" s="56">
        <f t="shared" si="51"/>
        <v>59</v>
      </c>
      <c r="K1138" s="74" t="str">
        <f t="shared" si="52"/>
        <v>31-60 Days</v>
      </c>
      <c r="L1138" s="58" t="str">
        <f t="shared" si="53"/>
        <v>Especially Mentioned</v>
      </c>
    </row>
    <row r="1139" spans="1:12" ht="16.5" customHeight="1" x14ac:dyDescent="0.35">
      <c r="A1139" t="s">
        <v>506</v>
      </c>
      <c r="B1139" t="s">
        <v>506</v>
      </c>
      <c r="C1139">
        <v>0</v>
      </c>
      <c r="D1139">
        <v>1000</v>
      </c>
      <c r="E1139" t="s">
        <v>5365</v>
      </c>
      <c r="F1139" t="s">
        <v>5365</v>
      </c>
      <c r="G1139" t="s">
        <v>5366</v>
      </c>
      <c r="H1139" t="s">
        <v>3489</v>
      </c>
      <c r="I1139" t="s">
        <v>3490</v>
      </c>
      <c r="J1139" s="56">
        <f t="shared" si="51"/>
        <v>59</v>
      </c>
      <c r="K1139" s="74" t="str">
        <f t="shared" si="52"/>
        <v>31-60 Days</v>
      </c>
      <c r="L1139" s="58" t="str">
        <f t="shared" si="53"/>
        <v>Not Applicable</v>
      </c>
    </row>
    <row r="1140" spans="1:12" ht="16.5" customHeight="1" x14ac:dyDescent="0.35">
      <c r="A1140" t="s">
        <v>506</v>
      </c>
      <c r="B1140" t="s">
        <v>506</v>
      </c>
      <c r="C1140">
        <v>0</v>
      </c>
      <c r="D1140">
        <v>480</v>
      </c>
      <c r="E1140" t="s">
        <v>5367</v>
      </c>
      <c r="F1140" t="s">
        <v>5368</v>
      </c>
      <c r="G1140" t="s">
        <v>5369</v>
      </c>
      <c r="H1140" t="s">
        <v>3489</v>
      </c>
      <c r="I1140" t="s">
        <v>3486</v>
      </c>
      <c r="J1140" s="56">
        <f t="shared" si="51"/>
        <v>59</v>
      </c>
      <c r="K1140" s="74" t="str">
        <f t="shared" si="52"/>
        <v>31-60 Days</v>
      </c>
      <c r="L1140" s="58" t="str">
        <f t="shared" si="53"/>
        <v>Not Applicable</v>
      </c>
    </row>
    <row r="1141" spans="1:12" ht="16.5" customHeight="1" x14ac:dyDescent="0.35">
      <c r="A1141" t="s">
        <v>506</v>
      </c>
      <c r="B1141" t="s">
        <v>506</v>
      </c>
      <c r="C1141">
        <v>0</v>
      </c>
      <c r="D1141">
        <v>1000</v>
      </c>
      <c r="E1141" t="s">
        <v>5370</v>
      </c>
      <c r="F1141" t="s">
        <v>3499</v>
      </c>
      <c r="G1141" t="s">
        <v>5371</v>
      </c>
      <c r="H1141" t="s">
        <v>3489</v>
      </c>
      <c r="I1141" t="s">
        <v>3490</v>
      </c>
      <c r="J1141" s="56">
        <f t="shared" si="51"/>
        <v>59</v>
      </c>
      <c r="K1141" s="74" t="str">
        <f t="shared" si="52"/>
        <v>31-60 Days</v>
      </c>
      <c r="L1141" s="58" t="str">
        <f t="shared" si="53"/>
        <v>Not Applicable</v>
      </c>
    </row>
    <row r="1142" spans="1:12" ht="16.5" customHeight="1" x14ac:dyDescent="0.35">
      <c r="A1142" t="s">
        <v>506</v>
      </c>
      <c r="B1142" t="s">
        <v>506</v>
      </c>
      <c r="C1142">
        <v>0</v>
      </c>
      <c r="D1142">
        <v>7430</v>
      </c>
      <c r="E1142" t="s">
        <v>5372</v>
      </c>
      <c r="F1142" t="s">
        <v>5373</v>
      </c>
      <c r="G1142" t="s">
        <v>5374</v>
      </c>
      <c r="H1142" t="s">
        <v>3532</v>
      </c>
      <c r="I1142" t="s">
        <v>3490</v>
      </c>
      <c r="J1142" s="56">
        <f t="shared" si="51"/>
        <v>59</v>
      </c>
      <c r="K1142" s="74" t="str">
        <f t="shared" si="52"/>
        <v>31-60 Days</v>
      </c>
      <c r="L1142" s="58" t="str">
        <f t="shared" si="53"/>
        <v>Not Applicable</v>
      </c>
    </row>
    <row r="1143" spans="1:12" ht="16.5" customHeight="1" x14ac:dyDescent="0.35">
      <c r="A1143" t="s">
        <v>506</v>
      </c>
      <c r="B1143" t="s">
        <v>506</v>
      </c>
      <c r="C1143">
        <v>0</v>
      </c>
      <c r="D1143">
        <v>8517</v>
      </c>
      <c r="E1143" t="s">
        <v>5375</v>
      </c>
      <c r="F1143" t="s">
        <v>5376</v>
      </c>
      <c r="G1143" t="s">
        <v>5377</v>
      </c>
      <c r="H1143" t="s">
        <v>3532</v>
      </c>
      <c r="I1143" t="s">
        <v>3490</v>
      </c>
      <c r="J1143" s="56">
        <f t="shared" si="51"/>
        <v>59</v>
      </c>
      <c r="K1143" s="74" t="str">
        <f t="shared" si="52"/>
        <v>31-60 Days</v>
      </c>
      <c r="L1143" s="58" t="str">
        <f t="shared" si="53"/>
        <v>Not Applicable</v>
      </c>
    </row>
    <row r="1144" spans="1:12" ht="16.5" customHeight="1" x14ac:dyDescent="0.35">
      <c r="A1144" t="s">
        <v>506</v>
      </c>
      <c r="B1144" t="s">
        <v>506</v>
      </c>
      <c r="C1144">
        <v>0</v>
      </c>
      <c r="D1144">
        <v>103</v>
      </c>
      <c r="E1144" t="s">
        <v>5378</v>
      </c>
      <c r="F1144" t="s">
        <v>5378</v>
      </c>
      <c r="G1144" t="s">
        <v>5379</v>
      </c>
      <c r="H1144" t="s">
        <v>3532</v>
      </c>
      <c r="I1144" t="s">
        <v>3490</v>
      </c>
      <c r="J1144" s="56">
        <f t="shared" si="51"/>
        <v>59</v>
      </c>
      <c r="K1144" s="74" t="str">
        <f t="shared" si="52"/>
        <v>31-60 Days</v>
      </c>
      <c r="L1144" s="58" t="str">
        <f t="shared" si="53"/>
        <v>Not Applicable</v>
      </c>
    </row>
    <row r="1145" spans="1:12" ht="16.5" customHeight="1" x14ac:dyDescent="0.35">
      <c r="A1145" t="s">
        <v>506</v>
      </c>
      <c r="B1145" t="s">
        <v>506</v>
      </c>
      <c r="C1145">
        <v>0</v>
      </c>
      <c r="D1145">
        <v>30</v>
      </c>
      <c r="E1145" t="s">
        <v>5380</v>
      </c>
      <c r="F1145" t="s">
        <v>5380</v>
      </c>
      <c r="G1145" t="s">
        <v>5381</v>
      </c>
      <c r="H1145" t="s">
        <v>3489</v>
      </c>
      <c r="I1145" t="s">
        <v>3490</v>
      </c>
      <c r="J1145" s="56">
        <f t="shared" si="51"/>
        <v>59</v>
      </c>
      <c r="K1145" s="74" t="str">
        <f t="shared" si="52"/>
        <v>31-60 Days</v>
      </c>
      <c r="L1145" s="58" t="str">
        <f t="shared" si="53"/>
        <v>Not Applicable</v>
      </c>
    </row>
    <row r="1146" spans="1:12" ht="16.5" customHeight="1" x14ac:dyDescent="0.35">
      <c r="A1146" t="s">
        <v>506</v>
      </c>
      <c r="B1146" t="s">
        <v>506</v>
      </c>
      <c r="C1146">
        <v>0</v>
      </c>
      <c r="D1146">
        <v>1000</v>
      </c>
      <c r="E1146" t="s">
        <v>5382</v>
      </c>
      <c r="F1146" t="s">
        <v>5383</v>
      </c>
      <c r="G1146" t="s">
        <v>5384</v>
      </c>
      <c r="H1146" t="s">
        <v>3489</v>
      </c>
      <c r="I1146" t="s">
        <v>3490</v>
      </c>
      <c r="J1146" s="56">
        <f t="shared" si="51"/>
        <v>59</v>
      </c>
      <c r="K1146" s="74" t="str">
        <f t="shared" si="52"/>
        <v>31-60 Days</v>
      </c>
      <c r="L1146" s="58" t="str">
        <f t="shared" si="53"/>
        <v>Not Applicable</v>
      </c>
    </row>
    <row r="1147" spans="1:12" ht="16.5" customHeight="1" x14ac:dyDescent="0.35">
      <c r="A1147" t="s">
        <v>506</v>
      </c>
      <c r="B1147" t="s">
        <v>506</v>
      </c>
      <c r="C1147">
        <v>0</v>
      </c>
      <c r="D1147">
        <v>23876.57</v>
      </c>
      <c r="E1147" t="s">
        <v>5385</v>
      </c>
      <c r="F1147" t="s">
        <v>5385</v>
      </c>
      <c r="G1147" t="s">
        <v>5386</v>
      </c>
      <c r="H1147" t="s">
        <v>3489</v>
      </c>
      <c r="I1147" t="s">
        <v>3490</v>
      </c>
      <c r="J1147" s="56">
        <f t="shared" si="51"/>
        <v>59</v>
      </c>
      <c r="K1147" s="74" t="str">
        <f t="shared" si="52"/>
        <v>31-60 Days</v>
      </c>
      <c r="L1147" s="58" t="str">
        <f t="shared" si="53"/>
        <v>Not Applicable</v>
      </c>
    </row>
    <row r="1148" spans="1:12" ht="16.5" customHeight="1" x14ac:dyDescent="0.35">
      <c r="A1148" t="s">
        <v>506</v>
      </c>
      <c r="B1148" t="s">
        <v>506</v>
      </c>
      <c r="C1148">
        <v>0</v>
      </c>
      <c r="D1148">
        <v>12000</v>
      </c>
      <c r="E1148" t="s">
        <v>5387</v>
      </c>
      <c r="F1148" t="s">
        <v>5387</v>
      </c>
      <c r="G1148" t="s">
        <v>5388</v>
      </c>
      <c r="H1148" t="s">
        <v>3489</v>
      </c>
      <c r="I1148" t="s">
        <v>3490</v>
      </c>
      <c r="J1148" s="56">
        <f t="shared" si="51"/>
        <v>59</v>
      </c>
      <c r="K1148" s="74" t="str">
        <f t="shared" si="52"/>
        <v>31-60 Days</v>
      </c>
      <c r="L1148" s="58" t="str">
        <f t="shared" si="53"/>
        <v>Not Applicable</v>
      </c>
    </row>
    <row r="1149" spans="1:12" ht="16.5" customHeight="1" x14ac:dyDescent="0.35">
      <c r="A1149" t="s">
        <v>506</v>
      </c>
      <c r="B1149" t="s">
        <v>506</v>
      </c>
      <c r="C1149">
        <v>0</v>
      </c>
      <c r="D1149">
        <v>100</v>
      </c>
      <c r="E1149" t="s">
        <v>5389</v>
      </c>
      <c r="F1149" t="s">
        <v>5389</v>
      </c>
      <c r="G1149" t="s">
        <v>5390</v>
      </c>
      <c r="H1149" t="s">
        <v>3489</v>
      </c>
      <c r="I1149" t="s">
        <v>3490</v>
      </c>
      <c r="J1149" s="56">
        <f t="shared" si="51"/>
        <v>59</v>
      </c>
      <c r="K1149" s="74" t="str">
        <f t="shared" si="52"/>
        <v>31-60 Days</v>
      </c>
      <c r="L1149" s="58" t="str">
        <f t="shared" si="53"/>
        <v>Not Applicable</v>
      </c>
    </row>
    <row r="1150" spans="1:12" ht="16.5" customHeight="1" x14ac:dyDescent="0.35">
      <c r="A1150" t="s">
        <v>506</v>
      </c>
      <c r="B1150" t="s">
        <v>506</v>
      </c>
      <c r="C1150">
        <v>0</v>
      </c>
      <c r="D1150">
        <v>460</v>
      </c>
      <c r="E1150" t="s">
        <v>5391</v>
      </c>
      <c r="F1150" t="s">
        <v>5391</v>
      </c>
      <c r="G1150" t="s">
        <v>5392</v>
      </c>
      <c r="H1150" t="s">
        <v>3532</v>
      </c>
      <c r="I1150" t="s">
        <v>3490</v>
      </c>
      <c r="J1150" s="56">
        <f t="shared" si="51"/>
        <v>59</v>
      </c>
      <c r="K1150" s="74" t="str">
        <f t="shared" si="52"/>
        <v>31-60 Days</v>
      </c>
      <c r="L1150" s="58" t="str">
        <f t="shared" si="53"/>
        <v>Not Applicable</v>
      </c>
    </row>
    <row r="1151" spans="1:12" ht="16.5" customHeight="1" x14ac:dyDescent="0.35">
      <c r="A1151" t="s">
        <v>506</v>
      </c>
      <c r="B1151" t="s">
        <v>506</v>
      </c>
      <c r="C1151">
        <v>0</v>
      </c>
      <c r="D1151">
        <v>1000</v>
      </c>
      <c r="E1151" t="s">
        <v>5393</v>
      </c>
      <c r="F1151" t="s">
        <v>5394</v>
      </c>
      <c r="G1151" t="s">
        <v>5395</v>
      </c>
      <c r="H1151" t="s">
        <v>3489</v>
      </c>
      <c r="I1151" t="s">
        <v>3490</v>
      </c>
      <c r="J1151" s="56">
        <f t="shared" si="51"/>
        <v>59</v>
      </c>
      <c r="K1151" s="74" t="str">
        <f t="shared" si="52"/>
        <v>31-60 Days</v>
      </c>
      <c r="L1151" s="58" t="str">
        <f t="shared" si="53"/>
        <v>Not Applicable</v>
      </c>
    </row>
    <row r="1152" spans="1:12" ht="16.5" customHeight="1" x14ac:dyDescent="0.35">
      <c r="A1152" t="s">
        <v>506</v>
      </c>
      <c r="B1152" t="s">
        <v>506</v>
      </c>
      <c r="C1152">
        <v>0</v>
      </c>
      <c r="D1152">
        <v>4620</v>
      </c>
      <c r="E1152" t="s">
        <v>5396</v>
      </c>
      <c r="F1152" t="s">
        <v>3574</v>
      </c>
      <c r="G1152" t="s">
        <v>5397</v>
      </c>
      <c r="H1152" t="s">
        <v>3489</v>
      </c>
      <c r="I1152" t="s">
        <v>3490</v>
      </c>
      <c r="J1152" s="56">
        <f t="shared" si="51"/>
        <v>59</v>
      </c>
      <c r="K1152" s="74" t="str">
        <f t="shared" si="52"/>
        <v>31-60 Days</v>
      </c>
      <c r="L1152" s="58" t="str">
        <f t="shared" si="53"/>
        <v>Not Applicable</v>
      </c>
    </row>
    <row r="1153" spans="1:12" ht="16.5" customHeight="1" x14ac:dyDescent="0.35">
      <c r="A1153" t="s">
        <v>506</v>
      </c>
      <c r="B1153" t="s">
        <v>506</v>
      </c>
      <c r="C1153">
        <v>0</v>
      </c>
      <c r="D1153">
        <v>2050</v>
      </c>
      <c r="E1153" t="s">
        <v>5398</v>
      </c>
      <c r="F1153" t="s">
        <v>5398</v>
      </c>
      <c r="G1153" t="s">
        <v>5399</v>
      </c>
      <c r="H1153" t="s">
        <v>3489</v>
      </c>
      <c r="I1153" t="s">
        <v>3490</v>
      </c>
      <c r="J1153" s="56">
        <f t="shared" si="51"/>
        <v>59</v>
      </c>
      <c r="K1153" s="74" t="str">
        <f t="shared" si="52"/>
        <v>31-60 Days</v>
      </c>
      <c r="L1153" s="58" t="str">
        <f t="shared" si="53"/>
        <v>Not Applicable</v>
      </c>
    </row>
    <row r="1154" spans="1:12" ht="16.5" customHeight="1" x14ac:dyDescent="0.35">
      <c r="A1154" t="s">
        <v>506</v>
      </c>
      <c r="B1154" t="s">
        <v>506</v>
      </c>
      <c r="C1154">
        <v>0</v>
      </c>
      <c r="D1154">
        <v>2016</v>
      </c>
      <c r="E1154" t="s">
        <v>5400</v>
      </c>
      <c r="F1154" t="s">
        <v>5400</v>
      </c>
      <c r="G1154" t="s">
        <v>5401</v>
      </c>
      <c r="H1154" t="s">
        <v>3532</v>
      </c>
      <c r="I1154" t="s">
        <v>3490</v>
      </c>
      <c r="J1154" s="56">
        <f t="shared" si="51"/>
        <v>59</v>
      </c>
      <c r="K1154" s="74" t="str">
        <f t="shared" si="52"/>
        <v>31-60 Days</v>
      </c>
      <c r="L1154" s="58" t="str">
        <f t="shared" si="53"/>
        <v>Not Applicable</v>
      </c>
    </row>
    <row r="1155" spans="1:12" ht="16.5" customHeight="1" x14ac:dyDescent="0.35">
      <c r="A1155" t="s">
        <v>506</v>
      </c>
      <c r="B1155" t="s">
        <v>506</v>
      </c>
      <c r="C1155">
        <v>0</v>
      </c>
      <c r="D1155">
        <v>4584.9799999999996</v>
      </c>
      <c r="E1155" t="s">
        <v>5402</v>
      </c>
      <c r="F1155" t="s">
        <v>5402</v>
      </c>
      <c r="G1155" t="s">
        <v>5403</v>
      </c>
      <c r="H1155" t="s">
        <v>3489</v>
      </c>
      <c r="I1155" t="s">
        <v>3490</v>
      </c>
      <c r="J1155" s="56">
        <f t="shared" si="51"/>
        <v>59</v>
      </c>
      <c r="K1155" s="74" t="str">
        <f t="shared" si="52"/>
        <v>31-60 Days</v>
      </c>
      <c r="L1155" s="58" t="str">
        <f t="shared" si="53"/>
        <v>Not Applicable</v>
      </c>
    </row>
    <row r="1156" spans="1:12" ht="16.5" customHeight="1" x14ac:dyDescent="0.35">
      <c r="A1156" t="s">
        <v>506</v>
      </c>
      <c r="B1156" t="s">
        <v>506</v>
      </c>
      <c r="C1156">
        <v>0</v>
      </c>
      <c r="D1156">
        <v>1736</v>
      </c>
      <c r="E1156" t="s">
        <v>5404</v>
      </c>
      <c r="F1156" t="s">
        <v>5404</v>
      </c>
      <c r="G1156" t="s">
        <v>5405</v>
      </c>
      <c r="H1156" t="s">
        <v>3489</v>
      </c>
      <c r="I1156" t="s">
        <v>3490</v>
      </c>
      <c r="J1156" s="56">
        <f t="shared" si="51"/>
        <v>59</v>
      </c>
      <c r="K1156" s="74" t="str">
        <f t="shared" si="52"/>
        <v>31-60 Days</v>
      </c>
      <c r="L1156" s="58" t="str">
        <f t="shared" si="53"/>
        <v>Not Applicable</v>
      </c>
    </row>
    <row r="1157" spans="1:12" ht="16.5" customHeight="1" x14ac:dyDescent="0.35">
      <c r="A1157" t="s">
        <v>506</v>
      </c>
      <c r="B1157" t="s">
        <v>506</v>
      </c>
      <c r="C1157">
        <v>0</v>
      </c>
      <c r="D1157">
        <v>1000</v>
      </c>
      <c r="E1157" t="s">
        <v>5406</v>
      </c>
      <c r="F1157" t="s">
        <v>5407</v>
      </c>
      <c r="G1157" t="s">
        <v>5408</v>
      </c>
      <c r="H1157" t="s">
        <v>3489</v>
      </c>
      <c r="I1157" t="s">
        <v>3490</v>
      </c>
      <c r="J1157" s="56">
        <f t="shared" si="51"/>
        <v>59</v>
      </c>
      <c r="K1157" s="74" t="str">
        <f t="shared" si="52"/>
        <v>31-60 Days</v>
      </c>
      <c r="L1157" s="58" t="str">
        <f t="shared" si="53"/>
        <v>Not Applicable</v>
      </c>
    </row>
    <row r="1158" spans="1:12" ht="16.5" customHeight="1" x14ac:dyDescent="0.35">
      <c r="A1158" t="s">
        <v>506</v>
      </c>
      <c r="B1158" t="s">
        <v>506</v>
      </c>
      <c r="C1158">
        <v>0</v>
      </c>
      <c r="D1158">
        <v>500</v>
      </c>
      <c r="E1158" t="s">
        <v>5409</v>
      </c>
      <c r="F1158" t="s">
        <v>5409</v>
      </c>
      <c r="G1158" t="s">
        <v>5410</v>
      </c>
      <c r="H1158" t="s">
        <v>3532</v>
      </c>
      <c r="I1158" t="s">
        <v>3490</v>
      </c>
      <c r="J1158" s="56">
        <f t="shared" si="51"/>
        <v>59</v>
      </c>
      <c r="K1158" s="74" t="str">
        <f t="shared" si="52"/>
        <v>31-60 Days</v>
      </c>
      <c r="L1158" s="58" t="str">
        <f t="shared" si="53"/>
        <v>Not Applicable</v>
      </c>
    </row>
    <row r="1159" spans="1:12" ht="16.5" customHeight="1" x14ac:dyDescent="0.35">
      <c r="A1159" t="s">
        <v>506</v>
      </c>
      <c r="B1159" t="s">
        <v>506</v>
      </c>
      <c r="C1159">
        <v>0</v>
      </c>
      <c r="D1159">
        <v>1000</v>
      </c>
      <c r="E1159" t="s">
        <v>5411</v>
      </c>
      <c r="F1159" t="s">
        <v>5411</v>
      </c>
      <c r="G1159" t="s">
        <v>5412</v>
      </c>
      <c r="H1159" t="s">
        <v>3489</v>
      </c>
      <c r="I1159" t="s">
        <v>3490</v>
      </c>
      <c r="J1159" s="56">
        <f t="shared" si="51"/>
        <v>59</v>
      </c>
      <c r="K1159" s="74" t="str">
        <f t="shared" si="52"/>
        <v>31-60 Days</v>
      </c>
      <c r="L1159" s="58" t="str">
        <f t="shared" si="53"/>
        <v>Not Applicable</v>
      </c>
    </row>
    <row r="1160" spans="1:12" ht="16.5" customHeight="1" x14ac:dyDescent="0.35">
      <c r="A1160" t="s">
        <v>506</v>
      </c>
      <c r="B1160" t="s">
        <v>506</v>
      </c>
      <c r="C1160">
        <v>0</v>
      </c>
      <c r="D1160">
        <v>1000</v>
      </c>
      <c r="E1160" t="s">
        <v>5413</v>
      </c>
      <c r="F1160" t="s">
        <v>5413</v>
      </c>
      <c r="G1160" t="s">
        <v>5414</v>
      </c>
      <c r="H1160" t="s">
        <v>3489</v>
      </c>
      <c r="I1160" t="s">
        <v>3490</v>
      </c>
      <c r="J1160" s="56">
        <f t="shared" si="51"/>
        <v>59</v>
      </c>
      <c r="K1160" s="74" t="str">
        <f t="shared" si="52"/>
        <v>31-60 Days</v>
      </c>
      <c r="L1160" s="58" t="str">
        <f t="shared" si="53"/>
        <v>Not Applicable</v>
      </c>
    </row>
    <row r="1161" spans="1:12" ht="16.5" customHeight="1" x14ac:dyDescent="0.35">
      <c r="A1161" t="s">
        <v>506</v>
      </c>
      <c r="B1161" t="s">
        <v>506</v>
      </c>
      <c r="C1161">
        <v>0</v>
      </c>
      <c r="D1161">
        <v>1000</v>
      </c>
      <c r="E1161" t="s">
        <v>5415</v>
      </c>
      <c r="F1161" t="s">
        <v>5416</v>
      </c>
      <c r="G1161" t="s">
        <v>5417</v>
      </c>
      <c r="H1161" t="s">
        <v>3489</v>
      </c>
      <c r="I1161" t="s">
        <v>3490</v>
      </c>
      <c r="J1161" s="56">
        <f t="shared" ref="J1161:J1224" si="54">IF(A1161="","",A$5-A1161)</f>
        <v>59</v>
      </c>
      <c r="K1161" s="74" t="str">
        <f t="shared" ref="K1161:K1224" si="55">IF(J1161="","",IF(J1161&lt;4,"0-3 Days",IF(J1161&lt;31,"4-30 Days",IF(J1161&lt;61,"31-60 Days",IF(J1161&lt;=90,"61-90 Days",IF(J1161&gt;90,"Above 90 Days","0"))))))</f>
        <v>31-60 Days</v>
      </c>
      <c r="L1161" s="58" t="str">
        <f t="shared" ref="L1161:L1224" si="56">IF(C1161="","",IF(C1161&gt;0,IF(J1161&lt;30,"Normal",IF(J1161&lt;60,"Especially Mentioned",IF(J1161&lt;90,"Substandard",IF(J1161&lt;=180,"Doubtful",IF(J1161&gt;180,"Loss","0"))))),"Not Applicable"))</f>
        <v>Not Applicable</v>
      </c>
    </row>
    <row r="1162" spans="1:12" ht="16.5" customHeight="1" x14ac:dyDescent="0.35">
      <c r="A1162" t="s">
        <v>506</v>
      </c>
      <c r="B1162" t="s">
        <v>506</v>
      </c>
      <c r="C1162">
        <v>0</v>
      </c>
      <c r="D1162">
        <v>3050</v>
      </c>
      <c r="E1162" t="s">
        <v>5418</v>
      </c>
      <c r="F1162" t="s">
        <v>3499</v>
      </c>
      <c r="G1162" t="s">
        <v>5419</v>
      </c>
      <c r="H1162" t="s">
        <v>3489</v>
      </c>
      <c r="I1162" t="s">
        <v>3490</v>
      </c>
      <c r="J1162" s="56">
        <f t="shared" si="54"/>
        <v>59</v>
      </c>
      <c r="K1162" s="74" t="str">
        <f t="shared" si="55"/>
        <v>31-60 Days</v>
      </c>
      <c r="L1162" s="58" t="str">
        <f t="shared" si="56"/>
        <v>Not Applicable</v>
      </c>
    </row>
    <row r="1163" spans="1:12" ht="16.5" customHeight="1" x14ac:dyDescent="0.35">
      <c r="A1163" t="s">
        <v>506</v>
      </c>
      <c r="B1163" t="s">
        <v>506</v>
      </c>
      <c r="C1163">
        <v>0</v>
      </c>
      <c r="D1163">
        <v>1000</v>
      </c>
      <c r="E1163" t="s">
        <v>5420</v>
      </c>
      <c r="F1163" t="s">
        <v>5420</v>
      </c>
      <c r="G1163" t="s">
        <v>5421</v>
      </c>
      <c r="H1163" t="s">
        <v>3532</v>
      </c>
      <c r="I1163" t="s">
        <v>3490</v>
      </c>
      <c r="J1163" s="56">
        <f t="shared" si="54"/>
        <v>59</v>
      </c>
      <c r="K1163" s="74" t="str">
        <f t="shared" si="55"/>
        <v>31-60 Days</v>
      </c>
      <c r="L1163" s="58" t="str">
        <f t="shared" si="56"/>
        <v>Not Applicable</v>
      </c>
    </row>
    <row r="1164" spans="1:12" ht="16.5" customHeight="1" x14ac:dyDescent="0.35">
      <c r="A1164" t="s">
        <v>506</v>
      </c>
      <c r="B1164" t="s">
        <v>506</v>
      </c>
      <c r="C1164">
        <v>0</v>
      </c>
      <c r="D1164">
        <v>36391.550000000003</v>
      </c>
      <c r="E1164" t="s">
        <v>5422</v>
      </c>
      <c r="F1164" t="s">
        <v>5422</v>
      </c>
      <c r="G1164" t="s">
        <v>5423</v>
      </c>
      <c r="H1164" t="s">
        <v>3489</v>
      </c>
      <c r="I1164" t="s">
        <v>3490</v>
      </c>
      <c r="J1164" s="56">
        <f t="shared" si="54"/>
        <v>59</v>
      </c>
      <c r="K1164" s="74" t="str">
        <f t="shared" si="55"/>
        <v>31-60 Days</v>
      </c>
      <c r="L1164" s="58" t="str">
        <f t="shared" si="56"/>
        <v>Not Applicable</v>
      </c>
    </row>
    <row r="1165" spans="1:12" ht="16.5" customHeight="1" x14ac:dyDescent="0.35">
      <c r="A1165" t="s">
        <v>506</v>
      </c>
      <c r="B1165" t="s">
        <v>506</v>
      </c>
      <c r="C1165">
        <v>0</v>
      </c>
      <c r="D1165">
        <v>1000</v>
      </c>
      <c r="E1165" t="s">
        <v>5424</v>
      </c>
      <c r="F1165" t="s">
        <v>5425</v>
      </c>
      <c r="G1165" t="s">
        <v>5426</v>
      </c>
      <c r="H1165" t="s">
        <v>3489</v>
      </c>
      <c r="I1165" t="s">
        <v>3490</v>
      </c>
      <c r="J1165" s="56">
        <f t="shared" si="54"/>
        <v>59</v>
      </c>
      <c r="K1165" s="74" t="str">
        <f t="shared" si="55"/>
        <v>31-60 Days</v>
      </c>
      <c r="L1165" s="58" t="str">
        <f t="shared" si="56"/>
        <v>Not Applicable</v>
      </c>
    </row>
    <row r="1166" spans="1:12" ht="16.5" customHeight="1" x14ac:dyDescent="0.35">
      <c r="A1166" t="s">
        <v>506</v>
      </c>
      <c r="B1166" t="s">
        <v>506</v>
      </c>
      <c r="C1166">
        <v>0</v>
      </c>
      <c r="D1166">
        <v>244</v>
      </c>
      <c r="E1166" t="s">
        <v>5427</v>
      </c>
      <c r="F1166" t="s">
        <v>5427</v>
      </c>
      <c r="G1166" t="s">
        <v>5428</v>
      </c>
      <c r="H1166" t="s">
        <v>3532</v>
      </c>
      <c r="I1166" t="s">
        <v>3490</v>
      </c>
      <c r="J1166" s="56">
        <f t="shared" si="54"/>
        <v>59</v>
      </c>
      <c r="K1166" s="74" t="str">
        <f t="shared" si="55"/>
        <v>31-60 Days</v>
      </c>
      <c r="L1166" s="58" t="str">
        <f t="shared" si="56"/>
        <v>Not Applicable</v>
      </c>
    </row>
    <row r="1167" spans="1:12" ht="16.5" customHeight="1" x14ac:dyDescent="0.35">
      <c r="A1167" t="s">
        <v>506</v>
      </c>
      <c r="B1167" t="s">
        <v>506</v>
      </c>
      <c r="C1167">
        <v>0</v>
      </c>
      <c r="D1167">
        <v>513</v>
      </c>
      <c r="E1167" t="s">
        <v>5429</v>
      </c>
      <c r="F1167" t="s">
        <v>5429</v>
      </c>
      <c r="G1167" t="s">
        <v>5430</v>
      </c>
      <c r="H1167" t="s">
        <v>3532</v>
      </c>
      <c r="I1167" t="s">
        <v>3490</v>
      </c>
      <c r="J1167" s="56">
        <f t="shared" si="54"/>
        <v>59</v>
      </c>
      <c r="K1167" s="74" t="str">
        <f t="shared" si="55"/>
        <v>31-60 Days</v>
      </c>
      <c r="L1167" s="58" t="str">
        <f t="shared" si="56"/>
        <v>Not Applicable</v>
      </c>
    </row>
    <row r="1168" spans="1:12" ht="16.5" customHeight="1" x14ac:dyDescent="0.35">
      <c r="A1168" t="s">
        <v>506</v>
      </c>
      <c r="B1168" t="s">
        <v>506</v>
      </c>
      <c r="C1168">
        <v>0</v>
      </c>
      <c r="D1168">
        <v>2000</v>
      </c>
      <c r="E1168" t="s">
        <v>5431</v>
      </c>
      <c r="F1168" t="s">
        <v>5431</v>
      </c>
      <c r="G1168" t="s">
        <v>5432</v>
      </c>
      <c r="H1168" t="s">
        <v>3489</v>
      </c>
      <c r="I1168" t="s">
        <v>3490</v>
      </c>
      <c r="J1168" s="56">
        <f t="shared" si="54"/>
        <v>59</v>
      </c>
      <c r="K1168" s="74" t="str">
        <f t="shared" si="55"/>
        <v>31-60 Days</v>
      </c>
      <c r="L1168" s="58" t="str">
        <f t="shared" si="56"/>
        <v>Not Applicable</v>
      </c>
    </row>
    <row r="1169" spans="1:12" ht="16.5" customHeight="1" x14ac:dyDescent="0.35">
      <c r="A1169" t="s">
        <v>506</v>
      </c>
      <c r="B1169" t="s">
        <v>506</v>
      </c>
      <c r="C1169">
        <v>0</v>
      </c>
      <c r="D1169">
        <v>130</v>
      </c>
      <c r="E1169" t="s">
        <v>5433</v>
      </c>
      <c r="F1169" t="s">
        <v>5433</v>
      </c>
      <c r="G1169" t="s">
        <v>5434</v>
      </c>
      <c r="H1169" t="s">
        <v>3532</v>
      </c>
      <c r="I1169" t="s">
        <v>3490</v>
      </c>
      <c r="J1169" s="56">
        <f t="shared" si="54"/>
        <v>59</v>
      </c>
      <c r="K1169" s="74" t="str">
        <f t="shared" si="55"/>
        <v>31-60 Days</v>
      </c>
      <c r="L1169" s="58" t="str">
        <f t="shared" si="56"/>
        <v>Not Applicable</v>
      </c>
    </row>
    <row r="1170" spans="1:12" ht="16.5" customHeight="1" x14ac:dyDescent="0.35">
      <c r="A1170" t="s">
        <v>506</v>
      </c>
      <c r="B1170" t="s">
        <v>506</v>
      </c>
      <c r="C1170">
        <v>0</v>
      </c>
      <c r="D1170">
        <v>16854.75</v>
      </c>
      <c r="E1170" t="s">
        <v>5435</v>
      </c>
      <c r="F1170" t="s">
        <v>5435</v>
      </c>
      <c r="G1170" t="s">
        <v>5436</v>
      </c>
      <c r="H1170" t="s">
        <v>3489</v>
      </c>
      <c r="I1170" t="s">
        <v>3490</v>
      </c>
      <c r="J1170" s="56">
        <f t="shared" si="54"/>
        <v>59</v>
      </c>
      <c r="K1170" s="74" t="str">
        <f t="shared" si="55"/>
        <v>31-60 Days</v>
      </c>
      <c r="L1170" s="58" t="str">
        <f t="shared" si="56"/>
        <v>Not Applicable</v>
      </c>
    </row>
    <row r="1171" spans="1:12" ht="16.5" customHeight="1" x14ac:dyDescent="0.35">
      <c r="A1171" t="s">
        <v>506</v>
      </c>
      <c r="B1171" t="s">
        <v>506</v>
      </c>
      <c r="C1171">
        <v>1000000</v>
      </c>
      <c r="D1171">
        <v>0</v>
      </c>
      <c r="E1171" t="s">
        <v>5437</v>
      </c>
      <c r="F1171" t="s">
        <v>5437</v>
      </c>
      <c r="G1171" t="s">
        <v>5438</v>
      </c>
      <c r="H1171" t="s">
        <v>4196</v>
      </c>
      <c r="I1171" t="s">
        <v>3490</v>
      </c>
      <c r="J1171" s="56">
        <f t="shared" si="54"/>
        <v>59</v>
      </c>
      <c r="K1171" s="74" t="str">
        <f t="shared" si="55"/>
        <v>31-60 Days</v>
      </c>
      <c r="L1171" s="58" t="str">
        <f t="shared" si="56"/>
        <v>Especially Mentioned</v>
      </c>
    </row>
    <row r="1172" spans="1:12" ht="16.5" customHeight="1" x14ac:dyDescent="0.35">
      <c r="A1172" t="s">
        <v>506</v>
      </c>
      <c r="B1172" t="s">
        <v>506</v>
      </c>
      <c r="C1172">
        <v>0</v>
      </c>
      <c r="D1172">
        <v>202</v>
      </c>
      <c r="E1172" t="s">
        <v>5439</v>
      </c>
      <c r="F1172" t="s">
        <v>5439</v>
      </c>
      <c r="G1172" t="s">
        <v>5440</v>
      </c>
      <c r="H1172" t="s">
        <v>3532</v>
      </c>
      <c r="I1172" t="s">
        <v>3490</v>
      </c>
      <c r="J1172" s="56">
        <f t="shared" si="54"/>
        <v>59</v>
      </c>
      <c r="K1172" s="74" t="str">
        <f t="shared" si="55"/>
        <v>31-60 Days</v>
      </c>
      <c r="L1172" s="58" t="str">
        <f t="shared" si="56"/>
        <v>Not Applicable</v>
      </c>
    </row>
    <row r="1173" spans="1:12" ht="16.5" customHeight="1" x14ac:dyDescent="0.35">
      <c r="A1173" t="s">
        <v>506</v>
      </c>
      <c r="B1173" t="s">
        <v>506</v>
      </c>
      <c r="C1173">
        <v>0</v>
      </c>
      <c r="D1173">
        <v>1000</v>
      </c>
      <c r="E1173" t="s">
        <v>5441</v>
      </c>
      <c r="F1173" t="s">
        <v>5442</v>
      </c>
      <c r="G1173" t="s">
        <v>5443</v>
      </c>
      <c r="H1173" t="s">
        <v>3489</v>
      </c>
      <c r="I1173" t="s">
        <v>3490</v>
      </c>
      <c r="J1173" s="56">
        <f t="shared" si="54"/>
        <v>59</v>
      </c>
      <c r="K1173" s="74" t="str">
        <f t="shared" si="55"/>
        <v>31-60 Days</v>
      </c>
      <c r="L1173" s="58" t="str">
        <f t="shared" si="56"/>
        <v>Not Applicable</v>
      </c>
    </row>
    <row r="1174" spans="1:12" ht="16.5" customHeight="1" x14ac:dyDescent="0.35">
      <c r="A1174" t="s">
        <v>506</v>
      </c>
      <c r="B1174" t="s">
        <v>506</v>
      </c>
      <c r="C1174">
        <v>0</v>
      </c>
      <c r="D1174">
        <v>1000</v>
      </c>
      <c r="E1174" t="s">
        <v>5444</v>
      </c>
      <c r="F1174" t="s">
        <v>5445</v>
      </c>
      <c r="G1174" t="s">
        <v>5446</v>
      </c>
      <c r="H1174" t="s">
        <v>3489</v>
      </c>
      <c r="I1174" t="s">
        <v>3490</v>
      </c>
      <c r="J1174" s="56">
        <f t="shared" si="54"/>
        <v>59</v>
      </c>
      <c r="K1174" s="74" t="str">
        <f t="shared" si="55"/>
        <v>31-60 Days</v>
      </c>
      <c r="L1174" s="58" t="str">
        <f t="shared" si="56"/>
        <v>Not Applicable</v>
      </c>
    </row>
    <row r="1175" spans="1:12" ht="16.5" customHeight="1" x14ac:dyDescent="0.35">
      <c r="A1175" t="s">
        <v>506</v>
      </c>
      <c r="B1175" t="s">
        <v>506</v>
      </c>
      <c r="C1175">
        <v>0</v>
      </c>
      <c r="D1175">
        <v>140</v>
      </c>
      <c r="E1175" t="s">
        <v>5447</v>
      </c>
      <c r="F1175" t="s">
        <v>5447</v>
      </c>
      <c r="G1175" t="s">
        <v>5448</v>
      </c>
      <c r="H1175" t="s">
        <v>3532</v>
      </c>
      <c r="I1175" t="s">
        <v>3490</v>
      </c>
      <c r="J1175" s="56">
        <f t="shared" si="54"/>
        <v>59</v>
      </c>
      <c r="K1175" s="74" t="str">
        <f t="shared" si="55"/>
        <v>31-60 Days</v>
      </c>
      <c r="L1175" s="58" t="str">
        <f t="shared" si="56"/>
        <v>Not Applicable</v>
      </c>
    </row>
    <row r="1176" spans="1:12" ht="16.5" customHeight="1" x14ac:dyDescent="0.35">
      <c r="A1176" t="s">
        <v>506</v>
      </c>
      <c r="B1176" t="s">
        <v>506</v>
      </c>
      <c r="C1176">
        <v>0</v>
      </c>
      <c r="D1176">
        <v>3.15</v>
      </c>
      <c r="E1176" t="s">
        <v>5449</v>
      </c>
      <c r="F1176" t="s">
        <v>5449</v>
      </c>
      <c r="G1176" t="s">
        <v>5450</v>
      </c>
      <c r="H1176" t="s">
        <v>3489</v>
      </c>
      <c r="I1176" t="s">
        <v>3507</v>
      </c>
      <c r="J1176" s="56">
        <f t="shared" si="54"/>
        <v>59</v>
      </c>
      <c r="K1176" s="74" t="str">
        <f t="shared" si="55"/>
        <v>31-60 Days</v>
      </c>
      <c r="L1176" s="58" t="str">
        <f t="shared" si="56"/>
        <v>Not Applicable</v>
      </c>
    </row>
    <row r="1177" spans="1:12" ht="16.5" customHeight="1" x14ac:dyDescent="0.35">
      <c r="A1177" t="s">
        <v>506</v>
      </c>
      <c r="B1177" t="s">
        <v>506</v>
      </c>
      <c r="C1177">
        <v>0</v>
      </c>
      <c r="D1177">
        <v>1000</v>
      </c>
      <c r="E1177" t="s">
        <v>5451</v>
      </c>
      <c r="F1177" t="s">
        <v>5452</v>
      </c>
      <c r="G1177" t="s">
        <v>5453</v>
      </c>
      <c r="H1177" t="s">
        <v>3489</v>
      </c>
      <c r="I1177" t="s">
        <v>3490</v>
      </c>
      <c r="J1177" s="56">
        <f t="shared" si="54"/>
        <v>59</v>
      </c>
      <c r="K1177" s="74" t="str">
        <f t="shared" si="55"/>
        <v>31-60 Days</v>
      </c>
      <c r="L1177" s="58" t="str">
        <f t="shared" si="56"/>
        <v>Not Applicable</v>
      </c>
    </row>
    <row r="1178" spans="1:12" ht="16.5" customHeight="1" x14ac:dyDescent="0.35">
      <c r="A1178" t="s">
        <v>506</v>
      </c>
      <c r="B1178" t="s">
        <v>506</v>
      </c>
      <c r="C1178">
        <v>0</v>
      </c>
      <c r="D1178">
        <v>2050</v>
      </c>
      <c r="E1178" t="s">
        <v>5454</v>
      </c>
      <c r="F1178" t="s">
        <v>3574</v>
      </c>
      <c r="G1178" t="s">
        <v>5455</v>
      </c>
      <c r="H1178" t="s">
        <v>3489</v>
      </c>
      <c r="I1178" t="s">
        <v>3490</v>
      </c>
      <c r="J1178" s="56">
        <f t="shared" si="54"/>
        <v>59</v>
      </c>
      <c r="K1178" s="74" t="str">
        <f t="shared" si="55"/>
        <v>31-60 Days</v>
      </c>
      <c r="L1178" s="58" t="str">
        <f t="shared" si="56"/>
        <v>Not Applicable</v>
      </c>
    </row>
    <row r="1179" spans="1:12" ht="16.5" customHeight="1" x14ac:dyDescent="0.35">
      <c r="A1179" t="s">
        <v>506</v>
      </c>
      <c r="B1179" t="s">
        <v>506</v>
      </c>
      <c r="C1179">
        <v>0</v>
      </c>
      <c r="D1179">
        <v>29429.88</v>
      </c>
      <c r="E1179" t="s">
        <v>5456</v>
      </c>
      <c r="F1179" t="s">
        <v>5456</v>
      </c>
      <c r="G1179" t="s">
        <v>57</v>
      </c>
      <c r="H1179" t="s">
        <v>3914</v>
      </c>
      <c r="I1179" t="s">
        <v>3643</v>
      </c>
      <c r="J1179" s="56">
        <f t="shared" si="54"/>
        <v>59</v>
      </c>
      <c r="K1179" s="74" t="str">
        <f t="shared" si="55"/>
        <v>31-60 Days</v>
      </c>
      <c r="L1179" s="58" t="str">
        <f t="shared" si="56"/>
        <v>Not Applicable</v>
      </c>
    </row>
    <row r="1180" spans="1:12" ht="16.5" customHeight="1" x14ac:dyDescent="0.35">
      <c r="A1180" t="s">
        <v>506</v>
      </c>
      <c r="B1180" t="s">
        <v>506</v>
      </c>
      <c r="C1180">
        <v>0</v>
      </c>
      <c r="D1180">
        <v>495.6</v>
      </c>
      <c r="E1180" t="s">
        <v>5457</v>
      </c>
      <c r="F1180" t="s">
        <v>5458</v>
      </c>
      <c r="G1180" t="s">
        <v>5459</v>
      </c>
      <c r="H1180" t="s">
        <v>3532</v>
      </c>
      <c r="I1180" t="s">
        <v>3490</v>
      </c>
      <c r="J1180" s="56">
        <f t="shared" si="54"/>
        <v>59</v>
      </c>
      <c r="K1180" s="74" t="str">
        <f t="shared" si="55"/>
        <v>31-60 Days</v>
      </c>
      <c r="L1180" s="58" t="str">
        <f t="shared" si="56"/>
        <v>Not Applicable</v>
      </c>
    </row>
    <row r="1181" spans="1:12" ht="16.5" customHeight="1" x14ac:dyDescent="0.35">
      <c r="A1181" t="s">
        <v>540</v>
      </c>
      <c r="B1181" t="s">
        <v>540</v>
      </c>
      <c r="C1181">
        <v>0</v>
      </c>
      <c r="D1181">
        <v>600</v>
      </c>
      <c r="E1181" t="s">
        <v>5460</v>
      </c>
      <c r="F1181" t="s">
        <v>5460</v>
      </c>
      <c r="G1181" t="s">
        <v>5461</v>
      </c>
      <c r="H1181" t="s">
        <v>3489</v>
      </c>
      <c r="I1181" t="s">
        <v>3490</v>
      </c>
      <c r="J1181" s="56">
        <f t="shared" si="54"/>
        <v>58</v>
      </c>
      <c r="K1181" s="74" t="str">
        <f t="shared" si="55"/>
        <v>31-60 Days</v>
      </c>
      <c r="L1181" s="58" t="str">
        <f t="shared" si="56"/>
        <v>Not Applicable</v>
      </c>
    </row>
    <row r="1182" spans="1:12" ht="16.5" customHeight="1" x14ac:dyDescent="0.35">
      <c r="A1182" t="s">
        <v>540</v>
      </c>
      <c r="B1182" t="s">
        <v>540</v>
      </c>
      <c r="C1182">
        <v>0</v>
      </c>
      <c r="D1182">
        <v>1000</v>
      </c>
      <c r="E1182" t="s">
        <v>5462</v>
      </c>
      <c r="F1182" t="s">
        <v>5462</v>
      </c>
      <c r="G1182" t="s">
        <v>5463</v>
      </c>
      <c r="H1182" t="s">
        <v>3489</v>
      </c>
      <c r="I1182" t="s">
        <v>3490</v>
      </c>
      <c r="J1182" s="56">
        <f t="shared" si="54"/>
        <v>58</v>
      </c>
      <c r="K1182" s="74" t="str">
        <f t="shared" si="55"/>
        <v>31-60 Days</v>
      </c>
      <c r="L1182" s="58" t="str">
        <f t="shared" si="56"/>
        <v>Not Applicable</v>
      </c>
    </row>
    <row r="1183" spans="1:12" ht="16.5" customHeight="1" x14ac:dyDescent="0.35">
      <c r="A1183" t="s">
        <v>540</v>
      </c>
      <c r="B1183" t="s">
        <v>540</v>
      </c>
      <c r="C1183">
        <v>0</v>
      </c>
      <c r="D1183">
        <v>50</v>
      </c>
      <c r="E1183" t="s">
        <v>5464</v>
      </c>
      <c r="F1183" t="s">
        <v>5464</v>
      </c>
      <c r="G1183" t="s">
        <v>5465</v>
      </c>
      <c r="H1183" t="s">
        <v>3489</v>
      </c>
      <c r="I1183" t="s">
        <v>3490</v>
      </c>
      <c r="J1183" s="56">
        <f t="shared" si="54"/>
        <v>58</v>
      </c>
      <c r="K1183" s="74" t="str">
        <f t="shared" si="55"/>
        <v>31-60 Days</v>
      </c>
      <c r="L1183" s="58" t="str">
        <f t="shared" si="56"/>
        <v>Not Applicable</v>
      </c>
    </row>
    <row r="1184" spans="1:12" ht="16.5" customHeight="1" x14ac:dyDescent="0.35">
      <c r="A1184" t="s">
        <v>540</v>
      </c>
      <c r="B1184" t="s">
        <v>540</v>
      </c>
      <c r="C1184">
        <v>0</v>
      </c>
      <c r="D1184">
        <v>1000</v>
      </c>
      <c r="E1184" t="s">
        <v>5466</v>
      </c>
      <c r="F1184" t="s">
        <v>5466</v>
      </c>
      <c r="G1184" t="s">
        <v>5467</v>
      </c>
      <c r="H1184" t="s">
        <v>3532</v>
      </c>
      <c r="I1184" t="s">
        <v>3490</v>
      </c>
      <c r="J1184" s="56">
        <f t="shared" si="54"/>
        <v>58</v>
      </c>
      <c r="K1184" s="74" t="str">
        <f t="shared" si="55"/>
        <v>31-60 Days</v>
      </c>
      <c r="L1184" s="58" t="str">
        <f t="shared" si="56"/>
        <v>Not Applicable</v>
      </c>
    </row>
    <row r="1185" spans="1:12" ht="16.5" customHeight="1" x14ac:dyDescent="0.35">
      <c r="A1185" t="s">
        <v>540</v>
      </c>
      <c r="B1185" t="s">
        <v>540</v>
      </c>
      <c r="C1185">
        <v>0</v>
      </c>
      <c r="D1185">
        <v>250</v>
      </c>
      <c r="E1185" t="s">
        <v>5468</v>
      </c>
      <c r="F1185" t="s">
        <v>5468</v>
      </c>
      <c r="G1185" t="s">
        <v>5469</v>
      </c>
      <c r="H1185" t="s">
        <v>3638</v>
      </c>
      <c r="I1185" t="s">
        <v>3490</v>
      </c>
      <c r="J1185" s="56">
        <f t="shared" si="54"/>
        <v>58</v>
      </c>
      <c r="K1185" s="74" t="str">
        <f t="shared" si="55"/>
        <v>31-60 Days</v>
      </c>
      <c r="L1185" s="58" t="str">
        <f t="shared" si="56"/>
        <v>Not Applicable</v>
      </c>
    </row>
    <row r="1186" spans="1:12" ht="16.5" customHeight="1" x14ac:dyDescent="0.35">
      <c r="A1186" t="s">
        <v>540</v>
      </c>
      <c r="B1186" t="s">
        <v>540</v>
      </c>
      <c r="C1186">
        <v>0</v>
      </c>
      <c r="D1186">
        <v>24284</v>
      </c>
      <c r="E1186" t="s">
        <v>5470</v>
      </c>
      <c r="F1186" t="s">
        <v>5470</v>
      </c>
      <c r="G1186" t="s">
        <v>57</v>
      </c>
      <c r="H1186" t="s">
        <v>3914</v>
      </c>
      <c r="I1186" t="s">
        <v>3643</v>
      </c>
      <c r="J1186" s="56">
        <f t="shared" si="54"/>
        <v>58</v>
      </c>
      <c r="K1186" s="74" t="str">
        <f t="shared" si="55"/>
        <v>31-60 Days</v>
      </c>
      <c r="L1186" s="58" t="str">
        <f t="shared" si="56"/>
        <v>Not Applicable</v>
      </c>
    </row>
    <row r="1187" spans="1:12" ht="16.5" customHeight="1" x14ac:dyDescent="0.35">
      <c r="A1187" t="s">
        <v>540</v>
      </c>
      <c r="B1187" t="s">
        <v>540</v>
      </c>
      <c r="C1187">
        <v>0</v>
      </c>
      <c r="D1187">
        <v>280</v>
      </c>
      <c r="E1187" t="s">
        <v>5471</v>
      </c>
      <c r="F1187" t="s">
        <v>5471</v>
      </c>
      <c r="G1187" t="s">
        <v>5472</v>
      </c>
      <c r="H1187" t="s">
        <v>3489</v>
      </c>
      <c r="I1187" t="s">
        <v>3490</v>
      </c>
      <c r="J1187" s="56">
        <f t="shared" si="54"/>
        <v>58</v>
      </c>
      <c r="K1187" s="74" t="str">
        <f t="shared" si="55"/>
        <v>31-60 Days</v>
      </c>
      <c r="L1187" s="58" t="str">
        <f t="shared" si="56"/>
        <v>Not Applicable</v>
      </c>
    </row>
    <row r="1188" spans="1:12" ht="16.5" customHeight="1" x14ac:dyDescent="0.35">
      <c r="A1188" t="s">
        <v>540</v>
      </c>
      <c r="B1188" t="s">
        <v>540</v>
      </c>
      <c r="C1188">
        <v>0</v>
      </c>
      <c r="D1188">
        <v>1000</v>
      </c>
      <c r="E1188" t="s">
        <v>5473</v>
      </c>
      <c r="F1188" t="s">
        <v>5473</v>
      </c>
      <c r="G1188" t="s">
        <v>5474</v>
      </c>
      <c r="H1188" t="s">
        <v>3489</v>
      </c>
      <c r="I1188" t="s">
        <v>3490</v>
      </c>
      <c r="J1188" s="56">
        <f t="shared" si="54"/>
        <v>58</v>
      </c>
      <c r="K1188" s="74" t="str">
        <f t="shared" si="55"/>
        <v>31-60 Days</v>
      </c>
      <c r="L1188" s="58" t="str">
        <f t="shared" si="56"/>
        <v>Not Applicable</v>
      </c>
    </row>
    <row r="1189" spans="1:12" ht="16.5" customHeight="1" x14ac:dyDescent="0.35">
      <c r="A1189" t="s">
        <v>540</v>
      </c>
      <c r="B1189" t="s">
        <v>540</v>
      </c>
      <c r="C1189">
        <v>0</v>
      </c>
      <c r="D1189">
        <v>29835</v>
      </c>
      <c r="E1189" t="s">
        <v>5475</v>
      </c>
      <c r="F1189" t="s">
        <v>5475</v>
      </c>
      <c r="G1189" t="s">
        <v>5476</v>
      </c>
      <c r="H1189" t="s">
        <v>3489</v>
      </c>
      <c r="I1189" t="s">
        <v>3490</v>
      </c>
      <c r="J1189" s="56">
        <f t="shared" si="54"/>
        <v>58</v>
      </c>
      <c r="K1189" s="74" t="str">
        <f t="shared" si="55"/>
        <v>31-60 Days</v>
      </c>
      <c r="L1189" s="58" t="str">
        <f t="shared" si="56"/>
        <v>Not Applicable</v>
      </c>
    </row>
    <row r="1190" spans="1:12" ht="16.5" customHeight="1" x14ac:dyDescent="0.35">
      <c r="A1190" t="s">
        <v>540</v>
      </c>
      <c r="B1190" t="s">
        <v>540</v>
      </c>
      <c r="C1190">
        <v>0</v>
      </c>
      <c r="D1190">
        <v>1150</v>
      </c>
      <c r="E1190" t="s">
        <v>5477</v>
      </c>
      <c r="F1190" t="s">
        <v>5478</v>
      </c>
      <c r="G1190" t="s">
        <v>5479</v>
      </c>
      <c r="H1190" t="s">
        <v>3494</v>
      </c>
      <c r="I1190" t="s">
        <v>3490</v>
      </c>
      <c r="J1190" s="56">
        <f t="shared" si="54"/>
        <v>58</v>
      </c>
      <c r="K1190" s="74" t="str">
        <f t="shared" si="55"/>
        <v>31-60 Days</v>
      </c>
      <c r="L1190" s="58" t="str">
        <f t="shared" si="56"/>
        <v>Not Applicable</v>
      </c>
    </row>
    <row r="1191" spans="1:12" ht="16.5" customHeight="1" x14ac:dyDescent="0.35">
      <c r="A1191" t="s">
        <v>545</v>
      </c>
      <c r="B1191" t="s">
        <v>545</v>
      </c>
      <c r="C1191">
        <v>0</v>
      </c>
      <c r="D1191">
        <v>600</v>
      </c>
      <c r="E1191" t="s">
        <v>5480</v>
      </c>
      <c r="F1191" t="s">
        <v>5481</v>
      </c>
      <c r="G1191" t="s">
        <v>5482</v>
      </c>
      <c r="H1191" t="s">
        <v>3532</v>
      </c>
      <c r="I1191" t="s">
        <v>3490</v>
      </c>
      <c r="J1191" s="56">
        <f t="shared" si="54"/>
        <v>56</v>
      </c>
      <c r="K1191" s="74" t="str">
        <f t="shared" si="55"/>
        <v>31-60 Days</v>
      </c>
      <c r="L1191" s="58" t="str">
        <f t="shared" si="56"/>
        <v>Not Applicable</v>
      </c>
    </row>
    <row r="1192" spans="1:12" ht="16.5" customHeight="1" x14ac:dyDescent="0.35">
      <c r="A1192" t="s">
        <v>545</v>
      </c>
      <c r="B1192" t="s">
        <v>545</v>
      </c>
      <c r="C1192">
        <v>0</v>
      </c>
      <c r="D1192">
        <v>100</v>
      </c>
      <c r="E1192" t="s">
        <v>5483</v>
      </c>
      <c r="F1192" t="s">
        <v>5483</v>
      </c>
      <c r="G1192" t="s">
        <v>5484</v>
      </c>
      <c r="H1192" t="s">
        <v>3489</v>
      </c>
      <c r="I1192" t="s">
        <v>3490</v>
      </c>
      <c r="J1192" s="56">
        <f t="shared" si="54"/>
        <v>56</v>
      </c>
      <c r="K1192" s="74" t="str">
        <f t="shared" si="55"/>
        <v>31-60 Days</v>
      </c>
      <c r="L1192" s="58" t="str">
        <f t="shared" si="56"/>
        <v>Not Applicable</v>
      </c>
    </row>
    <row r="1193" spans="1:12" ht="16.5" customHeight="1" x14ac:dyDescent="0.35">
      <c r="A1193" t="s">
        <v>545</v>
      </c>
      <c r="B1193" t="s">
        <v>545</v>
      </c>
      <c r="C1193">
        <v>0</v>
      </c>
      <c r="D1193">
        <v>1000</v>
      </c>
      <c r="E1193" t="s">
        <v>5485</v>
      </c>
      <c r="F1193" t="s">
        <v>5486</v>
      </c>
      <c r="G1193" t="s">
        <v>5487</v>
      </c>
      <c r="H1193" t="s">
        <v>3489</v>
      </c>
      <c r="I1193" t="s">
        <v>3490</v>
      </c>
      <c r="J1193" s="56">
        <f t="shared" si="54"/>
        <v>56</v>
      </c>
      <c r="K1193" s="74" t="str">
        <f t="shared" si="55"/>
        <v>31-60 Days</v>
      </c>
      <c r="L1193" s="58" t="str">
        <f t="shared" si="56"/>
        <v>Not Applicable</v>
      </c>
    </row>
    <row r="1194" spans="1:12" ht="16.5" customHeight="1" x14ac:dyDescent="0.35">
      <c r="A1194" t="s">
        <v>545</v>
      </c>
      <c r="B1194" t="s">
        <v>545</v>
      </c>
      <c r="C1194">
        <v>0</v>
      </c>
      <c r="D1194">
        <v>1062</v>
      </c>
      <c r="E1194" t="s">
        <v>5488</v>
      </c>
      <c r="F1194" t="s">
        <v>3574</v>
      </c>
      <c r="G1194" t="s">
        <v>5489</v>
      </c>
      <c r="H1194" t="s">
        <v>3489</v>
      </c>
      <c r="I1194" t="s">
        <v>3490</v>
      </c>
      <c r="J1194" s="56">
        <f t="shared" si="54"/>
        <v>56</v>
      </c>
      <c r="K1194" s="74" t="str">
        <f t="shared" si="55"/>
        <v>31-60 Days</v>
      </c>
      <c r="L1194" s="58" t="str">
        <f t="shared" si="56"/>
        <v>Not Applicable</v>
      </c>
    </row>
    <row r="1195" spans="1:12" ht="16.5" customHeight="1" x14ac:dyDescent="0.35">
      <c r="A1195" t="s">
        <v>545</v>
      </c>
      <c r="B1195" t="s">
        <v>545</v>
      </c>
      <c r="C1195">
        <v>0</v>
      </c>
      <c r="D1195">
        <v>100</v>
      </c>
      <c r="E1195" t="s">
        <v>5490</v>
      </c>
      <c r="F1195" t="s">
        <v>5490</v>
      </c>
      <c r="G1195" t="s">
        <v>5491</v>
      </c>
      <c r="H1195" t="s">
        <v>3489</v>
      </c>
      <c r="I1195" t="s">
        <v>3490</v>
      </c>
      <c r="J1195" s="56">
        <f t="shared" si="54"/>
        <v>56</v>
      </c>
      <c r="K1195" s="74" t="str">
        <f t="shared" si="55"/>
        <v>31-60 Days</v>
      </c>
      <c r="L1195" s="58" t="str">
        <f t="shared" si="56"/>
        <v>Not Applicable</v>
      </c>
    </row>
    <row r="1196" spans="1:12" ht="16.5" customHeight="1" x14ac:dyDescent="0.35">
      <c r="A1196" t="s">
        <v>545</v>
      </c>
      <c r="B1196" t="s">
        <v>545</v>
      </c>
      <c r="C1196">
        <v>0</v>
      </c>
      <c r="D1196">
        <v>600</v>
      </c>
      <c r="E1196" t="s">
        <v>5492</v>
      </c>
      <c r="F1196" t="s">
        <v>5493</v>
      </c>
      <c r="G1196" t="s">
        <v>5494</v>
      </c>
      <c r="H1196" t="s">
        <v>3532</v>
      </c>
      <c r="I1196" t="s">
        <v>3490</v>
      </c>
      <c r="J1196" s="56">
        <f t="shared" si="54"/>
        <v>56</v>
      </c>
      <c r="K1196" s="74" t="str">
        <f t="shared" si="55"/>
        <v>31-60 Days</v>
      </c>
      <c r="L1196" s="58" t="str">
        <f t="shared" si="56"/>
        <v>Not Applicable</v>
      </c>
    </row>
    <row r="1197" spans="1:12" ht="16.5" customHeight="1" x14ac:dyDescent="0.35">
      <c r="A1197" t="s">
        <v>545</v>
      </c>
      <c r="B1197" t="s">
        <v>545</v>
      </c>
      <c r="C1197">
        <v>0</v>
      </c>
      <c r="D1197">
        <v>2124</v>
      </c>
      <c r="E1197" t="s">
        <v>5495</v>
      </c>
      <c r="F1197" t="s">
        <v>3574</v>
      </c>
      <c r="G1197" t="s">
        <v>5496</v>
      </c>
      <c r="H1197" t="s">
        <v>3489</v>
      </c>
      <c r="I1197" t="s">
        <v>3490</v>
      </c>
      <c r="J1197" s="56">
        <f t="shared" si="54"/>
        <v>56</v>
      </c>
      <c r="K1197" s="74" t="str">
        <f t="shared" si="55"/>
        <v>31-60 Days</v>
      </c>
      <c r="L1197" s="58" t="str">
        <f t="shared" si="56"/>
        <v>Not Applicable</v>
      </c>
    </row>
    <row r="1198" spans="1:12" ht="16.5" customHeight="1" x14ac:dyDescent="0.35">
      <c r="A1198" t="s">
        <v>545</v>
      </c>
      <c r="B1198" t="s">
        <v>545</v>
      </c>
      <c r="C1198">
        <v>0</v>
      </c>
      <c r="D1198">
        <v>318.60000000000002</v>
      </c>
      <c r="E1198" t="s">
        <v>5497</v>
      </c>
      <c r="F1198" t="s">
        <v>5498</v>
      </c>
      <c r="G1198" t="s">
        <v>5499</v>
      </c>
      <c r="H1198" t="s">
        <v>3532</v>
      </c>
      <c r="I1198" t="s">
        <v>3490</v>
      </c>
      <c r="J1198" s="56">
        <f t="shared" si="54"/>
        <v>56</v>
      </c>
      <c r="K1198" s="74" t="str">
        <f t="shared" si="55"/>
        <v>31-60 Days</v>
      </c>
      <c r="L1198" s="58" t="str">
        <f t="shared" si="56"/>
        <v>Not Applicable</v>
      </c>
    </row>
    <row r="1199" spans="1:12" ht="16.5" customHeight="1" x14ac:dyDescent="0.35">
      <c r="A1199" t="s">
        <v>545</v>
      </c>
      <c r="B1199" t="s">
        <v>545</v>
      </c>
      <c r="C1199">
        <v>0</v>
      </c>
      <c r="D1199">
        <v>2150</v>
      </c>
      <c r="E1199" t="s">
        <v>5500</v>
      </c>
      <c r="F1199" t="s">
        <v>5500</v>
      </c>
      <c r="G1199" t="s">
        <v>5501</v>
      </c>
      <c r="H1199" t="s">
        <v>3489</v>
      </c>
      <c r="I1199" t="s">
        <v>3490</v>
      </c>
      <c r="J1199" s="56">
        <f t="shared" si="54"/>
        <v>56</v>
      </c>
      <c r="K1199" s="74" t="str">
        <f t="shared" si="55"/>
        <v>31-60 Days</v>
      </c>
      <c r="L1199" s="58" t="str">
        <f t="shared" si="56"/>
        <v>Not Applicable</v>
      </c>
    </row>
    <row r="1200" spans="1:12" ht="16.5" customHeight="1" x14ac:dyDescent="0.35">
      <c r="A1200" t="s">
        <v>545</v>
      </c>
      <c r="B1200" t="s">
        <v>545</v>
      </c>
      <c r="C1200">
        <v>0</v>
      </c>
      <c r="D1200">
        <v>50</v>
      </c>
      <c r="E1200" t="s">
        <v>5502</v>
      </c>
      <c r="F1200" t="s">
        <v>5502</v>
      </c>
      <c r="G1200" t="s">
        <v>5503</v>
      </c>
      <c r="H1200" t="s">
        <v>3489</v>
      </c>
      <c r="I1200" t="s">
        <v>3490</v>
      </c>
      <c r="J1200" s="56">
        <f t="shared" si="54"/>
        <v>56</v>
      </c>
      <c r="K1200" s="74" t="str">
        <f t="shared" si="55"/>
        <v>31-60 Days</v>
      </c>
      <c r="L1200" s="58" t="str">
        <f t="shared" si="56"/>
        <v>Not Applicable</v>
      </c>
    </row>
    <row r="1201" spans="1:12" ht="16.5" customHeight="1" x14ac:dyDescent="0.35">
      <c r="A1201" t="s">
        <v>545</v>
      </c>
      <c r="B1201" t="s">
        <v>545</v>
      </c>
      <c r="C1201">
        <v>0</v>
      </c>
      <c r="D1201">
        <v>100</v>
      </c>
      <c r="E1201" t="s">
        <v>5504</v>
      </c>
      <c r="F1201" t="s">
        <v>5504</v>
      </c>
      <c r="G1201" t="s">
        <v>5505</v>
      </c>
      <c r="H1201" t="s">
        <v>3489</v>
      </c>
      <c r="I1201" t="s">
        <v>3490</v>
      </c>
      <c r="J1201" s="56">
        <f t="shared" si="54"/>
        <v>56</v>
      </c>
      <c r="K1201" s="74" t="str">
        <f t="shared" si="55"/>
        <v>31-60 Days</v>
      </c>
      <c r="L1201" s="58" t="str">
        <f t="shared" si="56"/>
        <v>Not Applicable</v>
      </c>
    </row>
    <row r="1202" spans="1:12" ht="16.5" customHeight="1" x14ac:dyDescent="0.35">
      <c r="A1202" t="s">
        <v>545</v>
      </c>
      <c r="B1202" t="s">
        <v>545</v>
      </c>
      <c r="C1202">
        <v>250</v>
      </c>
      <c r="D1202">
        <v>0</v>
      </c>
      <c r="E1202" t="s">
        <v>5506</v>
      </c>
      <c r="F1202" t="s">
        <v>5506</v>
      </c>
      <c r="G1202" t="s">
        <v>5507</v>
      </c>
      <c r="H1202" t="s">
        <v>3485</v>
      </c>
      <c r="I1202" t="s">
        <v>3507</v>
      </c>
      <c r="J1202" s="56">
        <f t="shared" si="54"/>
        <v>56</v>
      </c>
      <c r="K1202" s="74" t="str">
        <f t="shared" si="55"/>
        <v>31-60 Days</v>
      </c>
      <c r="L1202" s="58" t="str">
        <f t="shared" si="56"/>
        <v>Especially Mentioned</v>
      </c>
    </row>
    <row r="1203" spans="1:12" ht="16.5" customHeight="1" x14ac:dyDescent="0.35">
      <c r="A1203" t="s">
        <v>545</v>
      </c>
      <c r="B1203" t="s">
        <v>545</v>
      </c>
      <c r="C1203">
        <v>0</v>
      </c>
      <c r="D1203">
        <v>100</v>
      </c>
      <c r="E1203" t="s">
        <v>5508</v>
      </c>
      <c r="F1203" t="s">
        <v>5508</v>
      </c>
      <c r="G1203" t="s">
        <v>5509</v>
      </c>
      <c r="H1203" t="s">
        <v>3489</v>
      </c>
      <c r="I1203" t="s">
        <v>3490</v>
      </c>
      <c r="J1203" s="56">
        <f t="shared" si="54"/>
        <v>56</v>
      </c>
      <c r="K1203" s="74" t="str">
        <f t="shared" si="55"/>
        <v>31-60 Days</v>
      </c>
      <c r="L1203" s="58" t="str">
        <f t="shared" si="56"/>
        <v>Not Applicable</v>
      </c>
    </row>
    <row r="1204" spans="1:12" ht="16.5" customHeight="1" x14ac:dyDescent="0.35">
      <c r="A1204" t="s">
        <v>545</v>
      </c>
      <c r="B1204" t="s">
        <v>545</v>
      </c>
      <c r="C1204">
        <v>0</v>
      </c>
      <c r="D1204">
        <v>2100</v>
      </c>
      <c r="E1204" t="s">
        <v>5510</v>
      </c>
      <c r="F1204" t="s">
        <v>3574</v>
      </c>
      <c r="G1204" t="s">
        <v>5511</v>
      </c>
      <c r="H1204" t="s">
        <v>3489</v>
      </c>
      <c r="I1204" t="s">
        <v>3490</v>
      </c>
      <c r="J1204" s="56">
        <f t="shared" si="54"/>
        <v>56</v>
      </c>
      <c r="K1204" s="74" t="str">
        <f t="shared" si="55"/>
        <v>31-60 Days</v>
      </c>
      <c r="L1204" s="58" t="str">
        <f t="shared" si="56"/>
        <v>Not Applicable</v>
      </c>
    </row>
    <row r="1205" spans="1:12" ht="16.5" customHeight="1" x14ac:dyDescent="0.35">
      <c r="A1205" t="s">
        <v>545</v>
      </c>
      <c r="B1205" t="s">
        <v>545</v>
      </c>
      <c r="C1205">
        <v>0</v>
      </c>
      <c r="D1205">
        <v>7279.95</v>
      </c>
      <c r="E1205" t="s">
        <v>5512</v>
      </c>
      <c r="F1205" t="s">
        <v>5512</v>
      </c>
      <c r="G1205" t="s">
        <v>5513</v>
      </c>
      <c r="H1205" t="s">
        <v>3489</v>
      </c>
      <c r="I1205" t="s">
        <v>3490</v>
      </c>
      <c r="J1205" s="56">
        <f t="shared" si="54"/>
        <v>56</v>
      </c>
      <c r="K1205" s="74" t="str">
        <f t="shared" si="55"/>
        <v>31-60 Days</v>
      </c>
      <c r="L1205" s="58" t="str">
        <f t="shared" si="56"/>
        <v>Not Applicable</v>
      </c>
    </row>
    <row r="1206" spans="1:12" ht="16.5" customHeight="1" x14ac:dyDescent="0.35">
      <c r="A1206" t="s">
        <v>545</v>
      </c>
      <c r="B1206" t="s">
        <v>545</v>
      </c>
      <c r="C1206">
        <v>0</v>
      </c>
      <c r="D1206">
        <v>1000</v>
      </c>
      <c r="E1206" t="s">
        <v>5514</v>
      </c>
      <c r="F1206" t="s">
        <v>5514</v>
      </c>
      <c r="G1206" t="s">
        <v>5515</v>
      </c>
      <c r="H1206" t="s">
        <v>3489</v>
      </c>
      <c r="I1206" t="s">
        <v>3490</v>
      </c>
      <c r="J1206" s="56">
        <f t="shared" si="54"/>
        <v>56</v>
      </c>
      <c r="K1206" s="74" t="str">
        <f t="shared" si="55"/>
        <v>31-60 Days</v>
      </c>
      <c r="L1206" s="58" t="str">
        <f t="shared" si="56"/>
        <v>Not Applicable</v>
      </c>
    </row>
    <row r="1207" spans="1:12" ht="16.5" customHeight="1" x14ac:dyDescent="0.35">
      <c r="A1207" t="s">
        <v>545</v>
      </c>
      <c r="B1207" t="s">
        <v>545</v>
      </c>
      <c r="C1207">
        <v>0</v>
      </c>
      <c r="D1207">
        <v>100</v>
      </c>
      <c r="E1207" t="s">
        <v>5516</v>
      </c>
      <c r="F1207" t="s">
        <v>5516</v>
      </c>
      <c r="G1207" t="s">
        <v>5517</v>
      </c>
      <c r="H1207" t="s">
        <v>3489</v>
      </c>
      <c r="I1207" t="s">
        <v>3490</v>
      </c>
      <c r="J1207" s="56">
        <f t="shared" si="54"/>
        <v>56</v>
      </c>
      <c r="K1207" s="74" t="str">
        <f t="shared" si="55"/>
        <v>31-60 Days</v>
      </c>
      <c r="L1207" s="58" t="str">
        <f t="shared" si="56"/>
        <v>Not Applicable</v>
      </c>
    </row>
    <row r="1208" spans="1:12" ht="16.5" customHeight="1" x14ac:dyDescent="0.35">
      <c r="A1208" t="s">
        <v>545</v>
      </c>
      <c r="B1208" t="s">
        <v>545</v>
      </c>
      <c r="C1208">
        <v>0</v>
      </c>
      <c r="D1208">
        <v>1150</v>
      </c>
      <c r="E1208" t="s">
        <v>5518</v>
      </c>
      <c r="F1208" t="s">
        <v>5518</v>
      </c>
      <c r="G1208" t="s">
        <v>5519</v>
      </c>
      <c r="H1208" t="s">
        <v>3489</v>
      </c>
      <c r="I1208" t="s">
        <v>3490</v>
      </c>
      <c r="J1208" s="56">
        <f t="shared" si="54"/>
        <v>56</v>
      </c>
      <c r="K1208" s="74" t="str">
        <f t="shared" si="55"/>
        <v>31-60 Days</v>
      </c>
      <c r="L1208" s="58" t="str">
        <f t="shared" si="56"/>
        <v>Not Applicable</v>
      </c>
    </row>
    <row r="1209" spans="1:12" ht="16.5" customHeight="1" x14ac:dyDescent="0.35">
      <c r="A1209" t="s">
        <v>545</v>
      </c>
      <c r="B1209" t="s">
        <v>545</v>
      </c>
      <c r="C1209">
        <v>0</v>
      </c>
      <c r="D1209">
        <v>212.4</v>
      </c>
      <c r="E1209" t="s">
        <v>5520</v>
      </c>
      <c r="F1209" t="s">
        <v>5521</v>
      </c>
      <c r="G1209" t="s">
        <v>5522</v>
      </c>
      <c r="H1209" t="s">
        <v>3532</v>
      </c>
      <c r="I1209" t="s">
        <v>3490</v>
      </c>
      <c r="J1209" s="56">
        <f t="shared" si="54"/>
        <v>56</v>
      </c>
      <c r="K1209" s="74" t="str">
        <f t="shared" si="55"/>
        <v>31-60 Days</v>
      </c>
      <c r="L1209" s="58" t="str">
        <f t="shared" si="56"/>
        <v>Not Applicable</v>
      </c>
    </row>
    <row r="1210" spans="1:12" ht="16.5" customHeight="1" x14ac:dyDescent="0.35">
      <c r="A1210" t="s">
        <v>545</v>
      </c>
      <c r="B1210" t="s">
        <v>545</v>
      </c>
      <c r="C1210">
        <v>0</v>
      </c>
      <c r="D1210">
        <v>1000</v>
      </c>
      <c r="E1210" t="s">
        <v>5523</v>
      </c>
      <c r="F1210" t="s">
        <v>5524</v>
      </c>
      <c r="G1210" t="s">
        <v>5525</v>
      </c>
      <c r="H1210" t="s">
        <v>3489</v>
      </c>
      <c r="I1210" t="s">
        <v>3490</v>
      </c>
      <c r="J1210" s="56">
        <f t="shared" si="54"/>
        <v>56</v>
      </c>
      <c r="K1210" s="74" t="str">
        <f t="shared" si="55"/>
        <v>31-60 Days</v>
      </c>
      <c r="L1210" s="58" t="str">
        <f t="shared" si="56"/>
        <v>Not Applicable</v>
      </c>
    </row>
    <row r="1211" spans="1:12" ht="16.5" customHeight="1" x14ac:dyDescent="0.35">
      <c r="A1211" t="s">
        <v>545</v>
      </c>
      <c r="B1211" t="s">
        <v>545</v>
      </c>
      <c r="C1211">
        <v>0</v>
      </c>
      <c r="D1211">
        <v>1000</v>
      </c>
      <c r="E1211" t="s">
        <v>5526</v>
      </c>
      <c r="F1211" t="s">
        <v>5527</v>
      </c>
      <c r="G1211" t="s">
        <v>5528</v>
      </c>
      <c r="H1211" t="s">
        <v>3489</v>
      </c>
      <c r="I1211" t="s">
        <v>3490</v>
      </c>
      <c r="J1211" s="56">
        <f t="shared" si="54"/>
        <v>56</v>
      </c>
      <c r="K1211" s="74" t="str">
        <f t="shared" si="55"/>
        <v>31-60 Days</v>
      </c>
      <c r="L1211" s="58" t="str">
        <f t="shared" si="56"/>
        <v>Not Applicable</v>
      </c>
    </row>
    <row r="1212" spans="1:12" ht="16.5" customHeight="1" x14ac:dyDescent="0.35">
      <c r="A1212" t="s">
        <v>545</v>
      </c>
      <c r="B1212" t="s">
        <v>545</v>
      </c>
      <c r="C1212">
        <v>0</v>
      </c>
      <c r="D1212">
        <v>343383</v>
      </c>
      <c r="E1212" t="s">
        <v>5529</v>
      </c>
      <c r="F1212" t="s">
        <v>5529</v>
      </c>
      <c r="G1212" t="s">
        <v>5530</v>
      </c>
      <c r="H1212" t="s">
        <v>3489</v>
      </c>
      <c r="I1212" t="s">
        <v>3490</v>
      </c>
      <c r="J1212" s="56">
        <f t="shared" si="54"/>
        <v>56</v>
      </c>
      <c r="K1212" s="74" t="str">
        <f t="shared" si="55"/>
        <v>31-60 Days</v>
      </c>
      <c r="L1212" s="58" t="str">
        <f t="shared" si="56"/>
        <v>Not Applicable</v>
      </c>
    </row>
    <row r="1213" spans="1:12" ht="16.5" customHeight="1" x14ac:dyDescent="0.35">
      <c r="A1213" t="s">
        <v>545</v>
      </c>
      <c r="B1213" t="s">
        <v>545</v>
      </c>
      <c r="C1213">
        <v>0</v>
      </c>
      <c r="D1213">
        <v>1000</v>
      </c>
      <c r="E1213" t="s">
        <v>5531</v>
      </c>
      <c r="F1213" t="s">
        <v>5531</v>
      </c>
      <c r="G1213" t="s">
        <v>5532</v>
      </c>
      <c r="H1213" t="s">
        <v>3532</v>
      </c>
      <c r="I1213" t="s">
        <v>3490</v>
      </c>
      <c r="J1213" s="56">
        <f t="shared" si="54"/>
        <v>56</v>
      </c>
      <c r="K1213" s="74" t="str">
        <f t="shared" si="55"/>
        <v>31-60 Days</v>
      </c>
      <c r="L1213" s="58" t="str">
        <f t="shared" si="56"/>
        <v>Not Applicable</v>
      </c>
    </row>
    <row r="1214" spans="1:12" ht="16.5" customHeight="1" x14ac:dyDescent="0.35">
      <c r="A1214" t="s">
        <v>545</v>
      </c>
      <c r="B1214" t="s">
        <v>545</v>
      </c>
      <c r="C1214">
        <v>1500000</v>
      </c>
      <c r="D1214">
        <v>0</v>
      </c>
      <c r="E1214" t="s">
        <v>5533</v>
      </c>
      <c r="F1214" t="s">
        <v>5533</v>
      </c>
      <c r="G1214" t="s">
        <v>5534</v>
      </c>
      <c r="H1214" t="s">
        <v>3455</v>
      </c>
      <c r="I1214" t="s">
        <v>3490</v>
      </c>
      <c r="J1214" s="56">
        <f t="shared" si="54"/>
        <v>56</v>
      </c>
      <c r="K1214" s="74" t="str">
        <f t="shared" si="55"/>
        <v>31-60 Days</v>
      </c>
      <c r="L1214" s="58" t="str">
        <f t="shared" si="56"/>
        <v>Especially Mentioned</v>
      </c>
    </row>
    <row r="1215" spans="1:12" ht="16.5" customHeight="1" x14ac:dyDescent="0.35">
      <c r="A1215" t="s">
        <v>545</v>
      </c>
      <c r="B1215" t="s">
        <v>545</v>
      </c>
      <c r="C1215">
        <v>0</v>
      </c>
      <c r="D1215">
        <v>1152</v>
      </c>
      <c r="E1215" t="s">
        <v>5535</v>
      </c>
      <c r="F1215" t="s">
        <v>3574</v>
      </c>
      <c r="G1215" t="s">
        <v>5536</v>
      </c>
      <c r="H1215" t="s">
        <v>3489</v>
      </c>
      <c r="I1215" t="s">
        <v>3490</v>
      </c>
      <c r="J1215" s="56">
        <f t="shared" si="54"/>
        <v>56</v>
      </c>
      <c r="K1215" s="74" t="str">
        <f t="shared" si="55"/>
        <v>31-60 Days</v>
      </c>
      <c r="L1215" s="58" t="str">
        <f t="shared" si="56"/>
        <v>Not Applicable</v>
      </c>
    </row>
    <row r="1216" spans="1:12" ht="16.5" customHeight="1" x14ac:dyDescent="0.35">
      <c r="A1216" t="s">
        <v>545</v>
      </c>
      <c r="B1216" t="s">
        <v>545</v>
      </c>
      <c r="C1216">
        <v>0</v>
      </c>
      <c r="D1216">
        <v>600</v>
      </c>
      <c r="E1216" t="s">
        <v>5537</v>
      </c>
      <c r="F1216" t="s">
        <v>5537</v>
      </c>
      <c r="G1216" t="s">
        <v>5538</v>
      </c>
      <c r="H1216" t="s">
        <v>3489</v>
      </c>
      <c r="I1216" t="s">
        <v>3490</v>
      </c>
      <c r="J1216" s="56">
        <f t="shared" si="54"/>
        <v>56</v>
      </c>
      <c r="K1216" s="74" t="str">
        <f t="shared" si="55"/>
        <v>31-60 Days</v>
      </c>
      <c r="L1216" s="58" t="str">
        <f t="shared" si="56"/>
        <v>Not Applicable</v>
      </c>
    </row>
    <row r="1217" spans="1:12" ht="16.5" customHeight="1" x14ac:dyDescent="0.35">
      <c r="A1217" t="s">
        <v>545</v>
      </c>
      <c r="B1217" t="s">
        <v>545</v>
      </c>
      <c r="C1217">
        <v>1500000</v>
      </c>
      <c r="D1217">
        <v>0</v>
      </c>
      <c r="E1217" t="s">
        <v>5539</v>
      </c>
      <c r="F1217" t="s">
        <v>5539</v>
      </c>
      <c r="G1217" t="s">
        <v>5540</v>
      </c>
      <c r="H1217" t="s">
        <v>3476</v>
      </c>
      <c r="I1217" t="s">
        <v>3490</v>
      </c>
      <c r="J1217" s="56">
        <f t="shared" si="54"/>
        <v>56</v>
      </c>
      <c r="K1217" s="74" t="str">
        <f t="shared" si="55"/>
        <v>31-60 Days</v>
      </c>
      <c r="L1217" s="58" t="str">
        <f t="shared" si="56"/>
        <v>Especially Mentioned</v>
      </c>
    </row>
    <row r="1218" spans="1:12" ht="16.5" customHeight="1" x14ac:dyDescent="0.35">
      <c r="A1218" t="s">
        <v>545</v>
      </c>
      <c r="B1218" t="s">
        <v>545</v>
      </c>
      <c r="C1218">
        <v>0</v>
      </c>
      <c r="D1218">
        <v>177</v>
      </c>
      <c r="E1218" t="s">
        <v>5541</v>
      </c>
      <c r="F1218" t="s">
        <v>5542</v>
      </c>
      <c r="G1218" t="s">
        <v>5543</v>
      </c>
      <c r="H1218" t="s">
        <v>3532</v>
      </c>
      <c r="I1218" t="s">
        <v>3490</v>
      </c>
      <c r="J1218" s="56">
        <f t="shared" si="54"/>
        <v>56</v>
      </c>
      <c r="K1218" s="74" t="str">
        <f t="shared" si="55"/>
        <v>31-60 Days</v>
      </c>
      <c r="L1218" s="58" t="str">
        <f t="shared" si="56"/>
        <v>Not Applicable</v>
      </c>
    </row>
    <row r="1219" spans="1:12" ht="16.5" customHeight="1" x14ac:dyDescent="0.35">
      <c r="A1219" t="s">
        <v>545</v>
      </c>
      <c r="B1219" t="s">
        <v>545</v>
      </c>
      <c r="C1219">
        <v>24300</v>
      </c>
      <c r="D1219">
        <v>0</v>
      </c>
      <c r="E1219" t="s">
        <v>5544</v>
      </c>
      <c r="F1219" t="s">
        <v>5544</v>
      </c>
      <c r="G1219" t="s">
        <v>5545</v>
      </c>
      <c r="H1219" t="s">
        <v>4196</v>
      </c>
      <c r="I1219" t="s">
        <v>3490</v>
      </c>
      <c r="J1219" s="56">
        <f t="shared" si="54"/>
        <v>56</v>
      </c>
      <c r="K1219" s="74" t="str">
        <f t="shared" si="55"/>
        <v>31-60 Days</v>
      </c>
      <c r="L1219" s="58" t="str">
        <f t="shared" si="56"/>
        <v>Especially Mentioned</v>
      </c>
    </row>
    <row r="1220" spans="1:12" ht="16.5" customHeight="1" x14ac:dyDescent="0.35">
      <c r="A1220" t="s">
        <v>545</v>
      </c>
      <c r="B1220" t="s">
        <v>545</v>
      </c>
      <c r="C1220">
        <v>0</v>
      </c>
      <c r="D1220">
        <v>600</v>
      </c>
      <c r="E1220" t="s">
        <v>5546</v>
      </c>
      <c r="F1220" t="s">
        <v>5546</v>
      </c>
      <c r="G1220" t="s">
        <v>5547</v>
      </c>
      <c r="H1220" t="s">
        <v>3489</v>
      </c>
      <c r="I1220" t="s">
        <v>3490</v>
      </c>
      <c r="J1220" s="56">
        <f t="shared" si="54"/>
        <v>56</v>
      </c>
      <c r="K1220" s="74" t="str">
        <f t="shared" si="55"/>
        <v>31-60 Days</v>
      </c>
      <c r="L1220" s="58" t="str">
        <f t="shared" si="56"/>
        <v>Not Applicable</v>
      </c>
    </row>
    <row r="1221" spans="1:12" ht="16.5" customHeight="1" x14ac:dyDescent="0.35">
      <c r="A1221" t="s">
        <v>545</v>
      </c>
      <c r="B1221" t="s">
        <v>545</v>
      </c>
      <c r="C1221">
        <v>0</v>
      </c>
      <c r="D1221">
        <v>100</v>
      </c>
      <c r="E1221" t="s">
        <v>5548</v>
      </c>
      <c r="F1221" t="s">
        <v>5548</v>
      </c>
      <c r="G1221" t="s">
        <v>5549</v>
      </c>
      <c r="H1221" t="s">
        <v>3489</v>
      </c>
      <c r="I1221" t="s">
        <v>3490</v>
      </c>
      <c r="J1221" s="56">
        <f t="shared" si="54"/>
        <v>56</v>
      </c>
      <c r="K1221" s="74" t="str">
        <f t="shared" si="55"/>
        <v>31-60 Days</v>
      </c>
      <c r="L1221" s="58" t="str">
        <f t="shared" si="56"/>
        <v>Not Applicable</v>
      </c>
    </row>
    <row r="1222" spans="1:12" ht="16.5" customHeight="1" x14ac:dyDescent="0.35">
      <c r="A1222" t="s">
        <v>545</v>
      </c>
      <c r="B1222" t="s">
        <v>545</v>
      </c>
      <c r="C1222">
        <v>0</v>
      </c>
      <c r="D1222">
        <v>627.30999999999995</v>
      </c>
      <c r="E1222" t="s">
        <v>5550</v>
      </c>
      <c r="F1222" t="s">
        <v>5551</v>
      </c>
      <c r="G1222" t="s">
        <v>5552</v>
      </c>
      <c r="H1222" t="s">
        <v>3489</v>
      </c>
      <c r="I1222" t="s">
        <v>3486</v>
      </c>
      <c r="J1222" s="56">
        <f t="shared" si="54"/>
        <v>56</v>
      </c>
      <c r="K1222" s="74" t="str">
        <f t="shared" si="55"/>
        <v>31-60 Days</v>
      </c>
      <c r="L1222" s="58" t="str">
        <f t="shared" si="56"/>
        <v>Not Applicable</v>
      </c>
    </row>
    <row r="1223" spans="1:12" ht="16.5" customHeight="1" x14ac:dyDescent="0.35">
      <c r="A1223" t="s">
        <v>545</v>
      </c>
      <c r="B1223" t="s">
        <v>545</v>
      </c>
      <c r="C1223">
        <v>0</v>
      </c>
      <c r="D1223">
        <v>14113.69</v>
      </c>
      <c r="E1223" t="s">
        <v>5553</v>
      </c>
      <c r="F1223" t="s">
        <v>5553</v>
      </c>
      <c r="G1223" t="s">
        <v>57</v>
      </c>
      <c r="H1223" t="s">
        <v>3914</v>
      </c>
      <c r="I1223" t="s">
        <v>3643</v>
      </c>
      <c r="J1223" s="56">
        <f t="shared" si="54"/>
        <v>56</v>
      </c>
      <c r="K1223" s="74" t="str">
        <f t="shared" si="55"/>
        <v>31-60 Days</v>
      </c>
      <c r="L1223" s="58" t="str">
        <f t="shared" si="56"/>
        <v>Not Applicable</v>
      </c>
    </row>
    <row r="1224" spans="1:12" ht="16.5" customHeight="1" x14ac:dyDescent="0.35">
      <c r="A1224" t="s">
        <v>545</v>
      </c>
      <c r="B1224" t="s">
        <v>545</v>
      </c>
      <c r="C1224">
        <v>0</v>
      </c>
      <c r="D1224">
        <v>1000</v>
      </c>
      <c r="E1224" t="s">
        <v>5554</v>
      </c>
      <c r="F1224" t="s">
        <v>3499</v>
      </c>
      <c r="G1224" t="s">
        <v>5555</v>
      </c>
      <c r="H1224" t="s">
        <v>3489</v>
      </c>
      <c r="I1224" t="s">
        <v>3490</v>
      </c>
      <c r="J1224" s="56">
        <f t="shared" si="54"/>
        <v>56</v>
      </c>
      <c r="K1224" s="74" t="str">
        <f t="shared" si="55"/>
        <v>31-60 Days</v>
      </c>
      <c r="L1224" s="58" t="str">
        <f t="shared" si="56"/>
        <v>Not Applicable</v>
      </c>
    </row>
    <row r="1225" spans="1:12" ht="16.5" customHeight="1" x14ac:dyDescent="0.35">
      <c r="A1225" t="s">
        <v>545</v>
      </c>
      <c r="B1225" t="s">
        <v>545</v>
      </c>
      <c r="C1225">
        <v>12666697.51</v>
      </c>
      <c r="D1225">
        <v>0</v>
      </c>
      <c r="E1225" t="s">
        <v>5556</v>
      </c>
      <c r="F1225" t="s">
        <v>5556</v>
      </c>
      <c r="G1225" t="s">
        <v>5557</v>
      </c>
      <c r="H1225" t="s">
        <v>3455</v>
      </c>
      <c r="I1225" t="s">
        <v>3486</v>
      </c>
      <c r="J1225" s="56">
        <f t="shared" ref="J1225:J1288" si="57">IF(A1225="","",A$5-A1225)</f>
        <v>56</v>
      </c>
      <c r="K1225" s="74" t="str">
        <f t="shared" ref="K1225:K1288" si="58">IF(J1225="","",IF(J1225&lt;4,"0-3 Days",IF(J1225&lt;31,"4-30 Days",IF(J1225&lt;61,"31-60 Days",IF(J1225&lt;=90,"61-90 Days",IF(J1225&gt;90,"Above 90 Days","0"))))))</f>
        <v>31-60 Days</v>
      </c>
      <c r="L1225" s="58" t="str">
        <f t="shared" ref="L1225:L1288" si="59">IF(C1225="","",IF(C1225&gt;0,IF(J1225&lt;30,"Normal",IF(J1225&lt;60,"Especially Mentioned",IF(J1225&lt;90,"Substandard",IF(J1225&lt;=180,"Doubtful",IF(J1225&gt;180,"Loss","0"))))),"Not Applicable"))</f>
        <v>Especially Mentioned</v>
      </c>
    </row>
    <row r="1226" spans="1:12" ht="16.5" customHeight="1" x14ac:dyDescent="0.35">
      <c r="A1226" t="s">
        <v>545</v>
      </c>
      <c r="B1226" t="s">
        <v>545</v>
      </c>
      <c r="C1226">
        <v>0</v>
      </c>
      <c r="D1226">
        <v>100</v>
      </c>
      <c r="E1226" t="s">
        <v>5558</v>
      </c>
      <c r="F1226" t="s">
        <v>5558</v>
      </c>
      <c r="G1226" t="s">
        <v>5559</v>
      </c>
      <c r="H1226" t="s">
        <v>3489</v>
      </c>
      <c r="I1226" t="s">
        <v>3490</v>
      </c>
      <c r="J1226" s="56">
        <f t="shared" si="57"/>
        <v>56</v>
      </c>
      <c r="K1226" s="74" t="str">
        <f t="shared" si="58"/>
        <v>31-60 Days</v>
      </c>
      <c r="L1226" s="58" t="str">
        <f t="shared" si="59"/>
        <v>Not Applicable</v>
      </c>
    </row>
    <row r="1227" spans="1:12" ht="16.5" customHeight="1" x14ac:dyDescent="0.35">
      <c r="A1227" t="s">
        <v>545</v>
      </c>
      <c r="B1227" t="s">
        <v>545</v>
      </c>
      <c r="C1227">
        <v>0</v>
      </c>
      <c r="D1227">
        <v>5115</v>
      </c>
      <c r="E1227" t="s">
        <v>5560</v>
      </c>
      <c r="F1227" t="s">
        <v>3574</v>
      </c>
      <c r="G1227" t="s">
        <v>5561</v>
      </c>
      <c r="H1227" t="s">
        <v>3489</v>
      </c>
      <c r="I1227" t="s">
        <v>3490</v>
      </c>
      <c r="J1227" s="56">
        <f t="shared" si="57"/>
        <v>56</v>
      </c>
      <c r="K1227" s="74" t="str">
        <f t="shared" si="58"/>
        <v>31-60 Days</v>
      </c>
      <c r="L1227" s="58" t="str">
        <f t="shared" si="59"/>
        <v>Not Applicable</v>
      </c>
    </row>
    <row r="1228" spans="1:12" ht="16.5" customHeight="1" x14ac:dyDescent="0.35">
      <c r="A1228" t="s">
        <v>561</v>
      </c>
      <c r="B1228" t="s">
        <v>561</v>
      </c>
      <c r="C1228">
        <v>0</v>
      </c>
      <c r="D1228">
        <v>2000</v>
      </c>
      <c r="E1228" t="s">
        <v>5562</v>
      </c>
      <c r="F1228" t="s">
        <v>5562</v>
      </c>
      <c r="G1228" t="s">
        <v>5563</v>
      </c>
      <c r="H1228" t="s">
        <v>3489</v>
      </c>
      <c r="I1228" t="s">
        <v>3490</v>
      </c>
      <c r="J1228" s="56">
        <f t="shared" si="57"/>
        <v>55</v>
      </c>
      <c r="K1228" s="74" t="str">
        <f t="shared" si="58"/>
        <v>31-60 Days</v>
      </c>
      <c r="L1228" s="58" t="str">
        <f t="shared" si="59"/>
        <v>Not Applicable</v>
      </c>
    </row>
    <row r="1229" spans="1:12" ht="16.5" customHeight="1" x14ac:dyDescent="0.35">
      <c r="A1229" t="s">
        <v>561</v>
      </c>
      <c r="B1229" t="s">
        <v>561</v>
      </c>
      <c r="C1229">
        <v>0</v>
      </c>
      <c r="D1229">
        <v>1000</v>
      </c>
      <c r="E1229" t="s">
        <v>5564</v>
      </c>
      <c r="F1229" t="s">
        <v>5565</v>
      </c>
      <c r="G1229" t="s">
        <v>5566</v>
      </c>
      <c r="H1229" t="s">
        <v>3532</v>
      </c>
      <c r="I1229" t="s">
        <v>3490</v>
      </c>
      <c r="J1229" s="56">
        <f t="shared" si="57"/>
        <v>55</v>
      </c>
      <c r="K1229" s="74" t="str">
        <f t="shared" si="58"/>
        <v>31-60 Days</v>
      </c>
      <c r="L1229" s="58" t="str">
        <f t="shared" si="59"/>
        <v>Not Applicable</v>
      </c>
    </row>
    <row r="1230" spans="1:12" ht="16.5" customHeight="1" x14ac:dyDescent="0.35">
      <c r="A1230" t="s">
        <v>561</v>
      </c>
      <c r="B1230" t="s">
        <v>561</v>
      </c>
      <c r="C1230">
        <v>0</v>
      </c>
      <c r="D1230">
        <v>2050</v>
      </c>
      <c r="E1230" t="s">
        <v>5567</v>
      </c>
      <c r="F1230" t="s">
        <v>5567</v>
      </c>
      <c r="G1230" t="s">
        <v>5568</v>
      </c>
      <c r="H1230" t="s">
        <v>3489</v>
      </c>
      <c r="I1230" t="s">
        <v>3490</v>
      </c>
      <c r="J1230" s="56">
        <f t="shared" si="57"/>
        <v>55</v>
      </c>
      <c r="K1230" s="74" t="str">
        <f t="shared" si="58"/>
        <v>31-60 Days</v>
      </c>
      <c r="L1230" s="58" t="str">
        <f t="shared" si="59"/>
        <v>Not Applicable</v>
      </c>
    </row>
    <row r="1231" spans="1:12" ht="16.5" customHeight="1" x14ac:dyDescent="0.35">
      <c r="A1231" t="s">
        <v>561</v>
      </c>
      <c r="B1231" t="s">
        <v>561</v>
      </c>
      <c r="C1231">
        <v>0</v>
      </c>
      <c r="D1231">
        <v>1000</v>
      </c>
      <c r="E1231" t="s">
        <v>5569</v>
      </c>
      <c r="F1231" t="s">
        <v>3499</v>
      </c>
      <c r="G1231" t="s">
        <v>5570</v>
      </c>
      <c r="H1231" t="s">
        <v>3489</v>
      </c>
      <c r="I1231" t="s">
        <v>3490</v>
      </c>
      <c r="J1231" s="56">
        <f t="shared" si="57"/>
        <v>55</v>
      </c>
      <c r="K1231" s="74" t="str">
        <f t="shared" si="58"/>
        <v>31-60 Days</v>
      </c>
      <c r="L1231" s="58" t="str">
        <f t="shared" si="59"/>
        <v>Not Applicable</v>
      </c>
    </row>
    <row r="1232" spans="1:12" ht="16.5" customHeight="1" x14ac:dyDescent="0.35">
      <c r="A1232" t="s">
        <v>561</v>
      </c>
      <c r="B1232" t="s">
        <v>561</v>
      </c>
      <c r="C1232">
        <v>0</v>
      </c>
      <c r="D1232">
        <v>1070</v>
      </c>
      <c r="E1232" t="s">
        <v>5571</v>
      </c>
      <c r="F1232" t="s">
        <v>5571</v>
      </c>
      <c r="G1232" t="s">
        <v>5572</v>
      </c>
      <c r="H1232" t="s">
        <v>3489</v>
      </c>
      <c r="I1232" t="s">
        <v>3490</v>
      </c>
      <c r="J1232" s="56">
        <f t="shared" si="57"/>
        <v>55</v>
      </c>
      <c r="K1232" s="74" t="str">
        <f t="shared" si="58"/>
        <v>31-60 Days</v>
      </c>
      <c r="L1232" s="58" t="str">
        <f t="shared" si="59"/>
        <v>Not Applicable</v>
      </c>
    </row>
    <row r="1233" spans="1:12" ht="16.5" customHeight="1" x14ac:dyDescent="0.35">
      <c r="A1233" t="s">
        <v>561</v>
      </c>
      <c r="B1233" t="s">
        <v>561</v>
      </c>
      <c r="C1233">
        <v>0</v>
      </c>
      <c r="D1233">
        <v>50</v>
      </c>
      <c r="E1233" t="s">
        <v>5573</v>
      </c>
      <c r="F1233" t="s">
        <v>5573</v>
      </c>
      <c r="G1233" t="s">
        <v>5574</v>
      </c>
      <c r="H1233" t="s">
        <v>3489</v>
      </c>
      <c r="I1233" t="s">
        <v>3490</v>
      </c>
      <c r="J1233" s="56">
        <f t="shared" si="57"/>
        <v>55</v>
      </c>
      <c r="K1233" s="74" t="str">
        <f t="shared" si="58"/>
        <v>31-60 Days</v>
      </c>
      <c r="L1233" s="58" t="str">
        <f t="shared" si="59"/>
        <v>Not Applicable</v>
      </c>
    </row>
    <row r="1234" spans="1:12" ht="16.5" customHeight="1" x14ac:dyDescent="0.35">
      <c r="A1234" t="s">
        <v>561</v>
      </c>
      <c r="B1234" t="s">
        <v>561</v>
      </c>
      <c r="C1234">
        <v>0</v>
      </c>
      <c r="D1234">
        <v>242</v>
      </c>
      <c r="E1234" t="s">
        <v>5575</v>
      </c>
      <c r="F1234" t="s">
        <v>5575</v>
      </c>
      <c r="G1234" t="s">
        <v>5576</v>
      </c>
      <c r="H1234" t="s">
        <v>3489</v>
      </c>
      <c r="I1234" t="s">
        <v>3490</v>
      </c>
      <c r="J1234" s="56">
        <f t="shared" si="57"/>
        <v>55</v>
      </c>
      <c r="K1234" s="74" t="str">
        <f t="shared" si="58"/>
        <v>31-60 Days</v>
      </c>
      <c r="L1234" s="58" t="str">
        <f t="shared" si="59"/>
        <v>Not Applicable</v>
      </c>
    </row>
    <row r="1235" spans="1:12" ht="16.5" customHeight="1" x14ac:dyDescent="0.35">
      <c r="A1235" t="s">
        <v>561</v>
      </c>
      <c r="B1235" t="s">
        <v>561</v>
      </c>
      <c r="C1235">
        <v>0</v>
      </c>
      <c r="D1235">
        <v>1058</v>
      </c>
      <c r="E1235" t="s">
        <v>5577</v>
      </c>
      <c r="F1235" t="s">
        <v>5577</v>
      </c>
      <c r="G1235" t="s">
        <v>5578</v>
      </c>
      <c r="H1235" t="s">
        <v>3489</v>
      </c>
      <c r="I1235" t="s">
        <v>3490</v>
      </c>
      <c r="J1235" s="56">
        <f t="shared" si="57"/>
        <v>55</v>
      </c>
      <c r="K1235" s="74" t="str">
        <f t="shared" si="58"/>
        <v>31-60 Days</v>
      </c>
      <c r="L1235" s="58" t="str">
        <f t="shared" si="59"/>
        <v>Not Applicable</v>
      </c>
    </row>
    <row r="1236" spans="1:12" ht="16.5" customHeight="1" x14ac:dyDescent="0.35">
      <c r="A1236" t="s">
        <v>561</v>
      </c>
      <c r="B1236" t="s">
        <v>561</v>
      </c>
      <c r="C1236">
        <v>0</v>
      </c>
      <c r="D1236">
        <v>1000</v>
      </c>
      <c r="E1236" t="s">
        <v>5579</v>
      </c>
      <c r="F1236" t="s">
        <v>5580</v>
      </c>
      <c r="G1236" t="s">
        <v>5581</v>
      </c>
      <c r="H1236" t="s">
        <v>3489</v>
      </c>
      <c r="I1236" t="s">
        <v>3490</v>
      </c>
      <c r="J1236" s="56">
        <f t="shared" si="57"/>
        <v>55</v>
      </c>
      <c r="K1236" s="74" t="str">
        <f t="shared" si="58"/>
        <v>31-60 Days</v>
      </c>
      <c r="L1236" s="58" t="str">
        <f t="shared" si="59"/>
        <v>Not Applicable</v>
      </c>
    </row>
    <row r="1237" spans="1:12" ht="16.5" customHeight="1" x14ac:dyDescent="0.35">
      <c r="A1237" t="s">
        <v>561</v>
      </c>
      <c r="B1237" t="s">
        <v>561</v>
      </c>
      <c r="C1237">
        <v>0</v>
      </c>
      <c r="D1237">
        <v>1000</v>
      </c>
      <c r="E1237" t="s">
        <v>5582</v>
      </c>
      <c r="F1237" t="s">
        <v>5582</v>
      </c>
      <c r="G1237" t="s">
        <v>5583</v>
      </c>
      <c r="H1237" t="s">
        <v>3489</v>
      </c>
      <c r="I1237" t="s">
        <v>3490</v>
      </c>
      <c r="J1237" s="56">
        <f t="shared" si="57"/>
        <v>55</v>
      </c>
      <c r="K1237" s="74" t="str">
        <f t="shared" si="58"/>
        <v>31-60 Days</v>
      </c>
      <c r="L1237" s="58" t="str">
        <f t="shared" si="59"/>
        <v>Not Applicable</v>
      </c>
    </row>
    <row r="1238" spans="1:12" ht="16.5" customHeight="1" x14ac:dyDescent="0.35">
      <c r="A1238" t="s">
        <v>561</v>
      </c>
      <c r="B1238" t="s">
        <v>561</v>
      </c>
      <c r="C1238">
        <v>0</v>
      </c>
      <c r="D1238">
        <v>242</v>
      </c>
      <c r="E1238" t="s">
        <v>5584</v>
      </c>
      <c r="F1238" t="s">
        <v>5584</v>
      </c>
      <c r="G1238" t="s">
        <v>5585</v>
      </c>
      <c r="H1238" t="s">
        <v>3489</v>
      </c>
      <c r="I1238" t="s">
        <v>3490</v>
      </c>
      <c r="J1238" s="56">
        <f t="shared" si="57"/>
        <v>55</v>
      </c>
      <c r="K1238" s="74" t="str">
        <f t="shared" si="58"/>
        <v>31-60 Days</v>
      </c>
      <c r="L1238" s="58" t="str">
        <f t="shared" si="59"/>
        <v>Not Applicable</v>
      </c>
    </row>
    <row r="1239" spans="1:12" ht="16.5" customHeight="1" x14ac:dyDescent="0.35">
      <c r="A1239" t="s">
        <v>561</v>
      </c>
      <c r="B1239" t="s">
        <v>561</v>
      </c>
      <c r="C1239">
        <v>0</v>
      </c>
      <c r="D1239">
        <v>1000</v>
      </c>
      <c r="E1239" t="s">
        <v>5586</v>
      </c>
      <c r="F1239" t="s">
        <v>5586</v>
      </c>
      <c r="G1239" t="s">
        <v>5587</v>
      </c>
      <c r="H1239" t="s">
        <v>3489</v>
      </c>
      <c r="I1239" t="s">
        <v>3490</v>
      </c>
      <c r="J1239" s="56">
        <f t="shared" si="57"/>
        <v>55</v>
      </c>
      <c r="K1239" s="74" t="str">
        <f t="shared" si="58"/>
        <v>31-60 Days</v>
      </c>
      <c r="L1239" s="58" t="str">
        <f t="shared" si="59"/>
        <v>Not Applicable</v>
      </c>
    </row>
    <row r="1240" spans="1:12" ht="16.5" customHeight="1" x14ac:dyDescent="0.35">
      <c r="A1240" t="s">
        <v>561</v>
      </c>
      <c r="B1240" t="s">
        <v>561</v>
      </c>
      <c r="C1240">
        <v>0</v>
      </c>
      <c r="D1240">
        <v>50</v>
      </c>
      <c r="E1240" t="s">
        <v>5588</v>
      </c>
      <c r="F1240" t="s">
        <v>5588</v>
      </c>
      <c r="G1240" t="s">
        <v>5589</v>
      </c>
      <c r="H1240" t="s">
        <v>3489</v>
      </c>
      <c r="I1240" t="s">
        <v>3490</v>
      </c>
      <c r="J1240" s="56">
        <f t="shared" si="57"/>
        <v>55</v>
      </c>
      <c r="K1240" s="74" t="str">
        <f t="shared" si="58"/>
        <v>31-60 Days</v>
      </c>
      <c r="L1240" s="58" t="str">
        <f t="shared" si="59"/>
        <v>Not Applicable</v>
      </c>
    </row>
    <row r="1241" spans="1:12" ht="16.5" customHeight="1" x14ac:dyDescent="0.35">
      <c r="A1241" t="s">
        <v>561</v>
      </c>
      <c r="B1241" t="s">
        <v>561</v>
      </c>
      <c r="C1241">
        <v>0</v>
      </c>
      <c r="D1241">
        <v>300000</v>
      </c>
      <c r="E1241" t="s">
        <v>5590</v>
      </c>
      <c r="F1241" t="s">
        <v>5590</v>
      </c>
      <c r="G1241" t="s">
        <v>5591</v>
      </c>
      <c r="H1241" t="s">
        <v>3489</v>
      </c>
      <c r="I1241" t="s">
        <v>3486</v>
      </c>
      <c r="J1241" s="56">
        <f t="shared" si="57"/>
        <v>55</v>
      </c>
      <c r="K1241" s="74" t="str">
        <f t="shared" si="58"/>
        <v>31-60 Days</v>
      </c>
      <c r="L1241" s="58" t="str">
        <f t="shared" si="59"/>
        <v>Not Applicable</v>
      </c>
    </row>
    <row r="1242" spans="1:12" ht="16.5" customHeight="1" x14ac:dyDescent="0.35">
      <c r="A1242" t="s">
        <v>561</v>
      </c>
      <c r="B1242" t="s">
        <v>561</v>
      </c>
      <c r="C1242">
        <v>0</v>
      </c>
      <c r="D1242">
        <v>50</v>
      </c>
      <c r="E1242" t="s">
        <v>5592</v>
      </c>
      <c r="F1242" t="s">
        <v>5592</v>
      </c>
      <c r="G1242" t="s">
        <v>5593</v>
      </c>
      <c r="H1242" t="s">
        <v>3489</v>
      </c>
      <c r="I1242" t="s">
        <v>3490</v>
      </c>
      <c r="J1242" s="56">
        <f t="shared" si="57"/>
        <v>55</v>
      </c>
      <c r="K1242" s="74" t="str">
        <f t="shared" si="58"/>
        <v>31-60 Days</v>
      </c>
      <c r="L1242" s="58" t="str">
        <f t="shared" si="59"/>
        <v>Not Applicable</v>
      </c>
    </row>
    <row r="1243" spans="1:12" ht="16.5" customHeight="1" x14ac:dyDescent="0.35">
      <c r="A1243" t="s">
        <v>561</v>
      </c>
      <c r="B1243" t="s">
        <v>561</v>
      </c>
      <c r="C1243">
        <v>0</v>
      </c>
      <c r="D1243">
        <v>2050</v>
      </c>
      <c r="E1243" t="s">
        <v>5594</v>
      </c>
      <c r="F1243" t="s">
        <v>5594</v>
      </c>
      <c r="G1243" t="s">
        <v>5595</v>
      </c>
      <c r="H1243" t="s">
        <v>3532</v>
      </c>
      <c r="I1243" t="s">
        <v>3490</v>
      </c>
      <c r="J1243" s="56">
        <f t="shared" si="57"/>
        <v>55</v>
      </c>
      <c r="K1243" s="74" t="str">
        <f t="shared" si="58"/>
        <v>31-60 Days</v>
      </c>
      <c r="L1243" s="58" t="str">
        <f t="shared" si="59"/>
        <v>Not Applicable</v>
      </c>
    </row>
    <row r="1244" spans="1:12" ht="16.5" customHeight="1" x14ac:dyDescent="0.35">
      <c r="A1244" t="s">
        <v>561</v>
      </c>
      <c r="B1244" t="s">
        <v>561</v>
      </c>
      <c r="C1244">
        <v>0</v>
      </c>
      <c r="D1244">
        <v>812</v>
      </c>
      <c r="E1244" t="s">
        <v>5596</v>
      </c>
      <c r="F1244" t="s">
        <v>5596</v>
      </c>
      <c r="G1244" t="s">
        <v>5597</v>
      </c>
      <c r="H1244" t="s">
        <v>3489</v>
      </c>
      <c r="I1244" t="s">
        <v>3490</v>
      </c>
      <c r="J1244" s="56">
        <f t="shared" si="57"/>
        <v>55</v>
      </c>
      <c r="K1244" s="74" t="str">
        <f t="shared" si="58"/>
        <v>31-60 Days</v>
      </c>
      <c r="L1244" s="58" t="str">
        <f t="shared" si="59"/>
        <v>Not Applicable</v>
      </c>
    </row>
    <row r="1245" spans="1:12" ht="16.5" customHeight="1" x14ac:dyDescent="0.35">
      <c r="A1245" t="s">
        <v>561</v>
      </c>
      <c r="B1245" t="s">
        <v>561</v>
      </c>
      <c r="C1245">
        <v>0</v>
      </c>
      <c r="D1245">
        <v>1094</v>
      </c>
      <c r="E1245" t="s">
        <v>5598</v>
      </c>
      <c r="F1245" t="s">
        <v>5598</v>
      </c>
      <c r="G1245" t="s">
        <v>5599</v>
      </c>
      <c r="H1245" t="s">
        <v>3489</v>
      </c>
      <c r="I1245" t="s">
        <v>3490</v>
      </c>
      <c r="J1245" s="56">
        <f t="shared" si="57"/>
        <v>55</v>
      </c>
      <c r="K1245" s="74" t="str">
        <f t="shared" si="58"/>
        <v>31-60 Days</v>
      </c>
      <c r="L1245" s="58" t="str">
        <f t="shared" si="59"/>
        <v>Not Applicable</v>
      </c>
    </row>
    <row r="1246" spans="1:12" ht="16.5" customHeight="1" x14ac:dyDescent="0.35">
      <c r="A1246" t="s">
        <v>561</v>
      </c>
      <c r="B1246" t="s">
        <v>561</v>
      </c>
      <c r="C1246">
        <v>0</v>
      </c>
      <c r="D1246">
        <v>800</v>
      </c>
      <c r="E1246" t="s">
        <v>5600</v>
      </c>
      <c r="F1246" t="s">
        <v>5600</v>
      </c>
      <c r="G1246" t="s">
        <v>5601</v>
      </c>
      <c r="H1246" t="s">
        <v>3489</v>
      </c>
      <c r="I1246" t="s">
        <v>3490</v>
      </c>
      <c r="J1246" s="56">
        <f t="shared" si="57"/>
        <v>55</v>
      </c>
      <c r="K1246" s="74" t="str">
        <f t="shared" si="58"/>
        <v>31-60 Days</v>
      </c>
      <c r="L1246" s="58" t="str">
        <f t="shared" si="59"/>
        <v>Not Applicable</v>
      </c>
    </row>
    <row r="1247" spans="1:12" ht="16.5" customHeight="1" x14ac:dyDescent="0.35">
      <c r="A1247" t="s">
        <v>561</v>
      </c>
      <c r="B1247" t="s">
        <v>561</v>
      </c>
      <c r="C1247">
        <v>0</v>
      </c>
      <c r="D1247">
        <v>657</v>
      </c>
      <c r="E1247" t="s">
        <v>5602</v>
      </c>
      <c r="F1247" t="s">
        <v>5602</v>
      </c>
      <c r="G1247" t="s">
        <v>57</v>
      </c>
      <c r="H1247" t="s">
        <v>3914</v>
      </c>
      <c r="I1247" t="s">
        <v>3643</v>
      </c>
      <c r="J1247" s="56">
        <f t="shared" si="57"/>
        <v>55</v>
      </c>
      <c r="K1247" s="74" t="str">
        <f t="shared" si="58"/>
        <v>31-60 Days</v>
      </c>
      <c r="L1247" s="58" t="str">
        <f t="shared" si="59"/>
        <v>Not Applicable</v>
      </c>
    </row>
    <row r="1248" spans="1:12" ht="16.5" customHeight="1" x14ac:dyDescent="0.35">
      <c r="A1248" t="s">
        <v>561</v>
      </c>
      <c r="B1248" t="s">
        <v>561</v>
      </c>
      <c r="C1248">
        <v>0</v>
      </c>
      <c r="D1248">
        <v>580</v>
      </c>
      <c r="E1248" t="s">
        <v>5603</v>
      </c>
      <c r="F1248" t="s">
        <v>5603</v>
      </c>
      <c r="G1248" t="s">
        <v>5604</v>
      </c>
      <c r="H1248" t="s">
        <v>3489</v>
      </c>
      <c r="I1248" t="s">
        <v>3490</v>
      </c>
      <c r="J1248" s="56">
        <f t="shared" si="57"/>
        <v>55</v>
      </c>
      <c r="K1248" s="74" t="str">
        <f t="shared" si="58"/>
        <v>31-60 Days</v>
      </c>
      <c r="L1248" s="58" t="str">
        <f t="shared" si="59"/>
        <v>Not Applicable</v>
      </c>
    </row>
    <row r="1249" spans="1:12" ht="16.5" customHeight="1" x14ac:dyDescent="0.35">
      <c r="A1249" t="s">
        <v>561</v>
      </c>
      <c r="B1249" t="s">
        <v>561</v>
      </c>
      <c r="C1249">
        <v>88500</v>
      </c>
      <c r="D1249">
        <v>0</v>
      </c>
      <c r="E1249" t="s">
        <v>5605</v>
      </c>
      <c r="F1249" t="s">
        <v>5605</v>
      </c>
      <c r="G1249" t="s">
        <v>5606</v>
      </c>
      <c r="H1249" t="s">
        <v>4196</v>
      </c>
      <c r="I1249" t="s">
        <v>3490</v>
      </c>
      <c r="J1249" s="56">
        <f t="shared" si="57"/>
        <v>55</v>
      </c>
      <c r="K1249" s="74" t="str">
        <f t="shared" si="58"/>
        <v>31-60 Days</v>
      </c>
      <c r="L1249" s="58" t="str">
        <f t="shared" si="59"/>
        <v>Especially Mentioned</v>
      </c>
    </row>
    <row r="1250" spans="1:12" ht="16.5" customHeight="1" x14ac:dyDescent="0.35">
      <c r="A1250" t="s">
        <v>561</v>
      </c>
      <c r="B1250" t="s">
        <v>561</v>
      </c>
      <c r="C1250">
        <v>0</v>
      </c>
      <c r="D1250">
        <v>163</v>
      </c>
      <c r="E1250" t="s">
        <v>5607</v>
      </c>
      <c r="F1250" t="s">
        <v>5607</v>
      </c>
      <c r="G1250" t="s">
        <v>5608</v>
      </c>
      <c r="H1250" t="s">
        <v>3521</v>
      </c>
      <c r="I1250" t="s">
        <v>3490</v>
      </c>
      <c r="J1250" s="56">
        <f t="shared" si="57"/>
        <v>55</v>
      </c>
      <c r="K1250" s="74" t="str">
        <f t="shared" si="58"/>
        <v>31-60 Days</v>
      </c>
      <c r="L1250" s="58" t="str">
        <f t="shared" si="59"/>
        <v>Not Applicable</v>
      </c>
    </row>
    <row r="1251" spans="1:12" ht="16.5" customHeight="1" x14ac:dyDescent="0.35">
      <c r="A1251" t="s">
        <v>561</v>
      </c>
      <c r="B1251" t="s">
        <v>561</v>
      </c>
      <c r="C1251">
        <v>0</v>
      </c>
      <c r="D1251">
        <v>1058</v>
      </c>
      <c r="E1251" t="s">
        <v>5609</v>
      </c>
      <c r="F1251" t="s">
        <v>5609</v>
      </c>
      <c r="G1251" t="s">
        <v>5610</v>
      </c>
      <c r="H1251" t="s">
        <v>3489</v>
      </c>
      <c r="I1251" t="s">
        <v>3490</v>
      </c>
      <c r="J1251" s="56">
        <f t="shared" si="57"/>
        <v>55</v>
      </c>
      <c r="K1251" s="74" t="str">
        <f t="shared" si="58"/>
        <v>31-60 Days</v>
      </c>
      <c r="L1251" s="58" t="str">
        <f t="shared" si="59"/>
        <v>Not Applicable</v>
      </c>
    </row>
    <row r="1252" spans="1:12" ht="16.5" customHeight="1" x14ac:dyDescent="0.35">
      <c r="A1252" t="s">
        <v>561</v>
      </c>
      <c r="B1252" t="s">
        <v>561</v>
      </c>
      <c r="C1252">
        <v>1545798.83</v>
      </c>
      <c r="D1252">
        <v>0</v>
      </c>
      <c r="E1252" t="s">
        <v>5611</v>
      </c>
      <c r="F1252" t="s">
        <v>5611</v>
      </c>
      <c r="G1252" t="s">
        <v>5612</v>
      </c>
      <c r="H1252" t="s">
        <v>3455</v>
      </c>
      <c r="I1252" t="s">
        <v>3486</v>
      </c>
      <c r="J1252" s="56">
        <f t="shared" si="57"/>
        <v>55</v>
      </c>
      <c r="K1252" s="74" t="str">
        <f t="shared" si="58"/>
        <v>31-60 Days</v>
      </c>
      <c r="L1252" s="58" t="str">
        <f t="shared" si="59"/>
        <v>Especially Mentioned</v>
      </c>
    </row>
    <row r="1253" spans="1:12" ht="16.5" customHeight="1" x14ac:dyDescent="0.35">
      <c r="A1253" t="s">
        <v>561</v>
      </c>
      <c r="B1253" t="s">
        <v>561</v>
      </c>
      <c r="C1253">
        <v>0</v>
      </c>
      <c r="D1253">
        <v>1000</v>
      </c>
      <c r="E1253" t="s">
        <v>5613</v>
      </c>
      <c r="F1253" t="s">
        <v>3499</v>
      </c>
      <c r="G1253" t="s">
        <v>5614</v>
      </c>
      <c r="H1253" t="s">
        <v>3489</v>
      </c>
      <c r="I1253" t="s">
        <v>3490</v>
      </c>
      <c r="J1253" s="56">
        <f t="shared" si="57"/>
        <v>55</v>
      </c>
      <c r="K1253" s="74" t="str">
        <f t="shared" si="58"/>
        <v>31-60 Days</v>
      </c>
      <c r="L1253" s="58" t="str">
        <f t="shared" si="59"/>
        <v>Not Applicable</v>
      </c>
    </row>
    <row r="1254" spans="1:12" ht="16.5" customHeight="1" x14ac:dyDescent="0.35">
      <c r="A1254" t="s">
        <v>561</v>
      </c>
      <c r="B1254" t="s">
        <v>561</v>
      </c>
      <c r="C1254">
        <v>0</v>
      </c>
      <c r="D1254">
        <v>239</v>
      </c>
      <c r="E1254" t="s">
        <v>5615</v>
      </c>
      <c r="F1254" t="s">
        <v>5615</v>
      </c>
      <c r="G1254" t="s">
        <v>5616</v>
      </c>
      <c r="H1254" t="s">
        <v>3489</v>
      </c>
      <c r="I1254" t="s">
        <v>3490</v>
      </c>
      <c r="J1254" s="56">
        <f t="shared" si="57"/>
        <v>55</v>
      </c>
      <c r="K1254" s="74" t="str">
        <f t="shared" si="58"/>
        <v>31-60 Days</v>
      </c>
      <c r="L1254" s="58" t="str">
        <f t="shared" si="59"/>
        <v>Not Applicable</v>
      </c>
    </row>
    <row r="1255" spans="1:12" ht="16.5" customHeight="1" x14ac:dyDescent="0.35">
      <c r="A1255" t="s">
        <v>561</v>
      </c>
      <c r="B1255" t="s">
        <v>561</v>
      </c>
      <c r="C1255">
        <v>0</v>
      </c>
      <c r="D1255">
        <v>50</v>
      </c>
      <c r="E1255" t="s">
        <v>5617</v>
      </c>
      <c r="F1255" t="s">
        <v>5617</v>
      </c>
      <c r="G1255" t="s">
        <v>5618</v>
      </c>
      <c r="H1255" t="s">
        <v>3489</v>
      </c>
      <c r="I1255" t="s">
        <v>3490</v>
      </c>
      <c r="J1255" s="56">
        <f t="shared" si="57"/>
        <v>55</v>
      </c>
      <c r="K1255" s="74" t="str">
        <f t="shared" si="58"/>
        <v>31-60 Days</v>
      </c>
      <c r="L1255" s="58" t="str">
        <f t="shared" si="59"/>
        <v>Not Applicable</v>
      </c>
    </row>
    <row r="1256" spans="1:12" ht="16.5" customHeight="1" x14ac:dyDescent="0.35">
      <c r="A1256" t="s">
        <v>561</v>
      </c>
      <c r="B1256" t="s">
        <v>561</v>
      </c>
      <c r="C1256">
        <v>0</v>
      </c>
      <c r="D1256">
        <v>1000</v>
      </c>
      <c r="E1256" t="s">
        <v>5619</v>
      </c>
      <c r="F1256" t="s">
        <v>5620</v>
      </c>
      <c r="G1256" t="s">
        <v>5621</v>
      </c>
      <c r="H1256" t="s">
        <v>3489</v>
      </c>
      <c r="I1256" t="s">
        <v>3490</v>
      </c>
      <c r="J1256" s="56">
        <f t="shared" si="57"/>
        <v>55</v>
      </c>
      <c r="K1256" s="74" t="str">
        <f t="shared" si="58"/>
        <v>31-60 Days</v>
      </c>
      <c r="L1256" s="58" t="str">
        <f t="shared" si="59"/>
        <v>Not Applicable</v>
      </c>
    </row>
    <row r="1257" spans="1:12" ht="16.5" customHeight="1" x14ac:dyDescent="0.35">
      <c r="A1257" t="s">
        <v>561</v>
      </c>
      <c r="B1257" t="s">
        <v>561</v>
      </c>
      <c r="C1257">
        <v>0</v>
      </c>
      <c r="D1257">
        <v>1000</v>
      </c>
      <c r="E1257" t="s">
        <v>5622</v>
      </c>
      <c r="F1257" t="s">
        <v>5622</v>
      </c>
      <c r="G1257" t="s">
        <v>5623</v>
      </c>
      <c r="H1257" t="s">
        <v>3489</v>
      </c>
      <c r="I1257" t="s">
        <v>3490</v>
      </c>
      <c r="J1257" s="56">
        <f t="shared" si="57"/>
        <v>55</v>
      </c>
      <c r="K1257" s="74" t="str">
        <f t="shared" si="58"/>
        <v>31-60 Days</v>
      </c>
      <c r="L1257" s="58" t="str">
        <f t="shared" si="59"/>
        <v>Not Applicable</v>
      </c>
    </row>
    <row r="1258" spans="1:12" ht="16.5" customHeight="1" x14ac:dyDescent="0.35">
      <c r="A1258" t="s">
        <v>561</v>
      </c>
      <c r="B1258" t="s">
        <v>561</v>
      </c>
      <c r="C1258">
        <v>0</v>
      </c>
      <c r="D1258">
        <v>100</v>
      </c>
      <c r="E1258" t="s">
        <v>5624</v>
      </c>
      <c r="F1258" t="s">
        <v>5625</v>
      </c>
      <c r="G1258" t="s">
        <v>5626</v>
      </c>
      <c r="H1258" t="s">
        <v>3532</v>
      </c>
      <c r="I1258" t="s">
        <v>3490</v>
      </c>
      <c r="J1258" s="56">
        <f t="shared" si="57"/>
        <v>55</v>
      </c>
      <c r="K1258" s="74" t="str">
        <f t="shared" si="58"/>
        <v>31-60 Days</v>
      </c>
      <c r="L1258" s="58" t="str">
        <f t="shared" si="59"/>
        <v>Not Applicable</v>
      </c>
    </row>
    <row r="1259" spans="1:12" ht="16.5" customHeight="1" x14ac:dyDescent="0.35">
      <c r="A1259" t="s">
        <v>561</v>
      </c>
      <c r="B1259" t="s">
        <v>561</v>
      </c>
      <c r="C1259">
        <v>0</v>
      </c>
      <c r="D1259">
        <v>50</v>
      </c>
      <c r="E1259" t="s">
        <v>5627</v>
      </c>
      <c r="F1259" t="s">
        <v>5627</v>
      </c>
      <c r="G1259" t="s">
        <v>5628</v>
      </c>
      <c r="H1259" t="s">
        <v>3489</v>
      </c>
      <c r="I1259" t="s">
        <v>3490</v>
      </c>
      <c r="J1259" s="56">
        <f t="shared" si="57"/>
        <v>55</v>
      </c>
      <c r="K1259" s="74" t="str">
        <f t="shared" si="58"/>
        <v>31-60 Days</v>
      </c>
      <c r="L1259" s="58" t="str">
        <f t="shared" si="59"/>
        <v>Not Applicable</v>
      </c>
    </row>
    <row r="1260" spans="1:12" ht="16.5" customHeight="1" x14ac:dyDescent="0.35">
      <c r="A1260" t="s">
        <v>561</v>
      </c>
      <c r="B1260" t="s">
        <v>561</v>
      </c>
      <c r="C1260">
        <v>0</v>
      </c>
      <c r="D1260">
        <v>3340000</v>
      </c>
      <c r="E1260" t="s">
        <v>5629</v>
      </c>
      <c r="F1260" t="s">
        <v>5629</v>
      </c>
      <c r="G1260" t="s">
        <v>5630</v>
      </c>
      <c r="H1260" t="s">
        <v>3489</v>
      </c>
      <c r="I1260" t="s">
        <v>3490</v>
      </c>
      <c r="J1260" s="56">
        <f t="shared" si="57"/>
        <v>55</v>
      </c>
      <c r="K1260" s="74" t="str">
        <f t="shared" si="58"/>
        <v>31-60 Days</v>
      </c>
      <c r="L1260" s="58" t="str">
        <f t="shared" si="59"/>
        <v>Not Applicable</v>
      </c>
    </row>
    <row r="1261" spans="1:12" ht="16.5" customHeight="1" x14ac:dyDescent="0.35">
      <c r="A1261" t="s">
        <v>561</v>
      </c>
      <c r="B1261" t="s">
        <v>561</v>
      </c>
      <c r="C1261">
        <v>0</v>
      </c>
      <c r="D1261">
        <v>1000</v>
      </c>
      <c r="E1261" t="s">
        <v>5631</v>
      </c>
      <c r="F1261" t="s">
        <v>5632</v>
      </c>
      <c r="G1261" t="s">
        <v>5633</v>
      </c>
      <c r="H1261" t="s">
        <v>3532</v>
      </c>
      <c r="I1261" t="s">
        <v>3490</v>
      </c>
      <c r="J1261" s="56">
        <f t="shared" si="57"/>
        <v>55</v>
      </c>
      <c r="K1261" s="74" t="str">
        <f t="shared" si="58"/>
        <v>31-60 Days</v>
      </c>
      <c r="L1261" s="58" t="str">
        <f t="shared" si="59"/>
        <v>Not Applicable</v>
      </c>
    </row>
    <row r="1262" spans="1:12" ht="16.5" customHeight="1" x14ac:dyDescent="0.35">
      <c r="A1262" t="s">
        <v>561</v>
      </c>
      <c r="B1262" t="s">
        <v>561</v>
      </c>
      <c r="C1262">
        <v>0</v>
      </c>
      <c r="D1262">
        <v>1000</v>
      </c>
      <c r="E1262" t="s">
        <v>5634</v>
      </c>
      <c r="F1262" t="s">
        <v>5634</v>
      </c>
      <c r="G1262" t="s">
        <v>5635</v>
      </c>
      <c r="H1262" t="s">
        <v>3489</v>
      </c>
      <c r="I1262" t="s">
        <v>3490</v>
      </c>
      <c r="J1262" s="56">
        <f t="shared" si="57"/>
        <v>55</v>
      </c>
      <c r="K1262" s="74" t="str">
        <f t="shared" si="58"/>
        <v>31-60 Days</v>
      </c>
      <c r="L1262" s="58" t="str">
        <f t="shared" si="59"/>
        <v>Not Applicable</v>
      </c>
    </row>
    <row r="1263" spans="1:12" ht="16.5" customHeight="1" x14ac:dyDescent="0.35">
      <c r="A1263" t="s">
        <v>561</v>
      </c>
      <c r="B1263" t="s">
        <v>561</v>
      </c>
      <c r="C1263">
        <v>0</v>
      </c>
      <c r="D1263">
        <v>275</v>
      </c>
      <c r="E1263" t="s">
        <v>5636</v>
      </c>
      <c r="F1263" t="s">
        <v>5636</v>
      </c>
      <c r="G1263" t="s">
        <v>5637</v>
      </c>
      <c r="H1263" t="s">
        <v>3489</v>
      </c>
      <c r="I1263" t="s">
        <v>3490</v>
      </c>
      <c r="J1263" s="56">
        <f t="shared" si="57"/>
        <v>55</v>
      </c>
      <c r="K1263" s="74" t="str">
        <f t="shared" si="58"/>
        <v>31-60 Days</v>
      </c>
      <c r="L1263" s="58" t="str">
        <f t="shared" si="59"/>
        <v>Not Applicable</v>
      </c>
    </row>
    <row r="1264" spans="1:12" ht="16.5" customHeight="1" x14ac:dyDescent="0.35">
      <c r="A1264" t="s">
        <v>561</v>
      </c>
      <c r="B1264" t="s">
        <v>561</v>
      </c>
      <c r="C1264">
        <v>0</v>
      </c>
      <c r="D1264">
        <v>10000</v>
      </c>
      <c r="E1264" t="s">
        <v>5638</v>
      </c>
      <c r="F1264" t="s">
        <v>5638</v>
      </c>
      <c r="G1264" t="s">
        <v>5639</v>
      </c>
      <c r="H1264" t="s">
        <v>3489</v>
      </c>
      <c r="I1264" t="s">
        <v>3490</v>
      </c>
      <c r="J1264" s="56">
        <f t="shared" si="57"/>
        <v>55</v>
      </c>
      <c r="K1264" s="74" t="str">
        <f t="shared" si="58"/>
        <v>31-60 Days</v>
      </c>
      <c r="L1264" s="58" t="str">
        <f t="shared" si="59"/>
        <v>Not Applicable</v>
      </c>
    </row>
    <row r="1265" spans="1:12" ht="16.5" customHeight="1" x14ac:dyDescent="0.35">
      <c r="A1265" t="s">
        <v>561</v>
      </c>
      <c r="B1265" t="s">
        <v>561</v>
      </c>
      <c r="C1265">
        <v>0</v>
      </c>
      <c r="D1265">
        <v>248</v>
      </c>
      <c r="E1265" t="s">
        <v>5640</v>
      </c>
      <c r="F1265" t="s">
        <v>5640</v>
      </c>
      <c r="G1265" t="s">
        <v>5641</v>
      </c>
      <c r="H1265" t="s">
        <v>3489</v>
      </c>
      <c r="I1265" t="s">
        <v>3490</v>
      </c>
      <c r="J1265" s="56">
        <f t="shared" si="57"/>
        <v>55</v>
      </c>
      <c r="K1265" s="74" t="str">
        <f t="shared" si="58"/>
        <v>31-60 Days</v>
      </c>
      <c r="L1265" s="58" t="str">
        <f t="shared" si="59"/>
        <v>Not Applicable</v>
      </c>
    </row>
    <row r="1266" spans="1:12" ht="16.5" customHeight="1" x14ac:dyDescent="0.35">
      <c r="A1266" t="s">
        <v>561</v>
      </c>
      <c r="B1266" t="s">
        <v>561</v>
      </c>
      <c r="C1266">
        <v>0</v>
      </c>
      <c r="D1266">
        <v>1000</v>
      </c>
      <c r="E1266" t="s">
        <v>5642</v>
      </c>
      <c r="F1266" t="s">
        <v>5642</v>
      </c>
      <c r="G1266" t="s">
        <v>5643</v>
      </c>
      <c r="H1266" t="s">
        <v>3489</v>
      </c>
      <c r="I1266" t="s">
        <v>3490</v>
      </c>
      <c r="J1266" s="56">
        <f t="shared" si="57"/>
        <v>55</v>
      </c>
      <c r="K1266" s="74" t="str">
        <f t="shared" si="58"/>
        <v>31-60 Days</v>
      </c>
      <c r="L1266" s="58" t="str">
        <f t="shared" si="59"/>
        <v>Not Applicable</v>
      </c>
    </row>
    <row r="1267" spans="1:12" ht="16.5" customHeight="1" x14ac:dyDescent="0.35">
      <c r="A1267" t="s">
        <v>561</v>
      </c>
      <c r="B1267" t="s">
        <v>561</v>
      </c>
      <c r="C1267">
        <v>0</v>
      </c>
      <c r="D1267">
        <v>1000</v>
      </c>
      <c r="E1267" t="s">
        <v>5644</v>
      </c>
      <c r="F1267" t="s">
        <v>5645</v>
      </c>
      <c r="G1267" t="s">
        <v>5646</v>
      </c>
      <c r="H1267" t="s">
        <v>3489</v>
      </c>
      <c r="I1267" t="s">
        <v>3490</v>
      </c>
      <c r="J1267" s="56">
        <f t="shared" si="57"/>
        <v>55</v>
      </c>
      <c r="K1267" s="74" t="str">
        <f t="shared" si="58"/>
        <v>31-60 Days</v>
      </c>
      <c r="L1267" s="58" t="str">
        <f t="shared" si="59"/>
        <v>Not Applicable</v>
      </c>
    </row>
    <row r="1268" spans="1:12" ht="16.5" customHeight="1" x14ac:dyDescent="0.35">
      <c r="A1268" t="s">
        <v>561</v>
      </c>
      <c r="B1268" t="s">
        <v>561</v>
      </c>
      <c r="C1268">
        <v>0</v>
      </c>
      <c r="D1268">
        <v>9000000</v>
      </c>
      <c r="E1268" t="s">
        <v>5647</v>
      </c>
      <c r="F1268" t="s">
        <v>5648</v>
      </c>
      <c r="G1268" t="s">
        <v>5649</v>
      </c>
      <c r="H1268" t="s">
        <v>3489</v>
      </c>
      <c r="I1268" t="s">
        <v>3486</v>
      </c>
      <c r="J1268" s="56">
        <f t="shared" si="57"/>
        <v>55</v>
      </c>
      <c r="K1268" s="74" t="str">
        <f t="shared" si="58"/>
        <v>31-60 Days</v>
      </c>
      <c r="L1268" s="58" t="str">
        <f t="shared" si="59"/>
        <v>Not Applicable</v>
      </c>
    </row>
    <row r="1269" spans="1:12" ht="16.5" customHeight="1" x14ac:dyDescent="0.35">
      <c r="A1269" t="s">
        <v>561</v>
      </c>
      <c r="B1269" t="s">
        <v>561</v>
      </c>
      <c r="C1269">
        <v>0</v>
      </c>
      <c r="D1269">
        <v>1106</v>
      </c>
      <c r="E1269" t="s">
        <v>5650</v>
      </c>
      <c r="F1269" t="s">
        <v>5650</v>
      </c>
      <c r="G1269" t="s">
        <v>5651</v>
      </c>
      <c r="H1269" t="s">
        <v>3489</v>
      </c>
      <c r="I1269" t="s">
        <v>3490</v>
      </c>
      <c r="J1269" s="56">
        <f t="shared" si="57"/>
        <v>55</v>
      </c>
      <c r="K1269" s="74" t="str">
        <f t="shared" si="58"/>
        <v>31-60 Days</v>
      </c>
      <c r="L1269" s="58" t="str">
        <f t="shared" si="59"/>
        <v>Not Applicable</v>
      </c>
    </row>
    <row r="1270" spans="1:12" ht="16.5" customHeight="1" x14ac:dyDescent="0.35">
      <c r="A1270" t="s">
        <v>561</v>
      </c>
      <c r="B1270" t="s">
        <v>561</v>
      </c>
      <c r="C1270">
        <v>0</v>
      </c>
      <c r="D1270">
        <v>1000</v>
      </c>
      <c r="E1270" t="s">
        <v>5652</v>
      </c>
      <c r="F1270" t="s">
        <v>5652</v>
      </c>
      <c r="G1270" t="s">
        <v>5653</v>
      </c>
      <c r="H1270" t="s">
        <v>3489</v>
      </c>
      <c r="I1270" t="s">
        <v>3490</v>
      </c>
      <c r="J1270" s="56">
        <f t="shared" si="57"/>
        <v>55</v>
      </c>
      <c r="K1270" s="74" t="str">
        <f t="shared" si="58"/>
        <v>31-60 Days</v>
      </c>
      <c r="L1270" s="58" t="str">
        <f t="shared" si="59"/>
        <v>Not Applicable</v>
      </c>
    </row>
    <row r="1271" spans="1:12" ht="16.5" customHeight="1" x14ac:dyDescent="0.35">
      <c r="A1271" t="s">
        <v>561</v>
      </c>
      <c r="B1271" t="s">
        <v>561</v>
      </c>
      <c r="C1271">
        <v>0</v>
      </c>
      <c r="D1271">
        <v>600</v>
      </c>
      <c r="E1271" t="s">
        <v>5654</v>
      </c>
      <c r="F1271" t="s">
        <v>5654</v>
      </c>
      <c r="G1271" t="s">
        <v>5655</v>
      </c>
      <c r="H1271" t="s">
        <v>3489</v>
      </c>
      <c r="I1271" t="s">
        <v>3490</v>
      </c>
      <c r="J1271" s="56">
        <f t="shared" si="57"/>
        <v>55</v>
      </c>
      <c r="K1271" s="74" t="str">
        <f t="shared" si="58"/>
        <v>31-60 Days</v>
      </c>
      <c r="L1271" s="58" t="str">
        <f t="shared" si="59"/>
        <v>Not Applicable</v>
      </c>
    </row>
    <row r="1272" spans="1:12" ht="16.5" customHeight="1" x14ac:dyDescent="0.35">
      <c r="A1272" t="s">
        <v>571</v>
      </c>
      <c r="B1272" t="s">
        <v>571</v>
      </c>
      <c r="C1272">
        <v>100</v>
      </c>
      <c r="D1272">
        <v>0</v>
      </c>
      <c r="E1272" t="s">
        <v>5656</v>
      </c>
      <c r="F1272" t="s">
        <v>5656</v>
      </c>
      <c r="G1272" t="s">
        <v>5657</v>
      </c>
      <c r="H1272" t="s">
        <v>3476</v>
      </c>
      <c r="I1272" t="s">
        <v>3507</v>
      </c>
      <c r="J1272" s="56">
        <f t="shared" si="57"/>
        <v>54</v>
      </c>
      <c r="K1272" s="74" t="str">
        <f t="shared" si="58"/>
        <v>31-60 Days</v>
      </c>
      <c r="L1272" s="58" t="str">
        <f t="shared" si="59"/>
        <v>Especially Mentioned</v>
      </c>
    </row>
    <row r="1273" spans="1:12" ht="16.5" customHeight="1" x14ac:dyDescent="0.35">
      <c r="A1273" t="s">
        <v>571</v>
      </c>
      <c r="B1273" t="s">
        <v>571</v>
      </c>
      <c r="C1273">
        <v>200000</v>
      </c>
      <c r="D1273">
        <v>0</v>
      </c>
      <c r="E1273" t="s">
        <v>5658</v>
      </c>
      <c r="F1273" t="s">
        <v>5658</v>
      </c>
      <c r="G1273" t="s">
        <v>5659</v>
      </c>
      <c r="H1273" t="s">
        <v>4196</v>
      </c>
      <c r="I1273" t="s">
        <v>3490</v>
      </c>
      <c r="J1273" s="56">
        <f t="shared" si="57"/>
        <v>54</v>
      </c>
      <c r="K1273" s="74" t="str">
        <f t="shared" si="58"/>
        <v>31-60 Days</v>
      </c>
      <c r="L1273" s="58" t="str">
        <f t="shared" si="59"/>
        <v>Especially Mentioned</v>
      </c>
    </row>
    <row r="1274" spans="1:12" ht="16.5" customHeight="1" x14ac:dyDescent="0.35">
      <c r="A1274" t="s">
        <v>571</v>
      </c>
      <c r="B1274" t="s">
        <v>571</v>
      </c>
      <c r="C1274">
        <v>0</v>
      </c>
      <c r="D1274">
        <v>84.96</v>
      </c>
      <c r="E1274" t="s">
        <v>5660</v>
      </c>
      <c r="F1274" t="s">
        <v>5661</v>
      </c>
      <c r="G1274" t="s">
        <v>5662</v>
      </c>
      <c r="H1274" t="s">
        <v>3532</v>
      </c>
      <c r="I1274" t="s">
        <v>3490</v>
      </c>
      <c r="J1274" s="56">
        <f t="shared" si="57"/>
        <v>54</v>
      </c>
      <c r="K1274" s="74" t="str">
        <f t="shared" si="58"/>
        <v>31-60 Days</v>
      </c>
      <c r="L1274" s="58" t="str">
        <f t="shared" si="59"/>
        <v>Not Applicable</v>
      </c>
    </row>
    <row r="1275" spans="1:12" ht="16.5" customHeight="1" x14ac:dyDescent="0.35">
      <c r="A1275" t="s">
        <v>571</v>
      </c>
      <c r="B1275" t="s">
        <v>571</v>
      </c>
      <c r="C1275">
        <v>0</v>
      </c>
      <c r="D1275">
        <v>354</v>
      </c>
      <c r="E1275" t="s">
        <v>5663</v>
      </c>
      <c r="F1275" t="s">
        <v>5664</v>
      </c>
      <c r="G1275" t="s">
        <v>5665</v>
      </c>
      <c r="H1275" t="s">
        <v>3532</v>
      </c>
      <c r="I1275" t="s">
        <v>3490</v>
      </c>
      <c r="J1275" s="56">
        <f t="shared" si="57"/>
        <v>54</v>
      </c>
      <c r="K1275" s="74" t="str">
        <f t="shared" si="58"/>
        <v>31-60 Days</v>
      </c>
      <c r="L1275" s="58" t="str">
        <f t="shared" si="59"/>
        <v>Not Applicable</v>
      </c>
    </row>
    <row r="1276" spans="1:12" ht="16.5" customHeight="1" x14ac:dyDescent="0.35">
      <c r="A1276" t="s">
        <v>571</v>
      </c>
      <c r="B1276" t="s">
        <v>571</v>
      </c>
      <c r="C1276">
        <v>0</v>
      </c>
      <c r="D1276">
        <v>1000</v>
      </c>
      <c r="E1276" t="s">
        <v>5666</v>
      </c>
      <c r="F1276" t="s">
        <v>5667</v>
      </c>
      <c r="G1276" t="s">
        <v>5668</v>
      </c>
      <c r="H1276" t="s">
        <v>3489</v>
      </c>
      <c r="I1276" t="s">
        <v>3490</v>
      </c>
      <c r="J1276" s="56">
        <f t="shared" si="57"/>
        <v>54</v>
      </c>
      <c r="K1276" s="74" t="str">
        <f t="shared" si="58"/>
        <v>31-60 Days</v>
      </c>
      <c r="L1276" s="58" t="str">
        <f t="shared" si="59"/>
        <v>Not Applicable</v>
      </c>
    </row>
    <row r="1277" spans="1:12" ht="16.5" customHeight="1" x14ac:dyDescent="0.35">
      <c r="A1277" t="s">
        <v>571</v>
      </c>
      <c r="B1277" t="s">
        <v>571</v>
      </c>
      <c r="C1277">
        <v>0</v>
      </c>
      <c r="D1277">
        <v>1000</v>
      </c>
      <c r="E1277" t="s">
        <v>5669</v>
      </c>
      <c r="F1277" t="s">
        <v>5670</v>
      </c>
      <c r="G1277" t="s">
        <v>5671</v>
      </c>
      <c r="H1277" t="s">
        <v>3489</v>
      </c>
      <c r="I1277" t="s">
        <v>3490</v>
      </c>
      <c r="J1277" s="56">
        <f t="shared" si="57"/>
        <v>54</v>
      </c>
      <c r="K1277" s="74" t="str">
        <f t="shared" si="58"/>
        <v>31-60 Days</v>
      </c>
      <c r="L1277" s="58" t="str">
        <f t="shared" si="59"/>
        <v>Not Applicable</v>
      </c>
    </row>
    <row r="1278" spans="1:12" ht="16.5" customHeight="1" x14ac:dyDescent="0.35">
      <c r="A1278" t="s">
        <v>571</v>
      </c>
      <c r="B1278" t="s">
        <v>571</v>
      </c>
      <c r="C1278">
        <v>0</v>
      </c>
      <c r="D1278">
        <v>1000</v>
      </c>
      <c r="E1278" t="s">
        <v>5672</v>
      </c>
      <c r="F1278" t="s">
        <v>5672</v>
      </c>
      <c r="G1278" t="s">
        <v>5673</v>
      </c>
      <c r="H1278" t="s">
        <v>3489</v>
      </c>
      <c r="I1278" t="s">
        <v>3490</v>
      </c>
      <c r="J1278" s="56">
        <f t="shared" si="57"/>
        <v>54</v>
      </c>
      <c r="K1278" s="74" t="str">
        <f t="shared" si="58"/>
        <v>31-60 Days</v>
      </c>
      <c r="L1278" s="58" t="str">
        <f t="shared" si="59"/>
        <v>Not Applicable</v>
      </c>
    </row>
    <row r="1279" spans="1:12" ht="16.5" customHeight="1" x14ac:dyDescent="0.35">
      <c r="A1279" t="s">
        <v>571</v>
      </c>
      <c r="B1279" t="s">
        <v>571</v>
      </c>
      <c r="C1279">
        <v>0</v>
      </c>
      <c r="D1279">
        <v>43344</v>
      </c>
      <c r="E1279" t="s">
        <v>5674</v>
      </c>
      <c r="F1279" t="s">
        <v>5675</v>
      </c>
      <c r="G1279" t="s">
        <v>5676</v>
      </c>
      <c r="H1279" t="s">
        <v>3532</v>
      </c>
      <c r="I1279" t="s">
        <v>3490</v>
      </c>
      <c r="J1279" s="56">
        <f t="shared" si="57"/>
        <v>54</v>
      </c>
      <c r="K1279" s="74" t="str">
        <f t="shared" si="58"/>
        <v>31-60 Days</v>
      </c>
      <c r="L1279" s="58" t="str">
        <f t="shared" si="59"/>
        <v>Not Applicable</v>
      </c>
    </row>
    <row r="1280" spans="1:12" ht="16.5" customHeight="1" x14ac:dyDescent="0.35">
      <c r="A1280" t="s">
        <v>571</v>
      </c>
      <c r="B1280" t="s">
        <v>571</v>
      </c>
      <c r="C1280">
        <v>0</v>
      </c>
      <c r="D1280">
        <v>2650</v>
      </c>
      <c r="E1280" t="s">
        <v>5677</v>
      </c>
      <c r="F1280" t="s">
        <v>5677</v>
      </c>
      <c r="G1280" t="s">
        <v>5678</v>
      </c>
      <c r="H1280" t="s">
        <v>3489</v>
      </c>
      <c r="I1280" t="s">
        <v>3490</v>
      </c>
      <c r="J1280" s="56">
        <f t="shared" si="57"/>
        <v>54</v>
      </c>
      <c r="K1280" s="74" t="str">
        <f t="shared" si="58"/>
        <v>31-60 Days</v>
      </c>
      <c r="L1280" s="58" t="str">
        <f t="shared" si="59"/>
        <v>Not Applicable</v>
      </c>
    </row>
    <row r="1281" spans="1:12" ht="16.5" customHeight="1" x14ac:dyDescent="0.35">
      <c r="A1281" t="s">
        <v>571</v>
      </c>
      <c r="B1281" t="s">
        <v>571</v>
      </c>
      <c r="C1281">
        <v>0</v>
      </c>
      <c r="D1281">
        <v>1000</v>
      </c>
      <c r="E1281" t="s">
        <v>5679</v>
      </c>
      <c r="F1281" t="s">
        <v>5680</v>
      </c>
      <c r="G1281" t="s">
        <v>5681</v>
      </c>
      <c r="H1281" t="s">
        <v>3489</v>
      </c>
      <c r="I1281" t="s">
        <v>3490</v>
      </c>
      <c r="J1281" s="56">
        <f t="shared" si="57"/>
        <v>54</v>
      </c>
      <c r="K1281" s="74" t="str">
        <f t="shared" si="58"/>
        <v>31-60 Days</v>
      </c>
      <c r="L1281" s="58" t="str">
        <f t="shared" si="59"/>
        <v>Not Applicable</v>
      </c>
    </row>
    <row r="1282" spans="1:12" ht="16.5" customHeight="1" x14ac:dyDescent="0.35">
      <c r="A1282" t="s">
        <v>571</v>
      </c>
      <c r="B1282" t="s">
        <v>571</v>
      </c>
      <c r="C1282">
        <v>0</v>
      </c>
      <c r="D1282">
        <v>7.08</v>
      </c>
      <c r="E1282" t="s">
        <v>5682</v>
      </c>
      <c r="F1282" t="s">
        <v>5683</v>
      </c>
      <c r="G1282" t="s">
        <v>5684</v>
      </c>
      <c r="H1282" t="s">
        <v>3532</v>
      </c>
      <c r="I1282" t="s">
        <v>3490</v>
      </c>
      <c r="J1282" s="56">
        <f t="shared" si="57"/>
        <v>54</v>
      </c>
      <c r="K1282" s="74" t="str">
        <f t="shared" si="58"/>
        <v>31-60 Days</v>
      </c>
      <c r="L1282" s="58" t="str">
        <f t="shared" si="59"/>
        <v>Not Applicable</v>
      </c>
    </row>
    <row r="1283" spans="1:12" ht="16.5" customHeight="1" x14ac:dyDescent="0.35">
      <c r="A1283" t="s">
        <v>571</v>
      </c>
      <c r="B1283" t="s">
        <v>571</v>
      </c>
      <c r="C1283">
        <v>0</v>
      </c>
      <c r="D1283">
        <v>49.56</v>
      </c>
      <c r="E1283" t="s">
        <v>5685</v>
      </c>
      <c r="F1283" t="s">
        <v>5686</v>
      </c>
      <c r="G1283" t="s">
        <v>5687</v>
      </c>
      <c r="H1283" t="s">
        <v>3532</v>
      </c>
      <c r="I1283" t="s">
        <v>3490</v>
      </c>
      <c r="J1283" s="56">
        <f t="shared" si="57"/>
        <v>54</v>
      </c>
      <c r="K1283" s="74" t="str">
        <f t="shared" si="58"/>
        <v>31-60 Days</v>
      </c>
      <c r="L1283" s="58" t="str">
        <f t="shared" si="59"/>
        <v>Not Applicable</v>
      </c>
    </row>
    <row r="1284" spans="1:12" ht="16.5" customHeight="1" x14ac:dyDescent="0.35">
      <c r="A1284" t="s">
        <v>571</v>
      </c>
      <c r="B1284" t="s">
        <v>571</v>
      </c>
      <c r="C1284">
        <v>0</v>
      </c>
      <c r="D1284">
        <v>42.48</v>
      </c>
      <c r="E1284" t="s">
        <v>5688</v>
      </c>
      <c r="F1284" t="s">
        <v>5689</v>
      </c>
      <c r="G1284" t="s">
        <v>5690</v>
      </c>
      <c r="H1284" t="s">
        <v>3532</v>
      </c>
      <c r="I1284" t="s">
        <v>3490</v>
      </c>
      <c r="J1284" s="56">
        <f t="shared" si="57"/>
        <v>54</v>
      </c>
      <c r="K1284" s="74" t="str">
        <f t="shared" si="58"/>
        <v>31-60 Days</v>
      </c>
      <c r="L1284" s="58" t="str">
        <f t="shared" si="59"/>
        <v>Not Applicable</v>
      </c>
    </row>
    <row r="1285" spans="1:12" ht="16.5" customHeight="1" x14ac:dyDescent="0.35">
      <c r="A1285" t="s">
        <v>571</v>
      </c>
      <c r="B1285" t="s">
        <v>571</v>
      </c>
      <c r="C1285">
        <v>0</v>
      </c>
      <c r="D1285">
        <v>150</v>
      </c>
      <c r="E1285" t="s">
        <v>5691</v>
      </c>
      <c r="F1285" t="s">
        <v>5691</v>
      </c>
      <c r="G1285" t="s">
        <v>5692</v>
      </c>
      <c r="H1285" t="s">
        <v>3489</v>
      </c>
      <c r="I1285" t="s">
        <v>3490</v>
      </c>
      <c r="J1285" s="56">
        <f t="shared" si="57"/>
        <v>54</v>
      </c>
      <c r="K1285" s="74" t="str">
        <f t="shared" si="58"/>
        <v>31-60 Days</v>
      </c>
      <c r="L1285" s="58" t="str">
        <f t="shared" si="59"/>
        <v>Not Applicable</v>
      </c>
    </row>
    <row r="1286" spans="1:12" ht="16.5" customHeight="1" x14ac:dyDescent="0.35">
      <c r="A1286" t="s">
        <v>571</v>
      </c>
      <c r="B1286" t="s">
        <v>571</v>
      </c>
      <c r="C1286">
        <v>0</v>
      </c>
      <c r="D1286">
        <v>250</v>
      </c>
      <c r="E1286" t="s">
        <v>5693</v>
      </c>
      <c r="F1286" t="s">
        <v>3574</v>
      </c>
      <c r="G1286" t="s">
        <v>5694</v>
      </c>
      <c r="H1286" t="s">
        <v>3489</v>
      </c>
      <c r="I1286" t="s">
        <v>3490</v>
      </c>
      <c r="J1286" s="56">
        <f t="shared" si="57"/>
        <v>54</v>
      </c>
      <c r="K1286" s="74" t="str">
        <f t="shared" si="58"/>
        <v>31-60 Days</v>
      </c>
      <c r="L1286" s="58" t="str">
        <f t="shared" si="59"/>
        <v>Not Applicable</v>
      </c>
    </row>
    <row r="1287" spans="1:12" ht="16.5" customHeight="1" x14ac:dyDescent="0.35">
      <c r="A1287" t="s">
        <v>571</v>
      </c>
      <c r="B1287" t="s">
        <v>571</v>
      </c>
      <c r="C1287">
        <v>0</v>
      </c>
      <c r="D1287">
        <v>200</v>
      </c>
      <c r="E1287" t="s">
        <v>5695</v>
      </c>
      <c r="F1287" t="s">
        <v>5696</v>
      </c>
      <c r="G1287" t="s">
        <v>5697</v>
      </c>
      <c r="H1287" t="s">
        <v>3532</v>
      </c>
      <c r="I1287" t="s">
        <v>3490</v>
      </c>
      <c r="J1287" s="56">
        <f t="shared" si="57"/>
        <v>54</v>
      </c>
      <c r="K1287" s="74" t="str">
        <f t="shared" si="58"/>
        <v>31-60 Days</v>
      </c>
      <c r="L1287" s="58" t="str">
        <f t="shared" si="59"/>
        <v>Not Applicable</v>
      </c>
    </row>
    <row r="1288" spans="1:12" ht="16.5" customHeight="1" x14ac:dyDescent="0.35">
      <c r="A1288" t="s">
        <v>571</v>
      </c>
      <c r="B1288" t="s">
        <v>571</v>
      </c>
      <c r="C1288">
        <v>0</v>
      </c>
      <c r="D1288">
        <v>148.68</v>
      </c>
      <c r="E1288" t="s">
        <v>5698</v>
      </c>
      <c r="F1288" t="s">
        <v>5699</v>
      </c>
      <c r="G1288" t="s">
        <v>5700</v>
      </c>
      <c r="H1288" t="s">
        <v>3532</v>
      </c>
      <c r="I1288" t="s">
        <v>3490</v>
      </c>
      <c r="J1288" s="56">
        <f t="shared" si="57"/>
        <v>54</v>
      </c>
      <c r="K1288" s="74" t="str">
        <f t="shared" si="58"/>
        <v>31-60 Days</v>
      </c>
      <c r="L1288" s="58" t="str">
        <f t="shared" si="59"/>
        <v>Not Applicable</v>
      </c>
    </row>
    <row r="1289" spans="1:12" ht="16.5" customHeight="1" x14ac:dyDescent="0.35">
      <c r="A1289" t="s">
        <v>571</v>
      </c>
      <c r="B1289" t="s">
        <v>571</v>
      </c>
      <c r="C1289">
        <v>0</v>
      </c>
      <c r="D1289">
        <v>100</v>
      </c>
      <c r="E1289" t="s">
        <v>5701</v>
      </c>
      <c r="F1289" t="s">
        <v>5702</v>
      </c>
      <c r="G1289" t="s">
        <v>5703</v>
      </c>
      <c r="H1289" t="s">
        <v>3532</v>
      </c>
      <c r="I1289" t="s">
        <v>3490</v>
      </c>
      <c r="J1289" s="56">
        <f t="shared" ref="J1289:J1352" si="60">IF(A1289="","",A$5-A1289)</f>
        <v>54</v>
      </c>
      <c r="K1289" s="74" t="str">
        <f t="shared" ref="K1289:K1352" si="61">IF(J1289="","",IF(J1289&lt;4,"0-3 Days",IF(J1289&lt;31,"4-30 Days",IF(J1289&lt;61,"31-60 Days",IF(J1289&lt;=90,"61-90 Days",IF(J1289&gt;90,"Above 90 Days","0"))))))</f>
        <v>31-60 Days</v>
      </c>
      <c r="L1289" s="58" t="str">
        <f t="shared" ref="L1289:L1352" si="62">IF(C1289="","",IF(C1289&gt;0,IF(J1289&lt;30,"Normal",IF(J1289&lt;60,"Especially Mentioned",IF(J1289&lt;90,"Substandard",IF(J1289&lt;=180,"Doubtful",IF(J1289&gt;180,"Loss","0"))))),"Not Applicable"))</f>
        <v>Not Applicable</v>
      </c>
    </row>
    <row r="1290" spans="1:12" ht="16.5" customHeight="1" x14ac:dyDescent="0.35">
      <c r="A1290" t="s">
        <v>571</v>
      </c>
      <c r="B1290" t="s">
        <v>571</v>
      </c>
      <c r="C1290">
        <v>0</v>
      </c>
      <c r="D1290">
        <v>200</v>
      </c>
      <c r="E1290" t="s">
        <v>5704</v>
      </c>
      <c r="F1290" t="s">
        <v>5705</v>
      </c>
      <c r="G1290" t="s">
        <v>5706</v>
      </c>
      <c r="H1290" t="s">
        <v>3532</v>
      </c>
      <c r="I1290" t="s">
        <v>3490</v>
      </c>
      <c r="J1290" s="56">
        <f t="shared" si="60"/>
        <v>54</v>
      </c>
      <c r="K1290" s="74" t="str">
        <f t="shared" si="61"/>
        <v>31-60 Days</v>
      </c>
      <c r="L1290" s="58" t="str">
        <f t="shared" si="62"/>
        <v>Not Applicable</v>
      </c>
    </row>
    <row r="1291" spans="1:12" ht="16.5" customHeight="1" x14ac:dyDescent="0.35">
      <c r="A1291" t="s">
        <v>571</v>
      </c>
      <c r="B1291" t="s">
        <v>571</v>
      </c>
      <c r="C1291">
        <v>0</v>
      </c>
      <c r="D1291">
        <v>1450000</v>
      </c>
      <c r="E1291" t="s">
        <v>5707</v>
      </c>
      <c r="F1291" t="s">
        <v>5707</v>
      </c>
      <c r="G1291" t="s">
        <v>5708</v>
      </c>
      <c r="H1291" t="s">
        <v>3489</v>
      </c>
      <c r="I1291" t="s">
        <v>3490</v>
      </c>
      <c r="J1291" s="56">
        <f t="shared" si="60"/>
        <v>54</v>
      </c>
      <c r="K1291" s="74" t="str">
        <f t="shared" si="61"/>
        <v>31-60 Days</v>
      </c>
      <c r="L1291" s="58" t="str">
        <f t="shared" si="62"/>
        <v>Not Applicable</v>
      </c>
    </row>
    <row r="1292" spans="1:12" ht="16.5" customHeight="1" x14ac:dyDescent="0.35">
      <c r="A1292" t="s">
        <v>571</v>
      </c>
      <c r="B1292" t="s">
        <v>571</v>
      </c>
      <c r="C1292">
        <v>0</v>
      </c>
      <c r="D1292">
        <v>84.96</v>
      </c>
      <c r="E1292" t="s">
        <v>5709</v>
      </c>
      <c r="F1292" t="s">
        <v>5710</v>
      </c>
      <c r="G1292" t="s">
        <v>5711</v>
      </c>
      <c r="H1292" t="s">
        <v>3532</v>
      </c>
      <c r="I1292" t="s">
        <v>3490</v>
      </c>
      <c r="J1292" s="56">
        <f t="shared" si="60"/>
        <v>54</v>
      </c>
      <c r="K1292" s="74" t="str">
        <f t="shared" si="61"/>
        <v>31-60 Days</v>
      </c>
      <c r="L1292" s="58" t="str">
        <f t="shared" si="62"/>
        <v>Not Applicable</v>
      </c>
    </row>
    <row r="1293" spans="1:12" ht="16.5" customHeight="1" x14ac:dyDescent="0.35">
      <c r="A1293" t="s">
        <v>571</v>
      </c>
      <c r="B1293" t="s">
        <v>571</v>
      </c>
      <c r="C1293">
        <v>0</v>
      </c>
      <c r="D1293">
        <v>14.16</v>
      </c>
      <c r="E1293" t="s">
        <v>5712</v>
      </c>
      <c r="F1293" t="s">
        <v>5713</v>
      </c>
      <c r="G1293" t="s">
        <v>5714</v>
      </c>
      <c r="H1293" t="s">
        <v>3532</v>
      </c>
      <c r="I1293" t="s">
        <v>3490</v>
      </c>
      <c r="J1293" s="56">
        <f t="shared" si="60"/>
        <v>54</v>
      </c>
      <c r="K1293" s="74" t="str">
        <f t="shared" si="61"/>
        <v>31-60 Days</v>
      </c>
      <c r="L1293" s="58" t="str">
        <f t="shared" si="62"/>
        <v>Not Applicable</v>
      </c>
    </row>
    <row r="1294" spans="1:12" ht="16.5" customHeight="1" x14ac:dyDescent="0.35">
      <c r="A1294" t="s">
        <v>571</v>
      </c>
      <c r="B1294" t="s">
        <v>571</v>
      </c>
      <c r="C1294">
        <v>0</v>
      </c>
      <c r="D1294">
        <v>4507.1000000000004</v>
      </c>
      <c r="E1294" t="s">
        <v>5715</v>
      </c>
      <c r="F1294" t="s">
        <v>5716</v>
      </c>
      <c r="G1294" t="s">
        <v>5717</v>
      </c>
      <c r="H1294" t="s">
        <v>3532</v>
      </c>
      <c r="I1294" t="s">
        <v>3490</v>
      </c>
      <c r="J1294" s="56">
        <f t="shared" si="60"/>
        <v>54</v>
      </c>
      <c r="K1294" s="74" t="str">
        <f t="shared" si="61"/>
        <v>31-60 Days</v>
      </c>
      <c r="L1294" s="58" t="str">
        <f t="shared" si="62"/>
        <v>Not Applicable</v>
      </c>
    </row>
    <row r="1295" spans="1:12" ht="16.5" customHeight="1" x14ac:dyDescent="0.35">
      <c r="A1295" t="s">
        <v>571</v>
      </c>
      <c r="B1295" t="s">
        <v>571</v>
      </c>
      <c r="C1295">
        <v>0</v>
      </c>
      <c r="D1295">
        <v>177</v>
      </c>
      <c r="E1295" t="s">
        <v>5718</v>
      </c>
      <c r="F1295" t="s">
        <v>5719</v>
      </c>
      <c r="G1295" t="s">
        <v>5720</v>
      </c>
      <c r="H1295" t="s">
        <v>3532</v>
      </c>
      <c r="I1295" t="s">
        <v>3490</v>
      </c>
      <c r="J1295" s="56">
        <f t="shared" si="60"/>
        <v>54</v>
      </c>
      <c r="K1295" s="74" t="str">
        <f t="shared" si="61"/>
        <v>31-60 Days</v>
      </c>
      <c r="L1295" s="58" t="str">
        <f t="shared" si="62"/>
        <v>Not Applicable</v>
      </c>
    </row>
    <row r="1296" spans="1:12" ht="16.5" customHeight="1" x14ac:dyDescent="0.35">
      <c r="A1296" t="s">
        <v>571</v>
      </c>
      <c r="B1296" t="s">
        <v>571</v>
      </c>
      <c r="C1296">
        <v>0</v>
      </c>
      <c r="D1296">
        <v>10676</v>
      </c>
      <c r="E1296" t="s">
        <v>5721</v>
      </c>
      <c r="F1296" t="s">
        <v>5722</v>
      </c>
      <c r="G1296" t="s">
        <v>5723</v>
      </c>
      <c r="H1296" t="s">
        <v>3532</v>
      </c>
      <c r="I1296" t="s">
        <v>3490</v>
      </c>
      <c r="J1296" s="56">
        <f t="shared" si="60"/>
        <v>54</v>
      </c>
      <c r="K1296" s="74" t="str">
        <f t="shared" si="61"/>
        <v>31-60 Days</v>
      </c>
      <c r="L1296" s="58" t="str">
        <f t="shared" si="62"/>
        <v>Not Applicable</v>
      </c>
    </row>
    <row r="1297" spans="1:12" ht="16.5" customHeight="1" x14ac:dyDescent="0.35">
      <c r="A1297" t="s">
        <v>571</v>
      </c>
      <c r="B1297" t="s">
        <v>571</v>
      </c>
      <c r="C1297">
        <v>0</v>
      </c>
      <c r="D1297">
        <v>1000</v>
      </c>
      <c r="E1297" t="s">
        <v>5724</v>
      </c>
      <c r="F1297" t="s">
        <v>5725</v>
      </c>
      <c r="G1297" t="s">
        <v>5726</v>
      </c>
      <c r="H1297" t="s">
        <v>3489</v>
      </c>
      <c r="I1297" t="s">
        <v>3490</v>
      </c>
      <c r="J1297" s="56">
        <f t="shared" si="60"/>
        <v>54</v>
      </c>
      <c r="K1297" s="74" t="str">
        <f t="shared" si="61"/>
        <v>31-60 Days</v>
      </c>
      <c r="L1297" s="58" t="str">
        <f t="shared" si="62"/>
        <v>Not Applicable</v>
      </c>
    </row>
    <row r="1298" spans="1:12" ht="16.5" customHeight="1" x14ac:dyDescent="0.35">
      <c r="A1298" t="s">
        <v>571</v>
      </c>
      <c r="B1298" t="s">
        <v>571</v>
      </c>
      <c r="C1298">
        <v>0</v>
      </c>
      <c r="D1298">
        <v>1000</v>
      </c>
      <c r="E1298" t="s">
        <v>5727</v>
      </c>
      <c r="F1298" t="s">
        <v>5728</v>
      </c>
      <c r="G1298" t="s">
        <v>5729</v>
      </c>
      <c r="H1298" t="s">
        <v>3489</v>
      </c>
      <c r="I1298" t="s">
        <v>3490</v>
      </c>
      <c r="J1298" s="56">
        <f t="shared" si="60"/>
        <v>54</v>
      </c>
      <c r="K1298" s="74" t="str">
        <f t="shared" si="61"/>
        <v>31-60 Days</v>
      </c>
      <c r="L1298" s="58" t="str">
        <f t="shared" si="62"/>
        <v>Not Applicable</v>
      </c>
    </row>
    <row r="1299" spans="1:12" ht="16.5" customHeight="1" x14ac:dyDescent="0.35">
      <c r="A1299" t="s">
        <v>571</v>
      </c>
      <c r="B1299" t="s">
        <v>571</v>
      </c>
      <c r="C1299">
        <v>0</v>
      </c>
      <c r="D1299">
        <v>2050</v>
      </c>
      <c r="E1299" t="s">
        <v>5730</v>
      </c>
      <c r="F1299" t="s">
        <v>5730</v>
      </c>
      <c r="G1299" t="s">
        <v>5731</v>
      </c>
      <c r="H1299" t="s">
        <v>3489</v>
      </c>
      <c r="I1299" t="s">
        <v>3490</v>
      </c>
      <c r="J1299" s="56">
        <f t="shared" si="60"/>
        <v>54</v>
      </c>
      <c r="K1299" s="74" t="str">
        <f t="shared" si="61"/>
        <v>31-60 Days</v>
      </c>
      <c r="L1299" s="58" t="str">
        <f t="shared" si="62"/>
        <v>Not Applicable</v>
      </c>
    </row>
    <row r="1300" spans="1:12" ht="16.5" customHeight="1" x14ac:dyDescent="0.35">
      <c r="A1300" t="s">
        <v>571</v>
      </c>
      <c r="B1300" t="s">
        <v>571</v>
      </c>
      <c r="C1300">
        <v>0</v>
      </c>
      <c r="D1300">
        <v>2000</v>
      </c>
      <c r="E1300" t="s">
        <v>5732</v>
      </c>
      <c r="F1300" t="s">
        <v>5732</v>
      </c>
      <c r="G1300" t="s">
        <v>5733</v>
      </c>
      <c r="H1300" t="s">
        <v>3521</v>
      </c>
      <c r="I1300" t="s">
        <v>3490</v>
      </c>
      <c r="J1300" s="56">
        <f t="shared" si="60"/>
        <v>54</v>
      </c>
      <c r="K1300" s="74" t="str">
        <f t="shared" si="61"/>
        <v>31-60 Days</v>
      </c>
      <c r="L1300" s="58" t="str">
        <f t="shared" si="62"/>
        <v>Not Applicable</v>
      </c>
    </row>
    <row r="1301" spans="1:12" ht="16.5" customHeight="1" x14ac:dyDescent="0.35">
      <c r="A1301" t="s">
        <v>571</v>
      </c>
      <c r="B1301" t="s">
        <v>571</v>
      </c>
      <c r="C1301">
        <v>0</v>
      </c>
      <c r="D1301">
        <v>70.8</v>
      </c>
      <c r="E1301" t="s">
        <v>5734</v>
      </c>
      <c r="F1301" t="s">
        <v>5735</v>
      </c>
      <c r="G1301" t="s">
        <v>5736</v>
      </c>
      <c r="H1301" t="s">
        <v>3532</v>
      </c>
      <c r="I1301" t="s">
        <v>3490</v>
      </c>
      <c r="J1301" s="56">
        <f t="shared" si="60"/>
        <v>54</v>
      </c>
      <c r="K1301" s="74" t="str">
        <f t="shared" si="61"/>
        <v>31-60 Days</v>
      </c>
      <c r="L1301" s="58" t="str">
        <f t="shared" si="62"/>
        <v>Not Applicable</v>
      </c>
    </row>
    <row r="1302" spans="1:12" ht="16.5" customHeight="1" x14ac:dyDescent="0.35">
      <c r="A1302" t="s">
        <v>571</v>
      </c>
      <c r="B1302" t="s">
        <v>571</v>
      </c>
      <c r="C1302">
        <v>1000000</v>
      </c>
      <c r="D1302">
        <v>0</v>
      </c>
      <c r="E1302" t="s">
        <v>5737</v>
      </c>
      <c r="F1302" t="s">
        <v>5737</v>
      </c>
      <c r="G1302" t="s">
        <v>5738</v>
      </c>
      <c r="H1302" t="s">
        <v>5243</v>
      </c>
      <c r="I1302" t="s">
        <v>3490</v>
      </c>
      <c r="J1302" s="56">
        <f t="shared" si="60"/>
        <v>54</v>
      </c>
      <c r="K1302" s="74" t="str">
        <f t="shared" si="61"/>
        <v>31-60 Days</v>
      </c>
      <c r="L1302" s="58" t="str">
        <f t="shared" si="62"/>
        <v>Especially Mentioned</v>
      </c>
    </row>
    <row r="1303" spans="1:12" ht="16.5" customHeight="1" x14ac:dyDescent="0.35">
      <c r="A1303" t="s">
        <v>571</v>
      </c>
      <c r="B1303" t="s">
        <v>571</v>
      </c>
      <c r="C1303">
        <v>0</v>
      </c>
      <c r="D1303">
        <v>120.36</v>
      </c>
      <c r="E1303" t="s">
        <v>5739</v>
      </c>
      <c r="F1303" t="s">
        <v>5740</v>
      </c>
      <c r="G1303" t="s">
        <v>5741</v>
      </c>
      <c r="H1303" t="s">
        <v>3532</v>
      </c>
      <c r="I1303" t="s">
        <v>3490</v>
      </c>
      <c r="J1303" s="56">
        <f t="shared" si="60"/>
        <v>54</v>
      </c>
      <c r="K1303" s="74" t="str">
        <f t="shared" si="61"/>
        <v>31-60 Days</v>
      </c>
      <c r="L1303" s="58" t="str">
        <f t="shared" si="62"/>
        <v>Not Applicable</v>
      </c>
    </row>
    <row r="1304" spans="1:12" ht="16.5" customHeight="1" x14ac:dyDescent="0.35">
      <c r="A1304" t="s">
        <v>571</v>
      </c>
      <c r="B1304" t="s">
        <v>571</v>
      </c>
      <c r="C1304">
        <v>0</v>
      </c>
      <c r="D1304">
        <v>1000</v>
      </c>
      <c r="E1304" t="s">
        <v>5742</v>
      </c>
      <c r="F1304" t="s">
        <v>5743</v>
      </c>
      <c r="G1304" t="s">
        <v>5744</v>
      </c>
      <c r="H1304" t="s">
        <v>3489</v>
      </c>
      <c r="I1304" t="s">
        <v>3490</v>
      </c>
      <c r="J1304" s="56">
        <f t="shared" si="60"/>
        <v>54</v>
      </c>
      <c r="K1304" s="74" t="str">
        <f t="shared" si="61"/>
        <v>31-60 Days</v>
      </c>
      <c r="L1304" s="58" t="str">
        <f t="shared" si="62"/>
        <v>Not Applicable</v>
      </c>
    </row>
    <row r="1305" spans="1:12" ht="16.5" customHeight="1" x14ac:dyDescent="0.35">
      <c r="A1305" t="s">
        <v>571</v>
      </c>
      <c r="B1305" t="s">
        <v>571</v>
      </c>
      <c r="C1305">
        <v>0</v>
      </c>
      <c r="D1305">
        <v>100</v>
      </c>
      <c r="E1305" t="s">
        <v>5745</v>
      </c>
      <c r="F1305" t="s">
        <v>5746</v>
      </c>
      <c r="G1305" t="s">
        <v>5747</v>
      </c>
      <c r="H1305" t="s">
        <v>3532</v>
      </c>
      <c r="I1305" t="s">
        <v>3490</v>
      </c>
      <c r="J1305" s="56">
        <f t="shared" si="60"/>
        <v>54</v>
      </c>
      <c r="K1305" s="74" t="str">
        <f t="shared" si="61"/>
        <v>31-60 Days</v>
      </c>
      <c r="L1305" s="58" t="str">
        <f t="shared" si="62"/>
        <v>Not Applicable</v>
      </c>
    </row>
    <row r="1306" spans="1:12" ht="16.5" customHeight="1" x14ac:dyDescent="0.35">
      <c r="A1306" t="s">
        <v>571</v>
      </c>
      <c r="B1306" t="s">
        <v>571</v>
      </c>
      <c r="C1306">
        <v>0</v>
      </c>
      <c r="D1306">
        <v>99164.800000000003</v>
      </c>
      <c r="E1306" t="s">
        <v>5748</v>
      </c>
      <c r="F1306" t="s">
        <v>5749</v>
      </c>
      <c r="G1306" t="s">
        <v>5750</v>
      </c>
      <c r="H1306" t="s">
        <v>3532</v>
      </c>
      <c r="I1306" t="s">
        <v>3490</v>
      </c>
      <c r="J1306" s="56">
        <f t="shared" si="60"/>
        <v>54</v>
      </c>
      <c r="K1306" s="74" t="str">
        <f t="shared" si="61"/>
        <v>31-60 Days</v>
      </c>
      <c r="L1306" s="58" t="str">
        <f t="shared" si="62"/>
        <v>Not Applicable</v>
      </c>
    </row>
    <row r="1307" spans="1:12" ht="16.5" customHeight="1" x14ac:dyDescent="0.35">
      <c r="A1307" t="s">
        <v>571</v>
      </c>
      <c r="B1307" t="s">
        <v>571</v>
      </c>
      <c r="C1307">
        <v>0</v>
      </c>
      <c r="D1307">
        <v>400</v>
      </c>
      <c r="E1307" t="s">
        <v>5751</v>
      </c>
      <c r="F1307" t="s">
        <v>5752</v>
      </c>
      <c r="G1307" t="s">
        <v>5753</v>
      </c>
      <c r="H1307" t="s">
        <v>3489</v>
      </c>
      <c r="I1307" t="s">
        <v>3486</v>
      </c>
      <c r="J1307" s="56">
        <f t="shared" si="60"/>
        <v>54</v>
      </c>
      <c r="K1307" s="74" t="str">
        <f t="shared" si="61"/>
        <v>31-60 Days</v>
      </c>
      <c r="L1307" s="58" t="str">
        <f t="shared" si="62"/>
        <v>Not Applicable</v>
      </c>
    </row>
    <row r="1308" spans="1:12" ht="16.5" customHeight="1" x14ac:dyDescent="0.35">
      <c r="A1308" t="s">
        <v>571</v>
      </c>
      <c r="B1308" t="s">
        <v>571</v>
      </c>
      <c r="C1308">
        <v>0</v>
      </c>
      <c r="D1308">
        <v>2700</v>
      </c>
      <c r="E1308" t="s">
        <v>5754</v>
      </c>
      <c r="F1308" t="s">
        <v>5754</v>
      </c>
      <c r="G1308" t="s">
        <v>5755</v>
      </c>
      <c r="H1308" t="s">
        <v>3489</v>
      </c>
      <c r="I1308" t="s">
        <v>3490</v>
      </c>
      <c r="J1308" s="56">
        <f t="shared" si="60"/>
        <v>54</v>
      </c>
      <c r="K1308" s="74" t="str">
        <f t="shared" si="61"/>
        <v>31-60 Days</v>
      </c>
      <c r="L1308" s="58" t="str">
        <f t="shared" si="62"/>
        <v>Not Applicable</v>
      </c>
    </row>
    <row r="1309" spans="1:12" ht="16.5" customHeight="1" x14ac:dyDescent="0.35">
      <c r="A1309" t="s">
        <v>571</v>
      </c>
      <c r="B1309" t="s">
        <v>571</v>
      </c>
      <c r="C1309">
        <v>0</v>
      </c>
      <c r="D1309">
        <v>10000000</v>
      </c>
      <c r="E1309" t="s">
        <v>5756</v>
      </c>
      <c r="F1309" t="s">
        <v>5757</v>
      </c>
      <c r="G1309" t="s">
        <v>5758</v>
      </c>
      <c r="H1309" t="s">
        <v>3489</v>
      </c>
      <c r="I1309" t="s">
        <v>3486</v>
      </c>
      <c r="J1309" s="56">
        <f t="shared" si="60"/>
        <v>54</v>
      </c>
      <c r="K1309" s="74" t="str">
        <f t="shared" si="61"/>
        <v>31-60 Days</v>
      </c>
      <c r="L1309" s="58" t="str">
        <f t="shared" si="62"/>
        <v>Not Applicable</v>
      </c>
    </row>
    <row r="1310" spans="1:12" ht="16.5" customHeight="1" x14ac:dyDescent="0.35">
      <c r="A1310" t="s">
        <v>571</v>
      </c>
      <c r="B1310" t="s">
        <v>571</v>
      </c>
      <c r="C1310">
        <v>0</v>
      </c>
      <c r="D1310">
        <v>29787</v>
      </c>
      <c r="E1310" t="s">
        <v>5759</v>
      </c>
      <c r="F1310" t="s">
        <v>5759</v>
      </c>
      <c r="G1310" t="s">
        <v>57</v>
      </c>
      <c r="H1310" t="s">
        <v>3914</v>
      </c>
      <c r="I1310" t="s">
        <v>3643</v>
      </c>
      <c r="J1310" s="56">
        <f t="shared" si="60"/>
        <v>54</v>
      </c>
      <c r="K1310" s="74" t="str">
        <f t="shared" si="61"/>
        <v>31-60 Days</v>
      </c>
      <c r="L1310" s="58" t="str">
        <f t="shared" si="62"/>
        <v>Not Applicable</v>
      </c>
    </row>
    <row r="1311" spans="1:12" ht="16.5" customHeight="1" x14ac:dyDescent="0.35">
      <c r="A1311" t="s">
        <v>571</v>
      </c>
      <c r="B1311" t="s">
        <v>571</v>
      </c>
      <c r="C1311">
        <v>0</v>
      </c>
      <c r="D1311">
        <v>35.4</v>
      </c>
      <c r="E1311" t="s">
        <v>5760</v>
      </c>
      <c r="F1311" t="s">
        <v>5761</v>
      </c>
      <c r="G1311" t="s">
        <v>5762</v>
      </c>
      <c r="H1311" t="s">
        <v>3532</v>
      </c>
      <c r="I1311" t="s">
        <v>3490</v>
      </c>
      <c r="J1311" s="56">
        <f t="shared" si="60"/>
        <v>54</v>
      </c>
      <c r="K1311" s="74" t="str">
        <f t="shared" si="61"/>
        <v>31-60 Days</v>
      </c>
      <c r="L1311" s="58" t="str">
        <f t="shared" si="62"/>
        <v>Not Applicable</v>
      </c>
    </row>
    <row r="1312" spans="1:12" ht="16.5" customHeight="1" x14ac:dyDescent="0.35">
      <c r="A1312" t="s">
        <v>571</v>
      </c>
      <c r="B1312" t="s">
        <v>571</v>
      </c>
      <c r="C1312">
        <v>0</v>
      </c>
      <c r="D1312">
        <v>6000</v>
      </c>
      <c r="E1312" t="s">
        <v>5763</v>
      </c>
      <c r="F1312" t="s">
        <v>5763</v>
      </c>
      <c r="G1312" t="s">
        <v>5764</v>
      </c>
      <c r="H1312" t="s">
        <v>3521</v>
      </c>
      <c r="I1312" t="s">
        <v>3490</v>
      </c>
      <c r="J1312" s="56">
        <f t="shared" si="60"/>
        <v>54</v>
      </c>
      <c r="K1312" s="74" t="str">
        <f t="shared" si="61"/>
        <v>31-60 Days</v>
      </c>
      <c r="L1312" s="58" t="str">
        <f t="shared" si="62"/>
        <v>Not Applicable</v>
      </c>
    </row>
    <row r="1313" spans="1:12" ht="16.5" customHeight="1" x14ac:dyDescent="0.35">
      <c r="A1313" t="s">
        <v>571</v>
      </c>
      <c r="B1313" t="s">
        <v>571</v>
      </c>
      <c r="C1313">
        <v>0</v>
      </c>
      <c r="D1313">
        <v>56.64</v>
      </c>
      <c r="E1313" t="s">
        <v>5765</v>
      </c>
      <c r="F1313" t="s">
        <v>5766</v>
      </c>
      <c r="G1313" t="s">
        <v>5767</v>
      </c>
      <c r="H1313" t="s">
        <v>3532</v>
      </c>
      <c r="I1313" t="s">
        <v>3490</v>
      </c>
      <c r="J1313" s="56">
        <f t="shared" si="60"/>
        <v>54</v>
      </c>
      <c r="K1313" s="74" t="str">
        <f t="shared" si="61"/>
        <v>31-60 Days</v>
      </c>
      <c r="L1313" s="58" t="str">
        <f t="shared" si="62"/>
        <v>Not Applicable</v>
      </c>
    </row>
    <row r="1314" spans="1:12" ht="16.5" customHeight="1" x14ac:dyDescent="0.35">
      <c r="A1314" t="s">
        <v>587</v>
      </c>
      <c r="B1314" t="s">
        <v>587</v>
      </c>
      <c r="C1314">
        <v>0</v>
      </c>
      <c r="D1314">
        <v>1876</v>
      </c>
      <c r="E1314" t="s">
        <v>5768</v>
      </c>
      <c r="F1314" t="s">
        <v>5768</v>
      </c>
      <c r="G1314" t="s">
        <v>5769</v>
      </c>
      <c r="H1314" t="s">
        <v>3489</v>
      </c>
      <c r="I1314" t="s">
        <v>3490</v>
      </c>
      <c r="J1314" s="56">
        <f t="shared" si="60"/>
        <v>53</v>
      </c>
      <c r="K1314" s="74" t="str">
        <f t="shared" si="61"/>
        <v>31-60 Days</v>
      </c>
      <c r="L1314" s="58" t="str">
        <f t="shared" si="62"/>
        <v>Not Applicable</v>
      </c>
    </row>
    <row r="1315" spans="1:12" ht="16.5" customHeight="1" x14ac:dyDescent="0.35">
      <c r="A1315" t="s">
        <v>587</v>
      </c>
      <c r="B1315" t="s">
        <v>587</v>
      </c>
      <c r="C1315">
        <v>0</v>
      </c>
      <c r="D1315">
        <v>250</v>
      </c>
      <c r="E1315" t="s">
        <v>5770</v>
      </c>
      <c r="F1315" t="s">
        <v>5770</v>
      </c>
      <c r="G1315" t="s">
        <v>5771</v>
      </c>
      <c r="H1315" t="s">
        <v>3489</v>
      </c>
      <c r="I1315" t="s">
        <v>3490</v>
      </c>
      <c r="J1315" s="56">
        <f t="shared" si="60"/>
        <v>53</v>
      </c>
      <c r="K1315" s="74" t="str">
        <f t="shared" si="61"/>
        <v>31-60 Days</v>
      </c>
      <c r="L1315" s="58" t="str">
        <f t="shared" si="62"/>
        <v>Not Applicable</v>
      </c>
    </row>
    <row r="1316" spans="1:12" ht="16.5" customHeight="1" x14ac:dyDescent="0.35">
      <c r="A1316" t="s">
        <v>587</v>
      </c>
      <c r="B1316" t="s">
        <v>587</v>
      </c>
      <c r="C1316">
        <v>0</v>
      </c>
      <c r="D1316">
        <v>1827.82</v>
      </c>
      <c r="E1316" t="s">
        <v>5772</v>
      </c>
      <c r="F1316" t="s">
        <v>5773</v>
      </c>
      <c r="G1316" t="s">
        <v>5774</v>
      </c>
      <c r="H1316" t="s">
        <v>3532</v>
      </c>
      <c r="I1316" t="s">
        <v>3490</v>
      </c>
      <c r="J1316" s="56">
        <f t="shared" si="60"/>
        <v>53</v>
      </c>
      <c r="K1316" s="74" t="str">
        <f t="shared" si="61"/>
        <v>31-60 Days</v>
      </c>
      <c r="L1316" s="58" t="str">
        <f t="shared" si="62"/>
        <v>Not Applicable</v>
      </c>
    </row>
    <row r="1317" spans="1:12" ht="16.5" customHeight="1" x14ac:dyDescent="0.35">
      <c r="A1317" t="s">
        <v>587</v>
      </c>
      <c r="B1317" t="s">
        <v>587</v>
      </c>
      <c r="C1317">
        <v>0</v>
      </c>
      <c r="D1317">
        <v>250</v>
      </c>
      <c r="E1317" t="s">
        <v>5775</v>
      </c>
      <c r="F1317" t="s">
        <v>5776</v>
      </c>
      <c r="G1317" t="s">
        <v>5777</v>
      </c>
      <c r="H1317" t="s">
        <v>3532</v>
      </c>
      <c r="I1317" t="s">
        <v>3490</v>
      </c>
      <c r="J1317" s="56">
        <f t="shared" si="60"/>
        <v>53</v>
      </c>
      <c r="K1317" s="74" t="str">
        <f t="shared" si="61"/>
        <v>31-60 Days</v>
      </c>
      <c r="L1317" s="58" t="str">
        <f t="shared" si="62"/>
        <v>Not Applicable</v>
      </c>
    </row>
    <row r="1318" spans="1:12" ht="16.5" customHeight="1" x14ac:dyDescent="0.35">
      <c r="A1318" t="s">
        <v>587</v>
      </c>
      <c r="B1318" t="s">
        <v>587</v>
      </c>
      <c r="C1318">
        <v>0</v>
      </c>
      <c r="D1318">
        <v>1094</v>
      </c>
      <c r="E1318" t="s">
        <v>5778</v>
      </c>
      <c r="F1318" t="s">
        <v>5778</v>
      </c>
      <c r="G1318" t="s">
        <v>5779</v>
      </c>
      <c r="H1318" t="s">
        <v>3489</v>
      </c>
      <c r="I1318" t="s">
        <v>3490</v>
      </c>
      <c r="J1318" s="56">
        <f t="shared" si="60"/>
        <v>53</v>
      </c>
      <c r="K1318" s="74" t="str">
        <f t="shared" si="61"/>
        <v>31-60 Days</v>
      </c>
      <c r="L1318" s="58" t="str">
        <f t="shared" si="62"/>
        <v>Not Applicable</v>
      </c>
    </row>
    <row r="1319" spans="1:12" ht="16.5" customHeight="1" x14ac:dyDescent="0.35">
      <c r="A1319" t="s">
        <v>587</v>
      </c>
      <c r="B1319" t="s">
        <v>587</v>
      </c>
      <c r="C1319">
        <v>0</v>
      </c>
      <c r="D1319">
        <v>1000</v>
      </c>
      <c r="E1319" t="s">
        <v>5780</v>
      </c>
      <c r="F1319" t="s">
        <v>5780</v>
      </c>
      <c r="G1319" t="s">
        <v>5781</v>
      </c>
      <c r="H1319" t="s">
        <v>3489</v>
      </c>
      <c r="I1319" t="s">
        <v>3490</v>
      </c>
      <c r="J1319" s="56">
        <f t="shared" si="60"/>
        <v>53</v>
      </c>
      <c r="K1319" s="74" t="str">
        <f t="shared" si="61"/>
        <v>31-60 Days</v>
      </c>
      <c r="L1319" s="58" t="str">
        <f t="shared" si="62"/>
        <v>Not Applicable</v>
      </c>
    </row>
    <row r="1320" spans="1:12" ht="16.5" customHeight="1" x14ac:dyDescent="0.35">
      <c r="A1320" t="s">
        <v>587</v>
      </c>
      <c r="B1320" t="s">
        <v>587</v>
      </c>
      <c r="C1320">
        <v>0</v>
      </c>
      <c r="D1320">
        <v>250</v>
      </c>
      <c r="E1320" t="s">
        <v>5782</v>
      </c>
      <c r="F1320" t="s">
        <v>5782</v>
      </c>
      <c r="G1320" t="s">
        <v>5783</v>
      </c>
      <c r="H1320" t="s">
        <v>3489</v>
      </c>
      <c r="I1320" t="s">
        <v>3490</v>
      </c>
      <c r="J1320" s="56">
        <f t="shared" si="60"/>
        <v>53</v>
      </c>
      <c r="K1320" s="74" t="str">
        <f t="shared" si="61"/>
        <v>31-60 Days</v>
      </c>
      <c r="L1320" s="58" t="str">
        <f t="shared" si="62"/>
        <v>Not Applicable</v>
      </c>
    </row>
    <row r="1321" spans="1:12" ht="16.5" customHeight="1" x14ac:dyDescent="0.35">
      <c r="A1321" t="s">
        <v>587</v>
      </c>
      <c r="B1321" t="s">
        <v>587</v>
      </c>
      <c r="C1321">
        <v>0</v>
      </c>
      <c r="D1321">
        <v>10128</v>
      </c>
      <c r="E1321" t="s">
        <v>5784</v>
      </c>
      <c r="F1321" t="s">
        <v>5785</v>
      </c>
      <c r="G1321" t="s">
        <v>5786</v>
      </c>
      <c r="H1321" t="s">
        <v>3532</v>
      </c>
      <c r="I1321" t="s">
        <v>3490</v>
      </c>
      <c r="J1321" s="56">
        <f t="shared" si="60"/>
        <v>53</v>
      </c>
      <c r="K1321" s="74" t="str">
        <f t="shared" si="61"/>
        <v>31-60 Days</v>
      </c>
      <c r="L1321" s="58" t="str">
        <f t="shared" si="62"/>
        <v>Not Applicable</v>
      </c>
    </row>
    <row r="1322" spans="1:12" ht="16.5" customHeight="1" x14ac:dyDescent="0.35">
      <c r="A1322" t="s">
        <v>587</v>
      </c>
      <c r="B1322" t="s">
        <v>587</v>
      </c>
      <c r="C1322">
        <v>0</v>
      </c>
      <c r="D1322">
        <v>50</v>
      </c>
      <c r="E1322" t="s">
        <v>5787</v>
      </c>
      <c r="F1322" t="s">
        <v>5787</v>
      </c>
      <c r="G1322" t="s">
        <v>5788</v>
      </c>
      <c r="H1322" t="s">
        <v>3489</v>
      </c>
      <c r="I1322" t="s">
        <v>3490</v>
      </c>
      <c r="J1322" s="56">
        <f t="shared" si="60"/>
        <v>53</v>
      </c>
      <c r="K1322" s="74" t="str">
        <f t="shared" si="61"/>
        <v>31-60 Days</v>
      </c>
      <c r="L1322" s="58" t="str">
        <f t="shared" si="62"/>
        <v>Not Applicable</v>
      </c>
    </row>
    <row r="1323" spans="1:12" ht="16.5" customHeight="1" x14ac:dyDescent="0.35">
      <c r="A1323" t="s">
        <v>587</v>
      </c>
      <c r="B1323" t="s">
        <v>587</v>
      </c>
      <c r="C1323">
        <v>0</v>
      </c>
      <c r="D1323">
        <v>1000</v>
      </c>
      <c r="E1323" t="s">
        <v>5789</v>
      </c>
      <c r="F1323" t="s">
        <v>5790</v>
      </c>
      <c r="G1323" t="s">
        <v>5791</v>
      </c>
      <c r="H1323" t="s">
        <v>3489</v>
      </c>
      <c r="I1323" t="s">
        <v>3490</v>
      </c>
      <c r="J1323" s="56">
        <f t="shared" si="60"/>
        <v>53</v>
      </c>
      <c r="K1323" s="74" t="str">
        <f t="shared" si="61"/>
        <v>31-60 Days</v>
      </c>
      <c r="L1323" s="58" t="str">
        <f t="shared" si="62"/>
        <v>Not Applicable</v>
      </c>
    </row>
    <row r="1324" spans="1:12" ht="16.5" customHeight="1" x14ac:dyDescent="0.35">
      <c r="A1324" t="s">
        <v>587</v>
      </c>
      <c r="B1324" t="s">
        <v>587</v>
      </c>
      <c r="C1324">
        <v>0</v>
      </c>
      <c r="D1324">
        <v>264</v>
      </c>
      <c r="E1324" t="s">
        <v>5792</v>
      </c>
      <c r="F1324" t="s">
        <v>5793</v>
      </c>
      <c r="G1324" t="s">
        <v>5794</v>
      </c>
      <c r="H1324" t="s">
        <v>3489</v>
      </c>
      <c r="I1324" t="s">
        <v>3486</v>
      </c>
      <c r="J1324" s="56">
        <f t="shared" si="60"/>
        <v>53</v>
      </c>
      <c r="K1324" s="74" t="str">
        <f t="shared" si="61"/>
        <v>31-60 Days</v>
      </c>
      <c r="L1324" s="58" t="str">
        <f t="shared" si="62"/>
        <v>Not Applicable</v>
      </c>
    </row>
    <row r="1325" spans="1:12" ht="16.5" customHeight="1" x14ac:dyDescent="0.35">
      <c r="A1325" t="s">
        <v>587</v>
      </c>
      <c r="B1325" t="s">
        <v>587</v>
      </c>
      <c r="C1325">
        <v>0</v>
      </c>
      <c r="D1325">
        <v>2050</v>
      </c>
      <c r="E1325" t="s">
        <v>5795</v>
      </c>
      <c r="F1325" t="s">
        <v>5795</v>
      </c>
      <c r="G1325" t="s">
        <v>5796</v>
      </c>
      <c r="H1325" t="s">
        <v>3489</v>
      </c>
      <c r="I1325" t="s">
        <v>3490</v>
      </c>
      <c r="J1325" s="56">
        <f t="shared" si="60"/>
        <v>53</v>
      </c>
      <c r="K1325" s="74" t="str">
        <f t="shared" si="61"/>
        <v>31-60 Days</v>
      </c>
      <c r="L1325" s="58" t="str">
        <f t="shared" si="62"/>
        <v>Not Applicable</v>
      </c>
    </row>
    <row r="1326" spans="1:12" ht="16.5" customHeight="1" x14ac:dyDescent="0.35">
      <c r="A1326" t="s">
        <v>587</v>
      </c>
      <c r="B1326" t="s">
        <v>587</v>
      </c>
      <c r="C1326">
        <v>0</v>
      </c>
      <c r="D1326">
        <v>1828</v>
      </c>
      <c r="E1326" t="s">
        <v>5797</v>
      </c>
      <c r="F1326" t="s">
        <v>5797</v>
      </c>
      <c r="G1326" t="s">
        <v>5798</v>
      </c>
      <c r="H1326" t="s">
        <v>3489</v>
      </c>
      <c r="I1326" t="s">
        <v>3490</v>
      </c>
      <c r="J1326" s="56">
        <f t="shared" si="60"/>
        <v>53</v>
      </c>
      <c r="K1326" s="74" t="str">
        <f t="shared" si="61"/>
        <v>31-60 Days</v>
      </c>
      <c r="L1326" s="58" t="str">
        <f t="shared" si="62"/>
        <v>Not Applicable</v>
      </c>
    </row>
    <row r="1327" spans="1:12" ht="16.5" customHeight="1" x14ac:dyDescent="0.35">
      <c r="A1327" t="s">
        <v>587</v>
      </c>
      <c r="B1327" t="s">
        <v>587</v>
      </c>
      <c r="C1327">
        <v>0</v>
      </c>
      <c r="D1327">
        <v>2176</v>
      </c>
      <c r="E1327" t="s">
        <v>5799</v>
      </c>
      <c r="F1327" t="s">
        <v>5799</v>
      </c>
      <c r="G1327" t="s">
        <v>5800</v>
      </c>
      <c r="H1327" t="s">
        <v>3489</v>
      </c>
      <c r="I1327" t="s">
        <v>3490</v>
      </c>
      <c r="J1327" s="56">
        <f t="shared" si="60"/>
        <v>53</v>
      </c>
      <c r="K1327" s="74" t="str">
        <f t="shared" si="61"/>
        <v>31-60 Days</v>
      </c>
      <c r="L1327" s="58" t="str">
        <f t="shared" si="62"/>
        <v>Not Applicable</v>
      </c>
    </row>
    <row r="1328" spans="1:12" ht="16.5" customHeight="1" x14ac:dyDescent="0.35">
      <c r="A1328" t="s">
        <v>587</v>
      </c>
      <c r="B1328" t="s">
        <v>587</v>
      </c>
      <c r="C1328">
        <v>0</v>
      </c>
      <c r="D1328">
        <v>1000</v>
      </c>
      <c r="E1328" t="s">
        <v>5801</v>
      </c>
      <c r="F1328" t="s">
        <v>5801</v>
      </c>
      <c r="G1328" t="s">
        <v>5802</v>
      </c>
      <c r="H1328" t="s">
        <v>3489</v>
      </c>
      <c r="I1328" t="s">
        <v>3490</v>
      </c>
      <c r="J1328" s="56">
        <f t="shared" si="60"/>
        <v>53</v>
      </c>
      <c r="K1328" s="74" t="str">
        <f t="shared" si="61"/>
        <v>31-60 Days</v>
      </c>
      <c r="L1328" s="58" t="str">
        <f t="shared" si="62"/>
        <v>Not Applicable</v>
      </c>
    </row>
    <row r="1329" spans="1:12" ht="16.5" customHeight="1" x14ac:dyDescent="0.35">
      <c r="A1329" t="s">
        <v>587</v>
      </c>
      <c r="B1329" t="s">
        <v>587</v>
      </c>
      <c r="C1329">
        <v>0</v>
      </c>
      <c r="D1329">
        <v>2050</v>
      </c>
      <c r="E1329" t="s">
        <v>5803</v>
      </c>
      <c r="F1329" t="s">
        <v>5803</v>
      </c>
      <c r="G1329" t="s">
        <v>5804</v>
      </c>
      <c r="H1329" t="s">
        <v>3489</v>
      </c>
      <c r="I1329" t="s">
        <v>3490</v>
      </c>
      <c r="J1329" s="56">
        <f t="shared" si="60"/>
        <v>53</v>
      </c>
      <c r="K1329" s="74" t="str">
        <f t="shared" si="61"/>
        <v>31-60 Days</v>
      </c>
      <c r="L1329" s="58" t="str">
        <f t="shared" si="62"/>
        <v>Not Applicable</v>
      </c>
    </row>
    <row r="1330" spans="1:12" ht="16.5" customHeight="1" x14ac:dyDescent="0.35">
      <c r="A1330" t="s">
        <v>587</v>
      </c>
      <c r="B1330" t="s">
        <v>587</v>
      </c>
      <c r="C1330">
        <v>0</v>
      </c>
      <c r="D1330">
        <v>1000</v>
      </c>
      <c r="E1330" t="s">
        <v>5805</v>
      </c>
      <c r="F1330" t="s">
        <v>5805</v>
      </c>
      <c r="G1330" t="s">
        <v>5806</v>
      </c>
      <c r="H1330" t="s">
        <v>3489</v>
      </c>
      <c r="I1330" t="s">
        <v>3490</v>
      </c>
      <c r="J1330" s="56">
        <f t="shared" si="60"/>
        <v>53</v>
      </c>
      <c r="K1330" s="74" t="str">
        <f t="shared" si="61"/>
        <v>31-60 Days</v>
      </c>
      <c r="L1330" s="58" t="str">
        <f t="shared" si="62"/>
        <v>Not Applicable</v>
      </c>
    </row>
    <row r="1331" spans="1:12" ht="16.5" customHeight="1" x14ac:dyDescent="0.35">
      <c r="A1331" t="s">
        <v>587</v>
      </c>
      <c r="B1331" t="s">
        <v>587</v>
      </c>
      <c r="C1331">
        <v>0</v>
      </c>
      <c r="D1331">
        <v>1000</v>
      </c>
      <c r="E1331" t="s">
        <v>5807</v>
      </c>
      <c r="F1331" t="s">
        <v>5808</v>
      </c>
      <c r="G1331" t="s">
        <v>5809</v>
      </c>
      <c r="H1331" t="s">
        <v>3489</v>
      </c>
      <c r="I1331" t="s">
        <v>3490</v>
      </c>
      <c r="J1331" s="56">
        <f t="shared" si="60"/>
        <v>53</v>
      </c>
      <c r="K1331" s="74" t="str">
        <f t="shared" si="61"/>
        <v>31-60 Days</v>
      </c>
      <c r="L1331" s="58" t="str">
        <f t="shared" si="62"/>
        <v>Not Applicable</v>
      </c>
    </row>
    <row r="1332" spans="1:12" ht="16.5" customHeight="1" x14ac:dyDescent="0.35">
      <c r="A1332" t="s">
        <v>587</v>
      </c>
      <c r="B1332" t="s">
        <v>587</v>
      </c>
      <c r="C1332">
        <v>0</v>
      </c>
      <c r="D1332">
        <v>1070</v>
      </c>
      <c r="E1332" t="s">
        <v>5810</v>
      </c>
      <c r="F1332" t="s">
        <v>5810</v>
      </c>
      <c r="G1332" t="s">
        <v>5811</v>
      </c>
      <c r="H1332" t="s">
        <v>3489</v>
      </c>
      <c r="I1332" t="s">
        <v>3490</v>
      </c>
      <c r="J1332" s="56">
        <f t="shared" si="60"/>
        <v>53</v>
      </c>
      <c r="K1332" s="74" t="str">
        <f t="shared" si="61"/>
        <v>31-60 Days</v>
      </c>
      <c r="L1332" s="58" t="str">
        <f t="shared" si="62"/>
        <v>Not Applicable</v>
      </c>
    </row>
    <row r="1333" spans="1:12" ht="16.5" customHeight="1" x14ac:dyDescent="0.35">
      <c r="A1333" t="s">
        <v>587</v>
      </c>
      <c r="B1333" t="s">
        <v>587</v>
      </c>
      <c r="C1333">
        <v>0</v>
      </c>
      <c r="D1333">
        <v>58.5</v>
      </c>
      <c r="E1333" t="s">
        <v>5812</v>
      </c>
      <c r="F1333" t="s">
        <v>5813</v>
      </c>
      <c r="G1333" t="s">
        <v>5814</v>
      </c>
      <c r="H1333" t="s">
        <v>3532</v>
      </c>
      <c r="I1333" t="s">
        <v>3490</v>
      </c>
      <c r="J1333" s="56">
        <f t="shared" si="60"/>
        <v>53</v>
      </c>
      <c r="K1333" s="74" t="str">
        <f t="shared" si="61"/>
        <v>31-60 Days</v>
      </c>
      <c r="L1333" s="58" t="str">
        <f t="shared" si="62"/>
        <v>Not Applicable</v>
      </c>
    </row>
    <row r="1334" spans="1:12" ht="16.5" customHeight="1" x14ac:dyDescent="0.35">
      <c r="A1334" t="s">
        <v>587</v>
      </c>
      <c r="B1334" t="s">
        <v>587</v>
      </c>
      <c r="C1334">
        <v>0</v>
      </c>
      <c r="D1334">
        <v>1070</v>
      </c>
      <c r="E1334" t="s">
        <v>5815</v>
      </c>
      <c r="F1334" t="s">
        <v>5815</v>
      </c>
      <c r="G1334" t="s">
        <v>5816</v>
      </c>
      <c r="H1334" t="s">
        <v>3489</v>
      </c>
      <c r="I1334" t="s">
        <v>3490</v>
      </c>
      <c r="J1334" s="56">
        <f t="shared" si="60"/>
        <v>53</v>
      </c>
      <c r="K1334" s="74" t="str">
        <f t="shared" si="61"/>
        <v>31-60 Days</v>
      </c>
      <c r="L1334" s="58" t="str">
        <f t="shared" si="62"/>
        <v>Not Applicable</v>
      </c>
    </row>
    <row r="1335" spans="1:12" ht="16.5" customHeight="1" x14ac:dyDescent="0.35">
      <c r="A1335" t="s">
        <v>587</v>
      </c>
      <c r="B1335" t="s">
        <v>587</v>
      </c>
      <c r="C1335">
        <v>0</v>
      </c>
      <c r="D1335">
        <v>100</v>
      </c>
      <c r="E1335" t="s">
        <v>5817</v>
      </c>
      <c r="F1335" t="s">
        <v>5818</v>
      </c>
      <c r="G1335" t="s">
        <v>5819</v>
      </c>
      <c r="H1335" t="s">
        <v>3532</v>
      </c>
      <c r="I1335" t="s">
        <v>3490</v>
      </c>
      <c r="J1335" s="56">
        <f t="shared" si="60"/>
        <v>53</v>
      </c>
      <c r="K1335" s="74" t="str">
        <f t="shared" si="61"/>
        <v>31-60 Days</v>
      </c>
      <c r="L1335" s="58" t="str">
        <f t="shared" si="62"/>
        <v>Not Applicable</v>
      </c>
    </row>
    <row r="1336" spans="1:12" ht="16.5" customHeight="1" x14ac:dyDescent="0.35">
      <c r="A1336" t="s">
        <v>587</v>
      </c>
      <c r="B1336" t="s">
        <v>587</v>
      </c>
      <c r="C1336">
        <v>0</v>
      </c>
      <c r="D1336">
        <v>354</v>
      </c>
      <c r="E1336" t="s">
        <v>5820</v>
      </c>
      <c r="F1336" t="s">
        <v>3574</v>
      </c>
      <c r="G1336" t="s">
        <v>5821</v>
      </c>
      <c r="H1336" t="s">
        <v>3489</v>
      </c>
      <c r="I1336" t="s">
        <v>3490</v>
      </c>
      <c r="J1336" s="56">
        <f t="shared" si="60"/>
        <v>53</v>
      </c>
      <c r="K1336" s="74" t="str">
        <f t="shared" si="61"/>
        <v>31-60 Days</v>
      </c>
      <c r="L1336" s="58" t="str">
        <f t="shared" si="62"/>
        <v>Not Applicable</v>
      </c>
    </row>
    <row r="1337" spans="1:12" ht="16.5" customHeight="1" x14ac:dyDescent="0.35">
      <c r="A1337" t="s">
        <v>587</v>
      </c>
      <c r="B1337" t="s">
        <v>587</v>
      </c>
      <c r="C1337">
        <v>0</v>
      </c>
      <c r="D1337">
        <v>2050</v>
      </c>
      <c r="E1337" t="s">
        <v>5822</v>
      </c>
      <c r="F1337" t="s">
        <v>5822</v>
      </c>
      <c r="G1337" t="s">
        <v>5823</v>
      </c>
      <c r="H1337" t="s">
        <v>3489</v>
      </c>
      <c r="I1337" t="s">
        <v>3490</v>
      </c>
      <c r="J1337" s="56">
        <f t="shared" si="60"/>
        <v>53</v>
      </c>
      <c r="K1337" s="74" t="str">
        <f t="shared" si="61"/>
        <v>31-60 Days</v>
      </c>
      <c r="L1337" s="58" t="str">
        <f t="shared" si="62"/>
        <v>Not Applicable</v>
      </c>
    </row>
    <row r="1338" spans="1:12" ht="16.5" customHeight="1" x14ac:dyDescent="0.35">
      <c r="A1338" t="s">
        <v>587</v>
      </c>
      <c r="B1338" t="s">
        <v>587</v>
      </c>
      <c r="C1338">
        <v>0</v>
      </c>
      <c r="D1338">
        <v>250</v>
      </c>
      <c r="E1338" t="s">
        <v>5824</v>
      </c>
      <c r="F1338" t="s">
        <v>5824</v>
      </c>
      <c r="G1338" t="s">
        <v>5825</v>
      </c>
      <c r="H1338" t="s">
        <v>3489</v>
      </c>
      <c r="I1338" t="s">
        <v>3490</v>
      </c>
      <c r="J1338" s="56">
        <f t="shared" si="60"/>
        <v>53</v>
      </c>
      <c r="K1338" s="74" t="str">
        <f t="shared" si="61"/>
        <v>31-60 Days</v>
      </c>
      <c r="L1338" s="58" t="str">
        <f t="shared" si="62"/>
        <v>Not Applicable</v>
      </c>
    </row>
    <row r="1339" spans="1:12" ht="16.5" customHeight="1" x14ac:dyDescent="0.35">
      <c r="A1339" t="s">
        <v>587</v>
      </c>
      <c r="B1339" t="s">
        <v>587</v>
      </c>
      <c r="C1339">
        <v>0</v>
      </c>
      <c r="D1339">
        <v>572</v>
      </c>
      <c r="E1339" t="s">
        <v>5826</v>
      </c>
      <c r="F1339" t="s">
        <v>5827</v>
      </c>
      <c r="G1339" t="s">
        <v>5828</v>
      </c>
      <c r="H1339" t="s">
        <v>3532</v>
      </c>
      <c r="I1339" t="s">
        <v>3490</v>
      </c>
      <c r="J1339" s="56">
        <f t="shared" si="60"/>
        <v>53</v>
      </c>
      <c r="K1339" s="74" t="str">
        <f t="shared" si="61"/>
        <v>31-60 Days</v>
      </c>
      <c r="L1339" s="58" t="str">
        <f t="shared" si="62"/>
        <v>Not Applicable</v>
      </c>
    </row>
    <row r="1340" spans="1:12" ht="16.5" customHeight="1" x14ac:dyDescent="0.35">
      <c r="A1340" t="s">
        <v>587</v>
      </c>
      <c r="B1340" t="s">
        <v>587</v>
      </c>
      <c r="C1340">
        <v>0</v>
      </c>
      <c r="D1340">
        <v>250</v>
      </c>
      <c r="E1340" t="s">
        <v>5829</v>
      </c>
      <c r="F1340" t="s">
        <v>5829</v>
      </c>
      <c r="G1340" t="s">
        <v>5830</v>
      </c>
      <c r="H1340" t="s">
        <v>3489</v>
      </c>
      <c r="I1340" t="s">
        <v>3490</v>
      </c>
      <c r="J1340" s="56">
        <f t="shared" si="60"/>
        <v>53</v>
      </c>
      <c r="K1340" s="74" t="str">
        <f t="shared" si="61"/>
        <v>31-60 Days</v>
      </c>
      <c r="L1340" s="58" t="str">
        <f t="shared" si="62"/>
        <v>Not Applicable</v>
      </c>
    </row>
    <row r="1341" spans="1:12" ht="16.5" customHeight="1" x14ac:dyDescent="0.35">
      <c r="A1341" t="s">
        <v>587</v>
      </c>
      <c r="B1341" t="s">
        <v>587</v>
      </c>
      <c r="C1341">
        <v>0</v>
      </c>
      <c r="D1341">
        <v>2050</v>
      </c>
      <c r="E1341" t="s">
        <v>5831</v>
      </c>
      <c r="F1341" t="s">
        <v>5831</v>
      </c>
      <c r="G1341" t="s">
        <v>5832</v>
      </c>
      <c r="H1341" t="s">
        <v>3489</v>
      </c>
      <c r="I1341" t="s">
        <v>3490</v>
      </c>
      <c r="J1341" s="56">
        <f t="shared" si="60"/>
        <v>53</v>
      </c>
      <c r="K1341" s="74" t="str">
        <f t="shared" si="61"/>
        <v>31-60 Days</v>
      </c>
      <c r="L1341" s="58" t="str">
        <f t="shared" si="62"/>
        <v>Not Applicable</v>
      </c>
    </row>
    <row r="1342" spans="1:12" ht="16.5" customHeight="1" x14ac:dyDescent="0.35">
      <c r="A1342" t="s">
        <v>587</v>
      </c>
      <c r="B1342" t="s">
        <v>587</v>
      </c>
      <c r="C1342">
        <v>0</v>
      </c>
      <c r="D1342">
        <v>250</v>
      </c>
      <c r="E1342" t="s">
        <v>5833</v>
      </c>
      <c r="F1342" t="s">
        <v>5833</v>
      </c>
      <c r="G1342" t="s">
        <v>5834</v>
      </c>
      <c r="H1342" t="s">
        <v>3489</v>
      </c>
      <c r="I1342" t="s">
        <v>3490</v>
      </c>
      <c r="J1342" s="56">
        <f t="shared" si="60"/>
        <v>53</v>
      </c>
      <c r="K1342" s="74" t="str">
        <f t="shared" si="61"/>
        <v>31-60 Days</v>
      </c>
      <c r="L1342" s="58" t="str">
        <f t="shared" si="62"/>
        <v>Not Applicable</v>
      </c>
    </row>
    <row r="1343" spans="1:12" ht="16.5" customHeight="1" x14ac:dyDescent="0.35">
      <c r="A1343" t="s">
        <v>587</v>
      </c>
      <c r="B1343" t="s">
        <v>587</v>
      </c>
      <c r="C1343">
        <v>0</v>
      </c>
      <c r="D1343">
        <v>250</v>
      </c>
      <c r="E1343" t="s">
        <v>5835</v>
      </c>
      <c r="F1343" t="s">
        <v>5835</v>
      </c>
      <c r="G1343" t="s">
        <v>5836</v>
      </c>
      <c r="H1343" t="s">
        <v>3489</v>
      </c>
      <c r="I1343" t="s">
        <v>3490</v>
      </c>
      <c r="J1343" s="56">
        <f t="shared" si="60"/>
        <v>53</v>
      </c>
      <c r="K1343" s="74" t="str">
        <f t="shared" si="61"/>
        <v>31-60 Days</v>
      </c>
      <c r="L1343" s="58" t="str">
        <f t="shared" si="62"/>
        <v>Not Applicable</v>
      </c>
    </row>
    <row r="1344" spans="1:12" ht="16.5" customHeight="1" x14ac:dyDescent="0.35">
      <c r="A1344" t="s">
        <v>587</v>
      </c>
      <c r="B1344" t="s">
        <v>587</v>
      </c>
      <c r="C1344">
        <v>0</v>
      </c>
      <c r="D1344">
        <v>24175</v>
      </c>
      <c r="E1344" t="s">
        <v>5837</v>
      </c>
      <c r="F1344" t="s">
        <v>5837</v>
      </c>
      <c r="G1344" t="s">
        <v>57</v>
      </c>
      <c r="H1344" t="s">
        <v>3914</v>
      </c>
      <c r="I1344" t="s">
        <v>3643</v>
      </c>
      <c r="J1344" s="56">
        <f t="shared" si="60"/>
        <v>53</v>
      </c>
      <c r="K1344" s="74" t="str">
        <f t="shared" si="61"/>
        <v>31-60 Days</v>
      </c>
      <c r="L1344" s="58" t="str">
        <f t="shared" si="62"/>
        <v>Not Applicable</v>
      </c>
    </row>
    <row r="1345" spans="1:12" ht="16.5" customHeight="1" x14ac:dyDescent="0.35">
      <c r="A1345" t="s">
        <v>587</v>
      </c>
      <c r="B1345" t="s">
        <v>587</v>
      </c>
      <c r="C1345">
        <v>0</v>
      </c>
      <c r="D1345">
        <v>250</v>
      </c>
      <c r="E1345" t="s">
        <v>5838</v>
      </c>
      <c r="F1345" t="s">
        <v>5838</v>
      </c>
      <c r="G1345" t="s">
        <v>5839</v>
      </c>
      <c r="H1345" t="s">
        <v>3489</v>
      </c>
      <c r="I1345" t="s">
        <v>3490</v>
      </c>
      <c r="J1345" s="56">
        <f t="shared" si="60"/>
        <v>53</v>
      </c>
      <c r="K1345" s="74" t="str">
        <f t="shared" si="61"/>
        <v>31-60 Days</v>
      </c>
      <c r="L1345" s="58" t="str">
        <f t="shared" si="62"/>
        <v>Not Applicable</v>
      </c>
    </row>
    <row r="1346" spans="1:12" ht="16.5" customHeight="1" x14ac:dyDescent="0.35">
      <c r="A1346" t="s">
        <v>587</v>
      </c>
      <c r="B1346" t="s">
        <v>587</v>
      </c>
      <c r="C1346">
        <v>0</v>
      </c>
      <c r="D1346">
        <v>2650</v>
      </c>
      <c r="E1346" t="s">
        <v>5840</v>
      </c>
      <c r="F1346" t="s">
        <v>5840</v>
      </c>
      <c r="G1346" t="s">
        <v>5841</v>
      </c>
      <c r="H1346" t="s">
        <v>3532</v>
      </c>
      <c r="I1346" t="s">
        <v>3490</v>
      </c>
      <c r="J1346" s="56">
        <f t="shared" si="60"/>
        <v>53</v>
      </c>
      <c r="K1346" s="74" t="str">
        <f t="shared" si="61"/>
        <v>31-60 Days</v>
      </c>
      <c r="L1346" s="58" t="str">
        <f t="shared" si="62"/>
        <v>Not Applicable</v>
      </c>
    </row>
    <row r="1347" spans="1:12" ht="16.5" customHeight="1" x14ac:dyDescent="0.35">
      <c r="A1347" t="s">
        <v>587</v>
      </c>
      <c r="B1347" t="s">
        <v>587</v>
      </c>
      <c r="C1347">
        <v>0</v>
      </c>
      <c r="D1347">
        <v>572</v>
      </c>
      <c r="E1347" t="s">
        <v>5842</v>
      </c>
      <c r="F1347" t="s">
        <v>5843</v>
      </c>
      <c r="G1347" t="s">
        <v>5844</v>
      </c>
      <c r="H1347" t="s">
        <v>3532</v>
      </c>
      <c r="I1347" t="s">
        <v>3490</v>
      </c>
      <c r="J1347" s="56">
        <f t="shared" si="60"/>
        <v>53</v>
      </c>
      <c r="K1347" s="74" t="str">
        <f t="shared" si="61"/>
        <v>31-60 Days</v>
      </c>
      <c r="L1347" s="58" t="str">
        <f t="shared" si="62"/>
        <v>Not Applicable</v>
      </c>
    </row>
    <row r="1348" spans="1:12" ht="16.5" customHeight="1" x14ac:dyDescent="0.35">
      <c r="A1348" t="s">
        <v>587</v>
      </c>
      <c r="B1348" t="s">
        <v>587</v>
      </c>
      <c r="C1348">
        <v>1000000</v>
      </c>
      <c r="D1348">
        <v>0</v>
      </c>
      <c r="E1348" t="s">
        <v>5845</v>
      </c>
      <c r="F1348" t="s">
        <v>5845</v>
      </c>
      <c r="G1348" t="s">
        <v>5846</v>
      </c>
      <c r="H1348" t="s">
        <v>3455</v>
      </c>
      <c r="I1348" t="s">
        <v>3490</v>
      </c>
      <c r="J1348" s="56">
        <f t="shared" si="60"/>
        <v>53</v>
      </c>
      <c r="K1348" s="74" t="str">
        <f t="shared" si="61"/>
        <v>31-60 Days</v>
      </c>
      <c r="L1348" s="58" t="str">
        <f t="shared" si="62"/>
        <v>Especially Mentioned</v>
      </c>
    </row>
    <row r="1349" spans="1:12" ht="16.5" customHeight="1" x14ac:dyDescent="0.35">
      <c r="A1349" t="s">
        <v>587</v>
      </c>
      <c r="B1349" t="s">
        <v>587</v>
      </c>
      <c r="C1349">
        <v>0</v>
      </c>
      <c r="D1349">
        <v>840</v>
      </c>
      <c r="E1349" t="s">
        <v>5847</v>
      </c>
      <c r="F1349" t="s">
        <v>5847</v>
      </c>
      <c r="G1349" t="s">
        <v>5848</v>
      </c>
      <c r="H1349" t="s">
        <v>3521</v>
      </c>
      <c r="I1349" t="s">
        <v>3490</v>
      </c>
      <c r="J1349" s="56">
        <f t="shared" si="60"/>
        <v>53</v>
      </c>
      <c r="K1349" s="74" t="str">
        <f t="shared" si="61"/>
        <v>31-60 Days</v>
      </c>
      <c r="L1349" s="58" t="str">
        <f t="shared" si="62"/>
        <v>Not Applicable</v>
      </c>
    </row>
    <row r="1350" spans="1:12" ht="16.5" customHeight="1" x14ac:dyDescent="0.35">
      <c r="A1350" t="s">
        <v>587</v>
      </c>
      <c r="B1350" t="s">
        <v>587</v>
      </c>
      <c r="C1350">
        <v>0</v>
      </c>
      <c r="D1350">
        <v>1156.4000000000001</v>
      </c>
      <c r="E1350" t="s">
        <v>5849</v>
      </c>
      <c r="F1350" t="s">
        <v>5850</v>
      </c>
      <c r="G1350" t="s">
        <v>5851</v>
      </c>
      <c r="H1350" t="s">
        <v>3532</v>
      </c>
      <c r="I1350" t="s">
        <v>3490</v>
      </c>
      <c r="J1350" s="56">
        <f t="shared" si="60"/>
        <v>53</v>
      </c>
      <c r="K1350" s="74" t="str">
        <f t="shared" si="61"/>
        <v>31-60 Days</v>
      </c>
      <c r="L1350" s="58" t="str">
        <f t="shared" si="62"/>
        <v>Not Applicable</v>
      </c>
    </row>
    <row r="1351" spans="1:12" ht="16.5" customHeight="1" x14ac:dyDescent="0.35">
      <c r="A1351" t="s">
        <v>587</v>
      </c>
      <c r="B1351" t="s">
        <v>587</v>
      </c>
      <c r="C1351">
        <v>0</v>
      </c>
      <c r="D1351">
        <v>11022</v>
      </c>
      <c r="E1351" t="s">
        <v>5852</v>
      </c>
      <c r="F1351" t="s">
        <v>5853</v>
      </c>
      <c r="G1351" t="s">
        <v>5854</v>
      </c>
      <c r="H1351" t="s">
        <v>3532</v>
      </c>
      <c r="I1351" t="s">
        <v>3490</v>
      </c>
      <c r="J1351" s="56">
        <f t="shared" si="60"/>
        <v>53</v>
      </c>
      <c r="K1351" s="74" t="str">
        <f t="shared" si="61"/>
        <v>31-60 Days</v>
      </c>
      <c r="L1351" s="58" t="str">
        <f t="shared" si="62"/>
        <v>Not Applicable</v>
      </c>
    </row>
    <row r="1352" spans="1:12" ht="16.5" customHeight="1" x14ac:dyDescent="0.35">
      <c r="A1352" t="s">
        <v>587</v>
      </c>
      <c r="B1352" t="s">
        <v>587</v>
      </c>
      <c r="C1352">
        <v>0</v>
      </c>
      <c r="D1352">
        <v>50</v>
      </c>
      <c r="E1352" t="s">
        <v>5855</v>
      </c>
      <c r="F1352" t="s">
        <v>5855</v>
      </c>
      <c r="G1352" t="s">
        <v>5856</v>
      </c>
      <c r="H1352" t="s">
        <v>3489</v>
      </c>
      <c r="I1352" t="s">
        <v>3490</v>
      </c>
      <c r="J1352" s="56">
        <f t="shared" si="60"/>
        <v>53</v>
      </c>
      <c r="K1352" s="74" t="str">
        <f t="shared" si="61"/>
        <v>31-60 Days</v>
      </c>
      <c r="L1352" s="58" t="str">
        <f t="shared" si="62"/>
        <v>Not Applicable</v>
      </c>
    </row>
    <row r="1353" spans="1:12" ht="16.5" customHeight="1" x14ac:dyDescent="0.35">
      <c r="A1353" t="s">
        <v>587</v>
      </c>
      <c r="B1353" t="s">
        <v>587</v>
      </c>
      <c r="C1353">
        <v>0</v>
      </c>
      <c r="D1353">
        <v>572</v>
      </c>
      <c r="E1353" t="s">
        <v>5857</v>
      </c>
      <c r="F1353" t="s">
        <v>5858</v>
      </c>
      <c r="G1353" t="s">
        <v>5859</v>
      </c>
      <c r="H1353" t="s">
        <v>3532</v>
      </c>
      <c r="I1353" t="s">
        <v>3490</v>
      </c>
      <c r="J1353" s="56">
        <f t="shared" ref="J1353:J1416" si="63">IF(A1353="","",A$5-A1353)</f>
        <v>53</v>
      </c>
      <c r="K1353" s="74" t="str">
        <f t="shared" ref="K1353:K1416" si="64">IF(J1353="","",IF(J1353&lt;4,"0-3 Days",IF(J1353&lt;31,"4-30 Days",IF(J1353&lt;61,"31-60 Days",IF(J1353&lt;=90,"61-90 Days",IF(J1353&gt;90,"Above 90 Days","0"))))))</f>
        <v>31-60 Days</v>
      </c>
      <c r="L1353" s="58" t="str">
        <f t="shared" ref="L1353:L1416" si="65">IF(C1353="","",IF(C1353&gt;0,IF(J1353&lt;30,"Normal",IF(J1353&lt;60,"Especially Mentioned",IF(J1353&lt;90,"Substandard",IF(J1353&lt;=180,"Doubtful",IF(J1353&gt;180,"Loss","0"))))),"Not Applicable"))</f>
        <v>Not Applicable</v>
      </c>
    </row>
    <row r="1354" spans="1:12" ht="16.5" customHeight="1" x14ac:dyDescent="0.35">
      <c r="A1354" t="s">
        <v>587</v>
      </c>
      <c r="B1354" t="s">
        <v>587</v>
      </c>
      <c r="C1354">
        <v>0</v>
      </c>
      <c r="D1354">
        <v>572</v>
      </c>
      <c r="E1354" t="s">
        <v>5860</v>
      </c>
      <c r="F1354" t="s">
        <v>5861</v>
      </c>
      <c r="G1354" t="s">
        <v>5862</v>
      </c>
      <c r="H1354" t="s">
        <v>3532</v>
      </c>
      <c r="I1354" t="s">
        <v>3490</v>
      </c>
      <c r="J1354" s="56">
        <f t="shared" si="63"/>
        <v>53</v>
      </c>
      <c r="K1354" s="74" t="str">
        <f t="shared" si="64"/>
        <v>31-60 Days</v>
      </c>
      <c r="L1354" s="58" t="str">
        <f t="shared" si="65"/>
        <v>Not Applicable</v>
      </c>
    </row>
    <row r="1355" spans="1:12" ht="16.5" customHeight="1" x14ac:dyDescent="0.35">
      <c r="A1355" t="s">
        <v>587</v>
      </c>
      <c r="B1355" t="s">
        <v>587</v>
      </c>
      <c r="C1355">
        <v>0</v>
      </c>
      <c r="D1355">
        <v>424.8</v>
      </c>
      <c r="E1355" t="s">
        <v>5863</v>
      </c>
      <c r="F1355" t="s">
        <v>5864</v>
      </c>
      <c r="G1355" t="s">
        <v>5865</v>
      </c>
      <c r="H1355" t="s">
        <v>3532</v>
      </c>
      <c r="I1355" t="s">
        <v>3490</v>
      </c>
      <c r="J1355" s="56">
        <f t="shared" si="63"/>
        <v>53</v>
      </c>
      <c r="K1355" s="74" t="str">
        <f t="shared" si="64"/>
        <v>31-60 Days</v>
      </c>
      <c r="L1355" s="58" t="str">
        <f t="shared" si="65"/>
        <v>Not Applicable</v>
      </c>
    </row>
    <row r="1356" spans="1:12" ht="16.5" customHeight="1" x14ac:dyDescent="0.35">
      <c r="A1356" t="s">
        <v>587</v>
      </c>
      <c r="B1356" t="s">
        <v>587</v>
      </c>
      <c r="C1356">
        <v>0</v>
      </c>
      <c r="D1356">
        <v>1611.7</v>
      </c>
      <c r="E1356" t="s">
        <v>5866</v>
      </c>
      <c r="F1356" t="s">
        <v>5867</v>
      </c>
      <c r="G1356" t="s">
        <v>5868</v>
      </c>
      <c r="H1356" t="s">
        <v>3532</v>
      </c>
      <c r="I1356" t="s">
        <v>3490</v>
      </c>
      <c r="J1356" s="56">
        <f t="shared" si="63"/>
        <v>53</v>
      </c>
      <c r="K1356" s="74" t="str">
        <f t="shared" si="64"/>
        <v>31-60 Days</v>
      </c>
      <c r="L1356" s="58" t="str">
        <f t="shared" si="65"/>
        <v>Not Applicable</v>
      </c>
    </row>
    <row r="1357" spans="1:12" ht="16.5" customHeight="1" x14ac:dyDescent="0.35">
      <c r="A1357" t="s">
        <v>587</v>
      </c>
      <c r="B1357" t="s">
        <v>587</v>
      </c>
      <c r="C1357">
        <v>0</v>
      </c>
      <c r="D1357">
        <v>100</v>
      </c>
      <c r="E1357" t="s">
        <v>5869</v>
      </c>
      <c r="F1357" t="s">
        <v>5870</v>
      </c>
      <c r="G1357" t="s">
        <v>5871</v>
      </c>
      <c r="H1357" t="s">
        <v>3532</v>
      </c>
      <c r="I1357" t="s">
        <v>3490</v>
      </c>
      <c r="J1357" s="56">
        <f t="shared" si="63"/>
        <v>53</v>
      </c>
      <c r="K1357" s="74" t="str">
        <f t="shared" si="64"/>
        <v>31-60 Days</v>
      </c>
      <c r="L1357" s="58" t="str">
        <f t="shared" si="65"/>
        <v>Not Applicable</v>
      </c>
    </row>
    <row r="1358" spans="1:12" ht="16.5" customHeight="1" x14ac:dyDescent="0.35">
      <c r="A1358" t="s">
        <v>587</v>
      </c>
      <c r="B1358" t="s">
        <v>587</v>
      </c>
      <c r="C1358">
        <v>0</v>
      </c>
      <c r="D1358">
        <v>572</v>
      </c>
      <c r="E1358" t="s">
        <v>5872</v>
      </c>
      <c r="F1358" t="s">
        <v>5873</v>
      </c>
      <c r="G1358" t="s">
        <v>5874</v>
      </c>
      <c r="H1358" t="s">
        <v>3532</v>
      </c>
      <c r="I1358" t="s">
        <v>3490</v>
      </c>
      <c r="J1358" s="56">
        <f t="shared" si="63"/>
        <v>53</v>
      </c>
      <c r="K1358" s="74" t="str">
        <f t="shared" si="64"/>
        <v>31-60 Days</v>
      </c>
      <c r="L1358" s="58" t="str">
        <f t="shared" si="65"/>
        <v>Not Applicable</v>
      </c>
    </row>
    <row r="1359" spans="1:12" ht="16.5" customHeight="1" x14ac:dyDescent="0.35">
      <c r="A1359" t="s">
        <v>587</v>
      </c>
      <c r="B1359" t="s">
        <v>587</v>
      </c>
      <c r="C1359">
        <v>0</v>
      </c>
      <c r="D1359">
        <v>354</v>
      </c>
      <c r="E1359" t="s">
        <v>5875</v>
      </c>
      <c r="F1359" t="s">
        <v>5876</v>
      </c>
      <c r="G1359" t="s">
        <v>5877</v>
      </c>
      <c r="H1359" t="s">
        <v>3532</v>
      </c>
      <c r="I1359" t="s">
        <v>3490</v>
      </c>
      <c r="J1359" s="56">
        <f t="shared" si="63"/>
        <v>53</v>
      </c>
      <c r="K1359" s="74" t="str">
        <f t="shared" si="64"/>
        <v>31-60 Days</v>
      </c>
      <c r="L1359" s="58" t="str">
        <f t="shared" si="65"/>
        <v>Not Applicable</v>
      </c>
    </row>
    <row r="1360" spans="1:12" ht="16.5" customHeight="1" x14ac:dyDescent="0.35">
      <c r="A1360" t="s">
        <v>587</v>
      </c>
      <c r="B1360" t="s">
        <v>587</v>
      </c>
      <c r="C1360">
        <v>0</v>
      </c>
      <c r="D1360">
        <v>1046</v>
      </c>
      <c r="E1360" t="s">
        <v>5878</v>
      </c>
      <c r="F1360" t="s">
        <v>5878</v>
      </c>
      <c r="G1360" t="s">
        <v>5879</v>
      </c>
      <c r="H1360" t="s">
        <v>3489</v>
      </c>
      <c r="I1360" t="s">
        <v>3490</v>
      </c>
      <c r="J1360" s="56">
        <f t="shared" si="63"/>
        <v>53</v>
      </c>
      <c r="K1360" s="74" t="str">
        <f t="shared" si="64"/>
        <v>31-60 Days</v>
      </c>
      <c r="L1360" s="58" t="str">
        <f t="shared" si="65"/>
        <v>Not Applicable</v>
      </c>
    </row>
    <row r="1361" spans="1:12" ht="16.5" customHeight="1" x14ac:dyDescent="0.35">
      <c r="A1361" t="s">
        <v>587</v>
      </c>
      <c r="B1361" t="s">
        <v>587</v>
      </c>
      <c r="C1361">
        <v>0</v>
      </c>
      <c r="D1361">
        <v>2124</v>
      </c>
      <c r="E1361" t="s">
        <v>5880</v>
      </c>
      <c r="F1361" t="s">
        <v>3574</v>
      </c>
      <c r="G1361" t="s">
        <v>5881</v>
      </c>
      <c r="H1361" t="s">
        <v>3489</v>
      </c>
      <c r="I1361" t="s">
        <v>3490</v>
      </c>
      <c r="J1361" s="56">
        <f t="shared" si="63"/>
        <v>53</v>
      </c>
      <c r="K1361" s="74" t="str">
        <f t="shared" si="64"/>
        <v>31-60 Days</v>
      </c>
      <c r="L1361" s="58" t="str">
        <f t="shared" si="65"/>
        <v>Not Applicable</v>
      </c>
    </row>
    <row r="1362" spans="1:12" ht="16.5" customHeight="1" x14ac:dyDescent="0.35">
      <c r="A1362" t="s">
        <v>587</v>
      </c>
      <c r="B1362" t="s">
        <v>587</v>
      </c>
      <c r="C1362">
        <v>0</v>
      </c>
      <c r="D1362">
        <v>1082</v>
      </c>
      <c r="E1362" t="s">
        <v>5882</v>
      </c>
      <c r="F1362" t="s">
        <v>5882</v>
      </c>
      <c r="G1362" t="s">
        <v>5883</v>
      </c>
      <c r="H1362" t="s">
        <v>3489</v>
      </c>
      <c r="I1362" t="s">
        <v>3490</v>
      </c>
      <c r="J1362" s="56">
        <f t="shared" si="63"/>
        <v>53</v>
      </c>
      <c r="K1362" s="74" t="str">
        <f t="shared" si="64"/>
        <v>31-60 Days</v>
      </c>
      <c r="L1362" s="58" t="str">
        <f t="shared" si="65"/>
        <v>Not Applicable</v>
      </c>
    </row>
    <row r="1363" spans="1:12" ht="16.5" customHeight="1" x14ac:dyDescent="0.35">
      <c r="A1363" t="s">
        <v>587</v>
      </c>
      <c r="B1363" t="s">
        <v>587</v>
      </c>
      <c r="C1363">
        <v>0</v>
      </c>
      <c r="D1363">
        <v>2050</v>
      </c>
      <c r="E1363" t="s">
        <v>5884</v>
      </c>
      <c r="F1363" t="s">
        <v>5884</v>
      </c>
      <c r="G1363" t="s">
        <v>5885</v>
      </c>
      <c r="H1363" t="s">
        <v>3489</v>
      </c>
      <c r="I1363" t="s">
        <v>3490</v>
      </c>
      <c r="J1363" s="56">
        <f t="shared" si="63"/>
        <v>53</v>
      </c>
      <c r="K1363" s="74" t="str">
        <f t="shared" si="64"/>
        <v>31-60 Days</v>
      </c>
      <c r="L1363" s="58" t="str">
        <f t="shared" si="65"/>
        <v>Not Applicable</v>
      </c>
    </row>
    <row r="1364" spans="1:12" ht="16.5" customHeight="1" x14ac:dyDescent="0.35">
      <c r="A1364" t="s">
        <v>587</v>
      </c>
      <c r="B1364" t="s">
        <v>587</v>
      </c>
      <c r="C1364">
        <v>0</v>
      </c>
      <c r="D1364">
        <v>1000</v>
      </c>
      <c r="E1364" t="s">
        <v>5886</v>
      </c>
      <c r="F1364" t="s">
        <v>5886</v>
      </c>
      <c r="G1364" t="s">
        <v>5887</v>
      </c>
      <c r="H1364" t="s">
        <v>3489</v>
      </c>
      <c r="I1364" t="s">
        <v>3490</v>
      </c>
      <c r="J1364" s="56">
        <f t="shared" si="63"/>
        <v>53</v>
      </c>
      <c r="K1364" s="74" t="str">
        <f t="shared" si="64"/>
        <v>31-60 Days</v>
      </c>
      <c r="L1364" s="58" t="str">
        <f t="shared" si="65"/>
        <v>Not Applicable</v>
      </c>
    </row>
    <row r="1365" spans="1:12" ht="16.5" customHeight="1" x14ac:dyDescent="0.35">
      <c r="A1365" t="s">
        <v>609</v>
      </c>
      <c r="B1365" t="s">
        <v>609</v>
      </c>
      <c r="C1365">
        <v>0</v>
      </c>
      <c r="D1365">
        <v>50</v>
      </c>
      <c r="E1365" t="s">
        <v>5888</v>
      </c>
      <c r="F1365" t="s">
        <v>5889</v>
      </c>
      <c r="G1365" t="s">
        <v>5890</v>
      </c>
      <c r="H1365" t="s">
        <v>3532</v>
      </c>
      <c r="I1365" t="s">
        <v>3490</v>
      </c>
      <c r="J1365" s="56">
        <f t="shared" si="63"/>
        <v>52</v>
      </c>
      <c r="K1365" s="74" t="str">
        <f t="shared" si="64"/>
        <v>31-60 Days</v>
      </c>
      <c r="L1365" s="58" t="str">
        <f t="shared" si="65"/>
        <v>Not Applicable</v>
      </c>
    </row>
    <row r="1366" spans="1:12" ht="16.5" customHeight="1" x14ac:dyDescent="0.35">
      <c r="A1366" t="s">
        <v>609</v>
      </c>
      <c r="B1366" t="s">
        <v>609</v>
      </c>
      <c r="C1366">
        <v>0</v>
      </c>
      <c r="D1366">
        <v>1000</v>
      </c>
      <c r="E1366" t="s">
        <v>5891</v>
      </c>
      <c r="F1366" t="s">
        <v>5892</v>
      </c>
      <c r="G1366" t="s">
        <v>5893</v>
      </c>
      <c r="H1366" t="s">
        <v>3489</v>
      </c>
      <c r="I1366" t="s">
        <v>3490</v>
      </c>
      <c r="J1366" s="56">
        <f t="shared" si="63"/>
        <v>52</v>
      </c>
      <c r="K1366" s="74" t="str">
        <f t="shared" si="64"/>
        <v>31-60 Days</v>
      </c>
      <c r="L1366" s="58" t="str">
        <f t="shared" si="65"/>
        <v>Not Applicable</v>
      </c>
    </row>
    <row r="1367" spans="1:12" ht="16.5" customHeight="1" x14ac:dyDescent="0.35">
      <c r="A1367" t="s">
        <v>609</v>
      </c>
      <c r="B1367" t="s">
        <v>609</v>
      </c>
      <c r="C1367">
        <v>0</v>
      </c>
      <c r="D1367">
        <v>50</v>
      </c>
      <c r="E1367" t="s">
        <v>5894</v>
      </c>
      <c r="F1367" t="s">
        <v>5895</v>
      </c>
      <c r="G1367" t="s">
        <v>5896</v>
      </c>
      <c r="H1367" t="s">
        <v>3532</v>
      </c>
      <c r="I1367" t="s">
        <v>3490</v>
      </c>
      <c r="J1367" s="56">
        <f t="shared" si="63"/>
        <v>52</v>
      </c>
      <c r="K1367" s="74" t="str">
        <f t="shared" si="64"/>
        <v>31-60 Days</v>
      </c>
      <c r="L1367" s="58" t="str">
        <f t="shared" si="65"/>
        <v>Not Applicable</v>
      </c>
    </row>
    <row r="1368" spans="1:12" ht="16.5" customHeight="1" x14ac:dyDescent="0.35">
      <c r="A1368" t="s">
        <v>609</v>
      </c>
      <c r="B1368" t="s">
        <v>609</v>
      </c>
      <c r="C1368">
        <v>0</v>
      </c>
      <c r="D1368">
        <v>250</v>
      </c>
      <c r="E1368" t="s">
        <v>5897</v>
      </c>
      <c r="F1368" t="s">
        <v>5897</v>
      </c>
      <c r="G1368" t="s">
        <v>5898</v>
      </c>
      <c r="H1368" t="s">
        <v>3489</v>
      </c>
      <c r="I1368" t="s">
        <v>3490</v>
      </c>
      <c r="J1368" s="56">
        <f t="shared" si="63"/>
        <v>52</v>
      </c>
      <c r="K1368" s="74" t="str">
        <f t="shared" si="64"/>
        <v>31-60 Days</v>
      </c>
      <c r="L1368" s="58" t="str">
        <f t="shared" si="65"/>
        <v>Not Applicable</v>
      </c>
    </row>
    <row r="1369" spans="1:12" ht="16.5" customHeight="1" x14ac:dyDescent="0.35">
      <c r="A1369" t="s">
        <v>609</v>
      </c>
      <c r="B1369" t="s">
        <v>609</v>
      </c>
      <c r="C1369">
        <v>0</v>
      </c>
      <c r="D1369">
        <v>100</v>
      </c>
      <c r="E1369" t="s">
        <v>5899</v>
      </c>
      <c r="F1369" t="s">
        <v>5899</v>
      </c>
      <c r="G1369" t="s">
        <v>5900</v>
      </c>
      <c r="H1369" t="s">
        <v>3489</v>
      </c>
      <c r="I1369" t="s">
        <v>3490</v>
      </c>
      <c r="J1369" s="56">
        <f t="shared" si="63"/>
        <v>52</v>
      </c>
      <c r="K1369" s="74" t="str">
        <f t="shared" si="64"/>
        <v>31-60 Days</v>
      </c>
      <c r="L1369" s="58" t="str">
        <f t="shared" si="65"/>
        <v>Not Applicable</v>
      </c>
    </row>
    <row r="1370" spans="1:12" ht="16.5" customHeight="1" x14ac:dyDescent="0.35">
      <c r="A1370" t="s">
        <v>609</v>
      </c>
      <c r="B1370" t="s">
        <v>609</v>
      </c>
      <c r="C1370">
        <v>0</v>
      </c>
      <c r="D1370">
        <v>1000</v>
      </c>
      <c r="E1370" t="s">
        <v>5901</v>
      </c>
      <c r="F1370" t="s">
        <v>5901</v>
      </c>
      <c r="G1370" t="s">
        <v>5902</v>
      </c>
      <c r="H1370" t="s">
        <v>3489</v>
      </c>
      <c r="I1370" t="s">
        <v>3490</v>
      </c>
      <c r="J1370" s="56">
        <f t="shared" si="63"/>
        <v>52</v>
      </c>
      <c r="K1370" s="74" t="str">
        <f t="shared" si="64"/>
        <v>31-60 Days</v>
      </c>
      <c r="L1370" s="58" t="str">
        <f t="shared" si="65"/>
        <v>Not Applicable</v>
      </c>
    </row>
    <row r="1371" spans="1:12" ht="16.5" customHeight="1" x14ac:dyDescent="0.35">
      <c r="A1371" t="s">
        <v>609</v>
      </c>
      <c r="B1371" t="s">
        <v>609</v>
      </c>
      <c r="C1371">
        <v>0</v>
      </c>
      <c r="D1371">
        <v>1000</v>
      </c>
      <c r="E1371" t="s">
        <v>5903</v>
      </c>
      <c r="F1371" t="s">
        <v>5904</v>
      </c>
      <c r="G1371" t="s">
        <v>5905</v>
      </c>
      <c r="H1371" t="s">
        <v>3489</v>
      </c>
      <c r="I1371" t="s">
        <v>3490</v>
      </c>
      <c r="J1371" s="56">
        <f t="shared" si="63"/>
        <v>52</v>
      </c>
      <c r="K1371" s="74" t="str">
        <f t="shared" si="64"/>
        <v>31-60 Days</v>
      </c>
      <c r="L1371" s="58" t="str">
        <f t="shared" si="65"/>
        <v>Not Applicable</v>
      </c>
    </row>
    <row r="1372" spans="1:12" ht="16.5" customHeight="1" x14ac:dyDescent="0.35">
      <c r="A1372" t="s">
        <v>609</v>
      </c>
      <c r="B1372" t="s">
        <v>609</v>
      </c>
      <c r="C1372">
        <v>0</v>
      </c>
      <c r="D1372">
        <v>1000</v>
      </c>
      <c r="E1372" t="s">
        <v>5906</v>
      </c>
      <c r="F1372" t="s">
        <v>3499</v>
      </c>
      <c r="G1372" t="s">
        <v>5907</v>
      </c>
      <c r="H1372" t="s">
        <v>3489</v>
      </c>
      <c r="I1372" t="s">
        <v>3490</v>
      </c>
      <c r="J1372" s="56">
        <f t="shared" si="63"/>
        <v>52</v>
      </c>
      <c r="K1372" s="74" t="str">
        <f t="shared" si="64"/>
        <v>31-60 Days</v>
      </c>
      <c r="L1372" s="58" t="str">
        <f t="shared" si="65"/>
        <v>Not Applicable</v>
      </c>
    </row>
    <row r="1373" spans="1:12" ht="16.5" customHeight="1" x14ac:dyDescent="0.35">
      <c r="A1373" t="s">
        <v>609</v>
      </c>
      <c r="B1373" t="s">
        <v>609</v>
      </c>
      <c r="C1373">
        <v>0</v>
      </c>
      <c r="D1373">
        <v>1000</v>
      </c>
      <c r="E1373" t="s">
        <v>5908</v>
      </c>
      <c r="F1373" t="s">
        <v>5908</v>
      </c>
      <c r="G1373" t="s">
        <v>5909</v>
      </c>
      <c r="H1373" t="s">
        <v>3489</v>
      </c>
      <c r="I1373" t="s">
        <v>3490</v>
      </c>
      <c r="J1373" s="56">
        <f t="shared" si="63"/>
        <v>52</v>
      </c>
      <c r="K1373" s="74" t="str">
        <f t="shared" si="64"/>
        <v>31-60 Days</v>
      </c>
      <c r="L1373" s="58" t="str">
        <f t="shared" si="65"/>
        <v>Not Applicable</v>
      </c>
    </row>
    <row r="1374" spans="1:12" ht="16.5" customHeight="1" x14ac:dyDescent="0.35">
      <c r="A1374" t="s">
        <v>609</v>
      </c>
      <c r="B1374" t="s">
        <v>609</v>
      </c>
      <c r="C1374">
        <v>0</v>
      </c>
      <c r="D1374">
        <v>100</v>
      </c>
      <c r="E1374" t="s">
        <v>5910</v>
      </c>
      <c r="F1374" t="s">
        <v>5910</v>
      </c>
      <c r="G1374" t="s">
        <v>5911</v>
      </c>
      <c r="H1374" t="s">
        <v>3489</v>
      </c>
      <c r="I1374" t="s">
        <v>3490</v>
      </c>
      <c r="J1374" s="56">
        <f t="shared" si="63"/>
        <v>52</v>
      </c>
      <c r="K1374" s="74" t="str">
        <f t="shared" si="64"/>
        <v>31-60 Days</v>
      </c>
      <c r="L1374" s="58" t="str">
        <f t="shared" si="65"/>
        <v>Not Applicable</v>
      </c>
    </row>
    <row r="1375" spans="1:12" ht="16.5" customHeight="1" x14ac:dyDescent="0.35">
      <c r="A1375" t="s">
        <v>609</v>
      </c>
      <c r="B1375" t="s">
        <v>609</v>
      </c>
      <c r="C1375">
        <v>0</v>
      </c>
      <c r="D1375">
        <v>1000</v>
      </c>
      <c r="E1375" t="s">
        <v>5912</v>
      </c>
      <c r="F1375" t="s">
        <v>5913</v>
      </c>
      <c r="G1375" t="s">
        <v>5914</v>
      </c>
      <c r="H1375" t="s">
        <v>3532</v>
      </c>
      <c r="I1375" t="s">
        <v>3490</v>
      </c>
      <c r="J1375" s="56">
        <f t="shared" si="63"/>
        <v>52</v>
      </c>
      <c r="K1375" s="74" t="str">
        <f t="shared" si="64"/>
        <v>31-60 Days</v>
      </c>
      <c r="L1375" s="58" t="str">
        <f t="shared" si="65"/>
        <v>Not Applicable</v>
      </c>
    </row>
    <row r="1376" spans="1:12" ht="16.5" customHeight="1" x14ac:dyDescent="0.35">
      <c r="A1376" t="s">
        <v>609</v>
      </c>
      <c r="B1376" t="s">
        <v>609</v>
      </c>
      <c r="C1376">
        <v>0</v>
      </c>
      <c r="D1376">
        <v>1000</v>
      </c>
      <c r="E1376" t="s">
        <v>5915</v>
      </c>
      <c r="F1376" t="s">
        <v>5915</v>
      </c>
      <c r="G1376" t="s">
        <v>5916</v>
      </c>
      <c r="H1376" t="s">
        <v>3489</v>
      </c>
      <c r="I1376" t="s">
        <v>3490</v>
      </c>
      <c r="J1376" s="56">
        <f t="shared" si="63"/>
        <v>52</v>
      </c>
      <c r="K1376" s="74" t="str">
        <f t="shared" si="64"/>
        <v>31-60 Days</v>
      </c>
      <c r="L1376" s="58" t="str">
        <f t="shared" si="65"/>
        <v>Not Applicable</v>
      </c>
    </row>
    <row r="1377" spans="1:12" ht="16.5" customHeight="1" x14ac:dyDescent="0.35">
      <c r="A1377" t="s">
        <v>609</v>
      </c>
      <c r="B1377" t="s">
        <v>609</v>
      </c>
      <c r="C1377">
        <v>0</v>
      </c>
      <c r="D1377">
        <v>150</v>
      </c>
      <c r="E1377" t="s">
        <v>5917</v>
      </c>
      <c r="F1377" t="s">
        <v>5917</v>
      </c>
      <c r="G1377" t="s">
        <v>5918</v>
      </c>
      <c r="H1377" t="s">
        <v>3489</v>
      </c>
      <c r="I1377" t="s">
        <v>3490</v>
      </c>
      <c r="J1377" s="56">
        <f t="shared" si="63"/>
        <v>52</v>
      </c>
      <c r="K1377" s="74" t="str">
        <f t="shared" si="64"/>
        <v>31-60 Days</v>
      </c>
      <c r="L1377" s="58" t="str">
        <f t="shared" si="65"/>
        <v>Not Applicable</v>
      </c>
    </row>
    <row r="1378" spans="1:12" ht="16.5" customHeight="1" x14ac:dyDescent="0.35">
      <c r="A1378" t="s">
        <v>609</v>
      </c>
      <c r="B1378" t="s">
        <v>609</v>
      </c>
      <c r="C1378">
        <v>477.9</v>
      </c>
      <c r="D1378">
        <v>0</v>
      </c>
      <c r="E1378" t="s">
        <v>5919</v>
      </c>
      <c r="F1378" t="s">
        <v>5919</v>
      </c>
      <c r="G1378" t="s">
        <v>5920</v>
      </c>
      <c r="H1378" t="s">
        <v>3455</v>
      </c>
      <c r="I1378" t="s">
        <v>3507</v>
      </c>
      <c r="J1378" s="56">
        <f t="shared" si="63"/>
        <v>52</v>
      </c>
      <c r="K1378" s="74" t="str">
        <f t="shared" si="64"/>
        <v>31-60 Days</v>
      </c>
      <c r="L1378" s="58" t="str">
        <f t="shared" si="65"/>
        <v>Especially Mentioned</v>
      </c>
    </row>
    <row r="1379" spans="1:12" ht="16.5" customHeight="1" x14ac:dyDescent="0.35">
      <c r="A1379" t="s">
        <v>609</v>
      </c>
      <c r="B1379" t="s">
        <v>609</v>
      </c>
      <c r="C1379">
        <v>0</v>
      </c>
      <c r="D1379">
        <v>250</v>
      </c>
      <c r="E1379" t="s">
        <v>5921</v>
      </c>
      <c r="F1379" t="s">
        <v>5921</v>
      </c>
      <c r="G1379" t="s">
        <v>5922</v>
      </c>
      <c r="H1379" t="s">
        <v>3489</v>
      </c>
      <c r="I1379" t="s">
        <v>3490</v>
      </c>
      <c r="J1379" s="56">
        <f t="shared" si="63"/>
        <v>52</v>
      </c>
      <c r="K1379" s="74" t="str">
        <f t="shared" si="64"/>
        <v>31-60 Days</v>
      </c>
      <c r="L1379" s="58" t="str">
        <f t="shared" si="65"/>
        <v>Not Applicable</v>
      </c>
    </row>
    <row r="1380" spans="1:12" ht="16.5" customHeight="1" x14ac:dyDescent="0.35">
      <c r="A1380" t="s">
        <v>609</v>
      </c>
      <c r="B1380" t="s">
        <v>609</v>
      </c>
      <c r="C1380">
        <v>0</v>
      </c>
      <c r="D1380">
        <v>1000</v>
      </c>
      <c r="E1380" t="s">
        <v>5923</v>
      </c>
      <c r="F1380" t="s">
        <v>5924</v>
      </c>
      <c r="G1380" t="s">
        <v>5925</v>
      </c>
      <c r="H1380" t="s">
        <v>3489</v>
      </c>
      <c r="I1380" t="s">
        <v>3490</v>
      </c>
      <c r="J1380" s="56">
        <f t="shared" si="63"/>
        <v>52</v>
      </c>
      <c r="K1380" s="74" t="str">
        <f t="shared" si="64"/>
        <v>31-60 Days</v>
      </c>
      <c r="L1380" s="58" t="str">
        <f t="shared" si="65"/>
        <v>Not Applicable</v>
      </c>
    </row>
    <row r="1381" spans="1:12" ht="16.5" customHeight="1" x14ac:dyDescent="0.35">
      <c r="A1381" t="s">
        <v>609</v>
      </c>
      <c r="B1381" t="s">
        <v>609</v>
      </c>
      <c r="C1381">
        <v>0</v>
      </c>
      <c r="D1381">
        <v>1000</v>
      </c>
      <c r="E1381" t="s">
        <v>5926</v>
      </c>
      <c r="F1381" t="s">
        <v>5926</v>
      </c>
      <c r="G1381" t="s">
        <v>5927</v>
      </c>
      <c r="H1381" t="s">
        <v>3489</v>
      </c>
      <c r="I1381" t="s">
        <v>3490</v>
      </c>
      <c r="J1381" s="56">
        <f t="shared" si="63"/>
        <v>52</v>
      </c>
      <c r="K1381" s="74" t="str">
        <f t="shared" si="64"/>
        <v>31-60 Days</v>
      </c>
      <c r="L1381" s="58" t="str">
        <f t="shared" si="65"/>
        <v>Not Applicable</v>
      </c>
    </row>
    <row r="1382" spans="1:12" ht="16.5" customHeight="1" x14ac:dyDescent="0.35">
      <c r="A1382" t="s">
        <v>609</v>
      </c>
      <c r="B1382" t="s">
        <v>609</v>
      </c>
      <c r="C1382">
        <v>0</v>
      </c>
      <c r="D1382">
        <v>2340</v>
      </c>
      <c r="E1382" t="s">
        <v>5928</v>
      </c>
      <c r="F1382" t="s">
        <v>5929</v>
      </c>
      <c r="G1382" t="s">
        <v>5930</v>
      </c>
      <c r="H1382" t="s">
        <v>3532</v>
      </c>
      <c r="I1382" t="s">
        <v>3490</v>
      </c>
      <c r="J1382" s="56">
        <f t="shared" si="63"/>
        <v>52</v>
      </c>
      <c r="K1382" s="74" t="str">
        <f t="shared" si="64"/>
        <v>31-60 Days</v>
      </c>
      <c r="L1382" s="58" t="str">
        <f t="shared" si="65"/>
        <v>Not Applicable</v>
      </c>
    </row>
    <row r="1383" spans="1:12" ht="16.5" customHeight="1" x14ac:dyDescent="0.35">
      <c r="A1383" t="s">
        <v>609</v>
      </c>
      <c r="B1383" t="s">
        <v>609</v>
      </c>
      <c r="C1383">
        <v>0</v>
      </c>
      <c r="D1383">
        <v>839.9</v>
      </c>
      <c r="E1383" t="s">
        <v>5931</v>
      </c>
      <c r="F1383" t="s">
        <v>5931</v>
      </c>
      <c r="G1383" t="s">
        <v>5932</v>
      </c>
      <c r="H1383" t="s">
        <v>3521</v>
      </c>
      <c r="I1383" t="s">
        <v>3490</v>
      </c>
      <c r="J1383" s="56">
        <f t="shared" si="63"/>
        <v>52</v>
      </c>
      <c r="K1383" s="74" t="str">
        <f t="shared" si="64"/>
        <v>31-60 Days</v>
      </c>
      <c r="L1383" s="58" t="str">
        <f t="shared" si="65"/>
        <v>Not Applicable</v>
      </c>
    </row>
    <row r="1384" spans="1:12" ht="16.5" customHeight="1" x14ac:dyDescent="0.35">
      <c r="A1384" t="s">
        <v>609</v>
      </c>
      <c r="B1384" t="s">
        <v>609</v>
      </c>
      <c r="C1384">
        <v>0</v>
      </c>
      <c r="D1384">
        <v>824.82</v>
      </c>
      <c r="E1384" t="s">
        <v>5933</v>
      </c>
      <c r="F1384" t="s">
        <v>5934</v>
      </c>
      <c r="G1384" t="s">
        <v>5935</v>
      </c>
      <c r="H1384" t="s">
        <v>3532</v>
      </c>
      <c r="I1384" t="s">
        <v>3490</v>
      </c>
      <c r="J1384" s="56">
        <f t="shared" si="63"/>
        <v>52</v>
      </c>
      <c r="K1384" s="74" t="str">
        <f t="shared" si="64"/>
        <v>31-60 Days</v>
      </c>
      <c r="L1384" s="58" t="str">
        <f t="shared" si="65"/>
        <v>Not Applicable</v>
      </c>
    </row>
    <row r="1385" spans="1:12" ht="16.5" customHeight="1" x14ac:dyDescent="0.35">
      <c r="A1385" t="s">
        <v>609</v>
      </c>
      <c r="B1385" t="s">
        <v>609</v>
      </c>
      <c r="C1385">
        <v>0</v>
      </c>
      <c r="D1385">
        <v>3000</v>
      </c>
      <c r="E1385" t="s">
        <v>5936</v>
      </c>
      <c r="F1385" t="s">
        <v>5936</v>
      </c>
      <c r="G1385" t="s">
        <v>5937</v>
      </c>
      <c r="H1385" t="s">
        <v>3532</v>
      </c>
      <c r="I1385" t="s">
        <v>3490</v>
      </c>
      <c r="J1385" s="56">
        <f t="shared" si="63"/>
        <v>52</v>
      </c>
      <c r="K1385" s="74" t="str">
        <f t="shared" si="64"/>
        <v>31-60 Days</v>
      </c>
      <c r="L1385" s="58" t="str">
        <f t="shared" si="65"/>
        <v>Not Applicable</v>
      </c>
    </row>
    <row r="1386" spans="1:12" ht="16.5" customHeight="1" x14ac:dyDescent="0.35">
      <c r="A1386" t="s">
        <v>609</v>
      </c>
      <c r="B1386" t="s">
        <v>609</v>
      </c>
      <c r="C1386">
        <v>0</v>
      </c>
      <c r="D1386">
        <v>10000</v>
      </c>
      <c r="E1386" t="s">
        <v>5938</v>
      </c>
      <c r="F1386" t="s">
        <v>5938</v>
      </c>
      <c r="G1386" t="s">
        <v>5939</v>
      </c>
      <c r="H1386" t="s">
        <v>3521</v>
      </c>
      <c r="I1386" t="s">
        <v>3490</v>
      </c>
      <c r="J1386" s="56">
        <f t="shared" si="63"/>
        <v>52</v>
      </c>
      <c r="K1386" s="74" t="str">
        <f t="shared" si="64"/>
        <v>31-60 Days</v>
      </c>
      <c r="L1386" s="58" t="str">
        <f t="shared" si="65"/>
        <v>Not Applicable</v>
      </c>
    </row>
    <row r="1387" spans="1:12" ht="16.5" customHeight="1" x14ac:dyDescent="0.35">
      <c r="A1387" t="s">
        <v>609</v>
      </c>
      <c r="B1387" t="s">
        <v>609</v>
      </c>
      <c r="C1387">
        <v>3192571.99</v>
      </c>
      <c r="D1387">
        <v>0</v>
      </c>
      <c r="E1387" t="s">
        <v>5940</v>
      </c>
      <c r="F1387" t="s">
        <v>5940</v>
      </c>
      <c r="G1387" t="s">
        <v>5941</v>
      </c>
      <c r="H1387" t="s">
        <v>3455</v>
      </c>
      <c r="I1387" t="s">
        <v>3486</v>
      </c>
      <c r="J1387" s="56">
        <f t="shared" si="63"/>
        <v>52</v>
      </c>
      <c r="K1387" s="74" t="str">
        <f t="shared" si="64"/>
        <v>31-60 Days</v>
      </c>
      <c r="L1387" s="58" t="str">
        <f t="shared" si="65"/>
        <v>Especially Mentioned</v>
      </c>
    </row>
    <row r="1388" spans="1:12" ht="16.5" customHeight="1" x14ac:dyDescent="0.35">
      <c r="A1388" t="s">
        <v>609</v>
      </c>
      <c r="B1388" t="s">
        <v>609</v>
      </c>
      <c r="C1388">
        <v>1000000</v>
      </c>
      <c r="D1388">
        <v>0</v>
      </c>
      <c r="E1388" t="s">
        <v>5942</v>
      </c>
      <c r="F1388" t="s">
        <v>5942</v>
      </c>
      <c r="G1388" t="s">
        <v>5943</v>
      </c>
      <c r="H1388" t="s">
        <v>3455</v>
      </c>
      <c r="I1388" t="s">
        <v>3490</v>
      </c>
      <c r="J1388" s="56">
        <f t="shared" si="63"/>
        <v>52</v>
      </c>
      <c r="K1388" s="74" t="str">
        <f t="shared" si="64"/>
        <v>31-60 Days</v>
      </c>
      <c r="L1388" s="58" t="str">
        <f t="shared" si="65"/>
        <v>Especially Mentioned</v>
      </c>
    </row>
    <row r="1389" spans="1:12" ht="16.5" customHeight="1" x14ac:dyDescent="0.35">
      <c r="A1389" t="s">
        <v>609</v>
      </c>
      <c r="B1389" t="s">
        <v>609</v>
      </c>
      <c r="C1389">
        <v>0</v>
      </c>
      <c r="D1389">
        <v>100</v>
      </c>
      <c r="E1389" t="s">
        <v>5944</v>
      </c>
      <c r="F1389" t="s">
        <v>5944</v>
      </c>
      <c r="G1389" t="s">
        <v>5945</v>
      </c>
      <c r="H1389" t="s">
        <v>3489</v>
      </c>
      <c r="I1389" t="s">
        <v>3490</v>
      </c>
      <c r="J1389" s="56">
        <f t="shared" si="63"/>
        <v>52</v>
      </c>
      <c r="K1389" s="74" t="str">
        <f t="shared" si="64"/>
        <v>31-60 Days</v>
      </c>
      <c r="L1389" s="58" t="str">
        <f t="shared" si="65"/>
        <v>Not Applicable</v>
      </c>
    </row>
    <row r="1390" spans="1:12" ht="16.5" customHeight="1" x14ac:dyDescent="0.35">
      <c r="A1390" t="s">
        <v>609</v>
      </c>
      <c r="B1390" t="s">
        <v>609</v>
      </c>
      <c r="C1390">
        <v>0</v>
      </c>
      <c r="D1390">
        <v>1000</v>
      </c>
      <c r="E1390" t="s">
        <v>5946</v>
      </c>
      <c r="F1390" t="s">
        <v>5947</v>
      </c>
      <c r="G1390" t="s">
        <v>5948</v>
      </c>
      <c r="H1390" t="s">
        <v>3494</v>
      </c>
      <c r="I1390" t="s">
        <v>3490</v>
      </c>
      <c r="J1390" s="56">
        <f t="shared" si="63"/>
        <v>52</v>
      </c>
      <c r="K1390" s="74" t="str">
        <f t="shared" si="64"/>
        <v>31-60 Days</v>
      </c>
      <c r="L1390" s="58" t="str">
        <f t="shared" si="65"/>
        <v>Not Applicable</v>
      </c>
    </row>
    <row r="1391" spans="1:12" ht="16.5" customHeight="1" x14ac:dyDescent="0.35">
      <c r="A1391" t="s">
        <v>609</v>
      </c>
      <c r="B1391" t="s">
        <v>609</v>
      </c>
      <c r="C1391">
        <v>0</v>
      </c>
      <c r="D1391">
        <v>1000</v>
      </c>
      <c r="E1391" t="s">
        <v>5949</v>
      </c>
      <c r="F1391" t="s">
        <v>5949</v>
      </c>
      <c r="G1391" t="s">
        <v>5950</v>
      </c>
      <c r="H1391" t="s">
        <v>3489</v>
      </c>
      <c r="I1391" t="s">
        <v>3490</v>
      </c>
      <c r="J1391" s="56">
        <f t="shared" si="63"/>
        <v>52</v>
      </c>
      <c r="K1391" s="74" t="str">
        <f t="shared" si="64"/>
        <v>31-60 Days</v>
      </c>
      <c r="L1391" s="58" t="str">
        <f t="shared" si="65"/>
        <v>Not Applicable</v>
      </c>
    </row>
    <row r="1392" spans="1:12" ht="16.5" customHeight="1" x14ac:dyDescent="0.35">
      <c r="A1392" t="s">
        <v>609</v>
      </c>
      <c r="B1392" t="s">
        <v>609</v>
      </c>
      <c r="C1392">
        <v>0</v>
      </c>
      <c r="D1392">
        <v>2050</v>
      </c>
      <c r="E1392" t="s">
        <v>5951</v>
      </c>
      <c r="F1392" t="s">
        <v>5951</v>
      </c>
      <c r="G1392" t="s">
        <v>5952</v>
      </c>
      <c r="H1392" t="s">
        <v>3489</v>
      </c>
      <c r="I1392" t="s">
        <v>3490</v>
      </c>
      <c r="J1392" s="56">
        <f t="shared" si="63"/>
        <v>52</v>
      </c>
      <c r="K1392" s="74" t="str">
        <f t="shared" si="64"/>
        <v>31-60 Days</v>
      </c>
      <c r="L1392" s="58" t="str">
        <f t="shared" si="65"/>
        <v>Not Applicable</v>
      </c>
    </row>
    <row r="1393" spans="1:12" ht="16.5" customHeight="1" x14ac:dyDescent="0.35">
      <c r="A1393" t="s">
        <v>609</v>
      </c>
      <c r="B1393" t="s">
        <v>609</v>
      </c>
      <c r="C1393">
        <v>0</v>
      </c>
      <c r="D1393">
        <v>50</v>
      </c>
      <c r="E1393" t="s">
        <v>5953</v>
      </c>
      <c r="F1393" t="s">
        <v>5954</v>
      </c>
      <c r="G1393" t="s">
        <v>5955</v>
      </c>
      <c r="H1393" t="s">
        <v>3532</v>
      </c>
      <c r="I1393" t="s">
        <v>3490</v>
      </c>
      <c r="J1393" s="56">
        <f t="shared" si="63"/>
        <v>52</v>
      </c>
      <c r="K1393" s="74" t="str">
        <f t="shared" si="64"/>
        <v>31-60 Days</v>
      </c>
      <c r="L1393" s="58" t="str">
        <f t="shared" si="65"/>
        <v>Not Applicable</v>
      </c>
    </row>
    <row r="1394" spans="1:12" ht="16.5" customHeight="1" x14ac:dyDescent="0.35">
      <c r="A1394" t="s">
        <v>609</v>
      </c>
      <c r="B1394" t="s">
        <v>609</v>
      </c>
      <c r="C1394">
        <v>0</v>
      </c>
      <c r="D1394">
        <v>46171.9</v>
      </c>
      <c r="E1394" t="s">
        <v>5956</v>
      </c>
      <c r="F1394" t="s">
        <v>5957</v>
      </c>
      <c r="G1394" t="s">
        <v>5958</v>
      </c>
      <c r="H1394" t="s">
        <v>3532</v>
      </c>
      <c r="I1394" t="s">
        <v>3490</v>
      </c>
      <c r="J1394" s="56">
        <f t="shared" si="63"/>
        <v>52</v>
      </c>
      <c r="K1394" s="74" t="str">
        <f t="shared" si="64"/>
        <v>31-60 Days</v>
      </c>
      <c r="L1394" s="58" t="str">
        <f t="shared" si="65"/>
        <v>Not Applicable</v>
      </c>
    </row>
    <row r="1395" spans="1:12" ht="16.5" customHeight="1" x14ac:dyDescent="0.35">
      <c r="A1395" t="s">
        <v>609</v>
      </c>
      <c r="B1395" t="s">
        <v>609</v>
      </c>
      <c r="C1395">
        <v>0</v>
      </c>
      <c r="D1395">
        <v>1000</v>
      </c>
      <c r="E1395" t="s">
        <v>5959</v>
      </c>
      <c r="F1395" t="s">
        <v>5959</v>
      </c>
      <c r="G1395" t="s">
        <v>5960</v>
      </c>
      <c r="H1395" t="s">
        <v>3489</v>
      </c>
      <c r="I1395" t="s">
        <v>3490</v>
      </c>
      <c r="J1395" s="56">
        <f t="shared" si="63"/>
        <v>52</v>
      </c>
      <c r="K1395" s="74" t="str">
        <f t="shared" si="64"/>
        <v>31-60 Days</v>
      </c>
      <c r="L1395" s="58" t="str">
        <f t="shared" si="65"/>
        <v>Not Applicable</v>
      </c>
    </row>
    <row r="1396" spans="1:12" ht="16.5" customHeight="1" x14ac:dyDescent="0.35">
      <c r="A1396" t="s">
        <v>609</v>
      </c>
      <c r="B1396" t="s">
        <v>609</v>
      </c>
      <c r="C1396">
        <v>0</v>
      </c>
      <c r="D1396">
        <v>600</v>
      </c>
      <c r="E1396" t="s">
        <v>5961</v>
      </c>
      <c r="F1396" t="s">
        <v>5962</v>
      </c>
      <c r="G1396" t="s">
        <v>5963</v>
      </c>
      <c r="H1396" t="s">
        <v>3532</v>
      </c>
      <c r="I1396" t="s">
        <v>3490</v>
      </c>
      <c r="J1396" s="56">
        <f t="shared" si="63"/>
        <v>52</v>
      </c>
      <c r="K1396" s="74" t="str">
        <f t="shared" si="64"/>
        <v>31-60 Days</v>
      </c>
      <c r="L1396" s="58" t="str">
        <f t="shared" si="65"/>
        <v>Not Applicable</v>
      </c>
    </row>
    <row r="1397" spans="1:12" ht="16.5" customHeight="1" x14ac:dyDescent="0.35">
      <c r="A1397" t="s">
        <v>609</v>
      </c>
      <c r="B1397" t="s">
        <v>609</v>
      </c>
      <c r="C1397">
        <v>0</v>
      </c>
      <c r="D1397">
        <v>515</v>
      </c>
      <c r="E1397" t="s">
        <v>5964</v>
      </c>
      <c r="F1397" t="s">
        <v>5965</v>
      </c>
      <c r="G1397" t="s">
        <v>5966</v>
      </c>
      <c r="H1397" t="s">
        <v>3489</v>
      </c>
      <c r="I1397" t="s">
        <v>3486</v>
      </c>
      <c r="J1397" s="56">
        <f t="shared" si="63"/>
        <v>52</v>
      </c>
      <c r="K1397" s="74" t="str">
        <f t="shared" si="64"/>
        <v>31-60 Days</v>
      </c>
      <c r="L1397" s="58" t="str">
        <f t="shared" si="65"/>
        <v>Not Applicable</v>
      </c>
    </row>
    <row r="1398" spans="1:12" ht="16.5" customHeight="1" x14ac:dyDescent="0.35">
      <c r="A1398" t="s">
        <v>609</v>
      </c>
      <c r="B1398" t="s">
        <v>609</v>
      </c>
      <c r="C1398">
        <v>0</v>
      </c>
      <c r="D1398">
        <v>1000</v>
      </c>
      <c r="E1398" t="s">
        <v>5967</v>
      </c>
      <c r="F1398" t="s">
        <v>5967</v>
      </c>
      <c r="G1398" t="s">
        <v>5968</v>
      </c>
      <c r="H1398" t="s">
        <v>3489</v>
      </c>
      <c r="I1398" t="s">
        <v>3490</v>
      </c>
      <c r="J1398" s="56">
        <f t="shared" si="63"/>
        <v>52</v>
      </c>
      <c r="K1398" s="74" t="str">
        <f t="shared" si="64"/>
        <v>31-60 Days</v>
      </c>
      <c r="L1398" s="58" t="str">
        <f t="shared" si="65"/>
        <v>Not Applicable</v>
      </c>
    </row>
    <row r="1399" spans="1:12" ht="16.5" customHeight="1" x14ac:dyDescent="0.35">
      <c r="A1399" t="s">
        <v>609</v>
      </c>
      <c r="B1399" t="s">
        <v>609</v>
      </c>
      <c r="C1399">
        <v>0</v>
      </c>
      <c r="D1399">
        <v>200</v>
      </c>
      <c r="E1399" t="s">
        <v>5969</v>
      </c>
      <c r="F1399" t="s">
        <v>5970</v>
      </c>
      <c r="G1399" t="s">
        <v>5971</v>
      </c>
      <c r="H1399" t="s">
        <v>3489</v>
      </c>
      <c r="I1399" t="s">
        <v>3486</v>
      </c>
      <c r="J1399" s="56">
        <f t="shared" si="63"/>
        <v>52</v>
      </c>
      <c r="K1399" s="74" t="str">
        <f t="shared" si="64"/>
        <v>31-60 Days</v>
      </c>
      <c r="L1399" s="58" t="str">
        <f t="shared" si="65"/>
        <v>Not Applicable</v>
      </c>
    </row>
    <row r="1400" spans="1:12" ht="16.5" customHeight="1" x14ac:dyDescent="0.35">
      <c r="A1400" t="s">
        <v>609</v>
      </c>
      <c r="B1400" t="s">
        <v>609</v>
      </c>
      <c r="C1400">
        <v>0</v>
      </c>
      <c r="D1400">
        <v>10968.08</v>
      </c>
      <c r="E1400" t="s">
        <v>5972</v>
      </c>
      <c r="F1400" t="s">
        <v>5972</v>
      </c>
      <c r="G1400" t="s">
        <v>57</v>
      </c>
      <c r="H1400" t="s">
        <v>3914</v>
      </c>
      <c r="I1400" t="s">
        <v>3643</v>
      </c>
      <c r="J1400" s="56">
        <f t="shared" si="63"/>
        <v>52</v>
      </c>
      <c r="K1400" s="74" t="str">
        <f t="shared" si="64"/>
        <v>31-60 Days</v>
      </c>
      <c r="L1400" s="58" t="str">
        <f t="shared" si="65"/>
        <v>Not Applicable</v>
      </c>
    </row>
    <row r="1401" spans="1:12" ht="16.5" customHeight="1" x14ac:dyDescent="0.35">
      <c r="A1401" t="s">
        <v>609</v>
      </c>
      <c r="B1401" t="s">
        <v>609</v>
      </c>
      <c r="C1401">
        <v>0</v>
      </c>
      <c r="D1401">
        <v>50</v>
      </c>
      <c r="E1401" t="s">
        <v>5973</v>
      </c>
      <c r="F1401" t="s">
        <v>5973</v>
      </c>
      <c r="G1401" t="s">
        <v>5974</v>
      </c>
      <c r="H1401" t="s">
        <v>3489</v>
      </c>
      <c r="I1401" t="s">
        <v>3490</v>
      </c>
      <c r="J1401" s="56">
        <f t="shared" si="63"/>
        <v>52</v>
      </c>
      <c r="K1401" s="74" t="str">
        <f t="shared" si="64"/>
        <v>31-60 Days</v>
      </c>
      <c r="L1401" s="58" t="str">
        <f t="shared" si="65"/>
        <v>Not Applicable</v>
      </c>
    </row>
    <row r="1402" spans="1:12" ht="16.5" customHeight="1" x14ac:dyDescent="0.35">
      <c r="A1402" t="s">
        <v>609</v>
      </c>
      <c r="B1402" t="s">
        <v>609</v>
      </c>
      <c r="C1402">
        <v>0</v>
      </c>
      <c r="D1402">
        <v>250</v>
      </c>
      <c r="E1402" t="s">
        <v>5975</v>
      </c>
      <c r="F1402" t="s">
        <v>5975</v>
      </c>
      <c r="G1402" t="s">
        <v>5976</v>
      </c>
      <c r="H1402" t="s">
        <v>3489</v>
      </c>
      <c r="I1402" t="s">
        <v>3490</v>
      </c>
      <c r="J1402" s="56">
        <f t="shared" si="63"/>
        <v>52</v>
      </c>
      <c r="K1402" s="74" t="str">
        <f t="shared" si="64"/>
        <v>31-60 Days</v>
      </c>
      <c r="L1402" s="58" t="str">
        <f t="shared" si="65"/>
        <v>Not Applicable</v>
      </c>
    </row>
    <row r="1403" spans="1:12" ht="16.5" customHeight="1" x14ac:dyDescent="0.35">
      <c r="A1403" t="s">
        <v>609</v>
      </c>
      <c r="B1403" t="s">
        <v>609</v>
      </c>
      <c r="C1403">
        <v>0</v>
      </c>
      <c r="D1403">
        <v>550</v>
      </c>
      <c r="E1403" t="s">
        <v>5977</v>
      </c>
      <c r="F1403" t="s">
        <v>3499</v>
      </c>
      <c r="G1403" t="s">
        <v>5978</v>
      </c>
      <c r="H1403" t="s">
        <v>3489</v>
      </c>
      <c r="I1403" t="s">
        <v>3490</v>
      </c>
      <c r="J1403" s="56">
        <f t="shared" si="63"/>
        <v>52</v>
      </c>
      <c r="K1403" s="74" t="str">
        <f t="shared" si="64"/>
        <v>31-60 Days</v>
      </c>
      <c r="L1403" s="58" t="str">
        <f t="shared" si="65"/>
        <v>Not Applicable</v>
      </c>
    </row>
    <row r="1404" spans="1:12" ht="16.5" customHeight="1" x14ac:dyDescent="0.35">
      <c r="A1404" t="s">
        <v>609</v>
      </c>
      <c r="B1404" t="s">
        <v>609</v>
      </c>
      <c r="C1404">
        <v>0</v>
      </c>
      <c r="D1404">
        <v>30</v>
      </c>
      <c r="E1404" t="s">
        <v>5979</v>
      </c>
      <c r="F1404" t="s">
        <v>5979</v>
      </c>
      <c r="G1404" t="s">
        <v>5980</v>
      </c>
      <c r="H1404" t="s">
        <v>3489</v>
      </c>
      <c r="I1404" t="s">
        <v>3490</v>
      </c>
      <c r="J1404" s="56">
        <f t="shared" si="63"/>
        <v>52</v>
      </c>
      <c r="K1404" s="74" t="str">
        <f t="shared" si="64"/>
        <v>31-60 Days</v>
      </c>
      <c r="L1404" s="58" t="str">
        <f t="shared" si="65"/>
        <v>Not Applicable</v>
      </c>
    </row>
    <row r="1405" spans="1:12" ht="16.5" customHeight="1" x14ac:dyDescent="0.35">
      <c r="A1405" t="s">
        <v>639</v>
      </c>
      <c r="B1405" t="s">
        <v>639</v>
      </c>
      <c r="C1405">
        <v>0</v>
      </c>
      <c r="D1405">
        <v>5000</v>
      </c>
      <c r="E1405" t="s">
        <v>5981</v>
      </c>
      <c r="F1405" t="s">
        <v>5981</v>
      </c>
      <c r="G1405" t="s">
        <v>5982</v>
      </c>
      <c r="H1405" t="s">
        <v>3521</v>
      </c>
      <c r="I1405" t="s">
        <v>3490</v>
      </c>
      <c r="J1405" s="56">
        <f t="shared" si="63"/>
        <v>51</v>
      </c>
      <c r="K1405" s="74" t="str">
        <f t="shared" si="64"/>
        <v>31-60 Days</v>
      </c>
      <c r="L1405" s="58" t="str">
        <f t="shared" si="65"/>
        <v>Not Applicable</v>
      </c>
    </row>
    <row r="1406" spans="1:12" ht="16.5" customHeight="1" x14ac:dyDescent="0.35">
      <c r="A1406" t="s">
        <v>639</v>
      </c>
      <c r="B1406" t="s">
        <v>639</v>
      </c>
      <c r="C1406">
        <v>695019.55</v>
      </c>
      <c r="D1406">
        <v>0</v>
      </c>
      <c r="E1406" t="s">
        <v>5983</v>
      </c>
      <c r="F1406" t="s">
        <v>5983</v>
      </c>
      <c r="G1406" t="s">
        <v>5984</v>
      </c>
      <c r="H1406" t="s">
        <v>3455</v>
      </c>
      <c r="I1406" t="s">
        <v>3486</v>
      </c>
      <c r="J1406" s="56">
        <f t="shared" si="63"/>
        <v>51</v>
      </c>
      <c r="K1406" s="74" t="str">
        <f t="shared" si="64"/>
        <v>31-60 Days</v>
      </c>
      <c r="L1406" s="58" t="str">
        <f t="shared" si="65"/>
        <v>Especially Mentioned</v>
      </c>
    </row>
    <row r="1407" spans="1:12" ht="16.5" customHeight="1" x14ac:dyDescent="0.35">
      <c r="A1407" t="s">
        <v>639</v>
      </c>
      <c r="B1407" t="s">
        <v>639</v>
      </c>
      <c r="C1407">
        <v>1390040.42</v>
      </c>
      <c r="D1407">
        <v>0</v>
      </c>
      <c r="E1407" t="s">
        <v>5985</v>
      </c>
      <c r="F1407" t="s">
        <v>5985</v>
      </c>
      <c r="G1407" t="s">
        <v>5986</v>
      </c>
      <c r="H1407" t="s">
        <v>3455</v>
      </c>
      <c r="I1407" t="s">
        <v>3486</v>
      </c>
      <c r="J1407" s="56">
        <f t="shared" si="63"/>
        <v>51</v>
      </c>
      <c r="K1407" s="74" t="str">
        <f t="shared" si="64"/>
        <v>31-60 Days</v>
      </c>
      <c r="L1407" s="58" t="str">
        <f t="shared" si="65"/>
        <v>Especially Mentioned</v>
      </c>
    </row>
    <row r="1408" spans="1:12" ht="16.5" customHeight="1" x14ac:dyDescent="0.35">
      <c r="A1408" t="s">
        <v>639</v>
      </c>
      <c r="B1408" t="s">
        <v>639</v>
      </c>
      <c r="C1408">
        <v>0</v>
      </c>
      <c r="D1408">
        <v>5099.01</v>
      </c>
      <c r="E1408" t="s">
        <v>5987</v>
      </c>
      <c r="F1408" t="s">
        <v>5987</v>
      </c>
      <c r="G1408" t="s">
        <v>57</v>
      </c>
      <c r="H1408" t="s">
        <v>3914</v>
      </c>
      <c r="I1408" t="s">
        <v>3643</v>
      </c>
      <c r="J1408" s="56">
        <f t="shared" si="63"/>
        <v>51</v>
      </c>
      <c r="K1408" s="74" t="str">
        <f t="shared" si="64"/>
        <v>31-60 Days</v>
      </c>
      <c r="L1408" s="58" t="str">
        <f t="shared" si="65"/>
        <v>Not Applicable</v>
      </c>
    </row>
    <row r="1409" spans="1:12" ht="16.5" customHeight="1" x14ac:dyDescent="0.35">
      <c r="A1409" t="s">
        <v>639</v>
      </c>
      <c r="B1409" t="s">
        <v>639</v>
      </c>
      <c r="C1409">
        <v>768771.09</v>
      </c>
      <c r="D1409">
        <v>0</v>
      </c>
      <c r="E1409" t="s">
        <v>5988</v>
      </c>
      <c r="F1409" t="s">
        <v>5988</v>
      </c>
      <c r="G1409" t="s">
        <v>5989</v>
      </c>
      <c r="H1409" t="s">
        <v>3455</v>
      </c>
      <c r="I1409" t="s">
        <v>3486</v>
      </c>
      <c r="J1409" s="56">
        <f t="shared" si="63"/>
        <v>51</v>
      </c>
      <c r="K1409" s="74" t="str">
        <f t="shared" si="64"/>
        <v>31-60 Days</v>
      </c>
      <c r="L1409" s="58" t="str">
        <f t="shared" si="65"/>
        <v>Especially Mentioned</v>
      </c>
    </row>
    <row r="1410" spans="1:12" ht="16.5" customHeight="1" x14ac:dyDescent="0.35">
      <c r="A1410" t="s">
        <v>639</v>
      </c>
      <c r="B1410" t="s">
        <v>639</v>
      </c>
      <c r="C1410">
        <v>1476614.78</v>
      </c>
      <c r="D1410">
        <v>0</v>
      </c>
      <c r="E1410" t="s">
        <v>5990</v>
      </c>
      <c r="F1410" t="s">
        <v>5990</v>
      </c>
      <c r="G1410" t="s">
        <v>5991</v>
      </c>
      <c r="H1410" t="s">
        <v>3455</v>
      </c>
      <c r="I1410" t="s">
        <v>3486</v>
      </c>
      <c r="J1410" s="56">
        <f t="shared" si="63"/>
        <v>51</v>
      </c>
      <c r="K1410" s="74" t="str">
        <f t="shared" si="64"/>
        <v>31-60 Days</v>
      </c>
      <c r="L1410" s="58" t="str">
        <f t="shared" si="65"/>
        <v>Especially Mentioned</v>
      </c>
    </row>
    <row r="1411" spans="1:12" ht="16.5" customHeight="1" x14ac:dyDescent="0.35">
      <c r="A1411" t="s">
        <v>639</v>
      </c>
      <c r="B1411" t="s">
        <v>639</v>
      </c>
      <c r="C1411">
        <v>0</v>
      </c>
      <c r="D1411">
        <v>1000</v>
      </c>
      <c r="E1411" t="s">
        <v>5992</v>
      </c>
      <c r="F1411" t="s">
        <v>5992</v>
      </c>
      <c r="G1411" t="s">
        <v>5993</v>
      </c>
      <c r="H1411" t="s">
        <v>3489</v>
      </c>
      <c r="I1411" t="s">
        <v>3490</v>
      </c>
      <c r="J1411" s="56">
        <f t="shared" si="63"/>
        <v>51</v>
      </c>
      <c r="K1411" s="74" t="str">
        <f t="shared" si="64"/>
        <v>31-60 Days</v>
      </c>
      <c r="L1411" s="58" t="str">
        <f t="shared" si="65"/>
        <v>Not Applicable</v>
      </c>
    </row>
    <row r="1412" spans="1:12" ht="16.5" customHeight="1" x14ac:dyDescent="0.35">
      <c r="A1412" t="s">
        <v>639</v>
      </c>
      <c r="B1412" t="s">
        <v>639</v>
      </c>
      <c r="C1412">
        <v>707843.69</v>
      </c>
      <c r="D1412">
        <v>0</v>
      </c>
      <c r="E1412" t="s">
        <v>5994</v>
      </c>
      <c r="F1412" t="s">
        <v>5994</v>
      </c>
      <c r="G1412" t="s">
        <v>5995</v>
      </c>
      <c r="H1412" t="s">
        <v>3455</v>
      </c>
      <c r="I1412" t="s">
        <v>3486</v>
      </c>
      <c r="J1412" s="56">
        <f t="shared" si="63"/>
        <v>51</v>
      </c>
      <c r="K1412" s="74" t="str">
        <f t="shared" si="64"/>
        <v>31-60 Days</v>
      </c>
      <c r="L1412" s="58" t="str">
        <f t="shared" si="65"/>
        <v>Especially Mentioned</v>
      </c>
    </row>
    <row r="1413" spans="1:12" ht="16.5" customHeight="1" x14ac:dyDescent="0.35">
      <c r="A1413" t="s">
        <v>639</v>
      </c>
      <c r="B1413" t="s">
        <v>639</v>
      </c>
      <c r="C1413">
        <v>0</v>
      </c>
      <c r="D1413">
        <v>1422.06</v>
      </c>
      <c r="E1413" t="s">
        <v>5996</v>
      </c>
      <c r="F1413" t="s">
        <v>5997</v>
      </c>
      <c r="G1413" t="s">
        <v>5998</v>
      </c>
      <c r="H1413" t="s">
        <v>3489</v>
      </c>
      <c r="I1413" t="s">
        <v>3486</v>
      </c>
      <c r="J1413" s="56">
        <f t="shared" si="63"/>
        <v>51</v>
      </c>
      <c r="K1413" s="74" t="str">
        <f t="shared" si="64"/>
        <v>31-60 Days</v>
      </c>
      <c r="L1413" s="58" t="str">
        <f t="shared" si="65"/>
        <v>Not Applicable</v>
      </c>
    </row>
    <row r="1414" spans="1:12" ht="16.5" customHeight="1" x14ac:dyDescent="0.35">
      <c r="A1414" t="s">
        <v>5999</v>
      </c>
      <c r="B1414" t="s">
        <v>5999</v>
      </c>
      <c r="C1414">
        <v>0</v>
      </c>
      <c r="D1414">
        <v>1550</v>
      </c>
      <c r="E1414" t="s">
        <v>6000</v>
      </c>
      <c r="F1414" t="s">
        <v>6000</v>
      </c>
      <c r="G1414" t="s">
        <v>6001</v>
      </c>
      <c r="H1414" t="s">
        <v>3489</v>
      </c>
      <c r="I1414" t="s">
        <v>3490</v>
      </c>
      <c r="J1414" s="56">
        <f t="shared" si="63"/>
        <v>50</v>
      </c>
      <c r="K1414" s="74" t="str">
        <f t="shared" si="64"/>
        <v>31-60 Days</v>
      </c>
      <c r="L1414" s="58" t="str">
        <f t="shared" si="65"/>
        <v>Not Applicable</v>
      </c>
    </row>
    <row r="1415" spans="1:12" ht="16.5" customHeight="1" x14ac:dyDescent="0.35">
      <c r="A1415" t="s">
        <v>668</v>
      </c>
      <c r="B1415" t="s">
        <v>668</v>
      </c>
      <c r="C1415">
        <v>0</v>
      </c>
      <c r="D1415">
        <v>662</v>
      </c>
      <c r="E1415" t="s">
        <v>6002</v>
      </c>
      <c r="F1415" t="s">
        <v>6002</v>
      </c>
      <c r="G1415" t="s">
        <v>6003</v>
      </c>
      <c r="H1415" t="s">
        <v>3489</v>
      </c>
      <c r="I1415" t="s">
        <v>3490</v>
      </c>
      <c r="J1415" s="56">
        <f t="shared" si="63"/>
        <v>49</v>
      </c>
      <c r="K1415" s="74" t="str">
        <f t="shared" si="64"/>
        <v>31-60 Days</v>
      </c>
      <c r="L1415" s="58" t="str">
        <f t="shared" si="65"/>
        <v>Not Applicable</v>
      </c>
    </row>
    <row r="1416" spans="1:12" ht="16.5" customHeight="1" x14ac:dyDescent="0.35">
      <c r="A1416" t="s">
        <v>668</v>
      </c>
      <c r="B1416" t="s">
        <v>668</v>
      </c>
      <c r="C1416">
        <v>0</v>
      </c>
      <c r="D1416">
        <v>30</v>
      </c>
      <c r="E1416" t="s">
        <v>6004</v>
      </c>
      <c r="F1416" t="s">
        <v>6004</v>
      </c>
      <c r="G1416" t="s">
        <v>6005</v>
      </c>
      <c r="H1416" t="s">
        <v>3489</v>
      </c>
      <c r="I1416" t="s">
        <v>3490</v>
      </c>
      <c r="J1416" s="56">
        <f t="shared" si="63"/>
        <v>49</v>
      </c>
      <c r="K1416" s="74" t="str">
        <f t="shared" si="64"/>
        <v>31-60 Days</v>
      </c>
      <c r="L1416" s="58" t="str">
        <f t="shared" si="65"/>
        <v>Not Applicable</v>
      </c>
    </row>
    <row r="1417" spans="1:12" ht="16.5" customHeight="1" x14ac:dyDescent="0.35">
      <c r="A1417" t="s">
        <v>668</v>
      </c>
      <c r="B1417" t="s">
        <v>668</v>
      </c>
      <c r="C1417">
        <v>1857785.58</v>
      </c>
      <c r="D1417">
        <v>0</v>
      </c>
      <c r="E1417" t="s">
        <v>6006</v>
      </c>
      <c r="F1417" t="s">
        <v>6006</v>
      </c>
      <c r="G1417" t="s">
        <v>6007</v>
      </c>
      <c r="H1417" t="s">
        <v>3455</v>
      </c>
      <c r="I1417" t="s">
        <v>3486</v>
      </c>
      <c r="J1417" s="56">
        <f t="shared" ref="J1417:J1480" si="66">IF(A1417="","",A$5-A1417)</f>
        <v>49</v>
      </c>
      <c r="K1417" s="74" t="str">
        <f t="shared" ref="K1417:K1480" si="67">IF(J1417="","",IF(J1417&lt;4,"0-3 Days",IF(J1417&lt;31,"4-30 Days",IF(J1417&lt;61,"31-60 Days",IF(J1417&lt;=90,"61-90 Days",IF(J1417&gt;90,"Above 90 Days","0"))))))</f>
        <v>31-60 Days</v>
      </c>
      <c r="L1417" s="58" t="str">
        <f t="shared" ref="L1417:L1480" si="68">IF(C1417="","",IF(C1417&gt;0,IF(J1417&lt;30,"Normal",IF(J1417&lt;60,"Especially Mentioned",IF(J1417&lt;90,"Substandard",IF(J1417&lt;=180,"Doubtful",IF(J1417&gt;180,"Loss","0"))))),"Not Applicable"))</f>
        <v>Especially Mentioned</v>
      </c>
    </row>
    <row r="1418" spans="1:12" ht="16.5" customHeight="1" x14ac:dyDescent="0.35">
      <c r="A1418" t="s">
        <v>668</v>
      </c>
      <c r="B1418" t="s">
        <v>668</v>
      </c>
      <c r="C1418">
        <v>0</v>
      </c>
      <c r="D1418">
        <v>50</v>
      </c>
      <c r="E1418" t="s">
        <v>6008</v>
      </c>
      <c r="F1418" t="s">
        <v>6008</v>
      </c>
      <c r="G1418" t="s">
        <v>6009</v>
      </c>
      <c r="H1418" t="s">
        <v>3489</v>
      </c>
      <c r="I1418" t="s">
        <v>3490</v>
      </c>
      <c r="J1418" s="56">
        <f t="shared" si="66"/>
        <v>49</v>
      </c>
      <c r="K1418" s="74" t="str">
        <f t="shared" si="67"/>
        <v>31-60 Days</v>
      </c>
      <c r="L1418" s="58" t="str">
        <f t="shared" si="68"/>
        <v>Not Applicable</v>
      </c>
    </row>
    <row r="1419" spans="1:12" ht="16.5" customHeight="1" x14ac:dyDescent="0.35">
      <c r="A1419" t="s">
        <v>668</v>
      </c>
      <c r="B1419" t="s">
        <v>668</v>
      </c>
      <c r="C1419">
        <v>0</v>
      </c>
      <c r="D1419">
        <v>250</v>
      </c>
      <c r="E1419" t="s">
        <v>6010</v>
      </c>
      <c r="F1419" t="s">
        <v>3499</v>
      </c>
      <c r="G1419" t="s">
        <v>6011</v>
      </c>
      <c r="H1419" t="s">
        <v>3489</v>
      </c>
      <c r="I1419" t="s">
        <v>3490</v>
      </c>
      <c r="J1419" s="56">
        <f t="shared" si="66"/>
        <v>49</v>
      </c>
      <c r="K1419" s="74" t="str">
        <f t="shared" si="67"/>
        <v>31-60 Days</v>
      </c>
      <c r="L1419" s="58" t="str">
        <f t="shared" si="68"/>
        <v>Not Applicable</v>
      </c>
    </row>
    <row r="1420" spans="1:12" ht="16.5" customHeight="1" x14ac:dyDescent="0.35">
      <c r="A1420" t="s">
        <v>668</v>
      </c>
      <c r="B1420" t="s">
        <v>668</v>
      </c>
      <c r="C1420">
        <v>0</v>
      </c>
      <c r="D1420">
        <v>192</v>
      </c>
      <c r="E1420" t="s">
        <v>6012</v>
      </c>
      <c r="F1420" t="s">
        <v>6012</v>
      </c>
      <c r="G1420" t="s">
        <v>6013</v>
      </c>
      <c r="H1420" t="s">
        <v>3489</v>
      </c>
      <c r="I1420" t="s">
        <v>3490</v>
      </c>
      <c r="J1420" s="56">
        <f t="shared" si="66"/>
        <v>49</v>
      </c>
      <c r="K1420" s="74" t="str">
        <f t="shared" si="67"/>
        <v>31-60 Days</v>
      </c>
      <c r="L1420" s="58" t="str">
        <f t="shared" si="68"/>
        <v>Not Applicable</v>
      </c>
    </row>
    <row r="1421" spans="1:12" ht="16.5" customHeight="1" x14ac:dyDescent="0.35">
      <c r="A1421" t="s">
        <v>668</v>
      </c>
      <c r="B1421" t="s">
        <v>668</v>
      </c>
      <c r="C1421">
        <v>0</v>
      </c>
      <c r="D1421">
        <v>100</v>
      </c>
      <c r="E1421" t="s">
        <v>6014</v>
      </c>
      <c r="F1421" t="s">
        <v>6015</v>
      </c>
      <c r="G1421" t="s">
        <v>6016</v>
      </c>
      <c r="H1421" t="s">
        <v>3532</v>
      </c>
      <c r="I1421" t="s">
        <v>3490</v>
      </c>
      <c r="J1421" s="56">
        <f t="shared" si="66"/>
        <v>49</v>
      </c>
      <c r="K1421" s="74" t="str">
        <f t="shared" si="67"/>
        <v>31-60 Days</v>
      </c>
      <c r="L1421" s="58" t="str">
        <f t="shared" si="68"/>
        <v>Not Applicable</v>
      </c>
    </row>
    <row r="1422" spans="1:12" ht="16.5" customHeight="1" x14ac:dyDescent="0.35">
      <c r="A1422" t="s">
        <v>668</v>
      </c>
      <c r="B1422" t="s">
        <v>668</v>
      </c>
      <c r="C1422">
        <v>0</v>
      </c>
      <c r="D1422">
        <v>1000</v>
      </c>
      <c r="E1422" t="s">
        <v>6017</v>
      </c>
      <c r="F1422" t="s">
        <v>6018</v>
      </c>
      <c r="G1422" t="s">
        <v>6019</v>
      </c>
      <c r="H1422" t="s">
        <v>3489</v>
      </c>
      <c r="I1422" t="s">
        <v>3490</v>
      </c>
      <c r="J1422" s="56">
        <f t="shared" si="66"/>
        <v>49</v>
      </c>
      <c r="K1422" s="74" t="str">
        <f t="shared" si="67"/>
        <v>31-60 Days</v>
      </c>
      <c r="L1422" s="58" t="str">
        <f t="shared" si="68"/>
        <v>Not Applicable</v>
      </c>
    </row>
    <row r="1423" spans="1:12" ht="16.5" customHeight="1" x14ac:dyDescent="0.35">
      <c r="A1423" t="s">
        <v>668</v>
      </c>
      <c r="B1423" t="s">
        <v>668</v>
      </c>
      <c r="C1423">
        <v>0</v>
      </c>
      <c r="D1423">
        <v>1790</v>
      </c>
      <c r="E1423" t="s">
        <v>6020</v>
      </c>
      <c r="F1423" t="s">
        <v>6020</v>
      </c>
      <c r="G1423" t="s">
        <v>6021</v>
      </c>
      <c r="H1423" t="s">
        <v>3489</v>
      </c>
      <c r="I1423" t="s">
        <v>3490</v>
      </c>
      <c r="J1423" s="56">
        <f t="shared" si="66"/>
        <v>49</v>
      </c>
      <c r="K1423" s="74" t="str">
        <f t="shared" si="67"/>
        <v>31-60 Days</v>
      </c>
      <c r="L1423" s="58" t="str">
        <f t="shared" si="68"/>
        <v>Not Applicable</v>
      </c>
    </row>
    <row r="1424" spans="1:12" ht="16.5" customHeight="1" x14ac:dyDescent="0.35">
      <c r="A1424" t="s">
        <v>668</v>
      </c>
      <c r="B1424" t="s">
        <v>668</v>
      </c>
      <c r="C1424">
        <v>0</v>
      </c>
      <c r="D1424">
        <v>50</v>
      </c>
      <c r="E1424" t="s">
        <v>6022</v>
      </c>
      <c r="F1424" t="s">
        <v>6022</v>
      </c>
      <c r="G1424" t="s">
        <v>6023</v>
      </c>
      <c r="H1424" t="s">
        <v>3489</v>
      </c>
      <c r="I1424" t="s">
        <v>3490</v>
      </c>
      <c r="J1424" s="56">
        <f t="shared" si="66"/>
        <v>49</v>
      </c>
      <c r="K1424" s="74" t="str">
        <f t="shared" si="67"/>
        <v>31-60 Days</v>
      </c>
      <c r="L1424" s="58" t="str">
        <f t="shared" si="68"/>
        <v>Not Applicable</v>
      </c>
    </row>
    <row r="1425" spans="1:12" ht="16.5" customHeight="1" x14ac:dyDescent="0.35">
      <c r="A1425" t="s">
        <v>668</v>
      </c>
      <c r="B1425" t="s">
        <v>668</v>
      </c>
      <c r="C1425">
        <v>0</v>
      </c>
      <c r="D1425">
        <v>11620</v>
      </c>
      <c r="E1425" t="s">
        <v>6024</v>
      </c>
      <c r="F1425" t="s">
        <v>3561</v>
      </c>
      <c r="G1425" t="s">
        <v>6025</v>
      </c>
      <c r="H1425" t="s">
        <v>3562</v>
      </c>
      <c r="I1425" t="s">
        <v>3490</v>
      </c>
      <c r="J1425" s="56">
        <f t="shared" si="66"/>
        <v>49</v>
      </c>
      <c r="K1425" s="74" t="str">
        <f t="shared" si="67"/>
        <v>31-60 Days</v>
      </c>
      <c r="L1425" s="58" t="str">
        <f t="shared" si="68"/>
        <v>Not Applicable</v>
      </c>
    </row>
    <row r="1426" spans="1:12" ht="16.5" customHeight="1" x14ac:dyDescent="0.35">
      <c r="A1426" t="s">
        <v>668</v>
      </c>
      <c r="B1426" t="s">
        <v>668</v>
      </c>
      <c r="C1426">
        <v>0</v>
      </c>
      <c r="D1426">
        <v>849.6</v>
      </c>
      <c r="E1426" t="s">
        <v>6026</v>
      </c>
      <c r="F1426" t="s">
        <v>6027</v>
      </c>
      <c r="G1426" t="s">
        <v>6028</v>
      </c>
      <c r="H1426" t="s">
        <v>3532</v>
      </c>
      <c r="I1426" t="s">
        <v>3490</v>
      </c>
      <c r="J1426" s="56">
        <f t="shared" si="66"/>
        <v>49</v>
      </c>
      <c r="K1426" s="74" t="str">
        <f t="shared" si="67"/>
        <v>31-60 Days</v>
      </c>
      <c r="L1426" s="58" t="str">
        <f t="shared" si="68"/>
        <v>Not Applicable</v>
      </c>
    </row>
    <row r="1427" spans="1:12" ht="16.5" customHeight="1" x14ac:dyDescent="0.35">
      <c r="A1427" t="s">
        <v>668</v>
      </c>
      <c r="B1427" t="s">
        <v>668</v>
      </c>
      <c r="C1427">
        <v>0</v>
      </c>
      <c r="D1427">
        <v>1000</v>
      </c>
      <c r="E1427" t="s">
        <v>6029</v>
      </c>
      <c r="F1427" t="s">
        <v>6029</v>
      </c>
      <c r="G1427" t="s">
        <v>6030</v>
      </c>
      <c r="H1427" t="s">
        <v>3489</v>
      </c>
      <c r="I1427" t="s">
        <v>3490</v>
      </c>
      <c r="J1427" s="56">
        <f t="shared" si="66"/>
        <v>49</v>
      </c>
      <c r="K1427" s="74" t="str">
        <f t="shared" si="67"/>
        <v>31-60 Days</v>
      </c>
      <c r="L1427" s="58" t="str">
        <f t="shared" si="68"/>
        <v>Not Applicable</v>
      </c>
    </row>
    <row r="1428" spans="1:12" ht="16.5" customHeight="1" x14ac:dyDescent="0.35">
      <c r="A1428" t="s">
        <v>668</v>
      </c>
      <c r="B1428" t="s">
        <v>668</v>
      </c>
      <c r="C1428">
        <v>0</v>
      </c>
      <c r="D1428">
        <v>600</v>
      </c>
      <c r="E1428" t="s">
        <v>6031</v>
      </c>
      <c r="F1428" t="s">
        <v>6031</v>
      </c>
      <c r="G1428" t="s">
        <v>6032</v>
      </c>
      <c r="H1428" t="s">
        <v>3489</v>
      </c>
      <c r="I1428" t="s">
        <v>3490</v>
      </c>
      <c r="J1428" s="56">
        <f t="shared" si="66"/>
        <v>49</v>
      </c>
      <c r="K1428" s="74" t="str">
        <f t="shared" si="67"/>
        <v>31-60 Days</v>
      </c>
      <c r="L1428" s="58" t="str">
        <f t="shared" si="68"/>
        <v>Not Applicable</v>
      </c>
    </row>
    <row r="1429" spans="1:12" ht="16.5" customHeight="1" x14ac:dyDescent="0.35">
      <c r="A1429" t="s">
        <v>668</v>
      </c>
      <c r="B1429" t="s">
        <v>668</v>
      </c>
      <c r="C1429">
        <v>0</v>
      </c>
      <c r="D1429">
        <v>1722</v>
      </c>
      <c r="E1429" t="s">
        <v>6033</v>
      </c>
      <c r="F1429" t="s">
        <v>6033</v>
      </c>
      <c r="G1429" t="s">
        <v>6034</v>
      </c>
      <c r="H1429" t="s">
        <v>3489</v>
      </c>
      <c r="I1429" t="s">
        <v>3490</v>
      </c>
      <c r="J1429" s="56">
        <f t="shared" si="66"/>
        <v>49</v>
      </c>
      <c r="K1429" s="74" t="str">
        <f t="shared" si="67"/>
        <v>31-60 Days</v>
      </c>
      <c r="L1429" s="58" t="str">
        <f t="shared" si="68"/>
        <v>Not Applicable</v>
      </c>
    </row>
    <row r="1430" spans="1:12" ht="16.5" customHeight="1" x14ac:dyDescent="0.35">
      <c r="A1430" t="s">
        <v>668</v>
      </c>
      <c r="B1430" t="s">
        <v>668</v>
      </c>
      <c r="C1430">
        <v>0</v>
      </c>
      <c r="D1430">
        <v>1104</v>
      </c>
      <c r="E1430" t="s">
        <v>6035</v>
      </c>
      <c r="F1430" t="s">
        <v>6036</v>
      </c>
      <c r="G1430" t="s">
        <v>6037</v>
      </c>
      <c r="H1430" t="s">
        <v>3532</v>
      </c>
      <c r="I1430" t="s">
        <v>3490</v>
      </c>
      <c r="J1430" s="56">
        <f t="shared" si="66"/>
        <v>49</v>
      </c>
      <c r="K1430" s="74" t="str">
        <f t="shared" si="67"/>
        <v>31-60 Days</v>
      </c>
      <c r="L1430" s="58" t="str">
        <f t="shared" si="68"/>
        <v>Not Applicable</v>
      </c>
    </row>
    <row r="1431" spans="1:12" ht="16.5" customHeight="1" x14ac:dyDescent="0.35">
      <c r="A1431" t="s">
        <v>668</v>
      </c>
      <c r="B1431" t="s">
        <v>668</v>
      </c>
      <c r="C1431">
        <v>153514</v>
      </c>
      <c r="D1431">
        <v>0</v>
      </c>
      <c r="E1431" t="s">
        <v>6038</v>
      </c>
      <c r="F1431" t="s">
        <v>6038</v>
      </c>
      <c r="G1431" t="s">
        <v>6039</v>
      </c>
      <c r="H1431" t="s">
        <v>6040</v>
      </c>
      <c r="I1431" t="s">
        <v>3486</v>
      </c>
      <c r="J1431" s="56">
        <f t="shared" si="66"/>
        <v>49</v>
      </c>
      <c r="K1431" s="74" t="str">
        <f t="shared" si="67"/>
        <v>31-60 Days</v>
      </c>
      <c r="L1431" s="58" t="str">
        <f t="shared" si="68"/>
        <v>Especially Mentioned</v>
      </c>
    </row>
    <row r="1432" spans="1:12" ht="16.5" customHeight="1" x14ac:dyDescent="0.35">
      <c r="A1432" t="s">
        <v>668</v>
      </c>
      <c r="B1432" t="s">
        <v>668</v>
      </c>
      <c r="C1432">
        <v>500000</v>
      </c>
      <c r="D1432">
        <v>0</v>
      </c>
      <c r="E1432" t="s">
        <v>6041</v>
      </c>
      <c r="F1432" t="s">
        <v>6041</v>
      </c>
      <c r="G1432" t="s">
        <v>6042</v>
      </c>
      <c r="H1432" t="s">
        <v>5243</v>
      </c>
      <c r="I1432" t="s">
        <v>3490</v>
      </c>
      <c r="J1432" s="56">
        <f t="shared" si="66"/>
        <v>49</v>
      </c>
      <c r="K1432" s="74" t="str">
        <f t="shared" si="67"/>
        <v>31-60 Days</v>
      </c>
      <c r="L1432" s="58" t="str">
        <f t="shared" si="68"/>
        <v>Especially Mentioned</v>
      </c>
    </row>
    <row r="1433" spans="1:12" ht="16.5" customHeight="1" x14ac:dyDescent="0.35">
      <c r="A1433" t="s">
        <v>668</v>
      </c>
      <c r="B1433" t="s">
        <v>668</v>
      </c>
      <c r="C1433">
        <v>0</v>
      </c>
      <c r="D1433">
        <v>4224.5</v>
      </c>
      <c r="E1433" t="s">
        <v>6043</v>
      </c>
      <c r="F1433" t="s">
        <v>6043</v>
      </c>
      <c r="G1433" t="s">
        <v>6044</v>
      </c>
      <c r="H1433" t="s">
        <v>3489</v>
      </c>
      <c r="I1433" t="s">
        <v>3490</v>
      </c>
      <c r="J1433" s="56">
        <f t="shared" si="66"/>
        <v>49</v>
      </c>
      <c r="K1433" s="74" t="str">
        <f t="shared" si="67"/>
        <v>31-60 Days</v>
      </c>
      <c r="L1433" s="58" t="str">
        <f t="shared" si="68"/>
        <v>Not Applicable</v>
      </c>
    </row>
    <row r="1434" spans="1:12" ht="16.5" customHeight="1" x14ac:dyDescent="0.35">
      <c r="A1434" t="s">
        <v>668</v>
      </c>
      <c r="B1434" t="s">
        <v>668</v>
      </c>
      <c r="C1434">
        <v>0</v>
      </c>
      <c r="D1434">
        <v>900</v>
      </c>
      <c r="E1434" t="s">
        <v>6045</v>
      </c>
      <c r="F1434" t="s">
        <v>6045</v>
      </c>
      <c r="G1434" t="s">
        <v>6046</v>
      </c>
      <c r="H1434" t="s">
        <v>3489</v>
      </c>
      <c r="I1434" t="s">
        <v>3490</v>
      </c>
      <c r="J1434" s="56">
        <f t="shared" si="66"/>
        <v>49</v>
      </c>
      <c r="K1434" s="74" t="str">
        <f t="shared" si="67"/>
        <v>31-60 Days</v>
      </c>
      <c r="L1434" s="58" t="str">
        <f t="shared" si="68"/>
        <v>Not Applicable</v>
      </c>
    </row>
    <row r="1435" spans="1:12" ht="16.5" customHeight="1" x14ac:dyDescent="0.35">
      <c r="A1435" t="s">
        <v>668</v>
      </c>
      <c r="B1435" t="s">
        <v>668</v>
      </c>
      <c r="C1435">
        <v>0</v>
      </c>
      <c r="D1435">
        <v>1890</v>
      </c>
      <c r="E1435" t="s">
        <v>6047</v>
      </c>
      <c r="F1435" t="s">
        <v>3574</v>
      </c>
      <c r="G1435" t="s">
        <v>6048</v>
      </c>
      <c r="H1435" t="s">
        <v>3489</v>
      </c>
      <c r="I1435" t="s">
        <v>3490</v>
      </c>
      <c r="J1435" s="56">
        <f t="shared" si="66"/>
        <v>49</v>
      </c>
      <c r="K1435" s="74" t="str">
        <f t="shared" si="67"/>
        <v>31-60 Days</v>
      </c>
      <c r="L1435" s="58" t="str">
        <f t="shared" si="68"/>
        <v>Not Applicable</v>
      </c>
    </row>
    <row r="1436" spans="1:12" ht="16.5" customHeight="1" x14ac:dyDescent="0.35">
      <c r="A1436" t="s">
        <v>668</v>
      </c>
      <c r="B1436" t="s">
        <v>668</v>
      </c>
      <c r="C1436">
        <v>0</v>
      </c>
      <c r="D1436">
        <v>2050</v>
      </c>
      <c r="E1436" t="s">
        <v>6049</v>
      </c>
      <c r="F1436" t="s">
        <v>6049</v>
      </c>
      <c r="G1436" t="s">
        <v>6050</v>
      </c>
      <c r="H1436" t="s">
        <v>3489</v>
      </c>
      <c r="I1436" t="s">
        <v>3490</v>
      </c>
      <c r="J1436" s="56">
        <f t="shared" si="66"/>
        <v>49</v>
      </c>
      <c r="K1436" s="74" t="str">
        <f t="shared" si="67"/>
        <v>31-60 Days</v>
      </c>
      <c r="L1436" s="58" t="str">
        <f t="shared" si="68"/>
        <v>Not Applicable</v>
      </c>
    </row>
    <row r="1437" spans="1:12" ht="16.5" customHeight="1" x14ac:dyDescent="0.35">
      <c r="A1437" t="s">
        <v>668</v>
      </c>
      <c r="B1437" t="s">
        <v>668</v>
      </c>
      <c r="C1437">
        <v>2538</v>
      </c>
      <c r="D1437">
        <v>0</v>
      </c>
      <c r="E1437" t="s">
        <v>6051</v>
      </c>
      <c r="F1437" t="s">
        <v>6051</v>
      </c>
      <c r="G1437" t="s">
        <v>6052</v>
      </c>
      <c r="H1437" t="s">
        <v>6053</v>
      </c>
      <c r="I1437" t="s">
        <v>3490</v>
      </c>
      <c r="J1437" s="56">
        <f t="shared" si="66"/>
        <v>49</v>
      </c>
      <c r="K1437" s="74" t="str">
        <f t="shared" si="67"/>
        <v>31-60 Days</v>
      </c>
      <c r="L1437" s="58" t="str">
        <f t="shared" si="68"/>
        <v>Especially Mentioned</v>
      </c>
    </row>
    <row r="1438" spans="1:12" ht="16.5" customHeight="1" x14ac:dyDescent="0.35">
      <c r="A1438" t="s">
        <v>668</v>
      </c>
      <c r="B1438" t="s">
        <v>668</v>
      </c>
      <c r="C1438">
        <v>0</v>
      </c>
      <c r="D1438">
        <v>15000</v>
      </c>
      <c r="E1438" t="s">
        <v>6054</v>
      </c>
      <c r="F1438" t="s">
        <v>6054</v>
      </c>
      <c r="G1438" t="s">
        <v>6055</v>
      </c>
      <c r="H1438" t="s">
        <v>3638</v>
      </c>
      <c r="I1438" t="s">
        <v>3490</v>
      </c>
      <c r="J1438" s="56">
        <f t="shared" si="66"/>
        <v>49</v>
      </c>
      <c r="K1438" s="74" t="str">
        <f t="shared" si="67"/>
        <v>31-60 Days</v>
      </c>
      <c r="L1438" s="58" t="str">
        <f t="shared" si="68"/>
        <v>Not Applicable</v>
      </c>
    </row>
    <row r="1439" spans="1:12" ht="16.5" customHeight="1" x14ac:dyDescent="0.35">
      <c r="A1439" t="s">
        <v>668</v>
      </c>
      <c r="B1439" t="s">
        <v>668</v>
      </c>
      <c r="C1439">
        <v>0</v>
      </c>
      <c r="D1439">
        <v>1104</v>
      </c>
      <c r="E1439" t="s">
        <v>6056</v>
      </c>
      <c r="F1439" t="s">
        <v>6057</v>
      </c>
      <c r="G1439" t="s">
        <v>6058</v>
      </c>
      <c r="H1439" t="s">
        <v>3532</v>
      </c>
      <c r="I1439" t="s">
        <v>3490</v>
      </c>
      <c r="J1439" s="56">
        <f t="shared" si="66"/>
        <v>49</v>
      </c>
      <c r="K1439" s="74" t="str">
        <f t="shared" si="67"/>
        <v>31-60 Days</v>
      </c>
      <c r="L1439" s="58" t="str">
        <f t="shared" si="68"/>
        <v>Not Applicable</v>
      </c>
    </row>
    <row r="1440" spans="1:12" ht="16.5" customHeight="1" x14ac:dyDescent="0.35">
      <c r="A1440" t="s">
        <v>668</v>
      </c>
      <c r="B1440" t="s">
        <v>668</v>
      </c>
      <c r="C1440">
        <v>0</v>
      </c>
      <c r="D1440">
        <v>50</v>
      </c>
      <c r="E1440" t="s">
        <v>6059</v>
      </c>
      <c r="F1440" t="s">
        <v>6059</v>
      </c>
      <c r="G1440" t="s">
        <v>6060</v>
      </c>
      <c r="H1440" t="s">
        <v>3489</v>
      </c>
      <c r="I1440" t="s">
        <v>3490</v>
      </c>
      <c r="J1440" s="56">
        <f t="shared" si="66"/>
        <v>49</v>
      </c>
      <c r="K1440" s="74" t="str">
        <f t="shared" si="67"/>
        <v>31-60 Days</v>
      </c>
      <c r="L1440" s="58" t="str">
        <f t="shared" si="68"/>
        <v>Not Applicable</v>
      </c>
    </row>
    <row r="1441" spans="1:12" ht="16.5" customHeight="1" x14ac:dyDescent="0.35">
      <c r="A1441" t="s">
        <v>668</v>
      </c>
      <c r="B1441" t="s">
        <v>668</v>
      </c>
      <c r="C1441">
        <v>0</v>
      </c>
      <c r="D1441">
        <v>708</v>
      </c>
      <c r="E1441" t="s">
        <v>6061</v>
      </c>
      <c r="F1441" t="s">
        <v>6062</v>
      </c>
      <c r="G1441" t="s">
        <v>6063</v>
      </c>
      <c r="H1441" t="s">
        <v>3532</v>
      </c>
      <c r="I1441" t="s">
        <v>3490</v>
      </c>
      <c r="J1441" s="56">
        <f t="shared" si="66"/>
        <v>49</v>
      </c>
      <c r="K1441" s="74" t="str">
        <f t="shared" si="67"/>
        <v>31-60 Days</v>
      </c>
      <c r="L1441" s="58" t="str">
        <f t="shared" si="68"/>
        <v>Not Applicable</v>
      </c>
    </row>
    <row r="1442" spans="1:12" ht="16.5" customHeight="1" x14ac:dyDescent="0.35">
      <c r="A1442" t="s">
        <v>668</v>
      </c>
      <c r="B1442" t="s">
        <v>668</v>
      </c>
      <c r="C1442">
        <v>1000000</v>
      </c>
      <c r="D1442">
        <v>0</v>
      </c>
      <c r="E1442" t="s">
        <v>6064</v>
      </c>
      <c r="F1442" t="s">
        <v>6064</v>
      </c>
      <c r="G1442" t="s">
        <v>6065</v>
      </c>
      <c r="H1442" t="s">
        <v>5243</v>
      </c>
      <c r="I1442" t="s">
        <v>3490</v>
      </c>
      <c r="J1442" s="56">
        <f t="shared" si="66"/>
        <v>49</v>
      </c>
      <c r="K1442" s="74" t="str">
        <f t="shared" si="67"/>
        <v>31-60 Days</v>
      </c>
      <c r="L1442" s="58" t="str">
        <f t="shared" si="68"/>
        <v>Especially Mentioned</v>
      </c>
    </row>
    <row r="1443" spans="1:12" ht="16.5" customHeight="1" x14ac:dyDescent="0.35">
      <c r="A1443" t="s">
        <v>668</v>
      </c>
      <c r="B1443" t="s">
        <v>668</v>
      </c>
      <c r="C1443">
        <v>0</v>
      </c>
      <c r="D1443">
        <v>1048</v>
      </c>
      <c r="E1443" t="s">
        <v>6066</v>
      </c>
      <c r="F1443" t="s">
        <v>6067</v>
      </c>
      <c r="G1443" t="s">
        <v>6068</v>
      </c>
      <c r="H1443" t="s">
        <v>3532</v>
      </c>
      <c r="I1443" t="s">
        <v>3490</v>
      </c>
      <c r="J1443" s="56">
        <f t="shared" si="66"/>
        <v>49</v>
      </c>
      <c r="K1443" s="74" t="str">
        <f t="shared" si="67"/>
        <v>31-60 Days</v>
      </c>
      <c r="L1443" s="58" t="str">
        <f t="shared" si="68"/>
        <v>Not Applicable</v>
      </c>
    </row>
    <row r="1444" spans="1:12" ht="16.5" customHeight="1" x14ac:dyDescent="0.35">
      <c r="A1444" t="s">
        <v>668</v>
      </c>
      <c r="B1444" t="s">
        <v>668</v>
      </c>
      <c r="C1444">
        <v>0</v>
      </c>
      <c r="D1444">
        <v>141.6</v>
      </c>
      <c r="E1444" t="s">
        <v>6069</v>
      </c>
      <c r="F1444" t="s">
        <v>6070</v>
      </c>
      <c r="G1444" t="s">
        <v>6071</v>
      </c>
      <c r="H1444" t="s">
        <v>3532</v>
      </c>
      <c r="I1444" t="s">
        <v>3490</v>
      </c>
      <c r="J1444" s="56">
        <f t="shared" si="66"/>
        <v>49</v>
      </c>
      <c r="K1444" s="74" t="str">
        <f t="shared" si="67"/>
        <v>31-60 Days</v>
      </c>
      <c r="L1444" s="58" t="str">
        <f t="shared" si="68"/>
        <v>Not Applicable</v>
      </c>
    </row>
    <row r="1445" spans="1:12" ht="16.5" customHeight="1" x14ac:dyDescent="0.35">
      <c r="A1445" t="s">
        <v>668</v>
      </c>
      <c r="B1445" t="s">
        <v>668</v>
      </c>
      <c r="C1445">
        <v>0</v>
      </c>
      <c r="D1445">
        <v>250</v>
      </c>
      <c r="E1445" t="s">
        <v>6072</v>
      </c>
      <c r="F1445" t="s">
        <v>6072</v>
      </c>
      <c r="G1445" t="s">
        <v>6073</v>
      </c>
      <c r="H1445" t="s">
        <v>3489</v>
      </c>
      <c r="I1445" t="s">
        <v>3490</v>
      </c>
      <c r="J1445" s="56">
        <f t="shared" si="66"/>
        <v>49</v>
      </c>
      <c r="K1445" s="74" t="str">
        <f t="shared" si="67"/>
        <v>31-60 Days</v>
      </c>
      <c r="L1445" s="58" t="str">
        <f t="shared" si="68"/>
        <v>Not Applicable</v>
      </c>
    </row>
    <row r="1446" spans="1:12" ht="16.5" customHeight="1" x14ac:dyDescent="0.35">
      <c r="A1446" t="s">
        <v>668</v>
      </c>
      <c r="B1446" t="s">
        <v>668</v>
      </c>
      <c r="C1446">
        <v>0</v>
      </c>
      <c r="D1446">
        <v>2056</v>
      </c>
      <c r="E1446" t="s">
        <v>6074</v>
      </c>
      <c r="F1446" t="s">
        <v>6074</v>
      </c>
      <c r="G1446" t="s">
        <v>6075</v>
      </c>
      <c r="H1446" t="s">
        <v>3489</v>
      </c>
      <c r="I1446" t="s">
        <v>3490</v>
      </c>
      <c r="J1446" s="56">
        <f t="shared" si="66"/>
        <v>49</v>
      </c>
      <c r="K1446" s="74" t="str">
        <f t="shared" si="67"/>
        <v>31-60 Days</v>
      </c>
      <c r="L1446" s="58" t="str">
        <f t="shared" si="68"/>
        <v>Not Applicable</v>
      </c>
    </row>
    <row r="1447" spans="1:12" ht="16.5" customHeight="1" x14ac:dyDescent="0.35">
      <c r="A1447" t="s">
        <v>668</v>
      </c>
      <c r="B1447" t="s">
        <v>668</v>
      </c>
      <c r="C1447">
        <v>0</v>
      </c>
      <c r="D1447">
        <v>1000</v>
      </c>
      <c r="E1447" t="s">
        <v>6076</v>
      </c>
      <c r="F1447" t="s">
        <v>6077</v>
      </c>
      <c r="G1447" t="s">
        <v>6078</v>
      </c>
      <c r="H1447" t="s">
        <v>3489</v>
      </c>
      <c r="I1447" t="s">
        <v>3490</v>
      </c>
      <c r="J1447" s="56">
        <f t="shared" si="66"/>
        <v>49</v>
      </c>
      <c r="K1447" s="74" t="str">
        <f t="shared" si="67"/>
        <v>31-60 Days</v>
      </c>
      <c r="L1447" s="58" t="str">
        <f t="shared" si="68"/>
        <v>Not Applicable</v>
      </c>
    </row>
    <row r="1448" spans="1:12" ht="16.5" customHeight="1" x14ac:dyDescent="0.35">
      <c r="A1448" t="s">
        <v>668</v>
      </c>
      <c r="B1448" t="s">
        <v>668</v>
      </c>
      <c r="C1448">
        <v>0</v>
      </c>
      <c r="D1448">
        <v>250</v>
      </c>
      <c r="E1448" t="s">
        <v>6079</v>
      </c>
      <c r="F1448" t="s">
        <v>6079</v>
      </c>
      <c r="G1448" t="s">
        <v>6080</v>
      </c>
      <c r="H1448" t="s">
        <v>3489</v>
      </c>
      <c r="I1448" t="s">
        <v>3490</v>
      </c>
      <c r="J1448" s="56">
        <f t="shared" si="66"/>
        <v>49</v>
      </c>
      <c r="K1448" s="74" t="str">
        <f t="shared" si="67"/>
        <v>31-60 Days</v>
      </c>
      <c r="L1448" s="58" t="str">
        <f t="shared" si="68"/>
        <v>Not Applicable</v>
      </c>
    </row>
    <row r="1449" spans="1:12" ht="16.5" customHeight="1" x14ac:dyDescent="0.35">
      <c r="A1449" t="s">
        <v>668</v>
      </c>
      <c r="B1449" t="s">
        <v>668</v>
      </c>
      <c r="C1449">
        <v>0</v>
      </c>
      <c r="D1449">
        <v>250</v>
      </c>
      <c r="E1449" t="s">
        <v>6081</v>
      </c>
      <c r="F1449" t="s">
        <v>6081</v>
      </c>
      <c r="G1449" t="s">
        <v>6082</v>
      </c>
      <c r="H1449" t="s">
        <v>3489</v>
      </c>
      <c r="I1449" t="s">
        <v>3490</v>
      </c>
      <c r="J1449" s="56">
        <f t="shared" si="66"/>
        <v>49</v>
      </c>
      <c r="K1449" s="74" t="str">
        <f t="shared" si="67"/>
        <v>31-60 Days</v>
      </c>
      <c r="L1449" s="58" t="str">
        <f t="shared" si="68"/>
        <v>Not Applicable</v>
      </c>
    </row>
    <row r="1450" spans="1:12" ht="16.5" customHeight="1" x14ac:dyDescent="0.35">
      <c r="A1450" t="s">
        <v>668</v>
      </c>
      <c r="B1450" t="s">
        <v>668</v>
      </c>
      <c r="C1450">
        <v>0</v>
      </c>
      <c r="D1450">
        <v>800</v>
      </c>
      <c r="E1450" t="s">
        <v>6083</v>
      </c>
      <c r="F1450" t="s">
        <v>6084</v>
      </c>
      <c r="G1450" t="s">
        <v>6085</v>
      </c>
      <c r="H1450" t="s">
        <v>3532</v>
      </c>
      <c r="I1450" t="s">
        <v>3490</v>
      </c>
      <c r="J1450" s="56">
        <f t="shared" si="66"/>
        <v>49</v>
      </c>
      <c r="K1450" s="74" t="str">
        <f t="shared" si="67"/>
        <v>31-60 Days</v>
      </c>
      <c r="L1450" s="58" t="str">
        <f t="shared" si="68"/>
        <v>Not Applicable</v>
      </c>
    </row>
    <row r="1451" spans="1:12" ht="16.5" customHeight="1" x14ac:dyDescent="0.35">
      <c r="A1451" t="s">
        <v>668</v>
      </c>
      <c r="B1451" t="s">
        <v>668</v>
      </c>
      <c r="C1451">
        <v>0</v>
      </c>
      <c r="D1451">
        <v>600</v>
      </c>
      <c r="E1451" t="s">
        <v>6086</v>
      </c>
      <c r="F1451" t="s">
        <v>6086</v>
      </c>
      <c r="G1451" t="s">
        <v>6087</v>
      </c>
      <c r="H1451" t="s">
        <v>3532</v>
      </c>
      <c r="I1451" t="s">
        <v>3490</v>
      </c>
      <c r="J1451" s="56">
        <f t="shared" si="66"/>
        <v>49</v>
      </c>
      <c r="K1451" s="74" t="str">
        <f t="shared" si="67"/>
        <v>31-60 Days</v>
      </c>
      <c r="L1451" s="58" t="str">
        <f t="shared" si="68"/>
        <v>Not Applicable</v>
      </c>
    </row>
    <row r="1452" spans="1:12" ht="16.5" customHeight="1" x14ac:dyDescent="0.35">
      <c r="A1452" t="s">
        <v>668</v>
      </c>
      <c r="B1452" t="s">
        <v>668</v>
      </c>
      <c r="C1452">
        <v>1476614.78</v>
      </c>
      <c r="D1452">
        <v>0</v>
      </c>
      <c r="E1452" t="s">
        <v>6088</v>
      </c>
      <c r="F1452" t="s">
        <v>6088</v>
      </c>
      <c r="G1452" t="s">
        <v>6089</v>
      </c>
      <c r="H1452" t="s">
        <v>3455</v>
      </c>
      <c r="I1452" t="s">
        <v>3486</v>
      </c>
      <c r="J1452" s="56">
        <f t="shared" si="66"/>
        <v>49</v>
      </c>
      <c r="K1452" s="74" t="str">
        <f t="shared" si="67"/>
        <v>31-60 Days</v>
      </c>
      <c r="L1452" s="58" t="str">
        <f t="shared" si="68"/>
        <v>Especially Mentioned</v>
      </c>
    </row>
    <row r="1453" spans="1:12" ht="16.5" customHeight="1" x14ac:dyDescent="0.35">
      <c r="A1453" t="s">
        <v>668</v>
      </c>
      <c r="B1453" t="s">
        <v>668</v>
      </c>
      <c r="C1453">
        <v>0</v>
      </c>
      <c r="D1453">
        <v>600</v>
      </c>
      <c r="E1453" t="s">
        <v>6090</v>
      </c>
      <c r="F1453" t="s">
        <v>6090</v>
      </c>
      <c r="G1453" t="s">
        <v>6091</v>
      </c>
      <c r="H1453" t="s">
        <v>3489</v>
      </c>
      <c r="I1453" t="s">
        <v>3490</v>
      </c>
      <c r="J1453" s="56">
        <f t="shared" si="66"/>
        <v>49</v>
      </c>
      <c r="K1453" s="74" t="str">
        <f t="shared" si="67"/>
        <v>31-60 Days</v>
      </c>
      <c r="L1453" s="58" t="str">
        <f t="shared" si="68"/>
        <v>Not Applicable</v>
      </c>
    </row>
    <row r="1454" spans="1:12" ht="16.5" customHeight="1" x14ac:dyDescent="0.35">
      <c r="A1454" t="s">
        <v>668</v>
      </c>
      <c r="B1454" t="s">
        <v>668</v>
      </c>
      <c r="C1454">
        <v>0</v>
      </c>
      <c r="D1454">
        <v>1000</v>
      </c>
      <c r="E1454" t="s">
        <v>6092</v>
      </c>
      <c r="F1454" t="s">
        <v>3499</v>
      </c>
      <c r="G1454" t="s">
        <v>6093</v>
      </c>
      <c r="H1454" t="s">
        <v>3489</v>
      </c>
      <c r="I1454" t="s">
        <v>3490</v>
      </c>
      <c r="J1454" s="56">
        <f t="shared" si="66"/>
        <v>49</v>
      </c>
      <c r="K1454" s="74" t="str">
        <f t="shared" si="67"/>
        <v>31-60 Days</v>
      </c>
      <c r="L1454" s="58" t="str">
        <f t="shared" si="68"/>
        <v>Not Applicable</v>
      </c>
    </row>
    <row r="1455" spans="1:12" ht="16.5" customHeight="1" x14ac:dyDescent="0.35">
      <c r="A1455" t="s">
        <v>668</v>
      </c>
      <c r="B1455" t="s">
        <v>668</v>
      </c>
      <c r="C1455">
        <v>0</v>
      </c>
      <c r="D1455">
        <v>1000</v>
      </c>
      <c r="E1455" t="s">
        <v>6094</v>
      </c>
      <c r="F1455" t="s">
        <v>6094</v>
      </c>
      <c r="G1455" t="s">
        <v>6095</v>
      </c>
      <c r="H1455" t="s">
        <v>3489</v>
      </c>
      <c r="I1455" t="s">
        <v>3490</v>
      </c>
      <c r="J1455" s="56">
        <f t="shared" si="66"/>
        <v>49</v>
      </c>
      <c r="K1455" s="74" t="str">
        <f t="shared" si="67"/>
        <v>31-60 Days</v>
      </c>
      <c r="L1455" s="58" t="str">
        <f t="shared" si="68"/>
        <v>Not Applicable</v>
      </c>
    </row>
    <row r="1456" spans="1:12" ht="16.5" customHeight="1" x14ac:dyDescent="0.35">
      <c r="A1456" t="s">
        <v>668</v>
      </c>
      <c r="B1456" t="s">
        <v>668</v>
      </c>
      <c r="C1456">
        <v>0</v>
      </c>
      <c r="D1456">
        <v>140</v>
      </c>
      <c r="E1456" t="s">
        <v>6096</v>
      </c>
      <c r="F1456" t="s">
        <v>6096</v>
      </c>
      <c r="G1456" t="s">
        <v>6097</v>
      </c>
      <c r="H1456" t="s">
        <v>3489</v>
      </c>
      <c r="I1456" t="s">
        <v>3490</v>
      </c>
      <c r="J1456" s="56">
        <f t="shared" si="66"/>
        <v>49</v>
      </c>
      <c r="K1456" s="74" t="str">
        <f t="shared" si="67"/>
        <v>31-60 Days</v>
      </c>
      <c r="L1456" s="58" t="str">
        <f t="shared" si="68"/>
        <v>Not Applicable</v>
      </c>
    </row>
    <row r="1457" spans="1:12" ht="16.5" customHeight="1" x14ac:dyDescent="0.35">
      <c r="A1457" t="s">
        <v>668</v>
      </c>
      <c r="B1457" t="s">
        <v>668</v>
      </c>
      <c r="C1457">
        <v>0</v>
      </c>
      <c r="D1457">
        <v>250</v>
      </c>
      <c r="E1457" t="s">
        <v>6098</v>
      </c>
      <c r="F1457" t="s">
        <v>6098</v>
      </c>
      <c r="G1457" t="s">
        <v>6099</v>
      </c>
      <c r="H1457" t="s">
        <v>3489</v>
      </c>
      <c r="I1457" t="s">
        <v>3490</v>
      </c>
      <c r="J1457" s="56">
        <f t="shared" si="66"/>
        <v>49</v>
      </c>
      <c r="K1457" s="74" t="str">
        <f t="shared" si="67"/>
        <v>31-60 Days</v>
      </c>
      <c r="L1457" s="58" t="str">
        <f t="shared" si="68"/>
        <v>Not Applicable</v>
      </c>
    </row>
    <row r="1458" spans="1:12" ht="16.5" customHeight="1" x14ac:dyDescent="0.35">
      <c r="A1458" t="s">
        <v>668</v>
      </c>
      <c r="B1458" t="s">
        <v>668</v>
      </c>
      <c r="C1458">
        <v>0</v>
      </c>
      <c r="D1458">
        <v>4632</v>
      </c>
      <c r="E1458" t="s">
        <v>6100</v>
      </c>
      <c r="F1458" t="s">
        <v>6101</v>
      </c>
      <c r="G1458" t="s">
        <v>6102</v>
      </c>
      <c r="H1458" t="s">
        <v>3532</v>
      </c>
      <c r="I1458" t="s">
        <v>3490</v>
      </c>
      <c r="J1458" s="56">
        <f t="shared" si="66"/>
        <v>49</v>
      </c>
      <c r="K1458" s="74" t="str">
        <f t="shared" si="67"/>
        <v>31-60 Days</v>
      </c>
      <c r="L1458" s="58" t="str">
        <f t="shared" si="68"/>
        <v>Not Applicable</v>
      </c>
    </row>
    <row r="1459" spans="1:12" ht="16.5" customHeight="1" x14ac:dyDescent="0.35">
      <c r="A1459" t="s">
        <v>668</v>
      </c>
      <c r="B1459" t="s">
        <v>668</v>
      </c>
      <c r="C1459">
        <v>3970</v>
      </c>
      <c r="D1459">
        <v>0</v>
      </c>
      <c r="E1459" t="s">
        <v>6103</v>
      </c>
      <c r="F1459" t="s">
        <v>6103</v>
      </c>
      <c r="G1459" t="s">
        <v>6104</v>
      </c>
      <c r="H1459" t="s">
        <v>6053</v>
      </c>
      <c r="I1459" t="s">
        <v>3490</v>
      </c>
      <c r="J1459" s="56">
        <f t="shared" si="66"/>
        <v>49</v>
      </c>
      <c r="K1459" s="74" t="str">
        <f t="shared" si="67"/>
        <v>31-60 Days</v>
      </c>
      <c r="L1459" s="58" t="str">
        <f t="shared" si="68"/>
        <v>Especially Mentioned</v>
      </c>
    </row>
    <row r="1460" spans="1:12" ht="16.5" customHeight="1" x14ac:dyDescent="0.35">
      <c r="A1460" t="s">
        <v>668</v>
      </c>
      <c r="B1460" t="s">
        <v>668</v>
      </c>
      <c r="C1460">
        <v>2000000</v>
      </c>
      <c r="D1460">
        <v>0</v>
      </c>
      <c r="E1460" t="s">
        <v>6105</v>
      </c>
      <c r="F1460" t="s">
        <v>6105</v>
      </c>
      <c r="G1460" t="s">
        <v>6106</v>
      </c>
      <c r="H1460" t="s">
        <v>3455</v>
      </c>
      <c r="I1460" t="s">
        <v>3490</v>
      </c>
      <c r="J1460" s="56">
        <f t="shared" si="66"/>
        <v>49</v>
      </c>
      <c r="K1460" s="74" t="str">
        <f t="shared" si="67"/>
        <v>31-60 Days</v>
      </c>
      <c r="L1460" s="58" t="str">
        <f t="shared" si="68"/>
        <v>Especially Mentioned</v>
      </c>
    </row>
    <row r="1461" spans="1:12" ht="16.5" customHeight="1" x14ac:dyDescent="0.35">
      <c r="A1461" t="s">
        <v>668</v>
      </c>
      <c r="B1461" t="s">
        <v>668</v>
      </c>
      <c r="C1461">
        <v>0</v>
      </c>
      <c r="D1461">
        <v>500</v>
      </c>
      <c r="E1461" t="s">
        <v>6107</v>
      </c>
      <c r="F1461" t="s">
        <v>6107</v>
      </c>
      <c r="G1461" t="s">
        <v>6108</v>
      </c>
      <c r="H1461" t="s">
        <v>3489</v>
      </c>
      <c r="I1461" t="s">
        <v>3490</v>
      </c>
      <c r="J1461" s="56">
        <f t="shared" si="66"/>
        <v>49</v>
      </c>
      <c r="K1461" s="74" t="str">
        <f t="shared" si="67"/>
        <v>31-60 Days</v>
      </c>
      <c r="L1461" s="58" t="str">
        <f t="shared" si="68"/>
        <v>Not Applicable</v>
      </c>
    </row>
    <row r="1462" spans="1:12" ht="16.5" customHeight="1" x14ac:dyDescent="0.35">
      <c r="A1462" t="s">
        <v>668</v>
      </c>
      <c r="B1462" t="s">
        <v>668</v>
      </c>
      <c r="C1462">
        <v>0</v>
      </c>
      <c r="D1462">
        <v>141.6</v>
      </c>
      <c r="E1462" t="s">
        <v>6109</v>
      </c>
      <c r="F1462" t="s">
        <v>6110</v>
      </c>
      <c r="G1462" t="s">
        <v>6111</v>
      </c>
      <c r="H1462" t="s">
        <v>3532</v>
      </c>
      <c r="I1462" t="s">
        <v>3490</v>
      </c>
      <c r="J1462" s="56">
        <f t="shared" si="66"/>
        <v>49</v>
      </c>
      <c r="K1462" s="74" t="str">
        <f t="shared" si="67"/>
        <v>31-60 Days</v>
      </c>
      <c r="L1462" s="58" t="str">
        <f t="shared" si="68"/>
        <v>Not Applicable</v>
      </c>
    </row>
    <row r="1463" spans="1:12" ht="16.5" customHeight="1" x14ac:dyDescent="0.35">
      <c r="A1463" t="s">
        <v>668</v>
      </c>
      <c r="B1463" t="s">
        <v>668</v>
      </c>
      <c r="C1463">
        <v>0</v>
      </c>
      <c r="D1463">
        <v>1000</v>
      </c>
      <c r="E1463" t="s">
        <v>6112</v>
      </c>
      <c r="F1463" t="s">
        <v>6113</v>
      </c>
      <c r="G1463" t="s">
        <v>6114</v>
      </c>
      <c r="H1463" t="s">
        <v>3532</v>
      </c>
      <c r="I1463" t="s">
        <v>3490</v>
      </c>
      <c r="J1463" s="56">
        <f t="shared" si="66"/>
        <v>49</v>
      </c>
      <c r="K1463" s="74" t="str">
        <f t="shared" si="67"/>
        <v>31-60 Days</v>
      </c>
      <c r="L1463" s="58" t="str">
        <f t="shared" si="68"/>
        <v>Not Applicable</v>
      </c>
    </row>
    <row r="1464" spans="1:12" ht="16.5" customHeight="1" x14ac:dyDescent="0.35">
      <c r="A1464" t="s">
        <v>668</v>
      </c>
      <c r="B1464" t="s">
        <v>668</v>
      </c>
      <c r="C1464">
        <v>0</v>
      </c>
      <c r="D1464">
        <v>250</v>
      </c>
      <c r="E1464" t="s">
        <v>6115</v>
      </c>
      <c r="F1464" t="s">
        <v>6115</v>
      </c>
      <c r="G1464" t="s">
        <v>6116</v>
      </c>
      <c r="H1464" t="s">
        <v>3489</v>
      </c>
      <c r="I1464" t="s">
        <v>3490</v>
      </c>
      <c r="J1464" s="56">
        <f t="shared" si="66"/>
        <v>49</v>
      </c>
      <c r="K1464" s="74" t="str">
        <f t="shared" si="67"/>
        <v>31-60 Days</v>
      </c>
      <c r="L1464" s="58" t="str">
        <f t="shared" si="68"/>
        <v>Not Applicable</v>
      </c>
    </row>
    <row r="1465" spans="1:12" ht="16.5" customHeight="1" x14ac:dyDescent="0.35">
      <c r="A1465" t="s">
        <v>668</v>
      </c>
      <c r="B1465" t="s">
        <v>668</v>
      </c>
      <c r="C1465">
        <v>0</v>
      </c>
      <c r="D1465">
        <v>50</v>
      </c>
      <c r="E1465" t="s">
        <v>6117</v>
      </c>
      <c r="F1465" t="s">
        <v>6117</v>
      </c>
      <c r="G1465" t="s">
        <v>6118</v>
      </c>
      <c r="H1465" t="s">
        <v>3489</v>
      </c>
      <c r="I1465" t="s">
        <v>3490</v>
      </c>
      <c r="J1465" s="56">
        <f t="shared" si="66"/>
        <v>49</v>
      </c>
      <c r="K1465" s="74" t="str">
        <f t="shared" si="67"/>
        <v>31-60 Days</v>
      </c>
      <c r="L1465" s="58" t="str">
        <f t="shared" si="68"/>
        <v>Not Applicable</v>
      </c>
    </row>
    <row r="1466" spans="1:12" ht="16.5" customHeight="1" x14ac:dyDescent="0.35">
      <c r="A1466" t="s">
        <v>668</v>
      </c>
      <c r="B1466" t="s">
        <v>668</v>
      </c>
      <c r="C1466">
        <v>0</v>
      </c>
      <c r="D1466">
        <v>50</v>
      </c>
      <c r="E1466" t="s">
        <v>6119</v>
      </c>
      <c r="F1466" t="s">
        <v>6119</v>
      </c>
      <c r="G1466" t="s">
        <v>6120</v>
      </c>
      <c r="H1466" t="s">
        <v>3489</v>
      </c>
      <c r="I1466" t="s">
        <v>3490</v>
      </c>
      <c r="J1466" s="56">
        <f t="shared" si="66"/>
        <v>49</v>
      </c>
      <c r="K1466" s="74" t="str">
        <f t="shared" si="67"/>
        <v>31-60 Days</v>
      </c>
      <c r="L1466" s="58" t="str">
        <f t="shared" si="68"/>
        <v>Not Applicable</v>
      </c>
    </row>
    <row r="1467" spans="1:12" ht="16.5" customHeight="1" x14ac:dyDescent="0.35">
      <c r="A1467" t="s">
        <v>668</v>
      </c>
      <c r="B1467" t="s">
        <v>668</v>
      </c>
      <c r="C1467">
        <v>2760</v>
      </c>
      <c r="D1467">
        <v>0</v>
      </c>
      <c r="E1467" t="s">
        <v>6121</v>
      </c>
      <c r="F1467" t="s">
        <v>6121</v>
      </c>
      <c r="G1467" t="s">
        <v>6122</v>
      </c>
      <c r="H1467" t="s">
        <v>3455</v>
      </c>
      <c r="I1467" t="s">
        <v>3490</v>
      </c>
      <c r="J1467" s="56">
        <f t="shared" si="66"/>
        <v>49</v>
      </c>
      <c r="K1467" s="74" t="str">
        <f t="shared" si="67"/>
        <v>31-60 Days</v>
      </c>
      <c r="L1467" s="58" t="str">
        <f t="shared" si="68"/>
        <v>Especially Mentioned</v>
      </c>
    </row>
    <row r="1468" spans="1:12" ht="16.5" customHeight="1" x14ac:dyDescent="0.35">
      <c r="A1468" t="s">
        <v>668</v>
      </c>
      <c r="B1468" t="s">
        <v>668</v>
      </c>
      <c r="C1468">
        <v>0</v>
      </c>
      <c r="D1468">
        <v>50</v>
      </c>
      <c r="E1468" t="s">
        <v>6123</v>
      </c>
      <c r="F1468" t="s">
        <v>6123</v>
      </c>
      <c r="G1468" t="s">
        <v>6124</v>
      </c>
      <c r="H1468" t="s">
        <v>3489</v>
      </c>
      <c r="I1468" t="s">
        <v>3490</v>
      </c>
      <c r="J1468" s="56">
        <f t="shared" si="66"/>
        <v>49</v>
      </c>
      <c r="K1468" s="74" t="str">
        <f t="shared" si="67"/>
        <v>31-60 Days</v>
      </c>
      <c r="L1468" s="58" t="str">
        <f t="shared" si="68"/>
        <v>Not Applicable</v>
      </c>
    </row>
    <row r="1469" spans="1:12" ht="16.5" customHeight="1" x14ac:dyDescent="0.35">
      <c r="A1469" t="s">
        <v>668</v>
      </c>
      <c r="B1469" t="s">
        <v>668</v>
      </c>
      <c r="C1469">
        <v>0</v>
      </c>
      <c r="D1469">
        <v>51583.22</v>
      </c>
      <c r="E1469" t="s">
        <v>6125</v>
      </c>
      <c r="F1469" t="s">
        <v>6125</v>
      </c>
      <c r="G1469" t="s">
        <v>57</v>
      </c>
      <c r="H1469" t="s">
        <v>3914</v>
      </c>
      <c r="I1469" t="s">
        <v>3643</v>
      </c>
      <c r="J1469" s="56">
        <f t="shared" si="66"/>
        <v>49</v>
      </c>
      <c r="K1469" s="74" t="str">
        <f t="shared" si="67"/>
        <v>31-60 Days</v>
      </c>
      <c r="L1469" s="58" t="str">
        <f t="shared" si="68"/>
        <v>Not Applicable</v>
      </c>
    </row>
    <row r="1470" spans="1:12" ht="16.5" customHeight="1" x14ac:dyDescent="0.35">
      <c r="A1470" t="s">
        <v>690</v>
      </c>
      <c r="B1470" t="s">
        <v>690</v>
      </c>
      <c r="C1470">
        <v>0</v>
      </c>
      <c r="D1470">
        <v>1094</v>
      </c>
      <c r="E1470" t="s">
        <v>6126</v>
      </c>
      <c r="F1470" t="s">
        <v>6126</v>
      </c>
      <c r="G1470" t="s">
        <v>6127</v>
      </c>
      <c r="H1470" t="s">
        <v>3489</v>
      </c>
      <c r="I1470" t="s">
        <v>3490</v>
      </c>
      <c r="J1470" s="56">
        <f t="shared" si="66"/>
        <v>48</v>
      </c>
      <c r="K1470" s="74" t="str">
        <f t="shared" si="67"/>
        <v>31-60 Days</v>
      </c>
      <c r="L1470" s="58" t="str">
        <f t="shared" si="68"/>
        <v>Not Applicable</v>
      </c>
    </row>
    <row r="1471" spans="1:12" ht="16.5" customHeight="1" x14ac:dyDescent="0.35">
      <c r="A1471" t="s">
        <v>690</v>
      </c>
      <c r="B1471" t="s">
        <v>690</v>
      </c>
      <c r="C1471">
        <v>48</v>
      </c>
      <c r="D1471">
        <v>0</v>
      </c>
      <c r="E1471" t="s">
        <v>6128</v>
      </c>
      <c r="F1471" t="s">
        <v>6129</v>
      </c>
      <c r="G1471" t="s">
        <v>6130</v>
      </c>
      <c r="H1471" t="s">
        <v>3476</v>
      </c>
      <c r="I1471" t="s">
        <v>3490</v>
      </c>
      <c r="J1471" s="56">
        <f t="shared" si="66"/>
        <v>48</v>
      </c>
      <c r="K1471" s="74" t="str">
        <f t="shared" si="67"/>
        <v>31-60 Days</v>
      </c>
      <c r="L1471" s="58" t="str">
        <f t="shared" si="68"/>
        <v>Especially Mentioned</v>
      </c>
    </row>
    <row r="1472" spans="1:12" ht="16.5" customHeight="1" x14ac:dyDescent="0.35">
      <c r="A1472" t="s">
        <v>690</v>
      </c>
      <c r="B1472" t="s">
        <v>690</v>
      </c>
      <c r="C1472">
        <v>114.42</v>
      </c>
      <c r="D1472">
        <v>0</v>
      </c>
      <c r="E1472" t="s">
        <v>6131</v>
      </c>
      <c r="F1472" t="s">
        <v>6132</v>
      </c>
      <c r="G1472" t="s">
        <v>6133</v>
      </c>
      <c r="H1472" t="s">
        <v>3476</v>
      </c>
      <c r="I1472" t="s">
        <v>3490</v>
      </c>
      <c r="J1472" s="56">
        <f t="shared" si="66"/>
        <v>48</v>
      </c>
      <c r="K1472" s="74" t="str">
        <f t="shared" si="67"/>
        <v>31-60 Days</v>
      </c>
      <c r="L1472" s="58" t="str">
        <f t="shared" si="68"/>
        <v>Especially Mentioned</v>
      </c>
    </row>
    <row r="1473" spans="1:12" ht="16.5" customHeight="1" x14ac:dyDescent="0.35">
      <c r="A1473" t="s">
        <v>690</v>
      </c>
      <c r="B1473" t="s">
        <v>690</v>
      </c>
      <c r="C1473">
        <v>171</v>
      </c>
      <c r="D1473">
        <v>0</v>
      </c>
      <c r="E1473" t="s">
        <v>6134</v>
      </c>
      <c r="F1473" t="s">
        <v>6135</v>
      </c>
      <c r="G1473" t="s">
        <v>6136</v>
      </c>
      <c r="H1473" t="s">
        <v>3458</v>
      </c>
      <c r="I1473" t="s">
        <v>3490</v>
      </c>
      <c r="J1473" s="56">
        <f t="shared" si="66"/>
        <v>48</v>
      </c>
      <c r="K1473" s="74" t="str">
        <f t="shared" si="67"/>
        <v>31-60 Days</v>
      </c>
      <c r="L1473" s="58" t="str">
        <f t="shared" si="68"/>
        <v>Especially Mentioned</v>
      </c>
    </row>
    <row r="1474" spans="1:12" ht="16.5" customHeight="1" x14ac:dyDescent="0.35">
      <c r="A1474" t="s">
        <v>690</v>
      </c>
      <c r="B1474" t="s">
        <v>690</v>
      </c>
      <c r="C1474">
        <v>640</v>
      </c>
      <c r="D1474">
        <v>0</v>
      </c>
      <c r="E1474" t="s">
        <v>6137</v>
      </c>
      <c r="F1474" t="s">
        <v>6138</v>
      </c>
      <c r="G1474" t="s">
        <v>6139</v>
      </c>
      <c r="H1474" t="s">
        <v>3458</v>
      </c>
      <c r="I1474" t="s">
        <v>3490</v>
      </c>
      <c r="J1474" s="56">
        <f t="shared" si="66"/>
        <v>48</v>
      </c>
      <c r="K1474" s="74" t="str">
        <f t="shared" si="67"/>
        <v>31-60 Days</v>
      </c>
      <c r="L1474" s="58" t="str">
        <f t="shared" si="68"/>
        <v>Especially Mentioned</v>
      </c>
    </row>
    <row r="1475" spans="1:12" ht="16.5" customHeight="1" x14ac:dyDescent="0.35">
      <c r="A1475" t="s">
        <v>690</v>
      </c>
      <c r="B1475" t="s">
        <v>690</v>
      </c>
      <c r="C1475">
        <v>412</v>
      </c>
      <c r="D1475">
        <v>0</v>
      </c>
      <c r="E1475" t="s">
        <v>6140</v>
      </c>
      <c r="F1475" t="s">
        <v>6141</v>
      </c>
      <c r="G1475" t="s">
        <v>6142</v>
      </c>
      <c r="H1475" t="s">
        <v>3466</v>
      </c>
      <c r="I1475" t="s">
        <v>3490</v>
      </c>
      <c r="J1475" s="56">
        <f t="shared" si="66"/>
        <v>48</v>
      </c>
      <c r="K1475" s="74" t="str">
        <f t="shared" si="67"/>
        <v>31-60 Days</v>
      </c>
      <c r="L1475" s="58" t="str">
        <f t="shared" si="68"/>
        <v>Especially Mentioned</v>
      </c>
    </row>
    <row r="1476" spans="1:12" ht="16.5" customHeight="1" x14ac:dyDescent="0.35">
      <c r="A1476" t="s">
        <v>690</v>
      </c>
      <c r="B1476" t="s">
        <v>690</v>
      </c>
      <c r="C1476">
        <v>96</v>
      </c>
      <c r="D1476">
        <v>0</v>
      </c>
      <c r="E1476" t="s">
        <v>6143</v>
      </c>
      <c r="F1476" t="s">
        <v>6144</v>
      </c>
      <c r="G1476" t="s">
        <v>6145</v>
      </c>
      <c r="H1476" t="s">
        <v>3476</v>
      </c>
      <c r="I1476" t="s">
        <v>3490</v>
      </c>
      <c r="J1476" s="56">
        <f t="shared" si="66"/>
        <v>48</v>
      </c>
      <c r="K1476" s="74" t="str">
        <f t="shared" si="67"/>
        <v>31-60 Days</v>
      </c>
      <c r="L1476" s="58" t="str">
        <f t="shared" si="68"/>
        <v>Especially Mentioned</v>
      </c>
    </row>
    <row r="1477" spans="1:12" ht="16.5" customHeight="1" x14ac:dyDescent="0.35">
      <c r="A1477" t="s">
        <v>690</v>
      </c>
      <c r="B1477" t="s">
        <v>690</v>
      </c>
      <c r="C1477">
        <v>1108.81</v>
      </c>
      <c r="D1477">
        <v>0</v>
      </c>
      <c r="E1477" t="s">
        <v>6146</v>
      </c>
      <c r="F1477" t="s">
        <v>6147</v>
      </c>
      <c r="G1477" t="s">
        <v>6148</v>
      </c>
      <c r="H1477" t="s">
        <v>3485</v>
      </c>
      <c r="I1477" t="s">
        <v>3490</v>
      </c>
      <c r="J1477" s="56">
        <f t="shared" si="66"/>
        <v>48</v>
      </c>
      <c r="K1477" s="74" t="str">
        <f t="shared" si="67"/>
        <v>31-60 Days</v>
      </c>
      <c r="L1477" s="58" t="str">
        <f t="shared" si="68"/>
        <v>Especially Mentioned</v>
      </c>
    </row>
    <row r="1478" spans="1:12" ht="16.5" customHeight="1" x14ac:dyDescent="0.35">
      <c r="A1478" t="s">
        <v>690</v>
      </c>
      <c r="B1478" t="s">
        <v>690</v>
      </c>
      <c r="C1478">
        <v>8960045.5199999996</v>
      </c>
      <c r="D1478">
        <v>0</v>
      </c>
      <c r="E1478" t="s">
        <v>6149</v>
      </c>
      <c r="F1478" t="s">
        <v>6149</v>
      </c>
      <c r="G1478" t="s">
        <v>6150</v>
      </c>
      <c r="H1478" t="s">
        <v>3455</v>
      </c>
      <c r="I1478" t="s">
        <v>3486</v>
      </c>
      <c r="J1478" s="56">
        <f t="shared" si="66"/>
        <v>48</v>
      </c>
      <c r="K1478" s="74" t="str">
        <f t="shared" si="67"/>
        <v>31-60 Days</v>
      </c>
      <c r="L1478" s="58" t="str">
        <f t="shared" si="68"/>
        <v>Especially Mentioned</v>
      </c>
    </row>
    <row r="1479" spans="1:12" ht="16.5" customHeight="1" x14ac:dyDescent="0.35">
      <c r="A1479" t="s">
        <v>690</v>
      </c>
      <c r="B1479" t="s">
        <v>690</v>
      </c>
      <c r="C1479">
        <v>2700</v>
      </c>
      <c r="D1479">
        <v>0</v>
      </c>
      <c r="E1479" t="s">
        <v>6151</v>
      </c>
      <c r="F1479" t="s">
        <v>6152</v>
      </c>
      <c r="G1479" t="s">
        <v>6153</v>
      </c>
      <c r="H1479" t="s">
        <v>3476</v>
      </c>
      <c r="I1479" t="s">
        <v>3490</v>
      </c>
      <c r="J1479" s="56">
        <f t="shared" si="66"/>
        <v>48</v>
      </c>
      <c r="K1479" s="74" t="str">
        <f t="shared" si="67"/>
        <v>31-60 Days</v>
      </c>
      <c r="L1479" s="58" t="str">
        <f t="shared" si="68"/>
        <v>Especially Mentioned</v>
      </c>
    </row>
    <row r="1480" spans="1:12" ht="16.5" customHeight="1" x14ac:dyDescent="0.35">
      <c r="A1480" t="s">
        <v>690</v>
      </c>
      <c r="B1480" t="s">
        <v>690</v>
      </c>
      <c r="C1480">
        <v>292.22000000000003</v>
      </c>
      <c r="D1480">
        <v>0</v>
      </c>
      <c r="E1480" t="s">
        <v>6154</v>
      </c>
      <c r="F1480" t="s">
        <v>6155</v>
      </c>
      <c r="G1480" t="s">
        <v>6156</v>
      </c>
      <c r="H1480" t="s">
        <v>3485</v>
      </c>
      <c r="I1480" t="s">
        <v>3490</v>
      </c>
      <c r="J1480" s="56">
        <f t="shared" si="66"/>
        <v>48</v>
      </c>
      <c r="K1480" s="74" t="str">
        <f t="shared" si="67"/>
        <v>31-60 Days</v>
      </c>
      <c r="L1480" s="58" t="str">
        <f t="shared" si="68"/>
        <v>Especially Mentioned</v>
      </c>
    </row>
    <row r="1481" spans="1:12" ht="16.5" customHeight="1" x14ac:dyDescent="0.35">
      <c r="A1481" t="s">
        <v>690</v>
      </c>
      <c r="B1481" t="s">
        <v>690</v>
      </c>
      <c r="C1481">
        <v>690</v>
      </c>
      <c r="D1481">
        <v>0</v>
      </c>
      <c r="E1481" t="s">
        <v>6157</v>
      </c>
      <c r="F1481" t="s">
        <v>6158</v>
      </c>
      <c r="G1481" t="s">
        <v>6159</v>
      </c>
      <c r="H1481" t="s">
        <v>3485</v>
      </c>
      <c r="I1481" t="s">
        <v>3490</v>
      </c>
      <c r="J1481" s="56">
        <f t="shared" ref="J1481:J1544" si="69">IF(A1481="","",A$5-A1481)</f>
        <v>48</v>
      </c>
      <c r="K1481" s="74" t="str">
        <f t="shared" ref="K1481:K1544" si="70">IF(J1481="","",IF(J1481&lt;4,"0-3 Days",IF(J1481&lt;31,"4-30 Days",IF(J1481&lt;61,"31-60 Days",IF(J1481&lt;=90,"61-90 Days",IF(J1481&gt;90,"Above 90 Days","0"))))))</f>
        <v>31-60 Days</v>
      </c>
      <c r="L1481" s="58" t="str">
        <f t="shared" ref="L1481:L1544" si="71">IF(C1481="","",IF(C1481&gt;0,IF(J1481&lt;30,"Normal",IF(J1481&lt;60,"Especially Mentioned",IF(J1481&lt;90,"Substandard",IF(J1481&lt;=180,"Doubtful",IF(J1481&gt;180,"Loss","0"))))),"Not Applicable"))</f>
        <v>Especially Mentioned</v>
      </c>
    </row>
    <row r="1482" spans="1:12" ht="16.5" customHeight="1" x14ac:dyDescent="0.35">
      <c r="A1482" t="s">
        <v>690</v>
      </c>
      <c r="B1482" t="s">
        <v>690</v>
      </c>
      <c r="C1482">
        <v>500</v>
      </c>
      <c r="D1482">
        <v>0</v>
      </c>
      <c r="E1482" t="s">
        <v>6160</v>
      </c>
      <c r="F1482" t="s">
        <v>6161</v>
      </c>
      <c r="G1482" t="s">
        <v>6162</v>
      </c>
      <c r="H1482" t="s">
        <v>3458</v>
      </c>
      <c r="I1482" t="s">
        <v>3490</v>
      </c>
      <c r="J1482" s="56">
        <f t="shared" si="69"/>
        <v>48</v>
      </c>
      <c r="K1482" s="74" t="str">
        <f t="shared" si="70"/>
        <v>31-60 Days</v>
      </c>
      <c r="L1482" s="58" t="str">
        <f t="shared" si="71"/>
        <v>Especially Mentioned</v>
      </c>
    </row>
    <row r="1483" spans="1:12" ht="16.5" customHeight="1" x14ac:dyDescent="0.35">
      <c r="A1483" t="s">
        <v>690</v>
      </c>
      <c r="B1483" t="s">
        <v>690</v>
      </c>
      <c r="C1483">
        <v>0</v>
      </c>
      <c r="D1483">
        <v>1500</v>
      </c>
      <c r="E1483" t="s">
        <v>6163</v>
      </c>
      <c r="F1483" t="s">
        <v>6164</v>
      </c>
      <c r="G1483" t="s">
        <v>6165</v>
      </c>
      <c r="H1483" t="s">
        <v>3489</v>
      </c>
      <c r="I1483" t="s">
        <v>3486</v>
      </c>
      <c r="J1483" s="56">
        <f t="shared" si="69"/>
        <v>48</v>
      </c>
      <c r="K1483" s="74" t="str">
        <f t="shared" si="70"/>
        <v>31-60 Days</v>
      </c>
      <c r="L1483" s="58" t="str">
        <f t="shared" si="71"/>
        <v>Not Applicable</v>
      </c>
    </row>
    <row r="1484" spans="1:12" ht="16.5" customHeight="1" x14ac:dyDescent="0.35">
      <c r="A1484" t="s">
        <v>690</v>
      </c>
      <c r="B1484" t="s">
        <v>690</v>
      </c>
      <c r="C1484">
        <v>4431</v>
      </c>
      <c r="D1484">
        <v>0</v>
      </c>
      <c r="E1484" t="s">
        <v>6166</v>
      </c>
      <c r="F1484" t="s">
        <v>6167</v>
      </c>
      <c r="G1484" t="s">
        <v>6168</v>
      </c>
      <c r="H1484" t="s">
        <v>3466</v>
      </c>
      <c r="I1484" t="s">
        <v>3490</v>
      </c>
      <c r="J1484" s="56">
        <f t="shared" si="69"/>
        <v>48</v>
      </c>
      <c r="K1484" s="74" t="str">
        <f t="shared" si="70"/>
        <v>31-60 Days</v>
      </c>
      <c r="L1484" s="58" t="str">
        <f t="shared" si="71"/>
        <v>Especially Mentioned</v>
      </c>
    </row>
    <row r="1485" spans="1:12" ht="16.5" customHeight="1" x14ac:dyDescent="0.35">
      <c r="A1485" t="s">
        <v>690</v>
      </c>
      <c r="B1485" t="s">
        <v>690</v>
      </c>
      <c r="C1485">
        <v>1130</v>
      </c>
      <c r="D1485">
        <v>0</v>
      </c>
      <c r="E1485" t="s">
        <v>6169</v>
      </c>
      <c r="F1485" t="s">
        <v>6170</v>
      </c>
      <c r="G1485" t="s">
        <v>6171</v>
      </c>
      <c r="H1485" t="s">
        <v>3466</v>
      </c>
      <c r="I1485" t="s">
        <v>3490</v>
      </c>
      <c r="J1485" s="56">
        <f t="shared" si="69"/>
        <v>48</v>
      </c>
      <c r="K1485" s="74" t="str">
        <f t="shared" si="70"/>
        <v>31-60 Days</v>
      </c>
      <c r="L1485" s="58" t="str">
        <f t="shared" si="71"/>
        <v>Especially Mentioned</v>
      </c>
    </row>
    <row r="1486" spans="1:12" ht="16.5" customHeight="1" x14ac:dyDescent="0.35">
      <c r="A1486" t="s">
        <v>690</v>
      </c>
      <c r="B1486" t="s">
        <v>690</v>
      </c>
      <c r="C1486">
        <v>326.63</v>
      </c>
      <c r="D1486">
        <v>0</v>
      </c>
      <c r="E1486" t="s">
        <v>6172</v>
      </c>
      <c r="F1486" t="s">
        <v>6173</v>
      </c>
      <c r="G1486" t="s">
        <v>6174</v>
      </c>
      <c r="H1486" t="s">
        <v>3485</v>
      </c>
      <c r="I1486" t="s">
        <v>3490</v>
      </c>
      <c r="J1486" s="56">
        <f t="shared" si="69"/>
        <v>48</v>
      </c>
      <c r="K1486" s="74" t="str">
        <f t="shared" si="70"/>
        <v>31-60 Days</v>
      </c>
      <c r="L1486" s="58" t="str">
        <f t="shared" si="71"/>
        <v>Especially Mentioned</v>
      </c>
    </row>
    <row r="1487" spans="1:12" ht="16.5" customHeight="1" x14ac:dyDescent="0.35">
      <c r="A1487" t="s">
        <v>690</v>
      </c>
      <c r="B1487" t="s">
        <v>690</v>
      </c>
      <c r="C1487">
        <v>0</v>
      </c>
      <c r="D1487">
        <v>250</v>
      </c>
      <c r="E1487" t="s">
        <v>6175</v>
      </c>
      <c r="F1487" t="s">
        <v>6175</v>
      </c>
      <c r="G1487" t="s">
        <v>6176</v>
      </c>
      <c r="H1487" t="s">
        <v>3489</v>
      </c>
      <c r="I1487" t="s">
        <v>3490</v>
      </c>
      <c r="J1487" s="56">
        <f t="shared" si="69"/>
        <v>48</v>
      </c>
      <c r="K1487" s="74" t="str">
        <f t="shared" si="70"/>
        <v>31-60 Days</v>
      </c>
      <c r="L1487" s="58" t="str">
        <f t="shared" si="71"/>
        <v>Not Applicable</v>
      </c>
    </row>
    <row r="1488" spans="1:12" ht="16.5" customHeight="1" x14ac:dyDescent="0.35">
      <c r="A1488" t="s">
        <v>690</v>
      </c>
      <c r="B1488" t="s">
        <v>690</v>
      </c>
      <c r="C1488">
        <v>3610.8</v>
      </c>
      <c r="D1488">
        <v>0</v>
      </c>
      <c r="E1488" t="s">
        <v>6177</v>
      </c>
      <c r="F1488" t="s">
        <v>6178</v>
      </c>
      <c r="G1488" t="s">
        <v>6179</v>
      </c>
      <c r="H1488" t="s">
        <v>3458</v>
      </c>
      <c r="I1488" t="s">
        <v>3490</v>
      </c>
      <c r="J1488" s="56">
        <f t="shared" si="69"/>
        <v>48</v>
      </c>
      <c r="K1488" s="74" t="str">
        <f t="shared" si="70"/>
        <v>31-60 Days</v>
      </c>
      <c r="L1488" s="58" t="str">
        <f t="shared" si="71"/>
        <v>Especially Mentioned</v>
      </c>
    </row>
    <row r="1489" spans="1:12" ht="16.5" customHeight="1" x14ac:dyDescent="0.35">
      <c r="A1489" t="s">
        <v>690</v>
      </c>
      <c r="B1489" t="s">
        <v>690</v>
      </c>
      <c r="C1489">
        <v>30</v>
      </c>
      <c r="D1489">
        <v>0</v>
      </c>
      <c r="E1489" t="s">
        <v>6180</v>
      </c>
      <c r="F1489" t="s">
        <v>6181</v>
      </c>
      <c r="G1489" t="s">
        <v>6182</v>
      </c>
      <c r="H1489" t="s">
        <v>3485</v>
      </c>
      <c r="I1489" t="s">
        <v>3490</v>
      </c>
      <c r="J1489" s="56">
        <f t="shared" si="69"/>
        <v>48</v>
      </c>
      <c r="K1489" s="74" t="str">
        <f t="shared" si="70"/>
        <v>31-60 Days</v>
      </c>
      <c r="L1489" s="58" t="str">
        <f t="shared" si="71"/>
        <v>Especially Mentioned</v>
      </c>
    </row>
    <row r="1490" spans="1:12" ht="16.5" customHeight="1" x14ac:dyDescent="0.35">
      <c r="A1490" t="s">
        <v>690</v>
      </c>
      <c r="B1490" t="s">
        <v>690</v>
      </c>
      <c r="C1490">
        <v>1680</v>
      </c>
      <c r="D1490">
        <v>0</v>
      </c>
      <c r="E1490" t="s">
        <v>6183</v>
      </c>
      <c r="F1490" t="s">
        <v>6184</v>
      </c>
      <c r="G1490" t="s">
        <v>6185</v>
      </c>
      <c r="H1490" t="s">
        <v>6186</v>
      </c>
      <c r="I1490" t="s">
        <v>3490</v>
      </c>
      <c r="J1490" s="56">
        <f t="shared" si="69"/>
        <v>48</v>
      </c>
      <c r="K1490" s="74" t="str">
        <f t="shared" si="70"/>
        <v>31-60 Days</v>
      </c>
      <c r="L1490" s="58" t="str">
        <f t="shared" si="71"/>
        <v>Especially Mentioned</v>
      </c>
    </row>
    <row r="1491" spans="1:12" ht="16.5" customHeight="1" x14ac:dyDescent="0.35">
      <c r="A1491" t="s">
        <v>690</v>
      </c>
      <c r="B1491" t="s">
        <v>690</v>
      </c>
      <c r="C1491">
        <v>1067.8</v>
      </c>
      <c r="D1491">
        <v>0</v>
      </c>
      <c r="E1491" t="s">
        <v>6187</v>
      </c>
      <c r="F1491" t="s">
        <v>6188</v>
      </c>
      <c r="G1491" t="s">
        <v>6189</v>
      </c>
      <c r="H1491" t="s">
        <v>6190</v>
      </c>
      <c r="I1491" t="s">
        <v>3490</v>
      </c>
      <c r="J1491" s="56">
        <f t="shared" si="69"/>
        <v>48</v>
      </c>
      <c r="K1491" s="74" t="str">
        <f t="shared" si="70"/>
        <v>31-60 Days</v>
      </c>
      <c r="L1491" s="58" t="str">
        <f t="shared" si="71"/>
        <v>Especially Mentioned</v>
      </c>
    </row>
    <row r="1492" spans="1:12" ht="16.5" customHeight="1" x14ac:dyDescent="0.35">
      <c r="A1492" t="s">
        <v>690</v>
      </c>
      <c r="B1492" t="s">
        <v>690</v>
      </c>
      <c r="C1492">
        <v>450</v>
      </c>
      <c r="D1492">
        <v>0</v>
      </c>
      <c r="E1492" t="s">
        <v>6191</v>
      </c>
      <c r="F1492" t="s">
        <v>6192</v>
      </c>
      <c r="G1492" t="s">
        <v>6193</v>
      </c>
      <c r="H1492" t="s">
        <v>3458</v>
      </c>
      <c r="I1492" t="s">
        <v>3490</v>
      </c>
      <c r="J1492" s="56">
        <f t="shared" si="69"/>
        <v>48</v>
      </c>
      <c r="K1492" s="74" t="str">
        <f t="shared" si="70"/>
        <v>31-60 Days</v>
      </c>
      <c r="L1492" s="58" t="str">
        <f t="shared" si="71"/>
        <v>Especially Mentioned</v>
      </c>
    </row>
    <row r="1493" spans="1:12" ht="16.5" customHeight="1" x14ac:dyDescent="0.35">
      <c r="A1493" t="s">
        <v>690</v>
      </c>
      <c r="B1493" t="s">
        <v>690</v>
      </c>
      <c r="C1493">
        <v>0</v>
      </c>
      <c r="D1493">
        <v>75</v>
      </c>
      <c r="E1493" t="s">
        <v>6194</v>
      </c>
      <c r="F1493" t="s">
        <v>6195</v>
      </c>
      <c r="G1493" t="s">
        <v>6196</v>
      </c>
      <c r="H1493" t="s">
        <v>3489</v>
      </c>
      <c r="I1493" t="s">
        <v>3486</v>
      </c>
      <c r="J1493" s="56">
        <f t="shared" si="69"/>
        <v>48</v>
      </c>
      <c r="K1493" s="74" t="str">
        <f t="shared" si="70"/>
        <v>31-60 Days</v>
      </c>
      <c r="L1493" s="58" t="str">
        <f t="shared" si="71"/>
        <v>Not Applicable</v>
      </c>
    </row>
    <row r="1494" spans="1:12" ht="16.5" customHeight="1" x14ac:dyDescent="0.35">
      <c r="A1494" t="s">
        <v>690</v>
      </c>
      <c r="B1494" t="s">
        <v>690</v>
      </c>
      <c r="C1494">
        <v>167.5</v>
      </c>
      <c r="D1494">
        <v>0</v>
      </c>
      <c r="E1494" t="s">
        <v>6197</v>
      </c>
      <c r="F1494" t="s">
        <v>6198</v>
      </c>
      <c r="G1494" t="s">
        <v>6199</v>
      </c>
      <c r="H1494" t="s">
        <v>3485</v>
      </c>
      <c r="I1494" t="s">
        <v>3490</v>
      </c>
      <c r="J1494" s="56">
        <f t="shared" si="69"/>
        <v>48</v>
      </c>
      <c r="K1494" s="74" t="str">
        <f t="shared" si="70"/>
        <v>31-60 Days</v>
      </c>
      <c r="L1494" s="58" t="str">
        <f t="shared" si="71"/>
        <v>Especially Mentioned</v>
      </c>
    </row>
    <row r="1495" spans="1:12" ht="16.5" customHeight="1" x14ac:dyDescent="0.35">
      <c r="A1495" t="s">
        <v>690</v>
      </c>
      <c r="B1495" t="s">
        <v>690</v>
      </c>
      <c r="C1495">
        <v>0</v>
      </c>
      <c r="D1495">
        <v>500</v>
      </c>
      <c r="E1495" t="s">
        <v>6200</v>
      </c>
      <c r="F1495" t="s">
        <v>6200</v>
      </c>
      <c r="G1495" t="s">
        <v>6201</v>
      </c>
      <c r="H1495" t="s">
        <v>3521</v>
      </c>
      <c r="I1495" t="s">
        <v>3490</v>
      </c>
      <c r="J1495" s="56">
        <f t="shared" si="69"/>
        <v>48</v>
      </c>
      <c r="K1495" s="74" t="str">
        <f t="shared" si="70"/>
        <v>31-60 Days</v>
      </c>
      <c r="L1495" s="58" t="str">
        <f t="shared" si="71"/>
        <v>Not Applicable</v>
      </c>
    </row>
    <row r="1496" spans="1:12" ht="16.5" customHeight="1" x14ac:dyDescent="0.35">
      <c r="A1496" t="s">
        <v>690</v>
      </c>
      <c r="B1496" t="s">
        <v>690</v>
      </c>
      <c r="C1496">
        <v>0</v>
      </c>
      <c r="D1496">
        <v>1082</v>
      </c>
      <c r="E1496" t="s">
        <v>6202</v>
      </c>
      <c r="F1496" t="s">
        <v>6202</v>
      </c>
      <c r="G1496" t="s">
        <v>6203</v>
      </c>
      <c r="H1496" t="s">
        <v>3489</v>
      </c>
      <c r="I1496" t="s">
        <v>3490</v>
      </c>
      <c r="J1496" s="56">
        <f t="shared" si="69"/>
        <v>48</v>
      </c>
      <c r="K1496" s="74" t="str">
        <f t="shared" si="70"/>
        <v>31-60 Days</v>
      </c>
      <c r="L1496" s="58" t="str">
        <f t="shared" si="71"/>
        <v>Not Applicable</v>
      </c>
    </row>
    <row r="1497" spans="1:12" ht="16.5" customHeight="1" x14ac:dyDescent="0.35">
      <c r="A1497" t="s">
        <v>690</v>
      </c>
      <c r="B1497" t="s">
        <v>690</v>
      </c>
      <c r="C1497">
        <v>20000</v>
      </c>
      <c r="D1497">
        <v>0</v>
      </c>
      <c r="E1497" t="s">
        <v>6204</v>
      </c>
      <c r="F1497" t="s">
        <v>6205</v>
      </c>
      <c r="G1497" t="s">
        <v>6206</v>
      </c>
      <c r="H1497" t="s">
        <v>3466</v>
      </c>
      <c r="I1497" t="s">
        <v>3490</v>
      </c>
      <c r="J1497" s="56">
        <f t="shared" si="69"/>
        <v>48</v>
      </c>
      <c r="K1497" s="74" t="str">
        <f t="shared" si="70"/>
        <v>31-60 Days</v>
      </c>
      <c r="L1497" s="58" t="str">
        <f t="shared" si="71"/>
        <v>Especially Mentioned</v>
      </c>
    </row>
    <row r="1498" spans="1:12" ht="16.5" customHeight="1" x14ac:dyDescent="0.35">
      <c r="A1498" t="s">
        <v>690</v>
      </c>
      <c r="B1498" t="s">
        <v>690</v>
      </c>
      <c r="C1498">
        <v>4196.1400000000003</v>
      </c>
      <c r="D1498">
        <v>0</v>
      </c>
      <c r="E1498" t="s">
        <v>6207</v>
      </c>
      <c r="F1498" t="s">
        <v>6208</v>
      </c>
      <c r="G1498" t="s">
        <v>6209</v>
      </c>
      <c r="H1498" t="s">
        <v>3476</v>
      </c>
      <c r="I1498" t="s">
        <v>3490</v>
      </c>
      <c r="J1498" s="56">
        <f t="shared" si="69"/>
        <v>48</v>
      </c>
      <c r="K1498" s="74" t="str">
        <f t="shared" si="70"/>
        <v>31-60 Days</v>
      </c>
      <c r="L1498" s="58" t="str">
        <f t="shared" si="71"/>
        <v>Especially Mentioned</v>
      </c>
    </row>
    <row r="1499" spans="1:12" ht="16.5" customHeight="1" x14ac:dyDescent="0.35">
      <c r="A1499" t="s">
        <v>690</v>
      </c>
      <c r="B1499" t="s">
        <v>690</v>
      </c>
      <c r="C1499">
        <v>300</v>
      </c>
      <c r="D1499">
        <v>0</v>
      </c>
      <c r="E1499" t="s">
        <v>6210</v>
      </c>
      <c r="F1499" t="s">
        <v>6211</v>
      </c>
      <c r="G1499" t="s">
        <v>6212</v>
      </c>
      <c r="H1499" t="s">
        <v>6213</v>
      </c>
      <c r="I1499" t="s">
        <v>3490</v>
      </c>
      <c r="J1499" s="56">
        <f t="shared" si="69"/>
        <v>48</v>
      </c>
      <c r="K1499" s="74" t="str">
        <f t="shared" si="70"/>
        <v>31-60 Days</v>
      </c>
      <c r="L1499" s="58" t="str">
        <f t="shared" si="71"/>
        <v>Especially Mentioned</v>
      </c>
    </row>
    <row r="1500" spans="1:12" ht="16.5" customHeight="1" x14ac:dyDescent="0.35">
      <c r="A1500" t="s">
        <v>690</v>
      </c>
      <c r="B1500" t="s">
        <v>690</v>
      </c>
      <c r="C1500">
        <v>0</v>
      </c>
      <c r="D1500">
        <v>1500</v>
      </c>
      <c r="E1500" t="s">
        <v>6214</v>
      </c>
      <c r="F1500" t="s">
        <v>6215</v>
      </c>
      <c r="G1500" t="s">
        <v>6216</v>
      </c>
      <c r="H1500" t="s">
        <v>3489</v>
      </c>
      <c r="I1500" t="s">
        <v>3486</v>
      </c>
      <c r="J1500" s="56">
        <f t="shared" si="69"/>
        <v>48</v>
      </c>
      <c r="K1500" s="74" t="str">
        <f t="shared" si="70"/>
        <v>31-60 Days</v>
      </c>
      <c r="L1500" s="58" t="str">
        <f t="shared" si="71"/>
        <v>Not Applicable</v>
      </c>
    </row>
    <row r="1501" spans="1:12" ht="16.5" customHeight="1" x14ac:dyDescent="0.35">
      <c r="A1501" t="s">
        <v>690</v>
      </c>
      <c r="B1501" t="s">
        <v>690</v>
      </c>
      <c r="C1501">
        <v>0</v>
      </c>
      <c r="D1501">
        <v>1772</v>
      </c>
      <c r="E1501" t="s">
        <v>6217</v>
      </c>
      <c r="F1501" t="s">
        <v>6217</v>
      </c>
      <c r="G1501" t="s">
        <v>6218</v>
      </c>
      <c r="H1501" t="s">
        <v>3489</v>
      </c>
      <c r="I1501" t="s">
        <v>3490</v>
      </c>
      <c r="J1501" s="56">
        <f t="shared" si="69"/>
        <v>48</v>
      </c>
      <c r="K1501" s="74" t="str">
        <f t="shared" si="70"/>
        <v>31-60 Days</v>
      </c>
      <c r="L1501" s="58" t="str">
        <f t="shared" si="71"/>
        <v>Not Applicable</v>
      </c>
    </row>
    <row r="1502" spans="1:12" ht="16.5" customHeight="1" x14ac:dyDescent="0.35">
      <c r="A1502" t="s">
        <v>690</v>
      </c>
      <c r="B1502" t="s">
        <v>690</v>
      </c>
      <c r="C1502">
        <v>0</v>
      </c>
      <c r="D1502">
        <v>250</v>
      </c>
      <c r="E1502" t="s">
        <v>6219</v>
      </c>
      <c r="F1502" t="s">
        <v>6219</v>
      </c>
      <c r="G1502" t="s">
        <v>6220</v>
      </c>
      <c r="H1502" t="s">
        <v>3489</v>
      </c>
      <c r="I1502" t="s">
        <v>3490</v>
      </c>
      <c r="J1502" s="56">
        <f t="shared" si="69"/>
        <v>48</v>
      </c>
      <c r="K1502" s="74" t="str">
        <f t="shared" si="70"/>
        <v>31-60 Days</v>
      </c>
      <c r="L1502" s="58" t="str">
        <f t="shared" si="71"/>
        <v>Not Applicable</v>
      </c>
    </row>
    <row r="1503" spans="1:12" ht="16.5" customHeight="1" x14ac:dyDescent="0.35">
      <c r="A1503" t="s">
        <v>690</v>
      </c>
      <c r="B1503" t="s">
        <v>690</v>
      </c>
      <c r="C1503">
        <v>0</v>
      </c>
      <c r="D1503">
        <v>1000</v>
      </c>
      <c r="E1503" t="s">
        <v>6221</v>
      </c>
      <c r="F1503" t="s">
        <v>6221</v>
      </c>
      <c r="G1503" t="s">
        <v>6222</v>
      </c>
      <c r="H1503" t="s">
        <v>3532</v>
      </c>
      <c r="I1503" t="s">
        <v>3490</v>
      </c>
      <c r="J1503" s="56">
        <f t="shared" si="69"/>
        <v>48</v>
      </c>
      <c r="K1503" s="74" t="str">
        <f t="shared" si="70"/>
        <v>31-60 Days</v>
      </c>
      <c r="L1503" s="58" t="str">
        <f t="shared" si="71"/>
        <v>Not Applicable</v>
      </c>
    </row>
    <row r="1504" spans="1:12" ht="16.5" customHeight="1" x14ac:dyDescent="0.35">
      <c r="A1504" t="s">
        <v>690</v>
      </c>
      <c r="B1504" t="s">
        <v>690</v>
      </c>
      <c r="C1504">
        <v>1000000</v>
      </c>
      <c r="D1504">
        <v>0</v>
      </c>
      <c r="E1504" t="s">
        <v>6223</v>
      </c>
      <c r="F1504" t="s">
        <v>6224</v>
      </c>
      <c r="G1504" t="s">
        <v>6225</v>
      </c>
      <c r="H1504" t="s">
        <v>3471</v>
      </c>
      <c r="I1504" t="s">
        <v>3490</v>
      </c>
      <c r="J1504" s="56">
        <f t="shared" si="69"/>
        <v>48</v>
      </c>
      <c r="K1504" s="74" t="str">
        <f t="shared" si="70"/>
        <v>31-60 Days</v>
      </c>
      <c r="L1504" s="58" t="str">
        <f t="shared" si="71"/>
        <v>Especially Mentioned</v>
      </c>
    </row>
    <row r="1505" spans="1:12" ht="16.5" customHeight="1" x14ac:dyDescent="0.35">
      <c r="A1505" t="s">
        <v>690</v>
      </c>
      <c r="B1505" t="s">
        <v>690</v>
      </c>
      <c r="C1505">
        <v>0</v>
      </c>
      <c r="D1505">
        <v>11349.9</v>
      </c>
      <c r="E1505" t="s">
        <v>6226</v>
      </c>
      <c r="F1505" t="s">
        <v>6226</v>
      </c>
      <c r="G1505" t="s">
        <v>57</v>
      </c>
      <c r="H1505" t="s">
        <v>3914</v>
      </c>
      <c r="I1505" t="s">
        <v>3643</v>
      </c>
      <c r="J1505" s="56">
        <f t="shared" si="69"/>
        <v>48</v>
      </c>
      <c r="K1505" s="74" t="str">
        <f t="shared" si="70"/>
        <v>31-60 Days</v>
      </c>
      <c r="L1505" s="58" t="str">
        <f t="shared" si="71"/>
        <v>Not Applicable</v>
      </c>
    </row>
    <row r="1506" spans="1:12" ht="16.5" customHeight="1" x14ac:dyDescent="0.35">
      <c r="A1506" t="s">
        <v>690</v>
      </c>
      <c r="B1506" t="s">
        <v>690</v>
      </c>
      <c r="C1506">
        <v>50</v>
      </c>
      <c r="D1506">
        <v>0</v>
      </c>
      <c r="E1506" t="s">
        <v>6227</v>
      </c>
      <c r="F1506" t="s">
        <v>6228</v>
      </c>
      <c r="G1506" t="s">
        <v>6229</v>
      </c>
      <c r="H1506" t="s">
        <v>6230</v>
      </c>
      <c r="I1506" t="s">
        <v>3490</v>
      </c>
      <c r="J1506" s="56">
        <f t="shared" si="69"/>
        <v>48</v>
      </c>
      <c r="K1506" s="74" t="str">
        <f t="shared" si="70"/>
        <v>31-60 Days</v>
      </c>
      <c r="L1506" s="58" t="str">
        <f t="shared" si="71"/>
        <v>Especially Mentioned</v>
      </c>
    </row>
    <row r="1507" spans="1:12" ht="16.5" customHeight="1" x14ac:dyDescent="0.35">
      <c r="A1507" t="s">
        <v>690</v>
      </c>
      <c r="B1507" t="s">
        <v>690</v>
      </c>
      <c r="C1507">
        <v>1000</v>
      </c>
      <c r="D1507">
        <v>0</v>
      </c>
      <c r="E1507" t="s">
        <v>6231</v>
      </c>
      <c r="F1507" t="s">
        <v>6232</v>
      </c>
      <c r="G1507" t="s">
        <v>6233</v>
      </c>
      <c r="H1507" t="s">
        <v>4394</v>
      </c>
      <c r="I1507" t="s">
        <v>3490</v>
      </c>
      <c r="J1507" s="56">
        <f t="shared" si="69"/>
        <v>48</v>
      </c>
      <c r="K1507" s="74" t="str">
        <f t="shared" si="70"/>
        <v>31-60 Days</v>
      </c>
      <c r="L1507" s="58" t="str">
        <f t="shared" si="71"/>
        <v>Especially Mentioned</v>
      </c>
    </row>
    <row r="1508" spans="1:12" ht="16.5" customHeight="1" x14ac:dyDescent="0.35">
      <c r="A1508" t="s">
        <v>690</v>
      </c>
      <c r="B1508" t="s">
        <v>690</v>
      </c>
      <c r="C1508">
        <v>0</v>
      </c>
      <c r="D1508">
        <v>800</v>
      </c>
      <c r="E1508" t="s">
        <v>6234</v>
      </c>
      <c r="F1508" t="s">
        <v>6234</v>
      </c>
      <c r="G1508" t="s">
        <v>6235</v>
      </c>
      <c r="H1508" t="s">
        <v>3489</v>
      </c>
      <c r="I1508" t="s">
        <v>3490</v>
      </c>
      <c r="J1508" s="56">
        <f t="shared" si="69"/>
        <v>48</v>
      </c>
      <c r="K1508" s="74" t="str">
        <f t="shared" si="70"/>
        <v>31-60 Days</v>
      </c>
      <c r="L1508" s="58" t="str">
        <f t="shared" si="71"/>
        <v>Not Applicable</v>
      </c>
    </row>
    <row r="1509" spans="1:12" ht="16.5" customHeight="1" x14ac:dyDescent="0.35">
      <c r="A1509" t="s">
        <v>690</v>
      </c>
      <c r="B1509" t="s">
        <v>690</v>
      </c>
      <c r="C1509">
        <v>400</v>
      </c>
      <c r="D1509">
        <v>0</v>
      </c>
      <c r="E1509" t="s">
        <v>6236</v>
      </c>
      <c r="F1509" t="s">
        <v>6237</v>
      </c>
      <c r="G1509" t="s">
        <v>6238</v>
      </c>
      <c r="H1509" t="s">
        <v>3458</v>
      </c>
      <c r="I1509" t="s">
        <v>3490</v>
      </c>
      <c r="J1509" s="56">
        <f t="shared" si="69"/>
        <v>48</v>
      </c>
      <c r="K1509" s="74" t="str">
        <f t="shared" si="70"/>
        <v>31-60 Days</v>
      </c>
      <c r="L1509" s="58" t="str">
        <f t="shared" si="71"/>
        <v>Especially Mentioned</v>
      </c>
    </row>
    <row r="1510" spans="1:12" ht="16.5" customHeight="1" x14ac:dyDescent="0.35">
      <c r="A1510" t="s">
        <v>690</v>
      </c>
      <c r="B1510" t="s">
        <v>690</v>
      </c>
      <c r="C1510">
        <v>0</v>
      </c>
      <c r="D1510">
        <v>2040</v>
      </c>
      <c r="E1510" t="s">
        <v>6239</v>
      </c>
      <c r="F1510" t="s">
        <v>6239</v>
      </c>
      <c r="G1510" t="s">
        <v>6240</v>
      </c>
      <c r="H1510" t="s">
        <v>3489</v>
      </c>
      <c r="I1510" t="s">
        <v>3490</v>
      </c>
      <c r="J1510" s="56">
        <f t="shared" si="69"/>
        <v>48</v>
      </c>
      <c r="K1510" s="74" t="str">
        <f t="shared" si="70"/>
        <v>31-60 Days</v>
      </c>
      <c r="L1510" s="58" t="str">
        <f t="shared" si="71"/>
        <v>Not Applicable</v>
      </c>
    </row>
    <row r="1511" spans="1:12" ht="16.5" customHeight="1" x14ac:dyDescent="0.35">
      <c r="A1511" t="s">
        <v>690</v>
      </c>
      <c r="B1511" t="s">
        <v>690</v>
      </c>
      <c r="C1511">
        <v>354</v>
      </c>
      <c r="D1511">
        <v>0</v>
      </c>
      <c r="E1511" t="s">
        <v>6241</v>
      </c>
      <c r="F1511" t="s">
        <v>6242</v>
      </c>
      <c r="G1511" t="s">
        <v>6243</v>
      </c>
      <c r="H1511" t="s">
        <v>3485</v>
      </c>
      <c r="I1511" t="s">
        <v>3490</v>
      </c>
      <c r="J1511" s="56">
        <f t="shared" si="69"/>
        <v>48</v>
      </c>
      <c r="K1511" s="74" t="str">
        <f t="shared" si="70"/>
        <v>31-60 Days</v>
      </c>
      <c r="L1511" s="58" t="str">
        <f t="shared" si="71"/>
        <v>Especially Mentioned</v>
      </c>
    </row>
    <row r="1512" spans="1:12" ht="16.5" customHeight="1" x14ac:dyDescent="0.35">
      <c r="A1512" t="s">
        <v>690</v>
      </c>
      <c r="B1512" t="s">
        <v>690</v>
      </c>
      <c r="C1512">
        <v>10000</v>
      </c>
      <c r="D1512">
        <v>0</v>
      </c>
      <c r="E1512" t="s">
        <v>6244</v>
      </c>
      <c r="F1512" t="s">
        <v>6245</v>
      </c>
      <c r="G1512" t="s">
        <v>6246</v>
      </c>
      <c r="H1512" t="s">
        <v>3458</v>
      </c>
      <c r="I1512" t="s">
        <v>3490</v>
      </c>
      <c r="J1512" s="56">
        <f t="shared" si="69"/>
        <v>48</v>
      </c>
      <c r="K1512" s="74" t="str">
        <f t="shared" si="70"/>
        <v>31-60 Days</v>
      </c>
      <c r="L1512" s="58" t="str">
        <f t="shared" si="71"/>
        <v>Especially Mentioned</v>
      </c>
    </row>
    <row r="1513" spans="1:12" ht="16.5" customHeight="1" x14ac:dyDescent="0.35">
      <c r="A1513" t="s">
        <v>690</v>
      </c>
      <c r="B1513" t="s">
        <v>690</v>
      </c>
      <c r="C1513">
        <v>840</v>
      </c>
      <c r="D1513">
        <v>0</v>
      </c>
      <c r="E1513" t="s">
        <v>6247</v>
      </c>
      <c r="F1513" t="s">
        <v>6248</v>
      </c>
      <c r="G1513" t="s">
        <v>6249</v>
      </c>
      <c r="H1513" t="s">
        <v>6186</v>
      </c>
      <c r="I1513" t="s">
        <v>3490</v>
      </c>
      <c r="J1513" s="56">
        <f t="shared" si="69"/>
        <v>48</v>
      </c>
      <c r="K1513" s="74" t="str">
        <f t="shared" si="70"/>
        <v>31-60 Days</v>
      </c>
      <c r="L1513" s="58" t="str">
        <f t="shared" si="71"/>
        <v>Especially Mentioned</v>
      </c>
    </row>
    <row r="1514" spans="1:12" ht="16.5" customHeight="1" x14ac:dyDescent="0.35">
      <c r="A1514" t="s">
        <v>690</v>
      </c>
      <c r="B1514" t="s">
        <v>690</v>
      </c>
      <c r="C1514">
        <v>0</v>
      </c>
      <c r="D1514">
        <v>1000</v>
      </c>
      <c r="E1514" t="s">
        <v>6250</v>
      </c>
      <c r="F1514" t="s">
        <v>6251</v>
      </c>
      <c r="G1514" t="s">
        <v>6252</v>
      </c>
      <c r="H1514" t="s">
        <v>3489</v>
      </c>
      <c r="I1514" t="s">
        <v>3490</v>
      </c>
      <c r="J1514" s="56">
        <f t="shared" si="69"/>
        <v>48</v>
      </c>
      <c r="K1514" s="74" t="str">
        <f t="shared" si="70"/>
        <v>31-60 Days</v>
      </c>
      <c r="L1514" s="58" t="str">
        <f t="shared" si="71"/>
        <v>Not Applicable</v>
      </c>
    </row>
    <row r="1515" spans="1:12" ht="16.5" customHeight="1" x14ac:dyDescent="0.35">
      <c r="A1515" t="s">
        <v>690</v>
      </c>
      <c r="B1515" t="s">
        <v>690</v>
      </c>
      <c r="C1515">
        <v>230</v>
      </c>
      <c r="D1515">
        <v>0</v>
      </c>
      <c r="E1515" t="s">
        <v>6253</v>
      </c>
      <c r="F1515" t="s">
        <v>6254</v>
      </c>
      <c r="G1515" t="s">
        <v>6255</v>
      </c>
      <c r="H1515" t="s">
        <v>3458</v>
      </c>
      <c r="I1515" t="s">
        <v>3490</v>
      </c>
      <c r="J1515" s="56">
        <f t="shared" si="69"/>
        <v>48</v>
      </c>
      <c r="K1515" s="74" t="str">
        <f t="shared" si="70"/>
        <v>31-60 Days</v>
      </c>
      <c r="L1515" s="58" t="str">
        <f t="shared" si="71"/>
        <v>Especially Mentioned</v>
      </c>
    </row>
    <row r="1516" spans="1:12" ht="16.5" customHeight="1" x14ac:dyDescent="0.35">
      <c r="A1516" t="s">
        <v>690</v>
      </c>
      <c r="B1516" t="s">
        <v>690</v>
      </c>
      <c r="C1516">
        <v>31265.279999999999</v>
      </c>
      <c r="D1516">
        <v>0</v>
      </c>
      <c r="E1516" t="s">
        <v>6256</v>
      </c>
      <c r="F1516" t="s">
        <v>6257</v>
      </c>
      <c r="G1516" t="s">
        <v>6258</v>
      </c>
      <c r="H1516" t="s">
        <v>3485</v>
      </c>
      <c r="I1516" t="s">
        <v>3490</v>
      </c>
      <c r="J1516" s="56">
        <f t="shared" si="69"/>
        <v>48</v>
      </c>
      <c r="K1516" s="74" t="str">
        <f t="shared" si="70"/>
        <v>31-60 Days</v>
      </c>
      <c r="L1516" s="58" t="str">
        <f t="shared" si="71"/>
        <v>Especially Mentioned</v>
      </c>
    </row>
    <row r="1517" spans="1:12" ht="16.5" customHeight="1" x14ac:dyDescent="0.35">
      <c r="A1517" t="s">
        <v>690</v>
      </c>
      <c r="B1517" t="s">
        <v>690</v>
      </c>
      <c r="C1517">
        <v>370</v>
      </c>
      <c r="D1517">
        <v>0</v>
      </c>
      <c r="E1517" t="s">
        <v>6259</v>
      </c>
      <c r="F1517" t="s">
        <v>6260</v>
      </c>
      <c r="G1517" t="s">
        <v>6261</v>
      </c>
      <c r="H1517" t="s">
        <v>3458</v>
      </c>
      <c r="I1517" t="s">
        <v>3490</v>
      </c>
      <c r="J1517" s="56">
        <f t="shared" si="69"/>
        <v>48</v>
      </c>
      <c r="K1517" s="74" t="str">
        <f t="shared" si="70"/>
        <v>31-60 Days</v>
      </c>
      <c r="L1517" s="58" t="str">
        <f t="shared" si="71"/>
        <v>Especially Mentioned</v>
      </c>
    </row>
    <row r="1518" spans="1:12" ht="16.5" customHeight="1" x14ac:dyDescent="0.35">
      <c r="A1518" t="s">
        <v>690</v>
      </c>
      <c r="B1518" t="s">
        <v>690</v>
      </c>
      <c r="C1518">
        <v>1300</v>
      </c>
      <c r="D1518">
        <v>0</v>
      </c>
      <c r="E1518" t="s">
        <v>6262</v>
      </c>
      <c r="F1518" t="s">
        <v>6263</v>
      </c>
      <c r="G1518" t="s">
        <v>6264</v>
      </c>
      <c r="H1518" t="s">
        <v>3485</v>
      </c>
      <c r="I1518" t="s">
        <v>3490</v>
      </c>
      <c r="J1518" s="56">
        <f t="shared" si="69"/>
        <v>48</v>
      </c>
      <c r="K1518" s="74" t="str">
        <f t="shared" si="70"/>
        <v>31-60 Days</v>
      </c>
      <c r="L1518" s="58" t="str">
        <f t="shared" si="71"/>
        <v>Especially Mentioned</v>
      </c>
    </row>
    <row r="1519" spans="1:12" ht="16.5" customHeight="1" x14ac:dyDescent="0.35">
      <c r="A1519" t="s">
        <v>690</v>
      </c>
      <c r="B1519" t="s">
        <v>690</v>
      </c>
      <c r="C1519">
        <v>8000</v>
      </c>
      <c r="D1519">
        <v>0</v>
      </c>
      <c r="E1519" t="s">
        <v>6265</v>
      </c>
      <c r="F1519" t="s">
        <v>6266</v>
      </c>
      <c r="G1519" t="s">
        <v>6267</v>
      </c>
      <c r="H1519" t="s">
        <v>3466</v>
      </c>
      <c r="I1519" t="s">
        <v>3490</v>
      </c>
      <c r="J1519" s="56">
        <f t="shared" si="69"/>
        <v>48</v>
      </c>
      <c r="K1519" s="74" t="str">
        <f t="shared" si="70"/>
        <v>31-60 Days</v>
      </c>
      <c r="L1519" s="58" t="str">
        <f t="shared" si="71"/>
        <v>Especially Mentioned</v>
      </c>
    </row>
    <row r="1520" spans="1:12" ht="16.5" customHeight="1" x14ac:dyDescent="0.35">
      <c r="A1520" t="s">
        <v>690</v>
      </c>
      <c r="B1520" t="s">
        <v>690</v>
      </c>
      <c r="C1520">
        <v>200</v>
      </c>
      <c r="D1520">
        <v>0</v>
      </c>
      <c r="E1520" t="s">
        <v>6268</v>
      </c>
      <c r="F1520" t="s">
        <v>6269</v>
      </c>
      <c r="G1520" t="s">
        <v>6270</v>
      </c>
      <c r="H1520" t="s">
        <v>3458</v>
      </c>
      <c r="I1520" t="s">
        <v>3490</v>
      </c>
      <c r="J1520" s="56">
        <f t="shared" si="69"/>
        <v>48</v>
      </c>
      <c r="K1520" s="74" t="str">
        <f t="shared" si="70"/>
        <v>31-60 Days</v>
      </c>
      <c r="L1520" s="58" t="str">
        <f t="shared" si="71"/>
        <v>Especially Mentioned</v>
      </c>
    </row>
    <row r="1521" spans="1:12" ht="16.5" customHeight="1" x14ac:dyDescent="0.35">
      <c r="A1521" t="s">
        <v>690</v>
      </c>
      <c r="B1521" t="s">
        <v>690</v>
      </c>
      <c r="C1521">
        <v>554.44000000000005</v>
      </c>
      <c r="D1521">
        <v>0</v>
      </c>
      <c r="E1521" t="s">
        <v>6271</v>
      </c>
      <c r="F1521" t="s">
        <v>6272</v>
      </c>
      <c r="G1521" t="s">
        <v>6273</v>
      </c>
      <c r="H1521" t="s">
        <v>3485</v>
      </c>
      <c r="I1521" t="s">
        <v>3490</v>
      </c>
      <c r="J1521" s="56">
        <f t="shared" si="69"/>
        <v>48</v>
      </c>
      <c r="K1521" s="74" t="str">
        <f t="shared" si="70"/>
        <v>31-60 Days</v>
      </c>
      <c r="L1521" s="58" t="str">
        <f t="shared" si="71"/>
        <v>Especially Mentioned</v>
      </c>
    </row>
    <row r="1522" spans="1:12" ht="16.5" customHeight="1" x14ac:dyDescent="0.35">
      <c r="A1522" t="s">
        <v>690</v>
      </c>
      <c r="B1522" t="s">
        <v>690</v>
      </c>
      <c r="C1522">
        <v>240</v>
      </c>
      <c r="D1522">
        <v>0</v>
      </c>
      <c r="E1522" t="s">
        <v>6274</v>
      </c>
      <c r="F1522" t="s">
        <v>6275</v>
      </c>
      <c r="G1522" t="s">
        <v>6276</v>
      </c>
      <c r="H1522" t="s">
        <v>4491</v>
      </c>
      <c r="I1522" t="s">
        <v>3490</v>
      </c>
      <c r="J1522" s="56">
        <f t="shared" si="69"/>
        <v>48</v>
      </c>
      <c r="K1522" s="74" t="str">
        <f t="shared" si="70"/>
        <v>31-60 Days</v>
      </c>
      <c r="L1522" s="58" t="str">
        <f t="shared" si="71"/>
        <v>Especially Mentioned</v>
      </c>
    </row>
    <row r="1523" spans="1:12" ht="16.5" customHeight="1" x14ac:dyDescent="0.35">
      <c r="A1523" t="s">
        <v>690</v>
      </c>
      <c r="B1523" t="s">
        <v>690</v>
      </c>
      <c r="C1523">
        <v>1414.5</v>
      </c>
      <c r="D1523">
        <v>0</v>
      </c>
      <c r="E1523" t="s">
        <v>6277</v>
      </c>
      <c r="F1523" t="s">
        <v>6278</v>
      </c>
      <c r="G1523" t="s">
        <v>6279</v>
      </c>
      <c r="H1523" t="s">
        <v>4394</v>
      </c>
      <c r="I1523" t="s">
        <v>3490</v>
      </c>
      <c r="J1523" s="56">
        <f t="shared" si="69"/>
        <v>48</v>
      </c>
      <c r="K1523" s="74" t="str">
        <f t="shared" si="70"/>
        <v>31-60 Days</v>
      </c>
      <c r="L1523" s="58" t="str">
        <f t="shared" si="71"/>
        <v>Especially Mentioned</v>
      </c>
    </row>
    <row r="1524" spans="1:12" ht="16.5" customHeight="1" x14ac:dyDescent="0.35">
      <c r="A1524" t="s">
        <v>690</v>
      </c>
      <c r="B1524" t="s">
        <v>690</v>
      </c>
      <c r="C1524">
        <v>1982.4</v>
      </c>
      <c r="D1524">
        <v>0</v>
      </c>
      <c r="E1524" t="s">
        <v>6280</v>
      </c>
      <c r="F1524" t="s">
        <v>6281</v>
      </c>
      <c r="G1524" t="s">
        <v>6282</v>
      </c>
      <c r="H1524" t="s">
        <v>3466</v>
      </c>
      <c r="I1524" t="s">
        <v>3490</v>
      </c>
      <c r="J1524" s="56">
        <f t="shared" si="69"/>
        <v>48</v>
      </c>
      <c r="K1524" s="74" t="str">
        <f t="shared" si="70"/>
        <v>31-60 Days</v>
      </c>
      <c r="L1524" s="58" t="str">
        <f t="shared" si="71"/>
        <v>Especially Mentioned</v>
      </c>
    </row>
    <row r="1525" spans="1:12" ht="16.5" customHeight="1" x14ac:dyDescent="0.35">
      <c r="A1525" t="s">
        <v>690</v>
      </c>
      <c r="B1525" t="s">
        <v>690</v>
      </c>
      <c r="C1525">
        <v>0</v>
      </c>
      <c r="D1525">
        <v>231</v>
      </c>
      <c r="E1525" t="s">
        <v>6283</v>
      </c>
      <c r="F1525" t="s">
        <v>6283</v>
      </c>
      <c r="G1525" t="s">
        <v>6284</v>
      </c>
      <c r="H1525" t="s">
        <v>3489</v>
      </c>
      <c r="I1525" t="s">
        <v>3490</v>
      </c>
      <c r="J1525" s="56">
        <f t="shared" si="69"/>
        <v>48</v>
      </c>
      <c r="K1525" s="74" t="str">
        <f t="shared" si="70"/>
        <v>31-60 Days</v>
      </c>
      <c r="L1525" s="58" t="str">
        <f t="shared" si="71"/>
        <v>Not Applicable</v>
      </c>
    </row>
    <row r="1526" spans="1:12" ht="16.5" customHeight="1" x14ac:dyDescent="0.35">
      <c r="A1526" t="s">
        <v>690</v>
      </c>
      <c r="B1526" t="s">
        <v>690</v>
      </c>
      <c r="C1526">
        <v>980</v>
      </c>
      <c r="D1526">
        <v>0</v>
      </c>
      <c r="E1526" t="s">
        <v>6285</v>
      </c>
      <c r="F1526" t="s">
        <v>6286</v>
      </c>
      <c r="G1526" t="s">
        <v>6287</v>
      </c>
      <c r="H1526" t="s">
        <v>3485</v>
      </c>
      <c r="I1526" t="s">
        <v>3490</v>
      </c>
      <c r="J1526" s="56">
        <f t="shared" si="69"/>
        <v>48</v>
      </c>
      <c r="K1526" s="74" t="str">
        <f t="shared" si="70"/>
        <v>31-60 Days</v>
      </c>
      <c r="L1526" s="58" t="str">
        <f t="shared" si="71"/>
        <v>Especially Mentioned</v>
      </c>
    </row>
    <row r="1527" spans="1:12" ht="16.5" customHeight="1" x14ac:dyDescent="0.35">
      <c r="A1527" t="s">
        <v>690</v>
      </c>
      <c r="B1527" t="s">
        <v>690</v>
      </c>
      <c r="C1527">
        <v>215</v>
      </c>
      <c r="D1527">
        <v>0</v>
      </c>
      <c r="E1527" t="s">
        <v>6288</v>
      </c>
      <c r="F1527" t="s">
        <v>6289</v>
      </c>
      <c r="G1527" t="s">
        <v>6290</v>
      </c>
      <c r="H1527" t="s">
        <v>3485</v>
      </c>
      <c r="I1527" t="s">
        <v>3490</v>
      </c>
      <c r="J1527" s="56">
        <f t="shared" si="69"/>
        <v>48</v>
      </c>
      <c r="K1527" s="74" t="str">
        <f t="shared" si="70"/>
        <v>31-60 Days</v>
      </c>
      <c r="L1527" s="58" t="str">
        <f t="shared" si="71"/>
        <v>Especially Mentioned</v>
      </c>
    </row>
    <row r="1528" spans="1:12" ht="16.5" customHeight="1" x14ac:dyDescent="0.35">
      <c r="A1528" t="s">
        <v>690</v>
      </c>
      <c r="B1528" t="s">
        <v>690</v>
      </c>
      <c r="C1528">
        <v>0</v>
      </c>
      <c r="D1528">
        <v>480</v>
      </c>
      <c r="E1528" t="s">
        <v>6291</v>
      </c>
      <c r="F1528" t="s">
        <v>6291</v>
      </c>
      <c r="G1528" t="s">
        <v>6292</v>
      </c>
      <c r="H1528" t="s">
        <v>3489</v>
      </c>
      <c r="I1528" t="s">
        <v>3490</v>
      </c>
      <c r="J1528" s="56">
        <f t="shared" si="69"/>
        <v>48</v>
      </c>
      <c r="K1528" s="74" t="str">
        <f t="shared" si="70"/>
        <v>31-60 Days</v>
      </c>
      <c r="L1528" s="58" t="str">
        <f t="shared" si="71"/>
        <v>Not Applicable</v>
      </c>
    </row>
    <row r="1529" spans="1:12" ht="16.5" customHeight="1" x14ac:dyDescent="0.35">
      <c r="A1529" t="s">
        <v>690</v>
      </c>
      <c r="B1529" t="s">
        <v>690</v>
      </c>
      <c r="C1529">
        <v>120</v>
      </c>
      <c r="D1529">
        <v>0</v>
      </c>
      <c r="E1529" t="s">
        <v>6293</v>
      </c>
      <c r="F1529" t="s">
        <v>6294</v>
      </c>
      <c r="G1529" t="s">
        <v>6295</v>
      </c>
      <c r="H1529" t="s">
        <v>3458</v>
      </c>
      <c r="I1529" t="s">
        <v>3490</v>
      </c>
      <c r="J1529" s="56">
        <f t="shared" si="69"/>
        <v>48</v>
      </c>
      <c r="K1529" s="74" t="str">
        <f t="shared" si="70"/>
        <v>31-60 Days</v>
      </c>
      <c r="L1529" s="58" t="str">
        <f t="shared" si="71"/>
        <v>Especially Mentioned</v>
      </c>
    </row>
    <row r="1530" spans="1:12" ht="16.5" customHeight="1" x14ac:dyDescent="0.35">
      <c r="A1530" t="s">
        <v>690</v>
      </c>
      <c r="B1530" t="s">
        <v>690</v>
      </c>
      <c r="C1530">
        <v>479</v>
      </c>
      <c r="D1530">
        <v>0</v>
      </c>
      <c r="E1530" t="s">
        <v>6296</v>
      </c>
      <c r="F1530" t="s">
        <v>6297</v>
      </c>
      <c r="G1530" t="s">
        <v>6298</v>
      </c>
      <c r="H1530" t="s">
        <v>3485</v>
      </c>
      <c r="I1530" t="s">
        <v>3490</v>
      </c>
      <c r="J1530" s="56">
        <f t="shared" si="69"/>
        <v>48</v>
      </c>
      <c r="K1530" s="74" t="str">
        <f t="shared" si="70"/>
        <v>31-60 Days</v>
      </c>
      <c r="L1530" s="58" t="str">
        <f t="shared" si="71"/>
        <v>Especially Mentioned</v>
      </c>
    </row>
    <row r="1531" spans="1:12" ht="16.5" customHeight="1" x14ac:dyDescent="0.35">
      <c r="A1531" t="s">
        <v>690</v>
      </c>
      <c r="B1531" t="s">
        <v>690</v>
      </c>
      <c r="C1531">
        <v>0</v>
      </c>
      <c r="D1531">
        <v>3480</v>
      </c>
      <c r="E1531" t="s">
        <v>6299</v>
      </c>
      <c r="F1531" t="s">
        <v>6299</v>
      </c>
      <c r="G1531" t="s">
        <v>6300</v>
      </c>
      <c r="H1531" t="s">
        <v>3489</v>
      </c>
      <c r="I1531" t="s">
        <v>3490</v>
      </c>
      <c r="J1531" s="56">
        <f t="shared" si="69"/>
        <v>48</v>
      </c>
      <c r="K1531" s="74" t="str">
        <f t="shared" si="70"/>
        <v>31-60 Days</v>
      </c>
      <c r="L1531" s="58" t="str">
        <f t="shared" si="71"/>
        <v>Not Applicable</v>
      </c>
    </row>
    <row r="1532" spans="1:12" ht="16.5" customHeight="1" x14ac:dyDescent="0.35">
      <c r="A1532" t="s">
        <v>690</v>
      </c>
      <c r="B1532" t="s">
        <v>690</v>
      </c>
      <c r="C1532">
        <v>0</v>
      </c>
      <c r="D1532">
        <v>1035</v>
      </c>
      <c r="E1532" t="s">
        <v>6301</v>
      </c>
      <c r="F1532" t="s">
        <v>6301</v>
      </c>
      <c r="G1532" t="s">
        <v>6302</v>
      </c>
      <c r="H1532" t="s">
        <v>3489</v>
      </c>
      <c r="I1532" t="s">
        <v>3490</v>
      </c>
      <c r="J1532" s="56">
        <f t="shared" si="69"/>
        <v>48</v>
      </c>
      <c r="K1532" s="74" t="str">
        <f t="shared" si="70"/>
        <v>31-60 Days</v>
      </c>
      <c r="L1532" s="58" t="str">
        <f t="shared" si="71"/>
        <v>Not Applicable</v>
      </c>
    </row>
    <row r="1533" spans="1:12" ht="16.5" customHeight="1" x14ac:dyDescent="0.35">
      <c r="A1533" t="s">
        <v>690</v>
      </c>
      <c r="B1533" t="s">
        <v>690</v>
      </c>
      <c r="C1533">
        <v>470</v>
      </c>
      <c r="D1533">
        <v>0</v>
      </c>
      <c r="E1533" t="s">
        <v>6303</v>
      </c>
      <c r="F1533" t="s">
        <v>6304</v>
      </c>
      <c r="G1533" t="s">
        <v>6305</v>
      </c>
      <c r="H1533" t="s">
        <v>3485</v>
      </c>
      <c r="I1533" t="s">
        <v>3490</v>
      </c>
      <c r="J1533" s="56">
        <f t="shared" si="69"/>
        <v>48</v>
      </c>
      <c r="K1533" s="74" t="str">
        <f t="shared" si="70"/>
        <v>31-60 Days</v>
      </c>
      <c r="L1533" s="58" t="str">
        <f t="shared" si="71"/>
        <v>Especially Mentioned</v>
      </c>
    </row>
    <row r="1534" spans="1:12" ht="16.5" customHeight="1" x14ac:dyDescent="0.35">
      <c r="A1534" t="s">
        <v>690</v>
      </c>
      <c r="B1534" t="s">
        <v>690</v>
      </c>
      <c r="C1534">
        <v>959.97</v>
      </c>
      <c r="D1534">
        <v>0</v>
      </c>
      <c r="E1534" t="s">
        <v>6306</v>
      </c>
      <c r="F1534" t="s">
        <v>6307</v>
      </c>
      <c r="G1534" t="s">
        <v>6308</v>
      </c>
      <c r="H1534" t="s">
        <v>3476</v>
      </c>
      <c r="I1534" t="s">
        <v>3490</v>
      </c>
      <c r="J1534" s="56">
        <f t="shared" si="69"/>
        <v>48</v>
      </c>
      <c r="K1534" s="74" t="str">
        <f t="shared" si="70"/>
        <v>31-60 Days</v>
      </c>
      <c r="L1534" s="58" t="str">
        <f t="shared" si="71"/>
        <v>Especially Mentioned</v>
      </c>
    </row>
    <row r="1535" spans="1:12" ht="16.5" customHeight="1" x14ac:dyDescent="0.35">
      <c r="A1535" t="s">
        <v>690</v>
      </c>
      <c r="B1535" t="s">
        <v>690</v>
      </c>
      <c r="C1535">
        <v>0</v>
      </c>
      <c r="D1535">
        <v>228</v>
      </c>
      <c r="E1535" t="s">
        <v>6309</v>
      </c>
      <c r="F1535" t="s">
        <v>6309</v>
      </c>
      <c r="G1535" t="s">
        <v>6310</v>
      </c>
      <c r="H1535" t="s">
        <v>3489</v>
      </c>
      <c r="I1535" t="s">
        <v>3490</v>
      </c>
      <c r="J1535" s="56">
        <f t="shared" si="69"/>
        <v>48</v>
      </c>
      <c r="K1535" s="74" t="str">
        <f t="shared" si="70"/>
        <v>31-60 Days</v>
      </c>
      <c r="L1535" s="58" t="str">
        <f t="shared" si="71"/>
        <v>Not Applicable</v>
      </c>
    </row>
    <row r="1536" spans="1:12" ht="16.5" customHeight="1" x14ac:dyDescent="0.35">
      <c r="A1536" t="s">
        <v>690</v>
      </c>
      <c r="B1536" t="s">
        <v>690</v>
      </c>
      <c r="C1536">
        <v>288</v>
      </c>
      <c r="D1536">
        <v>0</v>
      </c>
      <c r="E1536" t="s">
        <v>6311</v>
      </c>
      <c r="F1536" t="s">
        <v>6312</v>
      </c>
      <c r="G1536" t="s">
        <v>6313</v>
      </c>
      <c r="H1536" t="s">
        <v>3476</v>
      </c>
      <c r="I1536" t="s">
        <v>3490</v>
      </c>
      <c r="J1536" s="56">
        <f t="shared" si="69"/>
        <v>48</v>
      </c>
      <c r="K1536" s="74" t="str">
        <f t="shared" si="70"/>
        <v>31-60 Days</v>
      </c>
      <c r="L1536" s="58" t="str">
        <f t="shared" si="71"/>
        <v>Especially Mentioned</v>
      </c>
    </row>
    <row r="1537" spans="1:12" ht="16.5" customHeight="1" x14ac:dyDescent="0.35">
      <c r="A1537" t="s">
        <v>690</v>
      </c>
      <c r="B1537" t="s">
        <v>690</v>
      </c>
      <c r="C1537">
        <v>0</v>
      </c>
      <c r="D1537">
        <v>900</v>
      </c>
      <c r="E1537" t="s">
        <v>6314</v>
      </c>
      <c r="F1537" t="s">
        <v>6314</v>
      </c>
      <c r="G1537" t="s">
        <v>6315</v>
      </c>
      <c r="H1537" t="s">
        <v>3489</v>
      </c>
      <c r="I1537" t="s">
        <v>3490</v>
      </c>
      <c r="J1537" s="56">
        <f t="shared" si="69"/>
        <v>48</v>
      </c>
      <c r="K1537" s="74" t="str">
        <f t="shared" si="70"/>
        <v>31-60 Days</v>
      </c>
      <c r="L1537" s="58" t="str">
        <f t="shared" si="71"/>
        <v>Not Applicable</v>
      </c>
    </row>
    <row r="1538" spans="1:12" ht="16.5" customHeight="1" x14ac:dyDescent="0.35">
      <c r="A1538" t="s">
        <v>690</v>
      </c>
      <c r="B1538" t="s">
        <v>690</v>
      </c>
      <c r="C1538">
        <v>0</v>
      </c>
      <c r="D1538">
        <v>2124</v>
      </c>
      <c r="E1538" t="s">
        <v>6316</v>
      </c>
      <c r="F1538" t="s">
        <v>3574</v>
      </c>
      <c r="G1538" t="s">
        <v>6317</v>
      </c>
      <c r="H1538" t="s">
        <v>3489</v>
      </c>
      <c r="I1538" t="s">
        <v>3490</v>
      </c>
      <c r="J1538" s="56">
        <f t="shared" si="69"/>
        <v>48</v>
      </c>
      <c r="K1538" s="74" t="str">
        <f t="shared" si="70"/>
        <v>31-60 Days</v>
      </c>
      <c r="L1538" s="58" t="str">
        <f t="shared" si="71"/>
        <v>Not Applicable</v>
      </c>
    </row>
    <row r="1539" spans="1:12" ht="16.5" customHeight="1" x14ac:dyDescent="0.35">
      <c r="A1539" t="s">
        <v>690</v>
      </c>
      <c r="B1539" t="s">
        <v>690</v>
      </c>
      <c r="C1539">
        <v>56</v>
      </c>
      <c r="D1539">
        <v>0</v>
      </c>
      <c r="E1539" t="s">
        <v>6318</v>
      </c>
      <c r="F1539" t="s">
        <v>6319</v>
      </c>
      <c r="G1539" t="s">
        <v>6320</v>
      </c>
      <c r="H1539" t="s">
        <v>3485</v>
      </c>
      <c r="I1539" t="s">
        <v>3490</v>
      </c>
      <c r="J1539" s="56">
        <f t="shared" si="69"/>
        <v>48</v>
      </c>
      <c r="K1539" s="74" t="str">
        <f t="shared" si="70"/>
        <v>31-60 Days</v>
      </c>
      <c r="L1539" s="58" t="str">
        <f t="shared" si="71"/>
        <v>Especially Mentioned</v>
      </c>
    </row>
    <row r="1540" spans="1:12" ht="16.5" customHeight="1" x14ac:dyDescent="0.35">
      <c r="A1540" t="s">
        <v>690</v>
      </c>
      <c r="B1540" t="s">
        <v>690</v>
      </c>
      <c r="C1540">
        <v>360</v>
      </c>
      <c r="D1540">
        <v>0</v>
      </c>
      <c r="E1540" t="s">
        <v>6321</v>
      </c>
      <c r="F1540" t="s">
        <v>6322</v>
      </c>
      <c r="G1540" t="s">
        <v>6323</v>
      </c>
      <c r="H1540" t="s">
        <v>3485</v>
      </c>
      <c r="I1540" t="s">
        <v>3490</v>
      </c>
      <c r="J1540" s="56">
        <f t="shared" si="69"/>
        <v>48</v>
      </c>
      <c r="K1540" s="74" t="str">
        <f t="shared" si="70"/>
        <v>31-60 Days</v>
      </c>
      <c r="L1540" s="58" t="str">
        <f t="shared" si="71"/>
        <v>Especially Mentioned</v>
      </c>
    </row>
    <row r="1541" spans="1:12" ht="16.5" customHeight="1" x14ac:dyDescent="0.35">
      <c r="A1541" t="s">
        <v>690</v>
      </c>
      <c r="B1541" t="s">
        <v>690</v>
      </c>
      <c r="C1541">
        <v>251</v>
      </c>
      <c r="D1541">
        <v>0</v>
      </c>
      <c r="E1541" t="s">
        <v>6324</v>
      </c>
      <c r="F1541" t="s">
        <v>6325</v>
      </c>
      <c r="G1541" t="s">
        <v>6326</v>
      </c>
      <c r="H1541" t="s">
        <v>5243</v>
      </c>
      <c r="I1541" t="s">
        <v>3490</v>
      </c>
      <c r="J1541" s="56">
        <f t="shared" si="69"/>
        <v>48</v>
      </c>
      <c r="K1541" s="74" t="str">
        <f t="shared" si="70"/>
        <v>31-60 Days</v>
      </c>
      <c r="L1541" s="58" t="str">
        <f t="shared" si="71"/>
        <v>Especially Mentioned</v>
      </c>
    </row>
    <row r="1542" spans="1:12" ht="16.5" customHeight="1" x14ac:dyDescent="0.35">
      <c r="A1542" t="s">
        <v>690</v>
      </c>
      <c r="B1542" t="s">
        <v>690</v>
      </c>
      <c r="C1542">
        <v>525</v>
      </c>
      <c r="D1542">
        <v>0</v>
      </c>
      <c r="E1542" t="s">
        <v>6327</v>
      </c>
      <c r="F1542" t="s">
        <v>6328</v>
      </c>
      <c r="G1542" t="s">
        <v>6329</v>
      </c>
      <c r="H1542" t="s">
        <v>3485</v>
      </c>
      <c r="I1542" t="s">
        <v>3490</v>
      </c>
      <c r="J1542" s="56">
        <f t="shared" si="69"/>
        <v>48</v>
      </c>
      <c r="K1542" s="74" t="str">
        <f t="shared" si="70"/>
        <v>31-60 Days</v>
      </c>
      <c r="L1542" s="58" t="str">
        <f t="shared" si="71"/>
        <v>Especially Mentioned</v>
      </c>
    </row>
    <row r="1543" spans="1:12" ht="16.5" customHeight="1" x14ac:dyDescent="0.35">
      <c r="A1543" t="s">
        <v>690</v>
      </c>
      <c r="B1543" t="s">
        <v>690</v>
      </c>
      <c r="C1543">
        <v>90</v>
      </c>
      <c r="D1543">
        <v>0</v>
      </c>
      <c r="E1543" t="s">
        <v>6330</v>
      </c>
      <c r="F1543" t="s">
        <v>6331</v>
      </c>
      <c r="G1543" t="s">
        <v>6332</v>
      </c>
      <c r="H1543" t="s">
        <v>3458</v>
      </c>
      <c r="I1543" t="s">
        <v>3490</v>
      </c>
      <c r="J1543" s="56">
        <f t="shared" si="69"/>
        <v>48</v>
      </c>
      <c r="K1543" s="74" t="str">
        <f t="shared" si="70"/>
        <v>31-60 Days</v>
      </c>
      <c r="L1543" s="58" t="str">
        <f t="shared" si="71"/>
        <v>Especially Mentioned</v>
      </c>
    </row>
    <row r="1544" spans="1:12" ht="16.5" customHeight="1" x14ac:dyDescent="0.35">
      <c r="A1544" t="s">
        <v>690</v>
      </c>
      <c r="B1544" t="s">
        <v>690</v>
      </c>
      <c r="C1544">
        <v>0</v>
      </c>
      <c r="D1544">
        <v>1000</v>
      </c>
      <c r="E1544" t="s">
        <v>6333</v>
      </c>
      <c r="F1544" t="s">
        <v>6333</v>
      </c>
      <c r="G1544" t="s">
        <v>6334</v>
      </c>
      <c r="H1544" t="s">
        <v>3489</v>
      </c>
      <c r="I1544" t="s">
        <v>3490</v>
      </c>
      <c r="J1544" s="56">
        <f t="shared" si="69"/>
        <v>48</v>
      </c>
      <c r="K1544" s="74" t="str">
        <f t="shared" si="70"/>
        <v>31-60 Days</v>
      </c>
      <c r="L1544" s="58" t="str">
        <f t="shared" si="71"/>
        <v>Not Applicable</v>
      </c>
    </row>
    <row r="1545" spans="1:12" ht="16.5" customHeight="1" x14ac:dyDescent="0.35">
      <c r="A1545" t="s">
        <v>690</v>
      </c>
      <c r="B1545" t="s">
        <v>690</v>
      </c>
      <c r="C1545">
        <v>0</v>
      </c>
      <c r="D1545">
        <v>1070</v>
      </c>
      <c r="E1545" t="s">
        <v>6335</v>
      </c>
      <c r="F1545" t="s">
        <v>6335</v>
      </c>
      <c r="G1545" t="s">
        <v>6336</v>
      </c>
      <c r="H1545" t="s">
        <v>3489</v>
      </c>
      <c r="I1545" t="s">
        <v>3490</v>
      </c>
      <c r="J1545" s="56">
        <f t="shared" ref="J1545:J1608" si="72">IF(A1545="","",A$5-A1545)</f>
        <v>48</v>
      </c>
      <c r="K1545" s="74" t="str">
        <f t="shared" ref="K1545:K1608" si="73">IF(J1545="","",IF(J1545&lt;4,"0-3 Days",IF(J1545&lt;31,"4-30 Days",IF(J1545&lt;61,"31-60 Days",IF(J1545&lt;=90,"61-90 Days",IF(J1545&gt;90,"Above 90 Days","0"))))))</f>
        <v>31-60 Days</v>
      </c>
      <c r="L1545" s="58" t="str">
        <f t="shared" ref="L1545:L1608" si="74">IF(C1545="","",IF(C1545&gt;0,IF(J1545&lt;30,"Normal",IF(J1545&lt;60,"Especially Mentioned",IF(J1545&lt;90,"Substandard",IF(J1545&lt;=180,"Doubtful",IF(J1545&gt;180,"Loss","0"))))),"Not Applicable"))</f>
        <v>Not Applicable</v>
      </c>
    </row>
    <row r="1546" spans="1:12" ht="16.5" customHeight="1" x14ac:dyDescent="0.35">
      <c r="A1546" t="s">
        <v>690</v>
      </c>
      <c r="B1546" t="s">
        <v>690</v>
      </c>
      <c r="C1546">
        <v>810</v>
      </c>
      <c r="D1546">
        <v>0</v>
      </c>
      <c r="E1546" t="s">
        <v>6337</v>
      </c>
      <c r="F1546" t="s">
        <v>6338</v>
      </c>
      <c r="G1546" t="s">
        <v>6339</v>
      </c>
      <c r="H1546" t="s">
        <v>3485</v>
      </c>
      <c r="I1546" t="s">
        <v>3490</v>
      </c>
      <c r="J1546" s="56">
        <f t="shared" si="72"/>
        <v>48</v>
      </c>
      <c r="K1546" s="74" t="str">
        <f t="shared" si="73"/>
        <v>31-60 Days</v>
      </c>
      <c r="L1546" s="58" t="str">
        <f t="shared" si="74"/>
        <v>Especially Mentioned</v>
      </c>
    </row>
    <row r="1547" spans="1:12" ht="16.5" customHeight="1" x14ac:dyDescent="0.35">
      <c r="A1547" t="s">
        <v>690</v>
      </c>
      <c r="B1547" t="s">
        <v>690</v>
      </c>
      <c r="C1547">
        <v>0</v>
      </c>
      <c r="D1547">
        <v>715</v>
      </c>
      <c r="E1547" t="s">
        <v>6340</v>
      </c>
      <c r="F1547" t="s">
        <v>6341</v>
      </c>
      <c r="G1547" t="s">
        <v>6342</v>
      </c>
      <c r="H1547" t="s">
        <v>3532</v>
      </c>
      <c r="I1547" t="s">
        <v>3490</v>
      </c>
      <c r="J1547" s="56">
        <f t="shared" si="72"/>
        <v>48</v>
      </c>
      <c r="K1547" s="74" t="str">
        <f t="shared" si="73"/>
        <v>31-60 Days</v>
      </c>
      <c r="L1547" s="58" t="str">
        <f t="shared" si="74"/>
        <v>Not Applicable</v>
      </c>
    </row>
    <row r="1548" spans="1:12" ht="16.5" customHeight="1" x14ac:dyDescent="0.35">
      <c r="A1548" t="s">
        <v>690</v>
      </c>
      <c r="B1548" t="s">
        <v>690</v>
      </c>
      <c r="C1548">
        <v>120</v>
      </c>
      <c r="D1548">
        <v>0</v>
      </c>
      <c r="E1548" t="s">
        <v>6343</v>
      </c>
      <c r="F1548" t="s">
        <v>6344</v>
      </c>
      <c r="G1548" t="s">
        <v>6345</v>
      </c>
      <c r="H1548" t="s">
        <v>3476</v>
      </c>
      <c r="I1548" t="s">
        <v>3490</v>
      </c>
      <c r="J1548" s="56">
        <f t="shared" si="72"/>
        <v>48</v>
      </c>
      <c r="K1548" s="74" t="str">
        <f t="shared" si="73"/>
        <v>31-60 Days</v>
      </c>
      <c r="L1548" s="58" t="str">
        <f t="shared" si="74"/>
        <v>Especially Mentioned</v>
      </c>
    </row>
    <row r="1549" spans="1:12" ht="16.5" customHeight="1" x14ac:dyDescent="0.35">
      <c r="A1549" t="s">
        <v>690</v>
      </c>
      <c r="B1549" t="s">
        <v>690</v>
      </c>
      <c r="C1549">
        <v>2325.13</v>
      </c>
      <c r="D1549">
        <v>0</v>
      </c>
      <c r="E1549" t="s">
        <v>6346</v>
      </c>
      <c r="F1549" t="s">
        <v>6347</v>
      </c>
      <c r="G1549" t="s">
        <v>6348</v>
      </c>
      <c r="H1549" t="s">
        <v>3476</v>
      </c>
      <c r="I1549" t="s">
        <v>3490</v>
      </c>
      <c r="J1549" s="56">
        <f t="shared" si="72"/>
        <v>48</v>
      </c>
      <c r="K1549" s="74" t="str">
        <f t="shared" si="73"/>
        <v>31-60 Days</v>
      </c>
      <c r="L1549" s="58" t="str">
        <f t="shared" si="74"/>
        <v>Especially Mentioned</v>
      </c>
    </row>
    <row r="1550" spans="1:12" ht="16.5" customHeight="1" x14ac:dyDescent="0.35">
      <c r="A1550" t="s">
        <v>690</v>
      </c>
      <c r="B1550" t="s">
        <v>690</v>
      </c>
      <c r="C1550">
        <v>0</v>
      </c>
      <c r="D1550">
        <v>246</v>
      </c>
      <c r="E1550" t="s">
        <v>6349</v>
      </c>
      <c r="F1550" t="s">
        <v>6349</v>
      </c>
      <c r="G1550" t="s">
        <v>6350</v>
      </c>
      <c r="H1550" t="s">
        <v>3489</v>
      </c>
      <c r="I1550" t="s">
        <v>3490</v>
      </c>
      <c r="J1550" s="56">
        <f t="shared" si="72"/>
        <v>48</v>
      </c>
      <c r="K1550" s="74" t="str">
        <f t="shared" si="73"/>
        <v>31-60 Days</v>
      </c>
      <c r="L1550" s="58" t="str">
        <f t="shared" si="74"/>
        <v>Not Applicable</v>
      </c>
    </row>
    <row r="1551" spans="1:12" ht="16.5" customHeight="1" x14ac:dyDescent="0.35">
      <c r="A1551" t="s">
        <v>690</v>
      </c>
      <c r="B1551" t="s">
        <v>690</v>
      </c>
      <c r="C1551">
        <v>14863.83</v>
      </c>
      <c r="D1551">
        <v>0</v>
      </c>
      <c r="E1551" t="s">
        <v>6351</v>
      </c>
      <c r="F1551" t="s">
        <v>6352</v>
      </c>
      <c r="G1551" t="s">
        <v>6353</v>
      </c>
      <c r="H1551" t="s">
        <v>3458</v>
      </c>
      <c r="I1551" t="s">
        <v>3490</v>
      </c>
      <c r="J1551" s="56">
        <f t="shared" si="72"/>
        <v>48</v>
      </c>
      <c r="K1551" s="74" t="str">
        <f t="shared" si="73"/>
        <v>31-60 Days</v>
      </c>
      <c r="L1551" s="58" t="str">
        <f t="shared" si="74"/>
        <v>Especially Mentioned</v>
      </c>
    </row>
    <row r="1552" spans="1:12" ht="16.5" customHeight="1" x14ac:dyDescent="0.35">
      <c r="A1552" t="s">
        <v>690</v>
      </c>
      <c r="B1552" t="s">
        <v>690</v>
      </c>
      <c r="C1552">
        <v>0</v>
      </c>
      <c r="D1552">
        <v>890</v>
      </c>
      <c r="E1552" t="s">
        <v>6354</v>
      </c>
      <c r="F1552" t="s">
        <v>6354</v>
      </c>
      <c r="G1552" t="s">
        <v>6355</v>
      </c>
      <c r="H1552" t="s">
        <v>3489</v>
      </c>
      <c r="I1552" t="s">
        <v>3490</v>
      </c>
      <c r="J1552" s="56">
        <f t="shared" si="72"/>
        <v>48</v>
      </c>
      <c r="K1552" s="74" t="str">
        <f t="shared" si="73"/>
        <v>31-60 Days</v>
      </c>
      <c r="L1552" s="58" t="str">
        <f t="shared" si="74"/>
        <v>Not Applicable</v>
      </c>
    </row>
    <row r="1553" spans="1:12" ht="16.5" customHeight="1" x14ac:dyDescent="0.35">
      <c r="A1553" t="s">
        <v>690</v>
      </c>
      <c r="B1553" t="s">
        <v>690</v>
      </c>
      <c r="C1553">
        <v>24200</v>
      </c>
      <c r="D1553">
        <v>0</v>
      </c>
      <c r="E1553" t="s">
        <v>6356</v>
      </c>
      <c r="F1553" t="s">
        <v>6357</v>
      </c>
      <c r="G1553" t="s">
        <v>6358</v>
      </c>
      <c r="H1553" t="s">
        <v>3485</v>
      </c>
      <c r="I1553" t="s">
        <v>3490</v>
      </c>
      <c r="J1553" s="56">
        <f t="shared" si="72"/>
        <v>48</v>
      </c>
      <c r="K1553" s="74" t="str">
        <f t="shared" si="73"/>
        <v>31-60 Days</v>
      </c>
      <c r="L1553" s="58" t="str">
        <f t="shared" si="74"/>
        <v>Especially Mentioned</v>
      </c>
    </row>
    <row r="1554" spans="1:12" ht="16.5" customHeight="1" x14ac:dyDescent="0.35">
      <c r="A1554" t="s">
        <v>690</v>
      </c>
      <c r="B1554" t="s">
        <v>690</v>
      </c>
      <c r="C1554">
        <v>902</v>
      </c>
      <c r="D1554">
        <v>0</v>
      </c>
      <c r="E1554" t="s">
        <v>6359</v>
      </c>
      <c r="F1554" t="s">
        <v>6360</v>
      </c>
      <c r="G1554" t="s">
        <v>6361</v>
      </c>
      <c r="H1554" t="s">
        <v>3485</v>
      </c>
      <c r="I1554" t="s">
        <v>3490</v>
      </c>
      <c r="J1554" s="56">
        <f t="shared" si="72"/>
        <v>48</v>
      </c>
      <c r="K1554" s="74" t="str">
        <f t="shared" si="73"/>
        <v>31-60 Days</v>
      </c>
      <c r="L1554" s="58" t="str">
        <f t="shared" si="74"/>
        <v>Especially Mentioned</v>
      </c>
    </row>
    <row r="1555" spans="1:12" ht="16.5" customHeight="1" x14ac:dyDescent="0.35">
      <c r="A1555" t="s">
        <v>690</v>
      </c>
      <c r="B1555" t="s">
        <v>690</v>
      </c>
      <c r="C1555">
        <v>10000</v>
      </c>
      <c r="D1555">
        <v>0</v>
      </c>
      <c r="E1555" t="s">
        <v>6362</v>
      </c>
      <c r="F1555" t="s">
        <v>6363</v>
      </c>
      <c r="G1555" t="s">
        <v>6364</v>
      </c>
      <c r="H1555" t="s">
        <v>3466</v>
      </c>
      <c r="I1555" t="s">
        <v>3490</v>
      </c>
      <c r="J1555" s="56">
        <f t="shared" si="72"/>
        <v>48</v>
      </c>
      <c r="K1555" s="74" t="str">
        <f t="shared" si="73"/>
        <v>31-60 Days</v>
      </c>
      <c r="L1555" s="58" t="str">
        <f t="shared" si="74"/>
        <v>Especially Mentioned</v>
      </c>
    </row>
    <row r="1556" spans="1:12" ht="16.5" customHeight="1" x14ac:dyDescent="0.35">
      <c r="A1556" t="s">
        <v>690</v>
      </c>
      <c r="B1556" t="s">
        <v>690</v>
      </c>
      <c r="C1556">
        <v>487.94</v>
      </c>
      <c r="D1556">
        <v>0</v>
      </c>
      <c r="E1556" t="s">
        <v>6365</v>
      </c>
      <c r="F1556" t="s">
        <v>6366</v>
      </c>
      <c r="G1556" t="s">
        <v>6367</v>
      </c>
      <c r="H1556" t="s">
        <v>3878</v>
      </c>
      <c r="I1556" t="s">
        <v>3490</v>
      </c>
      <c r="J1556" s="56">
        <f t="shared" si="72"/>
        <v>48</v>
      </c>
      <c r="K1556" s="74" t="str">
        <f t="shared" si="73"/>
        <v>31-60 Days</v>
      </c>
      <c r="L1556" s="58" t="str">
        <f t="shared" si="74"/>
        <v>Especially Mentioned</v>
      </c>
    </row>
    <row r="1557" spans="1:12" ht="16.5" customHeight="1" x14ac:dyDescent="0.35">
      <c r="A1557" t="s">
        <v>690</v>
      </c>
      <c r="B1557" t="s">
        <v>690</v>
      </c>
      <c r="C1557">
        <v>350</v>
      </c>
      <c r="D1557">
        <v>0</v>
      </c>
      <c r="E1557" t="s">
        <v>6368</v>
      </c>
      <c r="F1557" t="s">
        <v>6369</v>
      </c>
      <c r="G1557" t="s">
        <v>6370</v>
      </c>
      <c r="H1557" t="s">
        <v>3466</v>
      </c>
      <c r="I1557" t="s">
        <v>3490</v>
      </c>
      <c r="J1557" s="56">
        <f t="shared" si="72"/>
        <v>48</v>
      </c>
      <c r="K1557" s="74" t="str">
        <f t="shared" si="73"/>
        <v>31-60 Days</v>
      </c>
      <c r="L1557" s="58" t="str">
        <f t="shared" si="74"/>
        <v>Especially Mentioned</v>
      </c>
    </row>
    <row r="1558" spans="1:12" ht="16.5" customHeight="1" x14ac:dyDescent="0.35">
      <c r="A1558" t="s">
        <v>690</v>
      </c>
      <c r="B1558" t="s">
        <v>690</v>
      </c>
      <c r="C1558">
        <v>0</v>
      </c>
      <c r="D1558">
        <v>242</v>
      </c>
      <c r="E1558" t="s">
        <v>6371</v>
      </c>
      <c r="F1558" t="s">
        <v>6371</v>
      </c>
      <c r="G1558" t="s">
        <v>6372</v>
      </c>
      <c r="H1558" t="s">
        <v>3489</v>
      </c>
      <c r="I1558" t="s">
        <v>3490</v>
      </c>
      <c r="J1558" s="56">
        <f t="shared" si="72"/>
        <v>48</v>
      </c>
      <c r="K1558" s="74" t="str">
        <f t="shared" si="73"/>
        <v>31-60 Days</v>
      </c>
      <c r="L1558" s="58" t="str">
        <f t="shared" si="74"/>
        <v>Not Applicable</v>
      </c>
    </row>
    <row r="1559" spans="1:12" ht="16.5" customHeight="1" x14ac:dyDescent="0.35">
      <c r="A1559" t="s">
        <v>690</v>
      </c>
      <c r="B1559" t="s">
        <v>690</v>
      </c>
      <c r="C1559">
        <v>360.61</v>
      </c>
      <c r="D1559">
        <v>0</v>
      </c>
      <c r="E1559" t="s">
        <v>6373</v>
      </c>
      <c r="F1559" t="s">
        <v>6374</v>
      </c>
      <c r="G1559" t="s">
        <v>6375</v>
      </c>
      <c r="H1559" t="s">
        <v>6190</v>
      </c>
      <c r="I1559" t="s">
        <v>3490</v>
      </c>
      <c r="J1559" s="56">
        <f t="shared" si="72"/>
        <v>48</v>
      </c>
      <c r="K1559" s="74" t="str">
        <f t="shared" si="73"/>
        <v>31-60 Days</v>
      </c>
      <c r="L1559" s="58" t="str">
        <f t="shared" si="74"/>
        <v>Especially Mentioned</v>
      </c>
    </row>
    <row r="1560" spans="1:12" ht="16.5" customHeight="1" x14ac:dyDescent="0.35">
      <c r="A1560" t="s">
        <v>690</v>
      </c>
      <c r="B1560" t="s">
        <v>690</v>
      </c>
      <c r="C1560">
        <v>202.98</v>
      </c>
      <c r="D1560">
        <v>0</v>
      </c>
      <c r="E1560" t="s">
        <v>6376</v>
      </c>
      <c r="F1560" t="s">
        <v>6377</v>
      </c>
      <c r="G1560" t="s">
        <v>6378</v>
      </c>
      <c r="H1560" t="s">
        <v>3458</v>
      </c>
      <c r="I1560" t="s">
        <v>3490</v>
      </c>
      <c r="J1560" s="56">
        <f t="shared" si="72"/>
        <v>48</v>
      </c>
      <c r="K1560" s="74" t="str">
        <f t="shared" si="73"/>
        <v>31-60 Days</v>
      </c>
      <c r="L1560" s="58" t="str">
        <f t="shared" si="74"/>
        <v>Especially Mentioned</v>
      </c>
    </row>
    <row r="1561" spans="1:12" ht="16.5" customHeight="1" x14ac:dyDescent="0.35">
      <c r="A1561" t="s">
        <v>690</v>
      </c>
      <c r="B1561" t="s">
        <v>690</v>
      </c>
      <c r="C1561">
        <v>0</v>
      </c>
      <c r="D1561">
        <v>1058</v>
      </c>
      <c r="E1561" t="s">
        <v>6379</v>
      </c>
      <c r="F1561" t="s">
        <v>6379</v>
      </c>
      <c r="G1561" t="s">
        <v>6380</v>
      </c>
      <c r="H1561" t="s">
        <v>3489</v>
      </c>
      <c r="I1561" t="s">
        <v>3490</v>
      </c>
      <c r="J1561" s="56">
        <f t="shared" si="72"/>
        <v>48</v>
      </c>
      <c r="K1561" s="74" t="str">
        <f t="shared" si="73"/>
        <v>31-60 Days</v>
      </c>
      <c r="L1561" s="58" t="str">
        <f t="shared" si="74"/>
        <v>Not Applicable</v>
      </c>
    </row>
    <row r="1562" spans="1:12" ht="16.5" customHeight="1" x14ac:dyDescent="0.35">
      <c r="A1562" t="s">
        <v>690</v>
      </c>
      <c r="B1562" t="s">
        <v>690</v>
      </c>
      <c r="C1562">
        <v>1123</v>
      </c>
      <c r="D1562">
        <v>0</v>
      </c>
      <c r="E1562" t="s">
        <v>6381</v>
      </c>
      <c r="F1562" t="s">
        <v>6382</v>
      </c>
      <c r="G1562" t="s">
        <v>6383</v>
      </c>
      <c r="H1562" t="s">
        <v>3476</v>
      </c>
      <c r="I1562" t="s">
        <v>3490</v>
      </c>
      <c r="J1562" s="56">
        <f t="shared" si="72"/>
        <v>48</v>
      </c>
      <c r="K1562" s="74" t="str">
        <f t="shared" si="73"/>
        <v>31-60 Days</v>
      </c>
      <c r="L1562" s="58" t="str">
        <f t="shared" si="74"/>
        <v>Especially Mentioned</v>
      </c>
    </row>
    <row r="1563" spans="1:12" ht="16.5" customHeight="1" x14ac:dyDescent="0.35">
      <c r="A1563" t="s">
        <v>690</v>
      </c>
      <c r="B1563" t="s">
        <v>690</v>
      </c>
      <c r="C1563">
        <v>0</v>
      </c>
      <c r="D1563">
        <v>1070</v>
      </c>
      <c r="E1563" t="s">
        <v>6384</v>
      </c>
      <c r="F1563" t="s">
        <v>6384</v>
      </c>
      <c r="G1563" t="s">
        <v>6385</v>
      </c>
      <c r="H1563" t="s">
        <v>3489</v>
      </c>
      <c r="I1563" t="s">
        <v>3490</v>
      </c>
      <c r="J1563" s="56">
        <f t="shared" si="72"/>
        <v>48</v>
      </c>
      <c r="K1563" s="74" t="str">
        <f t="shared" si="73"/>
        <v>31-60 Days</v>
      </c>
      <c r="L1563" s="58" t="str">
        <f t="shared" si="74"/>
        <v>Not Applicable</v>
      </c>
    </row>
    <row r="1564" spans="1:12" ht="16.5" customHeight="1" x14ac:dyDescent="0.35">
      <c r="A1564" t="s">
        <v>690</v>
      </c>
      <c r="B1564" t="s">
        <v>690</v>
      </c>
      <c r="C1564">
        <v>0</v>
      </c>
      <c r="D1564">
        <v>1094</v>
      </c>
      <c r="E1564" t="s">
        <v>6386</v>
      </c>
      <c r="F1564" t="s">
        <v>6386</v>
      </c>
      <c r="G1564" t="s">
        <v>6387</v>
      </c>
      <c r="H1564" t="s">
        <v>3489</v>
      </c>
      <c r="I1564" t="s">
        <v>3490</v>
      </c>
      <c r="J1564" s="56">
        <f t="shared" si="72"/>
        <v>48</v>
      </c>
      <c r="K1564" s="74" t="str">
        <f t="shared" si="73"/>
        <v>31-60 Days</v>
      </c>
      <c r="L1564" s="58" t="str">
        <f t="shared" si="74"/>
        <v>Not Applicable</v>
      </c>
    </row>
    <row r="1565" spans="1:12" ht="16.5" customHeight="1" x14ac:dyDescent="0.35">
      <c r="A1565" t="s">
        <v>690</v>
      </c>
      <c r="B1565" t="s">
        <v>690</v>
      </c>
      <c r="C1565">
        <v>490</v>
      </c>
      <c r="D1565">
        <v>0</v>
      </c>
      <c r="E1565" t="s">
        <v>6388</v>
      </c>
      <c r="F1565" t="s">
        <v>6389</v>
      </c>
      <c r="G1565" t="s">
        <v>6390</v>
      </c>
      <c r="H1565" t="s">
        <v>3485</v>
      </c>
      <c r="I1565" t="s">
        <v>3490</v>
      </c>
      <c r="J1565" s="56">
        <f t="shared" si="72"/>
        <v>48</v>
      </c>
      <c r="K1565" s="74" t="str">
        <f t="shared" si="73"/>
        <v>31-60 Days</v>
      </c>
      <c r="L1565" s="58" t="str">
        <f t="shared" si="74"/>
        <v>Especially Mentioned</v>
      </c>
    </row>
    <row r="1566" spans="1:12" ht="16.5" customHeight="1" x14ac:dyDescent="0.35">
      <c r="A1566" t="s">
        <v>690</v>
      </c>
      <c r="B1566" t="s">
        <v>690</v>
      </c>
      <c r="C1566">
        <v>660</v>
      </c>
      <c r="D1566">
        <v>0</v>
      </c>
      <c r="E1566" t="s">
        <v>6391</v>
      </c>
      <c r="F1566" t="s">
        <v>6392</v>
      </c>
      <c r="G1566" t="s">
        <v>6393</v>
      </c>
      <c r="H1566" t="s">
        <v>3485</v>
      </c>
      <c r="I1566" t="s">
        <v>3490</v>
      </c>
      <c r="J1566" s="56">
        <f t="shared" si="72"/>
        <v>48</v>
      </c>
      <c r="K1566" s="74" t="str">
        <f t="shared" si="73"/>
        <v>31-60 Days</v>
      </c>
      <c r="L1566" s="58" t="str">
        <f t="shared" si="74"/>
        <v>Especially Mentioned</v>
      </c>
    </row>
    <row r="1567" spans="1:12" ht="16.5" customHeight="1" x14ac:dyDescent="0.35">
      <c r="A1567" t="s">
        <v>690</v>
      </c>
      <c r="B1567" t="s">
        <v>690</v>
      </c>
      <c r="C1567">
        <v>694.15</v>
      </c>
      <c r="D1567">
        <v>0</v>
      </c>
      <c r="E1567" t="s">
        <v>6394</v>
      </c>
      <c r="F1567" t="s">
        <v>6395</v>
      </c>
      <c r="G1567" t="s">
        <v>6396</v>
      </c>
      <c r="H1567" t="s">
        <v>3476</v>
      </c>
      <c r="I1567" t="s">
        <v>3490</v>
      </c>
      <c r="J1567" s="56">
        <f t="shared" si="72"/>
        <v>48</v>
      </c>
      <c r="K1567" s="74" t="str">
        <f t="shared" si="73"/>
        <v>31-60 Days</v>
      </c>
      <c r="L1567" s="58" t="str">
        <f t="shared" si="74"/>
        <v>Especially Mentioned</v>
      </c>
    </row>
    <row r="1568" spans="1:12" ht="16.5" customHeight="1" x14ac:dyDescent="0.35">
      <c r="A1568" t="s">
        <v>690</v>
      </c>
      <c r="B1568" t="s">
        <v>690</v>
      </c>
      <c r="C1568">
        <v>0</v>
      </c>
      <c r="D1568">
        <v>1065.54</v>
      </c>
      <c r="E1568" t="s">
        <v>6397</v>
      </c>
      <c r="F1568" t="s">
        <v>6398</v>
      </c>
      <c r="G1568" t="s">
        <v>6399</v>
      </c>
      <c r="H1568" t="s">
        <v>3532</v>
      </c>
      <c r="I1568" t="s">
        <v>3490</v>
      </c>
      <c r="J1568" s="56">
        <f t="shared" si="72"/>
        <v>48</v>
      </c>
      <c r="K1568" s="74" t="str">
        <f t="shared" si="73"/>
        <v>31-60 Days</v>
      </c>
      <c r="L1568" s="58" t="str">
        <f t="shared" si="74"/>
        <v>Not Applicable</v>
      </c>
    </row>
    <row r="1569" spans="1:12" ht="16.5" customHeight="1" x14ac:dyDescent="0.35">
      <c r="A1569" t="s">
        <v>690</v>
      </c>
      <c r="B1569" t="s">
        <v>690</v>
      </c>
      <c r="C1569">
        <v>4702.67</v>
      </c>
      <c r="D1569">
        <v>0</v>
      </c>
      <c r="E1569" t="s">
        <v>6400</v>
      </c>
      <c r="F1569" t="s">
        <v>6401</v>
      </c>
      <c r="G1569" t="s">
        <v>6402</v>
      </c>
      <c r="H1569" t="s">
        <v>3458</v>
      </c>
      <c r="I1569" t="s">
        <v>3490</v>
      </c>
      <c r="J1569" s="56">
        <f t="shared" si="72"/>
        <v>48</v>
      </c>
      <c r="K1569" s="74" t="str">
        <f t="shared" si="73"/>
        <v>31-60 Days</v>
      </c>
      <c r="L1569" s="58" t="str">
        <f t="shared" si="74"/>
        <v>Especially Mentioned</v>
      </c>
    </row>
    <row r="1570" spans="1:12" ht="16.5" customHeight="1" x14ac:dyDescent="0.35">
      <c r="A1570" t="s">
        <v>690</v>
      </c>
      <c r="B1570" t="s">
        <v>690</v>
      </c>
      <c r="C1570">
        <v>2038.14</v>
      </c>
      <c r="D1570">
        <v>0</v>
      </c>
      <c r="E1570" t="s">
        <v>6403</v>
      </c>
      <c r="F1570" t="s">
        <v>6404</v>
      </c>
      <c r="G1570" t="s">
        <v>6405</v>
      </c>
      <c r="H1570" t="s">
        <v>3466</v>
      </c>
      <c r="I1570" t="s">
        <v>3490</v>
      </c>
      <c r="J1570" s="56">
        <f t="shared" si="72"/>
        <v>48</v>
      </c>
      <c r="K1570" s="74" t="str">
        <f t="shared" si="73"/>
        <v>31-60 Days</v>
      </c>
      <c r="L1570" s="58" t="str">
        <f t="shared" si="74"/>
        <v>Especially Mentioned</v>
      </c>
    </row>
    <row r="1571" spans="1:12" ht="16.5" customHeight="1" x14ac:dyDescent="0.35">
      <c r="A1571" t="s">
        <v>690</v>
      </c>
      <c r="B1571" t="s">
        <v>690</v>
      </c>
      <c r="C1571">
        <v>0</v>
      </c>
      <c r="D1571">
        <v>1022</v>
      </c>
      <c r="E1571" t="s">
        <v>6406</v>
      </c>
      <c r="F1571" t="s">
        <v>6406</v>
      </c>
      <c r="G1571" t="s">
        <v>6407</v>
      </c>
      <c r="H1571" t="s">
        <v>3489</v>
      </c>
      <c r="I1571" t="s">
        <v>3490</v>
      </c>
      <c r="J1571" s="56">
        <f t="shared" si="72"/>
        <v>48</v>
      </c>
      <c r="K1571" s="74" t="str">
        <f t="shared" si="73"/>
        <v>31-60 Days</v>
      </c>
      <c r="L1571" s="58" t="str">
        <f t="shared" si="74"/>
        <v>Not Applicable</v>
      </c>
    </row>
    <row r="1572" spans="1:12" ht="16.5" customHeight="1" x14ac:dyDescent="0.35">
      <c r="A1572" t="s">
        <v>690</v>
      </c>
      <c r="B1572" t="s">
        <v>690</v>
      </c>
      <c r="C1572">
        <v>65</v>
      </c>
      <c r="D1572">
        <v>0</v>
      </c>
      <c r="E1572" t="s">
        <v>6408</v>
      </c>
      <c r="F1572" t="s">
        <v>6409</v>
      </c>
      <c r="G1572" t="s">
        <v>6410</v>
      </c>
      <c r="H1572" t="s">
        <v>6186</v>
      </c>
      <c r="I1572" t="s">
        <v>3490</v>
      </c>
      <c r="J1572" s="56">
        <f t="shared" si="72"/>
        <v>48</v>
      </c>
      <c r="K1572" s="74" t="str">
        <f t="shared" si="73"/>
        <v>31-60 Days</v>
      </c>
      <c r="L1572" s="58" t="str">
        <f t="shared" si="74"/>
        <v>Especially Mentioned</v>
      </c>
    </row>
    <row r="1573" spans="1:12" ht="16.5" customHeight="1" x14ac:dyDescent="0.35">
      <c r="A1573" t="s">
        <v>690</v>
      </c>
      <c r="B1573" t="s">
        <v>690</v>
      </c>
      <c r="C1573">
        <v>600</v>
      </c>
      <c r="D1573">
        <v>0</v>
      </c>
      <c r="E1573" t="s">
        <v>6411</v>
      </c>
      <c r="F1573" t="s">
        <v>6412</v>
      </c>
      <c r="G1573" t="s">
        <v>6413</v>
      </c>
      <c r="H1573" t="s">
        <v>3466</v>
      </c>
      <c r="I1573" t="s">
        <v>3490</v>
      </c>
      <c r="J1573" s="56">
        <f t="shared" si="72"/>
        <v>48</v>
      </c>
      <c r="K1573" s="74" t="str">
        <f t="shared" si="73"/>
        <v>31-60 Days</v>
      </c>
      <c r="L1573" s="58" t="str">
        <f t="shared" si="74"/>
        <v>Especially Mentioned</v>
      </c>
    </row>
    <row r="1574" spans="1:12" ht="16.5" customHeight="1" x14ac:dyDescent="0.35">
      <c r="A1574" t="s">
        <v>690</v>
      </c>
      <c r="B1574" t="s">
        <v>690</v>
      </c>
      <c r="C1574">
        <v>981.52</v>
      </c>
      <c r="D1574">
        <v>0</v>
      </c>
      <c r="E1574" t="s">
        <v>6414</v>
      </c>
      <c r="F1574" t="s">
        <v>6415</v>
      </c>
      <c r="G1574" t="s">
        <v>6416</v>
      </c>
      <c r="H1574" t="s">
        <v>3466</v>
      </c>
      <c r="I1574" t="s">
        <v>3490</v>
      </c>
      <c r="J1574" s="56">
        <f t="shared" si="72"/>
        <v>48</v>
      </c>
      <c r="K1574" s="74" t="str">
        <f t="shared" si="73"/>
        <v>31-60 Days</v>
      </c>
      <c r="L1574" s="58" t="str">
        <f t="shared" si="74"/>
        <v>Especially Mentioned</v>
      </c>
    </row>
    <row r="1575" spans="1:12" ht="16.5" customHeight="1" x14ac:dyDescent="0.35">
      <c r="A1575" t="s">
        <v>690</v>
      </c>
      <c r="B1575" t="s">
        <v>690</v>
      </c>
      <c r="C1575">
        <v>0</v>
      </c>
      <c r="D1575">
        <v>1082</v>
      </c>
      <c r="E1575" t="s">
        <v>6417</v>
      </c>
      <c r="F1575" t="s">
        <v>6417</v>
      </c>
      <c r="G1575" t="s">
        <v>6418</v>
      </c>
      <c r="H1575" t="s">
        <v>3489</v>
      </c>
      <c r="I1575" t="s">
        <v>3490</v>
      </c>
      <c r="J1575" s="56">
        <f t="shared" si="72"/>
        <v>48</v>
      </c>
      <c r="K1575" s="74" t="str">
        <f t="shared" si="73"/>
        <v>31-60 Days</v>
      </c>
      <c r="L1575" s="58" t="str">
        <f t="shared" si="74"/>
        <v>Not Applicable</v>
      </c>
    </row>
    <row r="1576" spans="1:12" ht="16.5" customHeight="1" x14ac:dyDescent="0.35">
      <c r="A1576" t="s">
        <v>690</v>
      </c>
      <c r="B1576" t="s">
        <v>690</v>
      </c>
      <c r="C1576">
        <v>200</v>
      </c>
      <c r="D1576">
        <v>0</v>
      </c>
      <c r="E1576" t="s">
        <v>6419</v>
      </c>
      <c r="F1576" t="s">
        <v>6420</v>
      </c>
      <c r="G1576" t="s">
        <v>6421</v>
      </c>
      <c r="H1576" t="s">
        <v>3485</v>
      </c>
      <c r="I1576" t="s">
        <v>3490</v>
      </c>
      <c r="J1576" s="56">
        <f t="shared" si="72"/>
        <v>48</v>
      </c>
      <c r="K1576" s="74" t="str">
        <f t="shared" si="73"/>
        <v>31-60 Days</v>
      </c>
      <c r="L1576" s="58" t="str">
        <f t="shared" si="74"/>
        <v>Especially Mentioned</v>
      </c>
    </row>
    <row r="1577" spans="1:12" ht="16.5" customHeight="1" x14ac:dyDescent="0.35">
      <c r="A1577" t="s">
        <v>690</v>
      </c>
      <c r="B1577" t="s">
        <v>690</v>
      </c>
      <c r="C1577">
        <v>830000</v>
      </c>
      <c r="D1577">
        <v>0</v>
      </c>
      <c r="E1577" t="s">
        <v>6422</v>
      </c>
      <c r="F1577" t="s">
        <v>6423</v>
      </c>
      <c r="G1577" t="s">
        <v>6424</v>
      </c>
      <c r="H1577" t="s">
        <v>3485</v>
      </c>
      <c r="I1577" t="s">
        <v>3490</v>
      </c>
      <c r="J1577" s="56">
        <f t="shared" si="72"/>
        <v>48</v>
      </c>
      <c r="K1577" s="74" t="str">
        <f t="shared" si="73"/>
        <v>31-60 Days</v>
      </c>
      <c r="L1577" s="58" t="str">
        <f t="shared" si="74"/>
        <v>Especially Mentioned</v>
      </c>
    </row>
    <row r="1578" spans="1:12" ht="16.5" customHeight="1" x14ac:dyDescent="0.35">
      <c r="A1578" t="s">
        <v>690</v>
      </c>
      <c r="B1578" t="s">
        <v>690</v>
      </c>
      <c r="C1578">
        <v>2160</v>
      </c>
      <c r="D1578">
        <v>0</v>
      </c>
      <c r="E1578" t="s">
        <v>6425</v>
      </c>
      <c r="F1578" t="s">
        <v>6426</v>
      </c>
      <c r="G1578" t="s">
        <v>6427</v>
      </c>
      <c r="H1578" t="s">
        <v>3466</v>
      </c>
      <c r="I1578" t="s">
        <v>3490</v>
      </c>
      <c r="J1578" s="56">
        <f t="shared" si="72"/>
        <v>48</v>
      </c>
      <c r="K1578" s="74" t="str">
        <f t="shared" si="73"/>
        <v>31-60 Days</v>
      </c>
      <c r="L1578" s="58" t="str">
        <f t="shared" si="74"/>
        <v>Especially Mentioned</v>
      </c>
    </row>
    <row r="1579" spans="1:12" ht="16.5" customHeight="1" x14ac:dyDescent="0.35">
      <c r="A1579" t="s">
        <v>690</v>
      </c>
      <c r="B1579" t="s">
        <v>690</v>
      </c>
      <c r="C1579">
        <v>120</v>
      </c>
      <c r="D1579">
        <v>0</v>
      </c>
      <c r="E1579" t="s">
        <v>6428</v>
      </c>
      <c r="F1579" t="s">
        <v>6429</v>
      </c>
      <c r="G1579" t="s">
        <v>6430</v>
      </c>
      <c r="H1579" t="s">
        <v>3485</v>
      </c>
      <c r="I1579" t="s">
        <v>3490</v>
      </c>
      <c r="J1579" s="56">
        <f t="shared" si="72"/>
        <v>48</v>
      </c>
      <c r="K1579" s="74" t="str">
        <f t="shared" si="73"/>
        <v>31-60 Days</v>
      </c>
      <c r="L1579" s="58" t="str">
        <f t="shared" si="74"/>
        <v>Especially Mentioned</v>
      </c>
    </row>
    <row r="1580" spans="1:12" ht="16.5" customHeight="1" x14ac:dyDescent="0.35">
      <c r="A1580" t="s">
        <v>690</v>
      </c>
      <c r="B1580" t="s">
        <v>690</v>
      </c>
      <c r="C1580">
        <v>0</v>
      </c>
      <c r="D1580">
        <v>5000000</v>
      </c>
      <c r="E1580" t="s">
        <v>6431</v>
      </c>
      <c r="F1580" t="s">
        <v>6432</v>
      </c>
      <c r="G1580" t="s">
        <v>6433</v>
      </c>
      <c r="H1580" t="s">
        <v>3489</v>
      </c>
      <c r="I1580" t="s">
        <v>3486</v>
      </c>
      <c r="J1580" s="56">
        <f t="shared" si="72"/>
        <v>48</v>
      </c>
      <c r="K1580" s="74" t="str">
        <f t="shared" si="73"/>
        <v>31-60 Days</v>
      </c>
      <c r="L1580" s="58" t="str">
        <f t="shared" si="74"/>
        <v>Not Applicable</v>
      </c>
    </row>
    <row r="1581" spans="1:12" ht="16.5" customHeight="1" x14ac:dyDescent="0.35">
      <c r="A1581" t="s">
        <v>690</v>
      </c>
      <c r="B1581" t="s">
        <v>690</v>
      </c>
      <c r="C1581">
        <v>50</v>
      </c>
      <c r="D1581">
        <v>0</v>
      </c>
      <c r="E1581" t="s">
        <v>6434</v>
      </c>
      <c r="F1581" t="s">
        <v>6435</v>
      </c>
      <c r="G1581" t="s">
        <v>6436</v>
      </c>
      <c r="H1581" t="s">
        <v>3485</v>
      </c>
      <c r="I1581" t="s">
        <v>3490</v>
      </c>
      <c r="J1581" s="56">
        <f t="shared" si="72"/>
        <v>48</v>
      </c>
      <c r="K1581" s="74" t="str">
        <f t="shared" si="73"/>
        <v>31-60 Days</v>
      </c>
      <c r="L1581" s="58" t="str">
        <f t="shared" si="74"/>
        <v>Especially Mentioned</v>
      </c>
    </row>
    <row r="1582" spans="1:12" ht="16.5" customHeight="1" x14ac:dyDescent="0.35">
      <c r="A1582" t="s">
        <v>690</v>
      </c>
      <c r="B1582" t="s">
        <v>690</v>
      </c>
      <c r="C1582">
        <v>0</v>
      </c>
      <c r="D1582">
        <v>800</v>
      </c>
      <c r="E1582" t="s">
        <v>6437</v>
      </c>
      <c r="F1582" t="s">
        <v>6437</v>
      </c>
      <c r="G1582" t="s">
        <v>6438</v>
      </c>
      <c r="H1582" t="s">
        <v>3489</v>
      </c>
      <c r="I1582" t="s">
        <v>3490</v>
      </c>
      <c r="J1582" s="56">
        <f t="shared" si="72"/>
        <v>48</v>
      </c>
      <c r="K1582" s="74" t="str">
        <f t="shared" si="73"/>
        <v>31-60 Days</v>
      </c>
      <c r="L1582" s="58" t="str">
        <f t="shared" si="74"/>
        <v>Not Applicable</v>
      </c>
    </row>
    <row r="1583" spans="1:12" ht="16.5" customHeight="1" x14ac:dyDescent="0.35">
      <c r="A1583" t="s">
        <v>690</v>
      </c>
      <c r="B1583" t="s">
        <v>690</v>
      </c>
      <c r="C1583">
        <v>800</v>
      </c>
      <c r="D1583">
        <v>0</v>
      </c>
      <c r="E1583" t="s">
        <v>6439</v>
      </c>
      <c r="F1583" t="s">
        <v>6440</v>
      </c>
      <c r="G1583" t="s">
        <v>6441</v>
      </c>
      <c r="H1583" t="s">
        <v>3466</v>
      </c>
      <c r="I1583" t="s">
        <v>3490</v>
      </c>
      <c r="J1583" s="56">
        <f t="shared" si="72"/>
        <v>48</v>
      </c>
      <c r="K1583" s="74" t="str">
        <f t="shared" si="73"/>
        <v>31-60 Days</v>
      </c>
      <c r="L1583" s="58" t="str">
        <f t="shared" si="74"/>
        <v>Especially Mentioned</v>
      </c>
    </row>
    <row r="1584" spans="1:12" ht="16.5" customHeight="1" x14ac:dyDescent="0.35">
      <c r="A1584" t="s">
        <v>690</v>
      </c>
      <c r="B1584" t="s">
        <v>690</v>
      </c>
      <c r="C1584">
        <v>0</v>
      </c>
      <c r="D1584">
        <v>460</v>
      </c>
      <c r="E1584" t="s">
        <v>6442</v>
      </c>
      <c r="F1584" t="s">
        <v>6442</v>
      </c>
      <c r="G1584" t="s">
        <v>6443</v>
      </c>
      <c r="H1584" t="s">
        <v>3489</v>
      </c>
      <c r="I1584" t="s">
        <v>3490</v>
      </c>
      <c r="J1584" s="56">
        <f t="shared" si="72"/>
        <v>48</v>
      </c>
      <c r="K1584" s="74" t="str">
        <f t="shared" si="73"/>
        <v>31-60 Days</v>
      </c>
      <c r="L1584" s="58" t="str">
        <f t="shared" si="74"/>
        <v>Not Applicable</v>
      </c>
    </row>
    <row r="1585" spans="1:12" ht="16.5" customHeight="1" x14ac:dyDescent="0.35">
      <c r="A1585" t="s">
        <v>690</v>
      </c>
      <c r="B1585" t="s">
        <v>690</v>
      </c>
      <c r="C1585">
        <v>6696</v>
      </c>
      <c r="D1585">
        <v>0</v>
      </c>
      <c r="E1585" t="s">
        <v>6444</v>
      </c>
      <c r="F1585" t="s">
        <v>6445</v>
      </c>
      <c r="G1585" t="s">
        <v>6446</v>
      </c>
      <c r="H1585" t="s">
        <v>3458</v>
      </c>
      <c r="I1585" t="s">
        <v>3490</v>
      </c>
      <c r="J1585" s="56">
        <f t="shared" si="72"/>
        <v>48</v>
      </c>
      <c r="K1585" s="74" t="str">
        <f t="shared" si="73"/>
        <v>31-60 Days</v>
      </c>
      <c r="L1585" s="58" t="str">
        <f t="shared" si="74"/>
        <v>Especially Mentioned</v>
      </c>
    </row>
    <row r="1586" spans="1:12" ht="16.5" customHeight="1" x14ac:dyDescent="0.35">
      <c r="A1586" t="s">
        <v>690</v>
      </c>
      <c r="B1586" t="s">
        <v>690</v>
      </c>
      <c r="C1586">
        <v>229.82</v>
      </c>
      <c r="D1586">
        <v>0</v>
      </c>
      <c r="E1586" t="s">
        <v>6447</v>
      </c>
      <c r="F1586" t="s">
        <v>6448</v>
      </c>
      <c r="G1586" t="s">
        <v>6449</v>
      </c>
      <c r="H1586" t="s">
        <v>3485</v>
      </c>
      <c r="I1586" t="s">
        <v>3490</v>
      </c>
      <c r="J1586" s="56">
        <f t="shared" si="72"/>
        <v>48</v>
      </c>
      <c r="K1586" s="74" t="str">
        <f t="shared" si="73"/>
        <v>31-60 Days</v>
      </c>
      <c r="L1586" s="58" t="str">
        <f t="shared" si="74"/>
        <v>Especially Mentioned</v>
      </c>
    </row>
    <row r="1587" spans="1:12" ht="16.5" customHeight="1" x14ac:dyDescent="0.35">
      <c r="A1587" t="s">
        <v>690</v>
      </c>
      <c r="B1587" t="s">
        <v>690</v>
      </c>
      <c r="C1587">
        <v>8354.66</v>
      </c>
      <c r="D1587">
        <v>0</v>
      </c>
      <c r="E1587" t="s">
        <v>6450</v>
      </c>
      <c r="F1587" t="s">
        <v>6451</v>
      </c>
      <c r="G1587" t="s">
        <v>6452</v>
      </c>
      <c r="H1587" t="s">
        <v>6453</v>
      </c>
      <c r="I1587" t="s">
        <v>3490</v>
      </c>
      <c r="J1587" s="56">
        <f t="shared" si="72"/>
        <v>48</v>
      </c>
      <c r="K1587" s="74" t="str">
        <f t="shared" si="73"/>
        <v>31-60 Days</v>
      </c>
      <c r="L1587" s="58" t="str">
        <f t="shared" si="74"/>
        <v>Especially Mentioned</v>
      </c>
    </row>
    <row r="1588" spans="1:12" ht="16.5" customHeight="1" x14ac:dyDescent="0.35">
      <c r="A1588" t="s">
        <v>690</v>
      </c>
      <c r="B1588" t="s">
        <v>690</v>
      </c>
      <c r="C1588">
        <v>414</v>
      </c>
      <c r="D1588">
        <v>0</v>
      </c>
      <c r="E1588" t="s">
        <v>6454</v>
      </c>
      <c r="F1588" t="s">
        <v>6455</v>
      </c>
      <c r="G1588" t="s">
        <v>6456</v>
      </c>
      <c r="H1588" t="s">
        <v>3485</v>
      </c>
      <c r="I1588" t="s">
        <v>3490</v>
      </c>
      <c r="J1588" s="56">
        <f t="shared" si="72"/>
        <v>48</v>
      </c>
      <c r="K1588" s="74" t="str">
        <f t="shared" si="73"/>
        <v>31-60 Days</v>
      </c>
      <c r="L1588" s="58" t="str">
        <f t="shared" si="74"/>
        <v>Especially Mentioned</v>
      </c>
    </row>
    <row r="1589" spans="1:12" ht="16.5" customHeight="1" x14ac:dyDescent="0.35">
      <c r="A1589" t="s">
        <v>690</v>
      </c>
      <c r="B1589" t="s">
        <v>690</v>
      </c>
      <c r="C1589">
        <v>2422</v>
      </c>
      <c r="D1589">
        <v>0</v>
      </c>
      <c r="E1589" t="s">
        <v>6457</v>
      </c>
      <c r="F1589" t="s">
        <v>6458</v>
      </c>
      <c r="G1589" t="s">
        <v>6459</v>
      </c>
      <c r="H1589" t="s">
        <v>3458</v>
      </c>
      <c r="I1589" t="s">
        <v>3490</v>
      </c>
      <c r="J1589" s="56">
        <f t="shared" si="72"/>
        <v>48</v>
      </c>
      <c r="K1589" s="74" t="str">
        <f t="shared" si="73"/>
        <v>31-60 Days</v>
      </c>
      <c r="L1589" s="58" t="str">
        <f t="shared" si="74"/>
        <v>Especially Mentioned</v>
      </c>
    </row>
    <row r="1590" spans="1:12" ht="16.5" customHeight="1" x14ac:dyDescent="0.35">
      <c r="A1590" t="s">
        <v>690</v>
      </c>
      <c r="B1590" t="s">
        <v>690</v>
      </c>
      <c r="C1590">
        <v>0</v>
      </c>
      <c r="D1590">
        <v>1000</v>
      </c>
      <c r="E1590" t="s">
        <v>6460</v>
      </c>
      <c r="F1590" t="s">
        <v>6460</v>
      </c>
      <c r="G1590" t="s">
        <v>6461</v>
      </c>
      <c r="H1590" t="s">
        <v>3489</v>
      </c>
      <c r="I1590" t="s">
        <v>3490</v>
      </c>
      <c r="J1590" s="56">
        <f t="shared" si="72"/>
        <v>48</v>
      </c>
      <c r="K1590" s="74" t="str">
        <f t="shared" si="73"/>
        <v>31-60 Days</v>
      </c>
      <c r="L1590" s="58" t="str">
        <f t="shared" si="74"/>
        <v>Not Applicable</v>
      </c>
    </row>
    <row r="1591" spans="1:12" ht="16.5" customHeight="1" x14ac:dyDescent="0.35">
      <c r="A1591" t="s">
        <v>690</v>
      </c>
      <c r="B1591" t="s">
        <v>690</v>
      </c>
      <c r="C1591">
        <v>336</v>
      </c>
      <c r="D1591">
        <v>0</v>
      </c>
      <c r="E1591" t="s">
        <v>6462</v>
      </c>
      <c r="F1591" t="s">
        <v>6463</v>
      </c>
      <c r="G1591" t="s">
        <v>6464</v>
      </c>
      <c r="H1591" t="s">
        <v>3458</v>
      </c>
      <c r="I1591" t="s">
        <v>3490</v>
      </c>
      <c r="J1591" s="56">
        <f t="shared" si="72"/>
        <v>48</v>
      </c>
      <c r="K1591" s="74" t="str">
        <f t="shared" si="73"/>
        <v>31-60 Days</v>
      </c>
      <c r="L1591" s="58" t="str">
        <f t="shared" si="74"/>
        <v>Especially Mentioned</v>
      </c>
    </row>
    <row r="1592" spans="1:12" ht="16.5" customHeight="1" x14ac:dyDescent="0.35">
      <c r="A1592" t="s">
        <v>690</v>
      </c>
      <c r="B1592" t="s">
        <v>690</v>
      </c>
      <c r="C1592">
        <v>0</v>
      </c>
      <c r="D1592">
        <v>1000</v>
      </c>
      <c r="E1592" t="s">
        <v>6465</v>
      </c>
      <c r="F1592" t="s">
        <v>3499</v>
      </c>
      <c r="G1592" t="s">
        <v>6466</v>
      </c>
      <c r="H1592" t="s">
        <v>3489</v>
      </c>
      <c r="I1592" t="s">
        <v>3490</v>
      </c>
      <c r="J1592" s="56">
        <f t="shared" si="72"/>
        <v>48</v>
      </c>
      <c r="K1592" s="74" t="str">
        <f t="shared" si="73"/>
        <v>31-60 Days</v>
      </c>
      <c r="L1592" s="58" t="str">
        <f t="shared" si="74"/>
        <v>Not Applicable</v>
      </c>
    </row>
    <row r="1593" spans="1:12" ht="16.5" customHeight="1" x14ac:dyDescent="0.35">
      <c r="A1593" t="s">
        <v>690</v>
      </c>
      <c r="B1593" t="s">
        <v>690</v>
      </c>
      <c r="C1593">
        <v>0</v>
      </c>
      <c r="D1593">
        <v>226</v>
      </c>
      <c r="E1593" t="s">
        <v>6467</v>
      </c>
      <c r="F1593" t="s">
        <v>6467</v>
      </c>
      <c r="G1593" t="s">
        <v>6468</v>
      </c>
      <c r="H1593" t="s">
        <v>3489</v>
      </c>
      <c r="I1593" t="s">
        <v>3490</v>
      </c>
      <c r="J1593" s="56">
        <f t="shared" si="72"/>
        <v>48</v>
      </c>
      <c r="K1593" s="74" t="str">
        <f t="shared" si="73"/>
        <v>31-60 Days</v>
      </c>
      <c r="L1593" s="58" t="str">
        <f t="shared" si="74"/>
        <v>Not Applicable</v>
      </c>
    </row>
    <row r="1594" spans="1:12" ht="16.5" customHeight="1" x14ac:dyDescent="0.35">
      <c r="A1594" t="s">
        <v>690</v>
      </c>
      <c r="B1594" t="s">
        <v>690</v>
      </c>
      <c r="C1594">
        <v>0</v>
      </c>
      <c r="D1594">
        <v>862.19</v>
      </c>
      <c r="E1594" t="s">
        <v>6469</v>
      </c>
      <c r="F1594" t="s">
        <v>6470</v>
      </c>
      <c r="G1594" t="s">
        <v>6471</v>
      </c>
      <c r="H1594" t="s">
        <v>3532</v>
      </c>
      <c r="I1594" t="s">
        <v>3490</v>
      </c>
      <c r="J1594" s="56">
        <f t="shared" si="72"/>
        <v>48</v>
      </c>
      <c r="K1594" s="74" t="str">
        <f t="shared" si="73"/>
        <v>31-60 Days</v>
      </c>
      <c r="L1594" s="58" t="str">
        <f t="shared" si="74"/>
        <v>Not Applicable</v>
      </c>
    </row>
    <row r="1595" spans="1:12" ht="16.5" customHeight="1" x14ac:dyDescent="0.35">
      <c r="A1595" t="s">
        <v>690</v>
      </c>
      <c r="B1595" t="s">
        <v>690</v>
      </c>
      <c r="C1595">
        <v>0</v>
      </c>
      <c r="D1595">
        <v>1082</v>
      </c>
      <c r="E1595" t="s">
        <v>6472</v>
      </c>
      <c r="F1595" t="s">
        <v>6472</v>
      </c>
      <c r="G1595" t="s">
        <v>6473</v>
      </c>
      <c r="H1595" t="s">
        <v>3489</v>
      </c>
      <c r="I1595" t="s">
        <v>3490</v>
      </c>
      <c r="J1595" s="56">
        <f t="shared" si="72"/>
        <v>48</v>
      </c>
      <c r="K1595" s="74" t="str">
        <f t="shared" si="73"/>
        <v>31-60 Days</v>
      </c>
      <c r="L1595" s="58" t="str">
        <f t="shared" si="74"/>
        <v>Not Applicable</v>
      </c>
    </row>
    <row r="1596" spans="1:12" ht="16.5" customHeight="1" x14ac:dyDescent="0.35">
      <c r="A1596" t="s">
        <v>690</v>
      </c>
      <c r="B1596" t="s">
        <v>690</v>
      </c>
      <c r="C1596">
        <v>2600</v>
      </c>
      <c r="D1596">
        <v>0</v>
      </c>
      <c r="E1596" t="s">
        <v>6474</v>
      </c>
      <c r="F1596" t="s">
        <v>6475</v>
      </c>
      <c r="G1596" t="s">
        <v>6476</v>
      </c>
      <c r="H1596" t="s">
        <v>3466</v>
      </c>
      <c r="I1596" t="s">
        <v>3490</v>
      </c>
      <c r="J1596" s="56">
        <f t="shared" si="72"/>
        <v>48</v>
      </c>
      <c r="K1596" s="74" t="str">
        <f t="shared" si="73"/>
        <v>31-60 Days</v>
      </c>
      <c r="L1596" s="58" t="str">
        <f t="shared" si="74"/>
        <v>Especially Mentioned</v>
      </c>
    </row>
    <row r="1597" spans="1:12" ht="16.5" customHeight="1" x14ac:dyDescent="0.35">
      <c r="A1597" t="s">
        <v>690</v>
      </c>
      <c r="B1597" t="s">
        <v>690</v>
      </c>
      <c r="C1597">
        <v>1425</v>
      </c>
      <c r="D1597">
        <v>0</v>
      </c>
      <c r="E1597" t="s">
        <v>6477</v>
      </c>
      <c r="F1597" t="s">
        <v>6478</v>
      </c>
      <c r="G1597" t="s">
        <v>6479</v>
      </c>
      <c r="H1597" t="s">
        <v>3485</v>
      </c>
      <c r="I1597" t="s">
        <v>3490</v>
      </c>
      <c r="J1597" s="56">
        <f t="shared" si="72"/>
        <v>48</v>
      </c>
      <c r="K1597" s="74" t="str">
        <f t="shared" si="73"/>
        <v>31-60 Days</v>
      </c>
      <c r="L1597" s="58" t="str">
        <f t="shared" si="74"/>
        <v>Especially Mentioned</v>
      </c>
    </row>
    <row r="1598" spans="1:12" ht="16.5" customHeight="1" x14ac:dyDescent="0.35">
      <c r="A1598" t="s">
        <v>690</v>
      </c>
      <c r="B1598" t="s">
        <v>690</v>
      </c>
      <c r="C1598">
        <v>0</v>
      </c>
      <c r="D1598">
        <v>1046</v>
      </c>
      <c r="E1598" t="s">
        <v>6480</v>
      </c>
      <c r="F1598" t="s">
        <v>6480</v>
      </c>
      <c r="G1598" t="s">
        <v>6481</v>
      </c>
      <c r="H1598" t="s">
        <v>3489</v>
      </c>
      <c r="I1598" t="s">
        <v>3490</v>
      </c>
      <c r="J1598" s="56">
        <f t="shared" si="72"/>
        <v>48</v>
      </c>
      <c r="K1598" s="74" t="str">
        <f t="shared" si="73"/>
        <v>31-60 Days</v>
      </c>
      <c r="L1598" s="58" t="str">
        <f t="shared" si="74"/>
        <v>Not Applicable</v>
      </c>
    </row>
    <row r="1599" spans="1:12" ht="16.5" customHeight="1" x14ac:dyDescent="0.35">
      <c r="A1599" t="s">
        <v>690</v>
      </c>
      <c r="B1599" t="s">
        <v>690</v>
      </c>
      <c r="C1599">
        <v>0</v>
      </c>
      <c r="D1599">
        <v>1034</v>
      </c>
      <c r="E1599" t="s">
        <v>6482</v>
      </c>
      <c r="F1599" t="s">
        <v>6482</v>
      </c>
      <c r="G1599" t="s">
        <v>6483</v>
      </c>
      <c r="H1599" t="s">
        <v>3489</v>
      </c>
      <c r="I1599" t="s">
        <v>3490</v>
      </c>
      <c r="J1599" s="56">
        <f t="shared" si="72"/>
        <v>48</v>
      </c>
      <c r="K1599" s="74" t="str">
        <f t="shared" si="73"/>
        <v>31-60 Days</v>
      </c>
      <c r="L1599" s="58" t="str">
        <f t="shared" si="74"/>
        <v>Not Applicable</v>
      </c>
    </row>
    <row r="1600" spans="1:12" ht="16.5" customHeight="1" x14ac:dyDescent="0.35">
      <c r="A1600" t="s">
        <v>690</v>
      </c>
      <c r="B1600" t="s">
        <v>690</v>
      </c>
      <c r="C1600">
        <v>0</v>
      </c>
      <c r="D1600">
        <v>900</v>
      </c>
      <c r="E1600" t="s">
        <v>6484</v>
      </c>
      <c r="F1600" t="s">
        <v>6485</v>
      </c>
      <c r="G1600" t="s">
        <v>6486</v>
      </c>
      <c r="H1600" t="s">
        <v>3494</v>
      </c>
      <c r="I1600" t="s">
        <v>3490</v>
      </c>
      <c r="J1600" s="56">
        <f t="shared" si="72"/>
        <v>48</v>
      </c>
      <c r="K1600" s="74" t="str">
        <f t="shared" si="73"/>
        <v>31-60 Days</v>
      </c>
      <c r="L1600" s="58" t="str">
        <f t="shared" si="74"/>
        <v>Not Applicable</v>
      </c>
    </row>
    <row r="1601" spans="1:12" ht="16.5" customHeight="1" x14ac:dyDescent="0.35">
      <c r="A1601" t="s">
        <v>690</v>
      </c>
      <c r="B1601" t="s">
        <v>690</v>
      </c>
      <c r="C1601">
        <v>0</v>
      </c>
      <c r="D1601">
        <v>2100</v>
      </c>
      <c r="E1601" t="s">
        <v>6487</v>
      </c>
      <c r="F1601" t="s">
        <v>6487</v>
      </c>
      <c r="G1601" t="s">
        <v>6488</v>
      </c>
      <c r="H1601" t="s">
        <v>3489</v>
      </c>
      <c r="I1601" t="s">
        <v>3490</v>
      </c>
      <c r="J1601" s="56">
        <f t="shared" si="72"/>
        <v>48</v>
      </c>
      <c r="K1601" s="74" t="str">
        <f t="shared" si="73"/>
        <v>31-60 Days</v>
      </c>
      <c r="L1601" s="58" t="str">
        <f t="shared" si="74"/>
        <v>Not Applicable</v>
      </c>
    </row>
    <row r="1602" spans="1:12" ht="16.5" customHeight="1" x14ac:dyDescent="0.35">
      <c r="A1602" t="s">
        <v>690</v>
      </c>
      <c r="B1602" t="s">
        <v>690</v>
      </c>
      <c r="C1602">
        <v>0</v>
      </c>
      <c r="D1602">
        <v>4220.25</v>
      </c>
      <c r="E1602" t="s">
        <v>6489</v>
      </c>
      <c r="F1602" t="s">
        <v>6490</v>
      </c>
      <c r="G1602" t="s">
        <v>6491</v>
      </c>
      <c r="H1602" t="s">
        <v>3532</v>
      </c>
      <c r="I1602" t="s">
        <v>3490</v>
      </c>
      <c r="J1602" s="56">
        <f t="shared" si="72"/>
        <v>48</v>
      </c>
      <c r="K1602" s="74" t="str">
        <f t="shared" si="73"/>
        <v>31-60 Days</v>
      </c>
      <c r="L1602" s="58" t="str">
        <f t="shared" si="74"/>
        <v>Not Applicable</v>
      </c>
    </row>
    <row r="1603" spans="1:12" ht="16.5" customHeight="1" x14ac:dyDescent="0.35">
      <c r="A1603" t="s">
        <v>690</v>
      </c>
      <c r="B1603" t="s">
        <v>690</v>
      </c>
      <c r="C1603">
        <v>80</v>
      </c>
      <c r="D1603">
        <v>0</v>
      </c>
      <c r="E1603" t="s">
        <v>6492</v>
      </c>
      <c r="F1603" t="s">
        <v>6493</v>
      </c>
      <c r="G1603" t="s">
        <v>6494</v>
      </c>
      <c r="H1603" t="s">
        <v>3458</v>
      </c>
      <c r="I1603" t="s">
        <v>3490</v>
      </c>
      <c r="J1603" s="56">
        <f t="shared" si="72"/>
        <v>48</v>
      </c>
      <c r="K1603" s="74" t="str">
        <f t="shared" si="73"/>
        <v>31-60 Days</v>
      </c>
      <c r="L1603" s="58" t="str">
        <f t="shared" si="74"/>
        <v>Especially Mentioned</v>
      </c>
    </row>
    <row r="1604" spans="1:12" ht="16.5" customHeight="1" x14ac:dyDescent="0.35">
      <c r="A1604" t="s">
        <v>690</v>
      </c>
      <c r="B1604" t="s">
        <v>690</v>
      </c>
      <c r="C1604">
        <v>0</v>
      </c>
      <c r="D1604">
        <v>180</v>
      </c>
      <c r="E1604" t="s">
        <v>6495</v>
      </c>
      <c r="F1604" t="s">
        <v>3499</v>
      </c>
      <c r="G1604" t="s">
        <v>6496</v>
      </c>
      <c r="H1604" t="s">
        <v>3489</v>
      </c>
      <c r="I1604" t="s">
        <v>3490</v>
      </c>
      <c r="J1604" s="56">
        <f t="shared" si="72"/>
        <v>48</v>
      </c>
      <c r="K1604" s="74" t="str">
        <f t="shared" si="73"/>
        <v>31-60 Days</v>
      </c>
      <c r="L1604" s="58" t="str">
        <f t="shared" si="74"/>
        <v>Not Applicable</v>
      </c>
    </row>
    <row r="1605" spans="1:12" ht="16.5" customHeight="1" x14ac:dyDescent="0.35">
      <c r="A1605" t="s">
        <v>690</v>
      </c>
      <c r="B1605" t="s">
        <v>690</v>
      </c>
      <c r="C1605">
        <v>2300</v>
      </c>
      <c r="D1605">
        <v>0</v>
      </c>
      <c r="E1605" t="s">
        <v>6497</v>
      </c>
      <c r="F1605" t="s">
        <v>6498</v>
      </c>
      <c r="G1605" t="s">
        <v>6499</v>
      </c>
      <c r="H1605" t="s">
        <v>3466</v>
      </c>
      <c r="I1605" t="s">
        <v>3490</v>
      </c>
      <c r="J1605" s="56">
        <f t="shared" si="72"/>
        <v>48</v>
      </c>
      <c r="K1605" s="74" t="str">
        <f t="shared" si="73"/>
        <v>31-60 Days</v>
      </c>
      <c r="L1605" s="58" t="str">
        <f t="shared" si="74"/>
        <v>Especially Mentioned</v>
      </c>
    </row>
    <row r="1606" spans="1:12" ht="16.5" customHeight="1" x14ac:dyDescent="0.35">
      <c r="A1606" t="s">
        <v>690</v>
      </c>
      <c r="B1606" t="s">
        <v>690</v>
      </c>
      <c r="C1606">
        <v>800</v>
      </c>
      <c r="D1606">
        <v>0</v>
      </c>
      <c r="E1606" t="s">
        <v>6500</v>
      </c>
      <c r="F1606" t="s">
        <v>6501</v>
      </c>
      <c r="G1606" t="s">
        <v>6502</v>
      </c>
      <c r="H1606" t="s">
        <v>3485</v>
      </c>
      <c r="I1606" t="s">
        <v>3490</v>
      </c>
      <c r="J1606" s="56">
        <f t="shared" si="72"/>
        <v>48</v>
      </c>
      <c r="K1606" s="74" t="str">
        <f t="shared" si="73"/>
        <v>31-60 Days</v>
      </c>
      <c r="L1606" s="58" t="str">
        <f t="shared" si="74"/>
        <v>Especially Mentioned</v>
      </c>
    </row>
    <row r="1607" spans="1:12" ht="16.5" customHeight="1" x14ac:dyDescent="0.35">
      <c r="A1607" t="s">
        <v>690</v>
      </c>
      <c r="B1607" t="s">
        <v>690</v>
      </c>
      <c r="C1607">
        <v>50</v>
      </c>
      <c r="D1607">
        <v>0</v>
      </c>
      <c r="E1607" t="s">
        <v>6503</v>
      </c>
      <c r="F1607" t="s">
        <v>6504</v>
      </c>
      <c r="G1607" t="s">
        <v>6505</v>
      </c>
      <c r="H1607" t="s">
        <v>3466</v>
      </c>
      <c r="I1607" t="s">
        <v>3490</v>
      </c>
      <c r="J1607" s="56">
        <f t="shared" si="72"/>
        <v>48</v>
      </c>
      <c r="K1607" s="74" t="str">
        <f t="shared" si="73"/>
        <v>31-60 Days</v>
      </c>
      <c r="L1607" s="58" t="str">
        <f t="shared" si="74"/>
        <v>Especially Mentioned</v>
      </c>
    </row>
    <row r="1608" spans="1:12" ht="16.5" customHeight="1" x14ac:dyDescent="0.35">
      <c r="A1608" t="s">
        <v>690</v>
      </c>
      <c r="B1608" t="s">
        <v>690</v>
      </c>
      <c r="C1608">
        <v>6250</v>
      </c>
      <c r="D1608">
        <v>0</v>
      </c>
      <c r="E1608" t="s">
        <v>6506</v>
      </c>
      <c r="F1608" t="s">
        <v>6507</v>
      </c>
      <c r="G1608" t="s">
        <v>6508</v>
      </c>
      <c r="H1608" t="s">
        <v>4394</v>
      </c>
      <c r="I1608" t="s">
        <v>3490</v>
      </c>
      <c r="J1608" s="56">
        <f t="shared" si="72"/>
        <v>48</v>
      </c>
      <c r="K1608" s="74" t="str">
        <f t="shared" si="73"/>
        <v>31-60 Days</v>
      </c>
      <c r="L1608" s="58" t="str">
        <f t="shared" si="74"/>
        <v>Especially Mentioned</v>
      </c>
    </row>
    <row r="1609" spans="1:12" ht="16.5" customHeight="1" x14ac:dyDescent="0.35">
      <c r="A1609" t="s">
        <v>690</v>
      </c>
      <c r="B1609" t="s">
        <v>690</v>
      </c>
      <c r="C1609">
        <v>0</v>
      </c>
      <c r="D1609">
        <v>1082</v>
      </c>
      <c r="E1609" t="s">
        <v>6509</v>
      </c>
      <c r="F1609" t="s">
        <v>6509</v>
      </c>
      <c r="G1609" t="s">
        <v>6510</v>
      </c>
      <c r="H1609" t="s">
        <v>3489</v>
      </c>
      <c r="I1609" t="s">
        <v>3490</v>
      </c>
      <c r="J1609" s="56">
        <f t="shared" ref="J1609:J1672" si="75">IF(A1609="","",A$5-A1609)</f>
        <v>48</v>
      </c>
      <c r="K1609" s="74" t="str">
        <f t="shared" ref="K1609:K1672" si="76">IF(J1609="","",IF(J1609&lt;4,"0-3 Days",IF(J1609&lt;31,"4-30 Days",IF(J1609&lt;61,"31-60 Days",IF(J1609&lt;=90,"61-90 Days",IF(J1609&gt;90,"Above 90 Days","0"))))))</f>
        <v>31-60 Days</v>
      </c>
      <c r="L1609" s="58" t="str">
        <f t="shared" ref="L1609:L1672" si="77">IF(C1609="","",IF(C1609&gt;0,IF(J1609&lt;30,"Normal",IF(J1609&lt;60,"Especially Mentioned",IF(J1609&lt;90,"Substandard",IF(J1609&lt;=180,"Doubtful",IF(J1609&gt;180,"Loss","0"))))),"Not Applicable"))</f>
        <v>Not Applicable</v>
      </c>
    </row>
    <row r="1610" spans="1:12" ht="16.5" customHeight="1" x14ac:dyDescent="0.35">
      <c r="A1610" t="s">
        <v>690</v>
      </c>
      <c r="B1610" t="s">
        <v>690</v>
      </c>
      <c r="C1610">
        <v>0</v>
      </c>
      <c r="D1610">
        <v>250</v>
      </c>
      <c r="E1610" t="s">
        <v>6511</v>
      </c>
      <c r="F1610" t="s">
        <v>6511</v>
      </c>
      <c r="G1610" t="s">
        <v>6512</v>
      </c>
      <c r="H1610" t="s">
        <v>3489</v>
      </c>
      <c r="I1610" t="s">
        <v>3490</v>
      </c>
      <c r="J1610" s="56">
        <f t="shared" si="75"/>
        <v>48</v>
      </c>
      <c r="K1610" s="74" t="str">
        <f t="shared" si="76"/>
        <v>31-60 Days</v>
      </c>
      <c r="L1610" s="58" t="str">
        <f t="shared" si="77"/>
        <v>Not Applicable</v>
      </c>
    </row>
    <row r="1611" spans="1:12" ht="16.5" customHeight="1" x14ac:dyDescent="0.35">
      <c r="A1611" t="s">
        <v>690</v>
      </c>
      <c r="B1611" t="s">
        <v>690</v>
      </c>
      <c r="C1611">
        <v>86</v>
      </c>
      <c r="D1611">
        <v>0</v>
      </c>
      <c r="E1611" t="s">
        <v>6513</v>
      </c>
      <c r="F1611" t="s">
        <v>6514</v>
      </c>
      <c r="G1611" t="s">
        <v>6515</v>
      </c>
      <c r="H1611" t="s">
        <v>3466</v>
      </c>
      <c r="I1611" t="s">
        <v>3490</v>
      </c>
      <c r="J1611" s="56">
        <f t="shared" si="75"/>
        <v>48</v>
      </c>
      <c r="K1611" s="74" t="str">
        <f t="shared" si="76"/>
        <v>31-60 Days</v>
      </c>
      <c r="L1611" s="58" t="str">
        <f t="shared" si="77"/>
        <v>Especially Mentioned</v>
      </c>
    </row>
    <row r="1612" spans="1:12" ht="16.5" customHeight="1" x14ac:dyDescent="0.35">
      <c r="A1612" t="s">
        <v>690</v>
      </c>
      <c r="B1612" t="s">
        <v>690</v>
      </c>
      <c r="C1612">
        <v>0</v>
      </c>
      <c r="D1612">
        <v>250</v>
      </c>
      <c r="E1612" t="s">
        <v>6516</v>
      </c>
      <c r="F1612" t="s">
        <v>6516</v>
      </c>
      <c r="G1612" t="s">
        <v>6517</v>
      </c>
      <c r="H1612" t="s">
        <v>3489</v>
      </c>
      <c r="I1612" t="s">
        <v>3490</v>
      </c>
      <c r="J1612" s="56">
        <f t="shared" si="75"/>
        <v>48</v>
      </c>
      <c r="K1612" s="74" t="str">
        <f t="shared" si="76"/>
        <v>31-60 Days</v>
      </c>
      <c r="L1612" s="58" t="str">
        <f t="shared" si="77"/>
        <v>Not Applicable</v>
      </c>
    </row>
    <row r="1613" spans="1:12" ht="16.5" customHeight="1" x14ac:dyDescent="0.35">
      <c r="A1613" t="s">
        <v>690</v>
      </c>
      <c r="B1613" t="s">
        <v>690</v>
      </c>
      <c r="C1613">
        <v>300000</v>
      </c>
      <c r="D1613">
        <v>0</v>
      </c>
      <c r="E1613" t="s">
        <v>6518</v>
      </c>
      <c r="F1613" t="s">
        <v>6518</v>
      </c>
      <c r="G1613" t="s">
        <v>6519</v>
      </c>
      <c r="H1613" t="s">
        <v>3471</v>
      </c>
      <c r="I1613" t="s">
        <v>3486</v>
      </c>
      <c r="J1613" s="56">
        <f t="shared" si="75"/>
        <v>48</v>
      </c>
      <c r="K1613" s="74" t="str">
        <f t="shared" si="76"/>
        <v>31-60 Days</v>
      </c>
      <c r="L1613" s="58" t="str">
        <f t="shared" si="77"/>
        <v>Especially Mentioned</v>
      </c>
    </row>
    <row r="1614" spans="1:12" ht="16.5" customHeight="1" x14ac:dyDescent="0.35">
      <c r="A1614" t="s">
        <v>690</v>
      </c>
      <c r="B1614" t="s">
        <v>690</v>
      </c>
      <c r="C1614">
        <v>0</v>
      </c>
      <c r="D1614">
        <v>1807</v>
      </c>
      <c r="E1614" t="s">
        <v>6520</v>
      </c>
      <c r="F1614" t="s">
        <v>6520</v>
      </c>
      <c r="G1614" t="s">
        <v>6521</v>
      </c>
      <c r="H1614" t="s">
        <v>3489</v>
      </c>
      <c r="I1614" t="s">
        <v>3490</v>
      </c>
      <c r="J1614" s="56">
        <f t="shared" si="75"/>
        <v>48</v>
      </c>
      <c r="K1614" s="74" t="str">
        <f t="shared" si="76"/>
        <v>31-60 Days</v>
      </c>
      <c r="L1614" s="58" t="str">
        <f t="shared" si="77"/>
        <v>Not Applicable</v>
      </c>
    </row>
    <row r="1615" spans="1:12" ht="16.5" customHeight="1" x14ac:dyDescent="0.35">
      <c r="A1615" t="s">
        <v>690</v>
      </c>
      <c r="B1615" t="s">
        <v>690</v>
      </c>
      <c r="C1615">
        <v>3754.21</v>
      </c>
      <c r="D1615">
        <v>0</v>
      </c>
      <c r="E1615" t="s">
        <v>6522</v>
      </c>
      <c r="F1615" t="s">
        <v>6523</v>
      </c>
      <c r="G1615" t="s">
        <v>6524</v>
      </c>
      <c r="H1615" t="s">
        <v>3466</v>
      </c>
      <c r="I1615" t="s">
        <v>3490</v>
      </c>
      <c r="J1615" s="56">
        <f t="shared" si="75"/>
        <v>48</v>
      </c>
      <c r="K1615" s="74" t="str">
        <f t="shared" si="76"/>
        <v>31-60 Days</v>
      </c>
      <c r="L1615" s="58" t="str">
        <f t="shared" si="77"/>
        <v>Especially Mentioned</v>
      </c>
    </row>
    <row r="1616" spans="1:12" ht="16.5" customHeight="1" x14ac:dyDescent="0.35">
      <c r="A1616" t="s">
        <v>690</v>
      </c>
      <c r="B1616" t="s">
        <v>690</v>
      </c>
      <c r="C1616">
        <v>668.35</v>
      </c>
      <c r="D1616">
        <v>0</v>
      </c>
      <c r="E1616" t="s">
        <v>6525</v>
      </c>
      <c r="F1616" t="s">
        <v>6526</v>
      </c>
      <c r="G1616" t="s">
        <v>6527</v>
      </c>
      <c r="H1616" t="s">
        <v>3485</v>
      </c>
      <c r="I1616" t="s">
        <v>3490</v>
      </c>
      <c r="J1616" s="56">
        <f t="shared" si="75"/>
        <v>48</v>
      </c>
      <c r="K1616" s="74" t="str">
        <f t="shared" si="76"/>
        <v>31-60 Days</v>
      </c>
      <c r="L1616" s="58" t="str">
        <f t="shared" si="77"/>
        <v>Especially Mentioned</v>
      </c>
    </row>
    <row r="1617" spans="1:12" ht="16.5" customHeight="1" x14ac:dyDescent="0.35">
      <c r="A1617" t="s">
        <v>690</v>
      </c>
      <c r="B1617" t="s">
        <v>690</v>
      </c>
      <c r="C1617">
        <v>390</v>
      </c>
      <c r="D1617">
        <v>0</v>
      </c>
      <c r="E1617" t="s">
        <v>6528</v>
      </c>
      <c r="F1617" t="s">
        <v>6529</v>
      </c>
      <c r="G1617" t="s">
        <v>6530</v>
      </c>
      <c r="H1617" t="s">
        <v>3485</v>
      </c>
      <c r="I1617" t="s">
        <v>3490</v>
      </c>
      <c r="J1617" s="56">
        <f t="shared" si="75"/>
        <v>48</v>
      </c>
      <c r="K1617" s="74" t="str">
        <f t="shared" si="76"/>
        <v>31-60 Days</v>
      </c>
      <c r="L1617" s="58" t="str">
        <f t="shared" si="77"/>
        <v>Especially Mentioned</v>
      </c>
    </row>
    <row r="1618" spans="1:12" ht="16.5" customHeight="1" x14ac:dyDescent="0.35">
      <c r="A1618" t="s">
        <v>690</v>
      </c>
      <c r="B1618" t="s">
        <v>690</v>
      </c>
      <c r="C1618">
        <v>0</v>
      </c>
      <c r="D1618">
        <v>1094</v>
      </c>
      <c r="E1618" t="s">
        <v>6531</v>
      </c>
      <c r="F1618" t="s">
        <v>6531</v>
      </c>
      <c r="G1618" t="s">
        <v>6532</v>
      </c>
      <c r="H1618" t="s">
        <v>3489</v>
      </c>
      <c r="I1618" t="s">
        <v>3490</v>
      </c>
      <c r="J1618" s="56">
        <f t="shared" si="75"/>
        <v>48</v>
      </c>
      <c r="K1618" s="74" t="str">
        <f t="shared" si="76"/>
        <v>31-60 Days</v>
      </c>
      <c r="L1618" s="58" t="str">
        <f t="shared" si="77"/>
        <v>Not Applicable</v>
      </c>
    </row>
    <row r="1619" spans="1:12" ht="16.5" customHeight="1" x14ac:dyDescent="0.35">
      <c r="A1619" t="s">
        <v>690</v>
      </c>
      <c r="B1619" t="s">
        <v>690</v>
      </c>
      <c r="C1619">
        <v>0</v>
      </c>
      <c r="D1619">
        <v>1772</v>
      </c>
      <c r="E1619" t="s">
        <v>6533</v>
      </c>
      <c r="F1619" t="s">
        <v>6533</v>
      </c>
      <c r="G1619" t="s">
        <v>6534</v>
      </c>
      <c r="H1619" t="s">
        <v>3489</v>
      </c>
      <c r="I1619" t="s">
        <v>3490</v>
      </c>
      <c r="J1619" s="56">
        <f t="shared" si="75"/>
        <v>48</v>
      </c>
      <c r="K1619" s="74" t="str">
        <f t="shared" si="76"/>
        <v>31-60 Days</v>
      </c>
      <c r="L1619" s="58" t="str">
        <f t="shared" si="77"/>
        <v>Not Applicable</v>
      </c>
    </row>
    <row r="1620" spans="1:12" ht="16.5" customHeight="1" x14ac:dyDescent="0.35">
      <c r="A1620" t="s">
        <v>690</v>
      </c>
      <c r="B1620" t="s">
        <v>690</v>
      </c>
      <c r="C1620">
        <v>1044</v>
      </c>
      <c r="D1620">
        <v>0</v>
      </c>
      <c r="E1620" t="s">
        <v>6535</v>
      </c>
      <c r="F1620" t="s">
        <v>6536</v>
      </c>
      <c r="G1620" t="s">
        <v>6537</v>
      </c>
      <c r="H1620" t="s">
        <v>3485</v>
      </c>
      <c r="I1620" t="s">
        <v>3490</v>
      </c>
      <c r="J1620" s="56">
        <f t="shared" si="75"/>
        <v>48</v>
      </c>
      <c r="K1620" s="74" t="str">
        <f t="shared" si="76"/>
        <v>31-60 Days</v>
      </c>
      <c r="L1620" s="58" t="str">
        <f t="shared" si="77"/>
        <v>Especially Mentioned</v>
      </c>
    </row>
    <row r="1621" spans="1:12" ht="16.5" customHeight="1" x14ac:dyDescent="0.35">
      <c r="A1621" t="s">
        <v>690</v>
      </c>
      <c r="B1621" t="s">
        <v>690</v>
      </c>
      <c r="C1621">
        <v>3119.2</v>
      </c>
      <c r="D1621">
        <v>0</v>
      </c>
      <c r="E1621" t="s">
        <v>6538</v>
      </c>
      <c r="F1621" t="s">
        <v>6539</v>
      </c>
      <c r="G1621" t="s">
        <v>6540</v>
      </c>
      <c r="H1621" t="s">
        <v>3466</v>
      </c>
      <c r="I1621" t="s">
        <v>3490</v>
      </c>
      <c r="J1621" s="56">
        <f t="shared" si="75"/>
        <v>48</v>
      </c>
      <c r="K1621" s="74" t="str">
        <f t="shared" si="76"/>
        <v>31-60 Days</v>
      </c>
      <c r="L1621" s="58" t="str">
        <f t="shared" si="77"/>
        <v>Especially Mentioned</v>
      </c>
    </row>
    <row r="1622" spans="1:12" ht="16.5" customHeight="1" x14ac:dyDescent="0.35">
      <c r="A1622" t="s">
        <v>690</v>
      </c>
      <c r="B1622" t="s">
        <v>690</v>
      </c>
      <c r="C1622">
        <v>0</v>
      </c>
      <c r="D1622">
        <v>1164</v>
      </c>
      <c r="E1622" t="s">
        <v>6541</v>
      </c>
      <c r="F1622" t="s">
        <v>6541</v>
      </c>
      <c r="G1622" t="s">
        <v>6542</v>
      </c>
      <c r="H1622" t="s">
        <v>3489</v>
      </c>
      <c r="I1622" t="s">
        <v>3490</v>
      </c>
      <c r="J1622" s="56">
        <f t="shared" si="75"/>
        <v>48</v>
      </c>
      <c r="K1622" s="74" t="str">
        <f t="shared" si="76"/>
        <v>31-60 Days</v>
      </c>
      <c r="L1622" s="58" t="str">
        <f t="shared" si="77"/>
        <v>Not Applicable</v>
      </c>
    </row>
    <row r="1623" spans="1:12" ht="16.5" customHeight="1" x14ac:dyDescent="0.35">
      <c r="A1623" t="s">
        <v>690</v>
      </c>
      <c r="B1623" t="s">
        <v>690</v>
      </c>
      <c r="C1623">
        <v>2650</v>
      </c>
      <c r="D1623">
        <v>0</v>
      </c>
      <c r="E1623" t="s">
        <v>6543</v>
      </c>
      <c r="F1623" t="s">
        <v>6544</v>
      </c>
      <c r="G1623" t="s">
        <v>6545</v>
      </c>
      <c r="H1623" t="s">
        <v>4394</v>
      </c>
      <c r="I1623" t="s">
        <v>3490</v>
      </c>
      <c r="J1623" s="56">
        <f t="shared" si="75"/>
        <v>48</v>
      </c>
      <c r="K1623" s="74" t="str">
        <f t="shared" si="76"/>
        <v>31-60 Days</v>
      </c>
      <c r="L1623" s="58" t="str">
        <f t="shared" si="77"/>
        <v>Especially Mentioned</v>
      </c>
    </row>
    <row r="1624" spans="1:12" ht="16.5" customHeight="1" x14ac:dyDescent="0.35">
      <c r="A1624" t="s">
        <v>690</v>
      </c>
      <c r="B1624" t="s">
        <v>690</v>
      </c>
      <c r="C1624">
        <v>0</v>
      </c>
      <c r="D1624">
        <v>1118.5</v>
      </c>
      <c r="E1624" t="s">
        <v>6546</v>
      </c>
      <c r="F1624" t="s">
        <v>6547</v>
      </c>
      <c r="G1624" t="s">
        <v>6548</v>
      </c>
      <c r="H1624" t="s">
        <v>3489</v>
      </c>
      <c r="I1624" t="s">
        <v>3486</v>
      </c>
      <c r="J1624" s="56">
        <f t="shared" si="75"/>
        <v>48</v>
      </c>
      <c r="K1624" s="74" t="str">
        <f t="shared" si="76"/>
        <v>31-60 Days</v>
      </c>
      <c r="L1624" s="58" t="str">
        <f t="shared" si="77"/>
        <v>Not Applicable</v>
      </c>
    </row>
    <row r="1625" spans="1:12" ht="16.5" customHeight="1" x14ac:dyDescent="0.35">
      <c r="A1625" t="s">
        <v>690</v>
      </c>
      <c r="B1625" t="s">
        <v>690</v>
      </c>
      <c r="C1625">
        <v>316.25</v>
      </c>
      <c r="D1625">
        <v>0</v>
      </c>
      <c r="E1625" t="s">
        <v>6549</v>
      </c>
      <c r="F1625" t="s">
        <v>6550</v>
      </c>
      <c r="G1625" t="s">
        <v>6551</v>
      </c>
      <c r="H1625" t="s">
        <v>3466</v>
      </c>
      <c r="I1625" t="s">
        <v>3490</v>
      </c>
      <c r="J1625" s="56">
        <f t="shared" si="75"/>
        <v>48</v>
      </c>
      <c r="K1625" s="74" t="str">
        <f t="shared" si="76"/>
        <v>31-60 Days</v>
      </c>
      <c r="L1625" s="58" t="str">
        <f t="shared" si="77"/>
        <v>Especially Mentioned</v>
      </c>
    </row>
    <row r="1626" spans="1:12" ht="16.5" customHeight="1" x14ac:dyDescent="0.35">
      <c r="A1626" t="s">
        <v>690</v>
      </c>
      <c r="B1626" t="s">
        <v>690</v>
      </c>
      <c r="C1626">
        <v>1237.8800000000001</v>
      </c>
      <c r="D1626">
        <v>0</v>
      </c>
      <c r="E1626" t="s">
        <v>6552</v>
      </c>
      <c r="F1626" t="s">
        <v>6553</v>
      </c>
      <c r="G1626" t="s">
        <v>6554</v>
      </c>
      <c r="H1626" t="s">
        <v>4394</v>
      </c>
      <c r="I1626" t="s">
        <v>3490</v>
      </c>
      <c r="J1626" s="56">
        <f t="shared" si="75"/>
        <v>48</v>
      </c>
      <c r="K1626" s="74" t="str">
        <f t="shared" si="76"/>
        <v>31-60 Days</v>
      </c>
      <c r="L1626" s="58" t="str">
        <f t="shared" si="77"/>
        <v>Especially Mentioned</v>
      </c>
    </row>
    <row r="1627" spans="1:12" ht="16.5" customHeight="1" x14ac:dyDescent="0.35">
      <c r="A1627" t="s">
        <v>690</v>
      </c>
      <c r="B1627" t="s">
        <v>690</v>
      </c>
      <c r="C1627">
        <v>2038.14</v>
      </c>
      <c r="D1627">
        <v>0</v>
      </c>
      <c r="E1627" t="s">
        <v>6555</v>
      </c>
      <c r="F1627" t="s">
        <v>6556</v>
      </c>
      <c r="G1627" t="s">
        <v>6557</v>
      </c>
      <c r="H1627" t="s">
        <v>3466</v>
      </c>
      <c r="I1627" t="s">
        <v>3490</v>
      </c>
      <c r="J1627" s="56">
        <f t="shared" si="75"/>
        <v>48</v>
      </c>
      <c r="K1627" s="74" t="str">
        <f t="shared" si="76"/>
        <v>31-60 Days</v>
      </c>
      <c r="L1627" s="58" t="str">
        <f t="shared" si="77"/>
        <v>Especially Mentioned</v>
      </c>
    </row>
    <row r="1628" spans="1:12" ht="16.5" customHeight="1" x14ac:dyDescent="0.35">
      <c r="A1628" t="s">
        <v>690</v>
      </c>
      <c r="B1628" t="s">
        <v>690</v>
      </c>
      <c r="C1628">
        <v>700</v>
      </c>
      <c r="D1628">
        <v>0</v>
      </c>
      <c r="E1628" t="s">
        <v>6558</v>
      </c>
      <c r="F1628" t="s">
        <v>6559</v>
      </c>
      <c r="G1628" t="s">
        <v>6560</v>
      </c>
      <c r="H1628" t="s">
        <v>3466</v>
      </c>
      <c r="I1628" t="s">
        <v>3490</v>
      </c>
      <c r="J1628" s="56">
        <f t="shared" si="75"/>
        <v>48</v>
      </c>
      <c r="K1628" s="74" t="str">
        <f t="shared" si="76"/>
        <v>31-60 Days</v>
      </c>
      <c r="L1628" s="58" t="str">
        <f t="shared" si="77"/>
        <v>Especially Mentioned</v>
      </c>
    </row>
    <row r="1629" spans="1:12" ht="16.5" customHeight="1" x14ac:dyDescent="0.35">
      <c r="A1629" t="s">
        <v>690</v>
      </c>
      <c r="B1629" t="s">
        <v>690</v>
      </c>
      <c r="C1629">
        <v>322.52</v>
      </c>
      <c r="D1629">
        <v>0</v>
      </c>
      <c r="E1629" t="s">
        <v>6561</v>
      </c>
      <c r="F1629" t="s">
        <v>6562</v>
      </c>
      <c r="G1629" t="s">
        <v>6563</v>
      </c>
      <c r="H1629" t="s">
        <v>3466</v>
      </c>
      <c r="I1629" t="s">
        <v>3490</v>
      </c>
      <c r="J1629" s="56">
        <f t="shared" si="75"/>
        <v>48</v>
      </c>
      <c r="K1629" s="74" t="str">
        <f t="shared" si="76"/>
        <v>31-60 Days</v>
      </c>
      <c r="L1629" s="58" t="str">
        <f t="shared" si="77"/>
        <v>Especially Mentioned</v>
      </c>
    </row>
    <row r="1630" spans="1:12" ht="16.5" customHeight="1" x14ac:dyDescent="0.35">
      <c r="A1630" t="s">
        <v>690</v>
      </c>
      <c r="B1630" t="s">
        <v>690</v>
      </c>
      <c r="C1630">
        <v>265</v>
      </c>
      <c r="D1630">
        <v>0</v>
      </c>
      <c r="E1630" t="s">
        <v>6564</v>
      </c>
      <c r="F1630" t="s">
        <v>6565</v>
      </c>
      <c r="G1630" t="s">
        <v>6566</v>
      </c>
      <c r="H1630" t="s">
        <v>3458</v>
      </c>
      <c r="I1630" t="s">
        <v>3490</v>
      </c>
      <c r="J1630" s="56">
        <f t="shared" si="75"/>
        <v>48</v>
      </c>
      <c r="K1630" s="74" t="str">
        <f t="shared" si="76"/>
        <v>31-60 Days</v>
      </c>
      <c r="L1630" s="58" t="str">
        <f t="shared" si="77"/>
        <v>Especially Mentioned</v>
      </c>
    </row>
    <row r="1631" spans="1:12" ht="16.5" customHeight="1" x14ac:dyDescent="0.35">
      <c r="A1631" t="s">
        <v>690</v>
      </c>
      <c r="B1631" t="s">
        <v>690</v>
      </c>
      <c r="C1631">
        <v>240</v>
      </c>
      <c r="D1631">
        <v>0</v>
      </c>
      <c r="E1631" t="s">
        <v>6567</v>
      </c>
      <c r="F1631" t="s">
        <v>6568</v>
      </c>
      <c r="G1631" t="s">
        <v>6569</v>
      </c>
      <c r="H1631" t="s">
        <v>3485</v>
      </c>
      <c r="I1631" t="s">
        <v>3490</v>
      </c>
      <c r="J1631" s="56">
        <f t="shared" si="75"/>
        <v>48</v>
      </c>
      <c r="K1631" s="74" t="str">
        <f t="shared" si="76"/>
        <v>31-60 Days</v>
      </c>
      <c r="L1631" s="58" t="str">
        <f t="shared" si="77"/>
        <v>Especially Mentioned</v>
      </c>
    </row>
    <row r="1632" spans="1:12" ht="16.5" customHeight="1" x14ac:dyDescent="0.35">
      <c r="A1632" t="s">
        <v>690</v>
      </c>
      <c r="B1632" t="s">
        <v>690</v>
      </c>
      <c r="C1632">
        <v>0</v>
      </c>
      <c r="D1632">
        <v>1000</v>
      </c>
      <c r="E1632" t="s">
        <v>6570</v>
      </c>
      <c r="F1632" t="s">
        <v>6571</v>
      </c>
      <c r="G1632" t="s">
        <v>6572</v>
      </c>
      <c r="H1632" t="s">
        <v>3532</v>
      </c>
      <c r="I1632" t="s">
        <v>3490</v>
      </c>
      <c r="J1632" s="56">
        <f t="shared" si="75"/>
        <v>48</v>
      </c>
      <c r="K1632" s="74" t="str">
        <f t="shared" si="76"/>
        <v>31-60 Days</v>
      </c>
      <c r="L1632" s="58" t="str">
        <f t="shared" si="77"/>
        <v>Not Applicable</v>
      </c>
    </row>
    <row r="1633" spans="1:12" ht="16.5" customHeight="1" x14ac:dyDescent="0.35">
      <c r="A1633" t="s">
        <v>690</v>
      </c>
      <c r="B1633" t="s">
        <v>690</v>
      </c>
      <c r="C1633">
        <v>0</v>
      </c>
      <c r="D1633">
        <v>1500</v>
      </c>
      <c r="E1633" t="s">
        <v>6573</v>
      </c>
      <c r="F1633" t="s">
        <v>6574</v>
      </c>
      <c r="G1633" t="s">
        <v>6575</v>
      </c>
      <c r="H1633" t="s">
        <v>3489</v>
      </c>
      <c r="I1633" t="s">
        <v>3486</v>
      </c>
      <c r="J1633" s="56">
        <f t="shared" si="75"/>
        <v>48</v>
      </c>
      <c r="K1633" s="74" t="str">
        <f t="shared" si="76"/>
        <v>31-60 Days</v>
      </c>
      <c r="L1633" s="58" t="str">
        <f t="shared" si="77"/>
        <v>Not Applicable</v>
      </c>
    </row>
    <row r="1634" spans="1:12" ht="16.5" customHeight="1" x14ac:dyDescent="0.35">
      <c r="A1634" t="s">
        <v>690</v>
      </c>
      <c r="B1634" t="s">
        <v>690</v>
      </c>
      <c r="C1634">
        <v>50000</v>
      </c>
      <c r="D1634">
        <v>0</v>
      </c>
      <c r="E1634" t="s">
        <v>6576</v>
      </c>
      <c r="F1634" t="s">
        <v>6577</v>
      </c>
      <c r="G1634" t="s">
        <v>6578</v>
      </c>
      <c r="H1634" t="s">
        <v>6053</v>
      </c>
      <c r="I1634" t="s">
        <v>3490</v>
      </c>
      <c r="J1634" s="56">
        <f t="shared" si="75"/>
        <v>48</v>
      </c>
      <c r="K1634" s="74" t="str">
        <f t="shared" si="76"/>
        <v>31-60 Days</v>
      </c>
      <c r="L1634" s="58" t="str">
        <f t="shared" si="77"/>
        <v>Especially Mentioned</v>
      </c>
    </row>
    <row r="1635" spans="1:12" ht="16.5" customHeight="1" x14ac:dyDescent="0.35">
      <c r="A1635" t="s">
        <v>690</v>
      </c>
      <c r="B1635" t="s">
        <v>690</v>
      </c>
      <c r="C1635">
        <v>2000</v>
      </c>
      <c r="D1635">
        <v>0</v>
      </c>
      <c r="E1635" t="s">
        <v>6579</v>
      </c>
      <c r="F1635" t="s">
        <v>6580</v>
      </c>
      <c r="G1635" t="s">
        <v>6581</v>
      </c>
      <c r="H1635" t="s">
        <v>3466</v>
      </c>
      <c r="I1635" t="s">
        <v>3490</v>
      </c>
      <c r="J1635" s="56">
        <f t="shared" si="75"/>
        <v>48</v>
      </c>
      <c r="K1635" s="74" t="str">
        <f t="shared" si="76"/>
        <v>31-60 Days</v>
      </c>
      <c r="L1635" s="58" t="str">
        <f t="shared" si="77"/>
        <v>Especially Mentioned</v>
      </c>
    </row>
    <row r="1636" spans="1:12" ht="16.5" customHeight="1" x14ac:dyDescent="0.35">
      <c r="A1636" t="s">
        <v>690</v>
      </c>
      <c r="B1636" t="s">
        <v>690</v>
      </c>
      <c r="C1636">
        <v>20489</v>
      </c>
      <c r="D1636">
        <v>0</v>
      </c>
      <c r="E1636" t="s">
        <v>6582</v>
      </c>
      <c r="F1636" t="s">
        <v>6583</v>
      </c>
      <c r="G1636" t="s">
        <v>6584</v>
      </c>
      <c r="H1636" t="s">
        <v>3485</v>
      </c>
      <c r="I1636" t="s">
        <v>3490</v>
      </c>
      <c r="J1636" s="56">
        <f t="shared" si="75"/>
        <v>48</v>
      </c>
      <c r="K1636" s="74" t="str">
        <f t="shared" si="76"/>
        <v>31-60 Days</v>
      </c>
      <c r="L1636" s="58" t="str">
        <f t="shared" si="77"/>
        <v>Especially Mentioned</v>
      </c>
    </row>
    <row r="1637" spans="1:12" ht="16.5" customHeight="1" x14ac:dyDescent="0.35">
      <c r="A1637" t="s">
        <v>690</v>
      </c>
      <c r="B1637" t="s">
        <v>690</v>
      </c>
      <c r="C1637">
        <v>0</v>
      </c>
      <c r="D1637">
        <v>3000</v>
      </c>
      <c r="E1637" t="s">
        <v>6585</v>
      </c>
      <c r="F1637" t="s">
        <v>6585</v>
      </c>
      <c r="G1637" t="s">
        <v>6586</v>
      </c>
      <c r="H1637" t="s">
        <v>3532</v>
      </c>
      <c r="I1637" t="s">
        <v>3490</v>
      </c>
      <c r="J1637" s="56">
        <f t="shared" si="75"/>
        <v>48</v>
      </c>
      <c r="K1637" s="74" t="str">
        <f t="shared" si="76"/>
        <v>31-60 Days</v>
      </c>
      <c r="L1637" s="58" t="str">
        <f t="shared" si="77"/>
        <v>Not Applicable</v>
      </c>
    </row>
    <row r="1638" spans="1:12" ht="16.5" customHeight="1" x14ac:dyDescent="0.35">
      <c r="A1638" t="s">
        <v>690</v>
      </c>
      <c r="B1638" t="s">
        <v>690</v>
      </c>
      <c r="C1638">
        <v>750000</v>
      </c>
      <c r="D1638">
        <v>0</v>
      </c>
      <c r="E1638" t="s">
        <v>6587</v>
      </c>
      <c r="F1638" t="s">
        <v>6588</v>
      </c>
      <c r="G1638" t="s">
        <v>6589</v>
      </c>
      <c r="H1638" t="s">
        <v>3485</v>
      </c>
      <c r="I1638" t="s">
        <v>3490</v>
      </c>
      <c r="J1638" s="56">
        <f t="shared" si="75"/>
        <v>48</v>
      </c>
      <c r="K1638" s="74" t="str">
        <f t="shared" si="76"/>
        <v>31-60 Days</v>
      </c>
      <c r="L1638" s="58" t="str">
        <f t="shared" si="77"/>
        <v>Especially Mentioned</v>
      </c>
    </row>
    <row r="1639" spans="1:12" ht="16.5" customHeight="1" x14ac:dyDescent="0.35">
      <c r="A1639" t="s">
        <v>690</v>
      </c>
      <c r="B1639" t="s">
        <v>690</v>
      </c>
      <c r="C1639">
        <v>0</v>
      </c>
      <c r="D1639">
        <v>1086</v>
      </c>
      <c r="E1639" t="s">
        <v>6590</v>
      </c>
      <c r="F1639" t="s">
        <v>6590</v>
      </c>
      <c r="G1639" t="s">
        <v>6591</v>
      </c>
      <c r="H1639" t="s">
        <v>3489</v>
      </c>
      <c r="I1639" t="s">
        <v>3490</v>
      </c>
      <c r="J1639" s="56">
        <f t="shared" si="75"/>
        <v>48</v>
      </c>
      <c r="K1639" s="74" t="str">
        <f t="shared" si="76"/>
        <v>31-60 Days</v>
      </c>
      <c r="L1639" s="58" t="str">
        <f t="shared" si="77"/>
        <v>Not Applicable</v>
      </c>
    </row>
    <row r="1640" spans="1:12" ht="16.5" customHeight="1" x14ac:dyDescent="0.35">
      <c r="A1640" t="s">
        <v>690</v>
      </c>
      <c r="B1640" t="s">
        <v>690</v>
      </c>
      <c r="C1640">
        <v>0</v>
      </c>
      <c r="D1640">
        <v>140</v>
      </c>
      <c r="E1640" t="s">
        <v>6592</v>
      </c>
      <c r="F1640" t="s">
        <v>6592</v>
      </c>
      <c r="G1640" t="s">
        <v>6593</v>
      </c>
      <c r="H1640" t="s">
        <v>3489</v>
      </c>
      <c r="I1640" t="s">
        <v>3490</v>
      </c>
      <c r="J1640" s="56">
        <f t="shared" si="75"/>
        <v>48</v>
      </c>
      <c r="K1640" s="74" t="str">
        <f t="shared" si="76"/>
        <v>31-60 Days</v>
      </c>
      <c r="L1640" s="58" t="str">
        <f t="shared" si="77"/>
        <v>Not Applicable</v>
      </c>
    </row>
    <row r="1641" spans="1:12" ht="16.5" customHeight="1" x14ac:dyDescent="0.35">
      <c r="A1641" t="s">
        <v>690</v>
      </c>
      <c r="B1641" t="s">
        <v>690</v>
      </c>
      <c r="C1641">
        <v>198</v>
      </c>
      <c r="D1641">
        <v>0</v>
      </c>
      <c r="E1641" t="s">
        <v>6594</v>
      </c>
      <c r="F1641" t="s">
        <v>6595</v>
      </c>
      <c r="G1641" t="s">
        <v>6596</v>
      </c>
      <c r="H1641" t="s">
        <v>3466</v>
      </c>
      <c r="I1641" t="s">
        <v>3490</v>
      </c>
      <c r="J1641" s="56">
        <f t="shared" si="75"/>
        <v>48</v>
      </c>
      <c r="K1641" s="74" t="str">
        <f t="shared" si="76"/>
        <v>31-60 Days</v>
      </c>
      <c r="L1641" s="58" t="str">
        <f t="shared" si="77"/>
        <v>Especially Mentioned</v>
      </c>
    </row>
    <row r="1642" spans="1:12" ht="16.5" customHeight="1" x14ac:dyDescent="0.35">
      <c r="A1642" t="s">
        <v>690</v>
      </c>
      <c r="B1642" t="s">
        <v>690</v>
      </c>
      <c r="C1642">
        <v>1890</v>
      </c>
      <c r="D1642">
        <v>0</v>
      </c>
      <c r="E1642" t="s">
        <v>6597</v>
      </c>
      <c r="F1642" t="s">
        <v>6598</v>
      </c>
      <c r="G1642" t="s">
        <v>6599</v>
      </c>
      <c r="H1642" t="s">
        <v>3476</v>
      </c>
      <c r="I1642" t="s">
        <v>3490</v>
      </c>
      <c r="J1642" s="56">
        <f t="shared" si="75"/>
        <v>48</v>
      </c>
      <c r="K1642" s="74" t="str">
        <f t="shared" si="76"/>
        <v>31-60 Days</v>
      </c>
      <c r="L1642" s="58" t="str">
        <f t="shared" si="77"/>
        <v>Especially Mentioned</v>
      </c>
    </row>
    <row r="1643" spans="1:12" ht="16.5" customHeight="1" x14ac:dyDescent="0.35">
      <c r="A1643" t="s">
        <v>690</v>
      </c>
      <c r="B1643" t="s">
        <v>690</v>
      </c>
      <c r="C1643">
        <v>400</v>
      </c>
      <c r="D1643">
        <v>0</v>
      </c>
      <c r="E1643" t="s">
        <v>6600</v>
      </c>
      <c r="F1643" t="s">
        <v>6601</v>
      </c>
      <c r="G1643" t="s">
        <v>6602</v>
      </c>
      <c r="H1643" t="s">
        <v>3485</v>
      </c>
      <c r="I1643" t="s">
        <v>3490</v>
      </c>
      <c r="J1643" s="56">
        <f t="shared" si="75"/>
        <v>48</v>
      </c>
      <c r="K1643" s="74" t="str">
        <f t="shared" si="76"/>
        <v>31-60 Days</v>
      </c>
      <c r="L1643" s="58" t="str">
        <f t="shared" si="77"/>
        <v>Especially Mentioned</v>
      </c>
    </row>
    <row r="1644" spans="1:12" ht="16.5" customHeight="1" x14ac:dyDescent="0.35">
      <c r="A1644" t="s">
        <v>690</v>
      </c>
      <c r="B1644" t="s">
        <v>690</v>
      </c>
      <c r="C1644">
        <v>210</v>
      </c>
      <c r="D1644">
        <v>0</v>
      </c>
      <c r="E1644" t="s">
        <v>6603</v>
      </c>
      <c r="F1644" t="s">
        <v>6604</v>
      </c>
      <c r="G1644" t="s">
        <v>6605</v>
      </c>
      <c r="H1644" t="s">
        <v>3458</v>
      </c>
      <c r="I1644" t="s">
        <v>3490</v>
      </c>
      <c r="J1644" s="56">
        <f t="shared" si="75"/>
        <v>48</v>
      </c>
      <c r="K1644" s="74" t="str">
        <f t="shared" si="76"/>
        <v>31-60 Days</v>
      </c>
      <c r="L1644" s="58" t="str">
        <f t="shared" si="77"/>
        <v>Especially Mentioned</v>
      </c>
    </row>
    <row r="1645" spans="1:12" ht="16.5" customHeight="1" x14ac:dyDescent="0.35">
      <c r="A1645" t="s">
        <v>690</v>
      </c>
      <c r="B1645" t="s">
        <v>690</v>
      </c>
      <c r="C1645">
        <v>90</v>
      </c>
      <c r="D1645">
        <v>0</v>
      </c>
      <c r="E1645" t="s">
        <v>6606</v>
      </c>
      <c r="F1645" t="s">
        <v>6607</v>
      </c>
      <c r="G1645" t="s">
        <v>6608</v>
      </c>
      <c r="H1645" t="s">
        <v>3476</v>
      </c>
      <c r="I1645" t="s">
        <v>3490</v>
      </c>
      <c r="J1645" s="56">
        <f t="shared" si="75"/>
        <v>48</v>
      </c>
      <c r="K1645" s="74" t="str">
        <f t="shared" si="76"/>
        <v>31-60 Days</v>
      </c>
      <c r="L1645" s="58" t="str">
        <f t="shared" si="77"/>
        <v>Especially Mentioned</v>
      </c>
    </row>
    <row r="1646" spans="1:12" ht="16.5" customHeight="1" x14ac:dyDescent="0.35">
      <c r="A1646" t="s">
        <v>690</v>
      </c>
      <c r="B1646" t="s">
        <v>690</v>
      </c>
      <c r="C1646">
        <v>0</v>
      </c>
      <c r="D1646">
        <v>2092</v>
      </c>
      <c r="E1646" t="s">
        <v>6609</v>
      </c>
      <c r="F1646" t="s">
        <v>6609</v>
      </c>
      <c r="G1646" t="s">
        <v>6610</v>
      </c>
      <c r="H1646" t="s">
        <v>3489</v>
      </c>
      <c r="I1646" t="s">
        <v>3490</v>
      </c>
      <c r="J1646" s="56">
        <f t="shared" si="75"/>
        <v>48</v>
      </c>
      <c r="K1646" s="74" t="str">
        <f t="shared" si="76"/>
        <v>31-60 Days</v>
      </c>
      <c r="L1646" s="58" t="str">
        <f t="shared" si="77"/>
        <v>Not Applicable</v>
      </c>
    </row>
    <row r="1647" spans="1:12" ht="16.5" customHeight="1" x14ac:dyDescent="0.35">
      <c r="A1647" t="s">
        <v>690</v>
      </c>
      <c r="B1647" t="s">
        <v>690</v>
      </c>
      <c r="C1647">
        <v>0</v>
      </c>
      <c r="D1647">
        <v>1058</v>
      </c>
      <c r="E1647" t="s">
        <v>6611</v>
      </c>
      <c r="F1647" t="s">
        <v>6611</v>
      </c>
      <c r="G1647" t="s">
        <v>6612</v>
      </c>
      <c r="H1647" t="s">
        <v>3489</v>
      </c>
      <c r="I1647" t="s">
        <v>3490</v>
      </c>
      <c r="J1647" s="56">
        <f t="shared" si="75"/>
        <v>48</v>
      </c>
      <c r="K1647" s="74" t="str">
        <f t="shared" si="76"/>
        <v>31-60 Days</v>
      </c>
      <c r="L1647" s="58" t="str">
        <f t="shared" si="77"/>
        <v>Not Applicable</v>
      </c>
    </row>
    <row r="1648" spans="1:12" ht="16.5" customHeight="1" x14ac:dyDescent="0.35">
      <c r="A1648" t="s">
        <v>690</v>
      </c>
      <c r="B1648" t="s">
        <v>690</v>
      </c>
      <c r="C1648">
        <v>300</v>
      </c>
      <c r="D1648">
        <v>0</v>
      </c>
      <c r="E1648" t="s">
        <v>6613</v>
      </c>
      <c r="F1648" t="s">
        <v>6614</v>
      </c>
      <c r="G1648" t="s">
        <v>6615</v>
      </c>
      <c r="H1648" t="s">
        <v>3485</v>
      </c>
      <c r="I1648" t="s">
        <v>3490</v>
      </c>
      <c r="J1648" s="56">
        <f t="shared" si="75"/>
        <v>48</v>
      </c>
      <c r="K1648" s="74" t="str">
        <f t="shared" si="76"/>
        <v>31-60 Days</v>
      </c>
      <c r="L1648" s="58" t="str">
        <f t="shared" si="77"/>
        <v>Especially Mentioned</v>
      </c>
    </row>
    <row r="1649" spans="1:12" ht="16.5" customHeight="1" x14ac:dyDescent="0.35">
      <c r="A1649" t="s">
        <v>690</v>
      </c>
      <c r="B1649" t="s">
        <v>690</v>
      </c>
      <c r="C1649">
        <v>170</v>
      </c>
      <c r="D1649">
        <v>0</v>
      </c>
      <c r="E1649" t="s">
        <v>6616</v>
      </c>
      <c r="F1649" t="s">
        <v>6617</v>
      </c>
      <c r="G1649" t="s">
        <v>6618</v>
      </c>
      <c r="H1649" t="s">
        <v>3466</v>
      </c>
      <c r="I1649" t="s">
        <v>3490</v>
      </c>
      <c r="J1649" s="56">
        <f t="shared" si="75"/>
        <v>48</v>
      </c>
      <c r="K1649" s="74" t="str">
        <f t="shared" si="76"/>
        <v>31-60 Days</v>
      </c>
      <c r="L1649" s="58" t="str">
        <f t="shared" si="77"/>
        <v>Especially Mentioned</v>
      </c>
    </row>
    <row r="1650" spans="1:12" ht="16.5" customHeight="1" x14ac:dyDescent="0.35">
      <c r="A1650" t="s">
        <v>690</v>
      </c>
      <c r="B1650" t="s">
        <v>690</v>
      </c>
      <c r="C1650">
        <v>0</v>
      </c>
      <c r="D1650">
        <v>1070</v>
      </c>
      <c r="E1650" t="s">
        <v>6619</v>
      </c>
      <c r="F1650" t="s">
        <v>6619</v>
      </c>
      <c r="G1650" t="s">
        <v>6620</v>
      </c>
      <c r="H1650" t="s">
        <v>3489</v>
      </c>
      <c r="I1650" t="s">
        <v>3490</v>
      </c>
      <c r="J1650" s="56">
        <f t="shared" si="75"/>
        <v>48</v>
      </c>
      <c r="K1650" s="74" t="str">
        <f t="shared" si="76"/>
        <v>31-60 Days</v>
      </c>
      <c r="L1650" s="58" t="str">
        <f t="shared" si="77"/>
        <v>Not Applicable</v>
      </c>
    </row>
    <row r="1651" spans="1:12" ht="16.5" customHeight="1" x14ac:dyDescent="0.35">
      <c r="A1651" t="s">
        <v>690</v>
      </c>
      <c r="B1651" t="s">
        <v>690</v>
      </c>
      <c r="C1651">
        <v>1000</v>
      </c>
      <c r="D1651">
        <v>0</v>
      </c>
      <c r="E1651" t="s">
        <v>6621</v>
      </c>
      <c r="F1651" t="s">
        <v>6622</v>
      </c>
      <c r="G1651" t="s">
        <v>6623</v>
      </c>
      <c r="H1651" t="s">
        <v>3485</v>
      </c>
      <c r="I1651" t="s">
        <v>3490</v>
      </c>
      <c r="J1651" s="56">
        <f t="shared" si="75"/>
        <v>48</v>
      </c>
      <c r="K1651" s="74" t="str">
        <f t="shared" si="76"/>
        <v>31-60 Days</v>
      </c>
      <c r="L1651" s="58" t="str">
        <f t="shared" si="77"/>
        <v>Especially Mentioned</v>
      </c>
    </row>
    <row r="1652" spans="1:12" ht="16.5" customHeight="1" x14ac:dyDescent="0.35">
      <c r="A1652" t="s">
        <v>690</v>
      </c>
      <c r="B1652" t="s">
        <v>690</v>
      </c>
      <c r="C1652">
        <v>624</v>
      </c>
      <c r="D1652">
        <v>0</v>
      </c>
      <c r="E1652" t="s">
        <v>6624</v>
      </c>
      <c r="F1652" t="s">
        <v>6625</v>
      </c>
      <c r="G1652" t="s">
        <v>6626</v>
      </c>
      <c r="H1652" t="s">
        <v>3485</v>
      </c>
      <c r="I1652" t="s">
        <v>3490</v>
      </c>
      <c r="J1652" s="56">
        <f t="shared" si="75"/>
        <v>48</v>
      </c>
      <c r="K1652" s="74" t="str">
        <f t="shared" si="76"/>
        <v>31-60 Days</v>
      </c>
      <c r="L1652" s="58" t="str">
        <f t="shared" si="77"/>
        <v>Especially Mentioned</v>
      </c>
    </row>
    <row r="1653" spans="1:12" ht="16.5" customHeight="1" x14ac:dyDescent="0.35">
      <c r="A1653" t="s">
        <v>690</v>
      </c>
      <c r="B1653" t="s">
        <v>690</v>
      </c>
      <c r="C1653">
        <v>67855.679999999993</v>
      </c>
      <c r="D1653">
        <v>0</v>
      </c>
      <c r="E1653" t="s">
        <v>6627</v>
      </c>
      <c r="F1653" t="s">
        <v>6628</v>
      </c>
      <c r="G1653" t="s">
        <v>6629</v>
      </c>
      <c r="H1653" t="s">
        <v>3466</v>
      </c>
      <c r="I1653" t="s">
        <v>3490</v>
      </c>
      <c r="J1653" s="56">
        <f t="shared" si="75"/>
        <v>48</v>
      </c>
      <c r="K1653" s="74" t="str">
        <f t="shared" si="76"/>
        <v>31-60 Days</v>
      </c>
      <c r="L1653" s="58" t="str">
        <f t="shared" si="77"/>
        <v>Especially Mentioned</v>
      </c>
    </row>
    <row r="1654" spans="1:12" ht="16.5" customHeight="1" x14ac:dyDescent="0.35">
      <c r="A1654" t="s">
        <v>690</v>
      </c>
      <c r="B1654" t="s">
        <v>690</v>
      </c>
      <c r="C1654">
        <v>200</v>
      </c>
      <c r="D1654">
        <v>0</v>
      </c>
      <c r="E1654" t="s">
        <v>6630</v>
      </c>
      <c r="F1654" t="s">
        <v>6631</v>
      </c>
      <c r="G1654" t="s">
        <v>6632</v>
      </c>
      <c r="H1654" t="s">
        <v>3476</v>
      </c>
      <c r="I1654" t="s">
        <v>3490</v>
      </c>
      <c r="J1654" s="56">
        <f t="shared" si="75"/>
        <v>48</v>
      </c>
      <c r="K1654" s="74" t="str">
        <f t="shared" si="76"/>
        <v>31-60 Days</v>
      </c>
      <c r="L1654" s="58" t="str">
        <f t="shared" si="77"/>
        <v>Especially Mentioned</v>
      </c>
    </row>
    <row r="1655" spans="1:12" ht="16.5" customHeight="1" x14ac:dyDescent="0.35">
      <c r="A1655" t="s">
        <v>690</v>
      </c>
      <c r="B1655" t="s">
        <v>690</v>
      </c>
      <c r="C1655">
        <v>0</v>
      </c>
      <c r="D1655">
        <v>1780</v>
      </c>
      <c r="E1655" t="s">
        <v>6633</v>
      </c>
      <c r="F1655" t="s">
        <v>6633</v>
      </c>
      <c r="G1655" t="s">
        <v>6634</v>
      </c>
      <c r="H1655" t="s">
        <v>3489</v>
      </c>
      <c r="I1655" t="s">
        <v>3490</v>
      </c>
      <c r="J1655" s="56">
        <f t="shared" si="75"/>
        <v>48</v>
      </c>
      <c r="K1655" s="74" t="str">
        <f t="shared" si="76"/>
        <v>31-60 Days</v>
      </c>
      <c r="L1655" s="58" t="str">
        <f t="shared" si="77"/>
        <v>Not Applicable</v>
      </c>
    </row>
    <row r="1656" spans="1:12" ht="16.5" customHeight="1" x14ac:dyDescent="0.35">
      <c r="A1656" t="s">
        <v>690</v>
      </c>
      <c r="B1656" t="s">
        <v>690</v>
      </c>
      <c r="C1656">
        <v>0</v>
      </c>
      <c r="D1656">
        <v>451.64</v>
      </c>
      <c r="E1656" t="s">
        <v>6635</v>
      </c>
      <c r="F1656" t="s">
        <v>6636</v>
      </c>
      <c r="G1656" t="s">
        <v>6637</v>
      </c>
      <c r="H1656" t="s">
        <v>3489</v>
      </c>
      <c r="I1656" t="s">
        <v>3486</v>
      </c>
      <c r="J1656" s="56">
        <f t="shared" si="75"/>
        <v>48</v>
      </c>
      <c r="K1656" s="74" t="str">
        <f t="shared" si="76"/>
        <v>31-60 Days</v>
      </c>
      <c r="L1656" s="58" t="str">
        <f t="shared" si="77"/>
        <v>Not Applicable</v>
      </c>
    </row>
    <row r="1657" spans="1:12" ht="16.5" customHeight="1" x14ac:dyDescent="0.35">
      <c r="A1657" t="s">
        <v>690</v>
      </c>
      <c r="B1657" t="s">
        <v>690</v>
      </c>
      <c r="C1657">
        <v>2157.4</v>
      </c>
      <c r="D1657">
        <v>0</v>
      </c>
      <c r="E1657" t="s">
        <v>6638</v>
      </c>
      <c r="F1657" t="s">
        <v>6639</v>
      </c>
      <c r="G1657" t="s">
        <v>6640</v>
      </c>
      <c r="H1657" t="s">
        <v>3485</v>
      </c>
      <c r="I1657" t="s">
        <v>3490</v>
      </c>
      <c r="J1657" s="56">
        <f t="shared" si="75"/>
        <v>48</v>
      </c>
      <c r="K1657" s="74" t="str">
        <f t="shared" si="76"/>
        <v>31-60 Days</v>
      </c>
      <c r="L1657" s="58" t="str">
        <f t="shared" si="77"/>
        <v>Especially Mentioned</v>
      </c>
    </row>
    <row r="1658" spans="1:12" ht="16.5" customHeight="1" x14ac:dyDescent="0.35">
      <c r="A1658" t="s">
        <v>690</v>
      </c>
      <c r="B1658" t="s">
        <v>690</v>
      </c>
      <c r="C1658">
        <v>0</v>
      </c>
      <c r="D1658">
        <v>140</v>
      </c>
      <c r="E1658" t="s">
        <v>6641</v>
      </c>
      <c r="F1658" t="s">
        <v>6641</v>
      </c>
      <c r="G1658" t="s">
        <v>6642</v>
      </c>
      <c r="H1658" t="s">
        <v>3489</v>
      </c>
      <c r="I1658" t="s">
        <v>3490</v>
      </c>
      <c r="J1658" s="56">
        <f t="shared" si="75"/>
        <v>48</v>
      </c>
      <c r="K1658" s="74" t="str">
        <f t="shared" si="76"/>
        <v>31-60 Days</v>
      </c>
      <c r="L1658" s="58" t="str">
        <f t="shared" si="77"/>
        <v>Not Applicable</v>
      </c>
    </row>
    <row r="1659" spans="1:12" ht="16.5" customHeight="1" x14ac:dyDescent="0.35">
      <c r="A1659" t="s">
        <v>690</v>
      </c>
      <c r="B1659" t="s">
        <v>690</v>
      </c>
      <c r="C1659">
        <v>0</v>
      </c>
      <c r="D1659">
        <v>1000</v>
      </c>
      <c r="E1659" t="s">
        <v>6643</v>
      </c>
      <c r="F1659" t="s">
        <v>6643</v>
      </c>
      <c r="G1659" t="s">
        <v>6644</v>
      </c>
      <c r="H1659" t="s">
        <v>3489</v>
      </c>
      <c r="I1659" t="s">
        <v>3490</v>
      </c>
      <c r="J1659" s="56">
        <f t="shared" si="75"/>
        <v>48</v>
      </c>
      <c r="K1659" s="74" t="str">
        <f t="shared" si="76"/>
        <v>31-60 Days</v>
      </c>
      <c r="L1659" s="58" t="str">
        <f t="shared" si="77"/>
        <v>Not Applicable</v>
      </c>
    </row>
    <row r="1660" spans="1:12" ht="16.5" customHeight="1" x14ac:dyDescent="0.35">
      <c r="A1660" t="s">
        <v>690</v>
      </c>
      <c r="B1660" t="s">
        <v>690</v>
      </c>
      <c r="C1660">
        <v>2508</v>
      </c>
      <c r="D1660">
        <v>0</v>
      </c>
      <c r="E1660" t="s">
        <v>6645</v>
      </c>
      <c r="F1660" t="s">
        <v>6646</v>
      </c>
      <c r="G1660" t="s">
        <v>6647</v>
      </c>
      <c r="H1660" t="s">
        <v>6186</v>
      </c>
      <c r="I1660" t="s">
        <v>3490</v>
      </c>
      <c r="J1660" s="56">
        <f t="shared" si="75"/>
        <v>48</v>
      </c>
      <c r="K1660" s="74" t="str">
        <f t="shared" si="76"/>
        <v>31-60 Days</v>
      </c>
      <c r="L1660" s="58" t="str">
        <f t="shared" si="77"/>
        <v>Especially Mentioned</v>
      </c>
    </row>
    <row r="1661" spans="1:12" ht="16.5" customHeight="1" x14ac:dyDescent="0.35">
      <c r="A1661" t="s">
        <v>690</v>
      </c>
      <c r="B1661" t="s">
        <v>690</v>
      </c>
      <c r="C1661">
        <v>1100</v>
      </c>
      <c r="D1661">
        <v>0</v>
      </c>
      <c r="E1661" t="s">
        <v>6648</v>
      </c>
      <c r="F1661" t="s">
        <v>6649</v>
      </c>
      <c r="G1661" t="s">
        <v>6650</v>
      </c>
      <c r="H1661" t="s">
        <v>3485</v>
      </c>
      <c r="I1661" t="s">
        <v>3490</v>
      </c>
      <c r="J1661" s="56">
        <f t="shared" si="75"/>
        <v>48</v>
      </c>
      <c r="K1661" s="74" t="str">
        <f t="shared" si="76"/>
        <v>31-60 Days</v>
      </c>
      <c r="L1661" s="58" t="str">
        <f t="shared" si="77"/>
        <v>Especially Mentioned</v>
      </c>
    </row>
    <row r="1662" spans="1:12" ht="16.5" customHeight="1" x14ac:dyDescent="0.35">
      <c r="A1662" t="s">
        <v>743</v>
      </c>
      <c r="B1662" t="s">
        <v>743</v>
      </c>
      <c r="C1662">
        <v>0</v>
      </c>
      <c r="D1662">
        <v>7292.4</v>
      </c>
      <c r="E1662" t="s">
        <v>6651</v>
      </c>
      <c r="F1662" t="s">
        <v>6652</v>
      </c>
      <c r="G1662" t="s">
        <v>6653</v>
      </c>
      <c r="H1662" t="s">
        <v>3532</v>
      </c>
      <c r="I1662" t="s">
        <v>3490</v>
      </c>
      <c r="J1662" s="56">
        <f t="shared" si="75"/>
        <v>47</v>
      </c>
      <c r="K1662" s="74" t="str">
        <f t="shared" si="76"/>
        <v>31-60 Days</v>
      </c>
      <c r="L1662" s="58" t="str">
        <f t="shared" si="77"/>
        <v>Not Applicable</v>
      </c>
    </row>
    <row r="1663" spans="1:12" ht="16.5" customHeight="1" x14ac:dyDescent="0.35">
      <c r="A1663" t="s">
        <v>743</v>
      </c>
      <c r="B1663" t="s">
        <v>743</v>
      </c>
      <c r="C1663">
        <v>0</v>
      </c>
      <c r="D1663">
        <v>1000</v>
      </c>
      <c r="E1663" t="s">
        <v>6654</v>
      </c>
      <c r="F1663" t="s">
        <v>6655</v>
      </c>
      <c r="G1663" t="s">
        <v>6656</v>
      </c>
      <c r="H1663" t="s">
        <v>3532</v>
      </c>
      <c r="I1663" t="s">
        <v>3490</v>
      </c>
      <c r="J1663" s="56">
        <f t="shared" si="75"/>
        <v>47</v>
      </c>
      <c r="K1663" s="74" t="str">
        <f t="shared" si="76"/>
        <v>31-60 Days</v>
      </c>
      <c r="L1663" s="58" t="str">
        <f t="shared" si="77"/>
        <v>Not Applicable</v>
      </c>
    </row>
    <row r="1664" spans="1:12" ht="16.5" customHeight="1" x14ac:dyDescent="0.35">
      <c r="A1664" t="s">
        <v>743</v>
      </c>
      <c r="B1664" t="s">
        <v>743</v>
      </c>
      <c r="C1664">
        <v>0</v>
      </c>
      <c r="D1664">
        <v>1000</v>
      </c>
      <c r="E1664" t="s">
        <v>6657</v>
      </c>
      <c r="F1664" t="s">
        <v>6657</v>
      </c>
      <c r="G1664" t="s">
        <v>6658</v>
      </c>
      <c r="H1664" t="s">
        <v>3489</v>
      </c>
      <c r="I1664" t="s">
        <v>3490</v>
      </c>
      <c r="J1664" s="56">
        <f t="shared" si="75"/>
        <v>47</v>
      </c>
      <c r="K1664" s="74" t="str">
        <f t="shared" si="76"/>
        <v>31-60 Days</v>
      </c>
      <c r="L1664" s="58" t="str">
        <f t="shared" si="77"/>
        <v>Not Applicable</v>
      </c>
    </row>
    <row r="1665" spans="1:12" ht="16.5" customHeight="1" x14ac:dyDescent="0.35">
      <c r="A1665" t="s">
        <v>743</v>
      </c>
      <c r="B1665" t="s">
        <v>743</v>
      </c>
      <c r="C1665">
        <v>1200</v>
      </c>
      <c r="D1665">
        <v>0</v>
      </c>
      <c r="E1665" t="s">
        <v>6659</v>
      </c>
      <c r="F1665" t="s">
        <v>6660</v>
      </c>
      <c r="G1665" t="s">
        <v>6661</v>
      </c>
      <c r="H1665" t="s">
        <v>3466</v>
      </c>
      <c r="I1665" t="s">
        <v>3490</v>
      </c>
      <c r="J1665" s="56">
        <f t="shared" si="75"/>
        <v>47</v>
      </c>
      <c r="K1665" s="74" t="str">
        <f t="shared" si="76"/>
        <v>31-60 Days</v>
      </c>
      <c r="L1665" s="58" t="str">
        <f t="shared" si="77"/>
        <v>Especially Mentioned</v>
      </c>
    </row>
    <row r="1666" spans="1:12" ht="16.5" customHeight="1" x14ac:dyDescent="0.35">
      <c r="A1666" t="s">
        <v>743</v>
      </c>
      <c r="B1666" t="s">
        <v>743</v>
      </c>
      <c r="C1666">
        <v>0</v>
      </c>
      <c r="D1666">
        <v>1000</v>
      </c>
      <c r="E1666" t="s">
        <v>6662</v>
      </c>
      <c r="F1666" t="s">
        <v>6663</v>
      </c>
      <c r="G1666" t="s">
        <v>6664</v>
      </c>
      <c r="H1666" t="s">
        <v>3489</v>
      </c>
      <c r="I1666" t="s">
        <v>3490</v>
      </c>
      <c r="J1666" s="56">
        <f t="shared" si="75"/>
        <v>47</v>
      </c>
      <c r="K1666" s="74" t="str">
        <f t="shared" si="76"/>
        <v>31-60 Days</v>
      </c>
      <c r="L1666" s="58" t="str">
        <f t="shared" si="77"/>
        <v>Not Applicable</v>
      </c>
    </row>
    <row r="1667" spans="1:12" ht="16.5" customHeight="1" x14ac:dyDescent="0.35">
      <c r="A1667" t="s">
        <v>743</v>
      </c>
      <c r="B1667" t="s">
        <v>743</v>
      </c>
      <c r="C1667">
        <v>0</v>
      </c>
      <c r="D1667">
        <v>1000</v>
      </c>
      <c r="E1667" t="s">
        <v>6665</v>
      </c>
      <c r="F1667" t="s">
        <v>6666</v>
      </c>
      <c r="G1667" t="s">
        <v>6667</v>
      </c>
      <c r="H1667" t="s">
        <v>3489</v>
      </c>
      <c r="I1667" t="s">
        <v>3490</v>
      </c>
      <c r="J1667" s="56">
        <f t="shared" si="75"/>
        <v>47</v>
      </c>
      <c r="K1667" s="74" t="str">
        <f t="shared" si="76"/>
        <v>31-60 Days</v>
      </c>
      <c r="L1667" s="58" t="str">
        <f t="shared" si="77"/>
        <v>Not Applicable</v>
      </c>
    </row>
    <row r="1668" spans="1:12" ht="16.5" customHeight="1" x14ac:dyDescent="0.35">
      <c r="A1668" t="s">
        <v>743</v>
      </c>
      <c r="B1668" t="s">
        <v>743</v>
      </c>
      <c r="C1668">
        <v>0</v>
      </c>
      <c r="D1668">
        <v>1000</v>
      </c>
      <c r="E1668" t="s">
        <v>6668</v>
      </c>
      <c r="F1668" t="s">
        <v>6669</v>
      </c>
      <c r="G1668" t="s">
        <v>6670</v>
      </c>
      <c r="H1668" t="s">
        <v>3489</v>
      </c>
      <c r="I1668" t="s">
        <v>3490</v>
      </c>
      <c r="J1668" s="56">
        <f t="shared" si="75"/>
        <v>47</v>
      </c>
      <c r="K1668" s="74" t="str">
        <f t="shared" si="76"/>
        <v>31-60 Days</v>
      </c>
      <c r="L1668" s="58" t="str">
        <f t="shared" si="77"/>
        <v>Not Applicable</v>
      </c>
    </row>
    <row r="1669" spans="1:12" ht="16.5" customHeight="1" x14ac:dyDescent="0.35">
      <c r="A1669" t="s">
        <v>743</v>
      </c>
      <c r="B1669" t="s">
        <v>743</v>
      </c>
      <c r="C1669">
        <v>0</v>
      </c>
      <c r="D1669">
        <v>240</v>
      </c>
      <c r="E1669" t="s">
        <v>6671</v>
      </c>
      <c r="F1669" t="s">
        <v>3574</v>
      </c>
      <c r="G1669" t="s">
        <v>6672</v>
      </c>
      <c r="H1669" t="s">
        <v>3489</v>
      </c>
      <c r="I1669" t="s">
        <v>3490</v>
      </c>
      <c r="J1669" s="56">
        <f t="shared" si="75"/>
        <v>47</v>
      </c>
      <c r="K1669" s="74" t="str">
        <f t="shared" si="76"/>
        <v>31-60 Days</v>
      </c>
      <c r="L1669" s="58" t="str">
        <f t="shared" si="77"/>
        <v>Not Applicable</v>
      </c>
    </row>
    <row r="1670" spans="1:12" ht="16.5" customHeight="1" x14ac:dyDescent="0.35">
      <c r="A1670" t="s">
        <v>743</v>
      </c>
      <c r="B1670" t="s">
        <v>743</v>
      </c>
      <c r="C1670">
        <v>0</v>
      </c>
      <c r="D1670">
        <v>250</v>
      </c>
      <c r="E1670" t="s">
        <v>6673</v>
      </c>
      <c r="F1670" t="s">
        <v>6673</v>
      </c>
      <c r="G1670" t="s">
        <v>6674</v>
      </c>
      <c r="H1670" t="s">
        <v>3489</v>
      </c>
      <c r="I1670" t="s">
        <v>3490</v>
      </c>
      <c r="J1670" s="56">
        <f t="shared" si="75"/>
        <v>47</v>
      </c>
      <c r="K1670" s="74" t="str">
        <f t="shared" si="76"/>
        <v>31-60 Days</v>
      </c>
      <c r="L1670" s="58" t="str">
        <f t="shared" si="77"/>
        <v>Not Applicable</v>
      </c>
    </row>
    <row r="1671" spans="1:12" ht="16.5" customHeight="1" x14ac:dyDescent="0.35">
      <c r="A1671" t="s">
        <v>743</v>
      </c>
      <c r="B1671" t="s">
        <v>743</v>
      </c>
      <c r="C1671">
        <v>0</v>
      </c>
      <c r="D1671">
        <v>100</v>
      </c>
      <c r="E1671" t="s">
        <v>6675</v>
      </c>
      <c r="F1671" t="s">
        <v>6675</v>
      </c>
      <c r="G1671" t="s">
        <v>6676</v>
      </c>
      <c r="H1671" t="s">
        <v>3489</v>
      </c>
      <c r="I1671" t="s">
        <v>3490</v>
      </c>
      <c r="J1671" s="56">
        <f t="shared" si="75"/>
        <v>47</v>
      </c>
      <c r="K1671" s="74" t="str">
        <f t="shared" si="76"/>
        <v>31-60 Days</v>
      </c>
      <c r="L1671" s="58" t="str">
        <f t="shared" si="77"/>
        <v>Not Applicable</v>
      </c>
    </row>
    <row r="1672" spans="1:12" ht="16.5" customHeight="1" x14ac:dyDescent="0.35">
      <c r="A1672" t="s">
        <v>743</v>
      </c>
      <c r="B1672" t="s">
        <v>743</v>
      </c>
      <c r="C1672">
        <v>0</v>
      </c>
      <c r="D1672">
        <v>100</v>
      </c>
      <c r="E1672" t="s">
        <v>6677</v>
      </c>
      <c r="F1672" t="s">
        <v>6677</v>
      </c>
      <c r="G1672" t="s">
        <v>6678</v>
      </c>
      <c r="H1672" t="s">
        <v>3489</v>
      </c>
      <c r="I1672" t="s">
        <v>3490</v>
      </c>
      <c r="J1672" s="56">
        <f t="shared" si="75"/>
        <v>47</v>
      </c>
      <c r="K1672" s="74" t="str">
        <f t="shared" si="76"/>
        <v>31-60 Days</v>
      </c>
      <c r="L1672" s="58" t="str">
        <f t="shared" si="77"/>
        <v>Not Applicable</v>
      </c>
    </row>
    <row r="1673" spans="1:12" ht="16.5" customHeight="1" x14ac:dyDescent="0.35">
      <c r="A1673" t="s">
        <v>743</v>
      </c>
      <c r="B1673" t="s">
        <v>743</v>
      </c>
      <c r="C1673">
        <v>210</v>
      </c>
      <c r="D1673">
        <v>0</v>
      </c>
      <c r="E1673" t="s">
        <v>6679</v>
      </c>
      <c r="F1673" t="s">
        <v>6680</v>
      </c>
      <c r="G1673" t="s">
        <v>6681</v>
      </c>
      <c r="H1673" t="s">
        <v>3485</v>
      </c>
      <c r="I1673" t="s">
        <v>3490</v>
      </c>
      <c r="J1673" s="56">
        <f t="shared" ref="J1673:J1736" si="78">IF(A1673="","",A$5-A1673)</f>
        <v>47</v>
      </c>
      <c r="K1673" s="74" t="str">
        <f t="shared" ref="K1673:K1736" si="79">IF(J1673="","",IF(J1673&lt;4,"0-3 Days",IF(J1673&lt;31,"4-30 Days",IF(J1673&lt;61,"31-60 Days",IF(J1673&lt;=90,"61-90 Days",IF(J1673&gt;90,"Above 90 Days","0"))))))</f>
        <v>31-60 Days</v>
      </c>
      <c r="L1673" s="58" t="str">
        <f t="shared" ref="L1673:L1736" si="80">IF(C1673="","",IF(C1673&gt;0,IF(J1673&lt;30,"Normal",IF(J1673&lt;60,"Especially Mentioned",IF(J1673&lt;90,"Substandard",IF(J1673&lt;=180,"Doubtful",IF(J1673&gt;180,"Loss","0"))))),"Not Applicable"))</f>
        <v>Especially Mentioned</v>
      </c>
    </row>
    <row r="1674" spans="1:12" ht="16.5" customHeight="1" x14ac:dyDescent="0.35">
      <c r="A1674" t="s">
        <v>743</v>
      </c>
      <c r="B1674" t="s">
        <v>743</v>
      </c>
      <c r="C1674">
        <v>0</v>
      </c>
      <c r="D1674">
        <v>1416</v>
      </c>
      <c r="E1674" t="s">
        <v>6682</v>
      </c>
      <c r="F1674" t="s">
        <v>6683</v>
      </c>
      <c r="G1674" t="s">
        <v>6684</v>
      </c>
      <c r="H1674" t="s">
        <v>3489</v>
      </c>
      <c r="I1674" t="s">
        <v>3486</v>
      </c>
      <c r="J1674" s="56">
        <f t="shared" si="78"/>
        <v>47</v>
      </c>
      <c r="K1674" s="74" t="str">
        <f t="shared" si="79"/>
        <v>31-60 Days</v>
      </c>
      <c r="L1674" s="58" t="str">
        <f t="shared" si="80"/>
        <v>Not Applicable</v>
      </c>
    </row>
    <row r="1675" spans="1:12" ht="16.5" customHeight="1" x14ac:dyDescent="0.35">
      <c r="A1675" t="s">
        <v>743</v>
      </c>
      <c r="B1675" t="s">
        <v>743</v>
      </c>
      <c r="C1675">
        <v>100000</v>
      </c>
      <c r="D1675">
        <v>0</v>
      </c>
      <c r="E1675" t="s">
        <v>6685</v>
      </c>
      <c r="F1675" t="s">
        <v>6685</v>
      </c>
      <c r="G1675" t="s">
        <v>6686</v>
      </c>
      <c r="H1675" t="s">
        <v>6230</v>
      </c>
      <c r="I1675" t="s">
        <v>3486</v>
      </c>
      <c r="J1675" s="56">
        <f t="shared" si="78"/>
        <v>47</v>
      </c>
      <c r="K1675" s="74" t="str">
        <f t="shared" si="79"/>
        <v>31-60 Days</v>
      </c>
      <c r="L1675" s="58" t="str">
        <f t="shared" si="80"/>
        <v>Especially Mentioned</v>
      </c>
    </row>
    <row r="1676" spans="1:12" ht="16.5" customHeight="1" x14ac:dyDescent="0.35">
      <c r="A1676" t="s">
        <v>743</v>
      </c>
      <c r="B1676" t="s">
        <v>743</v>
      </c>
      <c r="C1676">
        <v>0</v>
      </c>
      <c r="D1676">
        <v>1611.7</v>
      </c>
      <c r="E1676" t="s">
        <v>6687</v>
      </c>
      <c r="F1676" t="s">
        <v>6688</v>
      </c>
      <c r="G1676" t="s">
        <v>6689</v>
      </c>
      <c r="H1676" t="s">
        <v>3532</v>
      </c>
      <c r="I1676" t="s">
        <v>3490</v>
      </c>
      <c r="J1676" s="56">
        <f t="shared" si="78"/>
        <v>47</v>
      </c>
      <c r="K1676" s="74" t="str">
        <f t="shared" si="79"/>
        <v>31-60 Days</v>
      </c>
      <c r="L1676" s="58" t="str">
        <f t="shared" si="80"/>
        <v>Not Applicable</v>
      </c>
    </row>
    <row r="1677" spans="1:12" ht="16.5" customHeight="1" x14ac:dyDescent="0.35">
      <c r="A1677" t="s">
        <v>743</v>
      </c>
      <c r="B1677" t="s">
        <v>743</v>
      </c>
      <c r="C1677">
        <v>0</v>
      </c>
      <c r="D1677">
        <v>1000</v>
      </c>
      <c r="E1677" t="s">
        <v>6690</v>
      </c>
      <c r="F1677" t="s">
        <v>6690</v>
      </c>
      <c r="G1677" t="s">
        <v>6691</v>
      </c>
      <c r="H1677" t="s">
        <v>3532</v>
      </c>
      <c r="I1677" t="s">
        <v>3490</v>
      </c>
      <c r="J1677" s="56">
        <f t="shared" si="78"/>
        <v>47</v>
      </c>
      <c r="K1677" s="74" t="str">
        <f t="shared" si="79"/>
        <v>31-60 Days</v>
      </c>
      <c r="L1677" s="58" t="str">
        <f t="shared" si="80"/>
        <v>Not Applicable</v>
      </c>
    </row>
    <row r="1678" spans="1:12" ht="16.5" customHeight="1" x14ac:dyDescent="0.35">
      <c r="A1678" t="s">
        <v>743</v>
      </c>
      <c r="B1678" t="s">
        <v>743</v>
      </c>
      <c r="C1678">
        <v>0</v>
      </c>
      <c r="D1678">
        <v>2650</v>
      </c>
      <c r="E1678" t="s">
        <v>6692</v>
      </c>
      <c r="F1678" t="s">
        <v>3499</v>
      </c>
      <c r="G1678" t="s">
        <v>6693</v>
      </c>
      <c r="H1678" t="s">
        <v>3489</v>
      </c>
      <c r="I1678" t="s">
        <v>3490</v>
      </c>
      <c r="J1678" s="56">
        <f t="shared" si="78"/>
        <v>47</v>
      </c>
      <c r="K1678" s="74" t="str">
        <f t="shared" si="79"/>
        <v>31-60 Days</v>
      </c>
      <c r="L1678" s="58" t="str">
        <f t="shared" si="80"/>
        <v>Not Applicable</v>
      </c>
    </row>
    <row r="1679" spans="1:12" ht="16.5" customHeight="1" x14ac:dyDescent="0.35">
      <c r="A1679" t="s">
        <v>743</v>
      </c>
      <c r="B1679" t="s">
        <v>743</v>
      </c>
      <c r="C1679">
        <v>0</v>
      </c>
      <c r="D1679">
        <v>1000</v>
      </c>
      <c r="E1679" t="s">
        <v>6694</v>
      </c>
      <c r="F1679" t="s">
        <v>6695</v>
      </c>
      <c r="G1679" t="s">
        <v>6696</v>
      </c>
      <c r="H1679" t="s">
        <v>3489</v>
      </c>
      <c r="I1679" t="s">
        <v>3490</v>
      </c>
      <c r="J1679" s="56">
        <f t="shared" si="78"/>
        <v>47</v>
      </c>
      <c r="K1679" s="74" t="str">
        <f t="shared" si="79"/>
        <v>31-60 Days</v>
      </c>
      <c r="L1679" s="58" t="str">
        <f t="shared" si="80"/>
        <v>Not Applicable</v>
      </c>
    </row>
    <row r="1680" spans="1:12" ht="16.5" customHeight="1" x14ac:dyDescent="0.35">
      <c r="A1680" t="s">
        <v>743</v>
      </c>
      <c r="B1680" t="s">
        <v>743</v>
      </c>
      <c r="C1680">
        <v>1000</v>
      </c>
      <c r="D1680">
        <v>0</v>
      </c>
      <c r="E1680" t="s">
        <v>6697</v>
      </c>
      <c r="F1680" t="s">
        <v>6698</v>
      </c>
      <c r="G1680" t="s">
        <v>6699</v>
      </c>
      <c r="H1680" t="s">
        <v>3805</v>
      </c>
      <c r="I1680" t="s">
        <v>3490</v>
      </c>
      <c r="J1680" s="56">
        <f t="shared" si="78"/>
        <v>47</v>
      </c>
      <c r="K1680" s="74" t="str">
        <f t="shared" si="79"/>
        <v>31-60 Days</v>
      </c>
      <c r="L1680" s="58" t="str">
        <f t="shared" si="80"/>
        <v>Especially Mentioned</v>
      </c>
    </row>
    <row r="1681" spans="1:12" ht="16.5" customHeight="1" x14ac:dyDescent="0.35">
      <c r="A1681" t="s">
        <v>743</v>
      </c>
      <c r="B1681" t="s">
        <v>743</v>
      </c>
      <c r="C1681">
        <v>0</v>
      </c>
      <c r="D1681">
        <v>1000</v>
      </c>
      <c r="E1681" t="s">
        <v>6700</v>
      </c>
      <c r="F1681" t="s">
        <v>6701</v>
      </c>
      <c r="G1681" t="s">
        <v>6702</v>
      </c>
      <c r="H1681" t="s">
        <v>3489</v>
      </c>
      <c r="I1681" t="s">
        <v>3490</v>
      </c>
      <c r="J1681" s="56">
        <f t="shared" si="78"/>
        <v>47</v>
      </c>
      <c r="K1681" s="74" t="str">
        <f t="shared" si="79"/>
        <v>31-60 Days</v>
      </c>
      <c r="L1681" s="58" t="str">
        <f t="shared" si="80"/>
        <v>Not Applicable</v>
      </c>
    </row>
    <row r="1682" spans="1:12" ht="16.5" customHeight="1" x14ac:dyDescent="0.35">
      <c r="A1682" t="s">
        <v>743</v>
      </c>
      <c r="B1682" t="s">
        <v>743</v>
      </c>
      <c r="C1682">
        <v>0</v>
      </c>
      <c r="D1682">
        <v>1000</v>
      </c>
      <c r="E1682" t="s">
        <v>6703</v>
      </c>
      <c r="F1682" t="s">
        <v>6703</v>
      </c>
      <c r="G1682" t="s">
        <v>6704</v>
      </c>
      <c r="H1682" t="s">
        <v>3489</v>
      </c>
      <c r="I1682" t="s">
        <v>3490</v>
      </c>
      <c r="J1682" s="56">
        <f t="shared" si="78"/>
        <v>47</v>
      </c>
      <c r="K1682" s="74" t="str">
        <f t="shared" si="79"/>
        <v>31-60 Days</v>
      </c>
      <c r="L1682" s="58" t="str">
        <f t="shared" si="80"/>
        <v>Not Applicable</v>
      </c>
    </row>
    <row r="1683" spans="1:12" ht="16.5" customHeight="1" x14ac:dyDescent="0.35">
      <c r="A1683" t="s">
        <v>743</v>
      </c>
      <c r="B1683" t="s">
        <v>743</v>
      </c>
      <c r="C1683">
        <v>0</v>
      </c>
      <c r="D1683">
        <v>1000</v>
      </c>
      <c r="E1683" t="s">
        <v>6705</v>
      </c>
      <c r="F1683" t="s">
        <v>6705</v>
      </c>
      <c r="G1683" t="s">
        <v>6706</v>
      </c>
      <c r="H1683" t="s">
        <v>3489</v>
      </c>
      <c r="I1683" t="s">
        <v>3490</v>
      </c>
      <c r="J1683" s="56">
        <f t="shared" si="78"/>
        <v>47</v>
      </c>
      <c r="K1683" s="74" t="str">
        <f t="shared" si="79"/>
        <v>31-60 Days</v>
      </c>
      <c r="L1683" s="58" t="str">
        <f t="shared" si="80"/>
        <v>Not Applicable</v>
      </c>
    </row>
    <row r="1684" spans="1:12" ht="16.5" customHeight="1" x14ac:dyDescent="0.35">
      <c r="A1684" t="s">
        <v>743</v>
      </c>
      <c r="B1684" t="s">
        <v>743</v>
      </c>
      <c r="C1684">
        <v>0</v>
      </c>
      <c r="D1684">
        <v>2050</v>
      </c>
      <c r="E1684" t="s">
        <v>6707</v>
      </c>
      <c r="F1684" t="s">
        <v>6708</v>
      </c>
      <c r="G1684" t="s">
        <v>6709</v>
      </c>
      <c r="H1684" t="s">
        <v>3532</v>
      </c>
      <c r="I1684" t="s">
        <v>3490</v>
      </c>
      <c r="J1684" s="56">
        <f t="shared" si="78"/>
        <v>47</v>
      </c>
      <c r="K1684" s="74" t="str">
        <f t="shared" si="79"/>
        <v>31-60 Days</v>
      </c>
      <c r="L1684" s="58" t="str">
        <f t="shared" si="80"/>
        <v>Not Applicable</v>
      </c>
    </row>
    <row r="1685" spans="1:12" ht="16.5" customHeight="1" x14ac:dyDescent="0.35">
      <c r="A1685" t="s">
        <v>743</v>
      </c>
      <c r="B1685" t="s">
        <v>743</v>
      </c>
      <c r="C1685">
        <v>0</v>
      </c>
      <c r="D1685">
        <v>250</v>
      </c>
      <c r="E1685" t="s">
        <v>6710</v>
      </c>
      <c r="F1685" t="s">
        <v>6710</v>
      </c>
      <c r="G1685" t="s">
        <v>6711</v>
      </c>
      <c r="H1685" t="s">
        <v>3489</v>
      </c>
      <c r="I1685" t="s">
        <v>3490</v>
      </c>
      <c r="J1685" s="56">
        <f t="shared" si="78"/>
        <v>47</v>
      </c>
      <c r="K1685" s="74" t="str">
        <f t="shared" si="79"/>
        <v>31-60 Days</v>
      </c>
      <c r="L1685" s="58" t="str">
        <f t="shared" si="80"/>
        <v>Not Applicable</v>
      </c>
    </row>
    <row r="1686" spans="1:12" ht="16.5" customHeight="1" x14ac:dyDescent="0.35">
      <c r="A1686" t="s">
        <v>743</v>
      </c>
      <c r="B1686" t="s">
        <v>743</v>
      </c>
      <c r="C1686">
        <v>0</v>
      </c>
      <c r="D1686">
        <v>1000</v>
      </c>
      <c r="E1686" t="s">
        <v>6712</v>
      </c>
      <c r="F1686" t="s">
        <v>6713</v>
      </c>
      <c r="G1686" t="s">
        <v>6714</v>
      </c>
      <c r="H1686" t="s">
        <v>3532</v>
      </c>
      <c r="I1686" t="s">
        <v>3490</v>
      </c>
      <c r="J1686" s="56">
        <f t="shared" si="78"/>
        <v>47</v>
      </c>
      <c r="K1686" s="74" t="str">
        <f t="shared" si="79"/>
        <v>31-60 Days</v>
      </c>
      <c r="L1686" s="58" t="str">
        <f t="shared" si="80"/>
        <v>Not Applicable</v>
      </c>
    </row>
    <row r="1687" spans="1:12" ht="16.5" customHeight="1" x14ac:dyDescent="0.35">
      <c r="A1687" t="s">
        <v>743</v>
      </c>
      <c r="B1687" t="s">
        <v>743</v>
      </c>
      <c r="C1687">
        <v>7882</v>
      </c>
      <c r="D1687">
        <v>0</v>
      </c>
      <c r="E1687" t="s">
        <v>3502</v>
      </c>
      <c r="F1687" t="s">
        <v>3502</v>
      </c>
      <c r="G1687" t="s">
        <v>6715</v>
      </c>
      <c r="H1687" t="s">
        <v>3471</v>
      </c>
      <c r="I1687" t="s">
        <v>3507</v>
      </c>
      <c r="J1687" s="56">
        <f t="shared" si="78"/>
        <v>47</v>
      </c>
      <c r="K1687" s="74" t="str">
        <f t="shared" si="79"/>
        <v>31-60 Days</v>
      </c>
      <c r="L1687" s="58" t="str">
        <f t="shared" si="80"/>
        <v>Especially Mentioned</v>
      </c>
    </row>
    <row r="1688" spans="1:12" ht="16.5" customHeight="1" x14ac:dyDescent="0.35">
      <c r="A1688" t="s">
        <v>743</v>
      </c>
      <c r="B1688" t="s">
        <v>743</v>
      </c>
      <c r="C1688">
        <v>0</v>
      </c>
      <c r="D1688">
        <v>2700</v>
      </c>
      <c r="E1688" t="s">
        <v>6716</v>
      </c>
      <c r="F1688" t="s">
        <v>6716</v>
      </c>
      <c r="G1688" t="s">
        <v>6717</v>
      </c>
      <c r="H1688" t="s">
        <v>3489</v>
      </c>
      <c r="I1688" t="s">
        <v>3490</v>
      </c>
      <c r="J1688" s="56">
        <f t="shared" si="78"/>
        <v>47</v>
      </c>
      <c r="K1688" s="74" t="str">
        <f t="shared" si="79"/>
        <v>31-60 Days</v>
      </c>
      <c r="L1688" s="58" t="str">
        <f t="shared" si="80"/>
        <v>Not Applicable</v>
      </c>
    </row>
    <row r="1689" spans="1:12" ht="16.5" customHeight="1" x14ac:dyDescent="0.35">
      <c r="A1689" t="s">
        <v>743</v>
      </c>
      <c r="B1689" t="s">
        <v>743</v>
      </c>
      <c r="C1689">
        <v>0</v>
      </c>
      <c r="D1689">
        <v>250</v>
      </c>
      <c r="E1689" t="s">
        <v>6718</v>
      </c>
      <c r="F1689" t="s">
        <v>6718</v>
      </c>
      <c r="G1689" t="s">
        <v>6719</v>
      </c>
      <c r="H1689" t="s">
        <v>3489</v>
      </c>
      <c r="I1689" t="s">
        <v>3490</v>
      </c>
      <c r="J1689" s="56">
        <f t="shared" si="78"/>
        <v>47</v>
      </c>
      <c r="K1689" s="74" t="str">
        <f t="shared" si="79"/>
        <v>31-60 Days</v>
      </c>
      <c r="L1689" s="58" t="str">
        <f t="shared" si="80"/>
        <v>Not Applicable</v>
      </c>
    </row>
    <row r="1690" spans="1:12" ht="16.5" customHeight="1" x14ac:dyDescent="0.35">
      <c r="A1690" t="s">
        <v>743</v>
      </c>
      <c r="B1690" t="s">
        <v>743</v>
      </c>
      <c r="C1690">
        <v>0</v>
      </c>
      <c r="D1690">
        <v>250</v>
      </c>
      <c r="E1690" t="s">
        <v>6720</v>
      </c>
      <c r="F1690" t="s">
        <v>6720</v>
      </c>
      <c r="G1690" t="s">
        <v>6721</v>
      </c>
      <c r="H1690" t="s">
        <v>3489</v>
      </c>
      <c r="I1690" t="s">
        <v>3490</v>
      </c>
      <c r="J1690" s="56">
        <f t="shared" si="78"/>
        <v>47</v>
      </c>
      <c r="K1690" s="74" t="str">
        <f t="shared" si="79"/>
        <v>31-60 Days</v>
      </c>
      <c r="L1690" s="58" t="str">
        <f t="shared" si="80"/>
        <v>Not Applicable</v>
      </c>
    </row>
    <row r="1691" spans="1:12" ht="16.5" customHeight="1" x14ac:dyDescent="0.35">
      <c r="A1691" t="s">
        <v>743</v>
      </c>
      <c r="B1691" t="s">
        <v>743</v>
      </c>
      <c r="C1691">
        <v>0</v>
      </c>
      <c r="D1691">
        <v>30</v>
      </c>
      <c r="E1691" t="s">
        <v>6722</v>
      </c>
      <c r="F1691" t="s">
        <v>6722</v>
      </c>
      <c r="G1691" t="s">
        <v>6723</v>
      </c>
      <c r="H1691" t="s">
        <v>3489</v>
      </c>
      <c r="I1691" t="s">
        <v>3490</v>
      </c>
      <c r="J1691" s="56">
        <f t="shared" si="78"/>
        <v>47</v>
      </c>
      <c r="K1691" s="74" t="str">
        <f t="shared" si="79"/>
        <v>31-60 Days</v>
      </c>
      <c r="L1691" s="58" t="str">
        <f t="shared" si="80"/>
        <v>Not Applicable</v>
      </c>
    </row>
    <row r="1692" spans="1:12" ht="16.5" customHeight="1" x14ac:dyDescent="0.35">
      <c r="A1692" t="s">
        <v>743</v>
      </c>
      <c r="B1692" t="s">
        <v>743</v>
      </c>
      <c r="C1692">
        <v>0</v>
      </c>
      <c r="D1692">
        <v>100</v>
      </c>
      <c r="E1692" t="s">
        <v>6724</v>
      </c>
      <c r="F1692" t="s">
        <v>6724</v>
      </c>
      <c r="G1692" t="s">
        <v>6725</v>
      </c>
      <c r="H1692" t="s">
        <v>3489</v>
      </c>
      <c r="I1692" t="s">
        <v>3490</v>
      </c>
      <c r="J1692" s="56">
        <f t="shared" si="78"/>
        <v>47</v>
      </c>
      <c r="K1692" s="74" t="str">
        <f t="shared" si="79"/>
        <v>31-60 Days</v>
      </c>
      <c r="L1692" s="58" t="str">
        <f t="shared" si="80"/>
        <v>Not Applicable</v>
      </c>
    </row>
    <row r="1693" spans="1:12" ht="16.5" customHeight="1" x14ac:dyDescent="0.35">
      <c r="A1693" t="s">
        <v>743</v>
      </c>
      <c r="B1693" t="s">
        <v>743</v>
      </c>
      <c r="C1693">
        <v>0</v>
      </c>
      <c r="D1693">
        <v>1000</v>
      </c>
      <c r="E1693" t="s">
        <v>6726</v>
      </c>
      <c r="F1693" t="s">
        <v>3499</v>
      </c>
      <c r="G1693" t="s">
        <v>6727</v>
      </c>
      <c r="H1693" t="s">
        <v>3489</v>
      </c>
      <c r="I1693" t="s">
        <v>3490</v>
      </c>
      <c r="J1693" s="56">
        <f t="shared" si="78"/>
        <v>47</v>
      </c>
      <c r="K1693" s="74" t="str">
        <f t="shared" si="79"/>
        <v>31-60 Days</v>
      </c>
      <c r="L1693" s="58" t="str">
        <f t="shared" si="80"/>
        <v>Not Applicable</v>
      </c>
    </row>
    <row r="1694" spans="1:12" ht="16.5" customHeight="1" x14ac:dyDescent="0.35">
      <c r="A1694" t="s">
        <v>743</v>
      </c>
      <c r="B1694" t="s">
        <v>743</v>
      </c>
      <c r="C1694">
        <v>0</v>
      </c>
      <c r="D1694">
        <v>1000</v>
      </c>
      <c r="E1694" t="s">
        <v>6728</v>
      </c>
      <c r="F1694" t="s">
        <v>6728</v>
      </c>
      <c r="G1694" t="s">
        <v>6729</v>
      </c>
      <c r="H1694" t="s">
        <v>3489</v>
      </c>
      <c r="I1694" t="s">
        <v>3490</v>
      </c>
      <c r="J1694" s="56">
        <f t="shared" si="78"/>
        <v>47</v>
      </c>
      <c r="K1694" s="74" t="str">
        <f t="shared" si="79"/>
        <v>31-60 Days</v>
      </c>
      <c r="L1694" s="58" t="str">
        <f t="shared" si="80"/>
        <v>Not Applicable</v>
      </c>
    </row>
    <row r="1695" spans="1:12" ht="16.5" customHeight="1" x14ac:dyDescent="0.35">
      <c r="A1695" t="s">
        <v>743</v>
      </c>
      <c r="B1695" t="s">
        <v>743</v>
      </c>
      <c r="C1695">
        <v>0</v>
      </c>
      <c r="D1695">
        <v>240</v>
      </c>
      <c r="E1695" t="s">
        <v>6730</v>
      </c>
      <c r="F1695" t="s">
        <v>6730</v>
      </c>
      <c r="G1695" t="s">
        <v>6731</v>
      </c>
      <c r="H1695" t="s">
        <v>3489</v>
      </c>
      <c r="I1695" t="s">
        <v>3490</v>
      </c>
      <c r="J1695" s="56">
        <f t="shared" si="78"/>
        <v>47</v>
      </c>
      <c r="K1695" s="74" t="str">
        <f t="shared" si="79"/>
        <v>31-60 Days</v>
      </c>
      <c r="L1695" s="58" t="str">
        <f t="shared" si="80"/>
        <v>Not Applicable</v>
      </c>
    </row>
    <row r="1696" spans="1:12" ht="16.5" customHeight="1" x14ac:dyDescent="0.35">
      <c r="A1696" t="s">
        <v>743</v>
      </c>
      <c r="B1696" t="s">
        <v>743</v>
      </c>
      <c r="C1696">
        <v>25488</v>
      </c>
      <c r="D1696">
        <v>0</v>
      </c>
      <c r="E1696" t="s">
        <v>6732</v>
      </c>
      <c r="F1696" t="s">
        <v>6733</v>
      </c>
      <c r="G1696" t="s">
        <v>6734</v>
      </c>
      <c r="H1696" t="s">
        <v>6735</v>
      </c>
      <c r="I1696" t="s">
        <v>3490</v>
      </c>
      <c r="J1696" s="56">
        <f t="shared" si="78"/>
        <v>47</v>
      </c>
      <c r="K1696" s="74" t="str">
        <f t="shared" si="79"/>
        <v>31-60 Days</v>
      </c>
      <c r="L1696" s="58" t="str">
        <f t="shared" si="80"/>
        <v>Especially Mentioned</v>
      </c>
    </row>
    <row r="1697" spans="1:12" ht="16.5" customHeight="1" x14ac:dyDescent="0.35">
      <c r="A1697" t="s">
        <v>743</v>
      </c>
      <c r="B1697" t="s">
        <v>743</v>
      </c>
      <c r="C1697">
        <v>0</v>
      </c>
      <c r="D1697">
        <v>10000</v>
      </c>
      <c r="E1697" t="s">
        <v>6736</v>
      </c>
      <c r="F1697" t="s">
        <v>6737</v>
      </c>
      <c r="G1697" t="s">
        <v>6738</v>
      </c>
      <c r="H1697" t="s">
        <v>3489</v>
      </c>
      <c r="I1697" t="s">
        <v>3486</v>
      </c>
      <c r="J1697" s="56">
        <f t="shared" si="78"/>
        <v>47</v>
      </c>
      <c r="K1697" s="74" t="str">
        <f t="shared" si="79"/>
        <v>31-60 Days</v>
      </c>
      <c r="L1697" s="58" t="str">
        <f t="shared" si="80"/>
        <v>Not Applicable</v>
      </c>
    </row>
    <row r="1698" spans="1:12" ht="16.5" customHeight="1" x14ac:dyDescent="0.35">
      <c r="A1698" t="s">
        <v>743</v>
      </c>
      <c r="B1698" t="s">
        <v>743</v>
      </c>
      <c r="C1698">
        <v>0</v>
      </c>
      <c r="D1698">
        <v>250</v>
      </c>
      <c r="E1698" t="s">
        <v>6739</v>
      </c>
      <c r="F1698" t="s">
        <v>6739</v>
      </c>
      <c r="G1698" t="s">
        <v>6740</v>
      </c>
      <c r="H1698" t="s">
        <v>3489</v>
      </c>
      <c r="I1698" t="s">
        <v>3490</v>
      </c>
      <c r="J1698" s="56">
        <f t="shared" si="78"/>
        <v>47</v>
      </c>
      <c r="K1698" s="74" t="str">
        <f t="shared" si="79"/>
        <v>31-60 Days</v>
      </c>
      <c r="L1698" s="58" t="str">
        <f t="shared" si="80"/>
        <v>Not Applicable</v>
      </c>
    </row>
    <row r="1699" spans="1:12" ht="16.5" customHeight="1" x14ac:dyDescent="0.35">
      <c r="A1699" t="s">
        <v>743</v>
      </c>
      <c r="B1699" t="s">
        <v>743</v>
      </c>
      <c r="C1699">
        <v>0</v>
      </c>
      <c r="D1699">
        <v>1000</v>
      </c>
      <c r="E1699" t="s">
        <v>6741</v>
      </c>
      <c r="F1699" t="s">
        <v>6741</v>
      </c>
      <c r="G1699" t="s">
        <v>6742</v>
      </c>
      <c r="H1699" t="s">
        <v>3489</v>
      </c>
      <c r="I1699" t="s">
        <v>3490</v>
      </c>
      <c r="J1699" s="56">
        <f t="shared" si="78"/>
        <v>47</v>
      </c>
      <c r="K1699" s="74" t="str">
        <f t="shared" si="79"/>
        <v>31-60 Days</v>
      </c>
      <c r="L1699" s="58" t="str">
        <f t="shared" si="80"/>
        <v>Not Applicable</v>
      </c>
    </row>
    <row r="1700" spans="1:12" ht="16.5" customHeight="1" x14ac:dyDescent="0.35">
      <c r="A1700" t="s">
        <v>743</v>
      </c>
      <c r="B1700" t="s">
        <v>743</v>
      </c>
      <c r="C1700">
        <v>110000</v>
      </c>
      <c r="D1700">
        <v>0</v>
      </c>
      <c r="E1700" t="s">
        <v>6743</v>
      </c>
      <c r="F1700" t="s">
        <v>6743</v>
      </c>
      <c r="G1700" t="s">
        <v>6744</v>
      </c>
      <c r="H1700" t="s">
        <v>3455</v>
      </c>
      <c r="I1700" t="s">
        <v>3490</v>
      </c>
      <c r="J1700" s="56">
        <f t="shared" si="78"/>
        <v>47</v>
      </c>
      <c r="K1700" s="74" t="str">
        <f t="shared" si="79"/>
        <v>31-60 Days</v>
      </c>
      <c r="L1700" s="58" t="str">
        <f t="shared" si="80"/>
        <v>Especially Mentioned</v>
      </c>
    </row>
    <row r="1701" spans="1:12" ht="16.5" customHeight="1" x14ac:dyDescent="0.35">
      <c r="A1701" t="s">
        <v>743</v>
      </c>
      <c r="B1701" t="s">
        <v>743</v>
      </c>
      <c r="C1701">
        <v>0</v>
      </c>
      <c r="D1701">
        <v>2000</v>
      </c>
      <c r="E1701" t="s">
        <v>6745</v>
      </c>
      <c r="F1701" t="s">
        <v>6745</v>
      </c>
      <c r="G1701" t="s">
        <v>6746</v>
      </c>
      <c r="H1701" t="s">
        <v>3521</v>
      </c>
      <c r="I1701" t="s">
        <v>3490</v>
      </c>
      <c r="J1701" s="56">
        <f t="shared" si="78"/>
        <v>47</v>
      </c>
      <c r="K1701" s="74" t="str">
        <f t="shared" si="79"/>
        <v>31-60 Days</v>
      </c>
      <c r="L1701" s="58" t="str">
        <f t="shared" si="80"/>
        <v>Not Applicable</v>
      </c>
    </row>
    <row r="1702" spans="1:12" ht="16.5" customHeight="1" x14ac:dyDescent="0.35">
      <c r="A1702" t="s">
        <v>743</v>
      </c>
      <c r="B1702" t="s">
        <v>743</v>
      </c>
      <c r="C1702">
        <v>0</v>
      </c>
      <c r="D1702">
        <v>100</v>
      </c>
      <c r="E1702" t="s">
        <v>6747</v>
      </c>
      <c r="F1702" t="s">
        <v>6748</v>
      </c>
      <c r="G1702" t="s">
        <v>6749</v>
      </c>
      <c r="H1702" t="s">
        <v>3532</v>
      </c>
      <c r="I1702" t="s">
        <v>3490</v>
      </c>
      <c r="J1702" s="56">
        <f t="shared" si="78"/>
        <v>47</v>
      </c>
      <c r="K1702" s="74" t="str">
        <f t="shared" si="79"/>
        <v>31-60 Days</v>
      </c>
      <c r="L1702" s="58" t="str">
        <f t="shared" si="80"/>
        <v>Not Applicable</v>
      </c>
    </row>
    <row r="1703" spans="1:12" ht="16.5" customHeight="1" x14ac:dyDescent="0.35">
      <c r="A1703" t="s">
        <v>743</v>
      </c>
      <c r="B1703" t="s">
        <v>743</v>
      </c>
      <c r="C1703">
        <v>0</v>
      </c>
      <c r="D1703">
        <v>10000</v>
      </c>
      <c r="E1703" t="s">
        <v>6750</v>
      </c>
      <c r="F1703" t="s">
        <v>6750</v>
      </c>
      <c r="G1703" t="s">
        <v>6751</v>
      </c>
      <c r="H1703" t="s">
        <v>3489</v>
      </c>
      <c r="I1703" t="s">
        <v>3490</v>
      </c>
      <c r="J1703" s="56">
        <f t="shared" si="78"/>
        <v>47</v>
      </c>
      <c r="K1703" s="74" t="str">
        <f t="shared" si="79"/>
        <v>31-60 Days</v>
      </c>
      <c r="L1703" s="58" t="str">
        <f t="shared" si="80"/>
        <v>Not Applicable</v>
      </c>
    </row>
    <row r="1704" spans="1:12" ht="16.5" customHeight="1" x14ac:dyDescent="0.35">
      <c r="A1704" t="s">
        <v>743</v>
      </c>
      <c r="B1704" t="s">
        <v>743</v>
      </c>
      <c r="C1704">
        <v>0</v>
      </c>
      <c r="D1704">
        <v>28715.47</v>
      </c>
      <c r="E1704" t="s">
        <v>6752</v>
      </c>
      <c r="F1704" t="s">
        <v>6752</v>
      </c>
      <c r="G1704" t="s">
        <v>57</v>
      </c>
      <c r="H1704" t="s">
        <v>3914</v>
      </c>
      <c r="I1704" t="s">
        <v>3643</v>
      </c>
      <c r="J1704" s="56">
        <f t="shared" si="78"/>
        <v>47</v>
      </c>
      <c r="K1704" s="74" t="str">
        <f t="shared" si="79"/>
        <v>31-60 Days</v>
      </c>
      <c r="L1704" s="58" t="str">
        <f t="shared" si="80"/>
        <v>Not Applicable</v>
      </c>
    </row>
    <row r="1705" spans="1:12" ht="16.5" customHeight="1" x14ac:dyDescent="0.35">
      <c r="A1705" t="s">
        <v>743</v>
      </c>
      <c r="B1705" t="s">
        <v>743</v>
      </c>
      <c r="C1705">
        <v>0</v>
      </c>
      <c r="D1705">
        <v>250</v>
      </c>
      <c r="E1705" t="s">
        <v>6753</v>
      </c>
      <c r="F1705" t="s">
        <v>6754</v>
      </c>
      <c r="G1705" t="s">
        <v>6755</v>
      </c>
      <c r="H1705" t="s">
        <v>3532</v>
      </c>
      <c r="I1705" t="s">
        <v>3490</v>
      </c>
      <c r="J1705" s="56">
        <f t="shared" si="78"/>
        <v>47</v>
      </c>
      <c r="K1705" s="74" t="str">
        <f t="shared" si="79"/>
        <v>31-60 Days</v>
      </c>
      <c r="L1705" s="58" t="str">
        <f t="shared" si="80"/>
        <v>Not Applicable</v>
      </c>
    </row>
    <row r="1706" spans="1:12" ht="16.5" customHeight="1" x14ac:dyDescent="0.35">
      <c r="A1706" t="s">
        <v>743</v>
      </c>
      <c r="B1706" t="s">
        <v>743</v>
      </c>
      <c r="C1706">
        <v>0</v>
      </c>
      <c r="D1706">
        <v>250</v>
      </c>
      <c r="E1706" t="s">
        <v>6756</v>
      </c>
      <c r="F1706" t="s">
        <v>6757</v>
      </c>
      <c r="G1706" t="s">
        <v>6758</v>
      </c>
      <c r="H1706" t="s">
        <v>3532</v>
      </c>
      <c r="I1706" t="s">
        <v>3490</v>
      </c>
      <c r="J1706" s="56">
        <f t="shared" si="78"/>
        <v>47</v>
      </c>
      <c r="K1706" s="74" t="str">
        <f t="shared" si="79"/>
        <v>31-60 Days</v>
      </c>
      <c r="L1706" s="58" t="str">
        <f t="shared" si="80"/>
        <v>Not Applicable</v>
      </c>
    </row>
    <row r="1707" spans="1:12" ht="16.5" customHeight="1" x14ac:dyDescent="0.35">
      <c r="A1707" t="s">
        <v>743</v>
      </c>
      <c r="B1707" t="s">
        <v>743</v>
      </c>
      <c r="C1707">
        <v>0</v>
      </c>
      <c r="D1707">
        <v>200</v>
      </c>
      <c r="E1707" t="s">
        <v>6759</v>
      </c>
      <c r="F1707" t="s">
        <v>6759</v>
      </c>
      <c r="G1707" t="s">
        <v>6760</v>
      </c>
      <c r="H1707" t="s">
        <v>3489</v>
      </c>
      <c r="I1707" t="s">
        <v>3490</v>
      </c>
      <c r="J1707" s="56">
        <f t="shared" si="78"/>
        <v>47</v>
      </c>
      <c r="K1707" s="74" t="str">
        <f t="shared" si="79"/>
        <v>31-60 Days</v>
      </c>
      <c r="L1707" s="58" t="str">
        <f t="shared" si="80"/>
        <v>Not Applicable</v>
      </c>
    </row>
    <row r="1708" spans="1:12" ht="16.5" customHeight="1" x14ac:dyDescent="0.35">
      <c r="A1708" t="s">
        <v>743</v>
      </c>
      <c r="B1708" t="s">
        <v>743</v>
      </c>
      <c r="C1708">
        <v>0</v>
      </c>
      <c r="D1708">
        <v>1000</v>
      </c>
      <c r="E1708" t="s">
        <v>6761</v>
      </c>
      <c r="F1708" t="s">
        <v>6761</v>
      </c>
      <c r="G1708" t="s">
        <v>6762</v>
      </c>
      <c r="H1708" t="s">
        <v>3489</v>
      </c>
      <c r="I1708" t="s">
        <v>3490</v>
      </c>
      <c r="J1708" s="56">
        <f t="shared" si="78"/>
        <v>47</v>
      </c>
      <c r="K1708" s="74" t="str">
        <f t="shared" si="79"/>
        <v>31-60 Days</v>
      </c>
      <c r="L1708" s="58" t="str">
        <f t="shared" si="80"/>
        <v>Not Applicable</v>
      </c>
    </row>
    <row r="1709" spans="1:12" ht="16.5" customHeight="1" x14ac:dyDescent="0.35">
      <c r="A1709" t="s">
        <v>743</v>
      </c>
      <c r="B1709" t="s">
        <v>743</v>
      </c>
      <c r="C1709">
        <v>100000</v>
      </c>
      <c r="D1709">
        <v>0</v>
      </c>
      <c r="E1709" t="s">
        <v>6763</v>
      </c>
      <c r="F1709" t="s">
        <v>6763</v>
      </c>
      <c r="G1709" t="s">
        <v>6764</v>
      </c>
      <c r="H1709" t="s">
        <v>3471</v>
      </c>
      <c r="I1709" t="s">
        <v>3486</v>
      </c>
      <c r="J1709" s="56">
        <f t="shared" si="78"/>
        <v>47</v>
      </c>
      <c r="K1709" s="74" t="str">
        <f t="shared" si="79"/>
        <v>31-60 Days</v>
      </c>
      <c r="L1709" s="58" t="str">
        <f t="shared" si="80"/>
        <v>Especially Mentioned</v>
      </c>
    </row>
    <row r="1710" spans="1:12" ht="16.5" customHeight="1" x14ac:dyDescent="0.35">
      <c r="A1710" t="s">
        <v>743</v>
      </c>
      <c r="B1710" t="s">
        <v>743</v>
      </c>
      <c r="C1710">
        <v>0</v>
      </c>
      <c r="D1710">
        <v>600</v>
      </c>
      <c r="E1710" t="s">
        <v>6765</v>
      </c>
      <c r="F1710" t="s">
        <v>6765</v>
      </c>
      <c r="G1710" t="s">
        <v>6766</v>
      </c>
      <c r="H1710" t="s">
        <v>3489</v>
      </c>
      <c r="I1710" t="s">
        <v>3490</v>
      </c>
      <c r="J1710" s="56">
        <f t="shared" si="78"/>
        <v>47</v>
      </c>
      <c r="K1710" s="74" t="str">
        <f t="shared" si="79"/>
        <v>31-60 Days</v>
      </c>
      <c r="L1710" s="58" t="str">
        <f t="shared" si="80"/>
        <v>Not Applicable</v>
      </c>
    </row>
    <row r="1711" spans="1:12" ht="16.5" customHeight="1" x14ac:dyDescent="0.35">
      <c r="A1711" t="s">
        <v>743</v>
      </c>
      <c r="B1711" t="s">
        <v>743</v>
      </c>
      <c r="C1711">
        <v>0</v>
      </c>
      <c r="D1711">
        <v>1000</v>
      </c>
      <c r="E1711" t="s">
        <v>6767</v>
      </c>
      <c r="F1711" t="s">
        <v>6767</v>
      </c>
      <c r="G1711" t="s">
        <v>6768</v>
      </c>
      <c r="H1711" t="s">
        <v>3489</v>
      </c>
      <c r="I1711" t="s">
        <v>3490</v>
      </c>
      <c r="J1711" s="56">
        <f t="shared" si="78"/>
        <v>47</v>
      </c>
      <c r="K1711" s="74" t="str">
        <f t="shared" si="79"/>
        <v>31-60 Days</v>
      </c>
      <c r="L1711" s="58" t="str">
        <f t="shared" si="80"/>
        <v>Not Applicable</v>
      </c>
    </row>
    <row r="1712" spans="1:12" ht="16.5" customHeight="1" x14ac:dyDescent="0.35">
      <c r="A1712" t="s">
        <v>743</v>
      </c>
      <c r="B1712" t="s">
        <v>743</v>
      </c>
      <c r="C1712">
        <v>5000451.3899999997</v>
      </c>
      <c r="D1712">
        <v>0</v>
      </c>
      <c r="E1712" t="s">
        <v>6769</v>
      </c>
      <c r="F1712" t="s">
        <v>6769</v>
      </c>
      <c r="G1712" t="s">
        <v>6770</v>
      </c>
      <c r="H1712" t="s">
        <v>3455</v>
      </c>
      <c r="I1712" t="s">
        <v>3486</v>
      </c>
      <c r="J1712" s="56">
        <f t="shared" si="78"/>
        <v>47</v>
      </c>
      <c r="K1712" s="74" t="str">
        <f t="shared" si="79"/>
        <v>31-60 Days</v>
      </c>
      <c r="L1712" s="58" t="str">
        <f t="shared" si="80"/>
        <v>Especially Mentioned</v>
      </c>
    </row>
    <row r="1713" spans="1:12" ht="16.5" customHeight="1" x14ac:dyDescent="0.35">
      <c r="A1713" t="s">
        <v>743</v>
      </c>
      <c r="B1713" t="s">
        <v>743</v>
      </c>
      <c r="C1713">
        <v>0</v>
      </c>
      <c r="D1713">
        <v>250</v>
      </c>
      <c r="E1713" t="s">
        <v>6771</v>
      </c>
      <c r="F1713" t="s">
        <v>6771</v>
      </c>
      <c r="G1713" t="s">
        <v>6772</v>
      </c>
      <c r="H1713" t="s">
        <v>3489</v>
      </c>
      <c r="I1713" t="s">
        <v>3490</v>
      </c>
      <c r="J1713" s="56">
        <f t="shared" si="78"/>
        <v>47</v>
      </c>
      <c r="K1713" s="74" t="str">
        <f t="shared" si="79"/>
        <v>31-60 Days</v>
      </c>
      <c r="L1713" s="58" t="str">
        <f t="shared" si="80"/>
        <v>Not Applicable</v>
      </c>
    </row>
    <row r="1714" spans="1:12" ht="16.5" customHeight="1" x14ac:dyDescent="0.35">
      <c r="A1714" t="s">
        <v>743</v>
      </c>
      <c r="B1714" t="s">
        <v>743</v>
      </c>
      <c r="C1714">
        <v>0</v>
      </c>
      <c r="D1714">
        <v>1000</v>
      </c>
      <c r="E1714" t="s">
        <v>6773</v>
      </c>
      <c r="F1714" t="s">
        <v>6773</v>
      </c>
      <c r="G1714" t="s">
        <v>6774</v>
      </c>
      <c r="H1714" t="s">
        <v>3489</v>
      </c>
      <c r="I1714" t="s">
        <v>3490</v>
      </c>
      <c r="J1714" s="56">
        <f t="shared" si="78"/>
        <v>47</v>
      </c>
      <c r="K1714" s="74" t="str">
        <f t="shared" si="79"/>
        <v>31-60 Days</v>
      </c>
      <c r="L1714" s="58" t="str">
        <f t="shared" si="80"/>
        <v>Not Applicable</v>
      </c>
    </row>
    <row r="1715" spans="1:12" ht="16.5" customHeight="1" x14ac:dyDescent="0.35">
      <c r="A1715" t="s">
        <v>743</v>
      </c>
      <c r="B1715" t="s">
        <v>743</v>
      </c>
      <c r="C1715">
        <v>12000</v>
      </c>
      <c r="D1715">
        <v>0</v>
      </c>
      <c r="E1715" t="s">
        <v>6775</v>
      </c>
      <c r="F1715" t="s">
        <v>6776</v>
      </c>
      <c r="G1715" t="s">
        <v>6777</v>
      </c>
      <c r="H1715" t="s">
        <v>3921</v>
      </c>
      <c r="I1715" t="s">
        <v>3490</v>
      </c>
      <c r="J1715" s="56">
        <f t="shared" si="78"/>
        <v>47</v>
      </c>
      <c r="K1715" s="74" t="str">
        <f t="shared" si="79"/>
        <v>31-60 Days</v>
      </c>
      <c r="L1715" s="58" t="str">
        <f t="shared" si="80"/>
        <v>Especially Mentioned</v>
      </c>
    </row>
    <row r="1716" spans="1:12" ht="16.5" customHeight="1" x14ac:dyDescent="0.35">
      <c r="A1716" t="s">
        <v>743</v>
      </c>
      <c r="B1716" t="s">
        <v>743</v>
      </c>
      <c r="C1716">
        <v>0</v>
      </c>
      <c r="D1716">
        <v>100</v>
      </c>
      <c r="E1716" t="s">
        <v>6778</v>
      </c>
      <c r="F1716" t="s">
        <v>6778</v>
      </c>
      <c r="G1716" t="s">
        <v>6779</v>
      </c>
      <c r="H1716" t="s">
        <v>3489</v>
      </c>
      <c r="I1716" t="s">
        <v>3490</v>
      </c>
      <c r="J1716" s="56">
        <f t="shared" si="78"/>
        <v>47</v>
      </c>
      <c r="K1716" s="74" t="str">
        <f t="shared" si="79"/>
        <v>31-60 Days</v>
      </c>
      <c r="L1716" s="58" t="str">
        <f t="shared" si="80"/>
        <v>Not Applicable</v>
      </c>
    </row>
    <row r="1717" spans="1:12" ht="16.5" customHeight="1" x14ac:dyDescent="0.35">
      <c r="A1717" t="s">
        <v>743</v>
      </c>
      <c r="B1717" t="s">
        <v>743</v>
      </c>
      <c r="C1717">
        <v>0</v>
      </c>
      <c r="D1717">
        <v>2050</v>
      </c>
      <c r="E1717" t="s">
        <v>6780</v>
      </c>
      <c r="F1717" t="s">
        <v>6780</v>
      </c>
      <c r="G1717" t="s">
        <v>6781</v>
      </c>
      <c r="H1717" t="s">
        <v>3489</v>
      </c>
      <c r="I1717" t="s">
        <v>3490</v>
      </c>
      <c r="J1717" s="56">
        <f t="shared" si="78"/>
        <v>47</v>
      </c>
      <c r="K1717" s="74" t="str">
        <f t="shared" si="79"/>
        <v>31-60 Days</v>
      </c>
      <c r="L1717" s="58" t="str">
        <f t="shared" si="80"/>
        <v>Not Applicable</v>
      </c>
    </row>
    <row r="1718" spans="1:12" ht="16.5" customHeight="1" x14ac:dyDescent="0.35">
      <c r="A1718" t="s">
        <v>743</v>
      </c>
      <c r="B1718" t="s">
        <v>743</v>
      </c>
      <c r="C1718">
        <v>0</v>
      </c>
      <c r="D1718">
        <v>2050</v>
      </c>
      <c r="E1718" t="s">
        <v>6782</v>
      </c>
      <c r="F1718" t="s">
        <v>6782</v>
      </c>
      <c r="G1718" t="s">
        <v>6783</v>
      </c>
      <c r="H1718" t="s">
        <v>3489</v>
      </c>
      <c r="I1718" t="s">
        <v>3490</v>
      </c>
      <c r="J1718" s="56">
        <f t="shared" si="78"/>
        <v>47</v>
      </c>
      <c r="K1718" s="74" t="str">
        <f t="shared" si="79"/>
        <v>31-60 Days</v>
      </c>
      <c r="L1718" s="58" t="str">
        <f t="shared" si="80"/>
        <v>Not Applicable</v>
      </c>
    </row>
    <row r="1719" spans="1:12" ht="16.5" customHeight="1" x14ac:dyDescent="0.35">
      <c r="A1719" t="s">
        <v>743</v>
      </c>
      <c r="B1719" t="s">
        <v>743</v>
      </c>
      <c r="C1719">
        <v>0</v>
      </c>
      <c r="D1719">
        <v>250</v>
      </c>
      <c r="E1719" t="s">
        <v>6784</v>
      </c>
      <c r="F1719" t="s">
        <v>6784</v>
      </c>
      <c r="G1719" t="s">
        <v>6785</v>
      </c>
      <c r="H1719" t="s">
        <v>3489</v>
      </c>
      <c r="I1719" t="s">
        <v>3490</v>
      </c>
      <c r="J1719" s="56">
        <f t="shared" si="78"/>
        <v>47</v>
      </c>
      <c r="K1719" s="74" t="str">
        <f t="shared" si="79"/>
        <v>31-60 Days</v>
      </c>
      <c r="L1719" s="58" t="str">
        <f t="shared" si="80"/>
        <v>Not Applicable</v>
      </c>
    </row>
    <row r="1720" spans="1:12" ht="16.5" customHeight="1" x14ac:dyDescent="0.35">
      <c r="A1720" t="s">
        <v>743</v>
      </c>
      <c r="B1720" t="s">
        <v>743</v>
      </c>
      <c r="C1720">
        <v>0</v>
      </c>
      <c r="D1720">
        <v>600</v>
      </c>
      <c r="E1720" t="s">
        <v>6786</v>
      </c>
      <c r="F1720" t="s">
        <v>6786</v>
      </c>
      <c r="G1720" t="s">
        <v>6787</v>
      </c>
      <c r="H1720" t="s">
        <v>3489</v>
      </c>
      <c r="I1720" t="s">
        <v>3490</v>
      </c>
      <c r="J1720" s="56">
        <f t="shared" si="78"/>
        <v>47</v>
      </c>
      <c r="K1720" s="74" t="str">
        <f t="shared" si="79"/>
        <v>31-60 Days</v>
      </c>
      <c r="L1720" s="58" t="str">
        <f t="shared" si="80"/>
        <v>Not Applicable</v>
      </c>
    </row>
    <row r="1721" spans="1:12" ht="16.5" customHeight="1" x14ac:dyDescent="0.35">
      <c r="A1721" t="s">
        <v>743</v>
      </c>
      <c r="B1721" t="s">
        <v>743</v>
      </c>
      <c r="C1721">
        <v>0</v>
      </c>
      <c r="D1721">
        <v>150</v>
      </c>
      <c r="E1721" t="s">
        <v>6788</v>
      </c>
      <c r="F1721" t="s">
        <v>6788</v>
      </c>
      <c r="G1721" t="s">
        <v>6789</v>
      </c>
      <c r="H1721" t="s">
        <v>3489</v>
      </c>
      <c r="I1721" t="s">
        <v>3490</v>
      </c>
      <c r="J1721" s="56">
        <f t="shared" si="78"/>
        <v>47</v>
      </c>
      <c r="K1721" s="74" t="str">
        <f t="shared" si="79"/>
        <v>31-60 Days</v>
      </c>
      <c r="L1721" s="58" t="str">
        <f t="shared" si="80"/>
        <v>Not Applicable</v>
      </c>
    </row>
    <row r="1722" spans="1:12" ht="16.5" customHeight="1" x14ac:dyDescent="0.35">
      <c r="A1722" t="s">
        <v>743</v>
      </c>
      <c r="B1722" t="s">
        <v>743</v>
      </c>
      <c r="C1722">
        <v>0</v>
      </c>
      <c r="D1722">
        <v>250</v>
      </c>
      <c r="E1722" t="s">
        <v>6790</v>
      </c>
      <c r="F1722" t="s">
        <v>6790</v>
      </c>
      <c r="G1722" t="s">
        <v>6791</v>
      </c>
      <c r="H1722" t="s">
        <v>3489</v>
      </c>
      <c r="I1722" t="s">
        <v>3490</v>
      </c>
      <c r="J1722" s="56">
        <f t="shared" si="78"/>
        <v>47</v>
      </c>
      <c r="K1722" s="74" t="str">
        <f t="shared" si="79"/>
        <v>31-60 Days</v>
      </c>
      <c r="L1722" s="58" t="str">
        <f t="shared" si="80"/>
        <v>Not Applicable</v>
      </c>
    </row>
    <row r="1723" spans="1:12" ht="16.5" customHeight="1" x14ac:dyDescent="0.35">
      <c r="A1723" t="s">
        <v>743</v>
      </c>
      <c r="B1723" t="s">
        <v>743</v>
      </c>
      <c r="C1723">
        <v>0</v>
      </c>
      <c r="D1723">
        <v>250</v>
      </c>
      <c r="E1723" t="s">
        <v>6792</v>
      </c>
      <c r="F1723" t="s">
        <v>6793</v>
      </c>
      <c r="G1723" t="s">
        <v>6794</v>
      </c>
      <c r="H1723" t="s">
        <v>3532</v>
      </c>
      <c r="I1723" t="s">
        <v>3490</v>
      </c>
      <c r="J1723" s="56">
        <f t="shared" si="78"/>
        <v>47</v>
      </c>
      <c r="K1723" s="74" t="str">
        <f t="shared" si="79"/>
        <v>31-60 Days</v>
      </c>
      <c r="L1723" s="58" t="str">
        <f t="shared" si="80"/>
        <v>Not Applicable</v>
      </c>
    </row>
    <row r="1724" spans="1:12" ht="16.5" customHeight="1" x14ac:dyDescent="0.35">
      <c r="A1724" t="s">
        <v>743</v>
      </c>
      <c r="B1724" t="s">
        <v>743</v>
      </c>
      <c r="C1724">
        <v>0</v>
      </c>
      <c r="D1724">
        <v>1000</v>
      </c>
      <c r="E1724" t="s">
        <v>6795</v>
      </c>
      <c r="F1724" t="s">
        <v>6796</v>
      </c>
      <c r="G1724" t="s">
        <v>6797</v>
      </c>
      <c r="H1724" t="s">
        <v>3532</v>
      </c>
      <c r="I1724" t="s">
        <v>3490</v>
      </c>
      <c r="J1724" s="56">
        <f t="shared" si="78"/>
        <v>47</v>
      </c>
      <c r="K1724" s="74" t="str">
        <f t="shared" si="79"/>
        <v>31-60 Days</v>
      </c>
      <c r="L1724" s="58" t="str">
        <f t="shared" si="80"/>
        <v>Not Applicable</v>
      </c>
    </row>
    <row r="1725" spans="1:12" ht="16.5" customHeight="1" x14ac:dyDescent="0.35">
      <c r="A1725" t="s">
        <v>763</v>
      </c>
      <c r="B1725" t="s">
        <v>763</v>
      </c>
      <c r="C1725">
        <v>0</v>
      </c>
      <c r="D1725">
        <v>1000</v>
      </c>
      <c r="E1725" t="s">
        <v>6798</v>
      </c>
      <c r="F1725" t="s">
        <v>6799</v>
      </c>
      <c r="G1725" t="s">
        <v>6800</v>
      </c>
      <c r="H1725" t="s">
        <v>3494</v>
      </c>
      <c r="I1725" t="s">
        <v>3490</v>
      </c>
      <c r="J1725" s="56">
        <f t="shared" si="78"/>
        <v>46</v>
      </c>
      <c r="K1725" s="74" t="str">
        <f t="shared" si="79"/>
        <v>31-60 Days</v>
      </c>
      <c r="L1725" s="58" t="str">
        <f t="shared" si="80"/>
        <v>Not Applicable</v>
      </c>
    </row>
    <row r="1726" spans="1:12" ht="16.5" customHeight="1" x14ac:dyDescent="0.35">
      <c r="A1726" t="s">
        <v>763</v>
      </c>
      <c r="B1726" t="s">
        <v>763</v>
      </c>
      <c r="C1726">
        <v>0</v>
      </c>
      <c r="D1726">
        <v>768</v>
      </c>
      <c r="E1726" t="s">
        <v>6801</v>
      </c>
      <c r="F1726" t="s">
        <v>6802</v>
      </c>
      <c r="G1726" t="s">
        <v>6803</v>
      </c>
      <c r="H1726" t="s">
        <v>3532</v>
      </c>
      <c r="I1726" t="s">
        <v>3490</v>
      </c>
      <c r="J1726" s="56">
        <f t="shared" si="78"/>
        <v>46</v>
      </c>
      <c r="K1726" s="74" t="str">
        <f t="shared" si="79"/>
        <v>31-60 Days</v>
      </c>
      <c r="L1726" s="58" t="str">
        <f t="shared" si="80"/>
        <v>Not Applicable</v>
      </c>
    </row>
    <row r="1727" spans="1:12" ht="16.5" customHeight="1" x14ac:dyDescent="0.35">
      <c r="A1727" t="s">
        <v>763</v>
      </c>
      <c r="B1727" t="s">
        <v>763</v>
      </c>
      <c r="C1727">
        <v>0</v>
      </c>
      <c r="D1727">
        <v>768</v>
      </c>
      <c r="E1727" t="s">
        <v>6804</v>
      </c>
      <c r="F1727" t="s">
        <v>6805</v>
      </c>
      <c r="G1727" t="s">
        <v>6806</v>
      </c>
      <c r="H1727" t="s">
        <v>3532</v>
      </c>
      <c r="I1727" t="s">
        <v>3490</v>
      </c>
      <c r="J1727" s="56">
        <f t="shared" si="78"/>
        <v>46</v>
      </c>
      <c r="K1727" s="74" t="str">
        <f t="shared" si="79"/>
        <v>31-60 Days</v>
      </c>
      <c r="L1727" s="58" t="str">
        <f t="shared" si="80"/>
        <v>Not Applicable</v>
      </c>
    </row>
    <row r="1728" spans="1:12" ht="16.5" customHeight="1" x14ac:dyDescent="0.35">
      <c r="A1728" t="s">
        <v>763</v>
      </c>
      <c r="B1728" t="s">
        <v>763</v>
      </c>
      <c r="C1728">
        <v>0</v>
      </c>
      <c r="D1728">
        <v>712</v>
      </c>
      <c r="E1728" t="s">
        <v>6807</v>
      </c>
      <c r="F1728" t="s">
        <v>6808</v>
      </c>
      <c r="G1728" t="s">
        <v>6809</v>
      </c>
      <c r="H1728" t="s">
        <v>3532</v>
      </c>
      <c r="I1728" t="s">
        <v>3490</v>
      </c>
      <c r="J1728" s="56">
        <f t="shared" si="78"/>
        <v>46</v>
      </c>
      <c r="K1728" s="74" t="str">
        <f t="shared" si="79"/>
        <v>31-60 Days</v>
      </c>
      <c r="L1728" s="58" t="str">
        <f t="shared" si="80"/>
        <v>Not Applicable</v>
      </c>
    </row>
    <row r="1729" spans="1:12" ht="16.5" customHeight="1" x14ac:dyDescent="0.35">
      <c r="A1729" t="s">
        <v>763</v>
      </c>
      <c r="B1729" t="s">
        <v>763</v>
      </c>
      <c r="C1729">
        <v>0</v>
      </c>
      <c r="D1729">
        <v>1000</v>
      </c>
      <c r="E1729" t="s">
        <v>6810</v>
      </c>
      <c r="F1729" t="s">
        <v>6810</v>
      </c>
      <c r="G1729" t="s">
        <v>6811</v>
      </c>
      <c r="H1729" t="s">
        <v>3489</v>
      </c>
      <c r="I1729" t="s">
        <v>3490</v>
      </c>
      <c r="J1729" s="56">
        <f t="shared" si="78"/>
        <v>46</v>
      </c>
      <c r="K1729" s="74" t="str">
        <f t="shared" si="79"/>
        <v>31-60 Days</v>
      </c>
      <c r="L1729" s="58" t="str">
        <f t="shared" si="80"/>
        <v>Not Applicable</v>
      </c>
    </row>
    <row r="1730" spans="1:12" ht="16.5" customHeight="1" x14ac:dyDescent="0.35">
      <c r="A1730" t="s">
        <v>763</v>
      </c>
      <c r="B1730" t="s">
        <v>763</v>
      </c>
      <c r="C1730">
        <v>0</v>
      </c>
      <c r="D1730">
        <v>400000</v>
      </c>
      <c r="E1730" t="s">
        <v>6812</v>
      </c>
      <c r="F1730" t="s">
        <v>6812</v>
      </c>
      <c r="G1730" t="s">
        <v>6813</v>
      </c>
      <c r="H1730" t="s">
        <v>3489</v>
      </c>
      <c r="I1730" t="s">
        <v>3490</v>
      </c>
      <c r="J1730" s="56">
        <f t="shared" si="78"/>
        <v>46</v>
      </c>
      <c r="K1730" s="74" t="str">
        <f t="shared" si="79"/>
        <v>31-60 Days</v>
      </c>
      <c r="L1730" s="58" t="str">
        <f t="shared" si="80"/>
        <v>Not Applicable</v>
      </c>
    </row>
    <row r="1731" spans="1:12" ht="16.5" customHeight="1" x14ac:dyDescent="0.35">
      <c r="A1731" t="s">
        <v>763</v>
      </c>
      <c r="B1731" t="s">
        <v>763</v>
      </c>
      <c r="C1731">
        <v>1000000</v>
      </c>
      <c r="D1731">
        <v>0</v>
      </c>
      <c r="E1731" t="s">
        <v>6814</v>
      </c>
      <c r="F1731" t="s">
        <v>6814</v>
      </c>
      <c r="G1731" t="s">
        <v>6815</v>
      </c>
      <c r="H1731" t="s">
        <v>4196</v>
      </c>
      <c r="I1731" t="s">
        <v>3490</v>
      </c>
      <c r="J1731" s="56">
        <f t="shared" si="78"/>
        <v>46</v>
      </c>
      <c r="K1731" s="74" t="str">
        <f t="shared" si="79"/>
        <v>31-60 Days</v>
      </c>
      <c r="L1731" s="58" t="str">
        <f t="shared" si="80"/>
        <v>Especially Mentioned</v>
      </c>
    </row>
    <row r="1732" spans="1:12" ht="16.5" customHeight="1" x14ac:dyDescent="0.35">
      <c r="A1732" t="s">
        <v>763</v>
      </c>
      <c r="B1732" t="s">
        <v>763</v>
      </c>
      <c r="C1732">
        <v>0</v>
      </c>
      <c r="D1732">
        <v>1000</v>
      </c>
      <c r="E1732" t="s">
        <v>6816</v>
      </c>
      <c r="F1732" t="s">
        <v>6816</v>
      </c>
      <c r="G1732" t="s">
        <v>6817</v>
      </c>
      <c r="H1732" t="s">
        <v>3489</v>
      </c>
      <c r="I1732" t="s">
        <v>3490</v>
      </c>
      <c r="J1732" s="56">
        <f t="shared" si="78"/>
        <v>46</v>
      </c>
      <c r="K1732" s="74" t="str">
        <f t="shared" si="79"/>
        <v>31-60 Days</v>
      </c>
      <c r="L1732" s="58" t="str">
        <f t="shared" si="80"/>
        <v>Not Applicable</v>
      </c>
    </row>
    <row r="1733" spans="1:12" ht="16.5" customHeight="1" x14ac:dyDescent="0.35">
      <c r="A1733" t="s">
        <v>763</v>
      </c>
      <c r="B1733" t="s">
        <v>763</v>
      </c>
      <c r="C1733">
        <v>0</v>
      </c>
      <c r="D1733">
        <v>300</v>
      </c>
      <c r="E1733" t="s">
        <v>6818</v>
      </c>
      <c r="F1733" t="s">
        <v>3574</v>
      </c>
      <c r="G1733" t="s">
        <v>6819</v>
      </c>
      <c r="H1733" t="s">
        <v>3489</v>
      </c>
      <c r="I1733" t="s">
        <v>3490</v>
      </c>
      <c r="J1733" s="56">
        <f t="shared" si="78"/>
        <v>46</v>
      </c>
      <c r="K1733" s="74" t="str">
        <f t="shared" si="79"/>
        <v>31-60 Days</v>
      </c>
      <c r="L1733" s="58" t="str">
        <f t="shared" si="80"/>
        <v>Not Applicable</v>
      </c>
    </row>
    <row r="1734" spans="1:12" ht="16.5" customHeight="1" x14ac:dyDescent="0.35">
      <c r="A1734" t="s">
        <v>763</v>
      </c>
      <c r="B1734" t="s">
        <v>763</v>
      </c>
      <c r="C1734">
        <v>0</v>
      </c>
      <c r="D1734">
        <v>1000</v>
      </c>
      <c r="E1734" t="s">
        <v>6820</v>
      </c>
      <c r="F1734" t="s">
        <v>6820</v>
      </c>
      <c r="G1734" t="s">
        <v>6821</v>
      </c>
      <c r="H1734" t="s">
        <v>3489</v>
      </c>
      <c r="I1734" t="s">
        <v>3490</v>
      </c>
      <c r="J1734" s="56">
        <f t="shared" si="78"/>
        <v>46</v>
      </c>
      <c r="K1734" s="74" t="str">
        <f t="shared" si="79"/>
        <v>31-60 Days</v>
      </c>
      <c r="L1734" s="58" t="str">
        <f t="shared" si="80"/>
        <v>Not Applicable</v>
      </c>
    </row>
    <row r="1735" spans="1:12" ht="16.5" customHeight="1" x14ac:dyDescent="0.35">
      <c r="A1735" t="s">
        <v>763</v>
      </c>
      <c r="B1735" t="s">
        <v>763</v>
      </c>
      <c r="C1735">
        <v>0</v>
      </c>
      <c r="D1735">
        <v>768</v>
      </c>
      <c r="E1735" t="s">
        <v>6822</v>
      </c>
      <c r="F1735" t="s">
        <v>6823</v>
      </c>
      <c r="G1735" t="s">
        <v>6824</v>
      </c>
      <c r="H1735" t="s">
        <v>3532</v>
      </c>
      <c r="I1735" t="s">
        <v>3490</v>
      </c>
      <c r="J1735" s="56">
        <f t="shared" si="78"/>
        <v>46</v>
      </c>
      <c r="K1735" s="74" t="str">
        <f t="shared" si="79"/>
        <v>31-60 Days</v>
      </c>
      <c r="L1735" s="58" t="str">
        <f t="shared" si="80"/>
        <v>Not Applicable</v>
      </c>
    </row>
    <row r="1736" spans="1:12" ht="16.5" customHeight="1" x14ac:dyDescent="0.35">
      <c r="A1736" t="s">
        <v>763</v>
      </c>
      <c r="B1736" t="s">
        <v>763</v>
      </c>
      <c r="C1736">
        <v>0</v>
      </c>
      <c r="D1736">
        <v>250</v>
      </c>
      <c r="E1736" t="s">
        <v>6825</v>
      </c>
      <c r="F1736" t="s">
        <v>6825</v>
      </c>
      <c r="G1736" t="s">
        <v>6826</v>
      </c>
      <c r="H1736" t="s">
        <v>3489</v>
      </c>
      <c r="I1736" t="s">
        <v>3490</v>
      </c>
      <c r="J1736" s="56">
        <f t="shared" si="78"/>
        <v>46</v>
      </c>
      <c r="K1736" s="74" t="str">
        <f t="shared" si="79"/>
        <v>31-60 Days</v>
      </c>
      <c r="L1736" s="58" t="str">
        <f t="shared" si="80"/>
        <v>Not Applicable</v>
      </c>
    </row>
    <row r="1737" spans="1:12" ht="16.5" customHeight="1" x14ac:dyDescent="0.35">
      <c r="A1737" t="s">
        <v>763</v>
      </c>
      <c r="B1737" t="s">
        <v>763</v>
      </c>
      <c r="C1737">
        <v>0</v>
      </c>
      <c r="D1737">
        <v>768</v>
      </c>
      <c r="E1737" t="s">
        <v>6827</v>
      </c>
      <c r="F1737" t="s">
        <v>6828</v>
      </c>
      <c r="G1737" t="s">
        <v>6829</v>
      </c>
      <c r="H1737" t="s">
        <v>3532</v>
      </c>
      <c r="I1737" t="s">
        <v>3490</v>
      </c>
      <c r="J1737" s="56">
        <f t="shared" ref="J1737:J1800" si="81">IF(A1737="","",A$5-A1737)</f>
        <v>46</v>
      </c>
      <c r="K1737" s="74" t="str">
        <f t="shared" ref="K1737:K1800" si="82">IF(J1737="","",IF(J1737&lt;4,"0-3 Days",IF(J1737&lt;31,"4-30 Days",IF(J1737&lt;61,"31-60 Days",IF(J1737&lt;=90,"61-90 Days",IF(J1737&gt;90,"Above 90 Days","0"))))))</f>
        <v>31-60 Days</v>
      </c>
      <c r="L1737" s="58" t="str">
        <f t="shared" ref="L1737:L1800" si="83">IF(C1737="","",IF(C1737&gt;0,IF(J1737&lt;30,"Normal",IF(J1737&lt;60,"Especially Mentioned",IF(J1737&lt;90,"Substandard",IF(J1737&lt;=180,"Doubtful",IF(J1737&gt;180,"Loss","0"))))),"Not Applicable"))</f>
        <v>Not Applicable</v>
      </c>
    </row>
    <row r="1738" spans="1:12" ht="16.5" customHeight="1" x14ac:dyDescent="0.35">
      <c r="A1738" t="s">
        <v>763</v>
      </c>
      <c r="B1738" t="s">
        <v>763</v>
      </c>
      <c r="C1738">
        <v>0</v>
      </c>
      <c r="D1738">
        <v>15000</v>
      </c>
      <c r="E1738" t="s">
        <v>6830</v>
      </c>
      <c r="F1738" t="s">
        <v>6831</v>
      </c>
      <c r="G1738" t="s">
        <v>6832</v>
      </c>
      <c r="H1738" t="s">
        <v>3489</v>
      </c>
      <c r="I1738" t="s">
        <v>3490</v>
      </c>
      <c r="J1738" s="56">
        <f t="shared" si="81"/>
        <v>46</v>
      </c>
      <c r="K1738" s="74" t="str">
        <f t="shared" si="82"/>
        <v>31-60 Days</v>
      </c>
      <c r="L1738" s="58" t="str">
        <f t="shared" si="83"/>
        <v>Not Applicable</v>
      </c>
    </row>
    <row r="1739" spans="1:12" ht="16.5" customHeight="1" x14ac:dyDescent="0.35">
      <c r="A1739" t="s">
        <v>763</v>
      </c>
      <c r="B1739" t="s">
        <v>763</v>
      </c>
      <c r="C1739">
        <v>0</v>
      </c>
      <c r="D1739">
        <v>100</v>
      </c>
      <c r="E1739" t="s">
        <v>6833</v>
      </c>
      <c r="F1739" t="s">
        <v>6834</v>
      </c>
      <c r="G1739" t="s">
        <v>6835</v>
      </c>
      <c r="H1739" t="s">
        <v>3532</v>
      </c>
      <c r="I1739" t="s">
        <v>3490</v>
      </c>
      <c r="J1739" s="56">
        <f t="shared" si="81"/>
        <v>46</v>
      </c>
      <c r="K1739" s="74" t="str">
        <f t="shared" si="82"/>
        <v>31-60 Days</v>
      </c>
      <c r="L1739" s="58" t="str">
        <f t="shared" si="83"/>
        <v>Not Applicable</v>
      </c>
    </row>
    <row r="1740" spans="1:12" ht="16.5" customHeight="1" x14ac:dyDescent="0.35">
      <c r="A1740" t="s">
        <v>763</v>
      </c>
      <c r="B1740" t="s">
        <v>763</v>
      </c>
      <c r="C1740">
        <v>0</v>
      </c>
      <c r="D1740">
        <v>768</v>
      </c>
      <c r="E1740" t="s">
        <v>6836</v>
      </c>
      <c r="F1740" t="s">
        <v>6837</v>
      </c>
      <c r="G1740" t="s">
        <v>6838</v>
      </c>
      <c r="H1740" t="s">
        <v>3532</v>
      </c>
      <c r="I1740" t="s">
        <v>3490</v>
      </c>
      <c r="J1740" s="56">
        <f t="shared" si="81"/>
        <v>46</v>
      </c>
      <c r="K1740" s="74" t="str">
        <f t="shared" si="82"/>
        <v>31-60 Days</v>
      </c>
      <c r="L1740" s="58" t="str">
        <f t="shared" si="83"/>
        <v>Not Applicable</v>
      </c>
    </row>
    <row r="1741" spans="1:12" ht="16.5" customHeight="1" x14ac:dyDescent="0.35">
      <c r="A1741" t="s">
        <v>763</v>
      </c>
      <c r="B1741" t="s">
        <v>763</v>
      </c>
      <c r="C1741">
        <v>0</v>
      </c>
      <c r="D1741">
        <v>184286.65</v>
      </c>
      <c r="E1741" t="s">
        <v>6839</v>
      </c>
      <c r="F1741" t="s">
        <v>6839</v>
      </c>
      <c r="G1741" t="s">
        <v>6840</v>
      </c>
      <c r="H1741" t="s">
        <v>3489</v>
      </c>
      <c r="I1741" t="s">
        <v>3490</v>
      </c>
      <c r="J1741" s="56">
        <f t="shared" si="81"/>
        <v>46</v>
      </c>
      <c r="K1741" s="74" t="str">
        <f t="shared" si="82"/>
        <v>31-60 Days</v>
      </c>
      <c r="L1741" s="58" t="str">
        <f t="shared" si="83"/>
        <v>Not Applicable</v>
      </c>
    </row>
    <row r="1742" spans="1:12" ht="16.5" customHeight="1" x14ac:dyDescent="0.35">
      <c r="A1742" t="s">
        <v>763</v>
      </c>
      <c r="B1742" t="s">
        <v>763</v>
      </c>
      <c r="C1742">
        <v>0</v>
      </c>
      <c r="D1742">
        <v>2050</v>
      </c>
      <c r="E1742" t="s">
        <v>6841</v>
      </c>
      <c r="F1742" t="s">
        <v>6841</v>
      </c>
      <c r="G1742" t="s">
        <v>6842</v>
      </c>
      <c r="H1742" t="s">
        <v>3489</v>
      </c>
      <c r="I1742" t="s">
        <v>3490</v>
      </c>
      <c r="J1742" s="56">
        <f t="shared" si="81"/>
        <v>46</v>
      </c>
      <c r="K1742" s="74" t="str">
        <f t="shared" si="82"/>
        <v>31-60 Days</v>
      </c>
      <c r="L1742" s="58" t="str">
        <f t="shared" si="83"/>
        <v>Not Applicable</v>
      </c>
    </row>
    <row r="1743" spans="1:12" ht="16.5" customHeight="1" x14ac:dyDescent="0.35">
      <c r="A1743" t="s">
        <v>763</v>
      </c>
      <c r="B1743" t="s">
        <v>763</v>
      </c>
      <c r="C1743">
        <v>0</v>
      </c>
      <c r="D1743">
        <v>5461.5</v>
      </c>
      <c r="E1743" t="s">
        <v>6843</v>
      </c>
      <c r="F1743" t="s">
        <v>6844</v>
      </c>
      <c r="G1743" t="s">
        <v>6845</v>
      </c>
      <c r="H1743" t="s">
        <v>3532</v>
      </c>
      <c r="I1743" t="s">
        <v>3490</v>
      </c>
      <c r="J1743" s="56">
        <f t="shared" si="81"/>
        <v>46</v>
      </c>
      <c r="K1743" s="74" t="str">
        <f t="shared" si="82"/>
        <v>31-60 Days</v>
      </c>
      <c r="L1743" s="58" t="str">
        <f t="shared" si="83"/>
        <v>Not Applicable</v>
      </c>
    </row>
    <row r="1744" spans="1:12" ht="16.5" customHeight="1" x14ac:dyDescent="0.35">
      <c r="A1744" t="s">
        <v>763</v>
      </c>
      <c r="B1744" t="s">
        <v>763</v>
      </c>
      <c r="C1744">
        <v>0</v>
      </c>
      <c r="D1744">
        <v>250</v>
      </c>
      <c r="E1744" t="s">
        <v>6846</v>
      </c>
      <c r="F1744" t="s">
        <v>6846</v>
      </c>
      <c r="G1744" t="s">
        <v>6847</v>
      </c>
      <c r="H1744" t="s">
        <v>3489</v>
      </c>
      <c r="I1744" t="s">
        <v>3490</v>
      </c>
      <c r="J1744" s="56">
        <f t="shared" si="81"/>
        <v>46</v>
      </c>
      <c r="K1744" s="74" t="str">
        <f t="shared" si="82"/>
        <v>31-60 Days</v>
      </c>
      <c r="L1744" s="58" t="str">
        <f t="shared" si="83"/>
        <v>Not Applicable</v>
      </c>
    </row>
    <row r="1745" spans="1:12" ht="16.5" customHeight="1" x14ac:dyDescent="0.35">
      <c r="A1745" t="s">
        <v>763</v>
      </c>
      <c r="B1745" t="s">
        <v>763</v>
      </c>
      <c r="C1745">
        <v>0</v>
      </c>
      <c r="D1745">
        <v>250</v>
      </c>
      <c r="E1745" t="s">
        <v>6848</v>
      </c>
      <c r="F1745" t="s">
        <v>6848</v>
      </c>
      <c r="G1745" t="s">
        <v>6849</v>
      </c>
      <c r="H1745" t="s">
        <v>3489</v>
      </c>
      <c r="I1745" t="s">
        <v>3490</v>
      </c>
      <c r="J1745" s="56">
        <f t="shared" si="81"/>
        <v>46</v>
      </c>
      <c r="K1745" s="74" t="str">
        <f t="shared" si="82"/>
        <v>31-60 Days</v>
      </c>
      <c r="L1745" s="58" t="str">
        <f t="shared" si="83"/>
        <v>Not Applicable</v>
      </c>
    </row>
    <row r="1746" spans="1:12" ht="16.5" customHeight="1" x14ac:dyDescent="0.35">
      <c r="A1746" t="s">
        <v>763</v>
      </c>
      <c r="B1746" t="s">
        <v>763</v>
      </c>
      <c r="C1746">
        <v>0</v>
      </c>
      <c r="D1746">
        <v>768</v>
      </c>
      <c r="E1746" t="s">
        <v>6850</v>
      </c>
      <c r="F1746" t="s">
        <v>6851</v>
      </c>
      <c r="G1746" t="s">
        <v>6852</v>
      </c>
      <c r="H1746" t="s">
        <v>3532</v>
      </c>
      <c r="I1746" t="s">
        <v>3490</v>
      </c>
      <c r="J1746" s="56">
        <f t="shared" si="81"/>
        <v>46</v>
      </c>
      <c r="K1746" s="74" t="str">
        <f t="shared" si="82"/>
        <v>31-60 Days</v>
      </c>
      <c r="L1746" s="58" t="str">
        <f t="shared" si="83"/>
        <v>Not Applicable</v>
      </c>
    </row>
    <row r="1747" spans="1:12" ht="16.5" customHeight="1" x14ac:dyDescent="0.35">
      <c r="A1747" t="s">
        <v>763</v>
      </c>
      <c r="B1747" t="s">
        <v>763</v>
      </c>
      <c r="C1747">
        <v>0</v>
      </c>
      <c r="D1747">
        <v>600</v>
      </c>
      <c r="E1747" t="s">
        <v>6853</v>
      </c>
      <c r="F1747" t="s">
        <v>6853</v>
      </c>
      <c r="G1747" t="s">
        <v>6854</v>
      </c>
      <c r="H1747" t="s">
        <v>3489</v>
      </c>
      <c r="I1747" t="s">
        <v>3490</v>
      </c>
      <c r="J1747" s="56">
        <f t="shared" si="81"/>
        <v>46</v>
      </c>
      <c r="K1747" s="74" t="str">
        <f t="shared" si="82"/>
        <v>31-60 Days</v>
      </c>
      <c r="L1747" s="58" t="str">
        <f t="shared" si="83"/>
        <v>Not Applicable</v>
      </c>
    </row>
    <row r="1748" spans="1:12" ht="16.5" customHeight="1" x14ac:dyDescent="0.35">
      <c r="A1748" t="s">
        <v>763</v>
      </c>
      <c r="B1748" t="s">
        <v>763</v>
      </c>
      <c r="C1748">
        <v>0</v>
      </c>
      <c r="D1748">
        <v>250</v>
      </c>
      <c r="E1748" t="s">
        <v>6855</v>
      </c>
      <c r="F1748" t="s">
        <v>6855</v>
      </c>
      <c r="G1748" t="s">
        <v>6856</v>
      </c>
      <c r="H1748" t="s">
        <v>3489</v>
      </c>
      <c r="I1748" t="s">
        <v>3490</v>
      </c>
      <c r="J1748" s="56">
        <f t="shared" si="81"/>
        <v>46</v>
      </c>
      <c r="K1748" s="74" t="str">
        <f t="shared" si="82"/>
        <v>31-60 Days</v>
      </c>
      <c r="L1748" s="58" t="str">
        <f t="shared" si="83"/>
        <v>Not Applicable</v>
      </c>
    </row>
    <row r="1749" spans="1:12" ht="16.5" customHeight="1" x14ac:dyDescent="0.35">
      <c r="A1749" t="s">
        <v>763</v>
      </c>
      <c r="B1749" t="s">
        <v>763</v>
      </c>
      <c r="C1749">
        <v>0</v>
      </c>
      <c r="D1749">
        <v>100</v>
      </c>
      <c r="E1749" t="s">
        <v>6857</v>
      </c>
      <c r="F1749" t="s">
        <v>6858</v>
      </c>
      <c r="G1749" t="s">
        <v>6859</v>
      </c>
      <c r="H1749" t="s">
        <v>3532</v>
      </c>
      <c r="I1749" t="s">
        <v>3490</v>
      </c>
      <c r="J1749" s="56">
        <f t="shared" si="81"/>
        <v>46</v>
      </c>
      <c r="K1749" s="74" t="str">
        <f t="shared" si="82"/>
        <v>31-60 Days</v>
      </c>
      <c r="L1749" s="58" t="str">
        <f t="shared" si="83"/>
        <v>Not Applicable</v>
      </c>
    </row>
    <row r="1750" spans="1:12" ht="16.5" customHeight="1" x14ac:dyDescent="0.35">
      <c r="A1750" t="s">
        <v>763</v>
      </c>
      <c r="B1750" t="s">
        <v>763</v>
      </c>
      <c r="C1750">
        <v>0</v>
      </c>
      <c r="D1750">
        <v>1000</v>
      </c>
      <c r="E1750" t="s">
        <v>6860</v>
      </c>
      <c r="F1750" t="s">
        <v>6861</v>
      </c>
      <c r="G1750" t="s">
        <v>6862</v>
      </c>
      <c r="H1750" t="s">
        <v>3489</v>
      </c>
      <c r="I1750" t="s">
        <v>3490</v>
      </c>
      <c r="J1750" s="56">
        <f t="shared" si="81"/>
        <v>46</v>
      </c>
      <c r="K1750" s="74" t="str">
        <f t="shared" si="82"/>
        <v>31-60 Days</v>
      </c>
      <c r="L1750" s="58" t="str">
        <f t="shared" si="83"/>
        <v>Not Applicable</v>
      </c>
    </row>
    <row r="1751" spans="1:12" ht="16.5" customHeight="1" x14ac:dyDescent="0.35">
      <c r="A1751" t="s">
        <v>763</v>
      </c>
      <c r="B1751" t="s">
        <v>763</v>
      </c>
      <c r="C1751">
        <v>0</v>
      </c>
      <c r="D1751">
        <v>768</v>
      </c>
      <c r="E1751" t="s">
        <v>6863</v>
      </c>
      <c r="F1751" t="s">
        <v>6864</v>
      </c>
      <c r="G1751" t="s">
        <v>6865</v>
      </c>
      <c r="H1751" t="s">
        <v>3532</v>
      </c>
      <c r="I1751" t="s">
        <v>3490</v>
      </c>
      <c r="J1751" s="56">
        <f t="shared" si="81"/>
        <v>46</v>
      </c>
      <c r="K1751" s="74" t="str">
        <f t="shared" si="82"/>
        <v>31-60 Days</v>
      </c>
      <c r="L1751" s="58" t="str">
        <f t="shared" si="83"/>
        <v>Not Applicable</v>
      </c>
    </row>
    <row r="1752" spans="1:12" ht="16.5" customHeight="1" x14ac:dyDescent="0.35">
      <c r="A1752" t="s">
        <v>763</v>
      </c>
      <c r="B1752" t="s">
        <v>763</v>
      </c>
      <c r="C1752">
        <v>0</v>
      </c>
      <c r="D1752">
        <v>768</v>
      </c>
      <c r="E1752" t="s">
        <v>6866</v>
      </c>
      <c r="F1752" t="s">
        <v>6867</v>
      </c>
      <c r="G1752" t="s">
        <v>6868</v>
      </c>
      <c r="H1752" t="s">
        <v>3532</v>
      </c>
      <c r="I1752" t="s">
        <v>3490</v>
      </c>
      <c r="J1752" s="56">
        <f t="shared" si="81"/>
        <v>46</v>
      </c>
      <c r="K1752" s="74" t="str">
        <f t="shared" si="82"/>
        <v>31-60 Days</v>
      </c>
      <c r="L1752" s="58" t="str">
        <f t="shared" si="83"/>
        <v>Not Applicable</v>
      </c>
    </row>
    <row r="1753" spans="1:12" ht="16.5" customHeight="1" x14ac:dyDescent="0.35">
      <c r="A1753" t="s">
        <v>763</v>
      </c>
      <c r="B1753" t="s">
        <v>763</v>
      </c>
      <c r="C1753">
        <v>0</v>
      </c>
      <c r="D1753">
        <v>672</v>
      </c>
      <c r="E1753" t="s">
        <v>6869</v>
      </c>
      <c r="F1753" t="s">
        <v>6870</v>
      </c>
      <c r="G1753" t="s">
        <v>6871</v>
      </c>
      <c r="H1753" t="s">
        <v>3532</v>
      </c>
      <c r="I1753" t="s">
        <v>3490</v>
      </c>
      <c r="J1753" s="56">
        <f t="shared" si="81"/>
        <v>46</v>
      </c>
      <c r="K1753" s="74" t="str">
        <f t="shared" si="82"/>
        <v>31-60 Days</v>
      </c>
      <c r="L1753" s="58" t="str">
        <f t="shared" si="83"/>
        <v>Not Applicable</v>
      </c>
    </row>
    <row r="1754" spans="1:12" ht="16.5" customHeight="1" x14ac:dyDescent="0.35">
      <c r="A1754" t="s">
        <v>763</v>
      </c>
      <c r="B1754" t="s">
        <v>763</v>
      </c>
      <c r="C1754">
        <v>0</v>
      </c>
      <c r="D1754">
        <v>768</v>
      </c>
      <c r="E1754" t="s">
        <v>6872</v>
      </c>
      <c r="F1754" t="s">
        <v>6873</v>
      </c>
      <c r="G1754" t="s">
        <v>6874</v>
      </c>
      <c r="H1754" t="s">
        <v>3532</v>
      </c>
      <c r="I1754" t="s">
        <v>3490</v>
      </c>
      <c r="J1754" s="56">
        <f t="shared" si="81"/>
        <v>46</v>
      </c>
      <c r="K1754" s="74" t="str">
        <f t="shared" si="82"/>
        <v>31-60 Days</v>
      </c>
      <c r="L1754" s="58" t="str">
        <f t="shared" si="83"/>
        <v>Not Applicable</v>
      </c>
    </row>
    <row r="1755" spans="1:12" ht="16.5" customHeight="1" x14ac:dyDescent="0.35">
      <c r="A1755" t="s">
        <v>763</v>
      </c>
      <c r="B1755" t="s">
        <v>763</v>
      </c>
      <c r="C1755">
        <v>0</v>
      </c>
      <c r="D1755">
        <v>250</v>
      </c>
      <c r="E1755" t="s">
        <v>6875</v>
      </c>
      <c r="F1755" t="s">
        <v>6875</v>
      </c>
      <c r="G1755" t="s">
        <v>6876</v>
      </c>
      <c r="H1755" t="s">
        <v>3489</v>
      </c>
      <c r="I1755" t="s">
        <v>3490</v>
      </c>
      <c r="J1755" s="56">
        <f t="shared" si="81"/>
        <v>46</v>
      </c>
      <c r="K1755" s="74" t="str">
        <f t="shared" si="82"/>
        <v>31-60 Days</v>
      </c>
      <c r="L1755" s="58" t="str">
        <f t="shared" si="83"/>
        <v>Not Applicable</v>
      </c>
    </row>
    <row r="1756" spans="1:12" ht="16.5" customHeight="1" x14ac:dyDescent="0.35">
      <c r="A1756" t="s">
        <v>763</v>
      </c>
      <c r="B1756" t="s">
        <v>763</v>
      </c>
      <c r="C1756">
        <v>0</v>
      </c>
      <c r="D1756">
        <v>768</v>
      </c>
      <c r="E1756" t="s">
        <v>6877</v>
      </c>
      <c r="F1756" t="s">
        <v>6878</v>
      </c>
      <c r="G1756" t="s">
        <v>6879</v>
      </c>
      <c r="H1756" t="s">
        <v>3532</v>
      </c>
      <c r="I1756" t="s">
        <v>3490</v>
      </c>
      <c r="J1756" s="56">
        <f t="shared" si="81"/>
        <v>46</v>
      </c>
      <c r="K1756" s="74" t="str">
        <f t="shared" si="82"/>
        <v>31-60 Days</v>
      </c>
      <c r="L1756" s="58" t="str">
        <f t="shared" si="83"/>
        <v>Not Applicable</v>
      </c>
    </row>
    <row r="1757" spans="1:12" ht="16.5" customHeight="1" x14ac:dyDescent="0.35">
      <c r="A1757" t="s">
        <v>763</v>
      </c>
      <c r="B1757" t="s">
        <v>763</v>
      </c>
      <c r="C1757">
        <v>0</v>
      </c>
      <c r="D1757">
        <v>1000000</v>
      </c>
      <c r="E1757" t="s">
        <v>6880</v>
      </c>
      <c r="F1757" t="s">
        <v>6880</v>
      </c>
      <c r="G1757" t="s">
        <v>6881</v>
      </c>
      <c r="H1757" t="s">
        <v>3489</v>
      </c>
      <c r="I1757" t="s">
        <v>3490</v>
      </c>
      <c r="J1757" s="56">
        <f t="shared" si="81"/>
        <v>46</v>
      </c>
      <c r="K1757" s="74" t="str">
        <f t="shared" si="82"/>
        <v>31-60 Days</v>
      </c>
      <c r="L1757" s="58" t="str">
        <f t="shared" si="83"/>
        <v>Not Applicable</v>
      </c>
    </row>
    <row r="1758" spans="1:12" ht="16.5" customHeight="1" x14ac:dyDescent="0.35">
      <c r="A1758" t="s">
        <v>763</v>
      </c>
      <c r="B1758" t="s">
        <v>763</v>
      </c>
      <c r="C1758">
        <v>0</v>
      </c>
      <c r="D1758">
        <v>2500000</v>
      </c>
      <c r="E1758" t="s">
        <v>6882</v>
      </c>
      <c r="F1758" t="s">
        <v>6882</v>
      </c>
      <c r="G1758" t="s">
        <v>6883</v>
      </c>
      <c r="H1758" t="s">
        <v>3489</v>
      </c>
      <c r="I1758" t="s">
        <v>3490</v>
      </c>
      <c r="J1758" s="56">
        <f t="shared" si="81"/>
        <v>46</v>
      </c>
      <c r="K1758" s="74" t="str">
        <f t="shared" si="82"/>
        <v>31-60 Days</v>
      </c>
      <c r="L1758" s="58" t="str">
        <f t="shared" si="83"/>
        <v>Not Applicable</v>
      </c>
    </row>
    <row r="1759" spans="1:12" ht="16.5" customHeight="1" x14ac:dyDescent="0.35">
      <c r="A1759" t="s">
        <v>763</v>
      </c>
      <c r="B1759" t="s">
        <v>763</v>
      </c>
      <c r="C1759">
        <v>0</v>
      </c>
      <c r="D1759">
        <v>768</v>
      </c>
      <c r="E1759" t="s">
        <v>6884</v>
      </c>
      <c r="F1759" t="s">
        <v>6885</v>
      </c>
      <c r="G1759" t="s">
        <v>6886</v>
      </c>
      <c r="H1759" t="s">
        <v>3532</v>
      </c>
      <c r="I1759" t="s">
        <v>3490</v>
      </c>
      <c r="J1759" s="56">
        <f t="shared" si="81"/>
        <v>46</v>
      </c>
      <c r="K1759" s="74" t="str">
        <f t="shared" si="82"/>
        <v>31-60 Days</v>
      </c>
      <c r="L1759" s="58" t="str">
        <f t="shared" si="83"/>
        <v>Not Applicable</v>
      </c>
    </row>
    <row r="1760" spans="1:12" ht="16.5" customHeight="1" x14ac:dyDescent="0.35">
      <c r="A1760" t="s">
        <v>763</v>
      </c>
      <c r="B1760" t="s">
        <v>763</v>
      </c>
      <c r="C1760">
        <v>0</v>
      </c>
      <c r="D1760">
        <v>712</v>
      </c>
      <c r="E1760" t="s">
        <v>6887</v>
      </c>
      <c r="F1760" t="s">
        <v>6888</v>
      </c>
      <c r="G1760" t="s">
        <v>6889</v>
      </c>
      <c r="H1760" t="s">
        <v>3532</v>
      </c>
      <c r="I1760" t="s">
        <v>3490</v>
      </c>
      <c r="J1760" s="56">
        <f t="shared" si="81"/>
        <v>46</v>
      </c>
      <c r="K1760" s="74" t="str">
        <f t="shared" si="82"/>
        <v>31-60 Days</v>
      </c>
      <c r="L1760" s="58" t="str">
        <f t="shared" si="83"/>
        <v>Not Applicable</v>
      </c>
    </row>
    <row r="1761" spans="1:12" ht="16.5" customHeight="1" x14ac:dyDescent="0.35">
      <c r="A1761" t="s">
        <v>763</v>
      </c>
      <c r="B1761" t="s">
        <v>763</v>
      </c>
      <c r="C1761">
        <v>0</v>
      </c>
      <c r="D1761">
        <v>1000</v>
      </c>
      <c r="E1761" t="s">
        <v>6890</v>
      </c>
      <c r="F1761" t="s">
        <v>6891</v>
      </c>
      <c r="G1761" t="s">
        <v>6892</v>
      </c>
      <c r="H1761" t="s">
        <v>3494</v>
      </c>
      <c r="I1761" t="s">
        <v>3490</v>
      </c>
      <c r="J1761" s="56">
        <f t="shared" si="81"/>
        <v>46</v>
      </c>
      <c r="K1761" s="74" t="str">
        <f t="shared" si="82"/>
        <v>31-60 Days</v>
      </c>
      <c r="L1761" s="58" t="str">
        <f t="shared" si="83"/>
        <v>Not Applicable</v>
      </c>
    </row>
    <row r="1762" spans="1:12" ht="16.5" customHeight="1" x14ac:dyDescent="0.35">
      <c r="A1762" t="s">
        <v>763</v>
      </c>
      <c r="B1762" t="s">
        <v>763</v>
      </c>
      <c r="C1762">
        <v>0</v>
      </c>
      <c r="D1762">
        <v>768</v>
      </c>
      <c r="E1762" t="s">
        <v>6893</v>
      </c>
      <c r="F1762" t="s">
        <v>6894</v>
      </c>
      <c r="G1762" t="s">
        <v>6895</v>
      </c>
      <c r="H1762" t="s">
        <v>3532</v>
      </c>
      <c r="I1762" t="s">
        <v>3490</v>
      </c>
      <c r="J1762" s="56">
        <f t="shared" si="81"/>
        <v>46</v>
      </c>
      <c r="K1762" s="74" t="str">
        <f t="shared" si="82"/>
        <v>31-60 Days</v>
      </c>
      <c r="L1762" s="58" t="str">
        <f t="shared" si="83"/>
        <v>Not Applicable</v>
      </c>
    </row>
    <row r="1763" spans="1:12" ht="16.5" customHeight="1" x14ac:dyDescent="0.35">
      <c r="A1763" t="s">
        <v>763</v>
      </c>
      <c r="B1763" t="s">
        <v>763</v>
      </c>
      <c r="C1763">
        <v>0</v>
      </c>
      <c r="D1763">
        <v>250</v>
      </c>
      <c r="E1763" t="s">
        <v>6896</v>
      </c>
      <c r="F1763" t="s">
        <v>6896</v>
      </c>
      <c r="G1763" t="s">
        <v>6897</v>
      </c>
      <c r="H1763" t="s">
        <v>3489</v>
      </c>
      <c r="I1763" t="s">
        <v>3490</v>
      </c>
      <c r="J1763" s="56">
        <f t="shared" si="81"/>
        <v>46</v>
      </c>
      <c r="K1763" s="74" t="str">
        <f t="shared" si="82"/>
        <v>31-60 Days</v>
      </c>
      <c r="L1763" s="58" t="str">
        <f t="shared" si="83"/>
        <v>Not Applicable</v>
      </c>
    </row>
    <row r="1764" spans="1:12" ht="16.5" customHeight="1" x14ac:dyDescent="0.35">
      <c r="A1764" t="s">
        <v>772</v>
      </c>
      <c r="B1764" t="s">
        <v>772</v>
      </c>
      <c r="C1764">
        <v>0</v>
      </c>
      <c r="D1764">
        <v>250</v>
      </c>
      <c r="E1764" t="s">
        <v>6898</v>
      </c>
      <c r="F1764" t="s">
        <v>3499</v>
      </c>
      <c r="G1764" t="s">
        <v>6899</v>
      </c>
      <c r="H1764" t="s">
        <v>3489</v>
      </c>
      <c r="I1764" t="s">
        <v>3490</v>
      </c>
      <c r="J1764" s="56">
        <f t="shared" si="81"/>
        <v>45</v>
      </c>
      <c r="K1764" s="74" t="str">
        <f t="shared" si="82"/>
        <v>31-60 Days</v>
      </c>
      <c r="L1764" s="58" t="str">
        <f t="shared" si="83"/>
        <v>Not Applicable</v>
      </c>
    </row>
    <row r="1765" spans="1:12" ht="16.5" customHeight="1" x14ac:dyDescent="0.35">
      <c r="A1765" t="s">
        <v>772</v>
      </c>
      <c r="B1765" t="s">
        <v>772</v>
      </c>
      <c r="C1765">
        <v>0</v>
      </c>
      <c r="D1765">
        <v>1000</v>
      </c>
      <c r="E1765" t="s">
        <v>6900</v>
      </c>
      <c r="F1765" t="s">
        <v>6900</v>
      </c>
      <c r="G1765" t="s">
        <v>6901</v>
      </c>
      <c r="H1765" t="s">
        <v>3489</v>
      </c>
      <c r="I1765" t="s">
        <v>3490</v>
      </c>
      <c r="J1765" s="56">
        <f t="shared" si="81"/>
        <v>45</v>
      </c>
      <c r="K1765" s="74" t="str">
        <f t="shared" si="82"/>
        <v>31-60 Days</v>
      </c>
      <c r="L1765" s="58" t="str">
        <f t="shared" si="83"/>
        <v>Not Applicable</v>
      </c>
    </row>
    <row r="1766" spans="1:12" ht="16.5" customHeight="1" x14ac:dyDescent="0.35">
      <c r="A1766" t="s">
        <v>772</v>
      </c>
      <c r="B1766" t="s">
        <v>772</v>
      </c>
      <c r="C1766">
        <v>0</v>
      </c>
      <c r="D1766">
        <v>240</v>
      </c>
      <c r="E1766" t="s">
        <v>6902</v>
      </c>
      <c r="F1766" t="s">
        <v>3499</v>
      </c>
      <c r="G1766" t="s">
        <v>6903</v>
      </c>
      <c r="H1766" t="s">
        <v>3489</v>
      </c>
      <c r="I1766" t="s">
        <v>3490</v>
      </c>
      <c r="J1766" s="56">
        <f t="shared" si="81"/>
        <v>45</v>
      </c>
      <c r="K1766" s="74" t="str">
        <f t="shared" si="82"/>
        <v>31-60 Days</v>
      </c>
      <c r="L1766" s="58" t="str">
        <f t="shared" si="83"/>
        <v>Not Applicable</v>
      </c>
    </row>
    <row r="1767" spans="1:12" ht="16.5" customHeight="1" x14ac:dyDescent="0.35">
      <c r="A1767" t="s">
        <v>772</v>
      </c>
      <c r="B1767" t="s">
        <v>772</v>
      </c>
      <c r="C1767">
        <v>0</v>
      </c>
      <c r="D1767">
        <v>50</v>
      </c>
      <c r="E1767" t="s">
        <v>6904</v>
      </c>
      <c r="F1767" t="s">
        <v>6905</v>
      </c>
      <c r="G1767" t="s">
        <v>6906</v>
      </c>
      <c r="H1767" t="s">
        <v>3532</v>
      </c>
      <c r="I1767" t="s">
        <v>3490</v>
      </c>
      <c r="J1767" s="56">
        <f t="shared" si="81"/>
        <v>45</v>
      </c>
      <c r="K1767" s="74" t="str">
        <f t="shared" si="82"/>
        <v>31-60 Days</v>
      </c>
      <c r="L1767" s="58" t="str">
        <f t="shared" si="83"/>
        <v>Not Applicable</v>
      </c>
    </row>
    <row r="1768" spans="1:12" ht="16.5" customHeight="1" x14ac:dyDescent="0.35">
      <c r="A1768" t="s">
        <v>772</v>
      </c>
      <c r="B1768" t="s">
        <v>772</v>
      </c>
      <c r="C1768">
        <v>0</v>
      </c>
      <c r="D1768">
        <v>250</v>
      </c>
      <c r="E1768" t="s">
        <v>6907</v>
      </c>
      <c r="F1768" t="s">
        <v>3499</v>
      </c>
      <c r="G1768" t="s">
        <v>6908</v>
      </c>
      <c r="H1768" t="s">
        <v>3489</v>
      </c>
      <c r="I1768" t="s">
        <v>3490</v>
      </c>
      <c r="J1768" s="56">
        <f t="shared" si="81"/>
        <v>45</v>
      </c>
      <c r="K1768" s="74" t="str">
        <f t="shared" si="82"/>
        <v>31-60 Days</v>
      </c>
      <c r="L1768" s="58" t="str">
        <f t="shared" si="83"/>
        <v>Not Applicable</v>
      </c>
    </row>
    <row r="1769" spans="1:12" ht="16.5" customHeight="1" x14ac:dyDescent="0.35">
      <c r="A1769" t="s">
        <v>772</v>
      </c>
      <c r="B1769" t="s">
        <v>772</v>
      </c>
      <c r="C1769">
        <v>0</v>
      </c>
      <c r="D1769">
        <v>2478</v>
      </c>
      <c r="E1769" t="s">
        <v>6909</v>
      </c>
      <c r="F1769" t="s">
        <v>3574</v>
      </c>
      <c r="G1769" t="s">
        <v>6910</v>
      </c>
      <c r="H1769" t="s">
        <v>3489</v>
      </c>
      <c r="I1769" t="s">
        <v>3490</v>
      </c>
      <c r="J1769" s="56">
        <f t="shared" si="81"/>
        <v>45</v>
      </c>
      <c r="K1769" s="74" t="str">
        <f t="shared" si="82"/>
        <v>31-60 Days</v>
      </c>
      <c r="L1769" s="58" t="str">
        <f t="shared" si="83"/>
        <v>Not Applicable</v>
      </c>
    </row>
    <row r="1770" spans="1:12" ht="16.5" customHeight="1" x14ac:dyDescent="0.35">
      <c r="A1770" t="s">
        <v>772</v>
      </c>
      <c r="B1770" t="s">
        <v>772</v>
      </c>
      <c r="C1770">
        <v>0</v>
      </c>
      <c r="D1770">
        <v>250</v>
      </c>
      <c r="E1770" t="s">
        <v>6911</v>
      </c>
      <c r="F1770" t="s">
        <v>3499</v>
      </c>
      <c r="G1770" t="s">
        <v>6912</v>
      </c>
      <c r="H1770" t="s">
        <v>3489</v>
      </c>
      <c r="I1770" t="s">
        <v>3490</v>
      </c>
      <c r="J1770" s="56">
        <f t="shared" si="81"/>
        <v>45</v>
      </c>
      <c r="K1770" s="74" t="str">
        <f t="shared" si="82"/>
        <v>31-60 Days</v>
      </c>
      <c r="L1770" s="58" t="str">
        <f t="shared" si="83"/>
        <v>Not Applicable</v>
      </c>
    </row>
    <row r="1771" spans="1:12" ht="16.5" customHeight="1" x14ac:dyDescent="0.35">
      <c r="A1771" t="s">
        <v>772</v>
      </c>
      <c r="B1771" t="s">
        <v>772</v>
      </c>
      <c r="C1771">
        <v>0</v>
      </c>
      <c r="D1771">
        <v>600</v>
      </c>
      <c r="E1771" t="s">
        <v>6913</v>
      </c>
      <c r="F1771" t="s">
        <v>6913</v>
      </c>
      <c r="G1771" t="s">
        <v>6914</v>
      </c>
      <c r="H1771" t="s">
        <v>3489</v>
      </c>
      <c r="I1771" t="s">
        <v>3490</v>
      </c>
      <c r="J1771" s="56">
        <f t="shared" si="81"/>
        <v>45</v>
      </c>
      <c r="K1771" s="74" t="str">
        <f t="shared" si="82"/>
        <v>31-60 Days</v>
      </c>
      <c r="L1771" s="58" t="str">
        <f t="shared" si="83"/>
        <v>Not Applicable</v>
      </c>
    </row>
    <row r="1772" spans="1:12" ht="16.5" customHeight="1" x14ac:dyDescent="0.35">
      <c r="A1772" t="s">
        <v>772</v>
      </c>
      <c r="B1772" t="s">
        <v>772</v>
      </c>
      <c r="C1772">
        <v>0</v>
      </c>
      <c r="D1772">
        <v>2435</v>
      </c>
      <c r="E1772" t="s">
        <v>6915</v>
      </c>
      <c r="F1772" t="s">
        <v>3574</v>
      </c>
      <c r="G1772" t="s">
        <v>6916</v>
      </c>
      <c r="H1772" t="s">
        <v>3489</v>
      </c>
      <c r="I1772" t="s">
        <v>3490</v>
      </c>
      <c r="J1772" s="56">
        <f t="shared" si="81"/>
        <v>45</v>
      </c>
      <c r="K1772" s="74" t="str">
        <f t="shared" si="82"/>
        <v>31-60 Days</v>
      </c>
      <c r="L1772" s="58" t="str">
        <f t="shared" si="83"/>
        <v>Not Applicable</v>
      </c>
    </row>
    <row r="1773" spans="1:12" ht="16.5" customHeight="1" x14ac:dyDescent="0.35">
      <c r="A1773" t="s">
        <v>772</v>
      </c>
      <c r="B1773" t="s">
        <v>772</v>
      </c>
      <c r="C1773">
        <v>0</v>
      </c>
      <c r="D1773">
        <v>1812</v>
      </c>
      <c r="E1773" t="s">
        <v>6917</v>
      </c>
      <c r="F1773" t="s">
        <v>3574</v>
      </c>
      <c r="G1773" t="s">
        <v>6918</v>
      </c>
      <c r="H1773" t="s">
        <v>3489</v>
      </c>
      <c r="I1773" t="s">
        <v>3490</v>
      </c>
      <c r="J1773" s="56">
        <f t="shared" si="81"/>
        <v>45</v>
      </c>
      <c r="K1773" s="74" t="str">
        <f t="shared" si="82"/>
        <v>31-60 Days</v>
      </c>
      <c r="L1773" s="58" t="str">
        <f t="shared" si="83"/>
        <v>Not Applicable</v>
      </c>
    </row>
    <row r="1774" spans="1:12" ht="16.5" customHeight="1" x14ac:dyDescent="0.35">
      <c r="A1774" t="s">
        <v>772</v>
      </c>
      <c r="B1774" t="s">
        <v>772</v>
      </c>
      <c r="C1774">
        <v>0</v>
      </c>
      <c r="D1774">
        <v>100</v>
      </c>
      <c r="E1774" t="s">
        <v>6919</v>
      </c>
      <c r="F1774" t="s">
        <v>6919</v>
      </c>
      <c r="G1774" t="s">
        <v>6920</v>
      </c>
      <c r="H1774" t="s">
        <v>3489</v>
      </c>
      <c r="I1774" t="s">
        <v>3490</v>
      </c>
      <c r="J1774" s="56">
        <f t="shared" si="81"/>
        <v>45</v>
      </c>
      <c r="K1774" s="74" t="str">
        <f t="shared" si="82"/>
        <v>31-60 Days</v>
      </c>
      <c r="L1774" s="58" t="str">
        <f t="shared" si="83"/>
        <v>Not Applicable</v>
      </c>
    </row>
    <row r="1775" spans="1:12" ht="16.5" customHeight="1" x14ac:dyDescent="0.35">
      <c r="A1775" t="s">
        <v>772</v>
      </c>
      <c r="B1775" t="s">
        <v>772</v>
      </c>
      <c r="C1775">
        <v>0</v>
      </c>
      <c r="D1775">
        <v>490000</v>
      </c>
      <c r="E1775" t="s">
        <v>6921</v>
      </c>
      <c r="F1775" t="s">
        <v>6921</v>
      </c>
      <c r="G1775" t="s">
        <v>6922</v>
      </c>
      <c r="H1775" t="s">
        <v>3489</v>
      </c>
      <c r="I1775" t="s">
        <v>3490</v>
      </c>
      <c r="J1775" s="56">
        <f t="shared" si="81"/>
        <v>45</v>
      </c>
      <c r="K1775" s="74" t="str">
        <f t="shared" si="82"/>
        <v>31-60 Days</v>
      </c>
      <c r="L1775" s="58" t="str">
        <f t="shared" si="83"/>
        <v>Not Applicable</v>
      </c>
    </row>
    <row r="1776" spans="1:12" ht="16.5" customHeight="1" x14ac:dyDescent="0.35">
      <c r="A1776" t="s">
        <v>772</v>
      </c>
      <c r="B1776" t="s">
        <v>772</v>
      </c>
      <c r="C1776">
        <v>0</v>
      </c>
      <c r="D1776">
        <v>250</v>
      </c>
      <c r="E1776" t="s">
        <v>6923</v>
      </c>
      <c r="F1776" t="s">
        <v>6924</v>
      </c>
      <c r="G1776" t="s">
        <v>6925</v>
      </c>
      <c r="H1776" t="s">
        <v>3532</v>
      </c>
      <c r="I1776" t="s">
        <v>3490</v>
      </c>
      <c r="J1776" s="56">
        <f t="shared" si="81"/>
        <v>45</v>
      </c>
      <c r="K1776" s="74" t="str">
        <f t="shared" si="82"/>
        <v>31-60 Days</v>
      </c>
      <c r="L1776" s="58" t="str">
        <f t="shared" si="83"/>
        <v>Not Applicable</v>
      </c>
    </row>
    <row r="1777" spans="1:12" ht="16.5" customHeight="1" x14ac:dyDescent="0.35">
      <c r="A1777" t="s">
        <v>772</v>
      </c>
      <c r="B1777" t="s">
        <v>772</v>
      </c>
      <c r="C1777">
        <v>0</v>
      </c>
      <c r="D1777">
        <v>250</v>
      </c>
      <c r="E1777" t="s">
        <v>6926</v>
      </c>
      <c r="F1777" t="s">
        <v>6926</v>
      </c>
      <c r="G1777" t="s">
        <v>6927</v>
      </c>
      <c r="H1777" t="s">
        <v>3489</v>
      </c>
      <c r="I1777" t="s">
        <v>3490</v>
      </c>
      <c r="J1777" s="56">
        <f t="shared" si="81"/>
        <v>45</v>
      </c>
      <c r="K1777" s="74" t="str">
        <f t="shared" si="82"/>
        <v>31-60 Days</v>
      </c>
      <c r="L1777" s="58" t="str">
        <f t="shared" si="83"/>
        <v>Not Applicable</v>
      </c>
    </row>
    <row r="1778" spans="1:12" ht="16.5" customHeight="1" x14ac:dyDescent="0.35">
      <c r="A1778" t="s">
        <v>772</v>
      </c>
      <c r="B1778" t="s">
        <v>772</v>
      </c>
      <c r="C1778">
        <v>0</v>
      </c>
      <c r="D1778">
        <v>30</v>
      </c>
      <c r="E1778" t="s">
        <v>6928</v>
      </c>
      <c r="F1778" t="s">
        <v>6928</v>
      </c>
      <c r="G1778" t="s">
        <v>6929</v>
      </c>
      <c r="H1778" t="s">
        <v>3489</v>
      </c>
      <c r="I1778" t="s">
        <v>3490</v>
      </c>
      <c r="J1778" s="56">
        <f t="shared" si="81"/>
        <v>45</v>
      </c>
      <c r="K1778" s="74" t="str">
        <f t="shared" si="82"/>
        <v>31-60 Days</v>
      </c>
      <c r="L1778" s="58" t="str">
        <f t="shared" si="83"/>
        <v>Not Applicable</v>
      </c>
    </row>
    <row r="1779" spans="1:12" ht="16.5" customHeight="1" x14ac:dyDescent="0.35">
      <c r="A1779" t="s">
        <v>772</v>
      </c>
      <c r="B1779" t="s">
        <v>772</v>
      </c>
      <c r="C1779">
        <v>0</v>
      </c>
      <c r="D1779">
        <v>177</v>
      </c>
      <c r="E1779" t="s">
        <v>6930</v>
      </c>
      <c r="F1779" t="s">
        <v>3574</v>
      </c>
      <c r="G1779" t="s">
        <v>6931</v>
      </c>
      <c r="H1779" t="s">
        <v>3489</v>
      </c>
      <c r="I1779" t="s">
        <v>3490</v>
      </c>
      <c r="J1779" s="56">
        <f t="shared" si="81"/>
        <v>45</v>
      </c>
      <c r="K1779" s="74" t="str">
        <f t="shared" si="82"/>
        <v>31-60 Days</v>
      </c>
      <c r="L1779" s="58" t="str">
        <f t="shared" si="83"/>
        <v>Not Applicable</v>
      </c>
    </row>
    <row r="1780" spans="1:12" ht="16.5" customHeight="1" x14ac:dyDescent="0.35">
      <c r="A1780" t="s">
        <v>772</v>
      </c>
      <c r="B1780" t="s">
        <v>772</v>
      </c>
      <c r="C1780">
        <v>0</v>
      </c>
      <c r="D1780">
        <v>1000</v>
      </c>
      <c r="E1780" t="s">
        <v>6932</v>
      </c>
      <c r="F1780" t="s">
        <v>6932</v>
      </c>
      <c r="G1780" t="s">
        <v>6933</v>
      </c>
      <c r="H1780" t="s">
        <v>3489</v>
      </c>
      <c r="I1780" t="s">
        <v>3490</v>
      </c>
      <c r="J1780" s="56">
        <f t="shared" si="81"/>
        <v>45</v>
      </c>
      <c r="K1780" s="74" t="str">
        <f t="shared" si="82"/>
        <v>31-60 Days</v>
      </c>
      <c r="L1780" s="58" t="str">
        <f t="shared" si="83"/>
        <v>Not Applicable</v>
      </c>
    </row>
    <row r="1781" spans="1:12" ht="16.5" customHeight="1" x14ac:dyDescent="0.35">
      <c r="A1781" t="s">
        <v>772</v>
      </c>
      <c r="B1781" t="s">
        <v>772</v>
      </c>
      <c r="C1781">
        <v>1000000</v>
      </c>
      <c r="D1781">
        <v>0</v>
      </c>
      <c r="E1781" t="s">
        <v>6934</v>
      </c>
      <c r="F1781" t="s">
        <v>6934</v>
      </c>
      <c r="G1781" t="s">
        <v>6935</v>
      </c>
      <c r="H1781" t="s">
        <v>3455</v>
      </c>
      <c r="I1781" t="s">
        <v>3490</v>
      </c>
      <c r="J1781" s="56">
        <f t="shared" si="81"/>
        <v>45</v>
      </c>
      <c r="K1781" s="74" t="str">
        <f t="shared" si="82"/>
        <v>31-60 Days</v>
      </c>
      <c r="L1781" s="58" t="str">
        <f t="shared" si="83"/>
        <v>Especially Mentioned</v>
      </c>
    </row>
    <row r="1782" spans="1:12" ht="16.5" customHeight="1" x14ac:dyDescent="0.35">
      <c r="A1782" t="s">
        <v>772</v>
      </c>
      <c r="B1782" t="s">
        <v>772</v>
      </c>
      <c r="C1782">
        <v>0</v>
      </c>
      <c r="D1782">
        <v>1000</v>
      </c>
      <c r="E1782" t="s">
        <v>6936</v>
      </c>
      <c r="F1782" t="s">
        <v>3574</v>
      </c>
      <c r="G1782" t="s">
        <v>6937</v>
      </c>
      <c r="H1782" t="s">
        <v>3489</v>
      </c>
      <c r="I1782" t="s">
        <v>3490</v>
      </c>
      <c r="J1782" s="56">
        <f t="shared" si="81"/>
        <v>45</v>
      </c>
      <c r="K1782" s="74" t="str">
        <f t="shared" si="82"/>
        <v>31-60 Days</v>
      </c>
      <c r="L1782" s="58" t="str">
        <f t="shared" si="83"/>
        <v>Not Applicable</v>
      </c>
    </row>
    <row r="1783" spans="1:12" ht="16.5" customHeight="1" x14ac:dyDescent="0.35">
      <c r="A1783" t="s">
        <v>772</v>
      </c>
      <c r="B1783" t="s">
        <v>772</v>
      </c>
      <c r="C1783">
        <v>0</v>
      </c>
      <c r="D1783">
        <v>2919</v>
      </c>
      <c r="E1783" t="s">
        <v>6938</v>
      </c>
      <c r="F1783" t="s">
        <v>3574</v>
      </c>
      <c r="G1783" t="s">
        <v>6939</v>
      </c>
      <c r="H1783" t="s">
        <v>3489</v>
      </c>
      <c r="I1783" t="s">
        <v>3490</v>
      </c>
      <c r="J1783" s="56">
        <f t="shared" si="81"/>
        <v>45</v>
      </c>
      <c r="K1783" s="74" t="str">
        <f t="shared" si="82"/>
        <v>31-60 Days</v>
      </c>
      <c r="L1783" s="58" t="str">
        <f t="shared" si="83"/>
        <v>Not Applicable</v>
      </c>
    </row>
    <row r="1784" spans="1:12" ht="16.5" customHeight="1" x14ac:dyDescent="0.35">
      <c r="A1784" t="s">
        <v>772</v>
      </c>
      <c r="B1784" t="s">
        <v>772</v>
      </c>
      <c r="C1784">
        <v>0</v>
      </c>
      <c r="D1784">
        <v>240</v>
      </c>
      <c r="E1784" t="s">
        <v>6940</v>
      </c>
      <c r="F1784" t="s">
        <v>6274</v>
      </c>
      <c r="G1784" t="s">
        <v>6941</v>
      </c>
      <c r="H1784" t="s">
        <v>3489</v>
      </c>
      <c r="I1784" t="s">
        <v>3486</v>
      </c>
      <c r="J1784" s="56">
        <f t="shared" si="81"/>
        <v>45</v>
      </c>
      <c r="K1784" s="74" t="str">
        <f t="shared" si="82"/>
        <v>31-60 Days</v>
      </c>
      <c r="L1784" s="58" t="str">
        <f t="shared" si="83"/>
        <v>Not Applicable</v>
      </c>
    </row>
    <row r="1785" spans="1:12" ht="16.5" customHeight="1" x14ac:dyDescent="0.35">
      <c r="A1785" t="s">
        <v>772</v>
      </c>
      <c r="B1785" t="s">
        <v>772</v>
      </c>
      <c r="C1785">
        <v>0</v>
      </c>
      <c r="D1785">
        <v>240</v>
      </c>
      <c r="E1785" t="s">
        <v>6942</v>
      </c>
      <c r="F1785" t="s">
        <v>6942</v>
      </c>
      <c r="G1785" t="s">
        <v>6943</v>
      </c>
      <c r="H1785" t="s">
        <v>3489</v>
      </c>
      <c r="I1785" t="s">
        <v>3490</v>
      </c>
      <c r="J1785" s="56">
        <f t="shared" si="81"/>
        <v>45</v>
      </c>
      <c r="K1785" s="74" t="str">
        <f t="shared" si="82"/>
        <v>31-60 Days</v>
      </c>
      <c r="L1785" s="58" t="str">
        <f t="shared" si="83"/>
        <v>Not Applicable</v>
      </c>
    </row>
    <row r="1786" spans="1:12" ht="16.5" customHeight="1" x14ac:dyDescent="0.35">
      <c r="A1786" t="s">
        <v>772</v>
      </c>
      <c r="B1786" t="s">
        <v>772</v>
      </c>
      <c r="C1786">
        <v>0</v>
      </c>
      <c r="D1786">
        <v>280</v>
      </c>
      <c r="E1786" t="s">
        <v>6944</v>
      </c>
      <c r="F1786" t="s">
        <v>6944</v>
      </c>
      <c r="G1786" t="s">
        <v>6945</v>
      </c>
      <c r="H1786" t="s">
        <v>3489</v>
      </c>
      <c r="I1786" t="s">
        <v>3490</v>
      </c>
      <c r="J1786" s="56">
        <f t="shared" si="81"/>
        <v>45</v>
      </c>
      <c r="K1786" s="74" t="str">
        <f t="shared" si="82"/>
        <v>31-60 Days</v>
      </c>
      <c r="L1786" s="58" t="str">
        <f t="shared" si="83"/>
        <v>Not Applicable</v>
      </c>
    </row>
    <row r="1787" spans="1:12" ht="16.5" customHeight="1" x14ac:dyDescent="0.35">
      <c r="A1787" t="s">
        <v>772</v>
      </c>
      <c r="B1787" t="s">
        <v>772</v>
      </c>
      <c r="C1787">
        <v>0</v>
      </c>
      <c r="D1787">
        <v>1000</v>
      </c>
      <c r="E1787" t="s">
        <v>6946</v>
      </c>
      <c r="F1787" t="s">
        <v>6946</v>
      </c>
      <c r="G1787" t="s">
        <v>6947</v>
      </c>
      <c r="H1787" t="s">
        <v>3532</v>
      </c>
      <c r="I1787" t="s">
        <v>3490</v>
      </c>
      <c r="J1787" s="56">
        <f t="shared" si="81"/>
        <v>45</v>
      </c>
      <c r="K1787" s="74" t="str">
        <f t="shared" si="82"/>
        <v>31-60 Days</v>
      </c>
      <c r="L1787" s="58" t="str">
        <f t="shared" si="83"/>
        <v>Not Applicable</v>
      </c>
    </row>
    <row r="1788" spans="1:12" ht="16.5" customHeight="1" x14ac:dyDescent="0.35">
      <c r="A1788" t="s">
        <v>772</v>
      </c>
      <c r="B1788" t="s">
        <v>772</v>
      </c>
      <c r="C1788">
        <v>0</v>
      </c>
      <c r="D1788">
        <v>100</v>
      </c>
      <c r="E1788" t="s">
        <v>6948</v>
      </c>
      <c r="F1788" t="s">
        <v>6948</v>
      </c>
      <c r="G1788" t="s">
        <v>6949</v>
      </c>
      <c r="H1788" t="s">
        <v>3489</v>
      </c>
      <c r="I1788" t="s">
        <v>3490</v>
      </c>
      <c r="J1788" s="56">
        <f t="shared" si="81"/>
        <v>45</v>
      </c>
      <c r="K1788" s="74" t="str">
        <f t="shared" si="82"/>
        <v>31-60 Days</v>
      </c>
      <c r="L1788" s="58" t="str">
        <f t="shared" si="83"/>
        <v>Not Applicable</v>
      </c>
    </row>
    <row r="1789" spans="1:12" ht="16.5" customHeight="1" x14ac:dyDescent="0.35">
      <c r="A1789" t="s">
        <v>772</v>
      </c>
      <c r="B1789" t="s">
        <v>772</v>
      </c>
      <c r="C1789">
        <v>0</v>
      </c>
      <c r="D1789">
        <v>1000</v>
      </c>
      <c r="E1789" t="s">
        <v>6950</v>
      </c>
      <c r="F1789" t="s">
        <v>6950</v>
      </c>
      <c r="G1789" t="s">
        <v>6951</v>
      </c>
      <c r="H1789" t="s">
        <v>3532</v>
      </c>
      <c r="I1789" t="s">
        <v>3490</v>
      </c>
      <c r="J1789" s="56">
        <f t="shared" si="81"/>
        <v>45</v>
      </c>
      <c r="K1789" s="74" t="str">
        <f t="shared" si="82"/>
        <v>31-60 Days</v>
      </c>
      <c r="L1789" s="58" t="str">
        <f t="shared" si="83"/>
        <v>Not Applicable</v>
      </c>
    </row>
    <row r="1790" spans="1:12" ht="16.5" customHeight="1" x14ac:dyDescent="0.35">
      <c r="A1790" t="s">
        <v>772</v>
      </c>
      <c r="B1790" t="s">
        <v>772</v>
      </c>
      <c r="C1790">
        <v>0</v>
      </c>
      <c r="D1790">
        <v>57927.5</v>
      </c>
      <c r="E1790" t="s">
        <v>6952</v>
      </c>
      <c r="F1790" t="s">
        <v>6952</v>
      </c>
      <c r="G1790" t="s">
        <v>6953</v>
      </c>
      <c r="H1790" t="s">
        <v>3489</v>
      </c>
      <c r="I1790" t="s">
        <v>3490</v>
      </c>
      <c r="J1790" s="56">
        <f t="shared" si="81"/>
        <v>45</v>
      </c>
      <c r="K1790" s="74" t="str">
        <f t="shared" si="82"/>
        <v>31-60 Days</v>
      </c>
      <c r="L1790" s="58" t="str">
        <f t="shared" si="83"/>
        <v>Not Applicable</v>
      </c>
    </row>
    <row r="1791" spans="1:12" ht="16.5" customHeight="1" x14ac:dyDescent="0.35">
      <c r="A1791" t="s">
        <v>772</v>
      </c>
      <c r="B1791" t="s">
        <v>772</v>
      </c>
      <c r="C1791">
        <v>0</v>
      </c>
      <c r="D1791">
        <v>2050</v>
      </c>
      <c r="E1791" t="s">
        <v>6954</v>
      </c>
      <c r="F1791" t="s">
        <v>6954</v>
      </c>
      <c r="G1791" t="s">
        <v>6955</v>
      </c>
      <c r="H1791" t="s">
        <v>3532</v>
      </c>
      <c r="I1791" t="s">
        <v>3490</v>
      </c>
      <c r="J1791" s="56">
        <f t="shared" si="81"/>
        <v>45</v>
      </c>
      <c r="K1791" s="74" t="str">
        <f t="shared" si="82"/>
        <v>31-60 Days</v>
      </c>
      <c r="L1791" s="58" t="str">
        <f t="shared" si="83"/>
        <v>Not Applicable</v>
      </c>
    </row>
    <row r="1792" spans="1:12" ht="16.5" customHeight="1" x14ac:dyDescent="0.35">
      <c r="A1792" t="s">
        <v>772</v>
      </c>
      <c r="B1792" t="s">
        <v>772</v>
      </c>
      <c r="C1792">
        <v>0</v>
      </c>
      <c r="D1792">
        <v>1000</v>
      </c>
      <c r="E1792" t="s">
        <v>6956</v>
      </c>
      <c r="F1792" t="s">
        <v>6956</v>
      </c>
      <c r="G1792" t="s">
        <v>6957</v>
      </c>
      <c r="H1792" t="s">
        <v>3532</v>
      </c>
      <c r="I1792" t="s">
        <v>3490</v>
      </c>
      <c r="J1792" s="56">
        <f t="shared" si="81"/>
        <v>45</v>
      </c>
      <c r="K1792" s="74" t="str">
        <f t="shared" si="82"/>
        <v>31-60 Days</v>
      </c>
      <c r="L1792" s="58" t="str">
        <f t="shared" si="83"/>
        <v>Not Applicable</v>
      </c>
    </row>
    <row r="1793" spans="1:12" ht="16.5" customHeight="1" x14ac:dyDescent="0.35">
      <c r="A1793" t="s">
        <v>772</v>
      </c>
      <c r="B1793" t="s">
        <v>772</v>
      </c>
      <c r="C1793">
        <v>0</v>
      </c>
      <c r="D1793">
        <v>3542</v>
      </c>
      <c r="E1793" t="s">
        <v>6958</v>
      </c>
      <c r="F1793" t="s">
        <v>3574</v>
      </c>
      <c r="G1793" t="s">
        <v>6959</v>
      </c>
      <c r="H1793" t="s">
        <v>3489</v>
      </c>
      <c r="I1793" t="s">
        <v>3490</v>
      </c>
      <c r="J1793" s="56">
        <f t="shared" si="81"/>
        <v>45</v>
      </c>
      <c r="K1793" s="74" t="str">
        <f t="shared" si="82"/>
        <v>31-60 Days</v>
      </c>
      <c r="L1793" s="58" t="str">
        <f t="shared" si="83"/>
        <v>Not Applicable</v>
      </c>
    </row>
    <row r="1794" spans="1:12" ht="16.5" customHeight="1" x14ac:dyDescent="0.35">
      <c r="A1794" t="s">
        <v>772</v>
      </c>
      <c r="B1794" t="s">
        <v>772</v>
      </c>
      <c r="C1794">
        <v>9000</v>
      </c>
      <c r="D1794">
        <v>0</v>
      </c>
      <c r="E1794" t="s">
        <v>6960</v>
      </c>
      <c r="F1794" t="s">
        <v>6960</v>
      </c>
      <c r="G1794" t="s">
        <v>6961</v>
      </c>
      <c r="H1794" t="s">
        <v>3878</v>
      </c>
      <c r="I1794" t="s">
        <v>3507</v>
      </c>
      <c r="J1794" s="56">
        <f t="shared" si="81"/>
        <v>45</v>
      </c>
      <c r="K1794" s="74" t="str">
        <f t="shared" si="82"/>
        <v>31-60 Days</v>
      </c>
      <c r="L1794" s="58" t="str">
        <f t="shared" si="83"/>
        <v>Especially Mentioned</v>
      </c>
    </row>
    <row r="1795" spans="1:12" ht="16.5" customHeight="1" x14ac:dyDescent="0.35">
      <c r="A1795" t="s">
        <v>772</v>
      </c>
      <c r="B1795" t="s">
        <v>772</v>
      </c>
      <c r="C1795">
        <v>0</v>
      </c>
      <c r="D1795">
        <v>140</v>
      </c>
      <c r="E1795" t="s">
        <v>6962</v>
      </c>
      <c r="F1795" t="s">
        <v>6962</v>
      </c>
      <c r="G1795" t="s">
        <v>6963</v>
      </c>
      <c r="H1795" t="s">
        <v>3532</v>
      </c>
      <c r="I1795" t="s">
        <v>3490</v>
      </c>
      <c r="J1795" s="56">
        <f t="shared" si="81"/>
        <v>45</v>
      </c>
      <c r="K1795" s="74" t="str">
        <f t="shared" si="82"/>
        <v>31-60 Days</v>
      </c>
      <c r="L1795" s="58" t="str">
        <f t="shared" si="83"/>
        <v>Not Applicable</v>
      </c>
    </row>
    <row r="1796" spans="1:12" ht="16.5" customHeight="1" x14ac:dyDescent="0.35">
      <c r="A1796" t="s">
        <v>772</v>
      </c>
      <c r="B1796" t="s">
        <v>772</v>
      </c>
      <c r="C1796">
        <v>0</v>
      </c>
      <c r="D1796">
        <v>1000</v>
      </c>
      <c r="E1796" t="s">
        <v>6964</v>
      </c>
      <c r="F1796" t="s">
        <v>6965</v>
      </c>
      <c r="G1796" t="s">
        <v>6966</v>
      </c>
      <c r="H1796" t="s">
        <v>3489</v>
      </c>
      <c r="I1796" t="s">
        <v>3490</v>
      </c>
      <c r="J1796" s="56">
        <f t="shared" si="81"/>
        <v>45</v>
      </c>
      <c r="K1796" s="74" t="str">
        <f t="shared" si="82"/>
        <v>31-60 Days</v>
      </c>
      <c r="L1796" s="58" t="str">
        <f t="shared" si="83"/>
        <v>Not Applicable</v>
      </c>
    </row>
    <row r="1797" spans="1:12" ht="16.5" customHeight="1" x14ac:dyDescent="0.35">
      <c r="A1797" t="s">
        <v>772</v>
      </c>
      <c r="B1797" t="s">
        <v>772</v>
      </c>
      <c r="C1797">
        <v>0</v>
      </c>
      <c r="D1797">
        <v>1000</v>
      </c>
      <c r="E1797" t="s">
        <v>6967</v>
      </c>
      <c r="F1797" t="s">
        <v>6967</v>
      </c>
      <c r="G1797" t="s">
        <v>6968</v>
      </c>
      <c r="H1797" t="s">
        <v>3489</v>
      </c>
      <c r="I1797" t="s">
        <v>3490</v>
      </c>
      <c r="J1797" s="56">
        <f t="shared" si="81"/>
        <v>45</v>
      </c>
      <c r="K1797" s="74" t="str">
        <f t="shared" si="82"/>
        <v>31-60 Days</v>
      </c>
      <c r="L1797" s="58" t="str">
        <f t="shared" si="83"/>
        <v>Not Applicable</v>
      </c>
    </row>
    <row r="1798" spans="1:12" ht="16.5" customHeight="1" x14ac:dyDescent="0.35">
      <c r="A1798" t="s">
        <v>772</v>
      </c>
      <c r="B1798" t="s">
        <v>772</v>
      </c>
      <c r="C1798">
        <v>0</v>
      </c>
      <c r="D1798">
        <v>15000</v>
      </c>
      <c r="E1798" t="s">
        <v>6969</v>
      </c>
      <c r="F1798" t="s">
        <v>3499</v>
      </c>
      <c r="G1798" t="s">
        <v>6970</v>
      </c>
      <c r="H1798" t="s">
        <v>3489</v>
      </c>
      <c r="I1798" t="s">
        <v>3490</v>
      </c>
      <c r="J1798" s="56">
        <f t="shared" si="81"/>
        <v>45</v>
      </c>
      <c r="K1798" s="74" t="str">
        <f t="shared" si="82"/>
        <v>31-60 Days</v>
      </c>
      <c r="L1798" s="58" t="str">
        <f t="shared" si="83"/>
        <v>Not Applicable</v>
      </c>
    </row>
    <row r="1799" spans="1:12" ht="16.5" customHeight="1" x14ac:dyDescent="0.35">
      <c r="A1799" t="s">
        <v>793</v>
      </c>
      <c r="B1799" t="s">
        <v>793</v>
      </c>
      <c r="C1799">
        <v>0</v>
      </c>
      <c r="D1799">
        <v>722</v>
      </c>
      <c r="E1799" t="s">
        <v>6971</v>
      </c>
      <c r="F1799" t="s">
        <v>6971</v>
      </c>
      <c r="G1799" t="s">
        <v>6972</v>
      </c>
      <c r="H1799" t="s">
        <v>3489</v>
      </c>
      <c r="I1799" t="s">
        <v>3490</v>
      </c>
      <c r="J1799" s="56">
        <f t="shared" si="81"/>
        <v>44</v>
      </c>
      <c r="K1799" s="74" t="str">
        <f t="shared" si="82"/>
        <v>31-60 Days</v>
      </c>
      <c r="L1799" s="58" t="str">
        <f t="shared" si="83"/>
        <v>Not Applicable</v>
      </c>
    </row>
    <row r="1800" spans="1:12" ht="16.5" customHeight="1" x14ac:dyDescent="0.35">
      <c r="A1800" t="s">
        <v>793</v>
      </c>
      <c r="B1800" t="s">
        <v>793</v>
      </c>
      <c r="C1800">
        <v>0</v>
      </c>
      <c r="D1800">
        <v>100</v>
      </c>
      <c r="E1800" t="s">
        <v>6973</v>
      </c>
      <c r="F1800" t="s">
        <v>6974</v>
      </c>
      <c r="G1800" t="s">
        <v>6975</v>
      </c>
      <c r="H1800" t="s">
        <v>3532</v>
      </c>
      <c r="I1800" t="s">
        <v>3490</v>
      </c>
      <c r="J1800" s="56">
        <f t="shared" si="81"/>
        <v>44</v>
      </c>
      <c r="K1800" s="74" t="str">
        <f t="shared" si="82"/>
        <v>31-60 Days</v>
      </c>
      <c r="L1800" s="58" t="str">
        <f t="shared" si="83"/>
        <v>Not Applicable</v>
      </c>
    </row>
    <row r="1801" spans="1:12" ht="16.5" customHeight="1" x14ac:dyDescent="0.35">
      <c r="A1801" t="s">
        <v>793</v>
      </c>
      <c r="B1801" t="s">
        <v>793</v>
      </c>
      <c r="C1801">
        <v>0</v>
      </c>
      <c r="D1801">
        <v>1000</v>
      </c>
      <c r="E1801" t="s">
        <v>6976</v>
      </c>
      <c r="F1801" t="s">
        <v>6977</v>
      </c>
      <c r="G1801" t="s">
        <v>6978</v>
      </c>
      <c r="H1801" t="s">
        <v>3489</v>
      </c>
      <c r="I1801" t="s">
        <v>3490</v>
      </c>
      <c r="J1801" s="56">
        <f t="shared" ref="J1801:J1864" si="84">IF(A1801="","",A$5-A1801)</f>
        <v>44</v>
      </c>
      <c r="K1801" s="74" t="str">
        <f t="shared" ref="K1801:K1864" si="85">IF(J1801="","",IF(J1801&lt;4,"0-3 Days",IF(J1801&lt;31,"4-30 Days",IF(J1801&lt;61,"31-60 Days",IF(J1801&lt;=90,"61-90 Days",IF(J1801&gt;90,"Above 90 Days","0"))))))</f>
        <v>31-60 Days</v>
      </c>
      <c r="L1801" s="58" t="str">
        <f t="shared" ref="L1801:L1864" si="86">IF(C1801="","",IF(C1801&gt;0,IF(J1801&lt;30,"Normal",IF(J1801&lt;60,"Especially Mentioned",IF(J1801&lt;90,"Substandard",IF(J1801&lt;=180,"Doubtful",IF(J1801&gt;180,"Loss","0"))))),"Not Applicable"))</f>
        <v>Not Applicable</v>
      </c>
    </row>
    <row r="1802" spans="1:12" ht="16.5" customHeight="1" x14ac:dyDescent="0.35">
      <c r="A1802" t="s">
        <v>793</v>
      </c>
      <c r="B1802" t="s">
        <v>793</v>
      </c>
      <c r="C1802">
        <v>0</v>
      </c>
      <c r="D1802">
        <v>200</v>
      </c>
      <c r="E1802" t="s">
        <v>6979</v>
      </c>
      <c r="F1802" t="s">
        <v>6979</v>
      </c>
      <c r="G1802" t="s">
        <v>6980</v>
      </c>
      <c r="H1802" t="s">
        <v>3489</v>
      </c>
      <c r="I1802" t="s">
        <v>3490</v>
      </c>
      <c r="J1802" s="56">
        <f t="shared" si="84"/>
        <v>44</v>
      </c>
      <c r="K1802" s="74" t="str">
        <f t="shared" si="85"/>
        <v>31-60 Days</v>
      </c>
      <c r="L1802" s="58" t="str">
        <f t="shared" si="86"/>
        <v>Not Applicable</v>
      </c>
    </row>
    <row r="1803" spans="1:12" ht="16.5" customHeight="1" x14ac:dyDescent="0.35">
      <c r="A1803" t="s">
        <v>793</v>
      </c>
      <c r="B1803" t="s">
        <v>793</v>
      </c>
      <c r="C1803">
        <v>0</v>
      </c>
      <c r="D1803">
        <v>110</v>
      </c>
      <c r="E1803" t="s">
        <v>6981</v>
      </c>
      <c r="F1803" t="s">
        <v>6981</v>
      </c>
      <c r="G1803" t="s">
        <v>6982</v>
      </c>
      <c r="H1803" t="s">
        <v>3489</v>
      </c>
      <c r="I1803" t="s">
        <v>3490</v>
      </c>
      <c r="J1803" s="56">
        <f t="shared" si="84"/>
        <v>44</v>
      </c>
      <c r="K1803" s="74" t="str">
        <f t="shared" si="85"/>
        <v>31-60 Days</v>
      </c>
      <c r="L1803" s="58" t="str">
        <f t="shared" si="86"/>
        <v>Not Applicable</v>
      </c>
    </row>
    <row r="1804" spans="1:12" ht="16.5" customHeight="1" x14ac:dyDescent="0.35">
      <c r="A1804" t="s">
        <v>793</v>
      </c>
      <c r="B1804" t="s">
        <v>793</v>
      </c>
      <c r="C1804">
        <v>0</v>
      </c>
      <c r="D1804">
        <v>25740.17</v>
      </c>
      <c r="E1804" t="s">
        <v>6983</v>
      </c>
      <c r="F1804" t="s">
        <v>6983</v>
      </c>
      <c r="G1804" t="s">
        <v>57</v>
      </c>
      <c r="H1804" t="s">
        <v>3914</v>
      </c>
      <c r="I1804" t="s">
        <v>3643</v>
      </c>
      <c r="J1804" s="56">
        <f t="shared" si="84"/>
        <v>44</v>
      </c>
      <c r="K1804" s="74" t="str">
        <f t="shared" si="85"/>
        <v>31-60 Days</v>
      </c>
      <c r="L1804" s="58" t="str">
        <f t="shared" si="86"/>
        <v>Not Applicable</v>
      </c>
    </row>
    <row r="1805" spans="1:12" ht="16.5" customHeight="1" x14ac:dyDescent="0.35">
      <c r="A1805" t="s">
        <v>793</v>
      </c>
      <c r="B1805" t="s">
        <v>793</v>
      </c>
      <c r="C1805">
        <v>0</v>
      </c>
      <c r="D1805">
        <v>50</v>
      </c>
      <c r="E1805" t="s">
        <v>6984</v>
      </c>
      <c r="F1805" t="s">
        <v>6984</v>
      </c>
      <c r="G1805" t="s">
        <v>6985</v>
      </c>
      <c r="H1805" t="s">
        <v>6986</v>
      </c>
      <c r="I1805" t="s">
        <v>3486</v>
      </c>
      <c r="J1805" s="56">
        <f t="shared" si="84"/>
        <v>44</v>
      </c>
      <c r="K1805" s="74" t="str">
        <f t="shared" si="85"/>
        <v>31-60 Days</v>
      </c>
      <c r="L1805" s="58" t="str">
        <f t="shared" si="86"/>
        <v>Not Applicable</v>
      </c>
    </row>
    <row r="1806" spans="1:12" ht="16.5" customHeight="1" x14ac:dyDescent="0.35">
      <c r="A1806" t="s">
        <v>793</v>
      </c>
      <c r="B1806" t="s">
        <v>793</v>
      </c>
      <c r="C1806">
        <v>0</v>
      </c>
      <c r="D1806">
        <v>1000</v>
      </c>
      <c r="E1806" t="s">
        <v>6987</v>
      </c>
      <c r="F1806" t="s">
        <v>6988</v>
      </c>
      <c r="G1806" t="s">
        <v>6989</v>
      </c>
      <c r="H1806" t="s">
        <v>3489</v>
      </c>
      <c r="I1806" t="s">
        <v>3490</v>
      </c>
      <c r="J1806" s="56">
        <f t="shared" si="84"/>
        <v>44</v>
      </c>
      <c r="K1806" s="74" t="str">
        <f t="shared" si="85"/>
        <v>31-60 Days</v>
      </c>
      <c r="L1806" s="58" t="str">
        <f t="shared" si="86"/>
        <v>Not Applicable</v>
      </c>
    </row>
    <row r="1807" spans="1:12" ht="16.5" customHeight="1" x14ac:dyDescent="0.35">
      <c r="A1807" t="s">
        <v>793</v>
      </c>
      <c r="B1807" t="s">
        <v>793</v>
      </c>
      <c r="C1807">
        <v>0</v>
      </c>
      <c r="D1807">
        <v>1000</v>
      </c>
      <c r="E1807" t="s">
        <v>6990</v>
      </c>
      <c r="F1807" t="s">
        <v>6990</v>
      </c>
      <c r="G1807" t="s">
        <v>6991</v>
      </c>
      <c r="H1807" t="s">
        <v>3532</v>
      </c>
      <c r="I1807" t="s">
        <v>3490</v>
      </c>
      <c r="J1807" s="56">
        <f t="shared" si="84"/>
        <v>44</v>
      </c>
      <c r="K1807" s="74" t="str">
        <f t="shared" si="85"/>
        <v>31-60 Days</v>
      </c>
      <c r="L1807" s="58" t="str">
        <f t="shared" si="86"/>
        <v>Not Applicable</v>
      </c>
    </row>
    <row r="1808" spans="1:12" ht="16.5" customHeight="1" x14ac:dyDescent="0.35">
      <c r="A1808" t="s">
        <v>793</v>
      </c>
      <c r="B1808" t="s">
        <v>793</v>
      </c>
      <c r="C1808">
        <v>0</v>
      </c>
      <c r="D1808">
        <v>22535</v>
      </c>
      <c r="E1808" t="s">
        <v>6992</v>
      </c>
      <c r="F1808" t="s">
        <v>6993</v>
      </c>
      <c r="G1808" t="s">
        <v>6994</v>
      </c>
      <c r="H1808" t="s">
        <v>3532</v>
      </c>
      <c r="I1808" t="s">
        <v>3490</v>
      </c>
      <c r="J1808" s="56">
        <f t="shared" si="84"/>
        <v>44</v>
      </c>
      <c r="K1808" s="74" t="str">
        <f t="shared" si="85"/>
        <v>31-60 Days</v>
      </c>
      <c r="L1808" s="58" t="str">
        <f t="shared" si="86"/>
        <v>Not Applicable</v>
      </c>
    </row>
    <row r="1809" spans="1:12" ht="16.5" customHeight="1" x14ac:dyDescent="0.35">
      <c r="A1809" t="s">
        <v>793</v>
      </c>
      <c r="B1809" t="s">
        <v>793</v>
      </c>
      <c r="C1809">
        <v>0</v>
      </c>
      <c r="D1809">
        <v>425</v>
      </c>
      <c r="E1809" t="s">
        <v>6995</v>
      </c>
      <c r="F1809" t="s">
        <v>6995</v>
      </c>
      <c r="G1809" t="s">
        <v>6996</v>
      </c>
      <c r="H1809" t="s">
        <v>3489</v>
      </c>
      <c r="I1809" t="s">
        <v>3490</v>
      </c>
      <c r="J1809" s="56">
        <f t="shared" si="84"/>
        <v>44</v>
      </c>
      <c r="K1809" s="74" t="str">
        <f t="shared" si="85"/>
        <v>31-60 Days</v>
      </c>
      <c r="L1809" s="58" t="str">
        <f t="shared" si="86"/>
        <v>Not Applicable</v>
      </c>
    </row>
    <row r="1810" spans="1:12" ht="16.5" customHeight="1" x14ac:dyDescent="0.35">
      <c r="A1810" t="s">
        <v>793</v>
      </c>
      <c r="B1810" t="s">
        <v>793</v>
      </c>
      <c r="C1810">
        <v>0</v>
      </c>
      <c r="D1810">
        <v>300</v>
      </c>
      <c r="E1810" t="s">
        <v>6997</v>
      </c>
      <c r="F1810" t="s">
        <v>6997</v>
      </c>
      <c r="G1810" t="s">
        <v>6998</v>
      </c>
      <c r="H1810" t="s">
        <v>3521</v>
      </c>
      <c r="I1810" t="s">
        <v>3490</v>
      </c>
      <c r="J1810" s="56">
        <f t="shared" si="84"/>
        <v>44</v>
      </c>
      <c r="K1810" s="74" t="str">
        <f t="shared" si="85"/>
        <v>31-60 Days</v>
      </c>
      <c r="L1810" s="58" t="str">
        <f t="shared" si="86"/>
        <v>Not Applicable</v>
      </c>
    </row>
    <row r="1811" spans="1:12" ht="16.5" customHeight="1" x14ac:dyDescent="0.35">
      <c r="A1811" t="s">
        <v>793</v>
      </c>
      <c r="B1811" t="s">
        <v>793</v>
      </c>
      <c r="C1811">
        <v>0</v>
      </c>
      <c r="D1811">
        <v>25.44</v>
      </c>
      <c r="E1811" t="s">
        <v>6999</v>
      </c>
      <c r="F1811" t="s">
        <v>6999</v>
      </c>
      <c r="G1811" t="s">
        <v>7000</v>
      </c>
      <c r="H1811" t="s">
        <v>3489</v>
      </c>
      <c r="I1811" t="s">
        <v>3490</v>
      </c>
      <c r="J1811" s="56">
        <f t="shared" si="84"/>
        <v>44</v>
      </c>
      <c r="K1811" s="74" t="str">
        <f t="shared" si="85"/>
        <v>31-60 Days</v>
      </c>
      <c r="L1811" s="58" t="str">
        <f t="shared" si="86"/>
        <v>Not Applicable</v>
      </c>
    </row>
    <row r="1812" spans="1:12" ht="16.5" customHeight="1" x14ac:dyDescent="0.35">
      <c r="A1812" t="s">
        <v>793</v>
      </c>
      <c r="B1812" t="s">
        <v>793</v>
      </c>
      <c r="C1812">
        <v>0</v>
      </c>
      <c r="D1812">
        <v>600</v>
      </c>
      <c r="E1812" t="s">
        <v>7001</v>
      </c>
      <c r="F1812" t="s">
        <v>7001</v>
      </c>
      <c r="G1812" t="s">
        <v>7002</v>
      </c>
      <c r="H1812" t="s">
        <v>3489</v>
      </c>
      <c r="I1812" t="s">
        <v>3490</v>
      </c>
      <c r="J1812" s="56">
        <f t="shared" si="84"/>
        <v>44</v>
      </c>
      <c r="K1812" s="74" t="str">
        <f t="shared" si="85"/>
        <v>31-60 Days</v>
      </c>
      <c r="L1812" s="58" t="str">
        <f t="shared" si="86"/>
        <v>Not Applicable</v>
      </c>
    </row>
    <row r="1813" spans="1:12" ht="16.5" customHeight="1" x14ac:dyDescent="0.35">
      <c r="A1813" t="s">
        <v>793</v>
      </c>
      <c r="B1813" t="s">
        <v>793</v>
      </c>
      <c r="C1813">
        <v>0</v>
      </c>
      <c r="D1813">
        <v>12000</v>
      </c>
      <c r="E1813" t="s">
        <v>7003</v>
      </c>
      <c r="F1813" t="s">
        <v>7003</v>
      </c>
      <c r="G1813" t="s">
        <v>7004</v>
      </c>
      <c r="H1813" t="s">
        <v>3489</v>
      </c>
      <c r="I1813" t="s">
        <v>3486</v>
      </c>
      <c r="J1813" s="56">
        <f t="shared" si="84"/>
        <v>44</v>
      </c>
      <c r="K1813" s="74" t="str">
        <f t="shared" si="85"/>
        <v>31-60 Days</v>
      </c>
      <c r="L1813" s="58" t="str">
        <f t="shared" si="86"/>
        <v>Not Applicable</v>
      </c>
    </row>
    <row r="1814" spans="1:12" ht="16.5" customHeight="1" x14ac:dyDescent="0.35">
      <c r="A1814" t="s">
        <v>793</v>
      </c>
      <c r="B1814" t="s">
        <v>793</v>
      </c>
      <c r="C1814">
        <v>0</v>
      </c>
      <c r="D1814">
        <v>4309.3</v>
      </c>
      <c r="E1814" t="s">
        <v>7005</v>
      </c>
      <c r="F1814" t="s">
        <v>7006</v>
      </c>
      <c r="G1814" t="s">
        <v>7007</v>
      </c>
      <c r="H1814" t="s">
        <v>3532</v>
      </c>
      <c r="I1814" t="s">
        <v>3490</v>
      </c>
      <c r="J1814" s="56">
        <f t="shared" si="84"/>
        <v>44</v>
      </c>
      <c r="K1814" s="74" t="str">
        <f t="shared" si="85"/>
        <v>31-60 Days</v>
      </c>
      <c r="L1814" s="58" t="str">
        <f t="shared" si="86"/>
        <v>Not Applicable</v>
      </c>
    </row>
    <row r="1815" spans="1:12" ht="16.5" customHeight="1" x14ac:dyDescent="0.35">
      <c r="A1815" t="s">
        <v>793</v>
      </c>
      <c r="B1815" t="s">
        <v>793</v>
      </c>
      <c r="C1815">
        <v>0</v>
      </c>
      <c r="D1815">
        <v>2500</v>
      </c>
      <c r="E1815" t="s">
        <v>7008</v>
      </c>
      <c r="F1815" t="s">
        <v>7008</v>
      </c>
      <c r="G1815" t="s">
        <v>7009</v>
      </c>
      <c r="H1815" t="s">
        <v>3489</v>
      </c>
      <c r="I1815" t="s">
        <v>3490</v>
      </c>
      <c r="J1815" s="56">
        <f t="shared" si="84"/>
        <v>44</v>
      </c>
      <c r="K1815" s="74" t="str">
        <f t="shared" si="85"/>
        <v>31-60 Days</v>
      </c>
      <c r="L1815" s="58" t="str">
        <f t="shared" si="86"/>
        <v>Not Applicable</v>
      </c>
    </row>
    <row r="1816" spans="1:12" ht="16.5" customHeight="1" x14ac:dyDescent="0.35">
      <c r="A1816" t="s">
        <v>793</v>
      </c>
      <c r="B1816" t="s">
        <v>793</v>
      </c>
      <c r="C1816">
        <v>0</v>
      </c>
      <c r="D1816">
        <v>2050</v>
      </c>
      <c r="E1816" t="s">
        <v>7010</v>
      </c>
      <c r="F1816" t="s">
        <v>7011</v>
      </c>
      <c r="G1816" t="s">
        <v>7012</v>
      </c>
      <c r="H1816" t="s">
        <v>3489</v>
      </c>
      <c r="I1816" t="s">
        <v>3490</v>
      </c>
      <c r="J1816" s="56">
        <f t="shared" si="84"/>
        <v>44</v>
      </c>
      <c r="K1816" s="74" t="str">
        <f t="shared" si="85"/>
        <v>31-60 Days</v>
      </c>
      <c r="L1816" s="58" t="str">
        <f t="shared" si="86"/>
        <v>Not Applicable</v>
      </c>
    </row>
    <row r="1817" spans="1:12" ht="16.5" customHeight="1" x14ac:dyDescent="0.35">
      <c r="A1817" t="s">
        <v>793</v>
      </c>
      <c r="B1817" t="s">
        <v>793</v>
      </c>
      <c r="C1817">
        <v>0</v>
      </c>
      <c r="D1817">
        <v>10</v>
      </c>
      <c r="E1817" t="s">
        <v>7013</v>
      </c>
      <c r="F1817" t="s">
        <v>7013</v>
      </c>
      <c r="G1817" t="s">
        <v>7014</v>
      </c>
      <c r="H1817" t="s">
        <v>3489</v>
      </c>
      <c r="I1817" t="s">
        <v>3490</v>
      </c>
      <c r="J1817" s="56">
        <f t="shared" si="84"/>
        <v>44</v>
      </c>
      <c r="K1817" s="74" t="str">
        <f t="shared" si="85"/>
        <v>31-60 Days</v>
      </c>
      <c r="L1817" s="58" t="str">
        <f t="shared" si="86"/>
        <v>Not Applicable</v>
      </c>
    </row>
    <row r="1818" spans="1:12" ht="16.5" customHeight="1" x14ac:dyDescent="0.35">
      <c r="A1818" t="s">
        <v>793</v>
      </c>
      <c r="B1818" t="s">
        <v>793</v>
      </c>
      <c r="C1818">
        <v>0</v>
      </c>
      <c r="D1818">
        <v>10</v>
      </c>
      <c r="E1818" t="s">
        <v>7015</v>
      </c>
      <c r="F1818" t="s">
        <v>7015</v>
      </c>
      <c r="G1818" t="s">
        <v>7016</v>
      </c>
      <c r="H1818" t="s">
        <v>3489</v>
      </c>
      <c r="I1818" t="s">
        <v>3490</v>
      </c>
      <c r="J1818" s="56">
        <f t="shared" si="84"/>
        <v>44</v>
      </c>
      <c r="K1818" s="74" t="str">
        <f t="shared" si="85"/>
        <v>31-60 Days</v>
      </c>
      <c r="L1818" s="58" t="str">
        <f t="shared" si="86"/>
        <v>Not Applicable</v>
      </c>
    </row>
    <row r="1819" spans="1:12" ht="16.5" customHeight="1" x14ac:dyDescent="0.35">
      <c r="A1819" t="s">
        <v>793</v>
      </c>
      <c r="B1819" t="s">
        <v>793</v>
      </c>
      <c r="C1819">
        <v>0</v>
      </c>
      <c r="D1819">
        <v>1000</v>
      </c>
      <c r="E1819" t="s">
        <v>7017</v>
      </c>
      <c r="F1819" t="s">
        <v>7018</v>
      </c>
      <c r="G1819" t="s">
        <v>7019</v>
      </c>
      <c r="H1819" t="s">
        <v>3489</v>
      </c>
      <c r="I1819" t="s">
        <v>3490</v>
      </c>
      <c r="J1819" s="56">
        <f t="shared" si="84"/>
        <v>44</v>
      </c>
      <c r="K1819" s="74" t="str">
        <f t="shared" si="85"/>
        <v>31-60 Days</v>
      </c>
      <c r="L1819" s="58" t="str">
        <f t="shared" si="86"/>
        <v>Not Applicable</v>
      </c>
    </row>
    <row r="1820" spans="1:12" ht="16.5" customHeight="1" x14ac:dyDescent="0.35">
      <c r="A1820" t="s">
        <v>793</v>
      </c>
      <c r="B1820" t="s">
        <v>793</v>
      </c>
      <c r="C1820">
        <v>0</v>
      </c>
      <c r="D1820">
        <v>1000</v>
      </c>
      <c r="E1820" t="s">
        <v>7020</v>
      </c>
      <c r="F1820" t="s">
        <v>7021</v>
      </c>
      <c r="G1820" t="s">
        <v>7022</v>
      </c>
      <c r="H1820" t="s">
        <v>3489</v>
      </c>
      <c r="I1820" t="s">
        <v>3490</v>
      </c>
      <c r="J1820" s="56">
        <f t="shared" si="84"/>
        <v>44</v>
      </c>
      <c r="K1820" s="74" t="str">
        <f t="shared" si="85"/>
        <v>31-60 Days</v>
      </c>
      <c r="L1820" s="58" t="str">
        <f t="shared" si="86"/>
        <v>Not Applicable</v>
      </c>
    </row>
    <row r="1821" spans="1:12" ht="16.5" customHeight="1" x14ac:dyDescent="0.35">
      <c r="A1821" t="s">
        <v>793</v>
      </c>
      <c r="B1821" t="s">
        <v>793</v>
      </c>
      <c r="C1821">
        <v>0</v>
      </c>
      <c r="D1821">
        <v>1000</v>
      </c>
      <c r="E1821" t="s">
        <v>7023</v>
      </c>
      <c r="F1821" t="s">
        <v>7024</v>
      </c>
      <c r="G1821" t="s">
        <v>7025</v>
      </c>
      <c r="H1821" t="s">
        <v>3489</v>
      </c>
      <c r="I1821" t="s">
        <v>3490</v>
      </c>
      <c r="J1821" s="56">
        <f t="shared" si="84"/>
        <v>44</v>
      </c>
      <c r="K1821" s="74" t="str">
        <f t="shared" si="85"/>
        <v>31-60 Days</v>
      </c>
      <c r="L1821" s="58" t="str">
        <f t="shared" si="86"/>
        <v>Not Applicable</v>
      </c>
    </row>
    <row r="1822" spans="1:12" ht="16.5" customHeight="1" x14ac:dyDescent="0.35">
      <c r="A1822" t="s">
        <v>793</v>
      </c>
      <c r="B1822" t="s">
        <v>793</v>
      </c>
      <c r="C1822">
        <v>0</v>
      </c>
      <c r="D1822">
        <v>10600</v>
      </c>
      <c r="E1822" t="s">
        <v>7026</v>
      </c>
      <c r="F1822" t="s">
        <v>7027</v>
      </c>
      <c r="G1822" t="s">
        <v>7028</v>
      </c>
      <c r="H1822" t="s">
        <v>3494</v>
      </c>
      <c r="I1822" t="s">
        <v>3490</v>
      </c>
      <c r="J1822" s="56">
        <f t="shared" si="84"/>
        <v>44</v>
      </c>
      <c r="K1822" s="74" t="str">
        <f t="shared" si="85"/>
        <v>31-60 Days</v>
      </c>
      <c r="L1822" s="58" t="str">
        <f t="shared" si="86"/>
        <v>Not Applicable</v>
      </c>
    </row>
    <row r="1823" spans="1:12" ht="16.5" customHeight="1" x14ac:dyDescent="0.35">
      <c r="A1823" t="s">
        <v>793</v>
      </c>
      <c r="B1823" t="s">
        <v>793</v>
      </c>
      <c r="C1823">
        <v>0</v>
      </c>
      <c r="D1823">
        <v>3407.25</v>
      </c>
      <c r="E1823" t="s">
        <v>7029</v>
      </c>
      <c r="F1823" t="s">
        <v>7029</v>
      </c>
      <c r="G1823" t="s">
        <v>7030</v>
      </c>
      <c r="H1823" t="s">
        <v>3489</v>
      </c>
      <c r="I1823" t="s">
        <v>3490</v>
      </c>
      <c r="J1823" s="56">
        <f t="shared" si="84"/>
        <v>44</v>
      </c>
      <c r="K1823" s="74" t="str">
        <f t="shared" si="85"/>
        <v>31-60 Days</v>
      </c>
      <c r="L1823" s="58" t="str">
        <f t="shared" si="86"/>
        <v>Not Applicable</v>
      </c>
    </row>
    <row r="1824" spans="1:12" ht="16.5" customHeight="1" x14ac:dyDescent="0.35">
      <c r="A1824" t="s">
        <v>830</v>
      </c>
      <c r="B1824" t="s">
        <v>830</v>
      </c>
      <c r="C1824">
        <v>32000</v>
      </c>
      <c r="D1824">
        <v>0</v>
      </c>
      <c r="E1824" t="s">
        <v>7031</v>
      </c>
      <c r="F1824" t="s">
        <v>7031</v>
      </c>
      <c r="G1824" t="s">
        <v>7032</v>
      </c>
      <c r="H1824" t="s">
        <v>3805</v>
      </c>
      <c r="I1824" t="s">
        <v>3490</v>
      </c>
      <c r="J1824" s="56">
        <f t="shared" si="84"/>
        <v>42</v>
      </c>
      <c r="K1824" s="74" t="str">
        <f t="shared" si="85"/>
        <v>31-60 Days</v>
      </c>
      <c r="L1824" s="58" t="str">
        <f t="shared" si="86"/>
        <v>Especially Mentioned</v>
      </c>
    </row>
    <row r="1825" spans="1:12" ht="16.5" customHeight="1" x14ac:dyDescent="0.35">
      <c r="A1825" t="s">
        <v>830</v>
      </c>
      <c r="B1825" t="s">
        <v>830</v>
      </c>
      <c r="C1825">
        <v>0</v>
      </c>
      <c r="D1825">
        <v>2478</v>
      </c>
      <c r="E1825" t="s">
        <v>7033</v>
      </c>
      <c r="F1825" t="s">
        <v>3574</v>
      </c>
      <c r="G1825" t="s">
        <v>7034</v>
      </c>
      <c r="H1825" t="s">
        <v>3489</v>
      </c>
      <c r="I1825" t="s">
        <v>3490</v>
      </c>
      <c r="J1825" s="56">
        <f t="shared" si="84"/>
        <v>42</v>
      </c>
      <c r="K1825" s="74" t="str">
        <f t="shared" si="85"/>
        <v>31-60 Days</v>
      </c>
      <c r="L1825" s="58" t="str">
        <f t="shared" si="86"/>
        <v>Not Applicable</v>
      </c>
    </row>
    <row r="1826" spans="1:12" ht="16.5" customHeight="1" x14ac:dyDescent="0.35">
      <c r="A1826" t="s">
        <v>830</v>
      </c>
      <c r="B1826" t="s">
        <v>830</v>
      </c>
      <c r="C1826">
        <v>0</v>
      </c>
      <c r="D1826">
        <v>50</v>
      </c>
      <c r="E1826" t="s">
        <v>7035</v>
      </c>
      <c r="F1826" t="s">
        <v>7035</v>
      </c>
      <c r="G1826" t="s">
        <v>7036</v>
      </c>
      <c r="H1826" t="s">
        <v>3489</v>
      </c>
      <c r="I1826" t="s">
        <v>3490</v>
      </c>
      <c r="J1826" s="56">
        <f t="shared" si="84"/>
        <v>42</v>
      </c>
      <c r="K1826" s="74" t="str">
        <f t="shared" si="85"/>
        <v>31-60 Days</v>
      </c>
      <c r="L1826" s="58" t="str">
        <f t="shared" si="86"/>
        <v>Not Applicable</v>
      </c>
    </row>
    <row r="1827" spans="1:12" ht="16.5" customHeight="1" x14ac:dyDescent="0.35">
      <c r="A1827" t="s">
        <v>830</v>
      </c>
      <c r="B1827" t="s">
        <v>830</v>
      </c>
      <c r="C1827">
        <v>0</v>
      </c>
      <c r="D1827">
        <v>11940.24</v>
      </c>
      <c r="E1827" t="s">
        <v>7037</v>
      </c>
      <c r="F1827" t="s">
        <v>3574</v>
      </c>
      <c r="G1827" t="s">
        <v>7038</v>
      </c>
      <c r="H1827" t="s">
        <v>3489</v>
      </c>
      <c r="I1827" t="s">
        <v>3490</v>
      </c>
      <c r="J1827" s="56">
        <f t="shared" si="84"/>
        <v>42</v>
      </c>
      <c r="K1827" s="74" t="str">
        <f t="shared" si="85"/>
        <v>31-60 Days</v>
      </c>
      <c r="L1827" s="58" t="str">
        <f t="shared" si="86"/>
        <v>Not Applicable</v>
      </c>
    </row>
    <row r="1828" spans="1:12" ht="16.5" customHeight="1" x14ac:dyDescent="0.35">
      <c r="A1828" t="s">
        <v>830</v>
      </c>
      <c r="B1828" t="s">
        <v>830</v>
      </c>
      <c r="C1828">
        <v>0</v>
      </c>
      <c r="D1828">
        <v>8354.66</v>
      </c>
      <c r="E1828" t="s">
        <v>7039</v>
      </c>
      <c r="F1828" t="s">
        <v>7039</v>
      </c>
      <c r="G1828" t="s">
        <v>7040</v>
      </c>
      <c r="H1828" t="s">
        <v>3489</v>
      </c>
      <c r="I1828" t="s">
        <v>3486</v>
      </c>
      <c r="J1828" s="56">
        <f t="shared" si="84"/>
        <v>42</v>
      </c>
      <c r="K1828" s="74" t="str">
        <f t="shared" si="85"/>
        <v>31-60 Days</v>
      </c>
      <c r="L1828" s="58" t="str">
        <f t="shared" si="86"/>
        <v>Not Applicable</v>
      </c>
    </row>
    <row r="1829" spans="1:12" ht="16.5" customHeight="1" x14ac:dyDescent="0.35">
      <c r="A1829" t="s">
        <v>830</v>
      </c>
      <c r="B1829" t="s">
        <v>830</v>
      </c>
      <c r="C1829">
        <v>0</v>
      </c>
      <c r="D1829">
        <v>2050</v>
      </c>
      <c r="E1829" t="s">
        <v>7041</v>
      </c>
      <c r="F1829" t="s">
        <v>7041</v>
      </c>
      <c r="G1829" t="s">
        <v>7042</v>
      </c>
      <c r="H1829" t="s">
        <v>3489</v>
      </c>
      <c r="I1829" t="s">
        <v>3490</v>
      </c>
      <c r="J1829" s="56">
        <f t="shared" si="84"/>
        <v>42</v>
      </c>
      <c r="K1829" s="74" t="str">
        <f t="shared" si="85"/>
        <v>31-60 Days</v>
      </c>
      <c r="L1829" s="58" t="str">
        <f t="shared" si="86"/>
        <v>Not Applicable</v>
      </c>
    </row>
    <row r="1830" spans="1:12" ht="16.5" customHeight="1" x14ac:dyDescent="0.35">
      <c r="A1830" t="s">
        <v>830</v>
      </c>
      <c r="B1830" t="s">
        <v>830</v>
      </c>
      <c r="C1830">
        <v>0</v>
      </c>
      <c r="D1830">
        <v>2508</v>
      </c>
      <c r="E1830" t="s">
        <v>7043</v>
      </c>
      <c r="F1830" t="s">
        <v>7043</v>
      </c>
      <c r="G1830" t="s">
        <v>7044</v>
      </c>
      <c r="H1830" t="s">
        <v>3489</v>
      </c>
      <c r="I1830" t="s">
        <v>3486</v>
      </c>
      <c r="J1830" s="56">
        <f t="shared" si="84"/>
        <v>42</v>
      </c>
      <c r="K1830" s="74" t="str">
        <f t="shared" si="85"/>
        <v>31-60 Days</v>
      </c>
      <c r="L1830" s="58" t="str">
        <f t="shared" si="86"/>
        <v>Not Applicable</v>
      </c>
    </row>
    <row r="1831" spans="1:12" ht="16.5" customHeight="1" x14ac:dyDescent="0.35">
      <c r="A1831" t="s">
        <v>830</v>
      </c>
      <c r="B1831" t="s">
        <v>830</v>
      </c>
      <c r="C1831">
        <v>0</v>
      </c>
      <c r="D1831">
        <v>171</v>
      </c>
      <c r="E1831" t="s">
        <v>7045</v>
      </c>
      <c r="F1831" t="s">
        <v>6134</v>
      </c>
      <c r="G1831" t="s">
        <v>7046</v>
      </c>
      <c r="H1831" t="s">
        <v>3489</v>
      </c>
      <c r="I1831" t="s">
        <v>3486</v>
      </c>
      <c r="J1831" s="56">
        <f t="shared" si="84"/>
        <v>42</v>
      </c>
      <c r="K1831" s="74" t="str">
        <f t="shared" si="85"/>
        <v>31-60 Days</v>
      </c>
      <c r="L1831" s="58" t="str">
        <f t="shared" si="86"/>
        <v>Not Applicable</v>
      </c>
    </row>
    <row r="1832" spans="1:12" ht="16.5" customHeight="1" x14ac:dyDescent="0.35">
      <c r="A1832" t="s">
        <v>830</v>
      </c>
      <c r="B1832" t="s">
        <v>830</v>
      </c>
      <c r="C1832">
        <v>0</v>
      </c>
      <c r="D1832">
        <v>1680</v>
      </c>
      <c r="E1832" t="s">
        <v>7047</v>
      </c>
      <c r="F1832" t="s">
        <v>7047</v>
      </c>
      <c r="G1832" t="s">
        <v>7048</v>
      </c>
      <c r="H1832" t="s">
        <v>3489</v>
      </c>
      <c r="I1832" t="s">
        <v>3486</v>
      </c>
      <c r="J1832" s="56">
        <f t="shared" si="84"/>
        <v>42</v>
      </c>
      <c r="K1832" s="74" t="str">
        <f t="shared" si="85"/>
        <v>31-60 Days</v>
      </c>
      <c r="L1832" s="58" t="str">
        <f t="shared" si="86"/>
        <v>Not Applicable</v>
      </c>
    </row>
    <row r="1833" spans="1:12" ht="16.5" customHeight="1" x14ac:dyDescent="0.35">
      <c r="A1833" t="s">
        <v>830</v>
      </c>
      <c r="B1833" t="s">
        <v>830</v>
      </c>
      <c r="C1833">
        <v>0</v>
      </c>
      <c r="D1833">
        <v>50000</v>
      </c>
      <c r="E1833" t="s">
        <v>6576</v>
      </c>
      <c r="F1833" t="s">
        <v>6576</v>
      </c>
      <c r="G1833" t="s">
        <v>7049</v>
      </c>
      <c r="H1833" t="s">
        <v>3489</v>
      </c>
      <c r="I1833" t="s">
        <v>3486</v>
      </c>
      <c r="J1833" s="56">
        <f t="shared" si="84"/>
        <v>42</v>
      </c>
      <c r="K1833" s="74" t="str">
        <f t="shared" si="85"/>
        <v>31-60 Days</v>
      </c>
      <c r="L1833" s="58" t="str">
        <f t="shared" si="86"/>
        <v>Not Applicable</v>
      </c>
    </row>
    <row r="1834" spans="1:12" ht="16.5" customHeight="1" x14ac:dyDescent="0.35">
      <c r="A1834" t="s">
        <v>830</v>
      </c>
      <c r="B1834" t="s">
        <v>830</v>
      </c>
      <c r="C1834">
        <v>0</v>
      </c>
      <c r="D1834">
        <v>100</v>
      </c>
      <c r="E1834" t="s">
        <v>7050</v>
      </c>
      <c r="F1834" t="s">
        <v>7051</v>
      </c>
      <c r="G1834" t="s">
        <v>7052</v>
      </c>
      <c r="H1834" t="s">
        <v>3532</v>
      </c>
      <c r="I1834" t="s">
        <v>3490</v>
      </c>
      <c r="J1834" s="56">
        <f t="shared" si="84"/>
        <v>42</v>
      </c>
      <c r="K1834" s="74" t="str">
        <f t="shared" si="85"/>
        <v>31-60 Days</v>
      </c>
      <c r="L1834" s="58" t="str">
        <f t="shared" si="86"/>
        <v>Not Applicable</v>
      </c>
    </row>
    <row r="1835" spans="1:12" ht="16.5" customHeight="1" x14ac:dyDescent="0.35">
      <c r="A1835" t="s">
        <v>830</v>
      </c>
      <c r="B1835" t="s">
        <v>830</v>
      </c>
      <c r="C1835">
        <v>0</v>
      </c>
      <c r="D1835">
        <v>566.4</v>
      </c>
      <c r="E1835" t="s">
        <v>7053</v>
      </c>
      <c r="F1835" t="s">
        <v>7054</v>
      </c>
      <c r="G1835" t="s">
        <v>7055</v>
      </c>
      <c r="H1835" t="s">
        <v>3532</v>
      </c>
      <c r="I1835" t="s">
        <v>3490</v>
      </c>
      <c r="J1835" s="56">
        <f t="shared" si="84"/>
        <v>42</v>
      </c>
      <c r="K1835" s="74" t="str">
        <f t="shared" si="85"/>
        <v>31-60 Days</v>
      </c>
      <c r="L1835" s="58" t="str">
        <f t="shared" si="86"/>
        <v>Not Applicable</v>
      </c>
    </row>
    <row r="1836" spans="1:12" ht="16.5" customHeight="1" x14ac:dyDescent="0.35">
      <c r="A1836" t="s">
        <v>830</v>
      </c>
      <c r="B1836" t="s">
        <v>830</v>
      </c>
      <c r="C1836">
        <v>0</v>
      </c>
      <c r="D1836">
        <v>250</v>
      </c>
      <c r="E1836" t="s">
        <v>7056</v>
      </c>
      <c r="F1836" t="s">
        <v>7057</v>
      </c>
      <c r="G1836" t="s">
        <v>7058</v>
      </c>
      <c r="H1836" t="s">
        <v>3489</v>
      </c>
      <c r="I1836" t="s">
        <v>3486</v>
      </c>
      <c r="J1836" s="56">
        <f t="shared" si="84"/>
        <v>42</v>
      </c>
      <c r="K1836" s="74" t="str">
        <f t="shared" si="85"/>
        <v>31-60 Days</v>
      </c>
      <c r="L1836" s="58" t="str">
        <f t="shared" si="86"/>
        <v>Not Applicable</v>
      </c>
    </row>
    <row r="1837" spans="1:12" ht="16.5" customHeight="1" x14ac:dyDescent="0.35">
      <c r="A1837" t="s">
        <v>830</v>
      </c>
      <c r="B1837" t="s">
        <v>830</v>
      </c>
      <c r="C1837">
        <v>0</v>
      </c>
      <c r="D1837">
        <v>30</v>
      </c>
      <c r="E1837" t="s">
        <v>7059</v>
      </c>
      <c r="F1837" t="s">
        <v>7059</v>
      </c>
      <c r="G1837" t="s">
        <v>7060</v>
      </c>
      <c r="H1837" t="s">
        <v>3489</v>
      </c>
      <c r="I1837" t="s">
        <v>3490</v>
      </c>
      <c r="J1837" s="56">
        <f t="shared" si="84"/>
        <v>42</v>
      </c>
      <c r="K1837" s="74" t="str">
        <f t="shared" si="85"/>
        <v>31-60 Days</v>
      </c>
      <c r="L1837" s="58" t="str">
        <f t="shared" si="86"/>
        <v>Not Applicable</v>
      </c>
    </row>
    <row r="1838" spans="1:12" ht="16.5" customHeight="1" x14ac:dyDescent="0.35">
      <c r="A1838" t="s">
        <v>830</v>
      </c>
      <c r="B1838" t="s">
        <v>830</v>
      </c>
      <c r="C1838">
        <v>0</v>
      </c>
      <c r="D1838">
        <v>1865</v>
      </c>
      <c r="E1838" t="s">
        <v>7061</v>
      </c>
      <c r="F1838" t="s">
        <v>7061</v>
      </c>
      <c r="G1838" t="s">
        <v>7062</v>
      </c>
      <c r="H1838" t="s">
        <v>3489</v>
      </c>
      <c r="I1838" t="s">
        <v>3490</v>
      </c>
      <c r="J1838" s="56">
        <f t="shared" si="84"/>
        <v>42</v>
      </c>
      <c r="K1838" s="74" t="str">
        <f t="shared" si="85"/>
        <v>31-60 Days</v>
      </c>
      <c r="L1838" s="58" t="str">
        <f t="shared" si="86"/>
        <v>Not Applicable</v>
      </c>
    </row>
    <row r="1839" spans="1:12" ht="16.5" customHeight="1" x14ac:dyDescent="0.35">
      <c r="A1839" t="s">
        <v>830</v>
      </c>
      <c r="B1839" t="s">
        <v>830</v>
      </c>
      <c r="C1839">
        <v>0</v>
      </c>
      <c r="D1839">
        <v>1000</v>
      </c>
      <c r="E1839" t="s">
        <v>7063</v>
      </c>
      <c r="F1839" t="s">
        <v>7063</v>
      </c>
      <c r="G1839" t="s">
        <v>7064</v>
      </c>
      <c r="H1839" t="s">
        <v>3489</v>
      </c>
      <c r="I1839" t="s">
        <v>3490</v>
      </c>
      <c r="J1839" s="56">
        <f t="shared" si="84"/>
        <v>42</v>
      </c>
      <c r="K1839" s="74" t="str">
        <f t="shared" si="85"/>
        <v>31-60 Days</v>
      </c>
      <c r="L1839" s="58" t="str">
        <f t="shared" si="86"/>
        <v>Not Applicable</v>
      </c>
    </row>
    <row r="1840" spans="1:12" ht="16.5" customHeight="1" x14ac:dyDescent="0.35">
      <c r="A1840" t="s">
        <v>830</v>
      </c>
      <c r="B1840" t="s">
        <v>830</v>
      </c>
      <c r="C1840">
        <v>0</v>
      </c>
      <c r="D1840">
        <v>30</v>
      </c>
      <c r="E1840" t="s">
        <v>7065</v>
      </c>
      <c r="F1840" t="s">
        <v>7065</v>
      </c>
      <c r="G1840" t="s">
        <v>7066</v>
      </c>
      <c r="H1840" t="s">
        <v>3489</v>
      </c>
      <c r="I1840" t="s">
        <v>3490</v>
      </c>
      <c r="J1840" s="56">
        <f t="shared" si="84"/>
        <v>42</v>
      </c>
      <c r="K1840" s="74" t="str">
        <f t="shared" si="85"/>
        <v>31-60 Days</v>
      </c>
      <c r="L1840" s="58" t="str">
        <f t="shared" si="86"/>
        <v>Not Applicable</v>
      </c>
    </row>
    <row r="1841" spans="1:12" ht="16.5" customHeight="1" x14ac:dyDescent="0.35">
      <c r="A1841" t="s">
        <v>830</v>
      </c>
      <c r="B1841" t="s">
        <v>830</v>
      </c>
      <c r="C1841">
        <v>0</v>
      </c>
      <c r="D1841">
        <v>1000</v>
      </c>
      <c r="E1841" t="s">
        <v>7067</v>
      </c>
      <c r="F1841" t="s">
        <v>7068</v>
      </c>
      <c r="G1841" t="s">
        <v>7069</v>
      </c>
      <c r="H1841" t="s">
        <v>3489</v>
      </c>
      <c r="I1841" t="s">
        <v>3490</v>
      </c>
      <c r="J1841" s="56">
        <f t="shared" si="84"/>
        <v>42</v>
      </c>
      <c r="K1841" s="74" t="str">
        <f t="shared" si="85"/>
        <v>31-60 Days</v>
      </c>
      <c r="L1841" s="58" t="str">
        <f t="shared" si="86"/>
        <v>Not Applicable</v>
      </c>
    </row>
    <row r="1842" spans="1:12" ht="16.5" customHeight="1" x14ac:dyDescent="0.35">
      <c r="A1842" t="s">
        <v>830</v>
      </c>
      <c r="B1842" t="s">
        <v>830</v>
      </c>
      <c r="C1842">
        <v>250000</v>
      </c>
      <c r="D1842">
        <v>0</v>
      </c>
      <c r="E1842" t="s">
        <v>7070</v>
      </c>
      <c r="F1842" t="s">
        <v>7070</v>
      </c>
      <c r="G1842" t="s">
        <v>7071</v>
      </c>
      <c r="H1842" t="s">
        <v>4506</v>
      </c>
      <c r="I1842" t="s">
        <v>3490</v>
      </c>
      <c r="J1842" s="56">
        <f t="shared" si="84"/>
        <v>42</v>
      </c>
      <c r="K1842" s="74" t="str">
        <f t="shared" si="85"/>
        <v>31-60 Days</v>
      </c>
      <c r="L1842" s="58" t="str">
        <f t="shared" si="86"/>
        <v>Especially Mentioned</v>
      </c>
    </row>
    <row r="1843" spans="1:12" ht="16.5" customHeight="1" x14ac:dyDescent="0.35">
      <c r="A1843" t="s">
        <v>830</v>
      </c>
      <c r="B1843" t="s">
        <v>830</v>
      </c>
      <c r="C1843">
        <v>0</v>
      </c>
      <c r="D1843">
        <v>830000</v>
      </c>
      <c r="E1843" t="s">
        <v>7072</v>
      </c>
      <c r="F1843" t="s">
        <v>6422</v>
      </c>
      <c r="G1843" t="s">
        <v>7073</v>
      </c>
      <c r="H1843" t="s">
        <v>3489</v>
      </c>
      <c r="I1843" t="s">
        <v>3486</v>
      </c>
      <c r="J1843" s="56">
        <f t="shared" si="84"/>
        <v>42</v>
      </c>
      <c r="K1843" s="74" t="str">
        <f t="shared" si="85"/>
        <v>31-60 Days</v>
      </c>
      <c r="L1843" s="58" t="str">
        <f t="shared" si="86"/>
        <v>Not Applicable</v>
      </c>
    </row>
    <row r="1844" spans="1:12" ht="16.5" customHeight="1" x14ac:dyDescent="0.35">
      <c r="A1844" t="s">
        <v>830</v>
      </c>
      <c r="B1844" t="s">
        <v>830</v>
      </c>
      <c r="C1844">
        <v>0</v>
      </c>
      <c r="D1844">
        <v>11288.88</v>
      </c>
      <c r="E1844" t="s">
        <v>7074</v>
      </c>
      <c r="F1844" t="s">
        <v>3574</v>
      </c>
      <c r="G1844" t="s">
        <v>7075</v>
      </c>
      <c r="H1844" t="s">
        <v>3489</v>
      </c>
      <c r="I1844" t="s">
        <v>3490</v>
      </c>
      <c r="J1844" s="56">
        <f t="shared" si="84"/>
        <v>42</v>
      </c>
      <c r="K1844" s="74" t="str">
        <f t="shared" si="85"/>
        <v>31-60 Days</v>
      </c>
      <c r="L1844" s="58" t="str">
        <f t="shared" si="86"/>
        <v>Not Applicable</v>
      </c>
    </row>
    <row r="1845" spans="1:12" ht="16.5" customHeight="1" x14ac:dyDescent="0.35">
      <c r="A1845" t="s">
        <v>830</v>
      </c>
      <c r="B1845" t="s">
        <v>830</v>
      </c>
      <c r="C1845">
        <v>0</v>
      </c>
      <c r="D1845">
        <v>750000</v>
      </c>
      <c r="E1845" t="s">
        <v>7076</v>
      </c>
      <c r="F1845" t="s">
        <v>6587</v>
      </c>
      <c r="G1845" t="s">
        <v>7077</v>
      </c>
      <c r="H1845" t="s">
        <v>3489</v>
      </c>
      <c r="I1845" t="s">
        <v>3486</v>
      </c>
      <c r="J1845" s="56">
        <f t="shared" si="84"/>
        <v>42</v>
      </c>
      <c r="K1845" s="74" t="str">
        <f t="shared" si="85"/>
        <v>31-60 Days</v>
      </c>
      <c r="L1845" s="58" t="str">
        <f t="shared" si="86"/>
        <v>Not Applicable</v>
      </c>
    </row>
    <row r="1846" spans="1:12" ht="16.5" customHeight="1" x14ac:dyDescent="0.35">
      <c r="A1846" t="s">
        <v>830</v>
      </c>
      <c r="B1846" t="s">
        <v>830</v>
      </c>
      <c r="C1846">
        <v>0</v>
      </c>
      <c r="D1846">
        <v>30</v>
      </c>
      <c r="E1846" t="s">
        <v>7078</v>
      </c>
      <c r="F1846" t="s">
        <v>7078</v>
      </c>
      <c r="G1846" t="s">
        <v>7079</v>
      </c>
      <c r="H1846" t="s">
        <v>3489</v>
      </c>
      <c r="I1846" t="s">
        <v>3490</v>
      </c>
      <c r="J1846" s="56">
        <f t="shared" si="84"/>
        <v>42</v>
      </c>
      <c r="K1846" s="74" t="str">
        <f t="shared" si="85"/>
        <v>31-60 Days</v>
      </c>
      <c r="L1846" s="58" t="str">
        <f t="shared" si="86"/>
        <v>Not Applicable</v>
      </c>
    </row>
    <row r="1847" spans="1:12" ht="16.5" customHeight="1" x14ac:dyDescent="0.35">
      <c r="A1847" t="s">
        <v>830</v>
      </c>
      <c r="B1847" t="s">
        <v>830</v>
      </c>
      <c r="C1847">
        <v>0</v>
      </c>
      <c r="D1847">
        <v>20000</v>
      </c>
      <c r="E1847" t="s">
        <v>7080</v>
      </c>
      <c r="F1847" t="s">
        <v>6204</v>
      </c>
      <c r="G1847" t="s">
        <v>7081</v>
      </c>
      <c r="H1847" t="s">
        <v>3489</v>
      </c>
      <c r="I1847" t="s">
        <v>3486</v>
      </c>
      <c r="J1847" s="56">
        <f t="shared" si="84"/>
        <v>42</v>
      </c>
      <c r="K1847" s="74" t="str">
        <f t="shared" si="85"/>
        <v>31-60 Days</v>
      </c>
      <c r="L1847" s="58" t="str">
        <f t="shared" si="86"/>
        <v>Not Applicable</v>
      </c>
    </row>
    <row r="1848" spans="1:12" ht="16.5" customHeight="1" x14ac:dyDescent="0.35">
      <c r="A1848" t="s">
        <v>830</v>
      </c>
      <c r="B1848" t="s">
        <v>830</v>
      </c>
      <c r="C1848">
        <v>0</v>
      </c>
      <c r="D1848">
        <v>702</v>
      </c>
      <c r="E1848" t="s">
        <v>7082</v>
      </c>
      <c r="F1848" t="s">
        <v>7083</v>
      </c>
      <c r="G1848" t="s">
        <v>7084</v>
      </c>
      <c r="H1848" t="s">
        <v>3532</v>
      </c>
      <c r="I1848" t="s">
        <v>3490</v>
      </c>
      <c r="J1848" s="56">
        <f t="shared" si="84"/>
        <v>42</v>
      </c>
      <c r="K1848" s="74" t="str">
        <f t="shared" si="85"/>
        <v>31-60 Days</v>
      </c>
      <c r="L1848" s="58" t="str">
        <f t="shared" si="86"/>
        <v>Not Applicable</v>
      </c>
    </row>
    <row r="1849" spans="1:12" ht="16.5" customHeight="1" x14ac:dyDescent="0.35">
      <c r="A1849" t="s">
        <v>830</v>
      </c>
      <c r="B1849" t="s">
        <v>830</v>
      </c>
      <c r="C1849">
        <v>0</v>
      </c>
      <c r="D1849">
        <v>30</v>
      </c>
      <c r="E1849" t="s">
        <v>7085</v>
      </c>
      <c r="F1849" t="s">
        <v>7085</v>
      </c>
      <c r="G1849" t="s">
        <v>7086</v>
      </c>
      <c r="H1849" t="s">
        <v>3489</v>
      </c>
      <c r="I1849" t="s">
        <v>3490</v>
      </c>
      <c r="J1849" s="56">
        <f t="shared" si="84"/>
        <v>42</v>
      </c>
      <c r="K1849" s="74" t="str">
        <f t="shared" si="85"/>
        <v>31-60 Days</v>
      </c>
      <c r="L1849" s="58" t="str">
        <f t="shared" si="86"/>
        <v>Not Applicable</v>
      </c>
    </row>
    <row r="1850" spans="1:12" ht="16.5" customHeight="1" x14ac:dyDescent="0.35">
      <c r="A1850" t="s">
        <v>830</v>
      </c>
      <c r="B1850" t="s">
        <v>830</v>
      </c>
      <c r="C1850">
        <v>0</v>
      </c>
      <c r="D1850">
        <v>30</v>
      </c>
      <c r="E1850" t="s">
        <v>7087</v>
      </c>
      <c r="F1850" t="s">
        <v>7087</v>
      </c>
      <c r="G1850" t="s">
        <v>7088</v>
      </c>
      <c r="H1850" t="s">
        <v>3489</v>
      </c>
      <c r="I1850" t="s">
        <v>3490</v>
      </c>
      <c r="J1850" s="56">
        <f t="shared" si="84"/>
        <v>42</v>
      </c>
      <c r="K1850" s="74" t="str">
        <f t="shared" si="85"/>
        <v>31-60 Days</v>
      </c>
      <c r="L1850" s="58" t="str">
        <f t="shared" si="86"/>
        <v>Not Applicable</v>
      </c>
    </row>
    <row r="1851" spans="1:12" ht="16.5" customHeight="1" x14ac:dyDescent="0.35">
      <c r="A1851" t="s">
        <v>830</v>
      </c>
      <c r="B1851" t="s">
        <v>830</v>
      </c>
      <c r="C1851">
        <v>0</v>
      </c>
      <c r="D1851">
        <v>1935.2</v>
      </c>
      <c r="E1851" t="s">
        <v>7089</v>
      </c>
      <c r="F1851" t="s">
        <v>7090</v>
      </c>
      <c r="G1851" t="s">
        <v>7091</v>
      </c>
      <c r="H1851" t="s">
        <v>3532</v>
      </c>
      <c r="I1851" t="s">
        <v>3490</v>
      </c>
      <c r="J1851" s="56">
        <f t="shared" si="84"/>
        <v>42</v>
      </c>
      <c r="K1851" s="74" t="str">
        <f t="shared" si="85"/>
        <v>31-60 Days</v>
      </c>
      <c r="L1851" s="58" t="str">
        <f t="shared" si="86"/>
        <v>Not Applicable</v>
      </c>
    </row>
    <row r="1852" spans="1:12" ht="16.5" customHeight="1" x14ac:dyDescent="0.35">
      <c r="A1852" t="s">
        <v>830</v>
      </c>
      <c r="B1852" t="s">
        <v>830</v>
      </c>
      <c r="C1852">
        <v>80000</v>
      </c>
      <c r="D1852">
        <v>0</v>
      </c>
      <c r="E1852" t="s">
        <v>7092</v>
      </c>
      <c r="F1852" t="s">
        <v>7092</v>
      </c>
      <c r="G1852" t="s">
        <v>7093</v>
      </c>
      <c r="H1852" t="s">
        <v>3458</v>
      </c>
      <c r="I1852" t="s">
        <v>3490</v>
      </c>
      <c r="J1852" s="56">
        <f t="shared" si="84"/>
        <v>42</v>
      </c>
      <c r="K1852" s="74" t="str">
        <f t="shared" si="85"/>
        <v>31-60 Days</v>
      </c>
      <c r="L1852" s="58" t="str">
        <f t="shared" si="86"/>
        <v>Especially Mentioned</v>
      </c>
    </row>
    <row r="1853" spans="1:12" ht="16.5" customHeight="1" x14ac:dyDescent="0.35">
      <c r="A1853" t="s">
        <v>830</v>
      </c>
      <c r="B1853" t="s">
        <v>830</v>
      </c>
      <c r="C1853">
        <v>0</v>
      </c>
      <c r="D1853">
        <v>1000</v>
      </c>
      <c r="E1853" t="s">
        <v>7094</v>
      </c>
      <c r="F1853" t="s">
        <v>7095</v>
      </c>
      <c r="G1853" t="s">
        <v>7096</v>
      </c>
      <c r="H1853" t="s">
        <v>3489</v>
      </c>
      <c r="I1853" t="s">
        <v>3490</v>
      </c>
      <c r="J1853" s="56">
        <f t="shared" si="84"/>
        <v>42</v>
      </c>
      <c r="K1853" s="74" t="str">
        <f t="shared" si="85"/>
        <v>31-60 Days</v>
      </c>
      <c r="L1853" s="58" t="str">
        <f t="shared" si="86"/>
        <v>Not Applicable</v>
      </c>
    </row>
    <row r="1854" spans="1:12" ht="16.5" customHeight="1" x14ac:dyDescent="0.35">
      <c r="A1854" t="s">
        <v>830</v>
      </c>
      <c r="B1854" t="s">
        <v>830</v>
      </c>
      <c r="C1854">
        <v>0</v>
      </c>
      <c r="D1854">
        <v>1000</v>
      </c>
      <c r="E1854" t="s">
        <v>7097</v>
      </c>
      <c r="F1854" t="s">
        <v>7098</v>
      </c>
      <c r="G1854" t="s">
        <v>7099</v>
      </c>
      <c r="H1854" t="s">
        <v>3489</v>
      </c>
      <c r="I1854" t="s">
        <v>3490</v>
      </c>
      <c r="J1854" s="56">
        <f t="shared" si="84"/>
        <v>42</v>
      </c>
      <c r="K1854" s="74" t="str">
        <f t="shared" si="85"/>
        <v>31-60 Days</v>
      </c>
      <c r="L1854" s="58" t="str">
        <f t="shared" si="86"/>
        <v>Not Applicable</v>
      </c>
    </row>
    <row r="1855" spans="1:12" ht="16.5" customHeight="1" x14ac:dyDescent="0.35">
      <c r="A1855" t="s">
        <v>830</v>
      </c>
      <c r="B1855" t="s">
        <v>830</v>
      </c>
      <c r="C1855">
        <v>0</v>
      </c>
      <c r="D1855">
        <v>158.12</v>
      </c>
      <c r="E1855" t="s">
        <v>7100</v>
      </c>
      <c r="F1855" t="s">
        <v>7101</v>
      </c>
      <c r="G1855" t="s">
        <v>7102</v>
      </c>
      <c r="H1855" t="s">
        <v>3532</v>
      </c>
      <c r="I1855" t="s">
        <v>3490</v>
      </c>
      <c r="J1855" s="56">
        <f t="shared" si="84"/>
        <v>42</v>
      </c>
      <c r="K1855" s="74" t="str">
        <f t="shared" si="85"/>
        <v>31-60 Days</v>
      </c>
      <c r="L1855" s="58" t="str">
        <f t="shared" si="86"/>
        <v>Not Applicable</v>
      </c>
    </row>
    <row r="1856" spans="1:12" ht="16.5" customHeight="1" x14ac:dyDescent="0.35">
      <c r="A1856" t="s">
        <v>830</v>
      </c>
      <c r="B1856" t="s">
        <v>830</v>
      </c>
      <c r="C1856">
        <v>0</v>
      </c>
      <c r="D1856">
        <v>600</v>
      </c>
      <c r="E1856" t="s">
        <v>7103</v>
      </c>
      <c r="F1856" t="s">
        <v>7103</v>
      </c>
      <c r="G1856" t="s">
        <v>7104</v>
      </c>
      <c r="H1856" t="s">
        <v>3489</v>
      </c>
      <c r="I1856" t="s">
        <v>3490</v>
      </c>
      <c r="J1856" s="56">
        <f t="shared" si="84"/>
        <v>42</v>
      </c>
      <c r="K1856" s="74" t="str">
        <f t="shared" si="85"/>
        <v>31-60 Days</v>
      </c>
      <c r="L1856" s="58" t="str">
        <f t="shared" si="86"/>
        <v>Not Applicable</v>
      </c>
    </row>
    <row r="1857" spans="1:12" ht="16.5" customHeight="1" x14ac:dyDescent="0.35">
      <c r="A1857" t="s">
        <v>830</v>
      </c>
      <c r="B1857" t="s">
        <v>830</v>
      </c>
      <c r="C1857">
        <v>0</v>
      </c>
      <c r="D1857">
        <v>30</v>
      </c>
      <c r="E1857" t="s">
        <v>7105</v>
      </c>
      <c r="F1857" t="s">
        <v>7105</v>
      </c>
      <c r="G1857" t="s">
        <v>7106</v>
      </c>
      <c r="H1857" t="s">
        <v>3489</v>
      </c>
      <c r="I1857" t="s">
        <v>3490</v>
      </c>
      <c r="J1857" s="56">
        <f t="shared" si="84"/>
        <v>42</v>
      </c>
      <c r="K1857" s="74" t="str">
        <f t="shared" si="85"/>
        <v>31-60 Days</v>
      </c>
      <c r="L1857" s="58" t="str">
        <f t="shared" si="86"/>
        <v>Not Applicable</v>
      </c>
    </row>
    <row r="1858" spans="1:12" ht="16.5" customHeight="1" x14ac:dyDescent="0.35">
      <c r="A1858" t="s">
        <v>830</v>
      </c>
      <c r="B1858" t="s">
        <v>830</v>
      </c>
      <c r="C1858">
        <v>0</v>
      </c>
      <c r="D1858">
        <v>30</v>
      </c>
      <c r="E1858" t="s">
        <v>7107</v>
      </c>
      <c r="F1858" t="s">
        <v>7107</v>
      </c>
      <c r="G1858" t="s">
        <v>7108</v>
      </c>
      <c r="H1858" t="s">
        <v>3489</v>
      </c>
      <c r="I1858" t="s">
        <v>3490</v>
      </c>
      <c r="J1858" s="56">
        <f t="shared" si="84"/>
        <v>42</v>
      </c>
      <c r="K1858" s="74" t="str">
        <f t="shared" si="85"/>
        <v>31-60 Days</v>
      </c>
      <c r="L1858" s="58" t="str">
        <f t="shared" si="86"/>
        <v>Not Applicable</v>
      </c>
    </row>
    <row r="1859" spans="1:12" ht="16.5" customHeight="1" x14ac:dyDescent="0.35">
      <c r="A1859" t="s">
        <v>830</v>
      </c>
      <c r="B1859" t="s">
        <v>830</v>
      </c>
      <c r="C1859">
        <v>0</v>
      </c>
      <c r="D1859">
        <v>50</v>
      </c>
      <c r="E1859" t="s">
        <v>7109</v>
      </c>
      <c r="F1859" t="s">
        <v>7109</v>
      </c>
      <c r="G1859" t="s">
        <v>7110</v>
      </c>
      <c r="H1859" t="s">
        <v>3532</v>
      </c>
      <c r="I1859" t="s">
        <v>3490</v>
      </c>
      <c r="J1859" s="56">
        <f t="shared" si="84"/>
        <v>42</v>
      </c>
      <c r="K1859" s="74" t="str">
        <f t="shared" si="85"/>
        <v>31-60 Days</v>
      </c>
      <c r="L1859" s="58" t="str">
        <f t="shared" si="86"/>
        <v>Not Applicable</v>
      </c>
    </row>
    <row r="1860" spans="1:12" ht="16.5" customHeight="1" x14ac:dyDescent="0.35">
      <c r="A1860" t="s">
        <v>830</v>
      </c>
      <c r="B1860" t="s">
        <v>830</v>
      </c>
      <c r="C1860">
        <v>0</v>
      </c>
      <c r="D1860">
        <v>50</v>
      </c>
      <c r="E1860" t="s">
        <v>7111</v>
      </c>
      <c r="F1860" t="s">
        <v>7111</v>
      </c>
      <c r="G1860" t="s">
        <v>7112</v>
      </c>
      <c r="H1860" t="s">
        <v>3489</v>
      </c>
      <c r="I1860" t="s">
        <v>3490</v>
      </c>
      <c r="J1860" s="56">
        <f t="shared" si="84"/>
        <v>42</v>
      </c>
      <c r="K1860" s="74" t="str">
        <f t="shared" si="85"/>
        <v>31-60 Days</v>
      </c>
      <c r="L1860" s="58" t="str">
        <f t="shared" si="86"/>
        <v>Not Applicable</v>
      </c>
    </row>
    <row r="1861" spans="1:12" ht="16.5" customHeight="1" x14ac:dyDescent="0.35">
      <c r="A1861" t="s">
        <v>830</v>
      </c>
      <c r="B1861" t="s">
        <v>830</v>
      </c>
      <c r="C1861">
        <v>0</v>
      </c>
      <c r="D1861">
        <v>100</v>
      </c>
      <c r="E1861" t="s">
        <v>7113</v>
      </c>
      <c r="F1861" t="s">
        <v>7113</v>
      </c>
      <c r="G1861" t="s">
        <v>7114</v>
      </c>
      <c r="H1861" t="s">
        <v>3489</v>
      </c>
      <c r="I1861" t="s">
        <v>3490</v>
      </c>
      <c r="J1861" s="56">
        <f t="shared" si="84"/>
        <v>42</v>
      </c>
      <c r="K1861" s="74" t="str">
        <f t="shared" si="85"/>
        <v>31-60 Days</v>
      </c>
      <c r="L1861" s="58" t="str">
        <f t="shared" si="86"/>
        <v>Not Applicable</v>
      </c>
    </row>
    <row r="1862" spans="1:12" ht="16.5" customHeight="1" x14ac:dyDescent="0.35">
      <c r="A1862" t="s">
        <v>830</v>
      </c>
      <c r="B1862" t="s">
        <v>830</v>
      </c>
      <c r="C1862">
        <v>0</v>
      </c>
      <c r="D1862">
        <v>50</v>
      </c>
      <c r="E1862" t="s">
        <v>7115</v>
      </c>
      <c r="F1862" t="s">
        <v>7115</v>
      </c>
      <c r="G1862" t="s">
        <v>7116</v>
      </c>
      <c r="H1862" t="s">
        <v>3489</v>
      </c>
      <c r="I1862" t="s">
        <v>3490</v>
      </c>
      <c r="J1862" s="56">
        <f t="shared" si="84"/>
        <v>42</v>
      </c>
      <c r="K1862" s="74" t="str">
        <f t="shared" si="85"/>
        <v>31-60 Days</v>
      </c>
      <c r="L1862" s="58" t="str">
        <f t="shared" si="86"/>
        <v>Not Applicable</v>
      </c>
    </row>
    <row r="1863" spans="1:12" ht="16.5" customHeight="1" x14ac:dyDescent="0.35">
      <c r="A1863" t="s">
        <v>830</v>
      </c>
      <c r="B1863" t="s">
        <v>830</v>
      </c>
      <c r="C1863">
        <v>0</v>
      </c>
      <c r="D1863">
        <v>30</v>
      </c>
      <c r="E1863" t="s">
        <v>7117</v>
      </c>
      <c r="F1863" t="s">
        <v>7117</v>
      </c>
      <c r="G1863" t="s">
        <v>7118</v>
      </c>
      <c r="H1863" t="s">
        <v>3489</v>
      </c>
      <c r="I1863" t="s">
        <v>3490</v>
      </c>
      <c r="J1863" s="56">
        <f t="shared" si="84"/>
        <v>42</v>
      </c>
      <c r="K1863" s="74" t="str">
        <f t="shared" si="85"/>
        <v>31-60 Days</v>
      </c>
      <c r="L1863" s="58" t="str">
        <f t="shared" si="86"/>
        <v>Not Applicable</v>
      </c>
    </row>
    <row r="1864" spans="1:12" ht="16.5" customHeight="1" x14ac:dyDescent="0.35">
      <c r="A1864" t="s">
        <v>830</v>
      </c>
      <c r="B1864" t="s">
        <v>830</v>
      </c>
      <c r="C1864">
        <v>0</v>
      </c>
      <c r="D1864">
        <v>50</v>
      </c>
      <c r="E1864" t="s">
        <v>7119</v>
      </c>
      <c r="F1864" t="s">
        <v>7119</v>
      </c>
      <c r="G1864" t="s">
        <v>7120</v>
      </c>
      <c r="H1864" t="s">
        <v>3489</v>
      </c>
      <c r="I1864" t="s">
        <v>3490</v>
      </c>
      <c r="J1864" s="56">
        <f t="shared" si="84"/>
        <v>42</v>
      </c>
      <c r="K1864" s="74" t="str">
        <f t="shared" si="85"/>
        <v>31-60 Days</v>
      </c>
      <c r="L1864" s="58" t="str">
        <f t="shared" si="86"/>
        <v>Not Applicable</v>
      </c>
    </row>
    <row r="1865" spans="1:12" ht="16.5" customHeight="1" x14ac:dyDescent="0.35">
      <c r="A1865" t="s">
        <v>830</v>
      </c>
      <c r="B1865" t="s">
        <v>830</v>
      </c>
      <c r="C1865">
        <v>0</v>
      </c>
      <c r="D1865">
        <v>28.32</v>
      </c>
      <c r="E1865" t="s">
        <v>7121</v>
      </c>
      <c r="F1865" t="s">
        <v>7122</v>
      </c>
      <c r="G1865" t="s">
        <v>7123</v>
      </c>
      <c r="H1865" t="s">
        <v>3532</v>
      </c>
      <c r="I1865" t="s">
        <v>3490</v>
      </c>
      <c r="J1865" s="56">
        <f t="shared" ref="J1865:J1928" si="87">IF(A1865="","",A$5-A1865)</f>
        <v>42</v>
      </c>
      <c r="K1865" s="74" t="str">
        <f t="shared" ref="K1865:K1928" si="88">IF(J1865="","",IF(J1865&lt;4,"0-3 Days",IF(J1865&lt;31,"4-30 Days",IF(J1865&lt;61,"31-60 Days",IF(J1865&lt;=90,"61-90 Days",IF(J1865&gt;90,"Above 90 Days","0"))))))</f>
        <v>31-60 Days</v>
      </c>
      <c r="L1865" s="58" t="str">
        <f t="shared" ref="L1865:L1928" si="89">IF(C1865="","",IF(C1865&gt;0,IF(J1865&lt;30,"Normal",IF(J1865&lt;60,"Especially Mentioned",IF(J1865&lt;90,"Substandard",IF(J1865&lt;=180,"Doubtful",IF(J1865&gt;180,"Loss","0"))))),"Not Applicable"))</f>
        <v>Not Applicable</v>
      </c>
    </row>
    <row r="1866" spans="1:12" ht="16.5" customHeight="1" x14ac:dyDescent="0.35">
      <c r="A1866" t="s">
        <v>830</v>
      </c>
      <c r="B1866" t="s">
        <v>830</v>
      </c>
      <c r="C1866">
        <v>0</v>
      </c>
      <c r="D1866">
        <v>50</v>
      </c>
      <c r="E1866" t="s">
        <v>7124</v>
      </c>
      <c r="F1866" t="s">
        <v>7124</v>
      </c>
      <c r="G1866" t="s">
        <v>7125</v>
      </c>
      <c r="H1866" t="s">
        <v>3489</v>
      </c>
      <c r="I1866" t="s">
        <v>3490</v>
      </c>
      <c r="J1866" s="56">
        <f t="shared" si="87"/>
        <v>42</v>
      </c>
      <c r="K1866" s="74" t="str">
        <f t="shared" si="88"/>
        <v>31-60 Days</v>
      </c>
      <c r="L1866" s="58" t="str">
        <f t="shared" si="89"/>
        <v>Not Applicable</v>
      </c>
    </row>
    <row r="1867" spans="1:12" ht="16.5" customHeight="1" x14ac:dyDescent="0.35">
      <c r="A1867" t="s">
        <v>830</v>
      </c>
      <c r="B1867" t="s">
        <v>830</v>
      </c>
      <c r="C1867">
        <v>0</v>
      </c>
      <c r="D1867">
        <v>30</v>
      </c>
      <c r="E1867" t="s">
        <v>7126</v>
      </c>
      <c r="F1867" t="s">
        <v>7126</v>
      </c>
      <c r="G1867" t="s">
        <v>7127</v>
      </c>
      <c r="H1867" t="s">
        <v>3489</v>
      </c>
      <c r="I1867" t="s">
        <v>3490</v>
      </c>
      <c r="J1867" s="56">
        <f t="shared" si="87"/>
        <v>42</v>
      </c>
      <c r="K1867" s="74" t="str">
        <f t="shared" si="88"/>
        <v>31-60 Days</v>
      </c>
      <c r="L1867" s="58" t="str">
        <f t="shared" si="89"/>
        <v>Not Applicable</v>
      </c>
    </row>
    <row r="1868" spans="1:12" ht="16.5" customHeight="1" x14ac:dyDescent="0.35">
      <c r="A1868" t="s">
        <v>830</v>
      </c>
      <c r="B1868" t="s">
        <v>830</v>
      </c>
      <c r="C1868">
        <v>1000000</v>
      </c>
      <c r="D1868">
        <v>0</v>
      </c>
      <c r="E1868" t="s">
        <v>7128</v>
      </c>
      <c r="F1868" t="s">
        <v>7128</v>
      </c>
      <c r="G1868" t="s">
        <v>7129</v>
      </c>
      <c r="H1868" t="s">
        <v>5243</v>
      </c>
      <c r="I1868" t="s">
        <v>3490</v>
      </c>
      <c r="J1868" s="56">
        <f t="shared" si="87"/>
        <v>42</v>
      </c>
      <c r="K1868" s="74" t="str">
        <f t="shared" si="88"/>
        <v>31-60 Days</v>
      </c>
      <c r="L1868" s="58" t="str">
        <f t="shared" si="89"/>
        <v>Especially Mentioned</v>
      </c>
    </row>
    <row r="1869" spans="1:12" ht="16.5" customHeight="1" x14ac:dyDescent="0.35">
      <c r="A1869" t="s">
        <v>830</v>
      </c>
      <c r="B1869" t="s">
        <v>830</v>
      </c>
      <c r="C1869">
        <v>0</v>
      </c>
      <c r="D1869">
        <v>5400</v>
      </c>
      <c r="E1869" t="s">
        <v>7130</v>
      </c>
      <c r="F1869" t="s">
        <v>7131</v>
      </c>
      <c r="G1869" t="s">
        <v>7132</v>
      </c>
      <c r="H1869" t="s">
        <v>3532</v>
      </c>
      <c r="I1869" t="s">
        <v>3490</v>
      </c>
      <c r="J1869" s="56">
        <f t="shared" si="87"/>
        <v>42</v>
      </c>
      <c r="K1869" s="74" t="str">
        <f t="shared" si="88"/>
        <v>31-60 Days</v>
      </c>
      <c r="L1869" s="58" t="str">
        <f t="shared" si="89"/>
        <v>Not Applicable</v>
      </c>
    </row>
    <row r="1870" spans="1:12" ht="16.5" customHeight="1" x14ac:dyDescent="0.35">
      <c r="A1870" t="s">
        <v>830</v>
      </c>
      <c r="B1870" t="s">
        <v>830</v>
      </c>
      <c r="C1870">
        <v>770000</v>
      </c>
      <c r="D1870">
        <v>0</v>
      </c>
      <c r="E1870" t="s">
        <v>7133</v>
      </c>
      <c r="F1870" t="s">
        <v>7133</v>
      </c>
      <c r="G1870" t="s">
        <v>7134</v>
      </c>
      <c r="H1870" t="s">
        <v>5243</v>
      </c>
      <c r="I1870" t="s">
        <v>3490</v>
      </c>
      <c r="J1870" s="56">
        <f t="shared" si="87"/>
        <v>42</v>
      </c>
      <c r="K1870" s="74" t="str">
        <f t="shared" si="88"/>
        <v>31-60 Days</v>
      </c>
      <c r="L1870" s="58" t="str">
        <f t="shared" si="89"/>
        <v>Especially Mentioned</v>
      </c>
    </row>
    <row r="1871" spans="1:12" ht="16.5" customHeight="1" x14ac:dyDescent="0.35">
      <c r="A1871" t="s">
        <v>830</v>
      </c>
      <c r="B1871" t="s">
        <v>830</v>
      </c>
      <c r="C1871">
        <v>0</v>
      </c>
      <c r="D1871">
        <v>229</v>
      </c>
      <c r="E1871" t="s">
        <v>7135</v>
      </c>
      <c r="F1871" t="s">
        <v>7136</v>
      </c>
      <c r="G1871" t="s">
        <v>7137</v>
      </c>
      <c r="H1871" t="s">
        <v>3489</v>
      </c>
      <c r="I1871" t="s">
        <v>3486</v>
      </c>
      <c r="J1871" s="56">
        <f t="shared" si="87"/>
        <v>42</v>
      </c>
      <c r="K1871" s="74" t="str">
        <f t="shared" si="88"/>
        <v>31-60 Days</v>
      </c>
      <c r="L1871" s="58" t="str">
        <f t="shared" si="89"/>
        <v>Not Applicable</v>
      </c>
    </row>
    <row r="1872" spans="1:12" ht="16.5" customHeight="1" x14ac:dyDescent="0.35">
      <c r="A1872" t="s">
        <v>830</v>
      </c>
      <c r="B1872" t="s">
        <v>830</v>
      </c>
      <c r="C1872">
        <v>0</v>
      </c>
      <c r="D1872">
        <v>32.5</v>
      </c>
      <c r="E1872" t="s">
        <v>7138</v>
      </c>
      <c r="F1872" t="s">
        <v>7139</v>
      </c>
      <c r="G1872" t="s">
        <v>7140</v>
      </c>
      <c r="H1872" t="s">
        <v>3532</v>
      </c>
      <c r="I1872" t="s">
        <v>3490</v>
      </c>
      <c r="J1872" s="56">
        <f t="shared" si="87"/>
        <v>42</v>
      </c>
      <c r="K1872" s="74" t="str">
        <f t="shared" si="88"/>
        <v>31-60 Days</v>
      </c>
      <c r="L1872" s="58" t="str">
        <f t="shared" si="89"/>
        <v>Not Applicable</v>
      </c>
    </row>
    <row r="1873" spans="1:12" ht="16.5" customHeight="1" x14ac:dyDescent="0.35">
      <c r="A1873" t="s">
        <v>830</v>
      </c>
      <c r="B1873" t="s">
        <v>830</v>
      </c>
      <c r="C1873">
        <v>0</v>
      </c>
      <c r="D1873">
        <v>500</v>
      </c>
      <c r="E1873" t="s">
        <v>7141</v>
      </c>
      <c r="F1873" t="s">
        <v>7141</v>
      </c>
      <c r="G1873" t="s">
        <v>7142</v>
      </c>
      <c r="H1873" t="s">
        <v>3489</v>
      </c>
      <c r="I1873" t="s">
        <v>3490</v>
      </c>
      <c r="J1873" s="56">
        <f t="shared" si="87"/>
        <v>42</v>
      </c>
      <c r="K1873" s="74" t="str">
        <f t="shared" si="88"/>
        <v>31-60 Days</v>
      </c>
      <c r="L1873" s="58" t="str">
        <f t="shared" si="89"/>
        <v>Not Applicable</v>
      </c>
    </row>
    <row r="1874" spans="1:12" ht="16.5" customHeight="1" x14ac:dyDescent="0.35">
      <c r="A1874" t="s">
        <v>830</v>
      </c>
      <c r="B1874" t="s">
        <v>830</v>
      </c>
      <c r="C1874">
        <v>0</v>
      </c>
      <c r="D1874">
        <v>2050</v>
      </c>
      <c r="E1874" t="s">
        <v>7143</v>
      </c>
      <c r="F1874" t="s">
        <v>7143</v>
      </c>
      <c r="G1874" t="s">
        <v>7144</v>
      </c>
      <c r="H1874" t="s">
        <v>3489</v>
      </c>
      <c r="I1874" t="s">
        <v>3490</v>
      </c>
      <c r="J1874" s="56">
        <f t="shared" si="87"/>
        <v>42</v>
      </c>
      <c r="K1874" s="74" t="str">
        <f t="shared" si="88"/>
        <v>31-60 Days</v>
      </c>
      <c r="L1874" s="58" t="str">
        <f t="shared" si="89"/>
        <v>Not Applicable</v>
      </c>
    </row>
    <row r="1875" spans="1:12" ht="16.5" customHeight="1" x14ac:dyDescent="0.35">
      <c r="A1875" t="s">
        <v>830</v>
      </c>
      <c r="B1875" t="s">
        <v>830</v>
      </c>
      <c r="C1875">
        <v>0</v>
      </c>
      <c r="D1875">
        <v>1000</v>
      </c>
      <c r="E1875" t="s">
        <v>6697</v>
      </c>
      <c r="F1875" t="s">
        <v>6697</v>
      </c>
      <c r="G1875" t="s">
        <v>7145</v>
      </c>
      <c r="H1875" t="s">
        <v>3489</v>
      </c>
      <c r="I1875" t="s">
        <v>3486</v>
      </c>
      <c r="J1875" s="56">
        <f t="shared" si="87"/>
        <v>42</v>
      </c>
      <c r="K1875" s="74" t="str">
        <f t="shared" si="88"/>
        <v>31-60 Days</v>
      </c>
      <c r="L1875" s="58" t="str">
        <f t="shared" si="89"/>
        <v>Not Applicable</v>
      </c>
    </row>
    <row r="1876" spans="1:12" ht="16.5" customHeight="1" x14ac:dyDescent="0.35">
      <c r="A1876" t="s">
        <v>830</v>
      </c>
      <c r="B1876" t="s">
        <v>830</v>
      </c>
      <c r="C1876">
        <v>0</v>
      </c>
      <c r="D1876">
        <v>65</v>
      </c>
      <c r="E1876" t="s">
        <v>7146</v>
      </c>
      <c r="F1876" t="s">
        <v>7146</v>
      </c>
      <c r="G1876" t="s">
        <v>7147</v>
      </c>
      <c r="H1876" t="s">
        <v>3489</v>
      </c>
      <c r="I1876" t="s">
        <v>3486</v>
      </c>
      <c r="J1876" s="56">
        <f t="shared" si="87"/>
        <v>42</v>
      </c>
      <c r="K1876" s="74" t="str">
        <f t="shared" si="88"/>
        <v>31-60 Days</v>
      </c>
      <c r="L1876" s="58" t="str">
        <f t="shared" si="89"/>
        <v>Not Applicable</v>
      </c>
    </row>
    <row r="1877" spans="1:12" ht="16.5" customHeight="1" x14ac:dyDescent="0.35">
      <c r="A1877" t="s">
        <v>830</v>
      </c>
      <c r="B1877" t="s">
        <v>830</v>
      </c>
      <c r="C1877">
        <v>16547.490000000002</v>
      </c>
      <c r="D1877">
        <v>0</v>
      </c>
      <c r="E1877" t="s">
        <v>7148</v>
      </c>
      <c r="F1877" t="s">
        <v>7148</v>
      </c>
      <c r="G1877" t="s">
        <v>7149</v>
      </c>
      <c r="H1877" t="s">
        <v>4394</v>
      </c>
      <c r="I1877" t="s">
        <v>3507</v>
      </c>
      <c r="J1877" s="56">
        <f t="shared" si="87"/>
        <v>42</v>
      </c>
      <c r="K1877" s="74" t="str">
        <f t="shared" si="88"/>
        <v>31-60 Days</v>
      </c>
      <c r="L1877" s="58" t="str">
        <f t="shared" si="89"/>
        <v>Especially Mentioned</v>
      </c>
    </row>
    <row r="1878" spans="1:12" ht="16.5" customHeight="1" x14ac:dyDescent="0.35">
      <c r="A1878" t="s">
        <v>830</v>
      </c>
      <c r="B1878" t="s">
        <v>830</v>
      </c>
      <c r="C1878">
        <v>0</v>
      </c>
      <c r="D1878">
        <v>50</v>
      </c>
      <c r="E1878" t="s">
        <v>7150</v>
      </c>
      <c r="F1878" t="s">
        <v>7150</v>
      </c>
      <c r="G1878" t="s">
        <v>7151</v>
      </c>
      <c r="H1878" t="s">
        <v>3489</v>
      </c>
      <c r="I1878" t="s">
        <v>3490</v>
      </c>
      <c r="J1878" s="56">
        <f t="shared" si="87"/>
        <v>42</v>
      </c>
      <c r="K1878" s="74" t="str">
        <f t="shared" si="88"/>
        <v>31-60 Days</v>
      </c>
      <c r="L1878" s="58" t="str">
        <f t="shared" si="89"/>
        <v>Not Applicable</v>
      </c>
    </row>
    <row r="1879" spans="1:12" ht="16.5" customHeight="1" x14ac:dyDescent="0.35">
      <c r="A1879" t="s">
        <v>830</v>
      </c>
      <c r="B1879" t="s">
        <v>830</v>
      </c>
      <c r="C1879">
        <v>0</v>
      </c>
      <c r="D1879">
        <v>708</v>
      </c>
      <c r="E1879" t="s">
        <v>7152</v>
      </c>
      <c r="F1879" t="s">
        <v>7153</v>
      </c>
      <c r="G1879" t="s">
        <v>7154</v>
      </c>
      <c r="H1879" t="s">
        <v>3532</v>
      </c>
      <c r="I1879" t="s">
        <v>3490</v>
      </c>
      <c r="J1879" s="56">
        <f t="shared" si="87"/>
        <v>42</v>
      </c>
      <c r="K1879" s="74" t="str">
        <f t="shared" si="88"/>
        <v>31-60 Days</v>
      </c>
      <c r="L1879" s="58" t="str">
        <f t="shared" si="89"/>
        <v>Not Applicable</v>
      </c>
    </row>
    <row r="1880" spans="1:12" ht="16.5" customHeight="1" x14ac:dyDescent="0.35">
      <c r="A1880" t="s">
        <v>830</v>
      </c>
      <c r="B1880" t="s">
        <v>830</v>
      </c>
      <c r="C1880">
        <v>0</v>
      </c>
      <c r="D1880">
        <v>3126.8</v>
      </c>
      <c r="E1880" t="s">
        <v>7155</v>
      </c>
      <c r="F1880" t="s">
        <v>7156</v>
      </c>
      <c r="G1880" t="s">
        <v>7157</v>
      </c>
      <c r="H1880" t="s">
        <v>3532</v>
      </c>
      <c r="I1880" t="s">
        <v>3490</v>
      </c>
      <c r="J1880" s="56">
        <f t="shared" si="87"/>
        <v>42</v>
      </c>
      <c r="K1880" s="74" t="str">
        <f t="shared" si="88"/>
        <v>31-60 Days</v>
      </c>
      <c r="L1880" s="58" t="str">
        <f t="shared" si="89"/>
        <v>Not Applicable</v>
      </c>
    </row>
    <row r="1881" spans="1:12" ht="16.5" customHeight="1" x14ac:dyDescent="0.35">
      <c r="A1881" t="s">
        <v>830</v>
      </c>
      <c r="B1881" t="s">
        <v>830</v>
      </c>
      <c r="C1881">
        <v>0</v>
      </c>
      <c r="D1881">
        <v>2100</v>
      </c>
      <c r="E1881" t="s">
        <v>7158</v>
      </c>
      <c r="F1881" t="s">
        <v>7158</v>
      </c>
      <c r="G1881" t="s">
        <v>7159</v>
      </c>
      <c r="H1881" t="s">
        <v>3489</v>
      </c>
      <c r="I1881" t="s">
        <v>3507</v>
      </c>
      <c r="J1881" s="56">
        <f t="shared" si="87"/>
        <v>42</v>
      </c>
      <c r="K1881" s="74" t="str">
        <f t="shared" si="88"/>
        <v>31-60 Days</v>
      </c>
      <c r="L1881" s="58" t="str">
        <f t="shared" si="89"/>
        <v>Not Applicable</v>
      </c>
    </row>
    <row r="1882" spans="1:12" ht="16.5" customHeight="1" x14ac:dyDescent="0.35">
      <c r="A1882" t="s">
        <v>830</v>
      </c>
      <c r="B1882" t="s">
        <v>830</v>
      </c>
      <c r="C1882">
        <v>0</v>
      </c>
      <c r="D1882">
        <v>1000</v>
      </c>
      <c r="E1882" t="s">
        <v>7160</v>
      </c>
      <c r="F1882" t="s">
        <v>7161</v>
      </c>
      <c r="G1882" t="s">
        <v>7162</v>
      </c>
      <c r="H1882" t="s">
        <v>3532</v>
      </c>
      <c r="I1882" t="s">
        <v>3490</v>
      </c>
      <c r="J1882" s="56">
        <f t="shared" si="87"/>
        <v>42</v>
      </c>
      <c r="K1882" s="74" t="str">
        <f t="shared" si="88"/>
        <v>31-60 Days</v>
      </c>
      <c r="L1882" s="58" t="str">
        <f t="shared" si="89"/>
        <v>Not Applicable</v>
      </c>
    </row>
    <row r="1883" spans="1:12" ht="16.5" customHeight="1" x14ac:dyDescent="0.35">
      <c r="A1883" t="s">
        <v>830</v>
      </c>
      <c r="B1883" t="s">
        <v>830</v>
      </c>
      <c r="C1883">
        <v>0</v>
      </c>
      <c r="D1883">
        <v>45943.5</v>
      </c>
      <c r="E1883" t="s">
        <v>7163</v>
      </c>
      <c r="F1883" t="s">
        <v>7163</v>
      </c>
      <c r="G1883" t="s">
        <v>57</v>
      </c>
      <c r="H1883" t="s">
        <v>3914</v>
      </c>
      <c r="I1883" t="s">
        <v>3643</v>
      </c>
      <c r="J1883" s="56">
        <f t="shared" si="87"/>
        <v>42</v>
      </c>
      <c r="K1883" s="74" t="str">
        <f t="shared" si="88"/>
        <v>31-60 Days</v>
      </c>
      <c r="L1883" s="58" t="str">
        <f t="shared" si="89"/>
        <v>Not Applicable</v>
      </c>
    </row>
    <row r="1884" spans="1:12" ht="16.5" customHeight="1" x14ac:dyDescent="0.35">
      <c r="A1884" t="s">
        <v>830</v>
      </c>
      <c r="B1884" t="s">
        <v>830</v>
      </c>
      <c r="C1884">
        <v>0</v>
      </c>
      <c r="D1884">
        <v>840</v>
      </c>
      <c r="E1884" t="s">
        <v>7164</v>
      </c>
      <c r="F1884" t="s">
        <v>7164</v>
      </c>
      <c r="G1884" t="s">
        <v>7165</v>
      </c>
      <c r="H1884" t="s">
        <v>3489</v>
      </c>
      <c r="I1884" t="s">
        <v>3486</v>
      </c>
      <c r="J1884" s="56">
        <f t="shared" si="87"/>
        <v>42</v>
      </c>
      <c r="K1884" s="74" t="str">
        <f t="shared" si="88"/>
        <v>31-60 Days</v>
      </c>
      <c r="L1884" s="58" t="str">
        <f t="shared" si="89"/>
        <v>Not Applicable</v>
      </c>
    </row>
    <row r="1885" spans="1:12" ht="16.5" customHeight="1" x14ac:dyDescent="0.35">
      <c r="A1885" t="s">
        <v>830</v>
      </c>
      <c r="B1885" t="s">
        <v>830</v>
      </c>
      <c r="C1885">
        <v>0</v>
      </c>
      <c r="D1885">
        <v>1000</v>
      </c>
      <c r="E1885" t="s">
        <v>7166</v>
      </c>
      <c r="F1885" t="s">
        <v>7166</v>
      </c>
      <c r="G1885" t="s">
        <v>7167</v>
      </c>
      <c r="H1885" t="s">
        <v>3489</v>
      </c>
      <c r="I1885" t="s">
        <v>3490</v>
      </c>
      <c r="J1885" s="56">
        <f t="shared" si="87"/>
        <v>42</v>
      </c>
      <c r="K1885" s="74" t="str">
        <f t="shared" si="88"/>
        <v>31-60 Days</v>
      </c>
      <c r="L1885" s="58" t="str">
        <f t="shared" si="89"/>
        <v>Not Applicable</v>
      </c>
    </row>
    <row r="1886" spans="1:12" ht="16.5" customHeight="1" x14ac:dyDescent="0.35">
      <c r="A1886" t="s">
        <v>830</v>
      </c>
      <c r="B1886" t="s">
        <v>830</v>
      </c>
      <c r="C1886">
        <v>0</v>
      </c>
      <c r="D1886">
        <v>30</v>
      </c>
      <c r="E1886" t="s">
        <v>7168</v>
      </c>
      <c r="F1886" t="s">
        <v>7168</v>
      </c>
      <c r="G1886" t="s">
        <v>7169</v>
      </c>
      <c r="H1886" t="s">
        <v>3489</v>
      </c>
      <c r="I1886" t="s">
        <v>3490</v>
      </c>
      <c r="J1886" s="56">
        <f t="shared" si="87"/>
        <v>42</v>
      </c>
      <c r="K1886" s="74" t="str">
        <f t="shared" si="88"/>
        <v>31-60 Days</v>
      </c>
      <c r="L1886" s="58" t="str">
        <f t="shared" si="89"/>
        <v>Not Applicable</v>
      </c>
    </row>
    <row r="1887" spans="1:12" ht="16.5" customHeight="1" x14ac:dyDescent="0.35">
      <c r="A1887" t="s">
        <v>830</v>
      </c>
      <c r="B1887" t="s">
        <v>830</v>
      </c>
      <c r="C1887">
        <v>0</v>
      </c>
      <c r="D1887">
        <v>106.2</v>
      </c>
      <c r="E1887" t="s">
        <v>7170</v>
      </c>
      <c r="F1887" t="s">
        <v>7171</v>
      </c>
      <c r="G1887" t="s">
        <v>7172</v>
      </c>
      <c r="H1887" t="s">
        <v>3532</v>
      </c>
      <c r="I1887" t="s">
        <v>3490</v>
      </c>
      <c r="J1887" s="56">
        <f t="shared" si="87"/>
        <v>42</v>
      </c>
      <c r="K1887" s="74" t="str">
        <f t="shared" si="88"/>
        <v>31-60 Days</v>
      </c>
      <c r="L1887" s="58" t="str">
        <f t="shared" si="89"/>
        <v>Not Applicable</v>
      </c>
    </row>
    <row r="1888" spans="1:12" ht="16.5" customHeight="1" x14ac:dyDescent="0.35">
      <c r="A1888" t="s">
        <v>830</v>
      </c>
      <c r="B1888" t="s">
        <v>830</v>
      </c>
      <c r="C1888">
        <v>0</v>
      </c>
      <c r="D1888">
        <v>1000</v>
      </c>
      <c r="E1888" t="s">
        <v>7173</v>
      </c>
      <c r="F1888" t="s">
        <v>7173</v>
      </c>
      <c r="G1888" t="s">
        <v>7174</v>
      </c>
      <c r="H1888" t="s">
        <v>3489</v>
      </c>
      <c r="I1888" t="s">
        <v>3490</v>
      </c>
      <c r="J1888" s="56">
        <f t="shared" si="87"/>
        <v>42</v>
      </c>
      <c r="K1888" s="74" t="str">
        <f t="shared" si="88"/>
        <v>31-60 Days</v>
      </c>
      <c r="L1888" s="58" t="str">
        <f t="shared" si="89"/>
        <v>Not Applicable</v>
      </c>
    </row>
    <row r="1889" spans="1:12" ht="16.5" customHeight="1" x14ac:dyDescent="0.35">
      <c r="A1889" t="s">
        <v>830</v>
      </c>
      <c r="B1889" t="s">
        <v>830</v>
      </c>
      <c r="C1889">
        <v>0</v>
      </c>
      <c r="D1889">
        <v>1865</v>
      </c>
      <c r="E1889" t="s">
        <v>7175</v>
      </c>
      <c r="F1889" t="s">
        <v>7175</v>
      </c>
      <c r="G1889" t="s">
        <v>7176</v>
      </c>
      <c r="H1889" t="s">
        <v>3489</v>
      </c>
      <c r="I1889" t="s">
        <v>3490</v>
      </c>
      <c r="J1889" s="56">
        <f t="shared" si="87"/>
        <v>42</v>
      </c>
      <c r="K1889" s="74" t="str">
        <f t="shared" si="88"/>
        <v>31-60 Days</v>
      </c>
      <c r="L1889" s="58" t="str">
        <f t="shared" si="89"/>
        <v>Not Applicable</v>
      </c>
    </row>
    <row r="1890" spans="1:12" ht="16.5" customHeight="1" x14ac:dyDescent="0.35">
      <c r="A1890" t="s">
        <v>830</v>
      </c>
      <c r="B1890" t="s">
        <v>830</v>
      </c>
      <c r="C1890">
        <v>0</v>
      </c>
      <c r="D1890">
        <v>50</v>
      </c>
      <c r="E1890" t="s">
        <v>7177</v>
      </c>
      <c r="F1890" t="s">
        <v>7177</v>
      </c>
      <c r="G1890" t="s">
        <v>7178</v>
      </c>
      <c r="H1890" t="s">
        <v>3489</v>
      </c>
      <c r="I1890" t="s">
        <v>3490</v>
      </c>
      <c r="J1890" s="56">
        <f t="shared" si="87"/>
        <v>42</v>
      </c>
      <c r="K1890" s="74" t="str">
        <f t="shared" si="88"/>
        <v>31-60 Days</v>
      </c>
      <c r="L1890" s="58" t="str">
        <f t="shared" si="89"/>
        <v>Not Applicable</v>
      </c>
    </row>
    <row r="1891" spans="1:12" ht="16.5" customHeight="1" x14ac:dyDescent="0.35">
      <c r="A1891" t="s">
        <v>830</v>
      </c>
      <c r="B1891" t="s">
        <v>830</v>
      </c>
      <c r="C1891">
        <v>0</v>
      </c>
      <c r="D1891">
        <v>50</v>
      </c>
      <c r="E1891" t="s">
        <v>7179</v>
      </c>
      <c r="F1891" t="s">
        <v>7179</v>
      </c>
      <c r="G1891" t="s">
        <v>7180</v>
      </c>
      <c r="H1891" t="s">
        <v>3489</v>
      </c>
      <c r="I1891" t="s">
        <v>3490</v>
      </c>
      <c r="J1891" s="56">
        <f t="shared" si="87"/>
        <v>42</v>
      </c>
      <c r="K1891" s="74" t="str">
        <f t="shared" si="88"/>
        <v>31-60 Days</v>
      </c>
      <c r="L1891" s="58" t="str">
        <f t="shared" si="89"/>
        <v>Not Applicable</v>
      </c>
    </row>
    <row r="1892" spans="1:12" ht="16.5" customHeight="1" x14ac:dyDescent="0.35">
      <c r="A1892" t="s">
        <v>856</v>
      </c>
      <c r="B1892" t="s">
        <v>856</v>
      </c>
      <c r="C1892">
        <v>0</v>
      </c>
      <c r="D1892">
        <v>902</v>
      </c>
      <c r="E1892" t="s">
        <v>7181</v>
      </c>
      <c r="F1892" t="s">
        <v>6359</v>
      </c>
      <c r="G1892" t="s">
        <v>7182</v>
      </c>
      <c r="H1892" t="s">
        <v>3489</v>
      </c>
      <c r="I1892" t="s">
        <v>3486</v>
      </c>
      <c r="J1892" s="56">
        <f t="shared" si="87"/>
        <v>41</v>
      </c>
      <c r="K1892" s="74" t="str">
        <f t="shared" si="88"/>
        <v>31-60 Days</v>
      </c>
      <c r="L1892" s="58" t="str">
        <f t="shared" si="89"/>
        <v>Not Applicable</v>
      </c>
    </row>
    <row r="1893" spans="1:12" ht="16.5" customHeight="1" x14ac:dyDescent="0.35">
      <c r="A1893" t="s">
        <v>856</v>
      </c>
      <c r="B1893" t="s">
        <v>856</v>
      </c>
      <c r="C1893">
        <v>0</v>
      </c>
      <c r="D1893">
        <v>100</v>
      </c>
      <c r="E1893" t="s">
        <v>7183</v>
      </c>
      <c r="F1893" t="s">
        <v>7183</v>
      </c>
      <c r="G1893" t="s">
        <v>7184</v>
      </c>
      <c r="H1893" t="s">
        <v>3489</v>
      </c>
      <c r="I1893" t="s">
        <v>3490</v>
      </c>
      <c r="J1893" s="56">
        <f t="shared" si="87"/>
        <v>41</v>
      </c>
      <c r="K1893" s="74" t="str">
        <f t="shared" si="88"/>
        <v>31-60 Days</v>
      </c>
      <c r="L1893" s="58" t="str">
        <f t="shared" si="89"/>
        <v>Not Applicable</v>
      </c>
    </row>
    <row r="1894" spans="1:12" ht="16.5" customHeight="1" x14ac:dyDescent="0.35">
      <c r="A1894" t="s">
        <v>856</v>
      </c>
      <c r="B1894" t="s">
        <v>856</v>
      </c>
      <c r="C1894">
        <v>0</v>
      </c>
      <c r="D1894">
        <v>100</v>
      </c>
      <c r="E1894" t="s">
        <v>7185</v>
      </c>
      <c r="F1894" t="s">
        <v>7185</v>
      </c>
      <c r="G1894" t="s">
        <v>7186</v>
      </c>
      <c r="H1894" t="s">
        <v>3489</v>
      </c>
      <c r="I1894" t="s">
        <v>3490</v>
      </c>
      <c r="J1894" s="56">
        <f t="shared" si="87"/>
        <v>41</v>
      </c>
      <c r="K1894" s="74" t="str">
        <f t="shared" si="88"/>
        <v>31-60 Days</v>
      </c>
      <c r="L1894" s="58" t="str">
        <f t="shared" si="89"/>
        <v>Not Applicable</v>
      </c>
    </row>
    <row r="1895" spans="1:12" ht="16.5" customHeight="1" x14ac:dyDescent="0.35">
      <c r="A1895" t="s">
        <v>856</v>
      </c>
      <c r="B1895" t="s">
        <v>856</v>
      </c>
      <c r="C1895">
        <v>0</v>
      </c>
      <c r="D1895">
        <v>235</v>
      </c>
      <c r="E1895" t="s">
        <v>7187</v>
      </c>
      <c r="F1895" t="s">
        <v>7187</v>
      </c>
      <c r="G1895" t="s">
        <v>7188</v>
      </c>
      <c r="H1895" t="s">
        <v>3489</v>
      </c>
      <c r="I1895" t="s">
        <v>3490</v>
      </c>
      <c r="J1895" s="56">
        <f t="shared" si="87"/>
        <v>41</v>
      </c>
      <c r="K1895" s="74" t="str">
        <f t="shared" si="88"/>
        <v>31-60 Days</v>
      </c>
      <c r="L1895" s="58" t="str">
        <f t="shared" si="89"/>
        <v>Not Applicable</v>
      </c>
    </row>
    <row r="1896" spans="1:12" ht="16.5" customHeight="1" x14ac:dyDescent="0.35">
      <c r="A1896" t="s">
        <v>856</v>
      </c>
      <c r="B1896" t="s">
        <v>856</v>
      </c>
      <c r="C1896">
        <v>0</v>
      </c>
      <c r="D1896">
        <v>24200</v>
      </c>
      <c r="E1896" t="s">
        <v>7189</v>
      </c>
      <c r="F1896" t="s">
        <v>6356</v>
      </c>
      <c r="G1896" t="s">
        <v>7190</v>
      </c>
      <c r="H1896" t="s">
        <v>3489</v>
      </c>
      <c r="I1896" t="s">
        <v>3486</v>
      </c>
      <c r="J1896" s="56">
        <f t="shared" si="87"/>
        <v>41</v>
      </c>
      <c r="K1896" s="74" t="str">
        <f t="shared" si="88"/>
        <v>31-60 Days</v>
      </c>
      <c r="L1896" s="58" t="str">
        <f t="shared" si="89"/>
        <v>Not Applicable</v>
      </c>
    </row>
    <row r="1897" spans="1:12" ht="16.5" customHeight="1" x14ac:dyDescent="0.35">
      <c r="A1897" t="s">
        <v>856</v>
      </c>
      <c r="B1897" t="s">
        <v>856</v>
      </c>
      <c r="C1897">
        <v>350000</v>
      </c>
      <c r="D1897">
        <v>0</v>
      </c>
      <c r="E1897" t="s">
        <v>7191</v>
      </c>
      <c r="F1897" t="s">
        <v>7191</v>
      </c>
      <c r="G1897" t="s">
        <v>7192</v>
      </c>
      <c r="H1897" t="s">
        <v>7193</v>
      </c>
      <c r="I1897" t="s">
        <v>3486</v>
      </c>
      <c r="J1897" s="56">
        <f t="shared" si="87"/>
        <v>41</v>
      </c>
      <c r="K1897" s="74" t="str">
        <f t="shared" si="88"/>
        <v>31-60 Days</v>
      </c>
      <c r="L1897" s="58" t="str">
        <f t="shared" si="89"/>
        <v>Especially Mentioned</v>
      </c>
    </row>
    <row r="1898" spans="1:12" ht="16.5" customHeight="1" x14ac:dyDescent="0.35">
      <c r="A1898" t="s">
        <v>856</v>
      </c>
      <c r="B1898" t="s">
        <v>856</v>
      </c>
      <c r="C1898">
        <v>0</v>
      </c>
      <c r="D1898">
        <v>876</v>
      </c>
      <c r="E1898" t="s">
        <v>7194</v>
      </c>
      <c r="F1898" t="s">
        <v>7195</v>
      </c>
      <c r="G1898" t="s">
        <v>7196</v>
      </c>
      <c r="H1898" t="s">
        <v>3532</v>
      </c>
      <c r="I1898" t="s">
        <v>3490</v>
      </c>
      <c r="J1898" s="56">
        <f t="shared" si="87"/>
        <v>41</v>
      </c>
      <c r="K1898" s="74" t="str">
        <f t="shared" si="88"/>
        <v>31-60 Days</v>
      </c>
      <c r="L1898" s="58" t="str">
        <f t="shared" si="89"/>
        <v>Not Applicable</v>
      </c>
    </row>
    <row r="1899" spans="1:12" ht="16.5" customHeight="1" x14ac:dyDescent="0.35">
      <c r="A1899" t="s">
        <v>856</v>
      </c>
      <c r="B1899" t="s">
        <v>856</v>
      </c>
      <c r="C1899">
        <v>0</v>
      </c>
      <c r="D1899">
        <v>1000</v>
      </c>
      <c r="E1899" t="s">
        <v>7197</v>
      </c>
      <c r="F1899" t="s">
        <v>6621</v>
      </c>
      <c r="G1899" t="s">
        <v>7198</v>
      </c>
      <c r="H1899" t="s">
        <v>3489</v>
      </c>
      <c r="I1899" t="s">
        <v>3486</v>
      </c>
      <c r="J1899" s="56">
        <f t="shared" si="87"/>
        <v>41</v>
      </c>
      <c r="K1899" s="74" t="str">
        <f t="shared" si="88"/>
        <v>31-60 Days</v>
      </c>
      <c r="L1899" s="58" t="str">
        <f t="shared" si="89"/>
        <v>Not Applicable</v>
      </c>
    </row>
    <row r="1900" spans="1:12" ht="16.5" customHeight="1" x14ac:dyDescent="0.35">
      <c r="A1900" t="s">
        <v>856</v>
      </c>
      <c r="B1900" t="s">
        <v>856</v>
      </c>
      <c r="C1900">
        <v>0</v>
      </c>
      <c r="D1900">
        <v>235</v>
      </c>
      <c r="E1900" t="s">
        <v>7199</v>
      </c>
      <c r="F1900" t="s">
        <v>7199</v>
      </c>
      <c r="G1900" t="s">
        <v>7200</v>
      </c>
      <c r="H1900" t="s">
        <v>3489</v>
      </c>
      <c r="I1900" t="s">
        <v>3490</v>
      </c>
      <c r="J1900" s="56">
        <f t="shared" si="87"/>
        <v>41</v>
      </c>
      <c r="K1900" s="74" t="str">
        <f t="shared" si="88"/>
        <v>31-60 Days</v>
      </c>
      <c r="L1900" s="58" t="str">
        <f t="shared" si="89"/>
        <v>Not Applicable</v>
      </c>
    </row>
    <row r="1901" spans="1:12" ht="16.5" customHeight="1" x14ac:dyDescent="0.35">
      <c r="A1901" t="s">
        <v>856</v>
      </c>
      <c r="B1901" t="s">
        <v>856</v>
      </c>
      <c r="C1901">
        <v>0</v>
      </c>
      <c r="D1901">
        <v>2050</v>
      </c>
      <c r="E1901" t="s">
        <v>7201</v>
      </c>
      <c r="F1901" t="s">
        <v>7202</v>
      </c>
      <c r="G1901" t="s">
        <v>7203</v>
      </c>
      <c r="H1901" t="s">
        <v>3532</v>
      </c>
      <c r="I1901" t="s">
        <v>3490</v>
      </c>
      <c r="J1901" s="56">
        <f t="shared" si="87"/>
        <v>41</v>
      </c>
      <c r="K1901" s="74" t="str">
        <f t="shared" si="88"/>
        <v>31-60 Days</v>
      </c>
      <c r="L1901" s="58" t="str">
        <f t="shared" si="89"/>
        <v>Not Applicable</v>
      </c>
    </row>
    <row r="1902" spans="1:12" ht="16.5" customHeight="1" x14ac:dyDescent="0.35">
      <c r="A1902" t="s">
        <v>856</v>
      </c>
      <c r="B1902" t="s">
        <v>856</v>
      </c>
      <c r="C1902">
        <v>0</v>
      </c>
      <c r="D1902">
        <v>840</v>
      </c>
      <c r="E1902" t="s">
        <v>7204</v>
      </c>
      <c r="F1902" t="s">
        <v>7205</v>
      </c>
      <c r="G1902" t="s">
        <v>7206</v>
      </c>
      <c r="H1902" t="s">
        <v>3532</v>
      </c>
      <c r="I1902" t="s">
        <v>3490</v>
      </c>
      <c r="J1902" s="56">
        <f t="shared" si="87"/>
        <v>41</v>
      </c>
      <c r="K1902" s="74" t="str">
        <f t="shared" si="88"/>
        <v>31-60 Days</v>
      </c>
      <c r="L1902" s="58" t="str">
        <f t="shared" si="89"/>
        <v>Not Applicable</v>
      </c>
    </row>
    <row r="1903" spans="1:12" ht="16.5" customHeight="1" x14ac:dyDescent="0.35">
      <c r="A1903" t="s">
        <v>856</v>
      </c>
      <c r="B1903" t="s">
        <v>856</v>
      </c>
      <c r="C1903">
        <v>0</v>
      </c>
      <c r="D1903">
        <v>2350</v>
      </c>
      <c r="E1903" t="s">
        <v>7207</v>
      </c>
      <c r="F1903" t="s">
        <v>7207</v>
      </c>
      <c r="G1903" t="s">
        <v>57</v>
      </c>
      <c r="H1903" t="s">
        <v>3914</v>
      </c>
      <c r="I1903" t="s">
        <v>3643</v>
      </c>
      <c r="J1903" s="56">
        <f t="shared" si="87"/>
        <v>41</v>
      </c>
      <c r="K1903" s="74" t="str">
        <f t="shared" si="88"/>
        <v>31-60 Days</v>
      </c>
      <c r="L1903" s="58" t="str">
        <f t="shared" si="89"/>
        <v>Not Applicable</v>
      </c>
    </row>
    <row r="1904" spans="1:12" ht="16.5" customHeight="1" x14ac:dyDescent="0.35">
      <c r="A1904" t="s">
        <v>856</v>
      </c>
      <c r="B1904" t="s">
        <v>856</v>
      </c>
      <c r="C1904">
        <v>0</v>
      </c>
      <c r="D1904">
        <v>600</v>
      </c>
      <c r="E1904" t="s">
        <v>7208</v>
      </c>
      <c r="F1904" t="s">
        <v>7208</v>
      </c>
      <c r="G1904" t="s">
        <v>7209</v>
      </c>
      <c r="H1904" t="s">
        <v>3489</v>
      </c>
      <c r="I1904" t="s">
        <v>3490</v>
      </c>
      <c r="J1904" s="56">
        <f t="shared" si="87"/>
        <v>41</v>
      </c>
      <c r="K1904" s="74" t="str">
        <f t="shared" si="88"/>
        <v>31-60 Days</v>
      </c>
      <c r="L1904" s="58" t="str">
        <f t="shared" si="89"/>
        <v>Not Applicable</v>
      </c>
    </row>
    <row r="1905" spans="1:12" ht="16.5" customHeight="1" x14ac:dyDescent="0.35">
      <c r="A1905" t="s">
        <v>856</v>
      </c>
      <c r="B1905" t="s">
        <v>856</v>
      </c>
      <c r="C1905">
        <v>0</v>
      </c>
      <c r="D1905">
        <v>660</v>
      </c>
      <c r="E1905" t="s">
        <v>7210</v>
      </c>
      <c r="F1905" t="s">
        <v>6391</v>
      </c>
      <c r="G1905" t="s">
        <v>7211</v>
      </c>
      <c r="H1905" t="s">
        <v>3489</v>
      </c>
      <c r="I1905" t="s">
        <v>3486</v>
      </c>
      <c r="J1905" s="56">
        <f t="shared" si="87"/>
        <v>41</v>
      </c>
      <c r="K1905" s="74" t="str">
        <f t="shared" si="88"/>
        <v>31-60 Days</v>
      </c>
      <c r="L1905" s="58" t="str">
        <f t="shared" si="89"/>
        <v>Not Applicable</v>
      </c>
    </row>
    <row r="1906" spans="1:12" ht="16.5" customHeight="1" x14ac:dyDescent="0.35">
      <c r="A1906" t="s">
        <v>856</v>
      </c>
      <c r="B1906" t="s">
        <v>856</v>
      </c>
      <c r="C1906">
        <v>0</v>
      </c>
      <c r="D1906">
        <v>912</v>
      </c>
      <c r="E1906" t="s">
        <v>7212</v>
      </c>
      <c r="F1906" t="s">
        <v>7213</v>
      </c>
      <c r="G1906" t="s">
        <v>7214</v>
      </c>
      <c r="H1906" t="s">
        <v>3532</v>
      </c>
      <c r="I1906" t="s">
        <v>3490</v>
      </c>
      <c r="J1906" s="56">
        <f t="shared" si="87"/>
        <v>41</v>
      </c>
      <c r="K1906" s="74" t="str">
        <f t="shared" si="88"/>
        <v>31-60 Days</v>
      </c>
      <c r="L1906" s="58" t="str">
        <f t="shared" si="89"/>
        <v>Not Applicable</v>
      </c>
    </row>
    <row r="1907" spans="1:12" ht="16.5" customHeight="1" x14ac:dyDescent="0.35">
      <c r="A1907" t="s">
        <v>856</v>
      </c>
      <c r="B1907" t="s">
        <v>856</v>
      </c>
      <c r="C1907">
        <v>15300</v>
      </c>
      <c r="D1907">
        <v>0</v>
      </c>
      <c r="E1907" t="s">
        <v>7215</v>
      </c>
      <c r="F1907" t="s">
        <v>7216</v>
      </c>
      <c r="G1907" t="s">
        <v>7217</v>
      </c>
      <c r="H1907" t="s">
        <v>4491</v>
      </c>
      <c r="I1907" t="s">
        <v>3490</v>
      </c>
      <c r="J1907" s="56">
        <f t="shared" si="87"/>
        <v>41</v>
      </c>
      <c r="K1907" s="74" t="str">
        <f t="shared" si="88"/>
        <v>31-60 Days</v>
      </c>
      <c r="L1907" s="58" t="str">
        <f t="shared" si="89"/>
        <v>Especially Mentioned</v>
      </c>
    </row>
    <row r="1908" spans="1:12" ht="16.5" customHeight="1" x14ac:dyDescent="0.35">
      <c r="A1908" t="s">
        <v>856</v>
      </c>
      <c r="B1908" t="s">
        <v>856</v>
      </c>
      <c r="C1908">
        <v>0</v>
      </c>
      <c r="D1908">
        <v>100</v>
      </c>
      <c r="E1908" t="s">
        <v>7218</v>
      </c>
      <c r="F1908" t="s">
        <v>7218</v>
      </c>
      <c r="G1908" t="s">
        <v>7219</v>
      </c>
      <c r="H1908" t="s">
        <v>3489</v>
      </c>
      <c r="I1908" t="s">
        <v>3490</v>
      </c>
      <c r="J1908" s="56">
        <f t="shared" si="87"/>
        <v>41</v>
      </c>
      <c r="K1908" s="74" t="str">
        <f t="shared" si="88"/>
        <v>31-60 Days</v>
      </c>
      <c r="L1908" s="58" t="str">
        <f t="shared" si="89"/>
        <v>Not Applicable</v>
      </c>
    </row>
    <row r="1909" spans="1:12" ht="16.5" customHeight="1" x14ac:dyDescent="0.35">
      <c r="A1909" t="s">
        <v>856</v>
      </c>
      <c r="B1909" t="s">
        <v>856</v>
      </c>
      <c r="C1909">
        <v>0</v>
      </c>
      <c r="D1909">
        <v>80</v>
      </c>
      <c r="E1909" t="s">
        <v>7220</v>
      </c>
      <c r="F1909" t="s">
        <v>6492</v>
      </c>
      <c r="G1909" t="s">
        <v>7221</v>
      </c>
      <c r="H1909" t="s">
        <v>3489</v>
      </c>
      <c r="I1909" t="s">
        <v>3486</v>
      </c>
      <c r="J1909" s="56">
        <f t="shared" si="87"/>
        <v>41</v>
      </c>
      <c r="K1909" s="74" t="str">
        <f t="shared" si="88"/>
        <v>31-60 Days</v>
      </c>
      <c r="L1909" s="58" t="str">
        <f t="shared" si="89"/>
        <v>Not Applicable</v>
      </c>
    </row>
    <row r="1910" spans="1:12" ht="16.5" customHeight="1" x14ac:dyDescent="0.35">
      <c r="A1910" t="s">
        <v>856</v>
      </c>
      <c r="B1910" t="s">
        <v>856</v>
      </c>
      <c r="C1910">
        <v>0</v>
      </c>
      <c r="D1910">
        <v>550</v>
      </c>
      <c r="E1910" t="s">
        <v>7222</v>
      </c>
      <c r="F1910" t="s">
        <v>7222</v>
      </c>
      <c r="G1910" t="s">
        <v>7223</v>
      </c>
      <c r="H1910" t="s">
        <v>3489</v>
      </c>
      <c r="I1910" t="s">
        <v>3490</v>
      </c>
      <c r="J1910" s="56">
        <f t="shared" si="87"/>
        <v>41</v>
      </c>
      <c r="K1910" s="74" t="str">
        <f t="shared" si="88"/>
        <v>31-60 Days</v>
      </c>
      <c r="L1910" s="58" t="str">
        <f t="shared" si="89"/>
        <v>Not Applicable</v>
      </c>
    </row>
    <row r="1911" spans="1:12" ht="16.5" customHeight="1" x14ac:dyDescent="0.35">
      <c r="A1911" t="s">
        <v>856</v>
      </c>
      <c r="B1911" t="s">
        <v>856</v>
      </c>
      <c r="C1911">
        <v>0</v>
      </c>
      <c r="D1911">
        <v>100</v>
      </c>
      <c r="E1911" t="s">
        <v>7224</v>
      </c>
      <c r="F1911" t="s">
        <v>7224</v>
      </c>
      <c r="G1911" t="s">
        <v>7225</v>
      </c>
      <c r="H1911" t="s">
        <v>3489</v>
      </c>
      <c r="I1911" t="s">
        <v>3490</v>
      </c>
      <c r="J1911" s="56">
        <f t="shared" si="87"/>
        <v>41</v>
      </c>
      <c r="K1911" s="74" t="str">
        <f t="shared" si="88"/>
        <v>31-60 Days</v>
      </c>
      <c r="L1911" s="58" t="str">
        <f t="shared" si="89"/>
        <v>Not Applicable</v>
      </c>
    </row>
    <row r="1912" spans="1:12" ht="16.5" customHeight="1" x14ac:dyDescent="0.35">
      <c r="A1912" t="s">
        <v>856</v>
      </c>
      <c r="B1912" t="s">
        <v>856</v>
      </c>
      <c r="C1912">
        <v>3050</v>
      </c>
      <c r="D1912">
        <v>0</v>
      </c>
      <c r="E1912" t="s">
        <v>7226</v>
      </c>
      <c r="F1912" t="s">
        <v>7227</v>
      </c>
      <c r="G1912" t="s">
        <v>7228</v>
      </c>
      <c r="H1912" t="s">
        <v>6053</v>
      </c>
      <c r="I1912" t="s">
        <v>3507</v>
      </c>
      <c r="J1912" s="56">
        <f t="shared" si="87"/>
        <v>41</v>
      </c>
      <c r="K1912" s="74" t="str">
        <f t="shared" si="88"/>
        <v>31-60 Days</v>
      </c>
      <c r="L1912" s="58" t="str">
        <f t="shared" si="89"/>
        <v>Especially Mentioned</v>
      </c>
    </row>
    <row r="1913" spans="1:12" ht="16.5" customHeight="1" x14ac:dyDescent="0.35">
      <c r="A1913" t="s">
        <v>856</v>
      </c>
      <c r="B1913" t="s">
        <v>856</v>
      </c>
      <c r="C1913">
        <v>0</v>
      </c>
      <c r="D1913">
        <v>120</v>
      </c>
      <c r="E1913" t="s">
        <v>7229</v>
      </c>
      <c r="F1913" t="s">
        <v>7229</v>
      </c>
      <c r="G1913" t="s">
        <v>7230</v>
      </c>
      <c r="H1913" t="s">
        <v>3489</v>
      </c>
      <c r="I1913" t="s">
        <v>3490</v>
      </c>
      <c r="J1913" s="56">
        <f t="shared" si="87"/>
        <v>41</v>
      </c>
      <c r="K1913" s="74" t="str">
        <f t="shared" si="88"/>
        <v>31-60 Days</v>
      </c>
      <c r="L1913" s="58" t="str">
        <f t="shared" si="89"/>
        <v>Not Applicable</v>
      </c>
    </row>
    <row r="1914" spans="1:12" ht="16.5" customHeight="1" x14ac:dyDescent="0.35">
      <c r="A1914" t="s">
        <v>856</v>
      </c>
      <c r="B1914" t="s">
        <v>856</v>
      </c>
      <c r="C1914">
        <v>0</v>
      </c>
      <c r="D1914">
        <v>100</v>
      </c>
      <c r="E1914" t="s">
        <v>7231</v>
      </c>
      <c r="F1914" t="s">
        <v>7231</v>
      </c>
      <c r="G1914" t="s">
        <v>7232</v>
      </c>
      <c r="H1914" t="s">
        <v>3489</v>
      </c>
      <c r="I1914" t="s">
        <v>3490</v>
      </c>
      <c r="J1914" s="56">
        <f t="shared" si="87"/>
        <v>41</v>
      </c>
      <c r="K1914" s="74" t="str">
        <f t="shared" si="88"/>
        <v>31-60 Days</v>
      </c>
      <c r="L1914" s="58" t="str">
        <f t="shared" si="89"/>
        <v>Not Applicable</v>
      </c>
    </row>
    <row r="1915" spans="1:12" ht="16.5" customHeight="1" x14ac:dyDescent="0.35">
      <c r="A1915" t="s">
        <v>856</v>
      </c>
      <c r="B1915" t="s">
        <v>856</v>
      </c>
      <c r="C1915">
        <v>0</v>
      </c>
      <c r="D1915">
        <v>690</v>
      </c>
      <c r="E1915" t="s">
        <v>7233</v>
      </c>
      <c r="F1915" t="s">
        <v>6157</v>
      </c>
      <c r="G1915" t="s">
        <v>7234</v>
      </c>
      <c r="H1915" t="s">
        <v>3489</v>
      </c>
      <c r="I1915" t="s">
        <v>3486</v>
      </c>
      <c r="J1915" s="56">
        <f t="shared" si="87"/>
        <v>41</v>
      </c>
      <c r="K1915" s="74" t="str">
        <f t="shared" si="88"/>
        <v>31-60 Days</v>
      </c>
      <c r="L1915" s="58" t="str">
        <f t="shared" si="89"/>
        <v>Not Applicable</v>
      </c>
    </row>
    <row r="1916" spans="1:12" ht="16.5" customHeight="1" x14ac:dyDescent="0.35">
      <c r="A1916" t="s">
        <v>856</v>
      </c>
      <c r="B1916" t="s">
        <v>856</v>
      </c>
      <c r="C1916">
        <v>0</v>
      </c>
      <c r="D1916">
        <v>3418360.6</v>
      </c>
      <c r="E1916" t="s">
        <v>7235</v>
      </c>
      <c r="F1916" t="s">
        <v>7235</v>
      </c>
      <c r="G1916" t="s">
        <v>7236</v>
      </c>
      <c r="H1916" t="s">
        <v>3489</v>
      </c>
      <c r="I1916" t="s">
        <v>3507</v>
      </c>
      <c r="J1916" s="56">
        <f t="shared" si="87"/>
        <v>41</v>
      </c>
      <c r="K1916" s="74" t="str">
        <f t="shared" si="88"/>
        <v>31-60 Days</v>
      </c>
      <c r="L1916" s="58" t="str">
        <f t="shared" si="89"/>
        <v>Not Applicable</v>
      </c>
    </row>
    <row r="1917" spans="1:12" ht="16.5" customHeight="1" x14ac:dyDescent="0.35">
      <c r="A1917" t="s">
        <v>856</v>
      </c>
      <c r="B1917" t="s">
        <v>856</v>
      </c>
      <c r="C1917">
        <v>0</v>
      </c>
      <c r="D1917">
        <v>250</v>
      </c>
      <c r="E1917" t="s">
        <v>7237</v>
      </c>
      <c r="F1917" t="s">
        <v>7237</v>
      </c>
      <c r="G1917" t="s">
        <v>7238</v>
      </c>
      <c r="H1917" t="s">
        <v>3489</v>
      </c>
      <c r="I1917" t="s">
        <v>3490</v>
      </c>
      <c r="J1917" s="56">
        <f t="shared" si="87"/>
        <v>41</v>
      </c>
      <c r="K1917" s="74" t="str">
        <f t="shared" si="88"/>
        <v>31-60 Days</v>
      </c>
      <c r="L1917" s="58" t="str">
        <f t="shared" si="89"/>
        <v>Not Applicable</v>
      </c>
    </row>
    <row r="1918" spans="1:12" ht="16.5" customHeight="1" x14ac:dyDescent="0.35">
      <c r="A1918" t="s">
        <v>856</v>
      </c>
      <c r="B1918" t="s">
        <v>856</v>
      </c>
      <c r="C1918">
        <v>0</v>
      </c>
      <c r="D1918">
        <v>1414.5</v>
      </c>
      <c r="E1918" t="s">
        <v>7239</v>
      </c>
      <c r="F1918" t="s">
        <v>6277</v>
      </c>
      <c r="G1918" t="s">
        <v>7240</v>
      </c>
      <c r="H1918" t="s">
        <v>3489</v>
      </c>
      <c r="I1918" t="s">
        <v>3486</v>
      </c>
      <c r="J1918" s="56">
        <f t="shared" si="87"/>
        <v>41</v>
      </c>
      <c r="K1918" s="74" t="str">
        <f t="shared" si="88"/>
        <v>31-60 Days</v>
      </c>
      <c r="L1918" s="58" t="str">
        <f t="shared" si="89"/>
        <v>Not Applicable</v>
      </c>
    </row>
    <row r="1919" spans="1:12" ht="16.5" customHeight="1" x14ac:dyDescent="0.35">
      <c r="A1919" t="s">
        <v>856</v>
      </c>
      <c r="B1919" t="s">
        <v>856</v>
      </c>
      <c r="C1919">
        <v>0</v>
      </c>
      <c r="D1919">
        <v>1044</v>
      </c>
      <c r="E1919" t="s">
        <v>7241</v>
      </c>
      <c r="F1919" t="s">
        <v>6535</v>
      </c>
      <c r="G1919" t="s">
        <v>7242</v>
      </c>
      <c r="H1919" t="s">
        <v>3489</v>
      </c>
      <c r="I1919" t="s">
        <v>3486</v>
      </c>
      <c r="J1919" s="56">
        <f t="shared" si="87"/>
        <v>41</v>
      </c>
      <c r="K1919" s="74" t="str">
        <f t="shared" si="88"/>
        <v>31-60 Days</v>
      </c>
      <c r="L1919" s="58" t="str">
        <f t="shared" si="89"/>
        <v>Not Applicable</v>
      </c>
    </row>
    <row r="1920" spans="1:12" ht="16.5" customHeight="1" x14ac:dyDescent="0.35">
      <c r="A1920" t="s">
        <v>856</v>
      </c>
      <c r="B1920" t="s">
        <v>856</v>
      </c>
      <c r="C1920">
        <v>0</v>
      </c>
      <c r="D1920">
        <v>2650</v>
      </c>
      <c r="E1920" t="s">
        <v>7243</v>
      </c>
      <c r="F1920" t="s">
        <v>6543</v>
      </c>
      <c r="G1920" t="s">
        <v>7244</v>
      </c>
      <c r="H1920" t="s">
        <v>3489</v>
      </c>
      <c r="I1920" t="s">
        <v>3486</v>
      </c>
      <c r="J1920" s="56">
        <f t="shared" si="87"/>
        <v>41</v>
      </c>
      <c r="K1920" s="74" t="str">
        <f t="shared" si="88"/>
        <v>31-60 Days</v>
      </c>
      <c r="L1920" s="58" t="str">
        <f t="shared" si="89"/>
        <v>Not Applicable</v>
      </c>
    </row>
    <row r="1921" spans="1:12" ht="16.5" customHeight="1" x14ac:dyDescent="0.35">
      <c r="A1921" t="s">
        <v>856</v>
      </c>
      <c r="B1921" t="s">
        <v>856</v>
      </c>
      <c r="C1921">
        <v>0</v>
      </c>
      <c r="D1921">
        <v>554.44000000000005</v>
      </c>
      <c r="E1921" t="s">
        <v>7245</v>
      </c>
      <c r="F1921" t="s">
        <v>6271</v>
      </c>
      <c r="G1921" t="s">
        <v>7246</v>
      </c>
      <c r="H1921" t="s">
        <v>3489</v>
      </c>
      <c r="I1921" t="s">
        <v>3486</v>
      </c>
      <c r="J1921" s="56">
        <f t="shared" si="87"/>
        <v>41</v>
      </c>
      <c r="K1921" s="74" t="str">
        <f t="shared" si="88"/>
        <v>31-60 Days</v>
      </c>
      <c r="L1921" s="58" t="str">
        <f t="shared" si="89"/>
        <v>Not Applicable</v>
      </c>
    </row>
    <row r="1922" spans="1:12" ht="16.5" customHeight="1" x14ac:dyDescent="0.35">
      <c r="A1922" t="s">
        <v>856</v>
      </c>
      <c r="B1922" t="s">
        <v>856</v>
      </c>
      <c r="C1922">
        <v>0</v>
      </c>
      <c r="D1922">
        <v>800</v>
      </c>
      <c r="E1922" t="s">
        <v>7247</v>
      </c>
      <c r="F1922" t="s">
        <v>6500</v>
      </c>
      <c r="G1922" t="s">
        <v>7248</v>
      </c>
      <c r="H1922" t="s">
        <v>3489</v>
      </c>
      <c r="I1922" t="s">
        <v>3486</v>
      </c>
      <c r="J1922" s="56">
        <f t="shared" si="87"/>
        <v>41</v>
      </c>
      <c r="K1922" s="74" t="str">
        <f t="shared" si="88"/>
        <v>31-60 Days</v>
      </c>
      <c r="L1922" s="58" t="str">
        <f t="shared" si="89"/>
        <v>Not Applicable</v>
      </c>
    </row>
    <row r="1923" spans="1:12" ht="16.5" customHeight="1" x14ac:dyDescent="0.35">
      <c r="A1923" t="s">
        <v>856</v>
      </c>
      <c r="B1923" t="s">
        <v>856</v>
      </c>
      <c r="C1923">
        <v>0</v>
      </c>
      <c r="D1923">
        <v>624</v>
      </c>
      <c r="E1923" t="s">
        <v>7249</v>
      </c>
      <c r="F1923" t="s">
        <v>6624</v>
      </c>
      <c r="G1923" t="s">
        <v>7250</v>
      </c>
      <c r="H1923" t="s">
        <v>3489</v>
      </c>
      <c r="I1923" t="s">
        <v>3486</v>
      </c>
      <c r="J1923" s="56">
        <f t="shared" si="87"/>
        <v>41</v>
      </c>
      <c r="K1923" s="74" t="str">
        <f t="shared" si="88"/>
        <v>31-60 Days</v>
      </c>
      <c r="L1923" s="58" t="str">
        <f t="shared" si="89"/>
        <v>Not Applicable</v>
      </c>
    </row>
    <row r="1924" spans="1:12" ht="16.5" customHeight="1" x14ac:dyDescent="0.35">
      <c r="A1924" t="s">
        <v>856</v>
      </c>
      <c r="B1924" t="s">
        <v>856</v>
      </c>
      <c r="C1924">
        <v>0</v>
      </c>
      <c r="D1924">
        <v>1425</v>
      </c>
      <c r="E1924" t="s">
        <v>7251</v>
      </c>
      <c r="F1924" t="s">
        <v>6477</v>
      </c>
      <c r="G1924" t="s">
        <v>7252</v>
      </c>
      <c r="H1924" t="s">
        <v>3489</v>
      </c>
      <c r="I1924" t="s">
        <v>3486</v>
      </c>
      <c r="J1924" s="56">
        <f t="shared" si="87"/>
        <v>41</v>
      </c>
      <c r="K1924" s="74" t="str">
        <f t="shared" si="88"/>
        <v>31-60 Days</v>
      </c>
      <c r="L1924" s="58" t="str">
        <f t="shared" si="89"/>
        <v>Not Applicable</v>
      </c>
    </row>
    <row r="1925" spans="1:12" ht="16.5" customHeight="1" x14ac:dyDescent="0.35">
      <c r="A1925" t="s">
        <v>856</v>
      </c>
      <c r="B1925" t="s">
        <v>856</v>
      </c>
      <c r="C1925">
        <v>0</v>
      </c>
      <c r="D1925">
        <v>668.35</v>
      </c>
      <c r="E1925" t="s">
        <v>7253</v>
      </c>
      <c r="F1925" t="s">
        <v>6525</v>
      </c>
      <c r="G1925" t="s">
        <v>7254</v>
      </c>
      <c r="H1925" t="s">
        <v>3489</v>
      </c>
      <c r="I1925" t="s">
        <v>3486</v>
      </c>
      <c r="J1925" s="56">
        <f t="shared" si="87"/>
        <v>41</v>
      </c>
      <c r="K1925" s="74" t="str">
        <f t="shared" si="88"/>
        <v>31-60 Days</v>
      </c>
      <c r="L1925" s="58" t="str">
        <f t="shared" si="89"/>
        <v>Not Applicable</v>
      </c>
    </row>
    <row r="1926" spans="1:12" ht="16.5" customHeight="1" x14ac:dyDescent="0.35">
      <c r="A1926" t="s">
        <v>856</v>
      </c>
      <c r="B1926" t="s">
        <v>856</v>
      </c>
      <c r="C1926">
        <v>0</v>
      </c>
      <c r="D1926">
        <v>550</v>
      </c>
      <c r="E1926" t="s">
        <v>7255</v>
      </c>
      <c r="F1926" t="s">
        <v>7255</v>
      </c>
      <c r="G1926" t="s">
        <v>7256</v>
      </c>
      <c r="H1926" t="s">
        <v>3489</v>
      </c>
      <c r="I1926" t="s">
        <v>3490</v>
      </c>
      <c r="J1926" s="56">
        <f t="shared" si="87"/>
        <v>41</v>
      </c>
      <c r="K1926" s="74" t="str">
        <f t="shared" si="88"/>
        <v>31-60 Days</v>
      </c>
      <c r="L1926" s="58" t="str">
        <f t="shared" si="89"/>
        <v>Not Applicable</v>
      </c>
    </row>
    <row r="1927" spans="1:12" ht="16.5" customHeight="1" x14ac:dyDescent="0.35">
      <c r="A1927" t="s">
        <v>856</v>
      </c>
      <c r="B1927" t="s">
        <v>856</v>
      </c>
      <c r="C1927">
        <v>0</v>
      </c>
      <c r="D1927">
        <v>2550</v>
      </c>
      <c r="E1927" t="s">
        <v>7257</v>
      </c>
      <c r="F1927" t="s">
        <v>7257</v>
      </c>
      <c r="G1927" t="s">
        <v>7258</v>
      </c>
      <c r="H1927" t="s">
        <v>3489</v>
      </c>
      <c r="I1927" t="s">
        <v>3490</v>
      </c>
      <c r="J1927" s="56">
        <f t="shared" si="87"/>
        <v>41</v>
      </c>
      <c r="K1927" s="74" t="str">
        <f t="shared" si="88"/>
        <v>31-60 Days</v>
      </c>
      <c r="L1927" s="58" t="str">
        <f t="shared" si="89"/>
        <v>Not Applicable</v>
      </c>
    </row>
    <row r="1928" spans="1:12" ht="16.5" customHeight="1" x14ac:dyDescent="0.35">
      <c r="A1928" t="s">
        <v>856</v>
      </c>
      <c r="B1928" t="s">
        <v>856</v>
      </c>
      <c r="C1928">
        <v>0</v>
      </c>
      <c r="D1928">
        <v>1100</v>
      </c>
      <c r="E1928" t="s">
        <v>7259</v>
      </c>
      <c r="F1928" t="s">
        <v>6648</v>
      </c>
      <c r="G1928" t="s">
        <v>7260</v>
      </c>
      <c r="H1928" t="s">
        <v>3489</v>
      </c>
      <c r="I1928" t="s">
        <v>3486</v>
      </c>
      <c r="J1928" s="56">
        <f t="shared" si="87"/>
        <v>41</v>
      </c>
      <c r="K1928" s="74" t="str">
        <f t="shared" si="88"/>
        <v>31-60 Days</v>
      </c>
      <c r="L1928" s="58" t="str">
        <f t="shared" si="89"/>
        <v>Not Applicable</v>
      </c>
    </row>
    <row r="1929" spans="1:12" ht="16.5" customHeight="1" x14ac:dyDescent="0.35">
      <c r="A1929" t="s">
        <v>856</v>
      </c>
      <c r="B1929" t="s">
        <v>856</v>
      </c>
      <c r="C1929">
        <v>1000</v>
      </c>
      <c r="D1929">
        <v>0</v>
      </c>
      <c r="E1929" t="s">
        <v>7261</v>
      </c>
      <c r="F1929" t="s">
        <v>7261</v>
      </c>
      <c r="G1929" t="s">
        <v>7262</v>
      </c>
      <c r="H1929" t="s">
        <v>3458</v>
      </c>
      <c r="I1929" t="s">
        <v>3507</v>
      </c>
      <c r="J1929" s="56">
        <f t="shared" ref="J1929:J1992" si="90">IF(A1929="","",A$5-A1929)</f>
        <v>41</v>
      </c>
      <c r="K1929" s="74" t="str">
        <f t="shared" ref="K1929:K1992" si="91">IF(J1929="","",IF(J1929&lt;4,"0-3 Days",IF(J1929&lt;31,"4-30 Days",IF(J1929&lt;61,"31-60 Days",IF(J1929&lt;=90,"61-90 Days",IF(J1929&gt;90,"Above 90 Days","0"))))))</f>
        <v>31-60 Days</v>
      </c>
      <c r="L1929" s="58" t="str">
        <f t="shared" ref="L1929:L1992" si="92">IF(C1929="","",IF(C1929&gt;0,IF(J1929&lt;30,"Normal",IF(J1929&lt;60,"Especially Mentioned",IF(J1929&lt;90,"Substandard",IF(J1929&lt;=180,"Doubtful",IF(J1929&gt;180,"Loss","0"))))),"Not Applicable"))</f>
        <v>Especially Mentioned</v>
      </c>
    </row>
    <row r="1930" spans="1:12" ht="16.5" customHeight="1" x14ac:dyDescent="0.35">
      <c r="A1930" t="s">
        <v>856</v>
      </c>
      <c r="B1930" t="s">
        <v>856</v>
      </c>
      <c r="C1930">
        <v>0</v>
      </c>
      <c r="D1930">
        <v>322.52</v>
      </c>
      <c r="E1930" t="s">
        <v>7263</v>
      </c>
      <c r="F1930" t="s">
        <v>6561</v>
      </c>
      <c r="G1930" t="s">
        <v>7264</v>
      </c>
      <c r="H1930" t="s">
        <v>3489</v>
      </c>
      <c r="I1930" t="s">
        <v>3486</v>
      </c>
      <c r="J1930" s="56">
        <f t="shared" si="90"/>
        <v>41</v>
      </c>
      <c r="K1930" s="74" t="str">
        <f t="shared" si="91"/>
        <v>31-60 Days</v>
      </c>
      <c r="L1930" s="58" t="str">
        <f t="shared" si="92"/>
        <v>Not Applicable</v>
      </c>
    </row>
    <row r="1931" spans="1:12" ht="16.5" customHeight="1" x14ac:dyDescent="0.35">
      <c r="A1931" t="s">
        <v>856</v>
      </c>
      <c r="B1931" t="s">
        <v>856</v>
      </c>
      <c r="C1931">
        <v>0</v>
      </c>
      <c r="D1931">
        <v>1237.8800000000001</v>
      </c>
      <c r="E1931" t="s">
        <v>7265</v>
      </c>
      <c r="F1931" t="s">
        <v>6552</v>
      </c>
      <c r="G1931" t="s">
        <v>7266</v>
      </c>
      <c r="H1931" t="s">
        <v>3489</v>
      </c>
      <c r="I1931" t="s">
        <v>3486</v>
      </c>
      <c r="J1931" s="56">
        <f t="shared" si="90"/>
        <v>41</v>
      </c>
      <c r="K1931" s="74" t="str">
        <f t="shared" si="91"/>
        <v>31-60 Days</v>
      </c>
      <c r="L1931" s="58" t="str">
        <f t="shared" si="92"/>
        <v>Not Applicable</v>
      </c>
    </row>
    <row r="1932" spans="1:12" ht="16.5" customHeight="1" x14ac:dyDescent="0.35">
      <c r="A1932" t="s">
        <v>856</v>
      </c>
      <c r="B1932" t="s">
        <v>856</v>
      </c>
      <c r="C1932">
        <v>0</v>
      </c>
      <c r="D1932">
        <v>23805</v>
      </c>
      <c r="E1932" t="s">
        <v>7267</v>
      </c>
      <c r="F1932" t="s">
        <v>3574</v>
      </c>
      <c r="G1932" t="s">
        <v>7268</v>
      </c>
      <c r="H1932" t="s">
        <v>3489</v>
      </c>
      <c r="I1932" t="s">
        <v>3490</v>
      </c>
      <c r="J1932" s="56">
        <f t="shared" si="90"/>
        <v>41</v>
      </c>
      <c r="K1932" s="74" t="str">
        <f t="shared" si="91"/>
        <v>31-60 Days</v>
      </c>
      <c r="L1932" s="58" t="str">
        <f t="shared" si="92"/>
        <v>Not Applicable</v>
      </c>
    </row>
    <row r="1933" spans="1:12" ht="16.5" customHeight="1" x14ac:dyDescent="0.35">
      <c r="A1933" t="s">
        <v>856</v>
      </c>
      <c r="B1933" t="s">
        <v>856</v>
      </c>
      <c r="C1933">
        <v>0</v>
      </c>
      <c r="D1933">
        <v>600</v>
      </c>
      <c r="E1933" t="s">
        <v>7269</v>
      </c>
      <c r="F1933" t="s">
        <v>7269</v>
      </c>
      <c r="G1933" t="s">
        <v>7270</v>
      </c>
      <c r="H1933" t="s">
        <v>3489</v>
      </c>
      <c r="I1933" t="s">
        <v>3490</v>
      </c>
      <c r="J1933" s="56">
        <f t="shared" si="90"/>
        <v>41</v>
      </c>
      <c r="K1933" s="74" t="str">
        <f t="shared" si="91"/>
        <v>31-60 Days</v>
      </c>
      <c r="L1933" s="58" t="str">
        <f t="shared" si="92"/>
        <v>Not Applicable</v>
      </c>
    </row>
    <row r="1934" spans="1:12" ht="16.5" customHeight="1" x14ac:dyDescent="0.35">
      <c r="A1934" t="s">
        <v>856</v>
      </c>
      <c r="B1934" t="s">
        <v>856</v>
      </c>
      <c r="C1934">
        <v>0</v>
      </c>
      <c r="D1934">
        <v>235</v>
      </c>
      <c r="E1934" t="s">
        <v>7271</v>
      </c>
      <c r="F1934" t="s">
        <v>7271</v>
      </c>
      <c r="G1934" t="s">
        <v>7272</v>
      </c>
      <c r="H1934" t="s">
        <v>3489</v>
      </c>
      <c r="I1934" t="s">
        <v>3490</v>
      </c>
      <c r="J1934" s="56">
        <f t="shared" si="90"/>
        <v>41</v>
      </c>
      <c r="K1934" s="74" t="str">
        <f t="shared" si="91"/>
        <v>31-60 Days</v>
      </c>
      <c r="L1934" s="58" t="str">
        <f t="shared" si="92"/>
        <v>Not Applicable</v>
      </c>
    </row>
    <row r="1935" spans="1:12" ht="16.5" customHeight="1" x14ac:dyDescent="0.35">
      <c r="A1935" t="s">
        <v>856</v>
      </c>
      <c r="B1935" t="s">
        <v>856</v>
      </c>
      <c r="C1935">
        <v>4171</v>
      </c>
      <c r="D1935">
        <v>0</v>
      </c>
      <c r="E1935" t="s">
        <v>7273</v>
      </c>
      <c r="F1935" t="s">
        <v>7274</v>
      </c>
      <c r="G1935" t="s">
        <v>7275</v>
      </c>
      <c r="H1935" t="s">
        <v>3455</v>
      </c>
      <c r="I1935" t="s">
        <v>3490</v>
      </c>
      <c r="J1935" s="56">
        <f t="shared" si="90"/>
        <v>41</v>
      </c>
      <c r="K1935" s="74" t="str">
        <f t="shared" si="91"/>
        <v>31-60 Days</v>
      </c>
      <c r="L1935" s="58" t="str">
        <f t="shared" si="92"/>
        <v>Especially Mentioned</v>
      </c>
    </row>
    <row r="1936" spans="1:12" ht="16.5" customHeight="1" x14ac:dyDescent="0.35">
      <c r="A1936" t="s">
        <v>856</v>
      </c>
      <c r="B1936" t="s">
        <v>856</v>
      </c>
      <c r="C1936">
        <v>0</v>
      </c>
      <c r="D1936">
        <v>100</v>
      </c>
      <c r="E1936" t="s">
        <v>7276</v>
      </c>
      <c r="F1936" t="s">
        <v>7276</v>
      </c>
      <c r="G1936" t="s">
        <v>7277</v>
      </c>
      <c r="H1936" t="s">
        <v>3489</v>
      </c>
      <c r="I1936" t="s">
        <v>3490</v>
      </c>
      <c r="J1936" s="56">
        <f t="shared" si="90"/>
        <v>41</v>
      </c>
      <c r="K1936" s="74" t="str">
        <f t="shared" si="91"/>
        <v>31-60 Days</v>
      </c>
      <c r="L1936" s="58" t="str">
        <f t="shared" si="92"/>
        <v>Not Applicable</v>
      </c>
    </row>
    <row r="1937" spans="1:12" ht="16.5" customHeight="1" x14ac:dyDescent="0.35">
      <c r="A1937" t="s">
        <v>856</v>
      </c>
      <c r="B1937" t="s">
        <v>856</v>
      </c>
      <c r="C1937">
        <v>0</v>
      </c>
      <c r="D1937">
        <v>300</v>
      </c>
      <c r="E1937" t="s">
        <v>7278</v>
      </c>
      <c r="F1937" t="s">
        <v>7278</v>
      </c>
      <c r="G1937" t="s">
        <v>7279</v>
      </c>
      <c r="H1937" t="s">
        <v>3489</v>
      </c>
      <c r="I1937" t="s">
        <v>3490</v>
      </c>
      <c r="J1937" s="56">
        <f t="shared" si="90"/>
        <v>41</v>
      </c>
      <c r="K1937" s="74" t="str">
        <f t="shared" si="91"/>
        <v>31-60 Days</v>
      </c>
      <c r="L1937" s="58" t="str">
        <f t="shared" si="92"/>
        <v>Not Applicable</v>
      </c>
    </row>
    <row r="1938" spans="1:12" ht="16.5" customHeight="1" x14ac:dyDescent="0.35">
      <c r="A1938" t="s">
        <v>856</v>
      </c>
      <c r="B1938" t="s">
        <v>856</v>
      </c>
      <c r="C1938">
        <v>0</v>
      </c>
      <c r="D1938">
        <v>2650</v>
      </c>
      <c r="E1938" t="s">
        <v>7280</v>
      </c>
      <c r="F1938" t="s">
        <v>7280</v>
      </c>
      <c r="G1938" t="s">
        <v>7281</v>
      </c>
      <c r="H1938" t="s">
        <v>3489</v>
      </c>
      <c r="I1938" t="s">
        <v>3490</v>
      </c>
      <c r="J1938" s="56">
        <f t="shared" si="90"/>
        <v>41</v>
      </c>
      <c r="K1938" s="74" t="str">
        <f t="shared" si="91"/>
        <v>31-60 Days</v>
      </c>
      <c r="L1938" s="58" t="str">
        <f t="shared" si="92"/>
        <v>Not Applicable</v>
      </c>
    </row>
    <row r="1939" spans="1:12" ht="16.5" customHeight="1" x14ac:dyDescent="0.35">
      <c r="A1939" t="s">
        <v>856</v>
      </c>
      <c r="B1939" t="s">
        <v>856</v>
      </c>
      <c r="C1939">
        <v>0</v>
      </c>
      <c r="D1939">
        <v>3050</v>
      </c>
      <c r="E1939" t="s">
        <v>7282</v>
      </c>
      <c r="F1939" t="s">
        <v>7282</v>
      </c>
      <c r="G1939" t="s">
        <v>7283</v>
      </c>
      <c r="H1939" t="s">
        <v>3489</v>
      </c>
      <c r="I1939" t="s">
        <v>3490</v>
      </c>
      <c r="J1939" s="56">
        <f t="shared" si="90"/>
        <v>41</v>
      </c>
      <c r="K1939" s="74" t="str">
        <f t="shared" si="91"/>
        <v>31-60 Days</v>
      </c>
      <c r="L1939" s="58" t="str">
        <f t="shared" si="92"/>
        <v>Not Applicable</v>
      </c>
    </row>
    <row r="1940" spans="1:12" ht="16.5" customHeight="1" x14ac:dyDescent="0.35">
      <c r="A1940" t="s">
        <v>856</v>
      </c>
      <c r="B1940" t="s">
        <v>856</v>
      </c>
      <c r="C1940">
        <v>0</v>
      </c>
      <c r="D1940">
        <v>192344.4</v>
      </c>
      <c r="E1940" t="s">
        <v>7284</v>
      </c>
      <c r="F1940" t="s">
        <v>3574</v>
      </c>
      <c r="G1940" t="s">
        <v>7285</v>
      </c>
      <c r="H1940" t="s">
        <v>3489</v>
      </c>
      <c r="I1940" t="s">
        <v>3490</v>
      </c>
      <c r="J1940" s="56">
        <f t="shared" si="90"/>
        <v>41</v>
      </c>
      <c r="K1940" s="74" t="str">
        <f t="shared" si="91"/>
        <v>31-60 Days</v>
      </c>
      <c r="L1940" s="58" t="str">
        <f t="shared" si="92"/>
        <v>Not Applicable</v>
      </c>
    </row>
    <row r="1941" spans="1:12" ht="16.5" customHeight="1" x14ac:dyDescent="0.35">
      <c r="A1941" t="s">
        <v>856</v>
      </c>
      <c r="B1941" t="s">
        <v>856</v>
      </c>
      <c r="C1941">
        <v>0</v>
      </c>
      <c r="D1941">
        <v>31265.279999999999</v>
      </c>
      <c r="E1941" t="s">
        <v>7286</v>
      </c>
      <c r="F1941" t="s">
        <v>6256</v>
      </c>
      <c r="G1941" t="s">
        <v>7287</v>
      </c>
      <c r="H1941" t="s">
        <v>3489</v>
      </c>
      <c r="I1941" t="s">
        <v>3486</v>
      </c>
      <c r="J1941" s="56">
        <f t="shared" si="90"/>
        <v>41</v>
      </c>
      <c r="K1941" s="74" t="str">
        <f t="shared" si="91"/>
        <v>31-60 Days</v>
      </c>
      <c r="L1941" s="58" t="str">
        <f t="shared" si="92"/>
        <v>Not Applicable</v>
      </c>
    </row>
    <row r="1942" spans="1:12" ht="16.5" customHeight="1" x14ac:dyDescent="0.35">
      <c r="A1942" t="s">
        <v>856</v>
      </c>
      <c r="B1942" t="s">
        <v>856</v>
      </c>
      <c r="C1942">
        <v>0</v>
      </c>
      <c r="D1942">
        <v>235</v>
      </c>
      <c r="E1942" t="s">
        <v>7288</v>
      </c>
      <c r="F1942" t="s">
        <v>7288</v>
      </c>
      <c r="G1942" t="s">
        <v>7289</v>
      </c>
      <c r="H1942" t="s">
        <v>3489</v>
      </c>
      <c r="I1942" t="s">
        <v>3490</v>
      </c>
      <c r="J1942" s="56">
        <f t="shared" si="90"/>
        <v>41</v>
      </c>
      <c r="K1942" s="74" t="str">
        <f t="shared" si="91"/>
        <v>31-60 Days</v>
      </c>
      <c r="L1942" s="58" t="str">
        <f t="shared" si="92"/>
        <v>Not Applicable</v>
      </c>
    </row>
    <row r="1943" spans="1:12" ht="16.5" customHeight="1" x14ac:dyDescent="0.35">
      <c r="A1943" t="s">
        <v>856</v>
      </c>
      <c r="B1943" t="s">
        <v>856</v>
      </c>
      <c r="C1943">
        <v>0</v>
      </c>
      <c r="D1943">
        <v>1780</v>
      </c>
      <c r="E1943" t="s">
        <v>7290</v>
      </c>
      <c r="F1943" t="s">
        <v>7290</v>
      </c>
      <c r="G1943" t="s">
        <v>7291</v>
      </c>
      <c r="H1943" t="s">
        <v>3489</v>
      </c>
      <c r="I1943" t="s">
        <v>3490</v>
      </c>
      <c r="J1943" s="56">
        <f t="shared" si="90"/>
        <v>41</v>
      </c>
      <c r="K1943" s="74" t="str">
        <f t="shared" si="91"/>
        <v>31-60 Days</v>
      </c>
      <c r="L1943" s="58" t="str">
        <f t="shared" si="92"/>
        <v>Not Applicable</v>
      </c>
    </row>
    <row r="1944" spans="1:12" ht="16.5" customHeight="1" x14ac:dyDescent="0.35">
      <c r="A1944" t="s">
        <v>856</v>
      </c>
      <c r="B1944" t="s">
        <v>856</v>
      </c>
      <c r="C1944">
        <v>0</v>
      </c>
      <c r="D1944">
        <v>2000</v>
      </c>
      <c r="E1944" t="s">
        <v>7292</v>
      </c>
      <c r="F1944" t="s">
        <v>7292</v>
      </c>
      <c r="G1944" t="s">
        <v>7293</v>
      </c>
      <c r="H1944" t="s">
        <v>3489</v>
      </c>
      <c r="I1944" t="s">
        <v>3490</v>
      </c>
      <c r="J1944" s="56">
        <f t="shared" si="90"/>
        <v>41</v>
      </c>
      <c r="K1944" s="74" t="str">
        <f t="shared" si="91"/>
        <v>31-60 Days</v>
      </c>
      <c r="L1944" s="58" t="str">
        <f t="shared" si="92"/>
        <v>Not Applicable</v>
      </c>
    </row>
    <row r="1945" spans="1:12" ht="16.5" customHeight="1" x14ac:dyDescent="0.35">
      <c r="A1945" t="s">
        <v>856</v>
      </c>
      <c r="B1945" t="s">
        <v>856</v>
      </c>
      <c r="C1945">
        <v>0</v>
      </c>
      <c r="D1945">
        <v>235</v>
      </c>
      <c r="E1945" t="s">
        <v>7294</v>
      </c>
      <c r="F1945" t="s">
        <v>7294</v>
      </c>
      <c r="G1945" t="s">
        <v>7295</v>
      </c>
      <c r="H1945" t="s">
        <v>3489</v>
      </c>
      <c r="I1945" t="s">
        <v>3490</v>
      </c>
      <c r="J1945" s="56">
        <f t="shared" si="90"/>
        <v>41</v>
      </c>
      <c r="K1945" s="74" t="str">
        <f t="shared" si="91"/>
        <v>31-60 Days</v>
      </c>
      <c r="L1945" s="58" t="str">
        <f t="shared" si="92"/>
        <v>Not Applicable</v>
      </c>
    </row>
    <row r="1946" spans="1:12" ht="16.5" customHeight="1" x14ac:dyDescent="0.35">
      <c r="A1946" t="s">
        <v>856</v>
      </c>
      <c r="B1946" t="s">
        <v>856</v>
      </c>
      <c r="C1946">
        <v>0</v>
      </c>
      <c r="D1946">
        <v>1000</v>
      </c>
      <c r="E1946" t="s">
        <v>7296</v>
      </c>
      <c r="F1946" t="s">
        <v>7296</v>
      </c>
      <c r="G1946" t="s">
        <v>7297</v>
      </c>
      <c r="H1946" t="s">
        <v>3489</v>
      </c>
      <c r="I1946" t="s">
        <v>3490</v>
      </c>
      <c r="J1946" s="56">
        <f t="shared" si="90"/>
        <v>41</v>
      </c>
      <c r="K1946" s="74" t="str">
        <f t="shared" si="91"/>
        <v>31-60 Days</v>
      </c>
      <c r="L1946" s="58" t="str">
        <f t="shared" si="92"/>
        <v>Not Applicable</v>
      </c>
    </row>
    <row r="1947" spans="1:12" ht="16.5" customHeight="1" x14ac:dyDescent="0.35">
      <c r="A1947" t="s">
        <v>856</v>
      </c>
      <c r="B1947" t="s">
        <v>856</v>
      </c>
      <c r="C1947">
        <v>0</v>
      </c>
      <c r="D1947">
        <v>2000</v>
      </c>
      <c r="E1947" t="s">
        <v>7298</v>
      </c>
      <c r="F1947" t="s">
        <v>7298</v>
      </c>
      <c r="G1947" t="s">
        <v>7299</v>
      </c>
      <c r="H1947" t="s">
        <v>3489</v>
      </c>
      <c r="I1947" t="s">
        <v>3490</v>
      </c>
      <c r="J1947" s="56">
        <f t="shared" si="90"/>
        <v>41</v>
      </c>
      <c r="K1947" s="74" t="str">
        <f t="shared" si="91"/>
        <v>31-60 Days</v>
      </c>
      <c r="L1947" s="58" t="str">
        <f t="shared" si="92"/>
        <v>Not Applicable</v>
      </c>
    </row>
    <row r="1948" spans="1:12" ht="16.5" customHeight="1" x14ac:dyDescent="0.35">
      <c r="A1948" t="s">
        <v>856</v>
      </c>
      <c r="B1948" t="s">
        <v>856</v>
      </c>
      <c r="C1948">
        <v>0</v>
      </c>
      <c r="D1948">
        <v>20489</v>
      </c>
      <c r="E1948" t="s">
        <v>7300</v>
      </c>
      <c r="F1948" t="s">
        <v>6582</v>
      </c>
      <c r="G1948" t="s">
        <v>7301</v>
      </c>
      <c r="H1948" t="s">
        <v>3489</v>
      </c>
      <c r="I1948" t="s">
        <v>3486</v>
      </c>
      <c r="J1948" s="56">
        <f t="shared" si="90"/>
        <v>41</v>
      </c>
      <c r="K1948" s="74" t="str">
        <f t="shared" si="91"/>
        <v>31-60 Days</v>
      </c>
      <c r="L1948" s="58" t="str">
        <f t="shared" si="92"/>
        <v>Not Applicable</v>
      </c>
    </row>
    <row r="1949" spans="1:12" ht="16.5" customHeight="1" x14ac:dyDescent="0.35">
      <c r="A1949" t="s">
        <v>856</v>
      </c>
      <c r="B1949" t="s">
        <v>856</v>
      </c>
      <c r="C1949">
        <v>0</v>
      </c>
      <c r="D1949">
        <v>235</v>
      </c>
      <c r="E1949" t="s">
        <v>7302</v>
      </c>
      <c r="F1949" t="s">
        <v>7302</v>
      </c>
      <c r="G1949" t="s">
        <v>7303</v>
      </c>
      <c r="H1949" t="s">
        <v>3489</v>
      </c>
      <c r="I1949" t="s">
        <v>3490</v>
      </c>
      <c r="J1949" s="56">
        <f t="shared" si="90"/>
        <v>41</v>
      </c>
      <c r="K1949" s="74" t="str">
        <f t="shared" si="91"/>
        <v>31-60 Days</v>
      </c>
      <c r="L1949" s="58" t="str">
        <f t="shared" si="92"/>
        <v>Not Applicable</v>
      </c>
    </row>
    <row r="1950" spans="1:12" ht="16.5" customHeight="1" x14ac:dyDescent="0.35">
      <c r="A1950" t="s">
        <v>856</v>
      </c>
      <c r="B1950" t="s">
        <v>856</v>
      </c>
      <c r="C1950">
        <v>0</v>
      </c>
      <c r="D1950">
        <v>550</v>
      </c>
      <c r="E1950" t="s">
        <v>7304</v>
      </c>
      <c r="F1950" t="s">
        <v>7304</v>
      </c>
      <c r="G1950" t="s">
        <v>7305</v>
      </c>
      <c r="H1950" t="s">
        <v>3489</v>
      </c>
      <c r="I1950" t="s">
        <v>3490</v>
      </c>
      <c r="J1950" s="56">
        <f t="shared" si="90"/>
        <v>41</v>
      </c>
      <c r="K1950" s="74" t="str">
        <f t="shared" si="91"/>
        <v>31-60 Days</v>
      </c>
      <c r="L1950" s="58" t="str">
        <f t="shared" si="92"/>
        <v>Not Applicable</v>
      </c>
    </row>
    <row r="1951" spans="1:12" ht="16.5" customHeight="1" x14ac:dyDescent="0.35">
      <c r="A1951" t="s">
        <v>856</v>
      </c>
      <c r="B1951" t="s">
        <v>856</v>
      </c>
      <c r="C1951">
        <v>0</v>
      </c>
      <c r="D1951">
        <v>6250</v>
      </c>
      <c r="E1951" t="s">
        <v>7306</v>
      </c>
      <c r="F1951" t="s">
        <v>6506</v>
      </c>
      <c r="G1951" t="s">
        <v>7307</v>
      </c>
      <c r="H1951" t="s">
        <v>3489</v>
      </c>
      <c r="I1951" t="s">
        <v>3486</v>
      </c>
      <c r="J1951" s="56">
        <f t="shared" si="90"/>
        <v>41</v>
      </c>
      <c r="K1951" s="74" t="str">
        <f t="shared" si="91"/>
        <v>31-60 Days</v>
      </c>
      <c r="L1951" s="58" t="str">
        <f t="shared" si="92"/>
        <v>Not Applicable</v>
      </c>
    </row>
    <row r="1952" spans="1:12" ht="16.5" customHeight="1" x14ac:dyDescent="0.35">
      <c r="A1952" t="s">
        <v>856</v>
      </c>
      <c r="B1952" t="s">
        <v>856</v>
      </c>
      <c r="C1952">
        <v>0</v>
      </c>
      <c r="D1952">
        <v>3200</v>
      </c>
      <c r="E1952" t="s">
        <v>7308</v>
      </c>
      <c r="F1952" t="s">
        <v>7308</v>
      </c>
      <c r="G1952" t="s">
        <v>7309</v>
      </c>
      <c r="H1952" t="s">
        <v>3489</v>
      </c>
      <c r="I1952" t="s">
        <v>3490</v>
      </c>
      <c r="J1952" s="56">
        <f t="shared" si="90"/>
        <v>41</v>
      </c>
      <c r="K1952" s="74" t="str">
        <f t="shared" si="91"/>
        <v>31-60 Days</v>
      </c>
      <c r="L1952" s="58" t="str">
        <f t="shared" si="92"/>
        <v>Not Applicable</v>
      </c>
    </row>
    <row r="1953" spans="1:12" ht="16.5" customHeight="1" x14ac:dyDescent="0.35">
      <c r="A1953" t="s">
        <v>856</v>
      </c>
      <c r="B1953" t="s">
        <v>856</v>
      </c>
      <c r="C1953">
        <v>0</v>
      </c>
      <c r="D1953">
        <v>100</v>
      </c>
      <c r="E1953" t="s">
        <v>7310</v>
      </c>
      <c r="F1953" t="s">
        <v>7310</v>
      </c>
      <c r="G1953" t="s">
        <v>7311</v>
      </c>
      <c r="H1953" t="s">
        <v>3489</v>
      </c>
      <c r="I1953" t="s">
        <v>3490</v>
      </c>
      <c r="J1953" s="56">
        <f t="shared" si="90"/>
        <v>41</v>
      </c>
      <c r="K1953" s="74" t="str">
        <f t="shared" si="91"/>
        <v>31-60 Days</v>
      </c>
      <c r="L1953" s="58" t="str">
        <f t="shared" si="92"/>
        <v>Not Applicable</v>
      </c>
    </row>
    <row r="1954" spans="1:12" ht="16.5" customHeight="1" x14ac:dyDescent="0.35">
      <c r="A1954" t="s">
        <v>856</v>
      </c>
      <c r="B1954" t="s">
        <v>856</v>
      </c>
      <c r="C1954">
        <v>0</v>
      </c>
      <c r="D1954">
        <v>435</v>
      </c>
      <c r="E1954" t="s">
        <v>7312</v>
      </c>
      <c r="F1954" t="s">
        <v>7312</v>
      </c>
      <c r="G1954" t="s">
        <v>7313</v>
      </c>
      <c r="H1954" t="s">
        <v>3489</v>
      </c>
      <c r="I1954" t="s">
        <v>3490</v>
      </c>
      <c r="J1954" s="56">
        <f t="shared" si="90"/>
        <v>41</v>
      </c>
      <c r="K1954" s="74" t="str">
        <f t="shared" si="91"/>
        <v>31-60 Days</v>
      </c>
      <c r="L1954" s="58" t="str">
        <f t="shared" si="92"/>
        <v>Not Applicable</v>
      </c>
    </row>
    <row r="1955" spans="1:12" ht="16.5" customHeight="1" x14ac:dyDescent="0.35">
      <c r="A1955" t="s">
        <v>856</v>
      </c>
      <c r="B1955" t="s">
        <v>856</v>
      </c>
      <c r="C1955">
        <v>0</v>
      </c>
      <c r="D1955">
        <v>1300</v>
      </c>
      <c r="E1955" t="s">
        <v>7314</v>
      </c>
      <c r="F1955" t="s">
        <v>6262</v>
      </c>
      <c r="G1955" t="s">
        <v>7315</v>
      </c>
      <c r="H1955" t="s">
        <v>3489</v>
      </c>
      <c r="I1955" t="s">
        <v>3486</v>
      </c>
      <c r="J1955" s="56">
        <f t="shared" si="90"/>
        <v>41</v>
      </c>
      <c r="K1955" s="74" t="str">
        <f t="shared" si="91"/>
        <v>31-60 Days</v>
      </c>
      <c r="L1955" s="58" t="str">
        <f t="shared" si="92"/>
        <v>Not Applicable</v>
      </c>
    </row>
    <row r="1956" spans="1:12" ht="16.5" customHeight="1" x14ac:dyDescent="0.35">
      <c r="A1956" t="s">
        <v>856</v>
      </c>
      <c r="B1956" t="s">
        <v>856</v>
      </c>
      <c r="C1956">
        <v>100000</v>
      </c>
      <c r="D1956">
        <v>0</v>
      </c>
      <c r="E1956" t="s">
        <v>7316</v>
      </c>
      <c r="F1956" t="s">
        <v>7316</v>
      </c>
      <c r="G1956" t="s">
        <v>7317</v>
      </c>
      <c r="H1956" t="s">
        <v>6230</v>
      </c>
      <c r="I1956" t="s">
        <v>3486</v>
      </c>
      <c r="J1956" s="56">
        <f t="shared" si="90"/>
        <v>41</v>
      </c>
      <c r="K1956" s="74" t="str">
        <f t="shared" si="91"/>
        <v>31-60 Days</v>
      </c>
      <c r="L1956" s="58" t="str">
        <f t="shared" si="92"/>
        <v>Especially Mentioned</v>
      </c>
    </row>
    <row r="1957" spans="1:12" ht="16.5" customHeight="1" x14ac:dyDescent="0.35">
      <c r="A1957" t="s">
        <v>856</v>
      </c>
      <c r="B1957" t="s">
        <v>856</v>
      </c>
      <c r="C1957">
        <v>0</v>
      </c>
      <c r="D1957">
        <v>100</v>
      </c>
      <c r="E1957" t="s">
        <v>7318</v>
      </c>
      <c r="F1957" t="s">
        <v>7318</v>
      </c>
      <c r="G1957" t="s">
        <v>7319</v>
      </c>
      <c r="H1957" t="s">
        <v>3489</v>
      </c>
      <c r="I1957" t="s">
        <v>3490</v>
      </c>
      <c r="J1957" s="56">
        <f t="shared" si="90"/>
        <v>41</v>
      </c>
      <c r="K1957" s="74" t="str">
        <f t="shared" si="91"/>
        <v>31-60 Days</v>
      </c>
      <c r="L1957" s="58" t="str">
        <f t="shared" si="92"/>
        <v>Not Applicable</v>
      </c>
    </row>
    <row r="1958" spans="1:12" ht="16.5" customHeight="1" x14ac:dyDescent="0.35">
      <c r="A1958" t="s">
        <v>856</v>
      </c>
      <c r="B1958" t="s">
        <v>856</v>
      </c>
      <c r="C1958">
        <v>0</v>
      </c>
      <c r="D1958">
        <v>1108.81</v>
      </c>
      <c r="E1958" t="s">
        <v>7320</v>
      </c>
      <c r="F1958" t="s">
        <v>6146</v>
      </c>
      <c r="G1958" t="s">
        <v>7321</v>
      </c>
      <c r="H1958" t="s">
        <v>3489</v>
      </c>
      <c r="I1958" t="s">
        <v>3486</v>
      </c>
      <c r="J1958" s="56">
        <f t="shared" si="90"/>
        <v>41</v>
      </c>
      <c r="K1958" s="74" t="str">
        <f t="shared" si="91"/>
        <v>31-60 Days</v>
      </c>
      <c r="L1958" s="58" t="str">
        <f t="shared" si="92"/>
        <v>Not Applicable</v>
      </c>
    </row>
    <row r="1959" spans="1:12" ht="16.5" customHeight="1" x14ac:dyDescent="0.35">
      <c r="A1959" t="s">
        <v>856</v>
      </c>
      <c r="B1959" t="s">
        <v>856</v>
      </c>
      <c r="C1959">
        <v>0</v>
      </c>
      <c r="D1959">
        <v>1000</v>
      </c>
      <c r="E1959" t="s">
        <v>7322</v>
      </c>
      <c r="F1959" t="s">
        <v>7323</v>
      </c>
      <c r="G1959" t="s">
        <v>7324</v>
      </c>
      <c r="H1959" t="s">
        <v>3489</v>
      </c>
      <c r="I1959" t="s">
        <v>3490</v>
      </c>
      <c r="J1959" s="56">
        <f t="shared" si="90"/>
        <v>41</v>
      </c>
      <c r="K1959" s="74" t="str">
        <f t="shared" si="91"/>
        <v>31-60 Days</v>
      </c>
      <c r="L1959" s="58" t="str">
        <f t="shared" si="92"/>
        <v>Not Applicable</v>
      </c>
    </row>
    <row r="1960" spans="1:12" ht="16.5" customHeight="1" x14ac:dyDescent="0.35">
      <c r="A1960" t="s">
        <v>856</v>
      </c>
      <c r="B1960" t="s">
        <v>856</v>
      </c>
      <c r="C1960">
        <v>0</v>
      </c>
      <c r="D1960">
        <v>525</v>
      </c>
      <c r="E1960" t="s">
        <v>7325</v>
      </c>
      <c r="F1960" t="s">
        <v>6327</v>
      </c>
      <c r="G1960" t="s">
        <v>7326</v>
      </c>
      <c r="H1960" t="s">
        <v>3489</v>
      </c>
      <c r="I1960" t="s">
        <v>3486</v>
      </c>
      <c r="J1960" s="56">
        <f t="shared" si="90"/>
        <v>41</v>
      </c>
      <c r="K1960" s="74" t="str">
        <f t="shared" si="91"/>
        <v>31-60 Days</v>
      </c>
      <c r="L1960" s="58" t="str">
        <f t="shared" si="92"/>
        <v>Not Applicable</v>
      </c>
    </row>
    <row r="1961" spans="1:12" ht="16.5" customHeight="1" x14ac:dyDescent="0.35">
      <c r="A1961" t="s">
        <v>856</v>
      </c>
      <c r="B1961" t="s">
        <v>856</v>
      </c>
      <c r="C1961">
        <v>0</v>
      </c>
      <c r="D1961">
        <v>2050</v>
      </c>
      <c r="E1961" t="s">
        <v>7327</v>
      </c>
      <c r="F1961" t="s">
        <v>7327</v>
      </c>
      <c r="G1961" t="s">
        <v>7328</v>
      </c>
      <c r="H1961" t="s">
        <v>3489</v>
      </c>
      <c r="I1961" t="s">
        <v>3490</v>
      </c>
      <c r="J1961" s="56">
        <f t="shared" si="90"/>
        <v>41</v>
      </c>
      <c r="K1961" s="74" t="str">
        <f t="shared" si="91"/>
        <v>31-60 Days</v>
      </c>
      <c r="L1961" s="58" t="str">
        <f t="shared" si="92"/>
        <v>Not Applicable</v>
      </c>
    </row>
    <row r="1962" spans="1:12" ht="16.5" customHeight="1" x14ac:dyDescent="0.35">
      <c r="A1962" t="s">
        <v>856</v>
      </c>
      <c r="B1962" t="s">
        <v>856</v>
      </c>
      <c r="C1962">
        <v>0</v>
      </c>
      <c r="D1962">
        <v>235</v>
      </c>
      <c r="E1962" t="s">
        <v>7329</v>
      </c>
      <c r="F1962" t="s">
        <v>7329</v>
      </c>
      <c r="G1962" t="s">
        <v>7330</v>
      </c>
      <c r="H1962" t="s">
        <v>3489</v>
      </c>
      <c r="I1962" t="s">
        <v>3490</v>
      </c>
      <c r="J1962" s="56">
        <f t="shared" si="90"/>
        <v>41</v>
      </c>
      <c r="K1962" s="74" t="str">
        <f t="shared" si="91"/>
        <v>31-60 Days</v>
      </c>
      <c r="L1962" s="58" t="str">
        <f t="shared" si="92"/>
        <v>Not Applicable</v>
      </c>
    </row>
    <row r="1963" spans="1:12" ht="16.5" customHeight="1" x14ac:dyDescent="0.35">
      <c r="A1963" t="s">
        <v>856</v>
      </c>
      <c r="B1963" t="s">
        <v>856</v>
      </c>
      <c r="C1963">
        <v>0</v>
      </c>
      <c r="D1963">
        <v>876</v>
      </c>
      <c r="E1963" t="s">
        <v>7331</v>
      </c>
      <c r="F1963" t="s">
        <v>7332</v>
      </c>
      <c r="G1963" t="s">
        <v>7333</v>
      </c>
      <c r="H1963" t="s">
        <v>3532</v>
      </c>
      <c r="I1963" t="s">
        <v>3490</v>
      </c>
      <c r="J1963" s="56">
        <f t="shared" si="90"/>
        <v>41</v>
      </c>
      <c r="K1963" s="74" t="str">
        <f t="shared" si="91"/>
        <v>31-60 Days</v>
      </c>
      <c r="L1963" s="58" t="str">
        <f t="shared" si="92"/>
        <v>Not Applicable</v>
      </c>
    </row>
    <row r="1964" spans="1:12" ht="16.5" customHeight="1" x14ac:dyDescent="0.35">
      <c r="A1964" t="s">
        <v>856</v>
      </c>
      <c r="B1964" t="s">
        <v>856</v>
      </c>
      <c r="C1964">
        <v>0</v>
      </c>
      <c r="D1964">
        <v>1000</v>
      </c>
      <c r="E1964" t="s">
        <v>7334</v>
      </c>
      <c r="F1964" t="s">
        <v>7334</v>
      </c>
      <c r="G1964" t="s">
        <v>7335</v>
      </c>
      <c r="H1964" t="s">
        <v>3489</v>
      </c>
      <c r="I1964" t="s">
        <v>3490</v>
      </c>
      <c r="J1964" s="56">
        <f t="shared" si="90"/>
        <v>41</v>
      </c>
      <c r="K1964" s="74" t="str">
        <f t="shared" si="91"/>
        <v>31-60 Days</v>
      </c>
      <c r="L1964" s="58" t="str">
        <f t="shared" si="92"/>
        <v>Not Applicable</v>
      </c>
    </row>
    <row r="1965" spans="1:12" ht="16.5" customHeight="1" x14ac:dyDescent="0.35">
      <c r="A1965" t="s">
        <v>856</v>
      </c>
      <c r="B1965" t="s">
        <v>856</v>
      </c>
      <c r="C1965">
        <v>0</v>
      </c>
      <c r="D1965">
        <v>235</v>
      </c>
      <c r="E1965" t="s">
        <v>7336</v>
      </c>
      <c r="F1965" t="s">
        <v>7336</v>
      </c>
      <c r="G1965" t="s">
        <v>7337</v>
      </c>
      <c r="H1965" t="s">
        <v>3489</v>
      </c>
      <c r="I1965" t="s">
        <v>3490</v>
      </c>
      <c r="J1965" s="56">
        <f t="shared" si="90"/>
        <v>41</v>
      </c>
      <c r="K1965" s="74" t="str">
        <f t="shared" si="91"/>
        <v>31-60 Days</v>
      </c>
      <c r="L1965" s="58" t="str">
        <f t="shared" si="92"/>
        <v>Not Applicable</v>
      </c>
    </row>
    <row r="1966" spans="1:12" ht="16.5" customHeight="1" x14ac:dyDescent="0.35">
      <c r="A1966" t="s">
        <v>856</v>
      </c>
      <c r="B1966" t="s">
        <v>856</v>
      </c>
      <c r="C1966">
        <v>0</v>
      </c>
      <c r="D1966">
        <v>235</v>
      </c>
      <c r="E1966" t="s">
        <v>7338</v>
      </c>
      <c r="F1966" t="s">
        <v>7338</v>
      </c>
      <c r="G1966" t="s">
        <v>7339</v>
      </c>
      <c r="H1966" t="s">
        <v>3489</v>
      </c>
      <c r="I1966" t="s">
        <v>3490</v>
      </c>
      <c r="J1966" s="56">
        <f t="shared" si="90"/>
        <v>41</v>
      </c>
      <c r="K1966" s="74" t="str">
        <f t="shared" si="91"/>
        <v>31-60 Days</v>
      </c>
      <c r="L1966" s="58" t="str">
        <f t="shared" si="92"/>
        <v>Not Applicable</v>
      </c>
    </row>
    <row r="1967" spans="1:12" ht="16.5" customHeight="1" x14ac:dyDescent="0.35">
      <c r="A1967" t="s">
        <v>856</v>
      </c>
      <c r="B1967" t="s">
        <v>856</v>
      </c>
      <c r="C1967">
        <v>0</v>
      </c>
      <c r="D1967">
        <v>100</v>
      </c>
      <c r="E1967" t="s">
        <v>7340</v>
      </c>
      <c r="F1967" t="s">
        <v>7340</v>
      </c>
      <c r="G1967" t="s">
        <v>7341</v>
      </c>
      <c r="H1967" t="s">
        <v>3489</v>
      </c>
      <c r="I1967" t="s">
        <v>3490</v>
      </c>
      <c r="J1967" s="56">
        <f t="shared" si="90"/>
        <v>41</v>
      </c>
      <c r="K1967" s="74" t="str">
        <f t="shared" si="91"/>
        <v>31-60 Days</v>
      </c>
      <c r="L1967" s="58" t="str">
        <f t="shared" si="92"/>
        <v>Not Applicable</v>
      </c>
    </row>
    <row r="1968" spans="1:12" ht="16.5" customHeight="1" x14ac:dyDescent="0.35">
      <c r="A1968" t="s">
        <v>856</v>
      </c>
      <c r="B1968" t="s">
        <v>856</v>
      </c>
      <c r="C1968">
        <v>2000000</v>
      </c>
      <c r="D1968">
        <v>0</v>
      </c>
      <c r="E1968" t="s">
        <v>7342</v>
      </c>
      <c r="F1968" t="s">
        <v>7342</v>
      </c>
      <c r="G1968" t="s">
        <v>7343</v>
      </c>
      <c r="H1968" t="s">
        <v>4196</v>
      </c>
      <c r="I1968" t="s">
        <v>3490</v>
      </c>
      <c r="J1968" s="56">
        <f t="shared" si="90"/>
        <v>41</v>
      </c>
      <c r="K1968" s="74" t="str">
        <f t="shared" si="91"/>
        <v>31-60 Days</v>
      </c>
      <c r="L1968" s="58" t="str">
        <f t="shared" si="92"/>
        <v>Especially Mentioned</v>
      </c>
    </row>
    <row r="1969" spans="1:12" ht="16.5" customHeight="1" x14ac:dyDescent="0.35">
      <c r="A1969" t="s">
        <v>856</v>
      </c>
      <c r="B1969" t="s">
        <v>856</v>
      </c>
      <c r="C1969">
        <v>0</v>
      </c>
      <c r="D1969">
        <v>680</v>
      </c>
      <c r="E1969" t="s">
        <v>7344</v>
      </c>
      <c r="F1969" t="s">
        <v>7344</v>
      </c>
      <c r="G1969" t="s">
        <v>7345</v>
      </c>
      <c r="H1969" t="s">
        <v>3489</v>
      </c>
      <c r="I1969" t="s">
        <v>3490</v>
      </c>
      <c r="J1969" s="56">
        <f t="shared" si="90"/>
        <v>41</v>
      </c>
      <c r="K1969" s="74" t="str">
        <f t="shared" si="91"/>
        <v>31-60 Days</v>
      </c>
      <c r="L1969" s="58" t="str">
        <f t="shared" si="92"/>
        <v>Not Applicable</v>
      </c>
    </row>
    <row r="1970" spans="1:12" ht="16.5" customHeight="1" x14ac:dyDescent="0.35">
      <c r="A1970" t="s">
        <v>856</v>
      </c>
      <c r="B1970" t="s">
        <v>856</v>
      </c>
      <c r="C1970">
        <v>1000000</v>
      </c>
      <c r="D1970">
        <v>0</v>
      </c>
      <c r="E1970" t="s">
        <v>7346</v>
      </c>
      <c r="F1970" t="s">
        <v>7346</v>
      </c>
      <c r="G1970" t="s">
        <v>7347</v>
      </c>
      <c r="H1970" t="s">
        <v>3455</v>
      </c>
      <c r="I1970" t="s">
        <v>3490</v>
      </c>
      <c r="J1970" s="56">
        <f t="shared" si="90"/>
        <v>41</v>
      </c>
      <c r="K1970" s="74" t="str">
        <f t="shared" si="91"/>
        <v>31-60 Days</v>
      </c>
      <c r="L1970" s="58" t="str">
        <f t="shared" si="92"/>
        <v>Especially Mentioned</v>
      </c>
    </row>
    <row r="1971" spans="1:12" ht="16.5" customHeight="1" x14ac:dyDescent="0.35">
      <c r="A1971" t="s">
        <v>856</v>
      </c>
      <c r="B1971" t="s">
        <v>856</v>
      </c>
      <c r="C1971">
        <v>0</v>
      </c>
      <c r="D1971">
        <v>1000</v>
      </c>
      <c r="E1971" t="s">
        <v>7348</v>
      </c>
      <c r="F1971" t="s">
        <v>6231</v>
      </c>
      <c r="G1971" t="s">
        <v>7349</v>
      </c>
      <c r="H1971" t="s">
        <v>3489</v>
      </c>
      <c r="I1971" t="s">
        <v>3486</v>
      </c>
      <c r="J1971" s="56">
        <f t="shared" si="90"/>
        <v>41</v>
      </c>
      <c r="K1971" s="74" t="str">
        <f t="shared" si="91"/>
        <v>31-60 Days</v>
      </c>
      <c r="L1971" s="58" t="str">
        <f t="shared" si="92"/>
        <v>Not Applicable</v>
      </c>
    </row>
    <row r="1972" spans="1:12" ht="16.5" customHeight="1" x14ac:dyDescent="0.35">
      <c r="A1972" t="s">
        <v>856</v>
      </c>
      <c r="B1972" t="s">
        <v>856</v>
      </c>
      <c r="C1972">
        <v>0</v>
      </c>
      <c r="D1972">
        <v>880</v>
      </c>
      <c r="E1972" t="s">
        <v>7350</v>
      </c>
      <c r="F1972" t="s">
        <v>7351</v>
      </c>
      <c r="G1972" t="s">
        <v>7352</v>
      </c>
      <c r="H1972" t="s">
        <v>3532</v>
      </c>
      <c r="I1972" t="s">
        <v>3490</v>
      </c>
      <c r="J1972" s="56">
        <f t="shared" si="90"/>
        <v>41</v>
      </c>
      <c r="K1972" s="74" t="str">
        <f t="shared" si="91"/>
        <v>31-60 Days</v>
      </c>
      <c r="L1972" s="58" t="str">
        <f t="shared" si="92"/>
        <v>Not Applicable</v>
      </c>
    </row>
    <row r="1973" spans="1:12" ht="16.5" customHeight="1" x14ac:dyDescent="0.35">
      <c r="A1973" t="s">
        <v>856</v>
      </c>
      <c r="B1973" t="s">
        <v>856</v>
      </c>
      <c r="C1973">
        <v>0</v>
      </c>
      <c r="D1973">
        <v>100</v>
      </c>
      <c r="E1973" t="s">
        <v>7353</v>
      </c>
      <c r="F1973" t="s">
        <v>7354</v>
      </c>
      <c r="G1973" t="s">
        <v>7355</v>
      </c>
      <c r="H1973" t="s">
        <v>3532</v>
      </c>
      <c r="I1973" t="s">
        <v>3490</v>
      </c>
      <c r="J1973" s="56">
        <f t="shared" si="90"/>
        <v>41</v>
      </c>
      <c r="K1973" s="74" t="str">
        <f t="shared" si="91"/>
        <v>31-60 Days</v>
      </c>
      <c r="L1973" s="58" t="str">
        <f t="shared" si="92"/>
        <v>Not Applicable</v>
      </c>
    </row>
    <row r="1974" spans="1:12" ht="16.5" customHeight="1" x14ac:dyDescent="0.35">
      <c r="A1974" t="s">
        <v>856</v>
      </c>
      <c r="B1974" t="s">
        <v>856</v>
      </c>
      <c r="C1974">
        <v>0</v>
      </c>
      <c r="D1974">
        <v>600</v>
      </c>
      <c r="E1974" t="s">
        <v>7356</v>
      </c>
      <c r="F1974" t="s">
        <v>7357</v>
      </c>
      <c r="G1974" t="s">
        <v>7358</v>
      </c>
      <c r="H1974" t="s">
        <v>3532</v>
      </c>
      <c r="I1974" t="s">
        <v>3490</v>
      </c>
      <c r="J1974" s="56">
        <f t="shared" si="90"/>
        <v>41</v>
      </c>
      <c r="K1974" s="74" t="str">
        <f t="shared" si="91"/>
        <v>31-60 Days</v>
      </c>
      <c r="L1974" s="58" t="str">
        <f t="shared" si="92"/>
        <v>Not Applicable</v>
      </c>
    </row>
    <row r="1975" spans="1:12" ht="16.5" customHeight="1" x14ac:dyDescent="0.35">
      <c r="A1975" t="s">
        <v>856</v>
      </c>
      <c r="B1975" t="s">
        <v>856</v>
      </c>
      <c r="C1975">
        <v>0</v>
      </c>
      <c r="D1975">
        <v>1640</v>
      </c>
      <c r="E1975" t="s">
        <v>7359</v>
      </c>
      <c r="F1975" t="s">
        <v>7359</v>
      </c>
      <c r="G1975" t="s">
        <v>7360</v>
      </c>
      <c r="H1975" t="s">
        <v>3489</v>
      </c>
      <c r="I1975" t="s">
        <v>3490</v>
      </c>
      <c r="J1975" s="56">
        <f t="shared" si="90"/>
        <v>41</v>
      </c>
      <c r="K1975" s="74" t="str">
        <f t="shared" si="91"/>
        <v>31-60 Days</v>
      </c>
      <c r="L1975" s="58" t="str">
        <f t="shared" si="92"/>
        <v>Not Applicable</v>
      </c>
    </row>
    <row r="1976" spans="1:12" ht="16.5" customHeight="1" x14ac:dyDescent="0.35">
      <c r="A1976" t="s">
        <v>856</v>
      </c>
      <c r="B1976" t="s">
        <v>856</v>
      </c>
      <c r="C1976">
        <v>0</v>
      </c>
      <c r="D1976">
        <v>4767</v>
      </c>
      <c r="E1976" t="s">
        <v>7361</v>
      </c>
      <c r="F1976" t="s">
        <v>3574</v>
      </c>
      <c r="G1976" t="s">
        <v>7362</v>
      </c>
      <c r="H1976" t="s">
        <v>3489</v>
      </c>
      <c r="I1976" t="s">
        <v>3490</v>
      </c>
      <c r="J1976" s="56">
        <f t="shared" si="90"/>
        <v>41</v>
      </c>
      <c r="K1976" s="74" t="str">
        <f t="shared" si="91"/>
        <v>31-60 Days</v>
      </c>
      <c r="L1976" s="58" t="str">
        <f t="shared" si="92"/>
        <v>Not Applicable</v>
      </c>
    </row>
    <row r="1977" spans="1:12" ht="16.5" customHeight="1" x14ac:dyDescent="0.35">
      <c r="A1977" t="s">
        <v>856</v>
      </c>
      <c r="B1977" t="s">
        <v>856</v>
      </c>
      <c r="C1977">
        <v>0</v>
      </c>
      <c r="D1977">
        <v>280</v>
      </c>
      <c r="E1977" t="s">
        <v>7363</v>
      </c>
      <c r="F1977" t="s">
        <v>7363</v>
      </c>
      <c r="G1977" t="s">
        <v>7364</v>
      </c>
      <c r="H1977" t="s">
        <v>3489</v>
      </c>
      <c r="I1977" t="s">
        <v>3490</v>
      </c>
      <c r="J1977" s="56">
        <f t="shared" si="90"/>
        <v>41</v>
      </c>
      <c r="K1977" s="74" t="str">
        <f t="shared" si="91"/>
        <v>31-60 Days</v>
      </c>
      <c r="L1977" s="58" t="str">
        <f t="shared" si="92"/>
        <v>Not Applicable</v>
      </c>
    </row>
    <row r="1978" spans="1:12" ht="16.5" customHeight="1" x14ac:dyDescent="0.35">
      <c r="A1978" t="s">
        <v>856</v>
      </c>
      <c r="B1978" t="s">
        <v>856</v>
      </c>
      <c r="C1978">
        <v>0</v>
      </c>
      <c r="D1978">
        <v>2157.4</v>
      </c>
      <c r="E1978" t="s">
        <v>7365</v>
      </c>
      <c r="F1978" t="s">
        <v>6638</v>
      </c>
      <c r="G1978" t="s">
        <v>7366</v>
      </c>
      <c r="H1978" t="s">
        <v>3489</v>
      </c>
      <c r="I1978" t="s">
        <v>3486</v>
      </c>
      <c r="J1978" s="56">
        <f t="shared" si="90"/>
        <v>41</v>
      </c>
      <c r="K1978" s="74" t="str">
        <f t="shared" si="91"/>
        <v>31-60 Days</v>
      </c>
      <c r="L1978" s="58" t="str">
        <f t="shared" si="92"/>
        <v>Not Applicable</v>
      </c>
    </row>
    <row r="1979" spans="1:12" ht="16.5" customHeight="1" x14ac:dyDescent="0.35">
      <c r="A1979" t="s">
        <v>856</v>
      </c>
      <c r="B1979" t="s">
        <v>856</v>
      </c>
      <c r="C1979">
        <v>0</v>
      </c>
      <c r="D1979">
        <v>520</v>
      </c>
      <c r="E1979" t="s">
        <v>7367</v>
      </c>
      <c r="F1979" t="s">
        <v>7368</v>
      </c>
      <c r="G1979" t="s">
        <v>7369</v>
      </c>
      <c r="H1979" t="s">
        <v>3532</v>
      </c>
      <c r="I1979" t="s">
        <v>3490</v>
      </c>
      <c r="J1979" s="56">
        <f t="shared" si="90"/>
        <v>41</v>
      </c>
      <c r="K1979" s="74" t="str">
        <f t="shared" si="91"/>
        <v>31-60 Days</v>
      </c>
      <c r="L1979" s="58" t="str">
        <f t="shared" si="92"/>
        <v>Not Applicable</v>
      </c>
    </row>
    <row r="1980" spans="1:12" ht="16.5" customHeight="1" x14ac:dyDescent="0.35">
      <c r="A1980" t="s">
        <v>856</v>
      </c>
      <c r="B1980" t="s">
        <v>856</v>
      </c>
      <c r="C1980">
        <v>1000</v>
      </c>
      <c r="D1980">
        <v>0</v>
      </c>
      <c r="E1980" t="s">
        <v>7370</v>
      </c>
      <c r="F1980" t="s">
        <v>7370</v>
      </c>
      <c r="G1980" t="s">
        <v>7371</v>
      </c>
      <c r="H1980" t="s">
        <v>3458</v>
      </c>
      <c r="I1980" t="s">
        <v>3507</v>
      </c>
      <c r="J1980" s="56">
        <f t="shared" si="90"/>
        <v>41</v>
      </c>
      <c r="K1980" s="74" t="str">
        <f t="shared" si="91"/>
        <v>31-60 Days</v>
      </c>
      <c r="L1980" s="58" t="str">
        <f t="shared" si="92"/>
        <v>Especially Mentioned</v>
      </c>
    </row>
    <row r="1981" spans="1:12" ht="16.5" customHeight="1" x14ac:dyDescent="0.35">
      <c r="A1981" t="s">
        <v>856</v>
      </c>
      <c r="B1981" t="s">
        <v>856</v>
      </c>
      <c r="C1981">
        <v>0</v>
      </c>
      <c r="D1981">
        <v>528</v>
      </c>
      <c r="E1981" t="s">
        <v>7372</v>
      </c>
      <c r="F1981" t="s">
        <v>7373</v>
      </c>
      <c r="G1981" t="s">
        <v>7374</v>
      </c>
      <c r="H1981" t="s">
        <v>3532</v>
      </c>
      <c r="I1981" t="s">
        <v>3490</v>
      </c>
      <c r="J1981" s="56">
        <f t="shared" si="90"/>
        <v>41</v>
      </c>
      <c r="K1981" s="74" t="str">
        <f t="shared" si="91"/>
        <v>31-60 Days</v>
      </c>
      <c r="L1981" s="58" t="str">
        <f t="shared" si="92"/>
        <v>Not Applicable</v>
      </c>
    </row>
    <row r="1982" spans="1:12" ht="16.5" customHeight="1" x14ac:dyDescent="0.35">
      <c r="A1982" t="s">
        <v>884</v>
      </c>
      <c r="B1982" t="s">
        <v>884</v>
      </c>
      <c r="C1982">
        <v>0</v>
      </c>
      <c r="D1982">
        <v>100</v>
      </c>
      <c r="E1982" t="s">
        <v>7375</v>
      </c>
      <c r="F1982" t="s">
        <v>7375</v>
      </c>
      <c r="G1982" t="s">
        <v>7376</v>
      </c>
      <c r="H1982" t="s">
        <v>3489</v>
      </c>
      <c r="I1982" t="s">
        <v>3490</v>
      </c>
      <c r="J1982" s="56">
        <f t="shared" si="90"/>
        <v>40</v>
      </c>
      <c r="K1982" s="74" t="str">
        <f t="shared" si="91"/>
        <v>31-60 Days</v>
      </c>
      <c r="L1982" s="58" t="str">
        <f t="shared" si="92"/>
        <v>Not Applicable</v>
      </c>
    </row>
    <row r="1983" spans="1:12" ht="16.5" customHeight="1" x14ac:dyDescent="0.35">
      <c r="A1983" t="s">
        <v>884</v>
      </c>
      <c r="B1983" t="s">
        <v>884</v>
      </c>
      <c r="C1983">
        <v>0</v>
      </c>
      <c r="D1983">
        <v>229.82</v>
      </c>
      <c r="E1983" t="s">
        <v>7377</v>
      </c>
      <c r="F1983" t="s">
        <v>6447</v>
      </c>
      <c r="G1983" t="s">
        <v>7378</v>
      </c>
      <c r="H1983" t="s">
        <v>3489</v>
      </c>
      <c r="I1983" t="s">
        <v>3486</v>
      </c>
      <c r="J1983" s="56">
        <f t="shared" si="90"/>
        <v>40</v>
      </c>
      <c r="K1983" s="74" t="str">
        <f t="shared" si="91"/>
        <v>31-60 Days</v>
      </c>
      <c r="L1983" s="58" t="str">
        <f t="shared" si="92"/>
        <v>Not Applicable</v>
      </c>
    </row>
    <row r="1984" spans="1:12" ht="16.5" customHeight="1" x14ac:dyDescent="0.35">
      <c r="A1984" t="s">
        <v>884</v>
      </c>
      <c r="B1984" t="s">
        <v>884</v>
      </c>
      <c r="C1984">
        <v>0</v>
      </c>
      <c r="D1984">
        <v>424.8</v>
      </c>
      <c r="E1984" t="s">
        <v>7379</v>
      </c>
      <c r="F1984" t="s">
        <v>3574</v>
      </c>
      <c r="G1984" t="s">
        <v>7380</v>
      </c>
      <c r="H1984" t="s">
        <v>3489</v>
      </c>
      <c r="I1984" t="s">
        <v>3490</v>
      </c>
      <c r="J1984" s="56">
        <f t="shared" si="90"/>
        <v>40</v>
      </c>
      <c r="K1984" s="74" t="str">
        <f t="shared" si="91"/>
        <v>31-60 Days</v>
      </c>
      <c r="L1984" s="58" t="str">
        <f t="shared" si="92"/>
        <v>Not Applicable</v>
      </c>
    </row>
    <row r="1985" spans="1:12" ht="16.5" customHeight="1" x14ac:dyDescent="0.35">
      <c r="A1985" t="s">
        <v>884</v>
      </c>
      <c r="B1985" t="s">
        <v>884</v>
      </c>
      <c r="C1985">
        <v>0</v>
      </c>
      <c r="D1985">
        <v>1000</v>
      </c>
      <c r="E1985" t="s">
        <v>7381</v>
      </c>
      <c r="F1985" t="s">
        <v>7381</v>
      </c>
      <c r="G1985" t="s">
        <v>7382</v>
      </c>
      <c r="H1985" t="s">
        <v>3489</v>
      </c>
      <c r="I1985" t="s">
        <v>3490</v>
      </c>
      <c r="J1985" s="56">
        <f t="shared" si="90"/>
        <v>40</v>
      </c>
      <c r="K1985" s="74" t="str">
        <f t="shared" si="91"/>
        <v>31-60 Days</v>
      </c>
      <c r="L1985" s="58" t="str">
        <f t="shared" si="92"/>
        <v>Not Applicable</v>
      </c>
    </row>
    <row r="1986" spans="1:12" ht="16.5" customHeight="1" x14ac:dyDescent="0.35">
      <c r="A1986" t="s">
        <v>884</v>
      </c>
      <c r="B1986" t="s">
        <v>884</v>
      </c>
      <c r="C1986">
        <v>0</v>
      </c>
      <c r="D1986">
        <v>177</v>
      </c>
      <c r="E1986" t="s">
        <v>7383</v>
      </c>
      <c r="F1986" t="s">
        <v>3574</v>
      </c>
      <c r="G1986" t="s">
        <v>7384</v>
      </c>
      <c r="H1986" t="s">
        <v>3489</v>
      </c>
      <c r="I1986" t="s">
        <v>3490</v>
      </c>
      <c r="J1986" s="56">
        <f t="shared" si="90"/>
        <v>40</v>
      </c>
      <c r="K1986" s="74" t="str">
        <f t="shared" si="91"/>
        <v>31-60 Days</v>
      </c>
      <c r="L1986" s="58" t="str">
        <f t="shared" si="92"/>
        <v>Not Applicable</v>
      </c>
    </row>
    <row r="1987" spans="1:12" ht="16.5" customHeight="1" x14ac:dyDescent="0.35">
      <c r="A1987" t="s">
        <v>884</v>
      </c>
      <c r="B1987" t="s">
        <v>884</v>
      </c>
      <c r="C1987">
        <v>0</v>
      </c>
      <c r="D1987">
        <v>250</v>
      </c>
      <c r="E1987" t="s">
        <v>7385</v>
      </c>
      <c r="F1987" t="s">
        <v>3574</v>
      </c>
      <c r="G1987" t="s">
        <v>7386</v>
      </c>
      <c r="H1987" t="s">
        <v>3489</v>
      </c>
      <c r="I1987" t="s">
        <v>3490</v>
      </c>
      <c r="J1987" s="56">
        <f t="shared" si="90"/>
        <v>40</v>
      </c>
      <c r="K1987" s="74" t="str">
        <f t="shared" si="91"/>
        <v>31-60 Days</v>
      </c>
      <c r="L1987" s="58" t="str">
        <f t="shared" si="92"/>
        <v>Not Applicable</v>
      </c>
    </row>
    <row r="1988" spans="1:12" ht="16.5" customHeight="1" x14ac:dyDescent="0.35">
      <c r="A1988" t="s">
        <v>884</v>
      </c>
      <c r="B1988" t="s">
        <v>884</v>
      </c>
      <c r="C1988">
        <v>0</v>
      </c>
      <c r="D1988">
        <v>1000</v>
      </c>
      <c r="E1988" t="s">
        <v>7387</v>
      </c>
      <c r="F1988" t="s">
        <v>7387</v>
      </c>
      <c r="G1988" t="s">
        <v>7388</v>
      </c>
      <c r="H1988" t="s">
        <v>3489</v>
      </c>
      <c r="I1988" t="s">
        <v>3490</v>
      </c>
      <c r="J1988" s="56">
        <f t="shared" si="90"/>
        <v>40</v>
      </c>
      <c r="K1988" s="74" t="str">
        <f t="shared" si="91"/>
        <v>31-60 Days</v>
      </c>
      <c r="L1988" s="58" t="str">
        <f t="shared" si="92"/>
        <v>Not Applicable</v>
      </c>
    </row>
    <row r="1989" spans="1:12" ht="16.5" customHeight="1" x14ac:dyDescent="0.35">
      <c r="A1989" t="s">
        <v>884</v>
      </c>
      <c r="B1989" t="s">
        <v>884</v>
      </c>
      <c r="C1989">
        <v>0</v>
      </c>
      <c r="D1989">
        <v>1000</v>
      </c>
      <c r="E1989" t="s">
        <v>7389</v>
      </c>
      <c r="F1989" t="s">
        <v>7389</v>
      </c>
      <c r="G1989" t="s">
        <v>7390</v>
      </c>
      <c r="H1989" t="s">
        <v>3489</v>
      </c>
      <c r="I1989" t="s">
        <v>3490</v>
      </c>
      <c r="J1989" s="56">
        <f t="shared" si="90"/>
        <v>40</v>
      </c>
      <c r="K1989" s="74" t="str">
        <f t="shared" si="91"/>
        <v>31-60 Days</v>
      </c>
      <c r="L1989" s="58" t="str">
        <f t="shared" si="92"/>
        <v>Not Applicable</v>
      </c>
    </row>
    <row r="1990" spans="1:12" ht="16.5" customHeight="1" x14ac:dyDescent="0.35">
      <c r="A1990" t="s">
        <v>884</v>
      </c>
      <c r="B1990" t="s">
        <v>884</v>
      </c>
      <c r="C1990">
        <v>0</v>
      </c>
      <c r="D1990">
        <v>354</v>
      </c>
      <c r="E1990" t="s">
        <v>7391</v>
      </c>
      <c r="F1990" t="s">
        <v>6241</v>
      </c>
      <c r="G1990" t="s">
        <v>7392</v>
      </c>
      <c r="H1990" t="s">
        <v>3489</v>
      </c>
      <c r="I1990" t="s">
        <v>3486</v>
      </c>
      <c r="J1990" s="56">
        <f t="shared" si="90"/>
        <v>40</v>
      </c>
      <c r="K1990" s="74" t="str">
        <f t="shared" si="91"/>
        <v>31-60 Days</v>
      </c>
      <c r="L1990" s="58" t="str">
        <f t="shared" si="92"/>
        <v>Not Applicable</v>
      </c>
    </row>
    <row r="1991" spans="1:12" ht="16.5" customHeight="1" x14ac:dyDescent="0.35">
      <c r="A1991" t="s">
        <v>884</v>
      </c>
      <c r="B1991" t="s">
        <v>884</v>
      </c>
      <c r="C1991">
        <v>0</v>
      </c>
      <c r="D1991">
        <v>292.22000000000003</v>
      </c>
      <c r="E1991" t="s">
        <v>7393</v>
      </c>
      <c r="F1991" t="s">
        <v>6154</v>
      </c>
      <c r="G1991" t="s">
        <v>7394</v>
      </c>
      <c r="H1991" t="s">
        <v>3489</v>
      </c>
      <c r="I1991" t="s">
        <v>3486</v>
      </c>
      <c r="J1991" s="56">
        <f t="shared" si="90"/>
        <v>40</v>
      </c>
      <c r="K1991" s="74" t="str">
        <f t="shared" si="91"/>
        <v>31-60 Days</v>
      </c>
      <c r="L1991" s="58" t="str">
        <f t="shared" si="92"/>
        <v>Not Applicable</v>
      </c>
    </row>
    <row r="1992" spans="1:12" ht="16.5" customHeight="1" x14ac:dyDescent="0.35">
      <c r="A1992" t="s">
        <v>884</v>
      </c>
      <c r="B1992" t="s">
        <v>884</v>
      </c>
      <c r="C1992">
        <v>0</v>
      </c>
      <c r="D1992">
        <v>3050</v>
      </c>
      <c r="E1992" t="s">
        <v>7395</v>
      </c>
      <c r="F1992" t="s">
        <v>7395</v>
      </c>
      <c r="G1992" t="s">
        <v>7396</v>
      </c>
      <c r="H1992" t="s">
        <v>3489</v>
      </c>
      <c r="I1992" t="s">
        <v>3490</v>
      </c>
      <c r="J1992" s="56">
        <f t="shared" si="90"/>
        <v>40</v>
      </c>
      <c r="K1992" s="74" t="str">
        <f t="shared" si="91"/>
        <v>31-60 Days</v>
      </c>
      <c r="L1992" s="58" t="str">
        <f t="shared" si="92"/>
        <v>Not Applicable</v>
      </c>
    </row>
    <row r="1993" spans="1:12" ht="16.5" customHeight="1" x14ac:dyDescent="0.35">
      <c r="A1993" t="s">
        <v>884</v>
      </c>
      <c r="B1993" t="s">
        <v>884</v>
      </c>
      <c r="C1993">
        <v>0</v>
      </c>
      <c r="D1993">
        <v>1000</v>
      </c>
      <c r="E1993" t="s">
        <v>7397</v>
      </c>
      <c r="F1993" t="s">
        <v>7398</v>
      </c>
      <c r="G1993" t="s">
        <v>7399</v>
      </c>
      <c r="H1993" t="s">
        <v>3532</v>
      </c>
      <c r="I1993" t="s">
        <v>3490</v>
      </c>
      <c r="J1993" s="56">
        <f t="shared" ref="J1993:J2056" si="93">IF(A1993="","",A$5-A1993)</f>
        <v>40</v>
      </c>
      <c r="K1993" s="74" t="str">
        <f t="shared" ref="K1993:K2056" si="94">IF(J1993="","",IF(J1993&lt;4,"0-3 Days",IF(J1993&lt;31,"4-30 Days",IF(J1993&lt;61,"31-60 Days",IF(J1993&lt;=90,"61-90 Days",IF(J1993&gt;90,"Above 90 Days","0"))))))</f>
        <v>31-60 Days</v>
      </c>
      <c r="L1993" s="58" t="str">
        <f t="shared" ref="L1993:L2056" si="95">IF(C1993="","",IF(C1993&gt;0,IF(J1993&lt;30,"Normal",IF(J1993&lt;60,"Especially Mentioned",IF(J1993&lt;90,"Substandard",IF(J1993&lt;=180,"Doubtful",IF(J1993&gt;180,"Loss","0"))))),"Not Applicable"))</f>
        <v>Not Applicable</v>
      </c>
    </row>
    <row r="1994" spans="1:12" ht="16.5" customHeight="1" x14ac:dyDescent="0.35">
      <c r="A1994" t="s">
        <v>884</v>
      </c>
      <c r="B1994" t="s">
        <v>884</v>
      </c>
      <c r="C1994">
        <v>0</v>
      </c>
      <c r="D1994">
        <v>250</v>
      </c>
      <c r="E1994" t="s">
        <v>7400</v>
      </c>
      <c r="F1994" t="s">
        <v>7400</v>
      </c>
      <c r="G1994" t="s">
        <v>7401</v>
      </c>
      <c r="H1994" t="s">
        <v>3489</v>
      </c>
      <c r="I1994" t="s">
        <v>3490</v>
      </c>
      <c r="J1994" s="56">
        <f t="shared" si="93"/>
        <v>40</v>
      </c>
      <c r="K1994" s="74" t="str">
        <f t="shared" si="94"/>
        <v>31-60 Days</v>
      </c>
      <c r="L1994" s="58" t="str">
        <f t="shared" si="95"/>
        <v>Not Applicable</v>
      </c>
    </row>
    <row r="1995" spans="1:12" ht="16.5" customHeight="1" x14ac:dyDescent="0.35">
      <c r="A1995" t="s">
        <v>884</v>
      </c>
      <c r="B1995" t="s">
        <v>884</v>
      </c>
      <c r="C1995">
        <v>0</v>
      </c>
      <c r="D1995">
        <v>58.5</v>
      </c>
      <c r="E1995" t="s">
        <v>7402</v>
      </c>
      <c r="F1995" t="s">
        <v>7403</v>
      </c>
      <c r="G1995" t="s">
        <v>7404</v>
      </c>
      <c r="H1995" t="s">
        <v>3532</v>
      </c>
      <c r="I1995" t="s">
        <v>3490</v>
      </c>
      <c r="J1995" s="56">
        <f t="shared" si="93"/>
        <v>40</v>
      </c>
      <c r="K1995" s="74" t="str">
        <f t="shared" si="94"/>
        <v>31-60 Days</v>
      </c>
      <c r="L1995" s="58" t="str">
        <f t="shared" si="95"/>
        <v>Not Applicable</v>
      </c>
    </row>
    <row r="1996" spans="1:12" ht="16.5" customHeight="1" x14ac:dyDescent="0.35">
      <c r="A1996" t="s">
        <v>884</v>
      </c>
      <c r="B1996" t="s">
        <v>884</v>
      </c>
      <c r="C1996">
        <v>0</v>
      </c>
      <c r="D1996">
        <v>106.2</v>
      </c>
      <c r="E1996" t="s">
        <v>7405</v>
      </c>
      <c r="F1996" t="s">
        <v>3574</v>
      </c>
      <c r="G1996" t="s">
        <v>7406</v>
      </c>
      <c r="H1996" t="s">
        <v>3489</v>
      </c>
      <c r="I1996" t="s">
        <v>3490</v>
      </c>
      <c r="J1996" s="56">
        <f t="shared" si="93"/>
        <v>40</v>
      </c>
      <c r="K1996" s="74" t="str">
        <f t="shared" si="94"/>
        <v>31-60 Days</v>
      </c>
      <c r="L1996" s="58" t="str">
        <f t="shared" si="95"/>
        <v>Not Applicable</v>
      </c>
    </row>
    <row r="1997" spans="1:12" ht="16.5" customHeight="1" x14ac:dyDescent="0.35">
      <c r="A1997" t="s">
        <v>884</v>
      </c>
      <c r="B1997" t="s">
        <v>884</v>
      </c>
      <c r="C1997">
        <v>0</v>
      </c>
      <c r="D1997">
        <v>56</v>
      </c>
      <c r="E1997" t="s">
        <v>7407</v>
      </c>
      <c r="F1997" t="s">
        <v>6318</v>
      </c>
      <c r="G1997" t="s">
        <v>7408</v>
      </c>
      <c r="H1997" t="s">
        <v>3489</v>
      </c>
      <c r="I1997" t="s">
        <v>3486</v>
      </c>
      <c r="J1997" s="56">
        <f t="shared" si="93"/>
        <v>40</v>
      </c>
      <c r="K1997" s="74" t="str">
        <f t="shared" si="94"/>
        <v>31-60 Days</v>
      </c>
      <c r="L1997" s="58" t="str">
        <f t="shared" si="95"/>
        <v>Not Applicable</v>
      </c>
    </row>
    <row r="1998" spans="1:12" ht="16.5" customHeight="1" x14ac:dyDescent="0.35">
      <c r="A1998" t="s">
        <v>884</v>
      </c>
      <c r="B1998" t="s">
        <v>884</v>
      </c>
      <c r="C1998">
        <v>0</v>
      </c>
      <c r="D1998">
        <v>360</v>
      </c>
      <c r="E1998" t="s">
        <v>7409</v>
      </c>
      <c r="F1998" t="s">
        <v>6321</v>
      </c>
      <c r="G1998" t="s">
        <v>7410</v>
      </c>
      <c r="H1998" t="s">
        <v>3489</v>
      </c>
      <c r="I1998" t="s">
        <v>3486</v>
      </c>
      <c r="J1998" s="56">
        <f t="shared" si="93"/>
        <v>40</v>
      </c>
      <c r="K1998" s="74" t="str">
        <f t="shared" si="94"/>
        <v>31-60 Days</v>
      </c>
      <c r="L1998" s="58" t="str">
        <f t="shared" si="95"/>
        <v>Not Applicable</v>
      </c>
    </row>
    <row r="1999" spans="1:12" ht="16.5" customHeight="1" x14ac:dyDescent="0.35">
      <c r="A1999" t="s">
        <v>884</v>
      </c>
      <c r="B1999" t="s">
        <v>884</v>
      </c>
      <c r="C1999">
        <v>0</v>
      </c>
      <c r="D1999">
        <v>215</v>
      </c>
      <c r="E1999" t="s">
        <v>7411</v>
      </c>
      <c r="F1999" t="s">
        <v>6288</v>
      </c>
      <c r="G1999" t="s">
        <v>7412</v>
      </c>
      <c r="H1999" t="s">
        <v>3489</v>
      </c>
      <c r="I1999" t="s">
        <v>3486</v>
      </c>
      <c r="J1999" s="56">
        <f t="shared" si="93"/>
        <v>40</v>
      </c>
      <c r="K1999" s="74" t="str">
        <f t="shared" si="94"/>
        <v>31-60 Days</v>
      </c>
      <c r="L1999" s="58" t="str">
        <f t="shared" si="95"/>
        <v>Not Applicable</v>
      </c>
    </row>
    <row r="2000" spans="1:12" ht="16.5" customHeight="1" x14ac:dyDescent="0.35">
      <c r="A2000" t="s">
        <v>884</v>
      </c>
      <c r="B2000" t="s">
        <v>884</v>
      </c>
      <c r="C2000">
        <v>0</v>
      </c>
      <c r="D2000">
        <v>2650</v>
      </c>
      <c r="E2000" t="s">
        <v>7413</v>
      </c>
      <c r="F2000" t="s">
        <v>7413</v>
      </c>
      <c r="G2000" t="s">
        <v>7414</v>
      </c>
      <c r="H2000" t="s">
        <v>3489</v>
      </c>
      <c r="I2000" t="s">
        <v>3490</v>
      </c>
      <c r="J2000" s="56">
        <f t="shared" si="93"/>
        <v>40</v>
      </c>
      <c r="K2000" s="74" t="str">
        <f t="shared" si="94"/>
        <v>31-60 Days</v>
      </c>
      <c r="L2000" s="58" t="str">
        <f t="shared" si="95"/>
        <v>Not Applicable</v>
      </c>
    </row>
    <row r="2001" spans="1:12" ht="16.5" customHeight="1" x14ac:dyDescent="0.35">
      <c r="A2001" t="s">
        <v>884</v>
      </c>
      <c r="B2001" t="s">
        <v>884</v>
      </c>
      <c r="C2001">
        <v>0</v>
      </c>
      <c r="D2001">
        <v>120</v>
      </c>
      <c r="E2001" t="s">
        <v>7415</v>
      </c>
      <c r="F2001" t="s">
        <v>6428</v>
      </c>
      <c r="G2001" t="s">
        <v>7416</v>
      </c>
      <c r="H2001" t="s">
        <v>3489</v>
      </c>
      <c r="I2001" t="s">
        <v>3486</v>
      </c>
      <c r="J2001" s="56">
        <f t="shared" si="93"/>
        <v>40</v>
      </c>
      <c r="K2001" s="74" t="str">
        <f t="shared" si="94"/>
        <v>31-60 Days</v>
      </c>
      <c r="L2001" s="58" t="str">
        <f t="shared" si="95"/>
        <v>Not Applicable</v>
      </c>
    </row>
    <row r="2002" spans="1:12" ht="16.5" customHeight="1" x14ac:dyDescent="0.35">
      <c r="A2002" t="s">
        <v>884</v>
      </c>
      <c r="B2002" t="s">
        <v>884</v>
      </c>
      <c r="C2002">
        <v>0</v>
      </c>
      <c r="D2002">
        <v>1000</v>
      </c>
      <c r="E2002" t="s">
        <v>7417</v>
      </c>
      <c r="F2002" t="s">
        <v>7417</v>
      </c>
      <c r="G2002" t="s">
        <v>7418</v>
      </c>
      <c r="H2002" t="s">
        <v>3489</v>
      </c>
      <c r="I2002" t="s">
        <v>3490</v>
      </c>
      <c r="J2002" s="56">
        <f t="shared" si="93"/>
        <v>40</v>
      </c>
      <c r="K2002" s="74" t="str">
        <f t="shared" si="94"/>
        <v>31-60 Days</v>
      </c>
      <c r="L2002" s="58" t="str">
        <f t="shared" si="95"/>
        <v>Not Applicable</v>
      </c>
    </row>
    <row r="2003" spans="1:12" ht="16.5" customHeight="1" x14ac:dyDescent="0.35">
      <c r="A2003" t="s">
        <v>884</v>
      </c>
      <c r="B2003" t="s">
        <v>884</v>
      </c>
      <c r="C2003">
        <v>0</v>
      </c>
      <c r="D2003">
        <v>2050</v>
      </c>
      <c r="E2003" t="s">
        <v>7419</v>
      </c>
      <c r="F2003" t="s">
        <v>7419</v>
      </c>
      <c r="G2003" t="s">
        <v>7420</v>
      </c>
      <c r="H2003" t="s">
        <v>3489</v>
      </c>
      <c r="I2003" t="s">
        <v>3490</v>
      </c>
      <c r="J2003" s="56">
        <f t="shared" si="93"/>
        <v>40</v>
      </c>
      <c r="K2003" s="74" t="str">
        <f t="shared" si="94"/>
        <v>31-60 Days</v>
      </c>
      <c r="L2003" s="58" t="str">
        <f t="shared" si="95"/>
        <v>Not Applicable</v>
      </c>
    </row>
    <row r="2004" spans="1:12" ht="16.5" customHeight="1" x14ac:dyDescent="0.35">
      <c r="A2004" t="s">
        <v>884</v>
      </c>
      <c r="B2004" t="s">
        <v>884</v>
      </c>
      <c r="C2004">
        <v>3418360.6</v>
      </c>
      <c r="D2004">
        <v>0</v>
      </c>
      <c r="E2004" t="s">
        <v>868</v>
      </c>
      <c r="F2004" t="s">
        <v>868</v>
      </c>
      <c r="G2004" t="s">
        <v>7421</v>
      </c>
      <c r="H2004" t="s">
        <v>3455</v>
      </c>
      <c r="I2004" t="s">
        <v>3486</v>
      </c>
      <c r="J2004" s="56">
        <f t="shared" si="93"/>
        <v>40</v>
      </c>
      <c r="K2004" s="74" t="str">
        <f t="shared" si="94"/>
        <v>31-60 Days</v>
      </c>
      <c r="L2004" s="58" t="str">
        <f t="shared" si="95"/>
        <v>Especially Mentioned</v>
      </c>
    </row>
    <row r="2005" spans="1:12" ht="16.5" customHeight="1" x14ac:dyDescent="0.35">
      <c r="A2005" t="s">
        <v>884</v>
      </c>
      <c r="B2005" t="s">
        <v>884</v>
      </c>
      <c r="C2005">
        <v>0</v>
      </c>
      <c r="D2005">
        <v>210</v>
      </c>
      <c r="E2005" t="s">
        <v>7422</v>
      </c>
      <c r="F2005" t="s">
        <v>6679</v>
      </c>
      <c r="G2005" t="s">
        <v>7423</v>
      </c>
      <c r="H2005" t="s">
        <v>3489</v>
      </c>
      <c r="I2005" t="s">
        <v>3486</v>
      </c>
      <c r="J2005" s="56">
        <f t="shared" si="93"/>
        <v>40</v>
      </c>
      <c r="K2005" s="74" t="str">
        <f t="shared" si="94"/>
        <v>31-60 Days</v>
      </c>
      <c r="L2005" s="58" t="str">
        <f t="shared" si="95"/>
        <v>Not Applicable</v>
      </c>
    </row>
    <row r="2006" spans="1:12" ht="16.5" customHeight="1" x14ac:dyDescent="0.35">
      <c r="A2006" t="s">
        <v>884</v>
      </c>
      <c r="B2006" t="s">
        <v>884</v>
      </c>
      <c r="C2006">
        <v>10080</v>
      </c>
      <c r="D2006">
        <v>0</v>
      </c>
      <c r="E2006" t="s">
        <v>4114</v>
      </c>
      <c r="F2006" t="s">
        <v>4114</v>
      </c>
      <c r="G2006" t="s">
        <v>7424</v>
      </c>
      <c r="H2006" t="s">
        <v>3455</v>
      </c>
      <c r="I2006" t="s">
        <v>3507</v>
      </c>
      <c r="J2006" s="56">
        <f t="shared" si="93"/>
        <v>40</v>
      </c>
      <c r="K2006" s="74" t="str">
        <f t="shared" si="94"/>
        <v>31-60 Days</v>
      </c>
      <c r="L2006" s="58" t="str">
        <f t="shared" si="95"/>
        <v>Especially Mentioned</v>
      </c>
    </row>
    <row r="2007" spans="1:12" ht="16.5" customHeight="1" x14ac:dyDescent="0.35">
      <c r="A2007" t="s">
        <v>884</v>
      </c>
      <c r="B2007" t="s">
        <v>884</v>
      </c>
      <c r="C2007">
        <v>0</v>
      </c>
      <c r="D2007">
        <v>4000000</v>
      </c>
      <c r="E2007" t="s">
        <v>7425</v>
      </c>
      <c r="F2007" t="s">
        <v>7426</v>
      </c>
      <c r="G2007" t="s">
        <v>7427</v>
      </c>
      <c r="H2007" t="s">
        <v>3489</v>
      </c>
      <c r="I2007" t="s">
        <v>3490</v>
      </c>
      <c r="J2007" s="56">
        <f t="shared" si="93"/>
        <v>40</v>
      </c>
      <c r="K2007" s="74" t="str">
        <f t="shared" si="94"/>
        <v>31-60 Days</v>
      </c>
      <c r="L2007" s="58" t="str">
        <f t="shared" si="95"/>
        <v>Not Applicable</v>
      </c>
    </row>
    <row r="2008" spans="1:12" ht="16.5" customHeight="1" x14ac:dyDescent="0.35">
      <c r="A2008" t="s">
        <v>884</v>
      </c>
      <c r="B2008" t="s">
        <v>884</v>
      </c>
      <c r="C2008">
        <v>0</v>
      </c>
      <c r="D2008">
        <v>16024</v>
      </c>
      <c r="E2008" t="s">
        <v>7428</v>
      </c>
      <c r="F2008" t="s">
        <v>7428</v>
      </c>
      <c r="G2008" t="s">
        <v>57</v>
      </c>
      <c r="H2008" t="s">
        <v>3914</v>
      </c>
      <c r="I2008" t="s">
        <v>3643</v>
      </c>
      <c r="J2008" s="56">
        <f t="shared" si="93"/>
        <v>40</v>
      </c>
      <c r="K2008" s="74" t="str">
        <f t="shared" si="94"/>
        <v>31-60 Days</v>
      </c>
      <c r="L2008" s="58" t="str">
        <f t="shared" si="95"/>
        <v>Not Applicable</v>
      </c>
    </row>
    <row r="2009" spans="1:12" ht="16.5" customHeight="1" x14ac:dyDescent="0.35">
      <c r="A2009" t="s">
        <v>884</v>
      </c>
      <c r="B2009" t="s">
        <v>884</v>
      </c>
      <c r="C2009">
        <v>0</v>
      </c>
      <c r="D2009">
        <v>479</v>
      </c>
      <c r="E2009" t="s">
        <v>7429</v>
      </c>
      <c r="F2009" t="s">
        <v>6296</v>
      </c>
      <c r="G2009" t="s">
        <v>7430</v>
      </c>
      <c r="H2009" t="s">
        <v>3489</v>
      </c>
      <c r="I2009" t="s">
        <v>3486</v>
      </c>
      <c r="J2009" s="56">
        <f t="shared" si="93"/>
        <v>40</v>
      </c>
      <c r="K2009" s="74" t="str">
        <f t="shared" si="94"/>
        <v>31-60 Days</v>
      </c>
      <c r="L2009" s="58" t="str">
        <f t="shared" si="95"/>
        <v>Not Applicable</v>
      </c>
    </row>
    <row r="2010" spans="1:12" ht="16.5" customHeight="1" x14ac:dyDescent="0.35">
      <c r="A2010" t="s">
        <v>884</v>
      </c>
      <c r="B2010" t="s">
        <v>884</v>
      </c>
      <c r="C2010">
        <v>0</v>
      </c>
      <c r="D2010">
        <v>167.5</v>
      </c>
      <c r="E2010" t="s">
        <v>7431</v>
      </c>
      <c r="F2010" t="s">
        <v>6197</v>
      </c>
      <c r="G2010" t="s">
        <v>7432</v>
      </c>
      <c r="H2010" t="s">
        <v>3489</v>
      </c>
      <c r="I2010" t="s">
        <v>3486</v>
      </c>
      <c r="J2010" s="56">
        <f t="shared" si="93"/>
        <v>40</v>
      </c>
      <c r="K2010" s="74" t="str">
        <f t="shared" si="94"/>
        <v>31-60 Days</v>
      </c>
      <c r="L2010" s="58" t="str">
        <f t="shared" si="95"/>
        <v>Not Applicable</v>
      </c>
    </row>
    <row r="2011" spans="1:12" ht="16.5" customHeight="1" x14ac:dyDescent="0.35">
      <c r="A2011" t="s">
        <v>884</v>
      </c>
      <c r="B2011" t="s">
        <v>884</v>
      </c>
      <c r="C2011">
        <v>0</v>
      </c>
      <c r="D2011">
        <v>100</v>
      </c>
      <c r="E2011" t="s">
        <v>7433</v>
      </c>
      <c r="F2011" t="s">
        <v>7433</v>
      </c>
      <c r="G2011" t="s">
        <v>7434</v>
      </c>
      <c r="H2011" t="s">
        <v>3489</v>
      </c>
      <c r="I2011" t="s">
        <v>3490</v>
      </c>
      <c r="J2011" s="56">
        <f t="shared" si="93"/>
        <v>40</v>
      </c>
      <c r="K2011" s="74" t="str">
        <f t="shared" si="94"/>
        <v>31-60 Days</v>
      </c>
      <c r="L2011" s="58" t="str">
        <f t="shared" si="95"/>
        <v>Not Applicable</v>
      </c>
    </row>
    <row r="2012" spans="1:12" ht="16.5" customHeight="1" x14ac:dyDescent="0.35">
      <c r="A2012" t="s">
        <v>884</v>
      </c>
      <c r="B2012" t="s">
        <v>884</v>
      </c>
      <c r="C2012">
        <v>0</v>
      </c>
      <c r="D2012">
        <v>50</v>
      </c>
      <c r="E2012" t="s">
        <v>7435</v>
      </c>
      <c r="F2012" t="s">
        <v>6434</v>
      </c>
      <c r="G2012" t="s">
        <v>7436</v>
      </c>
      <c r="H2012" t="s">
        <v>3489</v>
      </c>
      <c r="I2012" t="s">
        <v>3486</v>
      </c>
      <c r="J2012" s="56">
        <f t="shared" si="93"/>
        <v>40</v>
      </c>
      <c r="K2012" s="74" t="str">
        <f t="shared" si="94"/>
        <v>31-60 Days</v>
      </c>
      <c r="L2012" s="58" t="str">
        <f t="shared" si="95"/>
        <v>Not Applicable</v>
      </c>
    </row>
    <row r="2013" spans="1:12" ht="16.5" customHeight="1" x14ac:dyDescent="0.35">
      <c r="A2013" t="s">
        <v>884</v>
      </c>
      <c r="B2013" t="s">
        <v>884</v>
      </c>
      <c r="C2013">
        <v>0</v>
      </c>
      <c r="D2013">
        <v>711.54</v>
      </c>
      <c r="E2013" t="s">
        <v>7437</v>
      </c>
      <c r="F2013" t="s">
        <v>7438</v>
      </c>
      <c r="G2013" t="s">
        <v>7439</v>
      </c>
      <c r="H2013" t="s">
        <v>3532</v>
      </c>
      <c r="I2013" t="s">
        <v>3490</v>
      </c>
      <c r="J2013" s="56">
        <f t="shared" si="93"/>
        <v>40</v>
      </c>
      <c r="K2013" s="74" t="str">
        <f t="shared" si="94"/>
        <v>31-60 Days</v>
      </c>
      <c r="L2013" s="58" t="str">
        <f t="shared" si="95"/>
        <v>Not Applicable</v>
      </c>
    </row>
    <row r="2014" spans="1:12" ht="16.5" customHeight="1" x14ac:dyDescent="0.35">
      <c r="A2014" t="s">
        <v>884</v>
      </c>
      <c r="B2014" t="s">
        <v>884</v>
      </c>
      <c r="C2014">
        <v>0</v>
      </c>
      <c r="D2014">
        <v>2100</v>
      </c>
      <c r="E2014" t="s">
        <v>7440</v>
      </c>
      <c r="F2014" t="s">
        <v>7440</v>
      </c>
      <c r="G2014" t="s">
        <v>7441</v>
      </c>
      <c r="H2014" t="s">
        <v>3489</v>
      </c>
      <c r="I2014" t="s">
        <v>3490</v>
      </c>
      <c r="J2014" s="56">
        <f t="shared" si="93"/>
        <v>40</v>
      </c>
      <c r="K2014" s="74" t="str">
        <f t="shared" si="94"/>
        <v>31-60 Days</v>
      </c>
      <c r="L2014" s="58" t="str">
        <f t="shared" si="95"/>
        <v>Not Applicable</v>
      </c>
    </row>
    <row r="2015" spans="1:12" ht="16.5" customHeight="1" x14ac:dyDescent="0.35">
      <c r="A2015" t="s">
        <v>884</v>
      </c>
      <c r="B2015" t="s">
        <v>884</v>
      </c>
      <c r="C2015">
        <v>0</v>
      </c>
      <c r="D2015">
        <v>30</v>
      </c>
      <c r="E2015" t="s">
        <v>7442</v>
      </c>
      <c r="F2015" t="s">
        <v>6180</v>
      </c>
      <c r="G2015" t="s">
        <v>7443</v>
      </c>
      <c r="H2015" t="s">
        <v>3489</v>
      </c>
      <c r="I2015" t="s">
        <v>3486</v>
      </c>
      <c r="J2015" s="56">
        <f t="shared" si="93"/>
        <v>40</v>
      </c>
      <c r="K2015" s="74" t="str">
        <f t="shared" si="94"/>
        <v>31-60 Days</v>
      </c>
      <c r="L2015" s="58" t="str">
        <f t="shared" si="95"/>
        <v>Not Applicable</v>
      </c>
    </row>
    <row r="2016" spans="1:12" ht="16.5" customHeight="1" x14ac:dyDescent="0.35">
      <c r="A2016" t="s">
        <v>884</v>
      </c>
      <c r="B2016" t="s">
        <v>884</v>
      </c>
      <c r="C2016">
        <v>0</v>
      </c>
      <c r="D2016">
        <v>100</v>
      </c>
      <c r="E2016" t="s">
        <v>7444</v>
      </c>
      <c r="F2016" t="s">
        <v>7444</v>
      </c>
      <c r="G2016" t="s">
        <v>7445</v>
      </c>
      <c r="H2016" t="s">
        <v>3489</v>
      </c>
      <c r="I2016" t="s">
        <v>3490</v>
      </c>
      <c r="J2016" s="56">
        <f t="shared" si="93"/>
        <v>40</v>
      </c>
      <c r="K2016" s="74" t="str">
        <f t="shared" si="94"/>
        <v>31-60 Days</v>
      </c>
      <c r="L2016" s="58" t="str">
        <f t="shared" si="95"/>
        <v>Not Applicable</v>
      </c>
    </row>
    <row r="2017" spans="1:12" ht="16.5" customHeight="1" x14ac:dyDescent="0.35">
      <c r="A2017" t="s">
        <v>884</v>
      </c>
      <c r="B2017" t="s">
        <v>884</v>
      </c>
      <c r="C2017">
        <v>0</v>
      </c>
      <c r="D2017">
        <v>1000</v>
      </c>
      <c r="E2017" t="s">
        <v>7446</v>
      </c>
      <c r="F2017" t="s">
        <v>7447</v>
      </c>
      <c r="G2017" t="s">
        <v>7448</v>
      </c>
      <c r="H2017" t="s">
        <v>3489</v>
      </c>
      <c r="I2017" t="s">
        <v>3490</v>
      </c>
      <c r="J2017" s="56">
        <f t="shared" si="93"/>
        <v>40</v>
      </c>
      <c r="K2017" s="74" t="str">
        <f t="shared" si="94"/>
        <v>31-60 Days</v>
      </c>
      <c r="L2017" s="58" t="str">
        <f t="shared" si="95"/>
        <v>Not Applicable</v>
      </c>
    </row>
    <row r="2018" spans="1:12" ht="16.5" customHeight="1" x14ac:dyDescent="0.35">
      <c r="A2018" t="s">
        <v>884</v>
      </c>
      <c r="B2018" t="s">
        <v>884</v>
      </c>
      <c r="C2018">
        <v>0</v>
      </c>
      <c r="D2018">
        <v>300</v>
      </c>
      <c r="E2018" t="s">
        <v>7449</v>
      </c>
      <c r="F2018" t="s">
        <v>6613</v>
      </c>
      <c r="G2018" t="s">
        <v>7450</v>
      </c>
      <c r="H2018" t="s">
        <v>3489</v>
      </c>
      <c r="I2018" t="s">
        <v>3486</v>
      </c>
      <c r="J2018" s="56">
        <f t="shared" si="93"/>
        <v>40</v>
      </c>
      <c r="K2018" s="74" t="str">
        <f t="shared" si="94"/>
        <v>31-60 Days</v>
      </c>
      <c r="L2018" s="58" t="str">
        <f t="shared" si="95"/>
        <v>Not Applicable</v>
      </c>
    </row>
    <row r="2019" spans="1:12" ht="16.5" customHeight="1" x14ac:dyDescent="0.35">
      <c r="A2019" t="s">
        <v>884</v>
      </c>
      <c r="B2019" t="s">
        <v>884</v>
      </c>
      <c r="C2019">
        <v>0</v>
      </c>
      <c r="D2019">
        <v>1000</v>
      </c>
      <c r="E2019" t="s">
        <v>7451</v>
      </c>
      <c r="F2019" t="s">
        <v>3499</v>
      </c>
      <c r="G2019" t="s">
        <v>7452</v>
      </c>
      <c r="H2019" t="s">
        <v>3489</v>
      </c>
      <c r="I2019" t="s">
        <v>3490</v>
      </c>
      <c r="J2019" s="56">
        <f t="shared" si="93"/>
        <v>40</v>
      </c>
      <c r="K2019" s="74" t="str">
        <f t="shared" si="94"/>
        <v>31-60 Days</v>
      </c>
      <c r="L2019" s="58" t="str">
        <f t="shared" si="95"/>
        <v>Not Applicable</v>
      </c>
    </row>
    <row r="2020" spans="1:12" ht="16.5" customHeight="1" x14ac:dyDescent="0.35">
      <c r="A2020" t="s">
        <v>884</v>
      </c>
      <c r="B2020" t="s">
        <v>884</v>
      </c>
      <c r="C2020">
        <v>0</v>
      </c>
      <c r="D2020">
        <v>1000</v>
      </c>
      <c r="E2020" t="s">
        <v>7453</v>
      </c>
      <c r="F2020" t="s">
        <v>7454</v>
      </c>
      <c r="G2020" t="s">
        <v>7455</v>
      </c>
      <c r="H2020" t="s">
        <v>3489</v>
      </c>
      <c r="I2020" t="s">
        <v>3490</v>
      </c>
      <c r="J2020" s="56">
        <f t="shared" si="93"/>
        <v>40</v>
      </c>
      <c r="K2020" s="74" t="str">
        <f t="shared" si="94"/>
        <v>31-60 Days</v>
      </c>
      <c r="L2020" s="58" t="str">
        <f t="shared" si="95"/>
        <v>Not Applicable</v>
      </c>
    </row>
    <row r="2021" spans="1:12" ht="16.5" customHeight="1" x14ac:dyDescent="0.35">
      <c r="A2021" t="s">
        <v>884</v>
      </c>
      <c r="B2021" t="s">
        <v>884</v>
      </c>
      <c r="C2021">
        <v>0</v>
      </c>
      <c r="D2021">
        <v>250</v>
      </c>
      <c r="E2021" t="s">
        <v>7456</v>
      </c>
      <c r="F2021" t="s">
        <v>7457</v>
      </c>
      <c r="G2021" t="s">
        <v>7458</v>
      </c>
      <c r="H2021" t="s">
        <v>3532</v>
      </c>
      <c r="I2021" t="s">
        <v>3490</v>
      </c>
      <c r="J2021" s="56">
        <f t="shared" si="93"/>
        <v>40</v>
      </c>
      <c r="K2021" s="74" t="str">
        <f t="shared" si="94"/>
        <v>31-60 Days</v>
      </c>
      <c r="L2021" s="58" t="str">
        <f t="shared" si="95"/>
        <v>Not Applicable</v>
      </c>
    </row>
    <row r="2022" spans="1:12" ht="16.5" customHeight="1" x14ac:dyDescent="0.35">
      <c r="A2022" t="s">
        <v>884</v>
      </c>
      <c r="B2022" t="s">
        <v>884</v>
      </c>
      <c r="C2022">
        <v>0</v>
      </c>
      <c r="D2022">
        <v>100</v>
      </c>
      <c r="E2022" t="s">
        <v>7459</v>
      </c>
      <c r="F2022" t="s">
        <v>7460</v>
      </c>
      <c r="G2022" t="s">
        <v>7461</v>
      </c>
      <c r="H2022" t="s">
        <v>3532</v>
      </c>
      <c r="I2022" t="s">
        <v>3490</v>
      </c>
      <c r="J2022" s="56">
        <f t="shared" si="93"/>
        <v>40</v>
      </c>
      <c r="K2022" s="74" t="str">
        <f t="shared" si="94"/>
        <v>31-60 Days</v>
      </c>
      <c r="L2022" s="58" t="str">
        <f t="shared" si="95"/>
        <v>Not Applicable</v>
      </c>
    </row>
    <row r="2023" spans="1:12" ht="16.5" customHeight="1" x14ac:dyDescent="0.35">
      <c r="A2023" t="s">
        <v>884</v>
      </c>
      <c r="B2023" t="s">
        <v>884</v>
      </c>
      <c r="C2023">
        <v>0</v>
      </c>
      <c r="D2023">
        <v>490</v>
      </c>
      <c r="E2023" t="s">
        <v>7462</v>
      </c>
      <c r="F2023" t="s">
        <v>6388</v>
      </c>
      <c r="G2023" t="s">
        <v>7463</v>
      </c>
      <c r="H2023" t="s">
        <v>3489</v>
      </c>
      <c r="I2023" t="s">
        <v>3486</v>
      </c>
      <c r="J2023" s="56">
        <f t="shared" si="93"/>
        <v>40</v>
      </c>
      <c r="K2023" s="74" t="str">
        <f t="shared" si="94"/>
        <v>31-60 Days</v>
      </c>
      <c r="L2023" s="58" t="str">
        <f t="shared" si="95"/>
        <v>Not Applicable</v>
      </c>
    </row>
    <row r="2024" spans="1:12" ht="16.5" customHeight="1" x14ac:dyDescent="0.35">
      <c r="A2024" t="s">
        <v>884</v>
      </c>
      <c r="B2024" t="s">
        <v>884</v>
      </c>
      <c r="C2024">
        <v>0</v>
      </c>
      <c r="D2024">
        <v>200</v>
      </c>
      <c r="E2024" t="s">
        <v>7464</v>
      </c>
      <c r="F2024" t="s">
        <v>6419</v>
      </c>
      <c r="G2024" t="s">
        <v>7465</v>
      </c>
      <c r="H2024" t="s">
        <v>3489</v>
      </c>
      <c r="I2024" t="s">
        <v>3486</v>
      </c>
      <c r="J2024" s="56">
        <f t="shared" si="93"/>
        <v>40</v>
      </c>
      <c r="K2024" s="74" t="str">
        <f t="shared" si="94"/>
        <v>31-60 Days</v>
      </c>
      <c r="L2024" s="58" t="str">
        <f t="shared" si="95"/>
        <v>Not Applicable</v>
      </c>
    </row>
    <row r="2025" spans="1:12" ht="16.5" customHeight="1" x14ac:dyDescent="0.35">
      <c r="A2025" t="s">
        <v>884</v>
      </c>
      <c r="B2025" t="s">
        <v>884</v>
      </c>
      <c r="C2025">
        <v>0</v>
      </c>
      <c r="D2025">
        <v>600</v>
      </c>
      <c r="E2025" t="s">
        <v>7466</v>
      </c>
      <c r="F2025" t="s">
        <v>7467</v>
      </c>
      <c r="G2025" t="s">
        <v>7468</v>
      </c>
      <c r="H2025" t="s">
        <v>3532</v>
      </c>
      <c r="I2025" t="s">
        <v>3490</v>
      </c>
      <c r="J2025" s="56">
        <f t="shared" si="93"/>
        <v>40</v>
      </c>
      <c r="K2025" s="74" t="str">
        <f t="shared" si="94"/>
        <v>31-60 Days</v>
      </c>
      <c r="L2025" s="58" t="str">
        <f t="shared" si="95"/>
        <v>Not Applicable</v>
      </c>
    </row>
    <row r="2026" spans="1:12" ht="16.5" customHeight="1" x14ac:dyDescent="0.35">
      <c r="A2026" t="s">
        <v>884</v>
      </c>
      <c r="B2026" t="s">
        <v>884</v>
      </c>
      <c r="C2026">
        <v>0</v>
      </c>
      <c r="D2026">
        <v>21173.599999999999</v>
      </c>
      <c r="E2026" t="s">
        <v>7469</v>
      </c>
      <c r="F2026" t="s">
        <v>7470</v>
      </c>
      <c r="G2026" t="s">
        <v>7471</v>
      </c>
      <c r="H2026" t="s">
        <v>3532</v>
      </c>
      <c r="I2026" t="s">
        <v>3490</v>
      </c>
      <c r="J2026" s="56">
        <f t="shared" si="93"/>
        <v>40</v>
      </c>
      <c r="K2026" s="74" t="str">
        <f t="shared" si="94"/>
        <v>31-60 Days</v>
      </c>
      <c r="L2026" s="58" t="str">
        <f t="shared" si="95"/>
        <v>Not Applicable</v>
      </c>
    </row>
    <row r="2027" spans="1:12" ht="16.5" customHeight="1" x14ac:dyDescent="0.35">
      <c r="A2027" t="s">
        <v>884</v>
      </c>
      <c r="B2027" t="s">
        <v>884</v>
      </c>
      <c r="C2027">
        <v>0</v>
      </c>
      <c r="D2027">
        <v>414</v>
      </c>
      <c r="E2027" t="s">
        <v>7472</v>
      </c>
      <c r="F2027" t="s">
        <v>6454</v>
      </c>
      <c r="G2027" t="s">
        <v>7473</v>
      </c>
      <c r="H2027" t="s">
        <v>3489</v>
      </c>
      <c r="I2027" t="s">
        <v>3486</v>
      </c>
      <c r="J2027" s="56">
        <f t="shared" si="93"/>
        <v>40</v>
      </c>
      <c r="K2027" s="74" t="str">
        <f t="shared" si="94"/>
        <v>31-60 Days</v>
      </c>
      <c r="L2027" s="58" t="str">
        <f t="shared" si="95"/>
        <v>Not Applicable</v>
      </c>
    </row>
    <row r="2028" spans="1:12" ht="16.5" customHeight="1" x14ac:dyDescent="0.35">
      <c r="A2028" t="s">
        <v>884</v>
      </c>
      <c r="B2028" t="s">
        <v>884</v>
      </c>
      <c r="C2028">
        <v>0</v>
      </c>
      <c r="D2028">
        <v>1000</v>
      </c>
      <c r="E2028" t="s">
        <v>7474</v>
      </c>
      <c r="F2028" t="s">
        <v>7474</v>
      </c>
      <c r="G2028" t="s">
        <v>7475</v>
      </c>
      <c r="H2028" t="s">
        <v>3489</v>
      </c>
      <c r="I2028" t="s">
        <v>3490</v>
      </c>
      <c r="J2028" s="56">
        <f t="shared" si="93"/>
        <v>40</v>
      </c>
      <c r="K2028" s="74" t="str">
        <f t="shared" si="94"/>
        <v>31-60 Days</v>
      </c>
      <c r="L2028" s="58" t="str">
        <f t="shared" si="95"/>
        <v>Not Applicable</v>
      </c>
    </row>
    <row r="2029" spans="1:12" ht="16.5" customHeight="1" x14ac:dyDescent="0.35">
      <c r="A2029" t="s">
        <v>884</v>
      </c>
      <c r="B2029" t="s">
        <v>884</v>
      </c>
      <c r="C2029">
        <v>0</v>
      </c>
      <c r="D2029">
        <v>326.63</v>
      </c>
      <c r="E2029" t="s">
        <v>7476</v>
      </c>
      <c r="F2029" t="s">
        <v>6172</v>
      </c>
      <c r="G2029" t="s">
        <v>7477</v>
      </c>
      <c r="H2029" t="s">
        <v>3489</v>
      </c>
      <c r="I2029" t="s">
        <v>3486</v>
      </c>
      <c r="J2029" s="56">
        <f t="shared" si="93"/>
        <v>40</v>
      </c>
      <c r="K2029" s="74" t="str">
        <f t="shared" si="94"/>
        <v>31-60 Days</v>
      </c>
      <c r="L2029" s="58" t="str">
        <f t="shared" si="95"/>
        <v>Not Applicable</v>
      </c>
    </row>
    <row r="2030" spans="1:12" ht="16.5" customHeight="1" x14ac:dyDescent="0.35">
      <c r="A2030" t="s">
        <v>884</v>
      </c>
      <c r="B2030" t="s">
        <v>884</v>
      </c>
      <c r="C2030">
        <v>0</v>
      </c>
      <c r="D2030">
        <v>211</v>
      </c>
      <c r="E2030" t="s">
        <v>7478</v>
      </c>
      <c r="F2030" t="s">
        <v>7478</v>
      </c>
      <c r="G2030" t="s">
        <v>7479</v>
      </c>
      <c r="H2030" t="s">
        <v>3489</v>
      </c>
      <c r="I2030" t="s">
        <v>3490</v>
      </c>
      <c r="J2030" s="56">
        <f t="shared" si="93"/>
        <v>40</v>
      </c>
      <c r="K2030" s="74" t="str">
        <f t="shared" si="94"/>
        <v>31-60 Days</v>
      </c>
      <c r="L2030" s="58" t="str">
        <f t="shared" si="95"/>
        <v>Not Applicable</v>
      </c>
    </row>
    <row r="2031" spans="1:12" ht="16.5" customHeight="1" x14ac:dyDescent="0.35">
      <c r="A2031" t="s">
        <v>884</v>
      </c>
      <c r="B2031" t="s">
        <v>884</v>
      </c>
      <c r="C2031">
        <v>0</v>
      </c>
      <c r="D2031">
        <v>1000</v>
      </c>
      <c r="E2031" t="s">
        <v>7480</v>
      </c>
      <c r="F2031" t="s">
        <v>7480</v>
      </c>
      <c r="G2031" t="s">
        <v>7481</v>
      </c>
      <c r="H2031" t="s">
        <v>3489</v>
      </c>
      <c r="I2031" t="s">
        <v>3490</v>
      </c>
      <c r="J2031" s="56">
        <f t="shared" si="93"/>
        <v>40</v>
      </c>
      <c r="K2031" s="74" t="str">
        <f t="shared" si="94"/>
        <v>31-60 Days</v>
      </c>
      <c r="L2031" s="58" t="str">
        <f t="shared" si="95"/>
        <v>Not Applicable</v>
      </c>
    </row>
    <row r="2032" spans="1:12" ht="16.5" customHeight="1" x14ac:dyDescent="0.35">
      <c r="A2032" t="s">
        <v>884</v>
      </c>
      <c r="B2032" t="s">
        <v>884</v>
      </c>
      <c r="C2032">
        <v>0</v>
      </c>
      <c r="D2032">
        <v>250</v>
      </c>
      <c r="E2032" t="s">
        <v>7482</v>
      </c>
      <c r="F2032" t="s">
        <v>7482</v>
      </c>
      <c r="G2032" t="s">
        <v>7483</v>
      </c>
      <c r="H2032" t="s">
        <v>3489</v>
      </c>
      <c r="I2032" t="s">
        <v>3490</v>
      </c>
      <c r="J2032" s="56">
        <f t="shared" si="93"/>
        <v>40</v>
      </c>
      <c r="K2032" s="74" t="str">
        <f t="shared" si="94"/>
        <v>31-60 Days</v>
      </c>
      <c r="L2032" s="58" t="str">
        <f t="shared" si="95"/>
        <v>Not Applicable</v>
      </c>
    </row>
    <row r="2033" spans="1:12" ht="16.5" customHeight="1" x14ac:dyDescent="0.35">
      <c r="A2033" t="s">
        <v>884</v>
      </c>
      <c r="B2033" t="s">
        <v>884</v>
      </c>
      <c r="C2033">
        <v>0</v>
      </c>
      <c r="D2033">
        <v>400</v>
      </c>
      <c r="E2033" t="s">
        <v>7484</v>
      </c>
      <c r="F2033" t="s">
        <v>6600</v>
      </c>
      <c r="G2033" t="s">
        <v>7485</v>
      </c>
      <c r="H2033" t="s">
        <v>3489</v>
      </c>
      <c r="I2033" t="s">
        <v>3486</v>
      </c>
      <c r="J2033" s="56">
        <f t="shared" si="93"/>
        <v>40</v>
      </c>
      <c r="K2033" s="74" t="str">
        <f t="shared" si="94"/>
        <v>31-60 Days</v>
      </c>
      <c r="L2033" s="58" t="str">
        <f t="shared" si="95"/>
        <v>Not Applicable</v>
      </c>
    </row>
    <row r="2034" spans="1:12" ht="16.5" customHeight="1" x14ac:dyDescent="0.35">
      <c r="A2034" t="s">
        <v>884</v>
      </c>
      <c r="B2034" t="s">
        <v>884</v>
      </c>
      <c r="C2034">
        <v>0</v>
      </c>
      <c r="D2034">
        <v>2050</v>
      </c>
      <c r="E2034" t="s">
        <v>7486</v>
      </c>
      <c r="F2034" t="s">
        <v>7486</v>
      </c>
      <c r="G2034" t="s">
        <v>7487</v>
      </c>
      <c r="H2034" t="s">
        <v>3489</v>
      </c>
      <c r="I2034" t="s">
        <v>3490</v>
      </c>
      <c r="J2034" s="56">
        <f t="shared" si="93"/>
        <v>40</v>
      </c>
      <c r="K2034" s="74" t="str">
        <f t="shared" si="94"/>
        <v>31-60 Days</v>
      </c>
      <c r="L2034" s="58" t="str">
        <f t="shared" si="95"/>
        <v>Not Applicable</v>
      </c>
    </row>
    <row r="2035" spans="1:12" ht="16.5" customHeight="1" x14ac:dyDescent="0.35">
      <c r="A2035" t="s">
        <v>884</v>
      </c>
      <c r="B2035" t="s">
        <v>884</v>
      </c>
      <c r="C2035">
        <v>0</v>
      </c>
      <c r="D2035">
        <v>2475</v>
      </c>
      <c r="E2035" t="s">
        <v>7488</v>
      </c>
      <c r="F2035" t="s">
        <v>7488</v>
      </c>
      <c r="G2035" t="s">
        <v>7489</v>
      </c>
      <c r="H2035" t="s">
        <v>3489</v>
      </c>
      <c r="I2035" t="s">
        <v>3490</v>
      </c>
      <c r="J2035" s="56">
        <f t="shared" si="93"/>
        <v>40</v>
      </c>
      <c r="K2035" s="74" t="str">
        <f t="shared" si="94"/>
        <v>31-60 Days</v>
      </c>
      <c r="L2035" s="58" t="str">
        <f t="shared" si="95"/>
        <v>Not Applicable</v>
      </c>
    </row>
    <row r="2036" spans="1:12" ht="16.5" customHeight="1" x14ac:dyDescent="0.35">
      <c r="A2036" t="s">
        <v>884</v>
      </c>
      <c r="B2036" t="s">
        <v>884</v>
      </c>
      <c r="C2036">
        <v>0</v>
      </c>
      <c r="D2036">
        <v>2050</v>
      </c>
      <c r="E2036" t="s">
        <v>7490</v>
      </c>
      <c r="F2036" t="s">
        <v>7490</v>
      </c>
      <c r="G2036" t="s">
        <v>7491</v>
      </c>
      <c r="H2036" t="s">
        <v>3489</v>
      </c>
      <c r="I2036" t="s">
        <v>3490</v>
      </c>
      <c r="J2036" s="56">
        <f t="shared" si="93"/>
        <v>40</v>
      </c>
      <c r="K2036" s="74" t="str">
        <f t="shared" si="94"/>
        <v>31-60 Days</v>
      </c>
      <c r="L2036" s="58" t="str">
        <f t="shared" si="95"/>
        <v>Not Applicable</v>
      </c>
    </row>
    <row r="2037" spans="1:12" ht="16.5" customHeight="1" x14ac:dyDescent="0.35">
      <c r="A2037" t="s">
        <v>907</v>
      </c>
      <c r="B2037" t="s">
        <v>907</v>
      </c>
      <c r="C2037">
        <v>0</v>
      </c>
      <c r="D2037">
        <v>1000</v>
      </c>
      <c r="E2037" t="s">
        <v>7492</v>
      </c>
      <c r="F2037" t="s">
        <v>7492</v>
      </c>
      <c r="G2037" t="s">
        <v>7493</v>
      </c>
      <c r="H2037" t="s">
        <v>3489</v>
      </c>
      <c r="I2037" t="s">
        <v>3490</v>
      </c>
      <c r="J2037" s="56">
        <f t="shared" si="93"/>
        <v>39</v>
      </c>
      <c r="K2037" s="74" t="str">
        <f t="shared" si="94"/>
        <v>31-60 Days</v>
      </c>
      <c r="L2037" s="58" t="str">
        <f t="shared" si="95"/>
        <v>Not Applicable</v>
      </c>
    </row>
    <row r="2038" spans="1:12" ht="16.5" customHeight="1" x14ac:dyDescent="0.35">
      <c r="A2038" t="s">
        <v>907</v>
      </c>
      <c r="B2038" t="s">
        <v>907</v>
      </c>
      <c r="C2038">
        <v>0</v>
      </c>
      <c r="D2038">
        <v>42.48</v>
      </c>
      <c r="E2038" t="s">
        <v>7494</v>
      </c>
      <c r="F2038" t="s">
        <v>7495</v>
      </c>
      <c r="G2038" t="s">
        <v>7496</v>
      </c>
      <c r="H2038" t="s">
        <v>3532</v>
      </c>
      <c r="I2038" t="s">
        <v>3490</v>
      </c>
      <c r="J2038" s="56">
        <f t="shared" si="93"/>
        <v>39</v>
      </c>
      <c r="K2038" s="74" t="str">
        <f t="shared" si="94"/>
        <v>31-60 Days</v>
      </c>
      <c r="L2038" s="58" t="str">
        <f t="shared" si="95"/>
        <v>Not Applicable</v>
      </c>
    </row>
    <row r="2039" spans="1:12" ht="16.5" customHeight="1" x14ac:dyDescent="0.35">
      <c r="A2039" t="s">
        <v>907</v>
      </c>
      <c r="B2039" t="s">
        <v>907</v>
      </c>
      <c r="C2039">
        <v>0</v>
      </c>
      <c r="D2039">
        <v>446</v>
      </c>
      <c r="E2039" t="s">
        <v>7497</v>
      </c>
      <c r="F2039" t="s">
        <v>7498</v>
      </c>
      <c r="G2039" t="s">
        <v>7499</v>
      </c>
      <c r="H2039" t="s">
        <v>3638</v>
      </c>
      <c r="I2039" t="s">
        <v>3486</v>
      </c>
      <c r="J2039" s="56">
        <f t="shared" si="93"/>
        <v>39</v>
      </c>
      <c r="K2039" s="74" t="str">
        <f t="shared" si="94"/>
        <v>31-60 Days</v>
      </c>
      <c r="L2039" s="58" t="str">
        <f t="shared" si="95"/>
        <v>Not Applicable</v>
      </c>
    </row>
    <row r="2040" spans="1:12" ht="16.5" customHeight="1" x14ac:dyDescent="0.35">
      <c r="A2040" t="s">
        <v>907</v>
      </c>
      <c r="B2040" t="s">
        <v>907</v>
      </c>
      <c r="C2040">
        <v>0</v>
      </c>
      <c r="D2040">
        <v>100</v>
      </c>
      <c r="E2040" t="s">
        <v>7500</v>
      </c>
      <c r="F2040" t="s">
        <v>7500</v>
      </c>
      <c r="G2040" t="s">
        <v>7501</v>
      </c>
      <c r="H2040" t="s">
        <v>3489</v>
      </c>
      <c r="I2040" t="s">
        <v>3490</v>
      </c>
      <c r="J2040" s="56">
        <f t="shared" si="93"/>
        <v>39</v>
      </c>
      <c r="K2040" s="74" t="str">
        <f t="shared" si="94"/>
        <v>31-60 Days</v>
      </c>
      <c r="L2040" s="58" t="str">
        <f t="shared" si="95"/>
        <v>Not Applicable</v>
      </c>
    </row>
    <row r="2041" spans="1:12" ht="16.5" customHeight="1" x14ac:dyDescent="0.35">
      <c r="A2041" t="s">
        <v>907</v>
      </c>
      <c r="B2041" t="s">
        <v>907</v>
      </c>
      <c r="C2041">
        <v>0</v>
      </c>
      <c r="D2041">
        <v>3050</v>
      </c>
      <c r="E2041" t="s">
        <v>7502</v>
      </c>
      <c r="F2041" t="s">
        <v>7503</v>
      </c>
      <c r="G2041" t="s">
        <v>7504</v>
      </c>
      <c r="H2041" t="s">
        <v>3532</v>
      </c>
      <c r="I2041" t="s">
        <v>3490</v>
      </c>
      <c r="J2041" s="56">
        <f t="shared" si="93"/>
        <v>39</v>
      </c>
      <c r="K2041" s="74" t="str">
        <f t="shared" si="94"/>
        <v>31-60 Days</v>
      </c>
      <c r="L2041" s="58" t="str">
        <f t="shared" si="95"/>
        <v>Not Applicable</v>
      </c>
    </row>
    <row r="2042" spans="1:12" ht="16.5" customHeight="1" x14ac:dyDescent="0.35">
      <c r="A2042" t="s">
        <v>907</v>
      </c>
      <c r="B2042" t="s">
        <v>907</v>
      </c>
      <c r="C2042">
        <v>0</v>
      </c>
      <c r="D2042">
        <v>2050</v>
      </c>
      <c r="E2042" t="s">
        <v>7505</v>
      </c>
      <c r="F2042" t="s">
        <v>7505</v>
      </c>
      <c r="G2042" t="s">
        <v>7506</v>
      </c>
      <c r="H2042" t="s">
        <v>3489</v>
      </c>
      <c r="I2042" t="s">
        <v>3490</v>
      </c>
      <c r="J2042" s="56">
        <f t="shared" si="93"/>
        <v>39</v>
      </c>
      <c r="K2042" s="74" t="str">
        <f t="shared" si="94"/>
        <v>31-60 Days</v>
      </c>
      <c r="L2042" s="58" t="str">
        <f t="shared" si="95"/>
        <v>Not Applicable</v>
      </c>
    </row>
    <row r="2043" spans="1:12" ht="16.5" customHeight="1" x14ac:dyDescent="0.35">
      <c r="A2043" t="s">
        <v>907</v>
      </c>
      <c r="B2043" t="s">
        <v>907</v>
      </c>
      <c r="C2043">
        <v>0</v>
      </c>
      <c r="D2043">
        <v>1000</v>
      </c>
      <c r="E2043" t="s">
        <v>7507</v>
      </c>
      <c r="F2043" t="s">
        <v>7508</v>
      </c>
      <c r="G2043" t="s">
        <v>7509</v>
      </c>
      <c r="H2043" t="s">
        <v>3489</v>
      </c>
      <c r="I2043" t="s">
        <v>3490</v>
      </c>
      <c r="J2043" s="56">
        <f t="shared" si="93"/>
        <v>39</v>
      </c>
      <c r="K2043" s="74" t="str">
        <f t="shared" si="94"/>
        <v>31-60 Days</v>
      </c>
      <c r="L2043" s="58" t="str">
        <f t="shared" si="95"/>
        <v>Not Applicable</v>
      </c>
    </row>
    <row r="2044" spans="1:12" ht="16.5" customHeight="1" x14ac:dyDescent="0.35">
      <c r="A2044" t="s">
        <v>907</v>
      </c>
      <c r="B2044" t="s">
        <v>907</v>
      </c>
      <c r="C2044">
        <v>5123.24</v>
      </c>
      <c r="D2044">
        <v>0</v>
      </c>
      <c r="E2044" t="s">
        <v>3916</v>
      </c>
      <c r="F2044" t="s">
        <v>3916</v>
      </c>
      <c r="G2044" t="s">
        <v>7510</v>
      </c>
      <c r="H2044" t="s">
        <v>4394</v>
      </c>
      <c r="I2044" t="s">
        <v>3507</v>
      </c>
      <c r="J2044" s="56">
        <f t="shared" si="93"/>
        <v>39</v>
      </c>
      <c r="K2044" s="74" t="str">
        <f t="shared" si="94"/>
        <v>31-60 Days</v>
      </c>
      <c r="L2044" s="58" t="str">
        <f t="shared" si="95"/>
        <v>Especially Mentioned</v>
      </c>
    </row>
    <row r="2045" spans="1:12" ht="16.5" customHeight="1" x14ac:dyDescent="0.35">
      <c r="A2045" t="s">
        <v>907</v>
      </c>
      <c r="B2045" t="s">
        <v>907</v>
      </c>
      <c r="C2045">
        <v>0</v>
      </c>
      <c r="D2045">
        <v>200</v>
      </c>
      <c r="E2045" t="s">
        <v>7511</v>
      </c>
      <c r="F2045" t="s">
        <v>7511</v>
      </c>
      <c r="G2045" t="s">
        <v>7512</v>
      </c>
      <c r="H2045" t="s">
        <v>3489</v>
      </c>
      <c r="I2045" t="s">
        <v>3490</v>
      </c>
      <c r="J2045" s="56">
        <f t="shared" si="93"/>
        <v>39</v>
      </c>
      <c r="K2045" s="74" t="str">
        <f t="shared" si="94"/>
        <v>31-60 Days</v>
      </c>
      <c r="L2045" s="58" t="str">
        <f t="shared" si="95"/>
        <v>Not Applicable</v>
      </c>
    </row>
    <row r="2046" spans="1:12" ht="16.5" customHeight="1" x14ac:dyDescent="0.35">
      <c r="A2046" t="s">
        <v>907</v>
      </c>
      <c r="B2046" t="s">
        <v>907</v>
      </c>
      <c r="C2046">
        <v>2388.39</v>
      </c>
      <c r="D2046">
        <v>0</v>
      </c>
      <c r="E2046" t="s">
        <v>3870</v>
      </c>
      <c r="F2046" t="s">
        <v>3870</v>
      </c>
      <c r="G2046" t="s">
        <v>7513</v>
      </c>
      <c r="H2046" t="s">
        <v>4394</v>
      </c>
      <c r="I2046" t="s">
        <v>3507</v>
      </c>
      <c r="J2046" s="56">
        <f t="shared" si="93"/>
        <v>39</v>
      </c>
      <c r="K2046" s="74" t="str">
        <f t="shared" si="94"/>
        <v>31-60 Days</v>
      </c>
      <c r="L2046" s="58" t="str">
        <f t="shared" si="95"/>
        <v>Especially Mentioned</v>
      </c>
    </row>
    <row r="2047" spans="1:12" ht="16.5" customHeight="1" x14ac:dyDescent="0.35">
      <c r="A2047" t="s">
        <v>907</v>
      </c>
      <c r="B2047" t="s">
        <v>907</v>
      </c>
      <c r="C2047">
        <v>0</v>
      </c>
      <c r="D2047">
        <v>106.2</v>
      </c>
      <c r="E2047" t="s">
        <v>7514</v>
      </c>
      <c r="F2047" t="s">
        <v>7515</v>
      </c>
      <c r="G2047" t="s">
        <v>7516</v>
      </c>
      <c r="H2047" t="s">
        <v>3532</v>
      </c>
      <c r="I2047" t="s">
        <v>3490</v>
      </c>
      <c r="J2047" s="56">
        <f t="shared" si="93"/>
        <v>39</v>
      </c>
      <c r="K2047" s="74" t="str">
        <f t="shared" si="94"/>
        <v>31-60 Days</v>
      </c>
      <c r="L2047" s="58" t="str">
        <f t="shared" si="95"/>
        <v>Not Applicable</v>
      </c>
    </row>
    <row r="2048" spans="1:12" ht="16.5" customHeight="1" x14ac:dyDescent="0.35">
      <c r="A2048" t="s">
        <v>907</v>
      </c>
      <c r="B2048" t="s">
        <v>907</v>
      </c>
      <c r="C2048">
        <v>0</v>
      </c>
      <c r="D2048">
        <v>127.44</v>
      </c>
      <c r="E2048" t="s">
        <v>7517</v>
      </c>
      <c r="F2048" t="s">
        <v>7518</v>
      </c>
      <c r="G2048" t="s">
        <v>7519</v>
      </c>
      <c r="H2048" t="s">
        <v>3532</v>
      </c>
      <c r="I2048" t="s">
        <v>3490</v>
      </c>
      <c r="J2048" s="56">
        <f t="shared" si="93"/>
        <v>39</v>
      </c>
      <c r="K2048" s="74" t="str">
        <f t="shared" si="94"/>
        <v>31-60 Days</v>
      </c>
      <c r="L2048" s="58" t="str">
        <f t="shared" si="95"/>
        <v>Not Applicable</v>
      </c>
    </row>
    <row r="2049" spans="1:12" ht="16.5" customHeight="1" x14ac:dyDescent="0.35">
      <c r="A2049" t="s">
        <v>907</v>
      </c>
      <c r="B2049" t="s">
        <v>907</v>
      </c>
      <c r="C2049">
        <v>0</v>
      </c>
      <c r="D2049">
        <v>30</v>
      </c>
      <c r="E2049" t="s">
        <v>7520</v>
      </c>
      <c r="F2049" t="s">
        <v>7520</v>
      </c>
      <c r="G2049" t="s">
        <v>7521</v>
      </c>
      <c r="H2049" t="s">
        <v>3489</v>
      </c>
      <c r="I2049" t="s">
        <v>3490</v>
      </c>
      <c r="J2049" s="56">
        <f t="shared" si="93"/>
        <v>39</v>
      </c>
      <c r="K2049" s="74" t="str">
        <f t="shared" si="94"/>
        <v>31-60 Days</v>
      </c>
      <c r="L2049" s="58" t="str">
        <f t="shared" si="95"/>
        <v>Not Applicable</v>
      </c>
    </row>
    <row r="2050" spans="1:12" ht="16.5" customHeight="1" x14ac:dyDescent="0.35">
      <c r="A2050" t="s">
        <v>907</v>
      </c>
      <c r="B2050" t="s">
        <v>907</v>
      </c>
      <c r="C2050">
        <v>0</v>
      </c>
      <c r="D2050">
        <v>1000</v>
      </c>
      <c r="E2050" t="s">
        <v>7522</v>
      </c>
      <c r="F2050" t="s">
        <v>7522</v>
      </c>
      <c r="G2050" t="s">
        <v>7523</v>
      </c>
      <c r="H2050" t="s">
        <v>3532</v>
      </c>
      <c r="I2050" t="s">
        <v>3490</v>
      </c>
      <c r="J2050" s="56">
        <f t="shared" si="93"/>
        <v>39</v>
      </c>
      <c r="K2050" s="74" t="str">
        <f t="shared" si="94"/>
        <v>31-60 Days</v>
      </c>
      <c r="L2050" s="58" t="str">
        <f t="shared" si="95"/>
        <v>Not Applicable</v>
      </c>
    </row>
    <row r="2051" spans="1:12" ht="16.5" customHeight="1" x14ac:dyDescent="0.35">
      <c r="A2051" t="s">
        <v>907</v>
      </c>
      <c r="B2051" t="s">
        <v>907</v>
      </c>
      <c r="C2051">
        <v>0</v>
      </c>
      <c r="D2051">
        <v>1000</v>
      </c>
      <c r="E2051" t="s">
        <v>7524</v>
      </c>
      <c r="F2051" t="s">
        <v>7525</v>
      </c>
      <c r="G2051" t="s">
        <v>7526</v>
      </c>
      <c r="H2051" t="s">
        <v>3489</v>
      </c>
      <c r="I2051" t="s">
        <v>3490</v>
      </c>
      <c r="J2051" s="56">
        <f t="shared" si="93"/>
        <v>39</v>
      </c>
      <c r="K2051" s="74" t="str">
        <f t="shared" si="94"/>
        <v>31-60 Days</v>
      </c>
      <c r="L2051" s="58" t="str">
        <f t="shared" si="95"/>
        <v>Not Applicable</v>
      </c>
    </row>
    <row r="2052" spans="1:12" ht="16.5" customHeight="1" x14ac:dyDescent="0.35">
      <c r="A2052" t="s">
        <v>907</v>
      </c>
      <c r="B2052" t="s">
        <v>907</v>
      </c>
      <c r="C2052">
        <v>0</v>
      </c>
      <c r="D2052">
        <v>250</v>
      </c>
      <c r="E2052" t="s">
        <v>7527</v>
      </c>
      <c r="F2052" t="s">
        <v>7527</v>
      </c>
      <c r="G2052" t="s">
        <v>7528</v>
      </c>
      <c r="H2052" t="s">
        <v>3489</v>
      </c>
      <c r="I2052" t="s">
        <v>3490</v>
      </c>
      <c r="J2052" s="56">
        <f t="shared" si="93"/>
        <v>39</v>
      </c>
      <c r="K2052" s="74" t="str">
        <f t="shared" si="94"/>
        <v>31-60 Days</v>
      </c>
      <c r="L2052" s="58" t="str">
        <f t="shared" si="95"/>
        <v>Not Applicable</v>
      </c>
    </row>
    <row r="2053" spans="1:12" ht="16.5" customHeight="1" x14ac:dyDescent="0.35">
      <c r="A2053" t="s">
        <v>907</v>
      </c>
      <c r="B2053" t="s">
        <v>907</v>
      </c>
      <c r="C2053">
        <v>0</v>
      </c>
      <c r="D2053">
        <v>29955.200000000001</v>
      </c>
      <c r="E2053" t="s">
        <v>7529</v>
      </c>
      <c r="F2053" t="s">
        <v>3574</v>
      </c>
      <c r="G2053" t="s">
        <v>7530</v>
      </c>
      <c r="H2053" t="s">
        <v>3489</v>
      </c>
      <c r="I2053" t="s">
        <v>3490</v>
      </c>
      <c r="J2053" s="56">
        <f t="shared" si="93"/>
        <v>39</v>
      </c>
      <c r="K2053" s="74" t="str">
        <f t="shared" si="94"/>
        <v>31-60 Days</v>
      </c>
      <c r="L2053" s="58" t="str">
        <f t="shared" si="95"/>
        <v>Not Applicable</v>
      </c>
    </row>
    <row r="2054" spans="1:12" ht="16.5" customHeight="1" x14ac:dyDescent="0.35">
      <c r="A2054" t="s">
        <v>907</v>
      </c>
      <c r="B2054" t="s">
        <v>907</v>
      </c>
      <c r="C2054">
        <v>0</v>
      </c>
      <c r="D2054">
        <v>250</v>
      </c>
      <c r="E2054" t="s">
        <v>7531</v>
      </c>
      <c r="F2054" t="s">
        <v>7531</v>
      </c>
      <c r="G2054" t="s">
        <v>7532</v>
      </c>
      <c r="H2054" t="s">
        <v>3532</v>
      </c>
      <c r="I2054" t="s">
        <v>3490</v>
      </c>
      <c r="J2054" s="56">
        <f t="shared" si="93"/>
        <v>39</v>
      </c>
      <c r="K2054" s="74" t="str">
        <f t="shared" si="94"/>
        <v>31-60 Days</v>
      </c>
      <c r="L2054" s="58" t="str">
        <f t="shared" si="95"/>
        <v>Not Applicable</v>
      </c>
    </row>
    <row r="2055" spans="1:12" ht="16.5" customHeight="1" x14ac:dyDescent="0.35">
      <c r="A2055" t="s">
        <v>907</v>
      </c>
      <c r="B2055" t="s">
        <v>907</v>
      </c>
      <c r="C2055">
        <v>0</v>
      </c>
      <c r="D2055">
        <v>5897</v>
      </c>
      <c r="E2055" t="s">
        <v>7533</v>
      </c>
      <c r="F2055" t="s">
        <v>7533</v>
      </c>
      <c r="G2055" t="s">
        <v>57</v>
      </c>
      <c r="H2055" t="s">
        <v>3914</v>
      </c>
      <c r="I2055" t="s">
        <v>3643</v>
      </c>
      <c r="J2055" s="56">
        <f t="shared" si="93"/>
        <v>39</v>
      </c>
      <c r="K2055" s="74" t="str">
        <f t="shared" si="94"/>
        <v>31-60 Days</v>
      </c>
      <c r="L2055" s="58" t="str">
        <f t="shared" si="95"/>
        <v>Not Applicable</v>
      </c>
    </row>
    <row r="2056" spans="1:12" ht="16.5" customHeight="1" x14ac:dyDescent="0.35">
      <c r="A2056" t="s">
        <v>907</v>
      </c>
      <c r="B2056" t="s">
        <v>907</v>
      </c>
      <c r="C2056">
        <v>0</v>
      </c>
      <c r="D2056">
        <v>1000</v>
      </c>
      <c r="E2056" t="s">
        <v>7534</v>
      </c>
      <c r="F2056" t="s">
        <v>7534</v>
      </c>
      <c r="G2056" t="s">
        <v>7535</v>
      </c>
      <c r="H2056" t="s">
        <v>3532</v>
      </c>
      <c r="I2056" t="s">
        <v>3490</v>
      </c>
      <c r="J2056" s="56">
        <f t="shared" si="93"/>
        <v>39</v>
      </c>
      <c r="K2056" s="74" t="str">
        <f t="shared" si="94"/>
        <v>31-60 Days</v>
      </c>
      <c r="L2056" s="58" t="str">
        <f t="shared" si="95"/>
        <v>Not Applicable</v>
      </c>
    </row>
    <row r="2057" spans="1:12" ht="16.5" customHeight="1" x14ac:dyDescent="0.35">
      <c r="A2057" t="s">
        <v>907</v>
      </c>
      <c r="B2057" t="s">
        <v>907</v>
      </c>
      <c r="C2057">
        <v>0</v>
      </c>
      <c r="D2057">
        <v>150</v>
      </c>
      <c r="E2057" t="s">
        <v>7536</v>
      </c>
      <c r="F2057" t="s">
        <v>7536</v>
      </c>
      <c r="G2057" t="s">
        <v>7537</v>
      </c>
      <c r="H2057" t="s">
        <v>3489</v>
      </c>
      <c r="I2057" t="s">
        <v>3490</v>
      </c>
      <c r="J2057" s="56">
        <f t="shared" ref="J2057:J2120" si="96">IF(A2057="","",A$5-A2057)</f>
        <v>39</v>
      </c>
      <c r="K2057" s="74" t="str">
        <f t="shared" ref="K2057:K2120" si="97">IF(J2057="","",IF(J2057&lt;4,"0-3 Days",IF(J2057&lt;31,"4-30 Days",IF(J2057&lt;61,"31-60 Days",IF(J2057&lt;=90,"61-90 Days",IF(J2057&gt;90,"Above 90 Days","0"))))))</f>
        <v>31-60 Days</v>
      </c>
      <c r="L2057" s="58" t="str">
        <f t="shared" ref="L2057:L2120" si="98">IF(C2057="","",IF(C2057&gt;0,IF(J2057&lt;30,"Normal",IF(J2057&lt;60,"Especially Mentioned",IF(J2057&lt;90,"Substandard",IF(J2057&lt;=180,"Doubtful",IF(J2057&gt;180,"Loss","0"))))),"Not Applicable"))</f>
        <v>Not Applicable</v>
      </c>
    </row>
    <row r="2058" spans="1:12" ht="16.5" customHeight="1" x14ac:dyDescent="0.35">
      <c r="A2058" t="s">
        <v>907</v>
      </c>
      <c r="B2058" t="s">
        <v>907</v>
      </c>
      <c r="C2058">
        <v>0</v>
      </c>
      <c r="D2058">
        <v>100</v>
      </c>
      <c r="E2058" t="s">
        <v>7538</v>
      </c>
      <c r="F2058" t="s">
        <v>7538</v>
      </c>
      <c r="G2058" t="s">
        <v>7539</v>
      </c>
      <c r="H2058" t="s">
        <v>3489</v>
      </c>
      <c r="I2058" t="s">
        <v>3490</v>
      </c>
      <c r="J2058" s="56">
        <f t="shared" si="96"/>
        <v>39</v>
      </c>
      <c r="K2058" s="74" t="str">
        <f t="shared" si="97"/>
        <v>31-60 Days</v>
      </c>
      <c r="L2058" s="58" t="str">
        <f t="shared" si="98"/>
        <v>Not Applicable</v>
      </c>
    </row>
    <row r="2059" spans="1:12" ht="16.5" customHeight="1" x14ac:dyDescent="0.35">
      <c r="A2059" t="s">
        <v>907</v>
      </c>
      <c r="B2059" t="s">
        <v>907</v>
      </c>
      <c r="C2059">
        <v>0</v>
      </c>
      <c r="D2059">
        <v>8690</v>
      </c>
      <c r="E2059" t="s">
        <v>7540</v>
      </c>
      <c r="F2059" t="s">
        <v>3574</v>
      </c>
      <c r="G2059" t="s">
        <v>7541</v>
      </c>
      <c r="H2059" t="s">
        <v>3489</v>
      </c>
      <c r="I2059" t="s">
        <v>3490</v>
      </c>
      <c r="J2059" s="56">
        <f t="shared" si="96"/>
        <v>39</v>
      </c>
      <c r="K2059" s="74" t="str">
        <f t="shared" si="97"/>
        <v>31-60 Days</v>
      </c>
      <c r="L2059" s="58" t="str">
        <f t="shared" si="98"/>
        <v>Not Applicable</v>
      </c>
    </row>
    <row r="2060" spans="1:12" ht="16.5" customHeight="1" x14ac:dyDescent="0.35">
      <c r="A2060" t="s">
        <v>907</v>
      </c>
      <c r="B2060" t="s">
        <v>907</v>
      </c>
      <c r="C2060">
        <v>1000000</v>
      </c>
      <c r="D2060">
        <v>0</v>
      </c>
      <c r="E2060" t="s">
        <v>7542</v>
      </c>
      <c r="F2060" t="s">
        <v>7542</v>
      </c>
      <c r="G2060" t="s">
        <v>7543</v>
      </c>
      <c r="H2060" t="s">
        <v>3455</v>
      </c>
      <c r="I2060" t="s">
        <v>3490</v>
      </c>
      <c r="J2060" s="56">
        <f t="shared" si="96"/>
        <v>39</v>
      </c>
      <c r="K2060" s="74" t="str">
        <f t="shared" si="97"/>
        <v>31-60 Days</v>
      </c>
      <c r="L2060" s="58" t="str">
        <f t="shared" si="98"/>
        <v>Especially Mentioned</v>
      </c>
    </row>
    <row r="2061" spans="1:12" ht="16.5" customHeight="1" x14ac:dyDescent="0.35">
      <c r="A2061" t="s">
        <v>907</v>
      </c>
      <c r="B2061" t="s">
        <v>907</v>
      </c>
      <c r="C2061">
        <v>0</v>
      </c>
      <c r="D2061">
        <v>1260</v>
      </c>
      <c r="E2061" t="s">
        <v>7544</v>
      </c>
      <c r="F2061" t="s">
        <v>3574</v>
      </c>
      <c r="G2061" t="s">
        <v>7545</v>
      </c>
      <c r="H2061" t="s">
        <v>3489</v>
      </c>
      <c r="I2061" t="s">
        <v>3490</v>
      </c>
      <c r="J2061" s="56">
        <f t="shared" si="96"/>
        <v>39</v>
      </c>
      <c r="K2061" s="74" t="str">
        <f t="shared" si="97"/>
        <v>31-60 Days</v>
      </c>
      <c r="L2061" s="58" t="str">
        <f t="shared" si="98"/>
        <v>Not Applicable</v>
      </c>
    </row>
    <row r="2062" spans="1:12" ht="16.5" customHeight="1" x14ac:dyDescent="0.35">
      <c r="A2062" t="s">
        <v>907</v>
      </c>
      <c r="B2062" t="s">
        <v>907</v>
      </c>
      <c r="C2062">
        <v>0</v>
      </c>
      <c r="D2062">
        <v>169.92</v>
      </c>
      <c r="E2062" t="s">
        <v>7546</v>
      </c>
      <c r="F2062" t="s">
        <v>7547</v>
      </c>
      <c r="G2062" t="s">
        <v>7548</v>
      </c>
      <c r="H2062" t="s">
        <v>3532</v>
      </c>
      <c r="I2062" t="s">
        <v>3490</v>
      </c>
      <c r="J2062" s="56">
        <f t="shared" si="96"/>
        <v>39</v>
      </c>
      <c r="K2062" s="74" t="str">
        <f t="shared" si="97"/>
        <v>31-60 Days</v>
      </c>
      <c r="L2062" s="58" t="str">
        <f t="shared" si="98"/>
        <v>Not Applicable</v>
      </c>
    </row>
    <row r="2063" spans="1:12" ht="16.5" customHeight="1" x14ac:dyDescent="0.35">
      <c r="A2063" t="s">
        <v>907</v>
      </c>
      <c r="B2063" t="s">
        <v>907</v>
      </c>
      <c r="C2063">
        <v>0</v>
      </c>
      <c r="D2063">
        <v>100</v>
      </c>
      <c r="E2063" t="s">
        <v>7549</v>
      </c>
      <c r="F2063" t="s">
        <v>7549</v>
      </c>
      <c r="G2063" t="s">
        <v>7550</v>
      </c>
      <c r="H2063" t="s">
        <v>3489</v>
      </c>
      <c r="I2063" t="s">
        <v>3490</v>
      </c>
      <c r="J2063" s="56">
        <f t="shared" si="96"/>
        <v>39</v>
      </c>
      <c r="K2063" s="74" t="str">
        <f t="shared" si="97"/>
        <v>31-60 Days</v>
      </c>
      <c r="L2063" s="58" t="str">
        <f t="shared" si="98"/>
        <v>Not Applicable</v>
      </c>
    </row>
    <row r="2064" spans="1:12" ht="16.5" customHeight="1" x14ac:dyDescent="0.35">
      <c r="A2064" t="s">
        <v>907</v>
      </c>
      <c r="B2064" t="s">
        <v>907</v>
      </c>
      <c r="C2064">
        <v>0</v>
      </c>
      <c r="D2064">
        <v>600</v>
      </c>
      <c r="E2064" t="s">
        <v>7551</v>
      </c>
      <c r="F2064" t="s">
        <v>7551</v>
      </c>
      <c r="G2064" t="s">
        <v>7552</v>
      </c>
      <c r="H2064" t="s">
        <v>3489</v>
      </c>
      <c r="I2064" t="s">
        <v>3490</v>
      </c>
      <c r="J2064" s="56">
        <f t="shared" si="96"/>
        <v>39</v>
      </c>
      <c r="K2064" s="74" t="str">
        <f t="shared" si="97"/>
        <v>31-60 Days</v>
      </c>
      <c r="L2064" s="58" t="str">
        <f t="shared" si="98"/>
        <v>Not Applicable</v>
      </c>
    </row>
    <row r="2065" spans="1:12" ht="16.5" customHeight="1" x14ac:dyDescent="0.35">
      <c r="A2065" t="s">
        <v>907</v>
      </c>
      <c r="B2065" t="s">
        <v>907</v>
      </c>
      <c r="C2065">
        <v>0</v>
      </c>
      <c r="D2065">
        <v>466721.2</v>
      </c>
      <c r="E2065" t="s">
        <v>7553</v>
      </c>
      <c r="F2065" t="s">
        <v>7554</v>
      </c>
      <c r="G2065" t="s">
        <v>7555</v>
      </c>
      <c r="H2065" t="s">
        <v>3489</v>
      </c>
      <c r="I2065" t="s">
        <v>3490</v>
      </c>
      <c r="J2065" s="56">
        <f t="shared" si="96"/>
        <v>39</v>
      </c>
      <c r="K2065" s="74" t="str">
        <f t="shared" si="97"/>
        <v>31-60 Days</v>
      </c>
      <c r="L2065" s="58" t="str">
        <f t="shared" si="98"/>
        <v>Not Applicable</v>
      </c>
    </row>
    <row r="2066" spans="1:12" ht="16.5" customHeight="1" x14ac:dyDescent="0.35">
      <c r="A2066" t="s">
        <v>907</v>
      </c>
      <c r="B2066" t="s">
        <v>907</v>
      </c>
      <c r="C2066">
        <v>0</v>
      </c>
      <c r="D2066">
        <v>67894.55</v>
      </c>
      <c r="E2066" t="s">
        <v>7556</v>
      </c>
      <c r="F2066" t="s">
        <v>7557</v>
      </c>
      <c r="G2066" t="s">
        <v>7558</v>
      </c>
      <c r="H2066" t="s">
        <v>3489</v>
      </c>
      <c r="I2066" t="s">
        <v>3486</v>
      </c>
      <c r="J2066" s="56">
        <f t="shared" si="96"/>
        <v>39</v>
      </c>
      <c r="K2066" s="74" t="str">
        <f t="shared" si="97"/>
        <v>31-60 Days</v>
      </c>
      <c r="L2066" s="58" t="str">
        <f t="shared" si="98"/>
        <v>Not Applicable</v>
      </c>
    </row>
    <row r="2067" spans="1:12" ht="16.5" customHeight="1" x14ac:dyDescent="0.35">
      <c r="A2067" t="s">
        <v>907</v>
      </c>
      <c r="B2067" t="s">
        <v>907</v>
      </c>
      <c r="C2067">
        <v>0</v>
      </c>
      <c r="D2067">
        <v>250</v>
      </c>
      <c r="E2067" t="s">
        <v>7559</v>
      </c>
      <c r="F2067" t="s">
        <v>7559</v>
      </c>
      <c r="G2067" t="s">
        <v>7560</v>
      </c>
      <c r="H2067" t="s">
        <v>3532</v>
      </c>
      <c r="I2067" t="s">
        <v>3490</v>
      </c>
      <c r="J2067" s="56">
        <f t="shared" si="96"/>
        <v>39</v>
      </c>
      <c r="K2067" s="74" t="str">
        <f t="shared" si="97"/>
        <v>31-60 Days</v>
      </c>
      <c r="L2067" s="58" t="str">
        <f t="shared" si="98"/>
        <v>Not Applicable</v>
      </c>
    </row>
    <row r="2068" spans="1:12" ht="16.5" customHeight="1" x14ac:dyDescent="0.35">
      <c r="A2068" t="s">
        <v>907</v>
      </c>
      <c r="B2068" t="s">
        <v>907</v>
      </c>
      <c r="C2068">
        <v>0</v>
      </c>
      <c r="D2068">
        <v>1000</v>
      </c>
      <c r="E2068" t="s">
        <v>7561</v>
      </c>
      <c r="F2068" t="s">
        <v>7561</v>
      </c>
      <c r="G2068" t="s">
        <v>7562</v>
      </c>
      <c r="H2068" t="s">
        <v>3489</v>
      </c>
      <c r="I2068" t="s">
        <v>3490</v>
      </c>
      <c r="J2068" s="56">
        <f t="shared" si="96"/>
        <v>39</v>
      </c>
      <c r="K2068" s="74" t="str">
        <f t="shared" si="97"/>
        <v>31-60 Days</v>
      </c>
      <c r="L2068" s="58" t="str">
        <f t="shared" si="98"/>
        <v>Not Applicable</v>
      </c>
    </row>
    <row r="2069" spans="1:12" ht="16.5" customHeight="1" x14ac:dyDescent="0.35">
      <c r="A2069" t="s">
        <v>907</v>
      </c>
      <c r="B2069" t="s">
        <v>907</v>
      </c>
      <c r="C2069">
        <v>0</v>
      </c>
      <c r="D2069">
        <v>1000</v>
      </c>
      <c r="E2069" t="s">
        <v>7563</v>
      </c>
      <c r="F2069" t="s">
        <v>7564</v>
      </c>
      <c r="G2069" t="s">
        <v>7565</v>
      </c>
      <c r="H2069" t="s">
        <v>3489</v>
      </c>
      <c r="I2069" t="s">
        <v>3490</v>
      </c>
      <c r="J2069" s="56">
        <f t="shared" si="96"/>
        <v>39</v>
      </c>
      <c r="K2069" s="74" t="str">
        <f t="shared" si="97"/>
        <v>31-60 Days</v>
      </c>
      <c r="L2069" s="58" t="str">
        <f t="shared" si="98"/>
        <v>Not Applicable</v>
      </c>
    </row>
    <row r="2070" spans="1:12" ht="16.5" customHeight="1" x14ac:dyDescent="0.35">
      <c r="A2070" t="s">
        <v>907</v>
      </c>
      <c r="B2070" t="s">
        <v>907</v>
      </c>
      <c r="C2070">
        <v>0</v>
      </c>
      <c r="D2070">
        <v>500</v>
      </c>
      <c r="E2070" t="s">
        <v>7566</v>
      </c>
      <c r="F2070" t="s">
        <v>7566</v>
      </c>
      <c r="G2070" t="s">
        <v>7567</v>
      </c>
      <c r="H2070" t="s">
        <v>3489</v>
      </c>
      <c r="I2070" t="s">
        <v>3490</v>
      </c>
      <c r="J2070" s="56">
        <f t="shared" si="96"/>
        <v>39</v>
      </c>
      <c r="K2070" s="74" t="str">
        <f t="shared" si="97"/>
        <v>31-60 Days</v>
      </c>
      <c r="L2070" s="58" t="str">
        <f t="shared" si="98"/>
        <v>Not Applicable</v>
      </c>
    </row>
    <row r="2071" spans="1:12" ht="16.5" customHeight="1" x14ac:dyDescent="0.35">
      <c r="A2071" t="s">
        <v>907</v>
      </c>
      <c r="B2071" t="s">
        <v>907</v>
      </c>
      <c r="C2071">
        <v>0</v>
      </c>
      <c r="D2071">
        <v>250</v>
      </c>
      <c r="E2071" t="s">
        <v>7568</v>
      </c>
      <c r="F2071" t="s">
        <v>7568</v>
      </c>
      <c r="G2071" t="s">
        <v>7569</v>
      </c>
      <c r="H2071" t="s">
        <v>3532</v>
      </c>
      <c r="I2071" t="s">
        <v>3490</v>
      </c>
      <c r="J2071" s="56">
        <f t="shared" si="96"/>
        <v>39</v>
      </c>
      <c r="K2071" s="74" t="str">
        <f t="shared" si="97"/>
        <v>31-60 Days</v>
      </c>
      <c r="L2071" s="58" t="str">
        <f t="shared" si="98"/>
        <v>Not Applicable</v>
      </c>
    </row>
    <row r="2072" spans="1:12" ht="16.5" customHeight="1" x14ac:dyDescent="0.35">
      <c r="A2072" t="s">
        <v>907</v>
      </c>
      <c r="B2072" t="s">
        <v>907</v>
      </c>
      <c r="C2072">
        <v>0</v>
      </c>
      <c r="D2072">
        <v>2050</v>
      </c>
      <c r="E2072" t="s">
        <v>7570</v>
      </c>
      <c r="F2072" t="s">
        <v>7570</v>
      </c>
      <c r="G2072" t="s">
        <v>7571</v>
      </c>
      <c r="H2072" t="s">
        <v>3489</v>
      </c>
      <c r="I2072" t="s">
        <v>3490</v>
      </c>
      <c r="J2072" s="56">
        <f t="shared" si="96"/>
        <v>39</v>
      </c>
      <c r="K2072" s="74" t="str">
        <f t="shared" si="97"/>
        <v>31-60 Days</v>
      </c>
      <c r="L2072" s="58" t="str">
        <f t="shared" si="98"/>
        <v>Not Applicable</v>
      </c>
    </row>
    <row r="2073" spans="1:12" ht="16.5" customHeight="1" x14ac:dyDescent="0.35">
      <c r="A2073" t="s">
        <v>907</v>
      </c>
      <c r="B2073" t="s">
        <v>907</v>
      </c>
      <c r="C2073">
        <v>0</v>
      </c>
      <c r="D2073">
        <v>150</v>
      </c>
      <c r="E2073" t="s">
        <v>7572</v>
      </c>
      <c r="F2073" t="s">
        <v>7572</v>
      </c>
      <c r="G2073" t="s">
        <v>7573</v>
      </c>
      <c r="H2073" t="s">
        <v>3489</v>
      </c>
      <c r="I2073" t="s">
        <v>3490</v>
      </c>
      <c r="J2073" s="56">
        <f t="shared" si="96"/>
        <v>39</v>
      </c>
      <c r="K2073" s="74" t="str">
        <f t="shared" si="97"/>
        <v>31-60 Days</v>
      </c>
      <c r="L2073" s="58" t="str">
        <f t="shared" si="98"/>
        <v>Not Applicable</v>
      </c>
    </row>
    <row r="2074" spans="1:12" ht="16.5" customHeight="1" x14ac:dyDescent="0.35">
      <c r="A2074" t="s">
        <v>907</v>
      </c>
      <c r="B2074" t="s">
        <v>907</v>
      </c>
      <c r="C2074">
        <v>0</v>
      </c>
      <c r="D2074">
        <v>2832</v>
      </c>
      <c r="E2074" t="s">
        <v>7574</v>
      </c>
      <c r="F2074" t="s">
        <v>3574</v>
      </c>
      <c r="G2074" t="s">
        <v>7575</v>
      </c>
      <c r="H2074" t="s">
        <v>3489</v>
      </c>
      <c r="I2074" t="s">
        <v>3490</v>
      </c>
      <c r="J2074" s="56">
        <f t="shared" si="96"/>
        <v>39</v>
      </c>
      <c r="K2074" s="74" t="str">
        <f t="shared" si="97"/>
        <v>31-60 Days</v>
      </c>
      <c r="L2074" s="58" t="str">
        <f t="shared" si="98"/>
        <v>Not Applicable</v>
      </c>
    </row>
    <row r="2075" spans="1:12" ht="16.5" customHeight="1" x14ac:dyDescent="0.35">
      <c r="A2075" t="s">
        <v>907</v>
      </c>
      <c r="B2075" t="s">
        <v>907</v>
      </c>
      <c r="C2075">
        <v>0</v>
      </c>
      <c r="D2075">
        <v>2050</v>
      </c>
      <c r="E2075" t="s">
        <v>7576</v>
      </c>
      <c r="F2075" t="s">
        <v>7577</v>
      </c>
      <c r="G2075" t="s">
        <v>7578</v>
      </c>
      <c r="H2075" t="s">
        <v>3532</v>
      </c>
      <c r="I2075" t="s">
        <v>3490</v>
      </c>
      <c r="J2075" s="56">
        <f t="shared" si="96"/>
        <v>39</v>
      </c>
      <c r="K2075" s="74" t="str">
        <f t="shared" si="97"/>
        <v>31-60 Days</v>
      </c>
      <c r="L2075" s="58" t="str">
        <f t="shared" si="98"/>
        <v>Not Applicable</v>
      </c>
    </row>
    <row r="2076" spans="1:12" ht="16.5" customHeight="1" x14ac:dyDescent="0.35">
      <c r="A2076" t="s">
        <v>907</v>
      </c>
      <c r="B2076" t="s">
        <v>907</v>
      </c>
      <c r="C2076">
        <v>0</v>
      </c>
      <c r="D2076">
        <v>2050</v>
      </c>
      <c r="E2076" t="s">
        <v>7579</v>
      </c>
      <c r="F2076" t="s">
        <v>7579</v>
      </c>
      <c r="G2076" t="s">
        <v>7580</v>
      </c>
      <c r="H2076" t="s">
        <v>3489</v>
      </c>
      <c r="I2076" t="s">
        <v>3490</v>
      </c>
      <c r="J2076" s="56">
        <f t="shared" si="96"/>
        <v>39</v>
      </c>
      <c r="K2076" s="74" t="str">
        <f t="shared" si="97"/>
        <v>31-60 Days</v>
      </c>
      <c r="L2076" s="58" t="str">
        <f t="shared" si="98"/>
        <v>Not Applicable</v>
      </c>
    </row>
    <row r="2077" spans="1:12" ht="16.5" customHeight="1" x14ac:dyDescent="0.35">
      <c r="A2077" t="s">
        <v>907</v>
      </c>
      <c r="B2077" t="s">
        <v>907</v>
      </c>
      <c r="C2077">
        <v>0</v>
      </c>
      <c r="D2077">
        <v>250</v>
      </c>
      <c r="E2077" t="s">
        <v>7581</v>
      </c>
      <c r="F2077" t="s">
        <v>7581</v>
      </c>
      <c r="G2077" t="s">
        <v>7582</v>
      </c>
      <c r="H2077" t="s">
        <v>3489</v>
      </c>
      <c r="I2077" t="s">
        <v>3490</v>
      </c>
      <c r="J2077" s="56">
        <f t="shared" si="96"/>
        <v>39</v>
      </c>
      <c r="K2077" s="74" t="str">
        <f t="shared" si="97"/>
        <v>31-60 Days</v>
      </c>
      <c r="L2077" s="58" t="str">
        <f t="shared" si="98"/>
        <v>Not Applicable</v>
      </c>
    </row>
    <row r="2078" spans="1:12" ht="16.5" customHeight="1" x14ac:dyDescent="0.35">
      <c r="A2078" t="s">
        <v>907</v>
      </c>
      <c r="B2078" t="s">
        <v>907</v>
      </c>
      <c r="C2078">
        <v>0</v>
      </c>
      <c r="D2078">
        <v>1000</v>
      </c>
      <c r="E2078" t="s">
        <v>7583</v>
      </c>
      <c r="F2078" t="s">
        <v>7584</v>
      </c>
      <c r="G2078" t="s">
        <v>7585</v>
      </c>
      <c r="H2078" t="s">
        <v>3494</v>
      </c>
      <c r="I2078" t="s">
        <v>3490</v>
      </c>
      <c r="J2078" s="56">
        <f t="shared" si="96"/>
        <v>39</v>
      </c>
      <c r="K2078" s="74" t="str">
        <f t="shared" si="97"/>
        <v>31-60 Days</v>
      </c>
      <c r="L2078" s="58" t="str">
        <f t="shared" si="98"/>
        <v>Not Applicable</v>
      </c>
    </row>
    <row r="2079" spans="1:12" ht="16.5" customHeight="1" x14ac:dyDescent="0.35">
      <c r="A2079" t="s">
        <v>907</v>
      </c>
      <c r="B2079" t="s">
        <v>907</v>
      </c>
      <c r="C2079">
        <v>0</v>
      </c>
      <c r="D2079">
        <v>100</v>
      </c>
      <c r="E2079" t="s">
        <v>7586</v>
      </c>
      <c r="F2079" t="s">
        <v>7586</v>
      </c>
      <c r="G2079" t="s">
        <v>7587</v>
      </c>
      <c r="H2079" t="s">
        <v>3532</v>
      </c>
      <c r="I2079" t="s">
        <v>3490</v>
      </c>
      <c r="J2079" s="56">
        <f t="shared" si="96"/>
        <v>39</v>
      </c>
      <c r="K2079" s="74" t="str">
        <f t="shared" si="97"/>
        <v>31-60 Days</v>
      </c>
      <c r="L2079" s="58" t="str">
        <f t="shared" si="98"/>
        <v>Not Applicable</v>
      </c>
    </row>
    <row r="2080" spans="1:12" ht="16.5" customHeight="1" x14ac:dyDescent="0.35">
      <c r="A2080" t="s">
        <v>907</v>
      </c>
      <c r="B2080" t="s">
        <v>907</v>
      </c>
      <c r="C2080">
        <v>0</v>
      </c>
      <c r="D2080">
        <v>3200</v>
      </c>
      <c r="E2080" t="s">
        <v>7588</v>
      </c>
      <c r="F2080" t="s">
        <v>7588</v>
      </c>
      <c r="G2080" t="s">
        <v>7589</v>
      </c>
      <c r="H2080" t="s">
        <v>3489</v>
      </c>
      <c r="I2080" t="s">
        <v>3490</v>
      </c>
      <c r="J2080" s="56">
        <f t="shared" si="96"/>
        <v>39</v>
      </c>
      <c r="K2080" s="74" t="str">
        <f t="shared" si="97"/>
        <v>31-60 Days</v>
      </c>
      <c r="L2080" s="58" t="str">
        <f t="shared" si="98"/>
        <v>Not Applicable</v>
      </c>
    </row>
    <row r="2081" spans="1:12" ht="16.5" customHeight="1" x14ac:dyDescent="0.35">
      <c r="A2081" t="s">
        <v>907</v>
      </c>
      <c r="B2081" t="s">
        <v>907</v>
      </c>
      <c r="C2081">
        <v>0</v>
      </c>
      <c r="D2081">
        <v>30</v>
      </c>
      <c r="E2081" t="s">
        <v>7590</v>
      </c>
      <c r="F2081" t="s">
        <v>7590</v>
      </c>
      <c r="G2081" t="s">
        <v>7591</v>
      </c>
      <c r="H2081" t="s">
        <v>3489</v>
      </c>
      <c r="I2081" t="s">
        <v>3490</v>
      </c>
      <c r="J2081" s="56">
        <f t="shared" si="96"/>
        <v>39</v>
      </c>
      <c r="K2081" s="74" t="str">
        <f t="shared" si="97"/>
        <v>31-60 Days</v>
      </c>
      <c r="L2081" s="58" t="str">
        <f t="shared" si="98"/>
        <v>Not Applicable</v>
      </c>
    </row>
    <row r="2082" spans="1:12" ht="16.5" customHeight="1" x14ac:dyDescent="0.35">
      <c r="A2082" t="s">
        <v>907</v>
      </c>
      <c r="B2082" t="s">
        <v>907</v>
      </c>
      <c r="C2082">
        <v>0</v>
      </c>
      <c r="D2082">
        <v>63.72</v>
      </c>
      <c r="E2082" t="s">
        <v>7592</v>
      </c>
      <c r="F2082" t="s">
        <v>7593</v>
      </c>
      <c r="G2082" t="s">
        <v>7594</v>
      </c>
      <c r="H2082" t="s">
        <v>3532</v>
      </c>
      <c r="I2082" t="s">
        <v>3490</v>
      </c>
      <c r="J2082" s="56">
        <f t="shared" si="96"/>
        <v>39</v>
      </c>
      <c r="K2082" s="74" t="str">
        <f t="shared" si="97"/>
        <v>31-60 Days</v>
      </c>
      <c r="L2082" s="58" t="str">
        <f t="shared" si="98"/>
        <v>Not Applicable</v>
      </c>
    </row>
    <row r="2083" spans="1:12" ht="16.5" customHeight="1" x14ac:dyDescent="0.35">
      <c r="A2083" t="s">
        <v>907</v>
      </c>
      <c r="B2083" t="s">
        <v>907</v>
      </c>
      <c r="C2083">
        <v>2500000</v>
      </c>
      <c r="D2083">
        <v>0</v>
      </c>
      <c r="E2083" t="s">
        <v>7595</v>
      </c>
      <c r="F2083" t="s">
        <v>7595</v>
      </c>
      <c r="G2083" t="s">
        <v>7596</v>
      </c>
      <c r="H2083" t="s">
        <v>4394</v>
      </c>
      <c r="I2083" t="s">
        <v>3486</v>
      </c>
      <c r="J2083" s="56">
        <f t="shared" si="96"/>
        <v>39</v>
      </c>
      <c r="K2083" s="74" t="str">
        <f t="shared" si="97"/>
        <v>31-60 Days</v>
      </c>
      <c r="L2083" s="58" t="str">
        <f t="shared" si="98"/>
        <v>Especially Mentioned</v>
      </c>
    </row>
    <row r="2084" spans="1:12" ht="16.5" customHeight="1" x14ac:dyDescent="0.35">
      <c r="A2084" t="s">
        <v>907</v>
      </c>
      <c r="B2084" t="s">
        <v>907</v>
      </c>
      <c r="C2084">
        <v>0</v>
      </c>
      <c r="D2084">
        <v>88.5</v>
      </c>
      <c r="E2084" t="s">
        <v>7597</v>
      </c>
      <c r="F2084" t="s">
        <v>3574</v>
      </c>
      <c r="G2084" t="s">
        <v>7598</v>
      </c>
      <c r="H2084" t="s">
        <v>3489</v>
      </c>
      <c r="I2084" t="s">
        <v>3490</v>
      </c>
      <c r="J2084" s="56">
        <f t="shared" si="96"/>
        <v>39</v>
      </c>
      <c r="K2084" s="74" t="str">
        <f t="shared" si="97"/>
        <v>31-60 Days</v>
      </c>
      <c r="L2084" s="58" t="str">
        <f t="shared" si="98"/>
        <v>Not Applicable</v>
      </c>
    </row>
    <row r="2085" spans="1:12" ht="16.5" customHeight="1" x14ac:dyDescent="0.35">
      <c r="A2085" t="s">
        <v>907</v>
      </c>
      <c r="B2085" t="s">
        <v>907</v>
      </c>
      <c r="C2085">
        <v>0</v>
      </c>
      <c r="D2085">
        <v>25488</v>
      </c>
      <c r="E2085" t="s">
        <v>7599</v>
      </c>
      <c r="F2085" t="s">
        <v>7600</v>
      </c>
      <c r="G2085" t="s">
        <v>7601</v>
      </c>
      <c r="H2085" t="s">
        <v>3489</v>
      </c>
      <c r="I2085" t="s">
        <v>3486</v>
      </c>
      <c r="J2085" s="56">
        <f t="shared" si="96"/>
        <v>39</v>
      </c>
      <c r="K2085" s="74" t="str">
        <f t="shared" si="97"/>
        <v>31-60 Days</v>
      </c>
      <c r="L2085" s="58" t="str">
        <f t="shared" si="98"/>
        <v>Not Applicable</v>
      </c>
    </row>
    <row r="2086" spans="1:12" ht="16.5" customHeight="1" x14ac:dyDescent="0.35">
      <c r="A2086" t="s">
        <v>907</v>
      </c>
      <c r="B2086" t="s">
        <v>907</v>
      </c>
      <c r="C2086">
        <v>0</v>
      </c>
      <c r="D2086">
        <v>42.48</v>
      </c>
      <c r="E2086" t="s">
        <v>7602</v>
      </c>
      <c r="F2086" t="s">
        <v>3574</v>
      </c>
      <c r="G2086" t="s">
        <v>7603</v>
      </c>
      <c r="H2086" t="s">
        <v>3489</v>
      </c>
      <c r="I2086" t="s">
        <v>3490</v>
      </c>
      <c r="J2086" s="56">
        <f t="shared" si="96"/>
        <v>39</v>
      </c>
      <c r="K2086" s="74" t="str">
        <f t="shared" si="97"/>
        <v>31-60 Days</v>
      </c>
      <c r="L2086" s="58" t="str">
        <f t="shared" si="98"/>
        <v>Not Applicable</v>
      </c>
    </row>
    <row r="2087" spans="1:12" ht="16.5" customHeight="1" x14ac:dyDescent="0.35">
      <c r="A2087" t="s">
        <v>907</v>
      </c>
      <c r="B2087" t="s">
        <v>907</v>
      </c>
      <c r="C2087">
        <v>0</v>
      </c>
      <c r="D2087">
        <v>150</v>
      </c>
      <c r="E2087" t="s">
        <v>7604</v>
      </c>
      <c r="F2087" t="s">
        <v>7604</v>
      </c>
      <c r="G2087" t="s">
        <v>7605</v>
      </c>
      <c r="H2087" t="s">
        <v>3489</v>
      </c>
      <c r="I2087" t="s">
        <v>3490</v>
      </c>
      <c r="J2087" s="56">
        <f t="shared" si="96"/>
        <v>39</v>
      </c>
      <c r="K2087" s="74" t="str">
        <f t="shared" si="97"/>
        <v>31-60 Days</v>
      </c>
      <c r="L2087" s="58" t="str">
        <f t="shared" si="98"/>
        <v>Not Applicable</v>
      </c>
    </row>
    <row r="2088" spans="1:12" ht="16.5" customHeight="1" x14ac:dyDescent="0.35">
      <c r="A2088" t="s">
        <v>907</v>
      </c>
      <c r="B2088" t="s">
        <v>907</v>
      </c>
      <c r="C2088">
        <v>0</v>
      </c>
      <c r="D2088">
        <v>3050</v>
      </c>
      <c r="E2088" t="s">
        <v>7606</v>
      </c>
      <c r="F2088" t="s">
        <v>7606</v>
      </c>
      <c r="G2088" t="s">
        <v>7607</v>
      </c>
      <c r="H2088" t="s">
        <v>3489</v>
      </c>
      <c r="I2088" t="s">
        <v>3490</v>
      </c>
      <c r="J2088" s="56">
        <f t="shared" si="96"/>
        <v>39</v>
      </c>
      <c r="K2088" s="74" t="str">
        <f t="shared" si="97"/>
        <v>31-60 Days</v>
      </c>
      <c r="L2088" s="58" t="str">
        <f t="shared" si="98"/>
        <v>Not Applicable</v>
      </c>
    </row>
    <row r="2089" spans="1:12" ht="16.5" customHeight="1" x14ac:dyDescent="0.35">
      <c r="A2089" t="s">
        <v>907</v>
      </c>
      <c r="B2089" t="s">
        <v>907</v>
      </c>
      <c r="C2089">
        <v>0</v>
      </c>
      <c r="D2089">
        <v>300</v>
      </c>
      <c r="E2089" t="s">
        <v>7608</v>
      </c>
      <c r="F2089" t="s">
        <v>7608</v>
      </c>
      <c r="G2089" t="s">
        <v>7609</v>
      </c>
      <c r="H2089" t="s">
        <v>3494</v>
      </c>
      <c r="I2089" t="s">
        <v>3507</v>
      </c>
      <c r="J2089" s="56">
        <f t="shared" si="96"/>
        <v>39</v>
      </c>
      <c r="K2089" s="74" t="str">
        <f t="shared" si="97"/>
        <v>31-60 Days</v>
      </c>
      <c r="L2089" s="58" t="str">
        <f t="shared" si="98"/>
        <v>Not Applicable</v>
      </c>
    </row>
    <row r="2090" spans="1:12" ht="16.5" customHeight="1" x14ac:dyDescent="0.35">
      <c r="A2090" t="s">
        <v>907</v>
      </c>
      <c r="B2090" t="s">
        <v>907</v>
      </c>
      <c r="C2090">
        <v>0</v>
      </c>
      <c r="D2090">
        <v>250</v>
      </c>
      <c r="E2090" t="s">
        <v>7610</v>
      </c>
      <c r="F2090" t="s">
        <v>7610</v>
      </c>
      <c r="G2090" t="s">
        <v>7611</v>
      </c>
      <c r="H2090" t="s">
        <v>3532</v>
      </c>
      <c r="I2090" t="s">
        <v>3490</v>
      </c>
      <c r="J2090" s="56">
        <f t="shared" si="96"/>
        <v>39</v>
      </c>
      <c r="K2090" s="74" t="str">
        <f t="shared" si="97"/>
        <v>31-60 Days</v>
      </c>
      <c r="L2090" s="58" t="str">
        <f t="shared" si="98"/>
        <v>Not Applicable</v>
      </c>
    </row>
    <row r="2091" spans="1:12" ht="16.5" customHeight="1" x14ac:dyDescent="0.35">
      <c r="A2091" t="s">
        <v>939</v>
      </c>
      <c r="B2091" t="s">
        <v>939</v>
      </c>
      <c r="C2091">
        <v>0</v>
      </c>
      <c r="D2091">
        <v>1000</v>
      </c>
      <c r="E2091" t="s">
        <v>7612</v>
      </c>
      <c r="F2091" t="s">
        <v>7613</v>
      </c>
      <c r="G2091" t="s">
        <v>7614</v>
      </c>
      <c r="H2091" t="s">
        <v>3489</v>
      </c>
      <c r="I2091" t="s">
        <v>3490</v>
      </c>
      <c r="J2091" s="56">
        <f t="shared" si="96"/>
        <v>38</v>
      </c>
      <c r="K2091" s="74" t="str">
        <f t="shared" si="97"/>
        <v>31-60 Days</v>
      </c>
      <c r="L2091" s="58" t="str">
        <f t="shared" si="98"/>
        <v>Not Applicable</v>
      </c>
    </row>
    <row r="2092" spans="1:12" ht="16.5" customHeight="1" x14ac:dyDescent="0.35">
      <c r="A2092" t="s">
        <v>939</v>
      </c>
      <c r="B2092" t="s">
        <v>939</v>
      </c>
      <c r="C2092">
        <v>0</v>
      </c>
      <c r="D2092">
        <v>30</v>
      </c>
      <c r="E2092" t="s">
        <v>7615</v>
      </c>
      <c r="F2092" t="s">
        <v>7615</v>
      </c>
      <c r="G2092" t="s">
        <v>7616</v>
      </c>
      <c r="H2092" t="s">
        <v>3489</v>
      </c>
      <c r="I2092" t="s">
        <v>3490</v>
      </c>
      <c r="J2092" s="56">
        <f t="shared" si="96"/>
        <v>38</v>
      </c>
      <c r="K2092" s="74" t="str">
        <f t="shared" si="97"/>
        <v>31-60 Days</v>
      </c>
      <c r="L2092" s="58" t="str">
        <f t="shared" si="98"/>
        <v>Not Applicable</v>
      </c>
    </row>
    <row r="2093" spans="1:12" ht="16.5" customHeight="1" x14ac:dyDescent="0.35">
      <c r="A2093" t="s">
        <v>939</v>
      </c>
      <c r="B2093" t="s">
        <v>939</v>
      </c>
      <c r="C2093">
        <v>0</v>
      </c>
      <c r="D2093">
        <v>1000</v>
      </c>
      <c r="E2093" t="s">
        <v>7617</v>
      </c>
      <c r="F2093" t="s">
        <v>7617</v>
      </c>
      <c r="G2093" t="s">
        <v>7618</v>
      </c>
      <c r="H2093" t="s">
        <v>3489</v>
      </c>
      <c r="I2093" t="s">
        <v>3490</v>
      </c>
      <c r="J2093" s="56">
        <f t="shared" si="96"/>
        <v>38</v>
      </c>
      <c r="K2093" s="74" t="str">
        <f t="shared" si="97"/>
        <v>31-60 Days</v>
      </c>
      <c r="L2093" s="58" t="str">
        <f t="shared" si="98"/>
        <v>Not Applicable</v>
      </c>
    </row>
    <row r="2094" spans="1:12" ht="16.5" customHeight="1" x14ac:dyDescent="0.35">
      <c r="A2094" t="s">
        <v>939</v>
      </c>
      <c r="B2094" t="s">
        <v>939</v>
      </c>
      <c r="C2094">
        <v>0</v>
      </c>
      <c r="D2094">
        <v>1000</v>
      </c>
      <c r="E2094" t="s">
        <v>7619</v>
      </c>
      <c r="F2094" t="s">
        <v>7619</v>
      </c>
      <c r="G2094" t="s">
        <v>7620</v>
      </c>
      <c r="H2094" t="s">
        <v>3532</v>
      </c>
      <c r="I2094" t="s">
        <v>3490</v>
      </c>
      <c r="J2094" s="56">
        <f t="shared" si="96"/>
        <v>38</v>
      </c>
      <c r="K2094" s="74" t="str">
        <f t="shared" si="97"/>
        <v>31-60 Days</v>
      </c>
      <c r="L2094" s="58" t="str">
        <f t="shared" si="98"/>
        <v>Not Applicable</v>
      </c>
    </row>
    <row r="2095" spans="1:12" ht="16.5" customHeight="1" x14ac:dyDescent="0.35">
      <c r="A2095" t="s">
        <v>939</v>
      </c>
      <c r="B2095" t="s">
        <v>939</v>
      </c>
      <c r="C2095">
        <v>0</v>
      </c>
      <c r="D2095">
        <v>3610.8</v>
      </c>
      <c r="E2095" t="s">
        <v>7621</v>
      </c>
      <c r="F2095" t="s">
        <v>6177</v>
      </c>
      <c r="G2095" t="s">
        <v>7622</v>
      </c>
      <c r="H2095" t="s">
        <v>3489</v>
      </c>
      <c r="I2095" t="s">
        <v>3486</v>
      </c>
      <c r="J2095" s="56">
        <f t="shared" si="96"/>
        <v>38</v>
      </c>
      <c r="K2095" s="74" t="str">
        <f t="shared" si="97"/>
        <v>31-60 Days</v>
      </c>
      <c r="L2095" s="58" t="str">
        <f t="shared" si="98"/>
        <v>Not Applicable</v>
      </c>
    </row>
    <row r="2096" spans="1:12" ht="16.5" customHeight="1" x14ac:dyDescent="0.35">
      <c r="A2096" t="s">
        <v>939</v>
      </c>
      <c r="B2096" t="s">
        <v>939</v>
      </c>
      <c r="C2096">
        <v>0</v>
      </c>
      <c r="D2096">
        <v>2050</v>
      </c>
      <c r="E2096" t="s">
        <v>7623</v>
      </c>
      <c r="F2096" t="s">
        <v>7624</v>
      </c>
      <c r="G2096" t="s">
        <v>7625</v>
      </c>
      <c r="H2096" t="s">
        <v>3494</v>
      </c>
      <c r="I2096" t="s">
        <v>3490</v>
      </c>
      <c r="J2096" s="56">
        <f t="shared" si="96"/>
        <v>38</v>
      </c>
      <c r="K2096" s="74" t="str">
        <f t="shared" si="97"/>
        <v>31-60 Days</v>
      </c>
      <c r="L2096" s="58" t="str">
        <f t="shared" si="98"/>
        <v>Not Applicable</v>
      </c>
    </row>
    <row r="2097" spans="1:12" ht="16.5" customHeight="1" x14ac:dyDescent="0.35">
      <c r="A2097" t="s">
        <v>939</v>
      </c>
      <c r="B2097" t="s">
        <v>939</v>
      </c>
      <c r="C2097">
        <v>0</v>
      </c>
      <c r="D2097">
        <v>400</v>
      </c>
      <c r="E2097" t="s">
        <v>7626</v>
      </c>
      <c r="F2097" t="s">
        <v>6236</v>
      </c>
      <c r="G2097" t="s">
        <v>7627</v>
      </c>
      <c r="H2097" t="s">
        <v>3489</v>
      </c>
      <c r="I2097" t="s">
        <v>3486</v>
      </c>
      <c r="J2097" s="56">
        <f t="shared" si="96"/>
        <v>38</v>
      </c>
      <c r="K2097" s="74" t="str">
        <f t="shared" si="97"/>
        <v>31-60 Days</v>
      </c>
      <c r="L2097" s="58" t="str">
        <f t="shared" si="98"/>
        <v>Not Applicable</v>
      </c>
    </row>
    <row r="2098" spans="1:12" ht="16.5" customHeight="1" x14ac:dyDescent="0.35">
      <c r="A2098" t="s">
        <v>939</v>
      </c>
      <c r="B2098" t="s">
        <v>939</v>
      </c>
      <c r="C2098">
        <v>0</v>
      </c>
      <c r="D2098">
        <v>71.2</v>
      </c>
      <c r="E2098" t="s">
        <v>7628</v>
      </c>
      <c r="F2098" t="s">
        <v>7629</v>
      </c>
      <c r="G2098" t="s">
        <v>7630</v>
      </c>
      <c r="H2098" t="s">
        <v>3489</v>
      </c>
      <c r="I2098" t="s">
        <v>3486</v>
      </c>
      <c r="J2098" s="56">
        <f t="shared" si="96"/>
        <v>38</v>
      </c>
      <c r="K2098" s="74" t="str">
        <f t="shared" si="97"/>
        <v>31-60 Days</v>
      </c>
      <c r="L2098" s="58" t="str">
        <f t="shared" si="98"/>
        <v>Not Applicable</v>
      </c>
    </row>
    <row r="2099" spans="1:12" ht="16.5" customHeight="1" x14ac:dyDescent="0.35">
      <c r="A2099" t="s">
        <v>939</v>
      </c>
      <c r="B2099" t="s">
        <v>939</v>
      </c>
      <c r="C2099">
        <v>0</v>
      </c>
      <c r="D2099">
        <v>3100</v>
      </c>
      <c r="E2099" t="s">
        <v>7631</v>
      </c>
      <c r="F2099" t="s">
        <v>7631</v>
      </c>
      <c r="G2099" t="s">
        <v>7632</v>
      </c>
      <c r="H2099" t="s">
        <v>3489</v>
      </c>
      <c r="I2099" t="s">
        <v>3490</v>
      </c>
      <c r="J2099" s="56">
        <f t="shared" si="96"/>
        <v>38</v>
      </c>
      <c r="K2099" s="74" t="str">
        <f t="shared" si="97"/>
        <v>31-60 Days</v>
      </c>
      <c r="L2099" s="58" t="str">
        <f t="shared" si="98"/>
        <v>Not Applicable</v>
      </c>
    </row>
    <row r="2100" spans="1:12" ht="16.5" customHeight="1" x14ac:dyDescent="0.35">
      <c r="A2100" t="s">
        <v>939</v>
      </c>
      <c r="B2100" t="s">
        <v>939</v>
      </c>
      <c r="C2100">
        <v>0</v>
      </c>
      <c r="D2100">
        <v>30</v>
      </c>
      <c r="E2100" t="s">
        <v>7633</v>
      </c>
      <c r="F2100" t="s">
        <v>7633</v>
      </c>
      <c r="G2100" t="s">
        <v>7634</v>
      </c>
      <c r="H2100" t="s">
        <v>3489</v>
      </c>
      <c r="I2100" t="s">
        <v>3490</v>
      </c>
      <c r="J2100" s="56">
        <f t="shared" si="96"/>
        <v>38</v>
      </c>
      <c r="K2100" s="74" t="str">
        <f t="shared" si="97"/>
        <v>31-60 Days</v>
      </c>
      <c r="L2100" s="58" t="str">
        <f t="shared" si="98"/>
        <v>Not Applicable</v>
      </c>
    </row>
    <row r="2101" spans="1:12" ht="16.5" customHeight="1" x14ac:dyDescent="0.35">
      <c r="A2101" t="s">
        <v>939</v>
      </c>
      <c r="B2101" t="s">
        <v>939</v>
      </c>
      <c r="C2101">
        <v>0</v>
      </c>
      <c r="D2101">
        <v>14863.83</v>
      </c>
      <c r="E2101" t="s">
        <v>7635</v>
      </c>
      <c r="F2101" t="s">
        <v>6351</v>
      </c>
      <c r="G2101" t="s">
        <v>7636</v>
      </c>
      <c r="H2101" t="s">
        <v>3489</v>
      </c>
      <c r="I2101" t="s">
        <v>3486</v>
      </c>
      <c r="J2101" s="56">
        <f t="shared" si="96"/>
        <v>38</v>
      </c>
      <c r="K2101" s="74" t="str">
        <f t="shared" si="97"/>
        <v>31-60 Days</v>
      </c>
      <c r="L2101" s="58" t="str">
        <f t="shared" si="98"/>
        <v>Not Applicable</v>
      </c>
    </row>
    <row r="2102" spans="1:12" ht="16.5" customHeight="1" x14ac:dyDescent="0.35">
      <c r="A2102" t="s">
        <v>939</v>
      </c>
      <c r="B2102" t="s">
        <v>939</v>
      </c>
      <c r="C2102">
        <v>0</v>
      </c>
      <c r="D2102">
        <v>600</v>
      </c>
      <c r="E2102" t="s">
        <v>7637</v>
      </c>
      <c r="F2102" t="s">
        <v>7638</v>
      </c>
      <c r="G2102" t="s">
        <v>7639</v>
      </c>
      <c r="H2102" t="s">
        <v>3532</v>
      </c>
      <c r="I2102" t="s">
        <v>3490</v>
      </c>
      <c r="J2102" s="56">
        <f t="shared" si="96"/>
        <v>38</v>
      </c>
      <c r="K2102" s="74" t="str">
        <f t="shared" si="97"/>
        <v>31-60 Days</v>
      </c>
      <c r="L2102" s="58" t="str">
        <f t="shared" si="98"/>
        <v>Not Applicable</v>
      </c>
    </row>
    <row r="2103" spans="1:12" ht="16.5" customHeight="1" x14ac:dyDescent="0.35">
      <c r="A2103" t="s">
        <v>939</v>
      </c>
      <c r="B2103" t="s">
        <v>939</v>
      </c>
      <c r="C2103">
        <v>0</v>
      </c>
      <c r="D2103">
        <v>4702.67</v>
      </c>
      <c r="E2103" t="s">
        <v>7640</v>
      </c>
      <c r="F2103" t="s">
        <v>6400</v>
      </c>
      <c r="G2103" t="s">
        <v>7641</v>
      </c>
      <c r="H2103" t="s">
        <v>3489</v>
      </c>
      <c r="I2103" t="s">
        <v>3486</v>
      </c>
      <c r="J2103" s="56">
        <f t="shared" si="96"/>
        <v>38</v>
      </c>
      <c r="K2103" s="74" t="str">
        <f t="shared" si="97"/>
        <v>31-60 Days</v>
      </c>
      <c r="L2103" s="58" t="str">
        <f t="shared" si="98"/>
        <v>Not Applicable</v>
      </c>
    </row>
    <row r="2104" spans="1:12" ht="16.5" customHeight="1" x14ac:dyDescent="0.35">
      <c r="A2104" t="s">
        <v>939</v>
      </c>
      <c r="B2104" t="s">
        <v>939</v>
      </c>
      <c r="C2104">
        <v>15000</v>
      </c>
      <c r="D2104">
        <v>0</v>
      </c>
      <c r="E2104" t="s">
        <v>6831</v>
      </c>
      <c r="F2104" t="s">
        <v>6831</v>
      </c>
      <c r="G2104" t="s">
        <v>7642</v>
      </c>
      <c r="H2104" t="s">
        <v>6735</v>
      </c>
      <c r="I2104" t="s">
        <v>3486</v>
      </c>
      <c r="J2104" s="56">
        <f t="shared" si="96"/>
        <v>38</v>
      </c>
      <c r="K2104" s="74" t="str">
        <f t="shared" si="97"/>
        <v>31-60 Days</v>
      </c>
      <c r="L2104" s="58" t="str">
        <f t="shared" si="98"/>
        <v>Especially Mentioned</v>
      </c>
    </row>
    <row r="2105" spans="1:12" ht="16.5" customHeight="1" x14ac:dyDescent="0.35">
      <c r="A2105" t="s">
        <v>939</v>
      </c>
      <c r="B2105" t="s">
        <v>939</v>
      </c>
      <c r="C2105">
        <v>0</v>
      </c>
      <c r="D2105">
        <v>32000</v>
      </c>
      <c r="E2105" t="s">
        <v>7643</v>
      </c>
      <c r="F2105" t="s">
        <v>7644</v>
      </c>
      <c r="G2105" t="s">
        <v>7645</v>
      </c>
      <c r="H2105" t="s">
        <v>3489</v>
      </c>
      <c r="I2105" t="s">
        <v>3486</v>
      </c>
      <c r="J2105" s="56">
        <f t="shared" si="96"/>
        <v>38</v>
      </c>
      <c r="K2105" s="74" t="str">
        <f t="shared" si="97"/>
        <v>31-60 Days</v>
      </c>
      <c r="L2105" s="58" t="str">
        <f t="shared" si="98"/>
        <v>Not Applicable</v>
      </c>
    </row>
    <row r="2106" spans="1:12" ht="16.5" customHeight="1" x14ac:dyDescent="0.35">
      <c r="A2106" t="s">
        <v>939</v>
      </c>
      <c r="B2106" t="s">
        <v>939</v>
      </c>
      <c r="C2106">
        <v>0</v>
      </c>
      <c r="D2106">
        <v>100</v>
      </c>
      <c r="E2106" t="s">
        <v>7646</v>
      </c>
      <c r="F2106" t="s">
        <v>7646</v>
      </c>
      <c r="G2106" t="s">
        <v>7647</v>
      </c>
      <c r="H2106" t="s">
        <v>3489</v>
      </c>
      <c r="I2106" t="s">
        <v>3490</v>
      </c>
      <c r="J2106" s="56">
        <f t="shared" si="96"/>
        <v>38</v>
      </c>
      <c r="K2106" s="74" t="str">
        <f t="shared" si="97"/>
        <v>31-60 Days</v>
      </c>
      <c r="L2106" s="58" t="str">
        <f t="shared" si="98"/>
        <v>Not Applicable</v>
      </c>
    </row>
    <row r="2107" spans="1:12" ht="16.5" customHeight="1" x14ac:dyDescent="0.35">
      <c r="A2107" t="s">
        <v>939</v>
      </c>
      <c r="B2107" t="s">
        <v>939</v>
      </c>
      <c r="C2107">
        <v>0</v>
      </c>
      <c r="D2107">
        <v>30</v>
      </c>
      <c r="E2107" t="s">
        <v>7648</v>
      </c>
      <c r="F2107" t="s">
        <v>7648</v>
      </c>
      <c r="G2107" t="s">
        <v>7649</v>
      </c>
      <c r="H2107" t="s">
        <v>3489</v>
      </c>
      <c r="I2107" t="s">
        <v>3490</v>
      </c>
      <c r="J2107" s="56">
        <f t="shared" si="96"/>
        <v>38</v>
      </c>
      <c r="K2107" s="74" t="str">
        <f t="shared" si="97"/>
        <v>31-60 Days</v>
      </c>
      <c r="L2107" s="58" t="str">
        <f t="shared" si="98"/>
        <v>Not Applicable</v>
      </c>
    </row>
    <row r="2108" spans="1:12" ht="16.5" customHeight="1" x14ac:dyDescent="0.35">
      <c r="A2108" t="s">
        <v>939</v>
      </c>
      <c r="B2108" t="s">
        <v>939</v>
      </c>
      <c r="C2108">
        <v>0</v>
      </c>
      <c r="D2108">
        <v>250</v>
      </c>
      <c r="E2108" t="s">
        <v>7650</v>
      </c>
      <c r="F2108" t="s">
        <v>7650</v>
      </c>
      <c r="G2108" t="s">
        <v>7651</v>
      </c>
      <c r="H2108" t="s">
        <v>3489</v>
      </c>
      <c r="I2108" t="s">
        <v>3490</v>
      </c>
      <c r="J2108" s="56">
        <f t="shared" si="96"/>
        <v>38</v>
      </c>
      <c r="K2108" s="74" t="str">
        <f t="shared" si="97"/>
        <v>31-60 Days</v>
      </c>
      <c r="L2108" s="58" t="str">
        <f t="shared" si="98"/>
        <v>Not Applicable</v>
      </c>
    </row>
    <row r="2109" spans="1:12" ht="16.5" customHeight="1" x14ac:dyDescent="0.35">
      <c r="A2109" t="s">
        <v>939</v>
      </c>
      <c r="B2109" t="s">
        <v>939</v>
      </c>
      <c r="C2109">
        <v>0</v>
      </c>
      <c r="D2109">
        <v>1000</v>
      </c>
      <c r="E2109" t="s">
        <v>7652</v>
      </c>
      <c r="F2109" t="s">
        <v>3499</v>
      </c>
      <c r="G2109" t="s">
        <v>7653</v>
      </c>
      <c r="H2109" t="s">
        <v>3489</v>
      </c>
      <c r="I2109" t="s">
        <v>3490</v>
      </c>
      <c r="J2109" s="56">
        <f t="shared" si="96"/>
        <v>38</v>
      </c>
      <c r="K2109" s="74" t="str">
        <f t="shared" si="97"/>
        <v>31-60 Days</v>
      </c>
      <c r="L2109" s="58" t="str">
        <f t="shared" si="98"/>
        <v>Not Applicable</v>
      </c>
    </row>
    <row r="2110" spans="1:12" ht="16.5" customHeight="1" x14ac:dyDescent="0.35">
      <c r="A2110" t="s">
        <v>939</v>
      </c>
      <c r="B2110" t="s">
        <v>939</v>
      </c>
      <c r="C2110">
        <v>0</v>
      </c>
      <c r="D2110">
        <v>600</v>
      </c>
      <c r="E2110" t="s">
        <v>7654</v>
      </c>
      <c r="F2110" t="s">
        <v>7654</v>
      </c>
      <c r="G2110" t="s">
        <v>7655</v>
      </c>
      <c r="H2110" t="s">
        <v>3489</v>
      </c>
      <c r="I2110" t="s">
        <v>3490</v>
      </c>
      <c r="J2110" s="56">
        <f t="shared" si="96"/>
        <v>38</v>
      </c>
      <c r="K2110" s="74" t="str">
        <f t="shared" si="97"/>
        <v>31-60 Days</v>
      </c>
      <c r="L2110" s="58" t="str">
        <f t="shared" si="98"/>
        <v>Not Applicable</v>
      </c>
    </row>
    <row r="2111" spans="1:12" ht="16.5" customHeight="1" x14ac:dyDescent="0.35">
      <c r="A2111" t="s">
        <v>939</v>
      </c>
      <c r="B2111" t="s">
        <v>939</v>
      </c>
      <c r="C2111">
        <v>0</v>
      </c>
      <c r="D2111">
        <v>1000</v>
      </c>
      <c r="E2111" t="s">
        <v>7656</v>
      </c>
      <c r="F2111" t="s">
        <v>7657</v>
      </c>
      <c r="G2111" t="s">
        <v>7658</v>
      </c>
      <c r="H2111" t="s">
        <v>3489</v>
      </c>
      <c r="I2111" t="s">
        <v>3490</v>
      </c>
      <c r="J2111" s="56">
        <f t="shared" si="96"/>
        <v>38</v>
      </c>
      <c r="K2111" s="74" t="str">
        <f t="shared" si="97"/>
        <v>31-60 Days</v>
      </c>
      <c r="L2111" s="58" t="str">
        <f t="shared" si="98"/>
        <v>Not Applicable</v>
      </c>
    </row>
    <row r="2112" spans="1:12" ht="16.5" customHeight="1" x14ac:dyDescent="0.35">
      <c r="A2112" t="s">
        <v>939</v>
      </c>
      <c r="B2112" t="s">
        <v>939</v>
      </c>
      <c r="C2112">
        <v>0</v>
      </c>
      <c r="D2112">
        <v>495.6</v>
      </c>
      <c r="E2112" t="s">
        <v>7659</v>
      </c>
      <c r="F2112" t="s">
        <v>7660</v>
      </c>
      <c r="G2112" t="s">
        <v>7661</v>
      </c>
      <c r="H2112" t="s">
        <v>3532</v>
      </c>
      <c r="I2112" t="s">
        <v>3490</v>
      </c>
      <c r="J2112" s="56">
        <f t="shared" si="96"/>
        <v>38</v>
      </c>
      <c r="K2112" s="74" t="str">
        <f t="shared" si="97"/>
        <v>31-60 Days</v>
      </c>
      <c r="L2112" s="58" t="str">
        <f t="shared" si="98"/>
        <v>Not Applicable</v>
      </c>
    </row>
    <row r="2113" spans="1:12" ht="16.5" customHeight="1" x14ac:dyDescent="0.35">
      <c r="A2113" t="s">
        <v>939</v>
      </c>
      <c r="B2113" t="s">
        <v>939</v>
      </c>
      <c r="C2113">
        <v>0</v>
      </c>
      <c r="D2113">
        <v>370</v>
      </c>
      <c r="E2113" t="s">
        <v>7662</v>
      </c>
      <c r="F2113" t="s">
        <v>6259</v>
      </c>
      <c r="G2113" t="s">
        <v>7663</v>
      </c>
      <c r="H2113" t="s">
        <v>3489</v>
      </c>
      <c r="I2113" t="s">
        <v>3486</v>
      </c>
      <c r="J2113" s="56">
        <f t="shared" si="96"/>
        <v>38</v>
      </c>
      <c r="K2113" s="74" t="str">
        <f t="shared" si="97"/>
        <v>31-60 Days</v>
      </c>
      <c r="L2113" s="58" t="str">
        <f t="shared" si="98"/>
        <v>Not Applicable</v>
      </c>
    </row>
    <row r="2114" spans="1:12" ht="16.5" customHeight="1" x14ac:dyDescent="0.35">
      <c r="A2114" t="s">
        <v>939</v>
      </c>
      <c r="B2114" t="s">
        <v>939</v>
      </c>
      <c r="C2114">
        <v>0</v>
      </c>
      <c r="D2114">
        <v>2422</v>
      </c>
      <c r="E2114" t="s">
        <v>7664</v>
      </c>
      <c r="F2114" t="s">
        <v>6457</v>
      </c>
      <c r="G2114" t="s">
        <v>7665</v>
      </c>
      <c r="H2114" t="s">
        <v>3489</v>
      </c>
      <c r="I2114" t="s">
        <v>3486</v>
      </c>
      <c r="J2114" s="56">
        <f t="shared" si="96"/>
        <v>38</v>
      </c>
      <c r="K2114" s="74" t="str">
        <f t="shared" si="97"/>
        <v>31-60 Days</v>
      </c>
      <c r="L2114" s="58" t="str">
        <f t="shared" si="98"/>
        <v>Not Applicable</v>
      </c>
    </row>
    <row r="2115" spans="1:12" ht="16.5" customHeight="1" x14ac:dyDescent="0.35">
      <c r="A2115" t="s">
        <v>939</v>
      </c>
      <c r="B2115" t="s">
        <v>939</v>
      </c>
      <c r="C2115">
        <v>0</v>
      </c>
      <c r="D2115">
        <v>3050</v>
      </c>
      <c r="E2115" t="s">
        <v>7666</v>
      </c>
      <c r="F2115" t="s">
        <v>7666</v>
      </c>
      <c r="G2115" t="s">
        <v>7667</v>
      </c>
      <c r="H2115" t="s">
        <v>3532</v>
      </c>
      <c r="I2115" t="s">
        <v>3490</v>
      </c>
      <c r="J2115" s="56">
        <f t="shared" si="96"/>
        <v>38</v>
      </c>
      <c r="K2115" s="74" t="str">
        <f t="shared" si="97"/>
        <v>31-60 Days</v>
      </c>
      <c r="L2115" s="58" t="str">
        <f t="shared" si="98"/>
        <v>Not Applicable</v>
      </c>
    </row>
    <row r="2116" spans="1:12" ht="16.5" customHeight="1" x14ac:dyDescent="0.35">
      <c r="A2116" t="s">
        <v>939</v>
      </c>
      <c r="B2116" t="s">
        <v>939</v>
      </c>
      <c r="C2116">
        <v>0</v>
      </c>
      <c r="D2116">
        <v>500</v>
      </c>
      <c r="E2116" t="s">
        <v>7668</v>
      </c>
      <c r="F2116" t="s">
        <v>6160</v>
      </c>
      <c r="G2116" t="s">
        <v>7669</v>
      </c>
      <c r="H2116" t="s">
        <v>3489</v>
      </c>
      <c r="I2116" t="s">
        <v>3486</v>
      </c>
      <c r="J2116" s="56">
        <f t="shared" si="96"/>
        <v>38</v>
      </c>
      <c r="K2116" s="74" t="str">
        <f t="shared" si="97"/>
        <v>31-60 Days</v>
      </c>
      <c r="L2116" s="58" t="str">
        <f t="shared" si="98"/>
        <v>Not Applicable</v>
      </c>
    </row>
    <row r="2117" spans="1:12" ht="16.5" customHeight="1" x14ac:dyDescent="0.35">
      <c r="A2117" t="s">
        <v>939</v>
      </c>
      <c r="B2117" t="s">
        <v>939</v>
      </c>
      <c r="C2117">
        <v>0</v>
      </c>
      <c r="D2117">
        <v>30</v>
      </c>
      <c r="E2117" t="s">
        <v>7670</v>
      </c>
      <c r="F2117" t="s">
        <v>7670</v>
      </c>
      <c r="G2117" t="s">
        <v>7671</v>
      </c>
      <c r="H2117" t="s">
        <v>3489</v>
      </c>
      <c r="I2117" t="s">
        <v>3490</v>
      </c>
      <c r="J2117" s="56">
        <f t="shared" si="96"/>
        <v>38</v>
      </c>
      <c r="K2117" s="74" t="str">
        <f t="shared" si="97"/>
        <v>31-60 Days</v>
      </c>
      <c r="L2117" s="58" t="str">
        <f t="shared" si="98"/>
        <v>Not Applicable</v>
      </c>
    </row>
    <row r="2118" spans="1:12" ht="16.5" customHeight="1" x14ac:dyDescent="0.35">
      <c r="A2118" t="s">
        <v>939</v>
      </c>
      <c r="B2118" t="s">
        <v>939</v>
      </c>
      <c r="C2118">
        <v>0</v>
      </c>
      <c r="D2118">
        <v>100</v>
      </c>
      <c r="E2118" t="s">
        <v>7672</v>
      </c>
      <c r="F2118" t="s">
        <v>7672</v>
      </c>
      <c r="G2118" t="s">
        <v>7673</v>
      </c>
      <c r="H2118" t="s">
        <v>3489</v>
      </c>
      <c r="I2118" t="s">
        <v>3490</v>
      </c>
      <c r="J2118" s="56">
        <f t="shared" si="96"/>
        <v>38</v>
      </c>
      <c r="K2118" s="74" t="str">
        <f t="shared" si="97"/>
        <v>31-60 Days</v>
      </c>
      <c r="L2118" s="58" t="str">
        <f t="shared" si="98"/>
        <v>Not Applicable</v>
      </c>
    </row>
    <row r="2119" spans="1:12" ht="16.5" customHeight="1" x14ac:dyDescent="0.35">
      <c r="A2119" t="s">
        <v>939</v>
      </c>
      <c r="B2119" t="s">
        <v>939</v>
      </c>
      <c r="C2119">
        <v>0</v>
      </c>
      <c r="D2119">
        <v>2050</v>
      </c>
      <c r="E2119" t="s">
        <v>7674</v>
      </c>
      <c r="F2119" t="s">
        <v>7674</v>
      </c>
      <c r="G2119" t="s">
        <v>7675</v>
      </c>
      <c r="H2119" t="s">
        <v>3489</v>
      </c>
      <c r="I2119" t="s">
        <v>3490</v>
      </c>
      <c r="J2119" s="56">
        <f t="shared" si="96"/>
        <v>38</v>
      </c>
      <c r="K2119" s="74" t="str">
        <f t="shared" si="97"/>
        <v>31-60 Days</v>
      </c>
      <c r="L2119" s="58" t="str">
        <f t="shared" si="98"/>
        <v>Not Applicable</v>
      </c>
    </row>
    <row r="2120" spans="1:12" ht="16.5" customHeight="1" x14ac:dyDescent="0.35">
      <c r="A2120" t="s">
        <v>939</v>
      </c>
      <c r="B2120" t="s">
        <v>939</v>
      </c>
      <c r="C2120">
        <v>0</v>
      </c>
      <c r="D2120">
        <v>600</v>
      </c>
      <c r="E2120" t="s">
        <v>7676</v>
      </c>
      <c r="F2120" t="s">
        <v>7676</v>
      </c>
      <c r="G2120" t="s">
        <v>7677</v>
      </c>
      <c r="H2120" t="s">
        <v>3489</v>
      </c>
      <c r="I2120" t="s">
        <v>3490</v>
      </c>
      <c r="J2120" s="56">
        <f t="shared" si="96"/>
        <v>38</v>
      </c>
      <c r="K2120" s="74" t="str">
        <f t="shared" si="97"/>
        <v>31-60 Days</v>
      </c>
      <c r="L2120" s="58" t="str">
        <f t="shared" si="98"/>
        <v>Not Applicable</v>
      </c>
    </row>
    <row r="2121" spans="1:12" ht="16.5" customHeight="1" x14ac:dyDescent="0.35">
      <c r="A2121" t="s">
        <v>939</v>
      </c>
      <c r="B2121" t="s">
        <v>939</v>
      </c>
      <c r="C2121">
        <v>0</v>
      </c>
      <c r="D2121">
        <v>1000</v>
      </c>
      <c r="E2121" t="s">
        <v>7678</v>
      </c>
      <c r="F2121" t="s">
        <v>7679</v>
      </c>
      <c r="G2121" t="s">
        <v>7680</v>
      </c>
      <c r="H2121" t="s">
        <v>3489</v>
      </c>
      <c r="I2121" t="s">
        <v>3490</v>
      </c>
      <c r="J2121" s="56">
        <f t="shared" ref="J2121:J2184" si="99">IF(A2121="","",A$5-A2121)</f>
        <v>38</v>
      </c>
      <c r="K2121" s="74" t="str">
        <f t="shared" ref="K2121:K2184" si="100">IF(J2121="","",IF(J2121&lt;4,"0-3 Days",IF(J2121&lt;31,"4-30 Days",IF(J2121&lt;61,"31-60 Days",IF(J2121&lt;=90,"61-90 Days",IF(J2121&gt;90,"Above 90 Days","0"))))))</f>
        <v>31-60 Days</v>
      </c>
      <c r="L2121" s="58" t="str">
        <f t="shared" ref="L2121:L2184" si="101">IF(C2121="","",IF(C2121&gt;0,IF(J2121&lt;30,"Normal",IF(J2121&lt;60,"Especially Mentioned",IF(J2121&lt;90,"Substandard",IF(J2121&lt;=180,"Doubtful",IF(J2121&gt;180,"Loss","0"))))),"Not Applicable"))</f>
        <v>Not Applicable</v>
      </c>
    </row>
    <row r="2122" spans="1:12" ht="16.5" customHeight="1" x14ac:dyDescent="0.35">
      <c r="A2122" t="s">
        <v>939</v>
      </c>
      <c r="B2122" t="s">
        <v>939</v>
      </c>
      <c r="C2122">
        <v>0</v>
      </c>
      <c r="D2122">
        <v>30</v>
      </c>
      <c r="E2122" t="s">
        <v>7681</v>
      </c>
      <c r="F2122" t="s">
        <v>7681</v>
      </c>
      <c r="G2122" t="s">
        <v>7682</v>
      </c>
      <c r="H2122" t="s">
        <v>3489</v>
      </c>
      <c r="I2122" t="s">
        <v>3490</v>
      </c>
      <c r="J2122" s="56">
        <f t="shared" si="99"/>
        <v>38</v>
      </c>
      <c r="K2122" s="74" t="str">
        <f t="shared" si="100"/>
        <v>31-60 Days</v>
      </c>
      <c r="L2122" s="58" t="str">
        <f t="shared" si="101"/>
        <v>Not Applicable</v>
      </c>
    </row>
    <row r="2123" spans="1:12" ht="16.5" customHeight="1" x14ac:dyDescent="0.35">
      <c r="A2123" t="s">
        <v>939</v>
      </c>
      <c r="B2123" t="s">
        <v>939</v>
      </c>
      <c r="C2123">
        <v>0</v>
      </c>
      <c r="D2123">
        <v>230</v>
      </c>
      <c r="E2123" t="s">
        <v>7683</v>
      </c>
      <c r="F2123" t="s">
        <v>6253</v>
      </c>
      <c r="G2123" t="s">
        <v>7684</v>
      </c>
      <c r="H2123" t="s">
        <v>3489</v>
      </c>
      <c r="I2123" t="s">
        <v>3486</v>
      </c>
      <c r="J2123" s="56">
        <f t="shared" si="99"/>
        <v>38</v>
      </c>
      <c r="K2123" s="74" t="str">
        <f t="shared" si="100"/>
        <v>31-60 Days</v>
      </c>
      <c r="L2123" s="58" t="str">
        <f t="shared" si="101"/>
        <v>Not Applicable</v>
      </c>
    </row>
    <row r="2124" spans="1:12" ht="16.5" customHeight="1" x14ac:dyDescent="0.35">
      <c r="A2124" t="s">
        <v>939</v>
      </c>
      <c r="B2124" t="s">
        <v>939</v>
      </c>
      <c r="C2124">
        <v>0</v>
      </c>
      <c r="D2124">
        <v>2050</v>
      </c>
      <c r="E2124" t="s">
        <v>7685</v>
      </c>
      <c r="F2124" t="s">
        <v>7685</v>
      </c>
      <c r="G2124" t="s">
        <v>7686</v>
      </c>
      <c r="H2124" t="s">
        <v>3489</v>
      </c>
      <c r="I2124" t="s">
        <v>3490</v>
      </c>
      <c r="J2124" s="56">
        <f t="shared" si="99"/>
        <v>38</v>
      </c>
      <c r="K2124" s="74" t="str">
        <f t="shared" si="100"/>
        <v>31-60 Days</v>
      </c>
      <c r="L2124" s="58" t="str">
        <f t="shared" si="101"/>
        <v>Not Applicable</v>
      </c>
    </row>
    <row r="2125" spans="1:12" ht="16.5" customHeight="1" x14ac:dyDescent="0.35">
      <c r="A2125" t="s">
        <v>939</v>
      </c>
      <c r="B2125" t="s">
        <v>939</v>
      </c>
      <c r="C2125">
        <v>0</v>
      </c>
      <c r="D2125">
        <v>30</v>
      </c>
      <c r="E2125" t="s">
        <v>7687</v>
      </c>
      <c r="F2125" t="s">
        <v>7687</v>
      </c>
      <c r="G2125" t="s">
        <v>7688</v>
      </c>
      <c r="H2125" t="s">
        <v>3489</v>
      </c>
      <c r="I2125" t="s">
        <v>3490</v>
      </c>
      <c r="J2125" s="56">
        <f t="shared" si="99"/>
        <v>38</v>
      </c>
      <c r="K2125" s="74" t="str">
        <f t="shared" si="100"/>
        <v>31-60 Days</v>
      </c>
      <c r="L2125" s="58" t="str">
        <f t="shared" si="101"/>
        <v>Not Applicable</v>
      </c>
    </row>
    <row r="2126" spans="1:12" ht="16.5" customHeight="1" x14ac:dyDescent="0.35">
      <c r="A2126" t="s">
        <v>939</v>
      </c>
      <c r="B2126" t="s">
        <v>939</v>
      </c>
      <c r="C2126">
        <v>1047103.23</v>
      </c>
      <c r="D2126">
        <v>0</v>
      </c>
      <c r="E2126" t="s">
        <v>7689</v>
      </c>
      <c r="F2126" t="s">
        <v>7689</v>
      </c>
      <c r="G2126" t="s">
        <v>7690</v>
      </c>
      <c r="H2126" t="s">
        <v>3455</v>
      </c>
      <c r="I2126" t="s">
        <v>3486</v>
      </c>
      <c r="J2126" s="56">
        <f t="shared" si="99"/>
        <v>38</v>
      </c>
      <c r="K2126" s="74" t="str">
        <f t="shared" si="100"/>
        <v>31-60 Days</v>
      </c>
      <c r="L2126" s="58" t="str">
        <f t="shared" si="101"/>
        <v>Especially Mentioned</v>
      </c>
    </row>
    <row r="2127" spans="1:12" ht="16.5" customHeight="1" x14ac:dyDescent="0.35">
      <c r="A2127" t="s">
        <v>939</v>
      </c>
      <c r="B2127" t="s">
        <v>939</v>
      </c>
      <c r="C2127">
        <v>0</v>
      </c>
      <c r="D2127">
        <v>1200000</v>
      </c>
      <c r="E2127" t="s">
        <v>7691</v>
      </c>
      <c r="F2127" t="s">
        <v>4520</v>
      </c>
      <c r="G2127" t="s">
        <v>7692</v>
      </c>
      <c r="H2127" t="s">
        <v>3489</v>
      </c>
      <c r="I2127" t="s">
        <v>3490</v>
      </c>
      <c r="J2127" s="56">
        <f t="shared" si="99"/>
        <v>38</v>
      </c>
      <c r="K2127" s="74" t="str">
        <f t="shared" si="100"/>
        <v>31-60 Days</v>
      </c>
      <c r="L2127" s="58" t="str">
        <f t="shared" si="101"/>
        <v>Not Applicable</v>
      </c>
    </row>
    <row r="2128" spans="1:12" ht="16.5" customHeight="1" x14ac:dyDescent="0.35">
      <c r="A2128" t="s">
        <v>939</v>
      </c>
      <c r="B2128" t="s">
        <v>939</v>
      </c>
      <c r="C2128">
        <v>0</v>
      </c>
      <c r="D2128">
        <v>1000</v>
      </c>
      <c r="E2128" t="s">
        <v>7693</v>
      </c>
      <c r="F2128" t="s">
        <v>7693</v>
      </c>
      <c r="G2128" t="s">
        <v>7694</v>
      </c>
      <c r="H2128" t="s">
        <v>3489</v>
      </c>
      <c r="I2128" t="s">
        <v>3490</v>
      </c>
      <c r="J2128" s="56">
        <f t="shared" si="99"/>
        <v>38</v>
      </c>
      <c r="K2128" s="74" t="str">
        <f t="shared" si="100"/>
        <v>31-60 Days</v>
      </c>
      <c r="L2128" s="58" t="str">
        <f t="shared" si="101"/>
        <v>Not Applicable</v>
      </c>
    </row>
    <row r="2129" spans="1:12" ht="16.5" customHeight="1" x14ac:dyDescent="0.35">
      <c r="A2129" t="s">
        <v>939</v>
      </c>
      <c r="B2129" t="s">
        <v>939</v>
      </c>
      <c r="C2129">
        <v>0</v>
      </c>
      <c r="D2129">
        <v>1000</v>
      </c>
      <c r="E2129" t="s">
        <v>7695</v>
      </c>
      <c r="F2129" t="s">
        <v>7696</v>
      </c>
      <c r="G2129" t="s">
        <v>7697</v>
      </c>
      <c r="H2129" t="s">
        <v>3489</v>
      </c>
      <c r="I2129" t="s">
        <v>3490</v>
      </c>
      <c r="J2129" s="56">
        <f t="shared" si="99"/>
        <v>38</v>
      </c>
      <c r="K2129" s="74" t="str">
        <f t="shared" si="100"/>
        <v>31-60 Days</v>
      </c>
      <c r="L2129" s="58" t="str">
        <f t="shared" si="101"/>
        <v>Not Applicable</v>
      </c>
    </row>
    <row r="2130" spans="1:12" ht="16.5" customHeight="1" x14ac:dyDescent="0.35">
      <c r="A2130" t="s">
        <v>939</v>
      </c>
      <c r="B2130" t="s">
        <v>939</v>
      </c>
      <c r="C2130">
        <v>0</v>
      </c>
      <c r="D2130">
        <v>1550</v>
      </c>
      <c r="E2130" t="s">
        <v>7698</v>
      </c>
      <c r="F2130" t="s">
        <v>7699</v>
      </c>
      <c r="G2130" t="s">
        <v>7700</v>
      </c>
      <c r="H2130" t="s">
        <v>3532</v>
      </c>
      <c r="I2130" t="s">
        <v>3490</v>
      </c>
      <c r="J2130" s="56">
        <f t="shared" si="99"/>
        <v>38</v>
      </c>
      <c r="K2130" s="74" t="str">
        <f t="shared" si="100"/>
        <v>31-60 Days</v>
      </c>
      <c r="L2130" s="58" t="str">
        <f t="shared" si="101"/>
        <v>Not Applicable</v>
      </c>
    </row>
    <row r="2131" spans="1:12" ht="16.5" customHeight="1" x14ac:dyDescent="0.35">
      <c r="A2131" t="s">
        <v>939</v>
      </c>
      <c r="B2131" t="s">
        <v>939</v>
      </c>
      <c r="C2131">
        <v>0</v>
      </c>
      <c r="D2131">
        <v>600</v>
      </c>
      <c r="E2131" t="s">
        <v>7701</v>
      </c>
      <c r="F2131" t="s">
        <v>7701</v>
      </c>
      <c r="G2131" t="s">
        <v>7702</v>
      </c>
      <c r="H2131" t="s">
        <v>3489</v>
      </c>
      <c r="I2131" t="s">
        <v>3490</v>
      </c>
      <c r="J2131" s="56">
        <f t="shared" si="99"/>
        <v>38</v>
      </c>
      <c r="K2131" s="74" t="str">
        <f t="shared" si="100"/>
        <v>31-60 Days</v>
      </c>
      <c r="L2131" s="58" t="str">
        <f t="shared" si="101"/>
        <v>Not Applicable</v>
      </c>
    </row>
    <row r="2132" spans="1:12" ht="16.5" customHeight="1" x14ac:dyDescent="0.35">
      <c r="A2132" t="s">
        <v>939</v>
      </c>
      <c r="B2132" t="s">
        <v>939</v>
      </c>
      <c r="C2132">
        <v>0</v>
      </c>
      <c r="D2132">
        <v>30</v>
      </c>
      <c r="E2132" t="s">
        <v>7703</v>
      </c>
      <c r="F2132" t="s">
        <v>7703</v>
      </c>
      <c r="G2132" t="s">
        <v>7704</v>
      </c>
      <c r="H2132" t="s">
        <v>3489</v>
      </c>
      <c r="I2132" t="s">
        <v>3490</v>
      </c>
      <c r="J2132" s="56">
        <f t="shared" si="99"/>
        <v>38</v>
      </c>
      <c r="K2132" s="74" t="str">
        <f t="shared" si="100"/>
        <v>31-60 Days</v>
      </c>
      <c r="L2132" s="58" t="str">
        <f t="shared" si="101"/>
        <v>Not Applicable</v>
      </c>
    </row>
    <row r="2133" spans="1:12" ht="16.5" customHeight="1" x14ac:dyDescent="0.35">
      <c r="A2133" t="s">
        <v>939</v>
      </c>
      <c r="B2133" t="s">
        <v>939</v>
      </c>
      <c r="C2133">
        <v>0</v>
      </c>
      <c r="D2133">
        <v>21202.22</v>
      </c>
      <c r="E2133" t="s">
        <v>7705</v>
      </c>
      <c r="F2133" t="s">
        <v>7705</v>
      </c>
      <c r="G2133" t="s">
        <v>7706</v>
      </c>
      <c r="H2133" t="s">
        <v>3489</v>
      </c>
      <c r="I2133" t="s">
        <v>3490</v>
      </c>
      <c r="J2133" s="56">
        <f t="shared" si="99"/>
        <v>38</v>
      </c>
      <c r="K2133" s="74" t="str">
        <f t="shared" si="100"/>
        <v>31-60 Days</v>
      </c>
      <c r="L2133" s="58" t="str">
        <f t="shared" si="101"/>
        <v>Not Applicable</v>
      </c>
    </row>
    <row r="2134" spans="1:12" ht="16.5" customHeight="1" x14ac:dyDescent="0.35">
      <c r="A2134" t="s">
        <v>939</v>
      </c>
      <c r="B2134" t="s">
        <v>939</v>
      </c>
      <c r="C2134">
        <v>0</v>
      </c>
      <c r="D2134">
        <v>1000</v>
      </c>
      <c r="E2134" t="s">
        <v>7707</v>
      </c>
      <c r="F2134" t="s">
        <v>7708</v>
      </c>
      <c r="G2134" t="s">
        <v>7709</v>
      </c>
      <c r="H2134" t="s">
        <v>3532</v>
      </c>
      <c r="I2134" t="s">
        <v>3490</v>
      </c>
      <c r="J2134" s="56">
        <f t="shared" si="99"/>
        <v>38</v>
      </c>
      <c r="K2134" s="74" t="str">
        <f t="shared" si="100"/>
        <v>31-60 Days</v>
      </c>
      <c r="L2134" s="58" t="str">
        <f t="shared" si="101"/>
        <v>Not Applicable</v>
      </c>
    </row>
    <row r="2135" spans="1:12" ht="16.5" customHeight="1" x14ac:dyDescent="0.35">
      <c r="A2135" t="s">
        <v>939</v>
      </c>
      <c r="B2135" t="s">
        <v>939</v>
      </c>
      <c r="C2135">
        <v>0</v>
      </c>
      <c r="D2135">
        <v>2050</v>
      </c>
      <c r="E2135" t="s">
        <v>7710</v>
      </c>
      <c r="F2135" t="s">
        <v>7710</v>
      </c>
      <c r="G2135" t="s">
        <v>7711</v>
      </c>
      <c r="H2135" t="s">
        <v>3489</v>
      </c>
      <c r="I2135" t="s">
        <v>3490</v>
      </c>
      <c r="J2135" s="56">
        <f t="shared" si="99"/>
        <v>38</v>
      </c>
      <c r="K2135" s="74" t="str">
        <f t="shared" si="100"/>
        <v>31-60 Days</v>
      </c>
      <c r="L2135" s="58" t="str">
        <f t="shared" si="101"/>
        <v>Not Applicable</v>
      </c>
    </row>
    <row r="2136" spans="1:12" ht="16.5" customHeight="1" x14ac:dyDescent="0.35">
      <c r="A2136" t="s">
        <v>939</v>
      </c>
      <c r="B2136" t="s">
        <v>939</v>
      </c>
      <c r="C2136">
        <v>100000</v>
      </c>
      <c r="D2136">
        <v>0</v>
      </c>
      <c r="E2136" t="s">
        <v>3519</v>
      </c>
      <c r="F2136" t="s">
        <v>3519</v>
      </c>
      <c r="G2136" t="s">
        <v>7712</v>
      </c>
      <c r="H2136" t="s">
        <v>3485</v>
      </c>
      <c r="I2136" t="s">
        <v>3486</v>
      </c>
      <c r="J2136" s="56">
        <f t="shared" si="99"/>
        <v>38</v>
      </c>
      <c r="K2136" s="74" t="str">
        <f t="shared" si="100"/>
        <v>31-60 Days</v>
      </c>
      <c r="L2136" s="58" t="str">
        <f t="shared" si="101"/>
        <v>Especially Mentioned</v>
      </c>
    </row>
    <row r="2137" spans="1:12" ht="16.5" customHeight="1" x14ac:dyDescent="0.35">
      <c r="A2137" t="s">
        <v>939</v>
      </c>
      <c r="B2137" t="s">
        <v>939</v>
      </c>
      <c r="C2137">
        <v>0</v>
      </c>
      <c r="D2137">
        <v>202.98</v>
      </c>
      <c r="E2137" t="s">
        <v>7713</v>
      </c>
      <c r="F2137" t="s">
        <v>6376</v>
      </c>
      <c r="G2137" t="s">
        <v>7714</v>
      </c>
      <c r="H2137" t="s">
        <v>3489</v>
      </c>
      <c r="I2137" t="s">
        <v>3486</v>
      </c>
      <c r="J2137" s="56">
        <f t="shared" si="99"/>
        <v>38</v>
      </c>
      <c r="K2137" s="74" t="str">
        <f t="shared" si="100"/>
        <v>31-60 Days</v>
      </c>
      <c r="L2137" s="58" t="str">
        <f t="shared" si="101"/>
        <v>Not Applicable</v>
      </c>
    </row>
    <row r="2138" spans="1:12" ht="16.5" customHeight="1" x14ac:dyDescent="0.35">
      <c r="A2138" t="s">
        <v>939</v>
      </c>
      <c r="B2138" t="s">
        <v>939</v>
      </c>
      <c r="C2138">
        <v>0</v>
      </c>
      <c r="D2138">
        <v>3050</v>
      </c>
      <c r="E2138" t="s">
        <v>7715</v>
      </c>
      <c r="F2138" t="s">
        <v>7716</v>
      </c>
      <c r="G2138" t="s">
        <v>7717</v>
      </c>
      <c r="H2138" t="s">
        <v>3532</v>
      </c>
      <c r="I2138" t="s">
        <v>3490</v>
      </c>
      <c r="J2138" s="56">
        <f t="shared" si="99"/>
        <v>38</v>
      </c>
      <c r="K2138" s="74" t="str">
        <f t="shared" si="100"/>
        <v>31-60 Days</v>
      </c>
      <c r="L2138" s="58" t="str">
        <f t="shared" si="101"/>
        <v>Not Applicable</v>
      </c>
    </row>
    <row r="2139" spans="1:12" ht="16.5" customHeight="1" x14ac:dyDescent="0.35">
      <c r="A2139" t="s">
        <v>939</v>
      </c>
      <c r="B2139" t="s">
        <v>939</v>
      </c>
      <c r="C2139">
        <v>0</v>
      </c>
      <c r="D2139">
        <v>600</v>
      </c>
      <c r="E2139" t="s">
        <v>7718</v>
      </c>
      <c r="F2139" t="s">
        <v>7719</v>
      </c>
      <c r="G2139" t="s">
        <v>7720</v>
      </c>
      <c r="H2139" t="s">
        <v>3532</v>
      </c>
      <c r="I2139" t="s">
        <v>3490</v>
      </c>
      <c r="J2139" s="56">
        <f t="shared" si="99"/>
        <v>38</v>
      </c>
      <c r="K2139" s="74" t="str">
        <f t="shared" si="100"/>
        <v>31-60 Days</v>
      </c>
      <c r="L2139" s="58" t="str">
        <f t="shared" si="101"/>
        <v>Not Applicable</v>
      </c>
    </row>
    <row r="2140" spans="1:12" ht="16.5" customHeight="1" x14ac:dyDescent="0.35">
      <c r="A2140" t="s">
        <v>939</v>
      </c>
      <c r="B2140" t="s">
        <v>939</v>
      </c>
      <c r="C2140">
        <v>0</v>
      </c>
      <c r="D2140">
        <v>1000</v>
      </c>
      <c r="E2140" t="s">
        <v>7721</v>
      </c>
      <c r="F2140" t="s">
        <v>7722</v>
      </c>
      <c r="G2140" t="s">
        <v>7723</v>
      </c>
      <c r="H2140" t="s">
        <v>3489</v>
      </c>
      <c r="I2140" t="s">
        <v>3490</v>
      </c>
      <c r="J2140" s="56">
        <f t="shared" si="99"/>
        <v>38</v>
      </c>
      <c r="K2140" s="74" t="str">
        <f t="shared" si="100"/>
        <v>31-60 Days</v>
      </c>
      <c r="L2140" s="58" t="str">
        <f t="shared" si="101"/>
        <v>Not Applicable</v>
      </c>
    </row>
    <row r="2141" spans="1:12" ht="16.5" customHeight="1" x14ac:dyDescent="0.35">
      <c r="A2141" t="s">
        <v>939</v>
      </c>
      <c r="B2141" t="s">
        <v>939</v>
      </c>
      <c r="C2141">
        <v>0</v>
      </c>
      <c r="D2141">
        <v>470</v>
      </c>
      <c r="E2141" t="s">
        <v>7724</v>
      </c>
      <c r="F2141" t="s">
        <v>6303</v>
      </c>
      <c r="G2141" t="s">
        <v>7725</v>
      </c>
      <c r="H2141" t="s">
        <v>3489</v>
      </c>
      <c r="I2141" t="s">
        <v>3486</v>
      </c>
      <c r="J2141" s="56">
        <f t="shared" si="99"/>
        <v>38</v>
      </c>
      <c r="K2141" s="74" t="str">
        <f t="shared" si="100"/>
        <v>31-60 Days</v>
      </c>
      <c r="L2141" s="58" t="str">
        <f t="shared" si="101"/>
        <v>Not Applicable</v>
      </c>
    </row>
    <row r="2142" spans="1:12" ht="16.5" customHeight="1" x14ac:dyDescent="0.35">
      <c r="A2142" t="s">
        <v>939</v>
      </c>
      <c r="B2142" t="s">
        <v>939</v>
      </c>
      <c r="C2142">
        <v>0</v>
      </c>
      <c r="D2142">
        <v>1080</v>
      </c>
      <c r="E2142" t="s">
        <v>7726</v>
      </c>
      <c r="F2142" t="s">
        <v>7727</v>
      </c>
      <c r="G2142" t="s">
        <v>7728</v>
      </c>
      <c r="H2142" t="s">
        <v>3532</v>
      </c>
      <c r="I2142" t="s">
        <v>3490</v>
      </c>
      <c r="J2142" s="56">
        <f t="shared" si="99"/>
        <v>38</v>
      </c>
      <c r="K2142" s="74" t="str">
        <f t="shared" si="100"/>
        <v>31-60 Days</v>
      </c>
      <c r="L2142" s="58" t="str">
        <f t="shared" si="101"/>
        <v>Not Applicable</v>
      </c>
    </row>
    <row r="2143" spans="1:12" ht="16.5" customHeight="1" x14ac:dyDescent="0.35">
      <c r="A2143" t="s">
        <v>939</v>
      </c>
      <c r="B2143" t="s">
        <v>939</v>
      </c>
      <c r="C2143">
        <v>0</v>
      </c>
      <c r="D2143">
        <v>25248.42</v>
      </c>
      <c r="E2143" t="s">
        <v>7729</v>
      </c>
      <c r="F2143" t="s">
        <v>7729</v>
      </c>
      <c r="G2143" t="s">
        <v>57</v>
      </c>
      <c r="H2143" t="s">
        <v>3914</v>
      </c>
      <c r="I2143" t="s">
        <v>3643</v>
      </c>
      <c r="J2143" s="56">
        <f t="shared" si="99"/>
        <v>38</v>
      </c>
      <c r="K2143" s="74" t="str">
        <f t="shared" si="100"/>
        <v>31-60 Days</v>
      </c>
      <c r="L2143" s="58" t="str">
        <f t="shared" si="101"/>
        <v>Not Applicable</v>
      </c>
    </row>
    <row r="2144" spans="1:12" ht="16.5" customHeight="1" x14ac:dyDescent="0.35">
      <c r="A2144" t="s">
        <v>948</v>
      </c>
      <c r="B2144" t="s">
        <v>948</v>
      </c>
      <c r="C2144">
        <v>0</v>
      </c>
      <c r="D2144">
        <v>50</v>
      </c>
      <c r="E2144" t="s">
        <v>7730</v>
      </c>
      <c r="F2144" t="s">
        <v>7730</v>
      </c>
      <c r="G2144" t="s">
        <v>7731</v>
      </c>
      <c r="H2144" t="s">
        <v>3489</v>
      </c>
      <c r="I2144" t="s">
        <v>3490</v>
      </c>
      <c r="J2144" s="56">
        <f t="shared" si="99"/>
        <v>37</v>
      </c>
      <c r="K2144" s="74" t="str">
        <f t="shared" si="100"/>
        <v>31-60 Days</v>
      </c>
      <c r="L2144" s="58" t="str">
        <f t="shared" si="101"/>
        <v>Not Applicable</v>
      </c>
    </row>
    <row r="2145" spans="1:12" ht="16.5" customHeight="1" x14ac:dyDescent="0.35">
      <c r="A2145" t="s">
        <v>948</v>
      </c>
      <c r="B2145" t="s">
        <v>948</v>
      </c>
      <c r="C2145">
        <v>0</v>
      </c>
      <c r="D2145">
        <v>50</v>
      </c>
      <c r="E2145" t="s">
        <v>7732</v>
      </c>
      <c r="F2145" t="s">
        <v>7732</v>
      </c>
      <c r="G2145" t="s">
        <v>7733</v>
      </c>
      <c r="H2145" t="s">
        <v>3489</v>
      </c>
      <c r="I2145" t="s">
        <v>3490</v>
      </c>
      <c r="J2145" s="56">
        <f t="shared" si="99"/>
        <v>37</v>
      </c>
      <c r="K2145" s="74" t="str">
        <f t="shared" si="100"/>
        <v>31-60 Days</v>
      </c>
      <c r="L2145" s="58" t="str">
        <f t="shared" si="101"/>
        <v>Not Applicable</v>
      </c>
    </row>
    <row r="2146" spans="1:12" ht="16.5" customHeight="1" x14ac:dyDescent="0.35">
      <c r="A2146" t="s">
        <v>948</v>
      </c>
      <c r="B2146" t="s">
        <v>948</v>
      </c>
      <c r="C2146">
        <v>0</v>
      </c>
      <c r="D2146">
        <v>150</v>
      </c>
      <c r="E2146" t="s">
        <v>7734</v>
      </c>
      <c r="F2146" t="s">
        <v>7734</v>
      </c>
      <c r="G2146" t="s">
        <v>7735</v>
      </c>
      <c r="H2146" t="s">
        <v>3489</v>
      </c>
      <c r="I2146" t="s">
        <v>3490</v>
      </c>
      <c r="J2146" s="56">
        <f t="shared" si="99"/>
        <v>37</v>
      </c>
      <c r="K2146" s="74" t="str">
        <f t="shared" si="100"/>
        <v>31-60 Days</v>
      </c>
      <c r="L2146" s="58" t="str">
        <f t="shared" si="101"/>
        <v>Not Applicable</v>
      </c>
    </row>
    <row r="2147" spans="1:12" ht="16.5" customHeight="1" x14ac:dyDescent="0.35">
      <c r="A2147" t="s">
        <v>948</v>
      </c>
      <c r="B2147" t="s">
        <v>948</v>
      </c>
      <c r="C2147">
        <v>0</v>
      </c>
      <c r="D2147">
        <v>1000</v>
      </c>
      <c r="E2147" t="s">
        <v>7736</v>
      </c>
      <c r="F2147" t="s">
        <v>7737</v>
      </c>
      <c r="G2147" t="s">
        <v>7738</v>
      </c>
      <c r="H2147" t="s">
        <v>3489</v>
      </c>
      <c r="I2147" t="s">
        <v>3490</v>
      </c>
      <c r="J2147" s="56">
        <f t="shared" si="99"/>
        <v>37</v>
      </c>
      <c r="K2147" s="74" t="str">
        <f t="shared" si="100"/>
        <v>31-60 Days</v>
      </c>
      <c r="L2147" s="58" t="str">
        <f t="shared" si="101"/>
        <v>Not Applicable</v>
      </c>
    </row>
    <row r="2148" spans="1:12" ht="16.5" customHeight="1" x14ac:dyDescent="0.35">
      <c r="A2148" t="s">
        <v>948</v>
      </c>
      <c r="B2148" t="s">
        <v>948</v>
      </c>
      <c r="C2148">
        <v>0</v>
      </c>
      <c r="D2148">
        <v>1000</v>
      </c>
      <c r="E2148" t="s">
        <v>7739</v>
      </c>
      <c r="F2148" t="s">
        <v>7739</v>
      </c>
      <c r="G2148" t="s">
        <v>7740</v>
      </c>
      <c r="H2148" t="s">
        <v>3489</v>
      </c>
      <c r="I2148" t="s">
        <v>3490</v>
      </c>
      <c r="J2148" s="56">
        <f t="shared" si="99"/>
        <v>37</v>
      </c>
      <c r="K2148" s="74" t="str">
        <f t="shared" si="100"/>
        <v>31-60 Days</v>
      </c>
      <c r="L2148" s="58" t="str">
        <f t="shared" si="101"/>
        <v>Not Applicable</v>
      </c>
    </row>
    <row r="2149" spans="1:12" ht="16.5" customHeight="1" x14ac:dyDescent="0.35">
      <c r="A2149" t="s">
        <v>948</v>
      </c>
      <c r="B2149" t="s">
        <v>948</v>
      </c>
      <c r="C2149">
        <v>0</v>
      </c>
      <c r="D2149">
        <v>100</v>
      </c>
      <c r="E2149" t="s">
        <v>7741</v>
      </c>
      <c r="F2149" t="s">
        <v>7741</v>
      </c>
      <c r="G2149" t="s">
        <v>7742</v>
      </c>
      <c r="H2149" t="s">
        <v>3489</v>
      </c>
      <c r="I2149" t="s">
        <v>3490</v>
      </c>
      <c r="J2149" s="56">
        <f t="shared" si="99"/>
        <v>37</v>
      </c>
      <c r="K2149" s="74" t="str">
        <f t="shared" si="100"/>
        <v>31-60 Days</v>
      </c>
      <c r="L2149" s="58" t="str">
        <f t="shared" si="101"/>
        <v>Not Applicable</v>
      </c>
    </row>
    <row r="2150" spans="1:12" ht="16.5" customHeight="1" x14ac:dyDescent="0.35">
      <c r="A2150" t="s">
        <v>948</v>
      </c>
      <c r="B2150" t="s">
        <v>948</v>
      </c>
      <c r="C2150">
        <v>0</v>
      </c>
      <c r="D2150">
        <v>30057.599999999999</v>
      </c>
      <c r="E2150" t="s">
        <v>7743</v>
      </c>
      <c r="F2150" t="s">
        <v>7743</v>
      </c>
      <c r="G2150" t="s">
        <v>57</v>
      </c>
      <c r="H2150" t="s">
        <v>3914</v>
      </c>
      <c r="I2150" t="s">
        <v>3643</v>
      </c>
      <c r="J2150" s="56">
        <f t="shared" si="99"/>
        <v>37</v>
      </c>
      <c r="K2150" s="74" t="str">
        <f t="shared" si="100"/>
        <v>31-60 Days</v>
      </c>
      <c r="L2150" s="58" t="str">
        <f t="shared" si="101"/>
        <v>Not Applicable</v>
      </c>
    </row>
    <row r="2151" spans="1:12" ht="16.5" customHeight="1" x14ac:dyDescent="0.35">
      <c r="A2151" t="s">
        <v>7744</v>
      </c>
      <c r="B2151" t="s">
        <v>7744</v>
      </c>
      <c r="C2151">
        <v>0</v>
      </c>
      <c r="D2151">
        <v>10000</v>
      </c>
      <c r="E2151" t="s">
        <v>7745</v>
      </c>
      <c r="F2151" t="s">
        <v>7746</v>
      </c>
      <c r="G2151" t="s">
        <v>7747</v>
      </c>
      <c r="H2151" t="s">
        <v>3532</v>
      </c>
      <c r="I2151" t="s">
        <v>3490</v>
      </c>
      <c r="J2151" s="56">
        <f t="shared" si="99"/>
        <v>36</v>
      </c>
      <c r="K2151" s="74" t="str">
        <f t="shared" si="100"/>
        <v>31-60 Days</v>
      </c>
      <c r="L2151" s="58" t="str">
        <f t="shared" si="101"/>
        <v>Not Applicable</v>
      </c>
    </row>
    <row r="2152" spans="1:12" ht="16.5" customHeight="1" x14ac:dyDescent="0.35">
      <c r="A2152" t="s">
        <v>7744</v>
      </c>
      <c r="B2152" t="s">
        <v>7744</v>
      </c>
      <c r="C2152">
        <v>0</v>
      </c>
      <c r="D2152">
        <v>1631.2</v>
      </c>
      <c r="E2152" t="s">
        <v>7748</v>
      </c>
      <c r="F2152" t="s">
        <v>7749</v>
      </c>
      <c r="G2152" t="s">
        <v>7750</v>
      </c>
      <c r="H2152" t="s">
        <v>3532</v>
      </c>
      <c r="I2152" t="s">
        <v>3490</v>
      </c>
      <c r="J2152" s="56">
        <f t="shared" si="99"/>
        <v>36</v>
      </c>
      <c r="K2152" s="74" t="str">
        <f t="shared" si="100"/>
        <v>31-60 Days</v>
      </c>
      <c r="L2152" s="58" t="str">
        <f t="shared" si="101"/>
        <v>Not Applicable</v>
      </c>
    </row>
    <row r="2153" spans="1:12" ht="16.5" customHeight="1" x14ac:dyDescent="0.35">
      <c r="A2153" t="s">
        <v>7744</v>
      </c>
      <c r="B2153" t="s">
        <v>7744</v>
      </c>
      <c r="C2153">
        <v>0</v>
      </c>
      <c r="D2153">
        <v>8283.6</v>
      </c>
      <c r="E2153" t="s">
        <v>7751</v>
      </c>
      <c r="F2153" t="s">
        <v>7752</v>
      </c>
      <c r="G2153" t="s">
        <v>7753</v>
      </c>
      <c r="H2153" t="s">
        <v>3532</v>
      </c>
      <c r="I2153" t="s">
        <v>3490</v>
      </c>
      <c r="J2153" s="56">
        <f t="shared" si="99"/>
        <v>36</v>
      </c>
      <c r="K2153" s="74" t="str">
        <f t="shared" si="100"/>
        <v>31-60 Days</v>
      </c>
      <c r="L2153" s="58" t="str">
        <f t="shared" si="101"/>
        <v>Not Applicable</v>
      </c>
    </row>
    <row r="2154" spans="1:12" ht="16.5" customHeight="1" x14ac:dyDescent="0.35">
      <c r="A2154" t="s">
        <v>7744</v>
      </c>
      <c r="B2154" t="s">
        <v>7744</v>
      </c>
      <c r="C2154">
        <v>0</v>
      </c>
      <c r="D2154">
        <v>100</v>
      </c>
      <c r="E2154" t="s">
        <v>7754</v>
      </c>
      <c r="F2154" t="s">
        <v>7755</v>
      </c>
      <c r="G2154" t="s">
        <v>7756</v>
      </c>
      <c r="H2154" t="s">
        <v>3532</v>
      </c>
      <c r="I2154" t="s">
        <v>3490</v>
      </c>
      <c r="J2154" s="56">
        <f t="shared" si="99"/>
        <v>36</v>
      </c>
      <c r="K2154" s="74" t="str">
        <f t="shared" si="100"/>
        <v>31-60 Days</v>
      </c>
      <c r="L2154" s="58" t="str">
        <f t="shared" si="101"/>
        <v>Not Applicable</v>
      </c>
    </row>
    <row r="2155" spans="1:12" ht="16.5" customHeight="1" x14ac:dyDescent="0.35">
      <c r="A2155" t="s">
        <v>951</v>
      </c>
      <c r="B2155" t="s">
        <v>951</v>
      </c>
      <c r="C2155">
        <v>0</v>
      </c>
      <c r="D2155">
        <v>106.2</v>
      </c>
      <c r="E2155" t="s">
        <v>7757</v>
      </c>
      <c r="F2155" t="s">
        <v>7758</v>
      </c>
      <c r="G2155" t="s">
        <v>7759</v>
      </c>
      <c r="H2155" t="s">
        <v>3532</v>
      </c>
      <c r="I2155" t="s">
        <v>3490</v>
      </c>
      <c r="J2155" s="56">
        <f t="shared" si="99"/>
        <v>35</v>
      </c>
      <c r="K2155" s="74" t="str">
        <f t="shared" si="100"/>
        <v>31-60 Days</v>
      </c>
      <c r="L2155" s="58" t="str">
        <f t="shared" si="101"/>
        <v>Not Applicable</v>
      </c>
    </row>
    <row r="2156" spans="1:12" ht="16.5" customHeight="1" x14ac:dyDescent="0.35">
      <c r="A2156" t="s">
        <v>951</v>
      </c>
      <c r="B2156" t="s">
        <v>951</v>
      </c>
      <c r="C2156">
        <v>0</v>
      </c>
      <c r="D2156">
        <v>212.4</v>
      </c>
      <c r="E2156" t="s">
        <v>7760</v>
      </c>
      <c r="F2156" t="s">
        <v>7761</v>
      </c>
      <c r="G2156" t="s">
        <v>7762</v>
      </c>
      <c r="H2156" t="s">
        <v>3532</v>
      </c>
      <c r="I2156" t="s">
        <v>3490</v>
      </c>
      <c r="J2156" s="56">
        <f t="shared" si="99"/>
        <v>35</v>
      </c>
      <c r="K2156" s="74" t="str">
        <f t="shared" si="100"/>
        <v>31-60 Days</v>
      </c>
      <c r="L2156" s="58" t="str">
        <f t="shared" si="101"/>
        <v>Not Applicable</v>
      </c>
    </row>
    <row r="2157" spans="1:12" ht="16.5" customHeight="1" x14ac:dyDescent="0.35">
      <c r="A2157" t="s">
        <v>951</v>
      </c>
      <c r="B2157" t="s">
        <v>951</v>
      </c>
      <c r="C2157">
        <v>0</v>
      </c>
      <c r="D2157">
        <v>2650</v>
      </c>
      <c r="E2157" t="s">
        <v>7763</v>
      </c>
      <c r="F2157" t="s">
        <v>7763</v>
      </c>
      <c r="G2157" t="s">
        <v>7764</v>
      </c>
      <c r="H2157" t="s">
        <v>3489</v>
      </c>
      <c r="I2157" t="s">
        <v>3490</v>
      </c>
      <c r="J2157" s="56">
        <f t="shared" si="99"/>
        <v>35</v>
      </c>
      <c r="K2157" s="74" t="str">
        <f t="shared" si="100"/>
        <v>31-60 Days</v>
      </c>
      <c r="L2157" s="58" t="str">
        <f t="shared" si="101"/>
        <v>Not Applicable</v>
      </c>
    </row>
    <row r="2158" spans="1:12" ht="16.5" customHeight="1" x14ac:dyDescent="0.35">
      <c r="A2158" t="s">
        <v>951</v>
      </c>
      <c r="B2158" t="s">
        <v>951</v>
      </c>
      <c r="C2158">
        <v>0</v>
      </c>
      <c r="D2158">
        <v>840</v>
      </c>
      <c r="E2158" t="s">
        <v>7765</v>
      </c>
      <c r="F2158" t="s">
        <v>7766</v>
      </c>
      <c r="G2158" t="s">
        <v>7767</v>
      </c>
      <c r="H2158" t="s">
        <v>3532</v>
      </c>
      <c r="I2158" t="s">
        <v>3490</v>
      </c>
      <c r="J2158" s="56">
        <f t="shared" si="99"/>
        <v>35</v>
      </c>
      <c r="K2158" s="74" t="str">
        <f t="shared" si="100"/>
        <v>31-60 Days</v>
      </c>
      <c r="L2158" s="58" t="str">
        <f t="shared" si="101"/>
        <v>Not Applicable</v>
      </c>
    </row>
    <row r="2159" spans="1:12" ht="16.5" customHeight="1" x14ac:dyDescent="0.35">
      <c r="A2159" t="s">
        <v>951</v>
      </c>
      <c r="B2159" t="s">
        <v>951</v>
      </c>
      <c r="C2159">
        <v>0</v>
      </c>
      <c r="D2159">
        <v>2000000</v>
      </c>
      <c r="E2159" t="s">
        <v>7768</v>
      </c>
      <c r="F2159" t="s">
        <v>7769</v>
      </c>
      <c r="G2159" t="s">
        <v>7770</v>
      </c>
      <c r="H2159" t="s">
        <v>3489</v>
      </c>
      <c r="I2159" t="s">
        <v>3490</v>
      </c>
      <c r="J2159" s="56">
        <f t="shared" si="99"/>
        <v>35</v>
      </c>
      <c r="K2159" s="74" t="str">
        <f t="shared" si="100"/>
        <v>31-60 Days</v>
      </c>
      <c r="L2159" s="58" t="str">
        <f t="shared" si="101"/>
        <v>Not Applicable</v>
      </c>
    </row>
    <row r="2160" spans="1:12" ht="16.5" customHeight="1" x14ac:dyDescent="0.35">
      <c r="A2160" t="s">
        <v>951</v>
      </c>
      <c r="B2160" t="s">
        <v>951</v>
      </c>
      <c r="C2160">
        <v>0</v>
      </c>
      <c r="D2160">
        <v>42.48</v>
      </c>
      <c r="E2160" t="s">
        <v>7771</v>
      </c>
      <c r="F2160" t="s">
        <v>7772</v>
      </c>
      <c r="G2160" t="s">
        <v>7773</v>
      </c>
      <c r="H2160" t="s">
        <v>3532</v>
      </c>
      <c r="I2160" t="s">
        <v>3490</v>
      </c>
      <c r="J2160" s="56">
        <f t="shared" si="99"/>
        <v>35</v>
      </c>
      <c r="K2160" s="74" t="str">
        <f t="shared" si="100"/>
        <v>31-60 Days</v>
      </c>
      <c r="L2160" s="58" t="str">
        <f t="shared" si="101"/>
        <v>Not Applicable</v>
      </c>
    </row>
    <row r="2161" spans="1:12" ht="16.5" customHeight="1" x14ac:dyDescent="0.35">
      <c r="A2161" t="s">
        <v>951</v>
      </c>
      <c r="B2161" t="s">
        <v>951</v>
      </c>
      <c r="C2161">
        <v>0</v>
      </c>
      <c r="D2161">
        <v>13658.58</v>
      </c>
      <c r="E2161" t="s">
        <v>7774</v>
      </c>
      <c r="F2161" t="s">
        <v>7774</v>
      </c>
      <c r="G2161" t="s">
        <v>57</v>
      </c>
      <c r="H2161" t="s">
        <v>3914</v>
      </c>
      <c r="I2161" t="s">
        <v>3643</v>
      </c>
      <c r="J2161" s="56">
        <f t="shared" si="99"/>
        <v>35</v>
      </c>
      <c r="K2161" s="74" t="str">
        <f t="shared" si="100"/>
        <v>31-60 Days</v>
      </c>
      <c r="L2161" s="58" t="str">
        <f t="shared" si="101"/>
        <v>Not Applicable</v>
      </c>
    </row>
    <row r="2162" spans="1:12" ht="16.5" customHeight="1" x14ac:dyDescent="0.35">
      <c r="A2162" t="s">
        <v>951</v>
      </c>
      <c r="B2162" t="s">
        <v>951</v>
      </c>
      <c r="C2162">
        <v>0</v>
      </c>
      <c r="D2162">
        <v>150</v>
      </c>
      <c r="E2162" t="s">
        <v>7775</v>
      </c>
      <c r="F2162" t="s">
        <v>7775</v>
      </c>
      <c r="G2162" t="s">
        <v>7776</v>
      </c>
      <c r="H2162" t="s">
        <v>3489</v>
      </c>
      <c r="I2162" t="s">
        <v>3490</v>
      </c>
      <c r="J2162" s="56">
        <f t="shared" si="99"/>
        <v>35</v>
      </c>
      <c r="K2162" s="74" t="str">
        <f t="shared" si="100"/>
        <v>31-60 Days</v>
      </c>
      <c r="L2162" s="58" t="str">
        <f t="shared" si="101"/>
        <v>Not Applicable</v>
      </c>
    </row>
    <row r="2163" spans="1:12" ht="16.5" customHeight="1" x14ac:dyDescent="0.35">
      <c r="A2163" t="s">
        <v>951</v>
      </c>
      <c r="B2163" t="s">
        <v>951</v>
      </c>
      <c r="C2163">
        <v>0</v>
      </c>
      <c r="D2163">
        <v>708</v>
      </c>
      <c r="E2163" t="s">
        <v>7777</v>
      </c>
      <c r="F2163" t="s">
        <v>7778</v>
      </c>
      <c r="G2163" t="s">
        <v>7779</v>
      </c>
      <c r="H2163" t="s">
        <v>3532</v>
      </c>
      <c r="I2163" t="s">
        <v>3490</v>
      </c>
      <c r="J2163" s="56">
        <f t="shared" si="99"/>
        <v>35</v>
      </c>
      <c r="K2163" s="74" t="str">
        <f t="shared" si="100"/>
        <v>31-60 Days</v>
      </c>
      <c r="L2163" s="58" t="str">
        <f t="shared" si="101"/>
        <v>Not Applicable</v>
      </c>
    </row>
    <row r="2164" spans="1:12" ht="16.5" customHeight="1" x14ac:dyDescent="0.35">
      <c r="A2164" t="s">
        <v>951</v>
      </c>
      <c r="B2164" t="s">
        <v>951</v>
      </c>
      <c r="C2164">
        <v>0</v>
      </c>
      <c r="D2164">
        <v>39701</v>
      </c>
      <c r="E2164" t="s">
        <v>7780</v>
      </c>
      <c r="F2164" t="s">
        <v>7781</v>
      </c>
      <c r="G2164" t="s">
        <v>7782</v>
      </c>
      <c r="H2164" t="s">
        <v>3532</v>
      </c>
      <c r="I2164" t="s">
        <v>3490</v>
      </c>
      <c r="J2164" s="56">
        <f t="shared" si="99"/>
        <v>35</v>
      </c>
      <c r="K2164" s="74" t="str">
        <f t="shared" si="100"/>
        <v>31-60 Days</v>
      </c>
      <c r="L2164" s="58" t="str">
        <f t="shared" si="101"/>
        <v>Not Applicable</v>
      </c>
    </row>
    <row r="2165" spans="1:12" ht="16.5" customHeight="1" x14ac:dyDescent="0.35">
      <c r="A2165" t="s">
        <v>951</v>
      </c>
      <c r="B2165" t="s">
        <v>951</v>
      </c>
      <c r="C2165">
        <v>0</v>
      </c>
      <c r="D2165">
        <v>150</v>
      </c>
      <c r="E2165" t="s">
        <v>7783</v>
      </c>
      <c r="F2165" t="s">
        <v>7783</v>
      </c>
      <c r="G2165" t="s">
        <v>7784</v>
      </c>
      <c r="H2165" t="s">
        <v>3489</v>
      </c>
      <c r="I2165" t="s">
        <v>3490</v>
      </c>
      <c r="J2165" s="56">
        <f t="shared" si="99"/>
        <v>35</v>
      </c>
      <c r="K2165" s="74" t="str">
        <f t="shared" si="100"/>
        <v>31-60 Days</v>
      </c>
      <c r="L2165" s="58" t="str">
        <f t="shared" si="101"/>
        <v>Not Applicable</v>
      </c>
    </row>
    <row r="2166" spans="1:12" ht="16.5" customHeight="1" x14ac:dyDescent="0.35">
      <c r="A2166" t="s">
        <v>951</v>
      </c>
      <c r="B2166" t="s">
        <v>951</v>
      </c>
      <c r="C2166">
        <v>0</v>
      </c>
      <c r="D2166">
        <v>1000</v>
      </c>
      <c r="E2166" t="s">
        <v>7785</v>
      </c>
      <c r="F2166" t="s">
        <v>7786</v>
      </c>
      <c r="G2166" t="s">
        <v>7787</v>
      </c>
      <c r="H2166" t="s">
        <v>3489</v>
      </c>
      <c r="I2166" t="s">
        <v>3490</v>
      </c>
      <c r="J2166" s="56">
        <f t="shared" si="99"/>
        <v>35</v>
      </c>
      <c r="K2166" s="74" t="str">
        <f t="shared" si="100"/>
        <v>31-60 Days</v>
      </c>
      <c r="L2166" s="58" t="str">
        <f t="shared" si="101"/>
        <v>Not Applicable</v>
      </c>
    </row>
    <row r="2167" spans="1:12" ht="16.5" customHeight="1" x14ac:dyDescent="0.35">
      <c r="A2167" t="s">
        <v>951</v>
      </c>
      <c r="B2167" t="s">
        <v>951</v>
      </c>
      <c r="C2167">
        <v>0</v>
      </c>
      <c r="D2167">
        <v>3400</v>
      </c>
      <c r="E2167" t="s">
        <v>7788</v>
      </c>
      <c r="F2167" t="s">
        <v>7788</v>
      </c>
      <c r="G2167" t="s">
        <v>7789</v>
      </c>
      <c r="H2167" t="s">
        <v>3489</v>
      </c>
      <c r="I2167" t="s">
        <v>3490</v>
      </c>
      <c r="J2167" s="56">
        <f t="shared" si="99"/>
        <v>35</v>
      </c>
      <c r="K2167" s="74" t="str">
        <f t="shared" si="100"/>
        <v>31-60 Days</v>
      </c>
      <c r="L2167" s="58" t="str">
        <f t="shared" si="101"/>
        <v>Not Applicable</v>
      </c>
    </row>
    <row r="2168" spans="1:12" ht="16.5" customHeight="1" x14ac:dyDescent="0.35">
      <c r="A2168" t="s">
        <v>951</v>
      </c>
      <c r="B2168" t="s">
        <v>951</v>
      </c>
      <c r="C2168">
        <v>0</v>
      </c>
      <c r="D2168">
        <v>1400</v>
      </c>
      <c r="E2168" t="s">
        <v>7790</v>
      </c>
      <c r="F2168" t="s">
        <v>7790</v>
      </c>
      <c r="G2168" t="s">
        <v>7791</v>
      </c>
      <c r="H2168" t="s">
        <v>3489</v>
      </c>
      <c r="I2168" t="s">
        <v>3490</v>
      </c>
      <c r="J2168" s="56">
        <f t="shared" si="99"/>
        <v>35</v>
      </c>
      <c r="K2168" s="74" t="str">
        <f t="shared" si="100"/>
        <v>31-60 Days</v>
      </c>
      <c r="L2168" s="58" t="str">
        <f t="shared" si="101"/>
        <v>Not Applicable</v>
      </c>
    </row>
    <row r="2169" spans="1:12" ht="16.5" customHeight="1" x14ac:dyDescent="0.35">
      <c r="A2169" t="s">
        <v>951</v>
      </c>
      <c r="B2169" t="s">
        <v>951</v>
      </c>
      <c r="C2169">
        <v>0</v>
      </c>
      <c r="D2169">
        <v>770</v>
      </c>
      <c r="E2169" t="s">
        <v>7792</v>
      </c>
      <c r="F2169" t="s">
        <v>7792</v>
      </c>
      <c r="G2169" t="s">
        <v>7793</v>
      </c>
      <c r="H2169" t="s">
        <v>3489</v>
      </c>
      <c r="I2169" t="s">
        <v>3490</v>
      </c>
      <c r="J2169" s="56">
        <f t="shared" si="99"/>
        <v>35</v>
      </c>
      <c r="K2169" s="74" t="str">
        <f t="shared" si="100"/>
        <v>31-60 Days</v>
      </c>
      <c r="L2169" s="58" t="str">
        <f t="shared" si="101"/>
        <v>Not Applicable</v>
      </c>
    </row>
    <row r="2170" spans="1:12" ht="16.5" customHeight="1" x14ac:dyDescent="0.35">
      <c r="A2170" t="s">
        <v>951</v>
      </c>
      <c r="B2170" t="s">
        <v>951</v>
      </c>
      <c r="C2170">
        <v>0</v>
      </c>
      <c r="D2170">
        <v>2000000</v>
      </c>
      <c r="E2170" t="s">
        <v>7794</v>
      </c>
      <c r="F2170" t="s">
        <v>7795</v>
      </c>
      <c r="G2170" t="s">
        <v>7796</v>
      </c>
      <c r="H2170" t="s">
        <v>3489</v>
      </c>
      <c r="I2170" t="s">
        <v>3490</v>
      </c>
      <c r="J2170" s="56">
        <f t="shared" si="99"/>
        <v>35</v>
      </c>
      <c r="K2170" s="74" t="str">
        <f t="shared" si="100"/>
        <v>31-60 Days</v>
      </c>
      <c r="L2170" s="58" t="str">
        <f t="shared" si="101"/>
        <v>Not Applicable</v>
      </c>
    </row>
    <row r="2171" spans="1:12" ht="16.5" customHeight="1" x14ac:dyDescent="0.35">
      <c r="A2171" t="s">
        <v>951</v>
      </c>
      <c r="B2171" t="s">
        <v>951</v>
      </c>
      <c r="C2171">
        <v>0</v>
      </c>
      <c r="D2171">
        <v>750</v>
      </c>
      <c r="E2171" t="s">
        <v>7797</v>
      </c>
      <c r="F2171" t="s">
        <v>7797</v>
      </c>
      <c r="G2171" t="s">
        <v>7798</v>
      </c>
      <c r="H2171" t="s">
        <v>3489</v>
      </c>
      <c r="I2171" t="s">
        <v>3490</v>
      </c>
      <c r="J2171" s="56">
        <f t="shared" si="99"/>
        <v>35</v>
      </c>
      <c r="K2171" s="74" t="str">
        <f t="shared" si="100"/>
        <v>31-60 Days</v>
      </c>
      <c r="L2171" s="58" t="str">
        <f t="shared" si="101"/>
        <v>Not Applicable</v>
      </c>
    </row>
    <row r="2172" spans="1:12" ht="16.5" customHeight="1" x14ac:dyDescent="0.35">
      <c r="A2172" t="s">
        <v>951</v>
      </c>
      <c r="B2172" t="s">
        <v>951</v>
      </c>
      <c r="C2172">
        <v>0</v>
      </c>
      <c r="D2172">
        <v>2050</v>
      </c>
      <c r="E2172" t="s">
        <v>7799</v>
      </c>
      <c r="F2172" t="s">
        <v>3561</v>
      </c>
      <c r="G2172" t="s">
        <v>7800</v>
      </c>
      <c r="H2172" t="s">
        <v>3562</v>
      </c>
      <c r="I2172" t="s">
        <v>3490</v>
      </c>
      <c r="J2172" s="56">
        <f t="shared" si="99"/>
        <v>35</v>
      </c>
      <c r="K2172" s="74" t="str">
        <f t="shared" si="100"/>
        <v>31-60 Days</v>
      </c>
      <c r="L2172" s="58" t="str">
        <f t="shared" si="101"/>
        <v>Not Applicable</v>
      </c>
    </row>
    <row r="2173" spans="1:12" ht="16.5" customHeight="1" x14ac:dyDescent="0.35">
      <c r="A2173" t="s">
        <v>951</v>
      </c>
      <c r="B2173" t="s">
        <v>951</v>
      </c>
      <c r="C2173">
        <v>1227.6300000000001</v>
      </c>
      <c r="D2173">
        <v>0</v>
      </c>
      <c r="E2173" t="s">
        <v>3559</v>
      </c>
      <c r="F2173" t="s">
        <v>3559</v>
      </c>
      <c r="G2173" t="s">
        <v>7801</v>
      </c>
      <c r="H2173" t="s">
        <v>3921</v>
      </c>
      <c r="I2173" t="s">
        <v>3507</v>
      </c>
      <c r="J2173" s="56">
        <f t="shared" si="99"/>
        <v>35</v>
      </c>
      <c r="K2173" s="74" t="str">
        <f t="shared" si="100"/>
        <v>31-60 Days</v>
      </c>
      <c r="L2173" s="58" t="str">
        <f t="shared" si="101"/>
        <v>Especially Mentioned</v>
      </c>
    </row>
    <row r="2174" spans="1:12" ht="16.5" customHeight="1" x14ac:dyDescent="0.35">
      <c r="A2174" t="s">
        <v>951</v>
      </c>
      <c r="B2174" t="s">
        <v>951</v>
      </c>
      <c r="C2174">
        <v>0</v>
      </c>
      <c r="D2174">
        <v>1000</v>
      </c>
      <c r="E2174" t="s">
        <v>7802</v>
      </c>
      <c r="F2174" t="s">
        <v>3499</v>
      </c>
      <c r="G2174" t="s">
        <v>7803</v>
      </c>
      <c r="H2174" t="s">
        <v>3489</v>
      </c>
      <c r="I2174" t="s">
        <v>3490</v>
      </c>
      <c r="J2174" s="56">
        <f t="shared" si="99"/>
        <v>35</v>
      </c>
      <c r="K2174" s="74" t="str">
        <f t="shared" si="100"/>
        <v>31-60 Days</v>
      </c>
      <c r="L2174" s="58" t="str">
        <f t="shared" si="101"/>
        <v>Not Applicable</v>
      </c>
    </row>
    <row r="2175" spans="1:12" ht="16.5" customHeight="1" x14ac:dyDescent="0.35">
      <c r="A2175" t="s">
        <v>951</v>
      </c>
      <c r="B2175" t="s">
        <v>951</v>
      </c>
      <c r="C2175">
        <v>0</v>
      </c>
      <c r="D2175">
        <v>250</v>
      </c>
      <c r="E2175" t="s">
        <v>7804</v>
      </c>
      <c r="F2175" t="s">
        <v>7804</v>
      </c>
      <c r="G2175" t="s">
        <v>7805</v>
      </c>
      <c r="H2175" t="s">
        <v>3489</v>
      </c>
      <c r="I2175" t="s">
        <v>3490</v>
      </c>
      <c r="J2175" s="56">
        <f t="shared" si="99"/>
        <v>35</v>
      </c>
      <c r="K2175" s="74" t="str">
        <f t="shared" si="100"/>
        <v>31-60 Days</v>
      </c>
      <c r="L2175" s="58" t="str">
        <f t="shared" si="101"/>
        <v>Not Applicable</v>
      </c>
    </row>
    <row r="2176" spans="1:12" ht="16.5" customHeight="1" x14ac:dyDescent="0.35">
      <c r="A2176" t="s">
        <v>951</v>
      </c>
      <c r="B2176" t="s">
        <v>951</v>
      </c>
      <c r="C2176">
        <v>9793.23</v>
      </c>
      <c r="D2176">
        <v>0</v>
      </c>
      <c r="E2176" t="s">
        <v>7806</v>
      </c>
      <c r="F2176" t="s">
        <v>7806</v>
      </c>
      <c r="G2176" t="s">
        <v>7807</v>
      </c>
      <c r="H2176" t="s">
        <v>3455</v>
      </c>
      <c r="I2176" t="s">
        <v>3486</v>
      </c>
      <c r="J2176" s="56">
        <f t="shared" si="99"/>
        <v>35</v>
      </c>
      <c r="K2176" s="74" t="str">
        <f t="shared" si="100"/>
        <v>31-60 Days</v>
      </c>
      <c r="L2176" s="58" t="str">
        <f t="shared" si="101"/>
        <v>Especially Mentioned</v>
      </c>
    </row>
    <row r="2177" spans="1:12" ht="16.5" customHeight="1" x14ac:dyDescent="0.35">
      <c r="A2177" t="s">
        <v>951</v>
      </c>
      <c r="B2177" t="s">
        <v>951</v>
      </c>
      <c r="C2177">
        <v>0</v>
      </c>
      <c r="D2177">
        <v>1000</v>
      </c>
      <c r="E2177" t="s">
        <v>7808</v>
      </c>
      <c r="F2177" t="s">
        <v>7808</v>
      </c>
      <c r="G2177" t="s">
        <v>7809</v>
      </c>
      <c r="H2177" t="s">
        <v>3489</v>
      </c>
      <c r="I2177" t="s">
        <v>3490</v>
      </c>
      <c r="J2177" s="56">
        <f t="shared" si="99"/>
        <v>35</v>
      </c>
      <c r="K2177" s="74" t="str">
        <f t="shared" si="100"/>
        <v>31-60 Days</v>
      </c>
      <c r="L2177" s="58" t="str">
        <f t="shared" si="101"/>
        <v>Not Applicable</v>
      </c>
    </row>
    <row r="2178" spans="1:12" ht="16.5" customHeight="1" x14ac:dyDescent="0.35">
      <c r="A2178" t="s">
        <v>951</v>
      </c>
      <c r="B2178" t="s">
        <v>951</v>
      </c>
      <c r="C2178">
        <v>0</v>
      </c>
      <c r="D2178">
        <v>1000</v>
      </c>
      <c r="E2178" t="s">
        <v>7810</v>
      </c>
      <c r="F2178" t="s">
        <v>7811</v>
      </c>
      <c r="G2178" t="s">
        <v>7812</v>
      </c>
      <c r="H2178" t="s">
        <v>3489</v>
      </c>
      <c r="I2178" t="s">
        <v>3490</v>
      </c>
      <c r="J2178" s="56">
        <f t="shared" si="99"/>
        <v>35</v>
      </c>
      <c r="K2178" s="74" t="str">
        <f t="shared" si="100"/>
        <v>31-60 Days</v>
      </c>
      <c r="L2178" s="58" t="str">
        <f t="shared" si="101"/>
        <v>Not Applicable</v>
      </c>
    </row>
    <row r="2179" spans="1:12" ht="16.5" customHeight="1" x14ac:dyDescent="0.35">
      <c r="A2179" t="s">
        <v>951</v>
      </c>
      <c r="B2179" t="s">
        <v>951</v>
      </c>
      <c r="C2179">
        <v>0</v>
      </c>
      <c r="D2179">
        <v>283.2</v>
      </c>
      <c r="E2179" t="s">
        <v>7813</v>
      </c>
      <c r="F2179" t="s">
        <v>7814</v>
      </c>
      <c r="G2179" t="s">
        <v>7815</v>
      </c>
      <c r="H2179" t="s">
        <v>3532</v>
      </c>
      <c r="I2179" t="s">
        <v>3490</v>
      </c>
      <c r="J2179" s="56">
        <f t="shared" si="99"/>
        <v>35</v>
      </c>
      <c r="K2179" s="74" t="str">
        <f t="shared" si="100"/>
        <v>31-60 Days</v>
      </c>
      <c r="L2179" s="58" t="str">
        <f t="shared" si="101"/>
        <v>Not Applicable</v>
      </c>
    </row>
    <row r="2180" spans="1:12" ht="16.5" customHeight="1" x14ac:dyDescent="0.35">
      <c r="A2180" t="s">
        <v>951</v>
      </c>
      <c r="B2180" t="s">
        <v>951</v>
      </c>
      <c r="C2180">
        <v>0</v>
      </c>
      <c r="D2180">
        <v>1000</v>
      </c>
      <c r="E2180" t="s">
        <v>7816</v>
      </c>
      <c r="F2180" t="s">
        <v>7817</v>
      </c>
      <c r="G2180" t="s">
        <v>7818</v>
      </c>
      <c r="H2180" t="s">
        <v>3489</v>
      </c>
      <c r="I2180" t="s">
        <v>3490</v>
      </c>
      <c r="J2180" s="56">
        <f t="shared" si="99"/>
        <v>35</v>
      </c>
      <c r="K2180" s="74" t="str">
        <f t="shared" si="100"/>
        <v>31-60 Days</v>
      </c>
      <c r="L2180" s="58" t="str">
        <f t="shared" si="101"/>
        <v>Not Applicable</v>
      </c>
    </row>
    <row r="2181" spans="1:12" ht="16.5" customHeight="1" x14ac:dyDescent="0.35">
      <c r="A2181" t="s">
        <v>951</v>
      </c>
      <c r="B2181" t="s">
        <v>951</v>
      </c>
      <c r="C2181">
        <v>0</v>
      </c>
      <c r="D2181">
        <v>80</v>
      </c>
      <c r="E2181" t="s">
        <v>7819</v>
      </c>
      <c r="F2181" t="s">
        <v>7820</v>
      </c>
      <c r="G2181" t="s">
        <v>7821</v>
      </c>
      <c r="H2181" t="s">
        <v>3489</v>
      </c>
      <c r="I2181" t="s">
        <v>3486</v>
      </c>
      <c r="J2181" s="56">
        <f t="shared" si="99"/>
        <v>35</v>
      </c>
      <c r="K2181" s="74" t="str">
        <f t="shared" si="100"/>
        <v>31-60 Days</v>
      </c>
      <c r="L2181" s="58" t="str">
        <f t="shared" si="101"/>
        <v>Not Applicable</v>
      </c>
    </row>
    <row r="2182" spans="1:12" ht="16.5" customHeight="1" x14ac:dyDescent="0.35">
      <c r="A2182" t="s">
        <v>951</v>
      </c>
      <c r="B2182" t="s">
        <v>951</v>
      </c>
      <c r="C2182">
        <v>0</v>
      </c>
      <c r="D2182">
        <v>100</v>
      </c>
      <c r="E2182" t="s">
        <v>7822</v>
      </c>
      <c r="F2182" t="s">
        <v>7823</v>
      </c>
      <c r="G2182" t="s">
        <v>7824</v>
      </c>
      <c r="H2182" t="s">
        <v>3532</v>
      </c>
      <c r="I2182" t="s">
        <v>3490</v>
      </c>
      <c r="J2182" s="56">
        <f t="shared" si="99"/>
        <v>35</v>
      </c>
      <c r="K2182" s="74" t="str">
        <f t="shared" si="100"/>
        <v>31-60 Days</v>
      </c>
      <c r="L2182" s="58" t="str">
        <f t="shared" si="101"/>
        <v>Not Applicable</v>
      </c>
    </row>
    <row r="2183" spans="1:12" ht="16.5" customHeight="1" x14ac:dyDescent="0.35">
      <c r="A2183" t="s">
        <v>951</v>
      </c>
      <c r="B2183" t="s">
        <v>951</v>
      </c>
      <c r="C2183">
        <v>0</v>
      </c>
      <c r="D2183">
        <v>1000</v>
      </c>
      <c r="E2183" t="s">
        <v>7825</v>
      </c>
      <c r="F2183" t="s">
        <v>7826</v>
      </c>
      <c r="G2183" t="s">
        <v>7827</v>
      </c>
      <c r="H2183" t="s">
        <v>3489</v>
      </c>
      <c r="I2183" t="s">
        <v>3490</v>
      </c>
      <c r="J2183" s="56">
        <f t="shared" si="99"/>
        <v>35</v>
      </c>
      <c r="K2183" s="74" t="str">
        <f t="shared" si="100"/>
        <v>31-60 Days</v>
      </c>
      <c r="L2183" s="58" t="str">
        <f t="shared" si="101"/>
        <v>Not Applicable</v>
      </c>
    </row>
    <row r="2184" spans="1:12" ht="16.5" customHeight="1" x14ac:dyDescent="0.35">
      <c r="A2184" t="s">
        <v>951</v>
      </c>
      <c r="B2184" t="s">
        <v>951</v>
      </c>
      <c r="C2184">
        <v>0</v>
      </c>
      <c r="D2184">
        <v>1000</v>
      </c>
      <c r="E2184" t="s">
        <v>7828</v>
      </c>
      <c r="F2184" t="s">
        <v>7829</v>
      </c>
      <c r="G2184" t="s">
        <v>7830</v>
      </c>
      <c r="H2184" t="s">
        <v>3489</v>
      </c>
      <c r="I2184" t="s">
        <v>3490</v>
      </c>
      <c r="J2184" s="56">
        <f t="shared" si="99"/>
        <v>35</v>
      </c>
      <c r="K2184" s="74" t="str">
        <f t="shared" si="100"/>
        <v>31-60 Days</v>
      </c>
      <c r="L2184" s="58" t="str">
        <f t="shared" si="101"/>
        <v>Not Applicable</v>
      </c>
    </row>
    <row r="2185" spans="1:12" ht="16.5" customHeight="1" x14ac:dyDescent="0.35">
      <c r="A2185" t="s">
        <v>951</v>
      </c>
      <c r="B2185" t="s">
        <v>951</v>
      </c>
      <c r="C2185">
        <v>0</v>
      </c>
      <c r="D2185">
        <v>1000</v>
      </c>
      <c r="E2185" t="s">
        <v>7831</v>
      </c>
      <c r="F2185" t="s">
        <v>3499</v>
      </c>
      <c r="G2185" t="s">
        <v>7832</v>
      </c>
      <c r="H2185" t="s">
        <v>3489</v>
      </c>
      <c r="I2185" t="s">
        <v>3490</v>
      </c>
      <c r="J2185" s="56">
        <f t="shared" ref="J2185:J2248" si="102">IF(A2185="","",A$5-A2185)</f>
        <v>35</v>
      </c>
      <c r="K2185" s="74" t="str">
        <f t="shared" ref="K2185:K2248" si="103">IF(J2185="","",IF(J2185&lt;4,"0-3 Days",IF(J2185&lt;31,"4-30 Days",IF(J2185&lt;61,"31-60 Days",IF(J2185&lt;=90,"61-90 Days",IF(J2185&gt;90,"Above 90 Days","0"))))))</f>
        <v>31-60 Days</v>
      </c>
      <c r="L2185" s="58" t="str">
        <f t="shared" ref="L2185:L2248" si="104">IF(C2185="","",IF(C2185&gt;0,IF(J2185&lt;30,"Normal",IF(J2185&lt;60,"Especially Mentioned",IF(J2185&lt;90,"Substandard",IF(J2185&lt;=180,"Doubtful",IF(J2185&gt;180,"Loss","0"))))),"Not Applicable"))</f>
        <v>Not Applicable</v>
      </c>
    </row>
    <row r="2186" spans="1:12" ht="16.5" customHeight="1" x14ac:dyDescent="0.35">
      <c r="A2186" t="s">
        <v>951</v>
      </c>
      <c r="B2186" t="s">
        <v>951</v>
      </c>
      <c r="C2186">
        <v>0</v>
      </c>
      <c r="D2186">
        <v>1000</v>
      </c>
      <c r="E2186" t="s">
        <v>7833</v>
      </c>
      <c r="F2186" t="s">
        <v>7834</v>
      </c>
      <c r="G2186" t="s">
        <v>7835</v>
      </c>
      <c r="H2186" t="s">
        <v>3489</v>
      </c>
      <c r="I2186" t="s">
        <v>3490</v>
      </c>
      <c r="J2186" s="56">
        <f t="shared" si="102"/>
        <v>35</v>
      </c>
      <c r="K2186" s="74" t="str">
        <f t="shared" si="103"/>
        <v>31-60 Days</v>
      </c>
      <c r="L2186" s="58" t="str">
        <f t="shared" si="104"/>
        <v>Not Applicable</v>
      </c>
    </row>
    <row r="2187" spans="1:12" ht="16.5" customHeight="1" x14ac:dyDescent="0.35">
      <c r="A2187" t="s">
        <v>951</v>
      </c>
      <c r="B2187" t="s">
        <v>951</v>
      </c>
      <c r="C2187">
        <v>0</v>
      </c>
      <c r="D2187">
        <v>200</v>
      </c>
      <c r="E2187" t="s">
        <v>7836</v>
      </c>
      <c r="F2187" t="s">
        <v>7836</v>
      </c>
      <c r="G2187" t="s">
        <v>7837</v>
      </c>
      <c r="H2187" t="s">
        <v>3489</v>
      </c>
      <c r="I2187" t="s">
        <v>3490</v>
      </c>
      <c r="J2187" s="56">
        <f t="shared" si="102"/>
        <v>35</v>
      </c>
      <c r="K2187" s="74" t="str">
        <f t="shared" si="103"/>
        <v>31-60 Days</v>
      </c>
      <c r="L2187" s="58" t="str">
        <f t="shared" si="104"/>
        <v>Not Applicable</v>
      </c>
    </row>
    <row r="2188" spans="1:12" ht="16.5" customHeight="1" x14ac:dyDescent="0.35">
      <c r="A2188" t="s">
        <v>951</v>
      </c>
      <c r="B2188" t="s">
        <v>951</v>
      </c>
      <c r="C2188">
        <v>0</v>
      </c>
      <c r="D2188">
        <v>2050</v>
      </c>
      <c r="E2188" t="s">
        <v>7838</v>
      </c>
      <c r="F2188" t="s">
        <v>7838</v>
      </c>
      <c r="G2188" t="s">
        <v>7839</v>
      </c>
      <c r="H2188" t="s">
        <v>3489</v>
      </c>
      <c r="I2188" t="s">
        <v>3490</v>
      </c>
      <c r="J2188" s="56">
        <f t="shared" si="102"/>
        <v>35</v>
      </c>
      <c r="K2188" s="74" t="str">
        <f t="shared" si="103"/>
        <v>31-60 Days</v>
      </c>
      <c r="L2188" s="58" t="str">
        <f t="shared" si="104"/>
        <v>Not Applicable</v>
      </c>
    </row>
    <row r="2189" spans="1:12" ht="16.5" customHeight="1" x14ac:dyDescent="0.35">
      <c r="A2189" t="s">
        <v>951</v>
      </c>
      <c r="B2189" t="s">
        <v>951</v>
      </c>
      <c r="C2189">
        <v>0</v>
      </c>
      <c r="D2189">
        <v>10468</v>
      </c>
      <c r="E2189" t="s">
        <v>7840</v>
      </c>
      <c r="F2189" t="s">
        <v>7841</v>
      </c>
      <c r="G2189" t="s">
        <v>7842</v>
      </c>
      <c r="H2189" t="s">
        <v>3489</v>
      </c>
      <c r="I2189" t="s">
        <v>3490</v>
      </c>
      <c r="J2189" s="56">
        <f t="shared" si="102"/>
        <v>35</v>
      </c>
      <c r="K2189" s="74" t="str">
        <f t="shared" si="103"/>
        <v>31-60 Days</v>
      </c>
      <c r="L2189" s="58" t="str">
        <f t="shared" si="104"/>
        <v>Not Applicable</v>
      </c>
    </row>
    <row r="2190" spans="1:12" ht="16.5" customHeight="1" x14ac:dyDescent="0.35">
      <c r="A2190" t="s">
        <v>951</v>
      </c>
      <c r="B2190" t="s">
        <v>951</v>
      </c>
      <c r="C2190">
        <v>0</v>
      </c>
      <c r="D2190">
        <v>2650</v>
      </c>
      <c r="E2190" t="s">
        <v>7843</v>
      </c>
      <c r="F2190" t="s">
        <v>7843</v>
      </c>
      <c r="G2190" t="s">
        <v>7844</v>
      </c>
      <c r="H2190" t="s">
        <v>3489</v>
      </c>
      <c r="I2190" t="s">
        <v>3490</v>
      </c>
      <c r="J2190" s="56">
        <f t="shared" si="102"/>
        <v>35</v>
      </c>
      <c r="K2190" s="74" t="str">
        <f t="shared" si="103"/>
        <v>31-60 Days</v>
      </c>
      <c r="L2190" s="58" t="str">
        <f t="shared" si="104"/>
        <v>Not Applicable</v>
      </c>
    </row>
    <row r="2191" spans="1:12" ht="16.5" customHeight="1" x14ac:dyDescent="0.35">
      <c r="A2191" t="s">
        <v>951</v>
      </c>
      <c r="B2191" t="s">
        <v>951</v>
      </c>
      <c r="C2191">
        <v>0</v>
      </c>
      <c r="D2191">
        <v>250</v>
      </c>
      <c r="E2191" t="s">
        <v>7845</v>
      </c>
      <c r="F2191" t="s">
        <v>7845</v>
      </c>
      <c r="G2191" t="s">
        <v>7846</v>
      </c>
      <c r="H2191" t="s">
        <v>3489</v>
      </c>
      <c r="I2191" t="s">
        <v>3490</v>
      </c>
      <c r="J2191" s="56">
        <f t="shared" si="102"/>
        <v>35</v>
      </c>
      <c r="K2191" s="74" t="str">
        <f t="shared" si="103"/>
        <v>31-60 Days</v>
      </c>
      <c r="L2191" s="58" t="str">
        <f t="shared" si="104"/>
        <v>Not Applicable</v>
      </c>
    </row>
    <row r="2192" spans="1:12" ht="16.5" customHeight="1" x14ac:dyDescent="0.35">
      <c r="A2192" t="s">
        <v>951</v>
      </c>
      <c r="B2192" t="s">
        <v>951</v>
      </c>
      <c r="C2192">
        <v>0</v>
      </c>
      <c r="D2192">
        <v>600</v>
      </c>
      <c r="E2192" t="s">
        <v>7847</v>
      </c>
      <c r="F2192" t="s">
        <v>3499</v>
      </c>
      <c r="G2192" t="s">
        <v>7848</v>
      </c>
      <c r="H2192" t="s">
        <v>3489</v>
      </c>
      <c r="I2192" t="s">
        <v>3490</v>
      </c>
      <c r="J2192" s="56">
        <f t="shared" si="102"/>
        <v>35</v>
      </c>
      <c r="K2192" s="74" t="str">
        <f t="shared" si="103"/>
        <v>31-60 Days</v>
      </c>
      <c r="L2192" s="58" t="str">
        <f t="shared" si="104"/>
        <v>Not Applicable</v>
      </c>
    </row>
    <row r="2193" spans="1:12" ht="16.5" customHeight="1" x14ac:dyDescent="0.35">
      <c r="A2193" t="s">
        <v>951</v>
      </c>
      <c r="B2193" t="s">
        <v>951</v>
      </c>
      <c r="C2193">
        <v>0</v>
      </c>
      <c r="D2193">
        <v>4500</v>
      </c>
      <c r="E2193" t="s">
        <v>7849</v>
      </c>
      <c r="F2193" t="s">
        <v>7849</v>
      </c>
      <c r="G2193" t="s">
        <v>7850</v>
      </c>
      <c r="H2193" t="s">
        <v>3489</v>
      </c>
      <c r="I2193" t="s">
        <v>3507</v>
      </c>
      <c r="J2193" s="56">
        <f t="shared" si="102"/>
        <v>35</v>
      </c>
      <c r="K2193" s="74" t="str">
        <f t="shared" si="103"/>
        <v>31-60 Days</v>
      </c>
      <c r="L2193" s="58" t="str">
        <f t="shared" si="104"/>
        <v>Not Applicable</v>
      </c>
    </row>
    <row r="2194" spans="1:12" ht="16.5" customHeight="1" x14ac:dyDescent="0.35">
      <c r="A2194" t="s">
        <v>951</v>
      </c>
      <c r="B2194" t="s">
        <v>951</v>
      </c>
      <c r="C2194">
        <v>0</v>
      </c>
      <c r="D2194">
        <v>1000</v>
      </c>
      <c r="E2194" t="s">
        <v>7851</v>
      </c>
      <c r="F2194" t="s">
        <v>7851</v>
      </c>
      <c r="G2194" t="s">
        <v>7852</v>
      </c>
      <c r="H2194" t="s">
        <v>3489</v>
      </c>
      <c r="I2194" t="s">
        <v>3490</v>
      </c>
      <c r="J2194" s="56">
        <f t="shared" si="102"/>
        <v>35</v>
      </c>
      <c r="K2194" s="74" t="str">
        <f t="shared" si="103"/>
        <v>31-60 Days</v>
      </c>
      <c r="L2194" s="58" t="str">
        <f t="shared" si="104"/>
        <v>Not Applicable</v>
      </c>
    </row>
    <row r="2195" spans="1:12" ht="16.5" customHeight="1" x14ac:dyDescent="0.35">
      <c r="A2195" t="s">
        <v>1211</v>
      </c>
      <c r="B2195" t="s">
        <v>1211</v>
      </c>
      <c r="C2195">
        <v>0</v>
      </c>
      <c r="D2195">
        <v>3668.6</v>
      </c>
      <c r="E2195" t="s">
        <v>7853</v>
      </c>
      <c r="F2195" t="s">
        <v>7854</v>
      </c>
      <c r="G2195" t="s">
        <v>7855</v>
      </c>
      <c r="H2195" t="s">
        <v>3532</v>
      </c>
      <c r="I2195" t="s">
        <v>3490</v>
      </c>
      <c r="J2195" s="56">
        <f t="shared" si="102"/>
        <v>34</v>
      </c>
      <c r="K2195" s="74" t="str">
        <f t="shared" si="103"/>
        <v>31-60 Days</v>
      </c>
      <c r="L2195" s="58" t="str">
        <f t="shared" si="104"/>
        <v>Not Applicable</v>
      </c>
    </row>
    <row r="2196" spans="1:12" ht="16.5" customHeight="1" x14ac:dyDescent="0.35">
      <c r="A2196" t="s">
        <v>1211</v>
      </c>
      <c r="B2196" t="s">
        <v>1211</v>
      </c>
      <c r="C2196">
        <v>0</v>
      </c>
      <c r="D2196">
        <v>1000</v>
      </c>
      <c r="E2196" t="s">
        <v>7856</v>
      </c>
      <c r="F2196" t="s">
        <v>7857</v>
      </c>
      <c r="G2196" t="s">
        <v>7858</v>
      </c>
      <c r="H2196" t="s">
        <v>3489</v>
      </c>
      <c r="I2196" t="s">
        <v>3490</v>
      </c>
      <c r="J2196" s="56">
        <f t="shared" si="102"/>
        <v>34</v>
      </c>
      <c r="K2196" s="74" t="str">
        <f t="shared" si="103"/>
        <v>31-60 Days</v>
      </c>
      <c r="L2196" s="58" t="str">
        <f t="shared" si="104"/>
        <v>Not Applicable</v>
      </c>
    </row>
    <row r="2197" spans="1:12" ht="16.5" customHeight="1" x14ac:dyDescent="0.35">
      <c r="A2197" t="s">
        <v>1211</v>
      </c>
      <c r="B2197" t="s">
        <v>1211</v>
      </c>
      <c r="C2197">
        <v>0</v>
      </c>
      <c r="D2197">
        <v>3813.77</v>
      </c>
      <c r="E2197" t="s">
        <v>7859</v>
      </c>
      <c r="F2197" t="s">
        <v>3574</v>
      </c>
      <c r="G2197" t="s">
        <v>7860</v>
      </c>
      <c r="H2197" t="s">
        <v>3489</v>
      </c>
      <c r="I2197" t="s">
        <v>3490</v>
      </c>
      <c r="J2197" s="56">
        <f t="shared" si="102"/>
        <v>34</v>
      </c>
      <c r="K2197" s="74" t="str">
        <f t="shared" si="103"/>
        <v>31-60 Days</v>
      </c>
      <c r="L2197" s="58" t="str">
        <f t="shared" si="104"/>
        <v>Not Applicable</v>
      </c>
    </row>
    <row r="2198" spans="1:12" ht="16.5" customHeight="1" x14ac:dyDescent="0.35">
      <c r="A2198" t="s">
        <v>1211</v>
      </c>
      <c r="B2198" t="s">
        <v>1211</v>
      </c>
      <c r="C2198">
        <v>0</v>
      </c>
      <c r="D2198">
        <v>2050</v>
      </c>
      <c r="E2198" t="s">
        <v>7861</v>
      </c>
      <c r="F2198" t="s">
        <v>7861</v>
      </c>
      <c r="G2198" t="s">
        <v>7862</v>
      </c>
      <c r="H2198" t="s">
        <v>3489</v>
      </c>
      <c r="I2198" t="s">
        <v>3490</v>
      </c>
      <c r="J2198" s="56">
        <f t="shared" si="102"/>
        <v>34</v>
      </c>
      <c r="K2198" s="74" t="str">
        <f t="shared" si="103"/>
        <v>31-60 Days</v>
      </c>
      <c r="L2198" s="58" t="str">
        <f t="shared" si="104"/>
        <v>Not Applicable</v>
      </c>
    </row>
    <row r="2199" spans="1:12" ht="16.5" customHeight="1" x14ac:dyDescent="0.35">
      <c r="A2199" t="s">
        <v>1211</v>
      </c>
      <c r="B2199" t="s">
        <v>1211</v>
      </c>
      <c r="C2199">
        <v>0</v>
      </c>
      <c r="D2199">
        <v>50</v>
      </c>
      <c r="E2199" t="s">
        <v>7863</v>
      </c>
      <c r="F2199" t="s">
        <v>7864</v>
      </c>
      <c r="G2199" t="s">
        <v>7865</v>
      </c>
      <c r="H2199" t="s">
        <v>3489</v>
      </c>
      <c r="I2199" t="s">
        <v>3486</v>
      </c>
      <c r="J2199" s="56">
        <f t="shared" si="102"/>
        <v>34</v>
      </c>
      <c r="K2199" s="74" t="str">
        <f t="shared" si="103"/>
        <v>31-60 Days</v>
      </c>
      <c r="L2199" s="58" t="str">
        <f t="shared" si="104"/>
        <v>Not Applicable</v>
      </c>
    </row>
    <row r="2200" spans="1:12" ht="16.5" customHeight="1" x14ac:dyDescent="0.35">
      <c r="A2200" t="s">
        <v>1211</v>
      </c>
      <c r="B2200" t="s">
        <v>1211</v>
      </c>
      <c r="C2200">
        <v>0</v>
      </c>
      <c r="D2200">
        <v>1770</v>
      </c>
      <c r="E2200" t="s">
        <v>7866</v>
      </c>
      <c r="F2200" t="s">
        <v>3574</v>
      </c>
      <c r="G2200" t="s">
        <v>7867</v>
      </c>
      <c r="H2200" t="s">
        <v>3489</v>
      </c>
      <c r="I2200" t="s">
        <v>3490</v>
      </c>
      <c r="J2200" s="56">
        <f t="shared" si="102"/>
        <v>34</v>
      </c>
      <c r="K2200" s="74" t="str">
        <f t="shared" si="103"/>
        <v>31-60 Days</v>
      </c>
      <c r="L2200" s="58" t="str">
        <f t="shared" si="104"/>
        <v>Not Applicable</v>
      </c>
    </row>
    <row r="2201" spans="1:12" ht="16.5" customHeight="1" x14ac:dyDescent="0.35">
      <c r="A2201" t="s">
        <v>1211</v>
      </c>
      <c r="B2201" t="s">
        <v>1211</v>
      </c>
      <c r="C2201">
        <v>637.20000000000005</v>
      </c>
      <c r="D2201">
        <v>0</v>
      </c>
      <c r="E2201" t="s">
        <v>3501</v>
      </c>
      <c r="F2201" t="s">
        <v>3501</v>
      </c>
      <c r="G2201" t="s">
        <v>7868</v>
      </c>
      <c r="H2201" t="s">
        <v>3466</v>
      </c>
      <c r="I2201" t="s">
        <v>3486</v>
      </c>
      <c r="J2201" s="56">
        <f t="shared" si="102"/>
        <v>34</v>
      </c>
      <c r="K2201" s="74" t="str">
        <f t="shared" si="103"/>
        <v>31-60 Days</v>
      </c>
      <c r="L2201" s="58" t="str">
        <f t="shared" si="104"/>
        <v>Especially Mentioned</v>
      </c>
    </row>
    <row r="2202" spans="1:12" ht="16.5" customHeight="1" x14ac:dyDescent="0.35">
      <c r="A2202" t="s">
        <v>1211</v>
      </c>
      <c r="B2202" t="s">
        <v>1211</v>
      </c>
      <c r="C2202">
        <v>0</v>
      </c>
      <c r="D2202">
        <v>20124</v>
      </c>
      <c r="E2202" t="s">
        <v>7869</v>
      </c>
      <c r="F2202" t="s">
        <v>3574</v>
      </c>
      <c r="G2202" t="s">
        <v>7870</v>
      </c>
      <c r="H2202" t="s">
        <v>3489</v>
      </c>
      <c r="I2202" t="s">
        <v>3490</v>
      </c>
      <c r="J2202" s="56">
        <f t="shared" si="102"/>
        <v>34</v>
      </c>
      <c r="K2202" s="74" t="str">
        <f t="shared" si="103"/>
        <v>31-60 Days</v>
      </c>
      <c r="L2202" s="58" t="str">
        <f t="shared" si="104"/>
        <v>Not Applicable</v>
      </c>
    </row>
    <row r="2203" spans="1:12" ht="16.5" customHeight="1" x14ac:dyDescent="0.35">
      <c r="A2203" t="s">
        <v>1211</v>
      </c>
      <c r="B2203" t="s">
        <v>1211</v>
      </c>
      <c r="C2203">
        <v>0</v>
      </c>
      <c r="D2203">
        <v>250</v>
      </c>
      <c r="E2203" t="s">
        <v>7871</v>
      </c>
      <c r="F2203" t="s">
        <v>7871</v>
      </c>
      <c r="G2203" t="s">
        <v>7872</v>
      </c>
      <c r="H2203" t="s">
        <v>3532</v>
      </c>
      <c r="I2203" t="s">
        <v>3490</v>
      </c>
      <c r="J2203" s="56">
        <f t="shared" si="102"/>
        <v>34</v>
      </c>
      <c r="K2203" s="74" t="str">
        <f t="shared" si="103"/>
        <v>31-60 Days</v>
      </c>
      <c r="L2203" s="58" t="str">
        <f t="shared" si="104"/>
        <v>Not Applicable</v>
      </c>
    </row>
    <row r="2204" spans="1:12" ht="16.5" customHeight="1" x14ac:dyDescent="0.35">
      <c r="A2204" t="s">
        <v>1211</v>
      </c>
      <c r="B2204" t="s">
        <v>1211</v>
      </c>
      <c r="C2204">
        <v>1000000</v>
      </c>
      <c r="D2204">
        <v>0</v>
      </c>
      <c r="E2204" t="s">
        <v>7873</v>
      </c>
      <c r="F2204" t="s">
        <v>7873</v>
      </c>
      <c r="G2204" t="s">
        <v>7874</v>
      </c>
      <c r="H2204" t="s">
        <v>3455</v>
      </c>
      <c r="I2204" t="s">
        <v>3490</v>
      </c>
      <c r="J2204" s="56">
        <f t="shared" si="102"/>
        <v>34</v>
      </c>
      <c r="K2204" s="74" t="str">
        <f t="shared" si="103"/>
        <v>31-60 Days</v>
      </c>
      <c r="L2204" s="58" t="str">
        <f t="shared" si="104"/>
        <v>Especially Mentioned</v>
      </c>
    </row>
    <row r="2205" spans="1:12" ht="16.5" customHeight="1" x14ac:dyDescent="0.35">
      <c r="A2205" t="s">
        <v>1211</v>
      </c>
      <c r="B2205" t="s">
        <v>1211</v>
      </c>
      <c r="C2205">
        <v>0</v>
      </c>
      <c r="D2205">
        <v>100</v>
      </c>
      <c r="E2205" t="s">
        <v>7875</v>
      </c>
      <c r="F2205" t="s">
        <v>7875</v>
      </c>
      <c r="G2205" t="s">
        <v>7876</v>
      </c>
      <c r="H2205" t="s">
        <v>3489</v>
      </c>
      <c r="I2205" t="s">
        <v>3490</v>
      </c>
      <c r="J2205" s="56">
        <f t="shared" si="102"/>
        <v>34</v>
      </c>
      <c r="K2205" s="74" t="str">
        <f t="shared" si="103"/>
        <v>31-60 Days</v>
      </c>
      <c r="L2205" s="58" t="str">
        <f t="shared" si="104"/>
        <v>Not Applicable</v>
      </c>
    </row>
    <row r="2206" spans="1:12" ht="16.5" customHeight="1" x14ac:dyDescent="0.35">
      <c r="A2206" t="s">
        <v>1211</v>
      </c>
      <c r="B2206" t="s">
        <v>1211</v>
      </c>
      <c r="C2206">
        <v>0</v>
      </c>
      <c r="D2206">
        <v>50</v>
      </c>
      <c r="E2206" t="s">
        <v>7877</v>
      </c>
      <c r="F2206" t="s">
        <v>7878</v>
      </c>
      <c r="G2206" t="s">
        <v>7879</v>
      </c>
      <c r="H2206" t="s">
        <v>3489</v>
      </c>
      <c r="I2206" t="s">
        <v>3486</v>
      </c>
      <c r="J2206" s="56">
        <f t="shared" si="102"/>
        <v>34</v>
      </c>
      <c r="K2206" s="74" t="str">
        <f t="shared" si="103"/>
        <v>31-60 Days</v>
      </c>
      <c r="L2206" s="58" t="str">
        <f t="shared" si="104"/>
        <v>Not Applicable</v>
      </c>
    </row>
    <row r="2207" spans="1:12" ht="16.5" customHeight="1" x14ac:dyDescent="0.35">
      <c r="A2207" t="s">
        <v>1211</v>
      </c>
      <c r="B2207" t="s">
        <v>1211</v>
      </c>
      <c r="C2207">
        <v>0</v>
      </c>
      <c r="D2207">
        <v>258.61</v>
      </c>
      <c r="E2207" t="s">
        <v>7880</v>
      </c>
      <c r="F2207" t="s">
        <v>4578</v>
      </c>
      <c r="G2207" t="s">
        <v>7881</v>
      </c>
      <c r="H2207" t="s">
        <v>3489</v>
      </c>
      <c r="I2207" t="s">
        <v>3486</v>
      </c>
      <c r="J2207" s="56">
        <f t="shared" si="102"/>
        <v>34</v>
      </c>
      <c r="K2207" s="74" t="str">
        <f t="shared" si="103"/>
        <v>31-60 Days</v>
      </c>
      <c r="L2207" s="58" t="str">
        <f t="shared" si="104"/>
        <v>Not Applicable</v>
      </c>
    </row>
    <row r="2208" spans="1:12" ht="16.5" customHeight="1" x14ac:dyDescent="0.35">
      <c r="A2208" t="s">
        <v>1211</v>
      </c>
      <c r="B2208" t="s">
        <v>1211</v>
      </c>
      <c r="C2208">
        <v>0</v>
      </c>
      <c r="D2208">
        <v>3300000</v>
      </c>
      <c r="E2208" t="s">
        <v>7882</v>
      </c>
      <c r="F2208" t="s">
        <v>7882</v>
      </c>
      <c r="G2208" t="s">
        <v>7883</v>
      </c>
      <c r="H2208" t="s">
        <v>3489</v>
      </c>
      <c r="I2208" t="s">
        <v>3490</v>
      </c>
      <c r="J2208" s="56">
        <f t="shared" si="102"/>
        <v>34</v>
      </c>
      <c r="K2208" s="74" t="str">
        <f t="shared" si="103"/>
        <v>31-60 Days</v>
      </c>
      <c r="L2208" s="58" t="str">
        <f t="shared" si="104"/>
        <v>Not Applicable</v>
      </c>
    </row>
    <row r="2209" spans="1:12" ht="16.5" customHeight="1" x14ac:dyDescent="0.35">
      <c r="A2209" t="s">
        <v>1211</v>
      </c>
      <c r="B2209" t="s">
        <v>1211</v>
      </c>
      <c r="C2209">
        <v>0</v>
      </c>
      <c r="D2209">
        <v>3140</v>
      </c>
      <c r="E2209" t="s">
        <v>7884</v>
      </c>
      <c r="F2209" t="s">
        <v>7884</v>
      </c>
      <c r="G2209" t="s">
        <v>7885</v>
      </c>
      <c r="H2209" t="s">
        <v>3489</v>
      </c>
      <c r="I2209" t="s">
        <v>3490</v>
      </c>
      <c r="J2209" s="56">
        <f t="shared" si="102"/>
        <v>34</v>
      </c>
      <c r="K2209" s="74" t="str">
        <f t="shared" si="103"/>
        <v>31-60 Days</v>
      </c>
      <c r="L2209" s="58" t="str">
        <f t="shared" si="104"/>
        <v>Not Applicable</v>
      </c>
    </row>
    <row r="2210" spans="1:12" ht="16.5" customHeight="1" x14ac:dyDescent="0.35">
      <c r="A2210" t="s">
        <v>1211</v>
      </c>
      <c r="B2210" t="s">
        <v>1211</v>
      </c>
      <c r="C2210">
        <v>0</v>
      </c>
      <c r="D2210">
        <v>10000</v>
      </c>
      <c r="E2210" t="s">
        <v>7886</v>
      </c>
      <c r="F2210" t="s">
        <v>6362</v>
      </c>
      <c r="G2210" t="s">
        <v>7887</v>
      </c>
      <c r="H2210" t="s">
        <v>3489</v>
      </c>
      <c r="I2210" t="s">
        <v>3486</v>
      </c>
      <c r="J2210" s="56">
        <f t="shared" si="102"/>
        <v>34</v>
      </c>
      <c r="K2210" s="74" t="str">
        <f t="shared" si="103"/>
        <v>31-60 Days</v>
      </c>
      <c r="L2210" s="58" t="str">
        <f t="shared" si="104"/>
        <v>Not Applicable</v>
      </c>
    </row>
    <row r="2211" spans="1:12" ht="16.5" customHeight="1" x14ac:dyDescent="0.35">
      <c r="A2211" t="s">
        <v>1211</v>
      </c>
      <c r="B2211" t="s">
        <v>1211</v>
      </c>
      <c r="C2211">
        <v>0</v>
      </c>
      <c r="D2211">
        <v>50</v>
      </c>
      <c r="E2211" t="s">
        <v>7888</v>
      </c>
      <c r="F2211" t="s">
        <v>7889</v>
      </c>
      <c r="G2211" t="s">
        <v>7890</v>
      </c>
      <c r="H2211" t="s">
        <v>3489</v>
      </c>
      <c r="I2211" t="s">
        <v>3486</v>
      </c>
      <c r="J2211" s="56">
        <f t="shared" si="102"/>
        <v>34</v>
      </c>
      <c r="K2211" s="74" t="str">
        <f t="shared" si="103"/>
        <v>31-60 Days</v>
      </c>
      <c r="L2211" s="58" t="str">
        <f t="shared" si="104"/>
        <v>Not Applicable</v>
      </c>
    </row>
    <row r="2212" spans="1:12" ht="16.5" customHeight="1" x14ac:dyDescent="0.35">
      <c r="A2212" t="s">
        <v>1211</v>
      </c>
      <c r="B2212" t="s">
        <v>1211</v>
      </c>
      <c r="C2212">
        <v>0</v>
      </c>
      <c r="D2212">
        <v>35.4</v>
      </c>
      <c r="E2212" t="s">
        <v>7891</v>
      </c>
      <c r="F2212" t="s">
        <v>3574</v>
      </c>
      <c r="G2212" t="s">
        <v>7892</v>
      </c>
      <c r="H2212" t="s">
        <v>3489</v>
      </c>
      <c r="I2212" t="s">
        <v>3490</v>
      </c>
      <c r="J2212" s="56">
        <f t="shared" si="102"/>
        <v>34</v>
      </c>
      <c r="K2212" s="74" t="str">
        <f t="shared" si="103"/>
        <v>31-60 Days</v>
      </c>
      <c r="L2212" s="58" t="str">
        <f t="shared" si="104"/>
        <v>Not Applicable</v>
      </c>
    </row>
    <row r="2213" spans="1:12" ht="16.5" customHeight="1" x14ac:dyDescent="0.35">
      <c r="A2213" t="s">
        <v>1211</v>
      </c>
      <c r="B2213" t="s">
        <v>1211</v>
      </c>
      <c r="C2213">
        <v>0</v>
      </c>
      <c r="D2213">
        <v>30</v>
      </c>
      <c r="E2213" t="s">
        <v>7893</v>
      </c>
      <c r="F2213" t="s">
        <v>7893</v>
      </c>
      <c r="G2213" t="s">
        <v>7894</v>
      </c>
      <c r="H2213" t="s">
        <v>3489</v>
      </c>
      <c r="I2213" t="s">
        <v>3490</v>
      </c>
      <c r="J2213" s="56">
        <f t="shared" si="102"/>
        <v>34</v>
      </c>
      <c r="K2213" s="74" t="str">
        <f t="shared" si="103"/>
        <v>31-60 Days</v>
      </c>
      <c r="L2213" s="58" t="str">
        <f t="shared" si="104"/>
        <v>Not Applicable</v>
      </c>
    </row>
    <row r="2214" spans="1:12" ht="16.5" customHeight="1" x14ac:dyDescent="0.35">
      <c r="A2214" t="s">
        <v>1211</v>
      </c>
      <c r="B2214" t="s">
        <v>1211</v>
      </c>
      <c r="C2214">
        <v>0</v>
      </c>
      <c r="D2214">
        <v>2050</v>
      </c>
      <c r="E2214" t="s">
        <v>7895</v>
      </c>
      <c r="F2214" t="s">
        <v>7896</v>
      </c>
      <c r="G2214" t="s">
        <v>7897</v>
      </c>
      <c r="H2214" t="s">
        <v>3494</v>
      </c>
      <c r="I2214" t="s">
        <v>3490</v>
      </c>
      <c r="J2214" s="56">
        <f t="shared" si="102"/>
        <v>34</v>
      </c>
      <c r="K2214" s="74" t="str">
        <f t="shared" si="103"/>
        <v>31-60 Days</v>
      </c>
      <c r="L2214" s="58" t="str">
        <f t="shared" si="104"/>
        <v>Not Applicable</v>
      </c>
    </row>
    <row r="2215" spans="1:12" ht="16.5" customHeight="1" x14ac:dyDescent="0.35">
      <c r="A2215" t="s">
        <v>1211</v>
      </c>
      <c r="B2215" t="s">
        <v>1211</v>
      </c>
      <c r="C2215">
        <v>0</v>
      </c>
      <c r="D2215">
        <v>50</v>
      </c>
      <c r="E2215" t="s">
        <v>7898</v>
      </c>
      <c r="F2215" t="s">
        <v>7899</v>
      </c>
      <c r="G2215" t="s">
        <v>7900</v>
      </c>
      <c r="H2215" t="s">
        <v>3489</v>
      </c>
      <c r="I2215" t="s">
        <v>3486</v>
      </c>
      <c r="J2215" s="56">
        <f t="shared" si="102"/>
        <v>34</v>
      </c>
      <c r="K2215" s="74" t="str">
        <f t="shared" si="103"/>
        <v>31-60 Days</v>
      </c>
      <c r="L2215" s="58" t="str">
        <f t="shared" si="104"/>
        <v>Not Applicable</v>
      </c>
    </row>
    <row r="2216" spans="1:12" ht="16.5" customHeight="1" x14ac:dyDescent="0.35">
      <c r="A2216" t="s">
        <v>1211</v>
      </c>
      <c r="B2216" t="s">
        <v>1211</v>
      </c>
      <c r="C2216">
        <v>9158.02</v>
      </c>
      <c r="D2216">
        <v>0</v>
      </c>
      <c r="E2216" t="s">
        <v>7901</v>
      </c>
      <c r="F2216" t="s">
        <v>57</v>
      </c>
      <c r="G2216" t="s">
        <v>57</v>
      </c>
      <c r="H2216" t="s">
        <v>3642</v>
      </c>
      <c r="I2216" t="s">
        <v>3643</v>
      </c>
      <c r="J2216" s="56">
        <f t="shared" si="102"/>
        <v>34</v>
      </c>
      <c r="K2216" s="74" t="str">
        <f t="shared" si="103"/>
        <v>31-60 Days</v>
      </c>
      <c r="L2216" s="58" t="str">
        <f t="shared" si="104"/>
        <v>Especially Mentioned</v>
      </c>
    </row>
    <row r="2217" spans="1:12" ht="16.5" customHeight="1" x14ac:dyDescent="0.35">
      <c r="A2217" t="s">
        <v>1211</v>
      </c>
      <c r="B2217" t="s">
        <v>1211</v>
      </c>
      <c r="C2217">
        <v>0</v>
      </c>
      <c r="D2217">
        <v>3700</v>
      </c>
      <c r="E2217" t="s">
        <v>7902</v>
      </c>
      <c r="F2217" t="s">
        <v>3499</v>
      </c>
      <c r="G2217" t="s">
        <v>7903</v>
      </c>
      <c r="H2217" t="s">
        <v>3489</v>
      </c>
      <c r="I2217" t="s">
        <v>3490</v>
      </c>
      <c r="J2217" s="56">
        <f t="shared" si="102"/>
        <v>34</v>
      </c>
      <c r="K2217" s="74" t="str">
        <f t="shared" si="103"/>
        <v>31-60 Days</v>
      </c>
      <c r="L2217" s="58" t="str">
        <f t="shared" si="104"/>
        <v>Not Applicable</v>
      </c>
    </row>
    <row r="2218" spans="1:12" ht="16.5" customHeight="1" x14ac:dyDescent="0.35">
      <c r="A2218" t="s">
        <v>1211</v>
      </c>
      <c r="B2218" t="s">
        <v>1211</v>
      </c>
      <c r="C2218">
        <v>0</v>
      </c>
      <c r="D2218">
        <v>4194</v>
      </c>
      <c r="E2218" t="s">
        <v>7904</v>
      </c>
      <c r="F2218" t="s">
        <v>7905</v>
      </c>
      <c r="G2218" t="s">
        <v>7906</v>
      </c>
      <c r="H2218" t="s">
        <v>3532</v>
      </c>
      <c r="I2218" t="s">
        <v>3490</v>
      </c>
      <c r="J2218" s="56">
        <f t="shared" si="102"/>
        <v>34</v>
      </c>
      <c r="K2218" s="74" t="str">
        <f t="shared" si="103"/>
        <v>31-60 Days</v>
      </c>
      <c r="L2218" s="58" t="str">
        <f t="shared" si="104"/>
        <v>Not Applicable</v>
      </c>
    </row>
    <row r="2219" spans="1:12" ht="16.5" customHeight="1" x14ac:dyDescent="0.35">
      <c r="A2219" t="s">
        <v>1211</v>
      </c>
      <c r="B2219" t="s">
        <v>1211</v>
      </c>
      <c r="C2219">
        <v>0</v>
      </c>
      <c r="D2219">
        <v>200</v>
      </c>
      <c r="E2219" t="s">
        <v>7907</v>
      </c>
      <c r="F2219" t="s">
        <v>6268</v>
      </c>
      <c r="G2219" t="s">
        <v>7908</v>
      </c>
      <c r="H2219" t="s">
        <v>3489</v>
      </c>
      <c r="I2219" t="s">
        <v>3486</v>
      </c>
      <c r="J2219" s="56">
        <f t="shared" si="102"/>
        <v>34</v>
      </c>
      <c r="K2219" s="74" t="str">
        <f t="shared" si="103"/>
        <v>31-60 Days</v>
      </c>
      <c r="L2219" s="58" t="str">
        <f t="shared" si="104"/>
        <v>Not Applicable</v>
      </c>
    </row>
    <row r="2220" spans="1:12" ht="16.5" customHeight="1" x14ac:dyDescent="0.35">
      <c r="A2220" t="s">
        <v>1211</v>
      </c>
      <c r="B2220" t="s">
        <v>1211</v>
      </c>
      <c r="C2220">
        <v>0</v>
      </c>
      <c r="D2220">
        <v>656</v>
      </c>
      <c r="E2220" t="s">
        <v>7909</v>
      </c>
      <c r="F2220" t="s">
        <v>7910</v>
      </c>
      <c r="G2220" t="s">
        <v>7911</v>
      </c>
      <c r="H2220" t="s">
        <v>3532</v>
      </c>
      <c r="I2220" t="s">
        <v>3490</v>
      </c>
      <c r="J2220" s="56">
        <f t="shared" si="102"/>
        <v>34</v>
      </c>
      <c r="K2220" s="74" t="str">
        <f t="shared" si="103"/>
        <v>31-60 Days</v>
      </c>
      <c r="L2220" s="58" t="str">
        <f t="shared" si="104"/>
        <v>Not Applicable</v>
      </c>
    </row>
    <row r="2221" spans="1:12" ht="16.5" customHeight="1" x14ac:dyDescent="0.35">
      <c r="A2221" t="s">
        <v>1211</v>
      </c>
      <c r="B2221" t="s">
        <v>1211</v>
      </c>
      <c r="C2221">
        <v>0</v>
      </c>
      <c r="D2221">
        <v>2000</v>
      </c>
      <c r="E2221" t="s">
        <v>7912</v>
      </c>
      <c r="F2221" t="s">
        <v>7913</v>
      </c>
      <c r="G2221" t="s">
        <v>7914</v>
      </c>
      <c r="H2221" t="s">
        <v>3489</v>
      </c>
      <c r="I2221" t="s">
        <v>3486</v>
      </c>
      <c r="J2221" s="56">
        <f t="shared" si="102"/>
        <v>34</v>
      </c>
      <c r="K2221" s="74" t="str">
        <f t="shared" si="103"/>
        <v>31-60 Days</v>
      </c>
      <c r="L2221" s="58" t="str">
        <f t="shared" si="104"/>
        <v>Not Applicable</v>
      </c>
    </row>
    <row r="2222" spans="1:12" ht="16.5" customHeight="1" x14ac:dyDescent="0.35">
      <c r="A2222" t="s">
        <v>1211</v>
      </c>
      <c r="B2222" t="s">
        <v>1211</v>
      </c>
      <c r="C2222">
        <v>0</v>
      </c>
      <c r="D2222">
        <v>656</v>
      </c>
      <c r="E2222" t="s">
        <v>7915</v>
      </c>
      <c r="F2222" t="s">
        <v>7916</v>
      </c>
      <c r="G2222" t="s">
        <v>7917</v>
      </c>
      <c r="H2222" t="s">
        <v>3532</v>
      </c>
      <c r="I2222" t="s">
        <v>3490</v>
      </c>
      <c r="J2222" s="56">
        <f t="shared" si="102"/>
        <v>34</v>
      </c>
      <c r="K2222" s="74" t="str">
        <f t="shared" si="103"/>
        <v>31-60 Days</v>
      </c>
      <c r="L2222" s="58" t="str">
        <f t="shared" si="104"/>
        <v>Not Applicable</v>
      </c>
    </row>
    <row r="2223" spans="1:12" ht="16.5" customHeight="1" x14ac:dyDescent="0.35">
      <c r="A2223" t="s">
        <v>1211</v>
      </c>
      <c r="B2223" t="s">
        <v>1211</v>
      </c>
      <c r="C2223">
        <v>0</v>
      </c>
      <c r="D2223">
        <v>550</v>
      </c>
      <c r="E2223" t="s">
        <v>7918</v>
      </c>
      <c r="F2223" t="s">
        <v>7919</v>
      </c>
      <c r="G2223" t="s">
        <v>7920</v>
      </c>
      <c r="H2223" t="s">
        <v>3532</v>
      </c>
      <c r="I2223" t="s">
        <v>3490</v>
      </c>
      <c r="J2223" s="56">
        <f t="shared" si="102"/>
        <v>34</v>
      </c>
      <c r="K2223" s="74" t="str">
        <f t="shared" si="103"/>
        <v>31-60 Days</v>
      </c>
      <c r="L2223" s="58" t="str">
        <f t="shared" si="104"/>
        <v>Not Applicable</v>
      </c>
    </row>
    <row r="2224" spans="1:12" ht="16.5" customHeight="1" x14ac:dyDescent="0.35">
      <c r="A2224" t="s">
        <v>1211</v>
      </c>
      <c r="B2224" t="s">
        <v>1211</v>
      </c>
      <c r="C2224">
        <v>0</v>
      </c>
      <c r="D2224">
        <v>600</v>
      </c>
      <c r="E2224" t="s">
        <v>7921</v>
      </c>
      <c r="F2224" t="s">
        <v>7922</v>
      </c>
      <c r="G2224" t="s">
        <v>7923</v>
      </c>
      <c r="H2224" t="s">
        <v>3532</v>
      </c>
      <c r="I2224" t="s">
        <v>3490</v>
      </c>
      <c r="J2224" s="56">
        <f t="shared" si="102"/>
        <v>34</v>
      </c>
      <c r="K2224" s="74" t="str">
        <f t="shared" si="103"/>
        <v>31-60 Days</v>
      </c>
      <c r="L2224" s="58" t="str">
        <f t="shared" si="104"/>
        <v>Not Applicable</v>
      </c>
    </row>
    <row r="2225" spans="1:12" ht="16.5" customHeight="1" x14ac:dyDescent="0.35">
      <c r="A2225" t="s">
        <v>1211</v>
      </c>
      <c r="B2225" t="s">
        <v>1211</v>
      </c>
      <c r="C2225">
        <v>0</v>
      </c>
      <c r="D2225">
        <v>1000</v>
      </c>
      <c r="E2225" t="s">
        <v>7924</v>
      </c>
      <c r="F2225" t="s">
        <v>7925</v>
      </c>
      <c r="G2225" t="s">
        <v>7926</v>
      </c>
      <c r="H2225" t="s">
        <v>3532</v>
      </c>
      <c r="I2225" t="s">
        <v>3490</v>
      </c>
      <c r="J2225" s="56">
        <f t="shared" si="102"/>
        <v>34</v>
      </c>
      <c r="K2225" s="74" t="str">
        <f t="shared" si="103"/>
        <v>31-60 Days</v>
      </c>
      <c r="L2225" s="58" t="str">
        <f t="shared" si="104"/>
        <v>Not Applicable</v>
      </c>
    </row>
    <row r="2226" spans="1:12" ht="16.5" customHeight="1" x14ac:dyDescent="0.35">
      <c r="A2226" t="s">
        <v>1211</v>
      </c>
      <c r="B2226" t="s">
        <v>1211</v>
      </c>
      <c r="C2226">
        <v>0</v>
      </c>
      <c r="D2226">
        <v>3186</v>
      </c>
      <c r="E2226" t="s">
        <v>7927</v>
      </c>
      <c r="F2226" t="s">
        <v>3574</v>
      </c>
      <c r="G2226" t="s">
        <v>7928</v>
      </c>
      <c r="H2226" t="s">
        <v>3489</v>
      </c>
      <c r="I2226" t="s">
        <v>3490</v>
      </c>
      <c r="J2226" s="56">
        <f t="shared" si="102"/>
        <v>34</v>
      </c>
      <c r="K2226" s="74" t="str">
        <f t="shared" si="103"/>
        <v>31-60 Days</v>
      </c>
      <c r="L2226" s="58" t="str">
        <f t="shared" si="104"/>
        <v>Not Applicable</v>
      </c>
    </row>
    <row r="2227" spans="1:12" ht="16.5" customHeight="1" x14ac:dyDescent="0.35">
      <c r="A2227" t="s">
        <v>1211</v>
      </c>
      <c r="B2227" t="s">
        <v>1211</v>
      </c>
      <c r="C2227">
        <v>0</v>
      </c>
      <c r="D2227">
        <v>50</v>
      </c>
      <c r="E2227" t="s">
        <v>7929</v>
      </c>
      <c r="F2227" t="s">
        <v>7930</v>
      </c>
      <c r="G2227" t="s">
        <v>7931</v>
      </c>
      <c r="H2227" t="s">
        <v>3489</v>
      </c>
      <c r="I2227" t="s">
        <v>3486</v>
      </c>
      <c r="J2227" s="56">
        <f t="shared" si="102"/>
        <v>34</v>
      </c>
      <c r="K2227" s="74" t="str">
        <f t="shared" si="103"/>
        <v>31-60 Days</v>
      </c>
      <c r="L2227" s="58" t="str">
        <f t="shared" si="104"/>
        <v>Not Applicable</v>
      </c>
    </row>
    <row r="2228" spans="1:12" ht="16.5" customHeight="1" x14ac:dyDescent="0.35">
      <c r="A2228" t="s">
        <v>1211</v>
      </c>
      <c r="B2228" t="s">
        <v>1211</v>
      </c>
      <c r="C2228">
        <v>0</v>
      </c>
      <c r="D2228">
        <v>1000</v>
      </c>
      <c r="E2228" t="s">
        <v>7932</v>
      </c>
      <c r="F2228" t="s">
        <v>7932</v>
      </c>
      <c r="G2228" t="s">
        <v>7933</v>
      </c>
      <c r="H2228" t="s">
        <v>3489</v>
      </c>
      <c r="I2228" t="s">
        <v>3490</v>
      </c>
      <c r="J2228" s="56">
        <f t="shared" si="102"/>
        <v>34</v>
      </c>
      <c r="K2228" s="74" t="str">
        <f t="shared" si="103"/>
        <v>31-60 Days</v>
      </c>
      <c r="L2228" s="58" t="str">
        <f t="shared" si="104"/>
        <v>Not Applicable</v>
      </c>
    </row>
    <row r="2229" spans="1:12" ht="16.5" customHeight="1" x14ac:dyDescent="0.35">
      <c r="A2229" t="s">
        <v>1211</v>
      </c>
      <c r="B2229" t="s">
        <v>1211</v>
      </c>
      <c r="C2229">
        <v>0</v>
      </c>
      <c r="D2229">
        <v>2100</v>
      </c>
      <c r="E2229" t="s">
        <v>7934</v>
      </c>
      <c r="F2229" t="s">
        <v>7935</v>
      </c>
      <c r="G2229" t="s">
        <v>7936</v>
      </c>
      <c r="H2229" t="s">
        <v>3532</v>
      </c>
      <c r="I2229" t="s">
        <v>3490</v>
      </c>
      <c r="J2229" s="56">
        <f t="shared" si="102"/>
        <v>34</v>
      </c>
      <c r="K2229" s="74" t="str">
        <f t="shared" si="103"/>
        <v>31-60 Days</v>
      </c>
      <c r="L2229" s="58" t="str">
        <f t="shared" si="104"/>
        <v>Not Applicable</v>
      </c>
    </row>
    <row r="2230" spans="1:12" ht="16.5" customHeight="1" x14ac:dyDescent="0.35">
      <c r="A2230" t="s">
        <v>1211</v>
      </c>
      <c r="B2230" t="s">
        <v>1211</v>
      </c>
      <c r="C2230">
        <v>0</v>
      </c>
      <c r="D2230">
        <v>656</v>
      </c>
      <c r="E2230" t="s">
        <v>7937</v>
      </c>
      <c r="F2230" t="s">
        <v>7938</v>
      </c>
      <c r="G2230" t="s">
        <v>7939</v>
      </c>
      <c r="H2230" t="s">
        <v>3532</v>
      </c>
      <c r="I2230" t="s">
        <v>3490</v>
      </c>
      <c r="J2230" s="56">
        <f t="shared" si="102"/>
        <v>34</v>
      </c>
      <c r="K2230" s="74" t="str">
        <f t="shared" si="103"/>
        <v>31-60 Days</v>
      </c>
      <c r="L2230" s="58" t="str">
        <f t="shared" si="104"/>
        <v>Not Applicable</v>
      </c>
    </row>
    <row r="2231" spans="1:12" ht="16.5" customHeight="1" x14ac:dyDescent="0.35">
      <c r="A2231" t="s">
        <v>1211</v>
      </c>
      <c r="B2231" t="s">
        <v>1211</v>
      </c>
      <c r="C2231">
        <v>0</v>
      </c>
      <c r="D2231">
        <v>2050</v>
      </c>
      <c r="E2231" t="s">
        <v>7940</v>
      </c>
      <c r="F2231" t="s">
        <v>7941</v>
      </c>
      <c r="G2231" t="s">
        <v>7942</v>
      </c>
      <c r="H2231" t="s">
        <v>3532</v>
      </c>
      <c r="I2231" t="s">
        <v>3490</v>
      </c>
      <c r="J2231" s="56">
        <f t="shared" si="102"/>
        <v>34</v>
      </c>
      <c r="K2231" s="74" t="str">
        <f t="shared" si="103"/>
        <v>31-60 Days</v>
      </c>
      <c r="L2231" s="58" t="str">
        <f t="shared" si="104"/>
        <v>Not Applicable</v>
      </c>
    </row>
    <row r="2232" spans="1:12" ht="16.5" customHeight="1" x14ac:dyDescent="0.35">
      <c r="A2232" t="s">
        <v>1211</v>
      </c>
      <c r="B2232" t="s">
        <v>1211</v>
      </c>
      <c r="C2232">
        <v>0</v>
      </c>
      <c r="D2232">
        <v>600</v>
      </c>
      <c r="E2232" t="s">
        <v>7943</v>
      </c>
      <c r="F2232" t="s">
        <v>7943</v>
      </c>
      <c r="G2232" t="s">
        <v>7944</v>
      </c>
      <c r="H2232" t="s">
        <v>3489</v>
      </c>
      <c r="I2232" t="s">
        <v>3490</v>
      </c>
      <c r="J2232" s="56">
        <f t="shared" si="102"/>
        <v>34</v>
      </c>
      <c r="K2232" s="74" t="str">
        <f t="shared" si="103"/>
        <v>31-60 Days</v>
      </c>
      <c r="L2232" s="58" t="str">
        <f t="shared" si="104"/>
        <v>Not Applicable</v>
      </c>
    </row>
    <row r="2233" spans="1:12" ht="16.5" customHeight="1" x14ac:dyDescent="0.35">
      <c r="A2233" t="s">
        <v>1211</v>
      </c>
      <c r="B2233" t="s">
        <v>1211</v>
      </c>
      <c r="C2233">
        <v>0</v>
      </c>
      <c r="D2233">
        <v>9360</v>
      </c>
      <c r="E2233" t="s">
        <v>7945</v>
      </c>
      <c r="F2233" t="s">
        <v>3574</v>
      </c>
      <c r="G2233" t="s">
        <v>7946</v>
      </c>
      <c r="H2233" t="s">
        <v>3489</v>
      </c>
      <c r="I2233" t="s">
        <v>3490</v>
      </c>
      <c r="J2233" s="56">
        <f t="shared" si="102"/>
        <v>34</v>
      </c>
      <c r="K2233" s="74" t="str">
        <f t="shared" si="103"/>
        <v>31-60 Days</v>
      </c>
      <c r="L2233" s="58" t="str">
        <f t="shared" si="104"/>
        <v>Not Applicable</v>
      </c>
    </row>
    <row r="2234" spans="1:12" ht="16.5" customHeight="1" x14ac:dyDescent="0.35">
      <c r="A2234" t="s">
        <v>1237</v>
      </c>
      <c r="B2234" t="s">
        <v>1237</v>
      </c>
      <c r="C2234">
        <v>0</v>
      </c>
      <c r="D2234">
        <v>1000</v>
      </c>
      <c r="E2234" t="s">
        <v>7947</v>
      </c>
      <c r="F2234" t="s">
        <v>7948</v>
      </c>
      <c r="G2234" t="s">
        <v>7949</v>
      </c>
      <c r="H2234" t="s">
        <v>3494</v>
      </c>
      <c r="I2234" t="s">
        <v>3490</v>
      </c>
      <c r="J2234" s="56">
        <f t="shared" si="102"/>
        <v>33</v>
      </c>
      <c r="K2234" s="74" t="str">
        <f t="shared" si="103"/>
        <v>31-60 Days</v>
      </c>
      <c r="L2234" s="58" t="str">
        <f t="shared" si="104"/>
        <v>Not Applicable</v>
      </c>
    </row>
    <row r="2235" spans="1:12" ht="16.5" customHeight="1" x14ac:dyDescent="0.35">
      <c r="A2235" t="s">
        <v>1237</v>
      </c>
      <c r="B2235" t="s">
        <v>1237</v>
      </c>
      <c r="C2235">
        <v>0</v>
      </c>
      <c r="D2235">
        <v>30</v>
      </c>
      <c r="E2235" t="s">
        <v>7950</v>
      </c>
      <c r="F2235" t="s">
        <v>7950</v>
      </c>
      <c r="G2235" t="s">
        <v>7951</v>
      </c>
      <c r="H2235" t="s">
        <v>3489</v>
      </c>
      <c r="I2235" t="s">
        <v>3490</v>
      </c>
      <c r="J2235" s="56">
        <f t="shared" si="102"/>
        <v>33</v>
      </c>
      <c r="K2235" s="74" t="str">
        <f t="shared" si="103"/>
        <v>31-60 Days</v>
      </c>
      <c r="L2235" s="58" t="str">
        <f t="shared" si="104"/>
        <v>Not Applicable</v>
      </c>
    </row>
    <row r="2236" spans="1:12" ht="16.5" customHeight="1" x14ac:dyDescent="0.35">
      <c r="A2236" t="s">
        <v>1237</v>
      </c>
      <c r="B2236" t="s">
        <v>1237</v>
      </c>
      <c r="C2236">
        <v>0</v>
      </c>
      <c r="D2236">
        <v>20000</v>
      </c>
      <c r="E2236" t="s">
        <v>7952</v>
      </c>
      <c r="F2236" t="s">
        <v>7952</v>
      </c>
      <c r="G2236" t="s">
        <v>7953</v>
      </c>
      <c r="H2236" t="s">
        <v>3532</v>
      </c>
      <c r="I2236" t="s">
        <v>3490</v>
      </c>
      <c r="J2236" s="56">
        <f t="shared" si="102"/>
        <v>33</v>
      </c>
      <c r="K2236" s="74" t="str">
        <f t="shared" si="103"/>
        <v>31-60 Days</v>
      </c>
      <c r="L2236" s="58" t="str">
        <f t="shared" si="104"/>
        <v>Not Applicable</v>
      </c>
    </row>
    <row r="2237" spans="1:12" ht="16.5" customHeight="1" x14ac:dyDescent="0.35">
      <c r="A2237" t="s">
        <v>1237</v>
      </c>
      <c r="B2237" t="s">
        <v>1237</v>
      </c>
      <c r="C2237">
        <v>0</v>
      </c>
      <c r="D2237">
        <v>2050</v>
      </c>
      <c r="E2237" t="s">
        <v>7954</v>
      </c>
      <c r="F2237" t="s">
        <v>7954</v>
      </c>
      <c r="G2237" t="s">
        <v>7955</v>
      </c>
      <c r="H2237" t="s">
        <v>3489</v>
      </c>
      <c r="I2237" t="s">
        <v>3490</v>
      </c>
      <c r="J2237" s="56">
        <f t="shared" si="102"/>
        <v>33</v>
      </c>
      <c r="K2237" s="74" t="str">
        <f t="shared" si="103"/>
        <v>31-60 Days</v>
      </c>
      <c r="L2237" s="58" t="str">
        <f t="shared" si="104"/>
        <v>Not Applicable</v>
      </c>
    </row>
    <row r="2238" spans="1:12" ht="16.5" customHeight="1" x14ac:dyDescent="0.35">
      <c r="A2238" t="s">
        <v>1237</v>
      </c>
      <c r="B2238" t="s">
        <v>1237</v>
      </c>
      <c r="C2238">
        <v>0</v>
      </c>
      <c r="D2238">
        <v>1000</v>
      </c>
      <c r="E2238" t="s">
        <v>7956</v>
      </c>
      <c r="F2238" t="s">
        <v>7957</v>
      </c>
      <c r="G2238" t="s">
        <v>7958</v>
      </c>
      <c r="H2238" t="s">
        <v>3489</v>
      </c>
      <c r="I2238" t="s">
        <v>3490</v>
      </c>
      <c r="J2238" s="56">
        <f t="shared" si="102"/>
        <v>33</v>
      </c>
      <c r="K2238" s="74" t="str">
        <f t="shared" si="103"/>
        <v>31-60 Days</v>
      </c>
      <c r="L2238" s="58" t="str">
        <f t="shared" si="104"/>
        <v>Not Applicable</v>
      </c>
    </row>
    <row r="2239" spans="1:12" ht="16.5" customHeight="1" x14ac:dyDescent="0.35">
      <c r="A2239" t="s">
        <v>1237</v>
      </c>
      <c r="B2239" t="s">
        <v>1237</v>
      </c>
      <c r="C2239">
        <v>0</v>
      </c>
      <c r="D2239">
        <v>1000</v>
      </c>
      <c r="E2239" t="s">
        <v>7959</v>
      </c>
      <c r="F2239" t="s">
        <v>7960</v>
      </c>
      <c r="G2239" t="s">
        <v>7961</v>
      </c>
      <c r="H2239" t="s">
        <v>3494</v>
      </c>
      <c r="I2239" t="s">
        <v>3490</v>
      </c>
      <c r="J2239" s="56">
        <f t="shared" si="102"/>
        <v>33</v>
      </c>
      <c r="K2239" s="74" t="str">
        <f t="shared" si="103"/>
        <v>31-60 Days</v>
      </c>
      <c r="L2239" s="58" t="str">
        <f t="shared" si="104"/>
        <v>Not Applicable</v>
      </c>
    </row>
    <row r="2240" spans="1:12" ht="16.5" customHeight="1" x14ac:dyDescent="0.35">
      <c r="A2240" t="s">
        <v>1237</v>
      </c>
      <c r="B2240" t="s">
        <v>1237</v>
      </c>
      <c r="C2240">
        <v>0</v>
      </c>
      <c r="D2240">
        <v>3845.62</v>
      </c>
      <c r="E2240" t="s">
        <v>7962</v>
      </c>
      <c r="F2240" t="s">
        <v>7963</v>
      </c>
      <c r="G2240" t="s">
        <v>7964</v>
      </c>
      <c r="H2240" t="s">
        <v>3532</v>
      </c>
      <c r="I2240" t="s">
        <v>3490</v>
      </c>
      <c r="J2240" s="56">
        <f t="shared" si="102"/>
        <v>33</v>
      </c>
      <c r="K2240" s="74" t="str">
        <f t="shared" si="103"/>
        <v>31-60 Days</v>
      </c>
      <c r="L2240" s="58" t="str">
        <f t="shared" si="104"/>
        <v>Not Applicable</v>
      </c>
    </row>
    <row r="2241" spans="1:12" ht="16.5" customHeight="1" x14ac:dyDescent="0.35">
      <c r="A2241" t="s">
        <v>1237</v>
      </c>
      <c r="B2241" t="s">
        <v>1237</v>
      </c>
      <c r="C2241">
        <v>0</v>
      </c>
      <c r="D2241">
        <v>443148.78</v>
      </c>
      <c r="E2241" t="s">
        <v>7965</v>
      </c>
      <c r="F2241" t="s">
        <v>7966</v>
      </c>
      <c r="G2241" t="s">
        <v>7967</v>
      </c>
      <c r="H2241" t="s">
        <v>7968</v>
      </c>
      <c r="I2241" t="s">
        <v>3486</v>
      </c>
      <c r="J2241" s="56">
        <f t="shared" si="102"/>
        <v>33</v>
      </c>
      <c r="K2241" s="74" t="str">
        <f t="shared" si="103"/>
        <v>31-60 Days</v>
      </c>
      <c r="L2241" s="58" t="str">
        <f t="shared" si="104"/>
        <v>Not Applicable</v>
      </c>
    </row>
    <row r="2242" spans="1:12" ht="16.5" customHeight="1" x14ac:dyDescent="0.35">
      <c r="A2242" t="s">
        <v>1237</v>
      </c>
      <c r="B2242" t="s">
        <v>1237</v>
      </c>
      <c r="C2242">
        <v>0</v>
      </c>
      <c r="D2242">
        <v>1000</v>
      </c>
      <c r="E2242" t="s">
        <v>7969</v>
      </c>
      <c r="F2242" t="s">
        <v>7969</v>
      </c>
      <c r="G2242" t="s">
        <v>7970</v>
      </c>
      <c r="H2242" t="s">
        <v>3532</v>
      </c>
      <c r="I2242" t="s">
        <v>3490</v>
      </c>
      <c r="J2242" s="56">
        <f t="shared" si="102"/>
        <v>33</v>
      </c>
      <c r="K2242" s="74" t="str">
        <f t="shared" si="103"/>
        <v>31-60 Days</v>
      </c>
      <c r="L2242" s="58" t="str">
        <f t="shared" si="104"/>
        <v>Not Applicable</v>
      </c>
    </row>
    <row r="2243" spans="1:12" ht="16.5" customHeight="1" x14ac:dyDescent="0.35">
      <c r="A2243" t="s">
        <v>1237</v>
      </c>
      <c r="B2243" t="s">
        <v>1237</v>
      </c>
      <c r="C2243">
        <v>0</v>
      </c>
      <c r="D2243">
        <v>21210.799999999999</v>
      </c>
      <c r="E2243" t="s">
        <v>7971</v>
      </c>
      <c r="F2243" t="s">
        <v>57</v>
      </c>
      <c r="G2243" t="s">
        <v>57</v>
      </c>
      <c r="H2243" t="s">
        <v>3914</v>
      </c>
      <c r="I2243" t="s">
        <v>3643</v>
      </c>
      <c r="J2243" s="56">
        <f t="shared" si="102"/>
        <v>33</v>
      </c>
      <c r="K2243" s="74" t="str">
        <f t="shared" si="103"/>
        <v>31-60 Days</v>
      </c>
      <c r="L2243" s="58" t="str">
        <f t="shared" si="104"/>
        <v>Not Applicable</v>
      </c>
    </row>
    <row r="2244" spans="1:12" ht="16.5" customHeight="1" x14ac:dyDescent="0.35">
      <c r="A2244" t="s">
        <v>1237</v>
      </c>
      <c r="B2244" t="s">
        <v>1237</v>
      </c>
      <c r="C2244">
        <v>0</v>
      </c>
      <c r="D2244">
        <v>550</v>
      </c>
      <c r="E2244" t="s">
        <v>7972</v>
      </c>
      <c r="F2244" t="s">
        <v>3499</v>
      </c>
      <c r="G2244" t="s">
        <v>7973</v>
      </c>
      <c r="H2244" t="s">
        <v>3489</v>
      </c>
      <c r="I2244" t="s">
        <v>3490</v>
      </c>
      <c r="J2244" s="56">
        <f t="shared" si="102"/>
        <v>33</v>
      </c>
      <c r="K2244" s="74" t="str">
        <f t="shared" si="103"/>
        <v>31-60 Days</v>
      </c>
      <c r="L2244" s="58" t="str">
        <f t="shared" si="104"/>
        <v>Not Applicable</v>
      </c>
    </row>
    <row r="2245" spans="1:12" ht="16.5" customHeight="1" x14ac:dyDescent="0.35">
      <c r="A2245" t="s">
        <v>1237</v>
      </c>
      <c r="B2245" t="s">
        <v>1237</v>
      </c>
      <c r="C2245">
        <v>0</v>
      </c>
      <c r="D2245">
        <v>1590</v>
      </c>
      <c r="E2245" t="s">
        <v>7974</v>
      </c>
      <c r="F2245" t="s">
        <v>7974</v>
      </c>
      <c r="G2245" t="s">
        <v>7975</v>
      </c>
      <c r="H2245" t="s">
        <v>3489</v>
      </c>
      <c r="I2245" t="s">
        <v>3490</v>
      </c>
      <c r="J2245" s="56">
        <f t="shared" si="102"/>
        <v>33</v>
      </c>
      <c r="K2245" s="74" t="str">
        <f t="shared" si="103"/>
        <v>31-60 Days</v>
      </c>
      <c r="L2245" s="58" t="str">
        <f t="shared" si="104"/>
        <v>Not Applicable</v>
      </c>
    </row>
    <row r="2246" spans="1:12" ht="16.5" customHeight="1" x14ac:dyDescent="0.35">
      <c r="A2246" t="s">
        <v>1237</v>
      </c>
      <c r="B2246" t="s">
        <v>1237</v>
      </c>
      <c r="C2246">
        <v>0</v>
      </c>
      <c r="D2246">
        <v>30</v>
      </c>
      <c r="E2246" t="s">
        <v>7976</v>
      </c>
      <c r="F2246" t="s">
        <v>7976</v>
      </c>
      <c r="G2246" t="s">
        <v>7977</v>
      </c>
      <c r="H2246" t="s">
        <v>3489</v>
      </c>
      <c r="I2246" t="s">
        <v>3490</v>
      </c>
      <c r="J2246" s="56">
        <f t="shared" si="102"/>
        <v>33</v>
      </c>
      <c r="K2246" s="74" t="str">
        <f t="shared" si="103"/>
        <v>31-60 Days</v>
      </c>
      <c r="L2246" s="58" t="str">
        <f t="shared" si="104"/>
        <v>Not Applicable</v>
      </c>
    </row>
    <row r="2247" spans="1:12" ht="16.5" customHeight="1" x14ac:dyDescent="0.35">
      <c r="A2247" t="s">
        <v>1237</v>
      </c>
      <c r="B2247" t="s">
        <v>1237</v>
      </c>
      <c r="C2247">
        <v>0</v>
      </c>
      <c r="D2247">
        <v>250</v>
      </c>
      <c r="E2247" t="s">
        <v>7978</v>
      </c>
      <c r="F2247" t="s">
        <v>7979</v>
      </c>
      <c r="G2247" t="s">
        <v>7980</v>
      </c>
      <c r="H2247" t="s">
        <v>3532</v>
      </c>
      <c r="I2247" t="s">
        <v>3490</v>
      </c>
      <c r="J2247" s="56">
        <f t="shared" si="102"/>
        <v>33</v>
      </c>
      <c r="K2247" s="74" t="str">
        <f t="shared" si="103"/>
        <v>31-60 Days</v>
      </c>
      <c r="L2247" s="58" t="str">
        <f t="shared" si="104"/>
        <v>Not Applicable</v>
      </c>
    </row>
    <row r="2248" spans="1:12" ht="16.5" customHeight="1" x14ac:dyDescent="0.35">
      <c r="A2248" t="s">
        <v>1237</v>
      </c>
      <c r="B2248" t="s">
        <v>1237</v>
      </c>
      <c r="C2248">
        <v>521944.19</v>
      </c>
      <c r="D2248">
        <v>0</v>
      </c>
      <c r="E2248" t="s">
        <v>7981</v>
      </c>
      <c r="F2248" t="s">
        <v>7981</v>
      </c>
      <c r="G2248" t="s">
        <v>7982</v>
      </c>
      <c r="H2248" t="s">
        <v>3455</v>
      </c>
      <c r="I2248" t="s">
        <v>3486</v>
      </c>
      <c r="J2248" s="56">
        <f t="shared" si="102"/>
        <v>33</v>
      </c>
      <c r="K2248" s="74" t="str">
        <f t="shared" si="103"/>
        <v>31-60 Days</v>
      </c>
      <c r="L2248" s="58" t="str">
        <f t="shared" si="104"/>
        <v>Especially Mentioned</v>
      </c>
    </row>
    <row r="2249" spans="1:12" ht="16.5" customHeight="1" x14ac:dyDescent="0.35">
      <c r="A2249" t="s">
        <v>1237</v>
      </c>
      <c r="B2249" t="s">
        <v>1237</v>
      </c>
      <c r="C2249">
        <v>0</v>
      </c>
      <c r="D2249">
        <v>424.8</v>
      </c>
      <c r="E2249" t="s">
        <v>7983</v>
      </c>
      <c r="F2249" t="s">
        <v>7984</v>
      </c>
      <c r="G2249" t="s">
        <v>7985</v>
      </c>
      <c r="H2249" t="s">
        <v>3532</v>
      </c>
      <c r="I2249" t="s">
        <v>3490</v>
      </c>
      <c r="J2249" s="56">
        <f t="shared" ref="J2249:J2312" si="105">IF(A2249="","",A$5-A2249)</f>
        <v>33</v>
      </c>
      <c r="K2249" s="74" t="str">
        <f t="shared" ref="K2249:K2312" si="106">IF(J2249="","",IF(J2249&lt;4,"0-3 Days",IF(J2249&lt;31,"4-30 Days",IF(J2249&lt;61,"31-60 Days",IF(J2249&lt;=90,"61-90 Days",IF(J2249&gt;90,"Above 90 Days","0"))))))</f>
        <v>31-60 Days</v>
      </c>
      <c r="L2249" s="58" t="str">
        <f t="shared" ref="L2249:L2312" si="107">IF(C2249="","",IF(C2249&gt;0,IF(J2249&lt;30,"Normal",IF(J2249&lt;60,"Especially Mentioned",IF(J2249&lt;90,"Substandard",IF(J2249&lt;=180,"Doubtful",IF(J2249&gt;180,"Loss","0"))))),"Not Applicable"))</f>
        <v>Not Applicable</v>
      </c>
    </row>
    <row r="2250" spans="1:12" ht="16.5" customHeight="1" x14ac:dyDescent="0.35">
      <c r="A2250" t="s">
        <v>1237</v>
      </c>
      <c r="B2250" t="s">
        <v>1237</v>
      </c>
      <c r="C2250">
        <v>0</v>
      </c>
      <c r="D2250">
        <v>100</v>
      </c>
      <c r="E2250" t="s">
        <v>7986</v>
      </c>
      <c r="F2250" t="s">
        <v>7987</v>
      </c>
      <c r="G2250" t="s">
        <v>7988</v>
      </c>
      <c r="H2250" t="s">
        <v>3532</v>
      </c>
      <c r="I2250" t="s">
        <v>3490</v>
      </c>
      <c r="J2250" s="56">
        <f t="shared" si="105"/>
        <v>33</v>
      </c>
      <c r="K2250" s="74" t="str">
        <f t="shared" si="106"/>
        <v>31-60 Days</v>
      </c>
      <c r="L2250" s="58" t="str">
        <f t="shared" si="107"/>
        <v>Not Applicable</v>
      </c>
    </row>
    <row r="2251" spans="1:12" ht="16.5" customHeight="1" x14ac:dyDescent="0.35">
      <c r="A2251" t="s">
        <v>1237</v>
      </c>
      <c r="B2251" t="s">
        <v>1237</v>
      </c>
      <c r="C2251">
        <v>0</v>
      </c>
      <c r="D2251">
        <v>1000</v>
      </c>
      <c r="E2251" t="s">
        <v>7989</v>
      </c>
      <c r="F2251" t="s">
        <v>3499</v>
      </c>
      <c r="G2251" t="s">
        <v>7990</v>
      </c>
      <c r="H2251" t="s">
        <v>3489</v>
      </c>
      <c r="I2251" t="s">
        <v>3490</v>
      </c>
      <c r="J2251" s="56">
        <f t="shared" si="105"/>
        <v>33</v>
      </c>
      <c r="K2251" s="74" t="str">
        <f t="shared" si="106"/>
        <v>31-60 Days</v>
      </c>
      <c r="L2251" s="58" t="str">
        <f t="shared" si="107"/>
        <v>Not Applicable</v>
      </c>
    </row>
    <row r="2252" spans="1:12" ht="16.5" customHeight="1" x14ac:dyDescent="0.35">
      <c r="A2252" t="s">
        <v>1237</v>
      </c>
      <c r="B2252" t="s">
        <v>1237</v>
      </c>
      <c r="C2252">
        <v>0</v>
      </c>
      <c r="D2252">
        <v>2100</v>
      </c>
      <c r="E2252" t="s">
        <v>7991</v>
      </c>
      <c r="F2252" t="s">
        <v>7992</v>
      </c>
      <c r="G2252" t="s">
        <v>7993</v>
      </c>
      <c r="H2252" t="s">
        <v>3532</v>
      </c>
      <c r="I2252" t="s">
        <v>3490</v>
      </c>
      <c r="J2252" s="56">
        <f t="shared" si="105"/>
        <v>33</v>
      </c>
      <c r="K2252" s="74" t="str">
        <f t="shared" si="106"/>
        <v>31-60 Days</v>
      </c>
      <c r="L2252" s="58" t="str">
        <f t="shared" si="107"/>
        <v>Not Applicable</v>
      </c>
    </row>
    <row r="2253" spans="1:12" ht="16.5" customHeight="1" x14ac:dyDescent="0.35">
      <c r="A2253" t="s">
        <v>1237</v>
      </c>
      <c r="B2253" t="s">
        <v>1237</v>
      </c>
      <c r="C2253">
        <v>0</v>
      </c>
      <c r="D2253">
        <v>2650</v>
      </c>
      <c r="E2253" t="s">
        <v>7994</v>
      </c>
      <c r="F2253" t="s">
        <v>7994</v>
      </c>
      <c r="G2253" t="s">
        <v>7995</v>
      </c>
      <c r="H2253" t="s">
        <v>3532</v>
      </c>
      <c r="I2253" t="s">
        <v>3490</v>
      </c>
      <c r="J2253" s="56">
        <f t="shared" si="105"/>
        <v>33</v>
      </c>
      <c r="K2253" s="74" t="str">
        <f t="shared" si="106"/>
        <v>31-60 Days</v>
      </c>
      <c r="L2253" s="58" t="str">
        <f t="shared" si="107"/>
        <v>Not Applicable</v>
      </c>
    </row>
    <row r="2254" spans="1:12" ht="16.5" customHeight="1" x14ac:dyDescent="0.35">
      <c r="A2254" t="s">
        <v>1237</v>
      </c>
      <c r="B2254" t="s">
        <v>1237</v>
      </c>
      <c r="C2254">
        <v>0</v>
      </c>
      <c r="D2254">
        <v>250</v>
      </c>
      <c r="E2254" t="s">
        <v>7996</v>
      </c>
      <c r="F2254" t="s">
        <v>7997</v>
      </c>
      <c r="G2254" t="s">
        <v>7998</v>
      </c>
      <c r="H2254" t="s">
        <v>3532</v>
      </c>
      <c r="I2254" t="s">
        <v>3490</v>
      </c>
      <c r="J2254" s="56">
        <f t="shared" si="105"/>
        <v>33</v>
      </c>
      <c r="K2254" s="74" t="str">
        <f t="shared" si="106"/>
        <v>31-60 Days</v>
      </c>
      <c r="L2254" s="58" t="str">
        <f t="shared" si="107"/>
        <v>Not Applicable</v>
      </c>
    </row>
    <row r="2255" spans="1:12" ht="16.5" customHeight="1" x14ac:dyDescent="0.35">
      <c r="A2255" t="s">
        <v>1237</v>
      </c>
      <c r="B2255" t="s">
        <v>1237</v>
      </c>
      <c r="C2255">
        <v>0</v>
      </c>
      <c r="D2255">
        <v>30</v>
      </c>
      <c r="E2255" t="s">
        <v>7999</v>
      </c>
      <c r="F2255" t="s">
        <v>7999</v>
      </c>
      <c r="G2255" t="s">
        <v>8000</v>
      </c>
      <c r="H2255" t="s">
        <v>3489</v>
      </c>
      <c r="I2255" t="s">
        <v>3490</v>
      </c>
      <c r="J2255" s="56">
        <f t="shared" si="105"/>
        <v>33</v>
      </c>
      <c r="K2255" s="74" t="str">
        <f t="shared" si="106"/>
        <v>31-60 Days</v>
      </c>
      <c r="L2255" s="58" t="str">
        <f t="shared" si="107"/>
        <v>Not Applicable</v>
      </c>
    </row>
    <row r="2256" spans="1:12" ht="16.5" customHeight="1" x14ac:dyDescent="0.35">
      <c r="A2256" t="s">
        <v>1237</v>
      </c>
      <c r="B2256" t="s">
        <v>1237</v>
      </c>
      <c r="C2256">
        <v>0</v>
      </c>
      <c r="D2256">
        <v>30</v>
      </c>
      <c r="E2256" t="s">
        <v>8001</v>
      </c>
      <c r="F2256" t="s">
        <v>8001</v>
      </c>
      <c r="G2256" t="s">
        <v>8002</v>
      </c>
      <c r="H2256" t="s">
        <v>3489</v>
      </c>
      <c r="I2256" t="s">
        <v>3490</v>
      </c>
      <c r="J2256" s="56">
        <f t="shared" si="105"/>
        <v>33</v>
      </c>
      <c r="K2256" s="74" t="str">
        <f t="shared" si="106"/>
        <v>31-60 Days</v>
      </c>
      <c r="L2256" s="58" t="str">
        <f t="shared" si="107"/>
        <v>Not Applicable</v>
      </c>
    </row>
    <row r="2257" spans="1:12" ht="16.5" customHeight="1" x14ac:dyDescent="0.35">
      <c r="A2257" t="s">
        <v>1237</v>
      </c>
      <c r="B2257" t="s">
        <v>1237</v>
      </c>
      <c r="C2257">
        <v>0</v>
      </c>
      <c r="D2257">
        <v>1000</v>
      </c>
      <c r="E2257" t="s">
        <v>8003</v>
      </c>
      <c r="F2257" t="s">
        <v>8004</v>
      </c>
      <c r="G2257" t="s">
        <v>8005</v>
      </c>
      <c r="H2257" t="s">
        <v>3489</v>
      </c>
      <c r="I2257" t="s">
        <v>3490</v>
      </c>
      <c r="J2257" s="56">
        <f t="shared" si="105"/>
        <v>33</v>
      </c>
      <c r="K2257" s="74" t="str">
        <f t="shared" si="106"/>
        <v>31-60 Days</v>
      </c>
      <c r="L2257" s="58" t="str">
        <f t="shared" si="107"/>
        <v>Not Applicable</v>
      </c>
    </row>
    <row r="2258" spans="1:12" ht="16.5" customHeight="1" x14ac:dyDescent="0.35">
      <c r="A2258" t="s">
        <v>1237</v>
      </c>
      <c r="B2258" t="s">
        <v>1237</v>
      </c>
      <c r="C2258">
        <v>0</v>
      </c>
      <c r="D2258">
        <v>1840</v>
      </c>
      <c r="E2258" t="s">
        <v>8006</v>
      </c>
      <c r="F2258" t="s">
        <v>8006</v>
      </c>
      <c r="G2258" t="s">
        <v>8007</v>
      </c>
      <c r="H2258" t="s">
        <v>3489</v>
      </c>
      <c r="I2258" t="s">
        <v>3490</v>
      </c>
      <c r="J2258" s="56">
        <f t="shared" si="105"/>
        <v>33</v>
      </c>
      <c r="K2258" s="74" t="str">
        <f t="shared" si="106"/>
        <v>31-60 Days</v>
      </c>
      <c r="L2258" s="58" t="str">
        <f t="shared" si="107"/>
        <v>Not Applicable</v>
      </c>
    </row>
    <row r="2259" spans="1:12" ht="16.5" customHeight="1" x14ac:dyDescent="0.35">
      <c r="A2259" t="s">
        <v>1237</v>
      </c>
      <c r="B2259" t="s">
        <v>1237</v>
      </c>
      <c r="C2259">
        <v>0</v>
      </c>
      <c r="D2259">
        <v>1824</v>
      </c>
      <c r="E2259" t="s">
        <v>8008</v>
      </c>
      <c r="F2259" t="s">
        <v>3574</v>
      </c>
      <c r="G2259" t="s">
        <v>8009</v>
      </c>
      <c r="H2259" t="s">
        <v>3489</v>
      </c>
      <c r="I2259" t="s">
        <v>3490</v>
      </c>
      <c r="J2259" s="56">
        <f t="shared" si="105"/>
        <v>33</v>
      </c>
      <c r="K2259" s="74" t="str">
        <f t="shared" si="106"/>
        <v>31-60 Days</v>
      </c>
      <c r="L2259" s="58" t="str">
        <f t="shared" si="107"/>
        <v>Not Applicable</v>
      </c>
    </row>
    <row r="2260" spans="1:12" ht="16.5" customHeight="1" x14ac:dyDescent="0.35">
      <c r="A2260" t="s">
        <v>1237</v>
      </c>
      <c r="B2260" t="s">
        <v>1237</v>
      </c>
      <c r="C2260">
        <v>0</v>
      </c>
      <c r="D2260">
        <v>30</v>
      </c>
      <c r="E2260" t="s">
        <v>8010</v>
      </c>
      <c r="F2260" t="s">
        <v>8010</v>
      </c>
      <c r="G2260" t="s">
        <v>8011</v>
      </c>
      <c r="H2260" t="s">
        <v>3489</v>
      </c>
      <c r="I2260" t="s">
        <v>3490</v>
      </c>
      <c r="J2260" s="56">
        <f t="shared" si="105"/>
        <v>33</v>
      </c>
      <c r="K2260" s="74" t="str">
        <f t="shared" si="106"/>
        <v>31-60 Days</v>
      </c>
      <c r="L2260" s="58" t="str">
        <f t="shared" si="107"/>
        <v>Not Applicable</v>
      </c>
    </row>
    <row r="2261" spans="1:12" ht="16.5" customHeight="1" x14ac:dyDescent="0.35">
      <c r="A2261" t="s">
        <v>1237</v>
      </c>
      <c r="B2261" t="s">
        <v>1237</v>
      </c>
      <c r="C2261">
        <v>0</v>
      </c>
      <c r="D2261">
        <v>30</v>
      </c>
      <c r="E2261" t="s">
        <v>8012</v>
      </c>
      <c r="F2261" t="s">
        <v>8012</v>
      </c>
      <c r="G2261" t="s">
        <v>8013</v>
      </c>
      <c r="H2261" t="s">
        <v>3489</v>
      </c>
      <c r="I2261" t="s">
        <v>3490</v>
      </c>
      <c r="J2261" s="56">
        <f t="shared" si="105"/>
        <v>33</v>
      </c>
      <c r="K2261" s="74" t="str">
        <f t="shared" si="106"/>
        <v>31-60 Days</v>
      </c>
      <c r="L2261" s="58" t="str">
        <f t="shared" si="107"/>
        <v>Not Applicable</v>
      </c>
    </row>
    <row r="2262" spans="1:12" ht="16.5" customHeight="1" x14ac:dyDescent="0.35">
      <c r="A2262" t="s">
        <v>1237</v>
      </c>
      <c r="B2262" t="s">
        <v>1237</v>
      </c>
      <c r="C2262">
        <v>0</v>
      </c>
      <c r="D2262">
        <v>1058</v>
      </c>
      <c r="E2262" t="s">
        <v>8014</v>
      </c>
      <c r="F2262" t="s">
        <v>8014</v>
      </c>
      <c r="G2262" t="s">
        <v>8015</v>
      </c>
      <c r="H2262" t="s">
        <v>3489</v>
      </c>
      <c r="I2262" t="s">
        <v>3490</v>
      </c>
      <c r="J2262" s="56">
        <f t="shared" si="105"/>
        <v>33</v>
      </c>
      <c r="K2262" s="74" t="str">
        <f t="shared" si="106"/>
        <v>31-60 Days</v>
      </c>
      <c r="L2262" s="58" t="str">
        <f t="shared" si="107"/>
        <v>Not Applicable</v>
      </c>
    </row>
    <row r="2263" spans="1:12" ht="16.5" customHeight="1" x14ac:dyDescent="0.35">
      <c r="A2263" t="s">
        <v>1237</v>
      </c>
      <c r="B2263" t="s">
        <v>1237</v>
      </c>
      <c r="C2263">
        <v>1000</v>
      </c>
      <c r="D2263">
        <v>0</v>
      </c>
      <c r="E2263" t="s">
        <v>8016</v>
      </c>
      <c r="F2263" t="s">
        <v>8016</v>
      </c>
      <c r="G2263" t="s">
        <v>8017</v>
      </c>
      <c r="H2263" t="s">
        <v>3458</v>
      </c>
      <c r="I2263" t="s">
        <v>3507</v>
      </c>
      <c r="J2263" s="56">
        <f t="shared" si="105"/>
        <v>33</v>
      </c>
      <c r="K2263" s="74" t="str">
        <f t="shared" si="106"/>
        <v>31-60 Days</v>
      </c>
      <c r="L2263" s="58" t="str">
        <f t="shared" si="107"/>
        <v>Especially Mentioned</v>
      </c>
    </row>
    <row r="2264" spans="1:12" ht="16.5" customHeight="1" x14ac:dyDescent="0.35">
      <c r="A2264" t="s">
        <v>1237</v>
      </c>
      <c r="B2264" t="s">
        <v>1237</v>
      </c>
      <c r="C2264">
        <v>1019890.6</v>
      </c>
      <c r="D2264">
        <v>0</v>
      </c>
      <c r="E2264" t="s">
        <v>8018</v>
      </c>
      <c r="F2264" t="s">
        <v>8018</v>
      </c>
      <c r="G2264" t="s">
        <v>8019</v>
      </c>
      <c r="H2264" t="s">
        <v>3455</v>
      </c>
      <c r="I2264" t="s">
        <v>3486</v>
      </c>
      <c r="J2264" s="56">
        <f t="shared" si="105"/>
        <v>33</v>
      </c>
      <c r="K2264" s="74" t="str">
        <f t="shared" si="106"/>
        <v>31-60 Days</v>
      </c>
      <c r="L2264" s="58" t="str">
        <f t="shared" si="107"/>
        <v>Especially Mentioned</v>
      </c>
    </row>
    <row r="2265" spans="1:12" ht="16.5" customHeight="1" x14ac:dyDescent="0.35">
      <c r="A2265" t="s">
        <v>1237</v>
      </c>
      <c r="B2265" t="s">
        <v>1237</v>
      </c>
      <c r="C2265">
        <v>719923.49</v>
      </c>
      <c r="D2265">
        <v>0</v>
      </c>
      <c r="E2265" t="s">
        <v>8020</v>
      </c>
      <c r="F2265" t="s">
        <v>8020</v>
      </c>
      <c r="G2265" t="s">
        <v>8021</v>
      </c>
      <c r="H2265" t="s">
        <v>3455</v>
      </c>
      <c r="I2265" t="s">
        <v>3486</v>
      </c>
      <c r="J2265" s="56">
        <f t="shared" si="105"/>
        <v>33</v>
      </c>
      <c r="K2265" s="74" t="str">
        <f t="shared" si="106"/>
        <v>31-60 Days</v>
      </c>
      <c r="L2265" s="58" t="str">
        <f t="shared" si="107"/>
        <v>Especially Mentioned</v>
      </c>
    </row>
    <row r="2266" spans="1:12" ht="16.5" customHeight="1" x14ac:dyDescent="0.35">
      <c r="A2266" t="s">
        <v>1237</v>
      </c>
      <c r="B2266" t="s">
        <v>1237</v>
      </c>
      <c r="C2266">
        <v>0</v>
      </c>
      <c r="D2266">
        <v>1000</v>
      </c>
      <c r="E2266" t="s">
        <v>8022</v>
      </c>
      <c r="F2266" t="s">
        <v>8022</v>
      </c>
      <c r="G2266" t="s">
        <v>8023</v>
      </c>
      <c r="H2266" t="s">
        <v>3489</v>
      </c>
      <c r="I2266" t="s">
        <v>3490</v>
      </c>
      <c r="J2266" s="56">
        <f t="shared" si="105"/>
        <v>33</v>
      </c>
      <c r="K2266" s="74" t="str">
        <f t="shared" si="106"/>
        <v>31-60 Days</v>
      </c>
      <c r="L2266" s="58" t="str">
        <f t="shared" si="107"/>
        <v>Not Applicable</v>
      </c>
    </row>
    <row r="2267" spans="1:12" ht="16.5" customHeight="1" x14ac:dyDescent="0.35">
      <c r="A2267" t="s">
        <v>1237</v>
      </c>
      <c r="B2267" t="s">
        <v>1237</v>
      </c>
      <c r="C2267">
        <v>0</v>
      </c>
      <c r="D2267">
        <v>30</v>
      </c>
      <c r="E2267" t="s">
        <v>8024</v>
      </c>
      <c r="F2267" t="s">
        <v>8024</v>
      </c>
      <c r="G2267" t="s">
        <v>8025</v>
      </c>
      <c r="H2267" t="s">
        <v>3489</v>
      </c>
      <c r="I2267" t="s">
        <v>3490</v>
      </c>
      <c r="J2267" s="56">
        <f t="shared" si="105"/>
        <v>33</v>
      </c>
      <c r="K2267" s="74" t="str">
        <f t="shared" si="106"/>
        <v>31-60 Days</v>
      </c>
      <c r="L2267" s="58" t="str">
        <f t="shared" si="107"/>
        <v>Not Applicable</v>
      </c>
    </row>
    <row r="2268" spans="1:12" ht="16.5" customHeight="1" x14ac:dyDescent="0.35">
      <c r="A2268" t="s">
        <v>1237</v>
      </c>
      <c r="B2268" t="s">
        <v>1237</v>
      </c>
      <c r="C2268">
        <v>0</v>
      </c>
      <c r="D2268">
        <v>250</v>
      </c>
      <c r="E2268" t="s">
        <v>8026</v>
      </c>
      <c r="F2268" t="s">
        <v>8027</v>
      </c>
      <c r="G2268" t="s">
        <v>8028</v>
      </c>
      <c r="H2268" t="s">
        <v>3532</v>
      </c>
      <c r="I2268" t="s">
        <v>3490</v>
      </c>
      <c r="J2268" s="56">
        <f t="shared" si="105"/>
        <v>33</v>
      </c>
      <c r="K2268" s="74" t="str">
        <f t="shared" si="106"/>
        <v>31-60 Days</v>
      </c>
      <c r="L2268" s="58" t="str">
        <f t="shared" si="107"/>
        <v>Not Applicable</v>
      </c>
    </row>
    <row r="2269" spans="1:12" ht="16.5" customHeight="1" x14ac:dyDescent="0.35">
      <c r="A2269" t="s">
        <v>1237</v>
      </c>
      <c r="B2269" t="s">
        <v>1237</v>
      </c>
      <c r="C2269">
        <v>0</v>
      </c>
      <c r="D2269">
        <v>600</v>
      </c>
      <c r="E2269" t="s">
        <v>8029</v>
      </c>
      <c r="F2269" t="s">
        <v>8029</v>
      </c>
      <c r="G2269" t="s">
        <v>8030</v>
      </c>
      <c r="H2269" t="s">
        <v>3489</v>
      </c>
      <c r="I2269" t="s">
        <v>3490</v>
      </c>
      <c r="J2269" s="56">
        <f t="shared" si="105"/>
        <v>33</v>
      </c>
      <c r="K2269" s="74" t="str">
        <f t="shared" si="106"/>
        <v>31-60 Days</v>
      </c>
      <c r="L2269" s="58" t="str">
        <f t="shared" si="107"/>
        <v>Not Applicable</v>
      </c>
    </row>
    <row r="2270" spans="1:12" ht="16.5" customHeight="1" x14ac:dyDescent="0.35">
      <c r="A2270" t="s">
        <v>1237</v>
      </c>
      <c r="B2270" t="s">
        <v>1237</v>
      </c>
      <c r="C2270">
        <v>0</v>
      </c>
      <c r="D2270">
        <v>30</v>
      </c>
      <c r="E2270" t="s">
        <v>8031</v>
      </c>
      <c r="F2270" t="s">
        <v>8031</v>
      </c>
      <c r="G2270" t="s">
        <v>8032</v>
      </c>
      <c r="H2270" t="s">
        <v>3489</v>
      </c>
      <c r="I2270" t="s">
        <v>3490</v>
      </c>
      <c r="J2270" s="56">
        <f t="shared" si="105"/>
        <v>33</v>
      </c>
      <c r="K2270" s="74" t="str">
        <f t="shared" si="106"/>
        <v>31-60 Days</v>
      </c>
      <c r="L2270" s="58" t="str">
        <f t="shared" si="107"/>
        <v>Not Applicable</v>
      </c>
    </row>
    <row r="2271" spans="1:12" ht="16.5" customHeight="1" x14ac:dyDescent="0.35">
      <c r="A2271" t="s">
        <v>1237</v>
      </c>
      <c r="B2271" t="s">
        <v>1237</v>
      </c>
      <c r="C2271">
        <v>0</v>
      </c>
      <c r="D2271">
        <v>1000</v>
      </c>
      <c r="E2271" t="s">
        <v>8033</v>
      </c>
      <c r="F2271" t="s">
        <v>3499</v>
      </c>
      <c r="G2271" t="s">
        <v>8034</v>
      </c>
      <c r="H2271" t="s">
        <v>3489</v>
      </c>
      <c r="I2271" t="s">
        <v>3490</v>
      </c>
      <c r="J2271" s="56">
        <f t="shared" si="105"/>
        <v>33</v>
      </c>
      <c r="K2271" s="74" t="str">
        <f t="shared" si="106"/>
        <v>31-60 Days</v>
      </c>
      <c r="L2271" s="58" t="str">
        <f t="shared" si="107"/>
        <v>Not Applicable</v>
      </c>
    </row>
    <row r="2272" spans="1:12" ht="16.5" customHeight="1" x14ac:dyDescent="0.35">
      <c r="A2272" t="s">
        <v>1237</v>
      </c>
      <c r="B2272" t="s">
        <v>1237</v>
      </c>
      <c r="C2272">
        <v>0</v>
      </c>
      <c r="D2272">
        <v>1095</v>
      </c>
      <c r="E2272" t="s">
        <v>8035</v>
      </c>
      <c r="F2272" t="s">
        <v>8035</v>
      </c>
      <c r="G2272" t="s">
        <v>8036</v>
      </c>
      <c r="H2272" t="s">
        <v>3489</v>
      </c>
      <c r="I2272" t="s">
        <v>3490</v>
      </c>
      <c r="J2272" s="56">
        <f t="shared" si="105"/>
        <v>33</v>
      </c>
      <c r="K2272" s="74" t="str">
        <f t="shared" si="106"/>
        <v>31-60 Days</v>
      </c>
      <c r="L2272" s="58" t="str">
        <f t="shared" si="107"/>
        <v>Not Applicable</v>
      </c>
    </row>
    <row r="2273" spans="1:12" ht="16.5" customHeight="1" x14ac:dyDescent="0.35">
      <c r="A2273" t="s">
        <v>1237</v>
      </c>
      <c r="B2273" t="s">
        <v>1237</v>
      </c>
      <c r="C2273">
        <v>0</v>
      </c>
      <c r="D2273">
        <v>250</v>
      </c>
      <c r="E2273" t="s">
        <v>8037</v>
      </c>
      <c r="F2273" t="s">
        <v>8037</v>
      </c>
      <c r="G2273" t="s">
        <v>8038</v>
      </c>
      <c r="H2273" t="s">
        <v>3489</v>
      </c>
      <c r="I2273" t="s">
        <v>3490</v>
      </c>
      <c r="J2273" s="56">
        <f t="shared" si="105"/>
        <v>33</v>
      </c>
      <c r="K2273" s="74" t="str">
        <f t="shared" si="106"/>
        <v>31-60 Days</v>
      </c>
      <c r="L2273" s="58" t="str">
        <f t="shared" si="107"/>
        <v>Not Applicable</v>
      </c>
    </row>
    <row r="2274" spans="1:12" ht="16.5" customHeight="1" x14ac:dyDescent="0.35">
      <c r="A2274" t="s">
        <v>1237</v>
      </c>
      <c r="B2274" t="s">
        <v>1237</v>
      </c>
      <c r="C2274">
        <v>0</v>
      </c>
      <c r="D2274">
        <v>100</v>
      </c>
      <c r="E2274" t="s">
        <v>8039</v>
      </c>
      <c r="F2274" t="s">
        <v>8039</v>
      </c>
      <c r="G2274" t="s">
        <v>8040</v>
      </c>
      <c r="H2274" t="s">
        <v>3489</v>
      </c>
      <c r="I2274" t="s">
        <v>3490</v>
      </c>
      <c r="J2274" s="56">
        <f t="shared" si="105"/>
        <v>33</v>
      </c>
      <c r="K2274" s="74" t="str">
        <f t="shared" si="106"/>
        <v>31-60 Days</v>
      </c>
      <c r="L2274" s="58" t="str">
        <f t="shared" si="107"/>
        <v>Not Applicable</v>
      </c>
    </row>
    <row r="2275" spans="1:12" ht="16.5" customHeight="1" x14ac:dyDescent="0.35">
      <c r="A2275" t="s">
        <v>1237</v>
      </c>
      <c r="B2275" t="s">
        <v>1237</v>
      </c>
      <c r="C2275">
        <v>0</v>
      </c>
      <c r="D2275">
        <v>250</v>
      </c>
      <c r="E2275" t="s">
        <v>8041</v>
      </c>
      <c r="F2275" t="s">
        <v>8042</v>
      </c>
      <c r="G2275" t="s">
        <v>8043</v>
      </c>
      <c r="H2275" t="s">
        <v>3532</v>
      </c>
      <c r="I2275" t="s">
        <v>3490</v>
      </c>
      <c r="J2275" s="56">
        <f t="shared" si="105"/>
        <v>33</v>
      </c>
      <c r="K2275" s="74" t="str">
        <f t="shared" si="106"/>
        <v>31-60 Days</v>
      </c>
      <c r="L2275" s="58" t="str">
        <f t="shared" si="107"/>
        <v>Not Applicable</v>
      </c>
    </row>
    <row r="2276" spans="1:12" ht="16.5" customHeight="1" x14ac:dyDescent="0.35">
      <c r="A2276" t="s">
        <v>1237</v>
      </c>
      <c r="B2276" t="s">
        <v>1237</v>
      </c>
      <c r="C2276">
        <v>0</v>
      </c>
      <c r="D2276">
        <v>74</v>
      </c>
      <c r="E2276" t="s">
        <v>8044</v>
      </c>
      <c r="F2276" t="s">
        <v>8045</v>
      </c>
      <c r="G2276" t="s">
        <v>8046</v>
      </c>
      <c r="H2276" t="s">
        <v>3532</v>
      </c>
      <c r="I2276" t="s">
        <v>3490</v>
      </c>
      <c r="J2276" s="56">
        <f t="shared" si="105"/>
        <v>33</v>
      </c>
      <c r="K2276" s="74" t="str">
        <f t="shared" si="106"/>
        <v>31-60 Days</v>
      </c>
      <c r="L2276" s="58" t="str">
        <f t="shared" si="107"/>
        <v>Not Applicable</v>
      </c>
    </row>
    <row r="2277" spans="1:12" ht="16.5" customHeight="1" x14ac:dyDescent="0.35">
      <c r="A2277" t="s">
        <v>1237</v>
      </c>
      <c r="B2277" t="s">
        <v>1237</v>
      </c>
      <c r="C2277">
        <v>0</v>
      </c>
      <c r="D2277">
        <v>2050</v>
      </c>
      <c r="E2277" t="s">
        <v>8047</v>
      </c>
      <c r="F2277" t="s">
        <v>8047</v>
      </c>
      <c r="G2277" t="s">
        <v>8048</v>
      </c>
      <c r="H2277" t="s">
        <v>3489</v>
      </c>
      <c r="I2277" t="s">
        <v>3490</v>
      </c>
      <c r="J2277" s="56">
        <f t="shared" si="105"/>
        <v>33</v>
      </c>
      <c r="K2277" s="74" t="str">
        <f t="shared" si="106"/>
        <v>31-60 Days</v>
      </c>
      <c r="L2277" s="58" t="str">
        <f t="shared" si="107"/>
        <v>Not Applicable</v>
      </c>
    </row>
    <row r="2278" spans="1:12" ht="16.5" customHeight="1" x14ac:dyDescent="0.35">
      <c r="A2278" t="s">
        <v>1237</v>
      </c>
      <c r="B2278" t="s">
        <v>1237</v>
      </c>
      <c r="C2278">
        <v>0</v>
      </c>
      <c r="D2278">
        <v>18645.52</v>
      </c>
      <c r="E2278" t="s">
        <v>8049</v>
      </c>
      <c r="F2278" t="s">
        <v>8050</v>
      </c>
      <c r="G2278" t="s">
        <v>8051</v>
      </c>
      <c r="H2278" t="s">
        <v>7968</v>
      </c>
      <c r="I2278" t="s">
        <v>3486</v>
      </c>
      <c r="J2278" s="56">
        <f t="shared" si="105"/>
        <v>33</v>
      </c>
      <c r="K2278" s="74" t="str">
        <f t="shared" si="106"/>
        <v>31-60 Days</v>
      </c>
      <c r="L2278" s="58" t="str">
        <f t="shared" si="107"/>
        <v>Not Applicable</v>
      </c>
    </row>
    <row r="2279" spans="1:12" ht="16.5" customHeight="1" x14ac:dyDescent="0.35">
      <c r="A2279" t="s">
        <v>1237</v>
      </c>
      <c r="B2279" t="s">
        <v>1237</v>
      </c>
      <c r="C2279">
        <v>0</v>
      </c>
      <c r="D2279">
        <v>30</v>
      </c>
      <c r="E2279" t="s">
        <v>8052</v>
      </c>
      <c r="F2279" t="s">
        <v>8052</v>
      </c>
      <c r="G2279" t="s">
        <v>8053</v>
      </c>
      <c r="H2279" t="s">
        <v>3489</v>
      </c>
      <c r="I2279" t="s">
        <v>3490</v>
      </c>
      <c r="J2279" s="56">
        <f t="shared" si="105"/>
        <v>33</v>
      </c>
      <c r="K2279" s="74" t="str">
        <f t="shared" si="106"/>
        <v>31-60 Days</v>
      </c>
      <c r="L2279" s="58" t="str">
        <f t="shared" si="107"/>
        <v>Not Applicable</v>
      </c>
    </row>
    <row r="2280" spans="1:12" ht="16.5" customHeight="1" x14ac:dyDescent="0.35">
      <c r="A2280" t="s">
        <v>1237</v>
      </c>
      <c r="B2280" t="s">
        <v>1237</v>
      </c>
      <c r="C2280">
        <v>0</v>
      </c>
      <c r="D2280">
        <v>250</v>
      </c>
      <c r="E2280" t="s">
        <v>8054</v>
      </c>
      <c r="F2280" t="s">
        <v>8054</v>
      </c>
      <c r="G2280" t="s">
        <v>8055</v>
      </c>
      <c r="H2280" t="s">
        <v>3489</v>
      </c>
      <c r="I2280" t="s">
        <v>3490</v>
      </c>
      <c r="J2280" s="56">
        <f t="shared" si="105"/>
        <v>33</v>
      </c>
      <c r="K2280" s="74" t="str">
        <f t="shared" si="106"/>
        <v>31-60 Days</v>
      </c>
      <c r="L2280" s="58" t="str">
        <f t="shared" si="107"/>
        <v>Not Applicable</v>
      </c>
    </row>
    <row r="2281" spans="1:12" ht="16.5" customHeight="1" x14ac:dyDescent="0.35">
      <c r="A2281" t="s">
        <v>1237</v>
      </c>
      <c r="B2281" t="s">
        <v>1237</v>
      </c>
      <c r="C2281">
        <v>0</v>
      </c>
      <c r="D2281">
        <v>30</v>
      </c>
      <c r="E2281" t="s">
        <v>8056</v>
      </c>
      <c r="F2281" t="s">
        <v>8056</v>
      </c>
      <c r="G2281" t="s">
        <v>8057</v>
      </c>
      <c r="H2281" t="s">
        <v>3489</v>
      </c>
      <c r="I2281" t="s">
        <v>3490</v>
      </c>
      <c r="J2281" s="56">
        <f t="shared" si="105"/>
        <v>33</v>
      </c>
      <c r="K2281" s="74" t="str">
        <f t="shared" si="106"/>
        <v>31-60 Days</v>
      </c>
      <c r="L2281" s="58" t="str">
        <f t="shared" si="107"/>
        <v>Not Applicable</v>
      </c>
    </row>
    <row r="2282" spans="1:12" ht="16.5" customHeight="1" x14ac:dyDescent="0.35">
      <c r="A2282" t="s">
        <v>1237</v>
      </c>
      <c r="B2282" t="s">
        <v>1237</v>
      </c>
      <c r="C2282">
        <v>0</v>
      </c>
      <c r="D2282">
        <v>30</v>
      </c>
      <c r="E2282" t="s">
        <v>8058</v>
      </c>
      <c r="F2282" t="s">
        <v>8058</v>
      </c>
      <c r="G2282" t="s">
        <v>8059</v>
      </c>
      <c r="H2282" t="s">
        <v>3489</v>
      </c>
      <c r="I2282" t="s">
        <v>3490</v>
      </c>
      <c r="J2282" s="56">
        <f t="shared" si="105"/>
        <v>33</v>
      </c>
      <c r="K2282" s="74" t="str">
        <f t="shared" si="106"/>
        <v>31-60 Days</v>
      </c>
      <c r="L2282" s="58" t="str">
        <f t="shared" si="107"/>
        <v>Not Applicable</v>
      </c>
    </row>
    <row r="2283" spans="1:12" ht="16.5" customHeight="1" x14ac:dyDescent="0.35">
      <c r="A2283" t="s">
        <v>1237</v>
      </c>
      <c r="B2283" t="s">
        <v>1237</v>
      </c>
      <c r="C2283">
        <v>0</v>
      </c>
      <c r="D2283">
        <v>250</v>
      </c>
      <c r="E2283" t="s">
        <v>8060</v>
      </c>
      <c r="F2283" t="s">
        <v>8060</v>
      </c>
      <c r="G2283" t="s">
        <v>8061</v>
      </c>
      <c r="H2283" t="s">
        <v>3489</v>
      </c>
      <c r="I2283" t="s">
        <v>3490</v>
      </c>
      <c r="J2283" s="56">
        <f t="shared" si="105"/>
        <v>33</v>
      </c>
      <c r="K2283" s="74" t="str">
        <f t="shared" si="106"/>
        <v>31-60 Days</v>
      </c>
      <c r="L2283" s="58" t="str">
        <f t="shared" si="107"/>
        <v>Not Applicable</v>
      </c>
    </row>
    <row r="2284" spans="1:12" ht="16.5" customHeight="1" x14ac:dyDescent="0.35">
      <c r="A2284" t="s">
        <v>1237</v>
      </c>
      <c r="B2284" t="s">
        <v>1237</v>
      </c>
      <c r="C2284">
        <v>0</v>
      </c>
      <c r="D2284">
        <v>1900</v>
      </c>
      <c r="E2284" t="s">
        <v>8062</v>
      </c>
      <c r="F2284" t="s">
        <v>8062</v>
      </c>
      <c r="G2284" t="s">
        <v>8063</v>
      </c>
      <c r="H2284" t="s">
        <v>3489</v>
      </c>
      <c r="I2284" t="s">
        <v>3490</v>
      </c>
      <c r="J2284" s="56">
        <f t="shared" si="105"/>
        <v>33</v>
      </c>
      <c r="K2284" s="74" t="str">
        <f t="shared" si="106"/>
        <v>31-60 Days</v>
      </c>
      <c r="L2284" s="58" t="str">
        <f t="shared" si="107"/>
        <v>Not Applicable</v>
      </c>
    </row>
    <row r="2285" spans="1:12" ht="16.5" customHeight="1" x14ac:dyDescent="0.35">
      <c r="A2285" t="s">
        <v>1237</v>
      </c>
      <c r="B2285" t="s">
        <v>1237</v>
      </c>
      <c r="C2285">
        <v>0</v>
      </c>
      <c r="D2285">
        <v>30</v>
      </c>
      <c r="E2285" t="s">
        <v>8064</v>
      </c>
      <c r="F2285" t="s">
        <v>8064</v>
      </c>
      <c r="G2285" t="s">
        <v>8065</v>
      </c>
      <c r="H2285" t="s">
        <v>3489</v>
      </c>
      <c r="I2285" t="s">
        <v>3490</v>
      </c>
      <c r="J2285" s="56">
        <f t="shared" si="105"/>
        <v>33</v>
      </c>
      <c r="K2285" s="74" t="str">
        <f t="shared" si="106"/>
        <v>31-60 Days</v>
      </c>
      <c r="L2285" s="58" t="str">
        <f t="shared" si="107"/>
        <v>Not Applicable</v>
      </c>
    </row>
    <row r="2286" spans="1:12" ht="16.5" customHeight="1" x14ac:dyDescent="0.35">
      <c r="A2286" t="s">
        <v>1237</v>
      </c>
      <c r="B2286" t="s">
        <v>1237</v>
      </c>
      <c r="C2286">
        <v>0</v>
      </c>
      <c r="D2286">
        <v>1104</v>
      </c>
      <c r="E2286" t="s">
        <v>8066</v>
      </c>
      <c r="F2286" t="s">
        <v>8066</v>
      </c>
      <c r="G2286" t="s">
        <v>8067</v>
      </c>
      <c r="H2286" t="s">
        <v>3489</v>
      </c>
      <c r="I2286" t="s">
        <v>3490</v>
      </c>
      <c r="J2286" s="56">
        <f t="shared" si="105"/>
        <v>33</v>
      </c>
      <c r="K2286" s="74" t="str">
        <f t="shared" si="106"/>
        <v>31-60 Days</v>
      </c>
      <c r="L2286" s="58" t="str">
        <f t="shared" si="107"/>
        <v>Not Applicable</v>
      </c>
    </row>
    <row r="2287" spans="1:12" ht="16.5" customHeight="1" x14ac:dyDescent="0.35">
      <c r="A2287" t="s">
        <v>1237</v>
      </c>
      <c r="B2287" t="s">
        <v>1237</v>
      </c>
      <c r="C2287">
        <v>0</v>
      </c>
      <c r="D2287">
        <v>1000</v>
      </c>
      <c r="E2287" t="s">
        <v>8068</v>
      </c>
      <c r="F2287" t="s">
        <v>8068</v>
      </c>
      <c r="G2287" t="s">
        <v>8069</v>
      </c>
      <c r="H2287" t="s">
        <v>3489</v>
      </c>
      <c r="I2287" t="s">
        <v>3490</v>
      </c>
      <c r="J2287" s="56">
        <f t="shared" si="105"/>
        <v>33</v>
      </c>
      <c r="K2287" s="74" t="str">
        <f t="shared" si="106"/>
        <v>31-60 Days</v>
      </c>
      <c r="L2287" s="58" t="str">
        <f t="shared" si="107"/>
        <v>Not Applicable</v>
      </c>
    </row>
    <row r="2288" spans="1:12" ht="16.5" customHeight="1" x14ac:dyDescent="0.35">
      <c r="A2288" t="s">
        <v>1237</v>
      </c>
      <c r="B2288" t="s">
        <v>1237</v>
      </c>
      <c r="C2288">
        <v>0</v>
      </c>
      <c r="D2288">
        <v>60</v>
      </c>
      <c r="E2288" t="s">
        <v>8070</v>
      </c>
      <c r="F2288" t="s">
        <v>8070</v>
      </c>
      <c r="G2288" t="s">
        <v>8071</v>
      </c>
      <c r="H2288" t="s">
        <v>3489</v>
      </c>
      <c r="I2288" t="s">
        <v>3490</v>
      </c>
      <c r="J2288" s="56">
        <f t="shared" si="105"/>
        <v>33</v>
      </c>
      <c r="K2288" s="74" t="str">
        <f t="shared" si="106"/>
        <v>31-60 Days</v>
      </c>
      <c r="L2288" s="58" t="str">
        <f t="shared" si="107"/>
        <v>Not Applicable</v>
      </c>
    </row>
    <row r="2289" spans="1:12" ht="16.5" customHeight="1" x14ac:dyDescent="0.35">
      <c r="A2289" t="s">
        <v>1237</v>
      </c>
      <c r="B2289" t="s">
        <v>1237</v>
      </c>
      <c r="C2289">
        <v>0</v>
      </c>
      <c r="D2289">
        <v>30</v>
      </c>
      <c r="E2289" t="s">
        <v>8072</v>
      </c>
      <c r="F2289" t="s">
        <v>8072</v>
      </c>
      <c r="G2289" t="s">
        <v>8073</v>
      </c>
      <c r="H2289" t="s">
        <v>3489</v>
      </c>
      <c r="I2289" t="s">
        <v>3490</v>
      </c>
      <c r="J2289" s="56">
        <f t="shared" si="105"/>
        <v>33</v>
      </c>
      <c r="K2289" s="74" t="str">
        <f t="shared" si="106"/>
        <v>31-60 Days</v>
      </c>
      <c r="L2289" s="58" t="str">
        <f t="shared" si="107"/>
        <v>Not Applicable</v>
      </c>
    </row>
    <row r="2290" spans="1:12" ht="16.5" customHeight="1" x14ac:dyDescent="0.35">
      <c r="A2290" t="s">
        <v>1237</v>
      </c>
      <c r="B2290" t="s">
        <v>1237</v>
      </c>
      <c r="C2290">
        <v>0</v>
      </c>
      <c r="D2290">
        <v>1724</v>
      </c>
      <c r="E2290" t="s">
        <v>8074</v>
      </c>
      <c r="F2290" t="s">
        <v>8074</v>
      </c>
      <c r="G2290" t="s">
        <v>8075</v>
      </c>
      <c r="H2290" t="s">
        <v>3489</v>
      </c>
      <c r="I2290" t="s">
        <v>3490</v>
      </c>
      <c r="J2290" s="56">
        <f t="shared" si="105"/>
        <v>33</v>
      </c>
      <c r="K2290" s="74" t="str">
        <f t="shared" si="106"/>
        <v>31-60 Days</v>
      </c>
      <c r="L2290" s="58" t="str">
        <f t="shared" si="107"/>
        <v>Not Applicable</v>
      </c>
    </row>
    <row r="2291" spans="1:12" ht="16.5" customHeight="1" x14ac:dyDescent="0.35">
      <c r="A2291" t="s">
        <v>1237</v>
      </c>
      <c r="B2291" t="s">
        <v>1237</v>
      </c>
      <c r="C2291">
        <v>0</v>
      </c>
      <c r="D2291">
        <v>30</v>
      </c>
      <c r="E2291" t="s">
        <v>8076</v>
      </c>
      <c r="F2291" t="s">
        <v>8076</v>
      </c>
      <c r="G2291" t="s">
        <v>8077</v>
      </c>
      <c r="H2291" t="s">
        <v>3489</v>
      </c>
      <c r="I2291" t="s">
        <v>3490</v>
      </c>
      <c r="J2291" s="56">
        <f t="shared" si="105"/>
        <v>33</v>
      </c>
      <c r="K2291" s="74" t="str">
        <f t="shared" si="106"/>
        <v>31-60 Days</v>
      </c>
      <c r="L2291" s="58" t="str">
        <f t="shared" si="107"/>
        <v>Not Applicable</v>
      </c>
    </row>
    <row r="2292" spans="1:12" ht="16.5" customHeight="1" x14ac:dyDescent="0.35">
      <c r="A2292" t="s">
        <v>1237</v>
      </c>
      <c r="B2292" t="s">
        <v>1237</v>
      </c>
      <c r="C2292">
        <v>0</v>
      </c>
      <c r="D2292">
        <v>2650</v>
      </c>
      <c r="E2292" t="s">
        <v>8078</v>
      </c>
      <c r="F2292" t="s">
        <v>8078</v>
      </c>
      <c r="G2292" t="s">
        <v>8079</v>
      </c>
      <c r="H2292" t="s">
        <v>3489</v>
      </c>
      <c r="I2292" t="s">
        <v>3490</v>
      </c>
      <c r="J2292" s="56">
        <f t="shared" si="105"/>
        <v>33</v>
      </c>
      <c r="K2292" s="74" t="str">
        <f t="shared" si="106"/>
        <v>31-60 Days</v>
      </c>
      <c r="L2292" s="58" t="str">
        <f t="shared" si="107"/>
        <v>Not Applicable</v>
      </c>
    </row>
    <row r="2293" spans="1:12" ht="16.5" customHeight="1" x14ac:dyDescent="0.35">
      <c r="A2293" t="s">
        <v>1237</v>
      </c>
      <c r="B2293" t="s">
        <v>1237</v>
      </c>
      <c r="C2293">
        <v>0</v>
      </c>
      <c r="D2293">
        <v>250</v>
      </c>
      <c r="E2293" t="s">
        <v>8080</v>
      </c>
      <c r="F2293" t="s">
        <v>8080</v>
      </c>
      <c r="G2293" t="s">
        <v>8081</v>
      </c>
      <c r="H2293" t="s">
        <v>3489</v>
      </c>
      <c r="I2293" t="s">
        <v>3490</v>
      </c>
      <c r="J2293" s="56">
        <f t="shared" si="105"/>
        <v>33</v>
      </c>
      <c r="K2293" s="74" t="str">
        <f t="shared" si="106"/>
        <v>31-60 Days</v>
      </c>
      <c r="L2293" s="58" t="str">
        <f t="shared" si="107"/>
        <v>Not Applicable</v>
      </c>
    </row>
    <row r="2294" spans="1:12" ht="16.5" customHeight="1" x14ac:dyDescent="0.35">
      <c r="A2294" t="s">
        <v>1237</v>
      </c>
      <c r="B2294" t="s">
        <v>1237</v>
      </c>
      <c r="C2294">
        <v>2000000</v>
      </c>
      <c r="D2294">
        <v>0</v>
      </c>
      <c r="E2294" t="s">
        <v>8082</v>
      </c>
      <c r="F2294" t="s">
        <v>8082</v>
      </c>
      <c r="G2294" t="s">
        <v>8083</v>
      </c>
      <c r="H2294" t="s">
        <v>4196</v>
      </c>
      <c r="I2294" t="s">
        <v>3490</v>
      </c>
      <c r="J2294" s="56">
        <f t="shared" si="105"/>
        <v>33</v>
      </c>
      <c r="K2294" s="74" t="str">
        <f t="shared" si="106"/>
        <v>31-60 Days</v>
      </c>
      <c r="L2294" s="58" t="str">
        <f t="shared" si="107"/>
        <v>Especially Mentioned</v>
      </c>
    </row>
    <row r="2295" spans="1:12" ht="16.5" customHeight="1" x14ac:dyDescent="0.35">
      <c r="A2295" t="s">
        <v>1237</v>
      </c>
      <c r="B2295" t="s">
        <v>1237</v>
      </c>
      <c r="C2295">
        <v>0</v>
      </c>
      <c r="D2295">
        <v>29103</v>
      </c>
      <c r="E2295" t="s">
        <v>8084</v>
      </c>
      <c r="F2295" t="s">
        <v>8085</v>
      </c>
      <c r="G2295" t="s">
        <v>8086</v>
      </c>
      <c r="H2295" t="s">
        <v>3532</v>
      </c>
      <c r="I2295" t="s">
        <v>3490</v>
      </c>
      <c r="J2295" s="56">
        <f t="shared" si="105"/>
        <v>33</v>
      </c>
      <c r="K2295" s="74" t="str">
        <f t="shared" si="106"/>
        <v>31-60 Days</v>
      </c>
      <c r="L2295" s="58" t="str">
        <f t="shared" si="107"/>
        <v>Not Applicable</v>
      </c>
    </row>
    <row r="2296" spans="1:12" ht="16.5" customHeight="1" x14ac:dyDescent="0.35">
      <c r="A2296" t="s">
        <v>1237</v>
      </c>
      <c r="B2296" t="s">
        <v>1237</v>
      </c>
      <c r="C2296">
        <v>0</v>
      </c>
      <c r="D2296">
        <v>30</v>
      </c>
      <c r="E2296" t="s">
        <v>8087</v>
      </c>
      <c r="F2296" t="s">
        <v>8087</v>
      </c>
      <c r="G2296" t="s">
        <v>8088</v>
      </c>
      <c r="H2296" t="s">
        <v>3489</v>
      </c>
      <c r="I2296" t="s">
        <v>3490</v>
      </c>
      <c r="J2296" s="56">
        <f t="shared" si="105"/>
        <v>33</v>
      </c>
      <c r="K2296" s="74" t="str">
        <f t="shared" si="106"/>
        <v>31-60 Days</v>
      </c>
      <c r="L2296" s="58" t="str">
        <f t="shared" si="107"/>
        <v>Not Applicable</v>
      </c>
    </row>
    <row r="2297" spans="1:12" ht="16.5" customHeight="1" x14ac:dyDescent="0.35">
      <c r="A2297" t="s">
        <v>1237</v>
      </c>
      <c r="B2297" t="s">
        <v>1237</v>
      </c>
      <c r="C2297">
        <v>0</v>
      </c>
      <c r="D2297">
        <v>235</v>
      </c>
      <c r="E2297" t="s">
        <v>8089</v>
      </c>
      <c r="F2297" t="s">
        <v>8089</v>
      </c>
      <c r="G2297" t="s">
        <v>8090</v>
      </c>
      <c r="H2297" t="s">
        <v>3489</v>
      </c>
      <c r="I2297" t="s">
        <v>3490</v>
      </c>
      <c r="J2297" s="56">
        <f t="shared" si="105"/>
        <v>33</v>
      </c>
      <c r="K2297" s="74" t="str">
        <f t="shared" si="106"/>
        <v>31-60 Days</v>
      </c>
      <c r="L2297" s="58" t="str">
        <f t="shared" si="107"/>
        <v>Not Applicable</v>
      </c>
    </row>
    <row r="2298" spans="1:12" ht="16.5" customHeight="1" x14ac:dyDescent="0.35">
      <c r="A2298" t="s">
        <v>1237</v>
      </c>
      <c r="B2298" t="s">
        <v>1237</v>
      </c>
      <c r="C2298">
        <v>0</v>
      </c>
      <c r="D2298">
        <v>2650</v>
      </c>
      <c r="E2298" t="s">
        <v>8091</v>
      </c>
      <c r="F2298" t="s">
        <v>8091</v>
      </c>
      <c r="G2298" t="s">
        <v>8092</v>
      </c>
      <c r="H2298" t="s">
        <v>3489</v>
      </c>
      <c r="I2298" t="s">
        <v>3490</v>
      </c>
      <c r="J2298" s="56">
        <f t="shared" si="105"/>
        <v>33</v>
      </c>
      <c r="K2298" s="74" t="str">
        <f t="shared" si="106"/>
        <v>31-60 Days</v>
      </c>
      <c r="L2298" s="58" t="str">
        <f t="shared" si="107"/>
        <v>Not Applicable</v>
      </c>
    </row>
    <row r="2299" spans="1:12" ht="16.5" customHeight="1" x14ac:dyDescent="0.35">
      <c r="A2299" t="s">
        <v>1237</v>
      </c>
      <c r="B2299" t="s">
        <v>1237</v>
      </c>
      <c r="C2299">
        <v>0</v>
      </c>
      <c r="D2299">
        <v>1000</v>
      </c>
      <c r="E2299" t="s">
        <v>8093</v>
      </c>
      <c r="F2299" t="s">
        <v>8094</v>
      </c>
      <c r="G2299" t="s">
        <v>8095</v>
      </c>
      <c r="H2299" t="s">
        <v>3489</v>
      </c>
      <c r="I2299" t="s">
        <v>3490</v>
      </c>
      <c r="J2299" s="56">
        <f t="shared" si="105"/>
        <v>33</v>
      </c>
      <c r="K2299" s="74" t="str">
        <f t="shared" si="106"/>
        <v>31-60 Days</v>
      </c>
      <c r="L2299" s="58" t="str">
        <f t="shared" si="107"/>
        <v>Not Applicable</v>
      </c>
    </row>
    <row r="2300" spans="1:12" ht="16.5" customHeight="1" x14ac:dyDescent="0.35">
      <c r="A2300" t="s">
        <v>1237</v>
      </c>
      <c r="B2300" t="s">
        <v>1237</v>
      </c>
      <c r="C2300">
        <v>0</v>
      </c>
      <c r="D2300">
        <v>30</v>
      </c>
      <c r="E2300" t="s">
        <v>8096</v>
      </c>
      <c r="F2300" t="s">
        <v>8096</v>
      </c>
      <c r="G2300" t="s">
        <v>8097</v>
      </c>
      <c r="H2300" t="s">
        <v>3489</v>
      </c>
      <c r="I2300" t="s">
        <v>3490</v>
      </c>
      <c r="J2300" s="56">
        <f t="shared" si="105"/>
        <v>33</v>
      </c>
      <c r="K2300" s="74" t="str">
        <f t="shared" si="106"/>
        <v>31-60 Days</v>
      </c>
      <c r="L2300" s="58" t="str">
        <f t="shared" si="107"/>
        <v>Not Applicable</v>
      </c>
    </row>
    <row r="2301" spans="1:12" ht="16.5" customHeight="1" x14ac:dyDescent="0.35">
      <c r="A2301" t="s">
        <v>1237</v>
      </c>
      <c r="B2301" t="s">
        <v>1237</v>
      </c>
      <c r="C2301">
        <v>0</v>
      </c>
      <c r="D2301">
        <v>1000</v>
      </c>
      <c r="E2301" t="s">
        <v>8098</v>
      </c>
      <c r="F2301" t="s">
        <v>8098</v>
      </c>
      <c r="G2301" t="s">
        <v>8099</v>
      </c>
      <c r="H2301" t="s">
        <v>3489</v>
      </c>
      <c r="I2301" t="s">
        <v>3490</v>
      </c>
      <c r="J2301" s="56">
        <f t="shared" si="105"/>
        <v>33</v>
      </c>
      <c r="K2301" s="74" t="str">
        <f t="shared" si="106"/>
        <v>31-60 Days</v>
      </c>
      <c r="L2301" s="58" t="str">
        <f t="shared" si="107"/>
        <v>Not Applicable</v>
      </c>
    </row>
    <row r="2302" spans="1:12" ht="16.5" customHeight="1" x14ac:dyDescent="0.35">
      <c r="A2302" t="s">
        <v>1257</v>
      </c>
      <c r="B2302" t="s">
        <v>1257</v>
      </c>
      <c r="C2302">
        <v>0</v>
      </c>
      <c r="D2302">
        <v>90518.53</v>
      </c>
      <c r="E2302" t="s">
        <v>8100</v>
      </c>
      <c r="F2302" t="s">
        <v>57</v>
      </c>
      <c r="G2302" t="s">
        <v>57</v>
      </c>
      <c r="H2302" t="s">
        <v>3914</v>
      </c>
      <c r="I2302" t="s">
        <v>3643</v>
      </c>
      <c r="J2302" s="56">
        <f t="shared" si="105"/>
        <v>32</v>
      </c>
      <c r="K2302" s="74" t="str">
        <f t="shared" si="106"/>
        <v>31-60 Days</v>
      </c>
      <c r="L2302" s="58" t="str">
        <f t="shared" si="107"/>
        <v>Not Applicable</v>
      </c>
    </row>
    <row r="2303" spans="1:12" ht="16.5" customHeight="1" x14ac:dyDescent="0.35">
      <c r="A2303" t="s">
        <v>1257</v>
      </c>
      <c r="B2303" t="s">
        <v>1257</v>
      </c>
      <c r="C2303">
        <v>0</v>
      </c>
      <c r="D2303">
        <v>1000</v>
      </c>
      <c r="E2303" t="s">
        <v>8101</v>
      </c>
      <c r="F2303" t="s">
        <v>8101</v>
      </c>
      <c r="G2303" t="s">
        <v>8102</v>
      </c>
      <c r="H2303" t="s">
        <v>3489</v>
      </c>
      <c r="I2303" t="s">
        <v>3490</v>
      </c>
      <c r="J2303" s="56">
        <f t="shared" si="105"/>
        <v>32</v>
      </c>
      <c r="K2303" s="74" t="str">
        <f t="shared" si="106"/>
        <v>31-60 Days</v>
      </c>
      <c r="L2303" s="58" t="str">
        <f t="shared" si="107"/>
        <v>Not Applicable</v>
      </c>
    </row>
    <row r="2304" spans="1:12" ht="16.5" customHeight="1" x14ac:dyDescent="0.35">
      <c r="A2304" t="s">
        <v>1257</v>
      </c>
      <c r="B2304" t="s">
        <v>1257</v>
      </c>
      <c r="C2304">
        <v>0</v>
      </c>
      <c r="D2304">
        <v>250</v>
      </c>
      <c r="E2304" t="s">
        <v>8103</v>
      </c>
      <c r="F2304" t="s">
        <v>8103</v>
      </c>
      <c r="G2304" t="s">
        <v>8104</v>
      </c>
      <c r="H2304" t="s">
        <v>3489</v>
      </c>
      <c r="I2304" t="s">
        <v>3490</v>
      </c>
      <c r="J2304" s="56">
        <f t="shared" si="105"/>
        <v>32</v>
      </c>
      <c r="K2304" s="74" t="str">
        <f t="shared" si="106"/>
        <v>31-60 Days</v>
      </c>
      <c r="L2304" s="58" t="str">
        <f t="shared" si="107"/>
        <v>Not Applicable</v>
      </c>
    </row>
    <row r="2305" spans="1:12" ht="16.5" customHeight="1" x14ac:dyDescent="0.35">
      <c r="A2305" t="s">
        <v>1257</v>
      </c>
      <c r="B2305" t="s">
        <v>1257</v>
      </c>
      <c r="C2305">
        <v>0</v>
      </c>
      <c r="D2305">
        <v>2100</v>
      </c>
      <c r="E2305" t="s">
        <v>8105</v>
      </c>
      <c r="F2305" t="s">
        <v>8106</v>
      </c>
      <c r="G2305" t="s">
        <v>8107</v>
      </c>
      <c r="H2305" t="s">
        <v>3532</v>
      </c>
      <c r="I2305" t="s">
        <v>3490</v>
      </c>
      <c r="J2305" s="56">
        <f t="shared" si="105"/>
        <v>32</v>
      </c>
      <c r="K2305" s="74" t="str">
        <f t="shared" si="106"/>
        <v>31-60 Days</v>
      </c>
      <c r="L2305" s="58" t="str">
        <f t="shared" si="107"/>
        <v>Not Applicable</v>
      </c>
    </row>
    <row r="2306" spans="1:12" ht="16.5" customHeight="1" x14ac:dyDescent="0.35">
      <c r="A2306" t="s">
        <v>1257</v>
      </c>
      <c r="B2306" t="s">
        <v>1257</v>
      </c>
      <c r="C2306">
        <v>0</v>
      </c>
      <c r="D2306">
        <v>1067.8</v>
      </c>
      <c r="E2306" t="s">
        <v>8108</v>
      </c>
      <c r="F2306" t="s">
        <v>6187</v>
      </c>
      <c r="G2306" t="s">
        <v>8109</v>
      </c>
      <c r="H2306" t="s">
        <v>3638</v>
      </c>
      <c r="I2306" t="s">
        <v>3486</v>
      </c>
      <c r="J2306" s="56">
        <f t="shared" si="105"/>
        <v>32</v>
      </c>
      <c r="K2306" s="74" t="str">
        <f t="shared" si="106"/>
        <v>31-60 Days</v>
      </c>
      <c r="L2306" s="58" t="str">
        <f t="shared" si="107"/>
        <v>Not Applicable</v>
      </c>
    </row>
    <row r="2307" spans="1:12" ht="16.5" customHeight="1" x14ac:dyDescent="0.35">
      <c r="A2307" t="s">
        <v>1257</v>
      </c>
      <c r="B2307" t="s">
        <v>1257</v>
      </c>
      <c r="C2307">
        <v>0</v>
      </c>
      <c r="D2307">
        <v>1000</v>
      </c>
      <c r="E2307" t="s">
        <v>8110</v>
      </c>
      <c r="F2307" t="s">
        <v>8110</v>
      </c>
      <c r="G2307" t="s">
        <v>8111</v>
      </c>
      <c r="H2307" t="s">
        <v>3489</v>
      </c>
      <c r="I2307" t="s">
        <v>3490</v>
      </c>
      <c r="J2307" s="56">
        <f t="shared" si="105"/>
        <v>32</v>
      </c>
      <c r="K2307" s="74" t="str">
        <f t="shared" si="106"/>
        <v>31-60 Days</v>
      </c>
      <c r="L2307" s="58" t="str">
        <f t="shared" si="107"/>
        <v>Not Applicable</v>
      </c>
    </row>
    <row r="2308" spans="1:12" ht="16.5" customHeight="1" x14ac:dyDescent="0.35">
      <c r="A2308" t="s">
        <v>1257</v>
      </c>
      <c r="B2308" t="s">
        <v>1257</v>
      </c>
      <c r="C2308">
        <v>0</v>
      </c>
      <c r="D2308">
        <v>1000</v>
      </c>
      <c r="E2308" t="s">
        <v>8112</v>
      </c>
      <c r="F2308" t="s">
        <v>3499</v>
      </c>
      <c r="G2308" t="s">
        <v>8113</v>
      </c>
      <c r="H2308" t="s">
        <v>3489</v>
      </c>
      <c r="I2308" t="s">
        <v>3490</v>
      </c>
      <c r="J2308" s="56">
        <f t="shared" si="105"/>
        <v>32</v>
      </c>
      <c r="K2308" s="74" t="str">
        <f t="shared" si="106"/>
        <v>31-60 Days</v>
      </c>
      <c r="L2308" s="58" t="str">
        <f t="shared" si="107"/>
        <v>Not Applicable</v>
      </c>
    </row>
    <row r="2309" spans="1:12" ht="16.5" customHeight="1" x14ac:dyDescent="0.35">
      <c r="A2309" t="s">
        <v>1257</v>
      </c>
      <c r="B2309" t="s">
        <v>1257</v>
      </c>
      <c r="C2309">
        <v>0</v>
      </c>
      <c r="D2309">
        <v>1000</v>
      </c>
      <c r="E2309" t="s">
        <v>8114</v>
      </c>
      <c r="F2309" t="s">
        <v>8115</v>
      </c>
      <c r="G2309" t="s">
        <v>8116</v>
      </c>
      <c r="H2309" t="s">
        <v>3489</v>
      </c>
      <c r="I2309" t="s">
        <v>3490</v>
      </c>
      <c r="J2309" s="56">
        <f t="shared" si="105"/>
        <v>32</v>
      </c>
      <c r="K2309" s="74" t="str">
        <f t="shared" si="106"/>
        <v>31-60 Days</v>
      </c>
      <c r="L2309" s="58" t="str">
        <f t="shared" si="107"/>
        <v>Not Applicable</v>
      </c>
    </row>
    <row r="2310" spans="1:12" ht="16.5" customHeight="1" x14ac:dyDescent="0.35">
      <c r="A2310" t="s">
        <v>1257</v>
      </c>
      <c r="B2310" t="s">
        <v>1257</v>
      </c>
      <c r="C2310">
        <v>0</v>
      </c>
      <c r="D2310">
        <v>50</v>
      </c>
      <c r="E2310" t="s">
        <v>8117</v>
      </c>
      <c r="F2310" t="s">
        <v>8118</v>
      </c>
      <c r="G2310" t="s">
        <v>8119</v>
      </c>
      <c r="H2310" t="s">
        <v>3532</v>
      </c>
      <c r="I2310" t="s">
        <v>3490</v>
      </c>
      <c r="J2310" s="56">
        <f t="shared" si="105"/>
        <v>32</v>
      </c>
      <c r="K2310" s="74" t="str">
        <f t="shared" si="106"/>
        <v>31-60 Days</v>
      </c>
      <c r="L2310" s="58" t="str">
        <f t="shared" si="107"/>
        <v>Not Applicable</v>
      </c>
    </row>
    <row r="2311" spans="1:12" ht="16.5" customHeight="1" x14ac:dyDescent="0.35">
      <c r="A2311" t="s">
        <v>1257</v>
      </c>
      <c r="B2311" t="s">
        <v>1257</v>
      </c>
      <c r="C2311">
        <v>0</v>
      </c>
      <c r="D2311">
        <v>3100</v>
      </c>
      <c r="E2311" t="s">
        <v>8120</v>
      </c>
      <c r="F2311" t="s">
        <v>8120</v>
      </c>
      <c r="G2311" t="s">
        <v>8121</v>
      </c>
      <c r="H2311" t="s">
        <v>3489</v>
      </c>
      <c r="I2311" t="s">
        <v>3490</v>
      </c>
      <c r="J2311" s="56">
        <f t="shared" si="105"/>
        <v>32</v>
      </c>
      <c r="K2311" s="74" t="str">
        <f t="shared" si="106"/>
        <v>31-60 Days</v>
      </c>
      <c r="L2311" s="58" t="str">
        <f t="shared" si="107"/>
        <v>Not Applicable</v>
      </c>
    </row>
    <row r="2312" spans="1:12" ht="16.5" customHeight="1" x14ac:dyDescent="0.35">
      <c r="A2312" t="s">
        <v>1257</v>
      </c>
      <c r="B2312" t="s">
        <v>1257</v>
      </c>
      <c r="C2312">
        <v>0</v>
      </c>
      <c r="D2312">
        <v>1000</v>
      </c>
      <c r="E2312" t="s">
        <v>8122</v>
      </c>
      <c r="F2312" t="s">
        <v>8123</v>
      </c>
      <c r="G2312" t="s">
        <v>8124</v>
      </c>
      <c r="H2312" t="s">
        <v>3489</v>
      </c>
      <c r="I2312" t="s">
        <v>3490</v>
      </c>
      <c r="J2312" s="56">
        <f t="shared" si="105"/>
        <v>32</v>
      </c>
      <c r="K2312" s="74" t="str">
        <f t="shared" si="106"/>
        <v>31-60 Days</v>
      </c>
      <c r="L2312" s="58" t="str">
        <f t="shared" si="107"/>
        <v>Not Applicable</v>
      </c>
    </row>
    <row r="2313" spans="1:12" ht="16.5" customHeight="1" x14ac:dyDescent="0.35">
      <c r="A2313" t="s">
        <v>1257</v>
      </c>
      <c r="B2313" t="s">
        <v>1257</v>
      </c>
      <c r="C2313">
        <v>0</v>
      </c>
      <c r="D2313">
        <v>250</v>
      </c>
      <c r="E2313" t="s">
        <v>8125</v>
      </c>
      <c r="F2313" t="s">
        <v>8125</v>
      </c>
      <c r="G2313" t="s">
        <v>8126</v>
      </c>
      <c r="H2313" t="s">
        <v>3489</v>
      </c>
      <c r="I2313" t="s">
        <v>3490</v>
      </c>
      <c r="J2313" s="56">
        <f t="shared" ref="J2313:J2376" si="108">IF(A2313="","",A$5-A2313)</f>
        <v>32</v>
      </c>
      <c r="K2313" s="74" t="str">
        <f t="shared" ref="K2313:K2376" si="109">IF(J2313="","",IF(J2313&lt;4,"0-3 Days",IF(J2313&lt;31,"4-30 Days",IF(J2313&lt;61,"31-60 Days",IF(J2313&lt;=90,"61-90 Days",IF(J2313&gt;90,"Above 90 Days","0"))))))</f>
        <v>31-60 Days</v>
      </c>
      <c r="L2313" s="58" t="str">
        <f t="shared" ref="L2313:L2376" si="110">IF(C2313="","",IF(C2313&gt;0,IF(J2313&lt;30,"Normal",IF(J2313&lt;60,"Especially Mentioned",IF(J2313&lt;90,"Substandard",IF(J2313&lt;=180,"Doubtful",IF(J2313&gt;180,"Loss","0"))))),"Not Applicable"))</f>
        <v>Not Applicable</v>
      </c>
    </row>
    <row r="2314" spans="1:12" ht="16.5" customHeight="1" x14ac:dyDescent="0.35">
      <c r="A2314" t="s">
        <v>1257</v>
      </c>
      <c r="B2314" t="s">
        <v>1257</v>
      </c>
      <c r="C2314">
        <v>0</v>
      </c>
      <c r="D2314">
        <v>2148.7800000000002</v>
      </c>
      <c r="E2314" t="s">
        <v>8127</v>
      </c>
      <c r="F2314" t="s">
        <v>8128</v>
      </c>
      <c r="G2314" t="s">
        <v>8129</v>
      </c>
      <c r="H2314" t="s">
        <v>3532</v>
      </c>
      <c r="I2314" t="s">
        <v>3490</v>
      </c>
      <c r="J2314" s="56">
        <f t="shared" si="108"/>
        <v>32</v>
      </c>
      <c r="K2314" s="74" t="str">
        <f t="shared" si="109"/>
        <v>31-60 Days</v>
      </c>
      <c r="L2314" s="58" t="str">
        <f t="shared" si="110"/>
        <v>Not Applicable</v>
      </c>
    </row>
    <row r="2315" spans="1:12" ht="16.5" customHeight="1" x14ac:dyDescent="0.35">
      <c r="A2315" t="s">
        <v>1257</v>
      </c>
      <c r="B2315" t="s">
        <v>1257</v>
      </c>
      <c r="C2315">
        <v>4000</v>
      </c>
      <c r="D2315">
        <v>0</v>
      </c>
      <c r="E2315" t="s">
        <v>8130</v>
      </c>
      <c r="F2315" t="s">
        <v>8130</v>
      </c>
      <c r="G2315" t="s">
        <v>8131</v>
      </c>
      <c r="H2315" t="s">
        <v>3476</v>
      </c>
      <c r="I2315" t="s">
        <v>3486</v>
      </c>
      <c r="J2315" s="56">
        <f t="shared" si="108"/>
        <v>32</v>
      </c>
      <c r="K2315" s="74" t="str">
        <f t="shared" si="109"/>
        <v>31-60 Days</v>
      </c>
      <c r="L2315" s="58" t="str">
        <f t="shared" si="110"/>
        <v>Especially Mentioned</v>
      </c>
    </row>
    <row r="2316" spans="1:12" ht="16.5" customHeight="1" x14ac:dyDescent="0.35">
      <c r="A2316" t="s">
        <v>1257</v>
      </c>
      <c r="B2316" t="s">
        <v>1257</v>
      </c>
      <c r="C2316">
        <v>299966.96999999997</v>
      </c>
      <c r="D2316">
        <v>0</v>
      </c>
      <c r="E2316" t="s">
        <v>8132</v>
      </c>
      <c r="F2316" t="s">
        <v>8132</v>
      </c>
      <c r="G2316" t="s">
        <v>8133</v>
      </c>
      <c r="H2316" t="s">
        <v>3455</v>
      </c>
      <c r="I2316" t="s">
        <v>3486</v>
      </c>
      <c r="J2316" s="56">
        <f t="shared" si="108"/>
        <v>32</v>
      </c>
      <c r="K2316" s="74" t="str">
        <f t="shared" si="109"/>
        <v>31-60 Days</v>
      </c>
      <c r="L2316" s="58" t="str">
        <f t="shared" si="110"/>
        <v>Especially Mentioned</v>
      </c>
    </row>
    <row r="2317" spans="1:12" ht="16.5" customHeight="1" x14ac:dyDescent="0.35">
      <c r="A2317" t="s">
        <v>1257</v>
      </c>
      <c r="B2317" t="s">
        <v>1257</v>
      </c>
      <c r="C2317">
        <v>0</v>
      </c>
      <c r="D2317">
        <v>1730</v>
      </c>
      <c r="E2317" t="s">
        <v>8134</v>
      </c>
      <c r="F2317" t="s">
        <v>8134</v>
      </c>
      <c r="G2317" t="s">
        <v>8135</v>
      </c>
      <c r="H2317" t="s">
        <v>3489</v>
      </c>
      <c r="I2317" t="s">
        <v>3490</v>
      </c>
      <c r="J2317" s="56">
        <f t="shared" si="108"/>
        <v>32</v>
      </c>
      <c r="K2317" s="74" t="str">
        <f t="shared" si="109"/>
        <v>31-60 Days</v>
      </c>
      <c r="L2317" s="58" t="str">
        <f t="shared" si="110"/>
        <v>Not Applicable</v>
      </c>
    </row>
    <row r="2318" spans="1:12" ht="16.5" customHeight="1" x14ac:dyDescent="0.35">
      <c r="A2318" t="s">
        <v>1257</v>
      </c>
      <c r="B2318" t="s">
        <v>1257</v>
      </c>
      <c r="C2318">
        <v>0</v>
      </c>
      <c r="D2318">
        <v>250</v>
      </c>
      <c r="E2318" t="s">
        <v>8136</v>
      </c>
      <c r="F2318" t="s">
        <v>8136</v>
      </c>
      <c r="G2318" t="s">
        <v>8137</v>
      </c>
      <c r="H2318" t="s">
        <v>3489</v>
      </c>
      <c r="I2318" t="s">
        <v>3490</v>
      </c>
      <c r="J2318" s="56">
        <f t="shared" si="108"/>
        <v>32</v>
      </c>
      <c r="K2318" s="74" t="str">
        <f t="shared" si="109"/>
        <v>31-60 Days</v>
      </c>
      <c r="L2318" s="58" t="str">
        <f t="shared" si="110"/>
        <v>Not Applicable</v>
      </c>
    </row>
    <row r="2319" spans="1:12" ht="16.5" customHeight="1" x14ac:dyDescent="0.35">
      <c r="A2319" t="s">
        <v>1257</v>
      </c>
      <c r="B2319" t="s">
        <v>1257</v>
      </c>
      <c r="C2319">
        <v>0</v>
      </c>
      <c r="D2319">
        <v>3050</v>
      </c>
      <c r="E2319" t="s">
        <v>8138</v>
      </c>
      <c r="F2319" t="s">
        <v>8138</v>
      </c>
      <c r="G2319" t="s">
        <v>8139</v>
      </c>
      <c r="H2319" t="s">
        <v>3489</v>
      </c>
      <c r="I2319" t="s">
        <v>3490</v>
      </c>
      <c r="J2319" s="56">
        <f t="shared" si="108"/>
        <v>32</v>
      </c>
      <c r="K2319" s="74" t="str">
        <f t="shared" si="109"/>
        <v>31-60 Days</v>
      </c>
      <c r="L2319" s="58" t="str">
        <f t="shared" si="110"/>
        <v>Not Applicable</v>
      </c>
    </row>
    <row r="2320" spans="1:12" ht="16.5" customHeight="1" x14ac:dyDescent="0.35">
      <c r="A2320" t="s">
        <v>1257</v>
      </c>
      <c r="B2320" t="s">
        <v>1257</v>
      </c>
      <c r="C2320">
        <v>0</v>
      </c>
      <c r="D2320">
        <v>2160</v>
      </c>
      <c r="E2320" t="s">
        <v>8140</v>
      </c>
      <c r="F2320" t="s">
        <v>6425</v>
      </c>
      <c r="G2320" t="s">
        <v>8141</v>
      </c>
      <c r="H2320" t="s">
        <v>3489</v>
      </c>
      <c r="I2320" t="s">
        <v>3486</v>
      </c>
      <c r="J2320" s="56">
        <f t="shared" si="108"/>
        <v>32</v>
      </c>
      <c r="K2320" s="74" t="str">
        <f t="shared" si="109"/>
        <v>31-60 Days</v>
      </c>
      <c r="L2320" s="58" t="str">
        <f t="shared" si="110"/>
        <v>Not Applicable</v>
      </c>
    </row>
    <row r="2321" spans="1:12" ht="16.5" customHeight="1" x14ac:dyDescent="0.35">
      <c r="A2321" t="s">
        <v>1257</v>
      </c>
      <c r="B2321" t="s">
        <v>1257</v>
      </c>
      <c r="C2321">
        <v>0</v>
      </c>
      <c r="D2321">
        <v>1000</v>
      </c>
      <c r="E2321" t="s">
        <v>8142</v>
      </c>
      <c r="F2321" t="s">
        <v>8143</v>
      </c>
      <c r="G2321" t="s">
        <v>8144</v>
      </c>
      <c r="H2321" t="s">
        <v>3489</v>
      </c>
      <c r="I2321" t="s">
        <v>3490</v>
      </c>
      <c r="J2321" s="56">
        <f t="shared" si="108"/>
        <v>32</v>
      </c>
      <c r="K2321" s="74" t="str">
        <f t="shared" si="109"/>
        <v>31-60 Days</v>
      </c>
      <c r="L2321" s="58" t="str">
        <f t="shared" si="110"/>
        <v>Not Applicable</v>
      </c>
    </row>
    <row r="2322" spans="1:12" ht="16.5" customHeight="1" x14ac:dyDescent="0.35">
      <c r="A2322" t="s">
        <v>1257</v>
      </c>
      <c r="B2322" t="s">
        <v>1257</v>
      </c>
      <c r="C2322">
        <v>0</v>
      </c>
      <c r="D2322">
        <v>1000</v>
      </c>
      <c r="E2322" t="s">
        <v>8145</v>
      </c>
      <c r="F2322" t="s">
        <v>8145</v>
      </c>
      <c r="G2322" t="s">
        <v>8146</v>
      </c>
      <c r="H2322" t="s">
        <v>3532</v>
      </c>
      <c r="I2322" t="s">
        <v>3490</v>
      </c>
      <c r="J2322" s="56">
        <f t="shared" si="108"/>
        <v>32</v>
      </c>
      <c r="K2322" s="74" t="str">
        <f t="shared" si="109"/>
        <v>31-60 Days</v>
      </c>
      <c r="L2322" s="58" t="str">
        <f t="shared" si="110"/>
        <v>Not Applicable</v>
      </c>
    </row>
    <row r="2323" spans="1:12" ht="16.5" customHeight="1" x14ac:dyDescent="0.35">
      <c r="A2323" t="s">
        <v>1257</v>
      </c>
      <c r="B2323" t="s">
        <v>1257</v>
      </c>
      <c r="C2323">
        <v>659629.87</v>
      </c>
      <c r="D2323">
        <v>0</v>
      </c>
      <c r="E2323" t="s">
        <v>8147</v>
      </c>
      <c r="F2323" t="s">
        <v>8147</v>
      </c>
      <c r="G2323" t="s">
        <v>8148</v>
      </c>
      <c r="H2323" t="s">
        <v>3455</v>
      </c>
      <c r="I2323" t="s">
        <v>3486</v>
      </c>
      <c r="J2323" s="56">
        <f t="shared" si="108"/>
        <v>32</v>
      </c>
      <c r="K2323" s="74" t="str">
        <f t="shared" si="109"/>
        <v>31-60 Days</v>
      </c>
      <c r="L2323" s="58" t="str">
        <f t="shared" si="110"/>
        <v>Especially Mentioned</v>
      </c>
    </row>
    <row r="2324" spans="1:12" ht="16.5" customHeight="1" x14ac:dyDescent="0.35">
      <c r="A2324" t="s">
        <v>1257</v>
      </c>
      <c r="B2324" t="s">
        <v>1257</v>
      </c>
      <c r="C2324">
        <v>0</v>
      </c>
      <c r="D2324">
        <v>600</v>
      </c>
      <c r="E2324" t="s">
        <v>8149</v>
      </c>
      <c r="F2324" t="s">
        <v>8150</v>
      </c>
      <c r="G2324" t="s">
        <v>8151</v>
      </c>
      <c r="H2324" t="s">
        <v>3532</v>
      </c>
      <c r="I2324" t="s">
        <v>3490</v>
      </c>
      <c r="J2324" s="56">
        <f t="shared" si="108"/>
        <v>32</v>
      </c>
      <c r="K2324" s="74" t="str">
        <f t="shared" si="109"/>
        <v>31-60 Days</v>
      </c>
      <c r="L2324" s="58" t="str">
        <f t="shared" si="110"/>
        <v>Not Applicable</v>
      </c>
    </row>
    <row r="2325" spans="1:12" ht="16.5" customHeight="1" x14ac:dyDescent="0.35">
      <c r="A2325" t="s">
        <v>1257</v>
      </c>
      <c r="B2325" t="s">
        <v>1257</v>
      </c>
      <c r="C2325">
        <v>0</v>
      </c>
      <c r="D2325">
        <v>1000</v>
      </c>
      <c r="E2325" t="s">
        <v>8152</v>
      </c>
      <c r="F2325" t="s">
        <v>8152</v>
      </c>
      <c r="G2325" t="s">
        <v>8153</v>
      </c>
      <c r="H2325" t="s">
        <v>3489</v>
      </c>
      <c r="I2325" t="s">
        <v>3490</v>
      </c>
      <c r="J2325" s="56">
        <f t="shared" si="108"/>
        <v>32</v>
      </c>
      <c r="K2325" s="74" t="str">
        <f t="shared" si="109"/>
        <v>31-60 Days</v>
      </c>
      <c r="L2325" s="58" t="str">
        <f t="shared" si="110"/>
        <v>Not Applicable</v>
      </c>
    </row>
    <row r="2326" spans="1:12" ht="16.5" customHeight="1" x14ac:dyDescent="0.35">
      <c r="A2326" t="s">
        <v>1257</v>
      </c>
      <c r="B2326" t="s">
        <v>1257</v>
      </c>
      <c r="C2326">
        <v>0</v>
      </c>
      <c r="D2326">
        <v>50</v>
      </c>
      <c r="E2326" t="s">
        <v>8154</v>
      </c>
      <c r="F2326" t="s">
        <v>8155</v>
      </c>
      <c r="G2326" t="s">
        <v>8156</v>
      </c>
      <c r="H2326" t="s">
        <v>3532</v>
      </c>
      <c r="I2326" t="s">
        <v>3490</v>
      </c>
      <c r="J2326" s="56">
        <f t="shared" si="108"/>
        <v>32</v>
      </c>
      <c r="K2326" s="74" t="str">
        <f t="shared" si="109"/>
        <v>31-60 Days</v>
      </c>
      <c r="L2326" s="58" t="str">
        <f t="shared" si="110"/>
        <v>Not Applicable</v>
      </c>
    </row>
    <row r="2327" spans="1:12" ht="16.5" customHeight="1" x14ac:dyDescent="0.35">
      <c r="A2327" t="s">
        <v>1257</v>
      </c>
      <c r="B2327" t="s">
        <v>1257</v>
      </c>
      <c r="C2327">
        <v>0</v>
      </c>
      <c r="D2327">
        <v>1000</v>
      </c>
      <c r="E2327" t="s">
        <v>8157</v>
      </c>
      <c r="F2327" t="s">
        <v>3499</v>
      </c>
      <c r="G2327" t="s">
        <v>8158</v>
      </c>
      <c r="H2327" t="s">
        <v>3489</v>
      </c>
      <c r="I2327" t="s">
        <v>3490</v>
      </c>
      <c r="J2327" s="56">
        <f t="shared" si="108"/>
        <v>32</v>
      </c>
      <c r="K2327" s="74" t="str">
        <f t="shared" si="109"/>
        <v>31-60 Days</v>
      </c>
      <c r="L2327" s="58" t="str">
        <f t="shared" si="110"/>
        <v>Not Applicable</v>
      </c>
    </row>
    <row r="2328" spans="1:12" ht="16.5" customHeight="1" x14ac:dyDescent="0.35">
      <c r="A2328" t="s">
        <v>1257</v>
      </c>
      <c r="B2328" t="s">
        <v>1257</v>
      </c>
      <c r="C2328">
        <v>0</v>
      </c>
      <c r="D2328">
        <v>50</v>
      </c>
      <c r="E2328" t="s">
        <v>8159</v>
      </c>
      <c r="F2328" t="s">
        <v>8160</v>
      </c>
      <c r="G2328" t="s">
        <v>8161</v>
      </c>
      <c r="H2328" t="s">
        <v>3532</v>
      </c>
      <c r="I2328" t="s">
        <v>3490</v>
      </c>
      <c r="J2328" s="56">
        <f t="shared" si="108"/>
        <v>32</v>
      </c>
      <c r="K2328" s="74" t="str">
        <f t="shared" si="109"/>
        <v>31-60 Days</v>
      </c>
      <c r="L2328" s="58" t="str">
        <f t="shared" si="110"/>
        <v>Not Applicable</v>
      </c>
    </row>
    <row r="2329" spans="1:12" ht="16.5" customHeight="1" x14ac:dyDescent="0.35">
      <c r="A2329" t="s">
        <v>1257</v>
      </c>
      <c r="B2329" t="s">
        <v>1257</v>
      </c>
      <c r="C2329">
        <v>0</v>
      </c>
      <c r="D2329">
        <v>1217817.6000000001</v>
      </c>
      <c r="E2329" t="s">
        <v>8162</v>
      </c>
      <c r="F2329" t="s">
        <v>8162</v>
      </c>
      <c r="G2329" t="s">
        <v>8163</v>
      </c>
      <c r="H2329" t="s">
        <v>3489</v>
      </c>
      <c r="I2329" t="s">
        <v>3486</v>
      </c>
      <c r="J2329" s="56">
        <f t="shared" si="108"/>
        <v>32</v>
      </c>
      <c r="K2329" s="74" t="str">
        <f t="shared" si="109"/>
        <v>31-60 Days</v>
      </c>
      <c r="L2329" s="58" t="str">
        <f t="shared" si="110"/>
        <v>Not Applicable</v>
      </c>
    </row>
    <row r="2330" spans="1:12" ht="16.5" customHeight="1" x14ac:dyDescent="0.35">
      <c r="A2330" t="s">
        <v>1257</v>
      </c>
      <c r="B2330" t="s">
        <v>1257</v>
      </c>
      <c r="C2330">
        <v>0</v>
      </c>
      <c r="D2330">
        <v>1822.92</v>
      </c>
      <c r="E2330" t="s">
        <v>8164</v>
      </c>
      <c r="F2330" t="s">
        <v>8165</v>
      </c>
      <c r="G2330" t="s">
        <v>8166</v>
      </c>
      <c r="H2330" t="s">
        <v>3489</v>
      </c>
      <c r="I2330" t="s">
        <v>3486</v>
      </c>
      <c r="J2330" s="56">
        <f t="shared" si="108"/>
        <v>32</v>
      </c>
      <c r="K2330" s="74" t="str">
        <f t="shared" si="109"/>
        <v>31-60 Days</v>
      </c>
      <c r="L2330" s="58" t="str">
        <f t="shared" si="110"/>
        <v>Not Applicable</v>
      </c>
    </row>
    <row r="2331" spans="1:12" ht="16.5" customHeight="1" x14ac:dyDescent="0.35">
      <c r="A2331" t="s">
        <v>1270</v>
      </c>
      <c r="B2331" t="s">
        <v>1270</v>
      </c>
      <c r="C2331">
        <v>0</v>
      </c>
      <c r="D2331">
        <v>250</v>
      </c>
      <c r="E2331" t="s">
        <v>8167</v>
      </c>
      <c r="F2331" t="s">
        <v>8168</v>
      </c>
      <c r="G2331" t="s">
        <v>8169</v>
      </c>
      <c r="H2331" t="s">
        <v>3532</v>
      </c>
      <c r="I2331" t="s">
        <v>3490</v>
      </c>
      <c r="J2331" s="56">
        <f t="shared" si="108"/>
        <v>31</v>
      </c>
      <c r="K2331" s="74" t="str">
        <f t="shared" si="109"/>
        <v>31-60 Days</v>
      </c>
      <c r="L2331" s="58" t="str">
        <f t="shared" si="110"/>
        <v>Not Applicable</v>
      </c>
    </row>
    <row r="2332" spans="1:12" ht="16.5" customHeight="1" x14ac:dyDescent="0.35">
      <c r="A2332" t="s">
        <v>1270</v>
      </c>
      <c r="B2332" t="s">
        <v>1270</v>
      </c>
      <c r="C2332">
        <v>0</v>
      </c>
      <c r="D2332">
        <v>2050</v>
      </c>
      <c r="E2332" t="s">
        <v>8170</v>
      </c>
      <c r="F2332" t="s">
        <v>8170</v>
      </c>
      <c r="G2332" t="s">
        <v>8171</v>
      </c>
      <c r="H2332" t="s">
        <v>3489</v>
      </c>
      <c r="I2332" t="s">
        <v>3490</v>
      </c>
      <c r="J2332" s="56">
        <f t="shared" si="108"/>
        <v>31</v>
      </c>
      <c r="K2332" s="74" t="str">
        <f t="shared" si="109"/>
        <v>31-60 Days</v>
      </c>
      <c r="L2332" s="58" t="str">
        <f t="shared" si="110"/>
        <v>Not Applicable</v>
      </c>
    </row>
    <row r="2333" spans="1:12" ht="16.5" customHeight="1" x14ac:dyDescent="0.35">
      <c r="A2333" t="s">
        <v>1270</v>
      </c>
      <c r="B2333" t="s">
        <v>1270</v>
      </c>
      <c r="C2333">
        <v>0</v>
      </c>
      <c r="D2333">
        <v>10110</v>
      </c>
      <c r="E2333" t="s">
        <v>8172</v>
      </c>
      <c r="F2333" t="s">
        <v>57</v>
      </c>
      <c r="G2333" t="s">
        <v>57</v>
      </c>
      <c r="H2333" t="s">
        <v>3914</v>
      </c>
      <c r="I2333" t="s">
        <v>3643</v>
      </c>
      <c r="J2333" s="56">
        <f t="shared" si="108"/>
        <v>31</v>
      </c>
      <c r="K2333" s="74" t="str">
        <f t="shared" si="109"/>
        <v>31-60 Days</v>
      </c>
      <c r="L2333" s="58" t="str">
        <f t="shared" si="110"/>
        <v>Not Applicable</v>
      </c>
    </row>
    <row r="2334" spans="1:12" ht="16.5" customHeight="1" x14ac:dyDescent="0.35">
      <c r="A2334" t="s">
        <v>1270</v>
      </c>
      <c r="B2334" t="s">
        <v>1270</v>
      </c>
      <c r="C2334">
        <v>0</v>
      </c>
      <c r="D2334">
        <v>600</v>
      </c>
      <c r="E2334" t="s">
        <v>8173</v>
      </c>
      <c r="F2334" t="s">
        <v>8173</v>
      </c>
      <c r="G2334" t="s">
        <v>8174</v>
      </c>
      <c r="H2334" t="s">
        <v>8175</v>
      </c>
      <c r="I2334" t="s">
        <v>3490</v>
      </c>
      <c r="J2334" s="56">
        <f t="shared" si="108"/>
        <v>31</v>
      </c>
      <c r="K2334" s="74" t="str">
        <f t="shared" si="109"/>
        <v>31-60 Days</v>
      </c>
      <c r="L2334" s="58" t="str">
        <f t="shared" si="110"/>
        <v>Not Applicable</v>
      </c>
    </row>
    <row r="2335" spans="1:12" ht="16.5" customHeight="1" x14ac:dyDescent="0.35">
      <c r="A2335" t="s">
        <v>1270</v>
      </c>
      <c r="B2335" t="s">
        <v>1270</v>
      </c>
      <c r="C2335">
        <v>0</v>
      </c>
      <c r="D2335">
        <v>250</v>
      </c>
      <c r="E2335" t="s">
        <v>8176</v>
      </c>
      <c r="F2335" t="s">
        <v>8176</v>
      </c>
      <c r="G2335" t="s">
        <v>8177</v>
      </c>
      <c r="H2335" t="s">
        <v>3489</v>
      </c>
      <c r="I2335" t="s">
        <v>3490</v>
      </c>
      <c r="J2335" s="56">
        <f t="shared" si="108"/>
        <v>31</v>
      </c>
      <c r="K2335" s="74" t="str">
        <f t="shared" si="109"/>
        <v>31-60 Days</v>
      </c>
      <c r="L2335" s="58" t="str">
        <f t="shared" si="110"/>
        <v>Not Applicable</v>
      </c>
    </row>
    <row r="2336" spans="1:12" ht="16.5" customHeight="1" x14ac:dyDescent="0.35">
      <c r="A2336" t="s">
        <v>1270</v>
      </c>
      <c r="B2336" t="s">
        <v>1270</v>
      </c>
      <c r="C2336">
        <v>0</v>
      </c>
      <c r="D2336">
        <v>1550</v>
      </c>
      <c r="E2336" t="s">
        <v>8178</v>
      </c>
      <c r="F2336" t="s">
        <v>8179</v>
      </c>
      <c r="G2336" t="s">
        <v>8180</v>
      </c>
      <c r="H2336" t="s">
        <v>3494</v>
      </c>
      <c r="I2336" t="s">
        <v>3490</v>
      </c>
      <c r="J2336" s="56">
        <f t="shared" si="108"/>
        <v>31</v>
      </c>
      <c r="K2336" s="74" t="str">
        <f t="shared" si="109"/>
        <v>31-60 Days</v>
      </c>
      <c r="L2336" s="58" t="str">
        <f t="shared" si="110"/>
        <v>Not Applicable</v>
      </c>
    </row>
    <row r="2337" spans="1:12" ht="16.5" customHeight="1" x14ac:dyDescent="0.35">
      <c r="A2337" t="s">
        <v>1270</v>
      </c>
      <c r="B2337" t="s">
        <v>1270</v>
      </c>
      <c r="C2337">
        <v>0</v>
      </c>
      <c r="D2337">
        <v>600</v>
      </c>
      <c r="E2337" t="s">
        <v>8181</v>
      </c>
      <c r="F2337" t="s">
        <v>8181</v>
      </c>
      <c r="G2337" t="s">
        <v>8182</v>
      </c>
      <c r="H2337" t="s">
        <v>8175</v>
      </c>
      <c r="I2337" t="s">
        <v>3490</v>
      </c>
      <c r="J2337" s="56">
        <f t="shared" si="108"/>
        <v>31</v>
      </c>
      <c r="K2337" s="74" t="str">
        <f t="shared" si="109"/>
        <v>31-60 Days</v>
      </c>
      <c r="L2337" s="58" t="str">
        <f t="shared" si="110"/>
        <v>Not Applicable</v>
      </c>
    </row>
    <row r="2338" spans="1:12" ht="16.5" customHeight="1" x14ac:dyDescent="0.35">
      <c r="A2338" t="s">
        <v>1270</v>
      </c>
      <c r="B2338" t="s">
        <v>1270</v>
      </c>
      <c r="C2338">
        <v>0</v>
      </c>
      <c r="D2338">
        <v>100</v>
      </c>
      <c r="E2338" t="s">
        <v>8183</v>
      </c>
      <c r="F2338" t="s">
        <v>8183</v>
      </c>
      <c r="G2338" t="s">
        <v>8184</v>
      </c>
      <c r="H2338" t="s">
        <v>3489</v>
      </c>
      <c r="I2338" t="s">
        <v>3490</v>
      </c>
      <c r="J2338" s="56">
        <f t="shared" si="108"/>
        <v>31</v>
      </c>
      <c r="K2338" s="74" t="str">
        <f t="shared" si="109"/>
        <v>31-60 Days</v>
      </c>
      <c r="L2338" s="58" t="str">
        <f t="shared" si="110"/>
        <v>Not Applicable</v>
      </c>
    </row>
    <row r="2339" spans="1:12" ht="16.5" customHeight="1" x14ac:dyDescent="0.35">
      <c r="A2339" t="s">
        <v>1270</v>
      </c>
      <c r="B2339" t="s">
        <v>1270</v>
      </c>
      <c r="C2339">
        <v>0</v>
      </c>
      <c r="D2339">
        <v>200</v>
      </c>
      <c r="E2339" t="s">
        <v>8185</v>
      </c>
      <c r="F2339" t="s">
        <v>8185</v>
      </c>
      <c r="G2339" t="s">
        <v>8186</v>
      </c>
      <c r="H2339" t="s">
        <v>3489</v>
      </c>
      <c r="I2339" t="s">
        <v>3490</v>
      </c>
      <c r="J2339" s="56">
        <f t="shared" si="108"/>
        <v>31</v>
      </c>
      <c r="K2339" s="74" t="str">
        <f t="shared" si="109"/>
        <v>31-60 Days</v>
      </c>
      <c r="L2339" s="58" t="str">
        <f t="shared" si="110"/>
        <v>Not Applicable</v>
      </c>
    </row>
    <row r="2340" spans="1:12" ht="16.5" customHeight="1" x14ac:dyDescent="0.35">
      <c r="A2340" t="s">
        <v>1270</v>
      </c>
      <c r="B2340" t="s">
        <v>1270</v>
      </c>
      <c r="C2340">
        <v>0</v>
      </c>
      <c r="D2340">
        <v>280</v>
      </c>
      <c r="E2340" t="s">
        <v>8187</v>
      </c>
      <c r="F2340" t="s">
        <v>8187</v>
      </c>
      <c r="G2340" t="s">
        <v>8188</v>
      </c>
      <c r="H2340" t="s">
        <v>3489</v>
      </c>
      <c r="I2340" t="s">
        <v>3490</v>
      </c>
      <c r="J2340" s="56">
        <f t="shared" si="108"/>
        <v>31</v>
      </c>
      <c r="K2340" s="74" t="str">
        <f t="shared" si="109"/>
        <v>31-60 Days</v>
      </c>
      <c r="L2340" s="58" t="str">
        <f t="shared" si="110"/>
        <v>Not Applicable</v>
      </c>
    </row>
    <row r="2341" spans="1:12" ht="16.5" customHeight="1" x14ac:dyDescent="0.35">
      <c r="A2341" t="s">
        <v>1270</v>
      </c>
      <c r="B2341" t="s">
        <v>1270</v>
      </c>
      <c r="C2341">
        <v>0</v>
      </c>
      <c r="D2341">
        <v>600</v>
      </c>
      <c r="E2341" t="s">
        <v>8189</v>
      </c>
      <c r="F2341" t="s">
        <v>8189</v>
      </c>
      <c r="G2341" t="s">
        <v>8190</v>
      </c>
      <c r="H2341" t="s">
        <v>3489</v>
      </c>
      <c r="I2341" t="s">
        <v>3490</v>
      </c>
      <c r="J2341" s="56">
        <f t="shared" si="108"/>
        <v>31</v>
      </c>
      <c r="K2341" s="74" t="str">
        <f t="shared" si="109"/>
        <v>31-60 Days</v>
      </c>
      <c r="L2341" s="58" t="str">
        <f t="shared" si="110"/>
        <v>Not Applicable</v>
      </c>
    </row>
    <row r="2342" spans="1:12" ht="16.5" customHeight="1" x14ac:dyDescent="0.35">
      <c r="A2342" t="s">
        <v>1270</v>
      </c>
      <c r="B2342" t="s">
        <v>1270</v>
      </c>
      <c r="C2342">
        <v>0</v>
      </c>
      <c r="D2342">
        <v>50</v>
      </c>
      <c r="E2342" t="s">
        <v>8191</v>
      </c>
      <c r="F2342" t="s">
        <v>8192</v>
      </c>
      <c r="G2342" t="s">
        <v>8193</v>
      </c>
      <c r="H2342" t="s">
        <v>3532</v>
      </c>
      <c r="I2342" t="s">
        <v>3490</v>
      </c>
      <c r="J2342" s="56">
        <f t="shared" si="108"/>
        <v>31</v>
      </c>
      <c r="K2342" s="74" t="str">
        <f t="shared" si="109"/>
        <v>31-60 Days</v>
      </c>
      <c r="L2342" s="58" t="str">
        <f t="shared" si="110"/>
        <v>Not Applicable</v>
      </c>
    </row>
    <row r="2343" spans="1:12" ht="16.5" customHeight="1" x14ac:dyDescent="0.35">
      <c r="A2343" t="s">
        <v>1270</v>
      </c>
      <c r="B2343" t="s">
        <v>1270</v>
      </c>
      <c r="C2343">
        <v>0</v>
      </c>
      <c r="D2343">
        <v>3050</v>
      </c>
      <c r="E2343" t="s">
        <v>8194</v>
      </c>
      <c r="F2343" t="s">
        <v>8194</v>
      </c>
      <c r="G2343" t="s">
        <v>8195</v>
      </c>
      <c r="H2343" t="s">
        <v>3489</v>
      </c>
      <c r="I2343" t="s">
        <v>3490</v>
      </c>
      <c r="J2343" s="56">
        <f t="shared" si="108"/>
        <v>31</v>
      </c>
      <c r="K2343" s="74" t="str">
        <f t="shared" si="109"/>
        <v>31-60 Days</v>
      </c>
      <c r="L2343" s="58" t="str">
        <f t="shared" si="110"/>
        <v>Not Applicable</v>
      </c>
    </row>
    <row r="2344" spans="1:12" ht="16.5" customHeight="1" x14ac:dyDescent="0.35">
      <c r="A2344" t="s">
        <v>1270</v>
      </c>
      <c r="B2344" t="s">
        <v>1270</v>
      </c>
      <c r="C2344">
        <v>0</v>
      </c>
      <c r="D2344">
        <v>280</v>
      </c>
      <c r="E2344" t="s">
        <v>8196</v>
      </c>
      <c r="F2344" t="s">
        <v>8196</v>
      </c>
      <c r="G2344" t="s">
        <v>8197</v>
      </c>
      <c r="H2344" t="s">
        <v>3489</v>
      </c>
      <c r="I2344" t="s">
        <v>3490</v>
      </c>
      <c r="J2344" s="56">
        <f t="shared" si="108"/>
        <v>31</v>
      </c>
      <c r="K2344" s="74" t="str">
        <f t="shared" si="109"/>
        <v>31-60 Days</v>
      </c>
      <c r="L2344" s="58" t="str">
        <f t="shared" si="110"/>
        <v>Not Applicable</v>
      </c>
    </row>
    <row r="2345" spans="1:12" ht="16.5" customHeight="1" x14ac:dyDescent="0.35">
      <c r="A2345" t="s">
        <v>1270</v>
      </c>
      <c r="B2345" t="s">
        <v>1270</v>
      </c>
      <c r="C2345">
        <v>0</v>
      </c>
      <c r="D2345">
        <v>1550</v>
      </c>
      <c r="E2345" t="s">
        <v>8198</v>
      </c>
      <c r="F2345" t="s">
        <v>8198</v>
      </c>
      <c r="G2345" t="s">
        <v>8199</v>
      </c>
      <c r="H2345" t="s">
        <v>3489</v>
      </c>
      <c r="I2345" t="s">
        <v>3490</v>
      </c>
      <c r="J2345" s="56">
        <f t="shared" si="108"/>
        <v>31</v>
      </c>
      <c r="K2345" s="74" t="str">
        <f t="shared" si="109"/>
        <v>31-60 Days</v>
      </c>
      <c r="L2345" s="58" t="str">
        <f t="shared" si="110"/>
        <v>Not Applicable</v>
      </c>
    </row>
    <row r="2346" spans="1:12" ht="16.5" customHeight="1" x14ac:dyDescent="0.35">
      <c r="A2346" t="s">
        <v>1270</v>
      </c>
      <c r="B2346" t="s">
        <v>1270</v>
      </c>
      <c r="C2346">
        <v>0</v>
      </c>
      <c r="D2346">
        <v>280</v>
      </c>
      <c r="E2346" t="s">
        <v>8200</v>
      </c>
      <c r="F2346" t="s">
        <v>8200</v>
      </c>
      <c r="G2346" t="s">
        <v>8201</v>
      </c>
      <c r="H2346" t="s">
        <v>3489</v>
      </c>
      <c r="I2346" t="s">
        <v>3490</v>
      </c>
      <c r="J2346" s="56">
        <f t="shared" si="108"/>
        <v>31</v>
      </c>
      <c r="K2346" s="74" t="str">
        <f t="shared" si="109"/>
        <v>31-60 Days</v>
      </c>
      <c r="L2346" s="58" t="str">
        <f t="shared" si="110"/>
        <v>Not Applicable</v>
      </c>
    </row>
    <row r="2347" spans="1:12" ht="16.5" customHeight="1" x14ac:dyDescent="0.35">
      <c r="A2347" t="s">
        <v>1270</v>
      </c>
      <c r="B2347" t="s">
        <v>1270</v>
      </c>
      <c r="C2347">
        <v>0</v>
      </c>
      <c r="D2347">
        <v>1000</v>
      </c>
      <c r="E2347" t="s">
        <v>8202</v>
      </c>
      <c r="F2347" t="s">
        <v>8203</v>
      </c>
      <c r="G2347" t="s">
        <v>8204</v>
      </c>
      <c r="H2347" t="s">
        <v>3489</v>
      </c>
      <c r="I2347" t="s">
        <v>3490</v>
      </c>
      <c r="J2347" s="56">
        <f t="shared" si="108"/>
        <v>31</v>
      </c>
      <c r="K2347" s="74" t="str">
        <f t="shared" si="109"/>
        <v>31-60 Days</v>
      </c>
      <c r="L2347" s="58" t="str">
        <f t="shared" si="110"/>
        <v>Not Applicable</v>
      </c>
    </row>
    <row r="2348" spans="1:12" ht="16.5" customHeight="1" x14ac:dyDescent="0.35">
      <c r="A2348" t="s">
        <v>1270</v>
      </c>
      <c r="B2348" t="s">
        <v>1270</v>
      </c>
      <c r="C2348">
        <v>0</v>
      </c>
      <c r="D2348">
        <v>600</v>
      </c>
      <c r="E2348" t="s">
        <v>8205</v>
      </c>
      <c r="F2348" t="s">
        <v>8205</v>
      </c>
      <c r="G2348" t="s">
        <v>8206</v>
      </c>
      <c r="H2348" t="s">
        <v>3489</v>
      </c>
      <c r="I2348" t="s">
        <v>3490</v>
      </c>
      <c r="J2348" s="56">
        <f t="shared" si="108"/>
        <v>31</v>
      </c>
      <c r="K2348" s="74" t="str">
        <f t="shared" si="109"/>
        <v>31-60 Days</v>
      </c>
      <c r="L2348" s="58" t="str">
        <f t="shared" si="110"/>
        <v>Not Applicable</v>
      </c>
    </row>
    <row r="2349" spans="1:12" ht="16.5" customHeight="1" x14ac:dyDescent="0.35">
      <c r="A2349" t="s">
        <v>1270</v>
      </c>
      <c r="B2349" t="s">
        <v>1270</v>
      </c>
      <c r="C2349">
        <v>0</v>
      </c>
      <c r="D2349">
        <v>50</v>
      </c>
      <c r="E2349" t="s">
        <v>8207</v>
      </c>
      <c r="F2349" t="s">
        <v>8208</v>
      </c>
      <c r="G2349" t="s">
        <v>8209</v>
      </c>
      <c r="H2349" t="s">
        <v>3532</v>
      </c>
      <c r="I2349" t="s">
        <v>3490</v>
      </c>
      <c r="J2349" s="56">
        <f t="shared" si="108"/>
        <v>31</v>
      </c>
      <c r="K2349" s="74" t="str">
        <f t="shared" si="109"/>
        <v>31-60 Days</v>
      </c>
      <c r="L2349" s="58" t="str">
        <f t="shared" si="110"/>
        <v>Not Applicable</v>
      </c>
    </row>
    <row r="2350" spans="1:12" ht="16.5" customHeight="1" x14ac:dyDescent="0.35">
      <c r="A2350" t="s">
        <v>1270</v>
      </c>
      <c r="B2350" t="s">
        <v>1270</v>
      </c>
      <c r="C2350">
        <v>0</v>
      </c>
      <c r="D2350">
        <v>50</v>
      </c>
      <c r="E2350" t="s">
        <v>8210</v>
      </c>
      <c r="F2350" t="s">
        <v>8211</v>
      </c>
      <c r="G2350" t="s">
        <v>8212</v>
      </c>
      <c r="H2350" t="s">
        <v>3532</v>
      </c>
      <c r="I2350" t="s">
        <v>3490</v>
      </c>
      <c r="J2350" s="56">
        <f t="shared" si="108"/>
        <v>31</v>
      </c>
      <c r="K2350" s="74" t="str">
        <f t="shared" si="109"/>
        <v>31-60 Days</v>
      </c>
      <c r="L2350" s="58" t="str">
        <f t="shared" si="110"/>
        <v>Not Applicable</v>
      </c>
    </row>
    <row r="2351" spans="1:12" ht="16.5" customHeight="1" x14ac:dyDescent="0.35">
      <c r="A2351" t="s">
        <v>1270</v>
      </c>
      <c r="B2351" t="s">
        <v>1270</v>
      </c>
      <c r="C2351">
        <v>0</v>
      </c>
      <c r="D2351">
        <v>50</v>
      </c>
      <c r="E2351" t="s">
        <v>8213</v>
      </c>
      <c r="F2351" t="s">
        <v>8214</v>
      </c>
      <c r="G2351" t="s">
        <v>8215</v>
      </c>
      <c r="H2351" t="s">
        <v>3532</v>
      </c>
      <c r="I2351" t="s">
        <v>3490</v>
      </c>
      <c r="J2351" s="56">
        <f t="shared" si="108"/>
        <v>31</v>
      </c>
      <c r="K2351" s="74" t="str">
        <f t="shared" si="109"/>
        <v>31-60 Days</v>
      </c>
      <c r="L2351" s="58" t="str">
        <f t="shared" si="110"/>
        <v>Not Applicable</v>
      </c>
    </row>
    <row r="2352" spans="1:12" ht="16.5" customHeight="1" x14ac:dyDescent="0.35">
      <c r="A2352" t="s">
        <v>1270</v>
      </c>
      <c r="B2352" t="s">
        <v>1270</v>
      </c>
      <c r="C2352">
        <v>0</v>
      </c>
      <c r="D2352">
        <v>600</v>
      </c>
      <c r="E2352" t="s">
        <v>8216</v>
      </c>
      <c r="F2352" t="s">
        <v>8216</v>
      </c>
      <c r="G2352" t="s">
        <v>8217</v>
      </c>
      <c r="H2352" t="s">
        <v>3489</v>
      </c>
      <c r="I2352" t="s">
        <v>3490</v>
      </c>
      <c r="J2352" s="56">
        <f t="shared" si="108"/>
        <v>31</v>
      </c>
      <c r="K2352" s="74" t="str">
        <f t="shared" si="109"/>
        <v>31-60 Days</v>
      </c>
      <c r="L2352" s="58" t="str">
        <f t="shared" si="110"/>
        <v>Not Applicable</v>
      </c>
    </row>
    <row r="2353" spans="1:12" ht="16.5" customHeight="1" x14ac:dyDescent="0.35">
      <c r="A2353" t="s">
        <v>1270</v>
      </c>
      <c r="B2353" t="s">
        <v>1270</v>
      </c>
      <c r="C2353">
        <v>0</v>
      </c>
      <c r="D2353">
        <v>1000</v>
      </c>
      <c r="E2353" t="s">
        <v>8218</v>
      </c>
      <c r="F2353" t="s">
        <v>8219</v>
      </c>
      <c r="G2353" t="s">
        <v>8220</v>
      </c>
      <c r="H2353" t="s">
        <v>3489</v>
      </c>
      <c r="I2353" t="s">
        <v>3490</v>
      </c>
      <c r="J2353" s="56">
        <f t="shared" si="108"/>
        <v>31</v>
      </c>
      <c r="K2353" s="74" t="str">
        <f t="shared" si="109"/>
        <v>31-60 Days</v>
      </c>
      <c r="L2353" s="58" t="str">
        <f t="shared" si="110"/>
        <v>Not Applicable</v>
      </c>
    </row>
    <row r="2354" spans="1:12" ht="16.5" customHeight="1" x14ac:dyDescent="0.35">
      <c r="A2354" t="s">
        <v>1270</v>
      </c>
      <c r="B2354" t="s">
        <v>1270</v>
      </c>
      <c r="C2354">
        <v>0</v>
      </c>
      <c r="D2354">
        <v>992.38</v>
      </c>
      <c r="E2354" t="s">
        <v>8221</v>
      </c>
      <c r="F2354" t="s">
        <v>8221</v>
      </c>
      <c r="G2354" t="s">
        <v>8222</v>
      </c>
      <c r="H2354" t="s">
        <v>3489</v>
      </c>
      <c r="I2354" t="s">
        <v>3490</v>
      </c>
      <c r="J2354" s="56">
        <f t="shared" si="108"/>
        <v>31</v>
      </c>
      <c r="K2354" s="74" t="str">
        <f t="shared" si="109"/>
        <v>31-60 Days</v>
      </c>
      <c r="L2354" s="58" t="str">
        <f t="shared" si="110"/>
        <v>Not Applicable</v>
      </c>
    </row>
    <row r="2355" spans="1:12" ht="16.5" customHeight="1" x14ac:dyDescent="0.35">
      <c r="A2355" t="s">
        <v>1270</v>
      </c>
      <c r="B2355" t="s">
        <v>1270</v>
      </c>
      <c r="C2355">
        <v>0</v>
      </c>
      <c r="D2355">
        <v>550</v>
      </c>
      <c r="E2355" t="s">
        <v>8223</v>
      </c>
      <c r="F2355" t="s">
        <v>8223</v>
      </c>
      <c r="G2355" t="s">
        <v>8224</v>
      </c>
      <c r="H2355" t="s">
        <v>3489</v>
      </c>
      <c r="I2355" t="s">
        <v>3490</v>
      </c>
      <c r="J2355" s="56">
        <f t="shared" si="108"/>
        <v>31</v>
      </c>
      <c r="K2355" s="74" t="str">
        <f t="shared" si="109"/>
        <v>31-60 Days</v>
      </c>
      <c r="L2355" s="58" t="str">
        <f t="shared" si="110"/>
        <v>Not Applicable</v>
      </c>
    </row>
    <row r="2356" spans="1:12" ht="16.5" customHeight="1" x14ac:dyDescent="0.35">
      <c r="A2356" t="s">
        <v>1270</v>
      </c>
      <c r="B2356" t="s">
        <v>1270</v>
      </c>
      <c r="C2356">
        <v>0</v>
      </c>
      <c r="D2356">
        <v>1000</v>
      </c>
      <c r="E2356" t="s">
        <v>8225</v>
      </c>
      <c r="F2356" t="s">
        <v>8226</v>
      </c>
      <c r="G2356" t="s">
        <v>8227</v>
      </c>
      <c r="H2356" t="s">
        <v>3489</v>
      </c>
      <c r="I2356" t="s">
        <v>3490</v>
      </c>
      <c r="J2356" s="56">
        <f t="shared" si="108"/>
        <v>31</v>
      </c>
      <c r="K2356" s="74" t="str">
        <f t="shared" si="109"/>
        <v>31-60 Days</v>
      </c>
      <c r="L2356" s="58" t="str">
        <f t="shared" si="110"/>
        <v>Not Applicable</v>
      </c>
    </row>
    <row r="2357" spans="1:12" ht="16.5" customHeight="1" x14ac:dyDescent="0.35">
      <c r="A2357" t="s">
        <v>1270</v>
      </c>
      <c r="B2357" t="s">
        <v>1270</v>
      </c>
      <c r="C2357">
        <v>0</v>
      </c>
      <c r="D2357">
        <v>50</v>
      </c>
      <c r="E2357" t="s">
        <v>8228</v>
      </c>
      <c r="F2357" t="s">
        <v>8229</v>
      </c>
      <c r="G2357" t="s">
        <v>8230</v>
      </c>
      <c r="H2357" t="s">
        <v>3532</v>
      </c>
      <c r="I2357" t="s">
        <v>3490</v>
      </c>
      <c r="J2357" s="56">
        <f t="shared" si="108"/>
        <v>31</v>
      </c>
      <c r="K2357" s="74" t="str">
        <f t="shared" si="109"/>
        <v>31-60 Days</v>
      </c>
      <c r="L2357" s="58" t="str">
        <f t="shared" si="110"/>
        <v>Not Applicable</v>
      </c>
    </row>
    <row r="2358" spans="1:12" ht="16.5" customHeight="1" x14ac:dyDescent="0.35">
      <c r="A2358" t="s">
        <v>1270</v>
      </c>
      <c r="B2358" t="s">
        <v>1270</v>
      </c>
      <c r="C2358">
        <v>0</v>
      </c>
      <c r="D2358">
        <v>2650</v>
      </c>
      <c r="E2358" t="s">
        <v>8231</v>
      </c>
      <c r="F2358" t="s">
        <v>8231</v>
      </c>
      <c r="G2358" t="s">
        <v>8232</v>
      </c>
      <c r="H2358" t="s">
        <v>3489</v>
      </c>
      <c r="I2358" t="s">
        <v>3490</v>
      </c>
      <c r="J2358" s="56">
        <f t="shared" si="108"/>
        <v>31</v>
      </c>
      <c r="K2358" s="74" t="str">
        <f t="shared" si="109"/>
        <v>31-60 Days</v>
      </c>
      <c r="L2358" s="58" t="str">
        <f t="shared" si="110"/>
        <v>Not Applicable</v>
      </c>
    </row>
    <row r="2359" spans="1:12" ht="16.5" customHeight="1" x14ac:dyDescent="0.35">
      <c r="A2359" t="s">
        <v>1270</v>
      </c>
      <c r="B2359" t="s">
        <v>1270</v>
      </c>
      <c r="C2359">
        <v>0</v>
      </c>
      <c r="D2359">
        <v>1000</v>
      </c>
      <c r="E2359" t="s">
        <v>8233</v>
      </c>
      <c r="F2359" t="s">
        <v>8234</v>
      </c>
      <c r="G2359" t="s">
        <v>8235</v>
      </c>
      <c r="H2359" t="s">
        <v>3489</v>
      </c>
      <c r="I2359" t="s">
        <v>3490</v>
      </c>
      <c r="J2359" s="56">
        <f t="shared" si="108"/>
        <v>31</v>
      </c>
      <c r="K2359" s="74" t="str">
        <f t="shared" si="109"/>
        <v>31-60 Days</v>
      </c>
      <c r="L2359" s="58" t="str">
        <f t="shared" si="110"/>
        <v>Not Applicable</v>
      </c>
    </row>
    <row r="2360" spans="1:12" ht="16.5" customHeight="1" x14ac:dyDescent="0.35">
      <c r="A2360" t="s">
        <v>1270</v>
      </c>
      <c r="B2360" t="s">
        <v>1270</v>
      </c>
      <c r="C2360">
        <v>0</v>
      </c>
      <c r="D2360">
        <v>50</v>
      </c>
      <c r="E2360" t="s">
        <v>8236</v>
      </c>
      <c r="F2360" t="s">
        <v>8237</v>
      </c>
      <c r="G2360" t="s">
        <v>8238</v>
      </c>
      <c r="H2360" t="s">
        <v>3532</v>
      </c>
      <c r="I2360" t="s">
        <v>3490</v>
      </c>
      <c r="J2360" s="56">
        <f t="shared" si="108"/>
        <v>31</v>
      </c>
      <c r="K2360" s="74" t="str">
        <f t="shared" si="109"/>
        <v>31-60 Days</v>
      </c>
      <c r="L2360" s="58" t="str">
        <f t="shared" si="110"/>
        <v>Not Applicable</v>
      </c>
    </row>
    <row r="2361" spans="1:12" ht="16.5" customHeight="1" x14ac:dyDescent="0.35">
      <c r="A2361" t="s">
        <v>1270</v>
      </c>
      <c r="B2361" t="s">
        <v>1270</v>
      </c>
      <c r="C2361">
        <v>0</v>
      </c>
      <c r="D2361">
        <v>1000</v>
      </c>
      <c r="E2361" t="s">
        <v>8239</v>
      </c>
      <c r="F2361" t="s">
        <v>8239</v>
      </c>
      <c r="G2361" t="s">
        <v>8240</v>
      </c>
      <c r="H2361" t="s">
        <v>3489</v>
      </c>
      <c r="I2361" t="s">
        <v>3490</v>
      </c>
      <c r="J2361" s="56">
        <f t="shared" si="108"/>
        <v>31</v>
      </c>
      <c r="K2361" s="74" t="str">
        <f t="shared" si="109"/>
        <v>31-60 Days</v>
      </c>
      <c r="L2361" s="58" t="str">
        <f t="shared" si="110"/>
        <v>Not Applicable</v>
      </c>
    </row>
    <row r="2362" spans="1:12" ht="16.5" customHeight="1" x14ac:dyDescent="0.35">
      <c r="A2362" t="s">
        <v>1270</v>
      </c>
      <c r="B2362" t="s">
        <v>1270</v>
      </c>
      <c r="C2362">
        <v>0</v>
      </c>
      <c r="D2362">
        <v>600</v>
      </c>
      <c r="E2362" t="s">
        <v>8241</v>
      </c>
      <c r="F2362" t="s">
        <v>8241</v>
      </c>
      <c r="G2362" t="s">
        <v>8242</v>
      </c>
      <c r="H2362" t="s">
        <v>3489</v>
      </c>
      <c r="I2362" t="s">
        <v>3490</v>
      </c>
      <c r="J2362" s="56">
        <f t="shared" si="108"/>
        <v>31</v>
      </c>
      <c r="K2362" s="74" t="str">
        <f t="shared" si="109"/>
        <v>31-60 Days</v>
      </c>
      <c r="L2362" s="58" t="str">
        <f t="shared" si="110"/>
        <v>Not Applicable</v>
      </c>
    </row>
    <row r="2363" spans="1:12" ht="16.5" customHeight="1" x14ac:dyDescent="0.35">
      <c r="A2363" t="s">
        <v>1270</v>
      </c>
      <c r="B2363" t="s">
        <v>1270</v>
      </c>
      <c r="C2363">
        <v>0</v>
      </c>
      <c r="D2363">
        <v>8296</v>
      </c>
      <c r="E2363" t="s">
        <v>8243</v>
      </c>
      <c r="F2363" t="s">
        <v>8244</v>
      </c>
      <c r="G2363" t="s">
        <v>8245</v>
      </c>
      <c r="H2363" t="s">
        <v>3532</v>
      </c>
      <c r="I2363" t="s">
        <v>3490</v>
      </c>
      <c r="J2363" s="56">
        <f t="shared" si="108"/>
        <v>31</v>
      </c>
      <c r="K2363" s="74" t="str">
        <f t="shared" si="109"/>
        <v>31-60 Days</v>
      </c>
      <c r="L2363" s="58" t="str">
        <f t="shared" si="110"/>
        <v>Not Applicable</v>
      </c>
    </row>
    <row r="2364" spans="1:12" ht="16.5" customHeight="1" x14ac:dyDescent="0.35">
      <c r="A2364" t="s">
        <v>1270</v>
      </c>
      <c r="B2364" t="s">
        <v>1270</v>
      </c>
      <c r="C2364">
        <v>0</v>
      </c>
      <c r="D2364">
        <v>50</v>
      </c>
      <c r="E2364" t="s">
        <v>8246</v>
      </c>
      <c r="F2364" t="s">
        <v>8247</v>
      </c>
      <c r="G2364" t="s">
        <v>8248</v>
      </c>
      <c r="H2364" t="s">
        <v>3532</v>
      </c>
      <c r="I2364" t="s">
        <v>3490</v>
      </c>
      <c r="J2364" s="56">
        <f t="shared" si="108"/>
        <v>31</v>
      </c>
      <c r="K2364" s="74" t="str">
        <f t="shared" si="109"/>
        <v>31-60 Days</v>
      </c>
      <c r="L2364" s="58" t="str">
        <f t="shared" si="110"/>
        <v>Not Applicable</v>
      </c>
    </row>
    <row r="2365" spans="1:12" ht="16.5" customHeight="1" x14ac:dyDescent="0.35">
      <c r="A2365" t="s">
        <v>1270</v>
      </c>
      <c r="B2365" t="s">
        <v>1270</v>
      </c>
      <c r="C2365">
        <v>0</v>
      </c>
      <c r="D2365">
        <v>1000</v>
      </c>
      <c r="E2365" t="s">
        <v>8249</v>
      </c>
      <c r="F2365" t="s">
        <v>8250</v>
      </c>
      <c r="G2365" t="s">
        <v>8251</v>
      </c>
      <c r="H2365" t="s">
        <v>3489</v>
      </c>
      <c r="I2365" t="s">
        <v>3490</v>
      </c>
      <c r="J2365" s="56">
        <f t="shared" si="108"/>
        <v>31</v>
      </c>
      <c r="K2365" s="74" t="str">
        <f t="shared" si="109"/>
        <v>31-60 Days</v>
      </c>
      <c r="L2365" s="58" t="str">
        <f t="shared" si="110"/>
        <v>Not Applicable</v>
      </c>
    </row>
    <row r="2366" spans="1:12" ht="16.5" customHeight="1" x14ac:dyDescent="0.35">
      <c r="A2366" t="s">
        <v>1270</v>
      </c>
      <c r="B2366" t="s">
        <v>1270</v>
      </c>
      <c r="C2366">
        <v>0</v>
      </c>
      <c r="D2366">
        <v>250</v>
      </c>
      <c r="E2366" t="s">
        <v>8252</v>
      </c>
      <c r="F2366" t="s">
        <v>8252</v>
      </c>
      <c r="G2366" t="s">
        <v>8253</v>
      </c>
      <c r="H2366" t="s">
        <v>3489</v>
      </c>
      <c r="I2366" t="s">
        <v>3490</v>
      </c>
      <c r="J2366" s="56">
        <f t="shared" si="108"/>
        <v>31</v>
      </c>
      <c r="K2366" s="74" t="str">
        <f t="shared" si="109"/>
        <v>31-60 Days</v>
      </c>
      <c r="L2366" s="58" t="str">
        <f t="shared" si="110"/>
        <v>Not Applicable</v>
      </c>
    </row>
    <row r="2367" spans="1:12" ht="16.5" customHeight="1" x14ac:dyDescent="0.35">
      <c r="A2367" t="s">
        <v>1270</v>
      </c>
      <c r="B2367" t="s">
        <v>1270</v>
      </c>
      <c r="C2367">
        <v>0</v>
      </c>
      <c r="D2367">
        <v>2050</v>
      </c>
      <c r="E2367" t="s">
        <v>8254</v>
      </c>
      <c r="F2367" t="s">
        <v>8254</v>
      </c>
      <c r="G2367" t="s">
        <v>8255</v>
      </c>
      <c r="H2367" t="s">
        <v>3489</v>
      </c>
      <c r="I2367" t="s">
        <v>3490</v>
      </c>
      <c r="J2367" s="56">
        <f t="shared" si="108"/>
        <v>31</v>
      </c>
      <c r="K2367" s="74" t="str">
        <f t="shared" si="109"/>
        <v>31-60 Days</v>
      </c>
      <c r="L2367" s="58" t="str">
        <f t="shared" si="110"/>
        <v>Not Applicable</v>
      </c>
    </row>
    <row r="2368" spans="1:12" ht="16.5" customHeight="1" x14ac:dyDescent="0.35">
      <c r="A2368" t="s">
        <v>1270</v>
      </c>
      <c r="B2368" t="s">
        <v>1270</v>
      </c>
      <c r="C2368">
        <v>0</v>
      </c>
      <c r="D2368">
        <v>100</v>
      </c>
      <c r="E2368" t="s">
        <v>8256</v>
      </c>
      <c r="F2368" t="s">
        <v>8256</v>
      </c>
      <c r="G2368" t="s">
        <v>8257</v>
      </c>
      <c r="H2368" t="s">
        <v>3489</v>
      </c>
      <c r="I2368" t="s">
        <v>3490</v>
      </c>
      <c r="J2368" s="56">
        <f t="shared" si="108"/>
        <v>31</v>
      </c>
      <c r="K2368" s="74" t="str">
        <f t="shared" si="109"/>
        <v>31-60 Days</v>
      </c>
      <c r="L2368" s="58" t="str">
        <f t="shared" si="110"/>
        <v>Not Applicable</v>
      </c>
    </row>
    <row r="2369" spans="1:12" ht="16.5" customHeight="1" x14ac:dyDescent="0.35">
      <c r="A2369" t="s">
        <v>1270</v>
      </c>
      <c r="B2369" t="s">
        <v>1270</v>
      </c>
      <c r="C2369">
        <v>0</v>
      </c>
      <c r="D2369">
        <v>50</v>
      </c>
      <c r="E2369" t="s">
        <v>8258</v>
      </c>
      <c r="F2369" t="s">
        <v>8259</v>
      </c>
      <c r="G2369" t="s">
        <v>8260</v>
      </c>
      <c r="H2369" t="s">
        <v>3532</v>
      </c>
      <c r="I2369" t="s">
        <v>3490</v>
      </c>
      <c r="J2369" s="56">
        <f t="shared" si="108"/>
        <v>31</v>
      </c>
      <c r="K2369" s="74" t="str">
        <f t="shared" si="109"/>
        <v>31-60 Days</v>
      </c>
      <c r="L2369" s="58" t="str">
        <f t="shared" si="110"/>
        <v>Not Applicable</v>
      </c>
    </row>
    <row r="2370" spans="1:12" ht="16.5" customHeight="1" x14ac:dyDescent="0.35">
      <c r="A2370" t="s">
        <v>1270</v>
      </c>
      <c r="B2370" t="s">
        <v>1270</v>
      </c>
      <c r="C2370">
        <v>0</v>
      </c>
      <c r="D2370">
        <v>1919.93</v>
      </c>
      <c r="E2370" t="s">
        <v>8261</v>
      </c>
      <c r="F2370" t="s">
        <v>8262</v>
      </c>
      <c r="G2370" t="s">
        <v>8263</v>
      </c>
      <c r="H2370" t="s">
        <v>3489</v>
      </c>
      <c r="I2370" t="s">
        <v>3507</v>
      </c>
      <c r="J2370" s="56">
        <f t="shared" si="108"/>
        <v>31</v>
      </c>
      <c r="K2370" s="74" t="str">
        <f t="shared" si="109"/>
        <v>31-60 Days</v>
      </c>
      <c r="L2370" s="58" t="str">
        <f t="shared" si="110"/>
        <v>Not Applicable</v>
      </c>
    </row>
    <row r="2371" spans="1:12" ht="16.5" customHeight="1" x14ac:dyDescent="0.35">
      <c r="A2371" t="s">
        <v>1270</v>
      </c>
      <c r="B2371" t="s">
        <v>1270</v>
      </c>
      <c r="C2371">
        <v>0</v>
      </c>
      <c r="D2371">
        <v>1000</v>
      </c>
      <c r="E2371" t="s">
        <v>8264</v>
      </c>
      <c r="F2371" t="s">
        <v>8265</v>
      </c>
      <c r="G2371" t="s">
        <v>8266</v>
      </c>
      <c r="H2371" t="s">
        <v>3532</v>
      </c>
      <c r="I2371" t="s">
        <v>3490</v>
      </c>
      <c r="J2371" s="56">
        <f t="shared" si="108"/>
        <v>31</v>
      </c>
      <c r="K2371" s="74" t="str">
        <f t="shared" si="109"/>
        <v>31-60 Days</v>
      </c>
      <c r="L2371" s="58" t="str">
        <f t="shared" si="110"/>
        <v>Not Applicable</v>
      </c>
    </row>
    <row r="2372" spans="1:12" ht="16.5" customHeight="1" x14ac:dyDescent="0.35">
      <c r="A2372" t="s">
        <v>1270</v>
      </c>
      <c r="B2372" t="s">
        <v>1270</v>
      </c>
      <c r="C2372">
        <v>0</v>
      </c>
      <c r="D2372">
        <v>280</v>
      </c>
      <c r="E2372" t="s">
        <v>8267</v>
      </c>
      <c r="F2372" t="s">
        <v>8267</v>
      </c>
      <c r="G2372" t="s">
        <v>8268</v>
      </c>
      <c r="H2372" t="s">
        <v>3489</v>
      </c>
      <c r="I2372" t="s">
        <v>3490</v>
      </c>
      <c r="J2372" s="56">
        <f t="shared" si="108"/>
        <v>31</v>
      </c>
      <c r="K2372" s="74" t="str">
        <f t="shared" si="109"/>
        <v>31-60 Days</v>
      </c>
      <c r="L2372" s="58" t="str">
        <f t="shared" si="110"/>
        <v>Not Applicable</v>
      </c>
    </row>
    <row r="2373" spans="1:12" ht="16.5" customHeight="1" x14ac:dyDescent="0.35">
      <c r="A2373" t="s">
        <v>1270</v>
      </c>
      <c r="B2373" t="s">
        <v>1270</v>
      </c>
      <c r="C2373">
        <v>0</v>
      </c>
      <c r="D2373">
        <v>140</v>
      </c>
      <c r="E2373" t="s">
        <v>8269</v>
      </c>
      <c r="F2373" t="s">
        <v>8269</v>
      </c>
      <c r="G2373" t="s">
        <v>8270</v>
      </c>
      <c r="H2373" t="s">
        <v>3489</v>
      </c>
      <c r="I2373" t="s">
        <v>3490</v>
      </c>
      <c r="J2373" s="56">
        <f t="shared" si="108"/>
        <v>31</v>
      </c>
      <c r="K2373" s="74" t="str">
        <f t="shared" si="109"/>
        <v>31-60 Days</v>
      </c>
      <c r="L2373" s="58" t="str">
        <f t="shared" si="110"/>
        <v>Not Applicable</v>
      </c>
    </row>
    <row r="2374" spans="1:12" ht="16.5" customHeight="1" x14ac:dyDescent="0.35">
      <c r="A2374" t="s">
        <v>1270</v>
      </c>
      <c r="B2374" t="s">
        <v>1270</v>
      </c>
      <c r="C2374">
        <v>0</v>
      </c>
      <c r="D2374">
        <v>50</v>
      </c>
      <c r="E2374" t="s">
        <v>8271</v>
      </c>
      <c r="F2374" t="s">
        <v>8272</v>
      </c>
      <c r="G2374" t="s">
        <v>8273</v>
      </c>
      <c r="H2374" t="s">
        <v>3532</v>
      </c>
      <c r="I2374" t="s">
        <v>3490</v>
      </c>
      <c r="J2374" s="56">
        <f t="shared" si="108"/>
        <v>31</v>
      </c>
      <c r="K2374" s="74" t="str">
        <f t="shared" si="109"/>
        <v>31-60 Days</v>
      </c>
      <c r="L2374" s="58" t="str">
        <f t="shared" si="110"/>
        <v>Not Applicable</v>
      </c>
    </row>
    <row r="2375" spans="1:12" ht="16.5" customHeight="1" x14ac:dyDescent="0.35">
      <c r="A2375" t="s">
        <v>1270</v>
      </c>
      <c r="B2375" t="s">
        <v>1270</v>
      </c>
      <c r="C2375">
        <v>0</v>
      </c>
      <c r="D2375">
        <v>600</v>
      </c>
      <c r="E2375" t="s">
        <v>8274</v>
      </c>
      <c r="F2375" t="s">
        <v>8274</v>
      </c>
      <c r="G2375" t="s">
        <v>8275</v>
      </c>
      <c r="H2375" t="s">
        <v>8175</v>
      </c>
      <c r="I2375" t="s">
        <v>3490</v>
      </c>
      <c r="J2375" s="56">
        <f t="shared" si="108"/>
        <v>31</v>
      </c>
      <c r="K2375" s="74" t="str">
        <f t="shared" si="109"/>
        <v>31-60 Days</v>
      </c>
      <c r="L2375" s="58" t="str">
        <f t="shared" si="110"/>
        <v>Not Applicable</v>
      </c>
    </row>
    <row r="2376" spans="1:12" ht="16.5" customHeight="1" x14ac:dyDescent="0.35">
      <c r="A2376" t="s">
        <v>1270</v>
      </c>
      <c r="B2376" t="s">
        <v>1270</v>
      </c>
      <c r="C2376">
        <v>0</v>
      </c>
      <c r="D2376">
        <v>600</v>
      </c>
      <c r="E2376" t="s">
        <v>8276</v>
      </c>
      <c r="F2376" t="s">
        <v>8276</v>
      </c>
      <c r="G2376" t="s">
        <v>8277</v>
      </c>
      <c r="H2376" t="s">
        <v>8175</v>
      </c>
      <c r="I2376" t="s">
        <v>3490</v>
      </c>
      <c r="J2376" s="56">
        <f t="shared" si="108"/>
        <v>31</v>
      </c>
      <c r="K2376" s="74" t="str">
        <f t="shared" si="109"/>
        <v>31-60 Days</v>
      </c>
      <c r="L2376" s="58" t="str">
        <f t="shared" si="110"/>
        <v>Not Applicable</v>
      </c>
    </row>
    <row r="2377" spans="1:12" ht="16.5" customHeight="1" x14ac:dyDescent="0.35">
      <c r="A2377" t="s">
        <v>1295</v>
      </c>
      <c r="B2377" t="s">
        <v>1295</v>
      </c>
      <c r="C2377">
        <v>0</v>
      </c>
      <c r="D2377">
        <v>1000</v>
      </c>
      <c r="E2377" t="s">
        <v>8278</v>
      </c>
      <c r="F2377" t="s">
        <v>8279</v>
      </c>
      <c r="G2377" t="s">
        <v>8280</v>
      </c>
      <c r="H2377" t="s">
        <v>3489</v>
      </c>
      <c r="I2377" t="s">
        <v>3490</v>
      </c>
      <c r="J2377" s="56">
        <f t="shared" ref="J2377:J2440" si="111">IF(A2377="","",A$5-A2377)</f>
        <v>30</v>
      </c>
      <c r="K2377" s="74" t="str">
        <f t="shared" ref="K2377:K2440" si="112">IF(J2377="","",IF(J2377&lt;4,"0-3 Days",IF(J2377&lt;31,"4-30 Days",IF(J2377&lt;61,"31-60 Days",IF(J2377&lt;=90,"61-90 Days",IF(J2377&gt;90,"Above 90 Days","0"))))))</f>
        <v>4-30 Days</v>
      </c>
      <c r="L2377" s="58" t="str">
        <f t="shared" ref="L2377:L2440" si="113">IF(C2377="","",IF(C2377&gt;0,IF(J2377&lt;30,"Normal",IF(J2377&lt;60,"Especially Mentioned",IF(J2377&lt;90,"Substandard",IF(J2377&lt;=180,"Doubtful",IF(J2377&gt;180,"Loss","0"))))),"Not Applicable"))</f>
        <v>Not Applicable</v>
      </c>
    </row>
    <row r="2378" spans="1:12" ht="16.5" customHeight="1" x14ac:dyDescent="0.35">
      <c r="A2378" t="s">
        <v>1295</v>
      </c>
      <c r="B2378" t="s">
        <v>1295</v>
      </c>
      <c r="C2378">
        <v>0</v>
      </c>
      <c r="D2378">
        <v>28625.82</v>
      </c>
      <c r="E2378" t="s">
        <v>8281</v>
      </c>
      <c r="F2378" t="s">
        <v>57</v>
      </c>
      <c r="G2378" t="s">
        <v>57</v>
      </c>
      <c r="H2378" t="s">
        <v>3914</v>
      </c>
      <c r="I2378" t="s">
        <v>3643</v>
      </c>
      <c r="J2378" s="56">
        <f t="shared" si="111"/>
        <v>30</v>
      </c>
      <c r="K2378" s="74" t="str">
        <f t="shared" si="112"/>
        <v>4-30 Days</v>
      </c>
      <c r="L2378" s="58" t="str">
        <f t="shared" si="113"/>
        <v>Not Applicable</v>
      </c>
    </row>
    <row r="2379" spans="1:12" ht="16.5" customHeight="1" x14ac:dyDescent="0.35">
      <c r="A2379" t="s">
        <v>1295</v>
      </c>
      <c r="B2379" t="s">
        <v>1295</v>
      </c>
      <c r="C2379">
        <v>0</v>
      </c>
      <c r="D2379">
        <v>122</v>
      </c>
      <c r="E2379" t="s">
        <v>8282</v>
      </c>
      <c r="F2379" t="s">
        <v>8283</v>
      </c>
      <c r="G2379" t="s">
        <v>8284</v>
      </c>
      <c r="H2379" t="s">
        <v>3532</v>
      </c>
      <c r="I2379" t="s">
        <v>3490</v>
      </c>
      <c r="J2379" s="56">
        <f t="shared" si="111"/>
        <v>30</v>
      </c>
      <c r="K2379" s="74" t="str">
        <f t="shared" si="112"/>
        <v>4-30 Days</v>
      </c>
      <c r="L2379" s="58" t="str">
        <f t="shared" si="113"/>
        <v>Not Applicable</v>
      </c>
    </row>
    <row r="2380" spans="1:12" ht="16.5" customHeight="1" x14ac:dyDescent="0.35">
      <c r="A2380" t="s">
        <v>1295</v>
      </c>
      <c r="B2380" t="s">
        <v>1295</v>
      </c>
      <c r="C2380">
        <v>0</v>
      </c>
      <c r="D2380">
        <v>100</v>
      </c>
      <c r="E2380" t="s">
        <v>8285</v>
      </c>
      <c r="F2380" t="s">
        <v>8285</v>
      </c>
      <c r="G2380" t="s">
        <v>8286</v>
      </c>
      <c r="H2380" t="s">
        <v>3532</v>
      </c>
      <c r="I2380" t="s">
        <v>3490</v>
      </c>
      <c r="J2380" s="56">
        <f t="shared" si="111"/>
        <v>30</v>
      </c>
      <c r="K2380" s="74" t="str">
        <f t="shared" si="112"/>
        <v>4-30 Days</v>
      </c>
      <c r="L2380" s="58" t="str">
        <f t="shared" si="113"/>
        <v>Not Applicable</v>
      </c>
    </row>
    <row r="2381" spans="1:12" ht="16.5" customHeight="1" x14ac:dyDescent="0.35">
      <c r="A2381" t="s">
        <v>1295</v>
      </c>
      <c r="B2381" t="s">
        <v>1295</v>
      </c>
      <c r="C2381">
        <v>0</v>
      </c>
      <c r="D2381">
        <v>100</v>
      </c>
      <c r="E2381" t="s">
        <v>8287</v>
      </c>
      <c r="F2381" t="s">
        <v>8287</v>
      </c>
      <c r="G2381" t="s">
        <v>8288</v>
      </c>
      <c r="H2381" t="s">
        <v>3532</v>
      </c>
      <c r="I2381" t="s">
        <v>3490</v>
      </c>
      <c r="J2381" s="56">
        <f t="shared" si="111"/>
        <v>30</v>
      </c>
      <c r="K2381" s="74" t="str">
        <f t="shared" si="112"/>
        <v>4-30 Days</v>
      </c>
      <c r="L2381" s="58" t="str">
        <f t="shared" si="113"/>
        <v>Not Applicable</v>
      </c>
    </row>
    <row r="2382" spans="1:12" ht="16.5" customHeight="1" x14ac:dyDescent="0.35">
      <c r="A2382" t="s">
        <v>1295</v>
      </c>
      <c r="B2382" t="s">
        <v>1295</v>
      </c>
      <c r="C2382">
        <v>0</v>
      </c>
      <c r="D2382">
        <v>837.66</v>
      </c>
      <c r="E2382" t="s">
        <v>8289</v>
      </c>
      <c r="F2382" t="s">
        <v>8290</v>
      </c>
      <c r="G2382" t="s">
        <v>8291</v>
      </c>
      <c r="H2382" t="s">
        <v>3532</v>
      </c>
      <c r="I2382" t="s">
        <v>3490</v>
      </c>
      <c r="J2382" s="56">
        <f t="shared" si="111"/>
        <v>30</v>
      </c>
      <c r="K2382" s="74" t="str">
        <f t="shared" si="112"/>
        <v>4-30 Days</v>
      </c>
      <c r="L2382" s="58" t="str">
        <f t="shared" si="113"/>
        <v>Not Applicable</v>
      </c>
    </row>
    <row r="2383" spans="1:12" ht="16.5" customHeight="1" x14ac:dyDescent="0.35">
      <c r="A2383" t="s">
        <v>1295</v>
      </c>
      <c r="B2383" t="s">
        <v>1295</v>
      </c>
      <c r="C2383">
        <v>1300</v>
      </c>
      <c r="D2383">
        <v>0</v>
      </c>
      <c r="E2383" t="s">
        <v>8292</v>
      </c>
      <c r="F2383" t="s">
        <v>8292</v>
      </c>
      <c r="G2383" t="s">
        <v>8293</v>
      </c>
      <c r="H2383" t="s">
        <v>8294</v>
      </c>
      <c r="I2383" t="s">
        <v>3490</v>
      </c>
      <c r="J2383" s="56">
        <f t="shared" si="111"/>
        <v>30</v>
      </c>
      <c r="K2383" s="74" t="str">
        <f t="shared" si="112"/>
        <v>4-30 Days</v>
      </c>
      <c r="L2383" s="58" t="str">
        <f t="shared" si="113"/>
        <v>Especially Mentioned</v>
      </c>
    </row>
    <row r="2384" spans="1:12" ht="16.5" customHeight="1" x14ac:dyDescent="0.35">
      <c r="A2384" t="s">
        <v>1295</v>
      </c>
      <c r="B2384" t="s">
        <v>1295</v>
      </c>
      <c r="C2384">
        <v>0</v>
      </c>
      <c r="D2384">
        <v>1000</v>
      </c>
      <c r="E2384" t="s">
        <v>8295</v>
      </c>
      <c r="F2384" t="s">
        <v>8296</v>
      </c>
      <c r="G2384" t="s">
        <v>8297</v>
      </c>
      <c r="H2384" t="s">
        <v>3489</v>
      </c>
      <c r="I2384" t="s">
        <v>3490</v>
      </c>
      <c r="J2384" s="56">
        <f t="shared" si="111"/>
        <v>30</v>
      </c>
      <c r="K2384" s="74" t="str">
        <f t="shared" si="112"/>
        <v>4-30 Days</v>
      </c>
      <c r="L2384" s="58" t="str">
        <f t="shared" si="113"/>
        <v>Not Applicable</v>
      </c>
    </row>
    <row r="2385" spans="1:12" ht="16.5" customHeight="1" x14ac:dyDescent="0.35">
      <c r="A2385" t="s">
        <v>1295</v>
      </c>
      <c r="B2385" t="s">
        <v>1295</v>
      </c>
      <c r="C2385">
        <v>0</v>
      </c>
      <c r="D2385">
        <v>1000</v>
      </c>
      <c r="E2385" t="s">
        <v>8298</v>
      </c>
      <c r="F2385" t="s">
        <v>3499</v>
      </c>
      <c r="G2385" t="s">
        <v>8299</v>
      </c>
      <c r="H2385" t="s">
        <v>3489</v>
      </c>
      <c r="I2385" t="s">
        <v>3490</v>
      </c>
      <c r="J2385" s="56">
        <f t="shared" si="111"/>
        <v>30</v>
      </c>
      <c r="K2385" s="74" t="str">
        <f t="shared" si="112"/>
        <v>4-30 Days</v>
      </c>
      <c r="L2385" s="58" t="str">
        <f t="shared" si="113"/>
        <v>Not Applicable</v>
      </c>
    </row>
    <row r="2386" spans="1:12" ht="16.5" customHeight="1" x14ac:dyDescent="0.35">
      <c r="A2386" t="s">
        <v>1300</v>
      </c>
      <c r="B2386" t="s">
        <v>1300</v>
      </c>
      <c r="C2386">
        <v>0</v>
      </c>
      <c r="D2386">
        <v>3100</v>
      </c>
      <c r="E2386" t="s">
        <v>8300</v>
      </c>
      <c r="F2386" t="s">
        <v>8300</v>
      </c>
      <c r="G2386" t="s">
        <v>8301</v>
      </c>
      <c r="H2386" t="s">
        <v>3489</v>
      </c>
      <c r="I2386" t="s">
        <v>3490</v>
      </c>
      <c r="J2386" s="56">
        <f t="shared" si="111"/>
        <v>28</v>
      </c>
      <c r="K2386" s="74" t="str">
        <f t="shared" si="112"/>
        <v>4-30 Days</v>
      </c>
      <c r="L2386" s="58" t="str">
        <f t="shared" si="113"/>
        <v>Not Applicable</v>
      </c>
    </row>
    <row r="2387" spans="1:12" ht="16.5" customHeight="1" x14ac:dyDescent="0.35">
      <c r="A2387" t="s">
        <v>1300</v>
      </c>
      <c r="B2387" t="s">
        <v>1300</v>
      </c>
      <c r="C2387">
        <v>175000</v>
      </c>
      <c r="D2387">
        <v>0</v>
      </c>
      <c r="E2387" t="s">
        <v>8302</v>
      </c>
      <c r="F2387" t="s">
        <v>8303</v>
      </c>
      <c r="G2387" t="s">
        <v>8304</v>
      </c>
      <c r="H2387" t="s">
        <v>3485</v>
      </c>
      <c r="I2387" t="s">
        <v>3486</v>
      </c>
      <c r="J2387" s="56">
        <f t="shared" si="111"/>
        <v>28</v>
      </c>
      <c r="K2387" s="74" t="str">
        <f t="shared" si="112"/>
        <v>4-30 Days</v>
      </c>
      <c r="L2387" s="58" t="str">
        <f t="shared" si="113"/>
        <v>Normal</v>
      </c>
    </row>
    <row r="2388" spans="1:12" ht="16.5" customHeight="1" x14ac:dyDescent="0.35">
      <c r="A2388" t="s">
        <v>1300</v>
      </c>
      <c r="B2388" t="s">
        <v>1300</v>
      </c>
      <c r="C2388">
        <v>0</v>
      </c>
      <c r="D2388">
        <v>1650</v>
      </c>
      <c r="E2388" t="s">
        <v>8305</v>
      </c>
      <c r="F2388" t="s">
        <v>8305</v>
      </c>
      <c r="G2388" t="s">
        <v>8306</v>
      </c>
      <c r="H2388" t="s">
        <v>3489</v>
      </c>
      <c r="I2388" t="s">
        <v>3490</v>
      </c>
      <c r="J2388" s="56">
        <f t="shared" si="111"/>
        <v>28</v>
      </c>
      <c r="K2388" s="74" t="str">
        <f t="shared" si="112"/>
        <v>4-30 Days</v>
      </c>
      <c r="L2388" s="58" t="str">
        <f t="shared" si="113"/>
        <v>Not Applicable</v>
      </c>
    </row>
    <row r="2389" spans="1:12" ht="16.5" customHeight="1" x14ac:dyDescent="0.35">
      <c r="A2389" t="s">
        <v>1300</v>
      </c>
      <c r="B2389" t="s">
        <v>1300</v>
      </c>
      <c r="C2389">
        <v>0</v>
      </c>
      <c r="D2389">
        <v>250</v>
      </c>
      <c r="E2389" t="s">
        <v>8307</v>
      </c>
      <c r="F2389" t="s">
        <v>8308</v>
      </c>
      <c r="G2389" t="s">
        <v>8309</v>
      </c>
      <c r="H2389" t="s">
        <v>3532</v>
      </c>
      <c r="I2389" t="s">
        <v>3490</v>
      </c>
      <c r="J2389" s="56">
        <f t="shared" si="111"/>
        <v>28</v>
      </c>
      <c r="K2389" s="74" t="str">
        <f t="shared" si="112"/>
        <v>4-30 Days</v>
      </c>
      <c r="L2389" s="58" t="str">
        <f t="shared" si="113"/>
        <v>Not Applicable</v>
      </c>
    </row>
    <row r="2390" spans="1:12" ht="16.5" customHeight="1" x14ac:dyDescent="0.35">
      <c r="A2390" t="s">
        <v>1300</v>
      </c>
      <c r="B2390" t="s">
        <v>1300</v>
      </c>
      <c r="C2390">
        <v>0</v>
      </c>
      <c r="D2390">
        <v>200</v>
      </c>
      <c r="E2390" t="s">
        <v>8310</v>
      </c>
      <c r="F2390" t="s">
        <v>8310</v>
      </c>
      <c r="G2390" t="s">
        <v>8311</v>
      </c>
      <c r="H2390" t="s">
        <v>3489</v>
      </c>
      <c r="I2390" t="s">
        <v>3490</v>
      </c>
      <c r="J2390" s="56">
        <f t="shared" si="111"/>
        <v>28</v>
      </c>
      <c r="K2390" s="74" t="str">
        <f t="shared" si="112"/>
        <v>4-30 Days</v>
      </c>
      <c r="L2390" s="58" t="str">
        <f t="shared" si="113"/>
        <v>Not Applicable</v>
      </c>
    </row>
    <row r="2391" spans="1:12" ht="16.5" customHeight="1" x14ac:dyDescent="0.35">
      <c r="A2391" t="s">
        <v>1300</v>
      </c>
      <c r="B2391" t="s">
        <v>1300</v>
      </c>
      <c r="C2391">
        <v>0</v>
      </c>
      <c r="D2391">
        <v>254</v>
      </c>
      <c r="E2391" t="s">
        <v>8312</v>
      </c>
      <c r="F2391" t="s">
        <v>8312</v>
      </c>
      <c r="G2391" t="s">
        <v>8313</v>
      </c>
      <c r="H2391" t="s">
        <v>3489</v>
      </c>
      <c r="I2391" t="s">
        <v>3490</v>
      </c>
      <c r="J2391" s="56">
        <f t="shared" si="111"/>
        <v>28</v>
      </c>
      <c r="K2391" s="74" t="str">
        <f t="shared" si="112"/>
        <v>4-30 Days</v>
      </c>
      <c r="L2391" s="58" t="str">
        <f t="shared" si="113"/>
        <v>Not Applicable</v>
      </c>
    </row>
    <row r="2392" spans="1:12" ht="16.5" customHeight="1" x14ac:dyDescent="0.35">
      <c r="A2392" t="s">
        <v>1300</v>
      </c>
      <c r="B2392" t="s">
        <v>1300</v>
      </c>
      <c r="C2392">
        <v>0</v>
      </c>
      <c r="D2392">
        <v>140</v>
      </c>
      <c r="E2392" t="s">
        <v>8314</v>
      </c>
      <c r="F2392" t="s">
        <v>8314</v>
      </c>
      <c r="G2392" t="s">
        <v>8315</v>
      </c>
      <c r="H2392" t="s">
        <v>3489</v>
      </c>
      <c r="I2392" t="s">
        <v>3490</v>
      </c>
      <c r="J2392" s="56">
        <f t="shared" si="111"/>
        <v>28</v>
      </c>
      <c r="K2392" s="74" t="str">
        <f t="shared" si="112"/>
        <v>4-30 Days</v>
      </c>
      <c r="L2392" s="58" t="str">
        <f t="shared" si="113"/>
        <v>Not Applicable</v>
      </c>
    </row>
    <row r="2393" spans="1:12" ht="16.5" customHeight="1" x14ac:dyDescent="0.35">
      <c r="A2393" t="s">
        <v>1300</v>
      </c>
      <c r="B2393" t="s">
        <v>1300</v>
      </c>
      <c r="C2393">
        <v>0</v>
      </c>
      <c r="D2393">
        <v>1500</v>
      </c>
      <c r="E2393" t="s">
        <v>8316</v>
      </c>
      <c r="F2393" t="s">
        <v>8316</v>
      </c>
      <c r="G2393" t="s">
        <v>8317</v>
      </c>
      <c r="H2393" t="s">
        <v>3489</v>
      </c>
      <c r="I2393" t="s">
        <v>3490</v>
      </c>
      <c r="J2393" s="56">
        <f t="shared" si="111"/>
        <v>28</v>
      </c>
      <c r="K2393" s="74" t="str">
        <f t="shared" si="112"/>
        <v>4-30 Days</v>
      </c>
      <c r="L2393" s="58" t="str">
        <f t="shared" si="113"/>
        <v>Not Applicable</v>
      </c>
    </row>
    <row r="2394" spans="1:12" ht="16.5" customHeight="1" x14ac:dyDescent="0.35">
      <c r="A2394" t="s">
        <v>1300</v>
      </c>
      <c r="B2394" t="s">
        <v>1300</v>
      </c>
      <c r="C2394">
        <v>503749.68</v>
      </c>
      <c r="D2394">
        <v>0</v>
      </c>
      <c r="E2394" t="s">
        <v>8318</v>
      </c>
      <c r="F2394" t="s">
        <v>8318</v>
      </c>
      <c r="G2394" t="s">
        <v>8319</v>
      </c>
      <c r="H2394" t="s">
        <v>3455</v>
      </c>
      <c r="I2394" t="s">
        <v>3486</v>
      </c>
      <c r="J2394" s="56">
        <f t="shared" si="111"/>
        <v>28</v>
      </c>
      <c r="K2394" s="74" t="str">
        <f t="shared" si="112"/>
        <v>4-30 Days</v>
      </c>
      <c r="L2394" s="58" t="str">
        <f t="shared" si="113"/>
        <v>Normal</v>
      </c>
    </row>
    <row r="2395" spans="1:12" ht="16.5" customHeight="1" x14ac:dyDescent="0.35">
      <c r="A2395" t="s">
        <v>1300</v>
      </c>
      <c r="B2395" t="s">
        <v>1300</v>
      </c>
      <c r="C2395">
        <v>0</v>
      </c>
      <c r="D2395">
        <v>2650</v>
      </c>
      <c r="E2395" t="s">
        <v>8320</v>
      </c>
      <c r="F2395" t="s">
        <v>8320</v>
      </c>
      <c r="G2395" t="s">
        <v>8321</v>
      </c>
      <c r="H2395" t="s">
        <v>3489</v>
      </c>
      <c r="I2395" t="s">
        <v>3490</v>
      </c>
      <c r="J2395" s="56">
        <f t="shared" si="111"/>
        <v>28</v>
      </c>
      <c r="K2395" s="74" t="str">
        <f t="shared" si="112"/>
        <v>4-30 Days</v>
      </c>
      <c r="L2395" s="58" t="str">
        <f t="shared" si="113"/>
        <v>Not Applicable</v>
      </c>
    </row>
    <row r="2396" spans="1:12" ht="16.5" customHeight="1" x14ac:dyDescent="0.35">
      <c r="A2396" t="s">
        <v>1300</v>
      </c>
      <c r="B2396" t="s">
        <v>1300</v>
      </c>
      <c r="C2396">
        <v>0</v>
      </c>
      <c r="D2396">
        <v>42.48</v>
      </c>
      <c r="E2396" t="s">
        <v>8322</v>
      </c>
      <c r="F2396" t="s">
        <v>8323</v>
      </c>
      <c r="G2396" t="s">
        <v>8324</v>
      </c>
      <c r="H2396" t="s">
        <v>3532</v>
      </c>
      <c r="I2396" t="s">
        <v>3490</v>
      </c>
      <c r="J2396" s="56">
        <f t="shared" si="111"/>
        <v>28</v>
      </c>
      <c r="K2396" s="74" t="str">
        <f t="shared" si="112"/>
        <v>4-30 Days</v>
      </c>
      <c r="L2396" s="58" t="str">
        <f t="shared" si="113"/>
        <v>Not Applicable</v>
      </c>
    </row>
    <row r="2397" spans="1:12" ht="16.5" customHeight="1" x14ac:dyDescent="0.35">
      <c r="A2397" t="s">
        <v>1300</v>
      </c>
      <c r="B2397" t="s">
        <v>1300</v>
      </c>
      <c r="C2397">
        <v>0</v>
      </c>
      <c r="D2397">
        <v>212.4</v>
      </c>
      <c r="E2397" t="s">
        <v>8325</v>
      </c>
      <c r="F2397" t="s">
        <v>8326</v>
      </c>
      <c r="G2397" t="s">
        <v>8327</v>
      </c>
      <c r="H2397" t="s">
        <v>3532</v>
      </c>
      <c r="I2397" t="s">
        <v>3490</v>
      </c>
      <c r="J2397" s="56">
        <f t="shared" si="111"/>
        <v>28</v>
      </c>
      <c r="K2397" s="74" t="str">
        <f t="shared" si="112"/>
        <v>4-30 Days</v>
      </c>
      <c r="L2397" s="58" t="str">
        <f t="shared" si="113"/>
        <v>Not Applicable</v>
      </c>
    </row>
    <row r="2398" spans="1:12" ht="16.5" customHeight="1" x14ac:dyDescent="0.35">
      <c r="A2398" t="s">
        <v>1300</v>
      </c>
      <c r="B2398" t="s">
        <v>1300</v>
      </c>
      <c r="C2398">
        <v>0</v>
      </c>
      <c r="D2398">
        <v>250</v>
      </c>
      <c r="E2398" t="s">
        <v>8328</v>
      </c>
      <c r="F2398" t="s">
        <v>8328</v>
      </c>
      <c r="G2398" t="s">
        <v>8329</v>
      </c>
      <c r="H2398" t="s">
        <v>3489</v>
      </c>
      <c r="I2398" t="s">
        <v>3490</v>
      </c>
      <c r="J2398" s="56">
        <f t="shared" si="111"/>
        <v>28</v>
      </c>
      <c r="K2398" s="74" t="str">
        <f t="shared" si="112"/>
        <v>4-30 Days</v>
      </c>
      <c r="L2398" s="58" t="str">
        <f t="shared" si="113"/>
        <v>Not Applicable</v>
      </c>
    </row>
    <row r="2399" spans="1:12" ht="16.5" customHeight="1" x14ac:dyDescent="0.35">
      <c r="A2399" t="s">
        <v>1300</v>
      </c>
      <c r="B2399" t="s">
        <v>1300</v>
      </c>
      <c r="C2399">
        <v>0</v>
      </c>
      <c r="D2399">
        <v>3650</v>
      </c>
      <c r="E2399" t="s">
        <v>8330</v>
      </c>
      <c r="F2399" t="s">
        <v>8330</v>
      </c>
      <c r="G2399" t="s">
        <v>8331</v>
      </c>
      <c r="H2399" t="s">
        <v>3489</v>
      </c>
      <c r="I2399" t="s">
        <v>3490</v>
      </c>
      <c r="J2399" s="56">
        <f t="shared" si="111"/>
        <v>28</v>
      </c>
      <c r="K2399" s="74" t="str">
        <f t="shared" si="112"/>
        <v>4-30 Days</v>
      </c>
      <c r="L2399" s="58" t="str">
        <f t="shared" si="113"/>
        <v>Not Applicable</v>
      </c>
    </row>
    <row r="2400" spans="1:12" ht="16.5" customHeight="1" x14ac:dyDescent="0.35">
      <c r="A2400" t="s">
        <v>1300</v>
      </c>
      <c r="B2400" t="s">
        <v>1300</v>
      </c>
      <c r="C2400">
        <v>0</v>
      </c>
      <c r="D2400">
        <v>1783</v>
      </c>
      <c r="E2400" t="s">
        <v>8332</v>
      </c>
      <c r="F2400" t="s">
        <v>8332</v>
      </c>
      <c r="G2400" t="s">
        <v>8333</v>
      </c>
      <c r="H2400" t="s">
        <v>3489</v>
      </c>
      <c r="I2400" t="s">
        <v>3490</v>
      </c>
      <c r="J2400" s="56">
        <f t="shared" si="111"/>
        <v>28</v>
      </c>
      <c r="K2400" s="74" t="str">
        <f t="shared" si="112"/>
        <v>4-30 Days</v>
      </c>
      <c r="L2400" s="58" t="str">
        <f t="shared" si="113"/>
        <v>Not Applicable</v>
      </c>
    </row>
    <row r="2401" spans="1:12" ht="16.5" customHeight="1" x14ac:dyDescent="0.35">
      <c r="A2401" t="s">
        <v>1300</v>
      </c>
      <c r="B2401" t="s">
        <v>1300</v>
      </c>
      <c r="C2401">
        <v>0</v>
      </c>
      <c r="D2401">
        <v>1094</v>
      </c>
      <c r="E2401" t="s">
        <v>8334</v>
      </c>
      <c r="F2401" t="s">
        <v>8334</v>
      </c>
      <c r="G2401" t="s">
        <v>8335</v>
      </c>
      <c r="H2401" t="s">
        <v>3489</v>
      </c>
      <c r="I2401" t="s">
        <v>3490</v>
      </c>
      <c r="J2401" s="56">
        <f t="shared" si="111"/>
        <v>28</v>
      </c>
      <c r="K2401" s="74" t="str">
        <f t="shared" si="112"/>
        <v>4-30 Days</v>
      </c>
      <c r="L2401" s="58" t="str">
        <f t="shared" si="113"/>
        <v>Not Applicable</v>
      </c>
    </row>
    <row r="2402" spans="1:12" ht="16.5" customHeight="1" x14ac:dyDescent="0.35">
      <c r="A2402" t="s">
        <v>1300</v>
      </c>
      <c r="B2402" t="s">
        <v>1300</v>
      </c>
      <c r="C2402">
        <v>0</v>
      </c>
      <c r="D2402">
        <v>235</v>
      </c>
      <c r="E2402" t="s">
        <v>8336</v>
      </c>
      <c r="F2402" t="s">
        <v>8336</v>
      </c>
      <c r="G2402" t="s">
        <v>8337</v>
      </c>
      <c r="H2402" t="s">
        <v>3489</v>
      </c>
      <c r="I2402" t="s">
        <v>3490</v>
      </c>
      <c r="J2402" s="56">
        <f t="shared" si="111"/>
        <v>28</v>
      </c>
      <c r="K2402" s="74" t="str">
        <f t="shared" si="112"/>
        <v>4-30 Days</v>
      </c>
      <c r="L2402" s="58" t="str">
        <f t="shared" si="113"/>
        <v>Not Applicable</v>
      </c>
    </row>
    <row r="2403" spans="1:12" ht="16.5" customHeight="1" x14ac:dyDescent="0.35">
      <c r="A2403" t="s">
        <v>1300</v>
      </c>
      <c r="B2403" t="s">
        <v>1300</v>
      </c>
      <c r="C2403">
        <v>1789760.91</v>
      </c>
      <c r="D2403">
        <v>0</v>
      </c>
      <c r="E2403" t="s">
        <v>8338</v>
      </c>
      <c r="F2403" t="s">
        <v>8338</v>
      </c>
      <c r="G2403" t="s">
        <v>8339</v>
      </c>
      <c r="H2403" t="s">
        <v>3455</v>
      </c>
      <c r="I2403" t="s">
        <v>3486</v>
      </c>
      <c r="J2403" s="56">
        <f t="shared" si="111"/>
        <v>28</v>
      </c>
      <c r="K2403" s="74" t="str">
        <f t="shared" si="112"/>
        <v>4-30 Days</v>
      </c>
      <c r="L2403" s="58" t="str">
        <f t="shared" si="113"/>
        <v>Normal</v>
      </c>
    </row>
    <row r="2404" spans="1:12" ht="16.5" customHeight="1" x14ac:dyDescent="0.35">
      <c r="A2404" t="s">
        <v>1300</v>
      </c>
      <c r="B2404" t="s">
        <v>1300</v>
      </c>
      <c r="C2404">
        <v>0</v>
      </c>
      <c r="D2404">
        <v>2126</v>
      </c>
      <c r="E2404" t="s">
        <v>8340</v>
      </c>
      <c r="F2404" t="s">
        <v>8340</v>
      </c>
      <c r="G2404" t="s">
        <v>8341</v>
      </c>
      <c r="H2404" t="s">
        <v>3489</v>
      </c>
      <c r="I2404" t="s">
        <v>3490</v>
      </c>
      <c r="J2404" s="56">
        <f t="shared" si="111"/>
        <v>28</v>
      </c>
      <c r="K2404" s="74" t="str">
        <f t="shared" si="112"/>
        <v>4-30 Days</v>
      </c>
      <c r="L2404" s="58" t="str">
        <f t="shared" si="113"/>
        <v>Not Applicable</v>
      </c>
    </row>
    <row r="2405" spans="1:12" ht="16.5" customHeight="1" x14ac:dyDescent="0.35">
      <c r="A2405" t="s">
        <v>1300</v>
      </c>
      <c r="B2405" t="s">
        <v>1300</v>
      </c>
      <c r="C2405">
        <v>0</v>
      </c>
      <c r="D2405">
        <v>1000</v>
      </c>
      <c r="E2405" t="s">
        <v>8342</v>
      </c>
      <c r="F2405" t="s">
        <v>8343</v>
      </c>
      <c r="G2405" t="s">
        <v>8344</v>
      </c>
      <c r="H2405" t="s">
        <v>3489</v>
      </c>
      <c r="I2405" t="s">
        <v>3490</v>
      </c>
      <c r="J2405" s="56">
        <f t="shared" si="111"/>
        <v>28</v>
      </c>
      <c r="K2405" s="74" t="str">
        <f t="shared" si="112"/>
        <v>4-30 Days</v>
      </c>
      <c r="L2405" s="58" t="str">
        <f t="shared" si="113"/>
        <v>Not Applicable</v>
      </c>
    </row>
    <row r="2406" spans="1:12" ht="16.5" customHeight="1" x14ac:dyDescent="0.35">
      <c r="A2406" t="s">
        <v>1300</v>
      </c>
      <c r="B2406" t="s">
        <v>1300</v>
      </c>
      <c r="C2406">
        <v>0</v>
      </c>
      <c r="D2406">
        <v>1832</v>
      </c>
      <c r="E2406" t="s">
        <v>8345</v>
      </c>
      <c r="F2406" t="s">
        <v>8345</v>
      </c>
      <c r="G2406" t="s">
        <v>8346</v>
      </c>
      <c r="H2406" t="s">
        <v>3489</v>
      </c>
      <c r="I2406" t="s">
        <v>3490</v>
      </c>
      <c r="J2406" s="56">
        <f t="shared" si="111"/>
        <v>28</v>
      </c>
      <c r="K2406" s="74" t="str">
        <f t="shared" si="112"/>
        <v>4-30 Days</v>
      </c>
      <c r="L2406" s="58" t="str">
        <f t="shared" si="113"/>
        <v>Not Applicable</v>
      </c>
    </row>
    <row r="2407" spans="1:12" ht="16.5" customHeight="1" x14ac:dyDescent="0.35">
      <c r="A2407" t="s">
        <v>1300</v>
      </c>
      <c r="B2407" t="s">
        <v>1300</v>
      </c>
      <c r="C2407">
        <v>0</v>
      </c>
      <c r="D2407">
        <v>1855</v>
      </c>
      <c r="E2407" t="s">
        <v>8347</v>
      </c>
      <c r="F2407" t="s">
        <v>8347</v>
      </c>
      <c r="G2407" t="s">
        <v>8348</v>
      </c>
      <c r="H2407" t="s">
        <v>3489</v>
      </c>
      <c r="I2407" t="s">
        <v>3490</v>
      </c>
      <c r="J2407" s="56">
        <f t="shared" si="111"/>
        <v>28</v>
      </c>
      <c r="K2407" s="74" t="str">
        <f t="shared" si="112"/>
        <v>4-30 Days</v>
      </c>
      <c r="L2407" s="58" t="str">
        <f t="shared" si="113"/>
        <v>Not Applicable</v>
      </c>
    </row>
    <row r="2408" spans="1:12" ht="16.5" customHeight="1" x14ac:dyDescent="0.35">
      <c r="A2408" t="s">
        <v>1300</v>
      </c>
      <c r="B2408" t="s">
        <v>1300</v>
      </c>
      <c r="C2408">
        <v>0</v>
      </c>
      <c r="D2408">
        <v>2650</v>
      </c>
      <c r="E2408" t="s">
        <v>8349</v>
      </c>
      <c r="F2408" t="s">
        <v>8349</v>
      </c>
      <c r="G2408" t="s">
        <v>8350</v>
      </c>
      <c r="H2408" t="s">
        <v>3489</v>
      </c>
      <c r="I2408" t="s">
        <v>3490</v>
      </c>
      <c r="J2408" s="56">
        <f t="shared" si="111"/>
        <v>28</v>
      </c>
      <c r="K2408" s="74" t="str">
        <f t="shared" si="112"/>
        <v>4-30 Days</v>
      </c>
      <c r="L2408" s="58" t="str">
        <f t="shared" si="113"/>
        <v>Not Applicable</v>
      </c>
    </row>
    <row r="2409" spans="1:12" ht="16.5" customHeight="1" x14ac:dyDescent="0.35">
      <c r="A2409" t="s">
        <v>1300</v>
      </c>
      <c r="B2409" t="s">
        <v>1300</v>
      </c>
      <c r="C2409">
        <v>0</v>
      </c>
      <c r="D2409">
        <v>1900</v>
      </c>
      <c r="E2409" t="s">
        <v>8351</v>
      </c>
      <c r="F2409" t="s">
        <v>8351</v>
      </c>
      <c r="G2409" t="s">
        <v>8352</v>
      </c>
      <c r="H2409" t="s">
        <v>3489</v>
      </c>
      <c r="I2409" t="s">
        <v>3490</v>
      </c>
      <c r="J2409" s="56">
        <f t="shared" si="111"/>
        <v>28</v>
      </c>
      <c r="K2409" s="74" t="str">
        <f t="shared" si="112"/>
        <v>4-30 Days</v>
      </c>
      <c r="L2409" s="58" t="str">
        <f t="shared" si="113"/>
        <v>Not Applicable</v>
      </c>
    </row>
    <row r="2410" spans="1:12" ht="16.5" customHeight="1" x14ac:dyDescent="0.35">
      <c r="A2410" t="s">
        <v>1300</v>
      </c>
      <c r="B2410" t="s">
        <v>1300</v>
      </c>
      <c r="C2410">
        <v>946393.07</v>
      </c>
      <c r="D2410">
        <v>0</v>
      </c>
      <c r="E2410" t="s">
        <v>8353</v>
      </c>
      <c r="F2410" t="s">
        <v>8353</v>
      </c>
      <c r="G2410" t="s">
        <v>8354</v>
      </c>
      <c r="H2410" t="s">
        <v>3455</v>
      </c>
      <c r="I2410" t="s">
        <v>3486</v>
      </c>
      <c r="J2410" s="56">
        <f t="shared" si="111"/>
        <v>28</v>
      </c>
      <c r="K2410" s="74" t="str">
        <f t="shared" si="112"/>
        <v>4-30 Days</v>
      </c>
      <c r="L2410" s="58" t="str">
        <f t="shared" si="113"/>
        <v>Normal</v>
      </c>
    </row>
    <row r="2411" spans="1:12" ht="16.5" customHeight="1" x14ac:dyDescent="0.35">
      <c r="A2411" t="s">
        <v>1300</v>
      </c>
      <c r="B2411" t="s">
        <v>1300</v>
      </c>
      <c r="C2411">
        <v>0</v>
      </c>
      <c r="D2411">
        <v>38.94</v>
      </c>
      <c r="E2411" t="s">
        <v>8355</v>
      </c>
      <c r="F2411" t="s">
        <v>8355</v>
      </c>
      <c r="G2411" t="s">
        <v>8356</v>
      </c>
      <c r="H2411" t="s">
        <v>3489</v>
      </c>
      <c r="I2411" t="s">
        <v>3490</v>
      </c>
      <c r="J2411" s="56">
        <f t="shared" si="111"/>
        <v>28</v>
      </c>
      <c r="K2411" s="74" t="str">
        <f t="shared" si="112"/>
        <v>4-30 Days</v>
      </c>
      <c r="L2411" s="58" t="str">
        <f t="shared" si="113"/>
        <v>Not Applicable</v>
      </c>
    </row>
    <row r="2412" spans="1:12" ht="16.5" customHeight="1" x14ac:dyDescent="0.35">
      <c r="A2412" t="s">
        <v>1300</v>
      </c>
      <c r="B2412" t="s">
        <v>1300</v>
      </c>
      <c r="C2412">
        <v>0</v>
      </c>
      <c r="D2412">
        <v>44784</v>
      </c>
      <c r="E2412" t="s">
        <v>8357</v>
      </c>
      <c r="F2412" t="s">
        <v>8358</v>
      </c>
      <c r="G2412" t="s">
        <v>8359</v>
      </c>
      <c r="H2412" t="s">
        <v>3532</v>
      </c>
      <c r="I2412" t="s">
        <v>3490</v>
      </c>
      <c r="J2412" s="56">
        <f t="shared" si="111"/>
        <v>28</v>
      </c>
      <c r="K2412" s="74" t="str">
        <f t="shared" si="112"/>
        <v>4-30 Days</v>
      </c>
      <c r="L2412" s="58" t="str">
        <f t="shared" si="113"/>
        <v>Not Applicable</v>
      </c>
    </row>
    <row r="2413" spans="1:12" ht="16.5" customHeight="1" x14ac:dyDescent="0.35">
      <c r="A2413" t="s">
        <v>1300</v>
      </c>
      <c r="B2413" t="s">
        <v>1300</v>
      </c>
      <c r="C2413">
        <v>0</v>
      </c>
      <c r="D2413">
        <v>1034</v>
      </c>
      <c r="E2413" t="s">
        <v>8360</v>
      </c>
      <c r="F2413" t="s">
        <v>8360</v>
      </c>
      <c r="G2413" t="s">
        <v>8361</v>
      </c>
      <c r="H2413" t="s">
        <v>3489</v>
      </c>
      <c r="I2413" t="s">
        <v>3490</v>
      </c>
      <c r="J2413" s="56">
        <f t="shared" si="111"/>
        <v>28</v>
      </c>
      <c r="K2413" s="74" t="str">
        <f t="shared" si="112"/>
        <v>4-30 Days</v>
      </c>
      <c r="L2413" s="58" t="str">
        <f t="shared" si="113"/>
        <v>Not Applicable</v>
      </c>
    </row>
    <row r="2414" spans="1:12" ht="16.5" customHeight="1" x14ac:dyDescent="0.35">
      <c r="A2414" t="s">
        <v>1300</v>
      </c>
      <c r="B2414" t="s">
        <v>1300</v>
      </c>
      <c r="C2414">
        <v>0</v>
      </c>
      <c r="D2414">
        <v>250</v>
      </c>
      <c r="E2414" t="s">
        <v>8362</v>
      </c>
      <c r="F2414" t="s">
        <v>8362</v>
      </c>
      <c r="G2414" t="s">
        <v>8363</v>
      </c>
      <c r="H2414" t="s">
        <v>3532</v>
      </c>
      <c r="I2414" t="s">
        <v>3490</v>
      </c>
      <c r="J2414" s="56">
        <f t="shared" si="111"/>
        <v>28</v>
      </c>
      <c r="K2414" s="74" t="str">
        <f t="shared" si="112"/>
        <v>4-30 Days</v>
      </c>
      <c r="L2414" s="58" t="str">
        <f t="shared" si="113"/>
        <v>Not Applicable</v>
      </c>
    </row>
    <row r="2415" spans="1:12" ht="16.5" customHeight="1" x14ac:dyDescent="0.35">
      <c r="A2415" t="s">
        <v>1300</v>
      </c>
      <c r="B2415" t="s">
        <v>1300</v>
      </c>
      <c r="C2415">
        <v>0</v>
      </c>
      <c r="D2415">
        <v>250</v>
      </c>
      <c r="E2415" t="s">
        <v>8364</v>
      </c>
      <c r="F2415" t="s">
        <v>8364</v>
      </c>
      <c r="G2415" t="s">
        <v>8365</v>
      </c>
      <c r="H2415" t="s">
        <v>3489</v>
      </c>
      <c r="I2415" t="s">
        <v>3490</v>
      </c>
      <c r="J2415" s="56">
        <f t="shared" si="111"/>
        <v>28</v>
      </c>
      <c r="K2415" s="74" t="str">
        <f t="shared" si="112"/>
        <v>4-30 Days</v>
      </c>
      <c r="L2415" s="58" t="str">
        <f t="shared" si="113"/>
        <v>Not Applicable</v>
      </c>
    </row>
    <row r="2416" spans="1:12" ht="16.5" customHeight="1" x14ac:dyDescent="0.35">
      <c r="A2416" t="s">
        <v>1300</v>
      </c>
      <c r="B2416" t="s">
        <v>1300</v>
      </c>
      <c r="C2416">
        <v>200000</v>
      </c>
      <c r="D2416">
        <v>0</v>
      </c>
      <c r="E2416" t="s">
        <v>8366</v>
      </c>
      <c r="F2416" t="s">
        <v>8366</v>
      </c>
      <c r="G2416" t="s">
        <v>8367</v>
      </c>
      <c r="H2416" t="s">
        <v>6230</v>
      </c>
      <c r="I2416" t="s">
        <v>3486</v>
      </c>
      <c r="J2416" s="56">
        <f t="shared" si="111"/>
        <v>28</v>
      </c>
      <c r="K2416" s="74" t="str">
        <f t="shared" si="112"/>
        <v>4-30 Days</v>
      </c>
      <c r="L2416" s="58" t="str">
        <f t="shared" si="113"/>
        <v>Normal</v>
      </c>
    </row>
    <row r="2417" spans="1:12" ht="16.5" customHeight="1" x14ac:dyDescent="0.35">
      <c r="A2417" t="s">
        <v>1300</v>
      </c>
      <c r="B2417" t="s">
        <v>1300</v>
      </c>
      <c r="C2417">
        <v>0</v>
      </c>
      <c r="D2417">
        <v>283.2</v>
      </c>
      <c r="E2417" t="s">
        <v>8368</v>
      </c>
      <c r="F2417" t="s">
        <v>8369</v>
      </c>
      <c r="G2417" t="s">
        <v>8370</v>
      </c>
      <c r="H2417" t="s">
        <v>3532</v>
      </c>
      <c r="I2417" t="s">
        <v>3490</v>
      </c>
      <c r="J2417" s="56">
        <f t="shared" si="111"/>
        <v>28</v>
      </c>
      <c r="K2417" s="74" t="str">
        <f t="shared" si="112"/>
        <v>4-30 Days</v>
      </c>
      <c r="L2417" s="58" t="str">
        <f t="shared" si="113"/>
        <v>Not Applicable</v>
      </c>
    </row>
    <row r="2418" spans="1:12" ht="16.5" customHeight="1" x14ac:dyDescent="0.35">
      <c r="A2418" t="s">
        <v>1300</v>
      </c>
      <c r="B2418" t="s">
        <v>1300</v>
      </c>
      <c r="C2418">
        <v>591494.18999999994</v>
      </c>
      <c r="D2418">
        <v>0</v>
      </c>
      <c r="E2418" t="s">
        <v>8371</v>
      </c>
      <c r="F2418" t="s">
        <v>8371</v>
      </c>
      <c r="G2418" t="s">
        <v>8372</v>
      </c>
      <c r="H2418" t="s">
        <v>3455</v>
      </c>
      <c r="I2418" t="s">
        <v>3486</v>
      </c>
      <c r="J2418" s="56">
        <f t="shared" si="111"/>
        <v>28</v>
      </c>
      <c r="K2418" s="74" t="str">
        <f t="shared" si="112"/>
        <v>4-30 Days</v>
      </c>
      <c r="L2418" s="58" t="str">
        <f t="shared" si="113"/>
        <v>Normal</v>
      </c>
    </row>
    <row r="2419" spans="1:12" ht="16.5" customHeight="1" x14ac:dyDescent="0.35">
      <c r="A2419" t="s">
        <v>1300</v>
      </c>
      <c r="B2419" t="s">
        <v>1300</v>
      </c>
      <c r="C2419">
        <v>0</v>
      </c>
      <c r="D2419">
        <v>1000000</v>
      </c>
      <c r="E2419" t="s">
        <v>8373</v>
      </c>
      <c r="F2419" t="s">
        <v>6223</v>
      </c>
      <c r="G2419" t="s">
        <v>8374</v>
      </c>
      <c r="H2419" t="s">
        <v>3489</v>
      </c>
      <c r="I2419" t="s">
        <v>3486</v>
      </c>
      <c r="J2419" s="56">
        <f t="shared" si="111"/>
        <v>28</v>
      </c>
      <c r="K2419" s="74" t="str">
        <f t="shared" si="112"/>
        <v>4-30 Days</v>
      </c>
      <c r="L2419" s="58" t="str">
        <f t="shared" si="113"/>
        <v>Not Applicable</v>
      </c>
    </row>
    <row r="2420" spans="1:12" ht="16.5" customHeight="1" x14ac:dyDescent="0.35">
      <c r="A2420" t="s">
        <v>1300</v>
      </c>
      <c r="B2420" t="s">
        <v>1300</v>
      </c>
      <c r="C2420">
        <v>0</v>
      </c>
      <c r="D2420">
        <v>1700</v>
      </c>
      <c r="E2420" t="s">
        <v>8375</v>
      </c>
      <c r="F2420" t="s">
        <v>8375</v>
      </c>
      <c r="G2420" t="s">
        <v>8376</v>
      </c>
      <c r="H2420" t="s">
        <v>3489</v>
      </c>
      <c r="I2420" t="s">
        <v>3490</v>
      </c>
      <c r="J2420" s="56">
        <f t="shared" si="111"/>
        <v>28</v>
      </c>
      <c r="K2420" s="74" t="str">
        <f t="shared" si="112"/>
        <v>4-30 Days</v>
      </c>
      <c r="L2420" s="58" t="str">
        <f t="shared" si="113"/>
        <v>Not Applicable</v>
      </c>
    </row>
    <row r="2421" spans="1:12" ht="16.5" customHeight="1" x14ac:dyDescent="0.35">
      <c r="A2421" t="s">
        <v>1300</v>
      </c>
      <c r="B2421" t="s">
        <v>1300</v>
      </c>
      <c r="C2421">
        <v>0</v>
      </c>
      <c r="D2421">
        <v>1840</v>
      </c>
      <c r="E2421" t="s">
        <v>8377</v>
      </c>
      <c r="F2421" t="s">
        <v>8377</v>
      </c>
      <c r="G2421" t="s">
        <v>8378</v>
      </c>
      <c r="H2421" t="s">
        <v>3489</v>
      </c>
      <c r="I2421" t="s">
        <v>3490</v>
      </c>
      <c r="J2421" s="56">
        <f t="shared" si="111"/>
        <v>28</v>
      </c>
      <c r="K2421" s="74" t="str">
        <f t="shared" si="112"/>
        <v>4-30 Days</v>
      </c>
      <c r="L2421" s="58" t="str">
        <f t="shared" si="113"/>
        <v>Not Applicable</v>
      </c>
    </row>
    <row r="2422" spans="1:12" ht="16.5" customHeight="1" x14ac:dyDescent="0.35">
      <c r="A2422" t="s">
        <v>1300</v>
      </c>
      <c r="B2422" t="s">
        <v>1300</v>
      </c>
      <c r="C2422">
        <v>0</v>
      </c>
      <c r="D2422">
        <v>140</v>
      </c>
      <c r="E2422" t="s">
        <v>8379</v>
      </c>
      <c r="F2422" t="s">
        <v>8379</v>
      </c>
      <c r="G2422" t="s">
        <v>8380</v>
      </c>
      <c r="H2422" t="s">
        <v>3489</v>
      </c>
      <c r="I2422" t="s">
        <v>3490</v>
      </c>
      <c r="J2422" s="56">
        <f t="shared" si="111"/>
        <v>28</v>
      </c>
      <c r="K2422" s="74" t="str">
        <f t="shared" si="112"/>
        <v>4-30 Days</v>
      </c>
      <c r="L2422" s="58" t="str">
        <f t="shared" si="113"/>
        <v>Not Applicable</v>
      </c>
    </row>
    <row r="2423" spans="1:12" ht="16.5" customHeight="1" x14ac:dyDescent="0.35">
      <c r="A2423" t="s">
        <v>1300</v>
      </c>
      <c r="B2423" t="s">
        <v>1300</v>
      </c>
      <c r="C2423">
        <v>0</v>
      </c>
      <c r="D2423">
        <v>1996</v>
      </c>
      <c r="E2423" t="s">
        <v>8381</v>
      </c>
      <c r="F2423" t="s">
        <v>8381</v>
      </c>
      <c r="G2423" t="s">
        <v>8382</v>
      </c>
      <c r="H2423" t="s">
        <v>3489</v>
      </c>
      <c r="I2423" t="s">
        <v>3490</v>
      </c>
      <c r="J2423" s="56">
        <f t="shared" si="111"/>
        <v>28</v>
      </c>
      <c r="K2423" s="74" t="str">
        <f t="shared" si="112"/>
        <v>4-30 Days</v>
      </c>
      <c r="L2423" s="58" t="str">
        <f t="shared" si="113"/>
        <v>Not Applicable</v>
      </c>
    </row>
    <row r="2424" spans="1:12" ht="16.5" customHeight="1" x14ac:dyDescent="0.35">
      <c r="A2424" t="s">
        <v>1300</v>
      </c>
      <c r="B2424" t="s">
        <v>1300</v>
      </c>
      <c r="C2424">
        <v>0</v>
      </c>
      <c r="D2424">
        <v>1795</v>
      </c>
      <c r="E2424" t="s">
        <v>8383</v>
      </c>
      <c r="F2424" t="s">
        <v>8383</v>
      </c>
      <c r="G2424" t="s">
        <v>8384</v>
      </c>
      <c r="H2424" t="s">
        <v>3489</v>
      </c>
      <c r="I2424" t="s">
        <v>3490</v>
      </c>
      <c r="J2424" s="56">
        <f t="shared" si="111"/>
        <v>28</v>
      </c>
      <c r="K2424" s="74" t="str">
        <f t="shared" si="112"/>
        <v>4-30 Days</v>
      </c>
      <c r="L2424" s="58" t="str">
        <f t="shared" si="113"/>
        <v>Not Applicable</v>
      </c>
    </row>
    <row r="2425" spans="1:12" ht="16.5" customHeight="1" x14ac:dyDescent="0.35">
      <c r="A2425" t="s">
        <v>1300</v>
      </c>
      <c r="B2425" t="s">
        <v>1300</v>
      </c>
      <c r="C2425">
        <v>828091.86</v>
      </c>
      <c r="D2425">
        <v>0</v>
      </c>
      <c r="E2425" t="s">
        <v>8385</v>
      </c>
      <c r="F2425" t="s">
        <v>8385</v>
      </c>
      <c r="G2425" t="s">
        <v>8386</v>
      </c>
      <c r="H2425" t="s">
        <v>3455</v>
      </c>
      <c r="I2425" t="s">
        <v>3486</v>
      </c>
      <c r="J2425" s="56">
        <f t="shared" si="111"/>
        <v>28</v>
      </c>
      <c r="K2425" s="74" t="str">
        <f t="shared" si="112"/>
        <v>4-30 Days</v>
      </c>
      <c r="L2425" s="58" t="str">
        <f t="shared" si="113"/>
        <v>Normal</v>
      </c>
    </row>
    <row r="2426" spans="1:12" ht="16.5" customHeight="1" x14ac:dyDescent="0.35">
      <c r="A2426" t="s">
        <v>1300</v>
      </c>
      <c r="B2426" t="s">
        <v>1300</v>
      </c>
      <c r="C2426">
        <v>0</v>
      </c>
      <c r="D2426">
        <v>1000</v>
      </c>
      <c r="E2426" t="s">
        <v>8387</v>
      </c>
      <c r="F2426" t="s">
        <v>8387</v>
      </c>
      <c r="G2426" t="s">
        <v>8388</v>
      </c>
      <c r="H2426" t="s">
        <v>3489</v>
      </c>
      <c r="I2426" t="s">
        <v>3490</v>
      </c>
      <c r="J2426" s="56">
        <f t="shared" si="111"/>
        <v>28</v>
      </c>
      <c r="K2426" s="74" t="str">
        <f t="shared" si="112"/>
        <v>4-30 Days</v>
      </c>
      <c r="L2426" s="58" t="str">
        <f t="shared" si="113"/>
        <v>Not Applicable</v>
      </c>
    </row>
    <row r="2427" spans="1:12" ht="16.5" customHeight="1" x14ac:dyDescent="0.35">
      <c r="A2427" t="s">
        <v>1300</v>
      </c>
      <c r="B2427" t="s">
        <v>1300</v>
      </c>
      <c r="C2427">
        <v>0</v>
      </c>
      <c r="D2427">
        <v>7080</v>
      </c>
      <c r="E2427" t="s">
        <v>8389</v>
      </c>
      <c r="F2427" t="s">
        <v>8389</v>
      </c>
      <c r="G2427" t="s">
        <v>8390</v>
      </c>
      <c r="H2427" t="s">
        <v>3489</v>
      </c>
      <c r="I2427" t="s">
        <v>3507</v>
      </c>
      <c r="J2427" s="56">
        <f t="shared" si="111"/>
        <v>28</v>
      </c>
      <c r="K2427" s="74" t="str">
        <f t="shared" si="112"/>
        <v>4-30 Days</v>
      </c>
      <c r="L2427" s="58" t="str">
        <f t="shared" si="113"/>
        <v>Not Applicable</v>
      </c>
    </row>
    <row r="2428" spans="1:12" ht="16.5" customHeight="1" x14ac:dyDescent="0.35">
      <c r="A2428" t="s">
        <v>1300</v>
      </c>
      <c r="B2428" t="s">
        <v>1300</v>
      </c>
      <c r="C2428">
        <v>0</v>
      </c>
      <c r="D2428">
        <v>1874</v>
      </c>
      <c r="E2428" t="s">
        <v>8391</v>
      </c>
      <c r="F2428" t="s">
        <v>8391</v>
      </c>
      <c r="G2428" t="s">
        <v>8392</v>
      </c>
      <c r="H2428" t="s">
        <v>3489</v>
      </c>
      <c r="I2428" t="s">
        <v>3490</v>
      </c>
      <c r="J2428" s="56">
        <f t="shared" si="111"/>
        <v>28</v>
      </c>
      <c r="K2428" s="74" t="str">
        <f t="shared" si="112"/>
        <v>4-30 Days</v>
      </c>
      <c r="L2428" s="58" t="str">
        <f t="shared" si="113"/>
        <v>Not Applicable</v>
      </c>
    </row>
    <row r="2429" spans="1:12" ht="16.5" customHeight="1" x14ac:dyDescent="0.35">
      <c r="A2429" t="s">
        <v>1300</v>
      </c>
      <c r="B2429" t="s">
        <v>1300</v>
      </c>
      <c r="C2429">
        <v>709793.02</v>
      </c>
      <c r="D2429">
        <v>0</v>
      </c>
      <c r="E2429" t="s">
        <v>8393</v>
      </c>
      <c r="F2429" t="s">
        <v>8393</v>
      </c>
      <c r="G2429" t="s">
        <v>8394</v>
      </c>
      <c r="H2429" t="s">
        <v>3455</v>
      </c>
      <c r="I2429" t="s">
        <v>3486</v>
      </c>
      <c r="J2429" s="56">
        <f t="shared" si="111"/>
        <v>28</v>
      </c>
      <c r="K2429" s="74" t="str">
        <f t="shared" si="112"/>
        <v>4-30 Days</v>
      </c>
      <c r="L2429" s="58" t="str">
        <f t="shared" si="113"/>
        <v>Normal</v>
      </c>
    </row>
    <row r="2430" spans="1:12" ht="16.5" customHeight="1" x14ac:dyDescent="0.35">
      <c r="A2430" t="s">
        <v>1300</v>
      </c>
      <c r="B2430" t="s">
        <v>1300</v>
      </c>
      <c r="C2430">
        <v>0</v>
      </c>
      <c r="D2430">
        <v>1735</v>
      </c>
      <c r="E2430" t="s">
        <v>8395</v>
      </c>
      <c r="F2430" t="s">
        <v>8395</v>
      </c>
      <c r="G2430" t="s">
        <v>8396</v>
      </c>
      <c r="H2430" t="s">
        <v>3489</v>
      </c>
      <c r="I2430" t="s">
        <v>3490</v>
      </c>
      <c r="J2430" s="56">
        <f t="shared" si="111"/>
        <v>28</v>
      </c>
      <c r="K2430" s="74" t="str">
        <f t="shared" si="112"/>
        <v>4-30 Days</v>
      </c>
      <c r="L2430" s="58" t="str">
        <f t="shared" si="113"/>
        <v>Not Applicable</v>
      </c>
    </row>
    <row r="2431" spans="1:12" ht="16.5" customHeight="1" x14ac:dyDescent="0.35">
      <c r="A2431" t="s">
        <v>1300</v>
      </c>
      <c r="B2431" t="s">
        <v>1300</v>
      </c>
      <c r="C2431">
        <v>0</v>
      </c>
      <c r="D2431">
        <v>1680</v>
      </c>
      <c r="E2431" t="s">
        <v>8397</v>
      </c>
      <c r="F2431" t="s">
        <v>8397</v>
      </c>
      <c r="G2431" t="s">
        <v>8398</v>
      </c>
      <c r="H2431" t="s">
        <v>3489</v>
      </c>
      <c r="I2431" t="s">
        <v>3490</v>
      </c>
      <c r="J2431" s="56">
        <f t="shared" si="111"/>
        <v>28</v>
      </c>
      <c r="K2431" s="74" t="str">
        <f t="shared" si="112"/>
        <v>4-30 Days</v>
      </c>
      <c r="L2431" s="58" t="str">
        <f t="shared" si="113"/>
        <v>Not Applicable</v>
      </c>
    </row>
    <row r="2432" spans="1:12" ht="16.5" customHeight="1" x14ac:dyDescent="0.35">
      <c r="A2432" t="s">
        <v>1300</v>
      </c>
      <c r="B2432" t="s">
        <v>1300</v>
      </c>
      <c r="C2432">
        <v>0</v>
      </c>
      <c r="D2432">
        <v>1816</v>
      </c>
      <c r="E2432" t="s">
        <v>8399</v>
      </c>
      <c r="F2432" t="s">
        <v>8399</v>
      </c>
      <c r="G2432" t="s">
        <v>8400</v>
      </c>
      <c r="H2432" t="s">
        <v>3489</v>
      </c>
      <c r="I2432" t="s">
        <v>3490</v>
      </c>
      <c r="J2432" s="56">
        <f t="shared" si="111"/>
        <v>28</v>
      </c>
      <c r="K2432" s="74" t="str">
        <f t="shared" si="112"/>
        <v>4-30 Days</v>
      </c>
      <c r="L2432" s="58" t="str">
        <f t="shared" si="113"/>
        <v>Not Applicable</v>
      </c>
    </row>
    <row r="2433" spans="1:12" ht="16.5" customHeight="1" x14ac:dyDescent="0.35">
      <c r="A2433" t="s">
        <v>1300</v>
      </c>
      <c r="B2433" t="s">
        <v>1300</v>
      </c>
      <c r="C2433">
        <v>0</v>
      </c>
      <c r="D2433">
        <v>2650</v>
      </c>
      <c r="E2433" t="s">
        <v>8401</v>
      </c>
      <c r="F2433" t="s">
        <v>8401</v>
      </c>
      <c r="G2433" t="s">
        <v>8402</v>
      </c>
      <c r="H2433" t="s">
        <v>3489</v>
      </c>
      <c r="I2433" t="s">
        <v>3490</v>
      </c>
      <c r="J2433" s="56">
        <f t="shared" si="111"/>
        <v>28</v>
      </c>
      <c r="K2433" s="74" t="str">
        <f t="shared" si="112"/>
        <v>4-30 Days</v>
      </c>
      <c r="L2433" s="58" t="str">
        <f t="shared" si="113"/>
        <v>Not Applicable</v>
      </c>
    </row>
    <row r="2434" spans="1:12" ht="16.5" customHeight="1" x14ac:dyDescent="0.35">
      <c r="A2434" t="s">
        <v>1300</v>
      </c>
      <c r="B2434" t="s">
        <v>1300</v>
      </c>
      <c r="C2434">
        <v>0</v>
      </c>
      <c r="D2434">
        <v>1911</v>
      </c>
      <c r="E2434" t="s">
        <v>8403</v>
      </c>
      <c r="F2434" t="s">
        <v>8403</v>
      </c>
      <c r="G2434" t="s">
        <v>8404</v>
      </c>
      <c r="H2434" t="s">
        <v>3489</v>
      </c>
      <c r="I2434" t="s">
        <v>3490</v>
      </c>
      <c r="J2434" s="56">
        <f t="shared" si="111"/>
        <v>28</v>
      </c>
      <c r="K2434" s="74" t="str">
        <f t="shared" si="112"/>
        <v>4-30 Days</v>
      </c>
      <c r="L2434" s="58" t="str">
        <f t="shared" si="113"/>
        <v>Not Applicable</v>
      </c>
    </row>
    <row r="2435" spans="1:12" ht="16.5" customHeight="1" x14ac:dyDescent="0.35">
      <c r="A2435" t="s">
        <v>1300</v>
      </c>
      <c r="B2435" t="s">
        <v>1300</v>
      </c>
      <c r="C2435">
        <v>500000</v>
      </c>
      <c r="D2435">
        <v>0</v>
      </c>
      <c r="E2435" t="s">
        <v>8405</v>
      </c>
      <c r="F2435" t="s">
        <v>8405</v>
      </c>
      <c r="G2435" t="s">
        <v>8406</v>
      </c>
      <c r="H2435" t="s">
        <v>6230</v>
      </c>
      <c r="I2435" t="s">
        <v>3486</v>
      </c>
      <c r="J2435" s="56">
        <f t="shared" si="111"/>
        <v>28</v>
      </c>
      <c r="K2435" s="74" t="str">
        <f t="shared" si="112"/>
        <v>4-30 Days</v>
      </c>
      <c r="L2435" s="58" t="str">
        <f t="shared" si="113"/>
        <v>Normal</v>
      </c>
    </row>
    <row r="2436" spans="1:12" ht="16.5" customHeight="1" x14ac:dyDescent="0.35">
      <c r="A2436" t="s">
        <v>1300</v>
      </c>
      <c r="B2436" t="s">
        <v>1300</v>
      </c>
      <c r="C2436">
        <v>0</v>
      </c>
      <c r="D2436">
        <v>1200</v>
      </c>
      <c r="E2436" t="s">
        <v>8407</v>
      </c>
      <c r="F2436" t="s">
        <v>8407</v>
      </c>
      <c r="G2436" t="s">
        <v>8408</v>
      </c>
      <c r="H2436" t="s">
        <v>3489</v>
      </c>
      <c r="I2436" t="s">
        <v>3490</v>
      </c>
      <c r="J2436" s="56">
        <f t="shared" si="111"/>
        <v>28</v>
      </c>
      <c r="K2436" s="74" t="str">
        <f t="shared" si="112"/>
        <v>4-30 Days</v>
      </c>
      <c r="L2436" s="58" t="str">
        <f t="shared" si="113"/>
        <v>Not Applicable</v>
      </c>
    </row>
    <row r="2437" spans="1:12" ht="16.5" customHeight="1" x14ac:dyDescent="0.35">
      <c r="A2437" t="s">
        <v>1300</v>
      </c>
      <c r="B2437" t="s">
        <v>1300</v>
      </c>
      <c r="C2437">
        <v>0</v>
      </c>
      <c r="D2437">
        <v>1000</v>
      </c>
      <c r="E2437" t="s">
        <v>8409</v>
      </c>
      <c r="F2437" t="s">
        <v>8409</v>
      </c>
      <c r="G2437" t="s">
        <v>8410</v>
      </c>
      <c r="H2437" t="s">
        <v>3489</v>
      </c>
      <c r="I2437" t="s">
        <v>3490</v>
      </c>
      <c r="J2437" s="56">
        <f t="shared" si="111"/>
        <v>28</v>
      </c>
      <c r="K2437" s="74" t="str">
        <f t="shared" si="112"/>
        <v>4-30 Days</v>
      </c>
      <c r="L2437" s="58" t="str">
        <f t="shared" si="113"/>
        <v>Not Applicable</v>
      </c>
    </row>
    <row r="2438" spans="1:12" ht="16.5" customHeight="1" x14ac:dyDescent="0.35">
      <c r="A2438" t="s">
        <v>1300</v>
      </c>
      <c r="B2438" t="s">
        <v>1300</v>
      </c>
      <c r="C2438">
        <v>0</v>
      </c>
      <c r="D2438">
        <v>1000</v>
      </c>
      <c r="E2438" t="s">
        <v>8411</v>
      </c>
      <c r="F2438" t="s">
        <v>8411</v>
      </c>
      <c r="G2438" t="s">
        <v>8412</v>
      </c>
      <c r="H2438" t="s">
        <v>3489</v>
      </c>
      <c r="I2438" t="s">
        <v>3490</v>
      </c>
      <c r="J2438" s="56">
        <f t="shared" si="111"/>
        <v>28</v>
      </c>
      <c r="K2438" s="74" t="str">
        <f t="shared" si="112"/>
        <v>4-30 Days</v>
      </c>
      <c r="L2438" s="58" t="str">
        <f t="shared" si="113"/>
        <v>Not Applicable</v>
      </c>
    </row>
    <row r="2439" spans="1:12" ht="16.5" customHeight="1" x14ac:dyDescent="0.35">
      <c r="A2439" t="s">
        <v>1300</v>
      </c>
      <c r="B2439" t="s">
        <v>1300</v>
      </c>
      <c r="C2439">
        <v>0</v>
      </c>
      <c r="D2439">
        <v>1888</v>
      </c>
      <c r="E2439" t="s">
        <v>8413</v>
      </c>
      <c r="F2439" t="s">
        <v>8413</v>
      </c>
      <c r="G2439" t="s">
        <v>8414</v>
      </c>
      <c r="H2439" t="s">
        <v>3489</v>
      </c>
      <c r="I2439" t="s">
        <v>3490</v>
      </c>
      <c r="J2439" s="56">
        <f t="shared" si="111"/>
        <v>28</v>
      </c>
      <c r="K2439" s="74" t="str">
        <f t="shared" si="112"/>
        <v>4-30 Days</v>
      </c>
      <c r="L2439" s="58" t="str">
        <f t="shared" si="113"/>
        <v>Not Applicable</v>
      </c>
    </row>
    <row r="2440" spans="1:12" ht="16.5" customHeight="1" x14ac:dyDescent="0.35">
      <c r="A2440" t="s">
        <v>1300</v>
      </c>
      <c r="B2440" t="s">
        <v>1300</v>
      </c>
      <c r="C2440">
        <v>2982932.08</v>
      </c>
      <c r="D2440">
        <v>0</v>
      </c>
      <c r="E2440" t="s">
        <v>8415</v>
      </c>
      <c r="F2440" t="s">
        <v>8415</v>
      </c>
      <c r="G2440" t="s">
        <v>8416</v>
      </c>
      <c r="H2440" t="s">
        <v>3455</v>
      </c>
      <c r="I2440" t="s">
        <v>3486</v>
      </c>
      <c r="J2440" s="56">
        <f t="shared" si="111"/>
        <v>28</v>
      </c>
      <c r="K2440" s="74" t="str">
        <f t="shared" si="112"/>
        <v>4-30 Days</v>
      </c>
      <c r="L2440" s="58" t="str">
        <f t="shared" si="113"/>
        <v>Normal</v>
      </c>
    </row>
    <row r="2441" spans="1:12" ht="16.5" customHeight="1" x14ac:dyDescent="0.35">
      <c r="A2441" t="s">
        <v>1300</v>
      </c>
      <c r="B2441" t="s">
        <v>1300</v>
      </c>
      <c r="C2441">
        <v>0</v>
      </c>
      <c r="D2441">
        <v>1924</v>
      </c>
      <c r="E2441" t="s">
        <v>8417</v>
      </c>
      <c r="F2441" t="s">
        <v>8417</v>
      </c>
      <c r="G2441" t="s">
        <v>8418</v>
      </c>
      <c r="H2441" t="s">
        <v>3489</v>
      </c>
      <c r="I2441" t="s">
        <v>3490</v>
      </c>
      <c r="J2441" s="56">
        <f t="shared" ref="J2441:J2504" si="114">IF(A2441="","",A$5-A2441)</f>
        <v>28</v>
      </c>
      <c r="K2441" s="74" t="str">
        <f t="shared" ref="K2441:K2504" si="115">IF(J2441="","",IF(J2441&lt;4,"0-3 Days",IF(J2441&lt;31,"4-30 Days",IF(J2441&lt;61,"31-60 Days",IF(J2441&lt;=90,"61-90 Days",IF(J2441&gt;90,"Above 90 Days","0"))))))</f>
        <v>4-30 Days</v>
      </c>
      <c r="L2441" s="58" t="str">
        <f t="shared" ref="L2441:L2504" si="116">IF(C2441="","",IF(C2441&gt;0,IF(J2441&lt;30,"Normal",IF(J2441&lt;60,"Especially Mentioned",IF(J2441&lt;90,"Substandard",IF(J2441&lt;=180,"Doubtful",IF(J2441&gt;180,"Loss","0"))))),"Not Applicable"))</f>
        <v>Not Applicable</v>
      </c>
    </row>
    <row r="2442" spans="1:12" ht="16.5" customHeight="1" x14ac:dyDescent="0.35">
      <c r="A2442" t="s">
        <v>1300</v>
      </c>
      <c r="B2442" t="s">
        <v>1300</v>
      </c>
      <c r="C2442">
        <v>0</v>
      </c>
      <c r="D2442">
        <v>8000</v>
      </c>
      <c r="E2442" t="s">
        <v>8419</v>
      </c>
      <c r="F2442" t="s">
        <v>6265</v>
      </c>
      <c r="G2442" t="s">
        <v>8420</v>
      </c>
      <c r="H2442" t="s">
        <v>3489</v>
      </c>
      <c r="I2442" t="s">
        <v>3486</v>
      </c>
      <c r="J2442" s="56">
        <f t="shared" si="114"/>
        <v>28</v>
      </c>
      <c r="K2442" s="74" t="str">
        <f t="shared" si="115"/>
        <v>4-30 Days</v>
      </c>
      <c r="L2442" s="58" t="str">
        <f t="shared" si="116"/>
        <v>Not Applicable</v>
      </c>
    </row>
    <row r="2443" spans="1:12" ht="16.5" customHeight="1" x14ac:dyDescent="0.35">
      <c r="A2443" t="s">
        <v>1300</v>
      </c>
      <c r="B2443" t="s">
        <v>1300</v>
      </c>
      <c r="C2443">
        <v>0</v>
      </c>
      <c r="D2443">
        <v>126269.24</v>
      </c>
      <c r="E2443" t="s">
        <v>8421</v>
      </c>
      <c r="F2443" t="s">
        <v>8422</v>
      </c>
      <c r="G2443" t="s">
        <v>8423</v>
      </c>
      <c r="H2443" t="s">
        <v>3489</v>
      </c>
      <c r="I2443" t="s">
        <v>3486</v>
      </c>
      <c r="J2443" s="56">
        <f t="shared" si="114"/>
        <v>28</v>
      </c>
      <c r="K2443" s="74" t="str">
        <f t="shared" si="115"/>
        <v>4-30 Days</v>
      </c>
      <c r="L2443" s="58" t="str">
        <f t="shared" si="116"/>
        <v>Not Applicable</v>
      </c>
    </row>
    <row r="2444" spans="1:12" ht="16.5" customHeight="1" x14ac:dyDescent="0.35">
      <c r="A2444" t="s">
        <v>1300</v>
      </c>
      <c r="B2444" t="s">
        <v>1300</v>
      </c>
      <c r="C2444">
        <v>0</v>
      </c>
      <c r="D2444">
        <v>1716</v>
      </c>
      <c r="E2444" t="s">
        <v>8424</v>
      </c>
      <c r="F2444" t="s">
        <v>8424</v>
      </c>
      <c r="G2444" t="s">
        <v>8425</v>
      </c>
      <c r="H2444" t="s">
        <v>3489</v>
      </c>
      <c r="I2444" t="s">
        <v>3490</v>
      </c>
      <c r="J2444" s="56">
        <f t="shared" si="114"/>
        <v>28</v>
      </c>
      <c r="K2444" s="74" t="str">
        <f t="shared" si="115"/>
        <v>4-30 Days</v>
      </c>
      <c r="L2444" s="58" t="str">
        <f t="shared" si="116"/>
        <v>Not Applicable</v>
      </c>
    </row>
    <row r="2445" spans="1:12" ht="16.5" customHeight="1" x14ac:dyDescent="0.35">
      <c r="A2445" t="s">
        <v>1300</v>
      </c>
      <c r="B2445" t="s">
        <v>1300</v>
      </c>
      <c r="C2445">
        <v>0</v>
      </c>
      <c r="D2445">
        <v>1686</v>
      </c>
      <c r="E2445" t="s">
        <v>8426</v>
      </c>
      <c r="F2445" t="s">
        <v>8426</v>
      </c>
      <c r="G2445" t="s">
        <v>8427</v>
      </c>
      <c r="H2445" t="s">
        <v>3489</v>
      </c>
      <c r="I2445" t="s">
        <v>3490</v>
      </c>
      <c r="J2445" s="56">
        <f t="shared" si="114"/>
        <v>28</v>
      </c>
      <c r="K2445" s="74" t="str">
        <f t="shared" si="115"/>
        <v>4-30 Days</v>
      </c>
      <c r="L2445" s="58" t="str">
        <f t="shared" si="116"/>
        <v>Not Applicable</v>
      </c>
    </row>
    <row r="2446" spans="1:12" ht="16.5" customHeight="1" x14ac:dyDescent="0.35">
      <c r="A2446" t="s">
        <v>1342</v>
      </c>
      <c r="B2446" t="s">
        <v>1342</v>
      </c>
      <c r="C2446">
        <v>0</v>
      </c>
      <c r="D2446">
        <v>600</v>
      </c>
      <c r="E2446" t="s">
        <v>8428</v>
      </c>
      <c r="F2446" t="s">
        <v>8429</v>
      </c>
      <c r="G2446" t="s">
        <v>8430</v>
      </c>
      <c r="H2446" t="s">
        <v>3532</v>
      </c>
      <c r="I2446" t="s">
        <v>3490</v>
      </c>
      <c r="J2446" s="56">
        <f t="shared" si="114"/>
        <v>27</v>
      </c>
      <c r="K2446" s="74" t="str">
        <f t="shared" si="115"/>
        <v>4-30 Days</v>
      </c>
      <c r="L2446" s="58" t="str">
        <f t="shared" si="116"/>
        <v>Not Applicable</v>
      </c>
    </row>
    <row r="2447" spans="1:12" ht="16.5" customHeight="1" x14ac:dyDescent="0.35">
      <c r="A2447" t="s">
        <v>1342</v>
      </c>
      <c r="B2447" t="s">
        <v>1342</v>
      </c>
      <c r="C2447">
        <v>0</v>
      </c>
      <c r="D2447">
        <v>350258.61</v>
      </c>
      <c r="E2447" t="s">
        <v>8431</v>
      </c>
      <c r="F2447" t="s">
        <v>8432</v>
      </c>
      <c r="G2447" t="s">
        <v>8433</v>
      </c>
      <c r="H2447" t="s">
        <v>3489</v>
      </c>
      <c r="I2447" t="s">
        <v>3486</v>
      </c>
      <c r="J2447" s="56">
        <f t="shared" si="114"/>
        <v>27</v>
      </c>
      <c r="K2447" s="74" t="str">
        <f t="shared" si="115"/>
        <v>4-30 Days</v>
      </c>
      <c r="L2447" s="58" t="str">
        <f t="shared" si="116"/>
        <v>Not Applicable</v>
      </c>
    </row>
    <row r="2448" spans="1:12" ht="16.5" customHeight="1" x14ac:dyDescent="0.35">
      <c r="A2448" t="s">
        <v>1342</v>
      </c>
      <c r="B2448" t="s">
        <v>1342</v>
      </c>
      <c r="C2448">
        <v>0</v>
      </c>
      <c r="D2448">
        <v>2100</v>
      </c>
      <c r="E2448" t="s">
        <v>8434</v>
      </c>
      <c r="F2448" t="s">
        <v>8434</v>
      </c>
      <c r="G2448" t="s">
        <v>8435</v>
      </c>
      <c r="H2448" t="s">
        <v>3489</v>
      </c>
      <c r="I2448" t="s">
        <v>3490</v>
      </c>
      <c r="J2448" s="56">
        <f t="shared" si="114"/>
        <v>27</v>
      </c>
      <c r="K2448" s="74" t="str">
        <f t="shared" si="115"/>
        <v>4-30 Days</v>
      </c>
      <c r="L2448" s="58" t="str">
        <f t="shared" si="116"/>
        <v>Not Applicable</v>
      </c>
    </row>
    <row r="2449" spans="1:12" ht="16.5" customHeight="1" x14ac:dyDescent="0.35">
      <c r="A2449" t="s">
        <v>1342</v>
      </c>
      <c r="B2449" t="s">
        <v>1342</v>
      </c>
      <c r="C2449">
        <v>0</v>
      </c>
      <c r="D2449">
        <v>250</v>
      </c>
      <c r="E2449" t="s">
        <v>8436</v>
      </c>
      <c r="F2449" t="s">
        <v>8436</v>
      </c>
      <c r="G2449" t="s">
        <v>8437</v>
      </c>
      <c r="H2449" t="s">
        <v>3489</v>
      </c>
      <c r="I2449" t="s">
        <v>3490</v>
      </c>
      <c r="J2449" s="56">
        <f t="shared" si="114"/>
        <v>27</v>
      </c>
      <c r="K2449" s="74" t="str">
        <f t="shared" si="115"/>
        <v>4-30 Days</v>
      </c>
      <c r="L2449" s="58" t="str">
        <f t="shared" si="116"/>
        <v>Not Applicable</v>
      </c>
    </row>
    <row r="2450" spans="1:12" ht="16.5" customHeight="1" x14ac:dyDescent="0.35">
      <c r="A2450" t="s">
        <v>1342</v>
      </c>
      <c r="B2450" t="s">
        <v>1342</v>
      </c>
      <c r="C2450">
        <v>0</v>
      </c>
      <c r="D2450">
        <v>600</v>
      </c>
      <c r="E2450" t="s">
        <v>8438</v>
      </c>
      <c r="F2450" t="s">
        <v>8439</v>
      </c>
      <c r="G2450" t="s">
        <v>8440</v>
      </c>
      <c r="H2450" t="s">
        <v>3532</v>
      </c>
      <c r="I2450" t="s">
        <v>3490</v>
      </c>
      <c r="J2450" s="56">
        <f t="shared" si="114"/>
        <v>27</v>
      </c>
      <c r="K2450" s="74" t="str">
        <f t="shared" si="115"/>
        <v>4-30 Days</v>
      </c>
      <c r="L2450" s="58" t="str">
        <f t="shared" si="116"/>
        <v>Not Applicable</v>
      </c>
    </row>
    <row r="2451" spans="1:12" ht="16.5" customHeight="1" x14ac:dyDescent="0.35">
      <c r="A2451" t="s">
        <v>1342</v>
      </c>
      <c r="B2451" t="s">
        <v>1342</v>
      </c>
      <c r="C2451">
        <v>0</v>
      </c>
      <c r="D2451">
        <v>45.01</v>
      </c>
      <c r="E2451" t="s">
        <v>8441</v>
      </c>
      <c r="F2451" t="s">
        <v>8442</v>
      </c>
      <c r="G2451" t="s">
        <v>8443</v>
      </c>
      <c r="H2451" t="s">
        <v>3489</v>
      </c>
      <c r="I2451" t="s">
        <v>3486</v>
      </c>
      <c r="J2451" s="56">
        <f t="shared" si="114"/>
        <v>27</v>
      </c>
      <c r="K2451" s="74" t="str">
        <f t="shared" si="115"/>
        <v>4-30 Days</v>
      </c>
      <c r="L2451" s="58" t="str">
        <f t="shared" si="116"/>
        <v>Not Applicable</v>
      </c>
    </row>
    <row r="2452" spans="1:12" ht="16.5" customHeight="1" x14ac:dyDescent="0.35">
      <c r="A2452" t="s">
        <v>1342</v>
      </c>
      <c r="B2452" t="s">
        <v>1342</v>
      </c>
      <c r="C2452">
        <v>0</v>
      </c>
      <c r="D2452">
        <v>50</v>
      </c>
      <c r="E2452" t="s">
        <v>8444</v>
      </c>
      <c r="F2452" t="s">
        <v>8444</v>
      </c>
      <c r="G2452" t="s">
        <v>8445</v>
      </c>
      <c r="H2452" t="s">
        <v>3489</v>
      </c>
      <c r="I2452" t="s">
        <v>3490</v>
      </c>
      <c r="J2452" s="56">
        <f t="shared" si="114"/>
        <v>27</v>
      </c>
      <c r="K2452" s="74" t="str">
        <f t="shared" si="115"/>
        <v>4-30 Days</v>
      </c>
      <c r="L2452" s="58" t="str">
        <f t="shared" si="116"/>
        <v>Not Applicable</v>
      </c>
    </row>
    <row r="2453" spans="1:12" ht="16.5" customHeight="1" x14ac:dyDescent="0.35">
      <c r="A2453" t="s">
        <v>1342</v>
      </c>
      <c r="B2453" t="s">
        <v>1342</v>
      </c>
      <c r="C2453">
        <v>0</v>
      </c>
      <c r="D2453">
        <v>600</v>
      </c>
      <c r="E2453" t="s">
        <v>8446</v>
      </c>
      <c r="F2453" t="s">
        <v>3499</v>
      </c>
      <c r="G2453" t="s">
        <v>8447</v>
      </c>
      <c r="H2453" t="s">
        <v>3489</v>
      </c>
      <c r="I2453" t="s">
        <v>3490</v>
      </c>
      <c r="J2453" s="56">
        <f t="shared" si="114"/>
        <v>27</v>
      </c>
      <c r="K2453" s="74" t="str">
        <f t="shared" si="115"/>
        <v>4-30 Days</v>
      </c>
      <c r="L2453" s="58" t="str">
        <f t="shared" si="116"/>
        <v>Not Applicable</v>
      </c>
    </row>
    <row r="2454" spans="1:12" ht="16.5" customHeight="1" x14ac:dyDescent="0.35">
      <c r="A2454" t="s">
        <v>1342</v>
      </c>
      <c r="B2454" t="s">
        <v>1342</v>
      </c>
      <c r="C2454">
        <v>350000</v>
      </c>
      <c r="D2454">
        <v>0</v>
      </c>
      <c r="E2454" t="s">
        <v>8448</v>
      </c>
      <c r="F2454" t="s">
        <v>8448</v>
      </c>
      <c r="G2454" t="s">
        <v>8449</v>
      </c>
      <c r="H2454" t="s">
        <v>7193</v>
      </c>
      <c r="I2454" t="s">
        <v>3486</v>
      </c>
      <c r="J2454" s="56">
        <f t="shared" si="114"/>
        <v>27</v>
      </c>
      <c r="K2454" s="74" t="str">
        <f t="shared" si="115"/>
        <v>4-30 Days</v>
      </c>
      <c r="L2454" s="58" t="str">
        <f t="shared" si="116"/>
        <v>Normal</v>
      </c>
    </row>
    <row r="2455" spans="1:12" ht="16.5" customHeight="1" x14ac:dyDescent="0.35">
      <c r="A2455" t="s">
        <v>1342</v>
      </c>
      <c r="B2455" t="s">
        <v>1342</v>
      </c>
      <c r="C2455">
        <v>0</v>
      </c>
      <c r="D2455">
        <v>600</v>
      </c>
      <c r="E2455" t="s">
        <v>8450</v>
      </c>
      <c r="F2455" t="s">
        <v>8451</v>
      </c>
      <c r="G2455" t="s">
        <v>8452</v>
      </c>
      <c r="H2455" t="s">
        <v>3532</v>
      </c>
      <c r="I2455" t="s">
        <v>3490</v>
      </c>
      <c r="J2455" s="56">
        <f t="shared" si="114"/>
        <v>27</v>
      </c>
      <c r="K2455" s="74" t="str">
        <f t="shared" si="115"/>
        <v>4-30 Days</v>
      </c>
      <c r="L2455" s="58" t="str">
        <f t="shared" si="116"/>
        <v>Not Applicable</v>
      </c>
    </row>
    <row r="2456" spans="1:12" ht="16.5" customHeight="1" x14ac:dyDescent="0.35">
      <c r="A2456" t="s">
        <v>1342</v>
      </c>
      <c r="B2456" t="s">
        <v>1342</v>
      </c>
      <c r="C2456">
        <v>0</v>
      </c>
      <c r="D2456">
        <v>52</v>
      </c>
      <c r="E2456" t="s">
        <v>8453</v>
      </c>
      <c r="F2456" t="s">
        <v>8453</v>
      </c>
      <c r="G2456" t="s">
        <v>8454</v>
      </c>
      <c r="H2456" t="s">
        <v>3532</v>
      </c>
      <c r="I2456" t="s">
        <v>3490</v>
      </c>
      <c r="J2456" s="56">
        <f t="shared" si="114"/>
        <v>27</v>
      </c>
      <c r="K2456" s="74" t="str">
        <f t="shared" si="115"/>
        <v>4-30 Days</v>
      </c>
      <c r="L2456" s="58" t="str">
        <f t="shared" si="116"/>
        <v>Not Applicable</v>
      </c>
    </row>
    <row r="2457" spans="1:12" ht="16.5" customHeight="1" x14ac:dyDescent="0.35">
      <c r="A2457" t="s">
        <v>1342</v>
      </c>
      <c r="B2457" t="s">
        <v>1342</v>
      </c>
      <c r="C2457">
        <v>0</v>
      </c>
      <c r="D2457">
        <v>600</v>
      </c>
      <c r="E2457" t="s">
        <v>8455</v>
      </c>
      <c r="F2457" t="s">
        <v>8456</v>
      </c>
      <c r="G2457" t="s">
        <v>8457</v>
      </c>
      <c r="H2457" t="s">
        <v>3532</v>
      </c>
      <c r="I2457" t="s">
        <v>3490</v>
      </c>
      <c r="J2457" s="56">
        <f t="shared" si="114"/>
        <v>27</v>
      </c>
      <c r="K2457" s="74" t="str">
        <f t="shared" si="115"/>
        <v>4-30 Days</v>
      </c>
      <c r="L2457" s="58" t="str">
        <f t="shared" si="116"/>
        <v>Not Applicable</v>
      </c>
    </row>
    <row r="2458" spans="1:12" ht="16.5" customHeight="1" x14ac:dyDescent="0.35">
      <c r="A2458" t="s">
        <v>1342</v>
      </c>
      <c r="B2458" t="s">
        <v>1342</v>
      </c>
      <c r="C2458">
        <v>0</v>
      </c>
      <c r="D2458">
        <v>250</v>
      </c>
      <c r="E2458" t="s">
        <v>8458</v>
      </c>
      <c r="F2458" t="s">
        <v>8458</v>
      </c>
      <c r="G2458" t="s">
        <v>8459</v>
      </c>
      <c r="H2458" t="s">
        <v>3532</v>
      </c>
      <c r="I2458" t="s">
        <v>3490</v>
      </c>
      <c r="J2458" s="56">
        <f t="shared" si="114"/>
        <v>27</v>
      </c>
      <c r="K2458" s="74" t="str">
        <f t="shared" si="115"/>
        <v>4-30 Days</v>
      </c>
      <c r="L2458" s="58" t="str">
        <f t="shared" si="116"/>
        <v>Not Applicable</v>
      </c>
    </row>
    <row r="2459" spans="1:12" ht="16.5" customHeight="1" x14ac:dyDescent="0.35">
      <c r="A2459" t="s">
        <v>1342</v>
      </c>
      <c r="B2459" t="s">
        <v>1342</v>
      </c>
      <c r="C2459">
        <v>1500000</v>
      </c>
      <c r="D2459">
        <v>0</v>
      </c>
      <c r="E2459" t="s">
        <v>8460</v>
      </c>
      <c r="F2459" t="s">
        <v>8460</v>
      </c>
      <c r="G2459" t="s">
        <v>8461</v>
      </c>
      <c r="H2459" t="s">
        <v>4196</v>
      </c>
      <c r="I2459" t="s">
        <v>3490</v>
      </c>
      <c r="J2459" s="56">
        <f t="shared" si="114"/>
        <v>27</v>
      </c>
      <c r="K2459" s="74" t="str">
        <f t="shared" si="115"/>
        <v>4-30 Days</v>
      </c>
      <c r="L2459" s="58" t="str">
        <f t="shared" si="116"/>
        <v>Normal</v>
      </c>
    </row>
    <row r="2460" spans="1:12" ht="16.5" customHeight="1" x14ac:dyDescent="0.35">
      <c r="A2460" t="s">
        <v>1342</v>
      </c>
      <c r="B2460" t="s">
        <v>1342</v>
      </c>
      <c r="C2460">
        <v>0</v>
      </c>
      <c r="D2460">
        <v>1000</v>
      </c>
      <c r="E2460" t="s">
        <v>8462</v>
      </c>
      <c r="F2460" t="s">
        <v>8462</v>
      </c>
      <c r="G2460" t="s">
        <v>8463</v>
      </c>
      <c r="H2460" t="s">
        <v>3489</v>
      </c>
      <c r="I2460" t="s">
        <v>3490</v>
      </c>
      <c r="J2460" s="56">
        <f t="shared" si="114"/>
        <v>27</v>
      </c>
      <c r="K2460" s="74" t="str">
        <f t="shared" si="115"/>
        <v>4-30 Days</v>
      </c>
      <c r="L2460" s="58" t="str">
        <f t="shared" si="116"/>
        <v>Not Applicable</v>
      </c>
    </row>
    <row r="2461" spans="1:12" ht="16.5" customHeight="1" x14ac:dyDescent="0.35">
      <c r="A2461" t="s">
        <v>1342</v>
      </c>
      <c r="B2461" t="s">
        <v>1342</v>
      </c>
      <c r="C2461">
        <v>0</v>
      </c>
      <c r="D2461">
        <v>600</v>
      </c>
      <c r="E2461" t="s">
        <v>8464</v>
      </c>
      <c r="F2461" t="s">
        <v>8465</v>
      </c>
      <c r="G2461" t="s">
        <v>8466</v>
      </c>
      <c r="H2461" t="s">
        <v>3532</v>
      </c>
      <c r="I2461" t="s">
        <v>3490</v>
      </c>
      <c r="J2461" s="56">
        <f t="shared" si="114"/>
        <v>27</v>
      </c>
      <c r="K2461" s="74" t="str">
        <f t="shared" si="115"/>
        <v>4-30 Days</v>
      </c>
      <c r="L2461" s="58" t="str">
        <f t="shared" si="116"/>
        <v>Not Applicable</v>
      </c>
    </row>
    <row r="2462" spans="1:12" ht="16.5" customHeight="1" x14ac:dyDescent="0.35">
      <c r="A2462" t="s">
        <v>1342</v>
      </c>
      <c r="B2462" t="s">
        <v>1342</v>
      </c>
      <c r="C2462">
        <v>0</v>
      </c>
      <c r="D2462">
        <v>600</v>
      </c>
      <c r="E2462" t="s">
        <v>8467</v>
      </c>
      <c r="F2462" t="s">
        <v>8468</v>
      </c>
      <c r="G2462" t="s">
        <v>8469</v>
      </c>
      <c r="H2462" t="s">
        <v>3532</v>
      </c>
      <c r="I2462" t="s">
        <v>3490</v>
      </c>
      <c r="J2462" s="56">
        <f t="shared" si="114"/>
        <v>27</v>
      </c>
      <c r="K2462" s="74" t="str">
        <f t="shared" si="115"/>
        <v>4-30 Days</v>
      </c>
      <c r="L2462" s="58" t="str">
        <f t="shared" si="116"/>
        <v>Not Applicable</v>
      </c>
    </row>
    <row r="2463" spans="1:12" ht="16.5" customHeight="1" x14ac:dyDescent="0.35">
      <c r="A2463" t="s">
        <v>1342</v>
      </c>
      <c r="B2463" t="s">
        <v>1342</v>
      </c>
      <c r="C2463">
        <v>0</v>
      </c>
      <c r="D2463">
        <v>1715.75</v>
      </c>
      <c r="E2463" t="s">
        <v>8470</v>
      </c>
      <c r="F2463" t="s">
        <v>57</v>
      </c>
      <c r="G2463" t="s">
        <v>57</v>
      </c>
      <c r="H2463" t="s">
        <v>3914</v>
      </c>
      <c r="I2463" t="s">
        <v>3643</v>
      </c>
      <c r="J2463" s="56">
        <f t="shared" si="114"/>
        <v>27</v>
      </c>
      <c r="K2463" s="74" t="str">
        <f t="shared" si="115"/>
        <v>4-30 Days</v>
      </c>
      <c r="L2463" s="58" t="str">
        <f t="shared" si="116"/>
        <v>Not Applicable</v>
      </c>
    </row>
    <row r="2464" spans="1:12" ht="16.5" customHeight="1" x14ac:dyDescent="0.35">
      <c r="A2464" t="s">
        <v>1342</v>
      </c>
      <c r="B2464" t="s">
        <v>1342</v>
      </c>
      <c r="C2464">
        <v>0</v>
      </c>
      <c r="D2464">
        <v>2050</v>
      </c>
      <c r="E2464" t="s">
        <v>8471</v>
      </c>
      <c r="F2464" t="s">
        <v>8471</v>
      </c>
      <c r="G2464" t="s">
        <v>8472</v>
      </c>
      <c r="H2464" t="s">
        <v>3489</v>
      </c>
      <c r="I2464" t="s">
        <v>3490</v>
      </c>
      <c r="J2464" s="56">
        <f t="shared" si="114"/>
        <v>27</v>
      </c>
      <c r="K2464" s="74" t="str">
        <f t="shared" si="115"/>
        <v>4-30 Days</v>
      </c>
      <c r="L2464" s="58" t="str">
        <f t="shared" si="116"/>
        <v>Not Applicable</v>
      </c>
    </row>
    <row r="2465" spans="1:12" ht="16.5" customHeight="1" x14ac:dyDescent="0.35">
      <c r="A2465" t="s">
        <v>1342</v>
      </c>
      <c r="B2465" t="s">
        <v>1342</v>
      </c>
      <c r="C2465">
        <v>0</v>
      </c>
      <c r="D2465">
        <v>250</v>
      </c>
      <c r="E2465" t="s">
        <v>8473</v>
      </c>
      <c r="F2465" t="s">
        <v>8473</v>
      </c>
      <c r="G2465" t="s">
        <v>8474</v>
      </c>
      <c r="H2465" t="s">
        <v>3532</v>
      </c>
      <c r="I2465" t="s">
        <v>3490</v>
      </c>
      <c r="J2465" s="56">
        <f t="shared" si="114"/>
        <v>27</v>
      </c>
      <c r="K2465" s="74" t="str">
        <f t="shared" si="115"/>
        <v>4-30 Days</v>
      </c>
      <c r="L2465" s="58" t="str">
        <f t="shared" si="116"/>
        <v>Not Applicable</v>
      </c>
    </row>
    <row r="2466" spans="1:12" ht="16.5" customHeight="1" x14ac:dyDescent="0.35">
      <c r="A2466" t="s">
        <v>1342</v>
      </c>
      <c r="B2466" t="s">
        <v>1342</v>
      </c>
      <c r="C2466">
        <v>0</v>
      </c>
      <c r="D2466">
        <v>390</v>
      </c>
      <c r="E2466" t="s">
        <v>8475</v>
      </c>
      <c r="F2466" t="s">
        <v>6528</v>
      </c>
      <c r="G2466" t="s">
        <v>8476</v>
      </c>
      <c r="H2466" t="s">
        <v>3489</v>
      </c>
      <c r="I2466" t="s">
        <v>3486</v>
      </c>
      <c r="J2466" s="56">
        <f t="shared" si="114"/>
        <v>27</v>
      </c>
      <c r="K2466" s="74" t="str">
        <f t="shared" si="115"/>
        <v>4-30 Days</v>
      </c>
      <c r="L2466" s="58" t="str">
        <f t="shared" si="116"/>
        <v>Not Applicable</v>
      </c>
    </row>
    <row r="2467" spans="1:12" ht="16.5" customHeight="1" x14ac:dyDescent="0.35">
      <c r="A2467" t="s">
        <v>1342</v>
      </c>
      <c r="B2467" t="s">
        <v>1342</v>
      </c>
      <c r="C2467">
        <v>0</v>
      </c>
      <c r="D2467">
        <v>600</v>
      </c>
      <c r="E2467" t="s">
        <v>8477</v>
      </c>
      <c r="F2467" t="s">
        <v>8477</v>
      </c>
      <c r="G2467" t="s">
        <v>8478</v>
      </c>
      <c r="H2467" t="s">
        <v>3489</v>
      </c>
      <c r="I2467" t="s">
        <v>3490</v>
      </c>
      <c r="J2467" s="56">
        <f t="shared" si="114"/>
        <v>27</v>
      </c>
      <c r="K2467" s="74" t="str">
        <f t="shared" si="115"/>
        <v>4-30 Days</v>
      </c>
      <c r="L2467" s="58" t="str">
        <f t="shared" si="116"/>
        <v>Not Applicable</v>
      </c>
    </row>
    <row r="2468" spans="1:12" ht="16.5" customHeight="1" x14ac:dyDescent="0.35">
      <c r="A2468" t="s">
        <v>1342</v>
      </c>
      <c r="B2468" t="s">
        <v>1342</v>
      </c>
      <c r="C2468">
        <v>0</v>
      </c>
      <c r="D2468">
        <v>900</v>
      </c>
      <c r="E2468" t="s">
        <v>8479</v>
      </c>
      <c r="F2468" t="s">
        <v>8479</v>
      </c>
      <c r="G2468" t="s">
        <v>8480</v>
      </c>
      <c r="H2468" t="s">
        <v>3489</v>
      </c>
      <c r="I2468" t="s">
        <v>3490</v>
      </c>
      <c r="J2468" s="56">
        <f t="shared" si="114"/>
        <v>27</v>
      </c>
      <c r="K2468" s="74" t="str">
        <f t="shared" si="115"/>
        <v>4-30 Days</v>
      </c>
      <c r="L2468" s="58" t="str">
        <f t="shared" si="116"/>
        <v>Not Applicable</v>
      </c>
    </row>
    <row r="2469" spans="1:12" ht="16.5" customHeight="1" x14ac:dyDescent="0.35">
      <c r="A2469" t="s">
        <v>1342</v>
      </c>
      <c r="B2469" t="s">
        <v>1342</v>
      </c>
      <c r="C2469">
        <v>0</v>
      </c>
      <c r="D2469">
        <v>1226</v>
      </c>
      <c r="E2469" t="s">
        <v>8481</v>
      </c>
      <c r="F2469" t="s">
        <v>8481</v>
      </c>
      <c r="G2469" t="s">
        <v>8482</v>
      </c>
      <c r="H2469" t="s">
        <v>3489</v>
      </c>
      <c r="I2469" t="s">
        <v>3490</v>
      </c>
      <c r="J2469" s="56">
        <f t="shared" si="114"/>
        <v>27</v>
      </c>
      <c r="K2469" s="74" t="str">
        <f t="shared" si="115"/>
        <v>4-30 Days</v>
      </c>
      <c r="L2469" s="58" t="str">
        <f t="shared" si="116"/>
        <v>Not Applicable</v>
      </c>
    </row>
    <row r="2470" spans="1:12" ht="16.5" customHeight="1" x14ac:dyDescent="0.35">
      <c r="A2470" t="s">
        <v>1342</v>
      </c>
      <c r="B2470" t="s">
        <v>1342</v>
      </c>
      <c r="C2470">
        <v>0</v>
      </c>
      <c r="D2470">
        <v>50</v>
      </c>
      <c r="E2470" t="s">
        <v>8483</v>
      </c>
      <c r="F2470" t="s">
        <v>8483</v>
      </c>
      <c r="G2470" t="s">
        <v>8484</v>
      </c>
      <c r="H2470" t="s">
        <v>3532</v>
      </c>
      <c r="I2470" t="s">
        <v>3490</v>
      </c>
      <c r="J2470" s="56">
        <f t="shared" si="114"/>
        <v>27</v>
      </c>
      <c r="K2470" s="74" t="str">
        <f t="shared" si="115"/>
        <v>4-30 Days</v>
      </c>
      <c r="L2470" s="58" t="str">
        <f t="shared" si="116"/>
        <v>Not Applicable</v>
      </c>
    </row>
    <row r="2471" spans="1:12" ht="16.5" customHeight="1" x14ac:dyDescent="0.35">
      <c r="A2471" t="s">
        <v>1342</v>
      </c>
      <c r="B2471" t="s">
        <v>1342</v>
      </c>
      <c r="C2471">
        <v>0</v>
      </c>
      <c r="D2471">
        <v>810</v>
      </c>
      <c r="E2471" t="s">
        <v>8485</v>
      </c>
      <c r="F2471" t="s">
        <v>6337</v>
      </c>
      <c r="G2471" t="s">
        <v>8486</v>
      </c>
      <c r="H2471" t="s">
        <v>3489</v>
      </c>
      <c r="I2471" t="s">
        <v>3486</v>
      </c>
      <c r="J2471" s="56">
        <f t="shared" si="114"/>
        <v>27</v>
      </c>
      <c r="K2471" s="74" t="str">
        <f t="shared" si="115"/>
        <v>4-30 Days</v>
      </c>
      <c r="L2471" s="58" t="str">
        <f t="shared" si="116"/>
        <v>Not Applicable</v>
      </c>
    </row>
    <row r="2472" spans="1:12" ht="16.5" customHeight="1" x14ac:dyDescent="0.35">
      <c r="A2472" t="s">
        <v>1342</v>
      </c>
      <c r="B2472" t="s">
        <v>1342</v>
      </c>
      <c r="C2472">
        <v>0</v>
      </c>
      <c r="D2472">
        <v>81000</v>
      </c>
      <c r="E2472" t="s">
        <v>8487</v>
      </c>
      <c r="F2472" t="s">
        <v>8488</v>
      </c>
      <c r="G2472" t="s">
        <v>8489</v>
      </c>
      <c r="H2472" t="s">
        <v>3489</v>
      </c>
      <c r="I2472" t="s">
        <v>3486</v>
      </c>
      <c r="J2472" s="56">
        <f t="shared" si="114"/>
        <v>27</v>
      </c>
      <c r="K2472" s="74" t="str">
        <f t="shared" si="115"/>
        <v>4-30 Days</v>
      </c>
      <c r="L2472" s="58" t="str">
        <f t="shared" si="116"/>
        <v>Not Applicable</v>
      </c>
    </row>
    <row r="2473" spans="1:12" ht="16.5" customHeight="1" x14ac:dyDescent="0.35">
      <c r="A2473" t="s">
        <v>1342</v>
      </c>
      <c r="B2473" t="s">
        <v>1342</v>
      </c>
      <c r="C2473">
        <v>0</v>
      </c>
      <c r="D2473">
        <v>2071</v>
      </c>
      <c r="E2473" t="s">
        <v>8490</v>
      </c>
      <c r="F2473" t="s">
        <v>8491</v>
      </c>
      <c r="G2473" t="s">
        <v>8492</v>
      </c>
      <c r="H2473" t="s">
        <v>3489</v>
      </c>
      <c r="I2473" t="s">
        <v>3486</v>
      </c>
      <c r="J2473" s="56">
        <f t="shared" si="114"/>
        <v>27</v>
      </c>
      <c r="K2473" s="74" t="str">
        <f t="shared" si="115"/>
        <v>4-30 Days</v>
      </c>
      <c r="L2473" s="58" t="str">
        <f t="shared" si="116"/>
        <v>Not Applicable</v>
      </c>
    </row>
    <row r="2474" spans="1:12" ht="16.5" customHeight="1" x14ac:dyDescent="0.35">
      <c r="A2474" t="s">
        <v>1342</v>
      </c>
      <c r="B2474" t="s">
        <v>1342</v>
      </c>
      <c r="C2474">
        <v>0</v>
      </c>
      <c r="D2474">
        <v>250</v>
      </c>
      <c r="E2474" t="s">
        <v>8493</v>
      </c>
      <c r="F2474" t="s">
        <v>8493</v>
      </c>
      <c r="G2474" t="s">
        <v>8494</v>
      </c>
      <c r="H2474" t="s">
        <v>3489</v>
      </c>
      <c r="I2474" t="s">
        <v>3490</v>
      </c>
      <c r="J2474" s="56">
        <f t="shared" si="114"/>
        <v>27</v>
      </c>
      <c r="K2474" s="74" t="str">
        <f t="shared" si="115"/>
        <v>4-30 Days</v>
      </c>
      <c r="L2474" s="58" t="str">
        <f t="shared" si="116"/>
        <v>Not Applicable</v>
      </c>
    </row>
    <row r="2475" spans="1:12" ht="16.5" customHeight="1" x14ac:dyDescent="0.35">
      <c r="A2475" t="s">
        <v>1342</v>
      </c>
      <c r="B2475" t="s">
        <v>1342</v>
      </c>
      <c r="C2475">
        <v>0</v>
      </c>
      <c r="D2475">
        <v>980</v>
      </c>
      <c r="E2475" t="s">
        <v>8495</v>
      </c>
      <c r="F2475" t="s">
        <v>6285</v>
      </c>
      <c r="G2475" t="s">
        <v>8496</v>
      </c>
      <c r="H2475" t="s">
        <v>3489</v>
      </c>
      <c r="I2475" t="s">
        <v>3486</v>
      </c>
      <c r="J2475" s="56">
        <f t="shared" si="114"/>
        <v>27</v>
      </c>
      <c r="K2475" s="74" t="str">
        <f t="shared" si="115"/>
        <v>4-30 Days</v>
      </c>
      <c r="L2475" s="58" t="str">
        <f t="shared" si="116"/>
        <v>Not Applicable</v>
      </c>
    </row>
    <row r="2476" spans="1:12" ht="16.5" customHeight="1" x14ac:dyDescent="0.35">
      <c r="A2476" t="s">
        <v>1342</v>
      </c>
      <c r="B2476" t="s">
        <v>1342</v>
      </c>
      <c r="C2476">
        <v>10100</v>
      </c>
      <c r="D2476">
        <v>0</v>
      </c>
      <c r="E2476" t="s">
        <v>8497</v>
      </c>
      <c r="F2476" t="s">
        <v>8497</v>
      </c>
      <c r="G2476" t="s">
        <v>8498</v>
      </c>
      <c r="H2476" t="s">
        <v>3455</v>
      </c>
      <c r="I2476" t="s">
        <v>3486</v>
      </c>
      <c r="J2476" s="56">
        <f t="shared" si="114"/>
        <v>27</v>
      </c>
      <c r="K2476" s="74" t="str">
        <f t="shared" si="115"/>
        <v>4-30 Days</v>
      </c>
      <c r="L2476" s="58" t="str">
        <f t="shared" si="116"/>
        <v>Normal</v>
      </c>
    </row>
    <row r="2477" spans="1:12" ht="16.5" customHeight="1" x14ac:dyDescent="0.35">
      <c r="A2477" t="s">
        <v>1342</v>
      </c>
      <c r="B2477" t="s">
        <v>1342</v>
      </c>
      <c r="C2477">
        <v>0</v>
      </c>
      <c r="D2477">
        <v>400</v>
      </c>
      <c r="E2477" t="s">
        <v>8499</v>
      </c>
      <c r="F2477" t="s">
        <v>8499</v>
      </c>
      <c r="G2477" t="s">
        <v>8500</v>
      </c>
      <c r="H2477" t="s">
        <v>3489</v>
      </c>
      <c r="I2477" t="s">
        <v>3490</v>
      </c>
      <c r="J2477" s="56">
        <f t="shared" si="114"/>
        <v>27</v>
      </c>
      <c r="K2477" s="74" t="str">
        <f t="shared" si="115"/>
        <v>4-30 Days</v>
      </c>
      <c r="L2477" s="58" t="str">
        <f t="shared" si="116"/>
        <v>Not Applicable</v>
      </c>
    </row>
    <row r="2478" spans="1:12" ht="16.5" customHeight="1" x14ac:dyDescent="0.35">
      <c r="A2478" t="s">
        <v>1342</v>
      </c>
      <c r="B2478" t="s">
        <v>1342</v>
      </c>
      <c r="C2478">
        <v>0</v>
      </c>
      <c r="D2478">
        <v>687</v>
      </c>
      <c r="E2478" t="s">
        <v>8501</v>
      </c>
      <c r="F2478" t="s">
        <v>8502</v>
      </c>
      <c r="G2478" t="s">
        <v>8503</v>
      </c>
      <c r="H2478" t="s">
        <v>7968</v>
      </c>
      <c r="I2478" t="s">
        <v>3486</v>
      </c>
      <c r="J2478" s="56">
        <f t="shared" si="114"/>
        <v>27</v>
      </c>
      <c r="K2478" s="74" t="str">
        <f t="shared" si="115"/>
        <v>4-30 Days</v>
      </c>
      <c r="L2478" s="58" t="str">
        <f t="shared" si="116"/>
        <v>Not Applicable</v>
      </c>
    </row>
    <row r="2479" spans="1:12" ht="16.5" customHeight="1" x14ac:dyDescent="0.35">
      <c r="A2479" t="s">
        <v>1342</v>
      </c>
      <c r="B2479" t="s">
        <v>1342</v>
      </c>
      <c r="C2479">
        <v>0</v>
      </c>
      <c r="D2479">
        <v>50000</v>
      </c>
      <c r="E2479" t="s">
        <v>8504</v>
      </c>
      <c r="F2479" t="s">
        <v>8505</v>
      </c>
      <c r="G2479" t="s">
        <v>8506</v>
      </c>
      <c r="H2479" t="s">
        <v>3489</v>
      </c>
      <c r="I2479" t="s">
        <v>3486</v>
      </c>
      <c r="J2479" s="56">
        <f t="shared" si="114"/>
        <v>27</v>
      </c>
      <c r="K2479" s="74" t="str">
        <f t="shared" si="115"/>
        <v>4-30 Days</v>
      </c>
      <c r="L2479" s="58" t="str">
        <f t="shared" si="116"/>
        <v>Not Applicable</v>
      </c>
    </row>
    <row r="2480" spans="1:12" ht="16.5" customHeight="1" x14ac:dyDescent="0.35">
      <c r="A2480" t="s">
        <v>1385</v>
      </c>
      <c r="B2480" t="s">
        <v>1385</v>
      </c>
      <c r="C2480">
        <v>0</v>
      </c>
      <c r="D2480">
        <v>1611.7</v>
      </c>
      <c r="E2480" t="s">
        <v>8507</v>
      </c>
      <c r="F2480" t="s">
        <v>8508</v>
      </c>
      <c r="G2480" t="s">
        <v>8509</v>
      </c>
      <c r="H2480" t="s">
        <v>3532</v>
      </c>
      <c r="I2480" t="s">
        <v>3490</v>
      </c>
      <c r="J2480" s="56">
        <f t="shared" si="114"/>
        <v>26</v>
      </c>
      <c r="K2480" s="74" t="str">
        <f t="shared" si="115"/>
        <v>4-30 Days</v>
      </c>
      <c r="L2480" s="58" t="str">
        <f t="shared" si="116"/>
        <v>Not Applicable</v>
      </c>
    </row>
    <row r="2481" spans="1:12" ht="16.5" customHeight="1" x14ac:dyDescent="0.35">
      <c r="A2481" t="s">
        <v>1385</v>
      </c>
      <c r="B2481" t="s">
        <v>1385</v>
      </c>
      <c r="C2481">
        <v>924</v>
      </c>
      <c r="D2481">
        <v>0</v>
      </c>
      <c r="E2481" t="s">
        <v>3539</v>
      </c>
      <c r="F2481" t="s">
        <v>3539</v>
      </c>
      <c r="G2481" t="s">
        <v>8510</v>
      </c>
      <c r="H2481" t="s">
        <v>3455</v>
      </c>
      <c r="I2481" t="s">
        <v>3486</v>
      </c>
      <c r="J2481" s="56">
        <f t="shared" si="114"/>
        <v>26</v>
      </c>
      <c r="K2481" s="74" t="str">
        <f t="shared" si="115"/>
        <v>4-30 Days</v>
      </c>
      <c r="L2481" s="58" t="str">
        <f t="shared" si="116"/>
        <v>Normal</v>
      </c>
    </row>
    <row r="2482" spans="1:12" ht="16.5" customHeight="1" x14ac:dyDescent="0.35">
      <c r="A2482" t="s">
        <v>1385</v>
      </c>
      <c r="B2482" t="s">
        <v>1385</v>
      </c>
      <c r="C2482">
        <v>0</v>
      </c>
      <c r="D2482">
        <v>2662.8</v>
      </c>
      <c r="E2482" t="s">
        <v>8511</v>
      </c>
      <c r="F2482" t="s">
        <v>8512</v>
      </c>
      <c r="G2482" t="s">
        <v>8513</v>
      </c>
      <c r="H2482" t="s">
        <v>3532</v>
      </c>
      <c r="I2482" t="s">
        <v>3490</v>
      </c>
      <c r="J2482" s="56">
        <f t="shared" si="114"/>
        <v>26</v>
      </c>
      <c r="K2482" s="74" t="str">
        <f t="shared" si="115"/>
        <v>4-30 Days</v>
      </c>
      <c r="L2482" s="58" t="str">
        <f t="shared" si="116"/>
        <v>Not Applicable</v>
      </c>
    </row>
    <row r="2483" spans="1:12" ht="16.5" customHeight="1" x14ac:dyDescent="0.35">
      <c r="A2483" t="s">
        <v>1385</v>
      </c>
      <c r="B2483" t="s">
        <v>1385</v>
      </c>
      <c r="C2483">
        <v>0</v>
      </c>
      <c r="D2483">
        <v>132</v>
      </c>
      <c r="E2483" t="s">
        <v>8514</v>
      </c>
      <c r="F2483" t="s">
        <v>3499</v>
      </c>
      <c r="G2483" t="s">
        <v>8515</v>
      </c>
      <c r="H2483" t="s">
        <v>3489</v>
      </c>
      <c r="I2483" t="s">
        <v>3490</v>
      </c>
      <c r="J2483" s="56">
        <f t="shared" si="114"/>
        <v>26</v>
      </c>
      <c r="K2483" s="74" t="str">
        <f t="shared" si="115"/>
        <v>4-30 Days</v>
      </c>
      <c r="L2483" s="58" t="str">
        <f t="shared" si="116"/>
        <v>Not Applicable</v>
      </c>
    </row>
    <row r="2484" spans="1:12" ht="16.5" customHeight="1" x14ac:dyDescent="0.35">
      <c r="A2484" t="s">
        <v>1385</v>
      </c>
      <c r="B2484" t="s">
        <v>1385</v>
      </c>
      <c r="C2484">
        <v>0</v>
      </c>
      <c r="D2484">
        <v>100</v>
      </c>
      <c r="E2484" t="s">
        <v>8516</v>
      </c>
      <c r="F2484" t="s">
        <v>8517</v>
      </c>
      <c r="G2484" t="s">
        <v>8518</v>
      </c>
      <c r="H2484" t="s">
        <v>3532</v>
      </c>
      <c r="I2484" t="s">
        <v>3490</v>
      </c>
      <c r="J2484" s="56">
        <f t="shared" si="114"/>
        <v>26</v>
      </c>
      <c r="K2484" s="74" t="str">
        <f t="shared" si="115"/>
        <v>4-30 Days</v>
      </c>
      <c r="L2484" s="58" t="str">
        <f t="shared" si="116"/>
        <v>Not Applicable</v>
      </c>
    </row>
    <row r="2485" spans="1:12" ht="16.5" customHeight="1" x14ac:dyDescent="0.35">
      <c r="A2485" t="s">
        <v>1385</v>
      </c>
      <c r="B2485" t="s">
        <v>1385</v>
      </c>
      <c r="C2485">
        <v>0</v>
      </c>
      <c r="D2485">
        <v>100</v>
      </c>
      <c r="E2485" t="s">
        <v>8519</v>
      </c>
      <c r="F2485" t="s">
        <v>8519</v>
      </c>
      <c r="G2485" t="s">
        <v>8520</v>
      </c>
      <c r="H2485" t="s">
        <v>3489</v>
      </c>
      <c r="I2485" t="s">
        <v>3490</v>
      </c>
      <c r="J2485" s="56">
        <f t="shared" si="114"/>
        <v>26</v>
      </c>
      <c r="K2485" s="74" t="str">
        <f t="shared" si="115"/>
        <v>4-30 Days</v>
      </c>
      <c r="L2485" s="58" t="str">
        <f t="shared" si="116"/>
        <v>Not Applicable</v>
      </c>
    </row>
    <row r="2486" spans="1:12" ht="16.5" customHeight="1" x14ac:dyDescent="0.35">
      <c r="A2486" t="s">
        <v>1385</v>
      </c>
      <c r="B2486" t="s">
        <v>1385</v>
      </c>
      <c r="C2486">
        <v>0</v>
      </c>
      <c r="D2486">
        <v>8448.4</v>
      </c>
      <c r="E2486" t="s">
        <v>8521</v>
      </c>
      <c r="F2486" t="s">
        <v>3574</v>
      </c>
      <c r="G2486" t="s">
        <v>8522</v>
      </c>
      <c r="H2486" t="s">
        <v>3489</v>
      </c>
      <c r="I2486" t="s">
        <v>3490</v>
      </c>
      <c r="J2486" s="56">
        <f t="shared" si="114"/>
        <v>26</v>
      </c>
      <c r="K2486" s="74" t="str">
        <f t="shared" si="115"/>
        <v>4-30 Days</v>
      </c>
      <c r="L2486" s="58" t="str">
        <f t="shared" si="116"/>
        <v>Not Applicable</v>
      </c>
    </row>
    <row r="2487" spans="1:12" ht="16.5" customHeight="1" x14ac:dyDescent="0.35">
      <c r="A2487" t="s">
        <v>1385</v>
      </c>
      <c r="B2487" t="s">
        <v>1385</v>
      </c>
      <c r="C2487">
        <v>5000000</v>
      </c>
      <c r="D2487">
        <v>0</v>
      </c>
      <c r="E2487" t="s">
        <v>8523</v>
      </c>
      <c r="F2487" t="s">
        <v>8523</v>
      </c>
      <c r="G2487" t="s">
        <v>8524</v>
      </c>
      <c r="H2487" t="s">
        <v>3485</v>
      </c>
      <c r="I2487" t="s">
        <v>3486</v>
      </c>
      <c r="J2487" s="56">
        <f t="shared" si="114"/>
        <v>26</v>
      </c>
      <c r="K2487" s="74" t="str">
        <f t="shared" si="115"/>
        <v>4-30 Days</v>
      </c>
      <c r="L2487" s="58" t="str">
        <f t="shared" si="116"/>
        <v>Normal</v>
      </c>
    </row>
    <row r="2488" spans="1:12" ht="16.5" customHeight="1" x14ac:dyDescent="0.35">
      <c r="A2488" t="s">
        <v>1385</v>
      </c>
      <c r="B2488" t="s">
        <v>1385</v>
      </c>
      <c r="C2488">
        <v>0</v>
      </c>
      <c r="D2488">
        <v>250</v>
      </c>
      <c r="E2488" t="s">
        <v>8525</v>
      </c>
      <c r="F2488" t="s">
        <v>8525</v>
      </c>
      <c r="G2488" t="s">
        <v>8526</v>
      </c>
      <c r="H2488" t="s">
        <v>3489</v>
      </c>
      <c r="I2488" t="s">
        <v>3490</v>
      </c>
      <c r="J2488" s="56">
        <f t="shared" si="114"/>
        <v>26</v>
      </c>
      <c r="K2488" s="74" t="str">
        <f t="shared" si="115"/>
        <v>4-30 Days</v>
      </c>
      <c r="L2488" s="58" t="str">
        <f t="shared" si="116"/>
        <v>Not Applicable</v>
      </c>
    </row>
    <row r="2489" spans="1:12" ht="16.5" customHeight="1" x14ac:dyDescent="0.35">
      <c r="A2489" t="s">
        <v>1385</v>
      </c>
      <c r="B2489" t="s">
        <v>1385</v>
      </c>
      <c r="C2489">
        <v>0</v>
      </c>
      <c r="D2489">
        <v>1000</v>
      </c>
      <c r="E2489" t="s">
        <v>8527</v>
      </c>
      <c r="F2489" t="s">
        <v>8527</v>
      </c>
      <c r="G2489" t="s">
        <v>8528</v>
      </c>
      <c r="H2489" t="s">
        <v>3489</v>
      </c>
      <c r="I2489" t="s">
        <v>3490</v>
      </c>
      <c r="J2489" s="56">
        <f t="shared" si="114"/>
        <v>26</v>
      </c>
      <c r="K2489" s="74" t="str">
        <f t="shared" si="115"/>
        <v>4-30 Days</v>
      </c>
      <c r="L2489" s="58" t="str">
        <f t="shared" si="116"/>
        <v>Not Applicable</v>
      </c>
    </row>
    <row r="2490" spans="1:12" ht="16.5" customHeight="1" x14ac:dyDescent="0.35">
      <c r="A2490" t="s">
        <v>1385</v>
      </c>
      <c r="B2490" t="s">
        <v>1385</v>
      </c>
      <c r="C2490">
        <v>0</v>
      </c>
      <c r="D2490">
        <v>150</v>
      </c>
      <c r="E2490" t="s">
        <v>8529</v>
      </c>
      <c r="F2490" t="s">
        <v>8529</v>
      </c>
      <c r="G2490" t="s">
        <v>8530</v>
      </c>
      <c r="H2490" t="s">
        <v>3489</v>
      </c>
      <c r="I2490" t="s">
        <v>3490</v>
      </c>
      <c r="J2490" s="56">
        <f t="shared" si="114"/>
        <v>26</v>
      </c>
      <c r="K2490" s="74" t="str">
        <f t="shared" si="115"/>
        <v>4-30 Days</v>
      </c>
      <c r="L2490" s="58" t="str">
        <f t="shared" si="116"/>
        <v>Not Applicable</v>
      </c>
    </row>
    <row r="2491" spans="1:12" ht="16.5" customHeight="1" x14ac:dyDescent="0.35">
      <c r="A2491" t="s">
        <v>1385</v>
      </c>
      <c r="B2491" t="s">
        <v>1385</v>
      </c>
      <c r="C2491">
        <v>0</v>
      </c>
      <c r="D2491">
        <v>715</v>
      </c>
      <c r="E2491" t="s">
        <v>8531</v>
      </c>
      <c r="F2491" t="s">
        <v>8531</v>
      </c>
      <c r="G2491" t="s">
        <v>8532</v>
      </c>
      <c r="H2491" t="s">
        <v>3489</v>
      </c>
      <c r="I2491" t="s">
        <v>3490</v>
      </c>
      <c r="J2491" s="56">
        <f t="shared" si="114"/>
        <v>26</v>
      </c>
      <c r="K2491" s="74" t="str">
        <f t="shared" si="115"/>
        <v>4-30 Days</v>
      </c>
      <c r="L2491" s="58" t="str">
        <f t="shared" si="116"/>
        <v>Not Applicable</v>
      </c>
    </row>
    <row r="2492" spans="1:12" ht="16.5" customHeight="1" x14ac:dyDescent="0.35">
      <c r="A2492" t="s">
        <v>1385</v>
      </c>
      <c r="B2492" t="s">
        <v>1385</v>
      </c>
      <c r="C2492">
        <v>0</v>
      </c>
      <c r="D2492">
        <v>600</v>
      </c>
      <c r="E2492" t="s">
        <v>8533</v>
      </c>
      <c r="F2492" t="s">
        <v>8533</v>
      </c>
      <c r="G2492" t="s">
        <v>8534</v>
      </c>
      <c r="H2492" t="s">
        <v>3489</v>
      </c>
      <c r="I2492" t="s">
        <v>3490</v>
      </c>
      <c r="J2492" s="56">
        <f t="shared" si="114"/>
        <v>26</v>
      </c>
      <c r="K2492" s="74" t="str">
        <f t="shared" si="115"/>
        <v>4-30 Days</v>
      </c>
      <c r="L2492" s="58" t="str">
        <f t="shared" si="116"/>
        <v>Not Applicable</v>
      </c>
    </row>
    <row r="2493" spans="1:12" ht="16.5" customHeight="1" x14ac:dyDescent="0.35">
      <c r="A2493" t="s">
        <v>1385</v>
      </c>
      <c r="B2493" t="s">
        <v>1385</v>
      </c>
      <c r="C2493">
        <v>0</v>
      </c>
      <c r="D2493">
        <v>61580.32</v>
      </c>
      <c r="E2493" t="s">
        <v>8535</v>
      </c>
      <c r="F2493" t="s">
        <v>8535</v>
      </c>
      <c r="G2493" t="s">
        <v>8536</v>
      </c>
      <c r="H2493" t="s">
        <v>3489</v>
      </c>
      <c r="I2493" t="s">
        <v>3490</v>
      </c>
      <c r="J2493" s="56">
        <f t="shared" si="114"/>
        <v>26</v>
      </c>
      <c r="K2493" s="74" t="str">
        <f t="shared" si="115"/>
        <v>4-30 Days</v>
      </c>
      <c r="L2493" s="58" t="str">
        <f t="shared" si="116"/>
        <v>Not Applicable</v>
      </c>
    </row>
    <row r="2494" spans="1:12" ht="16.5" customHeight="1" x14ac:dyDescent="0.35">
      <c r="A2494" t="s">
        <v>1385</v>
      </c>
      <c r="B2494" t="s">
        <v>1385</v>
      </c>
      <c r="C2494">
        <v>0</v>
      </c>
      <c r="D2494">
        <v>1000</v>
      </c>
      <c r="E2494" t="s">
        <v>8537</v>
      </c>
      <c r="F2494" t="s">
        <v>8537</v>
      </c>
      <c r="G2494" t="s">
        <v>8538</v>
      </c>
      <c r="H2494" t="s">
        <v>3638</v>
      </c>
      <c r="I2494" t="s">
        <v>3490</v>
      </c>
      <c r="J2494" s="56">
        <f t="shared" si="114"/>
        <v>26</v>
      </c>
      <c r="K2494" s="74" t="str">
        <f t="shared" si="115"/>
        <v>4-30 Days</v>
      </c>
      <c r="L2494" s="58" t="str">
        <f t="shared" si="116"/>
        <v>Not Applicable</v>
      </c>
    </row>
    <row r="2495" spans="1:12" ht="16.5" customHeight="1" x14ac:dyDescent="0.35">
      <c r="A2495" t="s">
        <v>1385</v>
      </c>
      <c r="B2495" t="s">
        <v>1385</v>
      </c>
      <c r="C2495">
        <v>0</v>
      </c>
      <c r="D2495">
        <v>100</v>
      </c>
      <c r="E2495" t="s">
        <v>8539</v>
      </c>
      <c r="F2495" t="s">
        <v>8539</v>
      </c>
      <c r="G2495" t="s">
        <v>8540</v>
      </c>
      <c r="H2495" t="s">
        <v>3489</v>
      </c>
      <c r="I2495" t="s">
        <v>3490</v>
      </c>
      <c r="J2495" s="56">
        <f t="shared" si="114"/>
        <v>26</v>
      </c>
      <c r="K2495" s="74" t="str">
        <f t="shared" si="115"/>
        <v>4-30 Days</v>
      </c>
      <c r="L2495" s="58" t="str">
        <f t="shared" si="116"/>
        <v>Not Applicable</v>
      </c>
    </row>
    <row r="2496" spans="1:12" ht="16.5" customHeight="1" x14ac:dyDescent="0.35">
      <c r="A2496" t="s">
        <v>1385</v>
      </c>
      <c r="B2496" t="s">
        <v>1385</v>
      </c>
      <c r="C2496">
        <v>0</v>
      </c>
      <c r="D2496">
        <v>100</v>
      </c>
      <c r="E2496" t="s">
        <v>8541</v>
      </c>
      <c r="F2496" t="s">
        <v>8541</v>
      </c>
      <c r="G2496" t="s">
        <v>8542</v>
      </c>
      <c r="H2496" t="s">
        <v>3489</v>
      </c>
      <c r="I2496" t="s">
        <v>3490</v>
      </c>
      <c r="J2496" s="56">
        <f t="shared" si="114"/>
        <v>26</v>
      </c>
      <c r="K2496" s="74" t="str">
        <f t="shared" si="115"/>
        <v>4-30 Days</v>
      </c>
      <c r="L2496" s="58" t="str">
        <f t="shared" si="116"/>
        <v>Not Applicable</v>
      </c>
    </row>
    <row r="2497" spans="1:12" ht="16.5" customHeight="1" x14ac:dyDescent="0.35">
      <c r="A2497" t="s">
        <v>1385</v>
      </c>
      <c r="B2497" t="s">
        <v>1385</v>
      </c>
      <c r="C2497">
        <v>0</v>
      </c>
      <c r="D2497">
        <v>100</v>
      </c>
      <c r="E2497" t="s">
        <v>8543</v>
      </c>
      <c r="F2497" t="s">
        <v>8543</v>
      </c>
      <c r="G2497" t="s">
        <v>8544</v>
      </c>
      <c r="H2497" t="s">
        <v>3489</v>
      </c>
      <c r="I2497" t="s">
        <v>3490</v>
      </c>
      <c r="J2497" s="56">
        <f t="shared" si="114"/>
        <v>26</v>
      </c>
      <c r="K2497" s="74" t="str">
        <f t="shared" si="115"/>
        <v>4-30 Days</v>
      </c>
      <c r="L2497" s="58" t="str">
        <f t="shared" si="116"/>
        <v>Not Applicable</v>
      </c>
    </row>
    <row r="2498" spans="1:12" ht="16.5" customHeight="1" x14ac:dyDescent="0.35">
      <c r="A2498" t="s">
        <v>1385</v>
      </c>
      <c r="B2498" t="s">
        <v>1385</v>
      </c>
      <c r="C2498">
        <v>0</v>
      </c>
      <c r="D2498">
        <v>10972.73</v>
      </c>
      <c r="E2498" t="s">
        <v>8545</v>
      </c>
      <c r="F2498" t="s">
        <v>8545</v>
      </c>
      <c r="G2498" t="s">
        <v>8546</v>
      </c>
      <c r="H2498" t="s">
        <v>3489</v>
      </c>
      <c r="I2498" t="s">
        <v>3490</v>
      </c>
      <c r="J2498" s="56">
        <f t="shared" si="114"/>
        <v>26</v>
      </c>
      <c r="K2498" s="74" t="str">
        <f t="shared" si="115"/>
        <v>4-30 Days</v>
      </c>
      <c r="L2498" s="58" t="str">
        <f t="shared" si="116"/>
        <v>Not Applicable</v>
      </c>
    </row>
    <row r="2499" spans="1:12" ht="16.5" customHeight="1" x14ac:dyDescent="0.35">
      <c r="A2499" t="s">
        <v>1385</v>
      </c>
      <c r="B2499" t="s">
        <v>1385</v>
      </c>
      <c r="C2499">
        <v>0</v>
      </c>
      <c r="D2499">
        <v>23045.8</v>
      </c>
      <c r="E2499" t="s">
        <v>8547</v>
      </c>
      <c r="F2499" t="s">
        <v>8547</v>
      </c>
      <c r="G2499" t="s">
        <v>8548</v>
      </c>
      <c r="H2499" t="s">
        <v>3489</v>
      </c>
      <c r="I2499" t="s">
        <v>3490</v>
      </c>
      <c r="J2499" s="56">
        <f t="shared" si="114"/>
        <v>26</v>
      </c>
      <c r="K2499" s="74" t="str">
        <f t="shared" si="115"/>
        <v>4-30 Days</v>
      </c>
      <c r="L2499" s="58" t="str">
        <f t="shared" si="116"/>
        <v>Not Applicable</v>
      </c>
    </row>
    <row r="2500" spans="1:12" ht="16.5" customHeight="1" x14ac:dyDescent="0.35">
      <c r="A2500" t="s">
        <v>1385</v>
      </c>
      <c r="B2500" t="s">
        <v>1385</v>
      </c>
      <c r="C2500">
        <v>0</v>
      </c>
      <c r="D2500">
        <v>73009.39</v>
      </c>
      <c r="E2500" t="s">
        <v>8549</v>
      </c>
      <c r="F2500" t="s">
        <v>57</v>
      </c>
      <c r="G2500" t="s">
        <v>57</v>
      </c>
      <c r="H2500" t="s">
        <v>3914</v>
      </c>
      <c r="I2500" t="s">
        <v>3643</v>
      </c>
      <c r="J2500" s="56">
        <f t="shared" si="114"/>
        <v>26</v>
      </c>
      <c r="K2500" s="74" t="str">
        <f t="shared" si="115"/>
        <v>4-30 Days</v>
      </c>
      <c r="L2500" s="58" t="str">
        <f t="shared" si="116"/>
        <v>Not Applicable</v>
      </c>
    </row>
    <row r="2501" spans="1:12" ht="16.5" customHeight="1" x14ac:dyDescent="0.35">
      <c r="A2501" t="s">
        <v>1385</v>
      </c>
      <c r="B2501" t="s">
        <v>1385</v>
      </c>
      <c r="C2501">
        <v>0</v>
      </c>
      <c r="D2501">
        <v>3438.8</v>
      </c>
      <c r="E2501" t="s">
        <v>8550</v>
      </c>
      <c r="F2501" t="s">
        <v>8551</v>
      </c>
      <c r="G2501" t="s">
        <v>8552</v>
      </c>
      <c r="H2501" t="s">
        <v>3532</v>
      </c>
      <c r="I2501" t="s">
        <v>3490</v>
      </c>
      <c r="J2501" s="56">
        <f t="shared" si="114"/>
        <v>26</v>
      </c>
      <c r="K2501" s="74" t="str">
        <f t="shared" si="115"/>
        <v>4-30 Days</v>
      </c>
      <c r="L2501" s="58" t="str">
        <f t="shared" si="116"/>
        <v>Not Applicable</v>
      </c>
    </row>
    <row r="2502" spans="1:12" ht="16.5" customHeight="1" x14ac:dyDescent="0.35">
      <c r="A2502" t="s">
        <v>1385</v>
      </c>
      <c r="B2502" t="s">
        <v>1385</v>
      </c>
      <c r="C2502">
        <v>0</v>
      </c>
      <c r="D2502">
        <v>50</v>
      </c>
      <c r="E2502" t="s">
        <v>8553</v>
      </c>
      <c r="F2502" t="s">
        <v>8554</v>
      </c>
      <c r="G2502" t="s">
        <v>8555</v>
      </c>
      <c r="H2502" t="s">
        <v>3532</v>
      </c>
      <c r="I2502" t="s">
        <v>3490</v>
      </c>
      <c r="J2502" s="56">
        <f t="shared" si="114"/>
        <v>26</v>
      </c>
      <c r="K2502" s="74" t="str">
        <f t="shared" si="115"/>
        <v>4-30 Days</v>
      </c>
      <c r="L2502" s="58" t="str">
        <f t="shared" si="116"/>
        <v>Not Applicable</v>
      </c>
    </row>
    <row r="2503" spans="1:12" ht="16.5" customHeight="1" x14ac:dyDescent="0.35">
      <c r="A2503" t="s">
        <v>1385</v>
      </c>
      <c r="B2503" t="s">
        <v>1385</v>
      </c>
      <c r="C2503">
        <v>0</v>
      </c>
      <c r="D2503">
        <v>250</v>
      </c>
      <c r="E2503" t="s">
        <v>8556</v>
      </c>
      <c r="F2503" t="s">
        <v>8556</v>
      </c>
      <c r="G2503" t="s">
        <v>8557</v>
      </c>
      <c r="H2503" t="s">
        <v>3489</v>
      </c>
      <c r="I2503" t="s">
        <v>3490</v>
      </c>
      <c r="J2503" s="56">
        <f t="shared" si="114"/>
        <v>26</v>
      </c>
      <c r="K2503" s="74" t="str">
        <f t="shared" si="115"/>
        <v>4-30 Days</v>
      </c>
      <c r="L2503" s="58" t="str">
        <f t="shared" si="116"/>
        <v>Not Applicable</v>
      </c>
    </row>
    <row r="2504" spans="1:12" ht="16.5" customHeight="1" x14ac:dyDescent="0.35">
      <c r="A2504" t="s">
        <v>1385</v>
      </c>
      <c r="B2504" t="s">
        <v>1385</v>
      </c>
      <c r="C2504">
        <v>0</v>
      </c>
      <c r="D2504">
        <v>1000</v>
      </c>
      <c r="E2504" t="s">
        <v>8558</v>
      </c>
      <c r="F2504" t="s">
        <v>8558</v>
      </c>
      <c r="G2504" t="s">
        <v>8559</v>
      </c>
      <c r="H2504" t="s">
        <v>3489</v>
      </c>
      <c r="I2504" t="s">
        <v>3490</v>
      </c>
      <c r="J2504" s="56">
        <f t="shared" si="114"/>
        <v>26</v>
      </c>
      <c r="K2504" s="74" t="str">
        <f t="shared" si="115"/>
        <v>4-30 Days</v>
      </c>
      <c r="L2504" s="58" t="str">
        <f t="shared" si="116"/>
        <v>Not Applicable</v>
      </c>
    </row>
    <row r="2505" spans="1:12" ht="16.5" customHeight="1" x14ac:dyDescent="0.35">
      <c r="A2505" t="s">
        <v>1385</v>
      </c>
      <c r="B2505" t="s">
        <v>1385</v>
      </c>
      <c r="C2505">
        <v>0</v>
      </c>
      <c r="D2505">
        <v>1000</v>
      </c>
      <c r="E2505" t="s">
        <v>8560</v>
      </c>
      <c r="F2505" t="s">
        <v>8560</v>
      </c>
      <c r="G2505" t="s">
        <v>8561</v>
      </c>
      <c r="H2505" t="s">
        <v>3489</v>
      </c>
      <c r="I2505" t="s">
        <v>3490</v>
      </c>
      <c r="J2505" s="56">
        <f t="shared" ref="J2505:J2568" si="117">IF(A2505="","",A$5-A2505)</f>
        <v>26</v>
      </c>
      <c r="K2505" s="74" t="str">
        <f t="shared" ref="K2505:K2568" si="118">IF(J2505="","",IF(J2505&lt;4,"0-3 Days",IF(J2505&lt;31,"4-30 Days",IF(J2505&lt;61,"31-60 Days",IF(J2505&lt;=90,"61-90 Days",IF(J2505&gt;90,"Above 90 Days","0"))))))</f>
        <v>4-30 Days</v>
      </c>
      <c r="L2505" s="58" t="str">
        <f t="shared" ref="L2505:L2568" si="119">IF(C2505="","",IF(C2505&gt;0,IF(J2505&lt;30,"Normal",IF(J2505&lt;60,"Especially Mentioned",IF(J2505&lt;90,"Substandard",IF(J2505&lt;=180,"Doubtful",IF(J2505&gt;180,"Loss","0"))))),"Not Applicable"))</f>
        <v>Not Applicable</v>
      </c>
    </row>
    <row r="2506" spans="1:12" ht="16.5" customHeight="1" x14ac:dyDescent="0.35">
      <c r="A2506" t="s">
        <v>1385</v>
      </c>
      <c r="B2506" t="s">
        <v>1385</v>
      </c>
      <c r="C2506">
        <v>0</v>
      </c>
      <c r="D2506">
        <v>1000</v>
      </c>
      <c r="E2506" t="s">
        <v>8562</v>
      </c>
      <c r="F2506" t="s">
        <v>8562</v>
      </c>
      <c r="G2506" t="s">
        <v>8563</v>
      </c>
      <c r="H2506" t="s">
        <v>3489</v>
      </c>
      <c r="I2506" t="s">
        <v>3490</v>
      </c>
      <c r="J2506" s="56">
        <f t="shared" si="117"/>
        <v>26</v>
      </c>
      <c r="K2506" s="74" t="str">
        <f t="shared" si="118"/>
        <v>4-30 Days</v>
      </c>
      <c r="L2506" s="58" t="str">
        <f t="shared" si="119"/>
        <v>Not Applicable</v>
      </c>
    </row>
    <row r="2507" spans="1:12" ht="16.5" customHeight="1" x14ac:dyDescent="0.35">
      <c r="A2507" t="s">
        <v>1385</v>
      </c>
      <c r="B2507" t="s">
        <v>1385</v>
      </c>
      <c r="C2507">
        <v>0</v>
      </c>
      <c r="D2507">
        <v>1000</v>
      </c>
      <c r="E2507" t="s">
        <v>8564</v>
      </c>
      <c r="F2507" t="s">
        <v>8564</v>
      </c>
      <c r="G2507" t="s">
        <v>8565</v>
      </c>
      <c r="H2507" t="s">
        <v>3489</v>
      </c>
      <c r="I2507" t="s">
        <v>3490</v>
      </c>
      <c r="J2507" s="56">
        <f t="shared" si="117"/>
        <v>26</v>
      </c>
      <c r="K2507" s="74" t="str">
        <f t="shared" si="118"/>
        <v>4-30 Days</v>
      </c>
      <c r="L2507" s="58" t="str">
        <f t="shared" si="119"/>
        <v>Not Applicable</v>
      </c>
    </row>
    <row r="2508" spans="1:12" ht="16.5" customHeight="1" x14ac:dyDescent="0.35">
      <c r="A2508" t="s">
        <v>1385</v>
      </c>
      <c r="B2508" t="s">
        <v>1385</v>
      </c>
      <c r="C2508">
        <v>0</v>
      </c>
      <c r="D2508">
        <v>250</v>
      </c>
      <c r="E2508" t="s">
        <v>8566</v>
      </c>
      <c r="F2508" t="s">
        <v>8566</v>
      </c>
      <c r="G2508" t="s">
        <v>8567</v>
      </c>
      <c r="H2508" t="s">
        <v>3489</v>
      </c>
      <c r="I2508" t="s">
        <v>3490</v>
      </c>
      <c r="J2508" s="56">
        <f t="shared" si="117"/>
        <v>26</v>
      </c>
      <c r="K2508" s="74" t="str">
        <f t="shared" si="118"/>
        <v>4-30 Days</v>
      </c>
      <c r="L2508" s="58" t="str">
        <f t="shared" si="119"/>
        <v>Not Applicable</v>
      </c>
    </row>
    <row r="2509" spans="1:12" ht="16.5" customHeight="1" x14ac:dyDescent="0.35">
      <c r="A2509" t="s">
        <v>1385</v>
      </c>
      <c r="B2509" t="s">
        <v>1385</v>
      </c>
      <c r="C2509">
        <v>0</v>
      </c>
      <c r="D2509">
        <v>318.60000000000002</v>
      </c>
      <c r="E2509" t="s">
        <v>8568</v>
      </c>
      <c r="F2509" t="s">
        <v>8569</v>
      </c>
      <c r="G2509" t="s">
        <v>8570</v>
      </c>
      <c r="H2509" t="s">
        <v>3532</v>
      </c>
      <c r="I2509" t="s">
        <v>3490</v>
      </c>
      <c r="J2509" s="56">
        <f t="shared" si="117"/>
        <v>26</v>
      </c>
      <c r="K2509" s="74" t="str">
        <f t="shared" si="118"/>
        <v>4-30 Days</v>
      </c>
      <c r="L2509" s="58" t="str">
        <f t="shared" si="119"/>
        <v>Not Applicable</v>
      </c>
    </row>
    <row r="2510" spans="1:12" ht="16.5" customHeight="1" x14ac:dyDescent="0.35">
      <c r="A2510" t="s">
        <v>1385</v>
      </c>
      <c r="B2510" t="s">
        <v>1385</v>
      </c>
      <c r="C2510">
        <v>5000000</v>
      </c>
      <c r="D2510">
        <v>0</v>
      </c>
      <c r="E2510" t="s">
        <v>8571</v>
      </c>
      <c r="F2510" t="s">
        <v>8571</v>
      </c>
      <c r="G2510" t="s">
        <v>8572</v>
      </c>
      <c r="H2510" t="s">
        <v>3485</v>
      </c>
      <c r="I2510" t="s">
        <v>3486</v>
      </c>
      <c r="J2510" s="56">
        <f t="shared" si="117"/>
        <v>26</v>
      </c>
      <c r="K2510" s="74" t="str">
        <f t="shared" si="118"/>
        <v>4-30 Days</v>
      </c>
      <c r="L2510" s="58" t="str">
        <f t="shared" si="119"/>
        <v>Normal</v>
      </c>
    </row>
    <row r="2511" spans="1:12" ht="16.5" customHeight="1" x14ac:dyDescent="0.35">
      <c r="A2511" t="s">
        <v>1385</v>
      </c>
      <c r="B2511" t="s">
        <v>1385</v>
      </c>
      <c r="C2511">
        <v>0</v>
      </c>
      <c r="D2511">
        <v>100</v>
      </c>
      <c r="E2511" t="s">
        <v>8573</v>
      </c>
      <c r="F2511" t="s">
        <v>8573</v>
      </c>
      <c r="G2511" t="s">
        <v>8574</v>
      </c>
      <c r="H2511" t="s">
        <v>3489</v>
      </c>
      <c r="I2511" t="s">
        <v>3490</v>
      </c>
      <c r="J2511" s="56">
        <f t="shared" si="117"/>
        <v>26</v>
      </c>
      <c r="K2511" s="74" t="str">
        <f t="shared" si="118"/>
        <v>4-30 Days</v>
      </c>
      <c r="L2511" s="58" t="str">
        <f t="shared" si="119"/>
        <v>Not Applicable</v>
      </c>
    </row>
    <row r="2512" spans="1:12" ht="16.5" customHeight="1" x14ac:dyDescent="0.35">
      <c r="A2512" t="s">
        <v>1385</v>
      </c>
      <c r="B2512" t="s">
        <v>1385</v>
      </c>
      <c r="C2512">
        <v>0</v>
      </c>
      <c r="D2512">
        <v>1500</v>
      </c>
      <c r="E2512" t="s">
        <v>8575</v>
      </c>
      <c r="F2512" t="s">
        <v>8575</v>
      </c>
      <c r="G2512" t="s">
        <v>8576</v>
      </c>
      <c r="H2512" t="s">
        <v>3489</v>
      </c>
      <c r="I2512" t="s">
        <v>3490</v>
      </c>
      <c r="J2512" s="56">
        <f t="shared" si="117"/>
        <v>26</v>
      </c>
      <c r="K2512" s="74" t="str">
        <f t="shared" si="118"/>
        <v>4-30 Days</v>
      </c>
      <c r="L2512" s="58" t="str">
        <f t="shared" si="119"/>
        <v>Not Applicable</v>
      </c>
    </row>
    <row r="2513" spans="1:12" ht="16.5" customHeight="1" x14ac:dyDescent="0.35">
      <c r="A2513" t="s">
        <v>1431</v>
      </c>
      <c r="B2513" t="s">
        <v>1431</v>
      </c>
      <c r="C2513">
        <v>0</v>
      </c>
      <c r="D2513">
        <v>2050</v>
      </c>
      <c r="E2513" t="s">
        <v>8577</v>
      </c>
      <c r="F2513" t="s">
        <v>8578</v>
      </c>
      <c r="G2513" t="s">
        <v>8579</v>
      </c>
      <c r="H2513" t="s">
        <v>3489</v>
      </c>
      <c r="I2513" t="s">
        <v>3490</v>
      </c>
      <c r="J2513" s="56">
        <f t="shared" si="117"/>
        <v>25</v>
      </c>
      <c r="K2513" s="74" t="str">
        <f t="shared" si="118"/>
        <v>4-30 Days</v>
      </c>
      <c r="L2513" s="58" t="str">
        <f t="shared" si="119"/>
        <v>Not Applicable</v>
      </c>
    </row>
    <row r="2514" spans="1:12" ht="16.5" customHeight="1" x14ac:dyDescent="0.35">
      <c r="A2514" t="s">
        <v>1431</v>
      </c>
      <c r="B2514" t="s">
        <v>1431</v>
      </c>
      <c r="C2514">
        <v>0</v>
      </c>
      <c r="D2514">
        <v>1000</v>
      </c>
      <c r="E2514" t="s">
        <v>8580</v>
      </c>
      <c r="F2514" t="s">
        <v>8580</v>
      </c>
      <c r="G2514" t="s">
        <v>8581</v>
      </c>
      <c r="H2514" t="s">
        <v>3489</v>
      </c>
      <c r="I2514" t="s">
        <v>3490</v>
      </c>
      <c r="J2514" s="56">
        <f t="shared" si="117"/>
        <v>25</v>
      </c>
      <c r="K2514" s="74" t="str">
        <f t="shared" si="118"/>
        <v>4-30 Days</v>
      </c>
      <c r="L2514" s="58" t="str">
        <f t="shared" si="119"/>
        <v>Not Applicable</v>
      </c>
    </row>
    <row r="2515" spans="1:12" ht="16.5" customHeight="1" x14ac:dyDescent="0.35">
      <c r="A2515" t="s">
        <v>1431</v>
      </c>
      <c r="B2515" t="s">
        <v>1431</v>
      </c>
      <c r="C2515">
        <v>0</v>
      </c>
      <c r="D2515">
        <v>2000</v>
      </c>
      <c r="E2515" t="s">
        <v>8582</v>
      </c>
      <c r="F2515" t="s">
        <v>3499</v>
      </c>
      <c r="G2515" t="s">
        <v>8583</v>
      </c>
      <c r="H2515" t="s">
        <v>3489</v>
      </c>
      <c r="I2515" t="s">
        <v>3490</v>
      </c>
      <c r="J2515" s="56">
        <f t="shared" si="117"/>
        <v>25</v>
      </c>
      <c r="K2515" s="74" t="str">
        <f t="shared" si="118"/>
        <v>4-30 Days</v>
      </c>
      <c r="L2515" s="58" t="str">
        <f t="shared" si="119"/>
        <v>Not Applicable</v>
      </c>
    </row>
    <row r="2516" spans="1:12" ht="16.5" customHeight="1" x14ac:dyDescent="0.35">
      <c r="A2516" t="s">
        <v>1431</v>
      </c>
      <c r="B2516" t="s">
        <v>1431</v>
      </c>
      <c r="C2516">
        <v>0</v>
      </c>
      <c r="D2516">
        <v>2100</v>
      </c>
      <c r="E2516" t="s">
        <v>8584</v>
      </c>
      <c r="F2516" t="s">
        <v>8584</v>
      </c>
      <c r="G2516" t="s">
        <v>8585</v>
      </c>
      <c r="H2516" t="s">
        <v>3489</v>
      </c>
      <c r="I2516" t="s">
        <v>3490</v>
      </c>
      <c r="J2516" s="56">
        <f t="shared" si="117"/>
        <v>25</v>
      </c>
      <c r="K2516" s="74" t="str">
        <f t="shared" si="118"/>
        <v>4-30 Days</v>
      </c>
      <c r="L2516" s="58" t="str">
        <f t="shared" si="119"/>
        <v>Not Applicable</v>
      </c>
    </row>
    <row r="2517" spans="1:12" ht="16.5" customHeight="1" x14ac:dyDescent="0.35">
      <c r="A2517" t="s">
        <v>1431</v>
      </c>
      <c r="B2517" t="s">
        <v>1431</v>
      </c>
      <c r="C2517">
        <v>0</v>
      </c>
      <c r="D2517">
        <v>100</v>
      </c>
      <c r="E2517" t="s">
        <v>8586</v>
      </c>
      <c r="F2517" t="s">
        <v>8586</v>
      </c>
      <c r="G2517" t="s">
        <v>8587</v>
      </c>
      <c r="H2517" t="s">
        <v>3489</v>
      </c>
      <c r="I2517" t="s">
        <v>3490</v>
      </c>
      <c r="J2517" s="56">
        <f t="shared" si="117"/>
        <v>25</v>
      </c>
      <c r="K2517" s="74" t="str">
        <f t="shared" si="118"/>
        <v>4-30 Days</v>
      </c>
      <c r="L2517" s="58" t="str">
        <f t="shared" si="119"/>
        <v>Not Applicable</v>
      </c>
    </row>
    <row r="2518" spans="1:12" ht="16.5" customHeight="1" x14ac:dyDescent="0.35">
      <c r="A2518" t="s">
        <v>1431</v>
      </c>
      <c r="B2518" t="s">
        <v>1431</v>
      </c>
      <c r="C2518">
        <v>7937</v>
      </c>
      <c r="D2518">
        <v>0</v>
      </c>
      <c r="E2518" t="s">
        <v>3536</v>
      </c>
      <c r="F2518" t="s">
        <v>3536</v>
      </c>
      <c r="G2518" t="s">
        <v>8588</v>
      </c>
      <c r="H2518" t="s">
        <v>3455</v>
      </c>
      <c r="I2518" t="s">
        <v>3486</v>
      </c>
      <c r="J2518" s="56">
        <f t="shared" si="117"/>
        <v>25</v>
      </c>
      <c r="K2518" s="74" t="str">
        <f t="shared" si="118"/>
        <v>4-30 Days</v>
      </c>
      <c r="L2518" s="58" t="str">
        <f t="shared" si="119"/>
        <v>Normal</v>
      </c>
    </row>
    <row r="2519" spans="1:12" ht="16.5" customHeight="1" x14ac:dyDescent="0.35">
      <c r="A2519" t="s">
        <v>1431</v>
      </c>
      <c r="B2519" t="s">
        <v>1431</v>
      </c>
      <c r="C2519">
        <v>0</v>
      </c>
      <c r="D2519">
        <v>250</v>
      </c>
      <c r="E2519" t="s">
        <v>8589</v>
      </c>
      <c r="F2519" t="s">
        <v>3499</v>
      </c>
      <c r="G2519" t="s">
        <v>8590</v>
      </c>
      <c r="H2519" t="s">
        <v>3489</v>
      </c>
      <c r="I2519" t="s">
        <v>3490</v>
      </c>
      <c r="J2519" s="56">
        <f t="shared" si="117"/>
        <v>25</v>
      </c>
      <c r="K2519" s="74" t="str">
        <f t="shared" si="118"/>
        <v>4-30 Days</v>
      </c>
      <c r="L2519" s="58" t="str">
        <f t="shared" si="119"/>
        <v>Not Applicable</v>
      </c>
    </row>
    <row r="2520" spans="1:12" ht="16.5" customHeight="1" x14ac:dyDescent="0.35">
      <c r="A2520" t="s">
        <v>1431</v>
      </c>
      <c r="B2520" t="s">
        <v>1431</v>
      </c>
      <c r="C2520">
        <v>0</v>
      </c>
      <c r="D2520">
        <v>250</v>
      </c>
      <c r="E2520" t="s">
        <v>8591</v>
      </c>
      <c r="F2520" t="s">
        <v>8591</v>
      </c>
      <c r="G2520" t="s">
        <v>8592</v>
      </c>
      <c r="H2520" t="s">
        <v>3489</v>
      </c>
      <c r="I2520" t="s">
        <v>3490</v>
      </c>
      <c r="J2520" s="56">
        <f t="shared" si="117"/>
        <v>25</v>
      </c>
      <c r="K2520" s="74" t="str">
        <f t="shared" si="118"/>
        <v>4-30 Days</v>
      </c>
      <c r="L2520" s="58" t="str">
        <f t="shared" si="119"/>
        <v>Not Applicable</v>
      </c>
    </row>
    <row r="2521" spans="1:12" ht="16.5" customHeight="1" x14ac:dyDescent="0.35">
      <c r="A2521" t="s">
        <v>1431</v>
      </c>
      <c r="B2521" t="s">
        <v>1431</v>
      </c>
      <c r="C2521">
        <v>0</v>
      </c>
      <c r="D2521">
        <v>250</v>
      </c>
      <c r="E2521" t="s">
        <v>8593</v>
      </c>
      <c r="F2521" t="s">
        <v>8593</v>
      </c>
      <c r="G2521" t="s">
        <v>8594</v>
      </c>
      <c r="H2521" t="s">
        <v>3489</v>
      </c>
      <c r="I2521" t="s">
        <v>3490</v>
      </c>
      <c r="J2521" s="56">
        <f t="shared" si="117"/>
        <v>25</v>
      </c>
      <c r="K2521" s="74" t="str">
        <f t="shared" si="118"/>
        <v>4-30 Days</v>
      </c>
      <c r="L2521" s="58" t="str">
        <f t="shared" si="119"/>
        <v>Not Applicable</v>
      </c>
    </row>
    <row r="2522" spans="1:12" ht="16.5" customHeight="1" x14ac:dyDescent="0.35">
      <c r="A2522" t="s">
        <v>1431</v>
      </c>
      <c r="B2522" t="s">
        <v>1431</v>
      </c>
      <c r="C2522">
        <v>0</v>
      </c>
      <c r="D2522">
        <v>2050</v>
      </c>
      <c r="E2522" t="s">
        <v>8595</v>
      </c>
      <c r="F2522" t="s">
        <v>8595</v>
      </c>
      <c r="G2522" t="s">
        <v>8596</v>
      </c>
      <c r="H2522" t="s">
        <v>3489</v>
      </c>
      <c r="I2522" t="s">
        <v>3490</v>
      </c>
      <c r="J2522" s="56">
        <f t="shared" si="117"/>
        <v>25</v>
      </c>
      <c r="K2522" s="74" t="str">
        <f t="shared" si="118"/>
        <v>4-30 Days</v>
      </c>
      <c r="L2522" s="58" t="str">
        <f t="shared" si="119"/>
        <v>Not Applicable</v>
      </c>
    </row>
    <row r="2523" spans="1:12" ht="16.5" customHeight="1" x14ac:dyDescent="0.35">
      <c r="A2523" t="s">
        <v>1431</v>
      </c>
      <c r="B2523" t="s">
        <v>1431</v>
      </c>
      <c r="C2523">
        <v>0</v>
      </c>
      <c r="D2523">
        <v>29989.39</v>
      </c>
      <c r="E2523" t="s">
        <v>8597</v>
      </c>
      <c r="F2523" t="s">
        <v>57</v>
      </c>
      <c r="G2523" t="s">
        <v>57</v>
      </c>
      <c r="H2523" t="s">
        <v>3914</v>
      </c>
      <c r="I2523" t="s">
        <v>3643</v>
      </c>
      <c r="J2523" s="56">
        <f t="shared" si="117"/>
        <v>25</v>
      </c>
      <c r="K2523" s="74" t="str">
        <f t="shared" si="118"/>
        <v>4-30 Days</v>
      </c>
      <c r="L2523" s="58" t="str">
        <f t="shared" si="119"/>
        <v>Not Applicable</v>
      </c>
    </row>
    <row r="2524" spans="1:12" ht="16.5" customHeight="1" x14ac:dyDescent="0.35">
      <c r="A2524" t="s">
        <v>1431</v>
      </c>
      <c r="B2524" t="s">
        <v>1431</v>
      </c>
      <c r="C2524">
        <v>0</v>
      </c>
      <c r="D2524">
        <v>3000</v>
      </c>
      <c r="E2524" t="s">
        <v>8598</v>
      </c>
      <c r="F2524" t="s">
        <v>8599</v>
      </c>
      <c r="G2524" t="s">
        <v>8600</v>
      </c>
      <c r="H2524" t="s">
        <v>3489</v>
      </c>
      <c r="I2524" t="s">
        <v>3507</v>
      </c>
      <c r="J2524" s="56">
        <f t="shared" si="117"/>
        <v>25</v>
      </c>
      <c r="K2524" s="74" t="str">
        <f t="shared" si="118"/>
        <v>4-30 Days</v>
      </c>
      <c r="L2524" s="58" t="str">
        <f t="shared" si="119"/>
        <v>Not Applicable</v>
      </c>
    </row>
    <row r="2525" spans="1:12" ht="16.5" customHeight="1" x14ac:dyDescent="0.35">
      <c r="A2525" t="s">
        <v>1431</v>
      </c>
      <c r="B2525" t="s">
        <v>1431</v>
      </c>
      <c r="C2525">
        <v>0</v>
      </c>
      <c r="D2525">
        <v>250</v>
      </c>
      <c r="E2525" t="s">
        <v>8601</v>
      </c>
      <c r="F2525" t="s">
        <v>8601</v>
      </c>
      <c r="G2525" t="s">
        <v>8602</v>
      </c>
      <c r="H2525" t="s">
        <v>3489</v>
      </c>
      <c r="I2525" t="s">
        <v>3490</v>
      </c>
      <c r="J2525" s="56">
        <f t="shared" si="117"/>
        <v>25</v>
      </c>
      <c r="K2525" s="74" t="str">
        <f t="shared" si="118"/>
        <v>4-30 Days</v>
      </c>
      <c r="L2525" s="58" t="str">
        <f t="shared" si="119"/>
        <v>Not Applicable</v>
      </c>
    </row>
    <row r="2526" spans="1:12" ht="16.5" customHeight="1" x14ac:dyDescent="0.35">
      <c r="A2526" t="s">
        <v>1431</v>
      </c>
      <c r="B2526" t="s">
        <v>1431</v>
      </c>
      <c r="C2526">
        <v>0</v>
      </c>
      <c r="D2526">
        <v>550</v>
      </c>
      <c r="E2526" t="s">
        <v>8603</v>
      </c>
      <c r="F2526" t="s">
        <v>8603</v>
      </c>
      <c r="G2526" t="s">
        <v>8604</v>
      </c>
      <c r="H2526" t="s">
        <v>3532</v>
      </c>
      <c r="I2526" t="s">
        <v>3490</v>
      </c>
      <c r="J2526" s="56">
        <f t="shared" si="117"/>
        <v>25</v>
      </c>
      <c r="K2526" s="74" t="str">
        <f t="shared" si="118"/>
        <v>4-30 Days</v>
      </c>
      <c r="L2526" s="58" t="str">
        <f t="shared" si="119"/>
        <v>Not Applicable</v>
      </c>
    </row>
    <row r="2527" spans="1:12" ht="16.5" customHeight="1" x14ac:dyDescent="0.35">
      <c r="A2527" t="s">
        <v>1431</v>
      </c>
      <c r="B2527" t="s">
        <v>1431</v>
      </c>
      <c r="C2527">
        <v>0</v>
      </c>
      <c r="D2527">
        <v>250</v>
      </c>
      <c r="E2527" t="s">
        <v>8605</v>
      </c>
      <c r="F2527" t="s">
        <v>8605</v>
      </c>
      <c r="G2527" t="s">
        <v>8606</v>
      </c>
      <c r="H2527" t="s">
        <v>3489</v>
      </c>
      <c r="I2527" t="s">
        <v>3490</v>
      </c>
      <c r="J2527" s="56">
        <f t="shared" si="117"/>
        <v>25</v>
      </c>
      <c r="K2527" s="74" t="str">
        <f t="shared" si="118"/>
        <v>4-30 Days</v>
      </c>
      <c r="L2527" s="58" t="str">
        <f t="shared" si="119"/>
        <v>Not Applicable</v>
      </c>
    </row>
    <row r="2528" spans="1:12" ht="16.5" customHeight="1" x14ac:dyDescent="0.35">
      <c r="A2528" t="s">
        <v>1431</v>
      </c>
      <c r="B2528" t="s">
        <v>1431</v>
      </c>
      <c r="C2528">
        <v>0</v>
      </c>
      <c r="D2528">
        <v>250</v>
      </c>
      <c r="E2528" t="s">
        <v>8607</v>
      </c>
      <c r="F2528" t="s">
        <v>8607</v>
      </c>
      <c r="G2528" t="s">
        <v>8608</v>
      </c>
      <c r="H2528" t="s">
        <v>3489</v>
      </c>
      <c r="I2528" t="s">
        <v>3490</v>
      </c>
      <c r="J2528" s="56">
        <f t="shared" si="117"/>
        <v>25</v>
      </c>
      <c r="K2528" s="74" t="str">
        <f t="shared" si="118"/>
        <v>4-30 Days</v>
      </c>
      <c r="L2528" s="58" t="str">
        <f t="shared" si="119"/>
        <v>Not Applicable</v>
      </c>
    </row>
    <row r="2529" spans="1:12" ht="16.5" customHeight="1" x14ac:dyDescent="0.35">
      <c r="A2529" t="s">
        <v>1431</v>
      </c>
      <c r="B2529" t="s">
        <v>1431</v>
      </c>
      <c r="C2529">
        <v>0</v>
      </c>
      <c r="D2529">
        <v>250</v>
      </c>
      <c r="E2529" t="s">
        <v>8609</v>
      </c>
      <c r="F2529" t="s">
        <v>8609</v>
      </c>
      <c r="G2529" t="s">
        <v>8610</v>
      </c>
      <c r="H2529" t="s">
        <v>3489</v>
      </c>
      <c r="I2529" t="s">
        <v>3490</v>
      </c>
      <c r="J2529" s="56">
        <f t="shared" si="117"/>
        <v>25</v>
      </c>
      <c r="K2529" s="74" t="str">
        <f t="shared" si="118"/>
        <v>4-30 Days</v>
      </c>
      <c r="L2529" s="58" t="str">
        <f t="shared" si="119"/>
        <v>Not Applicable</v>
      </c>
    </row>
    <row r="2530" spans="1:12" ht="16.5" customHeight="1" x14ac:dyDescent="0.35">
      <c r="A2530" t="s">
        <v>1431</v>
      </c>
      <c r="B2530" t="s">
        <v>1431</v>
      </c>
      <c r="C2530">
        <v>200000</v>
      </c>
      <c r="D2530">
        <v>0</v>
      </c>
      <c r="E2530" t="s">
        <v>8611</v>
      </c>
      <c r="F2530" t="s">
        <v>8611</v>
      </c>
      <c r="G2530" t="s">
        <v>8612</v>
      </c>
      <c r="H2530" t="s">
        <v>6230</v>
      </c>
      <c r="I2530" t="s">
        <v>3486</v>
      </c>
      <c r="J2530" s="56">
        <f t="shared" si="117"/>
        <v>25</v>
      </c>
      <c r="K2530" s="74" t="str">
        <f t="shared" si="118"/>
        <v>4-30 Days</v>
      </c>
      <c r="L2530" s="58" t="str">
        <f t="shared" si="119"/>
        <v>Normal</v>
      </c>
    </row>
    <row r="2531" spans="1:12" ht="16.5" customHeight="1" x14ac:dyDescent="0.35">
      <c r="A2531" t="s">
        <v>1431</v>
      </c>
      <c r="B2531" t="s">
        <v>1431</v>
      </c>
      <c r="C2531">
        <v>0</v>
      </c>
      <c r="D2531">
        <v>250</v>
      </c>
      <c r="E2531" t="s">
        <v>8613</v>
      </c>
      <c r="F2531" t="s">
        <v>8613</v>
      </c>
      <c r="G2531" t="s">
        <v>8614</v>
      </c>
      <c r="H2531" t="s">
        <v>3489</v>
      </c>
      <c r="I2531" t="s">
        <v>3490</v>
      </c>
      <c r="J2531" s="56">
        <f t="shared" si="117"/>
        <v>25</v>
      </c>
      <c r="K2531" s="74" t="str">
        <f t="shared" si="118"/>
        <v>4-30 Days</v>
      </c>
      <c r="L2531" s="58" t="str">
        <f t="shared" si="119"/>
        <v>Not Applicable</v>
      </c>
    </row>
    <row r="2532" spans="1:12" ht="16.5" customHeight="1" x14ac:dyDescent="0.35">
      <c r="A2532" t="s">
        <v>1431</v>
      </c>
      <c r="B2532" t="s">
        <v>1431</v>
      </c>
      <c r="C2532">
        <v>0</v>
      </c>
      <c r="D2532">
        <v>300</v>
      </c>
      <c r="E2532" t="s">
        <v>8615</v>
      </c>
      <c r="F2532" t="s">
        <v>3499</v>
      </c>
      <c r="G2532" t="s">
        <v>8616</v>
      </c>
      <c r="H2532" t="s">
        <v>3489</v>
      </c>
      <c r="I2532" t="s">
        <v>3490</v>
      </c>
      <c r="J2532" s="56">
        <f t="shared" si="117"/>
        <v>25</v>
      </c>
      <c r="K2532" s="74" t="str">
        <f t="shared" si="118"/>
        <v>4-30 Days</v>
      </c>
      <c r="L2532" s="58" t="str">
        <f t="shared" si="119"/>
        <v>Not Applicable</v>
      </c>
    </row>
    <row r="2533" spans="1:12" ht="16.5" customHeight="1" x14ac:dyDescent="0.35">
      <c r="A2533" t="s">
        <v>1431</v>
      </c>
      <c r="B2533" t="s">
        <v>1431</v>
      </c>
      <c r="C2533">
        <v>0</v>
      </c>
      <c r="D2533">
        <v>250</v>
      </c>
      <c r="E2533" t="s">
        <v>8617</v>
      </c>
      <c r="F2533" t="s">
        <v>8617</v>
      </c>
      <c r="G2533" t="s">
        <v>8618</v>
      </c>
      <c r="H2533" t="s">
        <v>3489</v>
      </c>
      <c r="I2533" t="s">
        <v>3490</v>
      </c>
      <c r="J2533" s="56">
        <f t="shared" si="117"/>
        <v>25</v>
      </c>
      <c r="K2533" s="74" t="str">
        <f t="shared" si="118"/>
        <v>4-30 Days</v>
      </c>
      <c r="L2533" s="58" t="str">
        <f t="shared" si="119"/>
        <v>Not Applicable</v>
      </c>
    </row>
    <row r="2534" spans="1:12" ht="16.5" customHeight="1" x14ac:dyDescent="0.35">
      <c r="A2534" t="s">
        <v>1431</v>
      </c>
      <c r="B2534" t="s">
        <v>1431</v>
      </c>
      <c r="C2534">
        <v>0</v>
      </c>
      <c r="D2534">
        <v>70.8</v>
      </c>
      <c r="E2534" t="s">
        <v>8619</v>
      </c>
      <c r="F2534" t="s">
        <v>3574</v>
      </c>
      <c r="G2534" t="s">
        <v>8620</v>
      </c>
      <c r="H2534" t="s">
        <v>3489</v>
      </c>
      <c r="I2534" t="s">
        <v>3490</v>
      </c>
      <c r="J2534" s="56">
        <f t="shared" si="117"/>
        <v>25</v>
      </c>
      <c r="K2534" s="74" t="str">
        <f t="shared" si="118"/>
        <v>4-30 Days</v>
      </c>
      <c r="L2534" s="58" t="str">
        <f t="shared" si="119"/>
        <v>Not Applicable</v>
      </c>
    </row>
    <row r="2535" spans="1:12" ht="16.5" customHeight="1" x14ac:dyDescent="0.35">
      <c r="A2535" t="s">
        <v>1431</v>
      </c>
      <c r="B2535" t="s">
        <v>1431</v>
      </c>
      <c r="C2535">
        <v>0</v>
      </c>
      <c r="D2535">
        <v>1000</v>
      </c>
      <c r="E2535" t="s">
        <v>8621</v>
      </c>
      <c r="F2535" t="s">
        <v>8622</v>
      </c>
      <c r="G2535" t="s">
        <v>8623</v>
      </c>
      <c r="H2535" t="s">
        <v>3532</v>
      </c>
      <c r="I2535" t="s">
        <v>3490</v>
      </c>
      <c r="J2535" s="56">
        <f t="shared" si="117"/>
        <v>25</v>
      </c>
      <c r="K2535" s="74" t="str">
        <f t="shared" si="118"/>
        <v>4-30 Days</v>
      </c>
      <c r="L2535" s="58" t="str">
        <f t="shared" si="119"/>
        <v>Not Applicable</v>
      </c>
    </row>
    <row r="2536" spans="1:12" ht="16.5" customHeight="1" x14ac:dyDescent="0.35">
      <c r="A2536" t="s">
        <v>1431</v>
      </c>
      <c r="B2536" t="s">
        <v>1431</v>
      </c>
      <c r="C2536">
        <v>648.82000000000005</v>
      </c>
      <c r="D2536">
        <v>0</v>
      </c>
      <c r="E2536" t="s">
        <v>4215</v>
      </c>
      <c r="F2536" t="s">
        <v>4215</v>
      </c>
      <c r="G2536" t="s">
        <v>8624</v>
      </c>
      <c r="H2536" t="s">
        <v>3921</v>
      </c>
      <c r="I2536" t="s">
        <v>3486</v>
      </c>
      <c r="J2536" s="56">
        <f t="shared" si="117"/>
        <v>25</v>
      </c>
      <c r="K2536" s="74" t="str">
        <f t="shared" si="118"/>
        <v>4-30 Days</v>
      </c>
      <c r="L2536" s="58" t="str">
        <f t="shared" si="119"/>
        <v>Normal</v>
      </c>
    </row>
    <row r="2537" spans="1:12" ht="16.5" customHeight="1" x14ac:dyDescent="0.35">
      <c r="A2537" t="s">
        <v>1431</v>
      </c>
      <c r="B2537" t="s">
        <v>1431</v>
      </c>
      <c r="C2537">
        <v>0</v>
      </c>
      <c r="D2537">
        <v>2100</v>
      </c>
      <c r="E2537" t="s">
        <v>8625</v>
      </c>
      <c r="F2537" t="s">
        <v>8626</v>
      </c>
      <c r="G2537" t="s">
        <v>8627</v>
      </c>
      <c r="H2537" t="s">
        <v>3489</v>
      </c>
      <c r="I2537" t="s">
        <v>3490</v>
      </c>
      <c r="J2537" s="56">
        <f t="shared" si="117"/>
        <v>25</v>
      </c>
      <c r="K2537" s="74" t="str">
        <f t="shared" si="118"/>
        <v>4-30 Days</v>
      </c>
      <c r="L2537" s="58" t="str">
        <f t="shared" si="119"/>
        <v>Not Applicable</v>
      </c>
    </row>
    <row r="2538" spans="1:12" ht="16.5" customHeight="1" x14ac:dyDescent="0.35">
      <c r="A2538" t="s">
        <v>1431</v>
      </c>
      <c r="B2538" t="s">
        <v>1431</v>
      </c>
      <c r="C2538">
        <v>0</v>
      </c>
      <c r="D2538">
        <v>100</v>
      </c>
      <c r="E2538" t="s">
        <v>8628</v>
      </c>
      <c r="F2538" t="s">
        <v>8628</v>
      </c>
      <c r="G2538" t="s">
        <v>8629</v>
      </c>
      <c r="H2538" t="s">
        <v>3489</v>
      </c>
      <c r="I2538" t="s">
        <v>3490</v>
      </c>
      <c r="J2538" s="56">
        <f t="shared" si="117"/>
        <v>25</v>
      </c>
      <c r="K2538" s="74" t="str">
        <f t="shared" si="118"/>
        <v>4-30 Days</v>
      </c>
      <c r="L2538" s="58" t="str">
        <f t="shared" si="119"/>
        <v>Not Applicable</v>
      </c>
    </row>
    <row r="2539" spans="1:12" ht="16.5" customHeight="1" x14ac:dyDescent="0.35">
      <c r="A2539" t="s">
        <v>1431</v>
      </c>
      <c r="B2539" t="s">
        <v>1431</v>
      </c>
      <c r="C2539">
        <v>0</v>
      </c>
      <c r="D2539">
        <v>88.5</v>
      </c>
      <c r="E2539" t="s">
        <v>8630</v>
      </c>
      <c r="F2539" t="s">
        <v>3574</v>
      </c>
      <c r="G2539" t="s">
        <v>8631</v>
      </c>
      <c r="H2539" t="s">
        <v>3489</v>
      </c>
      <c r="I2539" t="s">
        <v>3490</v>
      </c>
      <c r="J2539" s="56">
        <f t="shared" si="117"/>
        <v>25</v>
      </c>
      <c r="K2539" s="74" t="str">
        <f t="shared" si="118"/>
        <v>4-30 Days</v>
      </c>
      <c r="L2539" s="58" t="str">
        <f t="shared" si="119"/>
        <v>Not Applicable</v>
      </c>
    </row>
    <row r="2540" spans="1:12" ht="16.5" customHeight="1" x14ac:dyDescent="0.35">
      <c r="A2540" t="s">
        <v>1431</v>
      </c>
      <c r="B2540" t="s">
        <v>1431</v>
      </c>
      <c r="C2540">
        <v>0</v>
      </c>
      <c r="D2540">
        <v>2050</v>
      </c>
      <c r="E2540" t="s">
        <v>8632</v>
      </c>
      <c r="F2540" t="s">
        <v>8632</v>
      </c>
      <c r="G2540" t="s">
        <v>8633</v>
      </c>
      <c r="H2540" t="s">
        <v>3489</v>
      </c>
      <c r="I2540" t="s">
        <v>3490</v>
      </c>
      <c r="J2540" s="56">
        <f t="shared" si="117"/>
        <v>25</v>
      </c>
      <c r="K2540" s="74" t="str">
        <f t="shared" si="118"/>
        <v>4-30 Days</v>
      </c>
      <c r="L2540" s="58" t="str">
        <f t="shared" si="119"/>
        <v>Not Applicable</v>
      </c>
    </row>
    <row r="2541" spans="1:12" ht="16.5" customHeight="1" x14ac:dyDescent="0.35">
      <c r="A2541" t="s">
        <v>1431</v>
      </c>
      <c r="B2541" t="s">
        <v>1431</v>
      </c>
      <c r="C2541">
        <v>0</v>
      </c>
      <c r="D2541">
        <v>20000</v>
      </c>
      <c r="E2541" t="s">
        <v>8634</v>
      </c>
      <c r="F2541" t="s">
        <v>8634</v>
      </c>
      <c r="G2541" t="s">
        <v>8635</v>
      </c>
      <c r="H2541" t="s">
        <v>3489</v>
      </c>
      <c r="I2541" t="s">
        <v>3490</v>
      </c>
      <c r="J2541" s="56">
        <f t="shared" si="117"/>
        <v>25</v>
      </c>
      <c r="K2541" s="74" t="str">
        <f t="shared" si="118"/>
        <v>4-30 Days</v>
      </c>
      <c r="L2541" s="58" t="str">
        <f t="shared" si="119"/>
        <v>Not Applicable</v>
      </c>
    </row>
    <row r="2542" spans="1:12" ht="16.5" customHeight="1" x14ac:dyDescent="0.35">
      <c r="A2542" t="s">
        <v>1431</v>
      </c>
      <c r="B2542" t="s">
        <v>1431</v>
      </c>
      <c r="C2542">
        <v>0</v>
      </c>
      <c r="D2542">
        <v>250</v>
      </c>
      <c r="E2542" t="s">
        <v>8636</v>
      </c>
      <c r="F2542" t="s">
        <v>8636</v>
      </c>
      <c r="G2542" t="s">
        <v>8637</v>
      </c>
      <c r="H2542" t="s">
        <v>3489</v>
      </c>
      <c r="I2542" t="s">
        <v>3490</v>
      </c>
      <c r="J2542" s="56">
        <f t="shared" si="117"/>
        <v>25</v>
      </c>
      <c r="K2542" s="74" t="str">
        <f t="shared" si="118"/>
        <v>4-30 Days</v>
      </c>
      <c r="L2542" s="58" t="str">
        <f t="shared" si="119"/>
        <v>Not Applicable</v>
      </c>
    </row>
    <row r="2543" spans="1:12" ht="16.5" customHeight="1" x14ac:dyDescent="0.35">
      <c r="A2543" t="s">
        <v>1431</v>
      </c>
      <c r="B2543" t="s">
        <v>1431</v>
      </c>
      <c r="C2543">
        <v>0</v>
      </c>
      <c r="D2543">
        <v>10000</v>
      </c>
      <c r="E2543" t="s">
        <v>8638</v>
      </c>
      <c r="F2543" t="s">
        <v>8638</v>
      </c>
      <c r="G2543" t="s">
        <v>8639</v>
      </c>
      <c r="H2543" t="s">
        <v>3489</v>
      </c>
      <c r="I2543" t="s">
        <v>3490</v>
      </c>
      <c r="J2543" s="56">
        <f t="shared" si="117"/>
        <v>25</v>
      </c>
      <c r="K2543" s="74" t="str">
        <f t="shared" si="118"/>
        <v>4-30 Days</v>
      </c>
      <c r="L2543" s="58" t="str">
        <f t="shared" si="119"/>
        <v>Not Applicable</v>
      </c>
    </row>
    <row r="2544" spans="1:12" ht="16.5" customHeight="1" x14ac:dyDescent="0.35">
      <c r="A2544" t="s">
        <v>1431</v>
      </c>
      <c r="B2544" t="s">
        <v>1431</v>
      </c>
      <c r="C2544">
        <v>0</v>
      </c>
      <c r="D2544">
        <v>6000</v>
      </c>
      <c r="E2544" t="s">
        <v>8640</v>
      </c>
      <c r="F2544" t="s">
        <v>3499</v>
      </c>
      <c r="G2544" t="s">
        <v>8641</v>
      </c>
      <c r="H2544" t="s">
        <v>3489</v>
      </c>
      <c r="I2544" t="s">
        <v>3490</v>
      </c>
      <c r="J2544" s="56">
        <f t="shared" si="117"/>
        <v>25</v>
      </c>
      <c r="K2544" s="74" t="str">
        <f t="shared" si="118"/>
        <v>4-30 Days</v>
      </c>
      <c r="L2544" s="58" t="str">
        <f t="shared" si="119"/>
        <v>Not Applicable</v>
      </c>
    </row>
    <row r="2545" spans="1:12" ht="16.5" customHeight="1" x14ac:dyDescent="0.35">
      <c r="A2545" t="s">
        <v>1431</v>
      </c>
      <c r="B2545" t="s">
        <v>1431</v>
      </c>
      <c r="C2545">
        <v>0</v>
      </c>
      <c r="D2545">
        <v>2124</v>
      </c>
      <c r="E2545" t="s">
        <v>8642</v>
      </c>
      <c r="F2545" t="s">
        <v>3574</v>
      </c>
      <c r="G2545" t="s">
        <v>8643</v>
      </c>
      <c r="H2545" t="s">
        <v>3489</v>
      </c>
      <c r="I2545" t="s">
        <v>3490</v>
      </c>
      <c r="J2545" s="56">
        <f t="shared" si="117"/>
        <v>25</v>
      </c>
      <c r="K2545" s="74" t="str">
        <f t="shared" si="118"/>
        <v>4-30 Days</v>
      </c>
      <c r="L2545" s="58" t="str">
        <f t="shared" si="119"/>
        <v>Not Applicable</v>
      </c>
    </row>
    <row r="2546" spans="1:12" ht="16.5" customHeight="1" x14ac:dyDescent="0.35">
      <c r="A2546" t="s">
        <v>1449</v>
      </c>
      <c r="B2546" t="s">
        <v>1449</v>
      </c>
      <c r="C2546">
        <v>0</v>
      </c>
      <c r="D2546">
        <v>3150</v>
      </c>
      <c r="E2546" t="s">
        <v>8644</v>
      </c>
      <c r="F2546" t="s">
        <v>8644</v>
      </c>
      <c r="G2546" t="s">
        <v>8645</v>
      </c>
      <c r="H2546" t="s">
        <v>3532</v>
      </c>
      <c r="I2546" t="s">
        <v>3490</v>
      </c>
      <c r="J2546" s="56">
        <f t="shared" si="117"/>
        <v>24</v>
      </c>
      <c r="K2546" s="74" t="str">
        <f t="shared" si="118"/>
        <v>4-30 Days</v>
      </c>
      <c r="L2546" s="58" t="str">
        <f t="shared" si="119"/>
        <v>Not Applicable</v>
      </c>
    </row>
    <row r="2547" spans="1:12" ht="16.5" customHeight="1" x14ac:dyDescent="0.35">
      <c r="A2547" t="s">
        <v>1449</v>
      </c>
      <c r="B2547" t="s">
        <v>1449</v>
      </c>
      <c r="C2547">
        <v>0</v>
      </c>
      <c r="D2547">
        <v>2500</v>
      </c>
      <c r="E2547" t="s">
        <v>8646</v>
      </c>
      <c r="F2547" t="s">
        <v>8647</v>
      </c>
      <c r="G2547" t="s">
        <v>8648</v>
      </c>
      <c r="H2547" t="s">
        <v>3532</v>
      </c>
      <c r="I2547" t="s">
        <v>3490</v>
      </c>
      <c r="J2547" s="56">
        <f t="shared" si="117"/>
        <v>24</v>
      </c>
      <c r="K2547" s="74" t="str">
        <f t="shared" si="118"/>
        <v>4-30 Days</v>
      </c>
      <c r="L2547" s="58" t="str">
        <f t="shared" si="119"/>
        <v>Not Applicable</v>
      </c>
    </row>
    <row r="2548" spans="1:12" ht="16.5" customHeight="1" x14ac:dyDescent="0.35">
      <c r="A2548" t="s">
        <v>1449</v>
      </c>
      <c r="B2548" t="s">
        <v>1449</v>
      </c>
      <c r="C2548">
        <v>50000</v>
      </c>
      <c r="D2548">
        <v>0</v>
      </c>
      <c r="E2548" t="s">
        <v>8649</v>
      </c>
      <c r="F2548" t="s">
        <v>8649</v>
      </c>
      <c r="G2548" t="s">
        <v>8650</v>
      </c>
      <c r="H2548" t="s">
        <v>3476</v>
      </c>
      <c r="I2548" t="s">
        <v>3490</v>
      </c>
      <c r="J2548" s="56">
        <f t="shared" si="117"/>
        <v>24</v>
      </c>
      <c r="K2548" s="74" t="str">
        <f t="shared" si="118"/>
        <v>4-30 Days</v>
      </c>
      <c r="L2548" s="58" t="str">
        <f t="shared" si="119"/>
        <v>Normal</v>
      </c>
    </row>
    <row r="2549" spans="1:12" ht="16.5" customHeight="1" x14ac:dyDescent="0.35">
      <c r="A2549" t="s">
        <v>1449</v>
      </c>
      <c r="B2549" t="s">
        <v>1449</v>
      </c>
      <c r="C2549">
        <v>0</v>
      </c>
      <c r="D2549">
        <v>550</v>
      </c>
      <c r="E2549" t="s">
        <v>8651</v>
      </c>
      <c r="F2549" t="s">
        <v>8651</v>
      </c>
      <c r="G2549" t="s">
        <v>8652</v>
      </c>
      <c r="H2549" t="s">
        <v>3489</v>
      </c>
      <c r="I2549" t="s">
        <v>3490</v>
      </c>
      <c r="J2549" s="56">
        <f t="shared" si="117"/>
        <v>24</v>
      </c>
      <c r="K2549" s="74" t="str">
        <f t="shared" si="118"/>
        <v>4-30 Days</v>
      </c>
      <c r="L2549" s="58" t="str">
        <f t="shared" si="119"/>
        <v>Not Applicable</v>
      </c>
    </row>
    <row r="2550" spans="1:12" ht="16.5" customHeight="1" x14ac:dyDescent="0.35">
      <c r="A2550" t="s">
        <v>1449</v>
      </c>
      <c r="B2550" t="s">
        <v>1449</v>
      </c>
      <c r="C2550">
        <v>0</v>
      </c>
      <c r="D2550">
        <v>20200</v>
      </c>
      <c r="E2550" t="s">
        <v>8653</v>
      </c>
      <c r="F2550" t="s">
        <v>8653</v>
      </c>
      <c r="G2550" t="s">
        <v>8654</v>
      </c>
      <c r="H2550" t="s">
        <v>3532</v>
      </c>
      <c r="I2550" t="s">
        <v>3490</v>
      </c>
      <c r="J2550" s="56">
        <f t="shared" si="117"/>
        <v>24</v>
      </c>
      <c r="K2550" s="74" t="str">
        <f t="shared" si="118"/>
        <v>4-30 Days</v>
      </c>
      <c r="L2550" s="58" t="str">
        <f t="shared" si="119"/>
        <v>Not Applicable</v>
      </c>
    </row>
    <row r="2551" spans="1:12" ht="16.5" customHeight="1" x14ac:dyDescent="0.35">
      <c r="A2551" t="s">
        <v>1449</v>
      </c>
      <c r="B2551" t="s">
        <v>1449</v>
      </c>
      <c r="C2551">
        <v>218405.5</v>
      </c>
      <c r="D2551">
        <v>0</v>
      </c>
      <c r="E2551" t="s">
        <v>5940</v>
      </c>
      <c r="F2551" t="s">
        <v>5940</v>
      </c>
      <c r="G2551" t="s">
        <v>8655</v>
      </c>
      <c r="H2551" t="s">
        <v>3455</v>
      </c>
      <c r="I2551" t="s">
        <v>3486</v>
      </c>
      <c r="J2551" s="56">
        <f t="shared" si="117"/>
        <v>24</v>
      </c>
      <c r="K2551" s="74" t="str">
        <f t="shared" si="118"/>
        <v>4-30 Days</v>
      </c>
      <c r="L2551" s="58" t="str">
        <f t="shared" si="119"/>
        <v>Normal</v>
      </c>
    </row>
    <row r="2552" spans="1:12" ht="16.5" customHeight="1" x14ac:dyDescent="0.35">
      <c r="A2552" t="s">
        <v>1449</v>
      </c>
      <c r="B2552" t="s">
        <v>1449</v>
      </c>
      <c r="C2552">
        <v>0</v>
      </c>
      <c r="D2552">
        <v>1062</v>
      </c>
      <c r="E2552" t="s">
        <v>8656</v>
      </c>
      <c r="F2552" t="s">
        <v>8656</v>
      </c>
      <c r="G2552" t="s">
        <v>8657</v>
      </c>
      <c r="H2552" t="s">
        <v>3489</v>
      </c>
      <c r="I2552" t="s">
        <v>3490</v>
      </c>
      <c r="J2552" s="56">
        <f t="shared" si="117"/>
        <v>24</v>
      </c>
      <c r="K2552" s="74" t="str">
        <f t="shared" si="118"/>
        <v>4-30 Days</v>
      </c>
      <c r="L2552" s="58" t="str">
        <f t="shared" si="119"/>
        <v>Not Applicable</v>
      </c>
    </row>
    <row r="2553" spans="1:12" ht="16.5" customHeight="1" x14ac:dyDescent="0.35">
      <c r="A2553" t="s">
        <v>1449</v>
      </c>
      <c r="B2553" t="s">
        <v>1449</v>
      </c>
      <c r="C2553">
        <v>0</v>
      </c>
      <c r="D2553">
        <v>2500</v>
      </c>
      <c r="E2553" t="s">
        <v>8658</v>
      </c>
      <c r="F2553" t="s">
        <v>8659</v>
      </c>
      <c r="G2553" t="s">
        <v>8660</v>
      </c>
      <c r="H2553" t="s">
        <v>3532</v>
      </c>
      <c r="I2553" t="s">
        <v>3490</v>
      </c>
      <c r="J2553" s="56">
        <f t="shared" si="117"/>
        <v>24</v>
      </c>
      <c r="K2553" s="74" t="str">
        <f t="shared" si="118"/>
        <v>4-30 Days</v>
      </c>
      <c r="L2553" s="58" t="str">
        <f t="shared" si="119"/>
        <v>Not Applicable</v>
      </c>
    </row>
    <row r="2554" spans="1:12" ht="16.5" customHeight="1" x14ac:dyDescent="0.35">
      <c r="A2554" t="s">
        <v>1449</v>
      </c>
      <c r="B2554" t="s">
        <v>1449</v>
      </c>
      <c r="C2554">
        <v>0</v>
      </c>
      <c r="D2554">
        <v>250</v>
      </c>
      <c r="E2554" t="s">
        <v>8661</v>
      </c>
      <c r="F2554" t="s">
        <v>8661</v>
      </c>
      <c r="G2554" t="s">
        <v>8662</v>
      </c>
      <c r="H2554" t="s">
        <v>3489</v>
      </c>
      <c r="I2554" t="s">
        <v>3490</v>
      </c>
      <c r="J2554" s="56">
        <f t="shared" si="117"/>
        <v>24</v>
      </c>
      <c r="K2554" s="74" t="str">
        <f t="shared" si="118"/>
        <v>4-30 Days</v>
      </c>
      <c r="L2554" s="58" t="str">
        <f t="shared" si="119"/>
        <v>Not Applicable</v>
      </c>
    </row>
    <row r="2555" spans="1:12" ht="16.5" customHeight="1" x14ac:dyDescent="0.35">
      <c r="A2555" t="s">
        <v>1449</v>
      </c>
      <c r="B2555" t="s">
        <v>1449</v>
      </c>
      <c r="C2555">
        <v>0</v>
      </c>
      <c r="D2555">
        <v>1000</v>
      </c>
      <c r="E2555" t="s">
        <v>8663</v>
      </c>
      <c r="F2555" t="s">
        <v>8663</v>
      </c>
      <c r="G2555" t="s">
        <v>8664</v>
      </c>
      <c r="H2555" t="s">
        <v>3489</v>
      </c>
      <c r="I2555" t="s">
        <v>3490</v>
      </c>
      <c r="J2555" s="56">
        <f t="shared" si="117"/>
        <v>24</v>
      </c>
      <c r="K2555" s="74" t="str">
        <f t="shared" si="118"/>
        <v>4-30 Days</v>
      </c>
      <c r="L2555" s="58" t="str">
        <f t="shared" si="119"/>
        <v>Not Applicable</v>
      </c>
    </row>
    <row r="2556" spans="1:12" ht="16.5" customHeight="1" x14ac:dyDescent="0.35">
      <c r="A2556" t="s">
        <v>1449</v>
      </c>
      <c r="B2556" t="s">
        <v>1449</v>
      </c>
      <c r="C2556">
        <v>0</v>
      </c>
      <c r="D2556">
        <v>2500</v>
      </c>
      <c r="E2556" t="s">
        <v>8665</v>
      </c>
      <c r="F2556" t="s">
        <v>8666</v>
      </c>
      <c r="G2556" t="s">
        <v>8667</v>
      </c>
      <c r="H2556" t="s">
        <v>3532</v>
      </c>
      <c r="I2556" t="s">
        <v>3490</v>
      </c>
      <c r="J2556" s="56">
        <f t="shared" si="117"/>
        <v>24</v>
      </c>
      <c r="K2556" s="74" t="str">
        <f t="shared" si="118"/>
        <v>4-30 Days</v>
      </c>
      <c r="L2556" s="58" t="str">
        <f t="shared" si="119"/>
        <v>Not Applicable</v>
      </c>
    </row>
    <row r="2557" spans="1:12" ht="16.5" customHeight="1" x14ac:dyDescent="0.35">
      <c r="A2557" t="s">
        <v>1449</v>
      </c>
      <c r="B2557" t="s">
        <v>1449</v>
      </c>
      <c r="C2557">
        <v>0</v>
      </c>
      <c r="D2557">
        <v>2050</v>
      </c>
      <c r="E2557" t="s">
        <v>8668</v>
      </c>
      <c r="F2557" t="s">
        <v>8668</v>
      </c>
      <c r="G2557" t="s">
        <v>8669</v>
      </c>
      <c r="H2557" t="s">
        <v>3532</v>
      </c>
      <c r="I2557" t="s">
        <v>3490</v>
      </c>
      <c r="J2557" s="56">
        <f t="shared" si="117"/>
        <v>24</v>
      </c>
      <c r="K2557" s="74" t="str">
        <f t="shared" si="118"/>
        <v>4-30 Days</v>
      </c>
      <c r="L2557" s="58" t="str">
        <f t="shared" si="119"/>
        <v>Not Applicable</v>
      </c>
    </row>
    <row r="2558" spans="1:12" ht="16.5" customHeight="1" x14ac:dyDescent="0.35">
      <c r="A2558" t="s">
        <v>1449</v>
      </c>
      <c r="B2558" t="s">
        <v>1449</v>
      </c>
      <c r="C2558">
        <v>0</v>
      </c>
      <c r="D2558">
        <v>632</v>
      </c>
      <c r="E2558" t="s">
        <v>8670</v>
      </c>
      <c r="F2558" t="s">
        <v>8671</v>
      </c>
      <c r="G2558" t="s">
        <v>8672</v>
      </c>
      <c r="H2558" t="s">
        <v>3532</v>
      </c>
      <c r="I2558" t="s">
        <v>3490</v>
      </c>
      <c r="J2558" s="56">
        <f t="shared" si="117"/>
        <v>24</v>
      </c>
      <c r="K2558" s="74" t="str">
        <f t="shared" si="118"/>
        <v>4-30 Days</v>
      </c>
      <c r="L2558" s="58" t="str">
        <f t="shared" si="119"/>
        <v>Not Applicable</v>
      </c>
    </row>
    <row r="2559" spans="1:12" ht="16.5" customHeight="1" x14ac:dyDescent="0.35">
      <c r="A2559" t="s">
        <v>1449</v>
      </c>
      <c r="B2559" t="s">
        <v>1449</v>
      </c>
      <c r="C2559">
        <v>0</v>
      </c>
      <c r="D2559">
        <v>1000</v>
      </c>
      <c r="E2559" t="s">
        <v>8673</v>
      </c>
      <c r="F2559" t="s">
        <v>8673</v>
      </c>
      <c r="G2559" t="s">
        <v>8674</v>
      </c>
      <c r="H2559" t="s">
        <v>3489</v>
      </c>
      <c r="I2559" t="s">
        <v>3490</v>
      </c>
      <c r="J2559" s="56">
        <f t="shared" si="117"/>
        <v>24</v>
      </c>
      <c r="K2559" s="74" t="str">
        <f t="shared" si="118"/>
        <v>4-30 Days</v>
      </c>
      <c r="L2559" s="58" t="str">
        <f t="shared" si="119"/>
        <v>Not Applicable</v>
      </c>
    </row>
    <row r="2560" spans="1:12" ht="16.5" customHeight="1" x14ac:dyDescent="0.35">
      <c r="A2560" t="s">
        <v>1449</v>
      </c>
      <c r="B2560" t="s">
        <v>1449</v>
      </c>
      <c r="C2560">
        <v>0</v>
      </c>
      <c r="D2560">
        <v>632</v>
      </c>
      <c r="E2560" t="s">
        <v>8675</v>
      </c>
      <c r="F2560" t="s">
        <v>8676</v>
      </c>
      <c r="G2560" t="s">
        <v>8677</v>
      </c>
      <c r="H2560" t="s">
        <v>3532</v>
      </c>
      <c r="I2560" t="s">
        <v>3490</v>
      </c>
      <c r="J2560" s="56">
        <f t="shared" si="117"/>
        <v>24</v>
      </c>
      <c r="K2560" s="74" t="str">
        <f t="shared" si="118"/>
        <v>4-30 Days</v>
      </c>
      <c r="L2560" s="58" t="str">
        <f t="shared" si="119"/>
        <v>Not Applicable</v>
      </c>
    </row>
    <row r="2561" spans="1:12" ht="16.5" customHeight="1" x14ac:dyDescent="0.35">
      <c r="A2561" t="s">
        <v>1449</v>
      </c>
      <c r="B2561" t="s">
        <v>1449</v>
      </c>
      <c r="C2561">
        <v>0</v>
      </c>
      <c r="D2561">
        <v>636</v>
      </c>
      <c r="E2561" t="s">
        <v>8678</v>
      </c>
      <c r="F2561" t="s">
        <v>8679</v>
      </c>
      <c r="G2561" t="s">
        <v>8680</v>
      </c>
      <c r="H2561" t="s">
        <v>3532</v>
      </c>
      <c r="I2561" t="s">
        <v>3490</v>
      </c>
      <c r="J2561" s="56">
        <f t="shared" si="117"/>
        <v>24</v>
      </c>
      <c r="K2561" s="74" t="str">
        <f t="shared" si="118"/>
        <v>4-30 Days</v>
      </c>
      <c r="L2561" s="58" t="str">
        <f t="shared" si="119"/>
        <v>Not Applicable</v>
      </c>
    </row>
    <row r="2562" spans="1:12" ht="16.5" customHeight="1" x14ac:dyDescent="0.35">
      <c r="A2562" t="s">
        <v>1449</v>
      </c>
      <c r="B2562" t="s">
        <v>1449</v>
      </c>
      <c r="C2562">
        <v>0</v>
      </c>
      <c r="D2562">
        <v>2100</v>
      </c>
      <c r="E2562" t="s">
        <v>8681</v>
      </c>
      <c r="F2562" t="s">
        <v>8681</v>
      </c>
      <c r="G2562" t="s">
        <v>8682</v>
      </c>
      <c r="H2562" t="s">
        <v>3489</v>
      </c>
      <c r="I2562" t="s">
        <v>3490</v>
      </c>
      <c r="J2562" s="56">
        <f t="shared" si="117"/>
        <v>24</v>
      </c>
      <c r="K2562" s="74" t="str">
        <f t="shared" si="118"/>
        <v>4-30 Days</v>
      </c>
      <c r="L2562" s="58" t="str">
        <f t="shared" si="119"/>
        <v>Not Applicable</v>
      </c>
    </row>
    <row r="2563" spans="1:12" ht="16.5" customHeight="1" x14ac:dyDescent="0.35">
      <c r="A2563" t="s">
        <v>1449</v>
      </c>
      <c r="B2563" t="s">
        <v>1449</v>
      </c>
      <c r="C2563">
        <v>0</v>
      </c>
      <c r="D2563">
        <v>600</v>
      </c>
      <c r="E2563" t="s">
        <v>8683</v>
      </c>
      <c r="F2563" t="s">
        <v>8683</v>
      </c>
      <c r="G2563" t="s">
        <v>8684</v>
      </c>
      <c r="H2563" t="s">
        <v>3489</v>
      </c>
      <c r="I2563" t="s">
        <v>3490</v>
      </c>
      <c r="J2563" s="56">
        <f t="shared" si="117"/>
        <v>24</v>
      </c>
      <c r="K2563" s="74" t="str">
        <f t="shared" si="118"/>
        <v>4-30 Days</v>
      </c>
      <c r="L2563" s="58" t="str">
        <f t="shared" si="119"/>
        <v>Not Applicable</v>
      </c>
    </row>
    <row r="2564" spans="1:12" ht="16.5" customHeight="1" x14ac:dyDescent="0.35">
      <c r="A2564" t="s">
        <v>1449</v>
      </c>
      <c r="B2564" t="s">
        <v>1449</v>
      </c>
      <c r="C2564">
        <v>0</v>
      </c>
      <c r="D2564">
        <v>1000</v>
      </c>
      <c r="E2564" t="s">
        <v>8685</v>
      </c>
      <c r="F2564" t="s">
        <v>3499</v>
      </c>
      <c r="G2564" t="s">
        <v>8686</v>
      </c>
      <c r="H2564" t="s">
        <v>3489</v>
      </c>
      <c r="I2564" t="s">
        <v>3490</v>
      </c>
      <c r="J2564" s="56">
        <f t="shared" si="117"/>
        <v>24</v>
      </c>
      <c r="K2564" s="74" t="str">
        <f t="shared" si="118"/>
        <v>4-30 Days</v>
      </c>
      <c r="L2564" s="58" t="str">
        <f t="shared" si="119"/>
        <v>Not Applicable</v>
      </c>
    </row>
    <row r="2565" spans="1:12" ht="16.5" customHeight="1" x14ac:dyDescent="0.35">
      <c r="A2565" t="s">
        <v>1449</v>
      </c>
      <c r="B2565" t="s">
        <v>1449</v>
      </c>
      <c r="C2565">
        <v>0</v>
      </c>
      <c r="D2565">
        <v>632</v>
      </c>
      <c r="E2565" t="s">
        <v>8687</v>
      </c>
      <c r="F2565" t="s">
        <v>8688</v>
      </c>
      <c r="G2565" t="s">
        <v>8689</v>
      </c>
      <c r="H2565" t="s">
        <v>3532</v>
      </c>
      <c r="I2565" t="s">
        <v>3490</v>
      </c>
      <c r="J2565" s="56">
        <f t="shared" si="117"/>
        <v>24</v>
      </c>
      <c r="K2565" s="74" t="str">
        <f t="shared" si="118"/>
        <v>4-30 Days</v>
      </c>
      <c r="L2565" s="58" t="str">
        <f t="shared" si="119"/>
        <v>Not Applicable</v>
      </c>
    </row>
    <row r="2566" spans="1:12" ht="16.5" customHeight="1" x14ac:dyDescent="0.35">
      <c r="A2566" t="s">
        <v>1449</v>
      </c>
      <c r="B2566" t="s">
        <v>1449</v>
      </c>
      <c r="C2566">
        <v>0</v>
      </c>
      <c r="D2566">
        <v>600</v>
      </c>
      <c r="E2566" t="s">
        <v>8690</v>
      </c>
      <c r="F2566" t="s">
        <v>8690</v>
      </c>
      <c r="G2566" t="s">
        <v>8691</v>
      </c>
      <c r="H2566" t="s">
        <v>3489</v>
      </c>
      <c r="I2566" t="s">
        <v>3490</v>
      </c>
      <c r="J2566" s="56">
        <f t="shared" si="117"/>
        <v>24</v>
      </c>
      <c r="K2566" s="74" t="str">
        <f t="shared" si="118"/>
        <v>4-30 Days</v>
      </c>
      <c r="L2566" s="58" t="str">
        <f t="shared" si="119"/>
        <v>Not Applicable</v>
      </c>
    </row>
    <row r="2567" spans="1:12" ht="16.5" customHeight="1" x14ac:dyDescent="0.35">
      <c r="A2567" t="s">
        <v>1449</v>
      </c>
      <c r="B2567" t="s">
        <v>1449</v>
      </c>
      <c r="C2567">
        <v>0</v>
      </c>
      <c r="D2567">
        <v>50</v>
      </c>
      <c r="E2567" t="s">
        <v>8692</v>
      </c>
      <c r="F2567" t="s">
        <v>8692</v>
      </c>
      <c r="G2567" t="s">
        <v>8693</v>
      </c>
      <c r="H2567" t="s">
        <v>3489</v>
      </c>
      <c r="I2567" t="s">
        <v>3490</v>
      </c>
      <c r="J2567" s="56">
        <f t="shared" si="117"/>
        <v>24</v>
      </c>
      <c r="K2567" s="74" t="str">
        <f t="shared" si="118"/>
        <v>4-30 Days</v>
      </c>
      <c r="L2567" s="58" t="str">
        <f t="shared" si="119"/>
        <v>Not Applicable</v>
      </c>
    </row>
    <row r="2568" spans="1:12" ht="16.5" customHeight="1" x14ac:dyDescent="0.35">
      <c r="A2568" t="s">
        <v>1449</v>
      </c>
      <c r="B2568" t="s">
        <v>1449</v>
      </c>
      <c r="C2568">
        <v>0</v>
      </c>
      <c r="D2568">
        <v>550</v>
      </c>
      <c r="E2568" t="s">
        <v>8694</v>
      </c>
      <c r="F2568" t="s">
        <v>8694</v>
      </c>
      <c r="G2568" t="s">
        <v>8695</v>
      </c>
      <c r="H2568" t="s">
        <v>3489</v>
      </c>
      <c r="I2568" t="s">
        <v>3490</v>
      </c>
      <c r="J2568" s="56">
        <f t="shared" si="117"/>
        <v>24</v>
      </c>
      <c r="K2568" s="74" t="str">
        <f t="shared" si="118"/>
        <v>4-30 Days</v>
      </c>
      <c r="L2568" s="58" t="str">
        <f t="shared" si="119"/>
        <v>Not Applicable</v>
      </c>
    </row>
    <row r="2569" spans="1:12" ht="16.5" customHeight="1" x14ac:dyDescent="0.35">
      <c r="A2569" t="s">
        <v>1449</v>
      </c>
      <c r="B2569" t="s">
        <v>1449</v>
      </c>
      <c r="C2569">
        <v>0</v>
      </c>
      <c r="D2569">
        <v>2000</v>
      </c>
      <c r="E2569" t="s">
        <v>8696</v>
      </c>
      <c r="F2569" t="s">
        <v>8696</v>
      </c>
      <c r="G2569" t="s">
        <v>8697</v>
      </c>
      <c r="H2569" t="s">
        <v>3489</v>
      </c>
      <c r="I2569" t="s">
        <v>3490</v>
      </c>
      <c r="J2569" s="56">
        <f t="shared" ref="J2569:J2632" si="120">IF(A2569="","",A$5-A2569)</f>
        <v>24</v>
      </c>
      <c r="K2569" s="74" t="str">
        <f t="shared" ref="K2569:K2632" si="121">IF(J2569="","",IF(J2569&lt;4,"0-3 Days",IF(J2569&lt;31,"4-30 Days",IF(J2569&lt;61,"31-60 Days",IF(J2569&lt;=90,"61-90 Days",IF(J2569&gt;90,"Above 90 Days","0"))))))</f>
        <v>4-30 Days</v>
      </c>
      <c r="L2569" s="58" t="str">
        <f t="shared" ref="L2569:L2632" si="122">IF(C2569="","",IF(C2569&gt;0,IF(J2569&lt;30,"Normal",IF(J2569&lt;60,"Especially Mentioned",IF(J2569&lt;90,"Substandard",IF(J2569&lt;=180,"Doubtful",IF(J2569&gt;180,"Loss","0"))))),"Not Applicable"))</f>
        <v>Not Applicable</v>
      </c>
    </row>
    <row r="2570" spans="1:12" ht="16.5" customHeight="1" x14ac:dyDescent="0.35">
      <c r="A2570" t="s">
        <v>1449</v>
      </c>
      <c r="B2570" t="s">
        <v>1449</v>
      </c>
      <c r="C2570">
        <v>0</v>
      </c>
      <c r="D2570">
        <v>2050</v>
      </c>
      <c r="E2570" t="s">
        <v>8698</v>
      </c>
      <c r="F2570" t="s">
        <v>8698</v>
      </c>
      <c r="G2570" t="s">
        <v>8699</v>
      </c>
      <c r="H2570" t="s">
        <v>3489</v>
      </c>
      <c r="I2570" t="s">
        <v>3490</v>
      </c>
      <c r="J2570" s="56">
        <f t="shared" si="120"/>
        <v>24</v>
      </c>
      <c r="K2570" s="74" t="str">
        <f t="shared" si="121"/>
        <v>4-30 Days</v>
      </c>
      <c r="L2570" s="58" t="str">
        <f t="shared" si="122"/>
        <v>Not Applicable</v>
      </c>
    </row>
    <row r="2571" spans="1:12" ht="16.5" customHeight="1" x14ac:dyDescent="0.35">
      <c r="A2571" t="s">
        <v>1449</v>
      </c>
      <c r="B2571" t="s">
        <v>1449</v>
      </c>
      <c r="C2571">
        <v>0</v>
      </c>
      <c r="D2571">
        <v>27259.5</v>
      </c>
      <c r="E2571" t="s">
        <v>8700</v>
      </c>
      <c r="F2571" t="s">
        <v>8701</v>
      </c>
      <c r="G2571" t="s">
        <v>8702</v>
      </c>
      <c r="H2571" t="s">
        <v>3532</v>
      </c>
      <c r="I2571" t="s">
        <v>3490</v>
      </c>
      <c r="J2571" s="56">
        <f t="shared" si="120"/>
        <v>24</v>
      </c>
      <c r="K2571" s="74" t="str">
        <f t="shared" si="121"/>
        <v>4-30 Days</v>
      </c>
      <c r="L2571" s="58" t="str">
        <f t="shared" si="122"/>
        <v>Not Applicable</v>
      </c>
    </row>
    <row r="2572" spans="1:12" ht="16.5" customHeight="1" x14ac:dyDescent="0.35">
      <c r="A2572" t="s">
        <v>1449</v>
      </c>
      <c r="B2572" t="s">
        <v>1449</v>
      </c>
      <c r="C2572">
        <v>0</v>
      </c>
      <c r="D2572">
        <v>600</v>
      </c>
      <c r="E2572" t="s">
        <v>8703</v>
      </c>
      <c r="F2572" t="s">
        <v>8703</v>
      </c>
      <c r="G2572" t="s">
        <v>8704</v>
      </c>
      <c r="H2572" t="s">
        <v>3489</v>
      </c>
      <c r="I2572" t="s">
        <v>3490</v>
      </c>
      <c r="J2572" s="56">
        <f t="shared" si="120"/>
        <v>24</v>
      </c>
      <c r="K2572" s="74" t="str">
        <f t="shared" si="121"/>
        <v>4-30 Days</v>
      </c>
      <c r="L2572" s="58" t="str">
        <f t="shared" si="122"/>
        <v>Not Applicable</v>
      </c>
    </row>
    <row r="2573" spans="1:12" ht="16.5" customHeight="1" x14ac:dyDescent="0.35">
      <c r="A2573" t="s">
        <v>1449</v>
      </c>
      <c r="B2573" t="s">
        <v>1449</v>
      </c>
      <c r="C2573">
        <v>0</v>
      </c>
      <c r="D2573">
        <v>2050</v>
      </c>
      <c r="E2573" t="s">
        <v>8705</v>
      </c>
      <c r="F2573" t="s">
        <v>8705</v>
      </c>
      <c r="G2573" t="s">
        <v>8706</v>
      </c>
      <c r="H2573" t="s">
        <v>3489</v>
      </c>
      <c r="I2573" t="s">
        <v>3490</v>
      </c>
      <c r="J2573" s="56">
        <f t="shared" si="120"/>
        <v>24</v>
      </c>
      <c r="K2573" s="74" t="str">
        <f t="shared" si="121"/>
        <v>4-30 Days</v>
      </c>
      <c r="L2573" s="58" t="str">
        <f t="shared" si="122"/>
        <v>Not Applicable</v>
      </c>
    </row>
    <row r="2574" spans="1:12" ht="16.5" customHeight="1" x14ac:dyDescent="0.35">
      <c r="A2574" t="s">
        <v>1449</v>
      </c>
      <c r="B2574" t="s">
        <v>1449</v>
      </c>
      <c r="C2574">
        <v>0</v>
      </c>
      <c r="D2574">
        <v>636</v>
      </c>
      <c r="E2574" t="s">
        <v>8707</v>
      </c>
      <c r="F2574" t="s">
        <v>8708</v>
      </c>
      <c r="G2574" t="s">
        <v>8709</v>
      </c>
      <c r="H2574" t="s">
        <v>3532</v>
      </c>
      <c r="I2574" t="s">
        <v>3490</v>
      </c>
      <c r="J2574" s="56">
        <f t="shared" si="120"/>
        <v>24</v>
      </c>
      <c r="K2574" s="74" t="str">
        <f t="shared" si="121"/>
        <v>4-30 Days</v>
      </c>
      <c r="L2574" s="58" t="str">
        <f t="shared" si="122"/>
        <v>Not Applicable</v>
      </c>
    </row>
    <row r="2575" spans="1:12" ht="16.5" customHeight="1" x14ac:dyDescent="0.35">
      <c r="A2575" t="s">
        <v>1449</v>
      </c>
      <c r="B2575" t="s">
        <v>1449</v>
      </c>
      <c r="C2575">
        <v>0</v>
      </c>
      <c r="D2575">
        <v>3419</v>
      </c>
      <c r="E2575" t="s">
        <v>8710</v>
      </c>
      <c r="F2575" t="s">
        <v>57</v>
      </c>
      <c r="G2575" t="s">
        <v>57</v>
      </c>
      <c r="H2575" t="s">
        <v>3914</v>
      </c>
      <c r="I2575" t="s">
        <v>3643</v>
      </c>
      <c r="J2575" s="56">
        <f t="shared" si="120"/>
        <v>24</v>
      </c>
      <c r="K2575" s="74" t="str">
        <f t="shared" si="121"/>
        <v>4-30 Days</v>
      </c>
      <c r="L2575" s="58" t="str">
        <f t="shared" si="122"/>
        <v>Not Applicable</v>
      </c>
    </row>
    <row r="2576" spans="1:12" ht="16.5" customHeight="1" x14ac:dyDescent="0.35">
      <c r="A2576" t="s">
        <v>1449</v>
      </c>
      <c r="B2576" t="s">
        <v>1449</v>
      </c>
      <c r="C2576">
        <v>0</v>
      </c>
      <c r="D2576">
        <v>112</v>
      </c>
      <c r="E2576" t="s">
        <v>8711</v>
      </c>
      <c r="F2576" t="s">
        <v>3574</v>
      </c>
      <c r="G2576" t="s">
        <v>8712</v>
      </c>
      <c r="H2576" t="s">
        <v>3489</v>
      </c>
      <c r="I2576" t="s">
        <v>3490</v>
      </c>
      <c r="J2576" s="56">
        <f t="shared" si="120"/>
        <v>24</v>
      </c>
      <c r="K2576" s="74" t="str">
        <f t="shared" si="121"/>
        <v>4-30 Days</v>
      </c>
      <c r="L2576" s="58" t="str">
        <f t="shared" si="122"/>
        <v>Not Applicable</v>
      </c>
    </row>
    <row r="2577" spans="1:12" ht="16.5" customHeight="1" x14ac:dyDescent="0.35">
      <c r="A2577" t="s">
        <v>1449</v>
      </c>
      <c r="B2577" t="s">
        <v>1449</v>
      </c>
      <c r="C2577">
        <v>0</v>
      </c>
      <c r="D2577">
        <v>600</v>
      </c>
      <c r="E2577" t="s">
        <v>8713</v>
      </c>
      <c r="F2577" t="s">
        <v>8713</v>
      </c>
      <c r="G2577" t="s">
        <v>8714</v>
      </c>
      <c r="H2577" t="s">
        <v>3489</v>
      </c>
      <c r="I2577" t="s">
        <v>3490</v>
      </c>
      <c r="J2577" s="56">
        <f t="shared" si="120"/>
        <v>24</v>
      </c>
      <c r="K2577" s="74" t="str">
        <f t="shared" si="121"/>
        <v>4-30 Days</v>
      </c>
      <c r="L2577" s="58" t="str">
        <f t="shared" si="122"/>
        <v>Not Applicable</v>
      </c>
    </row>
    <row r="2578" spans="1:12" ht="16.5" customHeight="1" x14ac:dyDescent="0.35">
      <c r="A2578" t="s">
        <v>1449</v>
      </c>
      <c r="B2578" t="s">
        <v>1449</v>
      </c>
      <c r="C2578">
        <v>0</v>
      </c>
      <c r="D2578">
        <v>636</v>
      </c>
      <c r="E2578" t="s">
        <v>8715</v>
      </c>
      <c r="F2578" t="s">
        <v>8716</v>
      </c>
      <c r="G2578" t="s">
        <v>8717</v>
      </c>
      <c r="H2578" t="s">
        <v>3532</v>
      </c>
      <c r="I2578" t="s">
        <v>3490</v>
      </c>
      <c r="J2578" s="56">
        <f t="shared" si="120"/>
        <v>24</v>
      </c>
      <c r="K2578" s="74" t="str">
        <f t="shared" si="121"/>
        <v>4-30 Days</v>
      </c>
      <c r="L2578" s="58" t="str">
        <f t="shared" si="122"/>
        <v>Not Applicable</v>
      </c>
    </row>
    <row r="2579" spans="1:12" ht="16.5" customHeight="1" x14ac:dyDescent="0.35">
      <c r="A2579" t="s">
        <v>1449</v>
      </c>
      <c r="B2579" t="s">
        <v>1449</v>
      </c>
      <c r="C2579">
        <v>300000</v>
      </c>
      <c r="D2579">
        <v>0</v>
      </c>
      <c r="E2579" t="s">
        <v>8718</v>
      </c>
      <c r="F2579" t="s">
        <v>8718</v>
      </c>
      <c r="G2579" t="s">
        <v>8719</v>
      </c>
      <c r="H2579" t="s">
        <v>4506</v>
      </c>
      <c r="I2579" t="s">
        <v>3490</v>
      </c>
      <c r="J2579" s="56">
        <f t="shared" si="120"/>
        <v>24</v>
      </c>
      <c r="K2579" s="74" t="str">
        <f t="shared" si="121"/>
        <v>4-30 Days</v>
      </c>
      <c r="L2579" s="58" t="str">
        <f t="shared" si="122"/>
        <v>Normal</v>
      </c>
    </row>
    <row r="2580" spans="1:12" ht="16.5" customHeight="1" x14ac:dyDescent="0.35">
      <c r="A2580" t="s">
        <v>1449</v>
      </c>
      <c r="B2580" t="s">
        <v>1449</v>
      </c>
      <c r="C2580">
        <v>0</v>
      </c>
      <c r="D2580">
        <v>1000</v>
      </c>
      <c r="E2580" t="s">
        <v>8720</v>
      </c>
      <c r="F2580" t="s">
        <v>8720</v>
      </c>
      <c r="G2580" t="s">
        <v>8721</v>
      </c>
      <c r="H2580" t="s">
        <v>3489</v>
      </c>
      <c r="I2580" t="s">
        <v>3490</v>
      </c>
      <c r="J2580" s="56">
        <f t="shared" si="120"/>
        <v>24</v>
      </c>
      <c r="K2580" s="74" t="str">
        <f t="shared" si="121"/>
        <v>4-30 Days</v>
      </c>
      <c r="L2580" s="58" t="str">
        <f t="shared" si="122"/>
        <v>Not Applicable</v>
      </c>
    </row>
    <row r="2581" spans="1:12" ht="16.5" customHeight="1" x14ac:dyDescent="0.35">
      <c r="A2581" t="s">
        <v>1449</v>
      </c>
      <c r="B2581" t="s">
        <v>1449</v>
      </c>
      <c r="C2581">
        <v>0</v>
      </c>
      <c r="D2581">
        <v>1000</v>
      </c>
      <c r="E2581" t="s">
        <v>8722</v>
      </c>
      <c r="F2581" t="s">
        <v>8722</v>
      </c>
      <c r="G2581" t="s">
        <v>8723</v>
      </c>
      <c r="H2581" t="s">
        <v>3489</v>
      </c>
      <c r="I2581" t="s">
        <v>3490</v>
      </c>
      <c r="J2581" s="56">
        <f t="shared" si="120"/>
        <v>24</v>
      </c>
      <c r="K2581" s="74" t="str">
        <f t="shared" si="121"/>
        <v>4-30 Days</v>
      </c>
      <c r="L2581" s="58" t="str">
        <f t="shared" si="122"/>
        <v>Not Applicable</v>
      </c>
    </row>
    <row r="2582" spans="1:12" ht="16.5" customHeight="1" x14ac:dyDescent="0.35">
      <c r="A2582" t="s">
        <v>1449</v>
      </c>
      <c r="B2582" t="s">
        <v>1449</v>
      </c>
      <c r="C2582">
        <v>0</v>
      </c>
      <c r="D2582">
        <v>3.54</v>
      </c>
      <c r="E2582" t="s">
        <v>8724</v>
      </c>
      <c r="F2582" t="s">
        <v>8725</v>
      </c>
      <c r="G2582" t="s">
        <v>8726</v>
      </c>
      <c r="H2582" t="s">
        <v>3532</v>
      </c>
      <c r="I2582" t="s">
        <v>3490</v>
      </c>
      <c r="J2582" s="56">
        <f t="shared" si="120"/>
        <v>24</v>
      </c>
      <c r="K2582" s="74" t="str">
        <f t="shared" si="121"/>
        <v>4-30 Days</v>
      </c>
      <c r="L2582" s="58" t="str">
        <f t="shared" si="122"/>
        <v>Not Applicable</v>
      </c>
    </row>
    <row r="2583" spans="1:12" ht="16.5" customHeight="1" x14ac:dyDescent="0.35">
      <c r="A2583" t="s">
        <v>1449</v>
      </c>
      <c r="B2583" t="s">
        <v>1449</v>
      </c>
      <c r="C2583">
        <v>0</v>
      </c>
      <c r="D2583">
        <v>250</v>
      </c>
      <c r="E2583" t="s">
        <v>8727</v>
      </c>
      <c r="F2583" t="s">
        <v>8727</v>
      </c>
      <c r="G2583" t="s">
        <v>8728</v>
      </c>
      <c r="H2583" t="s">
        <v>3489</v>
      </c>
      <c r="I2583" t="s">
        <v>3490</v>
      </c>
      <c r="J2583" s="56">
        <f t="shared" si="120"/>
        <v>24</v>
      </c>
      <c r="K2583" s="74" t="str">
        <f t="shared" si="121"/>
        <v>4-30 Days</v>
      </c>
      <c r="L2583" s="58" t="str">
        <f t="shared" si="122"/>
        <v>Not Applicable</v>
      </c>
    </row>
    <row r="2584" spans="1:12" ht="16.5" customHeight="1" x14ac:dyDescent="0.35">
      <c r="A2584" t="s">
        <v>1449</v>
      </c>
      <c r="B2584" t="s">
        <v>1449</v>
      </c>
      <c r="C2584">
        <v>0</v>
      </c>
      <c r="D2584">
        <v>1000</v>
      </c>
      <c r="E2584" t="s">
        <v>8729</v>
      </c>
      <c r="F2584" t="s">
        <v>8729</v>
      </c>
      <c r="G2584" t="s">
        <v>8730</v>
      </c>
      <c r="H2584" t="s">
        <v>3489</v>
      </c>
      <c r="I2584" t="s">
        <v>3490</v>
      </c>
      <c r="J2584" s="56">
        <f t="shared" si="120"/>
        <v>24</v>
      </c>
      <c r="K2584" s="74" t="str">
        <f t="shared" si="121"/>
        <v>4-30 Days</v>
      </c>
      <c r="L2584" s="58" t="str">
        <f t="shared" si="122"/>
        <v>Not Applicable</v>
      </c>
    </row>
    <row r="2585" spans="1:12" ht="16.5" customHeight="1" x14ac:dyDescent="0.35">
      <c r="A2585" t="s">
        <v>8731</v>
      </c>
      <c r="B2585" t="s">
        <v>8731</v>
      </c>
      <c r="C2585">
        <v>0</v>
      </c>
      <c r="D2585">
        <v>2050</v>
      </c>
      <c r="E2585" t="s">
        <v>8732</v>
      </c>
      <c r="F2585" t="s">
        <v>8732</v>
      </c>
      <c r="G2585" t="s">
        <v>8733</v>
      </c>
      <c r="H2585" t="s">
        <v>3521</v>
      </c>
      <c r="I2585" t="s">
        <v>3490</v>
      </c>
      <c r="J2585" s="56">
        <f t="shared" si="120"/>
        <v>23</v>
      </c>
      <c r="K2585" s="74" t="str">
        <f t="shared" si="121"/>
        <v>4-30 Days</v>
      </c>
      <c r="L2585" s="58" t="str">
        <f t="shared" si="122"/>
        <v>Not Applicable</v>
      </c>
    </row>
    <row r="2586" spans="1:12" ht="16.5" customHeight="1" x14ac:dyDescent="0.35">
      <c r="A2586" t="s">
        <v>8731</v>
      </c>
      <c r="B2586" t="s">
        <v>8731</v>
      </c>
      <c r="C2586">
        <v>0</v>
      </c>
      <c r="D2586">
        <v>2650</v>
      </c>
      <c r="E2586" t="s">
        <v>8734</v>
      </c>
      <c r="F2586" t="s">
        <v>8734</v>
      </c>
      <c r="G2586" t="s">
        <v>8735</v>
      </c>
      <c r="H2586" t="s">
        <v>3489</v>
      </c>
      <c r="I2586" t="s">
        <v>3490</v>
      </c>
      <c r="J2586" s="56">
        <f t="shared" si="120"/>
        <v>23</v>
      </c>
      <c r="K2586" s="74" t="str">
        <f t="shared" si="121"/>
        <v>4-30 Days</v>
      </c>
      <c r="L2586" s="58" t="str">
        <f t="shared" si="122"/>
        <v>Not Applicable</v>
      </c>
    </row>
    <row r="2587" spans="1:12" ht="16.5" customHeight="1" x14ac:dyDescent="0.35">
      <c r="A2587" t="s">
        <v>8731</v>
      </c>
      <c r="B2587" t="s">
        <v>8731</v>
      </c>
      <c r="C2587">
        <v>0</v>
      </c>
      <c r="D2587">
        <v>250</v>
      </c>
      <c r="E2587" t="s">
        <v>8736</v>
      </c>
      <c r="F2587" t="s">
        <v>8736</v>
      </c>
      <c r="G2587" t="s">
        <v>8737</v>
      </c>
      <c r="H2587" t="s">
        <v>3521</v>
      </c>
      <c r="I2587" t="s">
        <v>3490</v>
      </c>
      <c r="J2587" s="56">
        <f t="shared" si="120"/>
        <v>23</v>
      </c>
      <c r="K2587" s="74" t="str">
        <f t="shared" si="121"/>
        <v>4-30 Days</v>
      </c>
      <c r="L2587" s="58" t="str">
        <f t="shared" si="122"/>
        <v>Not Applicable</v>
      </c>
    </row>
    <row r="2588" spans="1:12" ht="16.5" customHeight="1" x14ac:dyDescent="0.35">
      <c r="A2588" t="s">
        <v>8731</v>
      </c>
      <c r="B2588" t="s">
        <v>8731</v>
      </c>
      <c r="C2588">
        <v>0</v>
      </c>
      <c r="D2588">
        <v>1000</v>
      </c>
      <c r="E2588" t="s">
        <v>8738</v>
      </c>
      <c r="F2588" t="s">
        <v>3499</v>
      </c>
      <c r="G2588" t="s">
        <v>8739</v>
      </c>
      <c r="H2588" t="s">
        <v>3489</v>
      </c>
      <c r="I2588" t="s">
        <v>3490</v>
      </c>
      <c r="J2588" s="56">
        <f t="shared" si="120"/>
        <v>23</v>
      </c>
      <c r="K2588" s="74" t="str">
        <f t="shared" si="121"/>
        <v>4-30 Days</v>
      </c>
      <c r="L2588" s="58" t="str">
        <f t="shared" si="122"/>
        <v>Not Applicable</v>
      </c>
    </row>
    <row r="2589" spans="1:12" ht="16.5" customHeight="1" x14ac:dyDescent="0.35">
      <c r="A2589" t="s">
        <v>8731</v>
      </c>
      <c r="B2589" t="s">
        <v>8731</v>
      </c>
      <c r="C2589">
        <v>0</v>
      </c>
      <c r="D2589">
        <v>31500</v>
      </c>
      <c r="E2589" t="s">
        <v>8740</v>
      </c>
      <c r="F2589" t="s">
        <v>8741</v>
      </c>
      <c r="G2589" t="s">
        <v>8742</v>
      </c>
      <c r="H2589" t="s">
        <v>3532</v>
      </c>
      <c r="I2589" t="s">
        <v>3490</v>
      </c>
      <c r="J2589" s="56">
        <f t="shared" si="120"/>
        <v>23</v>
      </c>
      <c r="K2589" s="74" t="str">
        <f t="shared" si="121"/>
        <v>4-30 Days</v>
      </c>
      <c r="L2589" s="58" t="str">
        <f t="shared" si="122"/>
        <v>Not Applicable</v>
      </c>
    </row>
    <row r="2590" spans="1:12" ht="16.5" customHeight="1" x14ac:dyDescent="0.35">
      <c r="A2590" t="s">
        <v>8731</v>
      </c>
      <c r="B2590" t="s">
        <v>8731</v>
      </c>
      <c r="C2590">
        <v>0</v>
      </c>
      <c r="D2590">
        <v>1000</v>
      </c>
      <c r="E2590" t="s">
        <v>8743</v>
      </c>
      <c r="F2590" t="s">
        <v>3499</v>
      </c>
      <c r="G2590" t="s">
        <v>8744</v>
      </c>
      <c r="H2590" t="s">
        <v>3489</v>
      </c>
      <c r="I2590" t="s">
        <v>3490</v>
      </c>
      <c r="J2590" s="56">
        <f t="shared" si="120"/>
        <v>23</v>
      </c>
      <c r="K2590" s="74" t="str">
        <f t="shared" si="121"/>
        <v>4-30 Days</v>
      </c>
      <c r="L2590" s="58" t="str">
        <f t="shared" si="122"/>
        <v>Not Applicable</v>
      </c>
    </row>
    <row r="2591" spans="1:12" ht="16.5" customHeight="1" x14ac:dyDescent="0.35">
      <c r="A2591" t="s">
        <v>8731</v>
      </c>
      <c r="B2591" t="s">
        <v>8731</v>
      </c>
      <c r="C2591">
        <v>0</v>
      </c>
      <c r="D2591">
        <v>29696.75</v>
      </c>
      <c r="E2591" t="s">
        <v>8745</v>
      </c>
      <c r="F2591" t="s">
        <v>57</v>
      </c>
      <c r="G2591" t="s">
        <v>57</v>
      </c>
      <c r="H2591" t="s">
        <v>3914</v>
      </c>
      <c r="I2591" t="s">
        <v>3643</v>
      </c>
      <c r="J2591" s="56">
        <f t="shared" si="120"/>
        <v>23</v>
      </c>
      <c r="K2591" s="74" t="str">
        <f t="shared" si="121"/>
        <v>4-30 Days</v>
      </c>
      <c r="L2591" s="58" t="str">
        <f t="shared" si="122"/>
        <v>Not Applicable</v>
      </c>
    </row>
    <row r="2592" spans="1:12" ht="16.5" customHeight="1" x14ac:dyDescent="0.35">
      <c r="A2592" t="s">
        <v>8746</v>
      </c>
      <c r="B2592" t="s">
        <v>8746</v>
      </c>
      <c r="C2592">
        <v>0</v>
      </c>
      <c r="D2592">
        <v>2050</v>
      </c>
      <c r="E2592" t="s">
        <v>8747</v>
      </c>
      <c r="F2592" t="s">
        <v>8747</v>
      </c>
      <c r="G2592" t="s">
        <v>8748</v>
      </c>
      <c r="H2592" t="s">
        <v>3489</v>
      </c>
      <c r="I2592" t="s">
        <v>3490</v>
      </c>
      <c r="J2592" s="56">
        <f t="shared" si="120"/>
        <v>22</v>
      </c>
      <c r="K2592" s="74" t="str">
        <f t="shared" si="121"/>
        <v>4-30 Days</v>
      </c>
      <c r="L2592" s="58" t="str">
        <f t="shared" si="122"/>
        <v>Not Applicable</v>
      </c>
    </row>
    <row r="2593" spans="1:12" ht="16.5" customHeight="1" x14ac:dyDescent="0.35">
      <c r="A2593" t="s">
        <v>1462</v>
      </c>
      <c r="B2593" t="s">
        <v>1462</v>
      </c>
      <c r="C2593">
        <v>0</v>
      </c>
      <c r="D2593">
        <v>550</v>
      </c>
      <c r="E2593" t="s">
        <v>8749</v>
      </c>
      <c r="F2593" t="s">
        <v>8749</v>
      </c>
      <c r="G2593" t="s">
        <v>8750</v>
      </c>
      <c r="H2593" t="s">
        <v>3489</v>
      </c>
      <c r="I2593" t="s">
        <v>3490</v>
      </c>
      <c r="J2593" s="56">
        <f t="shared" si="120"/>
        <v>21</v>
      </c>
      <c r="K2593" s="74" t="str">
        <f t="shared" si="121"/>
        <v>4-30 Days</v>
      </c>
      <c r="L2593" s="58" t="str">
        <f t="shared" si="122"/>
        <v>Not Applicable</v>
      </c>
    </row>
    <row r="2594" spans="1:12" ht="16.5" customHeight="1" x14ac:dyDescent="0.35">
      <c r="A2594" t="s">
        <v>1462</v>
      </c>
      <c r="B2594" t="s">
        <v>1462</v>
      </c>
      <c r="C2594">
        <v>0</v>
      </c>
      <c r="D2594">
        <v>250</v>
      </c>
      <c r="E2594" t="s">
        <v>8751</v>
      </c>
      <c r="F2594" t="s">
        <v>8751</v>
      </c>
      <c r="G2594" t="s">
        <v>8752</v>
      </c>
      <c r="H2594" t="s">
        <v>3489</v>
      </c>
      <c r="I2594" t="s">
        <v>3490</v>
      </c>
      <c r="J2594" s="56">
        <f t="shared" si="120"/>
        <v>21</v>
      </c>
      <c r="K2594" s="74" t="str">
        <f t="shared" si="121"/>
        <v>4-30 Days</v>
      </c>
      <c r="L2594" s="58" t="str">
        <f t="shared" si="122"/>
        <v>Not Applicable</v>
      </c>
    </row>
    <row r="2595" spans="1:12" ht="16.5" customHeight="1" x14ac:dyDescent="0.35">
      <c r="A2595" t="s">
        <v>1462</v>
      </c>
      <c r="B2595" t="s">
        <v>1462</v>
      </c>
      <c r="C2595">
        <v>0</v>
      </c>
      <c r="D2595">
        <v>42624</v>
      </c>
      <c r="E2595" t="s">
        <v>8753</v>
      </c>
      <c r="F2595" t="s">
        <v>8754</v>
      </c>
      <c r="G2595" t="s">
        <v>8755</v>
      </c>
      <c r="H2595" t="s">
        <v>3532</v>
      </c>
      <c r="I2595" t="s">
        <v>3490</v>
      </c>
      <c r="J2595" s="56">
        <f t="shared" si="120"/>
        <v>21</v>
      </c>
      <c r="K2595" s="74" t="str">
        <f t="shared" si="121"/>
        <v>4-30 Days</v>
      </c>
      <c r="L2595" s="58" t="str">
        <f t="shared" si="122"/>
        <v>Not Applicable</v>
      </c>
    </row>
    <row r="2596" spans="1:12" ht="16.5" customHeight="1" x14ac:dyDescent="0.35">
      <c r="A2596" t="s">
        <v>1462</v>
      </c>
      <c r="B2596" t="s">
        <v>1462</v>
      </c>
      <c r="C2596">
        <v>0</v>
      </c>
      <c r="D2596">
        <v>100</v>
      </c>
      <c r="E2596" t="s">
        <v>8756</v>
      </c>
      <c r="F2596" t="s">
        <v>8756</v>
      </c>
      <c r="G2596" t="s">
        <v>8757</v>
      </c>
      <c r="H2596" t="s">
        <v>3489</v>
      </c>
      <c r="I2596" t="s">
        <v>3490</v>
      </c>
      <c r="J2596" s="56">
        <f t="shared" si="120"/>
        <v>21</v>
      </c>
      <c r="K2596" s="74" t="str">
        <f t="shared" si="121"/>
        <v>4-30 Days</v>
      </c>
      <c r="L2596" s="58" t="str">
        <f t="shared" si="122"/>
        <v>Not Applicable</v>
      </c>
    </row>
    <row r="2597" spans="1:12" ht="16.5" customHeight="1" x14ac:dyDescent="0.35">
      <c r="A2597" t="s">
        <v>1462</v>
      </c>
      <c r="B2597" t="s">
        <v>1462</v>
      </c>
      <c r="C2597">
        <v>0</v>
      </c>
      <c r="D2597">
        <v>100</v>
      </c>
      <c r="E2597" t="s">
        <v>8758</v>
      </c>
      <c r="F2597" t="s">
        <v>8758</v>
      </c>
      <c r="G2597" t="s">
        <v>8759</v>
      </c>
      <c r="H2597" t="s">
        <v>3489</v>
      </c>
      <c r="I2597" t="s">
        <v>3490</v>
      </c>
      <c r="J2597" s="56">
        <f t="shared" si="120"/>
        <v>21</v>
      </c>
      <c r="K2597" s="74" t="str">
        <f t="shared" si="121"/>
        <v>4-30 Days</v>
      </c>
      <c r="L2597" s="58" t="str">
        <f t="shared" si="122"/>
        <v>Not Applicable</v>
      </c>
    </row>
    <row r="2598" spans="1:12" ht="16.5" customHeight="1" x14ac:dyDescent="0.35">
      <c r="A2598" t="s">
        <v>1462</v>
      </c>
      <c r="B2598" t="s">
        <v>1462</v>
      </c>
      <c r="C2598">
        <v>0</v>
      </c>
      <c r="D2598">
        <v>29641.599999999999</v>
      </c>
      <c r="E2598" t="s">
        <v>8760</v>
      </c>
      <c r="F2598" t="s">
        <v>8761</v>
      </c>
      <c r="G2598" t="s">
        <v>8762</v>
      </c>
      <c r="H2598" t="s">
        <v>3532</v>
      </c>
      <c r="I2598" t="s">
        <v>3490</v>
      </c>
      <c r="J2598" s="56">
        <f t="shared" si="120"/>
        <v>21</v>
      </c>
      <c r="K2598" s="74" t="str">
        <f t="shared" si="121"/>
        <v>4-30 Days</v>
      </c>
      <c r="L2598" s="58" t="str">
        <f t="shared" si="122"/>
        <v>Not Applicable</v>
      </c>
    </row>
    <row r="2599" spans="1:12" ht="16.5" customHeight="1" x14ac:dyDescent="0.35">
      <c r="A2599" t="s">
        <v>1462</v>
      </c>
      <c r="B2599" t="s">
        <v>1462</v>
      </c>
      <c r="C2599">
        <v>0</v>
      </c>
      <c r="D2599">
        <v>1000</v>
      </c>
      <c r="E2599" t="s">
        <v>8763</v>
      </c>
      <c r="F2599" t="s">
        <v>8763</v>
      </c>
      <c r="G2599" t="s">
        <v>8764</v>
      </c>
      <c r="H2599" t="s">
        <v>3489</v>
      </c>
      <c r="I2599" t="s">
        <v>3490</v>
      </c>
      <c r="J2599" s="56">
        <f t="shared" si="120"/>
        <v>21</v>
      </c>
      <c r="K2599" s="74" t="str">
        <f t="shared" si="121"/>
        <v>4-30 Days</v>
      </c>
      <c r="L2599" s="58" t="str">
        <f t="shared" si="122"/>
        <v>Not Applicable</v>
      </c>
    </row>
    <row r="2600" spans="1:12" ht="16.5" customHeight="1" x14ac:dyDescent="0.35">
      <c r="A2600" t="s">
        <v>1462</v>
      </c>
      <c r="B2600" t="s">
        <v>1462</v>
      </c>
      <c r="C2600">
        <v>0</v>
      </c>
      <c r="D2600">
        <v>2000</v>
      </c>
      <c r="E2600" t="s">
        <v>8765</v>
      </c>
      <c r="F2600" t="s">
        <v>8765</v>
      </c>
      <c r="G2600" t="s">
        <v>8766</v>
      </c>
      <c r="H2600" t="s">
        <v>3489</v>
      </c>
      <c r="I2600" t="s">
        <v>3490</v>
      </c>
      <c r="J2600" s="56">
        <f t="shared" si="120"/>
        <v>21</v>
      </c>
      <c r="K2600" s="74" t="str">
        <f t="shared" si="121"/>
        <v>4-30 Days</v>
      </c>
      <c r="L2600" s="58" t="str">
        <f t="shared" si="122"/>
        <v>Not Applicable</v>
      </c>
    </row>
    <row r="2601" spans="1:12" ht="16.5" customHeight="1" x14ac:dyDescent="0.35">
      <c r="A2601" t="s">
        <v>1462</v>
      </c>
      <c r="B2601" t="s">
        <v>1462</v>
      </c>
      <c r="C2601">
        <v>0</v>
      </c>
      <c r="D2601">
        <v>550</v>
      </c>
      <c r="E2601" t="s">
        <v>8767</v>
      </c>
      <c r="F2601" t="s">
        <v>8768</v>
      </c>
      <c r="G2601" t="s">
        <v>8769</v>
      </c>
      <c r="H2601" t="s">
        <v>3532</v>
      </c>
      <c r="I2601" t="s">
        <v>3490</v>
      </c>
      <c r="J2601" s="56">
        <f t="shared" si="120"/>
        <v>21</v>
      </c>
      <c r="K2601" s="74" t="str">
        <f t="shared" si="121"/>
        <v>4-30 Days</v>
      </c>
      <c r="L2601" s="58" t="str">
        <f t="shared" si="122"/>
        <v>Not Applicable</v>
      </c>
    </row>
    <row r="2602" spans="1:12" ht="16.5" customHeight="1" x14ac:dyDescent="0.35">
      <c r="A2602" t="s">
        <v>1462</v>
      </c>
      <c r="B2602" t="s">
        <v>1462</v>
      </c>
      <c r="C2602">
        <v>0</v>
      </c>
      <c r="D2602">
        <v>2478</v>
      </c>
      <c r="E2602" t="s">
        <v>8770</v>
      </c>
      <c r="F2602" t="s">
        <v>3574</v>
      </c>
      <c r="G2602" t="s">
        <v>8771</v>
      </c>
      <c r="H2602" t="s">
        <v>3489</v>
      </c>
      <c r="I2602" t="s">
        <v>3490</v>
      </c>
      <c r="J2602" s="56">
        <f t="shared" si="120"/>
        <v>21</v>
      </c>
      <c r="K2602" s="74" t="str">
        <f t="shared" si="121"/>
        <v>4-30 Days</v>
      </c>
      <c r="L2602" s="58" t="str">
        <f t="shared" si="122"/>
        <v>Not Applicable</v>
      </c>
    </row>
    <row r="2603" spans="1:12" ht="16.5" customHeight="1" x14ac:dyDescent="0.35">
      <c r="A2603" t="s">
        <v>1462</v>
      </c>
      <c r="B2603" t="s">
        <v>1462</v>
      </c>
      <c r="C2603">
        <v>0</v>
      </c>
      <c r="D2603">
        <v>100</v>
      </c>
      <c r="E2603" t="s">
        <v>8772</v>
      </c>
      <c r="F2603" t="s">
        <v>8772</v>
      </c>
      <c r="G2603" t="s">
        <v>8773</v>
      </c>
      <c r="H2603" t="s">
        <v>3489</v>
      </c>
      <c r="I2603" t="s">
        <v>3490</v>
      </c>
      <c r="J2603" s="56">
        <f t="shared" si="120"/>
        <v>21</v>
      </c>
      <c r="K2603" s="74" t="str">
        <f t="shared" si="121"/>
        <v>4-30 Days</v>
      </c>
      <c r="L2603" s="58" t="str">
        <f t="shared" si="122"/>
        <v>Not Applicable</v>
      </c>
    </row>
    <row r="2604" spans="1:12" ht="16.5" customHeight="1" x14ac:dyDescent="0.35">
      <c r="A2604" t="s">
        <v>1462</v>
      </c>
      <c r="B2604" t="s">
        <v>1462</v>
      </c>
      <c r="C2604">
        <v>0</v>
      </c>
      <c r="D2604">
        <v>1680</v>
      </c>
      <c r="E2604" t="s">
        <v>8774</v>
      </c>
      <c r="F2604" t="s">
        <v>8774</v>
      </c>
      <c r="G2604" t="s">
        <v>8775</v>
      </c>
      <c r="H2604" t="s">
        <v>3489</v>
      </c>
      <c r="I2604" t="s">
        <v>3490</v>
      </c>
      <c r="J2604" s="56">
        <f t="shared" si="120"/>
        <v>21</v>
      </c>
      <c r="K2604" s="74" t="str">
        <f t="shared" si="121"/>
        <v>4-30 Days</v>
      </c>
      <c r="L2604" s="58" t="str">
        <f t="shared" si="122"/>
        <v>Not Applicable</v>
      </c>
    </row>
    <row r="2605" spans="1:12" ht="16.5" customHeight="1" x14ac:dyDescent="0.35">
      <c r="A2605" t="s">
        <v>1462</v>
      </c>
      <c r="B2605" t="s">
        <v>1462</v>
      </c>
      <c r="C2605">
        <v>8682.01</v>
      </c>
      <c r="D2605">
        <v>0</v>
      </c>
      <c r="E2605" t="s">
        <v>8776</v>
      </c>
      <c r="F2605" t="s">
        <v>57</v>
      </c>
      <c r="G2605" t="s">
        <v>57</v>
      </c>
      <c r="H2605" t="s">
        <v>3642</v>
      </c>
      <c r="I2605" t="s">
        <v>3643</v>
      </c>
      <c r="J2605" s="56">
        <f t="shared" si="120"/>
        <v>21</v>
      </c>
      <c r="K2605" s="74" t="str">
        <f t="shared" si="121"/>
        <v>4-30 Days</v>
      </c>
      <c r="L2605" s="58" t="str">
        <f t="shared" si="122"/>
        <v>Normal</v>
      </c>
    </row>
    <row r="2606" spans="1:12" ht="16.5" customHeight="1" x14ac:dyDescent="0.35">
      <c r="A2606" t="s">
        <v>1462</v>
      </c>
      <c r="B2606" t="s">
        <v>1462</v>
      </c>
      <c r="C2606">
        <v>0</v>
      </c>
      <c r="D2606">
        <v>100</v>
      </c>
      <c r="E2606" t="s">
        <v>8777</v>
      </c>
      <c r="F2606" t="s">
        <v>8777</v>
      </c>
      <c r="G2606" t="s">
        <v>8778</v>
      </c>
      <c r="H2606" t="s">
        <v>3489</v>
      </c>
      <c r="I2606" t="s">
        <v>3490</v>
      </c>
      <c r="J2606" s="56">
        <f t="shared" si="120"/>
        <v>21</v>
      </c>
      <c r="K2606" s="74" t="str">
        <f t="shared" si="121"/>
        <v>4-30 Days</v>
      </c>
      <c r="L2606" s="58" t="str">
        <f t="shared" si="122"/>
        <v>Not Applicable</v>
      </c>
    </row>
    <row r="2607" spans="1:12" ht="16.5" customHeight="1" x14ac:dyDescent="0.35">
      <c r="A2607" t="s">
        <v>1462</v>
      </c>
      <c r="B2607" t="s">
        <v>1462</v>
      </c>
      <c r="C2607">
        <v>0</v>
      </c>
      <c r="D2607">
        <v>1000</v>
      </c>
      <c r="E2607" t="s">
        <v>8779</v>
      </c>
      <c r="F2607" t="s">
        <v>8780</v>
      </c>
      <c r="G2607" t="s">
        <v>8781</v>
      </c>
      <c r="H2607" t="s">
        <v>3532</v>
      </c>
      <c r="I2607" t="s">
        <v>3490</v>
      </c>
      <c r="J2607" s="56">
        <f t="shared" si="120"/>
        <v>21</v>
      </c>
      <c r="K2607" s="74" t="str">
        <f t="shared" si="121"/>
        <v>4-30 Days</v>
      </c>
      <c r="L2607" s="58" t="str">
        <f t="shared" si="122"/>
        <v>Not Applicable</v>
      </c>
    </row>
    <row r="2608" spans="1:12" ht="16.5" customHeight="1" x14ac:dyDescent="0.35">
      <c r="A2608" t="s">
        <v>1462</v>
      </c>
      <c r="B2608" t="s">
        <v>1462</v>
      </c>
      <c r="C2608">
        <v>0</v>
      </c>
      <c r="D2608">
        <v>50</v>
      </c>
      <c r="E2608" t="s">
        <v>8782</v>
      </c>
      <c r="F2608" t="s">
        <v>8782</v>
      </c>
      <c r="G2608" t="s">
        <v>8783</v>
      </c>
      <c r="H2608" t="s">
        <v>3489</v>
      </c>
      <c r="I2608" t="s">
        <v>3490</v>
      </c>
      <c r="J2608" s="56">
        <f t="shared" si="120"/>
        <v>21</v>
      </c>
      <c r="K2608" s="74" t="str">
        <f t="shared" si="121"/>
        <v>4-30 Days</v>
      </c>
      <c r="L2608" s="58" t="str">
        <f t="shared" si="122"/>
        <v>Not Applicable</v>
      </c>
    </row>
    <row r="2609" spans="1:12" ht="16.5" customHeight="1" x14ac:dyDescent="0.35">
      <c r="A2609" t="s">
        <v>1462</v>
      </c>
      <c r="B2609" t="s">
        <v>1462</v>
      </c>
      <c r="C2609">
        <v>0</v>
      </c>
      <c r="D2609">
        <v>3050</v>
      </c>
      <c r="E2609" t="s">
        <v>8784</v>
      </c>
      <c r="F2609" t="s">
        <v>8784</v>
      </c>
      <c r="G2609" t="s">
        <v>8785</v>
      </c>
      <c r="H2609" t="s">
        <v>3532</v>
      </c>
      <c r="I2609" t="s">
        <v>3490</v>
      </c>
      <c r="J2609" s="56">
        <f t="shared" si="120"/>
        <v>21</v>
      </c>
      <c r="K2609" s="74" t="str">
        <f t="shared" si="121"/>
        <v>4-30 Days</v>
      </c>
      <c r="L2609" s="58" t="str">
        <f t="shared" si="122"/>
        <v>Not Applicable</v>
      </c>
    </row>
    <row r="2610" spans="1:12" ht="16.5" customHeight="1" x14ac:dyDescent="0.35">
      <c r="A2610" t="s">
        <v>1462</v>
      </c>
      <c r="B2610" t="s">
        <v>1462</v>
      </c>
      <c r="C2610">
        <v>0</v>
      </c>
      <c r="D2610">
        <v>1000</v>
      </c>
      <c r="E2610" t="s">
        <v>8786</v>
      </c>
      <c r="F2610" t="s">
        <v>3499</v>
      </c>
      <c r="G2610" t="s">
        <v>8787</v>
      </c>
      <c r="H2610" t="s">
        <v>3489</v>
      </c>
      <c r="I2610" t="s">
        <v>3490</v>
      </c>
      <c r="J2610" s="56">
        <f t="shared" si="120"/>
        <v>21</v>
      </c>
      <c r="K2610" s="74" t="str">
        <f t="shared" si="121"/>
        <v>4-30 Days</v>
      </c>
      <c r="L2610" s="58" t="str">
        <f t="shared" si="122"/>
        <v>Not Applicable</v>
      </c>
    </row>
    <row r="2611" spans="1:12" ht="16.5" customHeight="1" x14ac:dyDescent="0.35">
      <c r="A2611" t="s">
        <v>1462</v>
      </c>
      <c r="B2611" t="s">
        <v>1462</v>
      </c>
      <c r="C2611">
        <v>0</v>
      </c>
      <c r="D2611">
        <v>600</v>
      </c>
      <c r="E2611" t="s">
        <v>8788</v>
      </c>
      <c r="F2611" t="s">
        <v>8789</v>
      </c>
      <c r="G2611" t="s">
        <v>8790</v>
      </c>
      <c r="H2611" t="s">
        <v>3489</v>
      </c>
      <c r="I2611" t="s">
        <v>3486</v>
      </c>
      <c r="J2611" s="56">
        <f t="shared" si="120"/>
        <v>21</v>
      </c>
      <c r="K2611" s="74" t="str">
        <f t="shared" si="121"/>
        <v>4-30 Days</v>
      </c>
      <c r="L2611" s="58" t="str">
        <f t="shared" si="122"/>
        <v>Not Applicable</v>
      </c>
    </row>
    <row r="2612" spans="1:12" ht="16.5" customHeight="1" x14ac:dyDescent="0.35">
      <c r="A2612" t="s">
        <v>1462</v>
      </c>
      <c r="B2612" t="s">
        <v>1462</v>
      </c>
      <c r="C2612">
        <v>0</v>
      </c>
      <c r="D2612">
        <v>100</v>
      </c>
      <c r="E2612" t="s">
        <v>8791</v>
      </c>
      <c r="F2612" t="s">
        <v>8791</v>
      </c>
      <c r="G2612" t="s">
        <v>8792</v>
      </c>
      <c r="H2612" t="s">
        <v>3489</v>
      </c>
      <c r="I2612" t="s">
        <v>3490</v>
      </c>
      <c r="J2612" s="56">
        <f t="shared" si="120"/>
        <v>21</v>
      </c>
      <c r="K2612" s="74" t="str">
        <f t="shared" si="121"/>
        <v>4-30 Days</v>
      </c>
      <c r="L2612" s="58" t="str">
        <f t="shared" si="122"/>
        <v>Not Applicable</v>
      </c>
    </row>
    <row r="2613" spans="1:12" ht="16.5" customHeight="1" x14ac:dyDescent="0.35">
      <c r="A2613" t="s">
        <v>1462</v>
      </c>
      <c r="B2613" t="s">
        <v>1462</v>
      </c>
      <c r="C2613">
        <v>0</v>
      </c>
      <c r="D2613">
        <v>592</v>
      </c>
      <c r="E2613" t="s">
        <v>8793</v>
      </c>
      <c r="F2613" t="s">
        <v>8794</v>
      </c>
      <c r="G2613" t="s">
        <v>8795</v>
      </c>
      <c r="H2613" t="s">
        <v>3489</v>
      </c>
      <c r="I2613" t="s">
        <v>3486</v>
      </c>
      <c r="J2613" s="56">
        <f t="shared" si="120"/>
        <v>21</v>
      </c>
      <c r="K2613" s="74" t="str">
        <f t="shared" si="121"/>
        <v>4-30 Days</v>
      </c>
      <c r="L2613" s="58" t="str">
        <f t="shared" si="122"/>
        <v>Not Applicable</v>
      </c>
    </row>
    <row r="2614" spans="1:12" ht="16.5" customHeight="1" x14ac:dyDescent="0.35">
      <c r="A2614" t="s">
        <v>1462</v>
      </c>
      <c r="B2614" t="s">
        <v>1462</v>
      </c>
      <c r="C2614">
        <v>0</v>
      </c>
      <c r="D2614">
        <v>1000</v>
      </c>
      <c r="E2614" t="s">
        <v>8796</v>
      </c>
      <c r="F2614" t="s">
        <v>8797</v>
      </c>
      <c r="G2614" t="s">
        <v>8798</v>
      </c>
      <c r="H2614" t="s">
        <v>3532</v>
      </c>
      <c r="I2614" t="s">
        <v>3490</v>
      </c>
      <c r="J2614" s="56">
        <f t="shared" si="120"/>
        <v>21</v>
      </c>
      <c r="K2614" s="74" t="str">
        <f t="shared" si="121"/>
        <v>4-30 Days</v>
      </c>
      <c r="L2614" s="58" t="str">
        <f t="shared" si="122"/>
        <v>Not Applicable</v>
      </c>
    </row>
    <row r="2615" spans="1:12" ht="16.5" customHeight="1" x14ac:dyDescent="0.35">
      <c r="A2615" t="s">
        <v>1462</v>
      </c>
      <c r="B2615" t="s">
        <v>1462</v>
      </c>
      <c r="C2615">
        <v>0</v>
      </c>
      <c r="D2615">
        <v>1000</v>
      </c>
      <c r="E2615" t="s">
        <v>8799</v>
      </c>
      <c r="F2615" t="s">
        <v>8799</v>
      </c>
      <c r="G2615" t="s">
        <v>8800</v>
      </c>
      <c r="H2615" t="s">
        <v>3489</v>
      </c>
      <c r="I2615" t="s">
        <v>3490</v>
      </c>
      <c r="J2615" s="56">
        <f t="shared" si="120"/>
        <v>21</v>
      </c>
      <c r="K2615" s="74" t="str">
        <f t="shared" si="121"/>
        <v>4-30 Days</v>
      </c>
      <c r="L2615" s="58" t="str">
        <f t="shared" si="122"/>
        <v>Not Applicable</v>
      </c>
    </row>
    <row r="2616" spans="1:12" ht="16.5" customHeight="1" x14ac:dyDescent="0.35">
      <c r="A2616" t="s">
        <v>1462</v>
      </c>
      <c r="B2616" t="s">
        <v>1462</v>
      </c>
      <c r="C2616">
        <v>0</v>
      </c>
      <c r="D2616">
        <v>2527</v>
      </c>
      <c r="E2616" t="s">
        <v>8801</v>
      </c>
      <c r="F2616" t="s">
        <v>8802</v>
      </c>
      <c r="G2616" t="s">
        <v>8803</v>
      </c>
      <c r="H2616" t="s">
        <v>3532</v>
      </c>
      <c r="I2616" t="s">
        <v>3490</v>
      </c>
      <c r="J2616" s="56">
        <f t="shared" si="120"/>
        <v>21</v>
      </c>
      <c r="K2616" s="74" t="str">
        <f t="shared" si="121"/>
        <v>4-30 Days</v>
      </c>
      <c r="L2616" s="58" t="str">
        <f t="shared" si="122"/>
        <v>Not Applicable</v>
      </c>
    </row>
    <row r="2617" spans="1:12" ht="16.5" customHeight="1" x14ac:dyDescent="0.35">
      <c r="A2617" t="s">
        <v>1462</v>
      </c>
      <c r="B2617" t="s">
        <v>1462</v>
      </c>
      <c r="C2617">
        <v>0</v>
      </c>
      <c r="D2617">
        <v>5580</v>
      </c>
      <c r="E2617" t="s">
        <v>8804</v>
      </c>
      <c r="F2617" t="s">
        <v>8805</v>
      </c>
      <c r="G2617" t="s">
        <v>8806</v>
      </c>
      <c r="H2617" t="s">
        <v>3532</v>
      </c>
      <c r="I2617" t="s">
        <v>3490</v>
      </c>
      <c r="J2617" s="56">
        <f t="shared" si="120"/>
        <v>21</v>
      </c>
      <c r="K2617" s="74" t="str">
        <f t="shared" si="121"/>
        <v>4-30 Days</v>
      </c>
      <c r="L2617" s="58" t="str">
        <f t="shared" si="122"/>
        <v>Not Applicable</v>
      </c>
    </row>
    <row r="2618" spans="1:12" ht="16.5" customHeight="1" x14ac:dyDescent="0.35">
      <c r="A2618" t="s">
        <v>1462</v>
      </c>
      <c r="B2618" t="s">
        <v>1462</v>
      </c>
      <c r="C2618">
        <v>0</v>
      </c>
      <c r="D2618">
        <v>2050</v>
      </c>
      <c r="E2618" t="s">
        <v>8807</v>
      </c>
      <c r="F2618" t="s">
        <v>8808</v>
      </c>
      <c r="G2618" t="s">
        <v>8809</v>
      </c>
      <c r="H2618" t="s">
        <v>3532</v>
      </c>
      <c r="I2618" t="s">
        <v>3490</v>
      </c>
      <c r="J2618" s="56">
        <f t="shared" si="120"/>
        <v>21</v>
      </c>
      <c r="K2618" s="74" t="str">
        <f t="shared" si="121"/>
        <v>4-30 Days</v>
      </c>
      <c r="L2618" s="58" t="str">
        <f t="shared" si="122"/>
        <v>Not Applicable</v>
      </c>
    </row>
    <row r="2619" spans="1:12" ht="16.5" customHeight="1" x14ac:dyDescent="0.35">
      <c r="A2619" t="s">
        <v>1462</v>
      </c>
      <c r="B2619" t="s">
        <v>1462</v>
      </c>
      <c r="C2619">
        <v>0</v>
      </c>
      <c r="D2619">
        <v>44</v>
      </c>
      <c r="E2619" t="s">
        <v>8810</v>
      </c>
      <c r="F2619" t="s">
        <v>8810</v>
      </c>
      <c r="G2619" t="s">
        <v>8811</v>
      </c>
      <c r="H2619" t="s">
        <v>3489</v>
      </c>
      <c r="I2619" t="s">
        <v>3490</v>
      </c>
      <c r="J2619" s="56">
        <f t="shared" si="120"/>
        <v>21</v>
      </c>
      <c r="K2619" s="74" t="str">
        <f t="shared" si="121"/>
        <v>4-30 Days</v>
      </c>
      <c r="L2619" s="58" t="str">
        <f t="shared" si="122"/>
        <v>Not Applicable</v>
      </c>
    </row>
    <row r="2620" spans="1:12" ht="16.5" customHeight="1" x14ac:dyDescent="0.35">
      <c r="A2620" t="s">
        <v>1462</v>
      </c>
      <c r="B2620" t="s">
        <v>1462</v>
      </c>
      <c r="C2620">
        <v>0</v>
      </c>
      <c r="D2620">
        <v>100</v>
      </c>
      <c r="E2620" t="s">
        <v>8812</v>
      </c>
      <c r="F2620" t="s">
        <v>8812</v>
      </c>
      <c r="G2620" t="s">
        <v>8813</v>
      </c>
      <c r="H2620" t="s">
        <v>3489</v>
      </c>
      <c r="I2620" t="s">
        <v>3490</v>
      </c>
      <c r="J2620" s="56">
        <f t="shared" si="120"/>
        <v>21</v>
      </c>
      <c r="K2620" s="74" t="str">
        <f t="shared" si="121"/>
        <v>4-30 Days</v>
      </c>
      <c r="L2620" s="58" t="str">
        <f t="shared" si="122"/>
        <v>Not Applicable</v>
      </c>
    </row>
    <row r="2621" spans="1:12" ht="16.5" customHeight="1" x14ac:dyDescent="0.35">
      <c r="A2621" t="s">
        <v>1462</v>
      </c>
      <c r="B2621" t="s">
        <v>1462</v>
      </c>
      <c r="C2621">
        <v>0</v>
      </c>
      <c r="D2621">
        <v>318.60000000000002</v>
      </c>
      <c r="E2621" t="s">
        <v>8814</v>
      </c>
      <c r="F2621" t="s">
        <v>8815</v>
      </c>
      <c r="G2621" t="s">
        <v>8816</v>
      </c>
      <c r="H2621" t="s">
        <v>3532</v>
      </c>
      <c r="I2621" t="s">
        <v>3490</v>
      </c>
      <c r="J2621" s="56">
        <f t="shared" si="120"/>
        <v>21</v>
      </c>
      <c r="K2621" s="74" t="str">
        <f t="shared" si="121"/>
        <v>4-30 Days</v>
      </c>
      <c r="L2621" s="58" t="str">
        <f t="shared" si="122"/>
        <v>Not Applicable</v>
      </c>
    </row>
    <row r="2622" spans="1:12" ht="16.5" customHeight="1" x14ac:dyDescent="0.35">
      <c r="A2622" t="s">
        <v>1462</v>
      </c>
      <c r="B2622" t="s">
        <v>1462</v>
      </c>
      <c r="C2622">
        <v>0</v>
      </c>
      <c r="D2622">
        <v>11543.8</v>
      </c>
      <c r="E2622" t="s">
        <v>8817</v>
      </c>
      <c r="F2622" t="s">
        <v>8818</v>
      </c>
      <c r="G2622" t="s">
        <v>8819</v>
      </c>
      <c r="H2622" t="s">
        <v>3489</v>
      </c>
      <c r="I2622" t="s">
        <v>3486</v>
      </c>
      <c r="J2622" s="56">
        <f t="shared" si="120"/>
        <v>21</v>
      </c>
      <c r="K2622" s="74" t="str">
        <f t="shared" si="121"/>
        <v>4-30 Days</v>
      </c>
      <c r="L2622" s="58" t="str">
        <f t="shared" si="122"/>
        <v>Not Applicable</v>
      </c>
    </row>
    <row r="2623" spans="1:12" ht="16.5" customHeight="1" x14ac:dyDescent="0.35">
      <c r="A2623" t="s">
        <v>1462</v>
      </c>
      <c r="B2623" t="s">
        <v>1462</v>
      </c>
      <c r="C2623">
        <v>0</v>
      </c>
      <c r="D2623">
        <v>100</v>
      </c>
      <c r="E2623" t="s">
        <v>8820</v>
      </c>
      <c r="F2623" t="s">
        <v>8820</v>
      </c>
      <c r="G2623" t="s">
        <v>8821</v>
      </c>
      <c r="H2623" t="s">
        <v>3489</v>
      </c>
      <c r="I2623" t="s">
        <v>3490</v>
      </c>
      <c r="J2623" s="56">
        <f t="shared" si="120"/>
        <v>21</v>
      </c>
      <c r="K2623" s="74" t="str">
        <f t="shared" si="121"/>
        <v>4-30 Days</v>
      </c>
      <c r="L2623" s="58" t="str">
        <f t="shared" si="122"/>
        <v>Not Applicable</v>
      </c>
    </row>
    <row r="2624" spans="1:12" ht="16.5" customHeight="1" x14ac:dyDescent="0.35">
      <c r="A2624" t="s">
        <v>1462</v>
      </c>
      <c r="B2624" t="s">
        <v>1462</v>
      </c>
      <c r="C2624">
        <v>0</v>
      </c>
      <c r="D2624">
        <v>80</v>
      </c>
      <c r="E2624" t="s">
        <v>8822</v>
      </c>
      <c r="F2624" t="s">
        <v>8823</v>
      </c>
      <c r="G2624" t="s">
        <v>8824</v>
      </c>
      <c r="H2624" t="s">
        <v>3489</v>
      </c>
      <c r="I2624" t="s">
        <v>3486</v>
      </c>
      <c r="J2624" s="56">
        <f t="shared" si="120"/>
        <v>21</v>
      </c>
      <c r="K2624" s="74" t="str">
        <f t="shared" si="121"/>
        <v>4-30 Days</v>
      </c>
      <c r="L2624" s="58" t="str">
        <f t="shared" si="122"/>
        <v>Not Applicable</v>
      </c>
    </row>
    <row r="2625" spans="1:12" ht="16.5" customHeight="1" x14ac:dyDescent="0.35">
      <c r="A2625" t="s">
        <v>1462</v>
      </c>
      <c r="B2625" t="s">
        <v>1462</v>
      </c>
      <c r="C2625">
        <v>0</v>
      </c>
      <c r="D2625">
        <v>15000000</v>
      </c>
      <c r="E2625" t="s">
        <v>8825</v>
      </c>
      <c r="F2625" t="s">
        <v>8826</v>
      </c>
      <c r="G2625" t="s">
        <v>8827</v>
      </c>
      <c r="H2625" t="s">
        <v>3489</v>
      </c>
      <c r="I2625" t="s">
        <v>3486</v>
      </c>
      <c r="J2625" s="56">
        <f t="shared" si="120"/>
        <v>21</v>
      </c>
      <c r="K2625" s="74" t="str">
        <f t="shared" si="121"/>
        <v>4-30 Days</v>
      </c>
      <c r="L2625" s="58" t="str">
        <f t="shared" si="122"/>
        <v>Not Applicable</v>
      </c>
    </row>
    <row r="2626" spans="1:12" ht="16.5" customHeight="1" x14ac:dyDescent="0.35">
      <c r="A2626" t="s">
        <v>1462</v>
      </c>
      <c r="B2626" t="s">
        <v>1462</v>
      </c>
      <c r="C2626">
        <v>0</v>
      </c>
      <c r="D2626">
        <v>100</v>
      </c>
      <c r="E2626" t="s">
        <v>8828</v>
      </c>
      <c r="F2626" t="s">
        <v>8828</v>
      </c>
      <c r="G2626" t="s">
        <v>8829</v>
      </c>
      <c r="H2626" t="s">
        <v>3489</v>
      </c>
      <c r="I2626" t="s">
        <v>3490</v>
      </c>
      <c r="J2626" s="56">
        <f t="shared" si="120"/>
        <v>21</v>
      </c>
      <c r="K2626" s="74" t="str">
        <f t="shared" si="121"/>
        <v>4-30 Days</v>
      </c>
      <c r="L2626" s="58" t="str">
        <f t="shared" si="122"/>
        <v>Not Applicable</v>
      </c>
    </row>
    <row r="2627" spans="1:12" ht="16.5" customHeight="1" x14ac:dyDescent="0.35">
      <c r="A2627" t="s">
        <v>1493</v>
      </c>
      <c r="B2627" t="s">
        <v>1493</v>
      </c>
      <c r="C2627">
        <v>0</v>
      </c>
      <c r="D2627">
        <v>600</v>
      </c>
      <c r="E2627" t="s">
        <v>8830</v>
      </c>
      <c r="F2627" t="s">
        <v>8831</v>
      </c>
      <c r="G2627" t="s">
        <v>8832</v>
      </c>
      <c r="H2627" t="s">
        <v>3532</v>
      </c>
      <c r="I2627" t="s">
        <v>3490</v>
      </c>
      <c r="J2627" s="56">
        <f t="shared" si="120"/>
        <v>20</v>
      </c>
      <c r="K2627" s="74" t="str">
        <f t="shared" si="121"/>
        <v>4-30 Days</v>
      </c>
      <c r="L2627" s="58" t="str">
        <f t="shared" si="122"/>
        <v>Not Applicable</v>
      </c>
    </row>
    <row r="2628" spans="1:12" ht="16.5" customHeight="1" x14ac:dyDescent="0.35">
      <c r="A2628" t="s">
        <v>1493</v>
      </c>
      <c r="B2628" t="s">
        <v>1493</v>
      </c>
      <c r="C2628">
        <v>0</v>
      </c>
      <c r="D2628">
        <v>3100</v>
      </c>
      <c r="E2628" t="s">
        <v>8833</v>
      </c>
      <c r="F2628" t="s">
        <v>8833</v>
      </c>
      <c r="G2628" t="s">
        <v>8834</v>
      </c>
      <c r="H2628" t="s">
        <v>3489</v>
      </c>
      <c r="I2628" t="s">
        <v>3490</v>
      </c>
      <c r="J2628" s="56">
        <f t="shared" si="120"/>
        <v>20</v>
      </c>
      <c r="K2628" s="74" t="str">
        <f t="shared" si="121"/>
        <v>4-30 Days</v>
      </c>
      <c r="L2628" s="58" t="str">
        <f t="shared" si="122"/>
        <v>Not Applicable</v>
      </c>
    </row>
    <row r="2629" spans="1:12" ht="16.5" customHeight="1" x14ac:dyDescent="0.35">
      <c r="A2629" t="s">
        <v>1493</v>
      </c>
      <c r="B2629" t="s">
        <v>1493</v>
      </c>
      <c r="C2629">
        <v>62200</v>
      </c>
      <c r="D2629">
        <v>0</v>
      </c>
      <c r="E2629" t="s">
        <v>8835</v>
      </c>
      <c r="F2629" t="s">
        <v>8835</v>
      </c>
      <c r="G2629" t="s">
        <v>8836</v>
      </c>
      <c r="H2629" t="s">
        <v>3455</v>
      </c>
      <c r="I2629" t="s">
        <v>3490</v>
      </c>
      <c r="J2629" s="56">
        <f t="shared" si="120"/>
        <v>20</v>
      </c>
      <c r="K2629" s="74" t="str">
        <f t="shared" si="121"/>
        <v>4-30 Days</v>
      </c>
      <c r="L2629" s="58" t="str">
        <f t="shared" si="122"/>
        <v>Normal</v>
      </c>
    </row>
    <row r="2630" spans="1:12" ht="16.5" customHeight="1" x14ac:dyDescent="0.35">
      <c r="A2630" t="s">
        <v>1493</v>
      </c>
      <c r="B2630" t="s">
        <v>1493</v>
      </c>
      <c r="C2630">
        <v>0</v>
      </c>
      <c r="D2630">
        <v>2050</v>
      </c>
      <c r="E2630" t="s">
        <v>8837</v>
      </c>
      <c r="F2630" t="s">
        <v>8838</v>
      </c>
      <c r="G2630" t="s">
        <v>8839</v>
      </c>
      <c r="H2630" t="s">
        <v>3532</v>
      </c>
      <c r="I2630" t="s">
        <v>3490</v>
      </c>
      <c r="J2630" s="56">
        <f t="shared" si="120"/>
        <v>20</v>
      </c>
      <c r="K2630" s="74" t="str">
        <f t="shared" si="121"/>
        <v>4-30 Days</v>
      </c>
      <c r="L2630" s="58" t="str">
        <f t="shared" si="122"/>
        <v>Not Applicable</v>
      </c>
    </row>
    <row r="2631" spans="1:12" ht="16.5" customHeight="1" x14ac:dyDescent="0.35">
      <c r="A2631" t="s">
        <v>1493</v>
      </c>
      <c r="B2631" t="s">
        <v>1493</v>
      </c>
      <c r="C2631">
        <v>0</v>
      </c>
      <c r="D2631">
        <v>100</v>
      </c>
      <c r="E2631" t="s">
        <v>8840</v>
      </c>
      <c r="F2631" t="s">
        <v>8840</v>
      </c>
      <c r="G2631" t="s">
        <v>8841</v>
      </c>
      <c r="H2631" t="s">
        <v>3489</v>
      </c>
      <c r="I2631" t="s">
        <v>3490</v>
      </c>
      <c r="J2631" s="56">
        <f t="shared" si="120"/>
        <v>20</v>
      </c>
      <c r="K2631" s="74" t="str">
        <f t="shared" si="121"/>
        <v>4-30 Days</v>
      </c>
      <c r="L2631" s="58" t="str">
        <f t="shared" si="122"/>
        <v>Not Applicable</v>
      </c>
    </row>
    <row r="2632" spans="1:12" ht="16.5" customHeight="1" x14ac:dyDescent="0.35">
      <c r="A2632" t="s">
        <v>1493</v>
      </c>
      <c r="B2632" t="s">
        <v>1493</v>
      </c>
      <c r="C2632">
        <v>0</v>
      </c>
      <c r="D2632">
        <v>2150</v>
      </c>
      <c r="E2632" t="s">
        <v>8842</v>
      </c>
      <c r="F2632" t="s">
        <v>8842</v>
      </c>
      <c r="G2632" t="s">
        <v>8843</v>
      </c>
      <c r="H2632" t="s">
        <v>3489</v>
      </c>
      <c r="I2632" t="s">
        <v>3490</v>
      </c>
      <c r="J2632" s="56">
        <f t="shared" si="120"/>
        <v>20</v>
      </c>
      <c r="K2632" s="74" t="str">
        <f t="shared" si="121"/>
        <v>4-30 Days</v>
      </c>
      <c r="L2632" s="58" t="str">
        <f t="shared" si="122"/>
        <v>Not Applicable</v>
      </c>
    </row>
    <row r="2633" spans="1:12" ht="16.5" customHeight="1" x14ac:dyDescent="0.35">
      <c r="A2633" t="s">
        <v>1493</v>
      </c>
      <c r="B2633" t="s">
        <v>1493</v>
      </c>
      <c r="C2633">
        <v>0</v>
      </c>
      <c r="D2633">
        <v>44120</v>
      </c>
      <c r="E2633" t="s">
        <v>8844</v>
      </c>
      <c r="F2633" t="s">
        <v>8844</v>
      </c>
      <c r="G2633" t="s">
        <v>8845</v>
      </c>
      <c r="H2633" t="s">
        <v>3489</v>
      </c>
      <c r="I2633" t="s">
        <v>3490</v>
      </c>
      <c r="J2633" s="56">
        <f t="shared" ref="J2633:J2696" si="123">IF(A2633="","",A$5-A2633)</f>
        <v>20</v>
      </c>
      <c r="K2633" s="74" t="str">
        <f t="shared" ref="K2633:K2696" si="124">IF(J2633="","",IF(J2633&lt;4,"0-3 Days",IF(J2633&lt;31,"4-30 Days",IF(J2633&lt;61,"31-60 Days",IF(J2633&lt;=90,"61-90 Days",IF(J2633&gt;90,"Above 90 Days","0"))))))</f>
        <v>4-30 Days</v>
      </c>
      <c r="L2633" s="58" t="str">
        <f t="shared" ref="L2633:L2696" si="125">IF(C2633="","",IF(C2633&gt;0,IF(J2633&lt;30,"Normal",IF(J2633&lt;60,"Especially Mentioned",IF(J2633&lt;90,"Substandard",IF(J2633&lt;=180,"Doubtful",IF(J2633&gt;180,"Loss","0"))))),"Not Applicable"))</f>
        <v>Not Applicable</v>
      </c>
    </row>
    <row r="2634" spans="1:12" ht="16.5" customHeight="1" x14ac:dyDescent="0.35">
      <c r="A2634" t="s">
        <v>1493</v>
      </c>
      <c r="B2634" t="s">
        <v>1493</v>
      </c>
      <c r="C2634">
        <v>0</v>
      </c>
      <c r="D2634">
        <v>1000</v>
      </c>
      <c r="E2634" t="s">
        <v>8846</v>
      </c>
      <c r="F2634" t="s">
        <v>3499</v>
      </c>
      <c r="G2634" t="s">
        <v>8847</v>
      </c>
      <c r="H2634" t="s">
        <v>3489</v>
      </c>
      <c r="I2634" t="s">
        <v>3490</v>
      </c>
      <c r="J2634" s="56">
        <f t="shared" si="123"/>
        <v>20</v>
      </c>
      <c r="K2634" s="74" t="str">
        <f t="shared" si="124"/>
        <v>4-30 Days</v>
      </c>
      <c r="L2634" s="58" t="str">
        <f t="shared" si="125"/>
        <v>Not Applicable</v>
      </c>
    </row>
    <row r="2635" spans="1:12" ht="16.5" customHeight="1" x14ac:dyDescent="0.35">
      <c r="A2635" t="s">
        <v>1493</v>
      </c>
      <c r="B2635" t="s">
        <v>1493</v>
      </c>
      <c r="C2635">
        <v>0</v>
      </c>
      <c r="D2635">
        <v>258.61</v>
      </c>
      <c r="E2635" t="s">
        <v>8848</v>
      </c>
      <c r="F2635" t="s">
        <v>8432</v>
      </c>
      <c r="G2635" t="s">
        <v>8849</v>
      </c>
      <c r="H2635" t="s">
        <v>3489</v>
      </c>
      <c r="I2635" t="s">
        <v>3486</v>
      </c>
      <c r="J2635" s="56">
        <f t="shared" si="123"/>
        <v>20</v>
      </c>
      <c r="K2635" s="74" t="str">
        <f t="shared" si="124"/>
        <v>4-30 Days</v>
      </c>
      <c r="L2635" s="58" t="str">
        <f t="shared" si="125"/>
        <v>Not Applicable</v>
      </c>
    </row>
    <row r="2636" spans="1:12" ht="16.5" customHeight="1" x14ac:dyDescent="0.35">
      <c r="A2636" t="s">
        <v>1493</v>
      </c>
      <c r="B2636" t="s">
        <v>1493</v>
      </c>
      <c r="C2636">
        <v>0</v>
      </c>
      <c r="D2636">
        <v>6370</v>
      </c>
      <c r="E2636" t="s">
        <v>8850</v>
      </c>
      <c r="F2636" t="s">
        <v>8850</v>
      </c>
      <c r="G2636" t="s">
        <v>8851</v>
      </c>
      <c r="H2636" t="s">
        <v>3489</v>
      </c>
      <c r="I2636" t="s">
        <v>3490</v>
      </c>
      <c r="J2636" s="56">
        <f t="shared" si="123"/>
        <v>20</v>
      </c>
      <c r="K2636" s="74" t="str">
        <f t="shared" si="124"/>
        <v>4-30 Days</v>
      </c>
      <c r="L2636" s="58" t="str">
        <f t="shared" si="125"/>
        <v>Not Applicable</v>
      </c>
    </row>
    <row r="2637" spans="1:12" ht="16.5" customHeight="1" x14ac:dyDescent="0.35">
      <c r="A2637" t="s">
        <v>1493</v>
      </c>
      <c r="B2637" t="s">
        <v>1493</v>
      </c>
      <c r="C2637">
        <v>0</v>
      </c>
      <c r="D2637">
        <v>250</v>
      </c>
      <c r="E2637" t="s">
        <v>8852</v>
      </c>
      <c r="F2637" t="s">
        <v>8852</v>
      </c>
      <c r="G2637" t="s">
        <v>8853</v>
      </c>
      <c r="H2637" t="s">
        <v>3489</v>
      </c>
      <c r="I2637" t="s">
        <v>3490</v>
      </c>
      <c r="J2637" s="56">
        <f t="shared" si="123"/>
        <v>20</v>
      </c>
      <c r="K2637" s="74" t="str">
        <f t="shared" si="124"/>
        <v>4-30 Days</v>
      </c>
      <c r="L2637" s="58" t="str">
        <f t="shared" si="125"/>
        <v>Not Applicable</v>
      </c>
    </row>
    <row r="2638" spans="1:12" ht="16.5" customHeight="1" x14ac:dyDescent="0.35">
      <c r="A2638" t="s">
        <v>1493</v>
      </c>
      <c r="B2638" t="s">
        <v>1493</v>
      </c>
      <c r="C2638">
        <v>165</v>
      </c>
      <c r="D2638">
        <v>0</v>
      </c>
      <c r="E2638" t="s">
        <v>698</v>
      </c>
      <c r="F2638" t="s">
        <v>8854</v>
      </c>
      <c r="G2638" t="s">
        <v>8855</v>
      </c>
      <c r="H2638" t="s">
        <v>3805</v>
      </c>
      <c r="I2638" t="s">
        <v>3490</v>
      </c>
      <c r="J2638" s="56">
        <f t="shared" si="123"/>
        <v>20</v>
      </c>
      <c r="K2638" s="74" t="str">
        <f t="shared" si="124"/>
        <v>4-30 Days</v>
      </c>
      <c r="L2638" s="58" t="str">
        <f t="shared" si="125"/>
        <v>Normal</v>
      </c>
    </row>
    <row r="2639" spans="1:12" ht="16.5" customHeight="1" x14ac:dyDescent="0.35">
      <c r="A2639" t="s">
        <v>1493</v>
      </c>
      <c r="B2639" t="s">
        <v>1493</v>
      </c>
      <c r="C2639">
        <v>0</v>
      </c>
      <c r="D2639">
        <v>444.88</v>
      </c>
      <c r="E2639" t="s">
        <v>8856</v>
      </c>
      <c r="F2639" t="s">
        <v>8856</v>
      </c>
      <c r="G2639" t="s">
        <v>8857</v>
      </c>
      <c r="H2639" t="s">
        <v>3489</v>
      </c>
      <c r="I2639" t="s">
        <v>3490</v>
      </c>
      <c r="J2639" s="56">
        <f t="shared" si="123"/>
        <v>20</v>
      </c>
      <c r="K2639" s="74" t="str">
        <f t="shared" si="124"/>
        <v>4-30 Days</v>
      </c>
      <c r="L2639" s="58" t="str">
        <f t="shared" si="125"/>
        <v>Not Applicable</v>
      </c>
    </row>
    <row r="2640" spans="1:12" ht="16.5" customHeight="1" x14ac:dyDescent="0.35">
      <c r="A2640" t="s">
        <v>1493</v>
      </c>
      <c r="B2640" t="s">
        <v>1493</v>
      </c>
      <c r="C2640">
        <v>0</v>
      </c>
      <c r="D2640">
        <v>8090</v>
      </c>
      <c r="E2640" t="s">
        <v>8858</v>
      </c>
      <c r="F2640" t="s">
        <v>57</v>
      </c>
      <c r="G2640" t="s">
        <v>57</v>
      </c>
      <c r="H2640" t="s">
        <v>3914</v>
      </c>
      <c r="I2640" t="s">
        <v>3643</v>
      </c>
      <c r="J2640" s="56">
        <f t="shared" si="123"/>
        <v>20</v>
      </c>
      <c r="K2640" s="74" t="str">
        <f t="shared" si="124"/>
        <v>4-30 Days</v>
      </c>
      <c r="L2640" s="58" t="str">
        <f t="shared" si="125"/>
        <v>Not Applicable</v>
      </c>
    </row>
    <row r="2641" spans="1:12" ht="16.5" customHeight="1" x14ac:dyDescent="0.35">
      <c r="A2641" t="s">
        <v>1493</v>
      </c>
      <c r="B2641" t="s">
        <v>1493</v>
      </c>
      <c r="C2641">
        <v>1000000</v>
      </c>
      <c r="D2641">
        <v>0</v>
      </c>
      <c r="E2641" t="s">
        <v>8859</v>
      </c>
      <c r="F2641" t="s">
        <v>8859</v>
      </c>
      <c r="G2641" t="s">
        <v>8860</v>
      </c>
      <c r="H2641" t="s">
        <v>4196</v>
      </c>
      <c r="I2641" t="s">
        <v>3490</v>
      </c>
      <c r="J2641" s="56">
        <f t="shared" si="123"/>
        <v>20</v>
      </c>
      <c r="K2641" s="74" t="str">
        <f t="shared" si="124"/>
        <v>4-30 Days</v>
      </c>
      <c r="L2641" s="58" t="str">
        <f t="shared" si="125"/>
        <v>Normal</v>
      </c>
    </row>
    <row r="2642" spans="1:12" ht="16.5" customHeight="1" x14ac:dyDescent="0.35">
      <c r="A2642" t="s">
        <v>1493</v>
      </c>
      <c r="B2642" t="s">
        <v>1493</v>
      </c>
      <c r="C2642">
        <v>700000</v>
      </c>
      <c r="D2642">
        <v>0</v>
      </c>
      <c r="E2642" t="s">
        <v>8861</v>
      </c>
      <c r="F2642" t="s">
        <v>8861</v>
      </c>
      <c r="G2642" t="s">
        <v>8862</v>
      </c>
      <c r="H2642" t="s">
        <v>3476</v>
      </c>
      <c r="I2642" t="s">
        <v>3490</v>
      </c>
      <c r="J2642" s="56">
        <f t="shared" si="123"/>
        <v>20</v>
      </c>
      <c r="K2642" s="74" t="str">
        <f t="shared" si="124"/>
        <v>4-30 Days</v>
      </c>
      <c r="L2642" s="58" t="str">
        <f t="shared" si="125"/>
        <v>Normal</v>
      </c>
    </row>
    <row r="2643" spans="1:12" ht="16.5" customHeight="1" x14ac:dyDescent="0.35">
      <c r="A2643" t="s">
        <v>1493</v>
      </c>
      <c r="B2643" t="s">
        <v>1493</v>
      </c>
      <c r="C2643">
        <v>0</v>
      </c>
      <c r="D2643">
        <v>283.2</v>
      </c>
      <c r="E2643" t="s">
        <v>8863</v>
      </c>
      <c r="F2643" t="s">
        <v>8864</v>
      </c>
      <c r="G2643" t="s">
        <v>8865</v>
      </c>
      <c r="H2643" t="s">
        <v>3532</v>
      </c>
      <c r="I2643" t="s">
        <v>3490</v>
      </c>
      <c r="J2643" s="56">
        <f t="shared" si="123"/>
        <v>20</v>
      </c>
      <c r="K2643" s="74" t="str">
        <f t="shared" si="124"/>
        <v>4-30 Days</v>
      </c>
      <c r="L2643" s="58" t="str">
        <f t="shared" si="125"/>
        <v>Not Applicable</v>
      </c>
    </row>
    <row r="2644" spans="1:12" ht="16.5" customHeight="1" x14ac:dyDescent="0.35">
      <c r="A2644" t="s">
        <v>1493</v>
      </c>
      <c r="B2644" t="s">
        <v>1493</v>
      </c>
      <c r="C2644">
        <v>0</v>
      </c>
      <c r="D2644">
        <v>7038</v>
      </c>
      <c r="E2644" t="s">
        <v>8866</v>
      </c>
      <c r="F2644" t="s">
        <v>8867</v>
      </c>
      <c r="G2644" t="s">
        <v>8868</v>
      </c>
      <c r="H2644" t="s">
        <v>3532</v>
      </c>
      <c r="I2644" t="s">
        <v>3490</v>
      </c>
      <c r="J2644" s="56">
        <f t="shared" si="123"/>
        <v>20</v>
      </c>
      <c r="K2644" s="74" t="str">
        <f t="shared" si="124"/>
        <v>4-30 Days</v>
      </c>
      <c r="L2644" s="58" t="str">
        <f t="shared" si="125"/>
        <v>Not Applicable</v>
      </c>
    </row>
    <row r="2645" spans="1:12" ht="16.5" customHeight="1" x14ac:dyDescent="0.35">
      <c r="A2645" t="s">
        <v>1493</v>
      </c>
      <c r="B2645" t="s">
        <v>1493</v>
      </c>
      <c r="C2645">
        <v>480000</v>
      </c>
      <c r="D2645">
        <v>0</v>
      </c>
      <c r="E2645" t="s">
        <v>8869</v>
      </c>
      <c r="F2645" t="s">
        <v>8869</v>
      </c>
      <c r="G2645" t="s">
        <v>8870</v>
      </c>
      <c r="H2645" t="s">
        <v>3476</v>
      </c>
      <c r="I2645" t="s">
        <v>3490</v>
      </c>
      <c r="J2645" s="56">
        <f t="shared" si="123"/>
        <v>20</v>
      </c>
      <c r="K2645" s="74" t="str">
        <f t="shared" si="124"/>
        <v>4-30 Days</v>
      </c>
      <c r="L2645" s="58" t="str">
        <f t="shared" si="125"/>
        <v>Normal</v>
      </c>
    </row>
    <row r="2646" spans="1:12" ht="16.5" customHeight="1" x14ac:dyDescent="0.35">
      <c r="A2646" t="s">
        <v>1493</v>
      </c>
      <c r="B2646" t="s">
        <v>1493</v>
      </c>
      <c r="C2646">
        <v>0</v>
      </c>
      <c r="D2646">
        <v>1000</v>
      </c>
      <c r="E2646" t="s">
        <v>8871</v>
      </c>
      <c r="F2646" t="s">
        <v>8872</v>
      </c>
      <c r="G2646" t="s">
        <v>8873</v>
      </c>
      <c r="H2646" t="s">
        <v>3532</v>
      </c>
      <c r="I2646" t="s">
        <v>3490</v>
      </c>
      <c r="J2646" s="56">
        <f t="shared" si="123"/>
        <v>20</v>
      </c>
      <c r="K2646" s="74" t="str">
        <f t="shared" si="124"/>
        <v>4-30 Days</v>
      </c>
      <c r="L2646" s="58" t="str">
        <f t="shared" si="125"/>
        <v>Not Applicable</v>
      </c>
    </row>
    <row r="2647" spans="1:12" ht="16.5" customHeight="1" x14ac:dyDescent="0.35">
      <c r="A2647" t="s">
        <v>1493</v>
      </c>
      <c r="B2647" t="s">
        <v>1493</v>
      </c>
      <c r="C2647">
        <v>0</v>
      </c>
      <c r="D2647">
        <v>250</v>
      </c>
      <c r="E2647" t="s">
        <v>8874</v>
      </c>
      <c r="F2647" t="s">
        <v>8874</v>
      </c>
      <c r="G2647" t="s">
        <v>8875</v>
      </c>
      <c r="H2647" t="s">
        <v>3489</v>
      </c>
      <c r="I2647" t="s">
        <v>3490</v>
      </c>
      <c r="J2647" s="56">
        <f t="shared" si="123"/>
        <v>20</v>
      </c>
      <c r="K2647" s="74" t="str">
        <f t="shared" si="124"/>
        <v>4-30 Days</v>
      </c>
      <c r="L2647" s="58" t="str">
        <f t="shared" si="125"/>
        <v>Not Applicable</v>
      </c>
    </row>
    <row r="2648" spans="1:12" ht="16.5" customHeight="1" x14ac:dyDescent="0.35">
      <c r="A2648" t="s">
        <v>1493</v>
      </c>
      <c r="B2648" t="s">
        <v>1493</v>
      </c>
      <c r="C2648">
        <v>0</v>
      </c>
      <c r="D2648">
        <v>1000</v>
      </c>
      <c r="E2648" t="s">
        <v>8876</v>
      </c>
      <c r="F2648" t="s">
        <v>8876</v>
      </c>
      <c r="G2648" t="s">
        <v>8877</v>
      </c>
      <c r="H2648" t="s">
        <v>3489</v>
      </c>
      <c r="I2648" t="s">
        <v>3490</v>
      </c>
      <c r="J2648" s="56">
        <f t="shared" si="123"/>
        <v>20</v>
      </c>
      <c r="K2648" s="74" t="str">
        <f t="shared" si="124"/>
        <v>4-30 Days</v>
      </c>
      <c r="L2648" s="58" t="str">
        <f t="shared" si="125"/>
        <v>Not Applicable</v>
      </c>
    </row>
    <row r="2649" spans="1:12" ht="16.5" customHeight="1" x14ac:dyDescent="0.35">
      <c r="A2649" t="s">
        <v>1493</v>
      </c>
      <c r="B2649" t="s">
        <v>1493</v>
      </c>
      <c r="C2649">
        <v>0</v>
      </c>
      <c r="D2649">
        <v>2650</v>
      </c>
      <c r="E2649" t="s">
        <v>8878</v>
      </c>
      <c r="F2649" t="s">
        <v>8878</v>
      </c>
      <c r="G2649" t="s">
        <v>8879</v>
      </c>
      <c r="H2649" t="s">
        <v>3489</v>
      </c>
      <c r="I2649" t="s">
        <v>3490</v>
      </c>
      <c r="J2649" s="56">
        <f t="shared" si="123"/>
        <v>20</v>
      </c>
      <c r="K2649" s="74" t="str">
        <f t="shared" si="124"/>
        <v>4-30 Days</v>
      </c>
      <c r="L2649" s="58" t="str">
        <f t="shared" si="125"/>
        <v>Not Applicable</v>
      </c>
    </row>
    <row r="2650" spans="1:12" ht="16.5" customHeight="1" x14ac:dyDescent="0.35">
      <c r="A2650" t="s">
        <v>1493</v>
      </c>
      <c r="B2650" t="s">
        <v>1493</v>
      </c>
      <c r="C2650">
        <v>0</v>
      </c>
      <c r="D2650">
        <v>250</v>
      </c>
      <c r="E2650" t="s">
        <v>8880</v>
      </c>
      <c r="F2650" t="s">
        <v>8881</v>
      </c>
      <c r="G2650" t="s">
        <v>8882</v>
      </c>
      <c r="H2650" t="s">
        <v>3532</v>
      </c>
      <c r="I2650" t="s">
        <v>3490</v>
      </c>
      <c r="J2650" s="56">
        <f t="shared" si="123"/>
        <v>20</v>
      </c>
      <c r="K2650" s="74" t="str">
        <f t="shared" si="124"/>
        <v>4-30 Days</v>
      </c>
      <c r="L2650" s="58" t="str">
        <f t="shared" si="125"/>
        <v>Not Applicable</v>
      </c>
    </row>
    <row r="2651" spans="1:12" ht="16.5" customHeight="1" x14ac:dyDescent="0.35">
      <c r="A2651" t="s">
        <v>1493</v>
      </c>
      <c r="B2651" t="s">
        <v>1493</v>
      </c>
      <c r="C2651">
        <v>0</v>
      </c>
      <c r="D2651">
        <v>2100</v>
      </c>
      <c r="E2651" t="s">
        <v>8883</v>
      </c>
      <c r="F2651" t="s">
        <v>3499</v>
      </c>
      <c r="G2651" t="s">
        <v>8884</v>
      </c>
      <c r="H2651" t="s">
        <v>3489</v>
      </c>
      <c r="I2651" t="s">
        <v>3490</v>
      </c>
      <c r="J2651" s="56">
        <f t="shared" si="123"/>
        <v>20</v>
      </c>
      <c r="K2651" s="74" t="str">
        <f t="shared" si="124"/>
        <v>4-30 Days</v>
      </c>
      <c r="L2651" s="58" t="str">
        <f t="shared" si="125"/>
        <v>Not Applicable</v>
      </c>
    </row>
    <row r="2652" spans="1:12" ht="16.5" customHeight="1" x14ac:dyDescent="0.35">
      <c r="A2652" t="s">
        <v>1493</v>
      </c>
      <c r="B2652" t="s">
        <v>1493</v>
      </c>
      <c r="C2652">
        <v>0</v>
      </c>
      <c r="D2652">
        <v>250</v>
      </c>
      <c r="E2652" t="s">
        <v>8885</v>
      </c>
      <c r="F2652" t="s">
        <v>8885</v>
      </c>
      <c r="G2652" t="s">
        <v>8886</v>
      </c>
      <c r="H2652" t="s">
        <v>3489</v>
      </c>
      <c r="I2652" t="s">
        <v>3490</v>
      </c>
      <c r="J2652" s="56">
        <f t="shared" si="123"/>
        <v>20</v>
      </c>
      <c r="K2652" s="74" t="str">
        <f t="shared" si="124"/>
        <v>4-30 Days</v>
      </c>
      <c r="L2652" s="58" t="str">
        <f t="shared" si="125"/>
        <v>Not Applicable</v>
      </c>
    </row>
    <row r="2653" spans="1:12" ht="16.5" customHeight="1" x14ac:dyDescent="0.35">
      <c r="A2653" t="s">
        <v>1493</v>
      </c>
      <c r="B2653" t="s">
        <v>1493</v>
      </c>
      <c r="C2653">
        <v>0</v>
      </c>
      <c r="D2653">
        <v>100</v>
      </c>
      <c r="E2653" t="s">
        <v>8887</v>
      </c>
      <c r="F2653" t="s">
        <v>8888</v>
      </c>
      <c r="G2653" t="s">
        <v>8889</v>
      </c>
      <c r="H2653" t="s">
        <v>3562</v>
      </c>
      <c r="I2653" t="s">
        <v>3486</v>
      </c>
      <c r="J2653" s="56">
        <f t="shared" si="123"/>
        <v>20</v>
      </c>
      <c r="K2653" s="74" t="str">
        <f t="shared" si="124"/>
        <v>4-30 Days</v>
      </c>
      <c r="L2653" s="58" t="str">
        <f t="shared" si="125"/>
        <v>Not Applicable</v>
      </c>
    </row>
    <row r="2654" spans="1:12" ht="16.5" customHeight="1" x14ac:dyDescent="0.35">
      <c r="A2654" t="s">
        <v>1493</v>
      </c>
      <c r="B2654" t="s">
        <v>1493</v>
      </c>
      <c r="C2654">
        <v>0</v>
      </c>
      <c r="D2654">
        <v>550</v>
      </c>
      <c r="E2654" t="s">
        <v>8890</v>
      </c>
      <c r="F2654" t="s">
        <v>8890</v>
      </c>
      <c r="G2654" t="s">
        <v>8891</v>
      </c>
      <c r="H2654" t="s">
        <v>3489</v>
      </c>
      <c r="I2654" t="s">
        <v>3490</v>
      </c>
      <c r="J2654" s="56">
        <f t="shared" si="123"/>
        <v>20</v>
      </c>
      <c r="K2654" s="74" t="str">
        <f t="shared" si="124"/>
        <v>4-30 Days</v>
      </c>
      <c r="L2654" s="58" t="str">
        <f t="shared" si="125"/>
        <v>Not Applicable</v>
      </c>
    </row>
    <row r="2655" spans="1:12" ht="16.5" customHeight="1" x14ac:dyDescent="0.35">
      <c r="A2655" t="s">
        <v>1493</v>
      </c>
      <c r="B2655" t="s">
        <v>1493</v>
      </c>
      <c r="C2655">
        <v>0</v>
      </c>
      <c r="D2655">
        <v>250</v>
      </c>
      <c r="E2655" t="s">
        <v>8892</v>
      </c>
      <c r="F2655" t="s">
        <v>8893</v>
      </c>
      <c r="G2655" t="s">
        <v>8894</v>
      </c>
      <c r="H2655" t="s">
        <v>3532</v>
      </c>
      <c r="I2655" t="s">
        <v>3490</v>
      </c>
      <c r="J2655" s="56">
        <f t="shared" si="123"/>
        <v>20</v>
      </c>
      <c r="K2655" s="74" t="str">
        <f t="shared" si="124"/>
        <v>4-30 Days</v>
      </c>
      <c r="L2655" s="58" t="str">
        <f t="shared" si="125"/>
        <v>Not Applicable</v>
      </c>
    </row>
    <row r="2656" spans="1:12" ht="16.5" customHeight="1" x14ac:dyDescent="0.35">
      <c r="A2656" t="s">
        <v>1493</v>
      </c>
      <c r="B2656" t="s">
        <v>1493</v>
      </c>
      <c r="C2656">
        <v>0</v>
      </c>
      <c r="D2656">
        <v>90</v>
      </c>
      <c r="E2656" t="s">
        <v>8895</v>
      </c>
      <c r="F2656" t="s">
        <v>6330</v>
      </c>
      <c r="G2656" t="s">
        <v>8896</v>
      </c>
      <c r="H2656" t="s">
        <v>3489</v>
      </c>
      <c r="I2656" t="s">
        <v>3486</v>
      </c>
      <c r="J2656" s="56">
        <f t="shared" si="123"/>
        <v>20</v>
      </c>
      <c r="K2656" s="74" t="str">
        <f t="shared" si="124"/>
        <v>4-30 Days</v>
      </c>
      <c r="L2656" s="58" t="str">
        <f t="shared" si="125"/>
        <v>Not Applicable</v>
      </c>
    </row>
    <row r="2657" spans="1:12" ht="16.5" customHeight="1" x14ac:dyDescent="0.35">
      <c r="A2657" t="s">
        <v>1493</v>
      </c>
      <c r="B2657" t="s">
        <v>1493</v>
      </c>
      <c r="C2657">
        <v>0</v>
      </c>
      <c r="D2657">
        <v>1000</v>
      </c>
      <c r="E2657" t="s">
        <v>8897</v>
      </c>
      <c r="F2657" t="s">
        <v>8897</v>
      </c>
      <c r="G2657" t="s">
        <v>8898</v>
      </c>
      <c r="H2657" t="s">
        <v>3489</v>
      </c>
      <c r="I2657" t="s">
        <v>3490</v>
      </c>
      <c r="J2657" s="56">
        <f t="shared" si="123"/>
        <v>20</v>
      </c>
      <c r="K2657" s="74" t="str">
        <f t="shared" si="124"/>
        <v>4-30 Days</v>
      </c>
      <c r="L2657" s="58" t="str">
        <f t="shared" si="125"/>
        <v>Not Applicable</v>
      </c>
    </row>
    <row r="2658" spans="1:12" ht="16.5" customHeight="1" x14ac:dyDescent="0.35">
      <c r="A2658" t="s">
        <v>1493</v>
      </c>
      <c r="B2658" t="s">
        <v>1493</v>
      </c>
      <c r="C2658">
        <v>0</v>
      </c>
      <c r="D2658">
        <v>360</v>
      </c>
      <c r="E2658" t="s">
        <v>8899</v>
      </c>
      <c r="F2658" t="s">
        <v>8900</v>
      </c>
      <c r="G2658" t="s">
        <v>8901</v>
      </c>
      <c r="H2658" t="s">
        <v>3489</v>
      </c>
      <c r="I2658" t="s">
        <v>3486</v>
      </c>
      <c r="J2658" s="56">
        <f t="shared" si="123"/>
        <v>20</v>
      </c>
      <c r="K2658" s="74" t="str">
        <f t="shared" si="124"/>
        <v>4-30 Days</v>
      </c>
      <c r="L2658" s="58" t="str">
        <f t="shared" si="125"/>
        <v>Not Applicable</v>
      </c>
    </row>
    <row r="2659" spans="1:12" ht="16.5" customHeight="1" x14ac:dyDescent="0.35">
      <c r="A2659" t="s">
        <v>1493</v>
      </c>
      <c r="B2659" t="s">
        <v>1493</v>
      </c>
      <c r="C2659">
        <v>0</v>
      </c>
      <c r="D2659">
        <v>2650</v>
      </c>
      <c r="E2659" t="s">
        <v>8902</v>
      </c>
      <c r="F2659" t="s">
        <v>8902</v>
      </c>
      <c r="G2659" t="s">
        <v>8903</v>
      </c>
      <c r="H2659" t="s">
        <v>3532</v>
      </c>
      <c r="I2659" t="s">
        <v>3490</v>
      </c>
      <c r="J2659" s="56">
        <f t="shared" si="123"/>
        <v>20</v>
      </c>
      <c r="K2659" s="74" t="str">
        <f t="shared" si="124"/>
        <v>4-30 Days</v>
      </c>
      <c r="L2659" s="58" t="str">
        <f t="shared" si="125"/>
        <v>Not Applicable</v>
      </c>
    </row>
    <row r="2660" spans="1:12" ht="16.5" customHeight="1" x14ac:dyDescent="0.35">
      <c r="A2660" t="s">
        <v>1493</v>
      </c>
      <c r="B2660" t="s">
        <v>1493</v>
      </c>
      <c r="C2660">
        <v>0</v>
      </c>
      <c r="D2660">
        <v>2150</v>
      </c>
      <c r="E2660" t="s">
        <v>8904</v>
      </c>
      <c r="F2660" t="s">
        <v>8904</v>
      </c>
      <c r="G2660" t="s">
        <v>8905</v>
      </c>
      <c r="H2660" t="s">
        <v>3489</v>
      </c>
      <c r="I2660" t="s">
        <v>3490</v>
      </c>
      <c r="J2660" s="56">
        <f t="shared" si="123"/>
        <v>20</v>
      </c>
      <c r="K2660" s="74" t="str">
        <f t="shared" si="124"/>
        <v>4-30 Days</v>
      </c>
      <c r="L2660" s="58" t="str">
        <f t="shared" si="125"/>
        <v>Not Applicable</v>
      </c>
    </row>
    <row r="2661" spans="1:12" ht="16.5" customHeight="1" x14ac:dyDescent="0.35">
      <c r="A2661" t="s">
        <v>1493</v>
      </c>
      <c r="B2661" t="s">
        <v>1493</v>
      </c>
      <c r="C2661">
        <v>0</v>
      </c>
      <c r="D2661">
        <v>1000</v>
      </c>
      <c r="E2661" t="s">
        <v>8906</v>
      </c>
      <c r="F2661" t="s">
        <v>8906</v>
      </c>
      <c r="G2661" t="s">
        <v>8907</v>
      </c>
      <c r="H2661" t="s">
        <v>3489</v>
      </c>
      <c r="I2661" t="s">
        <v>3490</v>
      </c>
      <c r="J2661" s="56">
        <f t="shared" si="123"/>
        <v>20</v>
      </c>
      <c r="K2661" s="74" t="str">
        <f t="shared" si="124"/>
        <v>4-30 Days</v>
      </c>
      <c r="L2661" s="58" t="str">
        <f t="shared" si="125"/>
        <v>Not Applicable</v>
      </c>
    </row>
    <row r="2662" spans="1:12" ht="16.5" customHeight="1" x14ac:dyDescent="0.35">
      <c r="A2662" t="s">
        <v>1493</v>
      </c>
      <c r="B2662" t="s">
        <v>1493</v>
      </c>
      <c r="C2662">
        <v>0</v>
      </c>
      <c r="D2662">
        <v>650</v>
      </c>
      <c r="E2662" t="s">
        <v>8908</v>
      </c>
      <c r="F2662" t="s">
        <v>8908</v>
      </c>
      <c r="G2662" t="s">
        <v>8909</v>
      </c>
      <c r="H2662" t="s">
        <v>3521</v>
      </c>
      <c r="I2662" t="s">
        <v>3490</v>
      </c>
      <c r="J2662" s="56">
        <f t="shared" si="123"/>
        <v>20</v>
      </c>
      <c r="K2662" s="74" t="str">
        <f t="shared" si="124"/>
        <v>4-30 Days</v>
      </c>
      <c r="L2662" s="58" t="str">
        <f t="shared" si="125"/>
        <v>Not Applicable</v>
      </c>
    </row>
    <row r="2663" spans="1:12" ht="16.5" customHeight="1" x14ac:dyDescent="0.35">
      <c r="A2663" t="s">
        <v>1493</v>
      </c>
      <c r="B2663" t="s">
        <v>1493</v>
      </c>
      <c r="C2663">
        <v>0</v>
      </c>
      <c r="D2663">
        <v>250</v>
      </c>
      <c r="E2663" t="s">
        <v>8910</v>
      </c>
      <c r="F2663" t="s">
        <v>8910</v>
      </c>
      <c r="G2663" t="s">
        <v>8911</v>
      </c>
      <c r="H2663" t="s">
        <v>3489</v>
      </c>
      <c r="I2663" t="s">
        <v>3490</v>
      </c>
      <c r="J2663" s="56">
        <f t="shared" si="123"/>
        <v>20</v>
      </c>
      <c r="K2663" s="74" t="str">
        <f t="shared" si="124"/>
        <v>4-30 Days</v>
      </c>
      <c r="L2663" s="58" t="str">
        <f t="shared" si="125"/>
        <v>Not Applicable</v>
      </c>
    </row>
    <row r="2664" spans="1:12" ht="16.5" customHeight="1" x14ac:dyDescent="0.35">
      <c r="A2664" t="s">
        <v>1524</v>
      </c>
      <c r="B2664" t="s">
        <v>1524</v>
      </c>
      <c r="C2664">
        <v>200000</v>
      </c>
      <c r="D2664">
        <v>0</v>
      </c>
      <c r="E2664" t="s">
        <v>8912</v>
      </c>
      <c r="F2664" t="s">
        <v>8912</v>
      </c>
      <c r="G2664" t="s">
        <v>8913</v>
      </c>
      <c r="H2664" t="s">
        <v>8914</v>
      </c>
      <c r="I2664" t="s">
        <v>3486</v>
      </c>
      <c r="J2664" s="56">
        <f t="shared" si="123"/>
        <v>19</v>
      </c>
      <c r="K2664" s="74" t="str">
        <f t="shared" si="124"/>
        <v>4-30 Days</v>
      </c>
      <c r="L2664" s="58" t="str">
        <f t="shared" si="125"/>
        <v>Normal</v>
      </c>
    </row>
    <row r="2665" spans="1:12" ht="16.5" customHeight="1" x14ac:dyDescent="0.35">
      <c r="A2665" t="s">
        <v>1524</v>
      </c>
      <c r="B2665" t="s">
        <v>1524</v>
      </c>
      <c r="C2665">
        <v>0</v>
      </c>
      <c r="D2665">
        <v>392</v>
      </c>
      <c r="E2665" t="s">
        <v>8915</v>
      </c>
      <c r="F2665" t="s">
        <v>8915</v>
      </c>
      <c r="G2665" t="s">
        <v>8916</v>
      </c>
      <c r="H2665" t="s">
        <v>3489</v>
      </c>
      <c r="I2665" t="s">
        <v>3490</v>
      </c>
      <c r="J2665" s="56">
        <f t="shared" si="123"/>
        <v>19</v>
      </c>
      <c r="K2665" s="74" t="str">
        <f t="shared" si="124"/>
        <v>4-30 Days</v>
      </c>
      <c r="L2665" s="58" t="str">
        <f t="shared" si="125"/>
        <v>Not Applicable</v>
      </c>
    </row>
    <row r="2666" spans="1:12" ht="16.5" customHeight="1" x14ac:dyDescent="0.35">
      <c r="A2666" t="s">
        <v>1524</v>
      </c>
      <c r="B2666" t="s">
        <v>1524</v>
      </c>
      <c r="C2666">
        <v>0</v>
      </c>
      <c r="D2666">
        <v>140</v>
      </c>
      <c r="E2666" t="s">
        <v>8917</v>
      </c>
      <c r="F2666" t="s">
        <v>8917</v>
      </c>
      <c r="G2666" t="s">
        <v>8918</v>
      </c>
      <c r="H2666" t="s">
        <v>3489</v>
      </c>
      <c r="I2666" t="s">
        <v>3490</v>
      </c>
      <c r="J2666" s="56">
        <f t="shared" si="123"/>
        <v>19</v>
      </c>
      <c r="K2666" s="74" t="str">
        <f t="shared" si="124"/>
        <v>4-30 Days</v>
      </c>
      <c r="L2666" s="58" t="str">
        <f t="shared" si="125"/>
        <v>Not Applicable</v>
      </c>
    </row>
    <row r="2667" spans="1:12" ht="16.5" customHeight="1" x14ac:dyDescent="0.35">
      <c r="A2667" t="s">
        <v>1524</v>
      </c>
      <c r="B2667" t="s">
        <v>1524</v>
      </c>
      <c r="C2667">
        <v>1337778.33</v>
      </c>
      <c r="D2667">
        <v>0</v>
      </c>
      <c r="E2667" t="s">
        <v>8919</v>
      </c>
      <c r="F2667" t="s">
        <v>8919</v>
      </c>
      <c r="G2667" t="s">
        <v>8920</v>
      </c>
      <c r="H2667" t="s">
        <v>3455</v>
      </c>
      <c r="I2667" t="s">
        <v>3486</v>
      </c>
      <c r="J2667" s="56">
        <f t="shared" si="123"/>
        <v>19</v>
      </c>
      <c r="K2667" s="74" t="str">
        <f t="shared" si="124"/>
        <v>4-30 Days</v>
      </c>
      <c r="L2667" s="58" t="str">
        <f t="shared" si="125"/>
        <v>Normal</v>
      </c>
    </row>
    <row r="2668" spans="1:12" ht="16.5" customHeight="1" x14ac:dyDescent="0.35">
      <c r="A2668" t="s">
        <v>1524</v>
      </c>
      <c r="B2668" t="s">
        <v>1524</v>
      </c>
      <c r="C2668">
        <v>0</v>
      </c>
      <c r="D2668">
        <v>21375.95</v>
      </c>
      <c r="E2668" t="s">
        <v>8921</v>
      </c>
      <c r="F2668" t="s">
        <v>57</v>
      </c>
      <c r="G2668" t="s">
        <v>57</v>
      </c>
      <c r="H2668" t="s">
        <v>3914</v>
      </c>
      <c r="I2668" t="s">
        <v>3643</v>
      </c>
      <c r="J2668" s="56">
        <f t="shared" si="123"/>
        <v>19</v>
      </c>
      <c r="K2668" s="74" t="str">
        <f t="shared" si="124"/>
        <v>4-30 Days</v>
      </c>
      <c r="L2668" s="58" t="str">
        <f t="shared" si="125"/>
        <v>Not Applicable</v>
      </c>
    </row>
    <row r="2669" spans="1:12" ht="16.5" customHeight="1" x14ac:dyDescent="0.35">
      <c r="A2669" t="s">
        <v>1524</v>
      </c>
      <c r="B2669" t="s">
        <v>1524</v>
      </c>
      <c r="C2669">
        <v>0</v>
      </c>
      <c r="D2669">
        <v>800</v>
      </c>
      <c r="E2669" t="s">
        <v>8922</v>
      </c>
      <c r="F2669" t="s">
        <v>8922</v>
      </c>
      <c r="G2669" t="s">
        <v>8923</v>
      </c>
      <c r="H2669" t="s">
        <v>3489</v>
      </c>
      <c r="I2669" t="s">
        <v>3490</v>
      </c>
      <c r="J2669" s="56">
        <f t="shared" si="123"/>
        <v>19</v>
      </c>
      <c r="K2669" s="74" t="str">
        <f t="shared" si="124"/>
        <v>4-30 Days</v>
      </c>
      <c r="L2669" s="58" t="str">
        <f t="shared" si="125"/>
        <v>Not Applicable</v>
      </c>
    </row>
    <row r="2670" spans="1:12" ht="16.5" customHeight="1" x14ac:dyDescent="0.35">
      <c r="A2670" t="s">
        <v>1524</v>
      </c>
      <c r="B2670" t="s">
        <v>1524</v>
      </c>
      <c r="C2670">
        <v>0</v>
      </c>
      <c r="D2670">
        <v>320</v>
      </c>
      <c r="E2670" t="s">
        <v>8924</v>
      </c>
      <c r="F2670" t="s">
        <v>8924</v>
      </c>
      <c r="G2670" t="s">
        <v>8925</v>
      </c>
      <c r="H2670" t="s">
        <v>3489</v>
      </c>
      <c r="I2670" t="s">
        <v>3490</v>
      </c>
      <c r="J2670" s="56">
        <f t="shared" si="123"/>
        <v>19</v>
      </c>
      <c r="K2670" s="74" t="str">
        <f t="shared" si="124"/>
        <v>4-30 Days</v>
      </c>
      <c r="L2670" s="58" t="str">
        <f t="shared" si="125"/>
        <v>Not Applicable</v>
      </c>
    </row>
    <row r="2671" spans="1:12" ht="16.5" customHeight="1" x14ac:dyDescent="0.35">
      <c r="A2671" t="s">
        <v>1524</v>
      </c>
      <c r="B2671" t="s">
        <v>1524</v>
      </c>
      <c r="C2671">
        <v>0</v>
      </c>
      <c r="D2671">
        <v>274</v>
      </c>
      <c r="E2671" t="s">
        <v>8926</v>
      </c>
      <c r="F2671" t="s">
        <v>8926</v>
      </c>
      <c r="G2671" t="s">
        <v>8927</v>
      </c>
      <c r="H2671" t="s">
        <v>3489</v>
      </c>
      <c r="I2671" t="s">
        <v>3490</v>
      </c>
      <c r="J2671" s="56">
        <f t="shared" si="123"/>
        <v>19</v>
      </c>
      <c r="K2671" s="74" t="str">
        <f t="shared" si="124"/>
        <v>4-30 Days</v>
      </c>
      <c r="L2671" s="58" t="str">
        <f t="shared" si="125"/>
        <v>Not Applicable</v>
      </c>
    </row>
    <row r="2672" spans="1:12" ht="16.5" customHeight="1" x14ac:dyDescent="0.35">
      <c r="A2672" t="s">
        <v>1524</v>
      </c>
      <c r="B2672" t="s">
        <v>1524</v>
      </c>
      <c r="C2672">
        <v>0</v>
      </c>
      <c r="D2672">
        <v>250</v>
      </c>
      <c r="E2672" t="s">
        <v>8928</v>
      </c>
      <c r="F2672" t="s">
        <v>8928</v>
      </c>
      <c r="G2672" t="s">
        <v>8929</v>
      </c>
      <c r="H2672" t="s">
        <v>3489</v>
      </c>
      <c r="I2672" t="s">
        <v>3490</v>
      </c>
      <c r="J2672" s="56">
        <f t="shared" si="123"/>
        <v>19</v>
      </c>
      <c r="K2672" s="74" t="str">
        <f t="shared" si="124"/>
        <v>4-30 Days</v>
      </c>
      <c r="L2672" s="58" t="str">
        <f t="shared" si="125"/>
        <v>Not Applicable</v>
      </c>
    </row>
    <row r="2673" spans="1:12" ht="16.5" customHeight="1" x14ac:dyDescent="0.35">
      <c r="A2673" t="s">
        <v>1524</v>
      </c>
      <c r="B2673" t="s">
        <v>1524</v>
      </c>
      <c r="C2673">
        <v>0</v>
      </c>
      <c r="D2673">
        <v>27344.799999999999</v>
      </c>
      <c r="E2673" t="s">
        <v>8930</v>
      </c>
      <c r="F2673" t="s">
        <v>3574</v>
      </c>
      <c r="G2673" t="s">
        <v>8931</v>
      </c>
      <c r="H2673" t="s">
        <v>3489</v>
      </c>
      <c r="I2673" t="s">
        <v>3490</v>
      </c>
      <c r="J2673" s="56">
        <f t="shared" si="123"/>
        <v>19</v>
      </c>
      <c r="K2673" s="74" t="str">
        <f t="shared" si="124"/>
        <v>4-30 Days</v>
      </c>
      <c r="L2673" s="58" t="str">
        <f t="shared" si="125"/>
        <v>Not Applicable</v>
      </c>
    </row>
    <row r="2674" spans="1:12" ht="16.5" customHeight="1" x14ac:dyDescent="0.35">
      <c r="A2674" t="s">
        <v>1524</v>
      </c>
      <c r="B2674" t="s">
        <v>1524</v>
      </c>
      <c r="C2674">
        <v>0</v>
      </c>
      <c r="D2674">
        <v>2301</v>
      </c>
      <c r="E2674" t="s">
        <v>8932</v>
      </c>
      <c r="F2674" t="s">
        <v>3574</v>
      </c>
      <c r="G2674" t="s">
        <v>8933</v>
      </c>
      <c r="H2674" t="s">
        <v>3489</v>
      </c>
      <c r="I2674" t="s">
        <v>3490</v>
      </c>
      <c r="J2674" s="56">
        <f t="shared" si="123"/>
        <v>19</v>
      </c>
      <c r="K2674" s="74" t="str">
        <f t="shared" si="124"/>
        <v>4-30 Days</v>
      </c>
      <c r="L2674" s="58" t="str">
        <f t="shared" si="125"/>
        <v>Not Applicable</v>
      </c>
    </row>
    <row r="2675" spans="1:12" ht="16.5" customHeight="1" x14ac:dyDescent="0.35">
      <c r="A2675" t="s">
        <v>1524</v>
      </c>
      <c r="B2675" t="s">
        <v>1524</v>
      </c>
      <c r="C2675">
        <v>0</v>
      </c>
      <c r="D2675">
        <v>3888.89</v>
      </c>
      <c r="E2675" t="s">
        <v>8934</v>
      </c>
      <c r="F2675" t="s">
        <v>8934</v>
      </c>
      <c r="G2675" t="s">
        <v>8935</v>
      </c>
      <c r="H2675" t="s">
        <v>3489</v>
      </c>
      <c r="I2675" t="s">
        <v>3486</v>
      </c>
      <c r="J2675" s="56">
        <f t="shared" si="123"/>
        <v>19</v>
      </c>
      <c r="K2675" s="74" t="str">
        <f t="shared" si="124"/>
        <v>4-30 Days</v>
      </c>
      <c r="L2675" s="58" t="str">
        <f t="shared" si="125"/>
        <v>Not Applicable</v>
      </c>
    </row>
    <row r="2676" spans="1:12" ht="16.5" customHeight="1" x14ac:dyDescent="0.35">
      <c r="A2676" t="s">
        <v>1524</v>
      </c>
      <c r="B2676" t="s">
        <v>1524</v>
      </c>
      <c r="C2676">
        <v>0</v>
      </c>
      <c r="D2676">
        <v>1000</v>
      </c>
      <c r="E2676" t="s">
        <v>8936</v>
      </c>
      <c r="F2676" t="s">
        <v>8937</v>
      </c>
      <c r="G2676" t="s">
        <v>8938</v>
      </c>
      <c r="H2676" t="s">
        <v>3489</v>
      </c>
      <c r="I2676" t="s">
        <v>3490</v>
      </c>
      <c r="J2676" s="56">
        <f t="shared" si="123"/>
        <v>19</v>
      </c>
      <c r="K2676" s="74" t="str">
        <f t="shared" si="124"/>
        <v>4-30 Days</v>
      </c>
      <c r="L2676" s="58" t="str">
        <f t="shared" si="125"/>
        <v>Not Applicable</v>
      </c>
    </row>
    <row r="2677" spans="1:12" ht="16.5" customHeight="1" x14ac:dyDescent="0.35">
      <c r="A2677" t="s">
        <v>1524</v>
      </c>
      <c r="B2677" t="s">
        <v>1524</v>
      </c>
      <c r="C2677">
        <v>0</v>
      </c>
      <c r="D2677">
        <v>2050</v>
      </c>
      <c r="E2677" t="s">
        <v>8939</v>
      </c>
      <c r="F2677" t="s">
        <v>8939</v>
      </c>
      <c r="G2677" t="s">
        <v>8940</v>
      </c>
      <c r="H2677" t="s">
        <v>3489</v>
      </c>
      <c r="I2677" t="s">
        <v>3490</v>
      </c>
      <c r="J2677" s="56">
        <f t="shared" si="123"/>
        <v>19</v>
      </c>
      <c r="K2677" s="74" t="str">
        <f t="shared" si="124"/>
        <v>4-30 Days</v>
      </c>
      <c r="L2677" s="58" t="str">
        <f t="shared" si="125"/>
        <v>Not Applicable</v>
      </c>
    </row>
    <row r="2678" spans="1:12" ht="16.5" customHeight="1" x14ac:dyDescent="0.35">
      <c r="A2678" t="s">
        <v>1524</v>
      </c>
      <c r="B2678" t="s">
        <v>1524</v>
      </c>
      <c r="C2678">
        <v>0</v>
      </c>
      <c r="D2678">
        <v>1000</v>
      </c>
      <c r="E2678" t="s">
        <v>8941</v>
      </c>
      <c r="F2678" t="s">
        <v>8941</v>
      </c>
      <c r="G2678" t="s">
        <v>8942</v>
      </c>
      <c r="H2678" t="s">
        <v>3489</v>
      </c>
      <c r="I2678" t="s">
        <v>3490</v>
      </c>
      <c r="J2678" s="56">
        <f t="shared" si="123"/>
        <v>19</v>
      </c>
      <c r="K2678" s="74" t="str">
        <f t="shared" si="124"/>
        <v>4-30 Days</v>
      </c>
      <c r="L2678" s="58" t="str">
        <f t="shared" si="125"/>
        <v>Not Applicable</v>
      </c>
    </row>
    <row r="2679" spans="1:12" ht="16.5" customHeight="1" x14ac:dyDescent="0.35">
      <c r="A2679" t="s">
        <v>1524</v>
      </c>
      <c r="B2679" t="s">
        <v>1524</v>
      </c>
      <c r="C2679">
        <v>0</v>
      </c>
      <c r="D2679">
        <v>172</v>
      </c>
      <c r="E2679" t="s">
        <v>8943</v>
      </c>
      <c r="F2679" t="s">
        <v>8943</v>
      </c>
      <c r="G2679" t="s">
        <v>8944</v>
      </c>
      <c r="H2679" t="s">
        <v>3489</v>
      </c>
      <c r="I2679" t="s">
        <v>3490</v>
      </c>
      <c r="J2679" s="56">
        <f t="shared" si="123"/>
        <v>19</v>
      </c>
      <c r="K2679" s="74" t="str">
        <f t="shared" si="124"/>
        <v>4-30 Days</v>
      </c>
      <c r="L2679" s="58" t="str">
        <f t="shared" si="125"/>
        <v>Not Applicable</v>
      </c>
    </row>
    <row r="2680" spans="1:12" ht="16.5" customHeight="1" x14ac:dyDescent="0.35">
      <c r="A2680" t="s">
        <v>1524</v>
      </c>
      <c r="B2680" t="s">
        <v>1524</v>
      </c>
      <c r="C2680">
        <v>0</v>
      </c>
      <c r="D2680">
        <v>10</v>
      </c>
      <c r="E2680" t="s">
        <v>8945</v>
      </c>
      <c r="F2680" t="s">
        <v>8945</v>
      </c>
      <c r="G2680" t="s">
        <v>8946</v>
      </c>
      <c r="H2680" t="s">
        <v>3489</v>
      </c>
      <c r="I2680" t="s">
        <v>3490</v>
      </c>
      <c r="J2680" s="56">
        <f t="shared" si="123"/>
        <v>19</v>
      </c>
      <c r="K2680" s="74" t="str">
        <f t="shared" si="124"/>
        <v>4-30 Days</v>
      </c>
      <c r="L2680" s="58" t="str">
        <f t="shared" si="125"/>
        <v>Not Applicable</v>
      </c>
    </row>
    <row r="2681" spans="1:12" ht="16.5" customHeight="1" x14ac:dyDescent="0.35">
      <c r="A2681" t="s">
        <v>1524</v>
      </c>
      <c r="B2681" t="s">
        <v>1524</v>
      </c>
      <c r="C2681">
        <v>0</v>
      </c>
      <c r="D2681">
        <v>1000</v>
      </c>
      <c r="E2681" t="s">
        <v>8947</v>
      </c>
      <c r="F2681" t="s">
        <v>8947</v>
      </c>
      <c r="G2681" t="s">
        <v>8948</v>
      </c>
      <c r="H2681" t="s">
        <v>3489</v>
      </c>
      <c r="I2681" t="s">
        <v>3490</v>
      </c>
      <c r="J2681" s="56">
        <f t="shared" si="123"/>
        <v>19</v>
      </c>
      <c r="K2681" s="74" t="str">
        <f t="shared" si="124"/>
        <v>4-30 Days</v>
      </c>
      <c r="L2681" s="58" t="str">
        <f t="shared" si="125"/>
        <v>Not Applicable</v>
      </c>
    </row>
    <row r="2682" spans="1:12" ht="16.5" customHeight="1" x14ac:dyDescent="0.35">
      <c r="A2682" t="s">
        <v>1524</v>
      </c>
      <c r="B2682" t="s">
        <v>1524</v>
      </c>
      <c r="C2682">
        <v>0</v>
      </c>
      <c r="D2682">
        <v>280</v>
      </c>
      <c r="E2682" t="s">
        <v>8949</v>
      </c>
      <c r="F2682" t="s">
        <v>8949</v>
      </c>
      <c r="G2682" t="s">
        <v>8950</v>
      </c>
      <c r="H2682" t="s">
        <v>3489</v>
      </c>
      <c r="I2682" t="s">
        <v>3490</v>
      </c>
      <c r="J2682" s="56">
        <f t="shared" si="123"/>
        <v>19</v>
      </c>
      <c r="K2682" s="74" t="str">
        <f t="shared" si="124"/>
        <v>4-30 Days</v>
      </c>
      <c r="L2682" s="58" t="str">
        <f t="shared" si="125"/>
        <v>Not Applicable</v>
      </c>
    </row>
    <row r="2683" spans="1:12" ht="16.5" customHeight="1" x14ac:dyDescent="0.35">
      <c r="A2683" t="s">
        <v>1524</v>
      </c>
      <c r="B2683" t="s">
        <v>1524</v>
      </c>
      <c r="C2683">
        <v>0</v>
      </c>
      <c r="D2683">
        <v>1000</v>
      </c>
      <c r="E2683" t="s">
        <v>8951</v>
      </c>
      <c r="F2683" t="s">
        <v>8951</v>
      </c>
      <c r="G2683" t="s">
        <v>8952</v>
      </c>
      <c r="H2683" t="s">
        <v>3489</v>
      </c>
      <c r="I2683" t="s">
        <v>3490</v>
      </c>
      <c r="J2683" s="56">
        <f t="shared" si="123"/>
        <v>19</v>
      </c>
      <c r="K2683" s="74" t="str">
        <f t="shared" si="124"/>
        <v>4-30 Days</v>
      </c>
      <c r="L2683" s="58" t="str">
        <f t="shared" si="125"/>
        <v>Not Applicable</v>
      </c>
    </row>
    <row r="2684" spans="1:12" ht="16.5" customHeight="1" x14ac:dyDescent="0.35">
      <c r="A2684" t="s">
        <v>1524</v>
      </c>
      <c r="B2684" t="s">
        <v>1524</v>
      </c>
      <c r="C2684">
        <v>0</v>
      </c>
      <c r="D2684">
        <v>942</v>
      </c>
      <c r="E2684" t="s">
        <v>8953</v>
      </c>
      <c r="F2684" t="s">
        <v>8953</v>
      </c>
      <c r="G2684" t="s">
        <v>8954</v>
      </c>
      <c r="H2684" t="s">
        <v>3489</v>
      </c>
      <c r="I2684" t="s">
        <v>3490</v>
      </c>
      <c r="J2684" s="56">
        <f t="shared" si="123"/>
        <v>19</v>
      </c>
      <c r="K2684" s="74" t="str">
        <f t="shared" si="124"/>
        <v>4-30 Days</v>
      </c>
      <c r="L2684" s="58" t="str">
        <f t="shared" si="125"/>
        <v>Not Applicable</v>
      </c>
    </row>
    <row r="2685" spans="1:12" ht="16.5" customHeight="1" x14ac:dyDescent="0.35">
      <c r="A2685" t="s">
        <v>1524</v>
      </c>
      <c r="B2685" t="s">
        <v>1524</v>
      </c>
      <c r="C2685">
        <v>0</v>
      </c>
      <c r="D2685">
        <v>1000</v>
      </c>
      <c r="E2685" t="s">
        <v>8955</v>
      </c>
      <c r="F2685" t="s">
        <v>8955</v>
      </c>
      <c r="G2685" t="s">
        <v>8956</v>
      </c>
      <c r="H2685" t="s">
        <v>3489</v>
      </c>
      <c r="I2685" t="s">
        <v>3490</v>
      </c>
      <c r="J2685" s="56">
        <f t="shared" si="123"/>
        <v>19</v>
      </c>
      <c r="K2685" s="74" t="str">
        <f t="shared" si="124"/>
        <v>4-30 Days</v>
      </c>
      <c r="L2685" s="58" t="str">
        <f t="shared" si="125"/>
        <v>Not Applicable</v>
      </c>
    </row>
    <row r="2686" spans="1:12" ht="16.5" customHeight="1" x14ac:dyDescent="0.35">
      <c r="A2686" t="s">
        <v>1524</v>
      </c>
      <c r="B2686" t="s">
        <v>1524</v>
      </c>
      <c r="C2686">
        <v>0</v>
      </c>
      <c r="D2686">
        <v>276.12</v>
      </c>
      <c r="E2686" t="s">
        <v>8957</v>
      </c>
      <c r="F2686" t="s">
        <v>3574</v>
      </c>
      <c r="G2686" t="s">
        <v>8958</v>
      </c>
      <c r="H2686" t="s">
        <v>3489</v>
      </c>
      <c r="I2686" t="s">
        <v>3490</v>
      </c>
      <c r="J2686" s="56">
        <f t="shared" si="123"/>
        <v>19</v>
      </c>
      <c r="K2686" s="74" t="str">
        <f t="shared" si="124"/>
        <v>4-30 Days</v>
      </c>
      <c r="L2686" s="58" t="str">
        <f t="shared" si="125"/>
        <v>Not Applicable</v>
      </c>
    </row>
    <row r="2687" spans="1:12" ht="16.5" customHeight="1" x14ac:dyDescent="0.35">
      <c r="A2687" t="s">
        <v>1524</v>
      </c>
      <c r="B2687" t="s">
        <v>1524</v>
      </c>
      <c r="C2687">
        <v>0</v>
      </c>
      <c r="D2687">
        <v>1000</v>
      </c>
      <c r="E2687" t="s">
        <v>8959</v>
      </c>
      <c r="F2687" t="s">
        <v>8959</v>
      </c>
      <c r="G2687" t="s">
        <v>8960</v>
      </c>
      <c r="H2687" t="s">
        <v>3489</v>
      </c>
      <c r="I2687" t="s">
        <v>3490</v>
      </c>
      <c r="J2687" s="56">
        <f t="shared" si="123"/>
        <v>19</v>
      </c>
      <c r="K2687" s="74" t="str">
        <f t="shared" si="124"/>
        <v>4-30 Days</v>
      </c>
      <c r="L2687" s="58" t="str">
        <f t="shared" si="125"/>
        <v>Not Applicable</v>
      </c>
    </row>
    <row r="2688" spans="1:12" ht="16.5" customHeight="1" x14ac:dyDescent="0.35">
      <c r="A2688" t="s">
        <v>1524</v>
      </c>
      <c r="B2688" t="s">
        <v>1524</v>
      </c>
      <c r="C2688">
        <v>1041332.85</v>
      </c>
      <c r="D2688">
        <v>0</v>
      </c>
      <c r="E2688" t="s">
        <v>8961</v>
      </c>
      <c r="F2688" t="s">
        <v>8961</v>
      </c>
      <c r="G2688" t="s">
        <v>8962</v>
      </c>
      <c r="H2688" t="s">
        <v>3455</v>
      </c>
      <c r="I2688" t="s">
        <v>3486</v>
      </c>
      <c r="J2688" s="56">
        <f t="shared" si="123"/>
        <v>19</v>
      </c>
      <c r="K2688" s="74" t="str">
        <f t="shared" si="124"/>
        <v>4-30 Days</v>
      </c>
      <c r="L2688" s="58" t="str">
        <f t="shared" si="125"/>
        <v>Normal</v>
      </c>
    </row>
    <row r="2689" spans="1:12" ht="16.5" customHeight="1" x14ac:dyDescent="0.35">
      <c r="A2689" t="s">
        <v>1524</v>
      </c>
      <c r="B2689" t="s">
        <v>1524</v>
      </c>
      <c r="C2689">
        <v>0</v>
      </c>
      <c r="D2689">
        <v>10000000</v>
      </c>
      <c r="E2689" t="s">
        <v>8963</v>
      </c>
      <c r="F2689" t="s">
        <v>8964</v>
      </c>
      <c r="G2689" t="s">
        <v>8965</v>
      </c>
      <c r="H2689" t="s">
        <v>3489</v>
      </c>
      <c r="I2689" t="s">
        <v>3486</v>
      </c>
      <c r="J2689" s="56">
        <f t="shared" si="123"/>
        <v>19</v>
      </c>
      <c r="K2689" s="74" t="str">
        <f t="shared" si="124"/>
        <v>4-30 Days</v>
      </c>
      <c r="L2689" s="58" t="str">
        <f t="shared" si="125"/>
        <v>Not Applicable</v>
      </c>
    </row>
    <row r="2690" spans="1:12" ht="16.5" customHeight="1" x14ac:dyDescent="0.35">
      <c r="A2690" t="s">
        <v>1524</v>
      </c>
      <c r="B2690" t="s">
        <v>1524</v>
      </c>
      <c r="C2690">
        <v>0</v>
      </c>
      <c r="D2690">
        <v>1000</v>
      </c>
      <c r="E2690" t="s">
        <v>8966</v>
      </c>
      <c r="F2690" t="s">
        <v>8966</v>
      </c>
      <c r="G2690" t="s">
        <v>8967</v>
      </c>
      <c r="H2690" t="s">
        <v>3489</v>
      </c>
      <c r="I2690" t="s">
        <v>3490</v>
      </c>
      <c r="J2690" s="56">
        <f t="shared" si="123"/>
        <v>19</v>
      </c>
      <c r="K2690" s="74" t="str">
        <f t="shared" si="124"/>
        <v>4-30 Days</v>
      </c>
      <c r="L2690" s="58" t="str">
        <f t="shared" si="125"/>
        <v>Not Applicable</v>
      </c>
    </row>
    <row r="2691" spans="1:12" ht="16.5" customHeight="1" x14ac:dyDescent="0.35">
      <c r="A2691" t="s">
        <v>1524</v>
      </c>
      <c r="B2691" t="s">
        <v>1524</v>
      </c>
      <c r="C2691">
        <v>0</v>
      </c>
      <c r="D2691">
        <v>2</v>
      </c>
      <c r="E2691" t="s">
        <v>8968</v>
      </c>
      <c r="F2691" t="s">
        <v>8968</v>
      </c>
      <c r="G2691" t="s">
        <v>8969</v>
      </c>
      <c r="H2691" t="s">
        <v>3489</v>
      </c>
      <c r="I2691" t="s">
        <v>3490</v>
      </c>
      <c r="J2691" s="56">
        <f t="shared" si="123"/>
        <v>19</v>
      </c>
      <c r="K2691" s="74" t="str">
        <f t="shared" si="124"/>
        <v>4-30 Days</v>
      </c>
      <c r="L2691" s="58" t="str">
        <f t="shared" si="125"/>
        <v>Not Applicable</v>
      </c>
    </row>
    <row r="2692" spans="1:12" ht="16.5" customHeight="1" x14ac:dyDescent="0.35">
      <c r="A2692" t="s">
        <v>1524</v>
      </c>
      <c r="B2692" t="s">
        <v>1524</v>
      </c>
      <c r="C2692">
        <v>550789.87</v>
      </c>
      <c r="D2692">
        <v>0</v>
      </c>
      <c r="E2692" t="s">
        <v>8970</v>
      </c>
      <c r="F2692" t="s">
        <v>8970</v>
      </c>
      <c r="G2692" t="s">
        <v>8971</v>
      </c>
      <c r="H2692" t="s">
        <v>3455</v>
      </c>
      <c r="I2692" t="s">
        <v>3486</v>
      </c>
      <c r="J2692" s="56">
        <f t="shared" si="123"/>
        <v>19</v>
      </c>
      <c r="K2692" s="74" t="str">
        <f t="shared" si="124"/>
        <v>4-30 Days</v>
      </c>
      <c r="L2692" s="58" t="str">
        <f t="shared" si="125"/>
        <v>Normal</v>
      </c>
    </row>
    <row r="2693" spans="1:12" ht="16.5" customHeight="1" x14ac:dyDescent="0.35">
      <c r="A2693" t="s">
        <v>1524</v>
      </c>
      <c r="B2693" t="s">
        <v>1524</v>
      </c>
      <c r="C2693">
        <v>0</v>
      </c>
      <c r="D2693">
        <v>244</v>
      </c>
      <c r="E2693" t="s">
        <v>8972</v>
      </c>
      <c r="F2693" t="s">
        <v>8972</v>
      </c>
      <c r="G2693" t="s">
        <v>8973</v>
      </c>
      <c r="H2693" t="s">
        <v>3489</v>
      </c>
      <c r="I2693" t="s">
        <v>3490</v>
      </c>
      <c r="J2693" s="56">
        <f t="shared" si="123"/>
        <v>19</v>
      </c>
      <c r="K2693" s="74" t="str">
        <f t="shared" si="124"/>
        <v>4-30 Days</v>
      </c>
      <c r="L2693" s="58" t="str">
        <f t="shared" si="125"/>
        <v>Not Applicable</v>
      </c>
    </row>
    <row r="2694" spans="1:12" ht="16.5" customHeight="1" x14ac:dyDescent="0.35">
      <c r="A2694" t="s">
        <v>1524</v>
      </c>
      <c r="B2694" t="s">
        <v>1524</v>
      </c>
      <c r="C2694">
        <v>0</v>
      </c>
      <c r="D2694">
        <v>200</v>
      </c>
      <c r="E2694" t="s">
        <v>8974</v>
      </c>
      <c r="F2694" t="s">
        <v>8974</v>
      </c>
      <c r="G2694" t="s">
        <v>8975</v>
      </c>
      <c r="H2694" t="s">
        <v>3489</v>
      </c>
      <c r="I2694" t="s">
        <v>3490</v>
      </c>
      <c r="J2694" s="56">
        <f t="shared" si="123"/>
        <v>19</v>
      </c>
      <c r="K2694" s="74" t="str">
        <f t="shared" si="124"/>
        <v>4-30 Days</v>
      </c>
      <c r="L2694" s="58" t="str">
        <f t="shared" si="125"/>
        <v>Not Applicable</v>
      </c>
    </row>
    <row r="2695" spans="1:12" ht="16.5" customHeight="1" x14ac:dyDescent="0.35">
      <c r="A2695" t="s">
        <v>1524</v>
      </c>
      <c r="B2695" t="s">
        <v>1524</v>
      </c>
      <c r="C2695">
        <v>0</v>
      </c>
      <c r="D2695">
        <v>3888.89</v>
      </c>
      <c r="E2695" t="s">
        <v>8976</v>
      </c>
      <c r="F2695" t="s">
        <v>8976</v>
      </c>
      <c r="G2695" t="s">
        <v>8977</v>
      </c>
      <c r="H2695" t="s">
        <v>3489</v>
      </c>
      <c r="I2695" t="s">
        <v>3486</v>
      </c>
      <c r="J2695" s="56">
        <f t="shared" si="123"/>
        <v>19</v>
      </c>
      <c r="K2695" s="74" t="str">
        <f t="shared" si="124"/>
        <v>4-30 Days</v>
      </c>
      <c r="L2695" s="58" t="str">
        <f t="shared" si="125"/>
        <v>Not Applicable</v>
      </c>
    </row>
    <row r="2696" spans="1:12" ht="16.5" customHeight="1" x14ac:dyDescent="0.35">
      <c r="A2696" t="s">
        <v>1524</v>
      </c>
      <c r="B2696" t="s">
        <v>1524</v>
      </c>
      <c r="C2696">
        <v>0</v>
      </c>
      <c r="D2696">
        <v>1000000</v>
      </c>
      <c r="E2696" t="s">
        <v>8978</v>
      </c>
      <c r="F2696" t="s">
        <v>8978</v>
      </c>
      <c r="G2696" t="s">
        <v>8979</v>
      </c>
      <c r="H2696" t="s">
        <v>3489</v>
      </c>
      <c r="I2696" t="s">
        <v>3490</v>
      </c>
      <c r="J2696" s="56">
        <f t="shared" si="123"/>
        <v>19</v>
      </c>
      <c r="K2696" s="74" t="str">
        <f t="shared" si="124"/>
        <v>4-30 Days</v>
      </c>
      <c r="L2696" s="58" t="str">
        <f t="shared" si="125"/>
        <v>Not Applicable</v>
      </c>
    </row>
    <row r="2697" spans="1:12" ht="16.5" customHeight="1" x14ac:dyDescent="0.35">
      <c r="A2697" t="s">
        <v>1524</v>
      </c>
      <c r="B2697" t="s">
        <v>1524</v>
      </c>
      <c r="C2697">
        <v>0</v>
      </c>
      <c r="D2697">
        <v>2050</v>
      </c>
      <c r="E2697" t="s">
        <v>8980</v>
      </c>
      <c r="F2697" t="s">
        <v>8981</v>
      </c>
      <c r="G2697" t="s">
        <v>8982</v>
      </c>
      <c r="H2697" t="s">
        <v>3532</v>
      </c>
      <c r="I2697" t="s">
        <v>3490</v>
      </c>
      <c r="J2697" s="56">
        <f t="shared" ref="J2697:J2760" si="126">IF(A2697="","",A$5-A2697)</f>
        <v>19</v>
      </c>
      <c r="K2697" s="74" t="str">
        <f t="shared" ref="K2697:K2760" si="127">IF(J2697="","",IF(J2697&lt;4,"0-3 Days",IF(J2697&lt;31,"4-30 Days",IF(J2697&lt;61,"31-60 Days",IF(J2697&lt;=90,"61-90 Days",IF(J2697&gt;90,"Above 90 Days","0"))))))</f>
        <v>4-30 Days</v>
      </c>
      <c r="L2697" s="58" t="str">
        <f t="shared" ref="L2697:L2760" si="128">IF(C2697="","",IF(C2697&gt;0,IF(J2697&lt;30,"Normal",IF(J2697&lt;60,"Especially Mentioned",IF(J2697&lt;90,"Substandard",IF(J2697&lt;=180,"Doubtful",IF(J2697&gt;180,"Loss","0"))))),"Not Applicable"))</f>
        <v>Not Applicable</v>
      </c>
    </row>
    <row r="2698" spans="1:12" ht="16.5" customHeight="1" x14ac:dyDescent="0.35">
      <c r="A2698" t="s">
        <v>1524</v>
      </c>
      <c r="B2698" t="s">
        <v>1524</v>
      </c>
      <c r="C2698">
        <v>0</v>
      </c>
      <c r="D2698">
        <v>98</v>
      </c>
      <c r="E2698" t="s">
        <v>8983</v>
      </c>
      <c r="F2698" t="s">
        <v>8983</v>
      </c>
      <c r="G2698" t="s">
        <v>8984</v>
      </c>
      <c r="H2698" t="s">
        <v>3489</v>
      </c>
      <c r="I2698" t="s">
        <v>3490</v>
      </c>
      <c r="J2698" s="56">
        <f t="shared" si="126"/>
        <v>19</v>
      </c>
      <c r="K2698" s="74" t="str">
        <f t="shared" si="127"/>
        <v>4-30 Days</v>
      </c>
      <c r="L2698" s="58" t="str">
        <f t="shared" si="128"/>
        <v>Not Applicable</v>
      </c>
    </row>
    <row r="2699" spans="1:12" ht="16.5" customHeight="1" x14ac:dyDescent="0.35">
      <c r="A2699" t="s">
        <v>1524</v>
      </c>
      <c r="B2699" t="s">
        <v>1524</v>
      </c>
      <c r="C2699">
        <v>925626.2</v>
      </c>
      <c r="D2699">
        <v>0</v>
      </c>
      <c r="E2699" t="s">
        <v>8985</v>
      </c>
      <c r="F2699" t="s">
        <v>8985</v>
      </c>
      <c r="G2699" t="s">
        <v>8986</v>
      </c>
      <c r="H2699" t="s">
        <v>3455</v>
      </c>
      <c r="I2699" t="s">
        <v>3486</v>
      </c>
      <c r="J2699" s="56">
        <f t="shared" si="126"/>
        <v>19</v>
      </c>
      <c r="K2699" s="74" t="str">
        <f t="shared" si="127"/>
        <v>4-30 Days</v>
      </c>
      <c r="L2699" s="58" t="str">
        <f t="shared" si="128"/>
        <v>Normal</v>
      </c>
    </row>
    <row r="2700" spans="1:12" ht="16.5" customHeight="1" x14ac:dyDescent="0.35">
      <c r="A2700" t="s">
        <v>1524</v>
      </c>
      <c r="B2700" t="s">
        <v>1524</v>
      </c>
      <c r="C2700">
        <v>0</v>
      </c>
      <c r="D2700">
        <v>1000</v>
      </c>
      <c r="E2700" t="s">
        <v>8987</v>
      </c>
      <c r="F2700" t="s">
        <v>8987</v>
      </c>
      <c r="G2700" t="s">
        <v>8988</v>
      </c>
      <c r="H2700" t="s">
        <v>3489</v>
      </c>
      <c r="I2700" t="s">
        <v>3490</v>
      </c>
      <c r="J2700" s="56">
        <f t="shared" si="126"/>
        <v>19</v>
      </c>
      <c r="K2700" s="74" t="str">
        <f t="shared" si="127"/>
        <v>4-30 Days</v>
      </c>
      <c r="L2700" s="58" t="str">
        <f t="shared" si="128"/>
        <v>Not Applicable</v>
      </c>
    </row>
    <row r="2701" spans="1:12" ht="16.5" customHeight="1" x14ac:dyDescent="0.35">
      <c r="A2701" t="s">
        <v>1524</v>
      </c>
      <c r="B2701" t="s">
        <v>1524</v>
      </c>
      <c r="C2701">
        <v>0</v>
      </c>
      <c r="D2701">
        <v>1000</v>
      </c>
      <c r="E2701" t="s">
        <v>8989</v>
      </c>
      <c r="F2701" t="s">
        <v>8989</v>
      </c>
      <c r="G2701" t="s">
        <v>8990</v>
      </c>
      <c r="H2701" t="s">
        <v>3489</v>
      </c>
      <c r="I2701" t="s">
        <v>3490</v>
      </c>
      <c r="J2701" s="56">
        <f t="shared" si="126"/>
        <v>19</v>
      </c>
      <c r="K2701" s="74" t="str">
        <f t="shared" si="127"/>
        <v>4-30 Days</v>
      </c>
      <c r="L2701" s="58" t="str">
        <f t="shared" si="128"/>
        <v>Not Applicable</v>
      </c>
    </row>
    <row r="2702" spans="1:12" ht="16.5" customHeight="1" x14ac:dyDescent="0.35">
      <c r="A2702" t="s">
        <v>1524</v>
      </c>
      <c r="B2702" t="s">
        <v>1524</v>
      </c>
      <c r="C2702">
        <v>0</v>
      </c>
      <c r="D2702">
        <v>2050</v>
      </c>
      <c r="E2702" t="s">
        <v>8991</v>
      </c>
      <c r="F2702" t="s">
        <v>8991</v>
      </c>
      <c r="G2702" t="s">
        <v>8992</v>
      </c>
      <c r="H2702" t="s">
        <v>3489</v>
      </c>
      <c r="I2702" t="s">
        <v>3490</v>
      </c>
      <c r="J2702" s="56">
        <f t="shared" si="126"/>
        <v>19</v>
      </c>
      <c r="K2702" s="74" t="str">
        <f t="shared" si="127"/>
        <v>4-30 Days</v>
      </c>
      <c r="L2702" s="58" t="str">
        <f t="shared" si="128"/>
        <v>Not Applicable</v>
      </c>
    </row>
    <row r="2703" spans="1:12" ht="16.5" customHeight="1" x14ac:dyDescent="0.35">
      <c r="A2703" t="s">
        <v>1524</v>
      </c>
      <c r="B2703" t="s">
        <v>1524</v>
      </c>
      <c r="C2703">
        <v>0</v>
      </c>
      <c r="D2703">
        <v>289</v>
      </c>
      <c r="E2703" t="s">
        <v>8993</v>
      </c>
      <c r="F2703" t="s">
        <v>8993</v>
      </c>
      <c r="G2703" t="s">
        <v>8994</v>
      </c>
      <c r="H2703" t="s">
        <v>3489</v>
      </c>
      <c r="I2703" t="s">
        <v>3490</v>
      </c>
      <c r="J2703" s="56">
        <f t="shared" si="126"/>
        <v>19</v>
      </c>
      <c r="K2703" s="74" t="str">
        <f t="shared" si="127"/>
        <v>4-30 Days</v>
      </c>
      <c r="L2703" s="58" t="str">
        <f t="shared" si="128"/>
        <v>Not Applicable</v>
      </c>
    </row>
    <row r="2704" spans="1:12" ht="16.5" customHeight="1" x14ac:dyDescent="0.35">
      <c r="A2704" t="s">
        <v>1524</v>
      </c>
      <c r="B2704" t="s">
        <v>1524</v>
      </c>
      <c r="C2704">
        <v>0</v>
      </c>
      <c r="D2704">
        <v>1000</v>
      </c>
      <c r="E2704" t="s">
        <v>8995</v>
      </c>
      <c r="F2704" t="s">
        <v>8995</v>
      </c>
      <c r="G2704" t="s">
        <v>8996</v>
      </c>
      <c r="H2704" t="s">
        <v>3489</v>
      </c>
      <c r="I2704" t="s">
        <v>3490</v>
      </c>
      <c r="J2704" s="56">
        <f t="shared" si="126"/>
        <v>19</v>
      </c>
      <c r="K2704" s="74" t="str">
        <f t="shared" si="127"/>
        <v>4-30 Days</v>
      </c>
      <c r="L2704" s="58" t="str">
        <f t="shared" si="128"/>
        <v>Not Applicable</v>
      </c>
    </row>
    <row r="2705" spans="1:12" ht="16.5" customHeight="1" x14ac:dyDescent="0.35">
      <c r="A2705" t="s">
        <v>1524</v>
      </c>
      <c r="B2705" t="s">
        <v>1524</v>
      </c>
      <c r="C2705">
        <v>0</v>
      </c>
      <c r="D2705">
        <v>1000</v>
      </c>
      <c r="E2705" t="s">
        <v>8997</v>
      </c>
      <c r="F2705" t="s">
        <v>8997</v>
      </c>
      <c r="G2705" t="s">
        <v>8998</v>
      </c>
      <c r="H2705" t="s">
        <v>3489</v>
      </c>
      <c r="I2705" t="s">
        <v>3490</v>
      </c>
      <c r="J2705" s="56">
        <f t="shared" si="126"/>
        <v>19</v>
      </c>
      <c r="K2705" s="74" t="str">
        <f t="shared" si="127"/>
        <v>4-30 Days</v>
      </c>
      <c r="L2705" s="58" t="str">
        <f t="shared" si="128"/>
        <v>Not Applicable</v>
      </c>
    </row>
    <row r="2706" spans="1:12" ht="16.5" customHeight="1" x14ac:dyDescent="0.35">
      <c r="A2706" t="s">
        <v>1524</v>
      </c>
      <c r="B2706" t="s">
        <v>1524</v>
      </c>
      <c r="C2706">
        <v>0</v>
      </c>
      <c r="D2706">
        <v>250</v>
      </c>
      <c r="E2706" t="s">
        <v>8999</v>
      </c>
      <c r="F2706" t="s">
        <v>8999</v>
      </c>
      <c r="G2706" t="s">
        <v>9000</v>
      </c>
      <c r="H2706" t="s">
        <v>3489</v>
      </c>
      <c r="I2706" t="s">
        <v>3490</v>
      </c>
      <c r="J2706" s="56">
        <f t="shared" si="126"/>
        <v>19</v>
      </c>
      <c r="K2706" s="74" t="str">
        <f t="shared" si="127"/>
        <v>4-30 Days</v>
      </c>
      <c r="L2706" s="58" t="str">
        <f t="shared" si="128"/>
        <v>Not Applicable</v>
      </c>
    </row>
    <row r="2707" spans="1:12" ht="16.5" customHeight="1" x14ac:dyDescent="0.35">
      <c r="A2707" t="s">
        <v>1524</v>
      </c>
      <c r="B2707" t="s">
        <v>1524</v>
      </c>
      <c r="C2707">
        <v>0</v>
      </c>
      <c r="D2707">
        <v>200</v>
      </c>
      <c r="E2707" t="s">
        <v>9001</v>
      </c>
      <c r="F2707" t="s">
        <v>9001</v>
      </c>
      <c r="G2707" t="s">
        <v>9002</v>
      </c>
      <c r="H2707" t="s">
        <v>3489</v>
      </c>
      <c r="I2707" t="s">
        <v>3490</v>
      </c>
      <c r="J2707" s="56">
        <f t="shared" si="126"/>
        <v>19</v>
      </c>
      <c r="K2707" s="74" t="str">
        <f t="shared" si="127"/>
        <v>4-30 Days</v>
      </c>
      <c r="L2707" s="58" t="str">
        <f t="shared" si="128"/>
        <v>Not Applicable</v>
      </c>
    </row>
    <row r="2708" spans="1:12" ht="16.5" customHeight="1" x14ac:dyDescent="0.35">
      <c r="A2708" t="s">
        <v>1524</v>
      </c>
      <c r="B2708" t="s">
        <v>1524</v>
      </c>
      <c r="C2708">
        <v>0</v>
      </c>
      <c r="D2708">
        <v>2050</v>
      </c>
      <c r="E2708" t="s">
        <v>9003</v>
      </c>
      <c r="F2708" t="s">
        <v>9003</v>
      </c>
      <c r="G2708" t="s">
        <v>9004</v>
      </c>
      <c r="H2708" t="s">
        <v>3489</v>
      </c>
      <c r="I2708" t="s">
        <v>3490</v>
      </c>
      <c r="J2708" s="56">
        <f t="shared" si="126"/>
        <v>19</v>
      </c>
      <c r="K2708" s="74" t="str">
        <f t="shared" si="127"/>
        <v>4-30 Days</v>
      </c>
      <c r="L2708" s="58" t="str">
        <f t="shared" si="128"/>
        <v>Not Applicable</v>
      </c>
    </row>
    <row r="2709" spans="1:12" ht="16.5" customHeight="1" x14ac:dyDescent="0.35">
      <c r="A2709" t="s">
        <v>1524</v>
      </c>
      <c r="B2709" t="s">
        <v>1524</v>
      </c>
      <c r="C2709">
        <v>0</v>
      </c>
      <c r="D2709">
        <v>870</v>
      </c>
      <c r="E2709" t="s">
        <v>9005</v>
      </c>
      <c r="F2709" t="s">
        <v>9006</v>
      </c>
      <c r="G2709" t="s">
        <v>9007</v>
      </c>
      <c r="H2709" t="s">
        <v>3532</v>
      </c>
      <c r="I2709" t="s">
        <v>3490</v>
      </c>
      <c r="J2709" s="56">
        <f t="shared" si="126"/>
        <v>19</v>
      </c>
      <c r="K2709" s="74" t="str">
        <f t="shared" si="127"/>
        <v>4-30 Days</v>
      </c>
      <c r="L2709" s="58" t="str">
        <f t="shared" si="128"/>
        <v>Not Applicable</v>
      </c>
    </row>
    <row r="2710" spans="1:12" ht="16.5" customHeight="1" x14ac:dyDescent="0.35">
      <c r="A2710" t="s">
        <v>1524</v>
      </c>
      <c r="B2710" t="s">
        <v>1524</v>
      </c>
      <c r="C2710">
        <v>0</v>
      </c>
      <c r="D2710">
        <v>550</v>
      </c>
      <c r="E2710" t="s">
        <v>9008</v>
      </c>
      <c r="F2710" t="s">
        <v>3499</v>
      </c>
      <c r="G2710" t="s">
        <v>9009</v>
      </c>
      <c r="H2710" t="s">
        <v>3489</v>
      </c>
      <c r="I2710" t="s">
        <v>3490</v>
      </c>
      <c r="J2710" s="56">
        <f t="shared" si="126"/>
        <v>19</v>
      </c>
      <c r="K2710" s="74" t="str">
        <f t="shared" si="127"/>
        <v>4-30 Days</v>
      </c>
      <c r="L2710" s="58" t="str">
        <f t="shared" si="128"/>
        <v>Not Applicable</v>
      </c>
    </row>
    <row r="2711" spans="1:12" ht="16.5" customHeight="1" x14ac:dyDescent="0.35">
      <c r="A2711" t="s">
        <v>1524</v>
      </c>
      <c r="B2711" t="s">
        <v>1524</v>
      </c>
      <c r="C2711">
        <v>0</v>
      </c>
      <c r="D2711">
        <v>244</v>
      </c>
      <c r="E2711" t="s">
        <v>9010</v>
      </c>
      <c r="F2711" t="s">
        <v>9010</v>
      </c>
      <c r="G2711" t="s">
        <v>9011</v>
      </c>
      <c r="H2711" t="s">
        <v>3489</v>
      </c>
      <c r="I2711" t="s">
        <v>3490</v>
      </c>
      <c r="J2711" s="56">
        <f t="shared" si="126"/>
        <v>19</v>
      </c>
      <c r="K2711" s="74" t="str">
        <f t="shared" si="127"/>
        <v>4-30 Days</v>
      </c>
      <c r="L2711" s="58" t="str">
        <f t="shared" si="128"/>
        <v>Not Applicable</v>
      </c>
    </row>
    <row r="2712" spans="1:12" ht="16.5" customHeight="1" x14ac:dyDescent="0.35">
      <c r="A2712" t="s">
        <v>1524</v>
      </c>
      <c r="B2712" t="s">
        <v>1524</v>
      </c>
      <c r="C2712">
        <v>3304740.38</v>
      </c>
      <c r="D2712">
        <v>0</v>
      </c>
      <c r="E2712" t="s">
        <v>9012</v>
      </c>
      <c r="F2712" t="s">
        <v>9012</v>
      </c>
      <c r="G2712" t="s">
        <v>9013</v>
      </c>
      <c r="H2712" t="s">
        <v>3455</v>
      </c>
      <c r="I2712" t="s">
        <v>3486</v>
      </c>
      <c r="J2712" s="56">
        <f t="shared" si="126"/>
        <v>19</v>
      </c>
      <c r="K2712" s="74" t="str">
        <f t="shared" si="127"/>
        <v>4-30 Days</v>
      </c>
      <c r="L2712" s="58" t="str">
        <f t="shared" si="128"/>
        <v>Normal</v>
      </c>
    </row>
    <row r="2713" spans="1:12" ht="16.5" customHeight="1" x14ac:dyDescent="0.35">
      <c r="A2713" t="s">
        <v>1524</v>
      </c>
      <c r="B2713" t="s">
        <v>1524</v>
      </c>
      <c r="C2713">
        <v>0</v>
      </c>
      <c r="D2713">
        <v>88.5</v>
      </c>
      <c r="E2713" t="s">
        <v>9014</v>
      </c>
      <c r="F2713" t="s">
        <v>3574</v>
      </c>
      <c r="G2713" t="s">
        <v>9015</v>
      </c>
      <c r="H2713" t="s">
        <v>3489</v>
      </c>
      <c r="I2713" t="s">
        <v>3490</v>
      </c>
      <c r="J2713" s="56">
        <f t="shared" si="126"/>
        <v>19</v>
      </c>
      <c r="K2713" s="74" t="str">
        <f t="shared" si="127"/>
        <v>4-30 Days</v>
      </c>
      <c r="L2713" s="58" t="str">
        <f t="shared" si="128"/>
        <v>Not Applicable</v>
      </c>
    </row>
    <row r="2714" spans="1:12" ht="16.5" customHeight="1" x14ac:dyDescent="0.35">
      <c r="A2714" t="s">
        <v>1524</v>
      </c>
      <c r="B2714" t="s">
        <v>1524</v>
      </c>
      <c r="C2714">
        <v>0</v>
      </c>
      <c r="D2714">
        <v>140</v>
      </c>
      <c r="E2714" t="s">
        <v>9016</v>
      </c>
      <c r="F2714" t="s">
        <v>9016</v>
      </c>
      <c r="G2714" t="s">
        <v>9017</v>
      </c>
      <c r="H2714" t="s">
        <v>3489</v>
      </c>
      <c r="I2714" t="s">
        <v>3490</v>
      </c>
      <c r="J2714" s="56">
        <f t="shared" si="126"/>
        <v>19</v>
      </c>
      <c r="K2714" s="74" t="str">
        <f t="shared" si="127"/>
        <v>4-30 Days</v>
      </c>
      <c r="L2714" s="58" t="str">
        <f t="shared" si="128"/>
        <v>Not Applicable</v>
      </c>
    </row>
    <row r="2715" spans="1:12" ht="16.5" customHeight="1" x14ac:dyDescent="0.35">
      <c r="A2715" t="s">
        <v>1524</v>
      </c>
      <c r="B2715" t="s">
        <v>1524</v>
      </c>
      <c r="C2715">
        <v>0</v>
      </c>
      <c r="D2715">
        <v>1000</v>
      </c>
      <c r="E2715" t="s">
        <v>9018</v>
      </c>
      <c r="F2715" t="s">
        <v>9018</v>
      </c>
      <c r="G2715" t="s">
        <v>9019</v>
      </c>
      <c r="H2715" t="s">
        <v>3489</v>
      </c>
      <c r="I2715" t="s">
        <v>3490</v>
      </c>
      <c r="J2715" s="56">
        <f t="shared" si="126"/>
        <v>19</v>
      </c>
      <c r="K2715" s="74" t="str">
        <f t="shared" si="127"/>
        <v>4-30 Days</v>
      </c>
      <c r="L2715" s="58" t="str">
        <f t="shared" si="128"/>
        <v>Not Applicable</v>
      </c>
    </row>
    <row r="2716" spans="1:12" ht="16.5" customHeight="1" x14ac:dyDescent="0.35">
      <c r="A2716" t="s">
        <v>1524</v>
      </c>
      <c r="B2716" t="s">
        <v>1524</v>
      </c>
      <c r="C2716">
        <v>0</v>
      </c>
      <c r="D2716">
        <v>250</v>
      </c>
      <c r="E2716" t="s">
        <v>9020</v>
      </c>
      <c r="F2716" t="s">
        <v>9020</v>
      </c>
      <c r="G2716" t="s">
        <v>9021</v>
      </c>
      <c r="H2716" t="s">
        <v>3489</v>
      </c>
      <c r="I2716" t="s">
        <v>3490</v>
      </c>
      <c r="J2716" s="56">
        <f t="shared" si="126"/>
        <v>19</v>
      </c>
      <c r="K2716" s="74" t="str">
        <f t="shared" si="127"/>
        <v>4-30 Days</v>
      </c>
      <c r="L2716" s="58" t="str">
        <f t="shared" si="128"/>
        <v>Not Applicable</v>
      </c>
    </row>
    <row r="2717" spans="1:12" ht="16.5" customHeight="1" x14ac:dyDescent="0.35">
      <c r="A2717" t="s">
        <v>1524</v>
      </c>
      <c r="B2717" t="s">
        <v>1524</v>
      </c>
      <c r="C2717">
        <v>0</v>
      </c>
      <c r="D2717">
        <v>800</v>
      </c>
      <c r="E2717" t="s">
        <v>9022</v>
      </c>
      <c r="F2717" t="s">
        <v>9022</v>
      </c>
      <c r="G2717" t="s">
        <v>9023</v>
      </c>
      <c r="H2717" t="s">
        <v>3489</v>
      </c>
      <c r="I2717" t="s">
        <v>3490</v>
      </c>
      <c r="J2717" s="56">
        <f t="shared" si="126"/>
        <v>19</v>
      </c>
      <c r="K2717" s="74" t="str">
        <f t="shared" si="127"/>
        <v>4-30 Days</v>
      </c>
      <c r="L2717" s="58" t="str">
        <f t="shared" si="128"/>
        <v>Not Applicable</v>
      </c>
    </row>
    <row r="2718" spans="1:12" ht="16.5" customHeight="1" x14ac:dyDescent="0.35">
      <c r="A2718" t="s">
        <v>1524</v>
      </c>
      <c r="B2718" t="s">
        <v>1524</v>
      </c>
      <c r="C2718">
        <v>0</v>
      </c>
      <c r="D2718">
        <v>2050</v>
      </c>
      <c r="E2718" t="s">
        <v>9024</v>
      </c>
      <c r="F2718" t="s">
        <v>9024</v>
      </c>
      <c r="G2718" t="s">
        <v>9025</v>
      </c>
      <c r="H2718" t="s">
        <v>3489</v>
      </c>
      <c r="I2718" t="s">
        <v>3490</v>
      </c>
      <c r="J2718" s="56">
        <f t="shared" si="126"/>
        <v>19</v>
      </c>
      <c r="K2718" s="74" t="str">
        <f t="shared" si="127"/>
        <v>4-30 Days</v>
      </c>
      <c r="L2718" s="58" t="str">
        <f t="shared" si="128"/>
        <v>Not Applicable</v>
      </c>
    </row>
    <row r="2719" spans="1:12" ht="16.5" customHeight="1" x14ac:dyDescent="0.35">
      <c r="A2719" t="s">
        <v>1551</v>
      </c>
      <c r="B2719" t="s">
        <v>1551</v>
      </c>
      <c r="C2719">
        <v>0</v>
      </c>
      <c r="D2719">
        <v>1000</v>
      </c>
      <c r="E2719" t="s">
        <v>9026</v>
      </c>
      <c r="F2719" t="s">
        <v>9026</v>
      </c>
      <c r="G2719" t="s">
        <v>9027</v>
      </c>
      <c r="H2719" t="s">
        <v>3489</v>
      </c>
      <c r="I2719" t="s">
        <v>3490</v>
      </c>
      <c r="J2719" s="56">
        <f t="shared" si="126"/>
        <v>18</v>
      </c>
      <c r="K2719" s="74" t="str">
        <f t="shared" si="127"/>
        <v>4-30 Days</v>
      </c>
      <c r="L2719" s="58" t="str">
        <f t="shared" si="128"/>
        <v>Not Applicable</v>
      </c>
    </row>
    <row r="2720" spans="1:12" ht="16.5" customHeight="1" x14ac:dyDescent="0.35">
      <c r="A2720" t="s">
        <v>1551</v>
      </c>
      <c r="B2720" t="s">
        <v>1551</v>
      </c>
      <c r="C2720">
        <v>0</v>
      </c>
      <c r="D2720">
        <v>265</v>
      </c>
      <c r="E2720" t="s">
        <v>9028</v>
      </c>
      <c r="F2720" t="s">
        <v>6564</v>
      </c>
      <c r="G2720" t="s">
        <v>9029</v>
      </c>
      <c r="H2720" t="s">
        <v>3489</v>
      </c>
      <c r="I2720" t="s">
        <v>3486</v>
      </c>
      <c r="J2720" s="56">
        <f t="shared" si="126"/>
        <v>18</v>
      </c>
      <c r="K2720" s="74" t="str">
        <f t="shared" si="127"/>
        <v>4-30 Days</v>
      </c>
      <c r="L2720" s="58" t="str">
        <f t="shared" si="128"/>
        <v>Not Applicable</v>
      </c>
    </row>
    <row r="2721" spans="1:12" ht="16.5" customHeight="1" x14ac:dyDescent="0.35">
      <c r="A2721" t="s">
        <v>1551</v>
      </c>
      <c r="B2721" t="s">
        <v>1551</v>
      </c>
      <c r="C2721">
        <v>0</v>
      </c>
      <c r="D2721">
        <v>0.01</v>
      </c>
      <c r="E2721" t="s">
        <v>9030</v>
      </c>
      <c r="F2721" t="s">
        <v>9030</v>
      </c>
      <c r="G2721" t="s">
        <v>9031</v>
      </c>
      <c r="H2721" t="s">
        <v>3532</v>
      </c>
      <c r="I2721" t="s">
        <v>3490</v>
      </c>
      <c r="J2721" s="56">
        <f t="shared" si="126"/>
        <v>18</v>
      </c>
      <c r="K2721" s="74" t="str">
        <f t="shared" si="127"/>
        <v>4-30 Days</v>
      </c>
      <c r="L2721" s="58" t="str">
        <f t="shared" si="128"/>
        <v>Not Applicable</v>
      </c>
    </row>
    <row r="2722" spans="1:12" ht="16.5" customHeight="1" x14ac:dyDescent="0.35">
      <c r="A2722" t="s">
        <v>1551</v>
      </c>
      <c r="B2722" t="s">
        <v>1551</v>
      </c>
      <c r="C2722">
        <v>0</v>
      </c>
      <c r="D2722">
        <v>31065</v>
      </c>
      <c r="E2722" t="s">
        <v>9032</v>
      </c>
      <c r="F2722" t="s">
        <v>9032</v>
      </c>
      <c r="G2722" t="s">
        <v>9033</v>
      </c>
      <c r="H2722" t="s">
        <v>3532</v>
      </c>
      <c r="I2722" t="s">
        <v>3490</v>
      </c>
      <c r="J2722" s="56">
        <f t="shared" si="126"/>
        <v>18</v>
      </c>
      <c r="K2722" s="74" t="str">
        <f t="shared" si="127"/>
        <v>4-30 Days</v>
      </c>
      <c r="L2722" s="58" t="str">
        <f t="shared" si="128"/>
        <v>Not Applicable</v>
      </c>
    </row>
    <row r="2723" spans="1:12" ht="16.5" customHeight="1" x14ac:dyDescent="0.35">
      <c r="A2723" t="s">
        <v>1551</v>
      </c>
      <c r="B2723" t="s">
        <v>1551</v>
      </c>
      <c r="C2723">
        <v>1123580.01</v>
      </c>
      <c r="D2723">
        <v>0</v>
      </c>
      <c r="E2723" t="s">
        <v>9034</v>
      </c>
      <c r="F2723" t="s">
        <v>9034</v>
      </c>
      <c r="G2723" t="s">
        <v>9035</v>
      </c>
      <c r="H2723" t="s">
        <v>3455</v>
      </c>
      <c r="I2723" t="s">
        <v>3486</v>
      </c>
      <c r="J2723" s="56">
        <f t="shared" si="126"/>
        <v>18</v>
      </c>
      <c r="K2723" s="74" t="str">
        <f t="shared" si="127"/>
        <v>4-30 Days</v>
      </c>
      <c r="L2723" s="58" t="str">
        <f t="shared" si="128"/>
        <v>Normal</v>
      </c>
    </row>
    <row r="2724" spans="1:12" ht="16.5" customHeight="1" x14ac:dyDescent="0.35">
      <c r="A2724" t="s">
        <v>1551</v>
      </c>
      <c r="B2724" t="s">
        <v>1551</v>
      </c>
      <c r="C2724">
        <v>0</v>
      </c>
      <c r="D2724">
        <v>600</v>
      </c>
      <c r="E2724" t="s">
        <v>9036</v>
      </c>
      <c r="F2724" t="s">
        <v>3499</v>
      </c>
      <c r="G2724" t="s">
        <v>9037</v>
      </c>
      <c r="H2724" t="s">
        <v>3489</v>
      </c>
      <c r="I2724" t="s">
        <v>3490</v>
      </c>
      <c r="J2724" s="56">
        <f t="shared" si="126"/>
        <v>18</v>
      </c>
      <c r="K2724" s="74" t="str">
        <f t="shared" si="127"/>
        <v>4-30 Days</v>
      </c>
      <c r="L2724" s="58" t="str">
        <f t="shared" si="128"/>
        <v>Not Applicable</v>
      </c>
    </row>
    <row r="2725" spans="1:12" ht="16.5" customHeight="1" x14ac:dyDescent="0.35">
      <c r="A2725" t="s">
        <v>1551</v>
      </c>
      <c r="B2725" t="s">
        <v>1551</v>
      </c>
      <c r="C2725">
        <v>0</v>
      </c>
      <c r="D2725">
        <v>764</v>
      </c>
      <c r="E2725" t="s">
        <v>9038</v>
      </c>
      <c r="F2725" t="s">
        <v>9039</v>
      </c>
      <c r="G2725" t="s">
        <v>9040</v>
      </c>
      <c r="H2725" t="s">
        <v>3532</v>
      </c>
      <c r="I2725" t="s">
        <v>3490</v>
      </c>
      <c r="J2725" s="56">
        <f t="shared" si="126"/>
        <v>18</v>
      </c>
      <c r="K2725" s="74" t="str">
        <f t="shared" si="127"/>
        <v>4-30 Days</v>
      </c>
      <c r="L2725" s="58" t="str">
        <f t="shared" si="128"/>
        <v>Not Applicable</v>
      </c>
    </row>
    <row r="2726" spans="1:12" ht="16.5" customHeight="1" x14ac:dyDescent="0.35">
      <c r="A2726" t="s">
        <v>1551</v>
      </c>
      <c r="B2726" t="s">
        <v>1551</v>
      </c>
      <c r="C2726">
        <v>0</v>
      </c>
      <c r="D2726">
        <v>2050</v>
      </c>
      <c r="E2726" t="s">
        <v>9041</v>
      </c>
      <c r="F2726" t="s">
        <v>9041</v>
      </c>
      <c r="G2726" t="s">
        <v>9042</v>
      </c>
      <c r="H2726" t="s">
        <v>3489</v>
      </c>
      <c r="I2726" t="s">
        <v>3490</v>
      </c>
      <c r="J2726" s="56">
        <f t="shared" si="126"/>
        <v>18</v>
      </c>
      <c r="K2726" s="74" t="str">
        <f t="shared" si="127"/>
        <v>4-30 Days</v>
      </c>
      <c r="L2726" s="58" t="str">
        <f t="shared" si="128"/>
        <v>Not Applicable</v>
      </c>
    </row>
    <row r="2727" spans="1:12" ht="16.5" customHeight="1" x14ac:dyDescent="0.35">
      <c r="A2727" t="s">
        <v>1551</v>
      </c>
      <c r="B2727" t="s">
        <v>1551</v>
      </c>
      <c r="C2727">
        <v>0</v>
      </c>
      <c r="D2727">
        <v>600</v>
      </c>
      <c r="E2727" t="s">
        <v>9043</v>
      </c>
      <c r="F2727" t="s">
        <v>9043</v>
      </c>
      <c r="G2727" t="s">
        <v>9044</v>
      </c>
      <c r="H2727" t="s">
        <v>3489</v>
      </c>
      <c r="I2727" t="s">
        <v>3490</v>
      </c>
      <c r="J2727" s="56">
        <f t="shared" si="126"/>
        <v>18</v>
      </c>
      <c r="K2727" s="74" t="str">
        <f t="shared" si="127"/>
        <v>4-30 Days</v>
      </c>
      <c r="L2727" s="58" t="str">
        <f t="shared" si="128"/>
        <v>Not Applicable</v>
      </c>
    </row>
    <row r="2728" spans="1:12" ht="16.5" customHeight="1" x14ac:dyDescent="0.35">
      <c r="A2728" t="s">
        <v>1551</v>
      </c>
      <c r="B2728" t="s">
        <v>1551</v>
      </c>
      <c r="C2728">
        <v>0</v>
      </c>
      <c r="D2728">
        <v>500</v>
      </c>
      <c r="E2728" t="s">
        <v>9045</v>
      </c>
      <c r="F2728" t="s">
        <v>9046</v>
      </c>
      <c r="G2728" t="s">
        <v>9047</v>
      </c>
      <c r="H2728" t="s">
        <v>3489</v>
      </c>
      <c r="I2728" t="s">
        <v>3507</v>
      </c>
      <c r="J2728" s="56">
        <f t="shared" si="126"/>
        <v>18</v>
      </c>
      <c r="K2728" s="74" t="str">
        <f t="shared" si="127"/>
        <v>4-30 Days</v>
      </c>
      <c r="L2728" s="58" t="str">
        <f t="shared" si="128"/>
        <v>Not Applicable</v>
      </c>
    </row>
    <row r="2729" spans="1:12" ht="16.5" customHeight="1" x14ac:dyDescent="0.35">
      <c r="A2729" t="s">
        <v>1551</v>
      </c>
      <c r="B2729" t="s">
        <v>1551</v>
      </c>
      <c r="C2729">
        <v>0</v>
      </c>
      <c r="D2729">
        <v>600</v>
      </c>
      <c r="E2729" t="s">
        <v>9048</v>
      </c>
      <c r="F2729" t="s">
        <v>9048</v>
      </c>
      <c r="G2729" t="s">
        <v>9049</v>
      </c>
      <c r="H2729" t="s">
        <v>3489</v>
      </c>
      <c r="I2729" t="s">
        <v>3490</v>
      </c>
      <c r="J2729" s="56">
        <f t="shared" si="126"/>
        <v>18</v>
      </c>
      <c r="K2729" s="74" t="str">
        <f t="shared" si="127"/>
        <v>4-30 Days</v>
      </c>
      <c r="L2729" s="58" t="str">
        <f t="shared" si="128"/>
        <v>Not Applicable</v>
      </c>
    </row>
    <row r="2730" spans="1:12" ht="16.5" customHeight="1" x14ac:dyDescent="0.35">
      <c r="A2730" t="s">
        <v>1551</v>
      </c>
      <c r="B2730" t="s">
        <v>1551</v>
      </c>
      <c r="C2730">
        <v>0</v>
      </c>
      <c r="D2730">
        <v>50</v>
      </c>
      <c r="E2730" t="s">
        <v>9050</v>
      </c>
      <c r="F2730" t="s">
        <v>9051</v>
      </c>
      <c r="G2730" t="s">
        <v>9052</v>
      </c>
      <c r="H2730" t="s">
        <v>3532</v>
      </c>
      <c r="I2730" t="s">
        <v>3490</v>
      </c>
      <c r="J2730" s="56">
        <f t="shared" si="126"/>
        <v>18</v>
      </c>
      <c r="K2730" s="74" t="str">
        <f t="shared" si="127"/>
        <v>4-30 Days</v>
      </c>
      <c r="L2730" s="58" t="str">
        <f t="shared" si="128"/>
        <v>Not Applicable</v>
      </c>
    </row>
    <row r="2731" spans="1:12" ht="16.5" customHeight="1" x14ac:dyDescent="0.35">
      <c r="A2731" t="s">
        <v>1551</v>
      </c>
      <c r="B2731" t="s">
        <v>1551</v>
      </c>
      <c r="C2731">
        <v>0</v>
      </c>
      <c r="D2731">
        <v>1000</v>
      </c>
      <c r="E2731" t="s">
        <v>9053</v>
      </c>
      <c r="F2731" t="s">
        <v>9054</v>
      </c>
      <c r="G2731" t="s">
        <v>9055</v>
      </c>
      <c r="H2731" t="s">
        <v>3489</v>
      </c>
      <c r="I2731" t="s">
        <v>3490</v>
      </c>
      <c r="J2731" s="56">
        <f t="shared" si="126"/>
        <v>18</v>
      </c>
      <c r="K2731" s="74" t="str">
        <f t="shared" si="127"/>
        <v>4-30 Days</v>
      </c>
      <c r="L2731" s="58" t="str">
        <f t="shared" si="128"/>
        <v>Not Applicable</v>
      </c>
    </row>
    <row r="2732" spans="1:12" ht="16.5" customHeight="1" x14ac:dyDescent="0.35">
      <c r="A2732" t="s">
        <v>1551</v>
      </c>
      <c r="B2732" t="s">
        <v>1551</v>
      </c>
      <c r="C2732">
        <v>0</v>
      </c>
      <c r="D2732">
        <v>250</v>
      </c>
      <c r="E2732" t="s">
        <v>9056</v>
      </c>
      <c r="F2732" t="s">
        <v>9056</v>
      </c>
      <c r="G2732" t="s">
        <v>9057</v>
      </c>
      <c r="H2732" t="s">
        <v>3489</v>
      </c>
      <c r="I2732" t="s">
        <v>3490</v>
      </c>
      <c r="J2732" s="56">
        <f t="shared" si="126"/>
        <v>18</v>
      </c>
      <c r="K2732" s="74" t="str">
        <f t="shared" si="127"/>
        <v>4-30 Days</v>
      </c>
      <c r="L2732" s="58" t="str">
        <f t="shared" si="128"/>
        <v>Not Applicable</v>
      </c>
    </row>
    <row r="2733" spans="1:12" ht="16.5" customHeight="1" x14ac:dyDescent="0.35">
      <c r="A2733" t="s">
        <v>1551</v>
      </c>
      <c r="B2733" t="s">
        <v>1551</v>
      </c>
      <c r="C2733">
        <v>0</v>
      </c>
      <c r="D2733">
        <v>2050</v>
      </c>
      <c r="E2733" t="s">
        <v>9058</v>
      </c>
      <c r="F2733" t="s">
        <v>9058</v>
      </c>
      <c r="G2733" t="s">
        <v>9059</v>
      </c>
      <c r="H2733" t="s">
        <v>3489</v>
      </c>
      <c r="I2733" t="s">
        <v>3490</v>
      </c>
      <c r="J2733" s="56">
        <f t="shared" si="126"/>
        <v>18</v>
      </c>
      <c r="K2733" s="74" t="str">
        <f t="shared" si="127"/>
        <v>4-30 Days</v>
      </c>
      <c r="L2733" s="58" t="str">
        <f t="shared" si="128"/>
        <v>Not Applicable</v>
      </c>
    </row>
    <row r="2734" spans="1:12" ht="16.5" customHeight="1" x14ac:dyDescent="0.35">
      <c r="A2734" t="s">
        <v>1551</v>
      </c>
      <c r="B2734" t="s">
        <v>1551</v>
      </c>
      <c r="C2734">
        <v>0</v>
      </c>
      <c r="D2734">
        <v>1000</v>
      </c>
      <c r="E2734" t="s">
        <v>9060</v>
      </c>
      <c r="F2734" t="s">
        <v>9061</v>
      </c>
      <c r="G2734" t="s">
        <v>9062</v>
      </c>
      <c r="H2734" t="s">
        <v>3489</v>
      </c>
      <c r="I2734" t="s">
        <v>3490</v>
      </c>
      <c r="J2734" s="56">
        <f t="shared" si="126"/>
        <v>18</v>
      </c>
      <c r="K2734" s="74" t="str">
        <f t="shared" si="127"/>
        <v>4-30 Days</v>
      </c>
      <c r="L2734" s="58" t="str">
        <f t="shared" si="128"/>
        <v>Not Applicable</v>
      </c>
    </row>
    <row r="2735" spans="1:12" ht="16.5" customHeight="1" x14ac:dyDescent="0.35">
      <c r="A2735" t="s">
        <v>1551</v>
      </c>
      <c r="B2735" t="s">
        <v>1551</v>
      </c>
      <c r="C2735">
        <v>0</v>
      </c>
      <c r="D2735">
        <v>1000</v>
      </c>
      <c r="E2735" t="s">
        <v>9063</v>
      </c>
      <c r="F2735" t="s">
        <v>9063</v>
      </c>
      <c r="G2735" t="s">
        <v>9064</v>
      </c>
      <c r="H2735" t="s">
        <v>3489</v>
      </c>
      <c r="I2735" t="s">
        <v>3490</v>
      </c>
      <c r="J2735" s="56">
        <f t="shared" si="126"/>
        <v>18</v>
      </c>
      <c r="K2735" s="74" t="str">
        <f t="shared" si="127"/>
        <v>4-30 Days</v>
      </c>
      <c r="L2735" s="58" t="str">
        <f t="shared" si="128"/>
        <v>Not Applicable</v>
      </c>
    </row>
    <row r="2736" spans="1:12" ht="16.5" customHeight="1" x14ac:dyDescent="0.35">
      <c r="A2736" t="s">
        <v>1551</v>
      </c>
      <c r="B2736" t="s">
        <v>1551</v>
      </c>
      <c r="C2736">
        <v>572792.19999999995</v>
      </c>
      <c r="D2736">
        <v>0</v>
      </c>
      <c r="E2736" t="s">
        <v>9065</v>
      </c>
      <c r="F2736" t="s">
        <v>9065</v>
      </c>
      <c r="G2736" t="s">
        <v>9066</v>
      </c>
      <c r="H2736" t="s">
        <v>3455</v>
      </c>
      <c r="I2736" t="s">
        <v>3486</v>
      </c>
      <c r="J2736" s="56">
        <f t="shared" si="126"/>
        <v>18</v>
      </c>
      <c r="K2736" s="74" t="str">
        <f t="shared" si="127"/>
        <v>4-30 Days</v>
      </c>
      <c r="L2736" s="58" t="str">
        <f t="shared" si="128"/>
        <v>Normal</v>
      </c>
    </row>
    <row r="2737" spans="1:12" ht="16.5" customHeight="1" x14ac:dyDescent="0.35">
      <c r="A2737" t="s">
        <v>1551</v>
      </c>
      <c r="B2737" t="s">
        <v>1551</v>
      </c>
      <c r="C2737">
        <v>0</v>
      </c>
      <c r="D2737">
        <v>13500</v>
      </c>
      <c r="E2737" t="s">
        <v>9067</v>
      </c>
      <c r="F2737" t="s">
        <v>3499</v>
      </c>
      <c r="G2737" t="s">
        <v>9068</v>
      </c>
      <c r="H2737" t="s">
        <v>3489</v>
      </c>
      <c r="I2737" t="s">
        <v>3490</v>
      </c>
      <c r="J2737" s="56">
        <f t="shared" si="126"/>
        <v>18</v>
      </c>
      <c r="K2737" s="74" t="str">
        <f t="shared" si="127"/>
        <v>4-30 Days</v>
      </c>
      <c r="L2737" s="58" t="str">
        <f t="shared" si="128"/>
        <v>Not Applicable</v>
      </c>
    </row>
    <row r="2738" spans="1:12" ht="16.5" customHeight="1" x14ac:dyDescent="0.35">
      <c r="A2738" t="s">
        <v>1551</v>
      </c>
      <c r="B2738" t="s">
        <v>1551</v>
      </c>
      <c r="C2738">
        <v>0</v>
      </c>
      <c r="D2738">
        <v>999.99</v>
      </c>
      <c r="E2738" t="s">
        <v>9069</v>
      </c>
      <c r="F2738" t="s">
        <v>9069</v>
      </c>
      <c r="G2738" t="s">
        <v>9070</v>
      </c>
      <c r="H2738" t="s">
        <v>3532</v>
      </c>
      <c r="I2738" t="s">
        <v>3490</v>
      </c>
      <c r="J2738" s="56">
        <f t="shared" si="126"/>
        <v>18</v>
      </c>
      <c r="K2738" s="74" t="str">
        <f t="shared" si="127"/>
        <v>4-30 Days</v>
      </c>
      <c r="L2738" s="58" t="str">
        <f t="shared" si="128"/>
        <v>Not Applicable</v>
      </c>
    </row>
    <row r="2739" spans="1:12" ht="16.5" customHeight="1" x14ac:dyDescent="0.35">
      <c r="A2739" t="s">
        <v>1551</v>
      </c>
      <c r="B2739" t="s">
        <v>1551</v>
      </c>
      <c r="C2739">
        <v>577520.03</v>
      </c>
      <c r="D2739">
        <v>0</v>
      </c>
      <c r="E2739" t="s">
        <v>9071</v>
      </c>
      <c r="F2739" t="s">
        <v>9071</v>
      </c>
      <c r="G2739" t="s">
        <v>9072</v>
      </c>
      <c r="H2739" t="s">
        <v>3455</v>
      </c>
      <c r="I2739" t="s">
        <v>3486</v>
      </c>
      <c r="J2739" s="56">
        <f t="shared" si="126"/>
        <v>18</v>
      </c>
      <c r="K2739" s="74" t="str">
        <f t="shared" si="127"/>
        <v>4-30 Days</v>
      </c>
      <c r="L2739" s="58" t="str">
        <f t="shared" si="128"/>
        <v>Normal</v>
      </c>
    </row>
    <row r="2740" spans="1:12" ht="16.5" customHeight="1" x14ac:dyDescent="0.35">
      <c r="A2740" t="s">
        <v>1551</v>
      </c>
      <c r="B2740" t="s">
        <v>1551</v>
      </c>
      <c r="C2740">
        <v>0</v>
      </c>
      <c r="D2740">
        <v>764</v>
      </c>
      <c r="E2740" t="s">
        <v>9073</v>
      </c>
      <c r="F2740" t="s">
        <v>9074</v>
      </c>
      <c r="G2740" t="s">
        <v>9075</v>
      </c>
      <c r="H2740" t="s">
        <v>3532</v>
      </c>
      <c r="I2740" t="s">
        <v>3490</v>
      </c>
      <c r="J2740" s="56">
        <f t="shared" si="126"/>
        <v>18</v>
      </c>
      <c r="K2740" s="74" t="str">
        <f t="shared" si="127"/>
        <v>4-30 Days</v>
      </c>
      <c r="L2740" s="58" t="str">
        <f t="shared" si="128"/>
        <v>Not Applicable</v>
      </c>
    </row>
    <row r="2741" spans="1:12" ht="16.5" customHeight="1" x14ac:dyDescent="0.35">
      <c r="A2741" t="s">
        <v>1551</v>
      </c>
      <c r="B2741" t="s">
        <v>1551</v>
      </c>
      <c r="C2741">
        <v>0</v>
      </c>
      <c r="D2741">
        <v>764</v>
      </c>
      <c r="E2741" t="s">
        <v>9076</v>
      </c>
      <c r="F2741" t="s">
        <v>9077</v>
      </c>
      <c r="G2741" t="s">
        <v>9078</v>
      </c>
      <c r="H2741" t="s">
        <v>3532</v>
      </c>
      <c r="I2741" t="s">
        <v>3490</v>
      </c>
      <c r="J2741" s="56">
        <f t="shared" si="126"/>
        <v>18</v>
      </c>
      <c r="K2741" s="74" t="str">
        <f t="shared" si="127"/>
        <v>4-30 Days</v>
      </c>
      <c r="L2741" s="58" t="str">
        <f t="shared" si="128"/>
        <v>Not Applicable</v>
      </c>
    </row>
    <row r="2742" spans="1:12" ht="16.5" customHeight="1" x14ac:dyDescent="0.35">
      <c r="A2742" t="s">
        <v>1551</v>
      </c>
      <c r="B2742" t="s">
        <v>1551</v>
      </c>
      <c r="C2742">
        <v>0</v>
      </c>
      <c r="D2742">
        <v>764</v>
      </c>
      <c r="E2742" t="s">
        <v>9079</v>
      </c>
      <c r="F2742" t="s">
        <v>9080</v>
      </c>
      <c r="G2742" t="s">
        <v>9081</v>
      </c>
      <c r="H2742" t="s">
        <v>3532</v>
      </c>
      <c r="I2742" t="s">
        <v>3490</v>
      </c>
      <c r="J2742" s="56">
        <f t="shared" si="126"/>
        <v>18</v>
      </c>
      <c r="K2742" s="74" t="str">
        <f t="shared" si="127"/>
        <v>4-30 Days</v>
      </c>
      <c r="L2742" s="58" t="str">
        <f t="shared" si="128"/>
        <v>Not Applicable</v>
      </c>
    </row>
    <row r="2743" spans="1:12" ht="16.5" customHeight="1" x14ac:dyDescent="0.35">
      <c r="A2743" t="s">
        <v>1551</v>
      </c>
      <c r="B2743" t="s">
        <v>1551</v>
      </c>
      <c r="C2743">
        <v>0</v>
      </c>
      <c r="D2743">
        <v>25</v>
      </c>
      <c r="E2743" t="s">
        <v>9082</v>
      </c>
      <c r="F2743" t="s">
        <v>9082</v>
      </c>
      <c r="G2743" t="s">
        <v>9083</v>
      </c>
      <c r="H2743" t="s">
        <v>3532</v>
      </c>
      <c r="I2743" t="s">
        <v>3490</v>
      </c>
      <c r="J2743" s="56">
        <f t="shared" si="126"/>
        <v>18</v>
      </c>
      <c r="K2743" s="74" t="str">
        <f t="shared" si="127"/>
        <v>4-30 Days</v>
      </c>
      <c r="L2743" s="58" t="str">
        <f t="shared" si="128"/>
        <v>Not Applicable</v>
      </c>
    </row>
    <row r="2744" spans="1:12" ht="16.5" customHeight="1" x14ac:dyDescent="0.35">
      <c r="A2744" t="s">
        <v>1551</v>
      </c>
      <c r="B2744" t="s">
        <v>1551</v>
      </c>
      <c r="C2744">
        <v>0</v>
      </c>
      <c r="D2744">
        <v>150</v>
      </c>
      <c r="E2744" t="s">
        <v>9084</v>
      </c>
      <c r="F2744" t="s">
        <v>9084</v>
      </c>
      <c r="G2744" t="s">
        <v>9085</v>
      </c>
      <c r="H2744" t="s">
        <v>3489</v>
      </c>
      <c r="I2744" t="s">
        <v>3490</v>
      </c>
      <c r="J2744" s="56">
        <f t="shared" si="126"/>
        <v>18</v>
      </c>
      <c r="K2744" s="74" t="str">
        <f t="shared" si="127"/>
        <v>4-30 Days</v>
      </c>
      <c r="L2744" s="58" t="str">
        <f t="shared" si="128"/>
        <v>Not Applicable</v>
      </c>
    </row>
    <row r="2745" spans="1:12" ht="16.5" customHeight="1" x14ac:dyDescent="0.35">
      <c r="A2745" t="s">
        <v>1551</v>
      </c>
      <c r="B2745" t="s">
        <v>1551</v>
      </c>
      <c r="C2745">
        <v>0</v>
      </c>
      <c r="D2745">
        <v>19570</v>
      </c>
      <c r="E2745" t="s">
        <v>9086</v>
      </c>
      <c r="F2745" t="s">
        <v>9086</v>
      </c>
      <c r="G2745" t="s">
        <v>9087</v>
      </c>
      <c r="H2745" t="s">
        <v>3532</v>
      </c>
      <c r="I2745" t="s">
        <v>3490</v>
      </c>
      <c r="J2745" s="56">
        <f t="shared" si="126"/>
        <v>18</v>
      </c>
      <c r="K2745" s="74" t="str">
        <f t="shared" si="127"/>
        <v>4-30 Days</v>
      </c>
      <c r="L2745" s="58" t="str">
        <f t="shared" si="128"/>
        <v>Not Applicable</v>
      </c>
    </row>
    <row r="2746" spans="1:12" ht="16.5" customHeight="1" x14ac:dyDescent="0.35">
      <c r="A2746" t="s">
        <v>1551</v>
      </c>
      <c r="B2746" t="s">
        <v>1551</v>
      </c>
      <c r="C2746">
        <v>0</v>
      </c>
      <c r="D2746">
        <v>7967.82</v>
      </c>
      <c r="E2746" t="s">
        <v>9088</v>
      </c>
      <c r="F2746" t="s">
        <v>57</v>
      </c>
      <c r="G2746" t="s">
        <v>57</v>
      </c>
      <c r="H2746" t="s">
        <v>3914</v>
      </c>
      <c r="I2746" t="s">
        <v>3643</v>
      </c>
      <c r="J2746" s="56">
        <f t="shared" si="126"/>
        <v>18</v>
      </c>
      <c r="K2746" s="74" t="str">
        <f t="shared" si="127"/>
        <v>4-30 Days</v>
      </c>
      <c r="L2746" s="58" t="str">
        <f t="shared" si="128"/>
        <v>Not Applicable</v>
      </c>
    </row>
    <row r="2747" spans="1:12" ht="16.5" customHeight="1" x14ac:dyDescent="0.35">
      <c r="A2747" t="s">
        <v>1551</v>
      </c>
      <c r="B2747" t="s">
        <v>1551</v>
      </c>
      <c r="C2747">
        <v>0</v>
      </c>
      <c r="D2747">
        <v>2650</v>
      </c>
      <c r="E2747" t="s">
        <v>9089</v>
      </c>
      <c r="F2747" t="s">
        <v>9089</v>
      </c>
      <c r="G2747" t="s">
        <v>9090</v>
      </c>
      <c r="H2747" t="s">
        <v>3489</v>
      </c>
      <c r="I2747" t="s">
        <v>3490</v>
      </c>
      <c r="J2747" s="56">
        <f t="shared" si="126"/>
        <v>18</v>
      </c>
      <c r="K2747" s="74" t="str">
        <f t="shared" si="127"/>
        <v>4-30 Days</v>
      </c>
      <c r="L2747" s="58" t="str">
        <f t="shared" si="128"/>
        <v>Not Applicable</v>
      </c>
    </row>
    <row r="2748" spans="1:12" ht="16.5" customHeight="1" x14ac:dyDescent="0.35">
      <c r="A2748" t="s">
        <v>1551</v>
      </c>
      <c r="B2748" t="s">
        <v>1551</v>
      </c>
      <c r="C2748">
        <v>0</v>
      </c>
      <c r="D2748">
        <v>250</v>
      </c>
      <c r="E2748" t="s">
        <v>9091</v>
      </c>
      <c r="F2748" t="s">
        <v>9091</v>
      </c>
      <c r="G2748" t="s">
        <v>9092</v>
      </c>
      <c r="H2748" t="s">
        <v>3489</v>
      </c>
      <c r="I2748" t="s">
        <v>3490</v>
      </c>
      <c r="J2748" s="56">
        <f t="shared" si="126"/>
        <v>18</v>
      </c>
      <c r="K2748" s="74" t="str">
        <f t="shared" si="127"/>
        <v>4-30 Days</v>
      </c>
      <c r="L2748" s="58" t="str">
        <f t="shared" si="128"/>
        <v>Not Applicable</v>
      </c>
    </row>
    <row r="2749" spans="1:12" ht="16.5" customHeight="1" x14ac:dyDescent="0.35">
      <c r="A2749" t="s">
        <v>1551</v>
      </c>
      <c r="B2749" t="s">
        <v>1551</v>
      </c>
      <c r="C2749">
        <v>0</v>
      </c>
      <c r="D2749">
        <v>3050</v>
      </c>
      <c r="E2749" t="s">
        <v>9093</v>
      </c>
      <c r="F2749" t="s">
        <v>9093</v>
      </c>
      <c r="G2749" t="s">
        <v>9094</v>
      </c>
      <c r="H2749" t="s">
        <v>3489</v>
      </c>
      <c r="I2749" t="s">
        <v>3490</v>
      </c>
      <c r="J2749" s="56">
        <f t="shared" si="126"/>
        <v>18</v>
      </c>
      <c r="K2749" s="74" t="str">
        <f t="shared" si="127"/>
        <v>4-30 Days</v>
      </c>
      <c r="L2749" s="58" t="str">
        <f t="shared" si="128"/>
        <v>Not Applicable</v>
      </c>
    </row>
    <row r="2750" spans="1:12" ht="16.5" customHeight="1" x14ac:dyDescent="0.35">
      <c r="A2750" t="s">
        <v>1551</v>
      </c>
      <c r="B2750" t="s">
        <v>1551</v>
      </c>
      <c r="C2750">
        <v>0</v>
      </c>
      <c r="D2750">
        <v>100</v>
      </c>
      <c r="E2750" t="s">
        <v>9095</v>
      </c>
      <c r="F2750" t="s">
        <v>9095</v>
      </c>
      <c r="G2750" t="s">
        <v>9096</v>
      </c>
      <c r="H2750" t="s">
        <v>3489</v>
      </c>
      <c r="I2750" t="s">
        <v>3490</v>
      </c>
      <c r="J2750" s="56">
        <f t="shared" si="126"/>
        <v>18</v>
      </c>
      <c r="K2750" s="74" t="str">
        <f t="shared" si="127"/>
        <v>4-30 Days</v>
      </c>
      <c r="L2750" s="58" t="str">
        <f t="shared" si="128"/>
        <v>Not Applicable</v>
      </c>
    </row>
    <row r="2751" spans="1:12" ht="16.5" customHeight="1" x14ac:dyDescent="0.35">
      <c r="A2751" t="s">
        <v>1551</v>
      </c>
      <c r="B2751" t="s">
        <v>1551</v>
      </c>
      <c r="C2751">
        <v>0</v>
      </c>
      <c r="D2751">
        <v>250</v>
      </c>
      <c r="E2751" t="s">
        <v>9097</v>
      </c>
      <c r="F2751" t="s">
        <v>9097</v>
      </c>
      <c r="G2751" t="s">
        <v>9098</v>
      </c>
      <c r="H2751" t="s">
        <v>3489</v>
      </c>
      <c r="I2751" t="s">
        <v>3490</v>
      </c>
      <c r="J2751" s="56">
        <f t="shared" si="126"/>
        <v>18</v>
      </c>
      <c r="K2751" s="74" t="str">
        <f t="shared" si="127"/>
        <v>4-30 Days</v>
      </c>
      <c r="L2751" s="58" t="str">
        <f t="shared" si="128"/>
        <v>Not Applicable</v>
      </c>
    </row>
    <row r="2752" spans="1:12" ht="16.5" customHeight="1" x14ac:dyDescent="0.35">
      <c r="A2752" t="s">
        <v>1551</v>
      </c>
      <c r="B2752" t="s">
        <v>1551</v>
      </c>
      <c r="C2752">
        <v>0</v>
      </c>
      <c r="D2752">
        <v>250</v>
      </c>
      <c r="E2752" t="s">
        <v>9099</v>
      </c>
      <c r="F2752" t="s">
        <v>9099</v>
      </c>
      <c r="G2752" t="s">
        <v>9100</v>
      </c>
      <c r="H2752" t="s">
        <v>3489</v>
      </c>
      <c r="I2752" t="s">
        <v>3490</v>
      </c>
      <c r="J2752" s="56">
        <f t="shared" si="126"/>
        <v>18</v>
      </c>
      <c r="K2752" s="74" t="str">
        <f t="shared" si="127"/>
        <v>4-30 Days</v>
      </c>
      <c r="L2752" s="58" t="str">
        <f t="shared" si="128"/>
        <v>Not Applicable</v>
      </c>
    </row>
    <row r="2753" spans="1:12" ht="16.5" customHeight="1" x14ac:dyDescent="0.35">
      <c r="A2753" t="s">
        <v>1551</v>
      </c>
      <c r="B2753" t="s">
        <v>1551</v>
      </c>
      <c r="C2753">
        <v>1123580.01</v>
      </c>
      <c r="D2753">
        <v>0</v>
      </c>
      <c r="E2753" t="s">
        <v>9101</v>
      </c>
      <c r="F2753" t="s">
        <v>9101</v>
      </c>
      <c r="G2753" t="s">
        <v>9102</v>
      </c>
      <c r="H2753" t="s">
        <v>3455</v>
      </c>
      <c r="I2753" t="s">
        <v>3486</v>
      </c>
      <c r="J2753" s="56">
        <f t="shared" si="126"/>
        <v>18</v>
      </c>
      <c r="K2753" s="74" t="str">
        <f t="shared" si="127"/>
        <v>4-30 Days</v>
      </c>
      <c r="L2753" s="58" t="str">
        <f t="shared" si="128"/>
        <v>Normal</v>
      </c>
    </row>
    <row r="2754" spans="1:12" ht="16.5" customHeight="1" x14ac:dyDescent="0.35">
      <c r="A2754" t="s">
        <v>1551</v>
      </c>
      <c r="B2754" t="s">
        <v>1551</v>
      </c>
      <c r="C2754">
        <v>0</v>
      </c>
      <c r="D2754">
        <v>3406.54</v>
      </c>
      <c r="E2754" t="s">
        <v>9103</v>
      </c>
      <c r="F2754" t="s">
        <v>9103</v>
      </c>
      <c r="G2754" t="s">
        <v>9104</v>
      </c>
      <c r="H2754" t="s">
        <v>3489</v>
      </c>
      <c r="I2754" t="s">
        <v>3490</v>
      </c>
      <c r="J2754" s="56">
        <f t="shared" si="126"/>
        <v>18</v>
      </c>
      <c r="K2754" s="74" t="str">
        <f t="shared" si="127"/>
        <v>4-30 Days</v>
      </c>
      <c r="L2754" s="58" t="str">
        <f t="shared" si="128"/>
        <v>Not Applicable</v>
      </c>
    </row>
    <row r="2755" spans="1:12" ht="16.5" customHeight="1" x14ac:dyDescent="0.35">
      <c r="A2755" t="s">
        <v>1551</v>
      </c>
      <c r="B2755" t="s">
        <v>1551</v>
      </c>
      <c r="C2755">
        <v>0</v>
      </c>
      <c r="D2755">
        <v>600</v>
      </c>
      <c r="E2755" t="s">
        <v>9105</v>
      </c>
      <c r="F2755" t="s">
        <v>9105</v>
      </c>
      <c r="G2755" t="s">
        <v>9106</v>
      </c>
      <c r="H2755" t="s">
        <v>3489</v>
      </c>
      <c r="I2755" t="s">
        <v>3490</v>
      </c>
      <c r="J2755" s="56">
        <f t="shared" si="126"/>
        <v>18</v>
      </c>
      <c r="K2755" s="74" t="str">
        <f t="shared" si="127"/>
        <v>4-30 Days</v>
      </c>
      <c r="L2755" s="58" t="str">
        <f t="shared" si="128"/>
        <v>Not Applicable</v>
      </c>
    </row>
    <row r="2756" spans="1:12" ht="16.5" customHeight="1" x14ac:dyDescent="0.35">
      <c r="A2756" t="s">
        <v>1551</v>
      </c>
      <c r="B2756" t="s">
        <v>1551</v>
      </c>
      <c r="C2756">
        <v>0</v>
      </c>
      <c r="D2756">
        <v>7332.12</v>
      </c>
      <c r="E2756" t="s">
        <v>9107</v>
      </c>
      <c r="F2756" t="s">
        <v>9107</v>
      </c>
      <c r="G2756" t="s">
        <v>9108</v>
      </c>
      <c r="H2756" t="s">
        <v>3489</v>
      </c>
      <c r="I2756" t="s">
        <v>3490</v>
      </c>
      <c r="J2756" s="56">
        <f t="shared" si="126"/>
        <v>18</v>
      </c>
      <c r="K2756" s="74" t="str">
        <f t="shared" si="127"/>
        <v>4-30 Days</v>
      </c>
      <c r="L2756" s="58" t="str">
        <f t="shared" si="128"/>
        <v>Not Applicable</v>
      </c>
    </row>
    <row r="2757" spans="1:12" ht="16.5" customHeight="1" x14ac:dyDescent="0.35">
      <c r="A2757" t="s">
        <v>1551</v>
      </c>
      <c r="B2757" t="s">
        <v>1551</v>
      </c>
      <c r="C2757">
        <v>1235938.93</v>
      </c>
      <c r="D2757">
        <v>0</v>
      </c>
      <c r="E2757" t="s">
        <v>9109</v>
      </c>
      <c r="F2757" t="s">
        <v>9109</v>
      </c>
      <c r="G2757" t="s">
        <v>9110</v>
      </c>
      <c r="H2757" t="s">
        <v>3455</v>
      </c>
      <c r="I2757" t="s">
        <v>3486</v>
      </c>
      <c r="J2757" s="56">
        <f t="shared" si="126"/>
        <v>18</v>
      </c>
      <c r="K2757" s="74" t="str">
        <f t="shared" si="127"/>
        <v>4-30 Days</v>
      </c>
      <c r="L2757" s="58" t="str">
        <f t="shared" si="128"/>
        <v>Normal</v>
      </c>
    </row>
    <row r="2758" spans="1:12" ht="16.5" customHeight="1" x14ac:dyDescent="0.35">
      <c r="A2758" t="s">
        <v>1551</v>
      </c>
      <c r="B2758" t="s">
        <v>1551</v>
      </c>
      <c r="C2758">
        <v>0</v>
      </c>
      <c r="D2758">
        <v>610910.67000000004</v>
      </c>
      <c r="E2758" t="s">
        <v>9111</v>
      </c>
      <c r="F2758" t="s">
        <v>9111</v>
      </c>
      <c r="G2758" t="s">
        <v>9112</v>
      </c>
      <c r="H2758" t="s">
        <v>3489</v>
      </c>
      <c r="I2758" t="s">
        <v>3490</v>
      </c>
      <c r="J2758" s="56">
        <f t="shared" si="126"/>
        <v>18</v>
      </c>
      <c r="K2758" s="74" t="str">
        <f t="shared" si="127"/>
        <v>4-30 Days</v>
      </c>
      <c r="L2758" s="58" t="str">
        <f t="shared" si="128"/>
        <v>Not Applicable</v>
      </c>
    </row>
    <row r="2759" spans="1:12" ht="16.5" customHeight="1" x14ac:dyDescent="0.35">
      <c r="A2759" t="s">
        <v>1551</v>
      </c>
      <c r="B2759" t="s">
        <v>1551</v>
      </c>
      <c r="C2759">
        <v>0</v>
      </c>
      <c r="D2759">
        <v>63.72</v>
      </c>
      <c r="E2759" t="s">
        <v>9113</v>
      </c>
      <c r="F2759" t="s">
        <v>9114</v>
      </c>
      <c r="G2759" t="s">
        <v>9115</v>
      </c>
      <c r="H2759" t="s">
        <v>3532</v>
      </c>
      <c r="I2759" t="s">
        <v>3490</v>
      </c>
      <c r="J2759" s="56">
        <f t="shared" si="126"/>
        <v>18</v>
      </c>
      <c r="K2759" s="74" t="str">
        <f t="shared" si="127"/>
        <v>4-30 Days</v>
      </c>
      <c r="L2759" s="58" t="str">
        <f t="shared" si="128"/>
        <v>Not Applicable</v>
      </c>
    </row>
    <row r="2760" spans="1:12" ht="16.5" customHeight="1" x14ac:dyDescent="0.35">
      <c r="A2760" t="s">
        <v>1551</v>
      </c>
      <c r="B2760" t="s">
        <v>1551</v>
      </c>
      <c r="C2760">
        <v>0</v>
      </c>
      <c r="D2760">
        <v>26919.200000000001</v>
      </c>
      <c r="E2760" t="s">
        <v>9116</v>
      </c>
      <c r="F2760" t="s">
        <v>3574</v>
      </c>
      <c r="G2760" t="s">
        <v>9117</v>
      </c>
      <c r="H2760" t="s">
        <v>3489</v>
      </c>
      <c r="I2760" t="s">
        <v>3490</v>
      </c>
      <c r="J2760" s="56">
        <f t="shared" si="126"/>
        <v>18</v>
      </c>
      <c r="K2760" s="74" t="str">
        <f t="shared" si="127"/>
        <v>4-30 Days</v>
      </c>
      <c r="L2760" s="58" t="str">
        <f t="shared" si="128"/>
        <v>Not Applicable</v>
      </c>
    </row>
    <row r="2761" spans="1:12" ht="16.5" customHeight="1" x14ac:dyDescent="0.35">
      <c r="A2761" t="s">
        <v>1551</v>
      </c>
      <c r="B2761" t="s">
        <v>1551</v>
      </c>
      <c r="C2761">
        <v>0</v>
      </c>
      <c r="D2761">
        <v>134.52000000000001</v>
      </c>
      <c r="E2761" t="s">
        <v>9118</v>
      </c>
      <c r="F2761" t="s">
        <v>9119</v>
      </c>
      <c r="G2761" t="s">
        <v>9120</v>
      </c>
      <c r="H2761" t="s">
        <v>3532</v>
      </c>
      <c r="I2761" t="s">
        <v>3490</v>
      </c>
      <c r="J2761" s="56">
        <f t="shared" ref="J2761:J2824" si="129">IF(A2761="","",A$5-A2761)</f>
        <v>18</v>
      </c>
      <c r="K2761" s="74" t="str">
        <f t="shared" ref="K2761:K2824" si="130">IF(J2761="","",IF(J2761&lt;4,"0-3 Days",IF(J2761&lt;31,"4-30 Days",IF(J2761&lt;61,"31-60 Days",IF(J2761&lt;=90,"61-90 Days",IF(J2761&gt;90,"Above 90 Days","0"))))))</f>
        <v>4-30 Days</v>
      </c>
      <c r="L2761" s="58" t="str">
        <f t="shared" ref="L2761:L2824" si="131">IF(C2761="","",IF(C2761&gt;0,IF(J2761&lt;30,"Normal",IF(J2761&lt;60,"Especially Mentioned",IF(J2761&lt;90,"Substandard",IF(J2761&lt;=180,"Doubtful",IF(J2761&gt;180,"Loss","0"))))),"Not Applicable"))</f>
        <v>Not Applicable</v>
      </c>
    </row>
    <row r="2762" spans="1:12" ht="16.5" customHeight="1" x14ac:dyDescent="0.35">
      <c r="A2762" t="s">
        <v>1551</v>
      </c>
      <c r="B2762" t="s">
        <v>1551</v>
      </c>
      <c r="C2762">
        <v>0</v>
      </c>
      <c r="D2762">
        <v>1000</v>
      </c>
      <c r="E2762" t="s">
        <v>9121</v>
      </c>
      <c r="F2762" t="s">
        <v>9121</v>
      </c>
      <c r="G2762" t="s">
        <v>9122</v>
      </c>
      <c r="H2762" t="s">
        <v>3489</v>
      </c>
      <c r="I2762" t="s">
        <v>3490</v>
      </c>
      <c r="J2762" s="56">
        <f t="shared" si="129"/>
        <v>18</v>
      </c>
      <c r="K2762" s="74" t="str">
        <f t="shared" si="130"/>
        <v>4-30 Days</v>
      </c>
      <c r="L2762" s="58" t="str">
        <f t="shared" si="131"/>
        <v>Not Applicable</v>
      </c>
    </row>
    <row r="2763" spans="1:12" ht="16.5" customHeight="1" x14ac:dyDescent="0.35">
      <c r="A2763" t="s">
        <v>1551</v>
      </c>
      <c r="B2763" t="s">
        <v>1551</v>
      </c>
      <c r="C2763">
        <v>0</v>
      </c>
      <c r="D2763">
        <v>150</v>
      </c>
      <c r="E2763" t="s">
        <v>9123</v>
      </c>
      <c r="F2763" t="s">
        <v>9123</v>
      </c>
      <c r="G2763" t="s">
        <v>9124</v>
      </c>
      <c r="H2763" t="s">
        <v>3489</v>
      </c>
      <c r="I2763" t="s">
        <v>3490</v>
      </c>
      <c r="J2763" s="56">
        <f t="shared" si="129"/>
        <v>18</v>
      </c>
      <c r="K2763" s="74" t="str">
        <f t="shared" si="130"/>
        <v>4-30 Days</v>
      </c>
      <c r="L2763" s="58" t="str">
        <f t="shared" si="131"/>
        <v>Not Applicable</v>
      </c>
    </row>
    <row r="2764" spans="1:12" ht="16.5" customHeight="1" x14ac:dyDescent="0.35">
      <c r="A2764" t="s">
        <v>1551</v>
      </c>
      <c r="B2764" t="s">
        <v>1551</v>
      </c>
      <c r="C2764">
        <v>0</v>
      </c>
      <c r="D2764">
        <v>1000</v>
      </c>
      <c r="E2764" t="s">
        <v>9125</v>
      </c>
      <c r="F2764" t="s">
        <v>9125</v>
      </c>
      <c r="G2764" t="s">
        <v>9126</v>
      </c>
      <c r="H2764" t="s">
        <v>3489</v>
      </c>
      <c r="I2764" t="s">
        <v>3490</v>
      </c>
      <c r="J2764" s="56">
        <f t="shared" si="129"/>
        <v>18</v>
      </c>
      <c r="K2764" s="74" t="str">
        <f t="shared" si="130"/>
        <v>4-30 Days</v>
      </c>
      <c r="L2764" s="58" t="str">
        <f t="shared" si="131"/>
        <v>Not Applicable</v>
      </c>
    </row>
    <row r="2765" spans="1:12" ht="16.5" customHeight="1" x14ac:dyDescent="0.35">
      <c r="A2765" t="s">
        <v>1551</v>
      </c>
      <c r="B2765" t="s">
        <v>1551</v>
      </c>
      <c r="C2765">
        <v>0</v>
      </c>
      <c r="D2765">
        <v>2100</v>
      </c>
      <c r="E2765" t="s">
        <v>9127</v>
      </c>
      <c r="F2765" t="s">
        <v>9128</v>
      </c>
      <c r="G2765" t="s">
        <v>9129</v>
      </c>
      <c r="H2765" t="s">
        <v>3532</v>
      </c>
      <c r="I2765" t="s">
        <v>3490</v>
      </c>
      <c r="J2765" s="56">
        <f t="shared" si="129"/>
        <v>18</v>
      </c>
      <c r="K2765" s="74" t="str">
        <f t="shared" si="130"/>
        <v>4-30 Days</v>
      </c>
      <c r="L2765" s="58" t="str">
        <f t="shared" si="131"/>
        <v>Not Applicable</v>
      </c>
    </row>
    <row r="2766" spans="1:12" ht="16.5" customHeight="1" x14ac:dyDescent="0.35">
      <c r="A2766" t="s">
        <v>1551</v>
      </c>
      <c r="B2766" t="s">
        <v>1551</v>
      </c>
      <c r="C2766">
        <v>515512.98</v>
      </c>
      <c r="D2766">
        <v>0</v>
      </c>
      <c r="E2766" t="s">
        <v>9130</v>
      </c>
      <c r="F2766" t="s">
        <v>9130</v>
      </c>
      <c r="G2766" t="s">
        <v>9131</v>
      </c>
      <c r="H2766" t="s">
        <v>3455</v>
      </c>
      <c r="I2766" t="s">
        <v>3486</v>
      </c>
      <c r="J2766" s="56">
        <f t="shared" si="129"/>
        <v>18</v>
      </c>
      <c r="K2766" s="74" t="str">
        <f t="shared" si="130"/>
        <v>4-30 Days</v>
      </c>
      <c r="L2766" s="58" t="str">
        <f t="shared" si="131"/>
        <v>Normal</v>
      </c>
    </row>
    <row r="2767" spans="1:12" ht="16.5" customHeight="1" x14ac:dyDescent="0.35">
      <c r="A2767" t="s">
        <v>1551</v>
      </c>
      <c r="B2767" t="s">
        <v>1551</v>
      </c>
      <c r="C2767">
        <v>0</v>
      </c>
      <c r="D2767">
        <v>764</v>
      </c>
      <c r="E2767" t="s">
        <v>9132</v>
      </c>
      <c r="F2767" t="s">
        <v>9133</v>
      </c>
      <c r="G2767" t="s">
        <v>9134</v>
      </c>
      <c r="H2767" t="s">
        <v>3532</v>
      </c>
      <c r="I2767" t="s">
        <v>3490</v>
      </c>
      <c r="J2767" s="56">
        <f t="shared" si="129"/>
        <v>18</v>
      </c>
      <c r="K2767" s="74" t="str">
        <f t="shared" si="130"/>
        <v>4-30 Days</v>
      </c>
      <c r="L2767" s="58" t="str">
        <f t="shared" si="131"/>
        <v>Not Applicable</v>
      </c>
    </row>
    <row r="2768" spans="1:12" ht="16.5" customHeight="1" x14ac:dyDescent="0.35">
      <c r="A2768" t="s">
        <v>1590</v>
      </c>
      <c r="B2768" t="s">
        <v>1590</v>
      </c>
      <c r="C2768">
        <v>0</v>
      </c>
      <c r="D2768">
        <v>2050</v>
      </c>
      <c r="E2768" t="s">
        <v>9135</v>
      </c>
      <c r="F2768" t="s">
        <v>9136</v>
      </c>
      <c r="G2768" t="s">
        <v>9137</v>
      </c>
      <c r="H2768" t="s">
        <v>3532</v>
      </c>
      <c r="I2768" t="s">
        <v>3490</v>
      </c>
      <c r="J2768" s="56">
        <f t="shared" si="129"/>
        <v>17</v>
      </c>
      <c r="K2768" s="74" t="str">
        <f t="shared" si="130"/>
        <v>4-30 Days</v>
      </c>
      <c r="L2768" s="58" t="str">
        <f t="shared" si="131"/>
        <v>Not Applicable</v>
      </c>
    </row>
    <row r="2769" spans="1:12" ht="16.5" customHeight="1" x14ac:dyDescent="0.35">
      <c r="A2769" t="s">
        <v>1590</v>
      </c>
      <c r="B2769" t="s">
        <v>1590</v>
      </c>
      <c r="C2769">
        <v>0</v>
      </c>
      <c r="D2769">
        <v>6023.51</v>
      </c>
      <c r="E2769" t="s">
        <v>9138</v>
      </c>
      <c r="F2769" t="s">
        <v>3574</v>
      </c>
      <c r="G2769" t="s">
        <v>9139</v>
      </c>
      <c r="H2769" t="s">
        <v>3489</v>
      </c>
      <c r="I2769" t="s">
        <v>3490</v>
      </c>
      <c r="J2769" s="56">
        <f t="shared" si="129"/>
        <v>17</v>
      </c>
      <c r="K2769" s="74" t="str">
        <f t="shared" si="130"/>
        <v>4-30 Days</v>
      </c>
      <c r="L2769" s="58" t="str">
        <f t="shared" si="131"/>
        <v>Not Applicable</v>
      </c>
    </row>
    <row r="2770" spans="1:12" ht="16.5" customHeight="1" x14ac:dyDescent="0.35">
      <c r="A2770" t="s">
        <v>1590</v>
      </c>
      <c r="B2770" t="s">
        <v>1590</v>
      </c>
      <c r="C2770">
        <v>0</v>
      </c>
      <c r="D2770">
        <v>100</v>
      </c>
      <c r="E2770" t="s">
        <v>9140</v>
      </c>
      <c r="F2770" t="s">
        <v>9141</v>
      </c>
      <c r="G2770" t="s">
        <v>9142</v>
      </c>
      <c r="H2770" t="s">
        <v>3532</v>
      </c>
      <c r="I2770" t="s">
        <v>3490</v>
      </c>
      <c r="J2770" s="56">
        <f t="shared" si="129"/>
        <v>17</v>
      </c>
      <c r="K2770" s="74" t="str">
        <f t="shared" si="130"/>
        <v>4-30 Days</v>
      </c>
      <c r="L2770" s="58" t="str">
        <f t="shared" si="131"/>
        <v>Not Applicable</v>
      </c>
    </row>
    <row r="2771" spans="1:12" ht="16.5" customHeight="1" x14ac:dyDescent="0.35">
      <c r="A2771" t="s">
        <v>1590</v>
      </c>
      <c r="B2771" t="s">
        <v>1590</v>
      </c>
      <c r="C2771">
        <v>0</v>
      </c>
      <c r="D2771">
        <v>2140</v>
      </c>
      <c r="E2771" t="s">
        <v>9143</v>
      </c>
      <c r="F2771" t="s">
        <v>9143</v>
      </c>
      <c r="G2771" t="s">
        <v>9144</v>
      </c>
      <c r="H2771" t="s">
        <v>3489</v>
      </c>
      <c r="I2771" t="s">
        <v>3490</v>
      </c>
      <c r="J2771" s="56">
        <f t="shared" si="129"/>
        <v>17</v>
      </c>
      <c r="K2771" s="74" t="str">
        <f t="shared" si="130"/>
        <v>4-30 Days</v>
      </c>
      <c r="L2771" s="58" t="str">
        <f t="shared" si="131"/>
        <v>Not Applicable</v>
      </c>
    </row>
    <row r="2772" spans="1:12" ht="16.5" customHeight="1" x14ac:dyDescent="0.35">
      <c r="A2772" t="s">
        <v>1590</v>
      </c>
      <c r="B2772" t="s">
        <v>1590</v>
      </c>
      <c r="C2772">
        <v>3902609.18</v>
      </c>
      <c r="D2772">
        <v>0</v>
      </c>
      <c r="E2772" t="s">
        <v>9145</v>
      </c>
      <c r="F2772" t="s">
        <v>9145</v>
      </c>
      <c r="G2772" t="s">
        <v>9146</v>
      </c>
      <c r="H2772" t="s">
        <v>3455</v>
      </c>
      <c r="I2772" t="s">
        <v>3486</v>
      </c>
      <c r="J2772" s="56">
        <f t="shared" si="129"/>
        <v>17</v>
      </c>
      <c r="K2772" s="74" t="str">
        <f t="shared" si="130"/>
        <v>4-30 Days</v>
      </c>
      <c r="L2772" s="58" t="str">
        <f t="shared" si="131"/>
        <v>Normal</v>
      </c>
    </row>
    <row r="2773" spans="1:12" ht="16.5" customHeight="1" x14ac:dyDescent="0.35">
      <c r="A2773" t="s">
        <v>1590</v>
      </c>
      <c r="B2773" t="s">
        <v>1590</v>
      </c>
      <c r="C2773">
        <v>0</v>
      </c>
      <c r="D2773">
        <v>15987.05</v>
      </c>
      <c r="E2773" t="s">
        <v>9147</v>
      </c>
      <c r="F2773" t="s">
        <v>57</v>
      </c>
      <c r="G2773" t="s">
        <v>57</v>
      </c>
      <c r="H2773" t="s">
        <v>3914</v>
      </c>
      <c r="I2773" t="s">
        <v>3643</v>
      </c>
      <c r="J2773" s="56">
        <f t="shared" si="129"/>
        <v>17</v>
      </c>
      <c r="K2773" s="74" t="str">
        <f t="shared" si="130"/>
        <v>4-30 Days</v>
      </c>
      <c r="L2773" s="58" t="str">
        <f t="shared" si="131"/>
        <v>Not Applicable</v>
      </c>
    </row>
    <row r="2774" spans="1:12" ht="16.5" customHeight="1" x14ac:dyDescent="0.35">
      <c r="A2774" t="s">
        <v>1590</v>
      </c>
      <c r="B2774" t="s">
        <v>1590</v>
      </c>
      <c r="C2774">
        <v>0</v>
      </c>
      <c r="D2774">
        <v>100</v>
      </c>
      <c r="E2774" t="s">
        <v>9148</v>
      </c>
      <c r="F2774" t="s">
        <v>9148</v>
      </c>
      <c r="G2774" t="s">
        <v>9149</v>
      </c>
      <c r="H2774" t="s">
        <v>3489</v>
      </c>
      <c r="I2774" t="s">
        <v>3490</v>
      </c>
      <c r="J2774" s="56">
        <f t="shared" si="129"/>
        <v>17</v>
      </c>
      <c r="K2774" s="74" t="str">
        <f t="shared" si="130"/>
        <v>4-30 Days</v>
      </c>
      <c r="L2774" s="58" t="str">
        <f t="shared" si="131"/>
        <v>Not Applicable</v>
      </c>
    </row>
    <row r="2775" spans="1:12" ht="16.5" customHeight="1" x14ac:dyDescent="0.35">
      <c r="A2775" t="s">
        <v>1590</v>
      </c>
      <c r="B2775" t="s">
        <v>1590</v>
      </c>
      <c r="C2775">
        <v>0</v>
      </c>
      <c r="D2775">
        <v>1082</v>
      </c>
      <c r="E2775" t="s">
        <v>9150</v>
      </c>
      <c r="F2775" t="s">
        <v>9150</v>
      </c>
      <c r="G2775" t="s">
        <v>9151</v>
      </c>
      <c r="H2775" t="s">
        <v>3489</v>
      </c>
      <c r="I2775" t="s">
        <v>3490</v>
      </c>
      <c r="J2775" s="56">
        <f t="shared" si="129"/>
        <v>17</v>
      </c>
      <c r="K2775" s="74" t="str">
        <f t="shared" si="130"/>
        <v>4-30 Days</v>
      </c>
      <c r="L2775" s="58" t="str">
        <f t="shared" si="131"/>
        <v>Not Applicable</v>
      </c>
    </row>
    <row r="2776" spans="1:12" ht="16.5" customHeight="1" x14ac:dyDescent="0.35">
      <c r="A2776" t="s">
        <v>1590</v>
      </c>
      <c r="B2776" t="s">
        <v>1590</v>
      </c>
      <c r="C2776">
        <v>0</v>
      </c>
      <c r="D2776">
        <v>100</v>
      </c>
      <c r="E2776" t="s">
        <v>9152</v>
      </c>
      <c r="F2776" t="s">
        <v>3499</v>
      </c>
      <c r="G2776" t="s">
        <v>9153</v>
      </c>
      <c r="H2776" t="s">
        <v>3489</v>
      </c>
      <c r="I2776" t="s">
        <v>3490</v>
      </c>
      <c r="J2776" s="56">
        <f t="shared" si="129"/>
        <v>17</v>
      </c>
      <c r="K2776" s="74" t="str">
        <f t="shared" si="130"/>
        <v>4-30 Days</v>
      </c>
      <c r="L2776" s="58" t="str">
        <f t="shared" si="131"/>
        <v>Not Applicable</v>
      </c>
    </row>
    <row r="2777" spans="1:12" ht="16.5" customHeight="1" x14ac:dyDescent="0.35">
      <c r="A2777" t="s">
        <v>1590</v>
      </c>
      <c r="B2777" t="s">
        <v>1590</v>
      </c>
      <c r="C2777">
        <v>0</v>
      </c>
      <c r="D2777">
        <v>450</v>
      </c>
      <c r="E2777" t="s">
        <v>9154</v>
      </c>
      <c r="F2777" t="s">
        <v>6191</v>
      </c>
      <c r="G2777" t="s">
        <v>9155</v>
      </c>
      <c r="H2777" t="s">
        <v>3489</v>
      </c>
      <c r="I2777" t="s">
        <v>3486</v>
      </c>
      <c r="J2777" s="56">
        <f t="shared" si="129"/>
        <v>17</v>
      </c>
      <c r="K2777" s="74" t="str">
        <f t="shared" si="130"/>
        <v>4-30 Days</v>
      </c>
      <c r="L2777" s="58" t="str">
        <f t="shared" si="131"/>
        <v>Not Applicable</v>
      </c>
    </row>
    <row r="2778" spans="1:12" ht="16.5" customHeight="1" x14ac:dyDescent="0.35">
      <c r="A2778" t="s">
        <v>1590</v>
      </c>
      <c r="B2778" t="s">
        <v>1590</v>
      </c>
      <c r="C2778">
        <v>0</v>
      </c>
      <c r="D2778">
        <v>3100</v>
      </c>
      <c r="E2778" t="s">
        <v>9156</v>
      </c>
      <c r="F2778" t="s">
        <v>9157</v>
      </c>
      <c r="G2778" t="s">
        <v>9158</v>
      </c>
      <c r="H2778" t="s">
        <v>3532</v>
      </c>
      <c r="I2778" t="s">
        <v>3490</v>
      </c>
      <c r="J2778" s="56">
        <f t="shared" si="129"/>
        <v>17</v>
      </c>
      <c r="K2778" s="74" t="str">
        <f t="shared" si="130"/>
        <v>4-30 Days</v>
      </c>
      <c r="L2778" s="58" t="str">
        <f t="shared" si="131"/>
        <v>Not Applicable</v>
      </c>
    </row>
    <row r="2779" spans="1:12" ht="16.5" customHeight="1" x14ac:dyDescent="0.35">
      <c r="A2779" t="s">
        <v>1590</v>
      </c>
      <c r="B2779" t="s">
        <v>1590</v>
      </c>
      <c r="C2779">
        <v>1123582.31</v>
      </c>
      <c r="D2779">
        <v>0</v>
      </c>
      <c r="E2779" t="s">
        <v>9159</v>
      </c>
      <c r="F2779" t="s">
        <v>9159</v>
      </c>
      <c r="G2779" t="s">
        <v>9160</v>
      </c>
      <c r="H2779" t="s">
        <v>3455</v>
      </c>
      <c r="I2779" t="s">
        <v>3486</v>
      </c>
      <c r="J2779" s="56">
        <f t="shared" si="129"/>
        <v>17</v>
      </c>
      <c r="K2779" s="74" t="str">
        <f t="shared" si="130"/>
        <v>4-30 Days</v>
      </c>
      <c r="L2779" s="58" t="str">
        <f t="shared" si="131"/>
        <v>Normal</v>
      </c>
    </row>
    <row r="2780" spans="1:12" ht="16.5" customHeight="1" x14ac:dyDescent="0.35">
      <c r="A2780" t="s">
        <v>1590</v>
      </c>
      <c r="B2780" t="s">
        <v>1590</v>
      </c>
      <c r="C2780">
        <v>8683.6200000000008</v>
      </c>
      <c r="D2780">
        <v>0</v>
      </c>
      <c r="E2780" t="s">
        <v>3517</v>
      </c>
      <c r="F2780" t="s">
        <v>3517</v>
      </c>
      <c r="G2780" t="s">
        <v>9161</v>
      </c>
      <c r="H2780" t="s">
        <v>3455</v>
      </c>
      <c r="I2780" t="s">
        <v>3486</v>
      </c>
      <c r="J2780" s="56">
        <f t="shared" si="129"/>
        <v>17</v>
      </c>
      <c r="K2780" s="74" t="str">
        <f t="shared" si="130"/>
        <v>4-30 Days</v>
      </c>
      <c r="L2780" s="58" t="str">
        <f t="shared" si="131"/>
        <v>Normal</v>
      </c>
    </row>
    <row r="2781" spans="1:12" ht="16.5" customHeight="1" x14ac:dyDescent="0.35">
      <c r="A2781" t="s">
        <v>1590</v>
      </c>
      <c r="B2781" t="s">
        <v>1590</v>
      </c>
      <c r="C2781">
        <v>881268.42</v>
      </c>
      <c r="D2781">
        <v>0</v>
      </c>
      <c r="E2781" t="s">
        <v>9162</v>
      </c>
      <c r="F2781" t="s">
        <v>9162</v>
      </c>
      <c r="G2781" t="s">
        <v>9163</v>
      </c>
      <c r="H2781" t="s">
        <v>3455</v>
      </c>
      <c r="I2781" t="s">
        <v>3486</v>
      </c>
      <c r="J2781" s="56">
        <f t="shared" si="129"/>
        <v>17</v>
      </c>
      <c r="K2781" s="74" t="str">
        <f t="shared" si="130"/>
        <v>4-30 Days</v>
      </c>
      <c r="L2781" s="58" t="str">
        <f t="shared" si="131"/>
        <v>Normal</v>
      </c>
    </row>
    <row r="2782" spans="1:12" ht="16.5" customHeight="1" x14ac:dyDescent="0.35">
      <c r="A2782" t="s">
        <v>1590</v>
      </c>
      <c r="B2782" t="s">
        <v>1590</v>
      </c>
      <c r="C2782">
        <v>0</v>
      </c>
      <c r="D2782">
        <v>1000</v>
      </c>
      <c r="E2782" t="s">
        <v>9164</v>
      </c>
      <c r="F2782" t="s">
        <v>9164</v>
      </c>
      <c r="G2782" t="s">
        <v>9165</v>
      </c>
      <c r="H2782" t="s">
        <v>3489</v>
      </c>
      <c r="I2782" t="s">
        <v>3490</v>
      </c>
      <c r="J2782" s="56">
        <f t="shared" si="129"/>
        <v>17</v>
      </c>
      <c r="K2782" s="74" t="str">
        <f t="shared" si="130"/>
        <v>4-30 Days</v>
      </c>
      <c r="L2782" s="58" t="str">
        <f t="shared" si="131"/>
        <v>Not Applicable</v>
      </c>
    </row>
    <row r="2783" spans="1:12" ht="16.5" customHeight="1" x14ac:dyDescent="0.35">
      <c r="A2783" t="s">
        <v>1590</v>
      </c>
      <c r="B2783" t="s">
        <v>1590</v>
      </c>
      <c r="C2783">
        <v>0</v>
      </c>
      <c r="D2783">
        <v>3200</v>
      </c>
      <c r="E2783" t="s">
        <v>9166</v>
      </c>
      <c r="F2783" t="s">
        <v>3499</v>
      </c>
      <c r="G2783" t="s">
        <v>9167</v>
      </c>
      <c r="H2783" t="s">
        <v>3489</v>
      </c>
      <c r="I2783" t="s">
        <v>3490</v>
      </c>
      <c r="J2783" s="56">
        <f t="shared" si="129"/>
        <v>17</v>
      </c>
      <c r="K2783" s="74" t="str">
        <f t="shared" si="130"/>
        <v>4-30 Days</v>
      </c>
      <c r="L2783" s="58" t="str">
        <f t="shared" si="131"/>
        <v>Not Applicable</v>
      </c>
    </row>
    <row r="2784" spans="1:12" ht="16.5" customHeight="1" x14ac:dyDescent="0.35">
      <c r="A2784" t="s">
        <v>1590</v>
      </c>
      <c r="B2784" t="s">
        <v>1590</v>
      </c>
      <c r="C2784">
        <v>0</v>
      </c>
      <c r="D2784">
        <v>6340</v>
      </c>
      <c r="E2784" t="s">
        <v>9168</v>
      </c>
      <c r="F2784" t="s">
        <v>9168</v>
      </c>
      <c r="G2784" t="s">
        <v>9169</v>
      </c>
      <c r="H2784" t="s">
        <v>3489</v>
      </c>
      <c r="I2784" t="s">
        <v>3490</v>
      </c>
      <c r="J2784" s="56">
        <f t="shared" si="129"/>
        <v>17</v>
      </c>
      <c r="K2784" s="74" t="str">
        <f t="shared" si="130"/>
        <v>4-30 Days</v>
      </c>
      <c r="L2784" s="58" t="str">
        <f t="shared" si="131"/>
        <v>Not Applicable</v>
      </c>
    </row>
    <row r="2785" spans="1:12" ht="16.5" customHeight="1" x14ac:dyDescent="0.35">
      <c r="A2785" t="s">
        <v>1590</v>
      </c>
      <c r="B2785" t="s">
        <v>1590</v>
      </c>
      <c r="C2785">
        <v>0</v>
      </c>
      <c r="D2785">
        <v>1034</v>
      </c>
      <c r="E2785" t="s">
        <v>9170</v>
      </c>
      <c r="F2785" t="s">
        <v>9170</v>
      </c>
      <c r="G2785" t="s">
        <v>9171</v>
      </c>
      <c r="H2785" t="s">
        <v>3489</v>
      </c>
      <c r="I2785" t="s">
        <v>3490</v>
      </c>
      <c r="J2785" s="56">
        <f t="shared" si="129"/>
        <v>17</v>
      </c>
      <c r="K2785" s="74" t="str">
        <f t="shared" si="130"/>
        <v>4-30 Days</v>
      </c>
      <c r="L2785" s="58" t="str">
        <f t="shared" si="131"/>
        <v>Not Applicable</v>
      </c>
    </row>
    <row r="2786" spans="1:12" ht="16.5" customHeight="1" x14ac:dyDescent="0.35">
      <c r="A2786" t="s">
        <v>1590</v>
      </c>
      <c r="B2786" t="s">
        <v>1590</v>
      </c>
      <c r="C2786">
        <v>0</v>
      </c>
      <c r="D2786">
        <v>2700</v>
      </c>
      <c r="E2786" t="s">
        <v>9172</v>
      </c>
      <c r="F2786" t="s">
        <v>9172</v>
      </c>
      <c r="G2786" t="s">
        <v>9173</v>
      </c>
      <c r="H2786" t="s">
        <v>3489</v>
      </c>
      <c r="I2786" t="s">
        <v>3490</v>
      </c>
      <c r="J2786" s="56">
        <f t="shared" si="129"/>
        <v>17</v>
      </c>
      <c r="K2786" s="74" t="str">
        <f t="shared" si="130"/>
        <v>4-30 Days</v>
      </c>
      <c r="L2786" s="58" t="str">
        <f t="shared" si="131"/>
        <v>Not Applicable</v>
      </c>
    </row>
    <row r="2787" spans="1:12" ht="16.5" customHeight="1" x14ac:dyDescent="0.35">
      <c r="A2787" t="s">
        <v>1590</v>
      </c>
      <c r="B2787" t="s">
        <v>1590</v>
      </c>
      <c r="C2787">
        <v>0</v>
      </c>
      <c r="D2787">
        <v>1082</v>
      </c>
      <c r="E2787" t="s">
        <v>9174</v>
      </c>
      <c r="F2787" t="s">
        <v>9174</v>
      </c>
      <c r="G2787" t="s">
        <v>9175</v>
      </c>
      <c r="H2787" t="s">
        <v>3489</v>
      </c>
      <c r="I2787" t="s">
        <v>3490</v>
      </c>
      <c r="J2787" s="56">
        <f t="shared" si="129"/>
        <v>17</v>
      </c>
      <c r="K2787" s="74" t="str">
        <f t="shared" si="130"/>
        <v>4-30 Days</v>
      </c>
      <c r="L2787" s="58" t="str">
        <f t="shared" si="131"/>
        <v>Not Applicable</v>
      </c>
    </row>
    <row r="2788" spans="1:12" ht="16.5" customHeight="1" x14ac:dyDescent="0.35">
      <c r="A2788" t="s">
        <v>1590</v>
      </c>
      <c r="B2788" t="s">
        <v>1590</v>
      </c>
      <c r="C2788">
        <v>557515.1</v>
      </c>
      <c r="D2788">
        <v>0</v>
      </c>
      <c r="E2788" t="s">
        <v>9176</v>
      </c>
      <c r="F2788" t="s">
        <v>9176</v>
      </c>
      <c r="G2788" t="s">
        <v>9177</v>
      </c>
      <c r="H2788" t="s">
        <v>3455</v>
      </c>
      <c r="I2788" t="s">
        <v>3486</v>
      </c>
      <c r="J2788" s="56">
        <f t="shared" si="129"/>
        <v>17</v>
      </c>
      <c r="K2788" s="74" t="str">
        <f t="shared" si="130"/>
        <v>4-30 Days</v>
      </c>
      <c r="L2788" s="58" t="str">
        <f t="shared" si="131"/>
        <v>Normal</v>
      </c>
    </row>
    <row r="2789" spans="1:12" ht="16.5" customHeight="1" x14ac:dyDescent="0.35">
      <c r="A2789" t="s">
        <v>1590</v>
      </c>
      <c r="B2789" t="s">
        <v>1590</v>
      </c>
      <c r="C2789">
        <v>0</v>
      </c>
      <c r="D2789">
        <v>2650</v>
      </c>
      <c r="E2789" t="s">
        <v>9178</v>
      </c>
      <c r="F2789" t="s">
        <v>9178</v>
      </c>
      <c r="G2789" t="s">
        <v>9179</v>
      </c>
      <c r="H2789" t="s">
        <v>3489</v>
      </c>
      <c r="I2789" t="s">
        <v>3490</v>
      </c>
      <c r="J2789" s="56">
        <f t="shared" si="129"/>
        <v>17</v>
      </c>
      <c r="K2789" s="74" t="str">
        <f t="shared" si="130"/>
        <v>4-30 Days</v>
      </c>
      <c r="L2789" s="58" t="str">
        <f t="shared" si="131"/>
        <v>Not Applicable</v>
      </c>
    </row>
    <row r="2790" spans="1:12" ht="16.5" customHeight="1" x14ac:dyDescent="0.35">
      <c r="A2790" t="s">
        <v>1590</v>
      </c>
      <c r="B2790" t="s">
        <v>1590</v>
      </c>
      <c r="C2790">
        <v>0</v>
      </c>
      <c r="D2790">
        <v>1000</v>
      </c>
      <c r="E2790" t="s">
        <v>9180</v>
      </c>
      <c r="F2790" t="s">
        <v>9180</v>
      </c>
      <c r="G2790" t="s">
        <v>9181</v>
      </c>
      <c r="H2790" t="s">
        <v>3489</v>
      </c>
      <c r="I2790" t="s">
        <v>3490</v>
      </c>
      <c r="J2790" s="56">
        <f t="shared" si="129"/>
        <v>17</v>
      </c>
      <c r="K2790" s="74" t="str">
        <f t="shared" si="130"/>
        <v>4-30 Days</v>
      </c>
      <c r="L2790" s="58" t="str">
        <f t="shared" si="131"/>
        <v>Not Applicable</v>
      </c>
    </row>
    <row r="2791" spans="1:12" ht="16.5" customHeight="1" x14ac:dyDescent="0.35">
      <c r="A2791" t="s">
        <v>1590</v>
      </c>
      <c r="B2791" t="s">
        <v>1590</v>
      </c>
      <c r="C2791">
        <v>0</v>
      </c>
      <c r="D2791">
        <v>2050</v>
      </c>
      <c r="E2791" t="s">
        <v>9182</v>
      </c>
      <c r="F2791" t="s">
        <v>9182</v>
      </c>
      <c r="G2791" t="s">
        <v>9183</v>
      </c>
      <c r="H2791" t="s">
        <v>3489</v>
      </c>
      <c r="I2791" t="s">
        <v>3490</v>
      </c>
      <c r="J2791" s="56">
        <f t="shared" si="129"/>
        <v>17</v>
      </c>
      <c r="K2791" s="74" t="str">
        <f t="shared" si="130"/>
        <v>4-30 Days</v>
      </c>
      <c r="L2791" s="58" t="str">
        <f t="shared" si="131"/>
        <v>Not Applicable</v>
      </c>
    </row>
    <row r="2792" spans="1:12" ht="16.5" customHeight="1" x14ac:dyDescent="0.35">
      <c r="A2792" t="s">
        <v>1590</v>
      </c>
      <c r="B2792" t="s">
        <v>1590</v>
      </c>
      <c r="C2792">
        <v>0</v>
      </c>
      <c r="D2792">
        <v>600</v>
      </c>
      <c r="E2792" t="s">
        <v>9184</v>
      </c>
      <c r="F2792" t="s">
        <v>9184</v>
      </c>
      <c r="G2792" t="s">
        <v>9185</v>
      </c>
      <c r="H2792" t="s">
        <v>3489</v>
      </c>
      <c r="I2792" t="s">
        <v>3490</v>
      </c>
      <c r="J2792" s="56">
        <f t="shared" si="129"/>
        <v>17</v>
      </c>
      <c r="K2792" s="74" t="str">
        <f t="shared" si="130"/>
        <v>4-30 Days</v>
      </c>
      <c r="L2792" s="58" t="str">
        <f t="shared" si="131"/>
        <v>Not Applicable</v>
      </c>
    </row>
    <row r="2793" spans="1:12" ht="16.5" customHeight="1" x14ac:dyDescent="0.35">
      <c r="A2793" t="s">
        <v>1590</v>
      </c>
      <c r="B2793" t="s">
        <v>1590</v>
      </c>
      <c r="C2793">
        <v>0</v>
      </c>
      <c r="D2793">
        <v>28.32</v>
      </c>
      <c r="E2793" t="s">
        <v>9186</v>
      </c>
      <c r="F2793" t="s">
        <v>9187</v>
      </c>
      <c r="G2793" t="s">
        <v>9188</v>
      </c>
      <c r="H2793" t="s">
        <v>3532</v>
      </c>
      <c r="I2793" t="s">
        <v>3490</v>
      </c>
      <c r="J2793" s="56">
        <f t="shared" si="129"/>
        <v>17</v>
      </c>
      <c r="K2793" s="74" t="str">
        <f t="shared" si="130"/>
        <v>4-30 Days</v>
      </c>
      <c r="L2793" s="58" t="str">
        <f t="shared" si="131"/>
        <v>Not Applicable</v>
      </c>
    </row>
    <row r="2794" spans="1:12" ht="16.5" customHeight="1" x14ac:dyDescent="0.35">
      <c r="A2794" t="s">
        <v>1590</v>
      </c>
      <c r="B2794" t="s">
        <v>1590</v>
      </c>
      <c r="C2794">
        <v>0</v>
      </c>
      <c r="D2794">
        <v>2650</v>
      </c>
      <c r="E2794" t="s">
        <v>9189</v>
      </c>
      <c r="F2794" t="s">
        <v>9189</v>
      </c>
      <c r="G2794" t="s">
        <v>9190</v>
      </c>
      <c r="H2794" t="s">
        <v>3489</v>
      </c>
      <c r="I2794" t="s">
        <v>3490</v>
      </c>
      <c r="J2794" s="56">
        <f t="shared" si="129"/>
        <v>17</v>
      </c>
      <c r="K2794" s="74" t="str">
        <f t="shared" si="130"/>
        <v>4-30 Days</v>
      </c>
      <c r="L2794" s="58" t="str">
        <f t="shared" si="131"/>
        <v>Not Applicable</v>
      </c>
    </row>
    <row r="2795" spans="1:12" ht="16.5" customHeight="1" x14ac:dyDescent="0.35">
      <c r="A2795" t="s">
        <v>1590</v>
      </c>
      <c r="B2795" t="s">
        <v>1590</v>
      </c>
      <c r="C2795">
        <v>0</v>
      </c>
      <c r="D2795">
        <v>1082</v>
      </c>
      <c r="E2795" t="s">
        <v>9191</v>
      </c>
      <c r="F2795" t="s">
        <v>9191</v>
      </c>
      <c r="G2795" t="s">
        <v>9192</v>
      </c>
      <c r="H2795" t="s">
        <v>3489</v>
      </c>
      <c r="I2795" t="s">
        <v>3490</v>
      </c>
      <c r="J2795" s="56">
        <f t="shared" si="129"/>
        <v>17</v>
      </c>
      <c r="K2795" s="74" t="str">
        <f t="shared" si="130"/>
        <v>4-30 Days</v>
      </c>
      <c r="L2795" s="58" t="str">
        <f t="shared" si="131"/>
        <v>Not Applicable</v>
      </c>
    </row>
    <row r="2796" spans="1:12" ht="16.5" customHeight="1" x14ac:dyDescent="0.35">
      <c r="A2796" t="s">
        <v>1590</v>
      </c>
      <c r="B2796" t="s">
        <v>1590</v>
      </c>
      <c r="C2796">
        <v>0</v>
      </c>
      <c r="D2796">
        <v>1022</v>
      </c>
      <c r="E2796" t="s">
        <v>9193</v>
      </c>
      <c r="F2796" t="s">
        <v>9193</v>
      </c>
      <c r="G2796" t="s">
        <v>9194</v>
      </c>
      <c r="H2796" t="s">
        <v>3489</v>
      </c>
      <c r="I2796" t="s">
        <v>3490</v>
      </c>
      <c r="J2796" s="56">
        <f t="shared" si="129"/>
        <v>17</v>
      </c>
      <c r="K2796" s="74" t="str">
        <f t="shared" si="130"/>
        <v>4-30 Days</v>
      </c>
      <c r="L2796" s="58" t="str">
        <f t="shared" si="131"/>
        <v>Not Applicable</v>
      </c>
    </row>
    <row r="2797" spans="1:12" ht="16.5" customHeight="1" x14ac:dyDescent="0.35">
      <c r="A2797" t="s">
        <v>1590</v>
      </c>
      <c r="B2797" t="s">
        <v>1590</v>
      </c>
      <c r="C2797">
        <v>0</v>
      </c>
      <c r="D2797">
        <v>150</v>
      </c>
      <c r="E2797" t="s">
        <v>9195</v>
      </c>
      <c r="F2797" t="s">
        <v>3499</v>
      </c>
      <c r="G2797" t="s">
        <v>9196</v>
      </c>
      <c r="H2797" t="s">
        <v>3489</v>
      </c>
      <c r="I2797" t="s">
        <v>3490</v>
      </c>
      <c r="J2797" s="56">
        <f t="shared" si="129"/>
        <v>17</v>
      </c>
      <c r="K2797" s="74" t="str">
        <f t="shared" si="130"/>
        <v>4-30 Days</v>
      </c>
      <c r="L2797" s="58" t="str">
        <f t="shared" si="131"/>
        <v>Not Applicable</v>
      </c>
    </row>
    <row r="2798" spans="1:12" ht="16.5" customHeight="1" x14ac:dyDescent="0.35">
      <c r="A2798" t="s">
        <v>1590</v>
      </c>
      <c r="B2798" t="s">
        <v>1590</v>
      </c>
      <c r="C2798">
        <v>0</v>
      </c>
      <c r="D2798">
        <v>1082</v>
      </c>
      <c r="E2798" t="s">
        <v>9197</v>
      </c>
      <c r="F2798" t="s">
        <v>9197</v>
      </c>
      <c r="G2798" t="s">
        <v>9198</v>
      </c>
      <c r="H2798" t="s">
        <v>3489</v>
      </c>
      <c r="I2798" t="s">
        <v>3490</v>
      </c>
      <c r="J2798" s="56">
        <f t="shared" si="129"/>
        <v>17</v>
      </c>
      <c r="K2798" s="74" t="str">
        <f t="shared" si="130"/>
        <v>4-30 Days</v>
      </c>
      <c r="L2798" s="58" t="str">
        <f t="shared" si="131"/>
        <v>Not Applicable</v>
      </c>
    </row>
    <row r="2799" spans="1:12" ht="16.5" customHeight="1" x14ac:dyDescent="0.35">
      <c r="A2799" t="s">
        <v>1590</v>
      </c>
      <c r="B2799" t="s">
        <v>1590</v>
      </c>
      <c r="C2799">
        <v>0</v>
      </c>
      <c r="D2799">
        <v>9078.33</v>
      </c>
      <c r="E2799" t="s">
        <v>9199</v>
      </c>
      <c r="F2799" t="s">
        <v>9199</v>
      </c>
      <c r="G2799" t="s">
        <v>9200</v>
      </c>
      <c r="H2799" t="s">
        <v>3489</v>
      </c>
      <c r="I2799" t="s">
        <v>3490</v>
      </c>
      <c r="J2799" s="56">
        <f t="shared" si="129"/>
        <v>17</v>
      </c>
      <c r="K2799" s="74" t="str">
        <f t="shared" si="130"/>
        <v>4-30 Days</v>
      </c>
      <c r="L2799" s="58" t="str">
        <f t="shared" si="131"/>
        <v>Not Applicable</v>
      </c>
    </row>
    <row r="2800" spans="1:12" ht="16.5" customHeight="1" x14ac:dyDescent="0.35">
      <c r="A2800" t="s">
        <v>1590</v>
      </c>
      <c r="B2800" t="s">
        <v>1590</v>
      </c>
      <c r="C2800">
        <v>0</v>
      </c>
      <c r="D2800">
        <v>2128</v>
      </c>
      <c r="E2800" t="s">
        <v>9201</v>
      </c>
      <c r="F2800" t="s">
        <v>9201</v>
      </c>
      <c r="G2800" t="s">
        <v>9202</v>
      </c>
      <c r="H2800" t="s">
        <v>3489</v>
      </c>
      <c r="I2800" t="s">
        <v>3490</v>
      </c>
      <c r="J2800" s="56">
        <f t="shared" si="129"/>
        <v>17</v>
      </c>
      <c r="K2800" s="74" t="str">
        <f t="shared" si="130"/>
        <v>4-30 Days</v>
      </c>
      <c r="L2800" s="58" t="str">
        <f t="shared" si="131"/>
        <v>Not Applicable</v>
      </c>
    </row>
    <row r="2801" spans="1:12" ht="16.5" customHeight="1" x14ac:dyDescent="0.35">
      <c r="A2801" t="s">
        <v>1590</v>
      </c>
      <c r="B2801" t="s">
        <v>1590</v>
      </c>
      <c r="C2801">
        <v>0</v>
      </c>
      <c r="D2801">
        <v>250</v>
      </c>
      <c r="E2801" t="s">
        <v>9203</v>
      </c>
      <c r="F2801" t="s">
        <v>9203</v>
      </c>
      <c r="G2801" t="s">
        <v>9204</v>
      </c>
      <c r="H2801" t="s">
        <v>3489</v>
      </c>
      <c r="I2801" t="s">
        <v>3490</v>
      </c>
      <c r="J2801" s="56">
        <f t="shared" si="129"/>
        <v>17</v>
      </c>
      <c r="K2801" s="74" t="str">
        <f t="shared" si="130"/>
        <v>4-30 Days</v>
      </c>
      <c r="L2801" s="58" t="str">
        <f t="shared" si="131"/>
        <v>Not Applicable</v>
      </c>
    </row>
    <row r="2802" spans="1:12" ht="16.5" customHeight="1" x14ac:dyDescent="0.35">
      <c r="A2802" t="s">
        <v>1590</v>
      </c>
      <c r="B2802" t="s">
        <v>1590</v>
      </c>
      <c r="C2802">
        <v>0</v>
      </c>
      <c r="D2802">
        <v>740.48</v>
      </c>
      <c r="E2802" t="s">
        <v>9205</v>
      </c>
      <c r="F2802" t="s">
        <v>3574</v>
      </c>
      <c r="G2802" t="s">
        <v>9206</v>
      </c>
      <c r="H2802" t="s">
        <v>3489</v>
      </c>
      <c r="I2802" t="s">
        <v>3490</v>
      </c>
      <c r="J2802" s="56">
        <f t="shared" si="129"/>
        <v>17</v>
      </c>
      <c r="K2802" s="74" t="str">
        <f t="shared" si="130"/>
        <v>4-30 Days</v>
      </c>
      <c r="L2802" s="58" t="str">
        <f t="shared" si="131"/>
        <v>Not Applicable</v>
      </c>
    </row>
    <row r="2803" spans="1:12" ht="16.5" customHeight="1" x14ac:dyDescent="0.35">
      <c r="A2803" t="s">
        <v>1590</v>
      </c>
      <c r="B2803" t="s">
        <v>1590</v>
      </c>
      <c r="C2803">
        <v>0</v>
      </c>
      <c r="D2803">
        <v>160</v>
      </c>
      <c r="E2803" t="s">
        <v>9207</v>
      </c>
      <c r="F2803" t="s">
        <v>9207</v>
      </c>
      <c r="G2803" t="s">
        <v>9208</v>
      </c>
      <c r="H2803" t="s">
        <v>9209</v>
      </c>
      <c r="I2803" t="s">
        <v>3486</v>
      </c>
      <c r="J2803" s="56">
        <f t="shared" si="129"/>
        <v>17</v>
      </c>
      <c r="K2803" s="74" t="str">
        <f t="shared" si="130"/>
        <v>4-30 Days</v>
      </c>
      <c r="L2803" s="58" t="str">
        <f t="shared" si="131"/>
        <v>Not Applicable</v>
      </c>
    </row>
    <row r="2804" spans="1:12" ht="16.5" customHeight="1" x14ac:dyDescent="0.35">
      <c r="A2804" t="s">
        <v>1590</v>
      </c>
      <c r="B2804" t="s">
        <v>1590</v>
      </c>
      <c r="C2804">
        <v>0</v>
      </c>
      <c r="D2804">
        <v>1000</v>
      </c>
      <c r="E2804" t="s">
        <v>9210</v>
      </c>
      <c r="F2804" t="s">
        <v>9210</v>
      </c>
      <c r="G2804" t="s">
        <v>9211</v>
      </c>
      <c r="H2804" t="s">
        <v>3532</v>
      </c>
      <c r="I2804" t="s">
        <v>3490</v>
      </c>
      <c r="J2804" s="56">
        <f t="shared" si="129"/>
        <v>17</v>
      </c>
      <c r="K2804" s="74" t="str">
        <f t="shared" si="130"/>
        <v>4-30 Days</v>
      </c>
      <c r="L2804" s="58" t="str">
        <f t="shared" si="131"/>
        <v>Not Applicable</v>
      </c>
    </row>
    <row r="2805" spans="1:12" ht="16.5" customHeight="1" x14ac:dyDescent="0.35">
      <c r="A2805" t="s">
        <v>1590</v>
      </c>
      <c r="B2805" t="s">
        <v>1590</v>
      </c>
      <c r="C2805">
        <v>0</v>
      </c>
      <c r="D2805">
        <v>230</v>
      </c>
      <c r="E2805" t="s">
        <v>9212</v>
      </c>
      <c r="F2805" t="s">
        <v>9212</v>
      </c>
      <c r="G2805" t="s">
        <v>9213</v>
      </c>
      <c r="H2805" t="s">
        <v>3489</v>
      </c>
      <c r="I2805" t="s">
        <v>3490</v>
      </c>
      <c r="J2805" s="56">
        <f t="shared" si="129"/>
        <v>17</v>
      </c>
      <c r="K2805" s="74" t="str">
        <f t="shared" si="130"/>
        <v>4-30 Days</v>
      </c>
      <c r="L2805" s="58" t="str">
        <f t="shared" si="131"/>
        <v>Not Applicable</v>
      </c>
    </row>
    <row r="2806" spans="1:12" ht="16.5" customHeight="1" x14ac:dyDescent="0.35">
      <c r="A2806" t="s">
        <v>1590</v>
      </c>
      <c r="B2806" t="s">
        <v>1590</v>
      </c>
      <c r="C2806">
        <v>0</v>
      </c>
      <c r="D2806">
        <v>1000</v>
      </c>
      <c r="E2806" t="s">
        <v>9214</v>
      </c>
      <c r="F2806" t="s">
        <v>9214</v>
      </c>
      <c r="G2806" t="s">
        <v>9215</v>
      </c>
      <c r="H2806" t="s">
        <v>3532</v>
      </c>
      <c r="I2806" t="s">
        <v>3490</v>
      </c>
      <c r="J2806" s="56">
        <f t="shared" si="129"/>
        <v>17</v>
      </c>
      <c r="K2806" s="74" t="str">
        <f t="shared" si="130"/>
        <v>4-30 Days</v>
      </c>
      <c r="L2806" s="58" t="str">
        <f t="shared" si="131"/>
        <v>Not Applicable</v>
      </c>
    </row>
    <row r="2807" spans="1:12" ht="16.5" customHeight="1" x14ac:dyDescent="0.35">
      <c r="A2807" t="s">
        <v>1590</v>
      </c>
      <c r="B2807" t="s">
        <v>1590</v>
      </c>
      <c r="C2807">
        <v>1321892.22</v>
      </c>
      <c r="D2807">
        <v>0</v>
      </c>
      <c r="E2807" t="s">
        <v>9216</v>
      </c>
      <c r="F2807" t="s">
        <v>9216</v>
      </c>
      <c r="G2807" t="s">
        <v>9217</v>
      </c>
      <c r="H2807" t="s">
        <v>3455</v>
      </c>
      <c r="I2807" t="s">
        <v>3486</v>
      </c>
      <c r="J2807" s="56">
        <f t="shared" si="129"/>
        <v>17</v>
      </c>
      <c r="K2807" s="74" t="str">
        <f t="shared" si="130"/>
        <v>4-30 Days</v>
      </c>
      <c r="L2807" s="58" t="str">
        <f t="shared" si="131"/>
        <v>Normal</v>
      </c>
    </row>
    <row r="2808" spans="1:12" ht="16.5" customHeight="1" x14ac:dyDescent="0.35">
      <c r="A2808" t="s">
        <v>1590</v>
      </c>
      <c r="B2808" t="s">
        <v>1590</v>
      </c>
      <c r="C2808">
        <v>0</v>
      </c>
      <c r="D2808">
        <v>1058</v>
      </c>
      <c r="E2808" t="s">
        <v>9218</v>
      </c>
      <c r="F2808" t="s">
        <v>9218</v>
      </c>
      <c r="G2808" t="s">
        <v>9219</v>
      </c>
      <c r="H2808" t="s">
        <v>3489</v>
      </c>
      <c r="I2808" t="s">
        <v>3490</v>
      </c>
      <c r="J2808" s="56">
        <f t="shared" si="129"/>
        <v>17</v>
      </c>
      <c r="K2808" s="74" t="str">
        <f t="shared" si="130"/>
        <v>4-30 Days</v>
      </c>
      <c r="L2808" s="58" t="str">
        <f t="shared" si="131"/>
        <v>Not Applicable</v>
      </c>
    </row>
    <row r="2809" spans="1:12" ht="16.5" customHeight="1" x14ac:dyDescent="0.35">
      <c r="A2809" t="s">
        <v>1590</v>
      </c>
      <c r="B2809" t="s">
        <v>1590</v>
      </c>
      <c r="C2809">
        <v>0</v>
      </c>
      <c r="D2809">
        <v>1000</v>
      </c>
      <c r="E2809" t="s">
        <v>9220</v>
      </c>
      <c r="F2809" t="s">
        <v>9220</v>
      </c>
      <c r="G2809" t="s">
        <v>9221</v>
      </c>
      <c r="H2809" t="s">
        <v>3532</v>
      </c>
      <c r="I2809" t="s">
        <v>3490</v>
      </c>
      <c r="J2809" s="56">
        <f t="shared" si="129"/>
        <v>17</v>
      </c>
      <c r="K2809" s="74" t="str">
        <f t="shared" si="130"/>
        <v>4-30 Days</v>
      </c>
      <c r="L2809" s="58" t="str">
        <f t="shared" si="131"/>
        <v>Not Applicable</v>
      </c>
    </row>
    <row r="2810" spans="1:12" ht="16.5" customHeight="1" x14ac:dyDescent="0.35">
      <c r="A2810" t="s">
        <v>1590</v>
      </c>
      <c r="B2810" t="s">
        <v>1590</v>
      </c>
      <c r="C2810">
        <v>0</v>
      </c>
      <c r="D2810">
        <v>2050</v>
      </c>
      <c r="E2810" t="s">
        <v>9222</v>
      </c>
      <c r="F2810" t="s">
        <v>3499</v>
      </c>
      <c r="G2810" t="s">
        <v>9223</v>
      </c>
      <c r="H2810" t="s">
        <v>3489</v>
      </c>
      <c r="I2810" t="s">
        <v>3490</v>
      </c>
      <c r="J2810" s="56">
        <f t="shared" si="129"/>
        <v>17</v>
      </c>
      <c r="K2810" s="74" t="str">
        <f t="shared" si="130"/>
        <v>4-30 Days</v>
      </c>
      <c r="L2810" s="58" t="str">
        <f t="shared" si="131"/>
        <v>Not Applicable</v>
      </c>
    </row>
    <row r="2811" spans="1:12" ht="16.5" customHeight="1" x14ac:dyDescent="0.35">
      <c r="A2811" t="s">
        <v>1590</v>
      </c>
      <c r="B2811" t="s">
        <v>1590</v>
      </c>
      <c r="C2811">
        <v>0</v>
      </c>
      <c r="D2811">
        <v>2050</v>
      </c>
      <c r="E2811" t="s">
        <v>9224</v>
      </c>
      <c r="F2811" t="s">
        <v>9224</v>
      </c>
      <c r="G2811" t="s">
        <v>9225</v>
      </c>
      <c r="H2811" t="s">
        <v>3489</v>
      </c>
      <c r="I2811" t="s">
        <v>3490</v>
      </c>
      <c r="J2811" s="56">
        <f t="shared" si="129"/>
        <v>17</v>
      </c>
      <c r="K2811" s="74" t="str">
        <f t="shared" si="130"/>
        <v>4-30 Days</v>
      </c>
      <c r="L2811" s="58" t="str">
        <f t="shared" si="131"/>
        <v>Not Applicable</v>
      </c>
    </row>
    <row r="2812" spans="1:12" ht="16.5" customHeight="1" x14ac:dyDescent="0.35">
      <c r="A2812" t="s">
        <v>1590</v>
      </c>
      <c r="B2812" t="s">
        <v>1590</v>
      </c>
      <c r="C2812">
        <v>0</v>
      </c>
      <c r="D2812">
        <v>1870000</v>
      </c>
      <c r="E2812" t="s">
        <v>9226</v>
      </c>
      <c r="F2812" t="s">
        <v>9226</v>
      </c>
      <c r="G2812" t="s">
        <v>9227</v>
      </c>
      <c r="H2812" t="s">
        <v>3489</v>
      </c>
      <c r="I2812" t="s">
        <v>3490</v>
      </c>
      <c r="J2812" s="56">
        <f t="shared" si="129"/>
        <v>17</v>
      </c>
      <c r="K2812" s="74" t="str">
        <f t="shared" si="130"/>
        <v>4-30 Days</v>
      </c>
      <c r="L2812" s="58" t="str">
        <f t="shared" si="131"/>
        <v>Not Applicable</v>
      </c>
    </row>
    <row r="2813" spans="1:12" ht="16.5" customHeight="1" x14ac:dyDescent="0.35">
      <c r="A2813" t="s">
        <v>1590</v>
      </c>
      <c r="B2813" t="s">
        <v>1590</v>
      </c>
      <c r="C2813">
        <v>0</v>
      </c>
      <c r="D2813">
        <v>1062</v>
      </c>
      <c r="E2813" t="s">
        <v>9228</v>
      </c>
      <c r="F2813" t="s">
        <v>3574</v>
      </c>
      <c r="G2813" t="s">
        <v>9229</v>
      </c>
      <c r="H2813" t="s">
        <v>3489</v>
      </c>
      <c r="I2813" t="s">
        <v>3490</v>
      </c>
      <c r="J2813" s="56">
        <f t="shared" si="129"/>
        <v>17</v>
      </c>
      <c r="K2813" s="74" t="str">
        <f t="shared" si="130"/>
        <v>4-30 Days</v>
      </c>
      <c r="L2813" s="58" t="str">
        <f t="shared" si="131"/>
        <v>Not Applicable</v>
      </c>
    </row>
    <row r="2814" spans="1:12" ht="16.5" customHeight="1" x14ac:dyDescent="0.35">
      <c r="A2814" t="s">
        <v>1611</v>
      </c>
      <c r="B2814" t="s">
        <v>1611</v>
      </c>
      <c r="C2814">
        <v>0</v>
      </c>
      <c r="D2814">
        <v>600</v>
      </c>
      <c r="E2814" t="s">
        <v>9230</v>
      </c>
      <c r="F2814" t="s">
        <v>9231</v>
      </c>
      <c r="G2814" t="s">
        <v>9232</v>
      </c>
      <c r="H2814" t="s">
        <v>3532</v>
      </c>
      <c r="I2814" t="s">
        <v>3490</v>
      </c>
      <c r="J2814" s="56">
        <f t="shared" si="129"/>
        <v>16</v>
      </c>
      <c r="K2814" s="74" t="str">
        <f t="shared" si="130"/>
        <v>4-30 Days</v>
      </c>
      <c r="L2814" s="58" t="str">
        <f t="shared" si="131"/>
        <v>Not Applicable</v>
      </c>
    </row>
    <row r="2815" spans="1:12" ht="16.5" customHeight="1" x14ac:dyDescent="0.35">
      <c r="A2815" t="s">
        <v>1611</v>
      </c>
      <c r="B2815" t="s">
        <v>1611</v>
      </c>
      <c r="C2815">
        <v>0</v>
      </c>
      <c r="D2815">
        <v>2750</v>
      </c>
      <c r="E2815" t="s">
        <v>9233</v>
      </c>
      <c r="F2815" t="s">
        <v>9234</v>
      </c>
      <c r="G2815" t="s">
        <v>9235</v>
      </c>
      <c r="H2815" t="s">
        <v>3532</v>
      </c>
      <c r="I2815" t="s">
        <v>3490</v>
      </c>
      <c r="J2815" s="56">
        <f t="shared" si="129"/>
        <v>16</v>
      </c>
      <c r="K2815" s="74" t="str">
        <f t="shared" si="130"/>
        <v>4-30 Days</v>
      </c>
      <c r="L2815" s="58" t="str">
        <f t="shared" si="131"/>
        <v>Not Applicable</v>
      </c>
    </row>
    <row r="2816" spans="1:12" ht="16.5" customHeight="1" x14ac:dyDescent="0.35">
      <c r="A2816" t="s">
        <v>1611</v>
      </c>
      <c r="B2816" t="s">
        <v>1611</v>
      </c>
      <c r="C2816">
        <v>0</v>
      </c>
      <c r="D2816">
        <v>14825.16</v>
      </c>
      <c r="E2816" t="s">
        <v>9236</v>
      </c>
      <c r="F2816" t="s">
        <v>57</v>
      </c>
      <c r="G2816" t="s">
        <v>57</v>
      </c>
      <c r="H2816" t="s">
        <v>3914</v>
      </c>
      <c r="I2816" t="s">
        <v>3643</v>
      </c>
      <c r="J2816" s="56">
        <f t="shared" si="129"/>
        <v>16</v>
      </c>
      <c r="K2816" s="74" t="str">
        <f t="shared" si="130"/>
        <v>4-30 Days</v>
      </c>
      <c r="L2816" s="58" t="str">
        <f t="shared" si="131"/>
        <v>Not Applicable</v>
      </c>
    </row>
    <row r="2817" spans="1:12" ht="16.5" customHeight="1" x14ac:dyDescent="0.35">
      <c r="A2817" t="s">
        <v>1611</v>
      </c>
      <c r="B2817" t="s">
        <v>1611</v>
      </c>
      <c r="C2817">
        <v>0</v>
      </c>
      <c r="D2817">
        <v>280</v>
      </c>
      <c r="E2817" t="s">
        <v>9237</v>
      </c>
      <c r="F2817" t="s">
        <v>9238</v>
      </c>
      <c r="G2817" t="s">
        <v>9239</v>
      </c>
      <c r="H2817" t="s">
        <v>3532</v>
      </c>
      <c r="I2817" t="s">
        <v>3490</v>
      </c>
      <c r="J2817" s="56">
        <f t="shared" si="129"/>
        <v>16</v>
      </c>
      <c r="K2817" s="74" t="str">
        <f t="shared" si="130"/>
        <v>4-30 Days</v>
      </c>
      <c r="L2817" s="58" t="str">
        <f t="shared" si="131"/>
        <v>Not Applicable</v>
      </c>
    </row>
    <row r="2818" spans="1:12" ht="16.5" customHeight="1" x14ac:dyDescent="0.35">
      <c r="A2818" t="s">
        <v>1611</v>
      </c>
      <c r="B2818" t="s">
        <v>1611</v>
      </c>
      <c r="C2818">
        <v>0</v>
      </c>
      <c r="D2818">
        <v>600</v>
      </c>
      <c r="E2818" t="s">
        <v>9240</v>
      </c>
      <c r="F2818" t="s">
        <v>9241</v>
      </c>
      <c r="G2818" t="s">
        <v>9242</v>
      </c>
      <c r="H2818" t="s">
        <v>3532</v>
      </c>
      <c r="I2818" t="s">
        <v>3490</v>
      </c>
      <c r="J2818" s="56">
        <f t="shared" si="129"/>
        <v>16</v>
      </c>
      <c r="K2818" s="74" t="str">
        <f t="shared" si="130"/>
        <v>4-30 Days</v>
      </c>
      <c r="L2818" s="58" t="str">
        <f t="shared" si="131"/>
        <v>Not Applicable</v>
      </c>
    </row>
    <row r="2819" spans="1:12" ht="16.5" customHeight="1" x14ac:dyDescent="0.35">
      <c r="A2819" t="s">
        <v>1611</v>
      </c>
      <c r="B2819" t="s">
        <v>1611</v>
      </c>
      <c r="C2819">
        <v>0</v>
      </c>
      <c r="D2819">
        <v>2050</v>
      </c>
      <c r="E2819" t="s">
        <v>9243</v>
      </c>
      <c r="F2819" t="s">
        <v>9244</v>
      </c>
      <c r="G2819" t="s">
        <v>9245</v>
      </c>
      <c r="H2819" t="s">
        <v>3532</v>
      </c>
      <c r="I2819" t="s">
        <v>3490</v>
      </c>
      <c r="J2819" s="56">
        <f t="shared" si="129"/>
        <v>16</v>
      </c>
      <c r="K2819" s="74" t="str">
        <f t="shared" si="130"/>
        <v>4-30 Days</v>
      </c>
      <c r="L2819" s="58" t="str">
        <f t="shared" si="131"/>
        <v>Not Applicable</v>
      </c>
    </row>
    <row r="2820" spans="1:12" ht="16.5" customHeight="1" x14ac:dyDescent="0.35">
      <c r="A2820" t="s">
        <v>1611</v>
      </c>
      <c r="B2820" t="s">
        <v>1611</v>
      </c>
      <c r="C2820">
        <v>0</v>
      </c>
      <c r="D2820">
        <v>600</v>
      </c>
      <c r="E2820" t="s">
        <v>9246</v>
      </c>
      <c r="F2820" t="s">
        <v>9247</v>
      </c>
      <c r="G2820" t="s">
        <v>9248</v>
      </c>
      <c r="H2820" t="s">
        <v>3532</v>
      </c>
      <c r="I2820" t="s">
        <v>3490</v>
      </c>
      <c r="J2820" s="56">
        <f t="shared" si="129"/>
        <v>16</v>
      </c>
      <c r="K2820" s="74" t="str">
        <f t="shared" si="130"/>
        <v>4-30 Days</v>
      </c>
      <c r="L2820" s="58" t="str">
        <f t="shared" si="131"/>
        <v>Not Applicable</v>
      </c>
    </row>
    <row r="2821" spans="1:12" ht="16.5" customHeight="1" x14ac:dyDescent="0.35">
      <c r="A2821" t="s">
        <v>1611</v>
      </c>
      <c r="B2821" t="s">
        <v>1611</v>
      </c>
      <c r="C2821">
        <v>0</v>
      </c>
      <c r="D2821">
        <v>280</v>
      </c>
      <c r="E2821" t="s">
        <v>9249</v>
      </c>
      <c r="F2821" t="s">
        <v>9249</v>
      </c>
      <c r="G2821" t="s">
        <v>9250</v>
      </c>
      <c r="H2821" t="s">
        <v>3489</v>
      </c>
      <c r="I2821" t="s">
        <v>3490</v>
      </c>
      <c r="J2821" s="56">
        <f t="shared" si="129"/>
        <v>16</v>
      </c>
      <c r="K2821" s="74" t="str">
        <f t="shared" si="130"/>
        <v>4-30 Days</v>
      </c>
      <c r="L2821" s="58" t="str">
        <f t="shared" si="131"/>
        <v>Not Applicable</v>
      </c>
    </row>
    <row r="2822" spans="1:12" ht="16.5" customHeight="1" x14ac:dyDescent="0.35">
      <c r="A2822" t="s">
        <v>1611</v>
      </c>
      <c r="B2822" t="s">
        <v>1611</v>
      </c>
      <c r="C2822">
        <v>28131.200000000001</v>
      </c>
      <c r="D2822">
        <v>0</v>
      </c>
      <c r="E2822" t="s">
        <v>3695</v>
      </c>
      <c r="F2822" t="s">
        <v>3695</v>
      </c>
      <c r="G2822" t="s">
        <v>9251</v>
      </c>
      <c r="H2822" t="s">
        <v>3476</v>
      </c>
      <c r="I2822" t="s">
        <v>3486</v>
      </c>
      <c r="J2822" s="56">
        <f t="shared" si="129"/>
        <v>16</v>
      </c>
      <c r="K2822" s="74" t="str">
        <f t="shared" si="130"/>
        <v>4-30 Days</v>
      </c>
      <c r="L2822" s="58" t="str">
        <f t="shared" si="131"/>
        <v>Normal</v>
      </c>
    </row>
    <row r="2823" spans="1:12" ht="16.5" customHeight="1" x14ac:dyDescent="0.35">
      <c r="A2823" t="s">
        <v>1611</v>
      </c>
      <c r="B2823" t="s">
        <v>1611</v>
      </c>
      <c r="C2823">
        <v>0</v>
      </c>
      <c r="D2823">
        <v>44</v>
      </c>
      <c r="E2823" t="s">
        <v>9252</v>
      </c>
      <c r="F2823" t="s">
        <v>9252</v>
      </c>
      <c r="G2823" t="s">
        <v>9253</v>
      </c>
      <c r="H2823" t="s">
        <v>3489</v>
      </c>
      <c r="I2823" t="s">
        <v>3490</v>
      </c>
      <c r="J2823" s="56">
        <f t="shared" si="129"/>
        <v>16</v>
      </c>
      <c r="K2823" s="74" t="str">
        <f t="shared" si="130"/>
        <v>4-30 Days</v>
      </c>
      <c r="L2823" s="58" t="str">
        <f t="shared" si="131"/>
        <v>Not Applicable</v>
      </c>
    </row>
    <row r="2824" spans="1:12" ht="16.5" customHeight="1" x14ac:dyDescent="0.35">
      <c r="A2824" t="s">
        <v>1618</v>
      </c>
      <c r="B2824" t="s">
        <v>1618</v>
      </c>
      <c r="C2824">
        <v>0</v>
      </c>
      <c r="D2824">
        <v>141.6</v>
      </c>
      <c r="E2824" t="s">
        <v>9254</v>
      </c>
      <c r="F2824" t="s">
        <v>9255</v>
      </c>
      <c r="G2824" t="s">
        <v>9256</v>
      </c>
      <c r="H2824" t="s">
        <v>3532</v>
      </c>
      <c r="I2824" t="s">
        <v>3490</v>
      </c>
      <c r="J2824" s="56">
        <f t="shared" si="129"/>
        <v>14</v>
      </c>
      <c r="K2824" s="74" t="str">
        <f t="shared" si="130"/>
        <v>4-30 Days</v>
      </c>
      <c r="L2824" s="58" t="str">
        <f t="shared" si="131"/>
        <v>Not Applicable</v>
      </c>
    </row>
    <row r="2825" spans="1:12" ht="16.5" customHeight="1" x14ac:dyDescent="0.35">
      <c r="A2825" t="s">
        <v>1618</v>
      </c>
      <c r="B2825" t="s">
        <v>1618</v>
      </c>
      <c r="C2825">
        <v>0</v>
      </c>
      <c r="D2825">
        <v>250</v>
      </c>
      <c r="E2825" t="s">
        <v>9257</v>
      </c>
      <c r="F2825" t="s">
        <v>9257</v>
      </c>
      <c r="G2825" t="s">
        <v>9258</v>
      </c>
      <c r="H2825" t="s">
        <v>3489</v>
      </c>
      <c r="I2825" t="s">
        <v>3490</v>
      </c>
      <c r="J2825" s="56">
        <f t="shared" ref="J2825:J2888" si="132">IF(A2825="","",A$5-A2825)</f>
        <v>14</v>
      </c>
      <c r="K2825" s="74" t="str">
        <f t="shared" ref="K2825:K2888" si="133">IF(J2825="","",IF(J2825&lt;4,"0-3 Days",IF(J2825&lt;31,"4-30 Days",IF(J2825&lt;61,"31-60 Days",IF(J2825&lt;=90,"61-90 Days",IF(J2825&gt;90,"Above 90 Days","0"))))))</f>
        <v>4-30 Days</v>
      </c>
      <c r="L2825" s="58" t="str">
        <f t="shared" ref="L2825:L2888" si="134">IF(C2825="","",IF(C2825&gt;0,IF(J2825&lt;30,"Normal",IF(J2825&lt;60,"Especially Mentioned",IF(J2825&lt;90,"Substandard",IF(J2825&lt;=180,"Doubtful",IF(J2825&gt;180,"Loss","0"))))),"Not Applicable"))</f>
        <v>Not Applicable</v>
      </c>
    </row>
    <row r="2826" spans="1:12" ht="16.5" customHeight="1" x14ac:dyDescent="0.35">
      <c r="A2826" t="s">
        <v>1618</v>
      </c>
      <c r="B2826" t="s">
        <v>1618</v>
      </c>
      <c r="C2826">
        <v>0</v>
      </c>
      <c r="D2826">
        <v>652</v>
      </c>
      <c r="E2826" t="s">
        <v>9259</v>
      </c>
      <c r="F2826" t="s">
        <v>9260</v>
      </c>
      <c r="G2826" t="s">
        <v>9261</v>
      </c>
      <c r="H2826" t="s">
        <v>3532</v>
      </c>
      <c r="I2826" t="s">
        <v>3490</v>
      </c>
      <c r="J2826" s="56">
        <f t="shared" si="132"/>
        <v>14</v>
      </c>
      <c r="K2826" s="74" t="str">
        <f t="shared" si="133"/>
        <v>4-30 Days</v>
      </c>
      <c r="L2826" s="58" t="str">
        <f t="shared" si="134"/>
        <v>Not Applicable</v>
      </c>
    </row>
    <row r="2827" spans="1:12" ht="16.5" customHeight="1" x14ac:dyDescent="0.35">
      <c r="A2827" t="s">
        <v>1618</v>
      </c>
      <c r="B2827" t="s">
        <v>1618</v>
      </c>
      <c r="C2827">
        <v>0</v>
      </c>
      <c r="D2827">
        <v>305</v>
      </c>
      <c r="E2827" t="s">
        <v>9262</v>
      </c>
      <c r="F2827" t="s">
        <v>9262</v>
      </c>
      <c r="G2827" t="s">
        <v>9263</v>
      </c>
      <c r="H2827" t="s">
        <v>3489</v>
      </c>
      <c r="I2827" t="s">
        <v>3490</v>
      </c>
      <c r="J2827" s="56">
        <f t="shared" si="132"/>
        <v>14</v>
      </c>
      <c r="K2827" s="74" t="str">
        <f t="shared" si="133"/>
        <v>4-30 Days</v>
      </c>
      <c r="L2827" s="58" t="str">
        <f t="shared" si="134"/>
        <v>Not Applicable</v>
      </c>
    </row>
    <row r="2828" spans="1:12" ht="16.5" customHeight="1" x14ac:dyDescent="0.35">
      <c r="A2828" t="s">
        <v>1618</v>
      </c>
      <c r="B2828" t="s">
        <v>1618</v>
      </c>
      <c r="C2828">
        <v>0</v>
      </c>
      <c r="D2828">
        <v>106.2</v>
      </c>
      <c r="E2828" t="s">
        <v>9264</v>
      </c>
      <c r="F2828" t="s">
        <v>9265</v>
      </c>
      <c r="G2828" t="s">
        <v>9266</v>
      </c>
      <c r="H2828" t="s">
        <v>3532</v>
      </c>
      <c r="I2828" t="s">
        <v>3490</v>
      </c>
      <c r="J2828" s="56">
        <f t="shared" si="132"/>
        <v>14</v>
      </c>
      <c r="K2828" s="74" t="str">
        <f t="shared" si="133"/>
        <v>4-30 Days</v>
      </c>
      <c r="L2828" s="58" t="str">
        <f t="shared" si="134"/>
        <v>Not Applicable</v>
      </c>
    </row>
    <row r="2829" spans="1:12" ht="16.5" customHeight="1" x14ac:dyDescent="0.35">
      <c r="A2829" t="s">
        <v>1618</v>
      </c>
      <c r="B2829" t="s">
        <v>1618</v>
      </c>
      <c r="C2829">
        <v>0</v>
      </c>
      <c r="D2829">
        <v>50000</v>
      </c>
      <c r="E2829" t="s">
        <v>9267</v>
      </c>
      <c r="F2829" t="s">
        <v>9267</v>
      </c>
      <c r="G2829" t="s">
        <v>9268</v>
      </c>
      <c r="H2829" t="s">
        <v>3521</v>
      </c>
      <c r="I2829" t="s">
        <v>3490</v>
      </c>
      <c r="J2829" s="56">
        <f t="shared" si="132"/>
        <v>14</v>
      </c>
      <c r="K2829" s="74" t="str">
        <f t="shared" si="133"/>
        <v>4-30 Days</v>
      </c>
      <c r="L2829" s="58" t="str">
        <f t="shared" si="134"/>
        <v>Not Applicable</v>
      </c>
    </row>
    <row r="2830" spans="1:12" ht="16.5" customHeight="1" x14ac:dyDescent="0.35">
      <c r="A2830" t="s">
        <v>1618</v>
      </c>
      <c r="B2830" t="s">
        <v>1618</v>
      </c>
      <c r="C2830">
        <v>0</v>
      </c>
      <c r="D2830">
        <v>600</v>
      </c>
      <c r="E2830" t="s">
        <v>9269</v>
      </c>
      <c r="F2830" t="s">
        <v>9270</v>
      </c>
      <c r="G2830" t="s">
        <v>9271</v>
      </c>
      <c r="H2830" t="s">
        <v>3532</v>
      </c>
      <c r="I2830" t="s">
        <v>3490</v>
      </c>
      <c r="J2830" s="56">
        <f t="shared" si="132"/>
        <v>14</v>
      </c>
      <c r="K2830" s="74" t="str">
        <f t="shared" si="133"/>
        <v>4-30 Days</v>
      </c>
      <c r="L2830" s="58" t="str">
        <f t="shared" si="134"/>
        <v>Not Applicable</v>
      </c>
    </row>
    <row r="2831" spans="1:12" ht="16.5" customHeight="1" x14ac:dyDescent="0.35">
      <c r="A2831" t="s">
        <v>1618</v>
      </c>
      <c r="B2831" t="s">
        <v>1618</v>
      </c>
      <c r="C2831">
        <v>0</v>
      </c>
      <c r="D2831">
        <v>877.92</v>
      </c>
      <c r="E2831" t="s">
        <v>9272</v>
      </c>
      <c r="F2831" t="s">
        <v>9273</v>
      </c>
      <c r="G2831" t="s">
        <v>9274</v>
      </c>
      <c r="H2831" t="s">
        <v>3532</v>
      </c>
      <c r="I2831" t="s">
        <v>3490</v>
      </c>
      <c r="J2831" s="56">
        <f t="shared" si="132"/>
        <v>14</v>
      </c>
      <c r="K2831" s="74" t="str">
        <f t="shared" si="133"/>
        <v>4-30 Days</v>
      </c>
      <c r="L2831" s="58" t="str">
        <f t="shared" si="134"/>
        <v>Not Applicable</v>
      </c>
    </row>
    <row r="2832" spans="1:12" ht="16.5" customHeight="1" x14ac:dyDescent="0.35">
      <c r="A2832" t="s">
        <v>1618</v>
      </c>
      <c r="B2832" t="s">
        <v>1618</v>
      </c>
      <c r="C2832">
        <v>0</v>
      </c>
      <c r="D2832">
        <v>612</v>
      </c>
      <c r="E2832" t="s">
        <v>9275</v>
      </c>
      <c r="F2832" t="s">
        <v>9276</v>
      </c>
      <c r="G2832" t="s">
        <v>9277</v>
      </c>
      <c r="H2832" t="s">
        <v>3532</v>
      </c>
      <c r="I2832" t="s">
        <v>3490</v>
      </c>
      <c r="J2832" s="56">
        <f t="shared" si="132"/>
        <v>14</v>
      </c>
      <c r="K2832" s="74" t="str">
        <f t="shared" si="133"/>
        <v>4-30 Days</v>
      </c>
      <c r="L2832" s="58" t="str">
        <f t="shared" si="134"/>
        <v>Not Applicable</v>
      </c>
    </row>
    <row r="2833" spans="1:12" ht="16.5" customHeight="1" x14ac:dyDescent="0.35">
      <c r="A2833" t="s">
        <v>1618</v>
      </c>
      <c r="B2833" t="s">
        <v>1618</v>
      </c>
      <c r="C2833">
        <v>0</v>
      </c>
      <c r="D2833">
        <v>30784</v>
      </c>
      <c r="E2833" t="s">
        <v>9278</v>
      </c>
      <c r="F2833" t="s">
        <v>3574</v>
      </c>
      <c r="G2833" t="s">
        <v>9279</v>
      </c>
      <c r="H2833" t="s">
        <v>3489</v>
      </c>
      <c r="I2833" t="s">
        <v>3490</v>
      </c>
      <c r="J2833" s="56">
        <f t="shared" si="132"/>
        <v>14</v>
      </c>
      <c r="K2833" s="74" t="str">
        <f t="shared" si="133"/>
        <v>4-30 Days</v>
      </c>
      <c r="L2833" s="58" t="str">
        <f t="shared" si="134"/>
        <v>Not Applicable</v>
      </c>
    </row>
    <row r="2834" spans="1:12" ht="16.5" customHeight="1" x14ac:dyDescent="0.35">
      <c r="A2834" t="s">
        <v>1618</v>
      </c>
      <c r="B2834" t="s">
        <v>1618</v>
      </c>
      <c r="C2834">
        <v>0</v>
      </c>
      <c r="D2834">
        <v>600</v>
      </c>
      <c r="E2834" t="s">
        <v>9280</v>
      </c>
      <c r="F2834" t="s">
        <v>9280</v>
      </c>
      <c r="G2834" t="s">
        <v>9281</v>
      </c>
      <c r="H2834" t="s">
        <v>8175</v>
      </c>
      <c r="I2834" t="s">
        <v>3490</v>
      </c>
      <c r="J2834" s="56">
        <f t="shared" si="132"/>
        <v>14</v>
      </c>
      <c r="K2834" s="74" t="str">
        <f t="shared" si="133"/>
        <v>4-30 Days</v>
      </c>
      <c r="L2834" s="58" t="str">
        <f t="shared" si="134"/>
        <v>Not Applicable</v>
      </c>
    </row>
    <row r="2835" spans="1:12" ht="16.5" customHeight="1" x14ac:dyDescent="0.35">
      <c r="A2835" t="s">
        <v>1618</v>
      </c>
      <c r="B2835" t="s">
        <v>1618</v>
      </c>
      <c r="C2835">
        <v>0</v>
      </c>
      <c r="D2835">
        <v>3186</v>
      </c>
      <c r="E2835" t="s">
        <v>9282</v>
      </c>
      <c r="F2835" t="s">
        <v>3574</v>
      </c>
      <c r="G2835" t="s">
        <v>9283</v>
      </c>
      <c r="H2835" t="s">
        <v>3489</v>
      </c>
      <c r="I2835" t="s">
        <v>3490</v>
      </c>
      <c r="J2835" s="56">
        <f t="shared" si="132"/>
        <v>14</v>
      </c>
      <c r="K2835" s="74" t="str">
        <f t="shared" si="133"/>
        <v>4-30 Days</v>
      </c>
      <c r="L2835" s="58" t="str">
        <f t="shared" si="134"/>
        <v>Not Applicable</v>
      </c>
    </row>
    <row r="2836" spans="1:12" ht="16.5" customHeight="1" x14ac:dyDescent="0.35">
      <c r="A2836" t="s">
        <v>1618</v>
      </c>
      <c r="B2836" t="s">
        <v>1618</v>
      </c>
      <c r="C2836">
        <v>0</v>
      </c>
      <c r="D2836">
        <v>600</v>
      </c>
      <c r="E2836" t="s">
        <v>9284</v>
      </c>
      <c r="F2836" t="s">
        <v>9285</v>
      </c>
      <c r="G2836" t="s">
        <v>9286</v>
      </c>
      <c r="H2836" t="s">
        <v>3532</v>
      </c>
      <c r="I2836" t="s">
        <v>3490</v>
      </c>
      <c r="J2836" s="56">
        <f t="shared" si="132"/>
        <v>14</v>
      </c>
      <c r="K2836" s="74" t="str">
        <f t="shared" si="133"/>
        <v>4-30 Days</v>
      </c>
      <c r="L2836" s="58" t="str">
        <f t="shared" si="134"/>
        <v>Not Applicable</v>
      </c>
    </row>
    <row r="2837" spans="1:12" ht="16.5" customHeight="1" x14ac:dyDescent="0.35">
      <c r="A2837" t="s">
        <v>1618</v>
      </c>
      <c r="B2837" t="s">
        <v>1618</v>
      </c>
      <c r="C2837">
        <v>0</v>
      </c>
      <c r="D2837">
        <v>600</v>
      </c>
      <c r="E2837" t="s">
        <v>9287</v>
      </c>
      <c r="F2837" t="s">
        <v>9288</v>
      </c>
      <c r="G2837" t="s">
        <v>9289</v>
      </c>
      <c r="H2837" t="s">
        <v>3532</v>
      </c>
      <c r="I2837" t="s">
        <v>3490</v>
      </c>
      <c r="J2837" s="56">
        <f t="shared" si="132"/>
        <v>14</v>
      </c>
      <c r="K2837" s="74" t="str">
        <f t="shared" si="133"/>
        <v>4-30 Days</v>
      </c>
      <c r="L2837" s="58" t="str">
        <f t="shared" si="134"/>
        <v>Not Applicable</v>
      </c>
    </row>
    <row r="2838" spans="1:12" ht="16.5" customHeight="1" x14ac:dyDescent="0.35">
      <c r="A2838" t="s">
        <v>1618</v>
      </c>
      <c r="B2838" t="s">
        <v>1618</v>
      </c>
      <c r="C2838">
        <v>0</v>
      </c>
      <c r="D2838">
        <v>4368</v>
      </c>
      <c r="E2838" t="s">
        <v>9290</v>
      </c>
      <c r="F2838" t="s">
        <v>9291</v>
      </c>
      <c r="G2838" t="s">
        <v>9292</v>
      </c>
      <c r="H2838" t="s">
        <v>3532</v>
      </c>
      <c r="I2838" t="s">
        <v>3490</v>
      </c>
      <c r="J2838" s="56">
        <f t="shared" si="132"/>
        <v>14</v>
      </c>
      <c r="K2838" s="74" t="str">
        <f t="shared" si="133"/>
        <v>4-30 Days</v>
      </c>
      <c r="L2838" s="58" t="str">
        <f t="shared" si="134"/>
        <v>Not Applicable</v>
      </c>
    </row>
    <row r="2839" spans="1:12" ht="16.5" customHeight="1" x14ac:dyDescent="0.35">
      <c r="A2839" t="s">
        <v>1618</v>
      </c>
      <c r="B2839" t="s">
        <v>1618</v>
      </c>
      <c r="C2839">
        <v>0</v>
      </c>
      <c r="D2839">
        <v>100</v>
      </c>
      <c r="E2839" t="s">
        <v>9293</v>
      </c>
      <c r="F2839" t="s">
        <v>9293</v>
      </c>
      <c r="G2839" t="s">
        <v>9294</v>
      </c>
      <c r="H2839" t="s">
        <v>3489</v>
      </c>
      <c r="I2839" t="s">
        <v>3490</v>
      </c>
      <c r="J2839" s="56">
        <f t="shared" si="132"/>
        <v>14</v>
      </c>
      <c r="K2839" s="74" t="str">
        <f t="shared" si="133"/>
        <v>4-30 Days</v>
      </c>
      <c r="L2839" s="58" t="str">
        <f t="shared" si="134"/>
        <v>Not Applicable</v>
      </c>
    </row>
    <row r="2840" spans="1:12" ht="16.5" customHeight="1" x14ac:dyDescent="0.35">
      <c r="A2840" t="s">
        <v>1618</v>
      </c>
      <c r="B2840" t="s">
        <v>1618</v>
      </c>
      <c r="C2840">
        <v>0</v>
      </c>
      <c r="D2840">
        <v>729.24</v>
      </c>
      <c r="E2840" t="s">
        <v>9295</v>
      </c>
      <c r="F2840" t="s">
        <v>9296</v>
      </c>
      <c r="G2840" t="s">
        <v>9297</v>
      </c>
      <c r="H2840" t="s">
        <v>3532</v>
      </c>
      <c r="I2840" t="s">
        <v>3490</v>
      </c>
      <c r="J2840" s="56">
        <f t="shared" si="132"/>
        <v>14</v>
      </c>
      <c r="K2840" s="74" t="str">
        <f t="shared" si="133"/>
        <v>4-30 Days</v>
      </c>
      <c r="L2840" s="58" t="str">
        <f t="shared" si="134"/>
        <v>Not Applicable</v>
      </c>
    </row>
    <row r="2841" spans="1:12" ht="16.5" customHeight="1" x14ac:dyDescent="0.35">
      <c r="A2841" t="s">
        <v>1618</v>
      </c>
      <c r="B2841" t="s">
        <v>1618</v>
      </c>
      <c r="C2841">
        <v>0</v>
      </c>
      <c r="D2841">
        <v>10090</v>
      </c>
      <c r="E2841" t="s">
        <v>9298</v>
      </c>
      <c r="F2841" t="s">
        <v>9298</v>
      </c>
      <c r="G2841" t="s">
        <v>9299</v>
      </c>
      <c r="H2841" t="s">
        <v>3489</v>
      </c>
      <c r="I2841" t="s">
        <v>3507</v>
      </c>
      <c r="J2841" s="56">
        <f t="shared" si="132"/>
        <v>14</v>
      </c>
      <c r="K2841" s="74" t="str">
        <f t="shared" si="133"/>
        <v>4-30 Days</v>
      </c>
      <c r="L2841" s="58" t="str">
        <f t="shared" si="134"/>
        <v>Not Applicable</v>
      </c>
    </row>
    <row r="2842" spans="1:12" ht="16.5" customHeight="1" x14ac:dyDescent="0.35">
      <c r="A2842" t="s">
        <v>1618</v>
      </c>
      <c r="B2842" t="s">
        <v>1618</v>
      </c>
      <c r="C2842">
        <v>0</v>
      </c>
      <c r="D2842">
        <v>236</v>
      </c>
      <c r="E2842" t="s">
        <v>9300</v>
      </c>
      <c r="F2842" t="s">
        <v>9301</v>
      </c>
      <c r="G2842" t="s">
        <v>9302</v>
      </c>
      <c r="H2842" t="s">
        <v>3532</v>
      </c>
      <c r="I2842" t="s">
        <v>3490</v>
      </c>
      <c r="J2842" s="56">
        <f t="shared" si="132"/>
        <v>14</v>
      </c>
      <c r="K2842" s="74" t="str">
        <f t="shared" si="133"/>
        <v>4-30 Days</v>
      </c>
      <c r="L2842" s="58" t="str">
        <f t="shared" si="134"/>
        <v>Not Applicable</v>
      </c>
    </row>
    <row r="2843" spans="1:12" ht="16.5" customHeight="1" x14ac:dyDescent="0.35">
      <c r="A2843" t="s">
        <v>1618</v>
      </c>
      <c r="B2843" t="s">
        <v>1618</v>
      </c>
      <c r="C2843">
        <v>0</v>
      </c>
      <c r="D2843">
        <v>600</v>
      </c>
      <c r="E2843" t="s">
        <v>9303</v>
      </c>
      <c r="F2843" t="s">
        <v>9304</v>
      </c>
      <c r="G2843" t="s">
        <v>9305</v>
      </c>
      <c r="H2843" t="s">
        <v>3532</v>
      </c>
      <c r="I2843" t="s">
        <v>3490</v>
      </c>
      <c r="J2843" s="56">
        <f t="shared" si="132"/>
        <v>14</v>
      </c>
      <c r="K2843" s="74" t="str">
        <f t="shared" si="133"/>
        <v>4-30 Days</v>
      </c>
      <c r="L2843" s="58" t="str">
        <f t="shared" si="134"/>
        <v>Not Applicable</v>
      </c>
    </row>
    <row r="2844" spans="1:12" ht="16.5" customHeight="1" x14ac:dyDescent="0.35">
      <c r="A2844" t="s">
        <v>1618</v>
      </c>
      <c r="B2844" t="s">
        <v>1618</v>
      </c>
      <c r="C2844">
        <v>0</v>
      </c>
      <c r="D2844">
        <v>600</v>
      </c>
      <c r="E2844" t="s">
        <v>9306</v>
      </c>
      <c r="F2844" t="s">
        <v>9307</v>
      </c>
      <c r="G2844" t="s">
        <v>9308</v>
      </c>
      <c r="H2844" t="s">
        <v>3532</v>
      </c>
      <c r="I2844" t="s">
        <v>3490</v>
      </c>
      <c r="J2844" s="56">
        <f t="shared" si="132"/>
        <v>14</v>
      </c>
      <c r="K2844" s="74" t="str">
        <f t="shared" si="133"/>
        <v>4-30 Days</v>
      </c>
      <c r="L2844" s="58" t="str">
        <f t="shared" si="134"/>
        <v>Not Applicable</v>
      </c>
    </row>
    <row r="2845" spans="1:12" ht="16.5" customHeight="1" x14ac:dyDescent="0.35">
      <c r="A2845" t="s">
        <v>1618</v>
      </c>
      <c r="B2845" t="s">
        <v>1618</v>
      </c>
      <c r="C2845">
        <v>0</v>
      </c>
      <c r="D2845">
        <v>600</v>
      </c>
      <c r="E2845" t="s">
        <v>9309</v>
      </c>
      <c r="F2845" t="s">
        <v>9310</v>
      </c>
      <c r="G2845" t="s">
        <v>9311</v>
      </c>
      <c r="H2845" t="s">
        <v>3532</v>
      </c>
      <c r="I2845" t="s">
        <v>3490</v>
      </c>
      <c r="J2845" s="56">
        <f t="shared" si="132"/>
        <v>14</v>
      </c>
      <c r="K2845" s="74" t="str">
        <f t="shared" si="133"/>
        <v>4-30 Days</v>
      </c>
      <c r="L2845" s="58" t="str">
        <f t="shared" si="134"/>
        <v>Not Applicable</v>
      </c>
    </row>
    <row r="2846" spans="1:12" ht="16.5" customHeight="1" x14ac:dyDescent="0.35">
      <c r="A2846" t="s">
        <v>1618</v>
      </c>
      <c r="B2846" t="s">
        <v>1618</v>
      </c>
      <c r="C2846">
        <v>0</v>
      </c>
      <c r="D2846">
        <v>600</v>
      </c>
      <c r="E2846" t="s">
        <v>9312</v>
      </c>
      <c r="F2846" t="s">
        <v>9313</v>
      </c>
      <c r="G2846" t="s">
        <v>9314</v>
      </c>
      <c r="H2846" t="s">
        <v>3532</v>
      </c>
      <c r="I2846" t="s">
        <v>3490</v>
      </c>
      <c r="J2846" s="56">
        <f t="shared" si="132"/>
        <v>14</v>
      </c>
      <c r="K2846" s="74" t="str">
        <f t="shared" si="133"/>
        <v>4-30 Days</v>
      </c>
      <c r="L2846" s="58" t="str">
        <f t="shared" si="134"/>
        <v>Not Applicable</v>
      </c>
    </row>
    <row r="2847" spans="1:12" ht="16.5" customHeight="1" x14ac:dyDescent="0.35">
      <c r="A2847" t="s">
        <v>1618</v>
      </c>
      <c r="B2847" t="s">
        <v>1618</v>
      </c>
      <c r="C2847">
        <v>0</v>
      </c>
      <c r="D2847">
        <v>226.56</v>
      </c>
      <c r="E2847" t="s">
        <v>9315</v>
      </c>
      <c r="F2847" t="s">
        <v>9316</v>
      </c>
      <c r="G2847" t="s">
        <v>9317</v>
      </c>
      <c r="H2847" t="s">
        <v>3532</v>
      </c>
      <c r="I2847" t="s">
        <v>3490</v>
      </c>
      <c r="J2847" s="56">
        <f t="shared" si="132"/>
        <v>14</v>
      </c>
      <c r="K2847" s="74" t="str">
        <f t="shared" si="133"/>
        <v>4-30 Days</v>
      </c>
      <c r="L2847" s="58" t="str">
        <f t="shared" si="134"/>
        <v>Not Applicable</v>
      </c>
    </row>
    <row r="2848" spans="1:12" ht="16.5" customHeight="1" x14ac:dyDescent="0.35">
      <c r="A2848" t="s">
        <v>1618</v>
      </c>
      <c r="B2848" t="s">
        <v>1618</v>
      </c>
      <c r="C2848">
        <v>0</v>
      </c>
      <c r="D2848">
        <v>212.4</v>
      </c>
      <c r="E2848" t="s">
        <v>9318</v>
      </c>
      <c r="F2848" t="s">
        <v>9319</v>
      </c>
      <c r="G2848" t="s">
        <v>9320</v>
      </c>
      <c r="H2848" t="s">
        <v>3532</v>
      </c>
      <c r="I2848" t="s">
        <v>3490</v>
      </c>
      <c r="J2848" s="56">
        <f t="shared" si="132"/>
        <v>14</v>
      </c>
      <c r="K2848" s="74" t="str">
        <f t="shared" si="133"/>
        <v>4-30 Days</v>
      </c>
      <c r="L2848" s="58" t="str">
        <f t="shared" si="134"/>
        <v>Not Applicable</v>
      </c>
    </row>
    <row r="2849" spans="1:12" ht="16.5" customHeight="1" x14ac:dyDescent="0.35">
      <c r="A2849" t="s">
        <v>1618</v>
      </c>
      <c r="B2849" t="s">
        <v>1618</v>
      </c>
      <c r="C2849">
        <v>0</v>
      </c>
      <c r="D2849">
        <v>600</v>
      </c>
      <c r="E2849" t="s">
        <v>9321</v>
      </c>
      <c r="F2849" t="s">
        <v>9322</v>
      </c>
      <c r="G2849" t="s">
        <v>9323</v>
      </c>
      <c r="H2849" t="s">
        <v>3532</v>
      </c>
      <c r="I2849" t="s">
        <v>3490</v>
      </c>
      <c r="J2849" s="56">
        <f t="shared" si="132"/>
        <v>14</v>
      </c>
      <c r="K2849" s="74" t="str">
        <f t="shared" si="133"/>
        <v>4-30 Days</v>
      </c>
      <c r="L2849" s="58" t="str">
        <f t="shared" si="134"/>
        <v>Not Applicable</v>
      </c>
    </row>
    <row r="2850" spans="1:12" ht="16.5" customHeight="1" x14ac:dyDescent="0.35">
      <c r="A2850" t="s">
        <v>1618</v>
      </c>
      <c r="B2850" t="s">
        <v>1618</v>
      </c>
      <c r="C2850">
        <v>0</v>
      </c>
      <c r="D2850">
        <v>600</v>
      </c>
      <c r="E2850" t="s">
        <v>9324</v>
      </c>
      <c r="F2850" t="s">
        <v>9325</v>
      </c>
      <c r="G2850" t="s">
        <v>9326</v>
      </c>
      <c r="H2850" t="s">
        <v>3532</v>
      </c>
      <c r="I2850" t="s">
        <v>3490</v>
      </c>
      <c r="J2850" s="56">
        <f t="shared" si="132"/>
        <v>14</v>
      </c>
      <c r="K2850" s="74" t="str">
        <f t="shared" si="133"/>
        <v>4-30 Days</v>
      </c>
      <c r="L2850" s="58" t="str">
        <f t="shared" si="134"/>
        <v>Not Applicable</v>
      </c>
    </row>
    <row r="2851" spans="1:12" ht="16.5" customHeight="1" x14ac:dyDescent="0.35">
      <c r="A2851" t="s">
        <v>1618</v>
      </c>
      <c r="B2851" t="s">
        <v>1618</v>
      </c>
      <c r="C2851">
        <v>0</v>
      </c>
      <c r="D2851">
        <v>250</v>
      </c>
      <c r="E2851" t="s">
        <v>9327</v>
      </c>
      <c r="F2851" t="s">
        <v>9327</v>
      </c>
      <c r="G2851" t="s">
        <v>9328</v>
      </c>
      <c r="H2851" t="s">
        <v>3489</v>
      </c>
      <c r="I2851" t="s">
        <v>3490</v>
      </c>
      <c r="J2851" s="56">
        <f t="shared" si="132"/>
        <v>14</v>
      </c>
      <c r="K2851" s="74" t="str">
        <f t="shared" si="133"/>
        <v>4-30 Days</v>
      </c>
      <c r="L2851" s="58" t="str">
        <f t="shared" si="134"/>
        <v>Not Applicable</v>
      </c>
    </row>
    <row r="2852" spans="1:12" ht="16.5" customHeight="1" x14ac:dyDescent="0.35">
      <c r="A2852" t="s">
        <v>1618</v>
      </c>
      <c r="B2852" t="s">
        <v>1618</v>
      </c>
      <c r="C2852">
        <v>0</v>
      </c>
      <c r="D2852">
        <v>652</v>
      </c>
      <c r="E2852" t="s">
        <v>9329</v>
      </c>
      <c r="F2852" t="s">
        <v>9330</v>
      </c>
      <c r="G2852" t="s">
        <v>9331</v>
      </c>
      <c r="H2852" t="s">
        <v>3532</v>
      </c>
      <c r="I2852" t="s">
        <v>3490</v>
      </c>
      <c r="J2852" s="56">
        <f t="shared" si="132"/>
        <v>14</v>
      </c>
      <c r="K2852" s="74" t="str">
        <f t="shared" si="133"/>
        <v>4-30 Days</v>
      </c>
      <c r="L2852" s="58" t="str">
        <f t="shared" si="134"/>
        <v>Not Applicable</v>
      </c>
    </row>
    <row r="2853" spans="1:12" ht="16.5" customHeight="1" x14ac:dyDescent="0.35">
      <c r="A2853" t="s">
        <v>1618</v>
      </c>
      <c r="B2853" t="s">
        <v>1618</v>
      </c>
      <c r="C2853">
        <v>0</v>
      </c>
      <c r="D2853">
        <v>545.16</v>
      </c>
      <c r="E2853" t="s">
        <v>9332</v>
      </c>
      <c r="F2853" t="s">
        <v>9333</v>
      </c>
      <c r="G2853" t="s">
        <v>9334</v>
      </c>
      <c r="H2853" t="s">
        <v>3532</v>
      </c>
      <c r="I2853" t="s">
        <v>3490</v>
      </c>
      <c r="J2853" s="56">
        <f t="shared" si="132"/>
        <v>14</v>
      </c>
      <c r="K2853" s="74" t="str">
        <f t="shared" si="133"/>
        <v>4-30 Days</v>
      </c>
      <c r="L2853" s="58" t="str">
        <f t="shared" si="134"/>
        <v>Not Applicable</v>
      </c>
    </row>
    <row r="2854" spans="1:12" ht="16.5" customHeight="1" x14ac:dyDescent="0.35">
      <c r="A2854" t="s">
        <v>1618</v>
      </c>
      <c r="B2854" t="s">
        <v>1618</v>
      </c>
      <c r="C2854">
        <v>0</v>
      </c>
      <c r="D2854">
        <v>29579.200000000001</v>
      </c>
      <c r="E2854" t="s">
        <v>9335</v>
      </c>
      <c r="F2854" t="s">
        <v>3574</v>
      </c>
      <c r="G2854" t="s">
        <v>9336</v>
      </c>
      <c r="H2854" t="s">
        <v>3489</v>
      </c>
      <c r="I2854" t="s">
        <v>3490</v>
      </c>
      <c r="J2854" s="56">
        <f t="shared" si="132"/>
        <v>14</v>
      </c>
      <c r="K2854" s="74" t="str">
        <f t="shared" si="133"/>
        <v>4-30 Days</v>
      </c>
      <c r="L2854" s="58" t="str">
        <f t="shared" si="134"/>
        <v>Not Applicable</v>
      </c>
    </row>
    <row r="2855" spans="1:12" ht="16.5" customHeight="1" x14ac:dyDescent="0.35">
      <c r="A2855" t="s">
        <v>1618</v>
      </c>
      <c r="B2855" t="s">
        <v>1618</v>
      </c>
      <c r="C2855">
        <v>0</v>
      </c>
      <c r="D2855">
        <v>250</v>
      </c>
      <c r="E2855" t="s">
        <v>9337</v>
      </c>
      <c r="F2855" t="s">
        <v>9337</v>
      </c>
      <c r="G2855" t="s">
        <v>9338</v>
      </c>
      <c r="H2855" t="s">
        <v>3489</v>
      </c>
      <c r="I2855" t="s">
        <v>3490</v>
      </c>
      <c r="J2855" s="56">
        <f t="shared" si="132"/>
        <v>14</v>
      </c>
      <c r="K2855" s="74" t="str">
        <f t="shared" si="133"/>
        <v>4-30 Days</v>
      </c>
      <c r="L2855" s="58" t="str">
        <f t="shared" si="134"/>
        <v>Not Applicable</v>
      </c>
    </row>
    <row r="2856" spans="1:12" ht="16.5" customHeight="1" x14ac:dyDescent="0.35">
      <c r="A2856" t="s">
        <v>1618</v>
      </c>
      <c r="B2856" t="s">
        <v>1618</v>
      </c>
      <c r="C2856">
        <v>0</v>
      </c>
      <c r="D2856">
        <v>1128</v>
      </c>
      <c r="E2856" t="s">
        <v>9339</v>
      </c>
      <c r="F2856" t="s">
        <v>9339</v>
      </c>
      <c r="G2856" t="s">
        <v>9340</v>
      </c>
      <c r="H2856" t="s">
        <v>3489</v>
      </c>
      <c r="I2856" t="s">
        <v>3490</v>
      </c>
      <c r="J2856" s="56">
        <f t="shared" si="132"/>
        <v>14</v>
      </c>
      <c r="K2856" s="74" t="str">
        <f t="shared" si="133"/>
        <v>4-30 Days</v>
      </c>
      <c r="L2856" s="58" t="str">
        <f t="shared" si="134"/>
        <v>Not Applicable</v>
      </c>
    </row>
    <row r="2857" spans="1:12" ht="16.5" customHeight="1" x14ac:dyDescent="0.35">
      <c r="A2857" t="s">
        <v>1618</v>
      </c>
      <c r="B2857" t="s">
        <v>1618</v>
      </c>
      <c r="C2857">
        <v>0</v>
      </c>
      <c r="D2857">
        <v>640</v>
      </c>
      <c r="E2857" t="s">
        <v>9341</v>
      </c>
      <c r="F2857" t="s">
        <v>9342</v>
      </c>
      <c r="G2857" t="s">
        <v>9343</v>
      </c>
      <c r="H2857" t="s">
        <v>3532</v>
      </c>
      <c r="I2857" t="s">
        <v>3490</v>
      </c>
      <c r="J2857" s="56">
        <f t="shared" si="132"/>
        <v>14</v>
      </c>
      <c r="K2857" s="74" t="str">
        <f t="shared" si="133"/>
        <v>4-30 Days</v>
      </c>
      <c r="L2857" s="58" t="str">
        <f t="shared" si="134"/>
        <v>Not Applicable</v>
      </c>
    </row>
    <row r="2858" spans="1:12" ht="16.5" customHeight="1" x14ac:dyDescent="0.35">
      <c r="A2858" t="s">
        <v>1618</v>
      </c>
      <c r="B2858" t="s">
        <v>1618</v>
      </c>
      <c r="C2858">
        <v>0</v>
      </c>
      <c r="D2858">
        <v>250</v>
      </c>
      <c r="E2858" t="s">
        <v>9344</v>
      </c>
      <c r="F2858" t="s">
        <v>9344</v>
      </c>
      <c r="G2858" t="s">
        <v>9345</v>
      </c>
      <c r="H2858" t="s">
        <v>3489</v>
      </c>
      <c r="I2858" t="s">
        <v>3490</v>
      </c>
      <c r="J2858" s="56">
        <f t="shared" si="132"/>
        <v>14</v>
      </c>
      <c r="K2858" s="74" t="str">
        <f t="shared" si="133"/>
        <v>4-30 Days</v>
      </c>
      <c r="L2858" s="58" t="str">
        <f t="shared" si="134"/>
        <v>Not Applicable</v>
      </c>
    </row>
    <row r="2859" spans="1:12" ht="16.5" customHeight="1" x14ac:dyDescent="0.35">
      <c r="A2859" t="s">
        <v>1618</v>
      </c>
      <c r="B2859" t="s">
        <v>1618</v>
      </c>
      <c r="C2859">
        <v>0</v>
      </c>
      <c r="D2859">
        <v>100</v>
      </c>
      <c r="E2859" t="s">
        <v>9346</v>
      </c>
      <c r="F2859" t="s">
        <v>9346</v>
      </c>
      <c r="G2859" t="s">
        <v>9347</v>
      </c>
      <c r="H2859" t="s">
        <v>3489</v>
      </c>
      <c r="I2859" t="s">
        <v>3490</v>
      </c>
      <c r="J2859" s="56">
        <f t="shared" si="132"/>
        <v>14</v>
      </c>
      <c r="K2859" s="74" t="str">
        <f t="shared" si="133"/>
        <v>4-30 Days</v>
      </c>
      <c r="L2859" s="58" t="str">
        <f t="shared" si="134"/>
        <v>Not Applicable</v>
      </c>
    </row>
    <row r="2860" spans="1:12" ht="16.5" customHeight="1" x14ac:dyDescent="0.35">
      <c r="A2860" t="s">
        <v>1618</v>
      </c>
      <c r="B2860" t="s">
        <v>1618</v>
      </c>
      <c r="C2860">
        <v>0</v>
      </c>
      <c r="D2860">
        <v>600</v>
      </c>
      <c r="E2860" t="s">
        <v>9348</v>
      </c>
      <c r="F2860" t="s">
        <v>9349</v>
      </c>
      <c r="G2860" t="s">
        <v>9350</v>
      </c>
      <c r="H2860" t="s">
        <v>3532</v>
      </c>
      <c r="I2860" t="s">
        <v>3490</v>
      </c>
      <c r="J2860" s="56">
        <f t="shared" si="132"/>
        <v>14</v>
      </c>
      <c r="K2860" s="74" t="str">
        <f t="shared" si="133"/>
        <v>4-30 Days</v>
      </c>
      <c r="L2860" s="58" t="str">
        <f t="shared" si="134"/>
        <v>Not Applicable</v>
      </c>
    </row>
    <row r="2861" spans="1:12" ht="16.5" customHeight="1" x14ac:dyDescent="0.35">
      <c r="A2861" t="s">
        <v>1618</v>
      </c>
      <c r="B2861" t="s">
        <v>1618</v>
      </c>
      <c r="C2861">
        <v>0</v>
      </c>
      <c r="D2861">
        <v>50000</v>
      </c>
      <c r="E2861" t="s">
        <v>9351</v>
      </c>
      <c r="F2861" t="s">
        <v>9351</v>
      </c>
      <c r="G2861" t="s">
        <v>9352</v>
      </c>
      <c r="H2861" t="s">
        <v>3489</v>
      </c>
      <c r="I2861" t="s">
        <v>3490</v>
      </c>
      <c r="J2861" s="56">
        <f t="shared" si="132"/>
        <v>14</v>
      </c>
      <c r="K2861" s="74" t="str">
        <f t="shared" si="133"/>
        <v>4-30 Days</v>
      </c>
      <c r="L2861" s="58" t="str">
        <f t="shared" si="134"/>
        <v>Not Applicable</v>
      </c>
    </row>
    <row r="2862" spans="1:12" ht="16.5" customHeight="1" x14ac:dyDescent="0.35">
      <c r="A2862" t="s">
        <v>1618</v>
      </c>
      <c r="B2862" t="s">
        <v>1618</v>
      </c>
      <c r="C2862">
        <v>0</v>
      </c>
      <c r="D2862">
        <v>600</v>
      </c>
      <c r="E2862" t="s">
        <v>9353</v>
      </c>
      <c r="F2862" t="s">
        <v>9354</v>
      </c>
      <c r="G2862" t="s">
        <v>9355</v>
      </c>
      <c r="H2862" t="s">
        <v>3532</v>
      </c>
      <c r="I2862" t="s">
        <v>3490</v>
      </c>
      <c r="J2862" s="56">
        <f t="shared" si="132"/>
        <v>14</v>
      </c>
      <c r="K2862" s="74" t="str">
        <f t="shared" si="133"/>
        <v>4-30 Days</v>
      </c>
      <c r="L2862" s="58" t="str">
        <f t="shared" si="134"/>
        <v>Not Applicable</v>
      </c>
    </row>
    <row r="2863" spans="1:12" ht="16.5" customHeight="1" x14ac:dyDescent="0.35">
      <c r="A2863" t="s">
        <v>1618</v>
      </c>
      <c r="B2863" t="s">
        <v>1618</v>
      </c>
      <c r="C2863">
        <v>0</v>
      </c>
      <c r="D2863">
        <v>600</v>
      </c>
      <c r="E2863" t="s">
        <v>9356</v>
      </c>
      <c r="F2863" t="s">
        <v>9356</v>
      </c>
      <c r="G2863" t="s">
        <v>9357</v>
      </c>
      <c r="H2863" t="s">
        <v>8175</v>
      </c>
      <c r="I2863" t="s">
        <v>3490</v>
      </c>
      <c r="J2863" s="56">
        <f t="shared" si="132"/>
        <v>14</v>
      </c>
      <c r="K2863" s="74" t="str">
        <f t="shared" si="133"/>
        <v>4-30 Days</v>
      </c>
      <c r="L2863" s="58" t="str">
        <f t="shared" si="134"/>
        <v>Not Applicable</v>
      </c>
    </row>
    <row r="2864" spans="1:12" ht="16.5" customHeight="1" x14ac:dyDescent="0.35">
      <c r="A2864" t="s">
        <v>1618</v>
      </c>
      <c r="B2864" t="s">
        <v>1618</v>
      </c>
      <c r="C2864">
        <v>0</v>
      </c>
      <c r="D2864">
        <v>640</v>
      </c>
      <c r="E2864" t="s">
        <v>9358</v>
      </c>
      <c r="F2864" t="s">
        <v>9359</v>
      </c>
      <c r="G2864" t="s">
        <v>9360</v>
      </c>
      <c r="H2864" t="s">
        <v>3532</v>
      </c>
      <c r="I2864" t="s">
        <v>3490</v>
      </c>
      <c r="J2864" s="56">
        <f t="shared" si="132"/>
        <v>14</v>
      </c>
      <c r="K2864" s="74" t="str">
        <f t="shared" si="133"/>
        <v>4-30 Days</v>
      </c>
      <c r="L2864" s="58" t="str">
        <f t="shared" si="134"/>
        <v>Not Applicable</v>
      </c>
    </row>
    <row r="2865" spans="1:12" ht="16.5" customHeight="1" x14ac:dyDescent="0.35">
      <c r="A2865" t="s">
        <v>1618</v>
      </c>
      <c r="B2865" t="s">
        <v>1618</v>
      </c>
      <c r="C2865">
        <v>0</v>
      </c>
      <c r="D2865">
        <v>640</v>
      </c>
      <c r="E2865" t="s">
        <v>9361</v>
      </c>
      <c r="F2865" t="s">
        <v>9362</v>
      </c>
      <c r="G2865" t="s">
        <v>9363</v>
      </c>
      <c r="H2865" t="s">
        <v>3532</v>
      </c>
      <c r="I2865" t="s">
        <v>3490</v>
      </c>
      <c r="J2865" s="56">
        <f t="shared" si="132"/>
        <v>14</v>
      </c>
      <c r="K2865" s="74" t="str">
        <f t="shared" si="133"/>
        <v>4-30 Days</v>
      </c>
      <c r="L2865" s="58" t="str">
        <f t="shared" si="134"/>
        <v>Not Applicable</v>
      </c>
    </row>
    <row r="2866" spans="1:12" ht="16.5" customHeight="1" x14ac:dyDescent="0.35">
      <c r="A2866" t="s">
        <v>1618</v>
      </c>
      <c r="B2866" t="s">
        <v>1618</v>
      </c>
      <c r="C2866">
        <v>0</v>
      </c>
      <c r="D2866">
        <v>100</v>
      </c>
      <c r="E2866" t="s">
        <v>9364</v>
      </c>
      <c r="F2866" t="s">
        <v>9364</v>
      </c>
      <c r="G2866" t="s">
        <v>9365</v>
      </c>
      <c r="H2866" t="s">
        <v>3489</v>
      </c>
      <c r="I2866" t="s">
        <v>3490</v>
      </c>
      <c r="J2866" s="56">
        <f t="shared" si="132"/>
        <v>14</v>
      </c>
      <c r="K2866" s="74" t="str">
        <f t="shared" si="133"/>
        <v>4-30 Days</v>
      </c>
      <c r="L2866" s="58" t="str">
        <f t="shared" si="134"/>
        <v>Not Applicable</v>
      </c>
    </row>
    <row r="2867" spans="1:12" ht="16.5" customHeight="1" x14ac:dyDescent="0.35">
      <c r="A2867" t="s">
        <v>1618</v>
      </c>
      <c r="B2867" t="s">
        <v>1618</v>
      </c>
      <c r="C2867">
        <v>0</v>
      </c>
      <c r="D2867">
        <v>100</v>
      </c>
      <c r="E2867" t="s">
        <v>9366</v>
      </c>
      <c r="F2867" t="s">
        <v>9367</v>
      </c>
      <c r="G2867" t="s">
        <v>9368</v>
      </c>
      <c r="H2867" t="s">
        <v>3532</v>
      </c>
      <c r="I2867" t="s">
        <v>3490</v>
      </c>
      <c r="J2867" s="56">
        <f t="shared" si="132"/>
        <v>14</v>
      </c>
      <c r="K2867" s="74" t="str">
        <f t="shared" si="133"/>
        <v>4-30 Days</v>
      </c>
      <c r="L2867" s="58" t="str">
        <f t="shared" si="134"/>
        <v>Not Applicable</v>
      </c>
    </row>
    <row r="2868" spans="1:12" ht="16.5" customHeight="1" x14ac:dyDescent="0.35">
      <c r="A2868" t="s">
        <v>1618</v>
      </c>
      <c r="B2868" t="s">
        <v>1618</v>
      </c>
      <c r="C2868">
        <v>0</v>
      </c>
      <c r="D2868">
        <v>652</v>
      </c>
      <c r="E2868" t="s">
        <v>9369</v>
      </c>
      <c r="F2868" t="s">
        <v>9370</v>
      </c>
      <c r="G2868" t="s">
        <v>9371</v>
      </c>
      <c r="H2868" t="s">
        <v>3532</v>
      </c>
      <c r="I2868" t="s">
        <v>3490</v>
      </c>
      <c r="J2868" s="56">
        <f t="shared" si="132"/>
        <v>14</v>
      </c>
      <c r="K2868" s="74" t="str">
        <f t="shared" si="133"/>
        <v>4-30 Days</v>
      </c>
      <c r="L2868" s="58" t="str">
        <f t="shared" si="134"/>
        <v>Not Applicable</v>
      </c>
    </row>
    <row r="2869" spans="1:12" ht="16.5" customHeight="1" x14ac:dyDescent="0.35">
      <c r="A2869" t="s">
        <v>1618</v>
      </c>
      <c r="B2869" t="s">
        <v>1618</v>
      </c>
      <c r="C2869">
        <v>0</v>
      </c>
      <c r="D2869">
        <v>2749.4</v>
      </c>
      <c r="E2869" t="s">
        <v>9372</v>
      </c>
      <c r="F2869" t="s">
        <v>9373</v>
      </c>
      <c r="G2869" t="s">
        <v>9374</v>
      </c>
      <c r="H2869" t="s">
        <v>3532</v>
      </c>
      <c r="I2869" t="s">
        <v>3490</v>
      </c>
      <c r="J2869" s="56">
        <f t="shared" si="132"/>
        <v>14</v>
      </c>
      <c r="K2869" s="74" t="str">
        <f t="shared" si="133"/>
        <v>4-30 Days</v>
      </c>
      <c r="L2869" s="58" t="str">
        <f t="shared" si="134"/>
        <v>Not Applicable</v>
      </c>
    </row>
    <row r="2870" spans="1:12" ht="16.5" customHeight="1" x14ac:dyDescent="0.35">
      <c r="A2870" t="s">
        <v>1618</v>
      </c>
      <c r="B2870" t="s">
        <v>1618</v>
      </c>
      <c r="C2870">
        <v>0</v>
      </c>
      <c r="D2870">
        <v>1000</v>
      </c>
      <c r="E2870" t="s">
        <v>9375</v>
      </c>
      <c r="F2870" t="s">
        <v>9375</v>
      </c>
      <c r="G2870" t="s">
        <v>9376</v>
      </c>
      <c r="H2870" t="s">
        <v>3489</v>
      </c>
      <c r="I2870" t="s">
        <v>3490</v>
      </c>
      <c r="J2870" s="56">
        <f t="shared" si="132"/>
        <v>14</v>
      </c>
      <c r="K2870" s="74" t="str">
        <f t="shared" si="133"/>
        <v>4-30 Days</v>
      </c>
      <c r="L2870" s="58" t="str">
        <f t="shared" si="134"/>
        <v>Not Applicable</v>
      </c>
    </row>
    <row r="2871" spans="1:12" ht="16.5" customHeight="1" x14ac:dyDescent="0.35">
      <c r="A2871" t="s">
        <v>1618</v>
      </c>
      <c r="B2871" t="s">
        <v>1618</v>
      </c>
      <c r="C2871">
        <v>0</v>
      </c>
      <c r="D2871">
        <v>1000</v>
      </c>
      <c r="E2871" t="s">
        <v>9377</v>
      </c>
      <c r="F2871" t="s">
        <v>9378</v>
      </c>
      <c r="G2871" t="s">
        <v>9379</v>
      </c>
      <c r="H2871" t="s">
        <v>3489</v>
      </c>
      <c r="I2871" t="s">
        <v>3490</v>
      </c>
      <c r="J2871" s="56">
        <f t="shared" si="132"/>
        <v>14</v>
      </c>
      <c r="K2871" s="74" t="str">
        <f t="shared" si="133"/>
        <v>4-30 Days</v>
      </c>
      <c r="L2871" s="58" t="str">
        <f t="shared" si="134"/>
        <v>Not Applicable</v>
      </c>
    </row>
    <row r="2872" spans="1:12" ht="16.5" customHeight="1" x14ac:dyDescent="0.35">
      <c r="A2872" t="s">
        <v>1618</v>
      </c>
      <c r="B2872" t="s">
        <v>1618</v>
      </c>
      <c r="C2872">
        <v>0</v>
      </c>
      <c r="D2872">
        <v>612</v>
      </c>
      <c r="E2872" t="s">
        <v>9380</v>
      </c>
      <c r="F2872" t="s">
        <v>9381</v>
      </c>
      <c r="G2872" t="s">
        <v>9382</v>
      </c>
      <c r="H2872" t="s">
        <v>3532</v>
      </c>
      <c r="I2872" t="s">
        <v>3490</v>
      </c>
      <c r="J2872" s="56">
        <f t="shared" si="132"/>
        <v>14</v>
      </c>
      <c r="K2872" s="74" t="str">
        <f t="shared" si="133"/>
        <v>4-30 Days</v>
      </c>
      <c r="L2872" s="58" t="str">
        <f t="shared" si="134"/>
        <v>Not Applicable</v>
      </c>
    </row>
    <row r="2873" spans="1:12" ht="16.5" customHeight="1" x14ac:dyDescent="0.35">
      <c r="A2873" t="s">
        <v>1618</v>
      </c>
      <c r="B2873" t="s">
        <v>1618</v>
      </c>
      <c r="C2873">
        <v>0</v>
      </c>
      <c r="D2873">
        <v>652</v>
      </c>
      <c r="E2873" t="s">
        <v>9383</v>
      </c>
      <c r="F2873" t="s">
        <v>9384</v>
      </c>
      <c r="G2873" t="s">
        <v>9385</v>
      </c>
      <c r="H2873" t="s">
        <v>3532</v>
      </c>
      <c r="I2873" t="s">
        <v>3490</v>
      </c>
      <c r="J2873" s="56">
        <f t="shared" si="132"/>
        <v>14</v>
      </c>
      <c r="K2873" s="74" t="str">
        <f t="shared" si="133"/>
        <v>4-30 Days</v>
      </c>
      <c r="L2873" s="58" t="str">
        <f t="shared" si="134"/>
        <v>Not Applicable</v>
      </c>
    </row>
    <row r="2874" spans="1:12" ht="16.5" customHeight="1" x14ac:dyDescent="0.35">
      <c r="A2874" t="s">
        <v>1618</v>
      </c>
      <c r="B2874" t="s">
        <v>1618</v>
      </c>
      <c r="C2874">
        <v>0</v>
      </c>
      <c r="D2874">
        <v>495.6</v>
      </c>
      <c r="E2874" t="s">
        <v>9386</v>
      </c>
      <c r="F2874" t="s">
        <v>9387</v>
      </c>
      <c r="G2874" t="s">
        <v>9388</v>
      </c>
      <c r="H2874" t="s">
        <v>3532</v>
      </c>
      <c r="I2874" t="s">
        <v>3490</v>
      </c>
      <c r="J2874" s="56">
        <f t="shared" si="132"/>
        <v>14</v>
      </c>
      <c r="K2874" s="74" t="str">
        <f t="shared" si="133"/>
        <v>4-30 Days</v>
      </c>
      <c r="L2874" s="58" t="str">
        <f t="shared" si="134"/>
        <v>Not Applicable</v>
      </c>
    </row>
    <row r="2875" spans="1:12" ht="16.5" customHeight="1" x14ac:dyDescent="0.35">
      <c r="A2875" t="s">
        <v>1618</v>
      </c>
      <c r="B2875" t="s">
        <v>1618</v>
      </c>
      <c r="C2875">
        <v>0</v>
      </c>
      <c r="D2875">
        <v>3050</v>
      </c>
      <c r="E2875" t="s">
        <v>9389</v>
      </c>
      <c r="F2875" t="s">
        <v>9389</v>
      </c>
      <c r="G2875" t="s">
        <v>9390</v>
      </c>
      <c r="H2875" t="s">
        <v>3521</v>
      </c>
      <c r="I2875" t="s">
        <v>3490</v>
      </c>
      <c r="J2875" s="56">
        <f t="shared" si="132"/>
        <v>14</v>
      </c>
      <c r="K2875" s="74" t="str">
        <f t="shared" si="133"/>
        <v>4-30 Days</v>
      </c>
      <c r="L2875" s="58" t="str">
        <f t="shared" si="134"/>
        <v>Not Applicable</v>
      </c>
    </row>
    <row r="2876" spans="1:12" ht="16.5" customHeight="1" x14ac:dyDescent="0.35">
      <c r="A2876" t="s">
        <v>1618</v>
      </c>
      <c r="B2876" t="s">
        <v>1618</v>
      </c>
      <c r="C2876">
        <v>0</v>
      </c>
      <c r="D2876">
        <v>250</v>
      </c>
      <c r="E2876" t="s">
        <v>9391</v>
      </c>
      <c r="F2876" t="s">
        <v>9391</v>
      </c>
      <c r="G2876" t="s">
        <v>9392</v>
      </c>
      <c r="H2876" t="s">
        <v>3489</v>
      </c>
      <c r="I2876" t="s">
        <v>3490</v>
      </c>
      <c r="J2876" s="56">
        <f t="shared" si="132"/>
        <v>14</v>
      </c>
      <c r="K2876" s="74" t="str">
        <f t="shared" si="133"/>
        <v>4-30 Days</v>
      </c>
      <c r="L2876" s="58" t="str">
        <f t="shared" si="134"/>
        <v>Not Applicable</v>
      </c>
    </row>
    <row r="2877" spans="1:12" ht="16.5" customHeight="1" x14ac:dyDescent="0.35">
      <c r="A2877" t="s">
        <v>1618</v>
      </c>
      <c r="B2877" t="s">
        <v>1618</v>
      </c>
      <c r="C2877">
        <v>0</v>
      </c>
      <c r="D2877">
        <v>600</v>
      </c>
      <c r="E2877" t="s">
        <v>9393</v>
      </c>
      <c r="F2877" t="s">
        <v>9394</v>
      </c>
      <c r="G2877" t="s">
        <v>9395</v>
      </c>
      <c r="H2877" t="s">
        <v>3532</v>
      </c>
      <c r="I2877" t="s">
        <v>3490</v>
      </c>
      <c r="J2877" s="56">
        <f t="shared" si="132"/>
        <v>14</v>
      </c>
      <c r="K2877" s="74" t="str">
        <f t="shared" si="133"/>
        <v>4-30 Days</v>
      </c>
      <c r="L2877" s="58" t="str">
        <f t="shared" si="134"/>
        <v>Not Applicable</v>
      </c>
    </row>
    <row r="2878" spans="1:12" ht="16.5" customHeight="1" x14ac:dyDescent="0.35">
      <c r="A2878" t="s">
        <v>1618</v>
      </c>
      <c r="B2878" t="s">
        <v>1618</v>
      </c>
      <c r="C2878">
        <v>1531.85</v>
      </c>
      <c r="D2878">
        <v>0</v>
      </c>
      <c r="E2878" t="s">
        <v>9396</v>
      </c>
      <c r="F2878" t="s">
        <v>57</v>
      </c>
      <c r="G2878" t="s">
        <v>57</v>
      </c>
      <c r="H2878" t="s">
        <v>3642</v>
      </c>
      <c r="I2878" t="s">
        <v>3643</v>
      </c>
      <c r="J2878" s="56">
        <f t="shared" si="132"/>
        <v>14</v>
      </c>
      <c r="K2878" s="74" t="str">
        <f t="shared" si="133"/>
        <v>4-30 Days</v>
      </c>
      <c r="L2878" s="58" t="str">
        <f t="shared" si="134"/>
        <v>Normal</v>
      </c>
    </row>
    <row r="2879" spans="1:12" ht="16.5" customHeight="1" x14ac:dyDescent="0.35">
      <c r="A2879" t="s">
        <v>1618</v>
      </c>
      <c r="B2879" t="s">
        <v>1618</v>
      </c>
      <c r="C2879">
        <v>0</v>
      </c>
      <c r="D2879">
        <v>29955.200000000001</v>
      </c>
      <c r="E2879" t="s">
        <v>9397</v>
      </c>
      <c r="F2879" t="s">
        <v>3574</v>
      </c>
      <c r="G2879" t="s">
        <v>9398</v>
      </c>
      <c r="H2879" t="s">
        <v>3489</v>
      </c>
      <c r="I2879" t="s">
        <v>3490</v>
      </c>
      <c r="J2879" s="56">
        <f t="shared" si="132"/>
        <v>14</v>
      </c>
      <c r="K2879" s="74" t="str">
        <f t="shared" si="133"/>
        <v>4-30 Days</v>
      </c>
      <c r="L2879" s="58" t="str">
        <f t="shared" si="134"/>
        <v>Not Applicable</v>
      </c>
    </row>
    <row r="2880" spans="1:12" ht="16.5" customHeight="1" x14ac:dyDescent="0.35">
      <c r="A2880" t="s">
        <v>1618</v>
      </c>
      <c r="B2880" t="s">
        <v>1618</v>
      </c>
      <c r="C2880">
        <v>0</v>
      </c>
      <c r="D2880">
        <v>250</v>
      </c>
      <c r="E2880" t="s">
        <v>9399</v>
      </c>
      <c r="F2880" t="s">
        <v>9399</v>
      </c>
      <c r="G2880" t="s">
        <v>9400</v>
      </c>
      <c r="H2880" t="s">
        <v>3489</v>
      </c>
      <c r="I2880" t="s">
        <v>3490</v>
      </c>
      <c r="J2880" s="56">
        <f t="shared" si="132"/>
        <v>14</v>
      </c>
      <c r="K2880" s="74" t="str">
        <f t="shared" si="133"/>
        <v>4-30 Days</v>
      </c>
      <c r="L2880" s="58" t="str">
        <f t="shared" si="134"/>
        <v>Not Applicable</v>
      </c>
    </row>
    <row r="2881" spans="1:12" ht="16.5" customHeight="1" x14ac:dyDescent="0.35">
      <c r="A2881" t="s">
        <v>1618</v>
      </c>
      <c r="B2881" t="s">
        <v>1618</v>
      </c>
      <c r="C2881">
        <v>0</v>
      </c>
      <c r="D2881">
        <v>600</v>
      </c>
      <c r="E2881" t="s">
        <v>9401</v>
      </c>
      <c r="F2881" t="s">
        <v>9401</v>
      </c>
      <c r="G2881" t="s">
        <v>9402</v>
      </c>
      <c r="H2881" t="s">
        <v>8175</v>
      </c>
      <c r="I2881" t="s">
        <v>3490</v>
      </c>
      <c r="J2881" s="56">
        <f t="shared" si="132"/>
        <v>14</v>
      </c>
      <c r="K2881" s="74" t="str">
        <f t="shared" si="133"/>
        <v>4-30 Days</v>
      </c>
      <c r="L2881" s="58" t="str">
        <f t="shared" si="134"/>
        <v>Not Applicable</v>
      </c>
    </row>
    <row r="2882" spans="1:12" ht="16.5" customHeight="1" x14ac:dyDescent="0.35">
      <c r="A2882" t="s">
        <v>1618</v>
      </c>
      <c r="B2882" t="s">
        <v>1618</v>
      </c>
      <c r="C2882">
        <v>0</v>
      </c>
      <c r="D2882">
        <v>600</v>
      </c>
      <c r="E2882" t="s">
        <v>9403</v>
      </c>
      <c r="F2882" t="s">
        <v>9404</v>
      </c>
      <c r="G2882" t="s">
        <v>9405</v>
      </c>
      <c r="H2882" t="s">
        <v>3532</v>
      </c>
      <c r="I2882" t="s">
        <v>3490</v>
      </c>
      <c r="J2882" s="56">
        <f t="shared" si="132"/>
        <v>14</v>
      </c>
      <c r="K2882" s="74" t="str">
        <f t="shared" si="133"/>
        <v>4-30 Days</v>
      </c>
      <c r="L2882" s="58" t="str">
        <f t="shared" si="134"/>
        <v>Not Applicable</v>
      </c>
    </row>
    <row r="2883" spans="1:12" ht="16.5" customHeight="1" x14ac:dyDescent="0.35">
      <c r="A2883" t="s">
        <v>1618</v>
      </c>
      <c r="B2883" t="s">
        <v>1618</v>
      </c>
      <c r="C2883">
        <v>0</v>
      </c>
      <c r="D2883">
        <v>100</v>
      </c>
      <c r="E2883" t="s">
        <v>9406</v>
      </c>
      <c r="F2883" t="s">
        <v>9407</v>
      </c>
      <c r="G2883" t="s">
        <v>9408</v>
      </c>
      <c r="H2883" t="s">
        <v>3532</v>
      </c>
      <c r="I2883" t="s">
        <v>3490</v>
      </c>
      <c r="J2883" s="56">
        <f t="shared" si="132"/>
        <v>14</v>
      </c>
      <c r="K2883" s="74" t="str">
        <f t="shared" si="133"/>
        <v>4-30 Days</v>
      </c>
      <c r="L2883" s="58" t="str">
        <f t="shared" si="134"/>
        <v>Not Applicable</v>
      </c>
    </row>
    <row r="2884" spans="1:12" ht="16.5" customHeight="1" x14ac:dyDescent="0.35">
      <c r="A2884" t="s">
        <v>1618</v>
      </c>
      <c r="B2884" t="s">
        <v>1618</v>
      </c>
      <c r="C2884">
        <v>0</v>
      </c>
      <c r="D2884">
        <v>106.2</v>
      </c>
      <c r="E2884" t="s">
        <v>9409</v>
      </c>
      <c r="F2884" t="s">
        <v>9410</v>
      </c>
      <c r="G2884" t="s">
        <v>9411</v>
      </c>
      <c r="H2884" t="s">
        <v>3532</v>
      </c>
      <c r="I2884" t="s">
        <v>3490</v>
      </c>
      <c r="J2884" s="56">
        <f t="shared" si="132"/>
        <v>14</v>
      </c>
      <c r="K2884" s="74" t="str">
        <f t="shared" si="133"/>
        <v>4-30 Days</v>
      </c>
      <c r="L2884" s="58" t="str">
        <f t="shared" si="134"/>
        <v>Not Applicable</v>
      </c>
    </row>
    <row r="2885" spans="1:12" ht="16.5" customHeight="1" x14ac:dyDescent="0.35">
      <c r="A2885" t="s">
        <v>1646</v>
      </c>
      <c r="B2885" t="s">
        <v>1646</v>
      </c>
      <c r="C2885">
        <v>0</v>
      </c>
      <c r="D2885">
        <v>50</v>
      </c>
      <c r="E2885" t="s">
        <v>9412</v>
      </c>
      <c r="F2885" t="s">
        <v>9412</v>
      </c>
      <c r="G2885" t="s">
        <v>9413</v>
      </c>
      <c r="H2885" t="s">
        <v>3489</v>
      </c>
      <c r="I2885" t="s">
        <v>3490</v>
      </c>
      <c r="J2885" s="56">
        <f t="shared" si="132"/>
        <v>13</v>
      </c>
      <c r="K2885" s="74" t="str">
        <f t="shared" si="133"/>
        <v>4-30 Days</v>
      </c>
      <c r="L2885" s="58" t="str">
        <f t="shared" si="134"/>
        <v>Not Applicable</v>
      </c>
    </row>
    <row r="2886" spans="1:12" ht="16.5" customHeight="1" x14ac:dyDescent="0.35">
      <c r="A2886" t="s">
        <v>1646</v>
      </c>
      <c r="B2886" t="s">
        <v>1646</v>
      </c>
      <c r="C2886">
        <v>0</v>
      </c>
      <c r="D2886">
        <v>600</v>
      </c>
      <c r="E2886" t="s">
        <v>9414</v>
      </c>
      <c r="F2886" t="s">
        <v>9414</v>
      </c>
      <c r="G2886" t="s">
        <v>9415</v>
      </c>
      <c r="H2886" t="s">
        <v>3489</v>
      </c>
      <c r="I2886" t="s">
        <v>3490</v>
      </c>
      <c r="J2886" s="56">
        <f t="shared" si="132"/>
        <v>13</v>
      </c>
      <c r="K2886" s="74" t="str">
        <f t="shared" si="133"/>
        <v>4-30 Days</v>
      </c>
      <c r="L2886" s="58" t="str">
        <f t="shared" si="134"/>
        <v>Not Applicable</v>
      </c>
    </row>
    <row r="2887" spans="1:12" ht="16.5" customHeight="1" x14ac:dyDescent="0.35">
      <c r="A2887" t="s">
        <v>1646</v>
      </c>
      <c r="B2887" t="s">
        <v>1646</v>
      </c>
      <c r="C2887">
        <v>0</v>
      </c>
      <c r="D2887">
        <v>3000</v>
      </c>
      <c r="E2887" t="s">
        <v>9416</v>
      </c>
      <c r="F2887" t="s">
        <v>9416</v>
      </c>
      <c r="G2887" t="s">
        <v>9417</v>
      </c>
      <c r="H2887" t="s">
        <v>3489</v>
      </c>
      <c r="I2887" t="s">
        <v>3490</v>
      </c>
      <c r="J2887" s="56">
        <f t="shared" si="132"/>
        <v>13</v>
      </c>
      <c r="K2887" s="74" t="str">
        <f t="shared" si="133"/>
        <v>4-30 Days</v>
      </c>
      <c r="L2887" s="58" t="str">
        <f t="shared" si="134"/>
        <v>Not Applicable</v>
      </c>
    </row>
    <row r="2888" spans="1:12" ht="16.5" customHeight="1" x14ac:dyDescent="0.35">
      <c r="A2888" t="s">
        <v>1646</v>
      </c>
      <c r="B2888" t="s">
        <v>1646</v>
      </c>
      <c r="C2888">
        <v>0</v>
      </c>
      <c r="D2888">
        <v>42733.2</v>
      </c>
      <c r="E2888" t="s">
        <v>9418</v>
      </c>
      <c r="F2888" t="s">
        <v>3574</v>
      </c>
      <c r="G2888" t="s">
        <v>9419</v>
      </c>
      <c r="H2888" t="s">
        <v>3489</v>
      </c>
      <c r="I2888" t="s">
        <v>3490</v>
      </c>
      <c r="J2888" s="56">
        <f t="shared" si="132"/>
        <v>13</v>
      </c>
      <c r="K2888" s="74" t="str">
        <f t="shared" si="133"/>
        <v>4-30 Days</v>
      </c>
      <c r="L2888" s="58" t="str">
        <f t="shared" si="134"/>
        <v>Not Applicable</v>
      </c>
    </row>
    <row r="2889" spans="1:12" ht="16.5" customHeight="1" x14ac:dyDescent="0.35">
      <c r="A2889" t="s">
        <v>1646</v>
      </c>
      <c r="B2889" t="s">
        <v>1646</v>
      </c>
      <c r="C2889">
        <v>0</v>
      </c>
      <c r="D2889">
        <v>1000</v>
      </c>
      <c r="E2889" t="s">
        <v>9420</v>
      </c>
      <c r="F2889" t="s">
        <v>9421</v>
      </c>
      <c r="G2889" t="s">
        <v>9422</v>
      </c>
      <c r="H2889" t="s">
        <v>3489</v>
      </c>
      <c r="I2889" t="s">
        <v>3490</v>
      </c>
      <c r="J2889" s="56">
        <f t="shared" ref="J2889:J2952" si="135">IF(A2889="","",A$5-A2889)</f>
        <v>13</v>
      </c>
      <c r="K2889" s="74" t="str">
        <f t="shared" ref="K2889:K2952" si="136">IF(J2889="","",IF(J2889&lt;4,"0-3 Days",IF(J2889&lt;31,"4-30 Days",IF(J2889&lt;61,"31-60 Days",IF(J2889&lt;=90,"61-90 Days",IF(J2889&gt;90,"Above 90 Days","0"))))))</f>
        <v>4-30 Days</v>
      </c>
      <c r="L2889" s="58" t="str">
        <f t="shared" ref="L2889:L2952" si="137">IF(C2889="","",IF(C2889&gt;0,IF(J2889&lt;30,"Normal",IF(J2889&lt;60,"Especially Mentioned",IF(J2889&lt;90,"Substandard",IF(J2889&lt;=180,"Doubtful",IF(J2889&gt;180,"Loss","0"))))),"Not Applicable"))</f>
        <v>Not Applicable</v>
      </c>
    </row>
    <row r="2890" spans="1:12" ht="16.5" customHeight="1" x14ac:dyDescent="0.35">
      <c r="A2890" t="s">
        <v>1646</v>
      </c>
      <c r="B2890" t="s">
        <v>1646</v>
      </c>
      <c r="C2890">
        <v>0</v>
      </c>
      <c r="D2890">
        <v>250</v>
      </c>
      <c r="E2890" t="s">
        <v>9423</v>
      </c>
      <c r="F2890" t="s">
        <v>9423</v>
      </c>
      <c r="G2890" t="s">
        <v>9424</v>
      </c>
      <c r="H2890" t="s">
        <v>3489</v>
      </c>
      <c r="I2890" t="s">
        <v>3490</v>
      </c>
      <c r="J2890" s="56">
        <f t="shared" si="135"/>
        <v>13</v>
      </c>
      <c r="K2890" s="74" t="str">
        <f t="shared" si="136"/>
        <v>4-30 Days</v>
      </c>
      <c r="L2890" s="58" t="str">
        <f t="shared" si="137"/>
        <v>Not Applicable</v>
      </c>
    </row>
    <row r="2891" spans="1:12" ht="16.5" customHeight="1" x14ac:dyDescent="0.35">
      <c r="A2891" t="s">
        <v>1646</v>
      </c>
      <c r="B2891" t="s">
        <v>1646</v>
      </c>
      <c r="C2891">
        <v>0</v>
      </c>
      <c r="D2891">
        <v>1000</v>
      </c>
      <c r="E2891" t="s">
        <v>9425</v>
      </c>
      <c r="F2891" t="s">
        <v>9426</v>
      </c>
      <c r="G2891" t="s">
        <v>9427</v>
      </c>
      <c r="H2891" t="s">
        <v>3489</v>
      </c>
      <c r="I2891" t="s">
        <v>3490</v>
      </c>
      <c r="J2891" s="56">
        <f t="shared" si="135"/>
        <v>13</v>
      </c>
      <c r="K2891" s="74" t="str">
        <f t="shared" si="136"/>
        <v>4-30 Days</v>
      </c>
      <c r="L2891" s="58" t="str">
        <f t="shared" si="137"/>
        <v>Not Applicable</v>
      </c>
    </row>
    <row r="2892" spans="1:12" ht="16.5" customHeight="1" x14ac:dyDescent="0.35">
      <c r="A2892" t="s">
        <v>1646</v>
      </c>
      <c r="B2892" t="s">
        <v>1646</v>
      </c>
      <c r="C2892">
        <v>0</v>
      </c>
      <c r="D2892">
        <v>3050</v>
      </c>
      <c r="E2892" t="s">
        <v>9428</v>
      </c>
      <c r="F2892" t="s">
        <v>9428</v>
      </c>
      <c r="G2892" t="s">
        <v>9429</v>
      </c>
      <c r="H2892" t="s">
        <v>3489</v>
      </c>
      <c r="I2892" t="s">
        <v>3490</v>
      </c>
      <c r="J2892" s="56">
        <f t="shared" si="135"/>
        <v>13</v>
      </c>
      <c r="K2892" s="74" t="str">
        <f t="shared" si="136"/>
        <v>4-30 Days</v>
      </c>
      <c r="L2892" s="58" t="str">
        <f t="shared" si="137"/>
        <v>Not Applicable</v>
      </c>
    </row>
    <row r="2893" spans="1:12" ht="16.5" customHeight="1" x14ac:dyDescent="0.35">
      <c r="A2893" t="s">
        <v>1646</v>
      </c>
      <c r="B2893" t="s">
        <v>1646</v>
      </c>
      <c r="C2893">
        <v>0</v>
      </c>
      <c r="D2893">
        <v>50</v>
      </c>
      <c r="E2893" t="s">
        <v>9430</v>
      </c>
      <c r="F2893" t="s">
        <v>9430</v>
      </c>
      <c r="G2893" t="s">
        <v>9431</v>
      </c>
      <c r="H2893" t="s">
        <v>3489</v>
      </c>
      <c r="I2893" t="s">
        <v>3490</v>
      </c>
      <c r="J2893" s="56">
        <f t="shared" si="135"/>
        <v>13</v>
      </c>
      <c r="K2893" s="74" t="str">
        <f t="shared" si="136"/>
        <v>4-30 Days</v>
      </c>
      <c r="L2893" s="58" t="str">
        <f t="shared" si="137"/>
        <v>Not Applicable</v>
      </c>
    </row>
    <row r="2894" spans="1:12" ht="16.5" customHeight="1" x14ac:dyDescent="0.35">
      <c r="A2894" t="s">
        <v>1646</v>
      </c>
      <c r="B2894" t="s">
        <v>1646</v>
      </c>
      <c r="C2894">
        <v>0</v>
      </c>
      <c r="D2894">
        <v>250</v>
      </c>
      <c r="E2894" t="s">
        <v>9432</v>
      </c>
      <c r="F2894" t="s">
        <v>9432</v>
      </c>
      <c r="G2894" t="s">
        <v>9433</v>
      </c>
      <c r="H2894" t="s">
        <v>3489</v>
      </c>
      <c r="I2894" t="s">
        <v>3490</v>
      </c>
      <c r="J2894" s="56">
        <f t="shared" si="135"/>
        <v>13</v>
      </c>
      <c r="K2894" s="74" t="str">
        <f t="shared" si="136"/>
        <v>4-30 Days</v>
      </c>
      <c r="L2894" s="58" t="str">
        <f t="shared" si="137"/>
        <v>Not Applicable</v>
      </c>
    </row>
    <row r="2895" spans="1:12" ht="16.5" customHeight="1" x14ac:dyDescent="0.35">
      <c r="A2895" t="s">
        <v>1646</v>
      </c>
      <c r="B2895" t="s">
        <v>1646</v>
      </c>
      <c r="C2895">
        <v>0</v>
      </c>
      <c r="D2895">
        <v>25299.200000000001</v>
      </c>
      <c r="E2895" t="s">
        <v>9434</v>
      </c>
      <c r="F2895" t="s">
        <v>9435</v>
      </c>
      <c r="G2895" t="s">
        <v>9436</v>
      </c>
      <c r="H2895" t="s">
        <v>3532</v>
      </c>
      <c r="I2895" t="s">
        <v>3490</v>
      </c>
      <c r="J2895" s="56">
        <f t="shared" si="135"/>
        <v>13</v>
      </c>
      <c r="K2895" s="74" t="str">
        <f t="shared" si="136"/>
        <v>4-30 Days</v>
      </c>
      <c r="L2895" s="58" t="str">
        <f t="shared" si="137"/>
        <v>Not Applicable</v>
      </c>
    </row>
    <row r="2896" spans="1:12" ht="16.5" customHeight="1" x14ac:dyDescent="0.35">
      <c r="A2896" t="s">
        <v>1646</v>
      </c>
      <c r="B2896" t="s">
        <v>1646</v>
      </c>
      <c r="C2896">
        <v>0</v>
      </c>
      <c r="D2896">
        <v>2050</v>
      </c>
      <c r="E2896" t="s">
        <v>9437</v>
      </c>
      <c r="F2896" t="s">
        <v>9437</v>
      </c>
      <c r="G2896" t="s">
        <v>9438</v>
      </c>
      <c r="H2896" t="s">
        <v>3489</v>
      </c>
      <c r="I2896" t="s">
        <v>3490</v>
      </c>
      <c r="J2896" s="56">
        <f t="shared" si="135"/>
        <v>13</v>
      </c>
      <c r="K2896" s="74" t="str">
        <f t="shared" si="136"/>
        <v>4-30 Days</v>
      </c>
      <c r="L2896" s="58" t="str">
        <f t="shared" si="137"/>
        <v>Not Applicable</v>
      </c>
    </row>
    <row r="2897" spans="1:12" ht="16.5" customHeight="1" x14ac:dyDescent="0.35">
      <c r="A2897" t="s">
        <v>1646</v>
      </c>
      <c r="B2897" t="s">
        <v>1646</v>
      </c>
      <c r="C2897">
        <v>0</v>
      </c>
      <c r="D2897">
        <v>247.8</v>
      </c>
      <c r="E2897" t="s">
        <v>9439</v>
      </c>
      <c r="F2897" t="s">
        <v>9440</v>
      </c>
      <c r="G2897" t="s">
        <v>9441</v>
      </c>
      <c r="H2897" t="s">
        <v>3532</v>
      </c>
      <c r="I2897" t="s">
        <v>3490</v>
      </c>
      <c r="J2897" s="56">
        <f t="shared" si="135"/>
        <v>13</v>
      </c>
      <c r="K2897" s="74" t="str">
        <f t="shared" si="136"/>
        <v>4-30 Days</v>
      </c>
      <c r="L2897" s="58" t="str">
        <f t="shared" si="137"/>
        <v>Not Applicable</v>
      </c>
    </row>
    <row r="2898" spans="1:12" ht="16.5" customHeight="1" x14ac:dyDescent="0.35">
      <c r="A2898" t="s">
        <v>1646</v>
      </c>
      <c r="B2898" t="s">
        <v>1646</v>
      </c>
      <c r="C2898">
        <v>0</v>
      </c>
      <c r="D2898">
        <v>2128</v>
      </c>
      <c r="E2898" t="s">
        <v>9442</v>
      </c>
      <c r="F2898" t="s">
        <v>9442</v>
      </c>
      <c r="G2898" t="s">
        <v>9443</v>
      </c>
      <c r="H2898" t="s">
        <v>3489</v>
      </c>
      <c r="I2898" t="s">
        <v>3490</v>
      </c>
      <c r="J2898" s="56">
        <f t="shared" si="135"/>
        <v>13</v>
      </c>
      <c r="K2898" s="74" t="str">
        <f t="shared" si="136"/>
        <v>4-30 Days</v>
      </c>
      <c r="L2898" s="58" t="str">
        <f t="shared" si="137"/>
        <v>Not Applicable</v>
      </c>
    </row>
    <row r="2899" spans="1:12" ht="16.5" customHeight="1" x14ac:dyDescent="0.35">
      <c r="A2899" t="s">
        <v>1646</v>
      </c>
      <c r="B2899" t="s">
        <v>1646</v>
      </c>
      <c r="C2899">
        <v>0</v>
      </c>
      <c r="D2899">
        <v>50</v>
      </c>
      <c r="E2899" t="s">
        <v>9444</v>
      </c>
      <c r="F2899" t="s">
        <v>9444</v>
      </c>
      <c r="G2899" t="s">
        <v>9445</v>
      </c>
      <c r="H2899" t="s">
        <v>3489</v>
      </c>
      <c r="I2899" t="s">
        <v>3490</v>
      </c>
      <c r="J2899" s="56">
        <f t="shared" si="135"/>
        <v>13</v>
      </c>
      <c r="K2899" s="74" t="str">
        <f t="shared" si="136"/>
        <v>4-30 Days</v>
      </c>
      <c r="L2899" s="58" t="str">
        <f t="shared" si="137"/>
        <v>Not Applicable</v>
      </c>
    </row>
    <row r="2900" spans="1:12" ht="16.5" customHeight="1" x14ac:dyDescent="0.35">
      <c r="A2900" t="s">
        <v>1646</v>
      </c>
      <c r="B2900" t="s">
        <v>1646</v>
      </c>
      <c r="C2900">
        <v>0</v>
      </c>
      <c r="D2900">
        <v>250</v>
      </c>
      <c r="E2900" t="s">
        <v>9446</v>
      </c>
      <c r="F2900" t="s">
        <v>9447</v>
      </c>
      <c r="G2900" t="s">
        <v>9448</v>
      </c>
      <c r="H2900" t="s">
        <v>3532</v>
      </c>
      <c r="I2900" t="s">
        <v>3490</v>
      </c>
      <c r="J2900" s="56">
        <f t="shared" si="135"/>
        <v>13</v>
      </c>
      <c r="K2900" s="74" t="str">
        <f t="shared" si="136"/>
        <v>4-30 Days</v>
      </c>
      <c r="L2900" s="58" t="str">
        <f t="shared" si="137"/>
        <v>Not Applicable</v>
      </c>
    </row>
    <row r="2901" spans="1:12" ht="16.5" customHeight="1" x14ac:dyDescent="0.35">
      <c r="A2901" t="s">
        <v>1646</v>
      </c>
      <c r="B2901" t="s">
        <v>1646</v>
      </c>
      <c r="C2901">
        <v>0</v>
      </c>
      <c r="D2901">
        <v>550</v>
      </c>
      <c r="E2901" t="s">
        <v>9449</v>
      </c>
      <c r="F2901" t="s">
        <v>9449</v>
      </c>
      <c r="G2901" t="s">
        <v>9450</v>
      </c>
      <c r="H2901" t="s">
        <v>3489</v>
      </c>
      <c r="I2901" t="s">
        <v>3490</v>
      </c>
      <c r="J2901" s="56">
        <f t="shared" si="135"/>
        <v>13</v>
      </c>
      <c r="K2901" s="74" t="str">
        <f t="shared" si="136"/>
        <v>4-30 Days</v>
      </c>
      <c r="L2901" s="58" t="str">
        <f t="shared" si="137"/>
        <v>Not Applicable</v>
      </c>
    </row>
    <row r="2902" spans="1:12" ht="16.5" customHeight="1" x14ac:dyDescent="0.35">
      <c r="A2902" t="s">
        <v>1646</v>
      </c>
      <c r="B2902" t="s">
        <v>1646</v>
      </c>
      <c r="C2902">
        <v>0</v>
      </c>
      <c r="D2902">
        <v>1000</v>
      </c>
      <c r="E2902" t="s">
        <v>9451</v>
      </c>
      <c r="F2902" t="s">
        <v>9452</v>
      </c>
      <c r="G2902" t="s">
        <v>9453</v>
      </c>
      <c r="H2902" t="s">
        <v>3489</v>
      </c>
      <c r="I2902" t="s">
        <v>3490</v>
      </c>
      <c r="J2902" s="56">
        <f t="shared" si="135"/>
        <v>13</v>
      </c>
      <c r="K2902" s="74" t="str">
        <f t="shared" si="136"/>
        <v>4-30 Days</v>
      </c>
      <c r="L2902" s="58" t="str">
        <f t="shared" si="137"/>
        <v>Not Applicable</v>
      </c>
    </row>
    <row r="2903" spans="1:12" ht="16.5" customHeight="1" x14ac:dyDescent="0.35">
      <c r="A2903" t="s">
        <v>1646</v>
      </c>
      <c r="B2903" t="s">
        <v>1646</v>
      </c>
      <c r="C2903">
        <v>0</v>
      </c>
      <c r="D2903">
        <v>1248</v>
      </c>
      <c r="E2903" t="s">
        <v>9454</v>
      </c>
      <c r="F2903" t="s">
        <v>3574</v>
      </c>
      <c r="G2903" t="s">
        <v>9455</v>
      </c>
      <c r="H2903" t="s">
        <v>3489</v>
      </c>
      <c r="I2903" t="s">
        <v>3490</v>
      </c>
      <c r="J2903" s="56">
        <f t="shared" si="135"/>
        <v>13</v>
      </c>
      <c r="K2903" s="74" t="str">
        <f t="shared" si="136"/>
        <v>4-30 Days</v>
      </c>
      <c r="L2903" s="58" t="str">
        <f t="shared" si="137"/>
        <v>Not Applicable</v>
      </c>
    </row>
    <row r="2904" spans="1:12" ht="16.5" customHeight="1" x14ac:dyDescent="0.35">
      <c r="A2904" t="s">
        <v>1646</v>
      </c>
      <c r="B2904" t="s">
        <v>1646</v>
      </c>
      <c r="C2904">
        <v>0</v>
      </c>
      <c r="D2904">
        <v>50</v>
      </c>
      <c r="E2904" t="s">
        <v>9456</v>
      </c>
      <c r="F2904" t="s">
        <v>9456</v>
      </c>
      <c r="G2904" t="s">
        <v>9457</v>
      </c>
      <c r="H2904" t="s">
        <v>3489</v>
      </c>
      <c r="I2904" t="s">
        <v>3490</v>
      </c>
      <c r="J2904" s="56">
        <f t="shared" si="135"/>
        <v>13</v>
      </c>
      <c r="K2904" s="74" t="str">
        <f t="shared" si="136"/>
        <v>4-30 Days</v>
      </c>
      <c r="L2904" s="58" t="str">
        <f t="shared" si="137"/>
        <v>Not Applicable</v>
      </c>
    </row>
    <row r="2905" spans="1:12" ht="16.5" customHeight="1" x14ac:dyDescent="0.35">
      <c r="A2905" t="s">
        <v>1646</v>
      </c>
      <c r="B2905" t="s">
        <v>1646</v>
      </c>
      <c r="C2905">
        <v>0</v>
      </c>
      <c r="D2905">
        <v>100</v>
      </c>
      <c r="E2905" t="s">
        <v>9458</v>
      </c>
      <c r="F2905" t="s">
        <v>9459</v>
      </c>
      <c r="G2905" t="s">
        <v>9460</v>
      </c>
      <c r="H2905" t="s">
        <v>3532</v>
      </c>
      <c r="I2905" t="s">
        <v>3490</v>
      </c>
      <c r="J2905" s="56">
        <f t="shared" si="135"/>
        <v>13</v>
      </c>
      <c r="K2905" s="74" t="str">
        <f t="shared" si="136"/>
        <v>4-30 Days</v>
      </c>
      <c r="L2905" s="58" t="str">
        <f t="shared" si="137"/>
        <v>Not Applicable</v>
      </c>
    </row>
    <row r="2906" spans="1:12" ht="16.5" customHeight="1" x14ac:dyDescent="0.35">
      <c r="A2906" t="s">
        <v>1646</v>
      </c>
      <c r="B2906" t="s">
        <v>1646</v>
      </c>
      <c r="C2906">
        <v>0</v>
      </c>
      <c r="D2906">
        <v>33000</v>
      </c>
      <c r="E2906" t="s">
        <v>9461</v>
      </c>
      <c r="F2906" t="s">
        <v>9461</v>
      </c>
      <c r="G2906" t="s">
        <v>9462</v>
      </c>
      <c r="H2906" t="s">
        <v>3489</v>
      </c>
      <c r="I2906" t="s">
        <v>3507</v>
      </c>
      <c r="J2906" s="56">
        <f t="shared" si="135"/>
        <v>13</v>
      </c>
      <c r="K2906" s="74" t="str">
        <f t="shared" si="136"/>
        <v>4-30 Days</v>
      </c>
      <c r="L2906" s="58" t="str">
        <f t="shared" si="137"/>
        <v>Not Applicable</v>
      </c>
    </row>
    <row r="2907" spans="1:12" ht="16.5" customHeight="1" x14ac:dyDescent="0.35">
      <c r="A2907" t="s">
        <v>1646</v>
      </c>
      <c r="B2907" t="s">
        <v>1646</v>
      </c>
      <c r="C2907">
        <v>0</v>
      </c>
      <c r="D2907">
        <v>247.8</v>
      </c>
      <c r="E2907" t="s">
        <v>9463</v>
      </c>
      <c r="F2907" t="s">
        <v>9464</v>
      </c>
      <c r="G2907" t="s">
        <v>9465</v>
      </c>
      <c r="H2907" t="s">
        <v>3532</v>
      </c>
      <c r="I2907" t="s">
        <v>3490</v>
      </c>
      <c r="J2907" s="56">
        <f t="shared" si="135"/>
        <v>13</v>
      </c>
      <c r="K2907" s="74" t="str">
        <f t="shared" si="136"/>
        <v>4-30 Days</v>
      </c>
      <c r="L2907" s="58" t="str">
        <f t="shared" si="137"/>
        <v>Not Applicable</v>
      </c>
    </row>
    <row r="2908" spans="1:12" ht="16.5" customHeight="1" x14ac:dyDescent="0.35">
      <c r="A2908" t="s">
        <v>1646</v>
      </c>
      <c r="B2908" t="s">
        <v>1646</v>
      </c>
      <c r="C2908">
        <v>0</v>
      </c>
      <c r="D2908">
        <v>133.33000000000001</v>
      </c>
      <c r="E2908" t="s">
        <v>9466</v>
      </c>
      <c r="F2908" t="s">
        <v>9466</v>
      </c>
      <c r="G2908" t="s">
        <v>9467</v>
      </c>
      <c r="H2908" t="s">
        <v>3489</v>
      </c>
      <c r="I2908" t="s">
        <v>3486</v>
      </c>
      <c r="J2908" s="56">
        <f t="shared" si="135"/>
        <v>13</v>
      </c>
      <c r="K2908" s="74" t="str">
        <f t="shared" si="136"/>
        <v>4-30 Days</v>
      </c>
      <c r="L2908" s="58" t="str">
        <f t="shared" si="137"/>
        <v>Not Applicable</v>
      </c>
    </row>
    <row r="2909" spans="1:12" ht="16.5" customHeight="1" x14ac:dyDescent="0.35">
      <c r="A2909" t="s">
        <v>1646</v>
      </c>
      <c r="B2909" t="s">
        <v>1646</v>
      </c>
      <c r="C2909">
        <v>2184</v>
      </c>
      <c r="D2909">
        <v>0</v>
      </c>
      <c r="E2909" t="s">
        <v>9468</v>
      </c>
      <c r="F2909" t="s">
        <v>9468</v>
      </c>
      <c r="G2909" t="s">
        <v>9469</v>
      </c>
      <c r="H2909" t="s">
        <v>3458</v>
      </c>
      <c r="I2909" t="s">
        <v>3507</v>
      </c>
      <c r="J2909" s="56">
        <f t="shared" si="135"/>
        <v>13</v>
      </c>
      <c r="K2909" s="74" t="str">
        <f t="shared" si="136"/>
        <v>4-30 Days</v>
      </c>
      <c r="L2909" s="58" t="str">
        <f t="shared" si="137"/>
        <v>Normal</v>
      </c>
    </row>
    <row r="2910" spans="1:12" ht="16.5" customHeight="1" x14ac:dyDescent="0.35">
      <c r="A2910" t="s">
        <v>1646</v>
      </c>
      <c r="B2910" t="s">
        <v>1646</v>
      </c>
      <c r="C2910">
        <v>0</v>
      </c>
      <c r="D2910">
        <v>600</v>
      </c>
      <c r="E2910" t="s">
        <v>9470</v>
      </c>
      <c r="F2910" t="s">
        <v>9470</v>
      </c>
      <c r="G2910" t="s">
        <v>9471</v>
      </c>
      <c r="H2910" t="s">
        <v>3489</v>
      </c>
      <c r="I2910" t="s">
        <v>3490</v>
      </c>
      <c r="J2910" s="56">
        <f t="shared" si="135"/>
        <v>13</v>
      </c>
      <c r="K2910" s="74" t="str">
        <f t="shared" si="136"/>
        <v>4-30 Days</v>
      </c>
      <c r="L2910" s="58" t="str">
        <f t="shared" si="137"/>
        <v>Not Applicable</v>
      </c>
    </row>
    <row r="2911" spans="1:12" ht="16.5" customHeight="1" x14ac:dyDescent="0.35">
      <c r="A2911" t="s">
        <v>1646</v>
      </c>
      <c r="B2911" t="s">
        <v>1646</v>
      </c>
      <c r="C2911">
        <v>0</v>
      </c>
      <c r="D2911">
        <v>550</v>
      </c>
      <c r="E2911" t="s">
        <v>9472</v>
      </c>
      <c r="F2911" t="s">
        <v>9472</v>
      </c>
      <c r="G2911" t="s">
        <v>9473</v>
      </c>
      <c r="H2911" t="s">
        <v>3489</v>
      </c>
      <c r="I2911" t="s">
        <v>3490</v>
      </c>
      <c r="J2911" s="56">
        <f t="shared" si="135"/>
        <v>13</v>
      </c>
      <c r="K2911" s="74" t="str">
        <f t="shared" si="136"/>
        <v>4-30 Days</v>
      </c>
      <c r="L2911" s="58" t="str">
        <f t="shared" si="137"/>
        <v>Not Applicable</v>
      </c>
    </row>
    <row r="2912" spans="1:12" ht="16.5" customHeight="1" x14ac:dyDescent="0.35">
      <c r="A2912" t="s">
        <v>1646</v>
      </c>
      <c r="B2912" t="s">
        <v>1646</v>
      </c>
      <c r="C2912">
        <v>1101579.74</v>
      </c>
      <c r="D2912">
        <v>0</v>
      </c>
      <c r="E2912" t="s">
        <v>9474</v>
      </c>
      <c r="F2912" t="s">
        <v>9474</v>
      </c>
      <c r="G2912" t="s">
        <v>9475</v>
      </c>
      <c r="H2912" t="s">
        <v>3455</v>
      </c>
      <c r="I2912" t="s">
        <v>3486</v>
      </c>
      <c r="J2912" s="56">
        <f t="shared" si="135"/>
        <v>13</v>
      </c>
      <c r="K2912" s="74" t="str">
        <f t="shared" si="136"/>
        <v>4-30 Days</v>
      </c>
      <c r="L2912" s="58" t="str">
        <f t="shared" si="137"/>
        <v>Normal</v>
      </c>
    </row>
    <row r="2913" spans="1:12" ht="16.5" customHeight="1" x14ac:dyDescent="0.35">
      <c r="A2913" t="s">
        <v>1646</v>
      </c>
      <c r="B2913" t="s">
        <v>1646</v>
      </c>
      <c r="C2913">
        <v>0</v>
      </c>
      <c r="D2913">
        <v>1705</v>
      </c>
      <c r="E2913" t="s">
        <v>9476</v>
      </c>
      <c r="F2913" t="s">
        <v>9477</v>
      </c>
      <c r="G2913" t="s">
        <v>9478</v>
      </c>
      <c r="H2913" t="s">
        <v>3489</v>
      </c>
      <c r="I2913" t="s">
        <v>3490</v>
      </c>
      <c r="J2913" s="56">
        <f t="shared" si="135"/>
        <v>13</v>
      </c>
      <c r="K2913" s="74" t="str">
        <f t="shared" si="136"/>
        <v>4-30 Days</v>
      </c>
      <c r="L2913" s="58" t="str">
        <f t="shared" si="137"/>
        <v>Not Applicable</v>
      </c>
    </row>
    <row r="2914" spans="1:12" ht="16.5" customHeight="1" x14ac:dyDescent="0.35">
      <c r="A2914" t="s">
        <v>1646</v>
      </c>
      <c r="B2914" t="s">
        <v>1646</v>
      </c>
      <c r="C2914">
        <v>1672546.46</v>
      </c>
      <c r="D2914">
        <v>0</v>
      </c>
      <c r="E2914" t="s">
        <v>9479</v>
      </c>
      <c r="F2914" t="s">
        <v>9479</v>
      </c>
      <c r="G2914" t="s">
        <v>9480</v>
      </c>
      <c r="H2914" t="s">
        <v>3455</v>
      </c>
      <c r="I2914" t="s">
        <v>3486</v>
      </c>
      <c r="J2914" s="56">
        <f t="shared" si="135"/>
        <v>13</v>
      </c>
      <c r="K2914" s="74" t="str">
        <f t="shared" si="136"/>
        <v>4-30 Days</v>
      </c>
      <c r="L2914" s="58" t="str">
        <f t="shared" si="137"/>
        <v>Normal</v>
      </c>
    </row>
    <row r="2915" spans="1:12" ht="16.5" customHeight="1" x14ac:dyDescent="0.35">
      <c r="A2915" t="s">
        <v>1646</v>
      </c>
      <c r="B2915" t="s">
        <v>1646</v>
      </c>
      <c r="C2915">
        <v>0</v>
      </c>
      <c r="D2915">
        <v>250</v>
      </c>
      <c r="E2915" t="s">
        <v>9481</v>
      </c>
      <c r="F2915" t="s">
        <v>9481</v>
      </c>
      <c r="G2915" t="s">
        <v>9482</v>
      </c>
      <c r="H2915" t="s">
        <v>3489</v>
      </c>
      <c r="I2915" t="s">
        <v>3490</v>
      </c>
      <c r="J2915" s="56">
        <f t="shared" si="135"/>
        <v>13</v>
      </c>
      <c r="K2915" s="74" t="str">
        <f t="shared" si="136"/>
        <v>4-30 Days</v>
      </c>
      <c r="L2915" s="58" t="str">
        <f t="shared" si="137"/>
        <v>Not Applicable</v>
      </c>
    </row>
    <row r="2916" spans="1:12" ht="16.5" customHeight="1" x14ac:dyDescent="0.35">
      <c r="A2916" t="s">
        <v>1646</v>
      </c>
      <c r="B2916" t="s">
        <v>1646</v>
      </c>
      <c r="C2916">
        <v>0</v>
      </c>
      <c r="D2916">
        <v>500</v>
      </c>
      <c r="E2916" t="s">
        <v>9483</v>
      </c>
      <c r="F2916" t="s">
        <v>3499</v>
      </c>
      <c r="G2916" t="s">
        <v>9484</v>
      </c>
      <c r="H2916" t="s">
        <v>3489</v>
      </c>
      <c r="I2916" t="s">
        <v>3490</v>
      </c>
      <c r="J2916" s="56">
        <f t="shared" si="135"/>
        <v>13</v>
      </c>
      <c r="K2916" s="74" t="str">
        <f t="shared" si="136"/>
        <v>4-30 Days</v>
      </c>
      <c r="L2916" s="58" t="str">
        <f t="shared" si="137"/>
        <v>Not Applicable</v>
      </c>
    </row>
    <row r="2917" spans="1:12" ht="16.5" customHeight="1" x14ac:dyDescent="0.35">
      <c r="A2917" t="s">
        <v>1646</v>
      </c>
      <c r="B2917" t="s">
        <v>1646</v>
      </c>
      <c r="C2917">
        <v>0</v>
      </c>
      <c r="D2917">
        <v>50</v>
      </c>
      <c r="E2917" t="s">
        <v>9485</v>
      </c>
      <c r="F2917" t="s">
        <v>9485</v>
      </c>
      <c r="G2917" t="s">
        <v>9486</v>
      </c>
      <c r="H2917" t="s">
        <v>3489</v>
      </c>
      <c r="I2917" t="s">
        <v>3490</v>
      </c>
      <c r="J2917" s="56">
        <f t="shared" si="135"/>
        <v>13</v>
      </c>
      <c r="K2917" s="74" t="str">
        <f t="shared" si="136"/>
        <v>4-30 Days</v>
      </c>
      <c r="L2917" s="58" t="str">
        <f t="shared" si="137"/>
        <v>Not Applicable</v>
      </c>
    </row>
    <row r="2918" spans="1:12" ht="16.5" customHeight="1" x14ac:dyDescent="0.35">
      <c r="A2918" t="s">
        <v>1646</v>
      </c>
      <c r="B2918" t="s">
        <v>1646</v>
      </c>
      <c r="C2918">
        <v>0</v>
      </c>
      <c r="D2918">
        <v>50947.3</v>
      </c>
      <c r="E2918" t="s">
        <v>9487</v>
      </c>
      <c r="F2918" t="s">
        <v>9487</v>
      </c>
      <c r="G2918" t="s">
        <v>9488</v>
      </c>
      <c r="H2918" t="s">
        <v>3521</v>
      </c>
      <c r="I2918" t="s">
        <v>3490</v>
      </c>
      <c r="J2918" s="56">
        <f t="shared" si="135"/>
        <v>13</v>
      </c>
      <c r="K2918" s="74" t="str">
        <f t="shared" si="136"/>
        <v>4-30 Days</v>
      </c>
      <c r="L2918" s="58" t="str">
        <f t="shared" si="137"/>
        <v>Not Applicable</v>
      </c>
    </row>
    <row r="2919" spans="1:12" ht="16.5" customHeight="1" x14ac:dyDescent="0.35">
      <c r="A2919" t="s">
        <v>1646</v>
      </c>
      <c r="B2919" t="s">
        <v>1646</v>
      </c>
      <c r="C2919">
        <v>2184</v>
      </c>
      <c r="D2919">
        <v>0</v>
      </c>
      <c r="E2919" t="s">
        <v>4110</v>
      </c>
      <c r="F2919" t="s">
        <v>4110</v>
      </c>
      <c r="G2919" t="s">
        <v>9489</v>
      </c>
      <c r="H2919" t="s">
        <v>3458</v>
      </c>
      <c r="I2919" t="s">
        <v>3486</v>
      </c>
      <c r="J2919" s="56">
        <f t="shared" si="135"/>
        <v>13</v>
      </c>
      <c r="K2919" s="74" t="str">
        <f t="shared" si="136"/>
        <v>4-30 Days</v>
      </c>
      <c r="L2919" s="58" t="str">
        <f t="shared" si="137"/>
        <v>Normal</v>
      </c>
    </row>
    <row r="2920" spans="1:12" ht="16.5" customHeight="1" x14ac:dyDescent="0.35">
      <c r="A2920" t="s">
        <v>1646</v>
      </c>
      <c r="B2920" t="s">
        <v>1646</v>
      </c>
      <c r="C2920">
        <v>0</v>
      </c>
      <c r="D2920">
        <v>1000</v>
      </c>
      <c r="E2920" t="s">
        <v>9490</v>
      </c>
      <c r="F2920" t="s">
        <v>9490</v>
      </c>
      <c r="G2920" t="s">
        <v>9491</v>
      </c>
      <c r="H2920" t="s">
        <v>3489</v>
      </c>
      <c r="I2920" t="s">
        <v>3490</v>
      </c>
      <c r="J2920" s="56">
        <f t="shared" si="135"/>
        <v>13</v>
      </c>
      <c r="K2920" s="74" t="str">
        <f t="shared" si="136"/>
        <v>4-30 Days</v>
      </c>
      <c r="L2920" s="58" t="str">
        <f t="shared" si="137"/>
        <v>Not Applicable</v>
      </c>
    </row>
    <row r="2921" spans="1:12" ht="16.5" customHeight="1" x14ac:dyDescent="0.35">
      <c r="A2921" t="s">
        <v>1646</v>
      </c>
      <c r="B2921" t="s">
        <v>1646</v>
      </c>
      <c r="C2921">
        <v>0</v>
      </c>
      <c r="D2921">
        <v>150</v>
      </c>
      <c r="E2921" t="s">
        <v>9492</v>
      </c>
      <c r="F2921" t="s">
        <v>9492</v>
      </c>
      <c r="G2921" t="s">
        <v>9493</v>
      </c>
      <c r="H2921" t="s">
        <v>3489</v>
      </c>
      <c r="I2921" t="s">
        <v>3490</v>
      </c>
      <c r="J2921" s="56">
        <f t="shared" si="135"/>
        <v>13</v>
      </c>
      <c r="K2921" s="74" t="str">
        <f t="shared" si="136"/>
        <v>4-30 Days</v>
      </c>
      <c r="L2921" s="58" t="str">
        <f t="shared" si="137"/>
        <v>Not Applicable</v>
      </c>
    </row>
    <row r="2922" spans="1:12" ht="16.5" customHeight="1" x14ac:dyDescent="0.35">
      <c r="A2922" t="s">
        <v>1646</v>
      </c>
      <c r="B2922" t="s">
        <v>1646</v>
      </c>
      <c r="C2922">
        <v>0</v>
      </c>
      <c r="D2922">
        <v>29744.17</v>
      </c>
      <c r="E2922" t="s">
        <v>9494</v>
      </c>
      <c r="F2922" t="s">
        <v>57</v>
      </c>
      <c r="G2922" t="s">
        <v>57</v>
      </c>
      <c r="H2922" t="s">
        <v>3914</v>
      </c>
      <c r="I2922" t="s">
        <v>3643</v>
      </c>
      <c r="J2922" s="56">
        <f t="shared" si="135"/>
        <v>13</v>
      </c>
      <c r="K2922" s="74" t="str">
        <f t="shared" si="136"/>
        <v>4-30 Days</v>
      </c>
      <c r="L2922" s="58" t="str">
        <f t="shared" si="137"/>
        <v>Not Applicable</v>
      </c>
    </row>
    <row r="2923" spans="1:12" ht="16.5" customHeight="1" x14ac:dyDescent="0.35">
      <c r="A2923" t="s">
        <v>1646</v>
      </c>
      <c r="B2923" t="s">
        <v>1646</v>
      </c>
      <c r="C2923">
        <v>0</v>
      </c>
      <c r="D2923">
        <v>258.61</v>
      </c>
      <c r="E2923" t="s">
        <v>9495</v>
      </c>
      <c r="F2923" t="s">
        <v>8432</v>
      </c>
      <c r="G2923" t="s">
        <v>9496</v>
      </c>
      <c r="H2923" t="s">
        <v>3489</v>
      </c>
      <c r="I2923" t="s">
        <v>3486</v>
      </c>
      <c r="J2923" s="56">
        <f t="shared" si="135"/>
        <v>13</v>
      </c>
      <c r="K2923" s="74" t="str">
        <f t="shared" si="136"/>
        <v>4-30 Days</v>
      </c>
      <c r="L2923" s="58" t="str">
        <f t="shared" si="137"/>
        <v>Not Applicable</v>
      </c>
    </row>
    <row r="2924" spans="1:12" ht="16.5" customHeight="1" x14ac:dyDescent="0.35">
      <c r="A2924" t="s">
        <v>1646</v>
      </c>
      <c r="B2924" t="s">
        <v>1646</v>
      </c>
      <c r="C2924">
        <v>0</v>
      </c>
      <c r="D2924">
        <v>3150</v>
      </c>
      <c r="E2924" t="s">
        <v>9497</v>
      </c>
      <c r="F2924" t="s">
        <v>3499</v>
      </c>
      <c r="G2924" t="s">
        <v>9498</v>
      </c>
      <c r="H2924" t="s">
        <v>3489</v>
      </c>
      <c r="I2924" t="s">
        <v>3490</v>
      </c>
      <c r="J2924" s="56">
        <f t="shared" si="135"/>
        <v>13</v>
      </c>
      <c r="K2924" s="74" t="str">
        <f t="shared" si="136"/>
        <v>4-30 Days</v>
      </c>
      <c r="L2924" s="58" t="str">
        <f t="shared" si="137"/>
        <v>Not Applicable</v>
      </c>
    </row>
    <row r="2925" spans="1:12" ht="16.5" customHeight="1" x14ac:dyDescent="0.35">
      <c r="A2925" t="s">
        <v>1646</v>
      </c>
      <c r="B2925" t="s">
        <v>1646</v>
      </c>
      <c r="C2925">
        <v>0</v>
      </c>
      <c r="D2925">
        <v>600</v>
      </c>
      <c r="E2925" t="s">
        <v>9499</v>
      </c>
      <c r="F2925" t="s">
        <v>9499</v>
      </c>
      <c r="G2925" t="s">
        <v>9500</v>
      </c>
      <c r="H2925" t="s">
        <v>3489</v>
      </c>
      <c r="I2925" t="s">
        <v>3490</v>
      </c>
      <c r="J2925" s="56">
        <f t="shared" si="135"/>
        <v>13</v>
      </c>
      <c r="K2925" s="74" t="str">
        <f t="shared" si="136"/>
        <v>4-30 Days</v>
      </c>
      <c r="L2925" s="58" t="str">
        <f t="shared" si="137"/>
        <v>Not Applicable</v>
      </c>
    </row>
    <row r="2926" spans="1:12" ht="16.5" customHeight="1" x14ac:dyDescent="0.35">
      <c r="A2926" t="s">
        <v>1646</v>
      </c>
      <c r="B2926" t="s">
        <v>1646</v>
      </c>
      <c r="C2926">
        <v>0</v>
      </c>
      <c r="D2926">
        <v>2050</v>
      </c>
      <c r="E2926" t="s">
        <v>9501</v>
      </c>
      <c r="F2926" t="s">
        <v>3499</v>
      </c>
      <c r="G2926" t="s">
        <v>9502</v>
      </c>
      <c r="H2926" t="s">
        <v>3489</v>
      </c>
      <c r="I2926" t="s">
        <v>3490</v>
      </c>
      <c r="J2926" s="56">
        <f t="shared" si="135"/>
        <v>13</v>
      </c>
      <c r="K2926" s="74" t="str">
        <f t="shared" si="136"/>
        <v>4-30 Days</v>
      </c>
      <c r="L2926" s="58" t="str">
        <f t="shared" si="137"/>
        <v>Not Applicable</v>
      </c>
    </row>
    <row r="2927" spans="1:12" ht="16.5" customHeight="1" x14ac:dyDescent="0.35">
      <c r="A2927" t="s">
        <v>1646</v>
      </c>
      <c r="B2927" t="s">
        <v>1646</v>
      </c>
      <c r="C2927">
        <v>0</v>
      </c>
      <c r="D2927">
        <v>3150</v>
      </c>
      <c r="E2927" t="s">
        <v>9503</v>
      </c>
      <c r="F2927" t="s">
        <v>3499</v>
      </c>
      <c r="G2927" t="s">
        <v>9504</v>
      </c>
      <c r="H2927" t="s">
        <v>3489</v>
      </c>
      <c r="I2927" t="s">
        <v>3490</v>
      </c>
      <c r="J2927" s="56">
        <f t="shared" si="135"/>
        <v>13</v>
      </c>
      <c r="K2927" s="74" t="str">
        <f t="shared" si="136"/>
        <v>4-30 Days</v>
      </c>
      <c r="L2927" s="58" t="str">
        <f t="shared" si="137"/>
        <v>Not Applicable</v>
      </c>
    </row>
    <row r="2928" spans="1:12" ht="16.5" customHeight="1" x14ac:dyDescent="0.35">
      <c r="A2928" t="s">
        <v>1646</v>
      </c>
      <c r="B2928" t="s">
        <v>1646</v>
      </c>
      <c r="C2928">
        <v>0</v>
      </c>
      <c r="D2928">
        <v>600</v>
      </c>
      <c r="E2928" t="s">
        <v>9505</v>
      </c>
      <c r="F2928" t="s">
        <v>9505</v>
      </c>
      <c r="G2928" t="s">
        <v>9506</v>
      </c>
      <c r="H2928" t="s">
        <v>3489</v>
      </c>
      <c r="I2928" t="s">
        <v>3490</v>
      </c>
      <c r="J2928" s="56">
        <f t="shared" si="135"/>
        <v>13</v>
      </c>
      <c r="K2928" s="74" t="str">
        <f t="shared" si="136"/>
        <v>4-30 Days</v>
      </c>
      <c r="L2928" s="58" t="str">
        <f t="shared" si="137"/>
        <v>Not Applicable</v>
      </c>
    </row>
    <row r="2929" spans="1:12" ht="16.5" customHeight="1" x14ac:dyDescent="0.35">
      <c r="A2929" t="s">
        <v>1646</v>
      </c>
      <c r="B2929" t="s">
        <v>1646</v>
      </c>
      <c r="C2929">
        <v>0</v>
      </c>
      <c r="D2929">
        <v>44649.62</v>
      </c>
      <c r="E2929" t="s">
        <v>9507</v>
      </c>
      <c r="F2929" t="s">
        <v>9507</v>
      </c>
      <c r="G2929" t="s">
        <v>9508</v>
      </c>
      <c r="H2929" t="s">
        <v>3521</v>
      </c>
      <c r="I2929" t="s">
        <v>3490</v>
      </c>
      <c r="J2929" s="56">
        <f t="shared" si="135"/>
        <v>13</v>
      </c>
      <c r="K2929" s="74" t="str">
        <f t="shared" si="136"/>
        <v>4-30 Days</v>
      </c>
      <c r="L2929" s="58" t="str">
        <f t="shared" si="137"/>
        <v>Not Applicable</v>
      </c>
    </row>
    <row r="2930" spans="1:12" ht="16.5" customHeight="1" x14ac:dyDescent="0.35">
      <c r="A2930" t="s">
        <v>1646</v>
      </c>
      <c r="B2930" t="s">
        <v>1646</v>
      </c>
      <c r="C2930">
        <v>0</v>
      </c>
      <c r="D2930">
        <v>3100</v>
      </c>
      <c r="E2930" t="s">
        <v>9509</v>
      </c>
      <c r="F2930" t="s">
        <v>9510</v>
      </c>
      <c r="G2930" t="s">
        <v>9511</v>
      </c>
      <c r="H2930" t="s">
        <v>3532</v>
      </c>
      <c r="I2930" t="s">
        <v>3490</v>
      </c>
      <c r="J2930" s="56">
        <f t="shared" si="135"/>
        <v>13</v>
      </c>
      <c r="K2930" s="74" t="str">
        <f t="shared" si="136"/>
        <v>4-30 Days</v>
      </c>
      <c r="L2930" s="58" t="str">
        <f t="shared" si="137"/>
        <v>Not Applicable</v>
      </c>
    </row>
    <row r="2931" spans="1:12" ht="16.5" customHeight="1" x14ac:dyDescent="0.35">
      <c r="A2931" t="s">
        <v>1646</v>
      </c>
      <c r="B2931" t="s">
        <v>1646</v>
      </c>
      <c r="C2931">
        <v>0</v>
      </c>
      <c r="D2931">
        <v>880</v>
      </c>
      <c r="E2931" t="s">
        <v>9512</v>
      </c>
      <c r="F2931" t="s">
        <v>9513</v>
      </c>
      <c r="G2931" t="s">
        <v>9514</v>
      </c>
      <c r="H2931" t="s">
        <v>3532</v>
      </c>
      <c r="I2931" t="s">
        <v>3490</v>
      </c>
      <c r="J2931" s="56">
        <f t="shared" si="135"/>
        <v>13</v>
      </c>
      <c r="K2931" s="74" t="str">
        <f t="shared" si="136"/>
        <v>4-30 Days</v>
      </c>
      <c r="L2931" s="58" t="str">
        <f t="shared" si="137"/>
        <v>Not Applicable</v>
      </c>
    </row>
    <row r="2932" spans="1:12" ht="16.5" customHeight="1" x14ac:dyDescent="0.35">
      <c r="A2932" t="s">
        <v>1646</v>
      </c>
      <c r="B2932" t="s">
        <v>1646</v>
      </c>
      <c r="C2932">
        <v>0</v>
      </c>
      <c r="D2932">
        <v>500</v>
      </c>
      <c r="E2932" t="s">
        <v>9515</v>
      </c>
      <c r="F2932" t="s">
        <v>9516</v>
      </c>
      <c r="G2932" t="s">
        <v>9517</v>
      </c>
      <c r="H2932" t="s">
        <v>3489</v>
      </c>
      <c r="I2932" t="s">
        <v>3490</v>
      </c>
      <c r="J2932" s="56">
        <f t="shared" si="135"/>
        <v>13</v>
      </c>
      <c r="K2932" s="74" t="str">
        <f t="shared" si="136"/>
        <v>4-30 Days</v>
      </c>
      <c r="L2932" s="58" t="str">
        <f t="shared" si="137"/>
        <v>Not Applicable</v>
      </c>
    </row>
    <row r="2933" spans="1:12" ht="16.5" customHeight="1" x14ac:dyDescent="0.35">
      <c r="A2933" t="s">
        <v>1646</v>
      </c>
      <c r="B2933" t="s">
        <v>1646</v>
      </c>
      <c r="C2933">
        <v>0</v>
      </c>
      <c r="D2933">
        <v>150</v>
      </c>
      <c r="E2933" t="s">
        <v>9518</v>
      </c>
      <c r="F2933" t="s">
        <v>9518</v>
      </c>
      <c r="G2933" t="s">
        <v>9519</v>
      </c>
      <c r="H2933" t="s">
        <v>3489</v>
      </c>
      <c r="I2933" t="s">
        <v>3490</v>
      </c>
      <c r="J2933" s="56">
        <f t="shared" si="135"/>
        <v>13</v>
      </c>
      <c r="K2933" s="74" t="str">
        <f t="shared" si="136"/>
        <v>4-30 Days</v>
      </c>
      <c r="L2933" s="58" t="str">
        <f t="shared" si="137"/>
        <v>Not Applicable</v>
      </c>
    </row>
    <row r="2934" spans="1:12" ht="16.5" customHeight="1" x14ac:dyDescent="0.35">
      <c r="A2934" t="s">
        <v>9520</v>
      </c>
      <c r="B2934" t="s">
        <v>9520</v>
      </c>
      <c r="C2934">
        <v>0</v>
      </c>
      <c r="D2934">
        <v>250</v>
      </c>
      <c r="E2934" t="s">
        <v>9521</v>
      </c>
      <c r="F2934" t="s">
        <v>9521</v>
      </c>
      <c r="G2934" t="s">
        <v>9522</v>
      </c>
      <c r="H2934" t="s">
        <v>3489</v>
      </c>
      <c r="I2934" t="s">
        <v>3490</v>
      </c>
      <c r="J2934" s="56">
        <f t="shared" si="135"/>
        <v>12</v>
      </c>
      <c r="K2934" s="74" t="str">
        <f t="shared" si="136"/>
        <v>4-30 Days</v>
      </c>
      <c r="L2934" s="58" t="str">
        <f t="shared" si="137"/>
        <v>Not Applicable</v>
      </c>
    </row>
    <row r="2935" spans="1:12" ht="16.5" customHeight="1" x14ac:dyDescent="0.35">
      <c r="A2935" t="s">
        <v>9520</v>
      </c>
      <c r="B2935" t="s">
        <v>9520</v>
      </c>
      <c r="C2935">
        <v>0</v>
      </c>
      <c r="D2935">
        <v>2050</v>
      </c>
      <c r="E2935" t="s">
        <v>9523</v>
      </c>
      <c r="F2935" t="s">
        <v>9523</v>
      </c>
      <c r="G2935" t="s">
        <v>9524</v>
      </c>
      <c r="H2935" t="s">
        <v>8175</v>
      </c>
      <c r="I2935" t="s">
        <v>3490</v>
      </c>
      <c r="J2935" s="56">
        <f t="shared" si="135"/>
        <v>12</v>
      </c>
      <c r="K2935" s="74" t="str">
        <f t="shared" si="136"/>
        <v>4-30 Days</v>
      </c>
      <c r="L2935" s="58" t="str">
        <f t="shared" si="137"/>
        <v>Not Applicable</v>
      </c>
    </row>
    <row r="2936" spans="1:12" ht="16.5" customHeight="1" x14ac:dyDescent="0.35">
      <c r="A2936" t="s">
        <v>9520</v>
      </c>
      <c r="B2936" t="s">
        <v>9520</v>
      </c>
      <c r="C2936">
        <v>0</v>
      </c>
      <c r="D2936">
        <v>250</v>
      </c>
      <c r="E2936" t="s">
        <v>9525</v>
      </c>
      <c r="F2936" t="s">
        <v>9525</v>
      </c>
      <c r="G2936" t="s">
        <v>9526</v>
      </c>
      <c r="H2936" t="s">
        <v>3489</v>
      </c>
      <c r="I2936" t="s">
        <v>3490</v>
      </c>
      <c r="J2936" s="56">
        <f t="shared" si="135"/>
        <v>12</v>
      </c>
      <c r="K2936" s="74" t="str">
        <f t="shared" si="136"/>
        <v>4-30 Days</v>
      </c>
      <c r="L2936" s="58" t="str">
        <f t="shared" si="137"/>
        <v>Not Applicable</v>
      </c>
    </row>
    <row r="2937" spans="1:12" ht="16.5" customHeight="1" x14ac:dyDescent="0.35">
      <c r="A2937" t="s">
        <v>1718</v>
      </c>
      <c r="B2937" t="s">
        <v>1718</v>
      </c>
      <c r="C2937">
        <v>0</v>
      </c>
      <c r="D2937">
        <v>2050</v>
      </c>
      <c r="E2937" t="s">
        <v>9527</v>
      </c>
      <c r="F2937" t="s">
        <v>9528</v>
      </c>
      <c r="G2937" t="s">
        <v>9529</v>
      </c>
      <c r="H2937" t="s">
        <v>3532</v>
      </c>
      <c r="I2937" t="s">
        <v>3490</v>
      </c>
      <c r="J2937" s="56">
        <f t="shared" si="135"/>
        <v>11</v>
      </c>
      <c r="K2937" s="74" t="str">
        <f t="shared" si="136"/>
        <v>4-30 Days</v>
      </c>
      <c r="L2937" s="58" t="str">
        <f t="shared" si="137"/>
        <v>Not Applicable</v>
      </c>
    </row>
    <row r="2938" spans="1:12" ht="16.5" customHeight="1" x14ac:dyDescent="0.35">
      <c r="A2938" t="s">
        <v>1718</v>
      </c>
      <c r="B2938" t="s">
        <v>1718</v>
      </c>
      <c r="C2938">
        <v>0</v>
      </c>
      <c r="D2938">
        <v>150</v>
      </c>
      <c r="E2938" t="s">
        <v>9530</v>
      </c>
      <c r="F2938" t="s">
        <v>3499</v>
      </c>
      <c r="G2938" t="s">
        <v>9531</v>
      </c>
      <c r="H2938" t="s">
        <v>3489</v>
      </c>
      <c r="I2938" t="s">
        <v>3490</v>
      </c>
      <c r="J2938" s="56">
        <f t="shared" si="135"/>
        <v>11</v>
      </c>
      <c r="K2938" s="74" t="str">
        <f t="shared" si="136"/>
        <v>4-30 Days</v>
      </c>
      <c r="L2938" s="58" t="str">
        <f t="shared" si="137"/>
        <v>Not Applicable</v>
      </c>
    </row>
    <row r="2939" spans="1:12" ht="16.5" customHeight="1" x14ac:dyDescent="0.35">
      <c r="A2939" t="s">
        <v>1718</v>
      </c>
      <c r="B2939" t="s">
        <v>1718</v>
      </c>
      <c r="C2939">
        <v>0</v>
      </c>
      <c r="D2939">
        <v>414</v>
      </c>
      <c r="E2939" t="s">
        <v>9532</v>
      </c>
      <c r="F2939" t="s">
        <v>9532</v>
      </c>
      <c r="G2939" t="s">
        <v>9533</v>
      </c>
      <c r="H2939" t="s">
        <v>3489</v>
      </c>
      <c r="I2939" t="s">
        <v>3490</v>
      </c>
      <c r="J2939" s="56">
        <f t="shared" si="135"/>
        <v>11</v>
      </c>
      <c r="K2939" s="74" t="str">
        <f t="shared" si="136"/>
        <v>4-30 Days</v>
      </c>
      <c r="L2939" s="58" t="str">
        <f t="shared" si="137"/>
        <v>Not Applicable</v>
      </c>
    </row>
    <row r="2940" spans="1:12" ht="16.5" customHeight="1" x14ac:dyDescent="0.35">
      <c r="A2940" t="s">
        <v>1718</v>
      </c>
      <c r="B2940" t="s">
        <v>1718</v>
      </c>
      <c r="C2940">
        <v>105</v>
      </c>
      <c r="D2940">
        <v>0</v>
      </c>
      <c r="E2940" t="s">
        <v>703</v>
      </c>
      <c r="F2940" t="s">
        <v>9534</v>
      </c>
      <c r="G2940" t="s">
        <v>9535</v>
      </c>
      <c r="H2940" t="s">
        <v>3485</v>
      </c>
      <c r="I2940" t="s">
        <v>3490</v>
      </c>
      <c r="J2940" s="56">
        <f t="shared" si="135"/>
        <v>11</v>
      </c>
      <c r="K2940" s="74" t="str">
        <f t="shared" si="136"/>
        <v>4-30 Days</v>
      </c>
      <c r="L2940" s="58" t="str">
        <f t="shared" si="137"/>
        <v>Normal</v>
      </c>
    </row>
    <row r="2941" spans="1:12" ht="16.5" customHeight="1" x14ac:dyDescent="0.35">
      <c r="A2941" t="s">
        <v>1718</v>
      </c>
      <c r="B2941" t="s">
        <v>1718</v>
      </c>
      <c r="C2941">
        <v>2614560.0699999998</v>
      </c>
      <c r="D2941">
        <v>0</v>
      </c>
      <c r="E2941" t="s">
        <v>9536</v>
      </c>
      <c r="F2941" t="s">
        <v>9536</v>
      </c>
      <c r="G2941" t="s">
        <v>9537</v>
      </c>
      <c r="H2941" t="s">
        <v>3455</v>
      </c>
      <c r="I2941" t="s">
        <v>3486</v>
      </c>
      <c r="J2941" s="56">
        <f t="shared" si="135"/>
        <v>11</v>
      </c>
      <c r="K2941" s="74" t="str">
        <f t="shared" si="136"/>
        <v>4-30 Days</v>
      </c>
      <c r="L2941" s="58" t="str">
        <f t="shared" si="137"/>
        <v>Normal</v>
      </c>
    </row>
    <row r="2942" spans="1:12" ht="16.5" customHeight="1" x14ac:dyDescent="0.35">
      <c r="A2942" t="s">
        <v>1718</v>
      </c>
      <c r="B2942" t="s">
        <v>1718</v>
      </c>
      <c r="C2942">
        <v>0</v>
      </c>
      <c r="D2942">
        <v>100</v>
      </c>
      <c r="E2942" t="s">
        <v>9538</v>
      </c>
      <c r="F2942" t="s">
        <v>9538</v>
      </c>
      <c r="G2942" t="s">
        <v>9539</v>
      </c>
      <c r="H2942" t="s">
        <v>3489</v>
      </c>
      <c r="I2942" t="s">
        <v>3490</v>
      </c>
      <c r="J2942" s="56">
        <f t="shared" si="135"/>
        <v>11</v>
      </c>
      <c r="K2942" s="74" t="str">
        <f t="shared" si="136"/>
        <v>4-30 Days</v>
      </c>
      <c r="L2942" s="58" t="str">
        <f t="shared" si="137"/>
        <v>Not Applicable</v>
      </c>
    </row>
    <row r="2943" spans="1:12" ht="16.5" customHeight="1" x14ac:dyDescent="0.35">
      <c r="A2943" t="s">
        <v>1718</v>
      </c>
      <c r="B2943" t="s">
        <v>1718</v>
      </c>
      <c r="C2943">
        <v>0</v>
      </c>
      <c r="D2943">
        <v>18747.05</v>
      </c>
      <c r="E2943" t="s">
        <v>9540</v>
      </c>
      <c r="F2943" t="s">
        <v>57</v>
      </c>
      <c r="G2943" t="s">
        <v>57</v>
      </c>
      <c r="H2943" t="s">
        <v>3914</v>
      </c>
      <c r="I2943" t="s">
        <v>3643</v>
      </c>
      <c r="J2943" s="56">
        <f t="shared" si="135"/>
        <v>11</v>
      </c>
      <c r="K2943" s="74" t="str">
        <f t="shared" si="136"/>
        <v>4-30 Days</v>
      </c>
      <c r="L2943" s="58" t="str">
        <f t="shared" si="137"/>
        <v>Not Applicable</v>
      </c>
    </row>
    <row r="2944" spans="1:12" ht="16.5" customHeight="1" x14ac:dyDescent="0.35">
      <c r="A2944" t="s">
        <v>1718</v>
      </c>
      <c r="B2944" t="s">
        <v>1718</v>
      </c>
      <c r="C2944">
        <v>0</v>
      </c>
      <c r="D2944">
        <v>14690</v>
      </c>
      <c r="E2944" t="s">
        <v>9541</v>
      </c>
      <c r="F2944" t="s">
        <v>3574</v>
      </c>
      <c r="G2944" t="s">
        <v>9542</v>
      </c>
      <c r="H2944" t="s">
        <v>3489</v>
      </c>
      <c r="I2944" t="s">
        <v>3490</v>
      </c>
      <c r="J2944" s="56">
        <f t="shared" si="135"/>
        <v>11</v>
      </c>
      <c r="K2944" s="74" t="str">
        <f t="shared" si="136"/>
        <v>4-30 Days</v>
      </c>
      <c r="L2944" s="58" t="str">
        <f t="shared" si="137"/>
        <v>Not Applicable</v>
      </c>
    </row>
    <row r="2945" spans="1:12" ht="16.5" customHeight="1" x14ac:dyDescent="0.35">
      <c r="A2945" t="s">
        <v>1718</v>
      </c>
      <c r="B2945" t="s">
        <v>1718</v>
      </c>
      <c r="C2945">
        <v>0</v>
      </c>
      <c r="D2945">
        <v>5723</v>
      </c>
      <c r="E2945" t="s">
        <v>9543</v>
      </c>
      <c r="F2945" t="s">
        <v>9544</v>
      </c>
      <c r="G2945" t="s">
        <v>9545</v>
      </c>
      <c r="H2945" t="s">
        <v>3532</v>
      </c>
      <c r="I2945" t="s">
        <v>3490</v>
      </c>
      <c r="J2945" s="56">
        <f t="shared" si="135"/>
        <v>11</v>
      </c>
      <c r="K2945" s="74" t="str">
        <f t="shared" si="136"/>
        <v>4-30 Days</v>
      </c>
      <c r="L2945" s="58" t="str">
        <f t="shared" si="137"/>
        <v>Not Applicable</v>
      </c>
    </row>
    <row r="2946" spans="1:12" ht="16.5" customHeight="1" x14ac:dyDescent="0.35">
      <c r="A2946" t="s">
        <v>1718</v>
      </c>
      <c r="B2946" t="s">
        <v>1718</v>
      </c>
      <c r="C2946">
        <v>0</v>
      </c>
      <c r="D2946">
        <v>600</v>
      </c>
      <c r="E2946" t="s">
        <v>9546</v>
      </c>
      <c r="F2946" t="s">
        <v>9546</v>
      </c>
      <c r="G2946" t="s">
        <v>9547</v>
      </c>
      <c r="H2946" t="s">
        <v>3532</v>
      </c>
      <c r="I2946" t="s">
        <v>3490</v>
      </c>
      <c r="J2946" s="56">
        <f t="shared" si="135"/>
        <v>11</v>
      </c>
      <c r="K2946" s="74" t="str">
        <f t="shared" si="136"/>
        <v>4-30 Days</v>
      </c>
      <c r="L2946" s="58" t="str">
        <f t="shared" si="137"/>
        <v>Not Applicable</v>
      </c>
    </row>
    <row r="2947" spans="1:12" ht="16.5" customHeight="1" x14ac:dyDescent="0.35">
      <c r="A2947" t="s">
        <v>1718</v>
      </c>
      <c r="B2947" t="s">
        <v>1718</v>
      </c>
      <c r="C2947">
        <v>0</v>
      </c>
      <c r="D2947">
        <v>1000</v>
      </c>
      <c r="E2947" t="s">
        <v>9548</v>
      </c>
      <c r="F2947" t="s">
        <v>9549</v>
      </c>
      <c r="G2947" t="s">
        <v>9550</v>
      </c>
      <c r="H2947" t="s">
        <v>3489</v>
      </c>
      <c r="I2947" t="s">
        <v>3490</v>
      </c>
      <c r="J2947" s="56">
        <f t="shared" si="135"/>
        <v>11</v>
      </c>
      <c r="K2947" s="74" t="str">
        <f t="shared" si="136"/>
        <v>4-30 Days</v>
      </c>
      <c r="L2947" s="58" t="str">
        <f t="shared" si="137"/>
        <v>Not Applicable</v>
      </c>
    </row>
    <row r="2948" spans="1:12" ht="16.5" customHeight="1" x14ac:dyDescent="0.35">
      <c r="A2948" t="s">
        <v>1718</v>
      </c>
      <c r="B2948" t="s">
        <v>1718</v>
      </c>
      <c r="C2948">
        <v>1860</v>
      </c>
      <c r="D2948">
        <v>0</v>
      </c>
      <c r="E2948" t="s">
        <v>719</v>
      </c>
      <c r="F2948" t="s">
        <v>9551</v>
      </c>
      <c r="G2948" t="s">
        <v>9552</v>
      </c>
      <c r="H2948" t="s">
        <v>3455</v>
      </c>
      <c r="I2948" t="s">
        <v>3490</v>
      </c>
      <c r="J2948" s="56">
        <f t="shared" si="135"/>
        <v>11</v>
      </c>
      <c r="K2948" s="74" t="str">
        <f t="shared" si="136"/>
        <v>4-30 Days</v>
      </c>
      <c r="L2948" s="58" t="str">
        <f t="shared" si="137"/>
        <v>Normal</v>
      </c>
    </row>
    <row r="2949" spans="1:12" ht="16.5" customHeight="1" x14ac:dyDescent="0.35">
      <c r="A2949" t="s">
        <v>1718</v>
      </c>
      <c r="B2949" t="s">
        <v>1718</v>
      </c>
      <c r="C2949">
        <v>0</v>
      </c>
      <c r="D2949">
        <v>2100</v>
      </c>
      <c r="E2949" t="s">
        <v>9553</v>
      </c>
      <c r="F2949" t="s">
        <v>9554</v>
      </c>
      <c r="G2949" t="s">
        <v>9555</v>
      </c>
      <c r="H2949" t="s">
        <v>3532</v>
      </c>
      <c r="I2949" t="s">
        <v>3490</v>
      </c>
      <c r="J2949" s="56">
        <f t="shared" si="135"/>
        <v>11</v>
      </c>
      <c r="K2949" s="74" t="str">
        <f t="shared" si="136"/>
        <v>4-30 Days</v>
      </c>
      <c r="L2949" s="58" t="str">
        <f t="shared" si="137"/>
        <v>Not Applicable</v>
      </c>
    </row>
    <row r="2950" spans="1:12" ht="16.5" customHeight="1" x14ac:dyDescent="0.35">
      <c r="A2950" t="s">
        <v>1718</v>
      </c>
      <c r="B2950" t="s">
        <v>1718</v>
      </c>
      <c r="C2950">
        <v>0</v>
      </c>
      <c r="D2950">
        <v>2650</v>
      </c>
      <c r="E2950" t="s">
        <v>9556</v>
      </c>
      <c r="F2950" t="s">
        <v>9556</v>
      </c>
      <c r="G2950" t="s">
        <v>9557</v>
      </c>
      <c r="H2950" t="s">
        <v>3489</v>
      </c>
      <c r="I2950" t="s">
        <v>3490</v>
      </c>
      <c r="J2950" s="56">
        <f t="shared" si="135"/>
        <v>11</v>
      </c>
      <c r="K2950" s="74" t="str">
        <f t="shared" si="136"/>
        <v>4-30 Days</v>
      </c>
      <c r="L2950" s="58" t="str">
        <f t="shared" si="137"/>
        <v>Not Applicable</v>
      </c>
    </row>
    <row r="2951" spans="1:12" ht="16.5" customHeight="1" x14ac:dyDescent="0.35">
      <c r="A2951" t="s">
        <v>1718</v>
      </c>
      <c r="B2951" t="s">
        <v>1718</v>
      </c>
      <c r="C2951">
        <v>0</v>
      </c>
      <c r="D2951">
        <v>2650</v>
      </c>
      <c r="E2951" t="s">
        <v>9558</v>
      </c>
      <c r="F2951" t="s">
        <v>9559</v>
      </c>
      <c r="G2951" t="s">
        <v>9560</v>
      </c>
      <c r="H2951" t="s">
        <v>3532</v>
      </c>
      <c r="I2951" t="s">
        <v>3490</v>
      </c>
      <c r="J2951" s="56">
        <f t="shared" si="135"/>
        <v>11</v>
      </c>
      <c r="K2951" s="74" t="str">
        <f t="shared" si="136"/>
        <v>4-30 Days</v>
      </c>
      <c r="L2951" s="58" t="str">
        <f t="shared" si="137"/>
        <v>Not Applicable</v>
      </c>
    </row>
    <row r="2952" spans="1:12" ht="16.5" customHeight="1" x14ac:dyDescent="0.35">
      <c r="A2952" t="s">
        <v>1718</v>
      </c>
      <c r="B2952" t="s">
        <v>1718</v>
      </c>
      <c r="C2952">
        <v>488084.93</v>
      </c>
      <c r="D2952">
        <v>0</v>
      </c>
      <c r="E2952" t="s">
        <v>9561</v>
      </c>
      <c r="F2952" t="s">
        <v>9561</v>
      </c>
      <c r="G2952" t="s">
        <v>9562</v>
      </c>
      <c r="H2952" t="s">
        <v>3455</v>
      </c>
      <c r="I2952" t="s">
        <v>3486</v>
      </c>
      <c r="J2952" s="56">
        <f t="shared" si="135"/>
        <v>11</v>
      </c>
      <c r="K2952" s="74" t="str">
        <f t="shared" si="136"/>
        <v>4-30 Days</v>
      </c>
      <c r="L2952" s="58" t="str">
        <f t="shared" si="137"/>
        <v>Normal</v>
      </c>
    </row>
    <row r="2953" spans="1:12" ht="16.5" customHeight="1" x14ac:dyDescent="0.35">
      <c r="A2953" t="s">
        <v>1718</v>
      </c>
      <c r="B2953" t="s">
        <v>1718</v>
      </c>
      <c r="C2953">
        <v>0</v>
      </c>
      <c r="D2953">
        <v>550</v>
      </c>
      <c r="E2953" t="s">
        <v>9563</v>
      </c>
      <c r="F2953" t="s">
        <v>9563</v>
      </c>
      <c r="G2953" t="s">
        <v>9564</v>
      </c>
      <c r="H2953" t="s">
        <v>3489</v>
      </c>
      <c r="I2953" t="s">
        <v>3490</v>
      </c>
      <c r="J2953" s="56">
        <f t="shared" ref="J2953:J3016" si="138">IF(A2953="","",A$5-A2953)</f>
        <v>11</v>
      </c>
      <c r="K2953" s="74" t="str">
        <f t="shared" ref="K2953:K3016" si="139">IF(J2953="","",IF(J2953&lt;4,"0-3 Days",IF(J2953&lt;31,"4-30 Days",IF(J2953&lt;61,"31-60 Days",IF(J2953&lt;=90,"61-90 Days",IF(J2953&gt;90,"Above 90 Days","0"))))))</f>
        <v>4-30 Days</v>
      </c>
      <c r="L2953" s="58" t="str">
        <f t="shared" ref="L2953:L3016" si="140">IF(C2953="","",IF(C2953&gt;0,IF(J2953&lt;30,"Normal",IF(J2953&lt;60,"Especially Mentioned",IF(J2953&lt;90,"Substandard",IF(J2953&lt;=180,"Doubtful",IF(J2953&gt;180,"Loss","0"))))),"Not Applicable"))</f>
        <v>Not Applicable</v>
      </c>
    </row>
    <row r="2954" spans="1:12" ht="16.5" customHeight="1" x14ac:dyDescent="0.35">
      <c r="A2954" t="s">
        <v>1718</v>
      </c>
      <c r="B2954" t="s">
        <v>1718</v>
      </c>
      <c r="C2954">
        <v>0</v>
      </c>
      <c r="D2954">
        <v>30000000</v>
      </c>
      <c r="E2954" t="s">
        <v>9565</v>
      </c>
      <c r="F2954" t="s">
        <v>9566</v>
      </c>
      <c r="G2954" t="s">
        <v>9567</v>
      </c>
      <c r="H2954" t="s">
        <v>3489</v>
      </c>
      <c r="I2954" t="s">
        <v>3486</v>
      </c>
      <c r="J2954" s="56">
        <f t="shared" si="138"/>
        <v>11</v>
      </c>
      <c r="K2954" s="74" t="str">
        <f t="shared" si="139"/>
        <v>4-30 Days</v>
      </c>
      <c r="L2954" s="58" t="str">
        <f t="shared" si="140"/>
        <v>Not Applicable</v>
      </c>
    </row>
    <row r="2955" spans="1:12" ht="16.5" customHeight="1" x14ac:dyDescent="0.35">
      <c r="A2955" t="s">
        <v>1718</v>
      </c>
      <c r="B2955" t="s">
        <v>1718</v>
      </c>
      <c r="C2955">
        <v>0</v>
      </c>
      <c r="D2955">
        <v>38.14</v>
      </c>
      <c r="E2955" t="s">
        <v>9568</v>
      </c>
      <c r="F2955" t="s">
        <v>9569</v>
      </c>
      <c r="G2955" t="s">
        <v>9570</v>
      </c>
      <c r="H2955" t="s">
        <v>3489</v>
      </c>
      <c r="I2955" t="s">
        <v>3486</v>
      </c>
      <c r="J2955" s="56">
        <f t="shared" si="138"/>
        <v>11</v>
      </c>
      <c r="K2955" s="74" t="str">
        <f t="shared" si="139"/>
        <v>4-30 Days</v>
      </c>
      <c r="L2955" s="58" t="str">
        <f t="shared" si="140"/>
        <v>Not Applicable</v>
      </c>
    </row>
    <row r="2956" spans="1:12" ht="16.5" customHeight="1" x14ac:dyDescent="0.35">
      <c r="A2956" t="s">
        <v>1718</v>
      </c>
      <c r="B2956" t="s">
        <v>1718</v>
      </c>
      <c r="C2956">
        <v>0</v>
      </c>
      <c r="D2956">
        <v>4000000</v>
      </c>
      <c r="E2956" t="s">
        <v>9571</v>
      </c>
      <c r="F2956" t="s">
        <v>9572</v>
      </c>
      <c r="G2956" t="s">
        <v>9573</v>
      </c>
      <c r="H2956" t="s">
        <v>3489</v>
      </c>
      <c r="I2956" t="s">
        <v>3490</v>
      </c>
      <c r="J2956" s="56">
        <f t="shared" si="138"/>
        <v>11</v>
      </c>
      <c r="K2956" s="74" t="str">
        <f t="shared" si="139"/>
        <v>4-30 Days</v>
      </c>
      <c r="L2956" s="58" t="str">
        <f t="shared" si="140"/>
        <v>Not Applicable</v>
      </c>
    </row>
    <row r="2957" spans="1:12" ht="16.5" customHeight="1" x14ac:dyDescent="0.35">
      <c r="A2957" t="s">
        <v>1718</v>
      </c>
      <c r="B2957" t="s">
        <v>1718</v>
      </c>
      <c r="C2957">
        <v>0</v>
      </c>
      <c r="D2957">
        <v>550</v>
      </c>
      <c r="E2957" t="s">
        <v>9574</v>
      </c>
      <c r="F2957" t="s">
        <v>9574</v>
      </c>
      <c r="G2957" t="s">
        <v>9575</v>
      </c>
      <c r="H2957" t="s">
        <v>3489</v>
      </c>
      <c r="I2957" t="s">
        <v>3490</v>
      </c>
      <c r="J2957" s="56">
        <f t="shared" si="138"/>
        <v>11</v>
      </c>
      <c r="K2957" s="74" t="str">
        <f t="shared" si="139"/>
        <v>4-30 Days</v>
      </c>
      <c r="L2957" s="58" t="str">
        <f t="shared" si="140"/>
        <v>Not Applicable</v>
      </c>
    </row>
    <row r="2958" spans="1:12" ht="16.5" customHeight="1" x14ac:dyDescent="0.35">
      <c r="A2958" t="s">
        <v>1718</v>
      </c>
      <c r="B2958" t="s">
        <v>1718</v>
      </c>
      <c r="C2958">
        <v>0</v>
      </c>
      <c r="D2958">
        <v>2050</v>
      </c>
      <c r="E2958" t="s">
        <v>9576</v>
      </c>
      <c r="F2958" t="s">
        <v>9576</v>
      </c>
      <c r="G2958" t="s">
        <v>9577</v>
      </c>
      <c r="H2958" t="s">
        <v>8175</v>
      </c>
      <c r="I2958" t="s">
        <v>3490</v>
      </c>
      <c r="J2958" s="56">
        <f t="shared" si="138"/>
        <v>11</v>
      </c>
      <c r="K2958" s="74" t="str">
        <f t="shared" si="139"/>
        <v>4-30 Days</v>
      </c>
      <c r="L2958" s="58" t="str">
        <f t="shared" si="140"/>
        <v>Not Applicable</v>
      </c>
    </row>
    <row r="2959" spans="1:12" ht="16.5" customHeight="1" x14ac:dyDescent="0.35">
      <c r="A2959" t="s">
        <v>1718</v>
      </c>
      <c r="B2959" t="s">
        <v>1718</v>
      </c>
      <c r="C2959">
        <v>0</v>
      </c>
      <c r="D2959">
        <v>100</v>
      </c>
      <c r="E2959" t="s">
        <v>9578</v>
      </c>
      <c r="F2959" t="s">
        <v>9578</v>
      </c>
      <c r="G2959" t="s">
        <v>9579</v>
      </c>
      <c r="H2959" t="s">
        <v>3489</v>
      </c>
      <c r="I2959" t="s">
        <v>3490</v>
      </c>
      <c r="J2959" s="56">
        <f t="shared" si="138"/>
        <v>11</v>
      </c>
      <c r="K2959" s="74" t="str">
        <f t="shared" si="139"/>
        <v>4-30 Days</v>
      </c>
      <c r="L2959" s="58" t="str">
        <f t="shared" si="140"/>
        <v>Not Applicable</v>
      </c>
    </row>
    <row r="2960" spans="1:12" ht="16.5" customHeight="1" x14ac:dyDescent="0.35">
      <c r="A2960" t="s">
        <v>1718</v>
      </c>
      <c r="B2960" t="s">
        <v>1718</v>
      </c>
      <c r="C2960">
        <v>0</v>
      </c>
      <c r="D2960">
        <v>250</v>
      </c>
      <c r="E2960" t="s">
        <v>9580</v>
      </c>
      <c r="F2960" t="s">
        <v>9580</v>
      </c>
      <c r="G2960" t="s">
        <v>9581</v>
      </c>
      <c r="H2960" t="s">
        <v>3489</v>
      </c>
      <c r="I2960" t="s">
        <v>3490</v>
      </c>
      <c r="J2960" s="56">
        <f t="shared" si="138"/>
        <v>11</v>
      </c>
      <c r="K2960" s="74" t="str">
        <f t="shared" si="139"/>
        <v>4-30 Days</v>
      </c>
      <c r="L2960" s="58" t="str">
        <f t="shared" si="140"/>
        <v>Not Applicable</v>
      </c>
    </row>
    <row r="2961" spans="1:12" ht="16.5" customHeight="1" x14ac:dyDescent="0.35">
      <c r="A2961" t="s">
        <v>1718</v>
      </c>
      <c r="B2961" t="s">
        <v>1718</v>
      </c>
      <c r="C2961">
        <v>0</v>
      </c>
      <c r="D2961">
        <v>250</v>
      </c>
      <c r="E2961" t="s">
        <v>9582</v>
      </c>
      <c r="F2961" t="s">
        <v>9582</v>
      </c>
      <c r="G2961" t="s">
        <v>9583</v>
      </c>
      <c r="H2961" t="s">
        <v>3489</v>
      </c>
      <c r="I2961" t="s">
        <v>3490</v>
      </c>
      <c r="J2961" s="56">
        <f t="shared" si="138"/>
        <v>11</v>
      </c>
      <c r="K2961" s="74" t="str">
        <f t="shared" si="139"/>
        <v>4-30 Days</v>
      </c>
      <c r="L2961" s="58" t="str">
        <f t="shared" si="140"/>
        <v>Not Applicable</v>
      </c>
    </row>
    <row r="2962" spans="1:12" ht="16.5" customHeight="1" x14ac:dyDescent="0.35">
      <c r="A2962" t="s">
        <v>1718</v>
      </c>
      <c r="B2962" t="s">
        <v>1718</v>
      </c>
      <c r="C2962">
        <v>0</v>
      </c>
      <c r="D2962">
        <v>250</v>
      </c>
      <c r="E2962" t="s">
        <v>9584</v>
      </c>
      <c r="F2962" t="s">
        <v>9584</v>
      </c>
      <c r="G2962" t="s">
        <v>9585</v>
      </c>
      <c r="H2962" t="s">
        <v>3489</v>
      </c>
      <c r="I2962" t="s">
        <v>3490</v>
      </c>
      <c r="J2962" s="56">
        <f t="shared" si="138"/>
        <v>11</v>
      </c>
      <c r="K2962" s="74" t="str">
        <f t="shared" si="139"/>
        <v>4-30 Days</v>
      </c>
      <c r="L2962" s="58" t="str">
        <f t="shared" si="140"/>
        <v>Not Applicable</v>
      </c>
    </row>
    <row r="2963" spans="1:12" ht="16.5" customHeight="1" x14ac:dyDescent="0.35">
      <c r="A2963" t="s">
        <v>1718</v>
      </c>
      <c r="B2963" t="s">
        <v>1718</v>
      </c>
      <c r="C2963">
        <v>0</v>
      </c>
      <c r="D2963">
        <v>140</v>
      </c>
      <c r="E2963" t="s">
        <v>9586</v>
      </c>
      <c r="F2963" t="s">
        <v>9587</v>
      </c>
      <c r="G2963" t="s">
        <v>9588</v>
      </c>
      <c r="H2963" t="s">
        <v>3532</v>
      </c>
      <c r="I2963" t="s">
        <v>3490</v>
      </c>
      <c r="J2963" s="56">
        <f t="shared" si="138"/>
        <v>11</v>
      </c>
      <c r="K2963" s="74" t="str">
        <f t="shared" si="139"/>
        <v>4-30 Days</v>
      </c>
      <c r="L2963" s="58" t="str">
        <f t="shared" si="140"/>
        <v>Not Applicable</v>
      </c>
    </row>
    <row r="2964" spans="1:12" ht="16.5" customHeight="1" x14ac:dyDescent="0.35">
      <c r="A2964" t="s">
        <v>1718</v>
      </c>
      <c r="B2964" t="s">
        <v>1718</v>
      </c>
      <c r="C2964">
        <v>199</v>
      </c>
      <c r="D2964">
        <v>0</v>
      </c>
      <c r="E2964" t="s">
        <v>714</v>
      </c>
      <c r="F2964" t="s">
        <v>9589</v>
      </c>
      <c r="G2964" t="s">
        <v>9590</v>
      </c>
      <c r="H2964" t="s">
        <v>3805</v>
      </c>
      <c r="I2964" t="s">
        <v>3490</v>
      </c>
      <c r="J2964" s="56">
        <f t="shared" si="138"/>
        <v>11</v>
      </c>
      <c r="K2964" s="74" t="str">
        <f t="shared" si="139"/>
        <v>4-30 Days</v>
      </c>
      <c r="L2964" s="58" t="str">
        <f t="shared" si="140"/>
        <v>Normal</v>
      </c>
    </row>
    <row r="2965" spans="1:12" ht="16.5" customHeight="1" x14ac:dyDescent="0.35">
      <c r="A2965" t="s">
        <v>1718</v>
      </c>
      <c r="B2965" t="s">
        <v>1718</v>
      </c>
      <c r="C2965">
        <v>0</v>
      </c>
      <c r="D2965">
        <v>414</v>
      </c>
      <c r="E2965" t="s">
        <v>9591</v>
      </c>
      <c r="F2965" t="s">
        <v>9591</v>
      </c>
      <c r="G2965" t="s">
        <v>9592</v>
      </c>
      <c r="H2965" t="s">
        <v>3489</v>
      </c>
      <c r="I2965" t="s">
        <v>3490</v>
      </c>
      <c r="J2965" s="56">
        <f t="shared" si="138"/>
        <v>11</v>
      </c>
      <c r="K2965" s="74" t="str">
        <f t="shared" si="139"/>
        <v>4-30 Days</v>
      </c>
      <c r="L2965" s="58" t="str">
        <f t="shared" si="140"/>
        <v>Not Applicable</v>
      </c>
    </row>
    <row r="2966" spans="1:12" ht="16.5" customHeight="1" x14ac:dyDescent="0.35">
      <c r="A2966" t="s">
        <v>1718</v>
      </c>
      <c r="B2966" t="s">
        <v>1718</v>
      </c>
      <c r="C2966">
        <v>43063.5</v>
      </c>
      <c r="D2966">
        <v>0</v>
      </c>
      <c r="E2966" t="s">
        <v>3516</v>
      </c>
      <c r="F2966" t="s">
        <v>3516</v>
      </c>
      <c r="G2966" t="s">
        <v>9593</v>
      </c>
      <c r="H2966" t="s">
        <v>3455</v>
      </c>
      <c r="I2966" t="s">
        <v>3486</v>
      </c>
      <c r="J2966" s="56">
        <f t="shared" si="138"/>
        <v>11</v>
      </c>
      <c r="K2966" s="74" t="str">
        <f t="shared" si="139"/>
        <v>4-30 Days</v>
      </c>
      <c r="L2966" s="58" t="str">
        <f t="shared" si="140"/>
        <v>Normal</v>
      </c>
    </row>
    <row r="2967" spans="1:12" ht="16.5" customHeight="1" x14ac:dyDescent="0.35">
      <c r="A2967" t="s">
        <v>1718</v>
      </c>
      <c r="B2967" t="s">
        <v>1718</v>
      </c>
      <c r="C2967">
        <v>1110026.57</v>
      </c>
      <c r="D2967">
        <v>0</v>
      </c>
      <c r="E2967" t="s">
        <v>9594</v>
      </c>
      <c r="F2967" t="s">
        <v>9595</v>
      </c>
      <c r="G2967" t="s">
        <v>9596</v>
      </c>
      <c r="H2967" t="s">
        <v>3455</v>
      </c>
      <c r="I2967" t="s">
        <v>3486</v>
      </c>
      <c r="J2967" s="56">
        <f t="shared" si="138"/>
        <v>11</v>
      </c>
      <c r="K2967" s="74" t="str">
        <f t="shared" si="139"/>
        <v>4-30 Days</v>
      </c>
      <c r="L2967" s="58" t="str">
        <f t="shared" si="140"/>
        <v>Normal</v>
      </c>
    </row>
    <row r="2968" spans="1:12" ht="16.5" customHeight="1" x14ac:dyDescent="0.35">
      <c r="A2968" t="s">
        <v>1718</v>
      </c>
      <c r="B2968" t="s">
        <v>1718</v>
      </c>
      <c r="C2968">
        <v>0</v>
      </c>
      <c r="D2968">
        <v>29662.92</v>
      </c>
      <c r="E2968" t="s">
        <v>9597</v>
      </c>
      <c r="F2968" t="s">
        <v>9597</v>
      </c>
      <c r="G2968" t="s">
        <v>9598</v>
      </c>
      <c r="H2968" t="s">
        <v>7968</v>
      </c>
      <c r="I2968" t="s">
        <v>3486</v>
      </c>
      <c r="J2968" s="56">
        <f t="shared" si="138"/>
        <v>11</v>
      </c>
      <c r="K2968" s="74" t="str">
        <f t="shared" si="139"/>
        <v>4-30 Days</v>
      </c>
      <c r="L2968" s="58" t="str">
        <f t="shared" si="140"/>
        <v>Not Applicable</v>
      </c>
    </row>
    <row r="2969" spans="1:12" ht="16.5" customHeight="1" x14ac:dyDescent="0.35">
      <c r="A2969" t="s">
        <v>1718</v>
      </c>
      <c r="B2969" t="s">
        <v>1718</v>
      </c>
      <c r="C2969">
        <v>0</v>
      </c>
      <c r="D2969">
        <v>250</v>
      </c>
      <c r="E2969" t="s">
        <v>9599</v>
      </c>
      <c r="F2969" t="s">
        <v>9600</v>
      </c>
      <c r="G2969" t="s">
        <v>9601</v>
      </c>
      <c r="H2969" t="s">
        <v>3489</v>
      </c>
      <c r="I2969" t="s">
        <v>3486</v>
      </c>
      <c r="J2969" s="56">
        <f t="shared" si="138"/>
        <v>11</v>
      </c>
      <c r="K2969" s="74" t="str">
        <f t="shared" si="139"/>
        <v>4-30 Days</v>
      </c>
      <c r="L2969" s="58" t="str">
        <f t="shared" si="140"/>
        <v>Not Applicable</v>
      </c>
    </row>
    <row r="2970" spans="1:12" ht="16.5" customHeight="1" x14ac:dyDescent="0.35">
      <c r="A2970" t="s">
        <v>1718</v>
      </c>
      <c r="B2970" t="s">
        <v>1718</v>
      </c>
      <c r="C2970">
        <v>430</v>
      </c>
      <c r="D2970">
        <v>0</v>
      </c>
      <c r="E2970" t="s">
        <v>3565</v>
      </c>
      <c r="F2970" t="s">
        <v>3565</v>
      </c>
      <c r="G2970" t="s">
        <v>9602</v>
      </c>
      <c r="H2970" t="s">
        <v>5243</v>
      </c>
      <c r="I2970" t="s">
        <v>3486</v>
      </c>
      <c r="J2970" s="56">
        <f t="shared" si="138"/>
        <v>11</v>
      </c>
      <c r="K2970" s="74" t="str">
        <f t="shared" si="139"/>
        <v>4-30 Days</v>
      </c>
      <c r="L2970" s="58" t="str">
        <f t="shared" si="140"/>
        <v>Normal</v>
      </c>
    </row>
    <row r="2971" spans="1:12" ht="16.5" customHeight="1" x14ac:dyDescent="0.35">
      <c r="A2971" t="s">
        <v>1718</v>
      </c>
      <c r="B2971" t="s">
        <v>1718</v>
      </c>
      <c r="C2971">
        <v>0</v>
      </c>
      <c r="D2971">
        <v>2050</v>
      </c>
      <c r="E2971" t="s">
        <v>9603</v>
      </c>
      <c r="F2971" t="s">
        <v>9603</v>
      </c>
      <c r="G2971" t="s">
        <v>9604</v>
      </c>
      <c r="H2971" t="s">
        <v>3489</v>
      </c>
      <c r="I2971" t="s">
        <v>3490</v>
      </c>
      <c r="J2971" s="56">
        <f t="shared" si="138"/>
        <v>11</v>
      </c>
      <c r="K2971" s="74" t="str">
        <f t="shared" si="139"/>
        <v>4-30 Days</v>
      </c>
      <c r="L2971" s="58" t="str">
        <f t="shared" si="140"/>
        <v>Not Applicable</v>
      </c>
    </row>
    <row r="2972" spans="1:12" ht="16.5" customHeight="1" x14ac:dyDescent="0.35">
      <c r="A2972" t="s">
        <v>1718</v>
      </c>
      <c r="B2972" t="s">
        <v>1718</v>
      </c>
      <c r="C2972">
        <v>0</v>
      </c>
      <c r="D2972">
        <v>250</v>
      </c>
      <c r="E2972" t="s">
        <v>9605</v>
      </c>
      <c r="F2972" t="s">
        <v>9605</v>
      </c>
      <c r="G2972" t="s">
        <v>9606</v>
      </c>
      <c r="H2972" t="s">
        <v>3489</v>
      </c>
      <c r="I2972" t="s">
        <v>3490</v>
      </c>
      <c r="J2972" s="56">
        <f t="shared" si="138"/>
        <v>11</v>
      </c>
      <c r="K2972" s="74" t="str">
        <f t="shared" si="139"/>
        <v>4-30 Days</v>
      </c>
      <c r="L2972" s="58" t="str">
        <f t="shared" si="140"/>
        <v>Not Applicable</v>
      </c>
    </row>
    <row r="2973" spans="1:12" ht="16.5" customHeight="1" x14ac:dyDescent="0.35">
      <c r="A2973" t="s">
        <v>1718</v>
      </c>
      <c r="B2973" t="s">
        <v>1718</v>
      </c>
      <c r="C2973">
        <v>0</v>
      </c>
      <c r="D2973">
        <v>3350</v>
      </c>
      <c r="E2973" t="s">
        <v>9607</v>
      </c>
      <c r="F2973" t="s">
        <v>9608</v>
      </c>
      <c r="G2973" t="s">
        <v>9609</v>
      </c>
      <c r="H2973" t="s">
        <v>3489</v>
      </c>
      <c r="I2973" t="s">
        <v>3507</v>
      </c>
      <c r="J2973" s="56">
        <f t="shared" si="138"/>
        <v>11</v>
      </c>
      <c r="K2973" s="74" t="str">
        <f t="shared" si="139"/>
        <v>4-30 Days</v>
      </c>
      <c r="L2973" s="58" t="str">
        <f t="shared" si="140"/>
        <v>Not Applicable</v>
      </c>
    </row>
    <row r="2974" spans="1:12" ht="16.5" customHeight="1" x14ac:dyDescent="0.35">
      <c r="A2974" t="s">
        <v>1718</v>
      </c>
      <c r="B2974" t="s">
        <v>1718</v>
      </c>
      <c r="C2974">
        <v>0</v>
      </c>
      <c r="D2974">
        <v>1200</v>
      </c>
      <c r="E2974" t="s">
        <v>9610</v>
      </c>
      <c r="F2974" t="s">
        <v>9610</v>
      </c>
      <c r="G2974" t="s">
        <v>9611</v>
      </c>
      <c r="H2974" t="s">
        <v>3489</v>
      </c>
      <c r="I2974" t="s">
        <v>3490</v>
      </c>
      <c r="J2974" s="56">
        <f t="shared" si="138"/>
        <v>11</v>
      </c>
      <c r="K2974" s="74" t="str">
        <f t="shared" si="139"/>
        <v>4-30 Days</v>
      </c>
      <c r="L2974" s="58" t="str">
        <f t="shared" si="140"/>
        <v>Not Applicable</v>
      </c>
    </row>
    <row r="2975" spans="1:12" ht="16.5" customHeight="1" x14ac:dyDescent="0.35">
      <c r="A2975" t="s">
        <v>1718</v>
      </c>
      <c r="B2975" t="s">
        <v>1718</v>
      </c>
      <c r="C2975">
        <v>0</v>
      </c>
      <c r="D2975">
        <v>600</v>
      </c>
      <c r="E2975" t="s">
        <v>9612</v>
      </c>
      <c r="F2975" t="s">
        <v>9613</v>
      </c>
      <c r="G2975" t="s">
        <v>9614</v>
      </c>
      <c r="H2975" t="s">
        <v>3532</v>
      </c>
      <c r="I2975" t="s">
        <v>3490</v>
      </c>
      <c r="J2975" s="56">
        <f t="shared" si="138"/>
        <v>11</v>
      </c>
      <c r="K2975" s="74" t="str">
        <f t="shared" si="139"/>
        <v>4-30 Days</v>
      </c>
      <c r="L2975" s="58" t="str">
        <f t="shared" si="140"/>
        <v>Not Applicable</v>
      </c>
    </row>
    <row r="2976" spans="1:12" ht="16.5" customHeight="1" x14ac:dyDescent="0.35">
      <c r="A2976" t="s">
        <v>1718</v>
      </c>
      <c r="B2976" t="s">
        <v>1718</v>
      </c>
      <c r="C2976">
        <v>0</v>
      </c>
      <c r="D2976">
        <v>150</v>
      </c>
      <c r="E2976" t="s">
        <v>9615</v>
      </c>
      <c r="F2976" t="s">
        <v>3499</v>
      </c>
      <c r="G2976" t="s">
        <v>9616</v>
      </c>
      <c r="H2976" t="s">
        <v>3489</v>
      </c>
      <c r="I2976" t="s">
        <v>3490</v>
      </c>
      <c r="J2976" s="56">
        <f t="shared" si="138"/>
        <v>11</v>
      </c>
      <c r="K2976" s="74" t="str">
        <f t="shared" si="139"/>
        <v>4-30 Days</v>
      </c>
      <c r="L2976" s="58" t="str">
        <f t="shared" si="140"/>
        <v>Not Applicable</v>
      </c>
    </row>
    <row r="2977" spans="1:12" ht="16.5" customHeight="1" x14ac:dyDescent="0.35">
      <c r="A2977" t="s">
        <v>1718</v>
      </c>
      <c r="B2977" t="s">
        <v>1718</v>
      </c>
      <c r="C2977">
        <v>140</v>
      </c>
      <c r="D2977">
        <v>0</v>
      </c>
      <c r="E2977" t="s">
        <v>575</v>
      </c>
      <c r="F2977" t="s">
        <v>9617</v>
      </c>
      <c r="G2977" t="s">
        <v>9618</v>
      </c>
      <c r="H2977" t="s">
        <v>3476</v>
      </c>
      <c r="I2977" t="s">
        <v>3490</v>
      </c>
      <c r="J2977" s="56">
        <f t="shared" si="138"/>
        <v>11</v>
      </c>
      <c r="K2977" s="74" t="str">
        <f t="shared" si="139"/>
        <v>4-30 Days</v>
      </c>
      <c r="L2977" s="58" t="str">
        <f t="shared" si="140"/>
        <v>Normal</v>
      </c>
    </row>
    <row r="2978" spans="1:12" ht="16.5" customHeight="1" x14ac:dyDescent="0.35">
      <c r="A2978" t="s">
        <v>1718</v>
      </c>
      <c r="B2978" t="s">
        <v>1718</v>
      </c>
      <c r="C2978">
        <v>0</v>
      </c>
      <c r="D2978">
        <v>88</v>
      </c>
      <c r="E2978" t="s">
        <v>9619</v>
      </c>
      <c r="F2978" t="s">
        <v>9619</v>
      </c>
      <c r="G2978" t="s">
        <v>9620</v>
      </c>
      <c r="H2978" t="s">
        <v>3489</v>
      </c>
      <c r="I2978" t="s">
        <v>3490</v>
      </c>
      <c r="J2978" s="56">
        <f t="shared" si="138"/>
        <v>11</v>
      </c>
      <c r="K2978" s="74" t="str">
        <f t="shared" si="139"/>
        <v>4-30 Days</v>
      </c>
      <c r="L2978" s="58" t="str">
        <f t="shared" si="140"/>
        <v>Not Applicable</v>
      </c>
    </row>
    <row r="2979" spans="1:12" ht="16.5" customHeight="1" x14ac:dyDescent="0.35">
      <c r="A2979" t="s">
        <v>1718</v>
      </c>
      <c r="B2979" t="s">
        <v>1718</v>
      </c>
      <c r="C2979">
        <v>0</v>
      </c>
      <c r="D2979">
        <v>1000</v>
      </c>
      <c r="E2979" t="s">
        <v>9621</v>
      </c>
      <c r="F2979" t="s">
        <v>9621</v>
      </c>
      <c r="G2979" t="s">
        <v>9622</v>
      </c>
      <c r="H2979" t="s">
        <v>3489</v>
      </c>
      <c r="I2979" t="s">
        <v>3490</v>
      </c>
      <c r="J2979" s="56">
        <f t="shared" si="138"/>
        <v>11</v>
      </c>
      <c r="K2979" s="74" t="str">
        <f t="shared" si="139"/>
        <v>4-30 Days</v>
      </c>
      <c r="L2979" s="58" t="str">
        <f t="shared" si="140"/>
        <v>Not Applicable</v>
      </c>
    </row>
    <row r="2980" spans="1:12" ht="16.5" customHeight="1" x14ac:dyDescent="0.35">
      <c r="A2980" t="s">
        <v>1718</v>
      </c>
      <c r="B2980" t="s">
        <v>1718</v>
      </c>
      <c r="C2980">
        <v>0</v>
      </c>
      <c r="D2980">
        <v>2050</v>
      </c>
      <c r="E2980" t="s">
        <v>9623</v>
      </c>
      <c r="F2980" t="s">
        <v>9623</v>
      </c>
      <c r="G2980" t="s">
        <v>9624</v>
      </c>
      <c r="H2980" t="s">
        <v>3489</v>
      </c>
      <c r="I2980" t="s">
        <v>3490</v>
      </c>
      <c r="J2980" s="56">
        <f t="shared" si="138"/>
        <v>11</v>
      </c>
      <c r="K2980" s="74" t="str">
        <f t="shared" si="139"/>
        <v>4-30 Days</v>
      </c>
      <c r="L2980" s="58" t="str">
        <f t="shared" si="140"/>
        <v>Not Applicable</v>
      </c>
    </row>
    <row r="2981" spans="1:12" ht="16.5" customHeight="1" x14ac:dyDescent="0.35">
      <c r="A2981" t="s">
        <v>1718</v>
      </c>
      <c r="B2981" t="s">
        <v>1718</v>
      </c>
      <c r="C2981">
        <v>0</v>
      </c>
      <c r="D2981">
        <v>800</v>
      </c>
      <c r="E2981" t="s">
        <v>9625</v>
      </c>
      <c r="F2981" t="s">
        <v>9625</v>
      </c>
      <c r="G2981" t="s">
        <v>9626</v>
      </c>
      <c r="H2981" t="s">
        <v>3489</v>
      </c>
      <c r="I2981" t="s">
        <v>3490</v>
      </c>
      <c r="J2981" s="56">
        <f t="shared" si="138"/>
        <v>11</v>
      </c>
      <c r="K2981" s="74" t="str">
        <f t="shared" si="139"/>
        <v>4-30 Days</v>
      </c>
      <c r="L2981" s="58" t="str">
        <f t="shared" si="140"/>
        <v>Not Applicable</v>
      </c>
    </row>
    <row r="2982" spans="1:12" ht="16.5" customHeight="1" x14ac:dyDescent="0.35">
      <c r="A2982" t="s">
        <v>1718</v>
      </c>
      <c r="B2982" t="s">
        <v>1718</v>
      </c>
      <c r="C2982">
        <v>0</v>
      </c>
      <c r="D2982">
        <v>250</v>
      </c>
      <c r="E2982" t="s">
        <v>9627</v>
      </c>
      <c r="F2982" t="s">
        <v>9627</v>
      </c>
      <c r="G2982" t="s">
        <v>9628</v>
      </c>
      <c r="H2982" t="s">
        <v>3489</v>
      </c>
      <c r="I2982" t="s">
        <v>3490</v>
      </c>
      <c r="J2982" s="56">
        <f t="shared" si="138"/>
        <v>11</v>
      </c>
      <c r="K2982" s="74" t="str">
        <f t="shared" si="139"/>
        <v>4-30 Days</v>
      </c>
      <c r="L2982" s="58" t="str">
        <f t="shared" si="140"/>
        <v>Not Applicable</v>
      </c>
    </row>
    <row r="2983" spans="1:12" ht="16.5" customHeight="1" x14ac:dyDescent="0.35">
      <c r="A2983" t="s">
        <v>1718</v>
      </c>
      <c r="B2983" t="s">
        <v>1718</v>
      </c>
      <c r="C2983">
        <v>0</v>
      </c>
      <c r="D2983">
        <v>50</v>
      </c>
      <c r="E2983" t="s">
        <v>9629</v>
      </c>
      <c r="F2983" t="s">
        <v>9629</v>
      </c>
      <c r="G2983" t="s">
        <v>9630</v>
      </c>
      <c r="H2983" t="s">
        <v>3489</v>
      </c>
      <c r="I2983" t="s">
        <v>3490</v>
      </c>
      <c r="J2983" s="56">
        <f t="shared" si="138"/>
        <v>11</v>
      </c>
      <c r="K2983" s="74" t="str">
        <f t="shared" si="139"/>
        <v>4-30 Days</v>
      </c>
      <c r="L2983" s="58" t="str">
        <f t="shared" si="140"/>
        <v>Not Applicable</v>
      </c>
    </row>
    <row r="2984" spans="1:12" ht="16.5" customHeight="1" x14ac:dyDescent="0.35">
      <c r="A2984" t="s">
        <v>1718</v>
      </c>
      <c r="B2984" t="s">
        <v>1718</v>
      </c>
      <c r="C2984">
        <v>0</v>
      </c>
      <c r="D2984">
        <v>1000</v>
      </c>
      <c r="E2984" t="s">
        <v>9631</v>
      </c>
      <c r="F2984" t="s">
        <v>9632</v>
      </c>
      <c r="G2984" t="s">
        <v>9633</v>
      </c>
      <c r="H2984" t="s">
        <v>3489</v>
      </c>
      <c r="I2984" t="s">
        <v>3490</v>
      </c>
      <c r="J2984" s="56">
        <f t="shared" si="138"/>
        <v>11</v>
      </c>
      <c r="K2984" s="74" t="str">
        <f t="shared" si="139"/>
        <v>4-30 Days</v>
      </c>
      <c r="L2984" s="58" t="str">
        <f t="shared" si="140"/>
        <v>Not Applicable</v>
      </c>
    </row>
    <row r="2985" spans="1:12" ht="16.5" customHeight="1" x14ac:dyDescent="0.35">
      <c r="A2985" t="s">
        <v>1718</v>
      </c>
      <c r="B2985" t="s">
        <v>1718</v>
      </c>
      <c r="C2985">
        <v>0</v>
      </c>
      <c r="D2985">
        <v>250</v>
      </c>
      <c r="E2985" t="s">
        <v>9634</v>
      </c>
      <c r="F2985" t="s">
        <v>9634</v>
      </c>
      <c r="G2985" t="s">
        <v>9635</v>
      </c>
      <c r="H2985" t="s">
        <v>3489</v>
      </c>
      <c r="I2985" t="s">
        <v>3490</v>
      </c>
      <c r="J2985" s="56">
        <f t="shared" si="138"/>
        <v>11</v>
      </c>
      <c r="K2985" s="74" t="str">
        <f t="shared" si="139"/>
        <v>4-30 Days</v>
      </c>
      <c r="L2985" s="58" t="str">
        <f t="shared" si="140"/>
        <v>Not Applicable</v>
      </c>
    </row>
    <row r="2986" spans="1:12" ht="16.5" customHeight="1" x14ac:dyDescent="0.35">
      <c r="A2986" t="s">
        <v>1718</v>
      </c>
      <c r="B2986" t="s">
        <v>1718</v>
      </c>
      <c r="C2986">
        <v>0</v>
      </c>
      <c r="D2986">
        <v>2000</v>
      </c>
      <c r="E2986" t="s">
        <v>9636</v>
      </c>
      <c r="F2986" t="s">
        <v>9636</v>
      </c>
      <c r="G2986" t="s">
        <v>9637</v>
      </c>
      <c r="H2986" t="s">
        <v>3489</v>
      </c>
      <c r="I2986" t="s">
        <v>3507</v>
      </c>
      <c r="J2986" s="56">
        <f t="shared" si="138"/>
        <v>11</v>
      </c>
      <c r="K2986" s="74" t="str">
        <f t="shared" si="139"/>
        <v>4-30 Days</v>
      </c>
      <c r="L2986" s="58" t="str">
        <f t="shared" si="140"/>
        <v>Not Applicable</v>
      </c>
    </row>
    <row r="2987" spans="1:12" ht="16.5" customHeight="1" x14ac:dyDescent="0.35">
      <c r="A2987" t="s">
        <v>1718</v>
      </c>
      <c r="B2987" t="s">
        <v>1718</v>
      </c>
      <c r="C2987">
        <v>0</v>
      </c>
      <c r="D2987">
        <v>2100</v>
      </c>
      <c r="E2987" t="s">
        <v>9638</v>
      </c>
      <c r="F2987" t="s">
        <v>9638</v>
      </c>
      <c r="G2987" t="s">
        <v>9639</v>
      </c>
      <c r="H2987" t="s">
        <v>3489</v>
      </c>
      <c r="I2987" t="s">
        <v>3490</v>
      </c>
      <c r="J2987" s="56">
        <f t="shared" si="138"/>
        <v>11</v>
      </c>
      <c r="K2987" s="74" t="str">
        <f t="shared" si="139"/>
        <v>4-30 Days</v>
      </c>
      <c r="L2987" s="58" t="str">
        <f t="shared" si="140"/>
        <v>Not Applicable</v>
      </c>
    </row>
    <row r="2988" spans="1:12" ht="16.5" customHeight="1" x14ac:dyDescent="0.35">
      <c r="A2988" t="s">
        <v>1718</v>
      </c>
      <c r="B2988" t="s">
        <v>1718</v>
      </c>
      <c r="C2988">
        <v>798684.43</v>
      </c>
      <c r="D2988">
        <v>0</v>
      </c>
      <c r="E2988" t="s">
        <v>9640</v>
      </c>
      <c r="F2988" t="s">
        <v>9640</v>
      </c>
      <c r="G2988" t="s">
        <v>9641</v>
      </c>
      <c r="H2988" t="s">
        <v>3455</v>
      </c>
      <c r="I2988" t="s">
        <v>3486</v>
      </c>
      <c r="J2988" s="56">
        <f t="shared" si="138"/>
        <v>11</v>
      </c>
      <c r="K2988" s="74" t="str">
        <f t="shared" si="139"/>
        <v>4-30 Days</v>
      </c>
      <c r="L2988" s="58" t="str">
        <f t="shared" si="140"/>
        <v>Normal</v>
      </c>
    </row>
    <row r="2989" spans="1:12" ht="16.5" customHeight="1" x14ac:dyDescent="0.35">
      <c r="A2989" t="s">
        <v>1718</v>
      </c>
      <c r="B2989" t="s">
        <v>1718</v>
      </c>
      <c r="C2989">
        <v>0</v>
      </c>
      <c r="D2989">
        <v>100</v>
      </c>
      <c r="E2989" t="s">
        <v>9642</v>
      </c>
      <c r="F2989" t="s">
        <v>9643</v>
      </c>
      <c r="G2989" t="s">
        <v>9644</v>
      </c>
      <c r="H2989" t="s">
        <v>3532</v>
      </c>
      <c r="I2989" t="s">
        <v>3490</v>
      </c>
      <c r="J2989" s="56">
        <f t="shared" si="138"/>
        <v>11</v>
      </c>
      <c r="K2989" s="74" t="str">
        <f t="shared" si="139"/>
        <v>4-30 Days</v>
      </c>
      <c r="L2989" s="58" t="str">
        <f t="shared" si="140"/>
        <v>Not Applicable</v>
      </c>
    </row>
    <row r="2990" spans="1:12" ht="16.5" customHeight="1" x14ac:dyDescent="0.35">
      <c r="A2990" t="s">
        <v>1718</v>
      </c>
      <c r="B2990" t="s">
        <v>1718</v>
      </c>
      <c r="C2990">
        <v>0</v>
      </c>
      <c r="D2990">
        <v>1911.6</v>
      </c>
      <c r="E2990" t="s">
        <v>9645</v>
      </c>
      <c r="F2990" t="s">
        <v>3574</v>
      </c>
      <c r="G2990" t="s">
        <v>9646</v>
      </c>
      <c r="H2990" t="s">
        <v>3489</v>
      </c>
      <c r="I2990" t="s">
        <v>3490</v>
      </c>
      <c r="J2990" s="56">
        <f t="shared" si="138"/>
        <v>11</v>
      </c>
      <c r="K2990" s="74" t="str">
        <f t="shared" si="139"/>
        <v>4-30 Days</v>
      </c>
      <c r="L2990" s="58" t="str">
        <f t="shared" si="140"/>
        <v>Not Applicable</v>
      </c>
    </row>
    <row r="2991" spans="1:12" ht="16.5" customHeight="1" x14ac:dyDescent="0.35">
      <c r="A2991" t="s">
        <v>1718</v>
      </c>
      <c r="B2991" t="s">
        <v>1718</v>
      </c>
      <c r="C2991">
        <v>0</v>
      </c>
      <c r="D2991">
        <v>414</v>
      </c>
      <c r="E2991" t="s">
        <v>9647</v>
      </c>
      <c r="F2991" t="s">
        <v>9647</v>
      </c>
      <c r="G2991" t="s">
        <v>9648</v>
      </c>
      <c r="H2991" t="s">
        <v>3489</v>
      </c>
      <c r="I2991" t="s">
        <v>3490</v>
      </c>
      <c r="J2991" s="56">
        <f t="shared" si="138"/>
        <v>11</v>
      </c>
      <c r="K2991" s="74" t="str">
        <f t="shared" si="139"/>
        <v>4-30 Days</v>
      </c>
      <c r="L2991" s="58" t="str">
        <f t="shared" si="140"/>
        <v>Not Applicable</v>
      </c>
    </row>
    <row r="2992" spans="1:12" ht="16.5" customHeight="1" x14ac:dyDescent="0.35">
      <c r="A2992" t="s">
        <v>1718</v>
      </c>
      <c r="B2992" t="s">
        <v>1718</v>
      </c>
      <c r="C2992">
        <v>0</v>
      </c>
      <c r="D2992">
        <v>414</v>
      </c>
      <c r="E2992" t="s">
        <v>9649</v>
      </c>
      <c r="F2992" t="s">
        <v>9649</v>
      </c>
      <c r="G2992" t="s">
        <v>9650</v>
      </c>
      <c r="H2992" t="s">
        <v>3489</v>
      </c>
      <c r="I2992" t="s">
        <v>3490</v>
      </c>
      <c r="J2992" s="56">
        <f t="shared" si="138"/>
        <v>11</v>
      </c>
      <c r="K2992" s="74" t="str">
        <f t="shared" si="139"/>
        <v>4-30 Days</v>
      </c>
      <c r="L2992" s="58" t="str">
        <f t="shared" si="140"/>
        <v>Not Applicable</v>
      </c>
    </row>
    <row r="2993" spans="1:12" ht="16.5" customHeight="1" x14ac:dyDescent="0.35">
      <c r="A2993" t="s">
        <v>1718</v>
      </c>
      <c r="B2993" t="s">
        <v>1718</v>
      </c>
      <c r="C2993">
        <v>0</v>
      </c>
      <c r="D2993">
        <v>414</v>
      </c>
      <c r="E2993" t="s">
        <v>9651</v>
      </c>
      <c r="F2993" t="s">
        <v>9651</v>
      </c>
      <c r="G2993" t="s">
        <v>9652</v>
      </c>
      <c r="H2993" t="s">
        <v>3489</v>
      </c>
      <c r="I2993" t="s">
        <v>3490</v>
      </c>
      <c r="J2993" s="56">
        <f t="shared" si="138"/>
        <v>11</v>
      </c>
      <c r="K2993" s="74" t="str">
        <f t="shared" si="139"/>
        <v>4-30 Days</v>
      </c>
      <c r="L2993" s="58" t="str">
        <f t="shared" si="140"/>
        <v>Not Applicable</v>
      </c>
    </row>
    <row r="2994" spans="1:12" ht="16.5" customHeight="1" x14ac:dyDescent="0.35">
      <c r="A2994" t="s">
        <v>1718</v>
      </c>
      <c r="B2994" t="s">
        <v>1718</v>
      </c>
      <c r="C2994">
        <v>0</v>
      </c>
      <c r="D2994">
        <v>414</v>
      </c>
      <c r="E2994" t="s">
        <v>9653</v>
      </c>
      <c r="F2994" t="s">
        <v>9653</v>
      </c>
      <c r="G2994" t="s">
        <v>9654</v>
      </c>
      <c r="H2994" t="s">
        <v>3489</v>
      </c>
      <c r="I2994" t="s">
        <v>3490</v>
      </c>
      <c r="J2994" s="56">
        <f t="shared" si="138"/>
        <v>11</v>
      </c>
      <c r="K2994" s="74" t="str">
        <f t="shared" si="139"/>
        <v>4-30 Days</v>
      </c>
      <c r="L2994" s="58" t="str">
        <f t="shared" si="140"/>
        <v>Not Applicable</v>
      </c>
    </row>
    <row r="2995" spans="1:12" ht="16.5" customHeight="1" x14ac:dyDescent="0.35">
      <c r="A2995" t="s">
        <v>1718</v>
      </c>
      <c r="B2995" t="s">
        <v>1718</v>
      </c>
      <c r="C2995">
        <v>0</v>
      </c>
      <c r="D2995">
        <v>600</v>
      </c>
      <c r="E2995" t="s">
        <v>9655</v>
      </c>
      <c r="F2995" t="s">
        <v>9656</v>
      </c>
      <c r="G2995" t="s">
        <v>9657</v>
      </c>
      <c r="H2995" t="s">
        <v>3494</v>
      </c>
      <c r="I2995" t="s">
        <v>3507</v>
      </c>
      <c r="J2995" s="56">
        <f t="shared" si="138"/>
        <v>11</v>
      </c>
      <c r="K2995" s="74" t="str">
        <f t="shared" si="139"/>
        <v>4-30 Days</v>
      </c>
      <c r="L2995" s="58" t="str">
        <f t="shared" si="140"/>
        <v>Not Applicable</v>
      </c>
    </row>
    <row r="2996" spans="1:12" ht="16.5" customHeight="1" x14ac:dyDescent="0.35">
      <c r="A2996" t="s">
        <v>1718</v>
      </c>
      <c r="B2996" t="s">
        <v>1718</v>
      </c>
      <c r="C2996">
        <v>38</v>
      </c>
      <c r="D2996">
        <v>0</v>
      </c>
      <c r="E2996" t="s">
        <v>632</v>
      </c>
      <c r="F2996" t="s">
        <v>9658</v>
      </c>
      <c r="G2996" t="s">
        <v>9659</v>
      </c>
      <c r="H2996" t="s">
        <v>4506</v>
      </c>
      <c r="I2996" t="s">
        <v>3490</v>
      </c>
      <c r="J2996" s="56">
        <f t="shared" si="138"/>
        <v>11</v>
      </c>
      <c r="K2996" s="74" t="str">
        <f t="shared" si="139"/>
        <v>4-30 Days</v>
      </c>
      <c r="L2996" s="58" t="str">
        <f t="shared" si="140"/>
        <v>Normal</v>
      </c>
    </row>
    <row r="2997" spans="1:12" ht="16.5" customHeight="1" x14ac:dyDescent="0.35">
      <c r="A2997" t="s">
        <v>1718</v>
      </c>
      <c r="B2997" t="s">
        <v>1718</v>
      </c>
      <c r="C2997">
        <v>0</v>
      </c>
      <c r="D2997">
        <v>600</v>
      </c>
      <c r="E2997" t="s">
        <v>9660</v>
      </c>
      <c r="F2997" t="s">
        <v>9661</v>
      </c>
      <c r="G2997" t="s">
        <v>9662</v>
      </c>
      <c r="H2997" t="s">
        <v>3532</v>
      </c>
      <c r="I2997" t="s">
        <v>3490</v>
      </c>
      <c r="J2997" s="56">
        <f t="shared" si="138"/>
        <v>11</v>
      </c>
      <c r="K2997" s="74" t="str">
        <f t="shared" si="139"/>
        <v>4-30 Days</v>
      </c>
      <c r="L2997" s="58" t="str">
        <f t="shared" si="140"/>
        <v>Not Applicable</v>
      </c>
    </row>
    <row r="2998" spans="1:12" ht="16.5" customHeight="1" x14ac:dyDescent="0.35">
      <c r="A2998" t="s">
        <v>1718</v>
      </c>
      <c r="B2998" t="s">
        <v>1718</v>
      </c>
      <c r="C2998">
        <v>0</v>
      </c>
      <c r="D2998">
        <v>2000</v>
      </c>
      <c r="E2998" t="s">
        <v>9663</v>
      </c>
      <c r="F2998" t="s">
        <v>9663</v>
      </c>
      <c r="G2998" t="s">
        <v>9664</v>
      </c>
      <c r="H2998" t="s">
        <v>3489</v>
      </c>
      <c r="I2998" t="s">
        <v>3507</v>
      </c>
      <c r="J2998" s="56">
        <f t="shared" si="138"/>
        <v>11</v>
      </c>
      <c r="K2998" s="74" t="str">
        <f t="shared" si="139"/>
        <v>4-30 Days</v>
      </c>
      <c r="L2998" s="58" t="str">
        <f t="shared" si="140"/>
        <v>Not Applicable</v>
      </c>
    </row>
    <row r="2999" spans="1:12" ht="16.5" customHeight="1" x14ac:dyDescent="0.35">
      <c r="A2999" t="s">
        <v>1718</v>
      </c>
      <c r="B2999" t="s">
        <v>1718</v>
      </c>
      <c r="C2999">
        <v>776498.75</v>
      </c>
      <c r="D2999">
        <v>0</v>
      </c>
      <c r="E2999" t="s">
        <v>9665</v>
      </c>
      <c r="F2999" t="s">
        <v>9665</v>
      </c>
      <c r="G2999" t="s">
        <v>9666</v>
      </c>
      <c r="H2999" t="s">
        <v>3455</v>
      </c>
      <c r="I2999" t="s">
        <v>3486</v>
      </c>
      <c r="J2999" s="56">
        <f t="shared" si="138"/>
        <v>11</v>
      </c>
      <c r="K2999" s="74" t="str">
        <f t="shared" si="139"/>
        <v>4-30 Days</v>
      </c>
      <c r="L2999" s="58" t="str">
        <f t="shared" si="140"/>
        <v>Normal</v>
      </c>
    </row>
    <row r="3000" spans="1:12" ht="16.5" customHeight="1" x14ac:dyDescent="0.35">
      <c r="A3000" t="s">
        <v>1718</v>
      </c>
      <c r="B3000" t="s">
        <v>1718</v>
      </c>
      <c r="C3000">
        <v>0</v>
      </c>
      <c r="D3000">
        <v>1140</v>
      </c>
      <c r="E3000" t="s">
        <v>9667</v>
      </c>
      <c r="F3000" t="s">
        <v>9668</v>
      </c>
      <c r="G3000" t="s">
        <v>9669</v>
      </c>
      <c r="H3000" t="s">
        <v>3489</v>
      </c>
      <c r="I3000" t="s">
        <v>3486</v>
      </c>
      <c r="J3000" s="56">
        <f t="shared" si="138"/>
        <v>11</v>
      </c>
      <c r="K3000" s="74" t="str">
        <f t="shared" si="139"/>
        <v>4-30 Days</v>
      </c>
      <c r="L3000" s="58" t="str">
        <f t="shared" si="140"/>
        <v>Not Applicable</v>
      </c>
    </row>
    <row r="3001" spans="1:12" ht="16.5" customHeight="1" x14ac:dyDescent="0.35">
      <c r="A3001" t="s">
        <v>1718</v>
      </c>
      <c r="B3001" t="s">
        <v>1718</v>
      </c>
      <c r="C3001">
        <v>1110026.57</v>
      </c>
      <c r="D3001">
        <v>0</v>
      </c>
      <c r="E3001" t="s">
        <v>9670</v>
      </c>
      <c r="F3001" t="s">
        <v>9670</v>
      </c>
      <c r="G3001" t="s">
        <v>9671</v>
      </c>
      <c r="H3001" t="s">
        <v>3455</v>
      </c>
      <c r="I3001" t="s">
        <v>3486</v>
      </c>
      <c r="J3001" s="56">
        <f t="shared" si="138"/>
        <v>11</v>
      </c>
      <c r="K3001" s="74" t="str">
        <f t="shared" si="139"/>
        <v>4-30 Days</v>
      </c>
      <c r="L3001" s="58" t="str">
        <f t="shared" si="140"/>
        <v>Normal</v>
      </c>
    </row>
    <row r="3002" spans="1:12" ht="16.5" customHeight="1" x14ac:dyDescent="0.35">
      <c r="A3002" t="s">
        <v>1718</v>
      </c>
      <c r="B3002" t="s">
        <v>1718</v>
      </c>
      <c r="C3002">
        <v>0</v>
      </c>
      <c r="D3002">
        <v>250</v>
      </c>
      <c r="E3002" t="s">
        <v>9672</v>
      </c>
      <c r="F3002" t="s">
        <v>9673</v>
      </c>
      <c r="G3002" t="s">
        <v>9674</v>
      </c>
      <c r="H3002" t="s">
        <v>3532</v>
      </c>
      <c r="I3002" t="s">
        <v>3490</v>
      </c>
      <c r="J3002" s="56">
        <f t="shared" si="138"/>
        <v>11</v>
      </c>
      <c r="K3002" s="74" t="str">
        <f t="shared" si="139"/>
        <v>4-30 Days</v>
      </c>
      <c r="L3002" s="58" t="str">
        <f t="shared" si="140"/>
        <v>Not Applicable</v>
      </c>
    </row>
    <row r="3003" spans="1:12" ht="16.5" customHeight="1" x14ac:dyDescent="0.35">
      <c r="A3003" t="s">
        <v>1718</v>
      </c>
      <c r="B3003" t="s">
        <v>1718</v>
      </c>
      <c r="C3003">
        <v>823096.85</v>
      </c>
      <c r="D3003">
        <v>0</v>
      </c>
      <c r="E3003" t="s">
        <v>9675</v>
      </c>
      <c r="F3003" t="s">
        <v>9675</v>
      </c>
      <c r="G3003" t="s">
        <v>9676</v>
      </c>
      <c r="H3003" t="s">
        <v>3455</v>
      </c>
      <c r="I3003" t="s">
        <v>3486</v>
      </c>
      <c r="J3003" s="56">
        <f t="shared" si="138"/>
        <v>11</v>
      </c>
      <c r="K3003" s="74" t="str">
        <f t="shared" si="139"/>
        <v>4-30 Days</v>
      </c>
      <c r="L3003" s="58" t="str">
        <f t="shared" si="140"/>
        <v>Normal</v>
      </c>
    </row>
    <row r="3004" spans="1:12" ht="16.5" customHeight="1" x14ac:dyDescent="0.35">
      <c r="A3004" t="s">
        <v>1718</v>
      </c>
      <c r="B3004" t="s">
        <v>1718</v>
      </c>
      <c r="C3004">
        <v>0</v>
      </c>
      <c r="D3004">
        <v>600</v>
      </c>
      <c r="E3004" t="s">
        <v>9677</v>
      </c>
      <c r="F3004" t="s">
        <v>9677</v>
      </c>
      <c r="G3004" t="s">
        <v>9678</v>
      </c>
      <c r="H3004" t="s">
        <v>3521</v>
      </c>
      <c r="I3004" t="s">
        <v>3490</v>
      </c>
      <c r="J3004" s="56">
        <f t="shared" si="138"/>
        <v>11</v>
      </c>
      <c r="K3004" s="74" t="str">
        <f t="shared" si="139"/>
        <v>4-30 Days</v>
      </c>
      <c r="L3004" s="58" t="str">
        <f t="shared" si="140"/>
        <v>Not Applicable</v>
      </c>
    </row>
    <row r="3005" spans="1:12" ht="16.5" customHeight="1" x14ac:dyDescent="0.35">
      <c r="A3005" t="s">
        <v>1718</v>
      </c>
      <c r="B3005" t="s">
        <v>1718</v>
      </c>
      <c r="C3005">
        <v>0</v>
      </c>
      <c r="D3005">
        <v>2748.32</v>
      </c>
      <c r="E3005" t="s">
        <v>9679</v>
      </c>
      <c r="F3005" t="s">
        <v>9679</v>
      </c>
      <c r="G3005" t="s">
        <v>9680</v>
      </c>
      <c r="H3005" t="s">
        <v>3489</v>
      </c>
      <c r="I3005" t="s">
        <v>3490</v>
      </c>
      <c r="J3005" s="56">
        <f t="shared" si="138"/>
        <v>11</v>
      </c>
      <c r="K3005" s="74" t="str">
        <f t="shared" si="139"/>
        <v>4-30 Days</v>
      </c>
      <c r="L3005" s="58" t="str">
        <f t="shared" si="140"/>
        <v>Not Applicable</v>
      </c>
    </row>
    <row r="3006" spans="1:12" ht="16.5" customHeight="1" x14ac:dyDescent="0.35">
      <c r="A3006" t="s">
        <v>1718</v>
      </c>
      <c r="B3006" t="s">
        <v>1718</v>
      </c>
      <c r="C3006">
        <v>0</v>
      </c>
      <c r="D3006">
        <v>2050</v>
      </c>
      <c r="E3006" t="s">
        <v>9681</v>
      </c>
      <c r="F3006" t="s">
        <v>9681</v>
      </c>
      <c r="G3006" t="s">
        <v>9682</v>
      </c>
      <c r="H3006" t="s">
        <v>3489</v>
      </c>
      <c r="I3006" t="s">
        <v>3490</v>
      </c>
      <c r="J3006" s="56">
        <f t="shared" si="138"/>
        <v>11</v>
      </c>
      <c r="K3006" s="74" t="str">
        <f t="shared" si="139"/>
        <v>4-30 Days</v>
      </c>
      <c r="L3006" s="58" t="str">
        <f t="shared" si="140"/>
        <v>Not Applicable</v>
      </c>
    </row>
    <row r="3007" spans="1:12" ht="16.5" customHeight="1" x14ac:dyDescent="0.35">
      <c r="A3007" t="s">
        <v>1718</v>
      </c>
      <c r="B3007" t="s">
        <v>1718</v>
      </c>
      <c r="C3007">
        <v>0</v>
      </c>
      <c r="D3007">
        <v>1000</v>
      </c>
      <c r="E3007" t="s">
        <v>9683</v>
      </c>
      <c r="F3007" t="s">
        <v>9683</v>
      </c>
      <c r="G3007" t="s">
        <v>9684</v>
      </c>
      <c r="H3007" t="s">
        <v>3489</v>
      </c>
      <c r="I3007" t="s">
        <v>3490</v>
      </c>
      <c r="J3007" s="56">
        <f t="shared" si="138"/>
        <v>11</v>
      </c>
      <c r="K3007" s="74" t="str">
        <f t="shared" si="139"/>
        <v>4-30 Days</v>
      </c>
      <c r="L3007" s="58" t="str">
        <f t="shared" si="140"/>
        <v>Not Applicable</v>
      </c>
    </row>
    <row r="3008" spans="1:12" ht="16.5" customHeight="1" x14ac:dyDescent="0.35">
      <c r="A3008" t="s">
        <v>1718</v>
      </c>
      <c r="B3008" t="s">
        <v>1718</v>
      </c>
      <c r="C3008">
        <v>0</v>
      </c>
      <c r="D3008">
        <v>2000</v>
      </c>
      <c r="E3008" t="s">
        <v>9685</v>
      </c>
      <c r="F3008" t="s">
        <v>9685</v>
      </c>
      <c r="G3008" t="s">
        <v>9686</v>
      </c>
      <c r="H3008" t="s">
        <v>3489</v>
      </c>
      <c r="I3008" t="s">
        <v>3507</v>
      </c>
      <c r="J3008" s="56">
        <f t="shared" si="138"/>
        <v>11</v>
      </c>
      <c r="K3008" s="74" t="str">
        <f t="shared" si="139"/>
        <v>4-30 Days</v>
      </c>
      <c r="L3008" s="58" t="str">
        <f t="shared" si="140"/>
        <v>Not Applicable</v>
      </c>
    </row>
    <row r="3009" spans="1:12" ht="16.5" customHeight="1" x14ac:dyDescent="0.35">
      <c r="A3009" t="s">
        <v>1718</v>
      </c>
      <c r="B3009" t="s">
        <v>1718</v>
      </c>
      <c r="C3009">
        <v>0</v>
      </c>
      <c r="D3009">
        <v>100</v>
      </c>
      <c r="E3009" t="s">
        <v>9687</v>
      </c>
      <c r="F3009" t="s">
        <v>9688</v>
      </c>
      <c r="G3009" t="s">
        <v>9689</v>
      </c>
      <c r="H3009" t="s">
        <v>3532</v>
      </c>
      <c r="I3009" t="s">
        <v>3490</v>
      </c>
      <c r="J3009" s="56">
        <f t="shared" si="138"/>
        <v>11</v>
      </c>
      <c r="K3009" s="74" t="str">
        <f t="shared" si="139"/>
        <v>4-30 Days</v>
      </c>
      <c r="L3009" s="58" t="str">
        <f t="shared" si="140"/>
        <v>Not Applicable</v>
      </c>
    </row>
    <row r="3010" spans="1:12" ht="16.5" customHeight="1" x14ac:dyDescent="0.35">
      <c r="A3010" t="s">
        <v>1718</v>
      </c>
      <c r="B3010" t="s">
        <v>1718</v>
      </c>
      <c r="C3010">
        <v>0</v>
      </c>
      <c r="D3010">
        <v>6911.26</v>
      </c>
      <c r="E3010" t="s">
        <v>9690</v>
      </c>
      <c r="F3010" t="s">
        <v>9691</v>
      </c>
      <c r="G3010" t="s">
        <v>9692</v>
      </c>
      <c r="H3010" t="s">
        <v>3532</v>
      </c>
      <c r="I3010" t="s">
        <v>3490</v>
      </c>
      <c r="J3010" s="56">
        <f t="shared" si="138"/>
        <v>11</v>
      </c>
      <c r="K3010" s="74" t="str">
        <f t="shared" si="139"/>
        <v>4-30 Days</v>
      </c>
      <c r="L3010" s="58" t="str">
        <f t="shared" si="140"/>
        <v>Not Applicable</v>
      </c>
    </row>
    <row r="3011" spans="1:12" ht="16.5" customHeight="1" x14ac:dyDescent="0.35">
      <c r="A3011" t="s">
        <v>1718</v>
      </c>
      <c r="B3011" t="s">
        <v>1718</v>
      </c>
      <c r="C3011">
        <v>0</v>
      </c>
      <c r="D3011">
        <v>100</v>
      </c>
      <c r="E3011" t="s">
        <v>9693</v>
      </c>
      <c r="F3011" t="s">
        <v>9694</v>
      </c>
      <c r="G3011" t="s">
        <v>9695</v>
      </c>
      <c r="H3011" t="s">
        <v>3532</v>
      </c>
      <c r="I3011" t="s">
        <v>3490</v>
      </c>
      <c r="J3011" s="56">
        <f t="shared" si="138"/>
        <v>11</v>
      </c>
      <c r="K3011" s="74" t="str">
        <f t="shared" si="139"/>
        <v>4-30 Days</v>
      </c>
      <c r="L3011" s="58" t="str">
        <f t="shared" si="140"/>
        <v>Not Applicable</v>
      </c>
    </row>
    <row r="3012" spans="1:12" ht="16.5" customHeight="1" x14ac:dyDescent="0.35">
      <c r="A3012" t="s">
        <v>1718</v>
      </c>
      <c r="B3012" t="s">
        <v>1718</v>
      </c>
      <c r="C3012">
        <v>0</v>
      </c>
      <c r="D3012">
        <v>50</v>
      </c>
      <c r="E3012" t="s">
        <v>9696</v>
      </c>
      <c r="F3012" t="s">
        <v>9696</v>
      </c>
      <c r="G3012" t="s">
        <v>9697</v>
      </c>
      <c r="H3012" t="s">
        <v>3521</v>
      </c>
      <c r="I3012" t="s">
        <v>3490</v>
      </c>
      <c r="J3012" s="56">
        <f t="shared" si="138"/>
        <v>11</v>
      </c>
      <c r="K3012" s="74" t="str">
        <f t="shared" si="139"/>
        <v>4-30 Days</v>
      </c>
      <c r="L3012" s="58" t="str">
        <f t="shared" si="140"/>
        <v>Not Applicable</v>
      </c>
    </row>
    <row r="3013" spans="1:12" ht="16.5" customHeight="1" x14ac:dyDescent="0.35">
      <c r="A3013" t="s">
        <v>1772</v>
      </c>
      <c r="B3013" t="s">
        <v>1772</v>
      </c>
      <c r="C3013">
        <v>0</v>
      </c>
      <c r="D3013">
        <v>2832</v>
      </c>
      <c r="E3013" t="s">
        <v>9698</v>
      </c>
      <c r="F3013" t="s">
        <v>3574</v>
      </c>
      <c r="G3013" t="s">
        <v>9699</v>
      </c>
      <c r="H3013" t="s">
        <v>3489</v>
      </c>
      <c r="I3013" t="s">
        <v>3490</v>
      </c>
      <c r="J3013" s="56">
        <f t="shared" si="138"/>
        <v>10</v>
      </c>
      <c r="K3013" s="74" t="str">
        <f t="shared" si="139"/>
        <v>4-30 Days</v>
      </c>
      <c r="L3013" s="58" t="str">
        <f t="shared" si="140"/>
        <v>Not Applicable</v>
      </c>
    </row>
    <row r="3014" spans="1:12" ht="16.5" customHeight="1" x14ac:dyDescent="0.35">
      <c r="A3014" t="s">
        <v>1772</v>
      </c>
      <c r="B3014" t="s">
        <v>1772</v>
      </c>
      <c r="C3014">
        <v>0</v>
      </c>
      <c r="D3014">
        <v>494</v>
      </c>
      <c r="E3014" t="s">
        <v>9700</v>
      </c>
      <c r="F3014" t="s">
        <v>9700</v>
      </c>
      <c r="G3014" t="s">
        <v>9701</v>
      </c>
      <c r="H3014" t="s">
        <v>3532</v>
      </c>
      <c r="I3014" t="s">
        <v>3490</v>
      </c>
      <c r="J3014" s="56">
        <f t="shared" si="138"/>
        <v>10</v>
      </c>
      <c r="K3014" s="74" t="str">
        <f t="shared" si="139"/>
        <v>4-30 Days</v>
      </c>
      <c r="L3014" s="58" t="str">
        <f t="shared" si="140"/>
        <v>Not Applicable</v>
      </c>
    </row>
    <row r="3015" spans="1:12" ht="16.5" customHeight="1" x14ac:dyDescent="0.35">
      <c r="A3015" t="s">
        <v>1772</v>
      </c>
      <c r="B3015" t="s">
        <v>1772</v>
      </c>
      <c r="C3015">
        <v>0</v>
      </c>
      <c r="D3015">
        <v>98</v>
      </c>
      <c r="E3015" t="s">
        <v>9702</v>
      </c>
      <c r="F3015" t="s">
        <v>9702</v>
      </c>
      <c r="G3015" t="s">
        <v>9703</v>
      </c>
      <c r="H3015" t="s">
        <v>3532</v>
      </c>
      <c r="I3015" t="s">
        <v>3490</v>
      </c>
      <c r="J3015" s="56">
        <f t="shared" si="138"/>
        <v>10</v>
      </c>
      <c r="K3015" s="74" t="str">
        <f t="shared" si="139"/>
        <v>4-30 Days</v>
      </c>
      <c r="L3015" s="58" t="str">
        <f t="shared" si="140"/>
        <v>Not Applicable</v>
      </c>
    </row>
    <row r="3016" spans="1:12" ht="16.5" customHeight="1" x14ac:dyDescent="0.35">
      <c r="A3016" t="s">
        <v>1772</v>
      </c>
      <c r="B3016" t="s">
        <v>1772</v>
      </c>
      <c r="C3016">
        <v>0</v>
      </c>
      <c r="D3016">
        <v>100000</v>
      </c>
      <c r="E3016" t="s">
        <v>9704</v>
      </c>
      <c r="F3016" t="s">
        <v>9704</v>
      </c>
      <c r="G3016" t="s">
        <v>9705</v>
      </c>
      <c r="H3016" t="s">
        <v>3489</v>
      </c>
      <c r="I3016" t="s">
        <v>3490</v>
      </c>
      <c r="J3016" s="56">
        <f t="shared" si="138"/>
        <v>10</v>
      </c>
      <c r="K3016" s="74" t="str">
        <f t="shared" si="139"/>
        <v>4-30 Days</v>
      </c>
      <c r="L3016" s="58" t="str">
        <f t="shared" si="140"/>
        <v>Not Applicable</v>
      </c>
    </row>
    <row r="3017" spans="1:12" ht="16.5" customHeight="1" x14ac:dyDescent="0.35">
      <c r="A3017" t="s">
        <v>1772</v>
      </c>
      <c r="B3017" t="s">
        <v>1772</v>
      </c>
      <c r="C3017">
        <v>0</v>
      </c>
      <c r="D3017">
        <v>100</v>
      </c>
      <c r="E3017" t="s">
        <v>9706</v>
      </c>
      <c r="F3017" t="s">
        <v>9706</v>
      </c>
      <c r="G3017" t="s">
        <v>9707</v>
      </c>
      <c r="H3017" t="s">
        <v>3489</v>
      </c>
      <c r="I3017" t="s">
        <v>3490</v>
      </c>
      <c r="J3017" s="56">
        <f t="shared" ref="J3017:J3080" si="141">IF(A3017="","",A$5-A3017)</f>
        <v>10</v>
      </c>
      <c r="K3017" s="74" t="str">
        <f t="shared" ref="K3017:K3080" si="142">IF(J3017="","",IF(J3017&lt;4,"0-3 Days",IF(J3017&lt;31,"4-30 Days",IF(J3017&lt;61,"31-60 Days",IF(J3017&lt;=90,"61-90 Days",IF(J3017&gt;90,"Above 90 Days","0"))))))</f>
        <v>4-30 Days</v>
      </c>
      <c r="L3017" s="58" t="str">
        <f t="shared" ref="L3017:L3080" si="143">IF(C3017="","",IF(C3017&gt;0,IF(J3017&lt;30,"Normal",IF(J3017&lt;60,"Especially Mentioned",IF(J3017&lt;90,"Substandard",IF(J3017&lt;=180,"Doubtful",IF(J3017&gt;180,"Loss","0"))))),"Not Applicable"))</f>
        <v>Not Applicable</v>
      </c>
    </row>
    <row r="3018" spans="1:12" ht="16.5" customHeight="1" x14ac:dyDescent="0.35">
      <c r="A3018" t="s">
        <v>1772</v>
      </c>
      <c r="B3018" t="s">
        <v>1772</v>
      </c>
      <c r="C3018">
        <v>0</v>
      </c>
      <c r="D3018">
        <v>13300</v>
      </c>
      <c r="E3018" t="s">
        <v>9708</v>
      </c>
      <c r="F3018" t="s">
        <v>9709</v>
      </c>
      <c r="G3018" t="s">
        <v>9710</v>
      </c>
      <c r="H3018" t="s">
        <v>3489</v>
      </c>
      <c r="I3018" t="s">
        <v>3486</v>
      </c>
      <c r="J3018" s="56">
        <f t="shared" si="141"/>
        <v>10</v>
      </c>
      <c r="K3018" s="74" t="str">
        <f t="shared" si="142"/>
        <v>4-30 Days</v>
      </c>
      <c r="L3018" s="58" t="str">
        <f t="shared" si="143"/>
        <v>Not Applicable</v>
      </c>
    </row>
    <row r="3019" spans="1:12" ht="16.5" customHeight="1" x14ac:dyDescent="0.35">
      <c r="A3019" t="s">
        <v>1772</v>
      </c>
      <c r="B3019" t="s">
        <v>1772</v>
      </c>
      <c r="C3019">
        <v>0</v>
      </c>
      <c r="D3019">
        <v>772.34</v>
      </c>
      <c r="E3019" t="s">
        <v>9711</v>
      </c>
      <c r="F3019" t="s">
        <v>9712</v>
      </c>
      <c r="G3019" t="s">
        <v>9713</v>
      </c>
      <c r="H3019" t="s">
        <v>3489</v>
      </c>
      <c r="I3019" t="s">
        <v>3486</v>
      </c>
      <c r="J3019" s="56">
        <f t="shared" si="141"/>
        <v>10</v>
      </c>
      <c r="K3019" s="74" t="str">
        <f t="shared" si="142"/>
        <v>4-30 Days</v>
      </c>
      <c r="L3019" s="58" t="str">
        <f t="shared" si="143"/>
        <v>Not Applicable</v>
      </c>
    </row>
    <row r="3020" spans="1:12" ht="16.5" customHeight="1" x14ac:dyDescent="0.35">
      <c r="A3020" t="s">
        <v>1772</v>
      </c>
      <c r="B3020" t="s">
        <v>1772</v>
      </c>
      <c r="C3020">
        <v>0</v>
      </c>
      <c r="D3020">
        <v>250</v>
      </c>
      <c r="E3020" t="s">
        <v>9714</v>
      </c>
      <c r="F3020" t="s">
        <v>9714</v>
      </c>
      <c r="G3020" t="s">
        <v>9715</v>
      </c>
      <c r="H3020" t="s">
        <v>3489</v>
      </c>
      <c r="I3020" t="s">
        <v>3490</v>
      </c>
      <c r="J3020" s="56">
        <f t="shared" si="141"/>
        <v>10</v>
      </c>
      <c r="K3020" s="74" t="str">
        <f t="shared" si="142"/>
        <v>4-30 Days</v>
      </c>
      <c r="L3020" s="58" t="str">
        <f t="shared" si="143"/>
        <v>Not Applicable</v>
      </c>
    </row>
    <row r="3021" spans="1:12" ht="16.5" customHeight="1" x14ac:dyDescent="0.35">
      <c r="A3021" t="s">
        <v>1772</v>
      </c>
      <c r="B3021" t="s">
        <v>1772</v>
      </c>
      <c r="C3021">
        <v>0</v>
      </c>
      <c r="D3021">
        <v>1000</v>
      </c>
      <c r="E3021" t="s">
        <v>9716</v>
      </c>
      <c r="F3021" t="s">
        <v>9716</v>
      </c>
      <c r="G3021" t="s">
        <v>9717</v>
      </c>
      <c r="H3021" t="s">
        <v>3489</v>
      </c>
      <c r="I3021" t="s">
        <v>3490</v>
      </c>
      <c r="J3021" s="56">
        <f t="shared" si="141"/>
        <v>10</v>
      </c>
      <c r="K3021" s="74" t="str">
        <f t="shared" si="142"/>
        <v>4-30 Days</v>
      </c>
      <c r="L3021" s="58" t="str">
        <f t="shared" si="143"/>
        <v>Not Applicable</v>
      </c>
    </row>
    <row r="3022" spans="1:12" ht="16.5" customHeight="1" x14ac:dyDescent="0.35">
      <c r="A3022" t="s">
        <v>1772</v>
      </c>
      <c r="B3022" t="s">
        <v>1772</v>
      </c>
      <c r="C3022">
        <v>0</v>
      </c>
      <c r="D3022">
        <v>1000</v>
      </c>
      <c r="E3022" t="s">
        <v>9718</v>
      </c>
      <c r="F3022" t="s">
        <v>9718</v>
      </c>
      <c r="G3022" t="s">
        <v>9719</v>
      </c>
      <c r="H3022" t="s">
        <v>3489</v>
      </c>
      <c r="I3022" t="s">
        <v>3490</v>
      </c>
      <c r="J3022" s="56">
        <f t="shared" si="141"/>
        <v>10</v>
      </c>
      <c r="K3022" s="74" t="str">
        <f t="shared" si="142"/>
        <v>4-30 Days</v>
      </c>
      <c r="L3022" s="58" t="str">
        <f t="shared" si="143"/>
        <v>Not Applicable</v>
      </c>
    </row>
    <row r="3023" spans="1:12" ht="16.5" customHeight="1" x14ac:dyDescent="0.35">
      <c r="A3023" t="s">
        <v>1772</v>
      </c>
      <c r="B3023" t="s">
        <v>1772</v>
      </c>
      <c r="C3023">
        <v>0</v>
      </c>
      <c r="D3023">
        <v>1000</v>
      </c>
      <c r="E3023" t="s">
        <v>9720</v>
      </c>
      <c r="F3023" t="s">
        <v>9720</v>
      </c>
      <c r="G3023" t="s">
        <v>9721</v>
      </c>
      <c r="H3023" t="s">
        <v>3489</v>
      </c>
      <c r="I3023" t="s">
        <v>3490</v>
      </c>
      <c r="J3023" s="56">
        <f t="shared" si="141"/>
        <v>10</v>
      </c>
      <c r="K3023" s="74" t="str">
        <f t="shared" si="142"/>
        <v>4-30 Days</v>
      </c>
      <c r="L3023" s="58" t="str">
        <f t="shared" si="143"/>
        <v>Not Applicable</v>
      </c>
    </row>
    <row r="3024" spans="1:12" ht="16.5" customHeight="1" x14ac:dyDescent="0.35">
      <c r="A3024" t="s">
        <v>1772</v>
      </c>
      <c r="B3024" t="s">
        <v>1772</v>
      </c>
      <c r="C3024">
        <v>0</v>
      </c>
      <c r="D3024">
        <v>2050</v>
      </c>
      <c r="E3024" t="s">
        <v>9722</v>
      </c>
      <c r="F3024" t="s">
        <v>9722</v>
      </c>
      <c r="G3024" t="s">
        <v>9723</v>
      </c>
      <c r="H3024" t="s">
        <v>3489</v>
      </c>
      <c r="I3024" t="s">
        <v>3490</v>
      </c>
      <c r="J3024" s="56">
        <f t="shared" si="141"/>
        <v>10</v>
      </c>
      <c r="K3024" s="74" t="str">
        <f t="shared" si="142"/>
        <v>4-30 Days</v>
      </c>
      <c r="L3024" s="58" t="str">
        <f t="shared" si="143"/>
        <v>Not Applicable</v>
      </c>
    </row>
    <row r="3025" spans="1:12" ht="16.5" customHeight="1" x14ac:dyDescent="0.35">
      <c r="A3025" t="s">
        <v>1772</v>
      </c>
      <c r="B3025" t="s">
        <v>1772</v>
      </c>
      <c r="C3025">
        <v>0</v>
      </c>
      <c r="D3025">
        <v>250</v>
      </c>
      <c r="E3025" t="s">
        <v>9724</v>
      </c>
      <c r="F3025" t="s">
        <v>9724</v>
      </c>
      <c r="G3025" t="s">
        <v>9725</v>
      </c>
      <c r="H3025" t="s">
        <v>3489</v>
      </c>
      <c r="I3025" t="s">
        <v>3490</v>
      </c>
      <c r="J3025" s="56">
        <f t="shared" si="141"/>
        <v>10</v>
      </c>
      <c r="K3025" s="74" t="str">
        <f t="shared" si="142"/>
        <v>4-30 Days</v>
      </c>
      <c r="L3025" s="58" t="str">
        <f t="shared" si="143"/>
        <v>Not Applicable</v>
      </c>
    </row>
    <row r="3026" spans="1:12" ht="16.5" customHeight="1" x14ac:dyDescent="0.35">
      <c r="A3026" t="s">
        <v>1772</v>
      </c>
      <c r="B3026" t="s">
        <v>1772</v>
      </c>
      <c r="C3026">
        <v>0</v>
      </c>
      <c r="D3026">
        <v>927.3</v>
      </c>
      <c r="E3026" t="s">
        <v>9726</v>
      </c>
      <c r="F3026" t="s">
        <v>9726</v>
      </c>
      <c r="G3026" t="s">
        <v>9727</v>
      </c>
      <c r="H3026" t="s">
        <v>3489</v>
      </c>
      <c r="I3026" t="s">
        <v>3490</v>
      </c>
      <c r="J3026" s="56">
        <f t="shared" si="141"/>
        <v>10</v>
      </c>
      <c r="K3026" s="74" t="str">
        <f t="shared" si="142"/>
        <v>4-30 Days</v>
      </c>
      <c r="L3026" s="58" t="str">
        <f t="shared" si="143"/>
        <v>Not Applicable</v>
      </c>
    </row>
    <row r="3027" spans="1:12" ht="16.5" customHeight="1" x14ac:dyDescent="0.35">
      <c r="A3027" t="s">
        <v>1772</v>
      </c>
      <c r="B3027" t="s">
        <v>1772</v>
      </c>
      <c r="C3027">
        <v>0</v>
      </c>
      <c r="D3027">
        <v>30217.599999999999</v>
      </c>
      <c r="E3027" t="s">
        <v>9728</v>
      </c>
      <c r="F3027" t="s">
        <v>3574</v>
      </c>
      <c r="G3027" t="s">
        <v>9729</v>
      </c>
      <c r="H3027" t="s">
        <v>3489</v>
      </c>
      <c r="I3027" t="s">
        <v>3490</v>
      </c>
      <c r="J3027" s="56">
        <f t="shared" si="141"/>
        <v>10</v>
      </c>
      <c r="K3027" s="74" t="str">
        <f t="shared" si="142"/>
        <v>4-30 Days</v>
      </c>
      <c r="L3027" s="58" t="str">
        <f t="shared" si="143"/>
        <v>Not Applicable</v>
      </c>
    </row>
    <row r="3028" spans="1:12" ht="16.5" customHeight="1" x14ac:dyDescent="0.35">
      <c r="A3028" t="s">
        <v>1772</v>
      </c>
      <c r="B3028" t="s">
        <v>1772</v>
      </c>
      <c r="C3028">
        <v>0</v>
      </c>
      <c r="D3028">
        <v>22555.360000000001</v>
      </c>
      <c r="E3028" t="s">
        <v>9730</v>
      </c>
      <c r="F3028" t="s">
        <v>9730</v>
      </c>
      <c r="G3028" t="s">
        <v>9731</v>
      </c>
      <c r="H3028" t="s">
        <v>7968</v>
      </c>
      <c r="I3028" t="s">
        <v>3486</v>
      </c>
      <c r="J3028" s="56">
        <f t="shared" si="141"/>
        <v>10</v>
      </c>
      <c r="K3028" s="74" t="str">
        <f t="shared" si="142"/>
        <v>4-30 Days</v>
      </c>
      <c r="L3028" s="58" t="str">
        <f t="shared" si="143"/>
        <v>Not Applicable</v>
      </c>
    </row>
    <row r="3029" spans="1:12" ht="16.5" customHeight="1" x14ac:dyDescent="0.35">
      <c r="A3029" t="s">
        <v>1772</v>
      </c>
      <c r="B3029" t="s">
        <v>1772</v>
      </c>
      <c r="C3029">
        <v>0</v>
      </c>
      <c r="D3029">
        <v>550</v>
      </c>
      <c r="E3029" t="s">
        <v>9732</v>
      </c>
      <c r="F3029" t="s">
        <v>9732</v>
      </c>
      <c r="G3029" t="s">
        <v>9733</v>
      </c>
      <c r="H3029" t="s">
        <v>3489</v>
      </c>
      <c r="I3029" t="s">
        <v>3490</v>
      </c>
      <c r="J3029" s="56">
        <f t="shared" si="141"/>
        <v>10</v>
      </c>
      <c r="K3029" s="74" t="str">
        <f t="shared" si="142"/>
        <v>4-30 Days</v>
      </c>
      <c r="L3029" s="58" t="str">
        <f t="shared" si="143"/>
        <v>Not Applicable</v>
      </c>
    </row>
    <row r="3030" spans="1:12" ht="16.5" customHeight="1" x14ac:dyDescent="0.35">
      <c r="A3030" t="s">
        <v>1772</v>
      </c>
      <c r="B3030" t="s">
        <v>1772</v>
      </c>
      <c r="C3030">
        <v>0</v>
      </c>
      <c r="D3030">
        <v>10000000</v>
      </c>
      <c r="E3030" t="s">
        <v>9734</v>
      </c>
      <c r="F3030" t="s">
        <v>9735</v>
      </c>
      <c r="G3030" t="s">
        <v>9736</v>
      </c>
      <c r="H3030" t="s">
        <v>3489</v>
      </c>
      <c r="I3030" t="s">
        <v>3486</v>
      </c>
      <c r="J3030" s="56">
        <f t="shared" si="141"/>
        <v>10</v>
      </c>
      <c r="K3030" s="74" t="str">
        <f t="shared" si="142"/>
        <v>4-30 Days</v>
      </c>
      <c r="L3030" s="58" t="str">
        <f t="shared" si="143"/>
        <v>Not Applicable</v>
      </c>
    </row>
    <row r="3031" spans="1:12" ht="16.5" customHeight="1" x14ac:dyDescent="0.35">
      <c r="A3031" t="s">
        <v>1772</v>
      </c>
      <c r="B3031" t="s">
        <v>1772</v>
      </c>
      <c r="C3031">
        <v>0</v>
      </c>
      <c r="D3031">
        <v>2050</v>
      </c>
      <c r="E3031" t="s">
        <v>9737</v>
      </c>
      <c r="F3031" t="s">
        <v>9737</v>
      </c>
      <c r="G3031" t="s">
        <v>9738</v>
      </c>
      <c r="H3031" t="s">
        <v>3489</v>
      </c>
      <c r="I3031" t="s">
        <v>3490</v>
      </c>
      <c r="J3031" s="56">
        <f t="shared" si="141"/>
        <v>10</v>
      </c>
      <c r="K3031" s="74" t="str">
        <f t="shared" si="142"/>
        <v>4-30 Days</v>
      </c>
      <c r="L3031" s="58" t="str">
        <f t="shared" si="143"/>
        <v>Not Applicable</v>
      </c>
    </row>
    <row r="3032" spans="1:12" ht="16.5" customHeight="1" x14ac:dyDescent="0.35">
      <c r="A3032" t="s">
        <v>1772</v>
      </c>
      <c r="B3032" t="s">
        <v>1772</v>
      </c>
      <c r="C3032">
        <v>0</v>
      </c>
      <c r="D3032">
        <v>2050</v>
      </c>
      <c r="E3032" t="s">
        <v>9739</v>
      </c>
      <c r="F3032" t="s">
        <v>9739</v>
      </c>
      <c r="G3032" t="s">
        <v>9740</v>
      </c>
      <c r="H3032" t="s">
        <v>3489</v>
      </c>
      <c r="I3032" t="s">
        <v>3490</v>
      </c>
      <c r="J3032" s="56">
        <f t="shared" si="141"/>
        <v>10</v>
      </c>
      <c r="K3032" s="74" t="str">
        <f t="shared" si="142"/>
        <v>4-30 Days</v>
      </c>
      <c r="L3032" s="58" t="str">
        <f t="shared" si="143"/>
        <v>Not Applicable</v>
      </c>
    </row>
    <row r="3033" spans="1:12" ht="16.5" customHeight="1" x14ac:dyDescent="0.35">
      <c r="A3033" t="s">
        <v>1772</v>
      </c>
      <c r="B3033" t="s">
        <v>1772</v>
      </c>
      <c r="C3033">
        <v>0</v>
      </c>
      <c r="D3033">
        <v>30211.040000000001</v>
      </c>
      <c r="E3033" t="s">
        <v>9741</v>
      </c>
      <c r="F3033" t="s">
        <v>3574</v>
      </c>
      <c r="G3033" t="s">
        <v>9742</v>
      </c>
      <c r="H3033" t="s">
        <v>3489</v>
      </c>
      <c r="I3033" t="s">
        <v>3490</v>
      </c>
      <c r="J3033" s="56">
        <f t="shared" si="141"/>
        <v>10</v>
      </c>
      <c r="K3033" s="74" t="str">
        <f t="shared" si="142"/>
        <v>4-30 Days</v>
      </c>
      <c r="L3033" s="58" t="str">
        <f t="shared" si="143"/>
        <v>Not Applicable</v>
      </c>
    </row>
    <row r="3034" spans="1:12" ht="16.5" customHeight="1" x14ac:dyDescent="0.35">
      <c r="A3034" t="s">
        <v>1772</v>
      </c>
      <c r="B3034" t="s">
        <v>1772</v>
      </c>
      <c r="C3034">
        <v>0</v>
      </c>
      <c r="D3034">
        <v>1000</v>
      </c>
      <c r="E3034" t="s">
        <v>9743</v>
      </c>
      <c r="F3034" t="s">
        <v>9744</v>
      </c>
      <c r="G3034" t="s">
        <v>9745</v>
      </c>
      <c r="H3034" t="s">
        <v>3489</v>
      </c>
      <c r="I3034" t="s">
        <v>3490</v>
      </c>
      <c r="J3034" s="56">
        <f t="shared" si="141"/>
        <v>10</v>
      </c>
      <c r="K3034" s="74" t="str">
        <f t="shared" si="142"/>
        <v>4-30 Days</v>
      </c>
      <c r="L3034" s="58" t="str">
        <f t="shared" si="143"/>
        <v>Not Applicable</v>
      </c>
    </row>
    <row r="3035" spans="1:12" ht="16.5" customHeight="1" x14ac:dyDescent="0.35">
      <c r="A3035" t="s">
        <v>1772</v>
      </c>
      <c r="B3035" t="s">
        <v>1772</v>
      </c>
      <c r="C3035">
        <v>0</v>
      </c>
      <c r="D3035">
        <v>186</v>
      </c>
      <c r="E3035" t="s">
        <v>9746</v>
      </c>
      <c r="F3035" t="s">
        <v>9746</v>
      </c>
      <c r="G3035" t="s">
        <v>9747</v>
      </c>
      <c r="H3035" t="s">
        <v>3532</v>
      </c>
      <c r="I3035" t="s">
        <v>3490</v>
      </c>
      <c r="J3035" s="56">
        <f t="shared" si="141"/>
        <v>10</v>
      </c>
      <c r="K3035" s="74" t="str">
        <f t="shared" si="142"/>
        <v>4-30 Days</v>
      </c>
      <c r="L3035" s="58" t="str">
        <f t="shared" si="143"/>
        <v>Not Applicable</v>
      </c>
    </row>
    <row r="3036" spans="1:12" ht="16.5" customHeight="1" x14ac:dyDescent="0.35">
      <c r="A3036" t="s">
        <v>1772</v>
      </c>
      <c r="B3036" t="s">
        <v>1772</v>
      </c>
      <c r="C3036">
        <v>0</v>
      </c>
      <c r="D3036">
        <v>1000</v>
      </c>
      <c r="E3036" t="s">
        <v>9748</v>
      </c>
      <c r="F3036" t="s">
        <v>9748</v>
      </c>
      <c r="G3036" t="s">
        <v>9749</v>
      </c>
      <c r="H3036" t="s">
        <v>3489</v>
      </c>
      <c r="I3036" t="s">
        <v>3490</v>
      </c>
      <c r="J3036" s="56">
        <f t="shared" si="141"/>
        <v>10</v>
      </c>
      <c r="K3036" s="74" t="str">
        <f t="shared" si="142"/>
        <v>4-30 Days</v>
      </c>
      <c r="L3036" s="58" t="str">
        <f t="shared" si="143"/>
        <v>Not Applicable</v>
      </c>
    </row>
    <row r="3037" spans="1:12" ht="16.5" customHeight="1" x14ac:dyDescent="0.35">
      <c r="A3037" t="s">
        <v>1772</v>
      </c>
      <c r="B3037" t="s">
        <v>1772</v>
      </c>
      <c r="C3037">
        <v>0</v>
      </c>
      <c r="D3037">
        <v>2500</v>
      </c>
      <c r="E3037" t="s">
        <v>9750</v>
      </c>
      <c r="F3037" t="s">
        <v>9750</v>
      </c>
      <c r="G3037" t="s">
        <v>9751</v>
      </c>
      <c r="H3037" t="s">
        <v>3489</v>
      </c>
      <c r="I3037" t="s">
        <v>3490</v>
      </c>
      <c r="J3037" s="56">
        <f t="shared" si="141"/>
        <v>10</v>
      </c>
      <c r="K3037" s="74" t="str">
        <f t="shared" si="142"/>
        <v>4-30 Days</v>
      </c>
      <c r="L3037" s="58" t="str">
        <f t="shared" si="143"/>
        <v>Not Applicable</v>
      </c>
    </row>
    <row r="3038" spans="1:12" ht="16.5" customHeight="1" x14ac:dyDescent="0.35">
      <c r="A3038" t="s">
        <v>1772</v>
      </c>
      <c r="B3038" t="s">
        <v>1772</v>
      </c>
      <c r="C3038">
        <v>0</v>
      </c>
      <c r="D3038">
        <v>503173</v>
      </c>
      <c r="E3038" t="s">
        <v>9752</v>
      </c>
      <c r="F3038" t="s">
        <v>9753</v>
      </c>
      <c r="G3038" t="s">
        <v>9754</v>
      </c>
      <c r="H3038" t="s">
        <v>3489</v>
      </c>
      <c r="I3038" t="s">
        <v>3486</v>
      </c>
      <c r="J3038" s="56">
        <f t="shared" si="141"/>
        <v>10</v>
      </c>
      <c r="K3038" s="74" t="str">
        <f t="shared" si="142"/>
        <v>4-30 Days</v>
      </c>
      <c r="L3038" s="58" t="str">
        <f t="shared" si="143"/>
        <v>Not Applicable</v>
      </c>
    </row>
    <row r="3039" spans="1:12" ht="16.5" customHeight="1" x14ac:dyDescent="0.35">
      <c r="A3039" t="s">
        <v>1772</v>
      </c>
      <c r="B3039" t="s">
        <v>1772</v>
      </c>
      <c r="C3039">
        <v>10000</v>
      </c>
      <c r="D3039">
        <v>0</v>
      </c>
      <c r="E3039" t="s">
        <v>9755</v>
      </c>
      <c r="F3039" t="s">
        <v>9755</v>
      </c>
      <c r="G3039" t="s">
        <v>9756</v>
      </c>
      <c r="H3039" t="s">
        <v>3878</v>
      </c>
      <c r="I3039" t="s">
        <v>3486</v>
      </c>
      <c r="J3039" s="56">
        <f t="shared" si="141"/>
        <v>10</v>
      </c>
      <c r="K3039" s="74" t="str">
        <f t="shared" si="142"/>
        <v>4-30 Days</v>
      </c>
      <c r="L3039" s="58" t="str">
        <f t="shared" si="143"/>
        <v>Normal</v>
      </c>
    </row>
    <row r="3040" spans="1:12" ht="16.5" customHeight="1" x14ac:dyDescent="0.35">
      <c r="A3040" t="s">
        <v>1772</v>
      </c>
      <c r="B3040" t="s">
        <v>1772</v>
      </c>
      <c r="C3040">
        <v>0</v>
      </c>
      <c r="D3040">
        <v>284</v>
      </c>
      <c r="E3040" t="s">
        <v>9757</v>
      </c>
      <c r="F3040" t="s">
        <v>9757</v>
      </c>
      <c r="G3040" t="s">
        <v>9758</v>
      </c>
      <c r="H3040" t="s">
        <v>3532</v>
      </c>
      <c r="I3040" t="s">
        <v>3490</v>
      </c>
      <c r="J3040" s="56">
        <f t="shared" si="141"/>
        <v>10</v>
      </c>
      <c r="K3040" s="74" t="str">
        <f t="shared" si="142"/>
        <v>4-30 Days</v>
      </c>
      <c r="L3040" s="58" t="str">
        <f t="shared" si="143"/>
        <v>Not Applicable</v>
      </c>
    </row>
    <row r="3041" spans="1:12" ht="16.5" customHeight="1" x14ac:dyDescent="0.35">
      <c r="A3041" t="s">
        <v>1772</v>
      </c>
      <c r="B3041" t="s">
        <v>1772</v>
      </c>
      <c r="C3041">
        <v>0</v>
      </c>
      <c r="D3041">
        <v>3050</v>
      </c>
      <c r="E3041" t="s">
        <v>9759</v>
      </c>
      <c r="F3041" t="s">
        <v>9759</v>
      </c>
      <c r="G3041" t="s">
        <v>9760</v>
      </c>
      <c r="H3041" t="s">
        <v>3489</v>
      </c>
      <c r="I3041" t="s">
        <v>3490</v>
      </c>
      <c r="J3041" s="56">
        <f t="shared" si="141"/>
        <v>10</v>
      </c>
      <c r="K3041" s="74" t="str">
        <f t="shared" si="142"/>
        <v>4-30 Days</v>
      </c>
      <c r="L3041" s="58" t="str">
        <f t="shared" si="143"/>
        <v>Not Applicable</v>
      </c>
    </row>
    <row r="3042" spans="1:12" ht="16.5" customHeight="1" x14ac:dyDescent="0.35">
      <c r="A3042" t="s">
        <v>1772</v>
      </c>
      <c r="B3042" t="s">
        <v>1772</v>
      </c>
      <c r="C3042">
        <v>0</v>
      </c>
      <c r="D3042">
        <v>18877</v>
      </c>
      <c r="E3042" t="s">
        <v>9761</v>
      </c>
      <c r="F3042" t="s">
        <v>57</v>
      </c>
      <c r="G3042" t="s">
        <v>57</v>
      </c>
      <c r="H3042" t="s">
        <v>3914</v>
      </c>
      <c r="I3042" t="s">
        <v>3643</v>
      </c>
      <c r="J3042" s="56">
        <f t="shared" si="141"/>
        <v>10</v>
      </c>
      <c r="K3042" s="74" t="str">
        <f t="shared" si="142"/>
        <v>4-30 Days</v>
      </c>
      <c r="L3042" s="58" t="str">
        <f t="shared" si="143"/>
        <v>Not Applicable</v>
      </c>
    </row>
    <row r="3043" spans="1:12" ht="16.5" customHeight="1" x14ac:dyDescent="0.35">
      <c r="A3043" t="s">
        <v>1772</v>
      </c>
      <c r="B3043" t="s">
        <v>1772</v>
      </c>
      <c r="C3043">
        <v>0</v>
      </c>
      <c r="D3043">
        <v>100</v>
      </c>
      <c r="E3043" t="s">
        <v>9762</v>
      </c>
      <c r="F3043" t="s">
        <v>9762</v>
      </c>
      <c r="G3043" t="s">
        <v>9763</v>
      </c>
      <c r="H3043" t="s">
        <v>3489</v>
      </c>
      <c r="I3043" t="s">
        <v>3490</v>
      </c>
      <c r="J3043" s="56">
        <f t="shared" si="141"/>
        <v>10</v>
      </c>
      <c r="K3043" s="74" t="str">
        <f t="shared" si="142"/>
        <v>4-30 Days</v>
      </c>
      <c r="L3043" s="58" t="str">
        <f t="shared" si="143"/>
        <v>Not Applicable</v>
      </c>
    </row>
    <row r="3044" spans="1:12" ht="16.5" customHeight="1" x14ac:dyDescent="0.35">
      <c r="A3044" t="s">
        <v>1772</v>
      </c>
      <c r="B3044" t="s">
        <v>1772</v>
      </c>
      <c r="C3044">
        <v>0</v>
      </c>
      <c r="D3044">
        <v>55622</v>
      </c>
      <c r="E3044" t="s">
        <v>9764</v>
      </c>
      <c r="F3044" t="s">
        <v>9764</v>
      </c>
      <c r="G3044" t="s">
        <v>9765</v>
      </c>
      <c r="H3044" t="s">
        <v>3489</v>
      </c>
      <c r="I3044" t="s">
        <v>3490</v>
      </c>
      <c r="J3044" s="56">
        <f t="shared" si="141"/>
        <v>10</v>
      </c>
      <c r="K3044" s="74" t="str">
        <f t="shared" si="142"/>
        <v>4-30 Days</v>
      </c>
      <c r="L3044" s="58" t="str">
        <f t="shared" si="143"/>
        <v>Not Applicable</v>
      </c>
    </row>
    <row r="3045" spans="1:12" ht="16.5" customHeight="1" x14ac:dyDescent="0.35">
      <c r="A3045" t="s">
        <v>1772</v>
      </c>
      <c r="B3045" t="s">
        <v>1772</v>
      </c>
      <c r="C3045">
        <v>0</v>
      </c>
      <c r="D3045">
        <v>150</v>
      </c>
      <c r="E3045" t="s">
        <v>9766</v>
      </c>
      <c r="F3045" t="s">
        <v>9766</v>
      </c>
      <c r="G3045" t="s">
        <v>9767</v>
      </c>
      <c r="H3045" t="s">
        <v>3489</v>
      </c>
      <c r="I3045" t="s">
        <v>3490</v>
      </c>
      <c r="J3045" s="56">
        <f t="shared" si="141"/>
        <v>10</v>
      </c>
      <c r="K3045" s="74" t="str">
        <f t="shared" si="142"/>
        <v>4-30 Days</v>
      </c>
      <c r="L3045" s="58" t="str">
        <f t="shared" si="143"/>
        <v>Not Applicable</v>
      </c>
    </row>
    <row r="3046" spans="1:12" ht="16.5" customHeight="1" x14ac:dyDescent="0.35">
      <c r="A3046" t="s">
        <v>1772</v>
      </c>
      <c r="B3046" t="s">
        <v>1772</v>
      </c>
      <c r="C3046">
        <v>0</v>
      </c>
      <c r="D3046">
        <v>770</v>
      </c>
      <c r="E3046" t="s">
        <v>9768</v>
      </c>
      <c r="F3046" t="s">
        <v>9769</v>
      </c>
      <c r="G3046" t="s">
        <v>9770</v>
      </c>
      <c r="H3046" t="s">
        <v>3532</v>
      </c>
      <c r="I3046" t="s">
        <v>3490</v>
      </c>
      <c r="J3046" s="56">
        <f t="shared" si="141"/>
        <v>10</v>
      </c>
      <c r="K3046" s="74" t="str">
        <f t="shared" si="142"/>
        <v>4-30 Days</v>
      </c>
      <c r="L3046" s="58" t="str">
        <f t="shared" si="143"/>
        <v>Not Applicable</v>
      </c>
    </row>
    <row r="3047" spans="1:12" ht="16.5" customHeight="1" x14ac:dyDescent="0.35">
      <c r="A3047" t="s">
        <v>1772</v>
      </c>
      <c r="B3047" t="s">
        <v>1772</v>
      </c>
      <c r="C3047">
        <v>0</v>
      </c>
      <c r="D3047">
        <v>150</v>
      </c>
      <c r="E3047" t="s">
        <v>9771</v>
      </c>
      <c r="F3047" t="s">
        <v>9771</v>
      </c>
      <c r="G3047" t="s">
        <v>9772</v>
      </c>
      <c r="H3047" t="s">
        <v>3489</v>
      </c>
      <c r="I3047" t="s">
        <v>3490</v>
      </c>
      <c r="J3047" s="56">
        <f t="shared" si="141"/>
        <v>10</v>
      </c>
      <c r="K3047" s="74" t="str">
        <f t="shared" si="142"/>
        <v>4-30 Days</v>
      </c>
      <c r="L3047" s="58" t="str">
        <f t="shared" si="143"/>
        <v>Not Applicable</v>
      </c>
    </row>
    <row r="3048" spans="1:12" ht="16.5" customHeight="1" x14ac:dyDescent="0.35">
      <c r="A3048" t="s">
        <v>1772</v>
      </c>
      <c r="B3048" t="s">
        <v>1772</v>
      </c>
      <c r="C3048">
        <v>0</v>
      </c>
      <c r="D3048">
        <v>92</v>
      </c>
      <c r="E3048" t="s">
        <v>9773</v>
      </c>
      <c r="F3048" t="s">
        <v>9773</v>
      </c>
      <c r="G3048" t="s">
        <v>9774</v>
      </c>
      <c r="H3048" t="s">
        <v>3532</v>
      </c>
      <c r="I3048" t="s">
        <v>3490</v>
      </c>
      <c r="J3048" s="56">
        <f t="shared" si="141"/>
        <v>10</v>
      </c>
      <c r="K3048" s="74" t="str">
        <f t="shared" si="142"/>
        <v>4-30 Days</v>
      </c>
      <c r="L3048" s="58" t="str">
        <f t="shared" si="143"/>
        <v>Not Applicable</v>
      </c>
    </row>
    <row r="3049" spans="1:12" ht="16.5" customHeight="1" x14ac:dyDescent="0.35">
      <c r="A3049" t="s">
        <v>1772</v>
      </c>
      <c r="B3049" t="s">
        <v>1772</v>
      </c>
      <c r="C3049">
        <v>0</v>
      </c>
      <c r="D3049">
        <v>150</v>
      </c>
      <c r="E3049" t="s">
        <v>9775</v>
      </c>
      <c r="F3049" t="s">
        <v>9775</v>
      </c>
      <c r="G3049" t="s">
        <v>9776</v>
      </c>
      <c r="H3049" t="s">
        <v>3489</v>
      </c>
      <c r="I3049" t="s">
        <v>3490</v>
      </c>
      <c r="J3049" s="56">
        <f t="shared" si="141"/>
        <v>10</v>
      </c>
      <c r="K3049" s="74" t="str">
        <f t="shared" si="142"/>
        <v>4-30 Days</v>
      </c>
      <c r="L3049" s="58" t="str">
        <f t="shared" si="143"/>
        <v>Not Applicable</v>
      </c>
    </row>
    <row r="3050" spans="1:12" ht="16.5" customHeight="1" x14ac:dyDescent="0.35">
      <c r="A3050" t="s">
        <v>1772</v>
      </c>
      <c r="B3050" t="s">
        <v>1772</v>
      </c>
      <c r="C3050">
        <v>0</v>
      </c>
      <c r="D3050">
        <v>3869</v>
      </c>
      <c r="E3050" t="s">
        <v>9777</v>
      </c>
      <c r="F3050" t="s">
        <v>9777</v>
      </c>
      <c r="G3050" t="s">
        <v>9778</v>
      </c>
      <c r="H3050" t="s">
        <v>3489</v>
      </c>
      <c r="I3050" t="s">
        <v>3490</v>
      </c>
      <c r="J3050" s="56">
        <f t="shared" si="141"/>
        <v>10</v>
      </c>
      <c r="K3050" s="74" t="str">
        <f t="shared" si="142"/>
        <v>4-30 Days</v>
      </c>
      <c r="L3050" s="58" t="str">
        <f t="shared" si="143"/>
        <v>Not Applicable</v>
      </c>
    </row>
    <row r="3051" spans="1:12" ht="16.5" customHeight="1" x14ac:dyDescent="0.35">
      <c r="A3051" t="s">
        <v>1772</v>
      </c>
      <c r="B3051" t="s">
        <v>1772</v>
      </c>
      <c r="C3051">
        <v>0</v>
      </c>
      <c r="D3051">
        <v>2700</v>
      </c>
      <c r="E3051" t="s">
        <v>9779</v>
      </c>
      <c r="F3051" t="s">
        <v>9780</v>
      </c>
      <c r="G3051" t="s">
        <v>9781</v>
      </c>
      <c r="H3051" t="s">
        <v>3532</v>
      </c>
      <c r="I3051" t="s">
        <v>3490</v>
      </c>
      <c r="J3051" s="56">
        <f t="shared" si="141"/>
        <v>10</v>
      </c>
      <c r="K3051" s="74" t="str">
        <f t="shared" si="142"/>
        <v>4-30 Days</v>
      </c>
      <c r="L3051" s="58" t="str">
        <f t="shared" si="143"/>
        <v>Not Applicable</v>
      </c>
    </row>
    <row r="3052" spans="1:12" ht="16.5" customHeight="1" x14ac:dyDescent="0.35">
      <c r="A3052" t="s">
        <v>1772</v>
      </c>
      <c r="B3052" t="s">
        <v>1772</v>
      </c>
      <c r="C3052">
        <v>0</v>
      </c>
      <c r="D3052">
        <v>280</v>
      </c>
      <c r="E3052" t="s">
        <v>9782</v>
      </c>
      <c r="F3052" t="s">
        <v>9783</v>
      </c>
      <c r="G3052" t="s">
        <v>9784</v>
      </c>
      <c r="H3052" t="s">
        <v>3532</v>
      </c>
      <c r="I3052" t="s">
        <v>3490</v>
      </c>
      <c r="J3052" s="56">
        <f t="shared" si="141"/>
        <v>10</v>
      </c>
      <c r="K3052" s="74" t="str">
        <f t="shared" si="142"/>
        <v>4-30 Days</v>
      </c>
      <c r="L3052" s="58" t="str">
        <f t="shared" si="143"/>
        <v>Not Applicable</v>
      </c>
    </row>
    <row r="3053" spans="1:12" ht="16.5" customHeight="1" x14ac:dyDescent="0.35">
      <c r="A3053" t="s">
        <v>1772</v>
      </c>
      <c r="B3053" t="s">
        <v>1772</v>
      </c>
      <c r="C3053">
        <v>0</v>
      </c>
      <c r="D3053">
        <v>90</v>
      </c>
      <c r="E3053" t="s">
        <v>9785</v>
      </c>
      <c r="F3053" t="s">
        <v>9785</v>
      </c>
      <c r="G3053" t="s">
        <v>9786</v>
      </c>
      <c r="H3053" t="s">
        <v>3532</v>
      </c>
      <c r="I3053" t="s">
        <v>3490</v>
      </c>
      <c r="J3053" s="56">
        <f t="shared" si="141"/>
        <v>10</v>
      </c>
      <c r="K3053" s="74" t="str">
        <f t="shared" si="142"/>
        <v>4-30 Days</v>
      </c>
      <c r="L3053" s="58" t="str">
        <f t="shared" si="143"/>
        <v>Not Applicable</v>
      </c>
    </row>
    <row r="3054" spans="1:12" ht="16.5" customHeight="1" x14ac:dyDescent="0.35">
      <c r="A3054" t="s">
        <v>1772</v>
      </c>
      <c r="B3054" t="s">
        <v>1772</v>
      </c>
      <c r="C3054">
        <v>0</v>
      </c>
      <c r="D3054">
        <v>2100</v>
      </c>
      <c r="E3054" t="s">
        <v>9787</v>
      </c>
      <c r="F3054" t="s">
        <v>9788</v>
      </c>
      <c r="G3054" t="s">
        <v>9789</v>
      </c>
      <c r="H3054" t="s">
        <v>3489</v>
      </c>
      <c r="I3054" t="s">
        <v>3490</v>
      </c>
      <c r="J3054" s="56">
        <f t="shared" si="141"/>
        <v>10</v>
      </c>
      <c r="K3054" s="74" t="str">
        <f t="shared" si="142"/>
        <v>4-30 Days</v>
      </c>
      <c r="L3054" s="58" t="str">
        <f t="shared" si="143"/>
        <v>Not Applicable</v>
      </c>
    </row>
    <row r="3055" spans="1:12" ht="16.5" customHeight="1" x14ac:dyDescent="0.35">
      <c r="A3055" t="s">
        <v>1772</v>
      </c>
      <c r="B3055" t="s">
        <v>1772</v>
      </c>
      <c r="C3055">
        <v>0</v>
      </c>
      <c r="D3055">
        <v>13153.03</v>
      </c>
      <c r="E3055" t="s">
        <v>9790</v>
      </c>
      <c r="F3055" t="s">
        <v>9790</v>
      </c>
      <c r="G3055" t="s">
        <v>9791</v>
      </c>
      <c r="H3055" t="s">
        <v>3489</v>
      </c>
      <c r="I3055" t="s">
        <v>3490</v>
      </c>
      <c r="J3055" s="56">
        <f t="shared" si="141"/>
        <v>10</v>
      </c>
      <c r="K3055" s="74" t="str">
        <f t="shared" si="142"/>
        <v>4-30 Days</v>
      </c>
      <c r="L3055" s="58" t="str">
        <f t="shared" si="143"/>
        <v>Not Applicable</v>
      </c>
    </row>
    <row r="3056" spans="1:12" ht="16.5" customHeight="1" x14ac:dyDescent="0.35">
      <c r="A3056" t="s">
        <v>1772</v>
      </c>
      <c r="B3056" t="s">
        <v>1772</v>
      </c>
      <c r="C3056">
        <v>0</v>
      </c>
      <c r="D3056">
        <v>37676</v>
      </c>
      <c r="E3056" t="s">
        <v>9792</v>
      </c>
      <c r="F3056" t="s">
        <v>4578</v>
      </c>
      <c r="G3056" t="s">
        <v>9793</v>
      </c>
      <c r="H3056" t="s">
        <v>3489</v>
      </c>
      <c r="I3056" t="s">
        <v>3486</v>
      </c>
      <c r="J3056" s="56">
        <f t="shared" si="141"/>
        <v>10</v>
      </c>
      <c r="K3056" s="74" t="str">
        <f t="shared" si="142"/>
        <v>4-30 Days</v>
      </c>
      <c r="L3056" s="58" t="str">
        <f t="shared" si="143"/>
        <v>Not Applicable</v>
      </c>
    </row>
    <row r="3057" spans="1:12" ht="16.5" customHeight="1" x14ac:dyDescent="0.35">
      <c r="A3057" t="s">
        <v>1772</v>
      </c>
      <c r="B3057" t="s">
        <v>1772</v>
      </c>
      <c r="C3057">
        <v>0</v>
      </c>
      <c r="D3057">
        <v>3700000</v>
      </c>
      <c r="E3057" t="s">
        <v>9794</v>
      </c>
      <c r="F3057" t="s">
        <v>9794</v>
      </c>
      <c r="G3057" t="s">
        <v>9795</v>
      </c>
      <c r="H3057" t="s">
        <v>3489</v>
      </c>
      <c r="I3057" t="s">
        <v>3490</v>
      </c>
      <c r="J3057" s="56">
        <f t="shared" si="141"/>
        <v>10</v>
      </c>
      <c r="K3057" s="74" t="str">
        <f t="shared" si="142"/>
        <v>4-30 Days</v>
      </c>
      <c r="L3057" s="58" t="str">
        <f t="shared" si="143"/>
        <v>Not Applicable</v>
      </c>
    </row>
    <row r="3058" spans="1:12" ht="16.5" customHeight="1" x14ac:dyDescent="0.35">
      <c r="A3058" t="s">
        <v>1772</v>
      </c>
      <c r="B3058" t="s">
        <v>1772</v>
      </c>
      <c r="C3058">
        <v>0</v>
      </c>
      <c r="D3058">
        <v>550</v>
      </c>
      <c r="E3058" t="s">
        <v>9796</v>
      </c>
      <c r="F3058" t="s">
        <v>9796</v>
      </c>
      <c r="G3058" t="s">
        <v>9797</v>
      </c>
      <c r="H3058" t="s">
        <v>3489</v>
      </c>
      <c r="I3058" t="s">
        <v>3490</v>
      </c>
      <c r="J3058" s="56">
        <f t="shared" si="141"/>
        <v>10</v>
      </c>
      <c r="K3058" s="74" t="str">
        <f t="shared" si="142"/>
        <v>4-30 Days</v>
      </c>
      <c r="L3058" s="58" t="str">
        <f t="shared" si="143"/>
        <v>Not Applicable</v>
      </c>
    </row>
    <row r="3059" spans="1:12" ht="16.5" customHeight="1" x14ac:dyDescent="0.35">
      <c r="A3059" t="s">
        <v>1772</v>
      </c>
      <c r="B3059" t="s">
        <v>1772</v>
      </c>
      <c r="C3059">
        <v>0</v>
      </c>
      <c r="D3059">
        <v>92.04</v>
      </c>
      <c r="E3059" t="s">
        <v>9798</v>
      </c>
      <c r="F3059" t="s">
        <v>3574</v>
      </c>
      <c r="G3059" t="s">
        <v>9799</v>
      </c>
      <c r="H3059" t="s">
        <v>3489</v>
      </c>
      <c r="I3059" t="s">
        <v>3490</v>
      </c>
      <c r="J3059" s="56">
        <f t="shared" si="141"/>
        <v>10</v>
      </c>
      <c r="K3059" s="74" t="str">
        <f t="shared" si="142"/>
        <v>4-30 Days</v>
      </c>
      <c r="L3059" s="58" t="str">
        <f t="shared" si="143"/>
        <v>Not Applicable</v>
      </c>
    </row>
    <row r="3060" spans="1:12" ht="16.5" customHeight="1" x14ac:dyDescent="0.35">
      <c r="A3060" t="s">
        <v>1795</v>
      </c>
      <c r="B3060" t="s">
        <v>1795</v>
      </c>
      <c r="C3060">
        <v>0</v>
      </c>
      <c r="D3060">
        <v>48844</v>
      </c>
      <c r="E3060" t="s">
        <v>9800</v>
      </c>
      <c r="F3060" t="s">
        <v>9800</v>
      </c>
      <c r="G3060" t="s">
        <v>9801</v>
      </c>
      <c r="H3060" t="s">
        <v>3489</v>
      </c>
      <c r="I3060" t="s">
        <v>3490</v>
      </c>
      <c r="J3060" s="56">
        <f t="shared" si="141"/>
        <v>9</v>
      </c>
      <c r="K3060" s="74" t="str">
        <f t="shared" si="142"/>
        <v>4-30 Days</v>
      </c>
      <c r="L3060" s="58" t="str">
        <f t="shared" si="143"/>
        <v>Not Applicable</v>
      </c>
    </row>
    <row r="3061" spans="1:12" ht="16.5" customHeight="1" x14ac:dyDescent="0.35">
      <c r="A3061" t="s">
        <v>1795</v>
      </c>
      <c r="B3061" t="s">
        <v>1795</v>
      </c>
      <c r="C3061">
        <v>0</v>
      </c>
      <c r="D3061">
        <v>2650</v>
      </c>
      <c r="E3061" t="s">
        <v>9802</v>
      </c>
      <c r="F3061" t="s">
        <v>9802</v>
      </c>
      <c r="G3061" t="s">
        <v>9803</v>
      </c>
      <c r="H3061" t="s">
        <v>3489</v>
      </c>
      <c r="I3061" t="s">
        <v>3490</v>
      </c>
      <c r="J3061" s="56">
        <f t="shared" si="141"/>
        <v>9</v>
      </c>
      <c r="K3061" s="74" t="str">
        <f t="shared" si="142"/>
        <v>4-30 Days</v>
      </c>
      <c r="L3061" s="58" t="str">
        <f t="shared" si="143"/>
        <v>Not Applicable</v>
      </c>
    </row>
    <row r="3062" spans="1:12" ht="16.5" customHeight="1" x14ac:dyDescent="0.35">
      <c r="A3062" t="s">
        <v>1795</v>
      </c>
      <c r="B3062" t="s">
        <v>1795</v>
      </c>
      <c r="C3062">
        <v>2400</v>
      </c>
      <c r="D3062">
        <v>0</v>
      </c>
      <c r="E3062" t="s">
        <v>9804</v>
      </c>
      <c r="F3062" t="s">
        <v>9804</v>
      </c>
      <c r="G3062" t="s">
        <v>9805</v>
      </c>
      <c r="H3062" t="s">
        <v>3744</v>
      </c>
      <c r="I3062" t="s">
        <v>3486</v>
      </c>
      <c r="J3062" s="56">
        <f t="shared" si="141"/>
        <v>9</v>
      </c>
      <c r="K3062" s="74" t="str">
        <f t="shared" si="142"/>
        <v>4-30 Days</v>
      </c>
      <c r="L3062" s="58" t="str">
        <f t="shared" si="143"/>
        <v>Normal</v>
      </c>
    </row>
    <row r="3063" spans="1:12" ht="16.5" customHeight="1" x14ac:dyDescent="0.35">
      <c r="A3063" t="s">
        <v>1795</v>
      </c>
      <c r="B3063" t="s">
        <v>1795</v>
      </c>
      <c r="C3063">
        <v>0</v>
      </c>
      <c r="D3063">
        <v>2050</v>
      </c>
      <c r="E3063" t="s">
        <v>9806</v>
      </c>
      <c r="F3063" t="s">
        <v>9807</v>
      </c>
      <c r="G3063" t="s">
        <v>9808</v>
      </c>
      <c r="H3063" t="s">
        <v>3532</v>
      </c>
      <c r="I3063" t="s">
        <v>3490</v>
      </c>
      <c r="J3063" s="56">
        <f t="shared" si="141"/>
        <v>9</v>
      </c>
      <c r="K3063" s="74" t="str">
        <f t="shared" si="142"/>
        <v>4-30 Days</v>
      </c>
      <c r="L3063" s="58" t="str">
        <f t="shared" si="143"/>
        <v>Not Applicable</v>
      </c>
    </row>
    <row r="3064" spans="1:12" ht="16.5" customHeight="1" x14ac:dyDescent="0.35">
      <c r="A3064" t="s">
        <v>1795</v>
      </c>
      <c r="B3064" t="s">
        <v>1795</v>
      </c>
      <c r="C3064">
        <v>0</v>
      </c>
      <c r="D3064">
        <v>10816</v>
      </c>
      <c r="E3064" t="s">
        <v>9809</v>
      </c>
      <c r="F3064" t="s">
        <v>57</v>
      </c>
      <c r="G3064" t="s">
        <v>57</v>
      </c>
      <c r="H3064" t="s">
        <v>3914</v>
      </c>
      <c r="I3064" t="s">
        <v>3643</v>
      </c>
      <c r="J3064" s="56">
        <f t="shared" si="141"/>
        <v>9</v>
      </c>
      <c r="K3064" s="74" t="str">
        <f t="shared" si="142"/>
        <v>4-30 Days</v>
      </c>
      <c r="L3064" s="58" t="str">
        <f t="shared" si="143"/>
        <v>Not Applicable</v>
      </c>
    </row>
    <row r="3065" spans="1:12" ht="16.5" customHeight="1" x14ac:dyDescent="0.35">
      <c r="A3065" t="s">
        <v>1795</v>
      </c>
      <c r="B3065" t="s">
        <v>1795</v>
      </c>
      <c r="C3065">
        <v>0</v>
      </c>
      <c r="D3065">
        <v>2050</v>
      </c>
      <c r="E3065" t="s">
        <v>9810</v>
      </c>
      <c r="F3065" t="s">
        <v>9810</v>
      </c>
      <c r="G3065" t="s">
        <v>9811</v>
      </c>
      <c r="H3065" t="s">
        <v>3489</v>
      </c>
      <c r="I3065" t="s">
        <v>3490</v>
      </c>
      <c r="J3065" s="56">
        <f t="shared" si="141"/>
        <v>9</v>
      </c>
      <c r="K3065" s="74" t="str">
        <f t="shared" si="142"/>
        <v>4-30 Days</v>
      </c>
      <c r="L3065" s="58" t="str">
        <f t="shared" si="143"/>
        <v>Not Applicable</v>
      </c>
    </row>
    <row r="3066" spans="1:12" ht="16.5" customHeight="1" x14ac:dyDescent="0.35">
      <c r="A3066" t="s">
        <v>1795</v>
      </c>
      <c r="B3066" t="s">
        <v>1795</v>
      </c>
      <c r="C3066">
        <v>0</v>
      </c>
      <c r="D3066">
        <v>2050</v>
      </c>
      <c r="E3066" t="s">
        <v>9812</v>
      </c>
      <c r="F3066" t="s">
        <v>9812</v>
      </c>
      <c r="G3066" t="s">
        <v>9813</v>
      </c>
      <c r="H3066" t="s">
        <v>3489</v>
      </c>
      <c r="I3066" t="s">
        <v>3490</v>
      </c>
      <c r="J3066" s="56">
        <f t="shared" si="141"/>
        <v>9</v>
      </c>
      <c r="K3066" s="74" t="str">
        <f t="shared" si="142"/>
        <v>4-30 Days</v>
      </c>
      <c r="L3066" s="58" t="str">
        <f t="shared" si="143"/>
        <v>Not Applicable</v>
      </c>
    </row>
    <row r="3067" spans="1:12" ht="16.5" customHeight="1" x14ac:dyDescent="0.35">
      <c r="A3067" t="s">
        <v>1795</v>
      </c>
      <c r="B3067" t="s">
        <v>1795</v>
      </c>
      <c r="C3067">
        <v>0</v>
      </c>
      <c r="D3067">
        <v>2100</v>
      </c>
      <c r="E3067" t="s">
        <v>9814</v>
      </c>
      <c r="F3067" t="s">
        <v>9814</v>
      </c>
      <c r="G3067" t="s">
        <v>9815</v>
      </c>
      <c r="H3067" t="s">
        <v>3489</v>
      </c>
      <c r="I3067" t="s">
        <v>3490</v>
      </c>
      <c r="J3067" s="56">
        <f t="shared" si="141"/>
        <v>9</v>
      </c>
      <c r="K3067" s="74" t="str">
        <f t="shared" si="142"/>
        <v>4-30 Days</v>
      </c>
      <c r="L3067" s="58" t="str">
        <f t="shared" si="143"/>
        <v>Not Applicable</v>
      </c>
    </row>
    <row r="3068" spans="1:12" ht="16.5" customHeight="1" x14ac:dyDescent="0.35">
      <c r="A3068" t="s">
        <v>1795</v>
      </c>
      <c r="B3068" t="s">
        <v>1795</v>
      </c>
      <c r="C3068">
        <v>0</v>
      </c>
      <c r="D3068">
        <v>11843.66</v>
      </c>
      <c r="E3068" t="s">
        <v>9816</v>
      </c>
      <c r="F3068" t="s">
        <v>9816</v>
      </c>
      <c r="G3068" t="s">
        <v>9817</v>
      </c>
      <c r="H3068" t="s">
        <v>3489</v>
      </c>
      <c r="I3068" t="s">
        <v>3490</v>
      </c>
      <c r="J3068" s="56">
        <f t="shared" si="141"/>
        <v>9</v>
      </c>
      <c r="K3068" s="74" t="str">
        <f t="shared" si="142"/>
        <v>4-30 Days</v>
      </c>
      <c r="L3068" s="58" t="str">
        <f t="shared" si="143"/>
        <v>Not Applicable</v>
      </c>
    </row>
    <row r="3069" spans="1:12" ht="16.5" customHeight="1" x14ac:dyDescent="0.35">
      <c r="A3069" t="s">
        <v>1795</v>
      </c>
      <c r="B3069" t="s">
        <v>1795</v>
      </c>
      <c r="C3069">
        <v>0</v>
      </c>
      <c r="D3069">
        <v>50</v>
      </c>
      <c r="E3069" t="s">
        <v>9818</v>
      </c>
      <c r="F3069" t="s">
        <v>9819</v>
      </c>
      <c r="G3069" t="s">
        <v>9820</v>
      </c>
      <c r="H3069" t="s">
        <v>3489</v>
      </c>
      <c r="I3069" t="s">
        <v>3490</v>
      </c>
      <c r="J3069" s="56">
        <f t="shared" si="141"/>
        <v>9</v>
      </c>
      <c r="K3069" s="74" t="str">
        <f t="shared" si="142"/>
        <v>4-30 Days</v>
      </c>
      <c r="L3069" s="58" t="str">
        <f t="shared" si="143"/>
        <v>Not Applicable</v>
      </c>
    </row>
    <row r="3070" spans="1:12" ht="16.5" customHeight="1" x14ac:dyDescent="0.35">
      <c r="A3070" t="s">
        <v>1795</v>
      </c>
      <c r="B3070" t="s">
        <v>1795</v>
      </c>
      <c r="C3070">
        <v>0</v>
      </c>
      <c r="D3070">
        <v>600</v>
      </c>
      <c r="E3070" t="s">
        <v>9821</v>
      </c>
      <c r="F3070" t="s">
        <v>9822</v>
      </c>
      <c r="G3070" t="s">
        <v>9823</v>
      </c>
      <c r="H3070" t="s">
        <v>3532</v>
      </c>
      <c r="I3070" t="s">
        <v>3490</v>
      </c>
      <c r="J3070" s="56">
        <f t="shared" si="141"/>
        <v>9</v>
      </c>
      <c r="K3070" s="74" t="str">
        <f t="shared" si="142"/>
        <v>4-30 Days</v>
      </c>
      <c r="L3070" s="58" t="str">
        <f t="shared" si="143"/>
        <v>Not Applicable</v>
      </c>
    </row>
    <row r="3071" spans="1:12" ht="16.5" customHeight="1" x14ac:dyDescent="0.35">
      <c r="A3071" t="s">
        <v>1795</v>
      </c>
      <c r="B3071" t="s">
        <v>1795</v>
      </c>
      <c r="C3071">
        <v>0</v>
      </c>
      <c r="D3071">
        <v>1000</v>
      </c>
      <c r="E3071" t="s">
        <v>9824</v>
      </c>
      <c r="F3071" t="s">
        <v>9825</v>
      </c>
      <c r="G3071" t="s">
        <v>9826</v>
      </c>
      <c r="H3071" t="s">
        <v>3532</v>
      </c>
      <c r="I3071" t="s">
        <v>3490</v>
      </c>
      <c r="J3071" s="56">
        <f t="shared" si="141"/>
        <v>9</v>
      </c>
      <c r="K3071" s="74" t="str">
        <f t="shared" si="142"/>
        <v>4-30 Days</v>
      </c>
      <c r="L3071" s="58" t="str">
        <f t="shared" si="143"/>
        <v>Not Applicable</v>
      </c>
    </row>
    <row r="3072" spans="1:12" ht="16.5" customHeight="1" x14ac:dyDescent="0.35">
      <c r="A3072" t="s">
        <v>1795</v>
      </c>
      <c r="B3072" t="s">
        <v>1795</v>
      </c>
      <c r="C3072">
        <v>0</v>
      </c>
      <c r="D3072">
        <v>88</v>
      </c>
      <c r="E3072" t="s">
        <v>9827</v>
      </c>
      <c r="F3072" t="s">
        <v>9827</v>
      </c>
      <c r="G3072" t="s">
        <v>9828</v>
      </c>
      <c r="H3072" t="s">
        <v>3489</v>
      </c>
      <c r="I3072" t="s">
        <v>3490</v>
      </c>
      <c r="J3072" s="56">
        <f t="shared" si="141"/>
        <v>9</v>
      </c>
      <c r="K3072" s="74" t="str">
        <f t="shared" si="142"/>
        <v>4-30 Days</v>
      </c>
      <c r="L3072" s="58" t="str">
        <f t="shared" si="143"/>
        <v>Not Applicable</v>
      </c>
    </row>
    <row r="3073" spans="1:12" ht="16.5" customHeight="1" x14ac:dyDescent="0.35">
      <c r="A3073" t="s">
        <v>1823</v>
      </c>
      <c r="B3073" t="s">
        <v>1823</v>
      </c>
      <c r="C3073">
        <v>0</v>
      </c>
      <c r="D3073">
        <v>559</v>
      </c>
      <c r="E3073" t="s">
        <v>9829</v>
      </c>
      <c r="F3073" t="s">
        <v>9829</v>
      </c>
      <c r="G3073" t="s">
        <v>9830</v>
      </c>
      <c r="H3073" t="s">
        <v>3489</v>
      </c>
      <c r="I3073" t="s">
        <v>3490</v>
      </c>
      <c r="J3073" s="56">
        <f t="shared" si="141"/>
        <v>7</v>
      </c>
      <c r="K3073" s="74" t="str">
        <f t="shared" si="142"/>
        <v>4-30 Days</v>
      </c>
      <c r="L3073" s="58" t="str">
        <f t="shared" si="143"/>
        <v>Not Applicable</v>
      </c>
    </row>
    <row r="3074" spans="1:12" ht="16.5" customHeight="1" x14ac:dyDescent="0.35">
      <c r="A3074" t="s">
        <v>1823</v>
      </c>
      <c r="B3074" t="s">
        <v>1823</v>
      </c>
      <c r="C3074">
        <v>0</v>
      </c>
      <c r="D3074">
        <v>559</v>
      </c>
      <c r="E3074" t="s">
        <v>9831</v>
      </c>
      <c r="F3074" t="s">
        <v>9831</v>
      </c>
      <c r="G3074" t="s">
        <v>9832</v>
      </c>
      <c r="H3074" t="s">
        <v>3489</v>
      </c>
      <c r="I3074" t="s">
        <v>3490</v>
      </c>
      <c r="J3074" s="56">
        <f t="shared" si="141"/>
        <v>7</v>
      </c>
      <c r="K3074" s="74" t="str">
        <f t="shared" si="142"/>
        <v>4-30 Days</v>
      </c>
      <c r="L3074" s="58" t="str">
        <f t="shared" si="143"/>
        <v>Not Applicable</v>
      </c>
    </row>
    <row r="3075" spans="1:12" ht="16.5" customHeight="1" x14ac:dyDescent="0.35">
      <c r="A3075" t="s">
        <v>1823</v>
      </c>
      <c r="B3075" t="s">
        <v>1823</v>
      </c>
      <c r="C3075">
        <v>0</v>
      </c>
      <c r="D3075">
        <v>2050</v>
      </c>
      <c r="E3075" t="s">
        <v>9833</v>
      </c>
      <c r="F3075" t="s">
        <v>9833</v>
      </c>
      <c r="G3075" t="s">
        <v>9834</v>
      </c>
      <c r="H3075" t="s">
        <v>3489</v>
      </c>
      <c r="I3075" t="s">
        <v>3490</v>
      </c>
      <c r="J3075" s="56">
        <f t="shared" si="141"/>
        <v>7</v>
      </c>
      <c r="K3075" s="74" t="str">
        <f t="shared" si="142"/>
        <v>4-30 Days</v>
      </c>
      <c r="L3075" s="58" t="str">
        <f t="shared" si="143"/>
        <v>Not Applicable</v>
      </c>
    </row>
    <row r="3076" spans="1:12" ht="16.5" customHeight="1" x14ac:dyDescent="0.35">
      <c r="A3076" t="s">
        <v>1823</v>
      </c>
      <c r="B3076" t="s">
        <v>1823</v>
      </c>
      <c r="C3076">
        <v>0</v>
      </c>
      <c r="D3076">
        <v>3.54</v>
      </c>
      <c r="E3076" t="s">
        <v>9835</v>
      </c>
      <c r="F3076" t="s">
        <v>9836</v>
      </c>
      <c r="G3076" t="s">
        <v>9837</v>
      </c>
      <c r="H3076" t="s">
        <v>3532</v>
      </c>
      <c r="I3076" t="s">
        <v>3490</v>
      </c>
      <c r="J3076" s="56">
        <f t="shared" si="141"/>
        <v>7</v>
      </c>
      <c r="K3076" s="74" t="str">
        <f t="shared" si="142"/>
        <v>4-30 Days</v>
      </c>
      <c r="L3076" s="58" t="str">
        <f t="shared" si="143"/>
        <v>Not Applicable</v>
      </c>
    </row>
    <row r="3077" spans="1:12" ht="16.5" customHeight="1" x14ac:dyDescent="0.35">
      <c r="A3077" t="s">
        <v>1823</v>
      </c>
      <c r="B3077" t="s">
        <v>1823</v>
      </c>
      <c r="C3077">
        <v>14232253.970000001</v>
      </c>
      <c r="D3077">
        <v>0</v>
      </c>
      <c r="E3077" t="s">
        <v>9838</v>
      </c>
      <c r="F3077" t="s">
        <v>9838</v>
      </c>
      <c r="G3077" t="s">
        <v>9839</v>
      </c>
      <c r="H3077" t="s">
        <v>3455</v>
      </c>
      <c r="I3077" t="s">
        <v>3486</v>
      </c>
      <c r="J3077" s="56">
        <f t="shared" si="141"/>
        <v>7</v>
      </c>
      <c r="K3077" s="74" t="str">
        <f t="shared" si="142"/>
        <v>4-30 Days</v>
      </c>
      <c r="L3077" s="58" t="str">
        <f t="shared" si="143"/>
        <v>Normal</v>
      </c>
    </row>
    <row r="3078" spans="1:12" ht="16.5" customHeight="1" x14ac:dyDescent="0.35">
      <c r="A3078" t="s">
        <v>1823</v>
      </c>
      <c r="B3078" t="s">
        <v>1823</v>
      </c>
      <c r="C3078">
        <v>0</v>
      </c>
      <c r="D3078">
        <v>8352.4</v>
      </c>
      <c r="E3078" t="s">
        <v>9840</v>
      </c>
      <c r="F3078" t="s">
        <v>3574</v>
      </c>
      <c r="G3078" t="s">
        <v>9841</v>
      </c>
      <c r="H3078" t="s">
        <v>3489</v>
      </c>
      <c r="I3078" t="s">
        <v>3490</v>
      </c>
      <c r="J3078" s="56">
        <f t="shared" si="141"/>
        <v>7</v>
      </c>
      <c r="K3078" s="74" t="str">
        <f t="shared" si="142"/>
        <v>4-30 Days</v>
      </c>
      <c r="L3078" s="58" t="str">
        <f t="shared" si="143"/>
        <v>Not Applicable</v>
      </c>
    </row>
    <row r="3079" spans="1:12" ht="16.5" customHeight="1" x14ac:dyDescent="0.35">
      <c r="A3079" t="s">
        <v>1823</v>
      </c>
      <c r="B3079" t="s">
        <v>1823</v>
      </c>
      <c r="C3079">
        <v>0</v>
      </c>
      <c r="D3079">
        <v>2076</v>
      </c>
      <c r="E3079" t="s">
        <v>9842</v>
      </c>
      <c r="F3079" t="s">
        <v>9842</v>
      </c>
      <c r="G3079" t="s">
        <v>9843</v>
      </c>
      <c r="H3079" t="s">
        <v>3489</v>
      </c>
      <c r="I3079" t="s">
        <v>3490</v>
      </c>
      <c r="J3079" s="56">
        <f t="shared" si="141"/>
        <v>7</v>
      </c>
      <c r="K3079" s="74" t="str">
        <f t="shared" si="142"/>
        <v>4-30 Days</v>
      </c>
      <c r="L3079" s="58" t="str">
        <f t="shared" si="143"/>
        <v>Not Applicable</v>
      </c>
    </row>
    <row r="3080" spans="1:12" ht="16.5" customHeight="1" x14ac:dyDescent="0.35">
      <c r="A3080" t="s">
        <v>1823</v>
      </c>
      <c r="B3080" t="s">
        <v>1823</v>
      </c>
      <c r="C3080">
        <v>0</v>
      </c>
      <c r="D3080">
        <v>600</v>
      </c>
      <c r="E3080" t="s">
        <v>9844</v>
      </c>
      <c r="F3080" t="s">
        <v>9844</v>
      </c>
      <c r="G3080" t="s">
        <v>9845</v>
      </c>
      <c r="H3080" t="s">
        <v>3489</v>
      </c>
      <c r="I3080" t="s">
        <v>3490</v>
      </c>
      <c r="J3080" s="56">
        <f t="shared" si="141"/>
        <v>7</v>
      </c>
      <c r="K3080" s="74" t="str">
        <f t="shared" si="142"/>
        <v>4-30 Days</v>
      </c>
      <c r="L3080" s="58" t="str">
        <f t="shared" si="143"/>
        <v>Not Applicable</v>
      </c>
    </row>
    <row r="3081" spans="1:12" ht="16.5" customHeight="1" x14ac:dyDescent="0.35">
      <c r="A3081" t="s">
        <v>1823</v>
      </c>
      <c r="B3081" t="s">
        <v>1823</v>
      </c>
      <c r="C3081">
        <v>0</v>
      </c>
      <c r="D3081">
        <v>177</v>
      </c>
      <c r="E3081" t="s">
        <v>9846</v>
      </c>
      <c r="F3081" t="s">
        <v>9847</v>
      </c>
      <c r="G3081" t="s">
        <v>9848</v>
      </c>
      <c r="H3081" t="s">
        <v>3532</v>
      </c>
      <c r="I3081" t="s">
        <v>3490</v>
      </c>
      <c r="J3081" s="56">
        <f t="shared" ref="J3081:J3144" si="144">IF(A3081="","",A$5-A3081)</f>
        <v>7</v>
      </c>
      <c r="K3081" s="74" t="str">
        <f t="shared" ref="K3081:K3144" si="145">IF(J3081="","",IF(J3081&lt;4,"0-3 Days",IF(J3081&lt;31,"4-30 Days",IF(J3081&lt;61,"31-60 Days",IF(J3081&lt;=90,"61-90 Days",IF(J3081&gt;90,"Above 90 Days","0"))))))</f>
        <v>4-30 Days</v>
      </c>
      <c r="L3081" s="58" t="str">
        <f t="shared" ref="L3081:L3144" si="146">IF(C3081="","",IF(C3081&gt;0,IF(J3081&lt;30,"Normal",IF(J3081&lt;60,"Especially Mentioned",IF(J3081&lt;90,"Substandard",IF(J3081&lt;=180,"Doubtful",IF(J3081&gt;180,"Loss","0"))))),"Not Applicable"))</f>
        <v>Not Applicable</v>
      </c>
    </row>
    <row r="3082" spans="1:12" ht="16.5" customHeight="1" x14ac:dyDescent="0.35">
      <c r="A3082" t="s">
        <v>1823</v>
      </c>
      <c r="B3082" t="s">
        <v>1823</v>
      </c>
      <c r="C3082">
        <v>5568907.0300000003</v>
      </c>
      <c r="D3082">
        <v>0</v>
      </c>
      <c r="E3082" t="s">
        <v>9849</v>
      </c>
      <c r="F3082" t="s">
        <v>9849</v>
      </c>
      <c r="G3082" t="s">
        <v>9850</v>
      </c>
      <c r="H3082" t="s">
        <v>3455</v>
      </c>
      <c r="I3082" t="s">
        <v>3486</v>
      </c>
      <c r="J3082" s="56">
        <f t="shared" si="144"/>
        <v>7</v>
      </c>
      <c r="K3082" s="74" t="str">
        <f t="shared" si="145"/>
        <v>4-30 Days</v>
      </c>
      <c r="L3082" s="58" t="str">
        <f t="shared" si="146"/>
        <v>Normal</v>
      </c>
    </row>
    <row r="3083" spans="1:12" ht="16.5" customHeight="1" x14ac:dyDescent="0.35">
      <c r="A3083" t="s">
        <v>1823</v>
      </c>
      <c r="B3083" t="s">
        <v>1823</v>
      </c>
      <c r="C3083">
        <v>1113780.94</v>
      </c>
      <c r="D3083">
        <v>0</v>
      </c>
      <c r="E3083" t="s">
        <v>9851</v>
      </c>
      <c r="F3083" t="s">
        <v>9851</v>
      </c>
      <c r="G3083" t="s">
        <v>9852</v>
      </c>
      <c r="H3083" t="s">
        <v>3455</v>
      </c>
      <c r="I3083" t="s">
        <v>3486</v>
      </c>
      <c r="J3083" s="56">
        <f t="shared" si="144"/>
        <v>7</v>
      </c>
      <c r="K3083" s="74" t="str">
        <f t="shared" si="145"/>
        <v>4-30 Days</v>
      </c>
      <c r="L3083" s="58" t="str">
        <f t="shared" si="146"/>
        <v>Normal</v>
      </c>
    </row>
    <row r="3084" spans="1:12" ht="16.5" customHeight="1" x14ac:dyDescent="0.35">
      <c r="A3084" t="s">
        <v>1823</v>
      </c>
      <c r="B3084" t="s">
        <v>1823</v>
      </c>
      <c r="C3084">
        <v>0</v>
      </c>
      <c r="D3084">
        <v>16375</v>
      </c>
      <c r="E3084" t="s">
        <v>9853</v>
      </c>
      <c r="F3084" t="s">
        <v>9854</v>
      </c>
      <c r="G3084" t="s">
        <v>9855</v>
      </c>
      <c r="H3084" t="s">
        <v>3532</v>
      </c>
      <c r="I3084" t="s">
        <v>3490</v>
      </c>
      <c r="J3084" s="56">
        <f t="shared" si="144"/>
        <v>7</v>
      </c>
      <c r="K3084" s="74" t="str">
        <f t="shared" si="145"/>
        <v>4-30 Days</v>
      </c>
      <c r="L3084" s="58" t="str">
        <f t="shared" si="146"/>
        <v>Not Applicable</v>
      </c>
    </row>
    <row r="3085" spans="1:12" ht="16.5" customHeight="1" x14ac:dyDescent="0.35">
      <c r="A3085" t="s">
        <v>1823</v>
      </c>
      <c r="B3085" t="s">
        <v>1823</v>
      </c>
      <c r="C3085">
        <v>0</v>
      </c>
      <c r="D3085">
        <v>600</v>
      </c>
      <c r="E3085" t="s">
        <v>9856</v>
      </c>
      <c r="F3085" t="s">
        <v>9857</v>
      </c>
      <c r="G3085" t="s">
        <v>9858</v>
      </c>
      <c r="H3085" t="s">
        <v>3532</v>
      </c>
      <c r="I3085" t="s">
        <v>3490</v>
      </c>
      <c r="J3085" s="56">
        <f t="shared" si="144"/>
        <v>7</v>
      </c>
      <c r="K3085" s="74" t="str">
        <f t="shared" si="145"/>
        <v>4-30 Days</v>
      </c>
      <c r="L3085" s="58" t="str">
        <f t="shared" si="146"/>
        <v>Not Applicable</v>
      </c>
    </row>
    <row r="3086" spans="1:12" ht="16.5" customHeight="1" x14ac:dyDescent="0.35">
      <c r="A3086" t="s">
        <v>1823</v>
      </c>
      <c r="B3086" t="s">
        <v>1823</v>
      </c>
      <c r="C3086">
        <v>2965052.77</v>
      </c>
      <c r="D3086">
        <v>0</v>
      </c>
      <c r="E3086" t="s">
        <v>9859</v>
      </c>
      <c r="F3086" t="s">
        <v>9859</v>
      </c>
      <c r="G3086" t="s">
        <v>9860</v>
      </c>
      <c r="H3086" t="s">
        <v>3455</v>
      </c>
      <c r="I3086" t="s">
        <v>3486</v>
      </c>
      <c r="J3086" s="56">
        <f t="shared" si="144"/>
        <v>7</v>
      </c>
      <c r="K3086" s="74" t="str">
        <f t="shared" si="145"/>
        <v>4-30 Days</v>
      </c>
      <c r="L3086" s="58" t="str">
        <f t="shared" si="146"/>
        <v>Normal</v>
      </c>
    </row>
    <row r="3087" spans="1:12" ht="16.5" customHeight="1" x14ac:dyDescent="0.35">
      <c r="A3087" t="s">
        <v>1823</v>
      </c>
      <c r="B3087" t="s">
        <v>1823</v>
      </c>
      <c r="C3087">
        <v>0</v>
      </c>
      <c r="D3087">
        <v>5312</v>
      </c>
      <c r="E3087" t="s">
        <v>9861</v>
      </c>
      <c r="F3087" t="s">
        <v>3574</v>
      </c>
      <c r="G3087" t="s">
        <v>9862</v>
      </c>
      <c r="H3087" t="s">
        <v>3489</v>
      </c>
      <c r="I3087" t="s">
        <v>3490</v>
      </c>
      <c r="J3087" s="56">
        <f t="shared" si="144"/>
        <v>7</v>
      </c>
      <c r="K3087" s="74" t="str">
        <f t="shared" si="145"/>
        <v>4-30 Days</v>
      </c>
      <c r="L3087" s="58" t="str">
        <f t="shared" si="146"/>
        <v>Not Applicable</v>
      </c>
    </row>
    <row r="3088" spans="1:12" ht="16.5" customHeight="1" x14ac:dyDescent="0.35">
      <c r="A3088" t="s">
        <v>1823</v>
      </c>
      <c r="B3088" t="s">
        <v>1823</v>
      </c>
      <c r="C3088">
        <v>1691816.36</v>
      </c>
      <c r="D3088">
        <v>0</v>
      </c>
      <c r="E3088" t="s">
        <v>9863</v>
      </c>
      <c r="F3088" t="s">
        <v>9863</v>
      </c>
      <c r="G3088" t="s">
        <v>9864</v>
      </c>
      <c r="H3088" t="s">
        <v>3455</v>
      </c>
      <c r="I3088" t="s">
        <v>3486</v>
      </c>
      <c r="J3088" s="56">
        <f t="shared" si="144"/>
        <v>7</v>
      </c>
      <c r="K3088" s="74" t="str">
        <f t="shared" si="145"/>
        <v>4-30 Days</v>
      </c>
      <c r="L3088" s="58" t="str">
        <f t="shared" si="146"/>
        <v>Normal</v>
      </c>
    </row>
    <row r="3089" spans="1:12" ht="16.5" customHeight="1" x14ac:dyDescent="0.35">
      <c r="A3089" t="s">
        <v>1823</v>
      </c>
      <c r="B3089" t="s">
        <v>1823</v>
      </c>
      <c r="C3089">
        <v>0</v>
      </c>
      <c r="D3089">
        <v>100</v>
      </c>
      <c r="E3089" t="s">
        <v>9865</v>
      </c>
      <c r="F3089" t="s">
        <v>9865</v>
      </c>
      <c r="G3089" t="s">
        <v>9866</v>
      </c>
      <c r="H3089" t="s">
        <v>3489</v>
      </c>
      <c r="I3089" t="s">
        <v>3490</v>
      </c>
      <c r="J3089" s="56">
        <f t="shared" si="144"/>
        <v>7</v>
      </c>
      <c r="K3089" s="74" t="str">
        <f t="shared" si="145"/>
        <v>4-30 Days</v>
      </c>
      <c r="L3089" s="58" t="str">
        <f t="shared" si="146"/>
        <v>Not Applicable</v>
      </c>
    </row>
    <row r="3090" spans="1:12" ht="16.5" customHeight="1" x14ac:dyDescent="0.35">
      <c r="A3090" t="s">
        <v>1823</v>
      </c>
      <c r="B3090" t="s">
        <v>1823</v>
      </c>
      <c r="C3090">
        <v>0</v>
      </c>
      <c r="D3090">
        <v>3333.33</v>
      </c>
      <c r="E3090" t="s">
        <v>9867</v>
      </c>
      <c r="F3090" t="s">
        <v>9867</v>
      </c>
      <c r="G3090" t="s">
        <v>9868</v>
      </c>
      <c r="H3090" t="s">
        <v>3489</v>
      </c>
      <c r="I3090" t="s">
        <v>3486</v>
      </c>
      <c r="J3090" s="56">
        <f t="shared" si="144"/>
        <v>7</v>
      </c>
      <c r="K3090" s="74" t="str">
        <f t="shared" si="145"/>
        <v>4-30 Days</v>
      </c>
      <c r="L3090" s="58" t="str">
        <f t="shared" si="146"/>
        <v>Not Applicable</v>
      </c>
    </row>
    <row r="3091" spans="1:12" ht="16.5" customHeight="1" x14ac:dyDescent="0.35">
      <c r="A3091" t="s">
        <v>1823</v>
      </c>
      <c r="B3091" t="s">
        <v>1823</v>
      </c>
      <c r="C3091">
        <v>0</v>
      </c>
      <c r="D3091">
        <v>3650</v>
      </c>
      <c r="E3091" t="s">
        <v>9869</v>
      </c>
      <c r="F3091" t="s">
        <v>3499</v>
      </c>
      <c r="G3091" t="s">
        <v>9870</v>
      </c>
      <c r="H3091" t="s">
        <v>3489</v>
      </c>
      <c r="I3091" t="s">
        <v>3490</v>
      </c>
      <c r="J3091" s="56">
        <f t="shared" si="144"/>
        <v>7</v>
      </c>
      <c r="K3091" s="74" t="str">
        <f t="shared" si="145"/>
        <v>4-30 Days</v>
      </c>
      <c r="L3091" s="58" t="str">
        <f t="shared" si="146"/>
        <v>Not Applicable</v>
      </c>
    </row>
    <row r="3092" spans="1:12" ht="16.5" customHeight="1" x14ac:dyDescent="0.35">
      <c r="A3092" t="s">
        <v>1823</v>
      </c>
      <c r="B3092" t="s">
        <v>1823</v>
      </c>
      <c r="C3092">
        <v>1186020.8799999999</v>
      </c>
      <c r="D3092">
        <v>0</v>
      </c>
      <c r="E3092" t="s">
        <v>9871</v>
      </c>
      <c r="F3092" t="s">
        <v>9871</v>
      </c>
      <c r="G3092" t="s">
        <v>9872</v>
      </c>
      <c r="H3092" t="s">
        <v>3455</v>
      </c>
      <c r="I3092" t="s">
        <v>3486</v>
      </c>
      <c r="J3092" s="56">
        <f t="shared" si="144"/>
        <v>7</v>
      </c>
      <c r="K3092" s="74" t="str">
        <f t="shared" si="145"/>
        <v>4-30 Days</v>
      </c>
      <c r="L3092" s="58" t="str">
        <f t="shared" si="146"/>
        <v>Normal</v>
      </c>
    </row>
    <row r="3093" spans="1:12" ht="16.5" customHeight="1" x14ac:dyDescent="0.35">
      <c r="A3093" t="s">
        <v>1823</v>
      </c>
      <c r="B3093" t="s">
        <v>1823</v>
      </c>
      <c r="C3093">
        <v>0</v>
      </c>
      <c r="D3093">
        <v>3333.33</v>
      </c>
      <c r="E3093" t="s">
        <v>9873</v>
      </c>
      <c r="F3093" t="s">
        <v>9873</v>
      </c>
      <c r="G3093" t="s">
        <v>9874</v>
      </c>
      <c r="H3093" t="s">
        <v>3489</v>
      </c>
      <c r="I3093" t="s">
        <v>3486</v>
      </c>
      <c r="J3093" s="56">
        <f t="shared" si="144"/>
        <v>7</v>
      </c>
      <c r="K3093" s="74" t="str">
        <f t="shared" si="145"/>
        <v>4-30 Days</v>
      </c>
      <c r="L3093" s="58" t="str">
        <f t="shared" si="146"/>
        <v>Not Applicable</v>
      </c>
    </row>
    <row r="3094" spans="1:12" ht="16.5" customHeight="1" x14ac:dyDescent="0.35">
      <c r="A3094" t="s">
        <v>1823</v>
      </c>
      <c r="B3094" t="s">
        <v>1823</v>
      </c>
      <c r="C3094">
        <v>0</v>
      </c>
      <c r="D3094">
        <v>283.2</v>
      </c>
      <c r="E3094" t="s">
        <v>9875</v>
      </c>
      <c r="F3094" t="s">
        <v>9876</v>
      </c>
      <c r="G3094" t="s">
        <v>9877</v>
      </c>
      <c r="H3094" t="s">
        <v>3532</v>
      </c>
      <c r="I3094" t="s">
        <v>3490</v>
      </c>
      <c r="J3094" s="56">
        <f t="shared" si="144"/>
        <v>7</v>
      </c>
      <c r="K3094" s="74" t="str">
        <f t="shared" si="145"/>
        <v>4-30 Days</v>
      </c>
      <c r="L3094" s="58" t="str">
        <f t="shared" si="146"/>
        <v>Not Applicable</v>
      </c>
    </row>
    <row r="3095" spans="1:12" ht="16.5" customHeight="1" x14ac:dyDescent="0.35">
      <c r="A3095" t="s">
        <v>1823</v>
      </c>
      <c r="B3095" t="s">
        <v>1823</v>
      </c>
      <c r="C3095">
        <v>0</v>
      </c>
      <c r="D3095">
        <v>106.2</v>
      </c>
      <c r="E3095" t="s">
        <v>9878</v>
      </c>
      <c r="F3095" t="s">
        <v>9879</v>
      </c>
      <c r="G3095" t="s">
        <v>9880</v>
      </c>
      <c r="H3095" t="s">
        <v>3532</v>
      </c>
      <c r="I3095" t="s">
        <v>3490</v>
      </c>
      <c r="J3095" s="56">
        <f t="shared" si="144"/>
        <v>7</v>
      </c>
      <c r="K3095" s="74" t="str">
        <f t="shared" si="145"/>
        <v>4-30 Days</v>
      </c>
      <c r="L3095" s="58" t="str">
        <f t="shared" si="146"/>
        <v>Not Applicable</v>
      </c>
    </row>
    <row r="3096" spans="1:12" ht="16.5" customHeight="1" x14ac:dyDescent="0.35">
      <c r="A3096" t="s">
        <v>1823</v>
      </c>
      <c r="B3096" t="s">
        <v>1823</v>
      </c>
      <c r="C3096">
        <v>0</v>
      </c>
      <c r="D3096">
        <v>53962.3</v>
      </c>
      <c r="E3096" t="s">
        <v>9881</v>
      </c>
      <c r="F3096" t="s">
        <v>9882</v>
      </c>
      <c r="G3096" t="s">
        <v>9883</v>
      </c>
      <c r="H3096" t="s">
        <v>3532</v>
      </c>
      <c r="I3096" t="s">
        <v>3490</v>
      </c>
      <c r="J3096" s="56">
        <f t="shared" si="144"/>
        <v>7</v>
      </c>
      <c r="K3096" s="74" t="str">
        <f t="shared" si="145"/>
        <v>4-30 Days</v>
      </c>
      <c r="L3096" s="58" t="str">
        <f t="shared" si="146"/>
        <v>Not Applicable</v>
      </c>
    </row>
    <row r="3097" spans="1:12" ht="16.5" customHeight="1" x14ac:dyDescent="0.35">
      <c r="A3097" t="s">
        <v>1823</v>
      </c>
      <c r="B3097" t="s">
        <v>1823</v>
      </c>
      <c r="C3097">
        <v>0</v>
      </c>
      <c r="D3097">
        <v>35199.78</v>
      </c>
      <c r="E3097" t="s">
        <v>9884</v>
      </c>
      <c r="F3097" t="s">
        <v>9884</v>
      </c>
      <c r="G3097" t="s">
        <v>9885</v>
      </c>
      <c r="H3097" t="s">
        <v>3489</v>
      </c>
      <c r="I3097" t="s">
        <v>3490</v>
      </c>
      <c r="J3097" s="56">
        <f t="shared" si="144"/>
        <v>7</v>
      </c>
      <c r="K3097" s="74" t="str">
        <f t="shared" si="145"/>
        <v>4-30 Days</v>
      </c>
      <c r="L3097" s="58" t="str">
        <f t="shared" si="146"/>
        <v>Not Applicable</v>
      </c>
    </row>
    <row r="3098" spans="1:12" ht="16.5" customHeight="1" x14ac:dyDescent="0.35">
      <c r="A3098" t="s">
        <v>1823</v>
      </c>
      <c r="B3098" t="s">
        <v>1823</v>
      </c>
      <c r="C3098">
        <v>0</v>
      </c>
      <c r="D3098">
        <v>100</v>
      </c>
      <c r="E3098" t="s">
        <v>9886</v>
      </c>
      <c r="F3098" t="s">
        <v>9886</v>
      </c>
      <c r="G3098" t="s">
        <v>9887</v>
      </c>
      <c r="H3098" t="s">
        <v>3489</v>
      </c>
      <c r="I3098" t="s">
        <v>3490</v>
      </c>
      <c r="J3098" s="56">
        <f t="shared" si="144"/>
        <v>7</v>
      </c>
      <c r="K3098" s="74" t="str">
        <f t="shared" si="145"/>
        <v>4-30 Days</v>
      </c>
      <c r="L3098" s="58" t="str">
        <f t="shared" si="146"/>
        <v>Not Applicable</v>
      </c>
    </row>
    <row r="3099" spans="1:12" ht="16.5" customHeight="1" x14ac:dyDescent="0.35">
      <c r="A3099" t="s">
        <v>1823</v>
      </c>
      <c r="B3099" t="s">
        <v>1823</v>
      </c>
      <c r="C3099">
        <v>0</v>
      </c>
      <c r="D3099">
        <v>1960</v>
      </c>
      <c r="E3099" t="s">
        <v>9888</v>
      </c>
      <c r="F3099" t="s">
        <v>9888</v>
      </c>
      <c r="G3099" t="s">
        <v>9889</v>
      </c>
      <c r="H3099" t="s">
        <v>3489</v>
      </c>
      <c r="I3099" t="s">
        <v>3490</v>
      </c>
      <c r="J3099" s="56">
        <f t="shared" si="144"/>
        <v>7</v>
      </c>
      <c r="K3099" s="74" t="str">
        <f t="shared" si="145"/>
        <v>4-30 Days</v>
      </c>
      <c r="L3099" s="58" t="str">
        <f t="shared" si="146"/>
        <v>Not Applicable</v>
      </c>
    </row>
    <row r="3100" spans="1:12" ht="16.5" customHeight="1" x14ac:dyDescent="0.35">
      <c r="A3100" t="s">
        <v>1823</v>
      </c>
      <c r="B3100" t="s">
        <v>1823</v>
      </c>
      <c r="C3100">
        <v>0</v>
      </c>
      <c r="D3100">
        <v>313214.59999999998</v>
      </c>
      <c r="E3100" t="s">
        <v>9890</v>
      </c>
      <c r="F3100" t="s">
        <v>9891</v>
      </c>
      <c r="G3100" t="s">
        <v>9892</v>
      </c>
      <c r="H3100" t="s">
        <v>3489</v>
      </c>
      <c r="I3100" t="s">
        <v>3490</v>
      </c>
      <c r="J3100" s="56">
        <f t="shared" si="144"/>
        <v>7</v>
      </c>
      <c r="K3100" s="74" t="str">
        <f t="shared" si="145"/>
        <v>4-30 Days</v>
      </c>
      <c r="L3100" s="58" t="str">
        <f t="shared" si="146"/>
        <v>Not Applicable</v>
      </c>
    </row>
    <row r="3101" spans="1:12" ht="16.5" customHeight="1" x14ac:dyDescent="0.35">
      <c r="A3101" t="s">
        <v>1823</v>
      </c>
      <c r="B3101" t="s">
        <v>1823</v>
      </c>
      <c r="C3101">
        <v>0</v>
      </c>
      <c r="D3101">
        <v>600</v>
      </c>
      <c r="E3101" t="s">
        <v>9893</v>
      </c>
      <c r="F3101" t="s">
        <v>9893</v>
      </c>
      <c r="G3101" t="s">
        <v>9894</v>
      </c>
      <c r="H3101" t="s">
        <v>3489</v>
      </c>
      <c r="I3101" t="s">
        <v>3490</v>
      </c>
      <c r="J3101" s="56">
        <f t="shared" si="144"/>
        <v>7</v>
      </c>
      <c r="K3101" s="74" t="str">
        <f t="shared" si="145"/>
        <v>4-30 Days</v>
      </c>
      <c r="L3101" s="58" t="str">
        <f t="shared" si="146"/>
        <v>Not Applicable</v>
      </c>
    </row>
    <row r="3102" spans="1:12" ht="16.5" customHeight="1" x14ac:dyDescent="0.35">
      <c r="A3102" t="s">
        <v>1823</v>
      </c>
      <c r="B3102" t="s">
        <v>1823</v>
      </c>
      <c r="C3102">
        <v>0</v>
      </c>
      <c r="D3102">
        <v>35840</v>
      </c>
      <c r="E3102" t="s">
        <v>9895</v>
      </c>
      <c r="F3102" t="s">
        <v>9896</v>
      </c>
      <c r="G3102" t="s">
        <v>9897</v>
      </c>
      <c r="H3102" t="s">
        <v>3638</v>
      </c>
      <c r="I3102" t="s">
        <v>3486</v>
      </c>
      <c r="J3102" s="56">
        <f t="shared" si="144"/>
        <v>7</v>
      </c>
      <c r="K3102" s="74" t="str">
        <f t="shared" si="145"/>
        <v>4-30 Days</v>
      </c>
      <c r="L3102" s="58" t="str">
        <f t="shared" si="146"/>
        <v>Not Applicable</v>
      </c>
    </row>
    <row r="3103" spans="1:12" ht="16.5" customHeight="1" x14ac:dyDescent="0.35">
      <c r="A3103" t="s">
        <v>1823</v>
      </c>
      <c r="B3103" t="s">
        <v>1823</v>
      </c>
      <c r="C3103">
        <v>0</v>
      </c>
      <c r="D3103">
        <v>3363.28</v>
      </c>
      <c r="E3103" t="s">
        <v>9898</v>
      </c>
      <c r="F3103" t="s">
        <v>9898</v>
      </c>
      <c r="G3103" t="s">
        <v>9899</v>
      </c>
      <c r="H3103" t="s">
        <v>3489</v>
      </c>
      <c r="I3103" t="s">
        <v>3490</v>
      </c>
      <c r="J3103" s="56">
        <f t="shared" si="144"/>
        <v>7</v>
      </c>
      <c r="K3103" s="74" t="str">
        <f t="shared" si="145"/>
        <v>4-30 Days</v>
      </c>
      <c r="L3103" s="58" t="str">
        <f t="shared" si="146"/>
        <v>Not Applicable</v>
      </c>
    </row>
    <row r="3104" spans="1:12" ht="16.5" customHeight="1" x14ac:dyDescent="0.35">
      <c r="A3104" t="s">
        <v>1823</v>
      </c>
      <c r="B3104" t="s">
        <v>1823</v>
      </c>
      <c r="C3104">
        <v>0</v>
      </c>
      <c r="D3104">
        <v>354</v>
      </c>
      <c r="E3104" t="s">
        <v>9900</v>
      </c>
      <c r="F3104" t="s">
        <v>9901</v>
      </c>
      <c r="G3104" t="s">
        <v>9902</v>
      </c>
      <c r="H3104" t="s">
        <v>3532</v>
      </c>
      <c r="I3104" t="s">
        <v>3490</v>
      </c>
      <c r="J3104" s="56">
        <f t="shared" si="144"/>
        <v>7</v>
      </c>
      <c r="K3104" s="74" t="str">
        <f t="shared" si="145"/>
        <v>4-30 Days</v>
      </c>
      <c r="L3104" s="58" t="str">
        <f t="shared" si="146"/>
        <v>Not Applicable</v>
      </c>
    </row>
    <row r="3105" spans="1:12" ht="16.5" customHeight="1" x14ac:dyDescent="0.35">
      <c r="A3105" t="s">
        <v>1823</v>
      </c>
      <c r="B3105" t="s">
        <v>1823</v>
      </c>
      <c r="C3105">
        <v>1779031.89</v>
      </c>
      <c r="D3105">
        <v>0</v>
      </c>
      <c r="E3105" t="s">
        <v>9903</v>
      </c>
      <c r="F3105" t="s">
        <v>9903</v>
      </c>
      <c r="G3105" t="s">
        <v>9904</v>
      </c>
      <c r="H3105" t="s">
        <v>3455</v>
      </c>
      <c r="I3105" t="s">
        <v>3486</v>
      </c>
      <c r="J3105" s="56">
        <f t="shared" si="144"/>
        <v>7</v>
      </c>
      <c r="K3105" s="74" t="str">
        <f t="shared" si="145"/>
        <v>4-30 Days</v>
      </c>
      <c r="L3105" s="58" t="str">
        <f t="shared" si="146"/>
        <v>Normal</v>
      </c>
    </row>
    <row r="3106" spans="1:12" ht="16.5" customHeight="1" x14ac:dyDescent="0.35">
      <c r="A3106" t="s">
        <v>1823</v>
      </c>
      <c r="B3106" t="s">
        <v>1823</v>
      </c>
      <c r="C3106">
        <v>100000</v>
      </c>
      <c r="D3106">
        <v>0</v>
      </c>
      <c r="E3106" t="s">
        <v>9905</v>
      </c>
      <c r="F3106" t="s">
        <v>9905</v>
      </c>
      <c r="G3106" t="s">
        <v>9906</v>
      </c>
      <c r="H3106" t="s">
        <v>6230</v>
      </c>
      <c r="I3106" t="s">
        <v>3486</v>
      </c>
      <c r="J3106" s="56">
        <f t="shared" si="144"/>
        <v>7</v>
      </c>
      <c r="K3106" s="74" t="str">
        <f t="shared" si="145"/>
        <v>4-30 Days</v>
      </c>
      <c r="L3106" s="58" t="str">
        <f t="shared" si="146"/>
        <v>Normal</v>
      </c>
    </row>
    <row r="3107" spans="1:12" ht="16.5" customHeight="1" x14ac:dyDescent="0.35">
      <c r="A3107" t="s">
        <v>1823</v>
      </c>
      <c r="B3107" t="s">
        <v>1823</v>
      </c>
      <c r="C3107">
        <v>0</v>
      </c>
      <c r="D3107">
        <v>110000</v>
      </c>
      <c r="E3107" t="s">
        <v>9907</v>
      </c>
      <c r="F3107" t="s">
        <v>9908</v>
      </c>
      <c r="G3107" t="s">
        <v>9909</v>
      </c>
      <c r="H3107" t="s">
        <v>3489</v>
      </c>
      <c r="I3107" t="s">
        <v>3490</v>
      </c>
      <c r="J3107" s="56">
        <f t="shared" si="144"/>
        <v>7</v>
      </c>
      <c r="K3107" s="74" t="str">
        <f t="shared" si="145"/>
        <v>4-30 Days</v>
      </c>
      <c r="L3107" s="58" t="str">
        <f t="shared" si="146"/>
        <v>Not Applicable</v>
      </c>
    </row>
    <row r="3108" spans="1:12" ht="16.5" customHeight="1" x14ac:dyDescent="0.35">
      <c r="A3108" t="s">
        <v>1823</v>
      </c>
      <c r="B3108" t="s">
        <v>1823</v>
      </c>
      <c r="C3108">
        <v>0</v>
      </c>
      <c r="D3108">
        <v>1840</v>
      </c>
      <c r="E3108" t="s">
        <v>9910</v>
      </c>
      <c r="F3108" t="s">
        <v>9910</v>
      </c>
      <c r="G3108" t="s">
        <v>9911</v>
      </c>
      <c r="H3108" t="s">
        <v>3489</v>
      </c>
      <c r="I3108" t="s">
        <v>3490</v>
      </c>
      <c r="J3108" s="56">
        <f t="shared" si="144"/>
        <v>7</v>
      </c>
      <c r="K3108" s="74" t="str">
        <f t="shared" si="145"/>
        <v>4-30 Days</v>
      </c>
      <c r="L3108" s="58" t="str">
        <f t="shared" si="146"/>
        <v>Not Applicable</v>
      </c>
    </row>
    <row r="3109" spans="1:12" ht="16.5" customHeight="1" x14ac:dyDescent="0.35">
      <c r="A3109" t="s">
        <v>1823</v>
      </c>
      <c r="B3109" t="s">
        <v>1823</v>
      </c>
      <c r="C3109">
        <v>0</v>
      </c>
      <c r="D3109">
        <v>360.61</v>
      </c>
      <c r="E3109" t="s">
        <v>9912</v>
      </c>
      <c r="F3109" t="s">
        <v>6373</v>
      </c>
      <c r="G3109" t="s">
        <v>9913</v>
      </c>
      <c r="H3109" t="s">
        <v>3638</v>
      </c>
      <c r="I3109" t="s">
        <v>3486</v>
      </c>
      <c r="J3109" s="56">
        <f t="shared" si="144"/>
        <v>7</v>
      </c>
      <c r="K3109" s="74" t="str">
        <f t="shared" si="145"/>
        <v>4-30 Days</v>
      </c>
      <c r="L3109" s="58" t="str">
        <f t="shared" si="146"/>
        <v>Not Applicable</v>
      </c>
    </row>
    <row r="3110" spans="1:12" ht="16.5" customHeight="1" x14ac:dyDescent="0.35">
      <c r="A3110" t="s">
        <v>1823</v>
      </c>
      <c r="B3110" t="s">
        <v>1823</v>
      </c>
      <c r="C3110">
        <v>0</v>
      </c>
      <c r="D3110">
        <v>2064</v>
      </c>
      <c r="E3110" t="s">
        <v>9914</v>
      </c>
      <c r="F3110" t="s">
        <v>9914</v>
      </c>
      <c r="G3110" t="s">
        <v>9915</v>
      </c>
      <c r="H3110" t="s">
        <v>3489</v>
      </c>
      <c r="I3110" t="s">
        <v>3490</v>
      </c>
      <c r="J3110" s="56">
        <f t="shared" si="144"/>
        <v>7</v>
      </c>
      <c r="K3110" s="74" t="str">
        <f t="shared" si="145"/>
        <v>4-30 Days</v>
      </c>
      <c r="L3110" s="58" t="str">
        <f t="shared" si="146"/>
        <v>Not Applicable</v>
      </c>
    </row>
    <row r="3111" spans="1:12" ht="16.5" customHeight="1" x14ac:dyDescent="0.35">
      <c r="A3111" t="s">
        <v>1823</v>
      </c>
      <c r="B3111" t="s">
        <v>1823</v>
      </c>
      <c r="C3111">
        <v>0</v>
      </c>
      <c r="D3111">
        <v>995.22</v>
      </c>
      <c r="E3111" t="s">
        <v>9916</v>
      </c>
      <c r="F3111" t="s">
        <v>9916</v>
      </c>
      <c r="G3111" t="s">
        <v>9917</v>
      </c>
      <c r="H3111" t="s">
        <v>3489</v>
      </c>
      <c r="I3111" t="s">
        <v>3486</v>
      </c>
      <c r="J3111" s="56">
        <f t="shared" si="144"/>
        <v>7</v>
      </c>
      <c r="K3111" s="74" t="str">
        <f t="shared" si="145"/>
        <v>4-30 Days</v>
      </c>
      <c r="L3111" s="58" t="str">
        <f t="shared" si="146"/>
        <v>Not Applicable</v>
      </c>
    </row>
    <row r="3112" spans="1:12" ht="16.5" customHeight="1" x14ac:dyDescent="0.35">
      <c r="A3112" t="s">
        <v>1823</v>
      </c>
      <c r="B3112" t="s">
        <v>1823</v>
      </c>
      <c r="C3112">
        <v>0</v>
      </c>
      <c r="D3112">
        <v>1500</v>
      </c>
      <c r="E3112" t="s">
        <v>9918</v>
      </c>
      <c r="F3112" t="s">
        <v>9918</v>
      </c>
      <c r="G3112" t="s">
        <v>9919</v>
      </c>
      <c r="H3112" t="s">
        <v>3489</v>
      </c>
      <c r="I3112" t="s">
        <v>3507</v>
      </c>
      <c r="J3112" s="56">
        <f t="shared" si="144"/>
        <v>7</v>
      </c>
      <c r="K3112" s="74" t="str">
        <f t="shared" si="145"/>
        <v>4-30 Days</v>
      </c>
      <c r="L3112" s="58" t="str">
        <f t="shared" si="146"/>
        <v>Not Applicable</v>
      </c>
    </row>
    <row r="3113" spans="1:12" ht="16.5" customHeight="1" x14ac:dyDescent="0.35">
      <c r="A3113" t="s">
        <v>1823</v>
      </c>
      <c r="B3113" t="s">
        <v>1823</v>
      </c>
      <c r="C3113">
        <v>0</v>
      </c>
      <c r="D3113">
        <v>12400</v>
      </c>
      <c r="E3113" t="s">
        <v>9920</v>
      </c>
      <c r="F3113" t="s">
        <v>9920</v>
      </c>
      <c r="G3113" t="s">
        <v>9921</v>
      </c>
      <c r="H3113" t="s">
        <v>3489</v>
      </c>
      <c r="I3113" t="s">
        <v>3507</v>
      </c>
      <c r="J3113" s="56">
        <f t="shared" si="144"/>
        <v>7</v>
      </c>
      <c r="K3113" s="74" t="str">
        <f t="shared" si="145"/>
        <v>4-30 Days</v>
      </c>
      <c r="L3113" s="58" t="str">
        <f t="shared" si="146"/>
        <v>Not Applicable</v>
      </c>
    </row>
    <row r="3114" spans="1:12" ht="16.5" customHeight="1" x14ac:dyDescent="0.35">
      <c r="A3114" t="s">
        <v>1823</v>
      </c>
      <c r="B3114" t="s">
        <v>1823</v>
      </c>
      <c r="C3114">
        <v>0</v>
      </c>
      <c r="D3114">
        <v>3480</v>
      </c>
      <c r="E3114" t="s">
        <v>9922</v>
      </c>
      <c r="F3114" t="s">
        <v>9922</v>
      </c>
      <c r="G3114" t="s">
        <v>9923</v>
      </c>
      <c r="H3114" t="s">
        <v>3489</v>
      </c>
      <c r="I3114" t="s">
        <v>3507</v>
      </c>
      <c r="J3114" s="56">
        <f t="shared" si="144"/>
        <v>7</v>
      </c>
      <c r="K3114" s="74" t="str">
        <f t="shared" si="145"/>
        <v>4-30 Days</v>
      </c>
      <c r="L3114" s="58" t="str">
        <f t="shared" si="146"/>
        <v>Not Applicable</v>
      </c>
    </row>
    <row r="3115" spans="1:12" ht="16.5" customHeight="1" x14ac:dyDescent="0.35">
      <c r="A3115" t="s">
        <v>1823</v>
      </c>
      <c r="B3115" t="s">
        <v>1823</v>
      </c>
      <c r="C3115">
        <v>0</v>
      </c>
      <c r="D3115">
        <v>212.4</v>
      </c>
      <c r="E3115" t="s">
        <v>9924</v>
      </c>
      <c r="F3115" t="s">
        <v>9925</v>
      </c>
      <c r="G3115" t="s">
        <v>9926</v>
      </c>
      <c r="H3115" t="s">
        <v>3532</v>
      </c>
      <c r="I3115" t="s">
        <v>3490</v>
      </c>
      <c r="J3115" s="56">
        <f t="shared" si="144"/>
        <v>7</v>
      </c>
      <c r="K3115" s="74" t="str">
        <f t="shared" si="145"/>
        <v>4-30 Days</v>
      </c>
      <c r="L3115" s="58" t="str">
        <f t="shared" si="146"/>
        <v>Not Applicable</v>
      </c>
    </row>
    <row r="3116" spans="1:12" ht="16.5" customHeight="1" x14ac:dyDescent="0.35">
      <c r="A3116" t="s">
        <v>1823</v>
      </c>
      <c r="B3116" t="s">
        <v>1823</v>
      </c>
      <c r="C3116">
        <v>0</v>
      </c>
      <c r="D3116">
        <v>2076</v>
      </c>
      <c r="E3116" t="s">
        <v>9927</v>
      </c>
      <c r="F3116" t="s">
        <v>9927</v>
      </c>
      <c r="G3116" t="s">
        <v>9928</v>
      </c>
      <c r="H3116" t="s">
        <v>3489</v>
      </c>
      <c r="I3116" t="s">
        <v>3490</v>
      </c>
      <c r="J3116" s="56">
        <f t="shared" si="144"/>
        <v>7</v>
      </c>
      <c r="K3116" s="74" t="str">
        <f t="shared" si="145"/>
        <v>4-30 Days</v>
      </c>
      <c r="L3116" s="58" t="str">
        <f t="shared" si="146"/>
        <v>Not Applicable</v>
      </c>
    </row>
    <row r="3117" spans="1:12" ht="16.5" customHeight="1" x14ac:dyDescent="0.35">
      <c r="A3117" t="s">
        <v>1823</v>
      </c>
      <c r="B3117" t="s">
        <v>1823</v>
      </c>
      <c r="C3117">
        <v>0</v>
      </c>
      <c r="D3117">
        <v>1000</v>
      </c>
      <c r="E3117" t="s">
        <v>9929</v>
      </c>
      <c r="F3117" t="s">
        <v>9929</v>
      </c>
      <c r="G3117" t="s">
        <v>9930</v>
      </c>
      <c r="H3117" t="s">
        <v>3489</v>
      </c>
      <c r="I3117" t="s">
        <v>3490</v>
      </c>
      <c r="J3117" s="56">
        <f t="shared" si="144"/>
        <v>7</v>
      </c>
      <c r="K3117" s="74" t="str">
        <f t="shared" si="145"/>
        <v>4-30 Days</v>
      </c>
      <c r="L3117" s="58" t="str">
        <f t="shared" si="146"/>
        <v>Not Applicable</v>
      </c>
    </row>
    <row r="3118" spans="1:12" ht="16.5" customHeight="1" x14ac:dyDescent="0.35">
      <c r="A3118" t="s">
        <v>1823</v>
      </c>
      <c r="B3118" t="s">
        <v>1823</v>
      </c>
      <c r="C3118">
        <v>0</v>
      </c>
      <c r="D3118">
        <v>1700</v>
      </c>
      <c r="E3118" t="s">
        <v>9931</v>
      </c>
      <c r="F3118" t="s">
        <v>9931</v>
      </c>
      <c r="G3118" t="s">
        <v>9932</v>
      </c>
      <c r="H3118" t="s">
        <v>3489</v>
      </c>
      <c r="I3118" t="s">
        <v>3490</v>
      </c>
      <c r="J3118" s="56">
        <f t="shared" si="144"/>
        <v>7</v>
      </c>
      <c r="K3118" s="74" t="str">
        <f t="shared" si="145"/>
        <v>4-30 Days</v>
      </c>
      <c r="L3118" s="58" t="str">
        <f t="shared" si="146"/>
        <v>Not Applicable</v>
      </c>
    </row>
    <row r="3119" spans="1:12" ht="16.5" customHeight="1" x14ac:dyDescent="0.35">
      <c r="A3119" t="s">
        <v>1823</v>
      </c>
      <c r="B3119" t="s">
        <v>1823</v>
      </c>
      <c r="C3119">
        <v>0</v>
      </c>
      <c r="D3119">
        <v>4712</v>
      </c>
      <c r="E3119" t="s">
        <v>9933</v>
      </c>
      <c r="F3119" t="s">
        <v>4578</v>
      </c>
      <c r="G3119" t="s">
        <v>9934</v>
      </c>
      <c r="H3119" t="s">
        <v>3489</v>
      </c>
      <c r="I3119" t="s">
        <v>3486</v>
      </c>
      <c r="J3119" s="56">
        <f t="shared" si="144"/>
        <v>7</v>
      </c>
      <c r="K3119" s="74" t="str">
        <f t="shared" si="145"/>
        <v>4-30 Days</v>
      </c>
      <c r="L3119" s="58" t="str">
        <f t="shared" si="146"/>
        <v>Not Applicable</v>
      </c>
    </row>
    <row r="3120" spans="1:12" ht="16.5" customHeight="1" x14ac:dyDescent="0.35">
      <c r="A3120" t="s">
        <v>1823</v>
      </c>
      <c r="B3120" t="s">
        <v>1823</v>
      </c>
      <c r="C3120">
        <v>0</v>
      </c>
      <c r="D3120">
        <v>35050</v>
      </c>
      <c r="E3120" t="s">
        <v>9935</v>
      </c>
      <c r="F3120" t="s">
        <v>57</v>
      </c>
      <c r="G3120" t="s">
        <v>57</v>
      </c>
      <c r="H3120" t="s">
        <v>3914</v>
      </c>
      <c r="I3120" t="s">
        <v>3643</v>
      </c>
      <c r="J3120" s="56">
        <f t="shared" si="144"/>
        <v>7</v>
      </c>
      <c r="K3120" s="74" t="str">
        <f t="shared" si="145"/>
        <v>4-30 Days</v>
      </c>
      <c r="L3120" s="58" t="str">
        <f t="shared" si="146"/>
        <v>Not Applicable</v>
      </c>
    </row>
    <row r="3121" spans="1:12" ht="16.5" customHeight="1" x14ac:dyDescent="0.35">
      <c r="A3121" t="s">
        <v>1823</v>
      </c>
      <c r="B3121" t="s">
        <v>1823</v>
      </c>
      <c r="C3121">
        <v>0</v>
      </c>
      <c r="D3121">
        <v>2650</v>
      </c>
      <c r="E3121" t="s">
        <v>9936</v>
      </c>
      <c r="F3121" t="s">
        <v>9936</v>
      </c>
      <c r="G3121" t="s">
        <v>9937</v>
      </c>
      <c r="H3121" t="s">
        <v>3489</v>
      </c>
      <c r="I3121" t="s">
        <v>3490</v>
      </c>
      <c r="J3121" s="56">
        <f t="shared" si="144"/>
        <v>7</v>
      </c>
      <c r="K3121" s="74" t="str">
        <f t="shared" si="145"/>
        <v>4-30 Days</v>
      </c>
      <c r="L3121" s="58" t="str">
        <f t="shared" si="146"/>
        <v>Not Applicable</v>
      </c>
    </row>
    <row r="3122" spans="1:12" ht="16.5" customHeight="1" x14ac:dyDescent="0.35">
      <c r="A3122" t="s">
        <v>1823</v>
      </c>
      <c r="B3122" t="s">
        <v>1823</v>
      </c>
      <c r="C3122">
        <v>2727848.36</v>
      </c>
      <c r="D3122">
        <v>0</v>
      </c>
      <c r="E3122" t="s">
        <v>9938</v>
      </c>
      <c r="F3122" t="s">
        <v>9938</v>
      </c>
      <c r="G3122" t="s">
        <v>9939</v>
      </c>
      <c r="H3122" t="s">
        <v>3455</v>
      </c>
      <c r="I3122" t="s">
        <v>3486</v>
      </c>
      <c r="J3122" s="56">
        <f t="shared" si="144"/>
        <v>7</v>
      </c>
      <c r="K3122" s="74" t="str">
        <f t="shared" si="145"/>
        <v>4-30 Days</v>
      </c>
      <c r="L3122" s="58" t="str">
        <f t="shared" si="146"/>
        <v>Normal</v>
      </c>
    </row>
    <row r="3123" spans="1:12" ht="16.5" customHeight="1" x14ac:dyDescent="0.35">
      <c r="A3123" t="s">
        <v>1823</v>
      </c>
      <c r="B3123" t="s">
        <v>1823</v>
      </c>
      <c r="C3123">
        <v>0</v>
      </c>
      <c r="D3123">
        <v>26530</v>
      </c>
      <c r="E3123" t="s">
        <v>9940</v>
      </c>
      <c r="F3123" t="s">
        <v>3574</v>
      </c>
      <c r="G3123" t="s">
        <v>9941</v>
      </c>
      <c r="H3123" t="s">
        <v>3489</v>
      </c>
      <c r="I3123" t="s">
        <v>3490</v>
      </c>
      <c r="J3123" s="56">
        <f t="shared" si="144"/>
        <v>7</v>
      </c>
      <c r="K3123" s="74" t="str">
        <f t="shared" si="145"/>
        <v>4-30 Days</v>
      </c>
      <c r="L3123" s="58" t="str">
        <f t="shared" si="146"/>
        <v>Not Applicable</v>
      </c>
    </row>
    <row r="3124" spans="1:12" ht="16.5" customHeight="1" x14ac:dyDescent="0.35">
      <c r="A3124" t="s">
        <v>1823</v>
      </c>
      <c r="B3124" t="s">
        <v>1823</v>
      </c>
      <c r="C3124">
        <v>0</v>
      </c>
      <c r="D3124">
        <v>70.8</v>
      </c>
      <c r="E3124" t="s">
        <v>9942</v>
      </c>
      <c r="F3124" t="s">
        <v>9943</v>
      </c>
      <c r="G3124" t="s">
        <v>9944</v>
      </c>
      <c r="H3124" t="s">
        <v>3532</v>
      </c>
      <c r="I3124" t="s">
        <v>3490</v>
      </c>
      <c r="J3124" s="56">
        <f t="shared" si="144"/>
        <v>7</v>
      </c>
      <c r="K3124" s="74" t="str">
        <f t="shared" si="145"/>
        <v>4-30 Days</v>
      </c>
      <c r="L3124" s="58" t="str">
        <f t="shared" si="146"/>
        <v>Not Applicable</v>
      </c>
    </row>
    <row r="3125" spans="1:12" ht="16.5" customHeight="1" x14ac:dyDescent="0.35">
      <c r="A3125" t="s">
        <v>1823</v>
      </c>
      <c r="B3125" t="s">
        <v>1823</v>
      </c>
      <c r="C3125">
        <v>0</v>
      </c>
      <c r="D3125">
        <v>214362.4</v>
      </c>
      <c r="E3125" t="s">
        <v>9945</v>
      </c>
      <c r="F3125" t="s">
        <v>3574</v>
      </c>
      <c r="G3125" t="s">
        <v>9946</v>
      </c>
      <c r="H3125" t="s">
        <v>3489</v>
      </c>
      <c r="I3125" t="s">
        <v>3490</v>
      </c>
      <c r="J3125" s="56">
        <f t="shared" si="144"/>
        <v>7</v>
      </c>
      <c r="K3125" s="74" t="str">
        <f t="shared" si="145"/>
        <v>4-30 Days</v>
      </c>
      <c r="L3125" s="58" t="str">
        <f t="shared" si="146"/>
        <v>Not Applicable</v>
      </c>
    </row>
    <row r="3126" spans="1:12" ht="16.5" customHeight="1" x14ac:dyDescent="0.35">
      <c r="A3126" t="s">
        <v>1823</v>
      </c>
      <c r="B3126" t="s">
        <v>1823</v>
      </c>
      <c r="C3126">
        <v>0</v>
      </c>
      <c r="D3126">
        <v>3.54</v>
      </c>
      <c r="E3126" t="s">
        <v>9947</v>
      </c>
      <c r="F3126" t="s">
        <v>9948</v>
      </c>
      <c r="G3126" t="s">
        <v>9949</v>
      </c>
      <c r="H3126" t="s">
        <v>3532</v>
      </c>
      <c r="I3126" t="s">
        <v>3490</v>
      </c>
      <c r="J3126" s="56">
        <f t="shared" si="144"/>
        <v>7</v>
      </c>
      <c r="K3126" s="74" t="str">
        <f t="shared" si="145"/>
        <v>4-30 Days</v>
      </c>
      <c r="L3126" s="58" t="str">
        <f t="shared" si="146"/>
        <v>Not Applicable</v>
      </c>
    </row>
    <row r="3127" spans="1:12" ht="16.5" customHeight="1" x14ac:dyDescent="0.35">
      <c r="A3127" t="s">
        <v>1823</v>
      </c>
      <c r="B3127" t="s">
        <v>1823</v>
      </c>
      <c r="C3127">
        <v>0</v>
      </c>
      <c r="D3127">
        <v>250</v>
      </c>
      <c r="E3127" t="s">
        <v>9950</v>
      </c>
      <c r="F3127" t="s">
        <v>9950</v>
      </c>
      <c r="G3127" t="s">
        <v>9951</v>
      </c>
      <c r="H3127" t="s">
        <v>3489</v>
      </c>
      <c r="I3127" t="s">
        <v>3490</v>
      </c>
      <c r="J3127" s="56">
        <f t="shared" si="144"/>
        <v>7</v>
      </c>
      <c r="K3127" s="74" t="str">
        <f t="shared" si="145"/>
        <v>4-30 Days</v>
      </c>
      <c r="L3127" s="58" t="str">
        <f t="shared" si="146"/>
        <v>Not Applicable</v>
      </c>
    </row>
    <row r="3128" spans="1:12" ht="16.5" customHeight="1" x14ac:dyDescent="0.35">
      <c r="A3128" t="s">
        <v>1823</v>
      </c>
      <c r="B3128" t="s">
        <v>1823</v>
      </c>
      <c r="C3128">
        <v>0</v>
      </c>
      <c r="D3128">
        <v>318706.06</v>
      </c>
      <c r="E3128" t="s">
        <v>9952</v>
      </c>
      <c r="F3128" t="s">
        <v>9952</v>
      </c>
      <c r="G3128" t="s">
        <v>9953</v>
      </c>
      <c r="H3128" t="s">
        <v>3489</v>
      </c>
      <c r="I3128" t="s">
        <v>3490</v>
      </c>
      <c r="J3128" s="56">
        <f t="shared" si="144"/>
        <v>7</v>
      </c>
      <c r="K3128" s="74" t="str">
        <f t="shared" si="145"/>
        <v>4-30 Days</v>
      </c>
      <c r="L3128" s="58" t="str">
        <f t="shared" si="146"/>
        <v>Not Applicable</v>
      </c>
    </row>
    <row r="3129" spans="1:12" ht="16.5" customHeight="1" x14ac:dyDescent="0.35">
      <c r="A3129" t="s">
        <v>1877</v>
      </c>
      <c r="B3129" t="s">
        <v>1877</v>
      </c>
      <c r="C3129">
        <v>0</v>
      </c>
      <c r="D3129">
        <v>155.56</v>
      </c>
      <c r="E3129" t="s">
        <v>9954</v>
      </c>
      <c r="F3129" t="s">
        <v>9954</v>
      </c>
      <c r="G3129" t="s">
        <v>9955</v>
      </c>
      <c r="H3129" t="s">
        <v>3489</v>
      </c>
      <c r="I3129" t="s">
        <v>3486</v>
      </c>
      <c r="J3129" s="56">
        <f t="shared" si="144"/>
        <v>6</v>
      </c>
      <c r="K3129" s="74" t="str">
        <f t="shared" si="145"/>
        <v>4-30 Days</v>
      </c>
      <c r="L3129" s="58" t="str">
        <f t="shared" si="146"/>
        <v>Not Applicable</v>
      </c>
    </row>
    <row r="3130" spans="1:12" ht="16.5" customHeight="1" x14ac:dyDescent="0.35">
      <c r="A3130" t="s">
        <v>1877</v>
      </c>
      <c r="B3130" t="s">
        <v>1877</v>
      </c>
      <c r="C3130">
        <v>0</v>
      </c>
      <c r="D3130">
        <v>250</v>
      </c>
      <c r="E3130" t="s">
        <v>9956</v>
      </c>
      <c r="F3130" t="s">
        <v>9956</v>
      </c>
      <c r="G3130" t="s">
        <v>9957</v>
      </c>
      <c r="H3130" t="s">
        <v>3489</v>
      </c>
      <c r="I3130" t="s">
        <v>3490</v>
      </c>
      <c r="J3130" s="56">
        <f t="shared" si="144"/>
        <v>6</v>
      </c>
      <c r="K3130" s="74" t="str">
        <f t="shared" si="145"/>
        <v>4-30 Days</v>
      </c>
      <c r="L3130" s="58" t="str">
        <f t="shared" si="146"/>
        <v>Not Applicable</v>
      </c>
    </row>
    <row r="3131" spans="1:12" ht="16.5" customHeight="1" x14ac:dyDescent="0.35">
      <c r="A3131" t="s">
        <v>1877</v>
      </c>
      <c r="B3131" t="s">
        <v>1877</v>
      </c>
      <c r="C3131">
        <v>0</v>
      </c>
      <c r="D3131">
        <v>120</v>
      </c>
      <c r="E3131" t="s">
        <v>9958</v>
      </c>
      <c r="F3131" t="s">
        <v>6293</v>
      </c>
      <c r="G3131" t="s">
        <v>9959</v>
      </c>
      <c r="H3131" t="s">
        <v>3489</v>
      </c>
      <c r="I3131" t="s">
        <v>3486</v>
      </c>
      <c r="J3131" s="56">
        <f t="shared" si="144"/>
        <v>6</v>
      </c>
      <c r="K3131" s="74" t="str">
        <f t="shared" si="145"/>
        <v>4-30 Days</v>
      </c>
      <c r="L3131" s="58" t="str">
        <f t="shared" si="146"/>
        <v>Not Applicable</v>
      </c>
    </row>
    <row r="3132" spans="1:12" ht="16.5" customHeight="1" x14ac:dyDescent="0.35">
      <c r="A3132" t="s">
        <v>1877</v>
      </c>
      <c r="B3132" t="s">
        <v>1877</v>
      </c>
      <c r="C3132">
        <v>15000000</v>
      </c>
      <c r="D3132">
        <v>0</v>
      </c>
      <c r="E3132" t="s">
        <v>9960</v>
      </c>
      <c r="F3132" t="s">
        <v>9960</v>
      </c>
      <c r="G3132" t="s">
        <v>9961</v>
      </c>
      <c r="H3132" t="s">
        <v>4262</v>
      </c>
      <c r="I3132" t="s">
        <v>3486</v>
      </c>
      <c r="J3132" s="56">
        <f t="shared" si="144"/>
        <v>6</v>
      </c>
      <c r="K3132" s="74" t="str">
        <f t="shared" si="145"/>
        <v>4-30 Days</v>
      </c>
      <c r="L3132" s="58" t="str">
        <f t="shared" si="146"/>
        <v>Normal</v>
      </c>
    </row>
    <row r="3133" spans="1:12" ht="16.5" customHeight="1" x14ac:dyDescent="0.35">
      <c r="A3133" t="s">
        <v>1877</v>
      </c>
      <c r="B3133" t="s">
        <v>1877</v>
      </c>
      <c r="C3133">
        <v>0</v>
      </c>
      <c r="D3133">
        <v>50</v>
      </c>
      <c r="E3133" t="s">
        <v>9962</v>
      </c>
      <c r="F3133" t="s">
        <v>9963</v>
      </c>
      <c r="G3133" t="s">
        <v>9964</v>
      </c>
      <c r="H3133" t="s">
        <v>3532</v>
      </c>
      <c r="I3133" t="s">
        <v>3490</v>
      </c>
      <c r="J3133" s="56">
        <f t="shared" si="144"/>
        <v>6</v>
      </c>
      <c r="K3133" s="74" t="str">
        <f t="shared" si="145"/>
        <v>4-30 Days</v>
      </c>
      <c r="L3133" s="58" t="str">
        <f t="shared" si="146"/>
        <v>Not Applicable</v>
      </c>
    </row>
    <row r="3134" spans="1:12" ht="16.5" customHeight="1" x14ac:dyDescent="0.35">
      <c r="A3134" t="s">
        <v>1877</v>
      </c>
      <c r="B3134" t="s">
        <v>1877</v>
      </c>
      <c r="C3134">
        <v>0</v>
      </c>
      <c r="D3134">
        <v>239684.15</v>
      </c>
      <c r="E3134" t="s">
        <v>9965</v>
      </c>
      <c r="F3134" t="s">
        <v>9965</v>
      </c>
      <c r="G3134" t="s">
        <v>9966</v>
      </c>
      <c r="H3134" t="s">
        <v>3489</v>
      </c>
      <c r="I3134" t="s">
        <v>3490</v>
      </c>
      <c r="J3134" s="56">
        <f t="shared" si="144"/>
        <v>6</v>
      </c>
      <c r="K3134" s="74" t="str">
        <f t="shared" si="145"/>
        <v>4-30 Days</v>
      </c>
      <c r="L3134" s="58" t="str">
        <f t="shared" si="146"/>
        <v>Not Applicable</v>
      </c>
    </row>
    <row r="3135" spans="1:12" ht="16.5" customHeight="1" x14ac:dyDescent="0.35">
      <c r="A3135" t="s">
        <v>1877</v>
      </c>
      <c r="B3135" t="s">
        <v>1877</v>
      </c>
      <c r="C3135">
        <v>0</v>
      </c>
      <c r="D3135">
        <v>250</v>
      </c>
      <c r="E3135" t="s">
        <v>9967</v>
      </c>
      <c r="F3135" t="s">
        <v>9968</v>
      </c>
      <c r="G3135" t="s">
        <v>9969</v>
      </c>
      <c r="H3135" t="s">
        <v>3532</v>
      </c>
      <c r="I3135" t="s">
        <v>3490</v>
      </c>
      <c r="J3135" s="56">
        <f t="shared" si="144"/>
        <v>6</v>
      </c>
      <c r="K3135" s="74" t="str">
        <f t="shared" si="145"/>
        <v>4-30 Days</v>
      </c>
      <c r="L3135" s="58" t="str">
        <f t="shared" si="146"/>
        <v>Not Applicable</v>
      </c>
    </row>
    <row r="3136" spans="1:12" ht="16.5" customHeight="1" x14ac:dyDescent="0.35">
      <c r="A3136" t="s">
        <v>1877</v>
      </c>
      <c r="B3136" t="s">
        <v>1877</v>
      </c>
      <c r="C3136">
        <v>0</v>
      </c>
      <c r="D3136">
        <v>778.8</v>
      </c>
      <c r="E3136" t="s">
        <v>9970</v>
      </c>
      <c r="F3136" t="s">
        <v>9971</v>
      </c>
      <c r="G3136" t="s">
        <v>9972</v>
      </c>
      <c r="H3136" t="s">
        <v>3532</v>
      </c>
      <c r="I3136" t="s">
        <v>3490</v>
      </c>
      <c r="J3136" s="56">
        <f t="shared" si="144"/>
        <v>6</v>
      </c>
      <c r="K3136" s="74" t="str">
        <f t="shared" si="145"/>
        <v>4-30 Days</v>
      </c>
      <c r="L3136" s="58" t="str">
        <f t="shared" si="146"/>
        <v>Not Applicable</v>
      </c>
    </row>
    <row r="3137" spans="1:12" ht="16.5" customHeight="1" x14ac:dyDescent="0.35">
      <c r="A3137" t="s">
        <v>1877</v>
      </c>
      <c r="B3137" t="s">
        <v>1877</v>
      </c>
      <c r="C3137">
        <v>0</v>
      </c>
      <c r="D3137">
        <v>2105</v>
      </c>
      <c r="E3137" t="s">
        <v>9973</v>
      </c>
      <c r="F3137" t="s">
        <v>9973</v>
      </c>
      <c r="G3137" t="s">
        <v>9974</v>
      </c>
      <c r="H3137" t="s">
        <v>3489</v>
      </c>
      <c r="I3137" t="s">
        <v>3490</v>
      </c>
      <c r="J3137" s="56">
        <f t="shared" si="144"/>
        <v>6</v>
      </c>
      <c r="K3137" s="74" t="str">
        <f t="shared" si="145"/>
        <v>4-30 Days</v>
      </c>
      <c r="L3137" s="58" t="str">
        <f t="shared" si="146"/>
        <v>Not Applicable</v>
      </c>
    </row>
    <row r="3138" spans="1:12" ht="16.5" customHeight="1" x14ac:dyDescent="0.35">
      <c r="A3138" t="s">
        <v>1877</v>
      </c>
      <c r="B3138" t="s">
        <v>1877</v>
      </c>
      <c r="C3138">
        <v>0</v>
      </c>
      <c r="D3138">
        <v>258.61</v>
      </c>
      <c r="E3138" t="s">
        <v>9975</v>
      </c>
      <c r="F3138" t="s">
        <v>4578</v>
      </c>
      <c r="G3138" t="s">
        <v>9976</v>
      </c>
      <c r="H3138" t="s">
        <v>3489</v>
      </c>
      <c r="I3138" t="s">
        <v>3486</v>
      </c>
      <c r="J3138" s="56">
        <f t="shared" si="144"/>
        <v>6</v>
      </c>
      <c r="K3138" s="74" t="str">
        <f t="shared" si="145"/>
        <v>4-30 Days</v>
      </c>
      <c r="L3138" s="58" t="str">
        <f t="shared" si="146"/>
        <v>Not Applicable</v>
      </c>
    </row>
    <row r="3139" spans="1:12" ht="16.5" customHeight="1" x14ac:dyDescent="0.35">
      <c r="A3139" t="s">
        <v>1877</v>
      </c>
      <c r="B3139" t="s">
        <v>1877</v>
      </c>
      <c r="C3139">
        <v>0</v>
      </c>
      <c r="D3139">
        <v>700</v>
      </c>
      <c r="E3139" t="s">
        <v>9977</v>
      </c>
      <c r="F3139" t="s">
        <v>9978</v>
      </c>
      <c r="G3139" t="s">
        <v>9979</v>
      </c>
      <c r="H3139" t="s">
        <v>3532</v>
      </c>
      <c r="I3139" t="s">
        <v>3490</v>
      </c>
      <c r="J3139" s="56">
        <f t="shared" si="144"/>
        <v>6</v>
      </c>
      <c r="K3139" s="74" t="str">
        <f t="shared" si="145"/>
        <v>4-30 Days</v>
      </c>
      <c r="L3139" s="58" t="str">
        <f t="shared" si="146"/>
        <v>Not Applicable</v>
      </c>
    </row>
    <row r="3140" spans="1:12" ht="16.5" customHeight="1" x14ac:dyDescent="0.35">
      <c r="A3140" t="s">
        <v>1877</v>
      </c>
      <c r="B3140" t="s">
        <v>1877</v>
      </c>
      <c r="C3140">
        <v>0</v>
      </c>
      <c r="D3140">
        <v>250</v>
      </c>
      <c r="E3140" t="s">
        <v>9980</v>
      </c>
      <c r="F3140" t="s">
        <v>9980</v>
      </c>
      <c r="G3140" t="s">
        <v>9981</v>
      </c>
      <c r="H3140" t="s">
        <v>3489</v>
      </c>
      <c r="I3140" t="s">
        <v>3490</v>
      </c>
      <c r="J3140" s="56">
        <f t="shared" si="144"/>
        <v>6</v>
      </c>
      <c r="K3140" s="74" t="str">
        <f t="shared" si="145"/>
        <v>4-30 Days</v>
      </c>
      <c r="L3140" s="58" t="str">
        <f t="shared" si="146"/>
        <v>Not Applicable</v>
      </c>
    </row>
    <row r="3141" spans="1:12" ht="16.5" customHeight="1" x14ac:dyDescent="0.35">
      <c r="A3141" t="s">
        <v>1877</v>
      </c>
      <c r="B3141" t="s">
        <v>1877</v>
      </c>
      <c r="C3141">
        <v>1116140.24</v>
      </c>
      <c r="D3141">
        <v>0</v>
      </c>
      <c r="E3141" t="s">
        <v>9982</v>
      </c>
      <c r="F3141" t="s">
        <v>9982</v>
      </c>
      <c r="G3141" t="s">
        <v>9983</v>
      </c>
      <c r="H3141" t="s">
        <v>3455</v>
      </c>
      <c r="I3141" t="s">
        <v>3486</v>
      </c>
      <c r="J3141" s="56">
        <f t="shared" si="144"/>
        <v>6</v>
      </c>
      <c r="K3141" s="74" t="str">
        <f t="shared" si="145"/>
        <v>4-30 Days</v>
      </c>
      <c r="L3141" s="58" t="str">
        <f t="shared" si="146"/>
        <v>Normal</v>
      </c>
    </row>
    <row r="3142" spans="1:12" ht="16.5" customHeight="1" x14ac:dyDescent="0.35">
      <c r="A3142" t="s">
        <v>1877</v>
      </c>
      <c r="B3142" t="s">
        <v>1877</v>
      </c>
      <c r="C3142">
        <v>300000</v>
      </c>
      <c r="D3142">
        <v>0</v>
      </c>
      <c r="E3142" t="s">
        <v>9984</v>
      </c>
      <c r="F3142" t="s">
        <v>9984</v>
      </c>
      <c r="G3142" t="s">
        <v>9985</v>
      </c>
      <c r="H3142" t="s">
        <v>6230</v>
      </c>
      <c r="I3142" t="s">
        <v>3486</v>
      </c>
      <c r="J3142" s="56">
        <f t="shared" si="144"/>
        <v>6</v>
      </c>
      <c r="K3142" s="74" t="str">
        <f t="shared" si="145"/>
        <v>4-30 Days</v>
      </c>
      <c r="L3142" s="58" t="str">
        <f t="shared" si="146"/>
        <v>Normal</v>
      </c>
    </row>
    <row r="3143" spans="1:12" ht="16.5" customHeight="1" x14ac:dyDescent="0.35">
      <c r="A3143" t="s">
        <v>1877</v>
      </c>
      <c r="B3143" t="s">
        <v>1877</v>
      </c>
      <c r="C3143">
        <v>0</v>
      </c>
      <c r="D3143">
        <v>250</v>
      </c>
      <c r="E3143" t="s">
        <v>9986</v>
      </c>
      <c r="F3143" t="s">
        <v>9986</v>
      </c>
      <c r="G3143" t="s">
        <v>9987</v>
      </c>
      <c r="H3143" t="s">
        <v>3489</v>
      </c>
      <c r="I3143" t="s">
        <v>3490</v>
      </c>
      <c r="J3143" s="56">
        <f t="shared" si="144"/>
        <v>6</v>
      </c>
      <c r="K3143" s="74" t="str">
        <f t="shared" si="145"/>
        <v>4-30 Days</v>
      </c>
      <c r="L3143" s="58" t="str">
        <f t="shared" si="146"/>
        <v>Not Applicable</v>
      </c>
    </row>
    <row r="3144" spans="1:12" ht="16.5" customHeight="1" x14ac:dyDescent="0.35">
      <c r="A3144" t="s">
        <v>1877</v>
      </c>
      <c r="B3144" t="s">
        <v>1877</v>
      </c>
      <c r="C3144">
        <v>0</v>
      </c>
      <c r="D3144">
        <v>2050</v>
      </c>
      <c r="E3144" t="s">
        <v>9988</v>
      </c>
      <c r="F3144" t="s">
        <v>9988</v>
      </c>
      <c r="G3144" t="s">
        <v>9989</v>
      </c>
      <c r="H3144" t="s">
        <v>3489</v>
      </c>
      <c r="I3144" t="s">
        <v>3490</v>
      </c>
      <c r="J3144" s="56">
        <f t="shared" si="144"/>
        <v>6</v>
      </c>
      <c r="K3144" s="74" t="str">
        <f t="shared" si="145"/>
        <v>4-30 Days</v>
      </c>
      <c r="L3144" s="58" t="str">
        <f t="shared" si="146"/>
        <v>Not Applicable</v>
      </c>
    </row>
    <row r="3145" spans="1:12" ht="16.5" customHeight="1" x14ac:dyDescent="0.35">
      <c r="A3145" t="s">
        <v>1877</v>
      </c>
      <c r="B3145" t="s">
        <v>1877</v>
      </c>
      <c r="C3145">
        <v>1116140.24</v>
      </c>
      <c r="D3145">
        <v>0</v>
      </c>
      <c r="E3145" t="s">
        <v>9990</v>
      </c>
      <c r="F3145" t="s">
        <v>9990</v>
      </c>
      <c r="G3145" t="s">
        <v>9991</v>
      </c>
      <c r="H3145" t="s">
        <v>3455</v>
      </c>
      <c r="I3145" t="s">
        <v>3486</v>
      </c>
      <c r="J3145" s="56">
        <f t="shared" ref="J3145:J3208" si="147">IF(A3145="","",A$5-A3145)</f>
        <v>6</v>
      </c>
      <c r="K3145" s="74" t="str">
        <f t="shared" ref="K3145:K3208" si="148">IF(J3145="","",IF(J3145&lt;4,"0-3 Days",IF(J3145&lt;31,"4-30 Days",IF(J3145&lt;61,"31-60 Days",IF(J3145&lt;=90,"61-90 Days",IF(J3145&gt;90,"Above 90 Days","0"))))))</f>
        <v>4-30 Days</v>
      </c>
      <c r="L3145" s="58" t="str">
        <f t="shared" ref="L3145:L3208" si="149">IF(C3145="","",IF(C3145&gt;0,IF(J3145&lt;30,"Normal",IF(J3145&lt;60,"Especially Mentioned",IF(J3145&lt;90,"Substandard",IF(J3145&lt;=180,"Doubtful",IF(J3145&gt;180,"Loss","0"))))),"Not Applicable"))</f>
        <v>Normal</v>
      </c>
    </row>
    <row r="3146" spans="1:12" ht="16.5" customHeight="1" x14ac:dyDescent="0.35">
      <c r="A3146" t="s">
        <v>1877</v>
      </c>
      <c r="B3146" t="s">
        <v>1877</v>
      </c>
      <c r="C3146">
        <v>558069.55000000005</v>
      </c>
      <c r="D3146">
        <v>0</v>
      </c>
      <c r="E3146" t="s">
        <v>9992</v>
      </c>
      <c r="F3146" t="s">
        <v>9992</v>
      </c>
      <c r="G3146" t="s">
        <v>9993</v>
      </c>
      <c r="H3146" t="s">
        <v>3455</v>
      </c>
      <c r="I3146" t="s">
        <v>3486</v>
      </c>
      <c r="J3146" s="56">
        <f t="shared" si="147"/>
        <v>6</v>
      </c>
      <c r="K3146" s="74" t="str">
        <f t="shared" si="148"/>
        <v>4-30 Days</v>
      </c>
      <c r="L3146" s="58" t="str">
        <f t="shared" si="149"/>
        <v>Normal</v>
      </c>
    </row>
    <row r="3147" spans="1:12" ht="16.5" customHeight="1" x14ac:dyDescent="0.35">
      <c r="A3147" t="s">
        <v>1877</v>
      </c>
      <c r="B3147" t="s">
        <v>1877</v>
      </c>
      <c r="C3147">
        <v>0</v>
      </c>
      <c r="D3147">
        <v>172.3</v>
      </c>
      <c r="E3147" t="s">
        <v>9994</v>
      </c>
      <c r="F3147" t="s">
        <v>9995</v>
      </c>
      <c r="G3147" t="s">
        <v>9996</v>
      </c>
      <c r="H3147" t="s">
        <v>3494</v>
      </c>
      <c r="I3147" t="s">
        <v>3507</v>
      </c>
      <c r="J3147" s="56">
        <f t="shared" si="147"/>
        <v>6</v>
      </c>
      <c r="K3147" s="74" t="str">
        <f t="shared" si="148"/>
        <v>4-30 Days</v>
      </c>
      <c r="L3147" s="58" t="str">
        <f t="shared" si="149"/>
        <v>Not Applicable</v>
      </c>
    </row>
    <row r="3148" spans="1:12" ht="16.5" customHeight="1" x14ac:dyDescent="0.35">
      <c r="A3148" t="s">
        <v>1877</v>
      </c>
      <c r="B3148" t="s">
        <v>1877</v>
      </c>
      <c r="C3148">
        <v>0</v>
      </c>
      <c r="D3148">
        <v>12000</v>
      </c>
      <c r="E3148" t="s">
        <v>9997</v>
      </c>
      <c r="F3148" t="s">
        <v>9997</v>
      </c>
      <c r="G3148" t="s">
        <v>9998</v>
      </c>
      <c r="H3148" t="s">
        <v>3532</v>
      </c>
      <c r="I3148" t="s">
        <v>3490</v>
      </c>
      <c r="J3148" s="56">
        <f t="shared" si="147"/>
        <v>6</v>
      </c>
      <c r="K3148" s="74" t="str">
        <f t="shared" si="148"/>
        <v>4-30 Days</v>
      </c>
      <c r="L3148" s="58" t="str">
        <f t="shared" si="149"/>
        <v>Not Applicable</v>
      </c>
    </row>
    <row r="3149" spans="1:12" ht="16.5" customHeight="1" x14ac:dyDescent="0.35">
      <c r="A3149" t="s">
        <v>1877</v>
      </c>
      <c r="B3149" t="s">
        <v>1877</v>
      </c>
      <c r="C3149">
        <v>0</v>
      </c>
      <c r="D3149">
        <v>250</v>
      </c>
      <c r="E3149" t="s">
        <v>9999</v>
      </c>
      <c r="F3149" t="s">
        <v>9999</v>
      </c>
      <c r="G3149" t="s">
        <v>10000</v>
      </c>
      <c r="H3149" t="s">
        <v>3489</v>
      </c>
      <c r="I3149" t="s">
        <v>3490</v>
      </c>
      <c r="J3149" s="56">
        <f t="shared" si="147"/>
        <v>6</v>
      </c>
      <c r="K3149" s="74" t="str">
        <f t="shared" si="148"/>
        <v>4-30 Days</v>
      </c>
      <c r="L3149" s="58" t="str">
        <f t="shared" si="149"/>
        <v>Not Applicable</v>
      </c>
    </row>
    <row r="3150" spans="1:12" ht="16.5" customHeight="1" x14ac:dyDescent="0.35">
      <c r="A3150" t="s">
        <v>1877</v>
      </c>
      <c r="B3150" t="s">
        <v>1877</v>
      </c>
      <c r="C3150">
        <v>0</v>
      </c>
      <c r="D3150">
        <v>6880</v>
      </c>
      <c r="E3150" t="s">
        <v>10001</v>
      </c>
      <c r="F3150" t="s">
        <v>10002</v>
      </c>
      <c r="G3150" t="s">
        <v>10003</v>
      </c>
      <c r="H3150" t="s">
        <v>3532</v>
      </c>
      <c r="I3150" t="s">
        <v>3490</v>
      </c>
      <c r="J3150" s="56">
        <f t="shared" si="147"/>
        <v>6</v>
      </c>
      <c r="K3150" s="74" t="str">
        <f t="shared" si="148"/>
        <v>4-30 Days</v>
      </c>
      <c r="L3150" s="58" t="str">
        <f t="shared" si="149"/>
        <v>Not Applicable</v>
      </c>
    </row>
    <row r="3151" spans="1:12" ht="16.5" customHeight="1" x14ac:dyDescent="0.35">
      <c r="A3151" t="s">
        <v>1877</v>
      </c>
      <c r="B3151" t="s">
        <v>1877</v>
      </c>
      <c r="C3151">
        <v>0</v>
      </c>
      <c r="D3151">
        <v>700</v>
      </c>
      <c r="E3151" t="s">
        <v>10004</v>
      </c>
      <c r="F3151" t="s">
        <v>10005</v>
      </c>
      <c r="G3151" t="s">
        <v>10006</v>
      </c>
      <c r="H3151" t="s">
        <v>3532</v>
      </c>
      <c r="I3151" t="s">
        <v>3490</v>
      </c>
      <c r="J3151" s="56">
        <f t="shared" si="147"/>
        <v>6</v>
      </c>
      <c r="K3151" s="74" t="str">
        <f t="shared" si="148"/>
        <v>4-30 Days</v>
      </c>
      <c r="L3151" s="58" t="str">
        <f t="shared" si="149"/>
        <v>Not Applicable</v>
      </c>
    </row>
    <row r="3152" spans="1:12" ht="16.5" customHeight="1" x14ac:dyDescent="0.35">
      <c r="A3152" t="s">
        <v>1877</v>
      </c>
      <c r="B3152" t="s">
        <v>1877</v>
      </c>
      <c r="C3152">
        <v>0</v>
      </c>
      <c r="D3152">
        <v>600</v>
      </c>
      <c r="E3152" t="s">
        <v>10007</v>
      </c>
      <c r="F3152" t="s">
        <v>10007</v>
      </c>
      <c r="G3152" t="s">
        <v>10008</v>
      </c>
      <c r="H3152" t="s">
        <v>3489</v>
      </c>
      <c r="I3152" t="s">
        <v>3490</v>
      </c>
      <c r="J3152" s="56">
        <f t="shared" si="147"/>
        <v>6</v>
      </c>
      <c r="K3152" s="74" t="str">
        <f t="shared" si="148"/>
        <v>4-30 Days</v>
      </c>
      <c r="L3152" s="58" t="str">
        <f t="shared" si="149"/>
        <v>Not Applicable</v>
      </c>
    </row>
    <row r="3153" spans="1:12" ht="16.5" customHeight="1" x14ac:dyDescent="0.35">
      <c r="A3153" t="s">
        <v>1877</v>
      </c>
      <c r="B3153" t="s">
        <v>1877</v>
      </c>
      <c r="C3153">
        <v>0</v>
      </c>
      <c r="D3153">
        <v>10000</v>
      </c>
      <c r="E3153" t="s">
        <v>10009</v>
      </c>
      <c r="F3153" t="s">
        <v>10009</v>
      </c>
      <c r="G3153" t="s">
        <v>10010</v>
      </c>
      <c r="H3153" t="s">
        <v>3489</v>
      </c>
      <c r="I3153" t="s">
        <v>3490</v>
      </c>
      <c r="J3153" s="56">
        <f t="shared" si="147"/>
        <v>6</v>
      </c>
      <c r="K3153" s="74" t="str">
        <f t="shared" si="148"/>
        <v>4-30 Days</v>
      </c>
      <c r="L3153" s="58" t="str">
        <f t="shared" si="149"/>
        <v>Not Applicable</v>
      </c>
    </row>
    <row r="3154" spans="1:12" ht="16.5" customHeight="1" x14ac:dyDescent="0.35">
      <c r="A3154" t="s">
        <v>1877</v>
      </c>
      <c r="B3154" t="s">
        <v>1877</v>
      </c>
      <c r="C3154">
        <v>0</v>
      </c>
      <c r="D3154">
        <v>2050</v>
      </c>
      <c r="E3154" t="s">
        <v>10011</v>
      </c>
      <c r="F3154" t="s">
        <v>10011</v>
      </c>
      <c r="G3154" t="s">
        <v>10012</v>
      </c>
      <c r="H3154" t="s">
        <v>3489</v>
      </c>
      <c r="I3154" t="s">
        <v>3490</v>
      </c>
      <c r="J3154" s="56">
        <f t="shared" si="147"/>
        <v>6</v>
      </c>
      <c r="K3154" s="74" t="str">
        <f t="shared" si="148"/>
        <v>4-30 Days</v>
      </c>
      <c r="L3154" s="58" t="str">
        <f t="shared" si="149"/>
        <v>Not Applicable</v>
      </c>
    </row>
    <row r="3155" spans="1:12" ht="16.5" customHeight="1" x14ac:dyDescent="0.35">
      <c r="A3155" t="s">
        <v>1877</v>
      </c>
      <c r="B3155" t="s">
        <v>1877</v>
      </c>
      <c r="C3155">
        <v>0</v>
      </c>
      <c r="D3155">
        <v>250</v>
      </c>
      <c r="E3155" t="s">
        <v>10013</v>
      </c>
      <c r="F3155" t="s">
        <v>10013</v>
      </c>
      <c r="G3155" t="s">
        <v>10014</v>
      </c>
      <c r="H3155" t="s">
        <v>3489</v>
      </c>
      <c r="I3155" t="s">
        <v>3490</v>
      </c>
      <c r="J3155" s="56">
        <f t="shared" si="147"/>
        <v>6</v>
      </c>
      <c r="K3155" s="74" t="str">
        <f t="shared" si="148"/>
        <v>4-30 Days</v>
      </c>
      <c r="L3155" s="58" t="str">
        <f t="shared" si="149"/>
        <v>Not Applicable</v>
      </c>
    </row>
    <row r="3156" spans="1:12" ht="16.5" customHeight="1" x14ac:dyDescent="0.35">
      <c r="A3156" t="s">
        <v>1877</v>
      </c>
      <c r="B3156" t="s">
        <v>1877</v>
      </c>
      <c r="C3156">
        <v>0</v>
      </c>
      <c r="D3156">
        <v>600</v>
      </c>
      <c r="E3156" t="s">
        <v>10015</v>
      </c>
      <c r="F3156" t="s">
        <v>10015</v>
      </c>
      <c r="G3156" t="s">
        <v>10016</v>
      </c>
      <c r="H3156" t="s">
        <v>3489</v>
      </c>
      <c r="I3156" t="s">
        <v>3490</v>
      </c>
      <c r="J3156" s="56">
        <f t="shared" si="147"/>
        <v>6</v>
      </c>
      <c r="K3156" s="74" t="str">
        <f t="shared" si="148"/>
        <v>4-30 Days</v>
      </c>
      <c r="L3156" s="58" t="str">
        <f t="shared" si="149"/>
        <v>Not Applicable</v>
      </c>
    </row>
    <row r="3157" spans="1:12" ht="16.5" customHeight="1" x14ac:dyDescent="0.35">
      <c r="A3157" t="s">
        <v>1877</v>
      </c>
      <c r="B3157" t="s">
        <v>1877</v>
      </c>
      <c r="C3157">
        <v>0</v>
      </c>
      <c r="D3157">
        <v>890</v>
      </c>
      <c r="E3157" t="s">
        <v>10017</v>
      </c>
      <c r="F3157" t="s">
        <v>10017</v>
      </c>
      <c r="G3157" t="s">
        <v>10018</v>
      </c>
      <c r="H3157" t="s">
        <v>3489</v>
      </c>
      <c r="I3157" t="s">
        <v>3507</v>
      </c>
      <c r="J3157" s="56">
        <f t="shared" si="147"/>
        <v>6</v>
      </c>
      <c r="K3157" s="74" t="str">
        <f t="shared" si="148"/>
        <v>4-30 Days</v>
      </c>
      <c r="L3157" s="58" t="str">
        <f t="shared" si="149"/>
        <v>Not Applicable</v>
      </c>
    </row>
    <row r="3158" spans="1:12" ht="16.5" customHeight="1" x14ac:dyDescent="0.35">
      <c r="A3158" t="s">
        <v>1877</v>
      </c>
      <c r="B3158" t="s">
        <v>1877</v>
      </c>
      <c r="C3158">
        <v>0</v>
      </c>
      <c r="D3158">
        <v>177</v>
      </c>
      <c r="E3158" t="s">
        <v>10019</v>
      </c>
      <c r="F3158" t="s">
        <v>10020</v>
      </c>
      <c r="G3158" t="s">
        <v>10021</v>
      </c>
      <c r="H3158" t="s">
        <v>3532</v>
      </c>
      <c r="I3158" t="s">
        <v>3490</v>
      </c>
      <c r="J3158" s="56">
        <f t="shared" si="147"/>
        <v>6</v>
      </c>
      <c r="K3158" s="74" t="str">
        <f t="shared" si="148"/>
        <v>4-30 Days</v>
      </c>
      <c r="L3158" s="58" t="str">
        <f t="shared" si="149"/>
        <v>Not Applicable</v>
      </c>
    </row>
    <row r="3159" spans="1:12" ht="16.5" customHeight="1" x14ac:dyDescent="0.35">
      <c r="A3159" t="s">
        <v>1877</v>
      </c>
      <c r="B3159" t="s">
        <v>1877</v>
      </c>
      <c r="C3159">
        <v>100000</v>
      </c>
      <c r="D3159">
        <v>0</v>
      </c>
      <c r="E3159" t="s">
        <v>10022</v>
      </c>
      <c r="F3159" t="s">
        <v>10022</v>
      </c>
      <c r="G3159" t="s">
        <v>10023</v>
      </c>
      <c r="H3159" t="s">
        <v>6230</v>
      </c>
      <c r="I3159" t="s">
        <v>3486</v>
      </c>
      <c r="J3159" s="56">
        <f t="shared" si="147"/>
        <v>6</v>
      </c>
      <c r="K3159" s="74" t="str">
        <f t="shared" si="148"/>
        <v>4-30 Days</v>
      </c>
      <c r="L3159" s="58" t="str">
        <f t="shared" si="149"/>
        <v>Normal</v>
      </c>
    </row>
    <row r="3160" spans="1:12" ht="16.5" customHeight="1" x14ac:dyDescent="0.35">
      <c r="A3160" t="s">
        <v>1877</v>
      </c>
      <c r="B3160" t="s">
        <v>1877</v>
      </c>
      <c r="C3160">
        <v>0</v>
      </c>
      <c r="D3160">
        <v>2050</v>
      </c>
      <c r="E3160" t="s">
        <v>10024</v>
      </c>
      <c r="F3160" t="s">
        <v>3499</v>
      </c>
      <c r="G3160" t="s">
        <v>10025</v>
      </c>
      <c r="H3160" t="s">
        <v>3489</v>
      </c>
      <c r="I3160" t="s">
        <v>3490</v>
      </c>
      <c r="J3160" s="56">
        <f t="shared" si="147"/>
        <v>6</v>
      </c>
      <c r="K3160" s="74" t="str">
        <f t="shared" si="148"/>
        <v>4-30 Days</v>
      </c>
      <c r="L3160" s="58" t="str">
        <f t="shared" si="149"/>
        <v>Not Applicable</v>
      </c>
    </row>
    <row r="3161" spans="1:12" ht="16.5" customHeight="1" x14ac:dyDescent="0.35">
      <c r="A3161" t="s">
        <v>1877</v>
      </c>
      <c r="B3161" t="s">
        <v>1877</v>
      </c>
      <c r="C3161">
        <v>0</v>
      </c>
      <c r="D3161">
        <v>250</v>
      </c>
      <c r="E3161" t="s">
        <v>10026</v>
      </c>
      <c r="F3161" t="s">
        <v>10026</v>
      </c>
      <c r="G3161" t="s">
        <v>10027</v>
      </c>
      <c r="H3161" t="s">
        <v>3489</v>
      </c>
      <c r="I3161" t="s">
        <v>3490</v>
      </c>
      <c r="J3161" s="56">
        <f t="shared" si="147"/>
        <v>6</v>
      </c>
      <c r="K3161" s="74" t="str">
        <f t="shared" si="148"/>
        <v>4-30 Days</v>
      </c>
      <c r="L3161" s="58" t="str">
        <f t="shared" si="149"/>
        <v>Not Applicable</v>
      </c>
    </row>
    <row r="3162" spans="1:12" ht="16.5" customHeight="1" x14ac:dyDescent="0.35">
      <c r="A3162" t="s">
        <v>1877</v>
      </c>
      <c r="B3162" t="s">
        <v>1877</v>
      </c>
      <c r="C3162">
        <v>0</v>
      </c>
      <c r="D3162">
        <v>20000</v>
      </c>
      <c r="E3162" t="s">
        <v>10028</v>
      </c>
      <c r="F3162" t="s">
        <v>10028</v>
      </c>
      <c r="G3162" t="s">
        <v>10029</v>
      </c>
      <c r="H3162" t="s">
        <v>3489</v>
      </c>
      <c r="I3162" t="s">
        <v>3490</v>
      </c>
      <c r="J3162" s="56">
        <f t="shared" si="147"/>
        <v>6</v>
      </c>
      <c r="K3162" s="74" t="str">
        <f t="shared" si="148"/>
        <v>4-30 Days</v>
      </c>
      <c r="L3162" s="58" t="str">
        <f t="shared" si="149"/>
        <v>Not Applicable</v>
      </c>
    </row>
    <row r="3163" spans="1:12" ht="16.5" customHeight="1" x14ac:dyDescent="0.35">
      <c r="A3163" t="s">
        <v>1877</v>
      </c>
      <c r="B3163" t="s">
        <v>1877</v>
      </c>
      <c r="C3163">
        <v>0</v>
      </c>
      <c r="D3163">
        <v>22060</v>
      </c>
      <c r="E3163" t="s">
        <v>10030</v>
      </c>
      <c r="F3163" t="s">
        <v>10030</v>
      </c>
      <c r="G3163" t="s">
        <v>10031</v>
      </c>
      <c r="H3163" t="s">
        <v>3489</v>
      </c>
      <c r="I3163" t="s">
        <v>3490</v>
      </c>
      <c r="J3163" s="56">
        <f t="shared" si="147"/>
        <v>6</v>
      </c>
      <c r="K3163" s="74" t="str">
        <f t="shared" si="148"/>
        <v>4-30 Days</v>
      </c>
      <c r="L3163" s="58" t="str">
        <f t="shared" si="149"/>
        <v>Not Applicable</v>
      </c>
    </row>
    <row r="3164" spans="1:12" ht="16.5" customHeight="1" x14ac:dyDescent="0.35">
      <c r="A3164" t="s">
        <v>1877</v>
      </c>
      <c r="B3164" t="s">
        <v>1877</v>
      </c>
      <c r="C3164">
        <v>0</v>
      </c>
      <c r="D3164">
        <v>250</v>
      </c>
      <c r="E3164" t="s">
        <v>10032</v>
      </c>
      <c r="F3164" t="s">
        <v>10032</v>
      </c>
      <c r="G3164" t="s">
        <v>10033</v>
      </c>
      <c r="H3164" t="s">
        <v>3489</v>
      </c>
      <c r="I3164" t="s">
        <v>3490</v>
      </c>
      <c r="J3164" s="56">
        <f t="shared" si="147"/>
        <v>6</v>
      </c>
      <c r="K3164" s="74" t="str">
        <f t="shared" si="148"/>
        <v>4-30 Days</v>
      </c>
      <c r="L3164" s="58" t="str">
        <f t="shared" si="149"/>
        <v>Not Applicable</v>
      </c>
    </row>
    <row r="3165" spans="1:12" ht="16.5" customHeight="1" x14ac:dyDescent="0.35">
      <c r="A3165" t="s">
        <v>1877</v>
      </c>
      <c r="B3165" t="s">
        <v>1877</v>
      </c>
      <c r="C3165">
        <v>0</v>
      </c>
      <c r="D3165">
        <v>8910</v>
      </c>
      <c r="E3165" t="s">
        <v>10034</v>
      </c>
      <c r="F3165" t="s">
        <v>10034</v>
      </c>
      <c r="G3165" t="s">
        <v>10035</v>
      </c>
      <c r="H3165" t="s">
        <v>3489</v>
      </c>
      <c r="I3165" t="s">
        <v>3490</v>
      </c>
      <c r="J3165" s="56">
        <f t="shared" si="147"/>
        <v>6</v>
      </c>
      <c r="K3165" s="74" t="str">
        <f t="shared" si="148"/>
        <v>4-30 Days</v>
      </c>
      <c r="L3165" s="58" t="str">
        <f t="shared" si="149"/>
        <v>Not Applicable</v>
      </c>
    </row>
    <row r="3166" spans="1:12" ht="16.5" customHeight="1" x14ac:dyDescent="0.35">
      <c r="A3166" t="s">
        <v>1877</v>
      </c>
      <c r="B3166" t="s">
        <v>1877</v>
      </c>
      <c r="C3166">
        <v>0</v>
      </c>
      <c r="D3166">
        <v>250</v>
      </c>
      <c r="E3166" t="s">
        <v>10036</v>
      </c>
      <c r="F3166" t="s">
        <v>10036</v>
      </c>
      <c r="G3166" t="s">
        <v>10037</v>
      </c>
      <c r="H3166" t="s">
        <v>3489</v>
      </c>
      <c r="I3166" t="s">
        <v>3490</v>
      </c>
      <c r="J3166" s="56">
        <f t="shared" si="147"/>
        <v>6</v>
      </c>
      <c r="K3166" s="74" t="str">
        <f t="shared" si="148"/>
        <v>4-30 Days</v>
      </c>
      <c r="L3166" s="58" t="str">
        <f t="shared" si="149"/>
        <v>Not Applicable</v>
      </c>
    </row>
    <row r="3167" spans="1:12" ht="16.5" customHeight="1" x14ac:dyDescent="0.35">
      <c r="A3167" t="s">
        <v>1877</v>
      </c>
      <c r="B3167" t="s">
        <v>1877</v>
      </c>
      <c r="C3167">
        <v>0</v>
      </c>
      <c r="D3167">
        <v>250</v>
      </c>
      <c r="E3167" t="s">
        <v>10038</v>
      </c>
      <c r="F3167" t="s">
        <v>10039</v>
      </c>
      <c r="G3167" t="s">
        <v>10040</v>
      </c>
      <c r="H3167" t="s">
        <v>3532</v>
      </c>
      <c r="I3167" t="s">
        <v>3490</v>
      </c>
      <c r="J3167" s="56">
        <f t="shared" si="147"/>
        <v>6</v>
      </c>
      <c r="K3167" s="74" t="str">
        <f t="shared" si="148"/>
        <v>4-30 Days</v>
      </c>
      <c r="L3167" s="58" t="str">
        <f t="shared" si="149"/>
        <v>Not Applicable</v>
      </c>
    </row>
    <row r="3168" spans="1:12" ht="16.5" customHeight="1" x14ac:dyDescent="0.35">
      <c r="A3168" t="s">
        <v>1877</v>
      </c>
      <c r="B3168" t="s">
        <v>1877</v>
      </c>
      <c r="C3168">
        <v>0</v>
      </c>
      <c r="D3168">
        <v>1820</v>
      </c>
      <c r="E3168" t="s">
        <v>10041</v>
      </c>
      <c r="F3168" t="s">
        <v>10042</v>
      </c>
      <c r="G3168" t="s">
        <v>10043</v>
      </c>
      <c r="H3168" t="s">
        <v>3489</v>
      </c>
      <c r="I3168" t="s">
        <v>3486</v>
      </c>
      <c r="J3168" s="56">
        <f t="shared" si="147"/>
        <v>6</v>
      </c>
      <c r="K3168" s="74" t="str">
        <f t="shared" si="148"/>
        <v>4-30 Days</v>
      </c>
      <c r="L3168" s="58" t="str">
        <f t="shared" si="149"/>
        <v>Not Applicable</v>
      </c>
    </row>
    <row r="3169" spans="1:12" ht="16.5" customHeight="1" x14ac:dyDescent="0.35">
      <c r="A3169" t="s">
        <v>1877</v>
      </c>
      <c r="B3169" t="s">
        <v>1877</v>
      </c>
      <c r="C3169">
        <v>0</v>
      </c>
      <c r="D3169">
        <v>70.8</v>
      </c>
      <c r="E3169" t="s">
        <v>10044</v>
      </c>
      <c r="F3169" t="s">
        <v>10045</v>
      </c>
      <c r="G3169" t="s">
        <v>10046</v>
      </c>
      <c r="H3169" t="s">
        <v>3532</v>
      </c>
      <c r="I3169" t="s">
        <v>3490</v>
      </c>
      <c r="J3169" s="56">
        <f t="shared" si="147"/>
        <v>6</v>
      </c>
      <c r="K3169" s="74" t="str">
        <f t="shared" si="148"/>
        <v>4-30 Days</v>
      </c>
      <c r="L3169" s="58" t="str">
        <f t="shared" si="149"/>
        <v>Not Applicable</v>
      </c>
    </row>
    <row r="3170" spans="1:12" ht="16.5" customHeight="1" x14ac:dyDescent="0.35">
      <c r="A3170" t="s">
        <v>1877</v>
      </c>
      <c r="B3170" t="s">
        <v>1877</v>
      </c>
      <c r="C3170">
        <v>0</v>
      </c>
      <c r="D3170">
        <v>303.41000000000003</v>
      </c>
      <c r="E3170" t="s">
        <v>10047</v>
      </c>
      <c r="F3170" t="s">
        <v>10048</v>
      </c>
      <c r="G3170" t="s">
        <v>10049</v>
      </c>
      <c r="H3170" t="s">
        <v>3489</v>
      </c>
      <c r="I3170" t="s">
        <v>3486</v>
      </c>
      <c r="J3170" s="56">
        <f t="shared" si="147"/>
        <v>6</v>
      </c>
      <c r="K3170" s="74" t="str">
        <f t="shared" si="148"/>
        <v>4-30 Days</v>
      </c>
      <c r="L3170" s="58" t="str">
        <f t="shared" si="149"/>
        <v>Not Applicable</v>
      </c>
    </row>
    <row r="3171" spans="1:12" ht="16.5" customHeight="1" x14ac:dyDescent="0.35">
      <c r="A3171" t="s">
        <v>1877</v>
      </c>
      <c r="B3171" t="s">
        <v>1877</v>
      </c>
      <c r="C3171">
        <v>0</v>
      </c>
      <c r="D3171">
        <v>700</v>
      </c>
      <c r="E3171" t="s">
        <v>10050</v>
      </c>
      <c r="F3171" t="s">
        <v>10051</v>
      </c>
      <c r="G3171" t="s">
        <v>10052</v>
      </c>
      <c r="H3171" t="s">
        <v>3532</v>
      </c>
      <c r="I3171" t="s">
        <v>3490</v>
      </c>
      <c r="J3171" s="56">
        <f t="shared" si="147"/>
        <v>6</v>
      </c>
      <c r="K3171" s="74" t="str">
        <f t="shared" si="148"/>
        <v>4-30 Days</v>
      </c>
      <c r="L3171" s="58" t="str">
        <f t="shared" si="149"/>
        <v>Not Applicable</v>
      </c>
    </row>
    <row r="3172" spans="1:12" ht="16.5" customHeight="1" x14ac:dyDescent="0.35">
      <c r="A3172" t="s">
        <v>1877</v>
      </c>
      <c r="B3172" t="s">
        <v>1877</v>
      </c>
      <c r="C3172">
        <v>0</v>
      </c>
      <c r="D3172">
        <v>12667.02</v>
      </c>
      <c r="E3172" t="s">
        <v>10053</v>
      </c>
      <c r="F3172" t="s">
        <v>57</v>
      </c>
      <c r="G3172" t="s">
        <v>57</v>
      </c>
      <c r="H3172" t="s">
        <v>3914</v>
      </c>
      <c r="I3172" t="s">
        <v>3643</v>
      </c>
      <c r="J3172" s="56">
        <f t="shared" si="147"/>
        <v>6</v>
      </c>
      <c r="K3172" s="74" t="str">
        <f t="shared" si="148"/>
        <v>4-30 Days</v>
      </c>
      <c r="L3172" s="58" t="str">
        <f t="shared" si="149"/>
        <v>Not Applicable</v>
      </c>
    </row>
    <row r="3173" spans="1:12" ht="16.5" customHeight="1" x14ac:dyDescent="0.35">
      <c r="A3173" t="s">
        <v>1877</v>
      </c>
      <c r="B3173" t="s">
        <v>1877</v>
      </c>
      <c r="C3173">
        <v>0</v>
      </c>
      <c r="D3173">
        <v>2050</v>
      </c>
      <c r="E3173" t="s">
        <v>10054</v>
      </c>
      <c r="F3173" t="s">
        <v>10054</v>
      </c>
      <c r="G3173" t="s">
        <v>10055</v>
      </c>
      <c r="H3173" t="s">
        <v>3489</v>
      </c>
      <c r="I3173" t="s">
        <v>3490</v>
      </c>
      <c r="J3173" s="56">
        <f t="shared" si="147"/>
        <v>6</v>
      </c>
      <c r="K3173" s="74" t="str">
        <f t="shared" si="148"/>
        <v>4-30 Days</v>
      </c>
      <c r="L3173" s="58" t="str">
        <f t="shared" si="149"/>
        <v>Not Applicable</v>
      </c>
    </row>
    <row r="3174" spans="1:12" ht="16.5" customHeight="1" x14ac:dyDescent="0.35">
      <c r="A3174" t="s">
        <v>1877</v>
      </c>
      <c r="B3174" t="s">
        <v>1877</v>
      </c>
      <c r="C3174">
        <v>0</v>
      </c>
      <c r="D3174">
        <v>88</v>
      </c>
      <c r="E3174" t="s">
        <v>10056</v>
      </c>
      <c r="F3174" t="s">
        <v>10056</v>
      </c>
      <c r="G3174" t="s">
        <v>10057</v>
      </c>
      <c r="H3174" t="s">
        <v>3489</v>
      </c>
      <c r="I3174" t="s">
        <v>3490</v>
      </c>
      <c r="J3174" s="56">
        <f t="shared" si="147"/>
        <v>6</v>
      </c>
      <c r="K3174" s="74" t="str">
        <f t="shared" si="148"/>
        <v>4-30 Days</v>
      </c>
      <c r="L3174" s="58" t="str">
        <f t="shared" si="149"/>
        <v>Not Applicable</v>
      </c>
    </row>
    <row r="3175" spans="1:12" ht="16.5" customHeight="1" x14ac:dyDescent="0.35">
      <c r="A3175" t="s">
        <v>1877</v>
      </c>
      <c r="B3175" t="s">
        <v>1877</v>
      </c>
      <c r="C3175">
        <v>0</v>
      </c>
      <c r="D3175">
        <v>700</v>
      </c>
      <c r="E3175" t="s">
        <v>10058</v>
      </c>
      <c r="F3175" t="s">
        <v>10059</v>
      </c>
      <c r="G3175" t="s">
        <v>10060</v>
      </c>
      <c r="H3175" t="s">
        <v>3532</v>
      </c>
      <c r="I3175" t="s">
        <v>3490</v>
      </c>
      <c r="J3175" s="56">
        <f t="shared" si="147"/>
        <v>6</v>
      </c>
      <c r="K3175" s="74" t="str">
        <f t="shared" si="148"/>
        <v>4-30 Days</v>
      </c>
      <c r="L3175" s="58" t="str">
        <f t="shared" si="149"/>
        <v>Not Applicable</v>
      </c>
    </row>
    <row r="3176" spans="1:12" ht="16.5" customHeight="1" x14ac:dyDescent="0.35">
      <c r="A3176" t="s">
        <v>1877</v>
      </c>
      <c r="B3176" t="s">
        <v>1877</v>
      </c>
      <c r="C3176">
        <v>0</v>
      </c>
      <c r="D3176">
        <v>700</v>
      </c>
      <c r="E3176" t="s">
        <v>10061</v>
      </c>
      <c r="F3176" t="s">
        <v>10062</v>
      </c>
      <c r="G3176" t="s">
        <v>10063</v>
      </c>
      <c r="H3176" t="s">
        <v>3532</v>
      </c>
      <c r="I3176" t="s">
        <v>3490</v>
      </c>
      <c r="J3176" s="56">
        <f t="shared" si="147"/>
        <v>6</v>
      </c>
      <c r="K3176" s="74" t="str">
        <f t="shared" si="148"/>
        <v>4-30 Days</v>
      </c>
      <c r="L3176" s="58" t="str">
        <f t="shared" si="149"/>
        <v>Not Applicable</v>
      </c>
    </row>
    <row r="3177" spans="1:12" ht="16.5" customHeight="1" x14ac:dyDescent="0.35">
      <c r="A3177" t="s">
        <v>1877</v>
      </c>
      <c r="B3177" t="s">
        <v>1877</v>
      </c>
      <c r="C3177">
        <v>0</v>
      </c>
      <c r="D3177">
        <v>250</v>
      </c>
      <c r="E3177" t="s">
        <v>10064</v>
      </c>
      <c r="F3177" t="s">
        <v>10064</v>
      </c>
      <c r="G3177" t="s">
        <v>10065</v>
      </c>
      <c r="H3177" t="s">
        <v>3489</v>
      </c>
      <c r="I3177" t="s">
        <v>3490</v>
      </c>
      <c r="J3177" s="56">
        <f t="shared" si="147"/>
        <v>6</v>
      </c>
      <c r="K3177" s="74" t="str">
        <f t="shared" si="148"/>
        <v>4-30 Days</v>
      </c>
      <c r="L3177" s="58" t="str">
        <f t="shared" si="149"/>
        <v>Not Applicable</v>
      </c>
    </row>
    <row r="3178" spans="1:12" ht="16.5" customHeight="1" x14ac:dyDescent="0.35">
      <c r="A3178" t="s">
        <v>1877</v>
      </c>
      <c r="B3178" t="s">
        <v>1877</v>
      </c>
      <c r="C3178">
        <v>0</v>
      </c>
      <c r="D3178">
        <v>7012.5</v>
      </c>
      <c r="E3178" t="s">
        <v>10066</v>
      </c>
      <c r="F3178" t="s">
        <v>10067</v>
      </c>
      <c r="G3178" t="s">
        <v>10068</v>
      </c>
      <c r="H3178" t="s">
        <v>3532</v>
      </c>
      <c r="I3178" t="s">
        <v>3490</v>
      </c>
      <c r="J3178" s="56">
        <f t="shared" si="147"/>
        <v>6</v>
      </c>
      <c r="K3178" s="74" t="str">
        <f t="shared" si="148"/>
        <v>4-30 Days</v>
      </c>
      <c r="L3178" s="58" t="str">
        <f t="shared" si="149"/>
        <v>Not Applicable</v>
      </c>
    </row>
    <row r="3179" spans="1:12" ht="16.5" customHeight="1" x14ac:dyDescent="0.35">
      <c r="A3179" t="s">
        <v>1877</v>
      </c>
      <c r="B3179" t="s">
        <v>1877</v>
      </c>
      <c r="C3179">
        <v>1116140.24</v>
      </c>
      <c r="D3179">
        <v>0</v>
      </c>
      <c r="E3179" t="s">
        <v>10069</v>
      </c>
      <c r="F3179" t="s">
        <v>10069</v>
      </c>
      <c r="G3179" t="s">
        <v>10070</v>
      </c>
      <c r="H3179" t="s">
        <v>3455</v>
      </c>
      <c r="I3179" t="s">
        <v>3486</v>
      </c>
      <c r="J3179" s="56">
        <f t="shared" si="147"/>
        <v>6</v>
      </c>
      <c r="K3179" s="74" t="str">
        <f t="shared" si="148"/>
        <v>4-30 Days</v>
      </c>
      <c r="L3179" s="58" t="str">
        <f t="shared" si="149"/>
        <v>Normal</v>
      </c>
    </row>
    <row r="3180" spans="1:12" ht="16.5" customHeight="1" x14ac:dyDescent="0.35">
      <c r="A3180" t="s">
        <v>1939</v>
      </c>
      <c r="B3180" t="s">
        <v>1939</v>
      </c>
      <c r="C3180">
        <v>0</v>
      </c>
      <c r="D3180">
        <v>75</v>
      </c>
      <c r="E3180" t="s">
        <v>10071</v>
      </c>
      <c r="F3180" t="s">
        <v>3499</v>
      </c>
      <c r="G3180" t="s">
        <v>10072</v>
      </c>
      <c r="H3180" t="s">
        <v>3489</v>
      </c>
      <c r="I3180" t="s">
        <v>3490</v>
      </c>
      <c r="J3180" s="56">
        <f t="shared" si="147"/>
        <v>5</v>
      </c>
      <c r="K3180" s="74" t="str">
        <f t="shared" si="148"/>
        <v>4-30 Days</v>
      </c>
      <c r="L3180" s="58" t="str">
        <f t="shared" si="149"/>
        <v>Not Applicable</v>
      </c>
    </row>
    <row r="3181" spans="1:12" ht="16.5" customHeight="1" x14ac:dyDescent="0.35">
      <c r="A3181" t="s">
        <v>1939</v>
      </c>
      <c r="B3181" t="s">
        <v>1939</v>
      </c>
      <c r="C3181">
        <v>0</v>
      </c>
      <c r="D3181">
        <v>600</v>
      </c>
      <c r="E3181" t="s">
        <v>10073</v>
      </c>
      <c r="F3181" t="s">
        <v>10073</v>
      </c>
      <c r="G3181" t="s">
        <v>10074</v>
      </c>
      <c r="H3181" t="s">
        <v>3532</v>
      </c>
      <c r="I3181" t="s">
        <v>3490</v>
      </c>
      <c r="J3181" s="56">
        <f t="shared" si="147"/>
        <v>5</v>
      </c>
      <c r="K3181" s="74" t="str">
        <f t="shared" si="148"/>
        <v>4-30 Days</v>
      </c>
      <c r="L3181" s="58" t="str">
        <f t="shared" si="149"/>
        <v>Not Applicable</v>
      </c>
    </row>
    <row r="3182" spans="1:12" ht="16.5" customHeight="1" x14ac:dyDescent="0.35">
      <c r="A3182" t="s">
        <v>1939</v>
      </c>
      <c r="B3182" t="s">
        <v>1939</v>
      </c>
      <c r="C3182">
        <v>0</v>
      </c>
      <c r="D3182">
        <v>100</v>
      </c>
      <c r="E3182" t="s">
        <v>10075</v>
      </c>
      <c r="F3182" t="s">
        <v>10076</v>
      </c>
      <c r="G3182" t="s">
        <v>10077</v>
      </c>
      <c r="H3182" t="s">
        <v>3532</v>
      </c>
      <c r="I3182" t="s">
        <v>3490</v>
      </c>
      <c r="J3182" s="56">
        <f t="shared" si="147"/>
        <v>5</v>
      </c>
      <c r="K3182" s="74" t="str">
        <f t="shared" si="148"/>
        <v>4-30 Days</v>
      </c>
      <c r="L3182" s="58" t="str">
        <f t="shared" si="149"/>
        <v>Not Applicable</v>
      </c>
    </row>
    <row r="3183" spans="1:12" ht="16.5" customHeight="1" x14ac:dyDescent="0.35">
      <c r="A3183" t="s">
        <v>1939</v>
      </c>
      <c r="B3183" t="s">
        <v>1939</v>
      </c>
      <c r="C3183">
        <v>0</v>
      </c>
      <c r="D3183">
        <v>250</v>
      </c>
      <c r="E3183" t="s">
        <v>10078</v>
      </c>
      <c r="F3183" t="s">
        <v>10078</v>
      </c>
      <c r="G3183" t="s">
        <v>10079</v>
      </c>
      <c r="H3183" t="s">
        <v>3489</v>
      </c>
      <c r="I3183" t="s">
        <v>3490</v>
      </c>
      <c r="J3183" s="56">
        <f t="shared" si="147"/>
        <v>5</v>
      </c>
      <c r="K3183" s="74" t="str">
        <f t="shared" si="148"/>
        <v>4-30 Days</v>
      </c>
      <c r="L3183" s="58" t="str">
        <f t="shared" si="149"/>
        <v>Not Applicable</v>
      </c>
    </row>
    <row r="3184" spans="1:12" ht="16.5" customHeight="1" x14ac:dyDescent="0.35">
      <c r="A3184" t="s">
        <v>1939</v>
      </c>
      <c r="B3184" t="s">
        <v>1939</v>
      </c>
      <c r="C3184">
        <v>0</v>
      </c>
      <c r="D3184">
        <v>5</v>
      </c>
      <c r="E3184" t="s">
        <v>10080</v>
      </c>
      <c r="F3184" t="s">
        <v>10080</v>
      </c>
      <c r="G3184" t="s">
        <v>10081</v>
      </c>
      <c r="H3184" t="s">
        <v>3489</v>
      </c>
      <c r="I3184" t="s">
        <v>3490</v>
      </c>
      <c r="J3184" s="56">
        <f t="shared" si="147"/>
        <v>5</v>
      </c>
      <c r="K3184" s="74" t="str">
        <f t="shared" si="148"/>
        <v>4-30 Days</v>
      </c>
      <c r="L3184" s="58" t="str">
        <f t="shared" si="149"/>
        <v>Not Applicable</v>
      </c>
    </row>
    <row r="3185" spans="1:12" ht="16.5" customHeight="1" x14ac:dyDescent="0.35">
      <c r="A3185" t="s">
        <v>1939</v>
      </c>
      <c r="B3185" t="s">
        <v>1939</v>
      </c>
      <c r="C3185">
        <v>0</v>
      </c>
      <c r="D3185">
        <v>15840.4</v>
      </c>
      <c r="E3185" t="s">
        <v>10082</v>
      </c>
      <c r="F3185" t="s">
        <v>10083</v>
      </c>
      <c r="G3185" t="s">
        <v>10084</v>
      </c>
      <c r="H3185" t="s">
        <v>3532</v>
      </c>
      <c r="I3185" t="s">
        <v>3490</v>
      </c>
      <c r="J3185" s="56">
        <f t="shared" si="147"/>
        <v>5</v>
      </c>
      <c r="K3185" s="74" t="str">
        <f t="shared" si="148"/>
        <v>4-30 Days</v>
      </c>
      <c r="L3185" s="58" t="str">
        <f t="shared" si="149"/>
        <v>Not Applicable</v>
      </c>
    </row>
    <row r="3186" spans="1:12" ht="16.5" customHeight="1" x14ac:dyDescent="0.35">
      <c r="A3186" t="s">
        <v>1939</v>
      </c>
      <c r="B3186" t="s">
        <v>1939</v>
      </c>
      <c r="C3186">
        <v>0</v>
      </c>
      <c r="D3186">
        <v>2050</v>
      </c>
      <c r="E3186" t="s">
        <v>10085</v>
      </c>
      <c r="F3186" t="s">
        <v>10085</v>
      </c>
      <c r="G3186" t="s">
        <v>10086</v>
      </c>
      <c r="H3186" t="s">
        <v>3638</v>
      </c>
      <c r="I3186" t="s">
        <v>3490</v>
      </c>
      <c r="J3186" s="56">
        <f t="shared" si="147"/>
        <v>5</v>
      </c>
      <c r="K3186" s="74" t="str">
        <f t="shared" si="148"/>
        <v>4-30 Days</v>
      </c>
      <c r="L3186" s="58" t="str">
        <f t="shared" si="149"/>
        <v>Not Applicable</v>
      </c>
    </row>
    <row r="3187" spans="1:12" ht="16.5" customHeight="1" x14ac:dyDescent="0.35">
      <c r="A3187" t="s">
        <v>1939</v>
      </c>
      <c r="B3187" t="s">
        <v>1939</v>
      </c>
      <c r="C3187">
        <v>0</v>
      </c>
      <c r="D3187">
        <v>550</v>
      </c>
      <c r="E3187" t="s">
        <v>10087</v>
      </c>
      <c r="F3187" t="s">
        <v>10087</v>
      </c>
      <c r="G3187" t="s">
        <v>10088</v>
      </c>
      <c r="H3187" t="s">
        <v>3489</v>
      </c>
      <c r="I3187" t="s">
        <v>3490</v>
      </c>
      <c r="J3187" s="56">
        <f t="shared" si="147"/>
        <v>5</v>
      </c>
      <c r="K3187" s="74" t="str">
        <f t="shared" si="148"/>
        <v>4-30 Days</v>
      </c>
      <c r="L3187" s="58" t="str">
        <f t="shared" si="149"/>
        <v>Not Applicable</v>
      </c>
    </row>
    <row r="3188" spans="1:12" ht="16.5" customHeight="1" x14ac:dyDescent="0.35">
      <c r="A3188" t="s">
        <v>1939</v>
      </c>
      <c r="B3188" t="s">
        <v>1939</v>
      </c>
      <c r="C3188">
        <v>0</v>
      </c>
      <c r="D3188">
        <v>2184</v>
      </c>
      <c r="E3188" t="s">
        <v>10089</v>
      </c>
      <c r="F3188" t="s">
        <v>4110</v>
      </c>
      <c r="G3188" t="s">
        <v>10090</v>
      </c>
      <c r="H3188" t="s">
        <v>3489</v>
      </c>
      <c r="I3188" t="s">
        <v>3486</v>
      </c>
      <c r="J3188" s="56">
        <f t="shared" si="147"/>
        <v>5</v>
      </c>
      <c r="K3188" s="74" t="str">
        <f t="shared" si="148"/>
        <v>4-30 Days</v>
      </c>
      <c r="L3188" s="58" t="str">
        <f t="shared" si="149"/>
        <v>Not Applicable</v>
      </c>
    </row>
    <row r="3189" spans="1:12" ht="16.5" customHeight="1" x14ac:dyDescent="0.35">
      <c r="A3189" t="s">
        <v>1939</v>
      </c>
      <c r="B3189" t="s">
        <v>1939</v>
      </c>
      <c r="C3189">
        <v>0</v>
      </c>
      <c r="D3189">
        <v>50</v>
      </c>
      <c r="E3189" t="s">
        <v>10091</v>
      </c>
      <c r="F3189" t="s">
        <v>10091</v>
      </c>
      <c r="G3189" t="s">
        <v>10092</v>
      </c>
      <c r="H3189" t="s">
        <v>3489</v>
      </c>
      <c r="I3189" t="s">
        <v>3490</v>
      </c>
      <c r="J3189" s="56">
        <f t="shared" si="147"/>
        <v>5</v>
      </c>
      <c r="K3189" s="74" t="str">
        <f t="shared" si="148"/>
        <v>4-30 Days</v>
      </c>
      <c r="L3189" s="58" t="str">
        <f t="shared" si="149"/>
        <v>Not Applicable</v>
      </c>
    </row>
    <row r="3190" spans="1:12" ht="16.5" customHeight="1" x14ac:dyDescent="0.35">
      <c r="A3190" t="s">
        <v>1939</v>
      </c>
      <c r="B3190" t="s">
        <v>1939</v>
      </c>
      <c r="C3190">
        <v>0</v>
      </c>
      <c r="D3190">
        <v>205</v>
      </c>
      <c r="E3190" t="s">
        <v>10093</v>
      </c>
      <c r="F3190" t="s">
        <v>10093</v>
      </c>
      <c r="G3190" t="s">
        <v>10094</v>
      </c>
      <c r="H3190" t="s">
        <v>3489</v>
      </c>
      <c r="I3190" t="s">
        <v>3490</v>
      </c>
      <c r="J3190" s="56">
        <f t="shared" si="147"/>
        <v>5</v>
      </c>
      <c r="K3190" s="74" t="str">
        <f t="shared" si="148"/>
        <v>4-30 Days</v>
      </c>
      <c r="L3190" s="58" t="str">
        <f t="shared" si="149"/>
        <v>Not Applicable</v>
      </c>
    </row>
    <row r="3191" spans="1:12" ht="16.5" customHeight="1" x14ac:dyDescent="0.35">
      <c r="A3191" t="s">
        <v>1939</v>
      </c>
      <c r="B3191" t="s">
        <v>1939</v>
      </c>
      <c r="C3191">
        <v>0</v>
      </c>
      <c r="D3191">
        <v>100</v>
      </c>
      <c r="E3191" t="s">
        <v>10095</v>
      </c>
      <c r="F3191" t="s">
        <v>10095</v>
      </c>
      <c r="G3191" t="s">
        <v>10096</v>
      </c>
      <c r="H3191" t="s">
        <v>3532</v>
      </c>
      <c r="I3191" t="s">
        <v>3490</v>
      </c>
      <c r="J3191" s="56">
        <f t="shared" si="147"/>
        <v>5</v>
      </c>
      <c r="K3191" s="74" t="str">
        <f t="shared" si="148"/>
        <v>4-30 Days</v>
      </c>
      <c r="L3191" s="58" t="str">
        <f t="shared" si="149"/>
        <v>Not Applicable</v>
      </c>
    </row>
    <row r="3192" spans="1:12" ht="16.5" customHeight="1" x14ac:dyDescent="0.35">
      <c r="A3192" t="s">
        <v>1939</v>
      </c>
      <c r="B3192" t="s">
        <v>1939</v>
      </c>
      <c r="C3192">
        <v>0</v>
      </c>
      <c r="D3192">
        <v>460</v>
      </c>
      <c r="E3192" t="s">
        <v>10097</v>
      </c>
      <c r="F3192" t="s">
        <v>10097</v>
      </c>
      <c r="G3192" t="s">
        <v>10098</v>
      </c>
      <c r="H3192" t="s">
        <v>3489</v>
      </c>
      <c r="I3192" t="s">
        <v>3490</v>
      </c>
      <c r="J3192" s="56">
        <f t="shared" si="147"/>
        <v>5</v>
      </c>
      <c r="K3192" s="74" t="str">
        <f t="shared" si="148"/>
        <v>4-30 Days</v>
      </c>
      <c r="L3192" s="58" t="str">
        <f t="shared" si="149"/>
        <v>Not Applicable</v>
      </c>
    </row>
    <row r="3193" spans="1:12" ht="16.5" customHeight="1" x14ac:dyDescent="0.35">
      <c r="A3193" t="s">
        <v>1939</v>
      </c>
      <c r="B3193" t="s">
        <v>1939</v>
      </c>
      <c r="C3193">
        <v>0</v>
      </c>
      <c r="D3193">
        <v>50</v>
      </c>
      <c r="E3193" t="s">
        <v>10099</v>
      </c>
      <c r="F3193" t="s">
        <v>3499</v>
      </c>
      <c r="G3193" t="s">
        <v>10100</v>
      </c>
      <c r="H3193" t="s">
        <v>3489</v>
      </c>
      <c r="I3193" t="s">
        <v>3490</v>
      </c>
      <c r="J3193" s="56">
        <f t="shared" si="147"/>
        <v>5</v>
      </c>
      <c r="K3193" s="74" t="str">
        <f t="shared" si="148"/>
        <v>4-30 Days</v>
      </c>
      <c r="L3193" s="58" t="str">
        <f t="shared" si="149"/>
        <v>Not Applicable</v>
      </c>
    </row>
    <row r="3194" spans="1:12" ht="16.5" customHeight="1" x14ac:dyDescent="0.35">
      <c r="A3194" t="s">
        <v>1939</v>
      </c>
      <c r="B3194" t="s">
        <v>1939</v>
      </c>
      <c r="C3194">
        <v>0</v>
      </c>
      <c r="D3194">
        <v>2050</v>
      </c>
      <c r="E3194" t="s">
        <v>10101</v>
      </c>
      <c r="F3194" t="s">
        <v>10101</v>
      </c>
      <c r="G3194" t="s">
        <v>10102</v>
      </c>
      <c r="H3194" t="s">
        <v>3489</v>
      </c>
      <c r="I3194" t="s">
        <v>3490</v>
      </c>
      <c r="J3194" s="56">
        <f t="shared" si="147"/>
        <v>5</v>
      </c>
      <c r="K3194" s="74" t="str">
        <f t="shared" si="148"/>
        <v>4-30 Days</v>
      </c>
      <c r="L3194" s="58" t="str">
        <f t="shared" si="149"/>
        <v>Not Applicable</v>
      </c>
    </row>
    <row r="3195" spans="1:12" ht="16.5" customHeight="1" x14ac:dyDescent="0.35">
      <c r="A3195" t="s">
        <v>1939</v>
      </c>
      <c r="B3195" t="s">
        <v>1939</v>
      </c>
      <c r="C3195">
        <v>0</v>
      </c>
      <c r="D3195">
        <v>211093.74</v>
      </c>
      <c r="E3195" t="s">
        <v>10103</v>
      </c>
      <c r="F3195" t="s">
        <v>10103</v>
      </c>
      <c r="G3195" t="s">
        <v>10104</v>
      </c>
      <c r="H3195" t="s">
        <v>3489</v>
      </c>
      <c r="I3195" t="s">
        <v>3490</v>
      </c>
      <c r="J3195" s="56">
        <f t="shared" si="147"/>
        <v>5</v>
      </c>
      <c r="K3195" s="74" t="str">
        <f t="shared" si="148"/>
        <v>4-30 Days</v>
      </c>
      <c r="L3195" s="58" t="str">
        <f t="shared" si="149"/>
        <v>Not Applicable</v>
      </c>
    </row>
    <row r="3196" spans="1:12" ht="16.5" customHeight="1" x14ac:dyDescent="0.35">
      <c r="A3196" t="s">
        <v>1939</v>
      </c>
      <c r="B3196" t="s">
        <v>1939</v>
      </c>
      <c r="C3196">
        <v>0</v>
      </c>
      <c r="D3196">
        <v>1754</v>
      </c>
      <c r="E3196" t="s">
        <v>10105</v>
      </c>
      <c r="F3196" t="s">
        <v>10106</v>
      </c>
      <c r="G3196" t="s">
        <v>10107</v>
      </c>
      <c r="H3196" t="s">
        <v>3494</v>
      </c>
      <c r="I3196" t="s">
        <v>3507</v>
      </c>
      <c r="J3196" s="56">
        <f t="shared" si="147"/>
        <v>5</v>
      </c>
      <c r="K3196" s="74" t="str">
        <f t="shared" si="148"/>
        <v>4-30 Days</v>
      </c>
      <c r="L3196" s="58" t="str">
        <f t="shared" si="149"/>
        <v>Not Applicable</v>
      </c>
    </row>
    <row r="3197" spans="1:12" ht="16.5" customHeight="1" x14ac:dyDescent="0.35">
      <c r="A3197" t="s">
        <v>1939</v>
      </c>
      <c r="B3197" t="s">
        <v>1939</v>
      </c>
      <c r="C3197">
        <v>0</v>
      </c>
      <c r="D3197">
        <v>3150</v>
      </c>
      <c r="E3197" t="s">
        <v>10108</v>
      </c>
      <c r="F3197" t="s">
        <v>10108</v>
      </c>
      <c r="G3197" t="s">
        <v>10109</v>
      </c>
      <c r="H3197" t="s">
        <v>3489</v>
      </c>
      <c r="I3197" t="s">
        <v>3490</v>
      </c>
      <c r="J3197" s="56">
        <f t="shared" si="147"/>
        <v>5</v>
      </c>
      <c r="K3197" s="74" t="str">
        <f t="shared" si="148"/>
        <v>4-30 Days</v>
      </c>
      <c r="L3197" s="58" t="str">
        <f t="shared" si="149"/>
        <v>Not Applicable</v>
      </c>
    </row>
    <row r="3198" spans="1:12" ht="16.5" customHeight="1" x14ac:dyDescent="0.35">
      <c r="A3198" t="s">
        <v>1939</v>
      </c>
      <c r="B3198" t="s">
        <v>1939</v>
      </c>
      <c r="C3198">
        <v>0</v>
      </c>
      <c r="D3198">
        <v>2614560.0699999998</v>
      </c>
      <c r="E3198" t="s">
        <v>10110</v>
      </c>
      <c r="F3198" t="s">
        <v>10111</v>
      </c>
      <c r="G3198" t="s">
        <v>10112</v>
      </c>
      <c r="H3198" t="s">
        <v>3489</v>
      </c>
      <c r="I3198" t="s">
        <v>3486</v>
      </c>
      <c r="J3198" s="56">
        <f t="shared" si="147"/>
        <v>5</v>
      </c>
      <c r="K3198" s="74" t="str">
        <f t="shared" si="148"/>
        <v>4-30 Days</v>
      </c>
      <c r="L3198" s="58" t="str">
        <f t="shared" si="149"/>
        <v>Not Applicable</v>
      </c>
    </row>
    <row r="3199" spans="1:12" ht="16.5" customHeight="1" x14ac:dyDescent="0.35">
      <c r="A3199" t="s">
        <v>1939</v>
      </c>
      <c r="B3199" t="s">
        <v>1939</v>
      </c>
      <c r="C3199">
        <v>0</v>
      </c>
      <c r="D3199">
        <v>2150</v>
      </c>
      <c r="E3199" t="s">
        <v>10113</v>
      </c>
      <c r="F3199" t="s">
        <v>10113</v>
      </c>
      <c r="G3199" t="s">
        <v>10114</v>
      </c>
      <c r="H3199" t="s">
        <v>3489</v>
      </c>
      <c r="I3199" t="s">
        <v>3490</v>
      </c>
      <c r="J3199" s="56">
        <f t="shared" si="147"/>
        <v>5</v>
      </c>
      <c r="K3199" s="74" t="str">
        <f t="shared" si="148"/>
        <v>4-30 Days</v>
      </c>
      <c r="L3199" s="58" t="str">
        <f t="shared" si="149"/>
        <v>Not Applicable</v>
      </c>
    </row>
    <row r="3200" spans="1:12" ht="16.5" customHeight="1" x14ac:dyDescent="0.35">
      <c r="A3200" t="s">
        <v>1939</v>
      </c>
      <c r="B3200" t="s">
        <v>1939</v>
      </c>
      <c r="C3200">
        <v>0</v>
      </c>
      <c r="D3200">
        <v>247.8</v>
      </c>
      <c r="E3200" t="s">
        <v>10115</v>
      </c>
      <c r="F3200" t="s">
        <v>10116</v>
      </c>
      <c r="G3200" t="s">
        <v>10117</v>
      </c>
      <c r="H3200" t="s">
        <v>3532</v>
      </c>
      <c r="I3200" t="s">
        <v>3490</v>
      </c>
      <c r="J3200" s="56">
        <f t="shared" si="147"/>
        <v>5</v>
      </c>
      <c r="K3200" s="74" t="str">
        <f t="shared" si="148"/>
        <v>4-30 Days</v>
      </c>
      <c r="L3200" s="58" t="str">
        <f t="shared" si="149"/>
        <v>Not Applicable</v>
      </c>
    </row>
    <row r="3201" spans="1:12" ht="16.5" customHeight="1" x14ac:dyDescent="0.35">
      <c r="A3201" t="s">
        <v>1939</v>
      </c>
      <c r="B3201" t="s">
        <v>1939</v>
      </c>
      <c r="C3201">
        <v>0</v>
      </c>
      <c r="D3201">
        <v>22917.5</v>
      </c>
      <c r="E3201" t="s">
        <v>10118</v>
      </c>
      <c r="F3201" t="s">
        <v>10119</v>
      </c>
      <c r="G3201" t="s">
        <v>10120</v>
      </c>
      <c r="H3201" t="s">
        <v>3532</v>
      </c>
      <c r="I3201" t="s">
        <v>3490</v>
      </c>
      <c r="J3201" s="56">
        <f t="shared" si="147"/>
        <v>5</v>
      </c>
      <c r="K3201" s="74" t="str">
        <f t="shared" si="148"/>
        <v>4-30 Days</v>
      </c>
      <c r="L3201" s="58" t="str">
        <f t="shared" si="149"/>
        <v>Not Applicable</v>
      </c>
    </row>
    <row r="3202" spans="1:12" ht="16.5" customHeight="1" x14ac:dyDescent="0.35">
      <c r="A3202" t="s">
        <v>1939</v>
      </c>
      <c r="B3202" t="s">
        <v>1939</v>
      </c>
      <c r="C3202">
        <v>0</v>
      </c>
      <c r="D3202">
        <v>2050</v>
      </c>
      <c r="E3202" t="s">
        <v>10121</v>
      </c>
      <c r="F3202" t="s">
        <v>10121</v>
      </c>
      <c r="G3202" t="s">
        <v>10122</v>
      </c>
      <c r="H3202" t="s">
        <v>3489</v>
      </c>
      <c r="I3202" t="s">
        <v>3490</v>
      </c>
      <c r="J3202" s="56">
        <f t="shared" si="147"/>
        <v>5</v>
      </c>
      <c r="K3202" s="74" t="str">
        <f t="shared" si="148"/>
        <v>4-30 Days</v>
      </c>
      <c r="L3202" s="58" t="str">
        <f t="shared" si="149"/>
        <v>Not Applicable</v>
      </c>
    </row>
    <row r="3203" spans="1:12" ht="16.5" customHeight="1" x14ac:dyDescent="0.35">
      <c r="A3203" t="s">
        <v>1939</v>
      </c>
      <c r="B3203" t="s">
        <v>1939</v>
      </c>
      <c r="C3203">
        <v>0</v>
      </c>
      <c r="D3203">
        <v>283.2</v>
      </c>
      <c r="E3203" t="s">
        <v>10123</v>
      </c>
      <c r="F3203" t="s">
        <v>10124</v>
      </c>
      <c r="G3203" t="s">
        <v>10125</v>
      </c>
      <c r="H3203" t="s">
        <v>3532</v>
      </c>
      <c r="I3203" t="s">
        <v>3490</v>
      </c>
      <c r="J3203" s="56">
        <f t="shared" si="147"/>
        <v>5</v>
      </c>
      <c r="K3203" s="74" t="str">
        <f t="shared" si="148"/>
        <v>4-30 Days</v>
      </c>
      <c r="L3203" s="58" t="str">
        <f t="shared" si="149"/>
        <v>Not Applicable</v>
      </c>
    </row>
    <row r="3204" spans="1:12" ht="16.5" customHeight="1" x14ac:dyDescent="0.35">
      <c r="A3204" t="s">
        <v>1939</v>
      </c>
      <c r="B3204" t="s">
        <v>1939</v>
      </c>
      <c r="C3204">
        <v>0</v>
      </c>
      <c r="D3204">
        <v>100</v>
      </c>
      <c r="E3204" t="s">
        <v>10126</v>
      </c>
      <c r="F3204" t="s">
        <v>10127</v>
      </c>
      <c r="G3204" t="s">
        <v>10128</v>
      </c>
      <c r="H3204" t="s">
        <v>3532</v>
      </c>
      <c r="I3204" t="s">
        <v>3490</v>
      </c>
      <c r="J3204" s="56">
        <f t="shared" si="147"/>
        <v>5</v>
      </c>
      <c r="K3204" s="74" t="str">
        <f t="shared" si="148"/>
        <v>4-30 Days</v>
      </c>
      <c r="L3204" s="58" t="str">
        <f t="shared" si="149"/>
        <v>Not Applicable</v>
      </c>
    </row>
    <row r="3205" spans="1:12" ht="16.5" customHeight="1" x14ac:dyDescent="0.35">
      <c r="A3205" t="s">
        <v>1939</v>
      </c>
      <c r="B3205" t="s">
        <v>1939</v>
      </c>
      <c r="C3205">
        <v>0</v>
      </c>
      <c r="D3205">
        <v>2000</v>
      </c>
      <c r="E3205" t="s">
        <v>10129</v>
      </c>
      <c r="F3205" t="s">
        <v>10130</v>
      </c>
      <c r="G3205" t="s">
        <v>10131</v>
      </c>
      <c r="H3205" t="s">
        <v>3489</v>
      </c>
      <c r="I3205" t="s">
        <v>3486</v>
      </c>
      <c r="J3205" s="56">
        <f t="shared" si="147"/>
        <v>5</v>
      </c>
      <c r="K3205" s="74" t="str">
        <f t="shared" si="148"/>
        <v>4-30 Days</v>
      </c>
      <c r="L3205" s="58" t="str">
        <f t="shared" si="149"/>
        <v>Not Applicable</v>
      </c>
    </row>
    <row r="3206" spans="1:12" ht="16.5" customHeight="1" x14ac:dyDescent="0.35">
      <c r="A3206" t="s">
        <v>1939</v>
      </c>
      <c r="B3206" t="s">
        <v>1939</v>
      </c>
      <c r="C3206">
        <v>0</v>
      </c>
      <c r="D3206">
        <v>10000</v>
      </c>
      <c r="E3206" t="s">
        <v>10132</v>
      </c>
      <c r="F3206" t="s">
        <v>6244</v>
      </c>
      <c r="G3206" t="s">
        <v>10133</v>
      </c>
      <c r="H3206" t="s">
        <v>3489</v>
      </c>
      <c r="I3206" t="s">
        <v>3486</v>
      </c>
      <c r="J3206" s="56">
        <f t="shared" si="147"/>
        <v>5</v>
      </c>
      <c r="K3206" s="74" t="str">
        <f t="shared" si="148"/>
        <v>4-30 Days</v>
      </c>
      <c r="L3206" s="58" t="str">
        <f t="shared" si="149"/>
        <v>Not Applicable</v>
      </c>
    </row>
    <row r="3207" spans="1:12" ht="16.5" customHeight="1" x14ac:dyDescent="0.35">
      <c r="A3207" t="s">
        <v>1939</v>
      </c>
      <c r="B3207" t="s">
        <v>1939</v>
      </c>
      <c r="C3207">
        <v>0</v>
      </c>
      <c r="D3207">
        <v>2050</v>
      </c>
      <c r="E3207" t="s">
        <v>10134</v>
      </c>
      <c r="F3207" t="s">
        <v>10135</v>
      </c>
      <c r="G3207" t="s">
        <v>10136</v>
      </c>
      <c r="H3207" t="s">
        <v>3532</v>
      </c>
      <c r="I3207" t="s">
        <v>3490</v>
      </c>
      <c r="J3207" s="56">
        <f t="shared" si="147"/>
        <v>5</v>
      </c>
      <c r="K3207" s="74" t="str">
        <f t="shared" si="148"/>
        <v>4-30 Days</v>
      </c>
      <c r="L3207" s="58" t="str">
        <f t="shared" si="149"/>
        <v>Not Applicable</v>
      </c>
    </row>
    <row r="3208" spans="1:12" ht="16.5" customHeight="1" x14ac:dyDescent="0.35">
      <c r="A3208" t="s">
        <v>1939</v>
      </c>
      <c r="B3208" t="s">
        <v>1939</v>
      </c>
      <c r="C3208">
        <v>0</v>
      </c>
      <c r="D3208">
        <v>47302.71</v>
      </c>
      <c r="E3208" t="s">
        <v>10137</v>
      </c>
      <c r="F3208" t="s">
        <v>10138</v>
      </c>
      <c r="G3208" t="s">
        <v>10139</v>
      </c>
      <c r="H3208" t="s">
        <v>3489</v>
      </c>
      <c r="I3208" t="s">
        <v>3486</v>
      </c>
      <c r="J3208" s="56">
        <f t="shared" si="147"/>
        <v>5</v>
      </c>
      <c r="K3208" s="74" t="str">
        <f t="shared" si="148"/>
        <v>4-30 Days</v>
      </c>
      <c r="L3208" s="58" t="str">
        <f t="shared" si="149"/>
        <v>Not Applicable</v>
      </c>
    </row>
    <row r="3209" spans="1:12" ht="16.5" customHeight="1" x14ac:dyDescent="0.35">
      <c r="A3209" t="s">
        <v>1939</v>
      </c>
      <c r="B3209" t="s">
        <v>1939</v>
      </c>
      <c r="C3209">
        <v>0</v>
      </c>
      <c r="D3209">
        <v>6069</v>
      </c>
      <c r="E3209" t="s">
        <v>10140</v>
      </c>
      <c r="F3209" t="s">
        <v>10140</v>
      </c>
      <c r="G3209" t="s">
        <v>10141</v>
      </c>
      <c r="H3209" t="s">
        <v>3489</v>
      </c>
      <c r="I3209" t="s">
        <v>3490</v>
      </c>
      <c r="J3209" s="56">
        <f t="shared" ref="J3209:J3272" si="150">IF(A3209="","",A$5-A3209)</f>
        <v>5</v>
      </c>
      <c r="K3209" s="74" t="str">
        <f t="shared" ref="K3209:K3272" si="151">IF(J3209="","",IF(J3209&lt;4,"0-3 Days",IF(J3209&lt;31,"4-30 Days",IF(J3209&lt;61,"31-60 Days",IF(J3209&lt;=90,"61-90 Days",IF(J3209&gt;90,"Above 90 Days","0"))))))</f>
        <v>4-30 Days</v>
      </c>
      <c r="L3209" s="58" t="str">
        <f t="shared" ref="L3209:L3272" si="152">IF(C3209="","",IF(C3209&gt;0,IF(J3209&lt;30,"Normal",IF(J3209&lt;60,"Especially Mentioned",IF(J3209&lt;90,"Substandard",IF(J3209&lt;=180,"Doubtful",IF(J3209&gt;180,"Loss","0"))))),"Not Applicable"))</f>
        <v>Not Applicable</v>
      </c>
    </row>
    <row r="3210" spans="1:12" ht="16.5" customHeight="1" x14ac:dyDescent="0.35">
      <c r="A3210" t="s">
        <v>1939</v>
      </c>
      <c r="B3210" t="s">
        <v>1939</v>
      </c>
      <c r="C3210">
        <v>0</v>
      </c>
      <c r="D3210">
        <v>2050</v>
      </c>
      <c r="E3210" t="s">
        <v>10142</v>
      </c>
      <c r="F3210" t="s">
        <v>10142</v>
      </c>
      <c r="G3210" t="s">
        <v>10143</v>
      </c>
      <c r="H3210" t="s">
        <v>3489</v>
      </c>
      <c r="I3210" t="s">
        <v>3490</v>
      </c>
      <c r="J3210" s="56">
        <f t="shared" si="150"/>
        <v>5</v>
      </c>
      <c r="K3210" s="74" t="str">
        <f t="shared" si="151"/>
        <v>4-30 Days</v>
      </c>
      <c r="L3210" s="58" t="str">
        <f t="shared" si="152"/>
        <v>Not Applicable</v>
      </c>
    </row>
    <row r="3211" spans="1:12" ht="16.5" customHeight="1" x14ac:dyDescent="0.35">
      <c r="A3211" t="s">
        <v>1939</v>
      </c>
      <c r="B3211" t="s">
        <v>1939</v>
      </c>
      <c r="C3211">
        <v>0</v>
      </c>
      <c r="D3211">
        <v>600</v>
      </c>
      <c r="E3211" t="s">
        <v>10144</v>
      </c>
      <c r="F3211" t="s">
        <v>10144</v>
      </c>
      <c r="G3211" t="s">
        <v>10145</v>
      </c>
      <c r="H3211" t="s">
        <v>3521</v>
      </c>
      <c r="I3211" t="s">
        <v>3490</v>
      </c>
      <c r="J3211" s="56">
        <f t="shared" si="150"/>
        <v>5</v>
      </c>
      <c r="K3211" s="74" t="str">
        <f t="shared" si="151"/>
        <v>4-30 Days</v>
      </c>
      <c r="L3211" s="58" t="str">
        <f t="shared" si="152"/>
        <v>Not Applicable</v>
      </c>
    </row>
    <row r="3212" spans="1:12" ht="16.5" customHeight="1" x14ac:dyDescent="0.35">
      <c r="A3212" t="s">
        <v>1939</v>
      </c>
      <c r="B3212" t="s">
        <v>1939</v>
      </c>
      <c r="C3212">
        <v>0</v>
      </c>
      <c r="D3212">
        <v>8192.0400000000009</v>
      </c>
      <c r="E3212" t="s">
        <v>10146</v>
      </c>
      <c r="F3212" t="s">
        <v>3574</v>
      </c>
      <c r="G3212" t="s">
        <v>10147</v>
      </c>
      <c r="H3212" t="s">
        <v>3489</v>
      </c>
      <c r="I3212" t="s">
        <v>3490</v>
      </c>
      <c r="J3212" s="56">
        <f t="shared" si="150"/>
        <v>5</v>
      </c>
      <c r="K3212" s="74" t="str">
        <f t="shared" si="151"/>
        <v>4-30 Days</v>
      </c>
      <c r="L3212" s="58" t="str">
        <f t="shared" si="152"/>
        <v>Not Applicable</v>
      </c>
    </row>
    <row r="3213" spans="1:12" ht="16.5" customHeight="1" x14ac:dyDescent="0.35">
      <c r="A3213" t="s">
        <v>1939</v>
      </c>
      <c r="B3213" t="s">
        <v>1939</v>
      </c>
      <c r="C3213">
        <v>0</v>
      </c>
      <c r="D3213">
        <v>1000</v>
      </c>
      <c r="E3213" t="s">
        <v>10148</v>
      </c>
      <c r="F3213" t="s">
        <v>10148</v>
      </c>
      <c r="G3213" t="s">
        <v>10149</v>
      </c>
      <c r="H3213" t="s">
        <v>3489</v>
      </c>
      <c r="I3213" t="s">
        <v>3490</v>
      </c>
      <c r="J3213" s="56">
        <f t="shared" si="150"/>
        <v>5</v>
      </c>
      <c r="K3213" s="74" t="str">
        <f t="shared" si="151"/>
        <v>4-30 Days</v>
      </c>
      <c r="L3213" s="58" t="str">
        <f t="shared" si="152"/>
        <v>Not Applicable</v>
      </c>
    </row>
    <row r="3214" spans="1:12" ht="16.5" customHeight="1" x14ac:dyDescent="0.35">
      <c r="A3214" t="s">
        <v>1939</v>
      </c>
      <c r="B3214" t="s">
        <v>1939</v>
      </c>
      <c r="C3214">
        <v>0</v>
      </c>
      <c r="D3214">
        <v>2050</v>
      </c>
      <c r="E3214" t="s">
        <v>10150</v>
      </c>
      <c r="F3214" t="s">
        <v>10150</v>
      </c>
      <c r="G3214" t="s">
        <v>10151</v>
      </c>
      <c r="H3214" t="s">
        <v>3489</v>
      </c>
      <c r="I3214" t="s">
        <v>3490</v>
      </c>
      <c r="J3214" s="56">
        <f t="shared" si="150"/>
        <v>5</v>
      </c>
      <c r="K3214" s="74" t="str">
        <f t="shared" si="151"/>
        <v>4-30 Days</v>
      </c>
      <c r="L3214" s="58" t="str">
        <f t="shared" si="152"/>
        <v>Not Applicable</v>
      </c>
    </row>
    <row r="3215" spans="1:12" ht="16.5" customHeight="1" x14ac:dyDescent="0.35">
      <c r="A3215" t="s">
        <v>1939</v>
      </c>
      <c r="B3215" t="s">
        <v>1939</v>
      </c>
      <c r="C3215">
        <v>0</v>
      </c>
      <c r="D3215">
        <v>2050</v>
      </c>
      <c r="E3215" t="s">
        <v>10152</v>
      </c>
      <c r="F3215" t="s">
        <v>10152</v>
      </c>
      <c r="G3215" t="s">
        <v>10153</v>
      </c>
      <c r="H3215" t="s">
        <v>3489</v>
      </c>
      <c r="I3215" t="s">
        <v>3490</v>
      </c>
      <c r="J3215" s="56">
        <f t="shared" si="150"/>
        <v>5</v>
      </c>
      <c r="K3215" s="74" t="str">
        <f t="shared" si="151"/>
        <v>4-30 Days</v>
      </c>
      <c r="L3215" s="58" t="str">
        <f t="shared" si="152"/>
        <v>Not Applicable</v>
      </c>
    </row>
    <row r="3216" spans="1:12" ht="16.5" customHeight="1" x14ac:dyDescent="0.35">
      <c r="A3216" t="s">
        <v>1939</v>
      </c>
      <c r="B3216" t="s">
        <v>1939</v>
      </c>
      <c r="C3216">
        <v>0</v>
      </c>
      <c r="D3216">
        <v>3776</v>
      </c>
      <c r="E3216" t="s">
        <v>10154</v>
      </c>
      <c r="F3216" t="s">
        <v>57</v>
      </c>
      <c r="G3216" t="s">
        <v>57</v>
      </c>
      <c r="H3216" t="s">
        <v>3914</v>
      </c>
      <c r="I3216" t="s">
        <v>3643</v>
      </c>
      <c r="J3216" s="56">
        <f t="shared" si="150"/>
        <v>5</v>
      </c>
      <c r="K3216" s="74" t="str">
        <f t="shared" si="151"/>
        <v>4-30 Days</v>
      </c>
      <c r="L3216" s="58" t="str">
        <f t="shared" si="152"/>
        <v>Not Applicable</v>
      </c>
    </row>
    <row r="3217" spans="1:12" ht="16.5" customHeight="1" x14ac:dyDescent="0.35">
      <c r="A3217" t="s">
        <v>1939</v>
      </c>
      <c r="B3217" t="s">
        <v>1939</v>
      </c>
      <c r="C3217">
        <v>0</v>
      </c>
      <c r="D3217">
        <v>101718.39999999999</v>
      </c>
      <c r="E3217" t="s">
        <v>10155</v>
      </c>
      <c r="F3217" t="s">
        <v>10156</v>
      </c>
      <c r="G3217" t="s">
        <v>10157</v>
      </c>
      <c r="H3217" t="s">
        <v>3532</v>
      </c>
      <c r="I3217" t="s">
        <v>3490</v>
      </c>
      <c r="J3217" s="56">
        <f t="shared" si="150"/>
        <v>5</v>
      </c>
      <c r="K3217" s="74" t="str">
        <f t="shared" si="151"/>
        <v>4-30 Days</v>
      </c>
      <c r="L3217" s="58" t="str">
        <f t="shared" si="152"/>
        <v>Not Applicable</v>
      </c>
    </row>
    <row r="3218" spans="1:12" ht="16.5" customHeight="1" x14ac:dyDescent="0.35">
      <c r="A3218" t="s">
        <v>2226</v>
      </c>
      <c r="B3218" t="s">
        <v>2226</v>
      </c>
      <c r="C3218">
        <v>50</v>
      </c>
      <c r="D3218">
        <v>0</v>
      </c>
      <c r="E3218" t="s">
        <v>10158</v>
      </c>
      <c r="F3218" t="s">
        <v>10158</v>
      </c>
      <c r="G3218" t="s">
        <v>10092</v>
      </c>
      <c r="H3218" t="s">
        <v>3455</v>
      </c>
      <c r="I3218" t="s">
        <v>3507</v>
      </c>
      <c r="J3218" s="56">
        <f t="shared" si="150"/>
        <v>4</v>
      </c>
      <c r="K3218" s="74" t="str">
        <f t="shared" si="151"/>
        <v>4-30 Days</v>
      </c>
      <c r="L3218" s="58" t="str">
        <f t="shared" si="152"/>
        <v>Normal</v>
      </c>
    </row>
    <row r="3219" spans="1:12" ht="16.5" customHeight="1" x14ac:dyDescent="0.35">
      <c r="A3219" t="s">
        <v>2226</v>
      </c>
      <c r="B3219" t="s">
        <v>2226</v>
      </c>
      <c r="C3219">
        <v>0</v>
      </c>
      <c r="D3219">
        <v>550</v>
      </c>
      <c r="E3219" t="s">
        <v>10159</v>
      </c>
      <c r="F3219" t="s">
        <v>10159</v>
      </c>
      <c r="G3219" t="s">
        <v>10160</v>
      </c>
      <c r="H3219" t="s">
        <v>3489</v>
      </c>
      <c r="I3219" t="s">
        <v>3490</v>
      </c>
      <c r="J3219" s="56">
        <f t="shared" si="150"/>
        <v>4</v>
      </c>
      <c r="K3219" s="74" t="str">
        <f t="shared" si="151"/>
        <v>4-30 Days</v>
      </c>
      <c r="L3219" s="58" t="str">
        <f t="shared" si="152"/>
        <v>Not Applicable</v>
      </c>
    </row>
    <row r="3220" spans="1:12" ht="16.5" customHeight="1" x14ac:dyDescent="0.35">
      <c r="A3220" t="s">
        <v>2226</v>
      </c>
      <c r="B3220" t="s">
        <v>2226</v>
      </c>
      <c r="C3220">
        <v>767887.88</v>
      </c>
      <c r="D3220">
        <v>0</v>
      </c>
      <c r="E3220" t="s">
        <v>10161</v>
      </c>
      <c r="F3220" t="s">
        <v>10161</v>
      </c>
      <c r="G3220" t="s">
        <v>10162</v>
      </c>
      <c r="H3220" t="s">
        <v>3455</v>
      </c>
      <c r="I3220" t="s">
        <v>3507</v>
      </c>
      <c r="J3220" s="56">
        <f t="shared" si="150"/>
        <v>4</v>
      </c>
      <c r="K3220" s="74" t="str">
        <f t="shared" si="151"/>
        <v>4-30 Days</v>
      </c>
      <c r="L3220" s="58" t="str">
        <f t="shared" si="152"/>
        <v>Normal</v>
      </c>
    </row>
    <row r="3221" spans="1:12" ht="16.5" customHeight="1" x14ac:dyDescent="0.35">
      <c r="A3221" t="s">
        <v>2226</v>
      </c>
      <c r="B3221" t="s">
        <v>2226</v>
      </c>
      <c r="C3221">
        <v>0</v>
      </c>
      <c r="D3221">
        <v>100</v>
      </c>
      <c r="E3221" t="s">
        <v>10163</v>
      </c>
      <c r="F3221" t="s">
        <v>10163</v>
      </c>
      <c r="G3221" t="s">
        <v>10164</v>
      </c>
      <c r="H3221" t="s">
        <v>3489</v>
      </c>
      <c r="I3221" t="s">
        <v>3490</v>
      </c>
      <c r="J3221" s="56">
        <f t="shared" si="150"/>
        <v>4</v>
      </c>
      <c r="K3221" s="74" t="str">
        <f t="shared" si="151"/>
        <v>4-30 Days</v>
      </c>
      <c r="L3221" s="58" t="str">
        <f t="shared" si="152"/>
        <v>Not Applicable</v>
      </c>
    </row>
    <row r="3222" spans="1:12" ht="16.5" customHeight="1" x14ac:dyDescent="0.35">
      <c r="A3222" t="s">
        <v>2226</v>
      </c>
      <c r="B3222" t="s">
        <v>2226</v>
      </c>
      <c r="C3222">
        <v>0</v>
      </c>
      <c r="D3222">
        <v>6229.7</v>
      </c>
      <c r="E3222" t="s">
        <v>10165</v>
      </c>
      <c r="F3222" t="s">
        <v>57</v>
      </c>
      <c r="G3222" t="s">
        <v>57</v>
      </c>
      <c r="H3222" t="s">
        <v>3914</v>
      </c>
      <c r="I3222" t="s">
        <v>3643</v>
      </c>
      <c r="J3222" s="56">
        <f t="shared" si="150"/>
        <v>4</v>
      </c>
      <c r="K3222" s="74" t="str">
        <f t="shared" si="151"/>
        <v>4-30 Days</v>
      </c>
      <c r="L3222" s="58" t="str">
        <f t="shared" si="152"/>
        <v>Not Applicable</v>
      </c>
    </row>
    <row r="3223" spans="1:12" ht="16.5" customHeight="1" x14ac:dyDescent="0.35">
      <c r="A3223" t="s">
        <v>2226</v>
      </c>
      <c r="B3223" t="s">
        <v>2226</v>
      </c>
      <c r="C3223">
        <v>0</v>
      </c>
      <c r="D3223">
        <v>94127.6</v>
      </c>
      <c r="E3223" t="s">
        <v>10166</v>
      </c>
      <c r="F3223" t="s">
        <v>10166</v>
      </c>
      <c r="G3223" t="s">
        <v>10167</v>
      </c>
      <c r="H3223" t="s">
        <v>3489</v>
      </c>
      <c r="I3223" t="s">
        <v>3490</v>
      </c>
      <c r="J3223" s="56">
        <f t="shared" si="150"/>
        <v>4</v>
      </c>
      <c r="K3223" s="74" t="str">
        <f t="shared" si="151"/>
        <v>4-30 Days</v>
      </c>
      <c r="L3223" s="58" t="str">
        <f t="shared" si="152"/>
        <v>Not Applicable</v>
      </c>
    </row>
    <row r="3224" spans="1:12" ht="16.5" customHeight="1" x14ac:dyDescent="0.35">
      <c r="A3224" t="s">
        <v>2226</v>
      </c>
      <c r="B3224" t="s">
        <v>2226</v>
      </c>
      <c r="C3224">
        <v>0</v>
      </c>
      <c r="D3224">
        <v>475</v>
      </c>
      <c r="E3224" t="s">
        <v>10168</v>
      </c>
      <c r="F3224" t="s">
        <v>10168</v>
      </c>
      <c r="G3224" t="s">
        <v>10169</v>
      </c>
      <c r="H3224" t="s">
        <v>3489</v>
      </c>
      <c r="I3224" t="s">
        <v>3490</v>
      </c>
      <c r="J3224" s="56">
        <f t="shared" si="150"/>
        <v>4</v>
      </c>
      <c r="K3224" s="74" t="str">
        <f t="shared" si="151"/>
        <v>4-30 Days</v>
      </c>
      <c r="L3224" s="58" t="str">
        <f t="shared" si="152"/>
        <v>Not Applicable</v>
      </c>
    </row>
    <row r="3225" spans="1:12" ht="16.5" customHeight="1" x14ac:dyDescent="0.35">
      <c r="A3225" t="s">
        <v>2226</v>
      </c>
      <c r="B3225" t="s">
        <v>2226</v>
      </c>
      <c r="C3225">
        <v>0</v>
      </c>
      <c r="D3225">
        <v>205</v>
      </c>
      <c r="E3225" t="s">
        <v>10170</v>
      </c>
      <c r="F3225" t="s">
        <v>10170</v>
      </c>
      <c r="G3225" t="s">
        <v>10171</v>
      </c>
      <c r="H3225" t="s">
        <v>3489</v>
      </c>
      <c r="I3225" t="s">
        <v>3490</v>
      </c>
      <c r="J3225" s="56">
        <f t="shared" si="150"/>
        <v>4</v>
      </c>
      <c r="K3225" s="74" t="str">
        <f t="shared" si="151"/>
        <v>4-30 Days</v>
      </c>
      <c r="L3225" s="58" t="str">
        <f t="shared" si="152"/>
        <v>Not Applicable</v>
      </c>
    </row>
    <row r="3226" spans="1:12" ht="16.5" customHeight="1" x14ac:dyDescent="0.35">
      <c r="A3226" t="s">
        <v>2226</v>
      </c>
      <c r="B3226" t="s">
        <v>2226</v>
      </c>
      <c r="C3226">
        <v>205</v>
      </c>
      <c r="D3226">
        <v>0</v>
      </c>
      <c r="E3226" t="s">
        <v>10172</v>
      </c>
      <c r="F3226" t="s">
        <v>10172</v>
      </c>
      <c r="G3226" t="s">
        <v>10094</v>
      </c>
      <c r="H3226" t="s">
        <v>3458</v>
      </c>
      <c r="I3226" t="s">
        <v>3507</v>
      </c>
      <c r="J3226" s="56">
        <f t="shared" si="150"/>
        <v>4</v>
      </c>
      <c r="K3226" s="74" t="str">
        <f t="shared" si="151"/>
        <v>4-30 Days</v>
      </c>
      <c r="L3226" s="58" t="str">
        <f t="shared" si="152"/>
        <v>Normal</v>
      </c>
    </row>
    <row r="3227" spans="1:12" ht="16.5" customHeight="1" x14ac:dyDescent="0.35">
      <c r="A3227" t="s">
        <v>2226</v>
      </c>
      <c r="B3227" t="s">
        <v>2226</v>
      </c>
      <c r="C3227">
        <v>0</v>
      </c>
      <c r="D3227">
        <v>100</v>
      </c>
      <c r="E3227" t="s">
        <v>10173</v>
      </c>
      <c r="F3227" t="s">
        <v>10173</v>
      </c>
      <c r="G3227" t="s">
        <v>10174</v>
      </c>
      <c r="H3227" t="s">
        <v>3489</v>
      </c>
      <c r="I3227" t="s">
        <v>3490</v>
      </c>
      <c r="J3227" s="56">
        <f t="shared" si="150"/>
        <v>4</v>
      </c>
      <c r="K3227" s="74" t="str">
        <f t="shared" si="151"/>
        <v>4-30 Days</v>
      </c>
      <c r="L3227" s="58" t="str">
        <f t="shared" si="152"/>
        <v>Not Applicable</v>
      </c>
    </row>
    <row r="3228" spans="1:12" ht="16.5" customHeight="1" x14ac:dyDescent="0.35">
      <c r="A3228" t="s">
        <v>2226</v>
      </c>
      <c r="B3228" t="s">
        <v>2226</v>
      </c>
      <c r="C3228">
        <v>0</v>
      </c>
      <c r="D3228">
        <v>205</v>
      </c>
      <c r="E3228" t="s">
        <v>10175</v>
      </c>
      <c r="F3228" t="s">
        <v>10175</v>
      </c>
      <c r="G3228" t="s">
        <v>10176</v>
      </c>
      <c r="H3228" t="s">
        <v>3489</v>
      </c>
      <c r="I3228" t="s">
        <v>3490</v>
      </c>
      <c r="J3228" s="56">
        <f t="shared" si="150"/>
        <v>4</v>
      </c>
      <c r="K3228" s="74" t="str">
        <f t="shared" si="151"/>
        <v>4-30 Days</v>
      </c>
      <c r="L3228" s="58" t="str">
        <f t="shared" si="152"/>
        <v>Not Applicable</v>
      </c>
    </row>
    <row r="3229" spans="1:12" ht="16.5" customHeight="1" x14ac:dyDescent="0.35">
      <c r="A3229" t="s">
        <v>2226</v>
      </c>
      <c r="B3229" t="s">
        <v>2226</v>
      </c>
      <c r="C3229">
        <v>1050</v>
      </c>
      <c r="D3229">
        <v>0</v>
      </c>
      <c r="E3229" t="s">
        <v>10177</v>
      </c>
      <c r="F3229" t="s">
        <v>10177</v>
      </c>
      <c r="G3229" t="s">
        <v>10178</v>
      </c>
      <c r="H3229" t="s">
        <v>3455</v>
      </c>
      <c r="I3229" t="s">
        <v>3507</v>
      </c>
      <c r="J3229" s="56">
        <f t="shared" si="150"/>
        <v>4</v>
      </c>
      <c r="K3229" s="74" t="str">
        <f t="shared" si="151"/>
        <v>4-30 Days</v>
      </c>
      <c r="L3229" s="58" t="str">
        <f t="shared" si="152"/>
        <v>Normal</v>
      </c>
    </row>
    <row r="3230" spans="1:12" ht="16.5" customHeight="1" x14ac:dyDescent="0.35">
      <c r="A3230" t="s">
        <v>2226</v>
      </c>
      <c r="B3230" t="s">
        <v>2226</v>
      </c>
      <c r="C3230">
        <v>0</v>
      </c>
      <c r="D3230">
        <v>767887.88</v>
      </c>
      <c r="E3230" t="s">
        <v>10179</v>
      </c>
      <c r="F3230" t="s">
        <v>10179</v>
      </c>
      <c r="G3230" t="s">
        <v>10162</v>
      </c>
      <c r="H3230" t="s">
        <v>3489</v>
      </c>
      <c r="I3230" t="s">
        <v>3490</v>
      </c>
      <c r="J3230" s="56">
        <f t="shared" si="150"/>
        <v>4</v>
      </c>
      <c r="K3230" s="74" t="str">
        <f t="shared" si="151"/>
        <v>4-30 Days</v>
      </c>
      <c r="L3230" s="58" t="str">
        <f t="shared" si="152"/>
        <v>Not Applicable</v>
      </c>
    </row>
    <row r="3231" spans="1:12" ht="16.5" customHeight="1" x14ac:dyDescent="0.35">
      <c r="A3231" t="s">
        <v>2226</v>
      </c>
      <c r="B3231" t="s">
        <v>2226</v>
      </c>
      <c r="C3231">
        <v>0</v>
      </c>
      <c r="D3231">
        <v>2700</v>
      </c>
      <c r="E3231" t="s">
        <v>10180</v>
      </c>
      <c r="F3231" t="s">
        <v>3499</v>
      </c>
      <c r="G3231" t="s">
        <v>10181</v>
      </c>
      <c r="H3231" t="s">
        <v>3489</v>
      </c>
      <c r="I3231" t="s">
        <v>3490</v>
      </c>
      <c r="J3231" s="56">
        <f t="shared" si="150"/>
        <v>4</v>
      </c>
      <c r="K3231" s="74" t="str">
        <f t="shared" si="151"/>
        <v>4-30 Days</v>
      </c>
      <c r="L3231" s="58" t="str">
        <f t="shared" si="152"/>
        <v>Not Applicable</v>
      </c>
    </row>
    <row r="3232" spans="1:12" ht="16.5" customHeight="1" x14ac:dyDescent="0.35">
      <c r="A3232" t="s">
        <v>2226</v>
      </c>
      <c r="B3232" t="s">
        <v>2226</v>
      </c>
      <c r="C3232">
        <v>0</v>
      </c>
      <c r="D3232">
        <v>700</v>
      </c>
      <c r="E3232" t="s">
        <v>10182</v>
      </c>
      <c r="F3232" t="s">
        <v>10183</v>
      </c>
      <c r="G3232" t="s">
        <v>10184</v>
      </c>
      <c r="H3232" t="s">
        <v>3532</v>
      </c>
      <c r="I3232" t="s">
        <v>3490</v>
      </c>
      <c r="J3232" s="56">
        <f t="shared" si="150"/>
        <v>4</v>
      </c>
      <c r="K3232" s="74" t="str">
        <f t="shared" si="151"/>
        <v>4-30 Days</v>
      </c>
      <c r="L3232" s="58" t="str">
        <f t="shared" si="152"/>
        <v>Not Applicable</v>
      </c>
    </row>
    <row r="3233" spans="1:12" ht="16.5" customHeight="1" x14ac:dyDescent="0.35">
      <c r="A3233" t="s">
        <v>2226</v>
      </c>
      <c r="B3233" t="s">
        <v>2226</v>
      </c>
      <c r="C3233">
        <v>0</v>
      </c>
      <c r="D3233">
        <v>55</v>
      </c>
      <c r="E3233" t="s">
        <v>10185</v>
      </c>
      <c r="F3233" t="s">
        <v>10186</v>
      </c>
      <c r="G3233" t="s">
        <v>10187</v>
      </c>
      <c r="H3233" t="s">
        <v>3489</v>
      </c>
      <c r="I3233" t="s">
        <v>3486</v>
      </c>
      <c r="J3233" s="56">
        <f t="shared" si="150"/>
        <v>4</v>
      </c>
      <c r="K3233" s="74" t="str">
        <f t="shared" si="151"/>
        <v>4-30 Days</v>
      </c>
      <c r="L3233" s="58" t="str">
        <f t="shared" si="152"/>
        <v>Not Applicable</v>
      </c>
    </row>
    <row r="3234" spans="1:12" ht="16.5" customHeight="1" x14ac:dyDescent="0.35">
      <c r="A3234" t="s">
        <v>2226</v>
      </c>
      <c r="B3234" t="s">
        <v>2226</v>
      </c>
      <c r="C3234">
        <v>0</v>
      </c>
      <c r="D3234">
        <v>100</v>
      </c>
      <c r="E3234" t="s">
        <v>10188</v>
      </c>
      <c r="F3234" t="s">
        <v>10188</v>
      </c>
      <c r="G3234" t="s">
        <v>10189</v>
      </c>
      <c r="H3234" t="s">
        <v>3489</v>
      </c>
      <c r="I3234" t="s">
        <v>3490</v>
      </c>
      <c r="J3234" s="56">
        <f t="shared" si="150"/>
        <v>4</v>
      </c>
      <c r="K3234" s="74" t="str">
        <f t="shared" si="151"/>
        <v>4-30 Days</v>
      </c>
      <c r="L3234" s="58" t="str">
        <f t="shared" si="152"/>
        <v>Not Applicable</v>
      </c>
    </row>
    <row r="3235" spans="1:12" ht="16.5" customHeight="1" x14ac:dyDescent="0.35">
      <c r="A3235" t="s">
        <v>2226</v>
      </c>
      <c r="B3235" t="s">
        <v>2226</v>
      </c>
      <c r="C3235">
        <v>1</v>
      </c>
      <c r="D3235">
        <v>0</v>
      </c>
      <c r="E3235" t="s">
        <v>10190</v>
      </c>
      <c r="F3235" t="s">
        <v>10190</v>
      </c>
      <c r="G3235" t="s">
        <v>10191</v>
      </c>
      <c r="H3235" t="s">
        <v>3455</v>
      </c>
      <c r="I3235" t="s">
        <v>3507</v>
      </c>
      <c r="J3235" s="56">
        <f t="shared" si="150"/>
        <v>4</v>
      </c>
      <c r="K3235" s="74" t="str">
        <f t="shared" si="151"/>
        <v>4-30 Days</v>
      </c>
      <c r="L3235" s="58" t="str">
        <f t="shared" si="152"/>
        <v>Normal</v>
      </c>
    </row>
    <row r="3236" spans="1:12" ht="16.5" customHeight="1" x14ac:dyDescent="0.35">
      <c r="A3236" t="s">
        <v>2226</v>
      </c>
      <c r="B3236" t="s">
        <v>2226</v>
      </c>
      <c r="C3236">
        <v>10000000</v>
      </c>
      <c r="D3236">
        <v>0</v>
      </c>
      <c r="E3236" t="s">
        <v>10192</v>
      </c>
      <c r="F3236" t="s">
        <v>10192</v>
      </c>
      <c r="G3236" t="s">
        <v>10193</v>
      </c>
      <c r="H3236" t="s">
        <v>4262</v>
      </c>
      <c r="I3236" t="s">
        <v>3486</v>
      </c>
      <c r="J3236" s="56">
        <f t="shared" si="150"/>
        <v>4</v>
      </c>
      <c r="K3236" s="74" t="str">
        <f t="shared" si="151"/>
        <v>4-30 Days</v>
      </c>
      <c r="L3236" s="58" t="str">
        <f t="shared" si="152"/>
        <v>Normal</v>
      </c>
    </row>
    <row r="3237" spans="1:12" ht="16.5" customHeight="1" x14ac:dyDescent="0.35">
      <c r="A3237" t="s">
        <v>2226</v>
      </c>
      <c r="B3237" t="s">
        <v>2226</v>
      </c>
      <c r="C3237">
        <v>0</v>
      </c>
      <c r="D3237">
        <v>2124</v>
      </c>
      <c r="E3237" t="s">
        <v>10194</v>
      </c>
      <c r="F3237" t="s">
        <v>3574</v>
      </c>
      <c r="G3237" t="s">
        <v>10195</v>
      </c>
      <c r="H3237" t="s">
        <v>3489</v>
      </c>
      <c r="I3237" t="s">
        <v>3490</v>
      </c>
      <c r="J3237" s="56">
        <f t="shared" si="150"/>
        <v>4</v>
      </c>
      <c r="K3237" s="74" t="str">
        <f t="shared" si="151"/>
        <v>4-30 Days</v>
      </c>
      <c r="L3237" s="58" t="str">
        <f t="shared" si="152"/>
        <v>Not Applicable</v>
      </c>
    </row>
    <row r="3238" spans="1:12" ht="16.5" customHeight="1" x14ac:dyDescent="0.35">
      <c r="A3238" t="s">
        <v>2226</v>
      </c>
      <c r="B3238" t="s">
        <v>2226</v>
      </c>
      <c r="C3238">
        <v>0</v>
      </c>
      <c r="D3238">
        <v>3100</v>
      </c>
      <c r="E3238" t="s">
        <v>10196</v>
      </c>
      <c r="F3238" t="s">
        <v>10197</v>
      </c>
      <c r="G3238" t="s">
        <v>10198</v>
      </c>
      <c r="H3238" t="s">
        <v>3532</v>
      </c>
      <c r="I3238" t="s">
        <v>3490</v>
      </c>
      <c r="J3238" s="56">
        <f t="shared" si="150"/>
        <v>4</v>
      </c>
      <c r="K3238" s="74" t="str">
        <f t="shared" si="151"/>
        <v>4-30 Days</v>
      </c>
      <c r="L3238" s="58" t="str">
        <f t="shared" si="152"/>
        <v>Not Applicable</v>
      </c>
    </row>
    <row r="3239" spans="1:12" ht="16.5" customHeight="1" x14ac:dyDescent="0.35">
      <c r="A3239" t="s">
        <v>2226</v>
      </c>
      <c r="B3239" t="s">
        <v>2226</v>
      </c>
      <c r="C3239">
        <v>0</v>
      </c>
      <c r="D3239">
        <v>1</v>
      </c>
      <c r="E3239" t="s">
        <v>10199</v>
      </c>
      <c r="F3239" t="s">
        <v>10199</v>
      </c>
      <c r="G3239" t="s">
        <v>10191</v>
      </c>
      <c r="H3239" t="s">
        <v>3489</v>
      </c>
      <c r="I3239" t="s">
        <v>3490</v>
      </c>
      <c r="J3239" s="56">
        <f t="shared" si="150"/>
        <v>4</v>
      </c>
      <c r="K3239" s="74" t="str">
        <f t="shared" si="151"/>
        <v>4-30 Days</v>
      </c>
      <c r="L3239" s="58" t="str">
        <f t="shared" si="152"/>
        <v>Not Applicable</v>
      </c>
    </row>
    <row r="3240" spans="1:12" ht="16.5" customHeight="1" x14ac:dyDescent="0.35">
      <c r="A3240" t="s">
        <v>2226</v>
      </c>
      <c r="B3240" t="s">
        <v>2226</v>
      </c>
      <c r="C3240">
        <v>0</v>
      </c>
      <c r="D3240">
        <v>715.08</v>
      </c>
      <c r="E3240" t="s">
        <v>10200</v>
      </c>
      <c r="F3240" t="s">
        <v>10201</v>
      </c>
      <c r="G3240" t="s">
        <v>10202</v>
      </c>
      <c r="H3240" t="s">
        <v>3532</v>
      </c>
      <c r="I3240" t="s">
        <v>3490</v>
      </c>
      <c r="J3240" s="56">
        <f t="shared" si="150"/>
        <v>4</v>
      </c>
      <c r="K3240" s="74" t="str">
        <f t="shared" si="151"/>
        <v>4-30 Days</v>
      </c>
      <c r="L3240" s="58" t="str">
        <f t="shared" si="152"/>
        <v>Not Applicable</v>
      </c>
    </row>
    <row r="3241" spans="1:12" ht="16.5" customHeight="1" x14ac:dyDescent="0.35">
      <c r="A3241" t="s">
        <v>2226</v>
      </c>
      <c r="B3241" t="s">
        <v>2226</v>
      </c>
      <c r="C3241">
        <v>0</v>
      </c>
      <c r="D3241">
        <v>29955.200000000001</v>
      </c>
      <c r="E3241" t="s">
        <v>10203</v>
      </c>
      <c r="F3241" t="s">
        <v>3574</v>
      </c>
      <c r="G3241" t="s">
        <v>10204</v>
      </c>
      <c r="H3241" t="s">
        <v>3489</v>
      </c>
      <c r="I3241" t="s">
        <v>3490</v>
      </c>
      <c r="J3241" s="56">
        <f t="shared" si="150"/>
        <v>4</v>
      </c>
      <c r="K3241" s="74" t="str">
        <f t="shared" si="151"/>
        <v>4-30 Days</v>
      </c>
      <c r="L3241" s="58" t="str">
        <f t="shared" si="152"/>
        <v>Not Applicable</v>
      </c>
    </row>
    <row r="3242" spans="1:12" ht="16.5" customHeight="1" x14ac:dyDescent="0.35">
      <c r="A3242" t="s">
        <v>2226</v>
      </c>
      <c r="B3242" t="s">
        <v>2226</v>
      </c>
      <c r="C3242">
        <v>0</v>
      </c>
      <c r="D3242">
        <v>212.4</v>
      </c>
      <c r="E3242" t="s">
        <v>10205</v>
      </c>
      <c r="F3242" t="s">
        <v>10206</v>
      </c>
      <c r="G3242" t="s">
        <v>10207</v>
      </c>
      <c r="H3242" t="s">
        <v>3532</v>
      </c>
      <c r="I3242" t="s">
        <v>3490</v>
      </c>
      <c r="J3242" s="56">
        <f t="shared" si="150"/>
        <v>4</v>
      </c>
      <c r="K3242" s="74" t="str">
        <f t="shared" si="151"/>
        <v>4-30 Days</v>
      </c>
      <c r="L3242" s="58" t="str">
        <f t="shared" si="152"/>
        <v>Not Applicable</v>
      </c>
    </row>
    <row r="3243" spans="1:12" ht="16.5" customHeight="1" x14ac:dyDescent="0.35">
      <c r="A3243" t="s">
        <v>2226</v>
      </c>
      <c r="B3243" t="s">
        <v>2226</v>
      </c>
      <c r="C3243">
        <v>0</v>
      </c>
      <c r="D3243">
        <v>12000</v>
      </c>
      <c r="E3243" t="s">
        <v>10208</v>
      </c>
      <c r="F3243" t="s">
        <v>10209</v>
      </c>
      <c r="G3243" t="s">
        <v>10210</v>
      </c>
      <c r="H3243" t="s">
        <v>3532</v>
      </c>
      <c r="I3243" t="s">
        <v>3490</v>
      </c>
      <c r="J3243" s="56">
        <f t="shared" si="150"/>
        <v>4</v>
      </c>
      <c r="K3243" s="74" t="str">
        <f t="shared" si="151"/>
        <v>4-30 Days</v>
      </c>
      <c r="L3243" s="58" t="str">
        <f t="shared" si="152"/>
        <v>Not Applicable</v>
      </c>
    </row>
    <row r="3244" spans="1:12" ht="16.5" customHeight="1" x14ac:dyDescent="0.35">
      <c r="A3244" t="s">
        <v>2226</v>
      </c>
      <c r="B3244" t="s">
        <v>2226</v>
      </c>
      <c r="C3244">
        <v>0</v>
      </c>
      <c r="D3244">
        <v>100</v>
      </c>
      <c r="E3244" t="s">
        <v>10211</v>
      </c>
      <c r="F3244" t="s">
        <v>10211</v>
      </c>
      <c r="G3244" t="s">
        <v>10212</v>
      </c>
      <c r="H3244" t="s">
        <v>3489</v>
      </c>
      <c r="I3244" t="s">
        <v>3490</v>
      </c>
      <c r="J3244" s="56">
        <f t="shared" si="150"/>
        <v>4</v>
      </c>
      <c r="K3244" s="74" t="str">
        <f t="shared" si="151"/>
        <v>4-30 Days</v>
      </c>
      <c r="L3244" s="58" t="str">
        <f t="shared" si="152"/>
        <v>Not Applicable</v>
      </c>
    </row>
    <row r="3245" spans="1:12" ht="16.5" customHeight="1" x14ac:dyDescent="0.35">
      <c r="A3245" t="s">
        <v>2226</v>
      </c>
      <c r="B3245" t="s">
        <v>2226</v>
      </c>
      <c r="C3245">
        <v>0</v>
      </c>
      <c r="D3245">
        <v>50</v>
      </c>
      <c r="E3245" t="s">
        <v>10213</v>
      </c>
      <c r="F3245" t="s">
        <v>10214</v>
      </c>
      <c r="G3245" t="s">
        <v>10215</v>
      </c>
      <c r="H3245" t="s">
        <v>3532</v>
      </c>
      <c r="I3245" t="s">
        <v>3490</v>
      </c>
      <c r="J3245" s="56">
        <f t="shared" si="150"/>
        <v>4</v>
      </c>
      <c r="K3245" s="74" t="str">
        <f t="shared" si="151"/>
        <v>4-30 Days</v>
      </c>
      <c r="L3245" s="58" t="str">
        <f t="shared" si="152"/>
        <v>Not Applicable</v>
      </c>
    </row>
    <row r="3246" spans="1:12" ht="16.5" customHeight="1" x14ac:dyDescent="0.35">
      <c r="A3246" t="s">
        <v>2226</v>
      </c>
      <c r="B3246" t="s">
        <v>2226</v>
      </c>
      <c r="C3246">
        <v>0</v>
      </c>
      <c r="D3246">
        <v>1000</v>
      </c>
      <c r="E3246" t="s">
        <v>10216</v>
      </c>
      <c r="F3246" t="s">
        <v>10217</v>
      </c>
      <c r="G3246" t="s">
        <v>10218</v>
      </c>
      <c r="H3246" t="s">
        <v>3489</v>
      </c>
      <c r="I3246" t="s">
        <v>3490</v>
      </c>
      <c r="J3246" s="56">
        <f t="shared" si="150"/>
        <v>4</v>
      </c>
      <c r="K3246" s="74" t="str">
        <f t="shared" si="151"/>
        <v>4-30 Days</v>
      </c>
      <c r="L3246" s="58" t="str">
        <f t="shared" si="152"/>
        <v>Not Applicable</v>
      </c>
    </row>
    <row r="3247" spans="1:12" ht="16.5" customHeight="1" x14ac:dyDescent="0.35">
      <c r="A3247" t="s">
        <v>2226</v>
      </c>
      <c r="B3247" t="s">
        <v>2226</v>
      </c>
      <c r="C3247">
        <v>0</v>
      </c>
      <c r="D3247">
        <v>8000</v>
      </c>
      <c r="E3247" t="s">
        <v>10219</v>
      </c>
      <c r="F3247" t="s">
        <v>10220</v>
      </c>
      <c r="G3247" t="s">
        <v>10221</v>
      </c>
      <c r="H3247" t="s">
        <v>3562</v>
      </c>
      <c r="I3247" t="s">
        <v>3486</v>
      </c>
      <c r="J3247" s="56">
        <f t="shared" si="150"/>
        <v>4</v>
      </c>
      <c r="K3247" s="74" t="str">
        <f t="shared" si="151"/>
        <v>4-30 Days</v>
      </c>
      <c r="L3247" s="58" t="str">
        <f t="shared" si="152"/>
        <v>Not Applicable</v>
      </c>
    </row>
    <row r="3248" spans="1:12" ht="16.5" customHeight="1" x14ac:dyDescent="0.35">
      <c r="A3248" t="s">
        <v>2226</v>
      </c>
      <c r="B3248" t="s">
        <v>2226</v>
      </c>
      <c r="C3248">
        <v>0</v>
      </c>
      <c r="D3248">
        <v>50</v>
      </c>
      <c r="E3248" t="s">
        <v>10222</v>
      </c>
      <c r="F3248" t="s">
        <v>10223</v>
      </c>
      <c r="G3248" t="s">
        <v>10224</v>
      </c>
      <c r="H3248" t="s">
        <v>3532</v>
      </c>
      <c r="I3248" t="s">
        <v>3490</v>
      </c>
      <c r="J3248" s="56">
        <f t="shared" si="150"/>
        <v>4</v>
      </c>
      <c r="K3248" s="74" t="str">
        <f t="shared" si="151"/>
        <v>4-30 Days</v>
      </c>
      <c r="L3248" s="58" t="str">
        <f t="shared" si="152"/>
        <v>Not Applicable</v>
      </c>
    </row>
    <row r="3249" spans="1:12" ht="16.5" customHeight="1" x14ac:dyDescent="0.35">
      <c r="A3249" t="s">
        <v>2226</v>
      </c>
      <c r="B3249" t="s">
        <v>2226</v>
      </c>
      <c r="C3249">
        <v>0</v>
      </c>
      <c r="D3249">
        <v>1000</v>
      </c>
      <c r="E3249" t="s">
        <v>10225</v>
      </c>
      <c r="F3249" t="s">
        <v>10226</v>
      </c>
      <c r="G3249" t="s">
        <v>10227</v>
      </c>
      <c r="H3249" t="s">
        <v>3489</v>
      </c>
      <c r="I3249" t="s">
        <v>3490</v>
      </c>
      <c r="J3249" s="56">
        <f t="shared" si="150"/>
        <v>4</v>
      </c>
      <c r="K3249" s="74" t="str">
        <f t="shared" si="151"/>
        <v>4-30 Days</v>
      </c>
      <c r="L3249" s="58" t="str">
        <f t="shared" si="152"/>
        <v>Not Applicable</v>
      </c>
    </row>
    <row r="3250" spans="1:12" ht="16.5" customHeight="1" x14ac:dyDescent="0.35">
      <c r="A3250" t="s">
        <v>2226</v>
      </c>
      <c r="B3250" t="s">
        <v>2226</v>
      </c>
      <c r="C3250">
        <v>100000</v>
      </c>
      <c r="D3250">
        <v>0</v>
      </c>
      <c r="E3250" t="s">
        <v>10228</v>
      </c>
      <c r="F3250" t="s">
        <v>10228</v>
      </c>
      <c r="G3250" t="s">
        <v>10229</v>
      </c>
      <c r="H3250" t="s">
        <v>6230</v>
      </c>
      <c r="I3250" t="s">
        <v>3486</v>
      </c>
      <c r="J3250" s="56">
        <f t="shared" si="150"/>
        <v>4</v>
      </c>
      <c r="K3250" s="74" t="str">
        <f t="shared" si="151"/>
        <v>4-30 Days</v>
      </c>
      <c r="L3250" s="58" t="str">
        <f t="shared" si="152"/>
        <v>Normal</v>
      </c>
    </row>
    <row r="3251" spans="1:12" ht="16.5" customHeight="1" x14ac:dyDescent="0.35">
      <c r="A3251" t="s">
        <v>2226</v>
      </c>
      <c r="B3251" t="s">
        <v>2226</v>
      </c>
      <c r="C3251">
        <v>475</v>
      </c>
      <c r="D3251">
        <v>0</v>
      </c>
      <c r="E3251" t="s">
        <v>10230</v>
      </c>
      <c r="F3251" t="s">
        <v>10230</v>
      </c>
      <c r="G3251" t="s">
        <v>10169</v>
      </c>
      <c r="H3251" t="s">
        <v>3458</v>
      </c>
      <c r="I3251" t="s">
        <v>3507</v>
      </c>
      <c r="J3251" s="56">
        <f t="shared" si="150"/>
        <v>4</v>
      </c>
      <c r="K3251" s="74" t="str">
        <f t="shared" si="151"/>
        <v>4-30 Days</v>
      </c>
      <c r="L3251" s="58" t="str">
        <f t="shared" si="152"/>
        <v>Normal</v>
      </c>
    </row>
    <row r="3252" spans="1:12" ht="16.5" customHeight="1" x14ac:dyDescent="0.35">
      <c r="A3252" t="s">
        <v>2226</v>
      </c>
      <c r="B3252" t="s">
        <v>2226</v>
      </c>
      <c r="C3252">
        <v>0</v>
      </c>
      <c r="D3252">
        <v>205</v>
      </c>
      <c r="E3252" t="s">
        <v>10231</v>
      </c>
      <c r="F3252" t="s">
        <v>10231</v>
      </c>
      <c r="G3252" t="s">
        <v>10232</v>
      </c>
      <c r="H3252" t="s">
        <v>3489</v>
      </c>
      <c r="I3252" t="s">
        <v>3490</v>
      </c>
      <c r="J3252" s="56">
        <f t="shared" si="150"/>
        <v>4</v>
      </c>
      <c r="K3252" s="74" t="str">
        <f t="shared" si="151"/>
        <v>4-30 Days</v>
      </c>
      <c r="L3252" s="58" t="str">
        <f t="shared" si="152"/>
        <v>Not Applicable</v>
      </c>
    </row>
    <row r="3253" spans="1:12" ht="16.5" customHeight="1" x14ac:dyDescent="0.35">
      <c r="A3253" t="s">
        <v>2226</v>
      </c>
      <c r="B3253" t="s">
        <v>2226</v>
      </c>
      <c r="C3253">
        <v>0</v>
      </c>
      <c r="D3253">
        <v>1050</v>
      </c>
      <c r="E3253" t="s">
        <v>10233</v>
      </c>
      <c r="F3253" t="s">
        <v>10233</v>
      </c>
      <c r="G3253" t="s">
        <v>10178</v>
      </c>
      <c r="H3253" t="s">
        <v>3489</v>
      </c>
      <c r="I3253" t="s">
        <v>3490</v>
      </c>
      <c r="J3253" s="56">
        <f t="shared" si="150"/>
        <v>4</v>
      </c>
      <c r="K3253" s="74" t="str">
        <f t="shared" si="151"/>
        <v>4-30 Days</v>
      </c>
      <c r="L3253" s="58" t="str">
        <f t="shared" si="152"/>
        <v>Not Applicable</v>
      </c>
    </row>
    <row r="3254" spans="1:12" ht="16.5" customHeight="1" x14ac:dyDescent="0.35">
      <c r="A3254" t="s">
        <v>2226</v>
      </c>
      <c r="B3254" t="s">
        <v>2226</v>
      </c>
      <c r="C3254">
        <v>0</v>
      </c>
      <c r="D3254">
        <v>283.2</v>
      </c>
      <c r="E3254" t="s">
        <v>10234</v>
      </c>
      <c r="F3254" t="s">
        <v>10235</v>
      </c>
      <c r="G3254" t="s">
        <v>10236</v>
      </c>
      <c r="H3254" t="s">
        <v>3532</v>
      </c>
      <c r="I3254" t="s">
        <v>3490</v>
      </c>
      <c r="J3254" s="56">
        <f t="shared" si="150"/>
        <v>4</v>
      </c>
      <c r="K3254" s="74" t="str">
        <f t="shared" si="151"/>
        <v>4-30 Days</v>
      </c>
      <c r="L3254" s="58" t="str">
        <f t="shared" si="152"/>
        <v>Not Applicable</v>
      </c>
    </row>
    <row r="3255" spans="1:12" ht="16.5" customHeight="1" x14ac:dyDescent="0.35">
      <c r="A3255" t="s">
        <v>2226</v>
      </c>
      <c r="B3255" t="s">
        <v>2226</v>
      </c>
      <c r="C3255">
        <v>0</v>
      </c>
      <c r="D3255">
        <v>1500</v>
      </c>
      <c r="E3255" t="s">
        <v>10237</v>
      </c>
      <c r="F3255" t="s">
        <v>10237</v>
      </c>
      <c r="G3255" t="s">
        <v>10238</v>
      </c>
      <c r="H3255" t="s">
        <v>3489</v>
      </c>
      <c r="I3255" t="s">
        <v>3490</v>
      </c>
      <c r="J3255" s="56">
        <f t="shared" si="150"/>
        <v>4</v>
      </c>
      <c r="K3255" s="74" t="str">
        <f t="shared" si="151"/>
        <v>4-30 Days</v>
      </c>
      <c r="L3255" s="58" t="str">
        <f t="shared" si="152"/>
        <v>Not Applicable</v>
      </c>
    </row>
    <row r="3256" spans="1:12" ht="16.5" customHeight="1" x14ac:dyDescent="0.35">
      <c r="A3256" t="s">
        <v>2226</v>
      </c>
      <c r="B3256" t="s">
        <v>2226</v>
      </c>
      <c r="C3256">
        <v>0</v>
      </c>
      <c r="D3256">
        <v>2124</v>
      </c>
      <c r="E3256" t="s">
        <v>10239</v>
      </c>
      <c r="F3256" t="s">
        <v>3574</v>
      </c>
      <c r="G3256" t="s">
        <v>10240</v>
      </c>
      <c r="H3256" t="s">
        <v>3489</v>
      </c>
      <c r="I3256" t="s">
        <v>3490</v>
      </c>
      <c r="J3256" s="56">
        <f t="shared" si="150"/>
        <v>4</v>
      </c>
      <c r="K3256" s="74" t="str">
        <f t="shared" si="151"/>
        <v>4-30 Days</v>
      </c>
      <c r="L3256" s="58" t="str">
        <f t="shared" si="152"/>
        <v>Not Applicable</v>
      </c>
    </row>
    <row r="3257" spans="1:12" ht="16.5" customHeight="1" x14ac:dyDescent="0.35">
      <c r="A3257" t="s">
        <v>2226</v>
      </c>
      <c r="B3257" t="s">
        <v>2226</v>
      </c>
      <c r="C3257">
        <v>0</v>
      </c>
      <c r="D3257">
        <v>2955.56</v>
      </c>
      <c r="E3257" t="s">
        <v>10241</v>
      </c>
      <c r="F3257" t="s">
        <v>10241</v>
      </c>
      <c r="G3257" t="s">
        <v>10242</v>
      </c>
      <c r="H3257" t="s">
        <v>3489</v>
      </c>
      <c r="I3257" t="s">
        <v>3486</v>
      </c>
      <c r="J3257" s="56">
        <f t="shared" si="150"/>
        <v>4</v>
      </c>
      <c r="K3257" s="74" t="str">
        <f t="shared" si="151"/>
        <v>4-30 Days</v>
      </c>
      <c r="L3257" s="58" t="str">
        <f t="shared" si="152"/>
        <v>Not Applicable</v>
      </c>
    </row>
    <row r="3258" spans="1:12" ht="16.5" customHeight="1" x14ac:dyDescent="0.35">
      <c r="A3258" t="s">
        <v>2226</v>
      </c>
      <c r="B3258" t="s">
        <v>2226</v>
      </c>
      <c r="C3258">
        <v>0</v>
      </c>
      <c r="D3258">
        <v>250</v>
      </c>
      <c r="E3258" t="s">
        <v>10243</v>
      </c>
      <c r="F3258" t="s">
        <v>10243</v>
      </c>
      <c r="G3258" t="s">
        <v>10244</v>
      </c>
      <c r="H3258" t="s">
        <v>3489</v>
      </c>
      <c r="I3258" t="s">
        <v>3490</v>
      </c>
      <c r="J3258" s="56">
        <f t="shared" si="150"/>
        <v>4</v>
      </c>
      <c r="K3258" s="74" t="str">
        <f t="shared" si="151"/>
        <v>4-30 Days</v>
      </c>
      <c r="L3258" s="58" t="str">
        <f t="shared" si="152"/>
        <v>Not Applicable</v>
      </c>
    </row>
    <row r="3259" spans="1:12" ht="16.5" customHeight="1" x14ac:dyDescent="0.35">
      <c r="A3259" t="s">
        <v>2226</v>
      </c>
      <c r="B3259" t="s">
        <v>2226</v>
      </c>
      <c r="C3259">
        <v>0</v>
      </c>
      <c r="D3259">
        <v>100</v>
      </c>
      <c r="E3259" t="s">
        <v>10245</v>
      </c>
      <c r="F3259" t="s">
        <v>10245</v>
      </c>
      <c r="G3259" t="s">
        <v>10246</v>
      </c>
      <c r="H3259" t="s">
        <v>3489</v>
      </c>
      <c r="I3259" t="s">
        <v>3490</v>
      </c>
      <c r="J3259" s="56">
        <f t="shared" si="150"/>
        <v>4</v>
      </c>
      <c r="K3259" s="74" t="str">
        <f t="shared" si="151"/>
        <v>4-30 Days</v>
      </c>
      <c r="L3259" s="58" t="str">
        <f t="shared" si="152"/>
        <v>Not Applicable</v>
      </c>
    </row>
    <row r="3260" spans="1:12" ht="16.5" customHeight="1" x14ac:dyDescent="0.35">
      <c r="A3260" t="s">
        <v>2226</v>
      </c>
      <c r="B3260" t="s">
        <v>2226</v>
      </c>
      <c r="C3260">
        <v>0</v>
      </c>
      <c r="D3260">
        <v>3431</v>
      </c>
      <c r="E3260" t="s">
        <v>10247</v>
      </c>
      <c r="F3260" t="s">
        <v>3574</v>
      </c>
      <c r="G3260" t="s">
        <v>10248</v>
      </c>
      <c r="H3260" t="s">
        <v>3489</v>
      </c>
      <c r="I3260" t="s">
        <v>3490</v>
      </c>
      <c r="J3260" s="56">
        <f t="shared" si="150"/>
        <v>4</v>
      </c>
      <c r="K3260" s="74" t="str">
        <f t="shared" si="151"/>
        <v>4-30 Days</v>
      </c>
      <c r="L3260" s="58" t="str">
        <f t="shared" si="152"/>
        <v>Not Applicable</v>
      </c>
    </row>
    <row r="3261" spans="1:12" ht="16.5" customHeight="1" x14ac:dyDescent="0.35">
      <c r="A3261" t="s">
        <v>2226</v>
      </c>
      <c r="B3261" t="s">
        <v>2226</v>
      </c>
      <c r="C3261">
        <v>0</v>
      </c>
      <c r="D3261">
        <v>100</v>
      </c>
      <c r="E3261" t="s">
        <v>10249</v>
      </c>
      <c r="F3261" t="s">
        <v>10249</v>
      </c>
      <c r="G3261" t="s">
        <v>10250</v>
      </c>
      <c r="H3261" t="s">
        <v>3489</v>
      </c>
      <c r="I3261" t="s">
        <v>3490</v>
      </c>
      <c r="J3261" s="56">
        <f t="shared" si="150"/>
        <v>4</v>
      </c>
      <c r="K3261" s="74" t="str">
        <f t="shared" si="151"/>
        <v>4-30 Days</v>
      </c>
      <c r="L3261" s="58" t="str">
        <f t="shared" si="152"/>
        <v>Not Applicable</v>
      </c>
    </row>
    <row r="3262" spans="1:12" ht="16.5" customHeight="1" x14ac:dyDescent="0.35">
      <c r="A3262" t="s">
        <v>2226</v>
      </c>
      <c r="B3262" t="s">
        <v>2226</v>
      </c>
      <c r="C3262">
        <v>0</v>
      </c>
      <c r="D3262">
        <v>2050</v>
      </c>
      <c r="E3262" t="s">
        <v>10251</v>
      </c>
      <c r="F3262" t="s">
        <v>10251</v>
      </c>
      <c r="G3262" t="s">
        <v>10252</v>
      </c>
      <c r="H3262" t="s">
        <v>3489</v>
      </c>
      <c r="I3262" t="s">
        <v>3490</v>
      </c>
      <c r="J3262" s="56">
        <f t="shared" si="150"/>
        <v>4</v>
      </c>
      <c r="K3262" s="74" t="str">
        <f t="shared" si="151"/>
        <v>4-30 Days</v>
      </c>
      <c r="L3262" s="58" t="str">
        <f t="shared" si="152"/>
        <v>Not Applicable</v>
      </c>
    </row>
    <row r="3263" spans="1:12" ht="16.5" customHeight="1" x14ac:dyDescent="0.35">
      <c r="A3263" t="s">
        <v>2226</v>
      </c>
      <c r="B3263" t="s">
        <v>2226</v>
      </c>
      <c r="C3263">
        <v>0</v>
      </c>
      <c r="D3263">
        <v>2100</v>
      </c>
      <c r="E3263" t="s">
        <v>10253</v>
      </c>
      <c r="F3263" t="s">
        <v>10253</v>
      </c>
      <c r="G3263" t="s">
        <v>10254</v>
      </c>
      <c r="H3263" t="s">
        <v>3532</v>
      </c>
      <c r="I3263" t="s">
        <v>3490</v>
      </c>
      <c r="J3263" s="56">
        <f t="shared" si="150"/>
        <v>4</v>
      </c>
      <c r="K3263" s="74" t="str">
        <f t="shared" si="151"/>
        <v>4-30 Days</v>
      </c>
      <c r="L3263" s="58" t="str">
        <f t="shared" si="152"/>
        <v>Not Applicable</v>
      </c>
    </row>
    <row r="3264" spans="1:12" ht="16.5" customHeight="1" x14ac:dyDescent="0.35">
      <c r="A3264" t="s">
        <v>2226</v>
      </c>
      <c r="B3264" t="s">
        <v>2226</v>
      </c>
      <c r="C3264">
        <v>0</v>
      </c>
      <c r="D3264">
        <v>205</v>
      </c>
      <c r="E3264" t="s">
        <v>10255</v>
      </c>
      <c r="F3264" t="s">
        <v>10255</v>
      </c>
      <c r="G3264" t="s">
        <v>10256</v>
      </c>
      <c r="H3264" t="s">
        <v>3489</v>
      </c>
      <c r="I3264" t="s">
        <v>3490</v>
      </c>
      <c r="J3264" s="56">
        <f t="shared" si="150"/>
        <v>4</v>
      </c>
      <c r="K3264" s="74" t="str">
        <f t="shared" si="151"/>
        <v>4-30 Days</v>
      </c>
      <c r="L3264" s="58" t="str">
        <f t="shared" si="152"/>
        <v>Not Applicable</v>
      </c>
    </row>
    <row r="3265" spans="1:12" ht="16.5" customHeight="1" x14ac:dyDescent="0.35">
      <c r="A3265" t="s">
        <v>2226</v>
      </c>
      <c r="B3265" t="s">
        <v>2226</v>
      </c>
      <c r="C3265">
        <v>0</v>
      </c>
      <c r="D3265">
        <v>100</v>
      </c>
      <c r="E3265" t="s">
        <v>10257</v>
      </c>
      <c r="F3265" t="s">
        <v>10257</v>
      </c>
      <c r="G3265" t="s">
        <v>10258</v>
      </c>
      <c r="H3265" t="s">
        <v>3489</v>
      </c>
      <c r="I3265" t="s">
        <v>3490</v>
      </c>
      <c r="J3265" s="56">
        <f t="shared" si="150"/>
        <v>4</v>
      </c>
      <c r="K3265" s="74" t="str">
        <f t="shared" si="151"/>
        <v>4-30 Days</v>
      </c>
      <c r="L3265" s="58" t="str">
        <f t="shared" si="152"/>
        <v>Not Applicable</v>
      </c>
    </row>
    <row r="3266" spans="1:12" ht="16.5" customHeight="1" x14ac:dyDescent="0.35">
      <c r="A3266" t="s">
        <v>2226</v>
      </c>
      <c r="B3266" t="s">
        <v>2226</v>
      </c>
      <c r="C3266">
        <v>0</v>
      </c>
      <c r="D3266">
        <v>16470.3</v>
      </c>
      <c r="E3266" t="s">
        <v>10259</v>
      </c>
      <c r="F3266" t="s">
        <v>3574</v>
      </c>
      <c r="G3266" t="s">
        <v>10260</v>
      </c>
      <c r="H3266" t="s">
        <v>3489</v>
      </c>
      <c r="I3266" t="s">
        <v>3490</v>
      </c>
      <c r="J3266" s="56">
        <f t="shared" si="150"/>
        <v>4</v>
      </c>
      <c r="K3266" s="74" t="str">
        <f t="shared" si="151"/>
        <v>4-30 Days</v>
      </c>
      <c r="L3266" s="58" t="str">
        <f t="shared" si="152"/>
        <v>Not Applicable</v>
      </c>
    </row>
    <row r="3267" spans="1:12" ht="16.5" customHeight="1" x14ac:dyDescent="0.35">
      <c r="A3267" t="s">
        <v>2226</v>
      </c>
      <c r="B3267" t="s">
        <v>2226</v>
      </c>
      <c r="C3267">
        <v>0</v>
      </c>
      <c r="D3267">
        <v>600</v>
      </c>
      <c r="E3267" t="s">
        <v>10261</v>
      </c>
      <c r="F3267" t="s">
        <v>10261</v>
      </c>
      <c r="G3267" t="s">
        <v>10262</v>
      </c>
      <c r="H3267" t="s">
        <v>3489</v>
      </c>
      <c r="I3267" t="s">
        <v>3490</v>
      </c>
      <c r="J3267" s="56">
        <f t="shared" si="150"/>
        <v>4</v>
      </c>
      <c r="K3267" s="74" t="str">
        <f t="shared" si="151"/>
        <v>4-30 Days</v>
      </c>
      <c r="L3267" s="58" t="str">
        <f t="shared" si="152"/>
        <v>Not Applicable</v>
      </c>
    </row>
    <row r="3268" spans="1:12" ht="16.5" customHeight="1" x14ac:dyDescent="0.35">
      <c r="A3268" t="s">
        <v>2263</v>
      </c>
      <c r="B3268" t="s">
        <v>2263</v>
      </c>
      <c r="C3268">
        <v>3982730.81</v>
      </c>
      <c r="D3268">
        <v>0</v>
      </c>
      <c r="E3268" t="s">
        <v>10263</v>
      </c>
      <c r="F3268" t="s">
        <v>10263</v>
      </c>
      <c r="G3268" t="s">
        <v>10264</v>
      </c>
      <c r="H3268" t="s">
        <v>3455</v>
      </c>
      <c r="I3268" t="s">
        <v>3486</v>
      </c>
      <c r="J3268" s="56">
        <f t="shared" si="150"/>
        <v>3</v>
      </c>
      <c r="K3268" s="74" t="str">
        <f t="shared" si="151"/>
        <v>0-3 Days</v>
      </c>
      <c r="L3268" s="58" t="str">
        <f t="shared" si="152"/>
        <v>Normal</v>
      </c>
    </row>
    <row r="3269" spans="1:12" ht="16.5" customHeight="1" x14ac:dyDescent="0.35">
      <c r="A3269" t="s">
        <v>2263</v>
      </c>
      <c r="B3269" t="s">
        <v>2263</v>
      </c>
      <c r="C3269">
        <v>0</v>
      </c>
      <c r="D3269">
        <v>250</v>
      </c>
      <c r="E3269" t="s">
        <v>10265</v>
      </c>
      <c r="F3269" t="s">
        <v>10265</v>
      </c>
      <c r="G3269" t="s">
        <v>10266</v>
      </c>
      <c r="H3269" t="s">
        <v>3489</v>
      </c>
      <c r="I3269" t="s">
        <v>3490</v>
      </c>
      <c r="J3269" s="56">
        <f t="shared" si="150"/>
        <v>3</v>
      </c>
      <c r="K3269" s="74" t="str">
        <f t="shared" si="151"/>
        <v>0-3 Days</v>
      </c>
      <c r="L3269" s="58" t="str">
        <f t="shared" si="152"/>
        <v>Not Applicable</v>
      </c>
    </row>
    <row r="3270" spans="1:12" ht="16.5" customHeight="1" x14ac:dyDescent="0.35">
      <c r="A3270" t="s">
        <v>2263</v>
      </c>
      <c r="B3270" t="s">
        <v>2263</v>
      </c>
      <c r="C3270">
        <v>0</v>
      </c>
      <c r="D3270">
        <v>1000</v>
      </c>
      <c r="E3270" t="s">
        <v>10267</v>
      </c>
      <c r="F3270" t="s">
        <v>3574</v>
      </c>
      <c r="G3270" t="s">
        <v>10268</v>
      </c>
      <c r="H3270" t="s">
        <v>3489</v>
      </c>
      <c r="I3270" t="s">
        <v>3490</v>
      </c>
      <c r="J3270" s="56">
        <f t="shared" si="150"/>
        <v>3</v>
      </c>
      <c r="K3270" s="74" t="str">
        <f t="shared" si="151"/>
        <v>0-3 Days</v>
      </c>
      <c r="L3270" s="58" t="str">
        <f t="shared" si="152"/>
        <v>Not Applicable</v>
      </c>
    </row>
    <row r="3271" spans="1:12" ht="16.5" customHeight="1" x14ac:dyDescent="0.35">
      <c r="A3271" t="s">
        <v>2263</v>
      </c>
      <c r="B3271" t="s">
        <v>2263</v>
      </c>
      <c r="C3271">
        <v>100</v>
      </c>
      <c r="D3271">
        <v>0</v>
      </c>
      <c r="E3271" t="s">
        <v>10269</v>
      </c>
      <c r="F3271" t="s">
        <v>10269</v>
      </c>
      <c r="G3271" t="s">
        <v>10174</v>
      </c>
      <c r="H3271" t="s">
        <v>3458</v>
      </c>
      <c r="I3271" t="s">
        <v>3507</v>
      </c>
      <c r="J3271" s="56">
        <f t="shared" si="150"/>
        <v>3</v>
      </c>
      <c r="K3271" s="74" t="str">
        <f t="shared" si="151"/>
        <v>0-3 Days</v>
      </c>
      <c r="L3271" s="58" t="str">
        <f t="shared" si="152"/>
        <v>Normal</v>
      </c>
    </row>
    <row r="3272" spans="1:12" ht="16.5" customHeight="1" x14ac:dyDescent="0.35">
      <c r="A3272" t="s">
        <v>2263</v>
      </c>
      <c r="B3272" t="s">
        <v>2263</v>
      </c>
      <c r="C3272">
        <v>94127.6</v>
      </c>
      <c r="D3272">
        <v>0</v>
      </c>
      <c r="E3272" t="s">
        <v>10270</v>
      </c>
      <c r="F3272" t="s">
        <v>10270</v>
      </c>
      <c r="G3272" t="s">
        <v>10167</v>
      </c>
      <c r="H3272" t="s">
        <v>3455</v>
      </c>
      <c r="I3272" t="s">
        <v>3507</v>
      </c>
      <c r="J3272" s="56">
        <f t="shared" si="150"/>
        <v>3</v>
      </c>
      <c r="K3272" s="74" t="str">
        <f t="shared" si="151"/>
        <v>0-3 Days</v>
      </c>
      <c r="L3272" s="58" t="str">
        <f t="shared" si="152"/>
        <v>Normal</v>
      </c>
    </row>
    <row r="3273" spans="1:12" ht="16.5" customHeight="1" x14ac:dyDescent="0.35">
      <c r="A3273" t="s">
        <v>2263</v>
      </c>
      <c r="B3273" t="s">
        <v>2263</v>
      </c>
      <c r="C3273">
        <v>0</v>
      </c>
      <c r="D3273">
        <v>3330000</v>
      </c>
      <c r="E3273" t="s">
        <v>10271</v>
      </c>
      <c r="F3273" t="s">
        <v>10271</v>
      </c>
      <c r="G3273" t="s">
        <v>10272</v>
      </c>
      <c r="H3273" t="s">
        <v>3489</v>
      </c>
      <c r="I3273" t="s">
        <v>3490</v>
      </c>
      <c r="J3273" s="56">
        <f t="shared" ref="J3273:J3336" si="153">IF(A3273="","",A$5-A3273)</f>
        <v>3</v>
      </c>
      <c r="K3273" s="74" t="str">
        <f t="shared" ref="K3273:K3336" si="154">IF(J3273="","",IF(J3273&lt;4,"0-3 Days",IF(J3273&lt;31,"4-30 Days",IF(J3273&lt;61,"31-60 Days",IF(J3273&lt;=90,"61-90 Days",IF(J3273&gt;90,"Above 90 Days","0"))))))</f>
        <v>0-3 Days</v>
      </c>
      <c r="L3273" s="58" t="str">
        <f t="shared" ref="L3273:L3336" si="155">IF(C3273="","",IF(C3273&gt;0,IF(J3273&lt;30,"Normal",IF(J3273&lt;60,"Especially Mentioned",IF(J3273&lt;90,"Substandard",IF(J3273&lt;=180,"Doubtful",IF(J3273&gt;180,"Loss","0"))))),"Not Applicable"))</f>
        <v>Not Applicable</v>
      </c>
    </row>
    <row r="3274" spans="1:12" ht="16.5" customHeight="1" x14ac:dyDescent="0.35">
      <c r="A3274" t="s">
        <v>2263</v>
      </c>
      <c r="B3274" t="s">
        <v>2263</v>
      </c>
      <c r="C3274">
        <v>0</v>
      </c>
      <c r="D3274">
        <v>3100</v>
      </c>
      <c r="E3274" t="s">
        <v>10273</v>
      </c>
      <c r="F3274" t="s">
        <v>10274</v>
      </c>
      <c r="G3274" t="s">
        <v>10275</v>
      </c>
      <c r="H3274" t="s">
        <v>3489</v>
      </c>
      <c r="I3274" t="s">
        <v>3490</v>
      </c>
      <c r="J3274" s="56">
        <f t="shared" si="153"/>
        <v>3</v>
      </c>
      <c r="K3274" s="74" t="str">
        <f t="shared" si="154"/>
        <v>0-3 Days</v>
      </c>
      <c r="L3274" s="58" t="str">
        <f t="shared" si="155"/>
        <v>Not Applicable</v>
      </c>
    </row>
    <row r="3275" spans="1:12" ht="16.5" customHeight="1" x14ac:dyDescent="0.35">
      <c r="A3275" t="s">
        <v>2263</v>
      </c>
      <c r="B3275" t="s">
        <v>2263</v>
      </c>
      <c r="C3275">
        <v>0</v>
      </c>
      <c r="D3275">
        <v>1000</v>
      </c>
      <c r="E3275" t="s">
        <v>10276</v>
      </c>
      <c r="F3275" t="s">
        <v>10276</v>
      </c>
      <c r="G3275" t="s">
        <v>10277</v>
      </c>
      <c r="H3275" t="s">
        <v>3489</v>
      </c>
      <c r="I3275" t="s">
        <v>3490</v>
      </c>
      <c r="J3275" s="56">
        <f t="shared" si="153"/>
        <v>3</v>
      </c>
      <c r="K3275" s="74" t="str">
        <f t="shared" si="154"/>
        <v>0-3 Days</v>
      </c>
      <c r="L3275" s="58" t="str">
        <f t="shared" si="155"/>
        <v>Not Applicable</v>
      </c>
    </row>
    <row r="3276" spans="1:12" ht="16.5" customHeight="1" x14ac:dyDescent="0.35">
      <c r="A3276" t="s">
        <v>2263</v>
      </c>
      <c r="B3276" t="s">
        <v>2263</v>
      </c>
      <c r="C3276">
        <v>0</v>
      </c>
      <c r="D3276">
        <v>250</v>
      </c>
      <c r="E3276" t="s">
        <v>10278</v>
      </c>
      <c r="F3276" t="s">
        <v>10278</v>
      </c>
      <c r="G3276" t="s">
        <v>10279</v>
      </c>
      <c r="H3276" t="s">
        <v>3489</v>
      </c>
      <c r="I3276" t="s">
        <v>3490</v>
      </c>
      <c r="J3276" s="56">
        <f t="shared" si="153"/>
        <v>3</v>
      </c>
      <c r="K3276" s="74" t="str">
        <f t="shared" si="154"/>
        <v>0-3 Days</v>
      </c>
      <c r="L3276" s="58" t="str">
        <f t="shared" si="155"/>
        <v>Not Applicable</v>
      </c>
    </row>
    <row r="3277" spans="1:12" ht="16.5" customHeight="1" x14ac:dyDescent="0.35">
      <c r="A3277" t="s">
        <v>2263</v>
      </c>
      <c r="B3277" t="s">
        <v>2263</v>
      </c>
      <c r="C3277">
        <v>0</v>
      </c>
      <c r="D3277">
        <v>10000</v>
      </c>
      <c r="E3277" t="s">
        <v>10280</v>
      </c>
      <c r="F3277" t="s">
        <v>10280</v>
      </c>
      <c r="G3277" t="s">
        <v>10281</v>
      </c>
      <c r="H3277" t="s">
        <v>3489</v>
      </c>
      <c r="I3277" t="s">
        <v>3490</v>
      </c>
      <c r="J3277" s="56">
        <f t="shared" si="153"/>
        <v>3</v>
      </c>
      <c r="K3277" s="74" t="str">
        <f t="shared" si="154"/>
        <v>0-3 Days</v>
      </c>
      <c r="L3277" s="58" t="str">
        <f t="shared" si="155"/>
        <v>Not Applicable</v>
      </c>
    </row>
    <row r="3278" spans="1:12" ht="16.5" customHeight="1" x14ac:dyDescent="0.35">
      <c r="A3278" t="s">
        <v>2263</v>
      </c>
      <c r="B3278" t="s">
        <v>2263</v>
      </c>
      <c r="C3278">
        <v>100</v>
      </c>
      <c r="D3278">
        <v>0</v>
      </c>
      <c r="E3278" t="s">
        <v>10282</v>
      </c>
      <c r="F3278" t="s">
        <v>10282</v>
      </c>
      <c r="G3278" t="s">
        <v>10250</v>
      </c>
      <c r="H3278" t="s">
        <v>3458</v>
      </c>
      <c r="I3278" t="s">
        <v>3507</v>
      </c>
      <c r="J3278" s="56">
        <f t="shared" si="153"/>
        <v>3</v>
      </c>
      <c r="K3278" s="74" t="str">
        <f t="shared" si="154"/>
        <v>0-3 Days</v>
      </c>
      <c r="L3278" s="58" t="str">
        <f t="shared" si="155"/>
        <v>Normal</v>
      </c>
    </row>
    <row r="3279" spans="1:12" ht="16.5" customHeight="1" x14ac:dyDescent="0.35">
      <c r="A3279" t="s">
        <v>2263</v>
      </c>
      <c r="B3279" t="s">
        <v>2263</v>
      </c>
      <c r="C3279">
        <v>0</v>
      </c>
      <c r="D3279">
        <v>5000</v>
      </c>
      <c r="E3279" t="s">
        <v>10283</v>
      </c>
      <c r="F3279" t="s">
        <v>10283</v>
      </c>
      <c r="G3279" t="s">
        <v>10284</v>
      </c>
      <c r="H3279" t="s">
        <v>3489</v>
      </c>
      <c r="I3279" t="s">
        <v>3490</v>
      </c>
      <c r="J3279" s="56">
        <f t="shared" si="153"/>
        <v>3</v>
      </c>
      <c r="K3279" s="74" t="str">
        <f t="shared" si="154"/>
        <v>0-3 Days</v>
      </c>
      <c r="L3279" s="58" t="str">
        <f t="shared" si="155"/>
        <v>Not Applicable</v>
      </c>
    </row>
    <row r="3280" spans="1:12" ht="16.5" customHeight="1" x14ac:dyDescent="0.35">
      <c r="A3280" t="s">
        <v>2263</v>
      </c>
      <c r="B3280" t="s">
        <v>2263</v>
      </c>
      <c r="C3280">
        <v>0</v>
      </c>
      <c r="D3280">
        <v>1000</v>
      </c>
      <c r="E3280" t="s">
        <v>10285</v>
      </c>
      <c r="F3280" t="s">
        <v>10285</v>
      </c>
      <c r="G3280" t="s">
        <v>10286</v>
      </c>
      <c r="H3280" t="s">
        <v>3489</v>
      </c>
      <c r="I3280" t="s">
        <v>3490</v>
      </c>
      <c r="J3280" s="56">
        <f t="shared" si="153"/>
        <v>3</v>
      </c>
      <c r="K3280" s="74" t="str">
        <f t="shared" si="154"/>
        <v>0-3 Days</v>
      </c>
      <c r="L3280" s="58" t="str">
        <f t="shared" si="155"/>
        <v>Not Applicable</v>
      </c>
    </row>
    <row r="3281" spans="1:12" ht="16.5" customHeight="1" x14ac:dyDescent="0.35">
      <c r="A3281" t="s">
        <v>2263</v>
      </c>
      <c r="B3281" t="s">
        <v>2263</v>
      </c>
      <c r="C3281">
        <v>0</v>
      </c>
      <c r="D3281">
        <v>1000</v>
      </c>
      <c r="E3281" t="s">
        <v>10287</v>
      </c>
      <c r="F3281" t="s">
        <v>10287</v>
      </c>
      <c r="G3281" t="s">
        <v>10288</v>
      </c>
      <c r="H3281" t="s">
        <v>3489</v>
      </c>
      <c r="I3281" t="s">
        <v>3490</v>
      </c>
      <c r="J3281" s="56">
        <f t="shared" si="153"/>
        <v>3</v>
      </c>
      <c r="K3281" s="74" t="str">
        <f t="shared" si="154"/>
        <v>0-3 Days</v>
      </c>
      <c r="L3281" s="58" t="str">
        <f t="shared" si="155"/>
        <v>Not Applicable</v>
      </c>
    </row>
    <row r="3282" spans="1:12" ht="16.5" customHeight="1" x14ac:dyDescent="0.35">
      <c r="A3282" t="s">
        <v>2263</v>
      </c>
      <c r="B3282" t="s">
        <v>2263</v>
      </c>
      <c r="C3282">
        <v>87.34</v>
      </c>
      <c r="D3282">
        <v>0</v>
      </c>
      <c r="E3282" t="s">
        <v>10289</v>
      </c>
      <c r="F3282" t="s">
        <v>10289</v>
      </c>
      <c r="G3282" t="s">
        <v>10290</v>
      </c>
      <c r="H3282" t="s">
        <v>3455</v>
      </c>
      <c r="I3282" t="s">
        <v>3507</v>
      </c>
      <c r="J3282" s="56">
        <f t="shared" si="153"/>
        <v>3</v>
      </c>
      <c r="K3282" s="74" t="str">
        <f t="shared" si="154"/>
        <v>0-3 Days</v>
      </c>
      <c r="L3282" s="58" t="str">
        <f t="shared" si="155"/>
        <v>Normal</v>
      </c>
    </row>
    <row r="3283" spans="1:12" ht="16.5" customHeight="1" x14ac:dyDescent="0.35">
      <c r="A3283" t="s">
        <v>2263</v>
      </c>
      <c r="B3283" t="s">
        <v>2263</v>
      </c>
      <c r="C3283">
        <v>0</v>
      </c>
      <c r="D3283">
        <v>1000</v>
      </c>
      <c r="E3283" t="s">
        <v>10291</v>
      </c>
      <c r="F3283" t="s">
        <v>10291</v>
      </c>
      <c r="G3283" t="s">
        <v>10292</v>
      </c>
      <c r="H3283" t="s">
        <v>3489</v>
      </c>
      <c r="I3283" t="s">
        <v>3490</v>
      </c>
      <c r="J3283" s="56">
        <f t="shared" si="153"/>
        <v>3</v>
      </c>
      <c r="K3283" s="74" t="str">
        <f t="shared" si="154"/>
        <v>0-3 Days</v>
      </c>
      <c r="L3283" s="58" t="str">
        <f t="shared" si="155"/>
        <v>Not Applicable</v>
      </c>
    </row>
    <row r="3284" spans="1:12" ht="16.5" customHeight="1" x14ac:dyDescent="0.35">
      <c r="A3284" t="s">
        <v>2263</v>
      </c>
      <c r="B3284" t="s">
        <v>2263</v>
      </c>
      <c r="C3284">
        <v>0</v>
      </c>
      <c r="D3284">
        <v>1000</v>
      </c>
      <c r="E3284" t="s">
        <v>10293</v>
      </c>
      <c r="F3284" t="s">
        <v>3499</v>
      </c>
      <c r="G3284" t="s">
        <v>10294</v>
      </c>
      <c r="H3284" t="s">
        <v>3489</v>
      </c>
      <c r="I3284" t="s">
        <v>3490</v>
      </c>
      <c r="J3284" s="56">
        <f t="shared" si="153"/>
        <v>3</v>
      </c>
      <c r="K3284" s="74" t="str">
        <f t="shared" si="154"/>
        <v>0-3 Days</v>
      </c>
      <c r="L3284" s="58" t="str">
        <f t="shared" si="155"/>
        <v>Not Applicable</v>
      </c>
    </row>
    <row r="3285" spans="1:12" ht="16.5" customHeight="1" x14ac:dyDescent="0.35">
      <c r="A3285" t="s">
        <v>2263</v>
      </c>
      <c r="B3285" t="s">
        <v>2263</v>
      </c>
      <c r="C3285">
        <v>205</v>
      </c>
      <c r="D3285">
        <v>0</v>
      </c>
      <c r="E3285" t="s">
        <v>10295</v>
      </c>
      <c r="F3285" t="s">
        <v>10295</v>
      </c>
      <c r="G3285" t="s">
        <v>10176</v>
      </c>
      <c r="H3285" t="s">
        <v>3458</v>
      </c>
      <c r="I3285" t="s">
        <v>3507</v>
      </c>
      <c r="J3285" s="56">
        <f t="shared" si="153"/>
        <v>3</v>
      </c>
      <c r="K3285" s="74" t="str">
        <f t="shared" si="154"/>
        <v>0-3 Days</v>
      </c>
      <c r="L3285" s="58" t="str">
        <f t="shared" si="155"/>
        <v>Normal</v>
      </c>
    </row>
    <row r="3286" spans="1:12" ht="16.5" customHeight="1" x14ac:dyDescent="0.35">
      <c r="A3286" t="s">
        <v>2263</v>
      </c>
      <c r="B3286" t="s">
        <v>2263</v>
      </c>
      <c r="C3286">
        <v>0</v>
      </c>
      <c r="D3286">
        <v>205</v>
      </c>
      <c r="E3286" t="s">
        <v>10296</v>
      </c>
      <c r="F3286" t="s">
        <v>10296</v>
      </c>
      <c r="G3286" t="s">
        <v>10297</v>
      </c>
      <c r="H3286" t="s">
        <v>3489</v>
      </c>
      <c r="I3286" t="s">
        <v>3490</v>
      </c>
      <c r="J3286" s="56">
        <f t="shared" si="153"/>
        <v>3</v>
      </c>
      <c r="K3286" s="74" t="str">
        <f t="shared" si="154"/>
        <v>0-3 Days</v>
      </c>
      <c r="L3286" s="58" t="str">
        <f t="shared" si="155"/>
        <v>Not Applicable</v>
      </c>
    </row>
    <row r="3287" spans="1:12" ht="16.5" customHeight="1" x14ac:dyDescent="0.35">
      <c r="A3287" t="s">
        <v>2263</v>
      </c>
      <c r="B3287" t="s">
        <v>2263</v>
      </c>
      <c r="C3287">
        <v>0</v>
      </c>
      <c r="D3287">
        <v>250</v>
      </c>
      <c r="E3287" t="s">
        <v>10298</v>
      </c>
      <c r="F3287" t="s">
        <v>10298</v>
      </c>
      <c r="G3287" t="s">
        <v>10299</v>
      </c>
      <c r="H3287" t="s">
        <v>3489</v>
      </c>
      <c r="I3287" t="s">
        <v>3490</v>
      </c>
      <c r="J3287" s="56">
        <f t="shared" si="153"/>
        <v>3</v>
      </c>
      <c r="K3287" s="74" t="str">
        <f t="shared" si="154"/>
        <v>0-3 Days</v>
      </c>
      <c r="L3287" s="58" t="str">
        <f t="shared" si="155"/>
        <v>Not Applicable</v>
      </c>
    </row>
    <row r="3288" spans="1:12" ht="16.5" customHeight="1" x14ac:dyDescent="0.35">
      <c r="A3288" t="s">
        <v>2263</v>
      </c>
      <c r="B3288" t="s">
        <v>2263</v>
      </c>
      <c r="C3288">
        <v>0</v>
      </c>
      <c r="D3288">
        <v>1000</v>
      </c>
      <c r="E3288" t="s">
        <v>10300</v>
      </c>
      <c r="F3288" t="s">
        <v>10300</v>
      </c>
      <c r="G3288" t="s">
        <v>10301</v>
      </c>
      <c r="H3288" t="s">
        <v>3489</v>
      </c>
      <c r="I3288" t="s">
        <v>3490</v>
      </c>
      <c r="J3288" s="56">
        <f t="shared" si="153"/>
        <v>3</v>
      </c>
      <c r="K3288" s="74" t="str">
        <f t="shared" si="154"/>
        <v>0-3 Days</v>
      </c>
      <c r="L3288" s="58" t="str">
        <f t="shared" si="155"/>
        <v>Not Applicable</v>
      </c>
    </row>
    <row r="3289" spans="1:12" ht="16.5" customHeight="1" x14ac:dyDescent="0.35">
      <c r="A3289" t="s">
        <v>2263</v>
      </c>
      <c r="B3289" t="s">
        <v>2263</v>
      </c>
      <c r="C3289">
        <v>205</v>
      </c>
      <c r="D3289">
        <v>0</v>
      </c>
      <c r="E3289" t="s">
        <v>10302</v>
      </c>
      <c r="F3289" t="s">
        <v>10302</v>
      </c>
      <c r="G3289" t="s">
        <v>10232</v>
      </c>
      <c r="H3289" t="s">
        <v>3458</v>
      </c>
      <c r="I3289" t="s">
        <v>3507</v>
      </c>
      <c r="J3289" s="56">
        <f t="shared" si="153"/>
        <v>3</v>
      </c>
      <c r="K3289" s="74" t="str">
        <f t="shared" si="154"/>
        <v>0-3 Days</v>
      </c>
      <c r="L3289" s="58" t="str">
        <f t="shared" si="155"/>
        <v>Normal</v>
      </c>
    </row>
    <row r="3290" spans="1:12" ht="16.5" customHeight="1" x14ac:dyDescent="0.35">
      <c r="A3290" t="s">
        <v>2263</v>
      </c>
      <c r="B3290" t="s">
        <v>2263</v>
      </c>
      <c r="C3290">
        <v>0</v>
      </c>
      <c r="D3290">
        <v>100</v>
      </c>
      <c r="E3290" t="s">
        <v>10303</v>
      </c>
      <c r="F3290" t="s">
        <v>10303</v>
      </c>
      <c r="G3290" t="s">
        <v>10304</v>
      </c>
      <c r="H3290" t="s">
        <v>3489</v>
      </c>
      <c r="I3290" t="s">
        <v>3490</v>
      </c>
      <c r="J3290" s="56">
        <f t="shared" si="153"/>
        <v>3</v>
      </c>
      <c r="K3290" s="74" t="str">
        <f t="shared" si="154"/>
        <v>0-3 Days</v>
      </c>
      <c r="L3290" s="58" t="str">
        <f t="shared" si="155"/>
        <v>Not Applicable</v>
      </c>
    </row>
    <row r="3291" spans="1:12" ht="16.5" customHeight="1" x14ac:dyDescent="0.35">
      <c r="A3291" t="s">
        <v>2263</v>
      </c>
      <c r="B3291" t="s">
        <v>2263</v>
      </c>
      <c r="C3291">
        <v>0</v>
      </c>
      <c r="D3291">
        <v>1000</v>
      </c>
      <c r="E3291" t="s">
        <v>10305</v>
      </c>
      <c r="F3291" t="s">
        <v>10306</v>
      </c>
      <c r="G3291" t="s">
        <v>10307</v>
      </c>
      <c r="H3291" t="s">
        <v>3532</v>
      </c>
      <c r="I3291" t="s">
        <v>3490</v>
      </c>
      <c r="J3291" s="56">
        <f t="shared" si="153"/>
        <v>3</v>
      </c>
      <c r="K3291" s="74" t="str">
        <f t="shared" si="154"/>
        <v>0-3 Days</v>
      </c>
      <c r="L3291" s="58" t="str">
        <f t="shared" si="155"/>
        <v>Not Applicable</v>
      </c>
    </row>
    <row r="3292" spans="1:12" ht="16.5" customHeight="1" x14ac:dyDescent="0.35">
      <c r="A3292" t="s">
        <v>2263</v>
      </c>
      <c r="B3292" t="s">
        <v>2263</v>
      </c>
      <c r="C3292">
        <v>0</v>
      </c>
      <c r="D3292">
        <v>1000</v>
      </c>
      <c r="E3292" t="s">
        <v>10308</v>
      </c>
      <c r="F3292" t="s">
        <v>10309</v>
      </c>
      <c r="G3292" t="s">
        <v>10310</v>
      </c>
      <c r="H3292" t="s">
        <v>3494</v>
      </c>
      <c r="I3292" t="s">
        <v>3490</v>
      </c>
      <c r="J3292" s="56">
        <f t="shared" si="153"/>
        <v>3</v>
      </c>
      <c r="K3292" s="74" t="str">
        <f t="shared" si="154"/>
        <v>0-3 Days</v>
      </c>
      <c r="L3292" s="58" t="str">
        <f t="shared" si="155"/>
        <v>Not Applicable</v>
      </c>
    </row>
    <row r="3293" spans="1:12" ht="16.5" customHeight="1" x14ac:dyDescent="0.35">
      <c r="A3293" t="s">
        <v>2263</v>
      </c>
      <c r="B3293" t="s">
        <v>2263</v>
      </c>
      <c r="C3293">
        <v>10000</v>
      </c>
      <c r="D3293">
        <v>0</v>
      </c>
      <c r="E3293" t="s">
        <v>10311</v>
      </c>
      <c r="F3293" t="s">
        <v>10311</v>
      </c>
      <c r="G3293" t="s">
        <v>10281</v>
      </c>
      <c r="H3293" t="s">
        <v>3455</v>
      </c>
      <c r="I3293" t="s">
        <v>3507</v>
      </c>
      <c r="J3293" s="56">
        <f t="shared" si="153"/>
        <v>3</v>
      </c>
      <c r="K3293" s="74" t="str">
        <f t="shared" si="154"/>
        <v>0-3 Days</v>
      </c>
      <c r="L3293" s="58" t="str">
        <f t="shared" si="155"/>
        <v>Normal</v>
      </c>
    </row>
    <row r="3294" spans="1:12" ht="16.5" customHeight="1" x14ac:dyDescent="0.35">
      <c r="A3294" t="s">
        <v>2263</v>
      </c>
      <c r="B3294" t="s">
        <v>2263</v>
      </c>
      <c r="C3294">
        <v>0</v>
      </c>
      <c r="D3294">
        <v>90</v>
      </c>
      <c r="E3294" t="s">
        <v>10312</v>
      </c>
      <c r="F3294" t="s">
        <v>10313</v>
      </c>
      <c r="G3294" t="s">
        <v>10314</v>
      </c>
      <c r="H3294" t="s">
        <v>3489</v>
      </c>
      <c r="I3294" t="s">
        <v>3486</v>
      </c>
      <c r="J3294" s="56">
        <f t="shared" si="153"/>
        <v>3</v>
      </c>
      <c r="K3294" s="74" t="str">
        <f t="shared" si="154"/>
        <v>0-3 Days</v>
      </c>
      <c r="L3294" s="58" t="str">
        <f t="shared" si="155"/>
        <v>Not Applicable</v>
      </c>
    </row>
    <row r="3295" spans="1:12" ht="16.5" customHeight="1" x14ac:dyDescent="0.35">
      <c r="A3295" t="s">
        <v>2263</v>
      </c>
      <c r="B3295" t="s">
        <v>2263</v>
      </c>
      <c r="C3295">
        <v>0</v>
      </c>
      <c r="D3295">
        <v>87.34</v>
      </c>
      <c r="E3295" t="s">
        <v>10315</v>
      </c>
      <c r="F3295" t="s">
        <v>10315</v>
      </c>
      <c r="G3295" t="s">
        <v>10290</v>
      </c>
      <c r="H3295" t="s">
        <v>3489</v>
      </c>
      <c r="I3295" t="s">
        <v>3490</v>
      </c>
      <c r="J3295" s="56">
        <f t="shared" si="153"/>
        <v>3</v>
      </c>
      <c r="K3295" s="74" t="str">
        <f t="shared" si="154"/>
        <v>0-3 Days</v>
      </c>
      <c r="L3295" s="58" t="str">
        <f t="shared" si="155"/>
        <v>Not Applicable</v>
      </c>
    </row>
    <row r="3296" spans="1:12" ht="16.5" customHeight="1" x14ac:dyDescent="0.35">
      <c r="A3296" t="s">
        <v>2263</v>
      </c>
      <c r="B3296" t="s">
        <v>2263</v>
      </c>
      <c r="C3296">
        <v>100</v>
      </c>
      <c r="D3296">
        <v>0</v>
      </c>
      <c r="E3296" t="s">
        <v>10316</v>
      </c>
      <c r="F3296" t="s">
        <v>10316</v>
      </c>
      <c r="G3296" t="s">
        <v>10212</v>
      </c>
      <c r="H3296" t="s">
        <v>3458</v>
      </c>
      <c r="I3296" t="s">
        <v>3507</v>
      </c>
      <c r="J3296" s="56">
        <f t="shared" si="153"/>
        <v>3</v>
      </c>
      <c r="K3296" s="74" t="str">
        <f t="shared" si="154"/>
        <v>0-3 Days</v>
      </c>
      <c r="L3296" s="58" t="str">
        <f t="shared" si="155"/>
        <v>Normal</v>
      </c>
    </row>
    <row r="3297" spans="1:12" ht="16.5" customHeight="1" x14ac:dyDescent="0.35">
      <c r="A3297" t="s">
        <v>2263</v>
      </c>
      <c r="B3297" t="s">
        <v>2263</v>
      </c>
      <c r="C3297">
        <v>0</v>
      </c>
      <c r="D3297">
        <v>1000</v>
      </c>
      <c r="E3297" t="s">
        <v>10317</v>
      </c>
      <c r="F3297" t="s">
        <v>10318</v>
      </c>
      <c r="G3297" t="s">
        <v>10319</v>
      </c>
      <c r="H3297" t="s">
        <v>3489</v>
      </c>
      <c r="I3297" t="s">
        <v>3490</v>
      </c>
      <c r="J3297" s="56">
        <f t="shared" si="153"/>
        <v>3</v>
      </c>
      <c r="K3297" s="74" t="str">
        <f t="shared" si="154"/>
        <v>0-3 Days</v>
      </c>
      <c r="L3297" s="58" t="str">
        <f t="shared" si="155"/>
        <v>Not Applicable</v>
      </c>
    </row>
    <row r="3298" spans="1:12" ht="16.5" customHeight="1" x14ac:dyDescent="0.35">
      <c r="A3298" t="s">
        <v>2263</v>
      </c>
      <c r="B3298" t="s">
        <v>2263</v>
      </c>
      <c r="C3298">
        <v>100</v>
      </c>
      <c r="D3298">
        <v>0</v>
      </c>
      <c r="E3298" t="s">
        <v>10320</v>
      </c>
      <c r="F3298" t="s">
        <v>10320</v>
      </c>
      <c r="G3298" t="s">
        <v>10189</v>
      </c>
      <c r="H3298" t="s">
        <v>3458</v>
      </c>
      <c r="I3298" t="s">
        <v>3507</v>
      </c>
      <c r="J3298" s="56">
        <f t="shared" si="153"/>
        <v>3</v>
      </c>
      <c r="K3298" s="74" t="str">
        <f t="shared" si="154"/>
        <v>0-3 Days</v>
      </c>
      <c r="L3298" s="58" t="str">
        <f t="shared" si="155"/>
        <v>Normal</v>
      </c>
    </row>
    <row r="3299" spans="1:12" ht="16.5" customHeight="1" x14ac:dyDescent="0.35">
      <c r="A3299" t="s">
        <v>2263</v>
      </c>
      <c r="B3299" t="s">
        <v>2263</v>
      </c>
      <c r="C3299">
        <v>0</v>
      </c>
      <c r="D3299">
        <v>1000</v>
      </c>
      <c r="E3299" t="s">
        <v>10321</v>
      </c>
      <c r="F3299" t="s">
        <v>10321</v>
      </c>
      <c r="G3299" t="s">
        <v>10322</v>
      </c>
      <c r="H3299" t="s">
        <v>3638</v>
      </c>
      <c r="I3299" t="s">
        <v>3490</v>
      </c>
      <c r="J3299" s="56">
        <f t="shared" si="153"/>
        <v>3</v>
      </c>
      <c r="K3299" s="74" t="str">
        <f t="shared" si="154"/>
        <v>0-3 Days</v>
      </c>
      <c r="L3299" s="58" t="str">
        <f t="shared" si="155"/>
        <v>Not Applicable</v>
      </c>
    </row>
    <row r="3300" spans="1:12" ht="16.5" customHeight="1" x14ac:dyDescent="0.35">
      <c r="A3300" t="s">
        <v>2263</v>
      </c>
      <c r="B3300" t="s">
        <v>2263</v>
      </c>
      <c r="C3300">
        <v>0</v>
      </c>
      <c r="D3300">
        <v>1309</v>
      </c>
      <c r="E3300" t="s">
        <v>10323</v>
      </c>
      <c r="F3300" t="s">
        <v>10324</v>
      </c>
      <c r="G3300" t="s">
        <v>10325</v>
      </c>
      <c r="H3300" t="s">
        <v>3532</v>
      </c>
      <c r="I3300" t="s">
        <v>3490</v>
      </c>
      <c r="J3300" s="56">
        <f t="shared" si="153"/>
        <v>3</v>
      </c>
      <c r="K3300" s="74" t="str">
        <f t="shared" si="154"/>
        <v>0-3 Days</v>
      </c>
      <c r="L3300" s="58" t="str">
        <f t="shared" si="155"/>
        <v>Not Applicable</v>
      </c>
    </row>
    <row r="3301" spans="1:12" ht="16.5" customHeight="1" x14ac:dyDescent="0.35">
      <c r="A3301" t="s">
        <v>2263</v>
      </c>
      <c r="B3301" t="s">
        <v>2263</v>
      </c>
      <c r="C3301">
        <v>0</v>
      </c>
      <c r="D3301">
        <v>250</v>
      </c>
      <c r="E3301" t="s">
        <v>10326</v>
      </c>
      <c r="F3301" t="s">
        <v>10326</v>
      </c>
      <c r="G3301" t="s">
        <v>10327</v>
      </c>
      <c r="H3301" t="s">
        <v>3489</v>
      </c>
      <c r="I3301" t="s">
        <v>3490</v>
      </c>
      <c r="J3301" s="56">
        <f t="shared" si="153"/>
        <v>3</v>
      </c>
      <c r="K3301" s="74" t="str">
        <f t="shared" si="154"/>
        <v>0-3 Days</v>
      </c>
      <c r="L3301" s="58" t="str">
        <f t="shared" si="155"/>
        <v>Not Applicable</v>
      </c>
    </row>
    <row r="3302" spans="1:12" ht="16.5" customHeight="1" x14ac:dyDescent="0.35">
      <c r="A3302" t="s">
        <v>2263</v>
      </c>
      <c r="B3302" t="s">
        <v>2263</v>
      </c>
      <c r="C3302">
        <v>5000</v>
      </c>
      <c r="D3302">
        <v>0</v>
      </c>
      <c r="E3302" t="s">
        <v>10328</v>
      </c>
      <c r="F3302" t="s">
        <v>10328</v>
      </c>
      <c r="G3302" t="s">
        <v>10284</v>
      </c>
      <c r="H3302" t="s">
        <v>6735</v>
      </c>
      <c r="I3302" t="s">
        <v>3507</v>
      </c>
      <c r="J3302" s="56">
        <f t="shared" si="153"/>
        <v>3</v>
      </c>
      <c r="K3302" s="74" t="str">
        <f t="shared" si="154"/>
        <v>0-3 Days</v>
      </c>
      <c r="L3302" s="58" t="str">
        <f t="shared" si="155"/>
        <v>Normal</v>
      </c>
    </row>
    <row r="3303" spans="1:12" ht="16.5" customHeight="1" x14ac:dyDescent="0.35">
      <c r="A3303" t="s">
        <v>2263</v>
      </c>
      <c r="B3303" t="s">
        <v>2263</v>
      </c>
      <c r="C3303">
        <v>0</v>
      </c>
      <c r="D3303">
        <v>1000</v>
      </c>
      <c r="E3303" t="s">
        <v>10329</v>
      </c>
      <c r="F3303" t="s">
        <v>10329</v>
      </c>
      <c r="G3303" t="s">
        <v>10330</v>
      </c>
      <c r="H3303" t="s">
        <v>3489</v>
      </c>
      <c r="I3303" t="s">
        <v>3490</v>
      </c>
      <c r="J3303" s="56">
        <f t="shared" si="153"/>
        <v>3</v>
      </c>
      <c r="K3303" s="74" t="str">
        <f t="shared" si="154"/>
        <v>0-3 Days</v>
      </c>
      <c r="L3303" s="58" t="str">
        <f t="shared" si="155"/>
        <v>Not Applicable</v>
      </c>
    </row>
    <row r="3304" spans="1:12" ht="16.5" customHeight="1" x14ac:dyDescent="0.35">
      <c r="A3304" t="s">
        <v>2263</v>
      </c>
      <c r="B3304" t="s">
        <v>2263</v>
      </c>
      <c r="C3304">
        <v>0</v>
      </c>
      <c r="D3304">
        <v>1000</v>
      </c>
      <c r="E3304" t="s">
        <v>10331</v>
      </c>
      <c r="F3304" t="s">
        <v>10332</v>
      </c>
      <c r="G3304" t="s">
        <v>10333</v>
      </c>
      <c r="H3304" t="s">
        <v>3489</v>
      </c>
      <c r="I3304" t="s">
        <v>3490</v>
      </c>
      <c r="J3304" s="56">
        <f t="shared" si="153"/>
        <v>3</v>
      </c>
      <c r="K3304" s="74" t="str">
        <f t="shared" si="154"/>
        <v>0-3 Days</v>
      </c>
      <c r="L3304" s="58" t="str">
        <f t="shared" si="155"/>
        <v>Not Applicable</v>
      </c>
    </row>
    <row r="3305" spans="1:12" ht="16.5" customHeight="1" x14ac:dyDescent="0.35">
      <c r="A3305" t="s">
        <v>2263</v>
      </c>
      <c r="B3305" t="s">
        <v>2263</v>
      </c>
      <c r="C3305">
        <v>0</v>
      </c>
      <c r="D3305">
        <v>26394.3</v>
      </c>
      <c r="E3305" t="s">
        <v>10334</v>
      </c>
      <c r="F3305" t="s">
        <v>57</v>
      </c>
      <c r="G3305" t="s">
        <v>57</v>
      </c>
      <c r="H3305" t="s">
        <v>3914</v>
      </c>
      <c r="I3305" t="s">
        <v>3643</v>
      </c>
      <c r="J3305" s="56">
        <f t="shared" si="153"/>
        <v>3</v>
      </c>
      <c r="K3305" s="74" t="str">
        <f t="shared" si="154"/>
        <v>0-3 Days</v>
      </c>
      <c r="L3305" s="58" t="str">
        <f t="shared" si="155"/>
        <v>Not Applicable</v>
      </c>
    </row>
    <row r="3306" spans="1:12" ht="16.5" customHeight="1" x14ac:dyDescent="0.35">
      <c r="A3306" t="s">
        <v>2263</v>
      </c>
      <c r="B3306" t="s">
        <v>2263</v>
      </c>
      <c r="C3306">
        <v>0</v>
      </c>
      <c r="D3306">
        <v>1000</v>
      </c>
      <c r="E3306" t="s">
        <v>10335</v>
      </c>
      <c r="F3306" t="s">
        <v>10335</v>
      </c>
      <c r="G3306" t="s">
        <v>10336</v>
      </c>
      <c r="H3306" t="s">
        <v>3489</v>
      </c>
      <c r="I3306" t="s">
        <v>3490</v>
      </c>
      <c r="J3306" s="56">
        <f t="shared" si="153"/>
        <v>3</v>
      </c>
      <c r="K3306" s="74" t="str">
        <f t="shared" si="154"/>
        <v>0-3 Days</v>
      </c>
      <c r="L3306" s="58" t="str">
        <f t="shared" si="155"/>
        <v>Not Applicable</v>
      </c>
    </row>
    <row r="3307" spans="1:12" ht="16.5" customHeight="1" x14ac:dyDescent="0.35">
      <c r="A3307" t="s">
        <v>2263</v>
      </c>
      <c r="B3307" t="s">
        <v>2263</v>
      </c>
      <c r="C3307">
        <v>0</v>
      </c>
      <c r="D3307">
        <v>1000</v>
      </c>
      <c r="E3307" t="s">
        <v>10337</v>
      </c>
      <c r="F3307" t="s">
        <v>10337</v>
      </c>
      <c r="G3307" t="s">
        <v>10338</v>
      </c>
      <c r="H3307" t="s">
        <v>3489</v>
      </c>
      <c r="I3307" t="s">
        <v>3490</v>
      </c>
      <c r="J3307" s="56">
        <f t="shared" si="153"/>
        <v>3</v>
      </c>
      <c r="K3307" s="74" t="str">
        <f t="shared" si="154"/>
        <v>0-3 Days</v>
      </c>
      <c r="L3307" s="58" t="str">
        <f t="shared" si="155"/>
        <v>Not Applicable</v>
      </c>
    </row>
    <row r="3308" spans="1:12" ht="16.5" customHeight="1" x14ac:dyDescent="0.35">
      <c r="A3308" t="s">
        <v>2263</v>
      </c>
      <c r="B3308" t="s">
        <v>2263</v>
      </c>
      <c r="C3308">
        <v>0</v>
      </c>
      <c r="D3308">
        <v>100</v>
      </c>
      <c r="E3308" t="s">
        <v>10339</v>
      </c>
      <c r="F3308" t="s">
        <v>10339</v>
      </c>
      <c r="G3308" t="s">
        <v>10340</v>
      </c>
      <c r="H3308" t="s">
        <v>3489</v>
      </c>
      <c r="I3308" t="s">
        <v>3490</v>
      </c>
      <c r="J3308" s="56">
        <f t="shared" si="153"/>
        <v>3</v>
      </c>
      <c r="K3308" s="74" t="str">
        <f t="shared" si="154"/>
        <v>0-3 Days</v>
      </c>
      <c r="L3308" s="58" t="str">
        <f t="shared" si="155"/>
        <v>Not Applicable</v>
      </c>
    </row>
    <row r="3309" spans="1:12" ht="16.5" customHeight="1" x14ac:dyDescent="0.35">
      <c r="A3309" t="s">
        <v>2263</v>
      </c>
      <c r="B3309" t="s">
        <v>2263</v>
      </c>
      <c r="C3309">
        <v>0</v>
      </c>
      <c r="D3309">
        <v>135439.81</v>
      </c>
      <c r="E3309" t="s">
        <v>3062</v>
      </c>
      <c r="F3309" t="s">
        <v>3063</v>
      </c>
      <c r="G3309" t="s">
        <v>3064</v>
      </c>
      <c r="H3309" t="s">
        <v>3532</v>
      </c>
      <c r="I3309" t="s">
        <v>3490</v>
      </c>
      <c r="J3309" s="56">
        <f t="shared" si="153"/>
        <v>3</v>
      </c>
      <c r="K3309" s="74" t="str">
        <f t="shared" si="154"/>
        <v>0-3 Days</v>
      </c>
      <c r="L3309" s="58" t="str">
        <f t="shared" si="155"/>
        <v>Not Applicable</v>
      </c>
    </row>
    <row r="3310" spans="1:12" ht="16.5" customHeight="1" x14ac:dyDescent="0.35">
      <c r="A3310" t="s">
        <v>2263</v>
      </c>
      <c r="B3310" t="s">
        <v>2263</v>
      </c>
      <c r="C3310">
        <v>0</v>
      </c>
      <c r="D3310">
        <v>1000</v>
      </c>
      <c r="E3310" t="s">
        <v>10341</v>
      </c>
      <c r="F3310" t="s">
        <v>10342</v>
      </c>
      <c r="G3310" t="s">
        <v>10343</v>
      </c>
      <c r="H3310" t="s">
        <v>3532</v>
      </c>
      <c r="I3310" t="s">
        <v>3490</v>
      </c>
      <c r="J3310" s="56">
        <f t="shared" si="153"/>
        <v>3</v>
      </c>
      <c r="K3310" s="74" t="str">
        <f t="shared" si="154"/>
        <v>0-3 Days</v>
      </c>
      <c r="L3310" s="58" t="str">
        <f t="shared" si="155"/>
        <v>Not Applicable</v>
      </c>
    </row>
    <row r="3311" spans="1:12" ht="16.5" customHeight="1" x14ac:dyDescent="0.35">
      <c r="A3311" t="s">
        <v>2263</v>
      </c>
      <c r="B3311" t="s">
        <v>2263</v>
      </c>
      <c r="C3311">
        <v>0</v>
      </c>
      <c r="D3311">
        <v>1000</v>
      </c>
      <c r="E3311" t="s">
        <v>10344</v>
      </c>
      <c r="F3311" t="s">
        <v>3499</v>
      </c>
      <c r="G3311" t="s">
        <v>10345</v>
      </c>
      <c r="H3311" t="s">
        <v>3489</v>
      </c>
      <c r="I3311" t="s">
        <v>3490</v>
      </c>
      <c r="J3311" s="56">
        <f t="shared" si="153"/>
        <v>3</v>
      </c>
      <c r="K3311" s="74" t="str">
        <f t="shared" si="154"/>
        <v>0-3 Days</v>
      </c>
      <c r="L3311" s="58" t="str">
        <f t="shared" si="155"/>
        <v>Not Applicable</v>
      </c>
    </row>
    <row r="3312" spans="1:12" ht="16.5" customHeight="1" x14ac:dyDescent="0.35">
      <c r="A3312" t="s">
        <v>2263</v>
      </c>
      <c r="B3312" t="s">
        <v>2263</v>
      </c>
      <c r="C3312">
        <v>205</v>
      </c>
      <c r="D3312">
        <v>0</v>
      </c>
      <c r="E3312" t="s">
        <v>10346</v>
      </c>
      <c r="F3312" t="s">
        <v>10346</v>
      </c>
      <c r="G3312" t="s">
        <v>10171</v>
      </c>
      <c r="H3312" t="s">
        <v>3458</v>
      </c>
      <c r="I3312" t="s">
        <v>3507</v>
      </c>
      <c r="J3312" s="56">
        <f t="shared" si="153"/>
        <v>3</v>
      </c>
      <c r="K3312" s="74" t="str">
        <f t="shared" si="154"/>
        <v>0-3 Days</v>
      </c>
      <c r="L3312" s="58" t="str">
        <f t="shared" si="155"/>
        <v>Normal</v>
      </c>
    </row>
    <row r="3313" spans="1:12" ht="16.5" customHeight="1" x14ac:dyDescent="0.35">
      <c r="A3313" t="s">
        <v>2263</v>
      </c>
      <c r="B3313" t="s">
        <v>2263</v>
      </c>
      <c r="C3313">
        <v>0</v>
      </c>
      <c r="D3313">
        <v>357142.5</v>
      </c>
      <c r="E3313" t="s">
        <v>2601</v>
      </c>
      <c r="F3313" t="s">
        <v>2602</v>
      </c>
      <c r="G3313" t="s">
        <v>2603</v>
      </c>
      <c r="H3313" t="s">
        <v>3532</v>
      </c>
      <c r="I3313" t="s">
        <v>3490</v>
      </c>
      <c r="J3313" s="56">
        <f t="shared" si="153"/>
        <v>3</v>
      </c>
      <c r="K3313" s="74" t="str">
        <f t="shared" si="154"/>
        <v>0-3 Days</v>
      </c>
      <c r="L3313" s="58" t="str">
        <f t="shared" si="155"/>
        <v>Not Applicable</v>
      </c>
    </row>
    <row r="3314" spans="1:12" ht="16.5" customHeight="1" x14ac:dyDescent="0.35">
      <c r="A3314" t="s">
        <v>2263</v>
      </c>
      <c r="B3314" t="s">
        <v>2263</v>
      </c>
      <c r="C3314">
        <v>0</v>
      </c>
      <c r="D3314">
        <v>740</v>
      </c>
      <c r="E3314" t="s">
        <v>10347</v>
      </c>
      <c r="F3314" t="s">
        <v>10347</v>
      </c>
      <c r="G3314" t="s">
        <v>10348</v>
      </c>
      <c r="H3314" t="s">
        <v>3489</v>
      </c>
      <c r="I3314" t="s">
        <v>3490</v>
      </c>
      <c r="J3314" s="56">
        <f t="shared" si="153"/>
        <v>3</v>
      </c>
      <c r="K3314" s="74" t="str">
        <f t="shared" si="154"/>
        <v>0-3 Days</v>
      </c>
      <c r="L3314" s="58" t="str">
        <f t="shared" si="155"/>
        <v>Not Applicable</v>
      </c>
    </row>
    <row r="3315" spans="1:12" ht="16.5" customHeight="1" x14ac:dyDescent="0.35">
      <c r="A3315" t="s">
        <v>2263</v>
      </c>
      <c r="B3315" t="s">
        <v>2263</v>
      </c>
      <c r="C3315">
        <v>0</v>
      </c>
      <c r="D3315">
        <v>88.5</v>
      </c>
      <c r="E3315" t="s">
        <v>10349</v>
      </c>
      <c r="F3315" t="s">
        <v>3574</v>
      </c>
      <c r="G3315" t="s">
        <v>10350</v>
      </c>
      <c r="H3315" t="s">
        <v>3489</v>
      </c>
      <c r="I3315" t="s">
        <v>3490</v>
      </c>
      <c r="J3315" s="56">
        <f t="shared" si="153"/>
        <v>3</v>
      </c>
      <c r="K3315" s="74" t="str">
        <f t="shared" si="154"/>
        <v>0-3 Days</v>
      </c>
      <c r="L3315" s="58" t="str">
        <f t="shared" si="155"/>
        <v>Not Applicable</v>
      </c>
    </row>
    <row r="3316" spans="1:12" ht="16.5" customHeight="1" x14ac:dyDescent="0.35">
      <c r="A3316" t="s">
        <v>2263</v>
      </c>
      <c r="B3316" t="s">
        <v>2263</v>
      </c>
      <c r="C3316">
        <v>0</v>
      </c>
      <c r="D3316">
        <v>1000</v>
      </c>
      <c r="E3316" t="s">
        <v>10351</v>
      </c>
      <c r="F3316" t="s">
        <v>10351</v>
      </c>
      <c r="G3316" t="s">
        <v>10352</v>
      </c>
      <c r="H3316" t="s">
        <v>3489</v>
      </c>
      <c r="I3316" t="s">
        <v>3490</v>
      </c>
      <c r="J3316" s="56">
        <f t="shared" si="153"/>
        <v>3</v>
      </c>
      <c r="K3316" s="74" t="str">
        <f t="shared" si="154"/>
        <v>0-3 Days</v>
      </c>
      <c r="L3316" s="58" t="str">
        <f t="shared" si="155"/>
        <v>Not Applicable</v>
      </c>
    </row>
    <row r="3317" spans="1:12" ht="16.5" customHeight="1" x14ac:dyDescent="0.35">
      <c r="A3317" t="s">
        <v>2263</v>
      </c>
      <c r="B3317" t="s">
        <v>2263</v>
      </c>
      <c r="C3317">
        <v>0</v>
      </c>
      <c r="D3317">
        <v>100</v>
      </c>
      <c r="E3317" t="s">
        <v>10353</v>
      </c>
      <c r="F3317" t="s">
        <v>10353</v>
      </c>
      <c r="G3317" t="s">
        <v>10354</v>
      </c>
      <c r="H3317" t="s">
        <v>3489</v>
      </c>
      <c r="I3317" t="s">
        <v>3490</v>
      </c>
      <c r="J3317" s="56">
        <f t="shared" si="153"/>
        <v>3</v>
      </c>
      <c r="K3317" s="74" t="str">
        <f t="shared" si="154"/>
        <v>0-3 Days</v>
      </c>
      <c r="L3317" s="58" t="str">
        <f t="shared" si="155"/>
        <v>Not Applicable</v>
      </c>
    </row>
    <row r="3318" spans="1:12" ht="16.5" customHeight="1" x14ac:dyDescent="0.35">
      <c r="A3318" t="s">
        <v>2263</v>
      </c>
      <c r="B3318" t="s">
        <v>2263</v>
      </c>
      <c r="C3318">
        <v>0</v>
      </c>
      <c r="D3318">
        <v>1000</v>
      </c>
      <c r="E3318" t="s">
        <v>10355</v>
      </c>
      <c r="F3318" t="s">
        <v>10355</v>
      </c>
      <c r="G3318" t="s">
        <v>10356</v>
      </c>
      <c r="H3318" t="s">
        <v>3532</v>
      </c>
      <c r="I3318" t="s">
        <v>3490</v>
      </c>
      <c r="J3318" s="56">
        <f t="shared" si="153"/>
        <v>3</v>
      </c>
      <c r="K3318" s="74" t="str">
        <f t="shared" si="154"/>
        <v>0-3 Days</v>
      </c>
      <c r="L3318" s="58" t="str">
        <f t="shared" si="155"/>
        <v>Not Applicable</v>
      </c>
    </row>
    <row r="3319" spans="1:12" ht="16.5" customHeight="1" x14ac:dyDescent="0.35">
      <c r="A3319" t="s">
        <v>2263</v>
      </c>
      <c r="B3319" t="s">
        <v>2263</v>
      </c>
      <c r="C3319">
        <v>0</v>
      </c>
      <c r="D3319">
        <v>8000</v>
      </c>
      <c r="E3319" t="s">
        <v>10357</v>
      </c>
      <c r="F3319" t="s">
        <v>10357</v>
      </c>
      <c r="G3319" t="s">
        <v>10358</v>
      </c>
      <c r="H3319" t="s">
        <v>3489</v>
      </c>
      <c r="I3319" t="s">
        <v>3507</v>
      </c>
      <c r="J3319" s="56">
        <f t="shared" si="153"/>
        <v>3</v>
      </c>
      <c r="K3319" s="74" t="str">
        <f t="shared" si="154"/>
        <v>0-3 Days</v>
      </c>
      <c r="L3319" s="58" t="str">
        <f t="shared" si="155"/>
        <v>Not Applicable</v>
      </c>
    </row>
    <row r="3320" spans="1:12" ht="16.5" customHeight="1" x14ac:dyDescent="0.35">
      <c r="A3320" t="s">
        <v>2263</v>
      </c>
      <c r="B3320" t="s">
        <v>2263</v>
      </c>
      <c r="C3320">
        <v>0</v>
      </c>
      <c r="D3320">
        <v>1000</v>
      </c>
      <c r="E3320" t="s">
        <v>10359</v>
      </c>
      <c r="F3320" t="s">
        <v>10360</v>
      </c>
      <c r="G3320" t="s">
        <v>10361</v>
      </c>
      <c r="H3320" t="s">
        <v>3489</v>
      </c>
      <c r="I3320" t="s">
        <v>3490</v>
      </c>
      <c r="J3320" s="56">
        <f t="shared" si="153"/>
        <v>3</v>
      </c>
      <c r="K3320" s="74" t="str">
        <f t="shared" si="154"/>
        <v>0-3 Days</v>
      </c>
      <c r="L3320" s="58" t="str">
        <f t="shared" si="155"/>
        <v>Not Applicable</v>
      </c>
    </row>
    <row r="3321" spans="1:12" ht="16.5" customHeight="1" x14ac:dyDescent="0.35">
      <c r="A3321" t="s">
        <v>2263</v>
      </c>
      <c r="B3321" t="s">
        <v>2263</v>
      </c>
      <c r="C3321">
        <v>0</v>
      </c>
      <c r="D3321">
        <v>600</v>
      </c>
      <c r="E3321" t="s">
        <v>10362</v>
      </c>
      <c r="F3321" t="s">
        <v>10362</v>
      </c>
      <c r="G3321" t="s">
        <v>10363</v>
      </c>
      <c r="H3321" t="s">
        <v>3489</v>
      </c>
      <c r="I3321" t="s">
        <v>3490</v>
      </c>
      <c r="J3321" s="56">
        <f t="shared" si="153"/>
        <v>3</v>
      </c>
      <c r="K3321" s="74" t="str">
        <f t="shared" si="154"/>
        <v>0-3 Days</v>
      </c>
      <c r="L3321" s="58" t="str">
        <f t="shared" si="155"/>
        <v>Not Applicable</v>
      </c>
    </row>
    <row r="3322" spans="1:12" ht="16.5" customHeight="1" x14ac:dyDescent="0.35">
      <c r="A3322" t="s">
        <v>2263</v>
      </c>
      <c r="B3322" t="s">
        <v>2263</v>
      </c>
      <c r="C3322">
        <v>205</v>
      </c>
      <c r="D3322">
        <v>0</v>
      </c>
      <c r="E3322" t="s">
        <v>10364</v>
      </c>
      <c r="F3322" t="s">
        <v>10364</v>
      </c>
      <c r="G3322" t="s">
        <v>10256</v>
      </c>
      <c r="H3322" t="s">
        <v>3458</v>
      </c>
      <c r="I3322" t="s">
        <v>3507</v>
      </c>
      <c r="J3322" s="56">
        <f t="shared" si="153"/>
        <v>3</v>
      </c>
      <c r="K3322" s="74" t="str">
        <f t="shared" si="154"/>
        <v>0-3 Days</v>
      </c>
      <c r="L3322" s="58" t="str">
        <f t="shared" si="155"/>
        <v>Normal</v>
      </c>
    </row>
    <row r="3323" spans="1:12" ht="16.5" customHeight="1" x14ac:dyDescent="0.35">
      <c r="A3323" t="s">
        <v>2263</v>
      </c>
      <c r="B3323" t="s">
        <v>2263</v>
      </c>
      <c r="C3323">
        <v>0</v>
      </c>
      <c r="D3323">
        <v>250</v>
      </c>
      <c r="E3323" t="s">
        <v>10365</v>
      </c>
      <c r="F3323" t="s">
        <v>10366</v>
      </c>
      <c r="G3323" t="s">
        <v>10367</v>
      </c>
      <c r="H3323" t="s">
        <v>3532</v>
      </c>
      <c r="I3323" t="s">
        <v>3490</v>
      </c>
      <c r="J3323" s="56">
        <f t="shared" si="153"/>
        <v>3</v>
      </c>
      <c r="K3323" s="74" t="str">
        <f t="shared" si="154"/>
        <v>0-3 Days</v>
      </c>
      <c r="L3323" s="58" t="str">
        <f t="shared" si="155"/>
        <v>Not Applicable</v>
      </c>
    </row>
    <row r="3324" spans="1:12" ht="16.5" customHeight="1" x14ac:dyDescent="0.35">
      <c r="A3324" t="s">
        <v>2263</v>
      </c>
      <c r="B3324" t="s">
        <v>2263</v>
      </c>
      <c r="C3324">
        <v>0</v>
      </c>
      <c r="D3324">
        <v>600</v>
      </c>
      <c r="E3324" t="s">
        <v>10368</v>
      </c>
      <c r="F3324" t="s">
        <v>10369</v>
      </c>
      <c r="G3324" t="s">
        <v>10370</v>
      </c>
      <c r="H3324" t="s">
        <v>3532</v>
      </c>
      <c r="I3324" t="s">
        <v>3490</v>
      </c>
      <c r="J3324" s="56">
        <f t="shared" si="153"/>
        <v>3</v>
      </c>
      <c r="K3324" s="74" t="str">
        <f t="shared" si="154"/>
        <v>0-3 Days</v>
      </c>
      <c r="L3324" s="58" t="str">
        <f t="shared" si="155"/>
        <v>Not Applicable</v>
      </c>
    </row>
    <row r="3325" spans="1:12" ht="16.5" customHeight="1" x14ac:dyDescent="0.35">
      <c r="A3325" t="s">
        <v>2263</v>
      </c>
      <c r="B3325" t="s">
        <v>2263</v>
      </c>
      <c r="C3325">
        <v>0</v>
      </c>
      <c r="D3325">
        <v>7000</v>
      </c>
      <c r="E3325" t="s">
        <v>10371</v>
      </c>
      <c r="F3325" t="s">
        <v>10371</v>
      </c>
      <c r="G3325" t="s">
        <v>10372</v>
      </c>
      <c r="H3325" t="s">
        <v>3489</v>
      </c>
      <c r="I3325" t="s">
        <v>3490</v>
      </c>
      <c r="J3325" s="56">
        <f t="shared" si="153"/>
        <v>3</v>
      </c>
      <c r="K3325" s="74" t="str">
        <f t="shared" si="154"/>
        <v>0-3 Days</v>
      </c>
      <c r="L3325" s="58" t="str">
        <f t="shared" si="155"/>
        <v>Not Applicable</v>
      </c>
    </row>
    <row r="3326" spans="1:12" ht="16.5" customHeight="1" x14ac:dyDescent="0.35">
      <c r="A3326" t="s">
        <v>2263</v>
      </c>
      <c r="B3326" t="s">
        <v>2263</v>
      </c>
      <c r="C3326">
        <v>0</v>
      </c>
      <c r="D3326">
        <v>5600</v>
      </c>
      <c r="E3326" t="s">
        <v>10373</v>
      </c>
      <c r="F3326" t="s">
        <v>10373</v>
      </c>
      <c r="G3326" t="s">
        <v>10374</v>
      </c>
      <c r="H3326" t="s">
        <v>3489</v>
      </c>
      <c r="I3326" t="s">
        <v>3490</v>
      </c>
      <c r="J3326" s="56">
        <f t="shared" si="153"/>
        <v>3</v>
      </c>
      <c r="K3326" s="74" t="str">
        <f t="shared" si="154"/>
        <v>0-3 Days</v>
      </c>
      <c r="L3326" s="58" t="str">
        <f t="shared" si="155"/>
        <v>Not Applicable</v>
      </c>
    </row>
    <row r="3327" spans="1:12" ht="16.5" customHeight="1" x14ac:dyDescent="0.35">
      <c r="A3327" t="s">
        <v>2263</v>
      </c>
      <c r="B3327" t="s">
        <v>2263</v>
      </c>
      <c r="C3327">
        <v>0</v>
      </c>
      <c r="D3327">
        <v>1000</v>
      </c>
      <c r="E3327" t="s">
        <v>10375</v>
      </c>
      <c r="F3327" t="s">
        <v>3499</v>
      </c>
      <c r="G3327" t="s">
        <v>10376</v>
      </c>
      <c r="H3327" t="s">
        <v>3489</v>
      </c>
      <c r="I3327" t="s">
        <v>3490</v>
      </c>
      <c r="J3327" s="56">
        <f t="shared" si="153"/>
        <v>3</v>
      </c>
      <c r="K3327" s="74" t="str">
        <f t="shared" si="154"/>
        <v>0-3 Days</v>
      </c>
      <c r="L3327" s="58" t="str">
        <f t="shared" si="155"/>
        <v>Not Applicable</v>
      </c>
    </row>
    <row r="3328" spans="1:12" ht="16.5" customHeight="1" x14ac:dyDescent="0.35">
      <c r="A3328" t="s">
        <v>2263</v>
      </c>
      <c r="B3328" t="s">
        <v>2263</v>
      </c>
      <c r="C3328">
        <v>100</v>
      </c>
      <c r="D3328">
        <v>0</v>
      </c>
      <c r="E3328" t="s">
        <v>10377</v>
      </c>
      <c r="F3328" t="s">
        <v>10377</v>
      </c>
      <c r="G3328" t="s">
        <v>10164</v>
      </c>
      <c r="H3328" t="s">
        <v>3458</v>
      </c>
      <c r="I3328" t="s">
        <v>3507</v>
      </c>
      <c r="J3328" s="56">
        <f t="shared" si="153"/>
        <v>3</v>
      </c>
      <c r="K3328" s="74" t="str">
        <f t="shared" si="154"/>
        <v>0-3 Days</v>
      </c>
      <c r="L3328" s="58" t="str">
        <f t="shared" si="155"/>
        <v>Normal</v>
      </c>
    </row>
    <row r="3329" spans="1:12" ht="16.5" customHeight="1" x14ac:dyDescent="0.35">
      <c r="A3329" t="s">
        <v>2263</v>
      </c>
      <c r="B3329" t="s">
        <v>2263</v>
      </c>
      <c r="C3329">
        <v>100</v>
      </c>
      <c r="D3329">
        <v>0</v>
      </c>
      <c r="E3329" t="s">
        <v>10378</v>
      </c>
      <c r="F3329" t="s">
        <v>10378</v>
      </c>
      <c r="G3329" t="s">
        <v>10258</v>
      </c>
      <c r="H3329" t="s">
        <v>3458</v>
      </c>
      <c r="I3329" t="s">
        <v>3507</v>
      </c>
      <c r="J3329" s="56">
        <f t="shared" si="153"/>
        <v>3</v>
      </c>
      <c r="K3329" s="74" t="str">
        <f t="shared" si="154"/>
        <v>0-3 Days</v>
      </c>
      <c r="L3329" s="58" t="str">
        <f t="shared" si="155"/>
        <v>Normal</v>
      </c>
    </row>
    <row r="3330" spans="1:12" ht="16.5" customHeight="1" x14ac:dyDescent="0.35">
      <c r="A3330" t="s">
        <v>2263</v>
      </c>
      <c r="B3330" t="s">
        <v>2263</v>
      </c>
      <c r="C3330">
        <v>100</v>
      </c>
      <c r="D3330">
        <v>0</v>
      </c>
      <c r="E3330" t="s">
        <v>10379</v>
      </c>
      <c r="F3330" t="s">
        <v>10379</v>
      </c>
      <c r="G3330" t="s">
        <v>10246</v>
      </c>
      <c r="H3330" t="s">
        <v>3458</v>
      </c>
      <c r="I3330" t="s">
        <v>3507</v>
      </c>
      <c r="J3330" s="56">
        <f t="shared" si="153"/>
        <v>3</v>
      </c>
      <c r="K3330" s="74" t="str">
        <f t="shared" si="154"/>
        <v>0-3 Days</v>
      </c>
      <c r="L3330" s="58" t="str">
        <f t="shared" si="155"/>
        <v>Normal</v>
      </c>
    </row>
    <row r="3331" spans="1:12" ht="16.5" customHeight="1" x14ac:dyDescent="0.35">
      <c r="A3331" t="s">
        <v>2263</v>
      </c>
      <c r="B3331" t="s">
        <v>2263</v>
      </c>
      <c r="C3331">
        <v>0</v>
      </c>
      <c r="D3331">
        <v>424.8</v>
      </c>
      <c r="E3331" t="s">
        <v>10380</v>
      </c>
      <c r="F3331" t="s">
        <v>3574</v>
      </c>
      <c r="G3331" t="s">
        <v>10381</v>
      </c>
      <c r="H3331" t="s">
        <v>3489</v>
      </c>
      <c r="I3331" t="s">
        <v>3490</v>
      </c>
      <c r="J3331" s="56">
        <f t="shared" si="153"/>
        <v>3</v>
      </c>
      <c r="K3331" s="74" t="str">
        <f t="shared" si="154"/>
        <v>0-3 Days</v>
      </c>
      <c r="L3331" s="58" t="str">
        <f t="shared" si="155"/>
        <v>Not Applicable</v>
      </c>
    </row>
    <row r="3332" spans="1:12" ht="16.5" customHeight="1" x14ac:dyDescent="0.35">
      <c r="A3332" t="s">
        <v>2263</v>
      </c>
      <c r="B3332" t="s">
        <v>2263</v>
      </c>
      <c r="C3332">
        <v>0</v>
      </c>
      <c r="D3332">
        <v>500</v>
      </c>
      <c r="E3332" t="s">
        <v>10382</v>
      </c>
      <c r="F3332" t="s">
        <v>10382</v>
      </c>
      <c r="G3332" t="s">
        <v>10383</v>
      </c>
      <c r="H3332" t="s">
        <v>3489</v>
      </c>
      <c r="I3332" t="s">
        <v>3490</v>
      </c>
      <c r="J3332" s="56">
        <f t="shared" si="153"/>
        <v>3</v>
      </c>
      <c r="K3332" s="74" t="str">
        <f t="shared" si="154"/>
        <v>0-3 Days</v>
      </c>
      <c r="L3332" s="58" t="str">
        <f t="shared" si="155"/>
        <v>Not Applicable</v>
      </c>
    </row>
    <row r="3333" spans="1:12" ht="16.5" customHeight="1" x14ac:dyDescent="0.35">
      <c r="A3333" t="s">
        <v>3115</v>
      </c>
      <c r="B3333" t="s">
        <v>3115</v>
      </c>
      <c r="C3333">
        <v>250</v>
      </c>
      <c r="D3333">
        <v>0</v>
      </c>
      <c r="E3333" t="s">
        <v>10384</v>
      </c>
      <c r="F3333" t="s">
        <v>10384</v>
      </c>
      <c r="G3333" t="s">
        <v>10299</v>
      </c>
      <c r="H3333" t="s">
        <v>3455</v>
      </c>
      <c r="I3333" t="s">
        <v>3507</v>
      </c>
      <c r="J3333" s="56">
        <f t="shared" si="153"/>
        <v>2</v>
      </c>
      <c r="K3333" s="74" t="str">
        <f t="shared" si="154"/>
        <v>0-3 Days</v>
      </c>
      <c r="L3333" s="58" t="str">
        <f t="shared" si="155"/>
        <v>Normal</v>
      </c>
    </row>
    <row r="3334" spans="1:12" ht="16.5" customHeight="1" x14ac:dyDescent="0.35">
      <c r="A3334" t="s">
        <v>3115</v>
      </c>
      <c r="B3334" t="s">
        <v>3115</v>
      </c>
      <c r="C3334">
        <v>100</v>
      </c>
      <c r="D3334">
        <v>0</v>
      </c>
      <c r="E3334" t="s">
        <v>10385</v>
      </c>
      <c r="F3334" t="s">
        <v>10385</v>
      </c>
      <c r="G3334" t="s">
        <v>10304</v>
      </c>
      <c r="H3334" t="s">
        <v>3921</v>
      </c>
      <c r="I3334" t="s">
        <v>3507</v>
      </c>
      <c r="J3334" s="56">
        <f t="shared" si="153"/>
        <v>2</v>
      </c>
      <c r="K3334" s="74" t="str">
        <f t="shared" si="154"/>
        <v>0-3 Days</v>
      </c>
      <c r="L3334" s="58" t="str">
        <f t="shared" si="155"/>
        <v>Normal</v>
      </c>
    </row>
    <row r="3335" spans="1:12" ht="16.5" customHeight="1" x14ac:dyDescent="0.35">
      <c r="A3335" t="s">
        <v>3115</v>
      </c>
      <c r="B3335" t="s">
        <v>3115</v>
      </c>
      <c r="C3335">
        <v>740</v>
      </c>
      <c r="D3335">
        <v>0</v>
      </c>
      <c r="E3335" t="s">
        <v>10386</v>
      </c>
      <c r="F3335" t="s">
        <v>10386</v>
      </c>
      <c r="G3335" t="s">
        <v>10348</v>
      </c>
      <c r="H3335" t="s">
        <v>3455</v>
      </c>
      <c r="I3335" t="s">
        <v>3507</v>
      </c>
      <c r="J3335" s="56">
        <f t="shared" si="153"/>
        <v>2</v>
      </c>
      <c r="K3335" s="74" t="str">
        <f t="shared" si="154"/>
        <v>0-3 Days</v>
      </c>
      <c r="L3335" s="58" t="str">
        <f t="shared" si="155"/>
        <v>Normal</v>
      </c>
    </row>
    <row r="3336" spans="1:12" ht="16.5" customHeight="1" x14ac:dyDescent="0.35">
      <c r="A3336" t="s">
        <v>3115</v>
      </c>
      <c r="B3336" t="s">
        <v>3115</v>
      </c>
      <c r="C3336">
        <v>0</v>
      </c>
      <c r="D3336">
        <v>1369</v>
      </c>
      <c r="E3336" t="s">
        <v>10387</v>
      </c>
      <c r="F3336" t="s">
        <v>10388</v>
      </c>
      <c r="G3336" t="s">
        <v>10389</v>
      </c>
      <c r="H3336" t="s">
        <v>3489</v>
      </c>
      <c r="I3336" t="s">
        <v>3486</v>
      </c>
      <c r="J3336" s="56">
        <f t="shared" si="153"/>
        <v>2</v>
      </c>
      <c r="K3336" s="74" t="str">
        <f t="shared" si="154"/>
        <v>0-3 Days</v>
      </c>
      <c r="L3336" s="58" t="str">
        <f t="shared" si="155"/>
        <v>Not Applicable</v>
      </c>
    </row>
    <row r="3337" spans="1:12" ht="16.5" customHeight="1" x14ac:dyDescent="0.35">
      <c r="A3337" t="s">
        <v>3115</v>
      </c>
      <c r="B3337" t="s">
        <v>3115</v>
      </c>
      <c r="C3337">
        <v>0</v>
      </c>
      <c r="D3337">
        <v>3000</v>
      </c>
      <c r="E3337" t="s">
        <v>10390</v>
      </c>
      <c r="F3337" t="s">
        <v>10390</v>
      </c>
      <c r="G3337" t="s">
        <v>10391</v>
      </c>
      <c r="H3337" t="s">
        <v>3489</v>
      </c>
      <c r="I3337" t="s">
        <v>3490</v>
      </c>
      <c r="J3337" s="56">
        <f t="shared" ref="J3337:J3400" si="156">IF(A3337="","",A$5-A3337)</f>
        <v>2</v>
      </c>
      <c r="K3337" s="74" t="str">
        <f t="shared" ref="K3337:K3400" si="157">IF(J3337="","",IF(J3337&lt;4,"0-3 Days",IF(J3337&lt;31,"4-30 Days",IF(J3337&lt;61,"31-60 Days",IF(J3337&lt;=90,"61-90 Days",IF(J3337&gt;90,"Above 90 Days","0"))))))</f>
        <v>0-3 Days</v>
      </c>
      <c r="L3337" s="58" t="str">
        <f t="shared" ref="L3337:L3400" si="158">IF(C3337="","",IF(C3337&gt;0,IF(J3337&lt;30,"Normal",IF(J3337&lt;60,"Especially Mentioned",IF(J3337&lt;90,"Substandard",IF(J3337&lt;=180,"Doubtful",IF(J3337&gt;180,"Loss","0"))))),"Not Applicable"))</f>
        <v>Not Applicable</v>
      </c>
    </row>
    <row r="3338" spans="1:12" ht="16.5" customHeight="1" x14ac:dyDescent="0.35">
      <c r="A3338" t="s">
        <v>3115</v>
      </c>
      <c r="B3338" t="s">
        <v>3115</v>
      </c>
      <c r="C3338">
        <v>0</v>
      </c>
      <c r="D3338">
        <v>1000</v>
      </c>
      <c r="E3338" t="s">
        <v>10392</v>
      </c>
      <c r="F3338" t="s">
        <v>10392</v>
      </c>
      <c r="G3338" t="s">
        <v>10393</v>
      </c>
      <c r="H3338" t="s">
        <v>3489</v>
      </c>
      <c r="I3338" t="s">
        <v>3490</v>
      </c>
      <c r="J3338" s="56">
        <f t="shared" si="156"/>
        <v>2</v>
      </c>
      <c r="K3338" s="74" t="str">
        <f t="shared" si="157"/>
        <v>0-3 Days</v>
      </c>
      <c r="L3338" s="58" t="str">
        <f t="shared" si="158"/>
        <v>Not Applicable</v>
      </c>
    </row>
    <row r="3339" spans="1:12" ht="16.5" customHeight="1" x14ac:dyDescent="0.35">
      <c r="A3339" t="s">
        <v>3115</v>
      </c>
      <c r="B3339" t="s">
        <v>3115</v>
      </c>
      <c r="C3339">
        <v>10111</v>
      </c>
      <c r="D3339">
        <v>0</v>
      </c>
      <c r="E3339" t="s">
        <v>10394</v>
      </c>
      <c r="F3339" t="s">
        <v>10394</v>
      </c>
      <c r="G3339" t="s">
        <v>10395</v>
      </c>
      <c r="H3339" t="s">
        <v>3455</v>
      </c>
      <c r="I3339" t="s">
        <v>3507</v>
      </c>
      <c r="J3339" s="56">
        <f t="shared" si="156"/>
        <v>2</v>
      </c>
      <c r="K3339" s="74" t="str">
        <f t="shared" si="157"/>
        <v>0-3 Days</v>
      </c>
      <c r="L3339" s="58" t="str">
        <f t="shared" si="158"/>
        <v>Normal</v>
      </c>
    </row>
    <row r="3340" spans="1:12" ht="16.5" customHeight="1" x14ac:dyDescent="0.35">
      <c r="A3340" t="s">
        <v>3115</v>
      </c>
      <c r="B3340" t="s">
        <v>3115</v>
      </c>
      <c r="C3340">
        <v>205</v>
      </c>
      <c r="D3340">
        <v>0</v>
      </c>
      <c r="E3340" t="s">
        <v>10396</v>
      </c>
      <c r="F3340" t="s">
        <v>10396</v>
      </c>
      <c r="G3340" t="s">
        <v>10297</v>
      </c>
      <c r="H3340" t="s">
        <v>3455</v>
      </c>
      <c r="I3340" t="s">
        <v>3507</v>
      </c>
      <c r="J3340" s="56">
        <f t="shared" si="156"/>
        <v>2</v>
      </c>
      <c r="K3340" s="74" t="str">
        <f t="shared" si="157"/>
        <v>0-3 Days</v>
      </c>
      <c r="L3340" s="58" t="str">
        <f t="shared" si="158"/>
        <v>Normal</v>
      </c>
    </row>
    <row r="3341" spans="1:12" ht="16.5" customHeight="1" x14ac:dyDescent="0.35">
      <c r="A3341" t="s">
        <v>3115</v>
      </c>
      <c r="B3341" t="s">
        <v>3115</v>
      </c>
      <c r="C3341">
        <v>94127.6</v>
      </c>
      <c r="D3341">
        <v>0</v>
      </c>
      <c r="E3341" t="s">
        <v>10397</v>
      </c>
      <c r="F3341" t="s">
        <v>10397</v>
      </c>
      <c r="G3341" t="s">
        <v>10398</v>
      </c>
      <c r="H3341" t="s">
        <v>3455</v>
      </c>
      <c r="I3341" t="s">
        <v>3507</v>
      </c>
      <c r="J3341" s="56">
        <f t="shared" si="156"/>
        <v>2</v>
      </c>
      <c r="K3341" s="74" t="str">
        <f t="shared" si="157"/>
        <v>0-3 Days</v>
      </c>
      <c r="L3341" s="58" t="str">
        <f t="shared" si="158"/>
        <v>Normal</v>
      </c>
    </row>
    <row r="3342" spans="1:12" ht="16.5" customHeight="1" x14ac:dyDescent="0.35">
      <c r="A3342" t="s">
        <v>3115</v>
      </c>
      <c r="B3342" t="s">
        <v>3115</v>
      </c>
      <c r="C3342">
        <v>100</v>
      </c>
      <c r="D3342">
        <v>0</v>
      </c>
      <c r="E3342" t="s">
        <v>10399</v>
      </c>
      <c r="F3342" t="s">
        <v>10399</v>
      </c>
      <c r="G3342" t="s">
        <v>10340</v>
      </c>
      <c r="H3342" t="s">
        <v>3458</v>
      </c>
      <c r="I3342" t="s">
        <v>3507</v>
      </c>
      <c r="J3342" s="56">
        <f t="shared" si="156"/>
        <v>2</v>
      </c>
      <c r="K3342" s="74" t="str">
        <f t="shared" si="157"/>
        <v>0-3 Days</v>
      </c>
      <c r="L3342" s="58" t="str">
        <f t="shared" si="158"/>
        <v>Normal</v>
      </c>
    </row>
    <row r="3343" spans="1:12" ht="16.5" customHeight="1" x14ac:dyDescent="0.35">
      <c r="A3343" t="s">
        <v>3115</v>
      </c>
      <c r="B3343" t="s">
        <v>3115</v>
      </c>
      <c r="C3343">
        <v>0</v>
      </c>
      <c r="D3343">
        <v>94127.6</v>
      </c>
      <c r="E3343" t="s">
        <v>10400</v>
      </c>
      <c r="F3343" t="s">
        <v>10400</v>
      </c>
      <c r="G3343" t="s">
        <v>10398</v>
      </c>
      <c r="H3343" t="s">
        <v>3489</v>
      </c>
      <c r="I3343" t="s">
        <v>3490</v>
      </c>
      <c r="J3343" s="56">
        <f t="shared" si="156"/>
        <v>2</v>
      </c>
      <c r="K3343" s="74" t="str">
        <f t="shared" si="157"/>
        <v>0-3 Days</v>
      </c>
      <c r="L3343" s="58" t="str">
        <f t="shared" si="158"/>
        <v>Not Applicable</v>
      </c>
    </row>
    <row r="3344" spans="1:12" ht="16.5" customHeight="1" x14ac:dyDescent="0.35">
      <c r="A3344" t="s">
        <v>3115</v>
      </c>
      <c r="B3344" t="s">
        <v>3115</v>
      </c>
      <c r="C3344">
        <v>0</v>
      </c>
      <c r="D3344">
        <v>16000</v>
      </c>
      <c r="E3344" t="s">
        <v>10401</v>
      </c>
      <c r="F3344" t="s">
        <v>10401</v>
      </c>
      <c r="G3344" t="s">
        <v>10402</v>
      </c>
      <c r="H3344" t="s">
        <v>3489</v>
      </c>
      <c r="I3344" t="s">
        <v>3490</v>
      </c>
      <c r="J3344" s="56">
        <f t="shared" si="156"/>
        <v>2</v>
      </c>
      <c r="K3344" s="74" t="str">
        <f t="shared" si="157"/>
        <v>0-3 Days</v>
      </c>
      <c r="L3344" s="58" t="str">
        <f t="shared" si="158"/>
        <v>Not Applicable</v>
      </c>
    </row>
    <row r="3345" spans="1:12" ht="16.5" customHeight="1" x14ac:dyDescent="0.35">
      <c r="A3345" t="s">
        <v>3115</v>
      </c>
      <c r="B3345" t="s">
        <v>3115</v>
      </c>
      <c r="C3345">
        <v>24772</v>
      </c>
      <c r="D3345">
        <v>0</v>
      </c>
      <c r="E3345" t="s">
        <v>10403</v>
      </c>
      <c r="F3345" t="s">
        <v>3119</v>
      </c>
      <c r="G3345" t="s">
        <v>3123</v>
      </c>
      <c r="H3345" t="s">
        <v>3805</v>
      </c>
      <c r="I3345" t="s">
        <v>3490</v>
      </c>
      <c r="J3345" s="56">
        <f t="shared" si="156"/>
        <v>2</v>
      </c>
      <c r="K3345" s="74" t="str">
        <f t="shared" si="157"/>
        <v>0-3 Days</v>
      </c>
      <c r="L3345" s="58" t="str">
        <f t="shared" si="158"/>
        <v>Normal</v>
      </c>
    </row>
    <row r="3346" spans="1:12" ht="16.5" customHeight="1" x14ac:dyDescent="0.35">
      <c r="A3346" t="s">
        <v>3115</v>
      </c>
      <c r="B3346" t="s">
        <v>3115</v>
      </c>
      <c r="C3346">
        <v>250</v>
      </c>
      <c r="D3346">
        <v>0</v>
      </c>
      <c r="E3346" t="s">
        <v>10404</v>
      </c>
      <c r="F3346" t="s">
        <v>10404</v>
      </c>
      <c r="G3346" t="s">
        <v>10327</v>
      </c>
      <c r="H3346" t="s">
        <v>3455</v>
      </c>
      <c r="I3346" t="s">
        <v>3507</v>
      </c>
      <c r="J3346" s="56">
        <f t="shared" si="156"/>
        <v>2</v>
      </c>
      <c r="K3346" s="74" t="str">
        <f t="shared" si="157"/>
        <v>0-3 Days</v>
      </c>
      <c r="L3346" s="58" t="str">
        <f t="shared" si="158"/>
        <v>Normal</v>
      </c>
    </row>
    <row r="3347" spans="1:12" ht="16.5" customHeight="1" x14ac:dyDescent="0.35">
      <c r="A3347" t="s">
        <v>3115</v>
      </c>
      <c r="B3347" t="s">
        <v>3115</v>
      </c>
      <c r="C3347">
        <v>0</v>
      </c>
      <c r="D3347">
        <v>11340</v>
      </c>
      <c r="E3347" t="s">
        <v>10405</v>
      </c>
      <c r="F3347" t="s">
        <v>10405</v>
      </c>
      <c r="G3347" t="s">
        <v>10406</v>
      </c>
      <c r="H3347" t="s">
        <v>3489</v>
      </c>
      <c r="I3347" t="s">
        <v>3490</v>
      </c>
      <c r="J3347" s="56">
        <f t="shared" si="156"/>
        <v>2</v>
      </c>
      <c r="K3347" s="74" t="str">
        <f t="shared" si="157"/>
        <v>0-3 Days</v>
      </c>
      <c r="L3347" s="58" t="str">
        <f t="shared" si="158"/>
        <v>Not Applicable</v>
      </c>
    </row>
    <row r="3348" spans="1:12" ht="16.5" customHeight="1" x14ac:dyDescent="0.35">
      <c r="A3348" t="s">
        <v>3115</v>
      </c>
      <c r="B3348" t="s">
        <v>3115</v>
      </c>
      <c r="C3348">
        <v>0</v>
      </c>
      <c r="D3348">
        <v>22481.78</v>
      </c>
      <c r="E3348" t="s">
        <v>10407</v>
      </c>
      <c r="F3348" t="s">
        <v>57</v>
      </c>
      <c r="G3348" t="s">
        <v>57</v>
      </c>
      <c r="H3348" t="s">
        <v>3914</v>
      </c>
      <c r="I3348" t="s">
        <v>3643</v>
      </c>
      <c r="J3348" s="56">
        <f t="shared" si="156"/>
        <v>2</v>
      </c>
      <c r="K3348" s="74" t="str">
        <f t="shared" si="157"/>
        <v>0-3 Days</v>
      </c>
      <c r="L3348" s="58" t="str">
        <f t="shared" si="158"/>
        <v>Not Applicable</v>
      </c>
    </row>
    <row r="3349" spans="1:12" ht="16.5" customHeight="1" x14ac:dyDescent="0.35">
      <c r="A3349" t="s">
        <v>3115</v>
      </c>
      <c r="B3349" t="s">
        <v>3115</v>
      </c>
      <c r="C3349">
        <v>0</v>
      </c>
      <c r="D3349">
        <v>24772</v>
      </c>
      <c r="E3349" t="s">
        <v>3122</v>
      </c>
      <c r="F3349" t="s">
        <v>3122</v>
      </c>
      <c r="G3349" t="s">
        <v>3123</v>
      </c>
      <c r="H3349" t="s">
        <v>3489</v>
      </c>
      <c r="I3349" t="s">
        <v>3507</v>
      </c>
      <c r="J3349" s="56">
        <f t="shared" si="156"/>
        <v>2</v>
      </c>
      <c r="K3349" s="74" t="str">
        <f t="shared" si="157"/>
        <v>0-3 Days</v>
      </c>
      <c r="L3349" s="58" t="str">
        <f t="shared" si="158"/>
        <v>Not Applicable</v>
      </c>
    </row>
    <row r="3350" spans="1:12" ht="16.5" customHeight="1" x14ac:dyDescent="0.35">
      <c r="A3350" t="s">
        <v>3115</v>
      </c>
      <c r="B3350" t="s">
        <v>3115</v>
      </c>
      <c r="C3350">
        <v>0</v>
      </c>
      <c r="D3350">
        <v>10111</v>
      </c>
      <c r="E3350" t="s">
        <v>10408</v>
      </c>
      <c r="F3350" t="s">
        <v>10408</v>
      </c>
      <c r="G3350" t="s">
        <v>10395</v>
      </c>
      <c r="H3350" t="s">
        <v>3489</v>
      </c>
      <c r="I3350" t="s">
        <v>3490</v>
      </c>
      <c r="J3350" s="56">
        <f t="shared" si="156"/>
        <v>2</v>
      </c>
      <c r="K3350" s="74" t="str">
        <f t="shared" si="157"/>
        <v>0-3 Days</v>
      </c>
      <c r="L3350" s="58" t="str">
        <f t="shared" si="158"/>
        <v>Not Applicable</v>
      </c>
    </row>
    <row r="3351" spans="1:12" ht="16.5" customHeight="1" x14ac:dyDescent="0.35">
      <c r="A3351" t="s">
        <v>3115</v>
      </c>
      <c r="B3351" t="s">
        <v>3115</v>
      </c>
      <c r="C3351">
        <v>0</v>
      </c>
      <c r="D3351">
        <v>44</v>
      </c>
      <c r="E3351" t="s">
        <v>10409</v>
      </c>
      <c r="F3351" t="s">
        <v>10409</v>
      </c>
      <c r="G3351" t="s">
        <v>10410</v>
      </c>
      <c r="H3351" t="s">
        <v>3489</v>
      </c>
      <c r="I3351" t="s">
        <v>3490</v>
      </c>
      <c r="J3351" s="56">
        <f t="shared" si="156"/>
        <v>2</v>
      </c>
      <c r="K3351" s="74" t="str">
        <f t="shared" si="157"/>
        <v>0-3 Days</v>
      </c>
      <c r="L3351" s="58" t="str">
        <f t="shared" si="158"/>
        <v>Not Applicable</v>
      </c>
    </row>
    <row r="3352" spans="1:12" ht="16.5" customHeight="1" x14ac:dyDescent="0.35">
      <c r="A3352" t="s">
        <v>3115</v>
      </c>
      <c r="B3352" t="s">
        <v>3115</v>
      </c>
      <c r="C3352">
        <v>0</v>
      </c>
      <c r="D3352">
        <v>1000</v>
      </c>
      <c r="E3352" t="s">
        <v>10411</v>
      </c>
      <c r="F3352" t="s">
        <v>10411</v>
      </c>
      <c r="G3352" t="s">
        <v>10412</v>
      </c>
      <c r="H3352" t="s">
        <v>3489</v>
      </c>
      <c r="I3352" t="s">
        <v>3490</v>
      </c>
      <c r="J3352" s="56">
        <f t="shared" si="156"/>
        <v>2</v>
      </c>
      <c r="K3352" s="74" t="str">
        <f t="shared" si="157"/>
        <v>0-3 Days</v>
      </c>
      <c r="L3352" s="58" t="str">
        <f t="shared" si="158"/>
        <v>Not Applicable</v>
      </c>
    </row>
    <row r="3353" spans="1:12" ht="16.5" customHeight="1" x14ac:dyDescent="0.35">
      <c r="A3353" t="s">
        <v>3115</v>
      </c>
      <c r="B3353" t="s">
        <v>3115</v>
      </c>
      <c r="C3353">
        <v>0</v>
      </c>
      <c r="D3353">
        <v>270</v>
      </c>
      <c r="E3353" t="s">
        <v>10413</v>
      </c>
      <c r="F3353" t="s">
        <v>10414</v>
      </c>
      <c r="G3353" t="s">
        <v>10415</v>
      </c>
      <c r="H3353" t="s">
        <v>3489</v>
      </c>
      <c r="I3353" t="s">
        <v>3486</v>
      </c>
      <c r="J3353" s="56">
        <f t="shared" si="156"/>
        <v>2</v>
      </c>
      <c r="K3353" s="74" t="str">
        <f t="shared" si="157"/>
        <v>0-3 Days</v>
      </c>
      <c r="L3353" s="58" t="str">
        <f t="shared" si="158"/>
        <v>Not Applicable</v>
      </c>
    </row>
    <row r="3354" spans="1:12" ht="16.5" customHeight="1" x14ac:dyDescent="0.35">
      <c r="A3354" t="s">
        <v>3115</v>
      </c>
      <c r="B3354" t="s">
        <v>3115</v>
      </c>
      <c r="C3354">
        <v>11340</v>
      </c>
      <c r="D3354">
        <v>0</v>
      </c>
      <c r="E3354" t="s">
        <v>10416</v>
      </c>
      <c r="F3354" t="s">
        <v>10416</v>
      </c>
      <c r="G3354" t="s">
        <v>10406</v>
      </c>
      <c r="H3354" t="s">
        <v>3455</v>
      </c>
      <c r="I3354" t="s">
        <v>3507</v>
      </c>
      <c r="J3354" s="56">
        <f t="shared" si="156"/>
        <v>2</v>
      </c>
      <c r="K3354" s="74" t="str">
        <f t="shared" si="157"/>
        <v>0-3 Days</v>
      </c>
      <c r="L3354" s="58" t="str">
        <f t="shared" si="158"/>
        <v>Normal</v>
      </c>
    </row>
    <row r="3355" spans="1:12" ht="16.5" customHeight="1" x14ac:dyDescent="0.35">
      <c r="A3355" t="s">
        <v>3115</v>
      </c>
      <c r="B3355" t="s">
        <v>3115</v>
      </c>
      <c r="C3355">
        <v>0</v>
      </c>
      <c r="D3355">
        <v>50</v>
      </c>
      <c r="E3355" t="s">
        <v>10417</v>
      </c>
      <c r="F3355" t="s">
        <v>10417</v>
      </c>
      <c r="G3355" t="s">
        <v>10418</v>
      </c>
      <c r="H3355" t="s">
        <v>3489</v>
      </c>
      <c r="I3355" t="s">
        <v>3490</v>
      </c>
      <c r="J3355" s="56">
        <f t="shared" si="156"/>
        <v>2</v>
      </c>
      <c r="K3355" s="74" t="str">
        <f t="shared" si="157"/>
        <v>0-3 Days</v>
      </c>
      <c r="L3355" s="58" t="str">
        <f t="shared" si="158"/>
        <v>Not Applicable</v>
      </c>
    </row>
    <row r="3356" spans="1:12" ht="16.5" customHeight="1" x14ac:dyDescent="0.35">
      <c r="A3356" t="s">
        <v>3126</v>
      </c>
      <c r="B3356" t="s">
        <v>3126</v>
      </c>
      <c r="C3356">
        <v>0</v>
      </c>
      <c r="D3356">
        <v>250</v>
      </c>
      <c r="E3356" t="s">
        <v>10419</v>
      </c>
      <c r="F3356" t="s">
        <v>10419</v>
      </c>
      <c r="G3356" t="s">
        <v>10420</v>
      </c>
      <c r="H3356" t="s">
        <v>3489</v>
      </c>
      <c r="I3356" t="s">
        <v>3490</v>
      </c>
      <c r="J3356" s="56">
        <f t="shared" si="156"/>
        <v>0</v>
      </c>
      <c r="K3356" s="74" t="str">
        <f t="shared" si="157"/>
        <v>0-3 Days</v>
      </c>
      <c r="L3356" s="58" t="str">
        <f t="shared" si="158"/>
        <v>Not Applicable</v>
      </c>
    </row>
    <row r="3357" spans="1:12" ht="16.5" customHeight="1" x14ac:dyDescent="0.35">
      <c r="A3357" t="s">
        <v>3126</v>
      </c>
      <c r="B3357" t="s">
        <v>3126</v>
      </c>
      <c r="C3357">
        <v>1744.6</v>
      </c>
      <c r="D3357">
        <v>0</v>
      </c>
      <c r="E3357" t="s">
        <v>4086</v>
      </c>
      <c r="F3357" t="s">
        <v>4086</v>
      </c>
      <c r="G3357" t="s">
        <v>10421</v>
      </c>
      <c r="H3357" t="s">
        <v>4491</v>
      </c>
      <c r="I3357" t="s">
        <v>3486</v>
      </c>
      <c r="J3357" s="56">
        <f t="shared" si="156"/>
        <v>0</v>
      </c>
      <c r="K3357" s="74" t="str">
        <f t="shared" si="157"/>
        <v>0-3 Days</v>
      </c>
      <c r="L3357" s="58" t="str">
        <f t="shared" si="158"/>
        <v>Normal</v>
      </c>
    </row>
    <row r="3358" spans="1:12" ht="16.5" customHeight="1" x14ac:dyDescent="0.35">
      <c r="A3358" t="s">
        <v>3126</v>
      </c>
      <c r="B3358" t="s">
        <v>3126</v>
      </c>
      <c r="C3358">
        <v>0</v>
      </c>
      <c r="D3358">
        <v>550</v>
      </c>
      <c r="E3358" t="s">
        <v>10422</v>
      </c>
      <c r="F3358" t="s">
        <v>10422</v>
      </c>
      <c r="G3358" t="s">
        <v>10423</v>
      </c>
      <c r="H3358" t="s">
        <v>3489</v>
      </c>
      <c r="I3358" t="s">
        <v>3490</v>
      </c>
      <c r="J3358" s="56">
        <f t="shared" si="156"/>
        <v>0</v>
      </c>
      <c r="K3358" s="74" t="str">
        <f t="shared" si="157"/>
        <v>0-3 Days</v>
      </c>
      <c r="L3358" s="58" t="str">
        <f t="shared" si="158"/>
        <v>Not Applicable</v>
      </c>
    </row>
    <row r="3359" spans="1:12" ht="16.5" customHeight="1" x14ac:dyDescent="0.35">
      <c r="A3359" t="s">
        <v>3126</v>
      </c>
      <c r="B3359" t="s">
        <v>3126</v>
      </c>
      <c r="C3359">
        <v>1660334.86</v>
      </c>
      <c r="D3359">
        <v>0</v>
      </c>
      <c r="E3359" t="s">
        <v>10424</v>
      </c>
      <c r="F3359" t="s">
        <v>10424</v>
      </c>
      <c r="G3359" t="s">
        <v>10425</v>
      </c>
      <c r="H3359" t="s">
        <v>3455</v>
      </c>
      <c r="I3359" t="s">
        <v>3486</v>
      </c>
      <c r="J3359" s="56">
        <f t="shared" si="156"/>
        <v>0</v>
      </c>
      <c r="K3359" s="74" t="str">
        <f t="shared" si="157"/>
        <v>0-3 Days</v>
      </c>
      <c r="L3359" s="58" t="str">
        <f t="shared" si="158"/>
        <v>Normal</v>
      </c>
    </row>
    <row r="3360" spans="1:12" ht="16.5" customHeight="1" x14ac:dyDescent="0.35">
      <c r="A3360" t="s">
        <v>3126</v>
      </c>
      <c r="B3360" t="s">
        <v>3126</v>
      </c>
      <c r="C3360">
        <v>1000</v>
      </c>
      <c r="D3360">
        <v>0</v>
      </c>
      <c r="E3360" t="s">
        <v>10426</v>
      </c>
      <c r="F3360" t="s">
        <v>10426</v>
      </c>
      <c r="G3360" t="s">
        <v>10427</v>
      </c>
      <c r="H3360" t="s">
        <v>4491</v>
      </c>
      <c r="I3360" t="s">
        <v>3507</v>
      </c>
      <c r="J3360" s="56">
        <f t="shared" si="156"/>
        <v>0</v>
      </c>
      <c r="K3360" s="74" t="str">
        <f t="shared" si="157"/>
        <v>0-3 Days</v>
      </c>
      <c r="L3360" s="58" t="str">
        <f t="shared" si="158"/>
        <v>Normal</v>
      </c>
    </row>
    <row r="3361" spans="1:12" ht="16.5" customHeight="1" x14ac:dyDescent="0.35">
      <c r="A3361" t="s">
        <v>3126</v>
      </c>
      <c r="B3361" t="s">
        <v>3126</v>
      </c>
      <c r="C3361">
        <v>1660333.71</v>
      </c>
      <c r="D3361">
        <v>0</v>
      </c>
      <c r="E3361" t="s">
        <v>10428</v>
      </c>
      <c r="F3361" t="s">
        <v>10428</v>
      </c>
      <c r="G3361" t="s">
        <v>10429</v>
      </c>
      <c r="H3361" t="s">
        <v>3455</v>
      </c>
      <c r="I3361" t="s">
        <v>3486</v>
      </c>
      <c r="J3361" s="56">
        <f t="shared" si="156"/>
        <v>0</v>
      </c>
      <c r="K3361" s="74" t="str">
        <f t="shared" si="157"/>
        <v>0-3 Days</v>
      </c>
      <c r="L3361" s="58" t="str">
        <f t="shared" si="158"/>
        <v>Normal</v>
      </c>
    </row>
    <row r="3362" spans="1:12" ht="16.5" customHeight="1" x14ac:dyDescent="0.35">
      <c r="A3362" t="s">
        <v>3126</v>
      </c>
      <c r="B3362" t="s">
        <v>3126</v>
      </c>
      <c r="C3362">
        <v>0</v>
      </c>
      <c r="D3362">
        <v>1000</v>
      </c>
      <c r="E3362" t="s">
        <v>10430</v>
      </c>
      <c r="F3362" t="s">
        <v>10430</v>
      </c>
      <c r="G3362" t="s">
        <v>10431</v>
      </c>
      <c r="H3362" t="s">
        <v>3489</v>
      </c>
      <c r="I3362" t="s">
        <v>3490</v>
      </c>
      <c r="J3362" s="56">
        <f t="shared" si="156"/>
        <v>0</v>
      </c>
      <c r="K3362" s="74" t="str">
        <f t="shared" si="157"/>
        <v>0-3 Days</v>
      </c>
      <c r="L3362" s="58" t="str">
        <f t="shared" si="158"/>
        <v>Not Applicable</v>
      </c>
    </row>
    <row r="3363" spans="1:12" ht="16.5" customHeight="1" x14ac:dyDescent="0.35">
      <c r="A3363" t="s">
        <v>3126</v>
      </c>
      <c r="B3363" t="s">
        <v>3126</v>
      </c>
      <c r="C3363">
        <v>0</v>
      </c>
      <c r="D3363">
        <v>690</v>
      </c>
      <c r="E3363" t="s">
        <v>10432</v>
      </c>
      <c r="F3363" t="s">
        <v>10433</v>
      </c>
      <c r="G3363" t="s">
        <v>10434</v>
      </c>
      <c r="H3363" t="s">
        <v>3489</v>
      </c>
      <c r="I3363" t="s">
        <v>3486</v>
      </c>
      <c r="J3363" s="56">
        <f t="shared" si="156"/>
        <v>0</v>
      </c>
      <c r="K3363" s="74" t="str">
        <f t="shared" si="157"/>
        <v>0-3 Days</v>
      </c>
      <c r="L3363" s="58" t="str">
        <f t="shared" si="158"/>
        <v>Not Applicable</v>
      </c>
    </row>
    <row r="3364" spans="1:12" ht="16.5" customHeight="1" x14ac:dyDescent="0.35">
      <c r="A3364" t="s">
        <v>3126</v>
      </c>
      <c r="B3364" t="s">
        <v>3126</v>
      </c>
      <c r="C3364">
        <v>0</v>
      </c>
      <c r="D3364">
        <v>247.8</v>
      </c>
      <c r="E3364" t="s">
        <v>10435</v>
      </c>
      <c r="F3364" t="s">
        <v>10436</v>
      </c>
      <c r="G3364" t="s">
        <v>10437</v>
      </c>
      <c r="H3364" t="s">
        <v>3532</v>
      </c>
      <c r="I3364" t="s">
        <v>3490</v>
      </c>
      <c r="J3364" s="56">
        <f t="shared" si="156"/>
        <v>0</v>
      </c>
      <c r="K3364" s="74" t="str">
        <f t="shared" si="157"/>
        <v>0-3 Days</v>
      </c>
      <c r="L3364" s="58" t="str">
        <f t="shared" si="158"/>
        <v>Not Applicable</v>
      </c>
    </row>
    <row r="3365" spans="1:12" ht="16.5" customHeight="1" x14ac:dyDescent="0.35">
      <c r="A3365" t="s">
        <v>3126</v>
      </c>
      <c r="B3365" t="s">
        <v>3126</v>
      </c>
      <c r="C3365">
        <v>3445.6</v>
      </c>
      <c r="D3365">
        <v>0</v>
      </c>
      <c r="E3365" t="s">
        <v>10438</v>
      </c>
      <c r="F3365" t="s">
        <v>10438</v>
      </c>
      <c r="G3365" t="s">
        <v>10439</v>
      </c>
      <c r="H3365" t="s">
        <v>3455</v>
      </c>
      <c r="I3365" t="s">
        <v>3507</v>
      </c>
      <c r="J3365" s="56">
        <f t="shared" si="156"/>
        <v>0</v>
      </c>
      <c r="K3365" s="74" t="str">
        <f t="shared" si="157"/>
        <v>0-3 Days</v>
      </c>
      <c r="L3365" s="58" t="str">
        <f t="shared" si="158"/>
        <v>Normal</v>
      </c>
    </row>
    <row r="3366" spans="1:12" ht="16.5" customHeight="1" x14ac:dyDescent="0.35">
      <c r="A3366" t="s">
        <v>3126</v>
      </c>
      <c r="B3366" t="s">
        <v>3126</v>
      </c>
      <c r="C3366">
        <v>0</v>
      </c>
      <c r="D3366">
        <v>250</v>
      </c>
      <c r="E3366" t="s">
        <v>10440</v>
      </c>
      <c r="F3366" t="s">
        <v>10440</v>
      </c>
      <c r="G3366" t="s">
        <v>10441</v>
      </c>
      <c r="H3366" t="s">
        <v>3489</v>
      </c>
      <c r="I3366" t="s">
        <v>3490</v>
      </c>
      <c r="J3366" s="56">
        <f t="shared" si="156"/>
        <v>0</v>
      </c>
      <c r="K3366" s="74" t="str">
        <f t="shared" si="157"/>
        <v>0-3 Days</v>
      </c>
      <c r="L3366" s="58" t="str">
        <f t="shared" si="158"/>
        <v>Not Applicable</v>
      </c>
    </row>
    <row r="3367" spans="1:12" ht="16.5" customHeight="1" x14ac:dyDescent="0.35">
      <c r="A3367" t="s">
        <v>3126</v>
      </c>
      <c r="B3367" t="s">
        <v>3126</v>
      </c>
      <c r="C3367">
        <v>0</v>
      </c>
      <c r="D3367">
        <v>2650</v>
      </c>
      <c r="E3367" t="s">
        <v>10442</v>
      </c>
      <c r="F3367" t="s">
        <v>10442</v>
      </c>
      <c r="G3367" t="s">
        <v>10443</v>
      </c>
      <c r="H3367" t="s">
        <v>3489</v>
      </c>
      <c r="I3367" t="s">
        <v>3490</v>
      </c>
      <c r="J3367" s="56">
        <f t="shared" si="156"/>
        <v>0</v>
      </c>
      <c r="K3367" s="74" t="str">
        <f t="shared" si="157"/>
        <v>0-3 Days</v>
      </c>
      <c r="L3367" s="58" t="str">
        <f t="shared" si="158"/>
        <v>Not Applicable</v>
      </c>
    </row>
    <row r="3368" spans="1:12" ht="16.5" customHeight="1" x14ac:dyDescent="0.35">
      <c r="A3368" t="s">
        <v>3126</v>
      </c>
      <c r="B3368" t="s">
        <v>3126</v>
      </c>
      <c r="C3368">
        <v>0</v>
      </c>
      <c r="D3368">
        <v>1000</v>
      </c>
      <c r="E3368" t="s">
        <v>10444</v>
      </c>
      <c r="F3368" t="s">
        <v>10445</v>
      </c>
      <c r="G3368" t="s">
        <v>10446</v>
      </c>
      <c r="H3368" t="s">
        <v>3489</v>
      </c>
      <c r="I3368" t="s">
        <v>3490</v>
      </c>
      <c r="J3368" s="56">
        <f t="shared" si="156"/>
        <v>0</v>
      </c>
      <c r="K3368" s="74" t="str">
        <f t="shared" si="157"/>
        <v>0-3 Days</v>
      </c>
      <c r="L3368" s="58" t="str">
        <f t="shared" si="158"/>
        <v>Not Applicable</v>
      </c>
    </row>
    <row r="3369" spans="1:12" ht="16.5" customHeight="1" x14ac:dyDescent="0.35">
      <c r="A3369" t="s">
        <v>3126</v>
      </c>
      <c r="B3369" t="s">
        <v>3126</v>
      </c>
      <c r="C3369">
        <v>0</v>
      </c>
      <c r="D3369">
        <v>10000</v>
      </c>
      <c r="E3369" t="s">
        <v>3158</v>
      </c>
      <c r="F3369" t="s">
        <v>3158</v>
      </c>
      <c r="G3369" t="s">
        <v>3159</v>
      </c>
      <c r="H3369" t="s">
        <v>3489</v>
      </c>
      <c r="I3369" t="s">
        <v>3507</v>
      </c>
      <c r="J3369" s="56">
        <f t="shared" si="156"/>
        <v>0</v>
      </c>
      <c r="K3369" s="74" t="str">
        <f t="shared" si="157"/>
        <v>0-3 Days</v>
      </c>
      <c r="L3369" s="58" t="str">
        <f t="shared" si="158"/>
        <v>Not Applicable</v>
      </c>
    </row>
    <row r="3370" spans="1:12" ht="16.5" customHeight="1" x14ac:dyDescent="0.35">
      <c r="A3370" t="s">
        <v>3126</v>
      </c>
      <c r="B3370" t="s">
        <v>3126</v>
      </c>
      <c r="C3370">
        <v>0</v>
      </c>
      <c r="D3370">
        <v>500</v>
      </c>
      <c r="E3370" t="s">
        <v>10447</v>
      </c>
      <c r="F3370" t="s">
        <v>10447</v>
      </c>
      <c r="G3370" t="s">
        <v>10448</v>
      </c>
      <c r="H3370" t="s">
        <v>3489</v>
      </c>
      <c r="I3370" t="s">
        <v>3490</v>
      </c>
      <c r="J3370" s="56">
        <f t="shared" si="156"/>
        <v>0</v>
      </c>
      <c r="K3370" s="74" t="str">
        <f t="shared" si="157"/>
        <v>0-3 Days</v>
      </c>
      <c r="L3370" s="58" t="str">
        <f t="shared" si="158"/>
        <v>Not Applicable</v>
      </c>
    </row>
    <row r="3371" spans="1:12" ht="16.5" customHeight="1" x14ac:dyDescent="0.35">
      <c r="A3371" t="s">
        <v>3126</v>
      </c>
      <c r="B3371" t="s">
        <v>3126</v>
      </c>
      <c r="C3371">
        <v>0</v>
      </c>
      <c r="D3371">
        <v>600</v>
      </c>
      <c r="E3371" t="s">
        <v>10449</v>
      </c>
      <c r="F3371" t="s">
        <v>10449</v>
      </c>
      <c r="G3371" t="s">
        <v>10450</v>
      </c>
      <c r="H3371" t="s">
        <v>3489</v>
      </c>
      <c r="I3371" t="s">
        <v>3490</v>
      </c>
      <c r="J3371" s="56">
        <f t="shared" si="156"/>
        <v>0</v>
      </c>
      <c r="K3371" s="74" t="str">
        <f t="shared" si="157"/>
        <v>0-3 Days</v>
      </c>
      <c r="L3371" s="58" t="str">
        <f t="shared" si="158"/>
        <v>Not Applicable</v>
      </c>
    </row>
    <row r="3372" spans="1:12" ht="16.5" customHeight="1" x14ac:dyDescent="0.35">
      <c r="A3372" t="s">
        <v>3126</v>
      </c>
      <c r="B3372" t="s">
        <v>3126</v>
      </c>
      <c r="C3372">
        <v>0</v>
      </c>
      <c r="D3372">
        <v>5003888.8899999997</v>
      </c>
      <c r="E3372" t="s">
        <v>10451</v>
      </c>
      <c r="F3372" t="s">
        <v>10451</v>
      </c>
      <c r="G3372" t="s">
        <v>10452</v>
      </c>
      <c r="H3372" t="s">
        <v>3489</v>
      </c>
      <c r="I3372" t="s">
        <v>3486</v>
      </c>
      <c r="J3372" s="56">
        <f t="shared" si="156"/>
        <v>0</v>
      </c>
      <c r="K3372" s="74" t="str">
        <f t="shared" si="157"/>
        <v>0-3 Days</v>
      </c>
      <c r="L3372" s="58" t="str">
        <f t="shared" si="158"/>
        <v>Not Applicable</v>
      </c>
    </row>
    <row r="3373" spans="1:12" ht="16.5" customHeight="1" x14ac:dyDescent="0.35">
      <c r="A3373" t="s">
        <v>3126</v>
      </c>
      <c r="B3373" t="s">
        <v>3126</v>
      </c>
      <c r="C3373">
        <v>3000</v>
      </c>
      <c r="D3373">
        <v>0</v>
      </c>
      <c r="E3373" t="s">
        <v>10453</v>
      </c>
      <c r="F3373" t="s">
        <v>10453</v>
      </c>
      <c r="G3373" t="s">
        <v>10391</v>
      </c>
      <c r="H3373" t="s">
        <v>3455</v>
      </c>
      <c r="I3373" t="s">
        <v>3507</v>
      </c>
      <c r="J3373" s="56">
        <f t="shared" si="156"/>
        <v>0</v>
      </c>
      <c r="K3373" s="74" t="str">
        <f t="shared" si="157"/>
        <v>0-3 Days</v>
      </c>
      <c r="L3373" s="58" t="str">
        <f t="shared" si="158"/>
        <v>Normal</v>
      </c>
    </row>
    <row r="3374" spans="1:12" ht="16.5" customHeight="1" x14ac:dyDescent="0.35">
      <c r="A3374" t="s">
        <v>3126</v>
      </c>
      <c r="B3374" t="s">
        <v>3126</v>
      </c>
      <c r="C3374">
        <v>0</v>
      </c>
      <c r="D3374">
        <v>250</v>
      </c>
      <c r="E3374" t="s">
        <v>10454</v>
      </c>
      <c r="F3374" t="s">
        <v>10454</v>
      </c>
      <c r="G3374" t="s">
        <v>10455</v>
      </c>
      <c r="H3374" t="s">
        <v>3489</v>
      </c>
      <c r="I3374" t="s">
        <v>3490</v>
      </c>
      <c r="J3374" s="56">
        <f t="shared" si="156"/>
        <v>0</v>
      </c>
      <c r="K3374" s="74" t="str">
        <f t="shared" si="157"/>
        <v>0-3 Days</v>
      </c>
      <c r="L3374" s="58" t="str">
        <f t="shared" si="158"/>
        <v>Not Applicable</v>
      </c>
    </row>
    <row r="3375" spans="1:12" ht="16.5" customHeight="1" x14ac:dyDescent="0.35">
      <c r="A3375" t="s">
        <v>3126</v>
      </c>
      <c r="B3375" t="s">
        <v>3126</v>
      </c>
      <c r="C3375">
        <v>1607970.92</v>
      </c>
      <c r="D3375">
        <v>0</v>
      </c>
      <c r="E3375" t="s">
        <v>10456</v>
      </c>
      <c r="F3375" t="s">
        <v>10456</v>
      </c>
      <c r="G3375" t="s">
        <v>10457</v>
      </c>
      <c r="H3375" t="s">
        <v>3455</v>
      </c>
      <c r="I3375" t="s">
        <v>3486</v>
      </c>
      <c r="J3375" s="56">
        <f t="shared" si="156"/>
        <v>0</v>
      </c>
      <c r="K3375" s="74" t="str">
        <f t="shared" si="157"/>
        <v>0-3 Days</v>
      </c>
      <c r="L3375" s="58" t="str">
        <f t="shared" si="158"/>
        <v>Normal</v>
      </c>
    </row>
    <row r="3376" spans="1:12" ht="16.5" customHeight="1" x14ac:dyDescent="0.35">
      <c r="A3376" t="s">
        <v>3126</v>
      </c>
      <c r="B3376" t="s">
        <v>3126</v>
      </c>
      <c r="C3376">
        <v>0</v>
      </c>
      <c r="D3376">
        <v>42255</v>
      </c>
      <c r="E3376" t="s">
        <v>10458</v>
      </c>
      <c r="F3376" t="s">
        <v>57</v>
      </c>
      <c r="G3376" t="s">
        <v>57</v>
      </c>
      <c r="H3376" t="s">
        <v>3914</v>
      </c>
      <c r="I3376" t="s">
        <v>3643</v>
      </c>
      <c r="J3376" s="56">
        <f t="shared" si="156"/>
        <v>0</v>
      </c>
      <c r="K3376" s="74" t="str">
        <f t="shared" si="157"/>
        <v>0-3 Days</v>
      </c>
      <c r="L3376" s="58" t="str">
        <f t="shared" si="158"/>
        <v>Not Applicable</v>
      </c>
    </row>
    <row r="3377" spans="1:12" ht="16.5" customHeight="1" x14ac:dyDescent="0.35">
      <c r="A3377" t="s">
        <v>3126</v>
      </c>
      <c r="B3377" t="s">
        <v>3126</v>
      </c>
      <c r="C3377">
        <v>0</v>
      </c>
      <c r="D3377">
        <v>14240</v>
      </c>
      <c r="E3377" t="s">
        <v>10459</v>
      </c>
      <c r="F3377" t="s">
        <v>10459</v>
      </c>
      <c r="G3377" t="s">
        <v>10460</v>
      </c>
      <c r="H3377" t="s">
        <v>3489</v>
      </c>
      <c r="I3377" t="s">
        <v>3507</v>
      </c>
      <c r="J3377" s="56">
        <f t="shared" si="156"/>
        <v>0</v>
      </c>
      <c r="K3377" s="74" t="str">
        <f t="shared" si="157"/>
        <v>0-3 Days</v>
      </c>
      <c r="L3377" s="58" t="str">
        <f t="shared" si="158"/>
        <v>Not Applicable</v>
      </c>
    </row>
    <row r="3378" spans="1:12" ht="16.5" customHeight="1" x14ac:dyDescent="0.35">
      <c r="A3378" t="s">
        <v>3126</v>
      </c>
      <c r="B3378" t="s">
        <v>3126</v>
      </c>
      <c r="C3378">
        <v>0</v>
      </c>
      <c r="D3378">
        <v>1000</v>
      </c>
      <c r="E3378" t="s">
        <v>10461</v>
      </c>
      <c r="F3378" t="s">
        <v>10461</v>
      </c>
      <c r="G3378" t="s">
        <v>10462</v>
      </c>
      <c r="H3378" t="s">
        <v>3489</v>
      </c>
      <c r="I3378" t="s">
        <v>3490</v>
      </c>
      <c r="J3378" s="56">
        <f t="shared" si="156"/>
        <v>0</v>
      </c>
      <c r="K3378" s="74" t="str">
        <f t="shared" si="157"/>
        <v>0-3 Days</v>
      </c>
      <c r="L3378" s="58" t="str">
        <f t="shared" si="158"/>
        <v>Not Applicable</v>
      </c>
    </row>
    <row r="3379" spans="1:12" ht="16.5" customHeight="1" x14ac:dyDescent="0.35">
      <c r="A3379" t="s">
        <v>3126</v>
      </c>
      <c r="B3379" t="s">
        <v>3126</v>
      </c>
      <c r="C3379">
        <v>0</v>
      </c>
      <c r="D3379">
        <v>600</v>
      </c>
      <c r="E3379" t="s">
        <v>10463</v>
      </c>
      <c r="F3379" t="s">
        <v>10463</v>
      </c>
      <c r="G3379" t="s">
        <v>10464</v>
      </c>
      <c r="H3379" t="s">
        <v>3489</v>
      </c>
      <c r="I3379" t="s">
        <v>3490</v>
      </c>
      <c r="J3379" s="56">
        <f t="shared" si="156"/>
        <v>0</v>
      </c>
      <c r="K3379" s="74" t="str">
        <f t="shared" si="157"/>
        <v>0-3 Days</v>
      </c>
      <c r="L3379" s="58" t="str">
        <f t="shared" si="158"/>
        <v>Not Applicable</v>
      </c>
    </row>
    <row r="3380" spans="1:12" ht="16.5" customHeight="1" x14ac:dyDescent="0.35">
      <c r="A3380" t="s">
        <v>3126</v>
      </c>
      <c r="B3380" t="s">
        <v>3126</v>
      </c>
      <c r="C3380">
        <v>0</v>
      </c>
      <c r="D3380">
        <v>100</v>
      </c>
      <c r="E3380" t="s">
        <v>10465</v>
      </c>
      <c r="F3380" t="s">
        <v>10465</v>
      </c>
      <c r="G3380" t="s">
        <v>10466</v>
      </c>
      <c r="H3380" t="s">
        <v>3489</v>
      </c>
      <c r="I3380" t="s">
        <v>3490</v>
      </c>
      <c r="J3380" s="56">
        <f t="shared" si="156"/>
        <v>0</v>
      </c>
      <c r="K3380" s="74" t="str">
        <f t="shared" si="157"/>
        <v>0-3 Days</v>
      </c>
      <c r="L3380" s="58" t="str">
        <f t="shared" si="158"/>
        <v>Not Applicable</v>
      </c>
    </row>
    <row r="3381" spans="1:12" ht="16.5" customHeight="1" x14ac:dyDescent="0.35">
      <c r="A3381" t="s">
        <v>3126</v>
      </c>
      <c r="B3381" t="s">
        <v>3126</v>
      </c>
      <c r="C3381">
        <v>1071980.6200000001</v>
      </c>
      <c r="D3381">
        <v>0</v>
      </c>
      <c r="E3381" t="s">
        <v>10467</v>
      </c>
      <c r="F3381" t="s">
        <v>10467</v>
      </c>
      <c r="G3381" t="s">
        <v>10468</v>
      </c>
      <c r="H3381" t="s">
        <v>3455</v>
      </c>
      <c r="I3381" t="s">
        <v>3486</v>
      </c>
      <c r="J3381" s="56">
        <f t="shared" si="156"/>
        <v>0</v>
      </c>
      <c r="K3381" s="74" t="str">
        <f t="shared" si="157"/>
        <v>0-3 Days</v>
      </c>
      <c r="L3381" s="58" t="str">
        <f t="shared" si="158"/>
        <v>Normal</v>
      </c>
    </row>
    <row r="3382" spans="1:12" ht="16.5" customHeight="1" x14ac:dyDescent="0.35">
      <c r="A3382" t="s">
        <v>3126</v>
      </c>
      <c r="B3382" t="s">
        <v>3126</v>
      </c>
      <c r="C3382">
        <v>250</v>
      </c>
      <c r="D3382">
        <v>0</v>
      </c>
      <c r="E3382" t="s">
        <v>10469</v>
      </c>
      <c r="F3382" t="s">
        <v>10469</v>
      </c>
      <c r="G3382" t="s">
        <v>10441</v>
      </c>
      <c r="H3382" t="s">
        <v>3455</v>
      </c>
      <c r="I3382" t="s">
        <v>3507</v>
      </c>
      <c r="J3382" s="56">
        <f t="shared" si="156"/>
        <v>0</v>
      </c>
      <c r="K3382" s="74" t="str">
        <f t="shared" si="157"/>
        <v>0-3 Days</v>
      </c>
      <c r="L3382" s="58" t="str">
        <f t="shared" si="158"/>
        <v>Normal</v>
      </c>
    </row>
    <row r="3383" spans="1:12" ht="16.5" customHeight="1" x14ac:dyDescent="0.35">
      <c r="A3383" t="s">
        <v>3126</v>
      </c>
      <c r="B3383" t="s">
        <v>3126</v>
      </c>
      <c r="C3383">
        <v>0</v>
      </c>
      <c r="D3383">
        <v>1000</v>
      </c>
      <c r="E3383" t="s">
        <v>10470</v>
      </c>
      <c r="F3383" t="s">
        <v>10470</v>
      </c>
      <c r="G3383" t="s">
        <v>10471</v>
      </c>
      <c r="H3383" t="s">
        <v>3532</v>
      </c>
      <c r="I3383" t="s">
        <v>3490</v>
      </c>
      <c r="J3383" s="56">
        <f t="shared" si="156"/>
        <v>0</v>
      </c>
      <c r="K3383" s="74" t="str">
        <f t="shared" si="157"/>
        <v>0-3 Days</v>
      </c>
      <c r="L3383" s="58" t="str">
        <f t="shared" si="158"/>
        <v>Not Applicable</v>
      </c>
    </row>
    <row r="3384" spans="1:12" ht="16.5" customHeight="1" x14ac:dyDescent="0.35">
      <c r="A3384" t="s">
        <v>3126</v>
      </c>
      <c r="B3384" t="s">
        <v>3126</v>
      </c>
      <c r="C3384">
        <v>0</v>
      </c>
      <c r="D3384">
        <v>158198.72</v>
      </c>
      <c r="E3384" t="s">
        <v>10472</v>
      </c>
      <c r="F3384" t="s">
        <v>10473</v>
      </c>
      <c r="G3384" t="s">
        <v>10474</v>
      </c>
      <c r="H3384" t="s">
        <v>3489</v>
      </c>
      <c r="I3384" t="s">
        <v>3486</v>
      </c>
      <c r="J3384" s="56">
        <f t="shared" si="156"/>
        <v>0</v>
      </c>
      <c r="K3384" s="74" t="str">
        <f t="shared" si="157"/>
        <v>0-3 Days</v>
      </c>
      <c r="L3384" s="58" t="str">
        <f t="shared" si="158"/>
        <v>Not Applicable</v>
      </c>
    </row>
    <row r="3385" spans="1:12" ht="16.5" customHeight="1" x14ac:dyDescent="0.35">
      <c r="A3385" t="s">
        <v>3126</v>
      </c>
      <c r="B3385" t="s">
        <v>3126</v>
      </c>
      <c r="C3385">
        <v>1000</v>
      </c>
      <c r="D3385">
        <v>0</v>
      </c>
      <c r="E3385" t="s">
        <v>10475</v>
      </c>
      <c r="F3385" t="s">
        <v>10475</v>
      </c>
      <c r="G3385" t="s">
        <v>10476</v>
      </c>
      <c r="H3385" t="s">
        <v>4491</v>
      </c>
      <c r="I3385" t="s">
        <v>3507</v>
      </c>
      <c r="J3385" s="56">
        <f t="shared" si="156"/>
        <v>0</v>
      </c>
      <c r="K3385" s="74" t="str">
        <f t="shared" si="157"/>
        <v>0-3 Days</v>
      </c>
      <c r="L3385" s="58" t="str">
        <f t="shared" si="158"/>
        <v>Normal</v>
      </c>
    </row>
    <row r="3386" spans="1:12" ht="16.5" customHeight="1" x14ac:dyDescent="0.35">
      <c r="A3386" t="s">
        <v>3126</v>
      </c>
      <c r="B3386" t="s">
        <v>3126</v>
      </c>
      <c r="C3386">
        <v>0</v>
      </c>
      <c r="D3386">
        <v>1000</v>
      </c>
      <c r="E3386" t="s">
        <v>10477</v>
      </c>
      <c r="F3386" t="s">
        <v>10478</v>
      </c>
      <c r="G3386" t="s">
        <v>10479</v>
      </c>
      <c r="H3386" t="s">
        <v>3494</v>
      </c>
      <c r="I3386" t="s">
        <v>3490</v>
      </c>
      <c r="J3386" s="56">
        <f t="shared" si="156"/>
        <v>0</v>
      </c>
      <c r="K3386" s="74" t="str">
        <f t="shared" si="157"/>
        <v>0-3 Days</v>
      </c>
      <c r="L3386" s="58" t="str">
        <f t="shared" si="158"/>
        <v>Not Applicable</v>
      </c>
    </row>
    <row r="3387" spans="1:12" ht="16.5" customHeight="1" x14ac:dyDescent="0.35">
      <c r="A3387" t="s">
        <v>3126</v>
      </c>
      <c r="B3387" t="s">
        <v>3126</v>
      </c>
      <c r="C3387">
        <v>0</v>
      </c>
      <c r="D3387">
        <v>1000</v>
      </c>
      <c r="E3387" t="s">
        <v>10480</v>
      </c>
      <c r="F3387" t="s">
        <v>10481</v>
      </c>
      <c r="G3387" t="s">
        <v>10482</v>
      </c>
      <c r="H3387" t="s">
        <v>3489</v>
      </c>
      <c r="I3387" t="s">
        <v>3490</v>
      </c>
      <c r="J3387" s="56">
        <f t="shared" si="156"/>
        <v>0</v>
      </c>
      <c r="K3387" s="74" t="str">
        <f t="shared" si="157"/>
        <v>0-3 Days</v>
      </c>
      <c r="L3387" s="58" t="str">
        <f t="shared" si="158"/>
        <v>Not Applicable</v>
      </c>
    </row>
    <row r="3388" spans="1:12" ht="16.5" customHeight="1" x14ac:dyDescent="0.35">
      <c r="A3388" t="s">
        <v>3126</v>
      </c>
      <c r="B3388" t="s">
        <v>3126</v>
      </c>
      <c r="C3388">
        <v>0</v>
      </c>
      <c r="D3388">
        <v>1000</v>
      </c>
      <c r="E3388" t="s">
        <v>10483</v>
      </c>
      <c r="F3388" t="s">
        <v>10484</v>
      </c>
      <c r="G3388" t="s">
        <v>10485</v>
      </c>
      <c r="H3388" t="s">
        <v>3489</v>
      </c>
      <c r="I3388" t="s">
        <v>3490</v>
      </c>
      <c r="J3388" s="56">
        <f t="shared" si="156"/>
        <v>0</v>
      </c>
      <c r="K3388" s="74" t="str">
        <f t="shared" si="157"/>
        <v>0-3 Days</v>
      </c>
      <c r="L3388" s="58" t="str">
        <f t="shared" si="158"/>
        <v>Not Applicable</v>
      </c>
    </row>
    <row r="3389" spans="1:12" ht="16.5" customHeight="1" x14ac:dyDescent="0.35">
      <c r="A3389" t="s">
        <v>3126</v>
      </c>
      <c r="B3389" t="s">
        <v>3126</v>
      </c>
      <c r="C3389">
        <v>0</v>
      </c>
      <c r="D3389">
        <v>1000</v>
      </c>
      <c r="E3389" t="s">
        <v>10486</v>
      </c>
      <c r="F3389" t="s">
        <v>10486</v>
      </c>
      <c r="G3389" t="s">
        <v>10487</v>
      </c>
      <c r="H3389" t="s">
        <v>3489</v>
      </c>
      <c r="I3389" t="s">
        <v>3490</v>
      </c>
      <c r="J3389" s="56">
        <f t="shared" si="156"/>
        <v>0</v>
      </c>
      <c r="K3389" s="74" t="str">
        <f t="shared" si="157"/>
        <v>0-3 Days</v>
      </c>
      <c r="L3389" s="58" t="str">
        <f t="shared" si="158"/>
        <v>Not Applicable</v>
      </c>
    </row>
    <row r="3390" spans="1:12" ht="16.5" customHeight="1" x14ac:dyDescent="0.35">
      <c r="A3390" t="s">
        <v>3126</v>
      </c>
      <c r="B3390" t="s">
        <v>3126</v>
      </c>
      <c r="C3390">
        <v>0</v>
      </c>
      <c r="D3390">
        <v>3445.6</v>
      </c>
      <c r="E3390" t="s">
        <v>10488</v>
      </c>
      <c r="F3390" t="s">
        <v>10488</v>
      </c>
      <c r="G3390" t="s">
        <v>10439</v>
      </c>
      <c r="H3390" t="s">
        <v>3489</v>
      </c>
      <c r="I3390" t="s">
        <v>3490</v>
      </c>
      <c r="J3390" s="56">
        <f t="shared" si="156"/>
        <v>0</v>
      </c>
      <c r="K3390" s="74" t="str">
        <f t="shared" si="157"/>
        <v>0-3 Days</v>
      </c>
      <c r="L3390" s="58" t="str">
        <f t="shared" si="158"/>
        <v>Not Applicable</v>
      </c>
    </row>
    <row r="3391" spans="1:12" ht="16.5" customHeight="1" x14ac:dyDescent="0.35">
      <c r="A3391" t="s">
        <v>3126</v>
      </c>
      <c r="B3391" t="s">
        <v>3126</v>
      </c>
      <c r="C3391">
        <v>0</v>
      </c>
      <c r="D3391">
        <v>106.2</v>
      </c>
      <c r="E3391" t="s">
        <v>10489</v>
      </c>
      <c r="F3391" t="s">
        <v>10490</v>
      </c>
      <c r="G3391" t="s">
        <v>10491</v>
      </c>
      <c r="H3391" t="s">
        <v>3532</v>
      </c>
      <c r="I3391" t="s">
        <v>3490</v>
      </c>
      <c r="J3391" s="56">
        <f t="shared" si="156"/>
        <v>0</v>
      </c>
      <c r="K3391" s="74" t="str">
        <f t="shared" si="157"/>
        <v>0-3 Days</v>
      </c>
      <c r="L3391" s="58" t="str">
        <f t="shared" si="158"/>
        <v>Not Applicable</v>
      </c>
    </row>
    <row r="3392" spans="1:12" ht="16.5" customHeight="1" x14ac:dyDescent="0.35">
      <c r="A3392" t="s">
        <v>3126</v>
      </c>
      <c r="B3392" t="s">
        <v>3126</v>
      </c>
      <c r="C3392">
        <v>0</v>
      </c>
      <c r="D3392">
        <v>1000</v>
      </c>
      <c r="E3392" t="s">
        <v>10492</v>
      </c>
      <c r="F3392" t="s">
        <v>10493</v>
      </c>
      <c r="G3392" t="s">
        <v>10494</v>
      </c>
      <c r="H3392" t="s">
        <v>3489</v>
      </c>
      <c r="I3392" t="s">
        <v>3490</v>
      </c>
      <c r="J3392" s="56">
        <f t="shared" si="156"/>
        <v>0</v>
      </c>
      <c r="K3392" s="74" t="str">
        <f t="shared" si="157"/>
        <v>0-3 Days</v>
      </c>
      <c r="L3392" s="58" t="str">
        <f t="shared" si="158"/>
        <v>Not Applicable</v>
      </c>
    </row>
    <row r="3393" spans="1:12" ht="16.5" customHeight="1" x14ac:dyDescent="0.35">
      <c r="A3393" t="s">
        <v>3126</v>
      </c>
      <c r="B3393" t="s">
        <v>3126</v>
      </c>
      <c r="C3393">
        <v>0</v>
      </c>
      <c r="D3393">
        <v>10111</v>
      </c>
      <c r="E3393" t="s">
        <v>10495</v>
      </c>
      <c r="F3393" t="s">
        <v>10495</v>
      </c>
      <c r="G3393" t="s">
        <v>10496</v>
      </c>
      <c r="H3393" t="s">
        <v>3489</v>
      </c>
      <c r="I3393" t="s">
        <v>3490</v>
      </c>
      <c r="J3393" s="56">
        <f t="shared" si="156"/>
        <v>0</v>
      </c>
      <c r="K3393" s="74" t="str">
        <f t="shared" si="157"/>
        <v>0-3 Days</v>
      </c>
      <c r="L3393" s="58" t="str">
        <f t="shared" si="158"/>
        <v>Not Applicable</v>
      </c>
    </row>
    <row r="3394" spans="1:12" ht="16.5" customHeight="1" x14ac:dyDescent="0.35">
      <c r="A3394" t="s">
        <v>3126</v>
      </c>
      <c r="B3394" t="s">
        <v>3126</v>
      </c>
      <c r="C3394">
        <v>1660333.71</v>
      </c>
      <c r="D3394">
        <v>0</v>
      </c>
      <c r="E3394" t="s">
        <v>10497</v>
      </c>
      <c r="F3394" t="s">
        <v>10497</v>
      </c>
      <c r="G3394" t="s">
        <v>10498</v>
      </c>
      <c r="H3394" t="s">
        <v>3455</v>
      </c>
      <c r="I3394" t="s">
        <v>3486</v>
      </c>
      <c r="J3394" s="56">
        <f t="shared" si="156"/>
        <v>0</v>
      </c>
      <c r="K3394" s="74" t="str">
        <f t="shared" si="157"/>
        <v>0-3 Days</v>
      </c>
      <c r="L3394" s="58" t="str">
        <f t="shared" si="158"/>
        <v>Normal</v>
      </c>
    </row>
    <row r="3395" spans="1:12" ht="16.5" customHeight="1" x14ac:dyDescent="0.35">
      <c r="A3395" t="s">
        <v>3126</v>
      </c>
      <c r="B3395" t="s">
        <v>3126</v>
      </c>
      <c r="C3395">
        <v>0</v>
      </c>
      <c r="D3395">
        <v>1000</v>
      </c>
      <c r="E3395" t="s">
        <v>10499</v>
      </c>
      <c r="F3395" t="s">
        <v>10500</v>
      </c>
      <c r="G3395" t="s">
        <v>10501</v>
      </c>
      <c r="H3395" t="s">
        <v>3489</v>
      </c>
      <c r="I3395" t="s">
        <v>3490</v>
      </c>
      <c r="J3395" s="56">
        <f t="shared" si="156"/>
        <v>0</v>
      </c>
      <c r="K3395" s="74" t="str">
        <f t="shared" si="157"/>
        <v>0-3 Days</v>
      </c>
      <c r="L3395" s="58" t="str">
        <f t="shared" si="158"/>
        <v>Not Applicable</v>
      </c>
    </row>
    <row r="3396" spans="1:12" ht="16.5" customHeight="1" x14ac:dyDescent="0.35">
      <c r="A3396" t="s">
        <v>3126</v>
      </c>
      <c r="B3396" t="s">
        <v>3126</v>
      </c>
      <c r="C3396">
        <v>0</v>
      </c>
      <c r="D3396">
        <v>30000000</v>
      </c>
      <c r="E3396" t="s">
        <v>10502</v>
      </c>
      <c r="F3396" t="s">
        <v>10503</v>
      </c>
      <c r="G3396" t="s">
        <v>10504</v>
      </c>
      <c r="H3396" t="s">
        <v>3489</v>
      </c>
      <c r="I3396" t="s">
        <v>3486</v>
      </c>
      <c r="J3396" s="56">
        <f t="shared" si="156"/>
        <v>0</v>
      </c>
      <c r="K3396" s="74" t="str">
        <f t="shared" si="157"/>
        <v>0-3 Days</v>
      </c>
      <c r="L3396" s="58" t="str">
        <f t="shared" si="158"/>
        <v>Not Applicable</v>
      </c>
    </row>
    <row r="3397" spans="1:12" ht="16.5" customHeight="1" x14ac:dyDescent="0.35">
      <c r="A3397" t="s">
        <v>3126</v>
      </c>
      <c r="B3397" t="s">
        <v>3126</v>
      </c>
      <c r="C3397">
        <v>180</v>
      </c>
      <c r="D3397">
        <v>0</v>
      </c>
      <c r="E3397" t="s">
        <v>10505</v>
      </c>
      <c r="F3397" t="s">
        <v>10505</v>
      </c>
      <c r="G3397" t="s">
        <v>10506</v>
      </c>
      <c r="H3397" t="s">
        <v>5243</v>
      </c>
      <c r="I3397" t="s">
        <v>3507</v>
      </c>
      <c r="J3397" s="56">
        <f t="shared" si="156"/>
        <v>0</v>
      </c>
      <c r="K3397" s="74" t="str">
        <f t="shared" si="157"/>
        <v>0-3 Days</v>
      </c>
      <c r="L3397" s="58" t="str">
        <f t="shared" si="158"/>
        <v>Normal</v>
      </c>
    </row>
    <row r="3398" spans="1:12" ht="16.5" customHeight="1" x14ac:dyDescent="0.35">
      <c r="A3398" t="s">
        <v>3126</v>
      </c>
      <c r="B3398" t="s">
        <v>3126</v>
      </c>
      <c r="C3398">
        <v>0</v>
      </c>
      <c r="D3398">
        <v>460.2</v>
      </c>
      <c r="E3398" t="s">
        <v>10507</v>
      </c>
      <c r="F3398" t="s">
        <v>10508</v>
      </c>
      <c r="G3398" t="s">
        <v>10509</v>
      </c>
      <c r="H3398" t="s">
        <v>3532</v>
      </c>
      <c r="I3398" t="s">
        <v>3490</v>
      </c>
      <c r="J3398" s="56">
        <f t="shared" si="156"/>
        <v>0</v>
      </c>
      <c r="K3398" s="74" t="str">
        <f t="shared" si="157"/>
        <v>0-3 Days</v>
      </c>
      <c r="L3398" s="58" t="str">
        <f t="shared" si="158"/>
        <v>Not Applicable</v>
      </c>
    </row>
    <row r="3399" spans="1:12" ht="16.5" customHeight="1" x14ac:dyDescent="0.35">
      <c r="A3399" t="s">
        <v>3126</v>
      </c>
      <c r="B3399" t="s">
        <v>3126</v>
      </c>
      <c r="C3399">
        <v>8575843.7899999991</v>
      </c>
      <c r="D3399">
        <v>0</v>
      </c>
      <c r="E3399" t="s">
        <v>10510</v>
      </c>
      <c r="F3399" t="s">
        <v>10510</v>
      </c>
      <c r="G3399" t="s">
        <v>10511</v>
      </c>
      <c r="H3399" t="s">
        <v>3455</v>
      </c>
      <c r="I3399" t="s">
        <v>3486</v>
      </c>
      <c r="J3399" s="56">
        <f t="shared" si="156"/>
        <v>0</v>
      </c>
      <c r="K3399" s="74" t="str">
        <f t="shared" si="157"/>
        <v>0-3 Days</v>
      </c>
      <c r="L3399" s="58" t="str">
        <f t="shared" si="158"/>
        <v>Normal</v>
      </c>
    </row>
    <row r="3400" spans="1:12" ht="16.5" customHeight="1" x14ac:dyDescent="0.35">
      <c r="A3400" t="s">
        <v>3126</v>
      </c>
      <c r="B3400" t="s">
        <v>3126</v>
      </c>
      <c r="C3400">
        <v>0</v>
      </c>
      <c r="D3400">
        <v>1000</v>
      </c>
      <c r="E3400" t="s">
        <v>10512</v>
      </c>
      <c r="F3400" t="s">
        <v>10513</v>
      </c>
      <c r="G3400" t="s">
        <v>10514</v>
      </c>
      <c r="H3400" t="s">
        <v>3489</v>
      </c>
      <c r="I3400" t="s">
        <v>3490</v>
      </c>
      <c r="J3400" s="56">
        <f t="shared" si="156"/>
        <v>0</v>
      </c>
      <c r="K3400" s="74" t="str">
        <f t="shared" si="157"/>
        <v>0-3 Days</v>
      </c>
      <c r="L3400" s="58" t="str">
        <f t="shared" si="158"/>
        <v>Not Applicable</v>
      </c>
    </row>
    <row r="3401" spans="1:12" ht="16.5" customHeight="1" x14ac:dyDescent="0.35">
      <c r="A3401" t="s">
        <v>3126</v>
      </c>
      <c r="B3401" t="s">
        <v>3126</v>
      </c>
      <c r="C3401">
        <v>1106888.76</v>
      </c>
      <c r="D3401">
        <v>0</v>
      </c>
      <c r="E3401" t="s">
        <v>10515</v>
      </c>
      <c r="F3401" t="s">
        <v>10515</v>
      </c>
      <c r="G3401" t="s">
        <v>10516</v>
      </c>
      <c r="H3401" t="s">
        <v>3455</v>
      </c>
      <c r="I3401" t="s">
        <v>3486</v>
      </c>
      <c r="J3401" s="56">
        <f t="shared" ref="J3401:J3464" si="159">IF(A3401="","",A$5-A3401)</f>
        <v>0</v>
      </c>
      <c r="K3401" s="74" t="str">
        <f t="shared" ref="K3401:K3464" si="160">IF(J3401="","",IF(J3401&lt;4,"0-3 Days",IF(J3401&lt;31,"4-30 Days",IF(J3401&lt;61,"31-60 Days",IF(J3401&lt;=90,"61-90 Days",IF(J3401&gt;90,"Above 90 Days","0"))))))</f>
        <v>0-3 Days</v>
      </c>
      <c r="L3401" s="58" t="str">
        <f t="shared" ref="L3401:L3464" si="161">IF(C3401="","",IF(C3401&gt;0,IF(J3401&lt;30,"Normal",IF(J3401&lt;60,"Especially Mentioned",IF(J3401&lt;90,"Substandard",IF(J3401&lt;=180,"Doubtful",IF(J3401&gt;180,"Loss","0"))))),"Not Applicable"))</f>
        <v>Normal</v>
      </c>
    </row>
    <row r="3402" spans="1:12" ht="16.5" customHeight="1" x14ac:dyDescent="0.35">
      <c r="A3402" t="s">
        <v>3126</v>
      </c>
      <c r="B3402" t="s">
        <v>3126</v>
      </c>
      <c r="C3402">
        <v>0</v>
      </c>
      <c r="D3402">
        <v>180</v>
      </c>
      <c r="E3402" t="s">
        <v>10517</v>
      </c>
      <c r="F3402" t="s">
        <v>10517</v>
      </c>
      <c r="G3402" t="s">
        <v>10506</v>
      </c>
      <c r="H3402" t="s">
        <v>3489</v>
      </c>
      <c r="I3402" t="s">
        <v>3490</v>
      </c>
      <c r="J3402" s="56">
        <f t="shared" si="159"/>
        <v>0</v>
      </c>
      <c r="K3402" s="74" t="str">
        <f t="shared" si="160"/>
        <v>0-3 Days</v>
      </c>
      <c r="L3402" s="58" t="str">
        <f t="shared" si="161"/>
        <v>Not Applicable</v>
      </c>
    </row>
    <row r="3403" spans="1:12" ht="16.5" customHeight="1" x14ac:dyDescent="0.35">
      <c r="A3403" t="s">
        <v>3126</v>
      </c>
      <c r="B3403" t="s">
        <v>3126</v>
      </c>
      <c r="C3403">
        <v>2948.1</v>
      </c>
      <c r="D3403">
        <v>0</v>
      </c>
      <c r="E3403" t="s">
        <v>3898</v>
      </c>
      <c r="F3403" t="s">
        <v>3898</v>
      </c>
      <c r="G3403" t="s">
        <v>10518</v>
      </c>
      <c r="H3403" t="s">
        <v>3485</v>
      </c>
      <c r="I3403" t="s">
        <v>3486</v>
      </c>
      <c r="J3403" s="56">
        <f t="shared" si="159"/>
        <v>0</v>
      </c>
      <c r="K3403" s="74" t="str">
        <f t="shared" si="160"/>
        <v>0-3 Days</v>
      </c>
      <c r="L3403" s="58" t="str">
        <f t="shared" si="161"/>
        <v>Normal</v>
      </c>
    </row>
    <row r="3404" spans="1:12" ht="16.5" customHeight="1" x14ac:dyDescent="0.35">
      <c r="A3404" t="s">
        <v>3126</v>
      </c>
      <c r="B3404" t="s">
        <v>3126</v>
      </c>
      <c r="C3404">
        <v>0</v>
      </c>
      <c r="D3404">
        <v>100</v>
      </c>
      <c r="E3404" t="s">
        <v>10519</v>
      </c>
      <c r="F3404" t="s">
        <v>10519</v>
      </c>
      <c r="G3404" t="s">
        <v>10520</v>
      </c>
      <c r="H3404" t="s">
        <v>3489</v>
      </c>
      <c r="I3404" t="s">
        <v>3490</v>
      </c>
      <c r="J3404" s="56">
        <f t="shared" si="159"/>
        <v>0</v>
      </c>
      <c r="K3404" s="74" t="str">
        <f t="shared" si="160"/>
        <v>0-3 Days</v>
      </c>
      <c r="L3404" s="58" t="str">
        <f t="shared" si="161"/>
        <v>Not Applicable</v>
      </c>
    </row>
    <row r="3405" spans="1:12" ht="16.5" customHeight="1" x14ac:dyDescent="0.35">
      <c r="A3405" t="s">
        <v>3126</v>
      </c>
      <c r="B3405" t="s">
        <v>3126</v>
      </c>
      <c r="C3405">
        <v>1000</v>
      </c>
      <c r="D3405">
        <v>0</v>
      </c>
      <c r="E3405" t="s">
        <v>10521</v>
      </c>
      <c r="F3405" t="s">
        <v>10521</v>
      </c>
      <c r="G3405" t="s">
        <v>10487</v>
      </c>
      <c r="H3405" t="s">
        <v>4491</v>
      </c>
      <c r="I3405" t="s">
        <v>3507</v>
      </c>
      <c r="J3405" s="56">
        <f t="shared" si="159"/>
        <v>0</v>
      </c>
      <c r="K3405" s="74" t="str">
        <f t="shared" si="160"/>
        <v>0-3 Days</v>
      </c>
      <c r="L3405" s="58" t="str">
        <f t="shared" si="161"/>
        <v>Normal</v>
      </c>
    </row>
    <row r="3406" spans="1:12" ht="16.5" customHeight="1" x14ac:dyDescent="0.35">
      <c r="A3406" t="s">
        <v>3126</v>
      </c>
      <c r="B3406" t="s">
        <v>3126</v>
      </c>
      <c r="C3406">
        <v>0</v>
      </c>
      <c r="D3406">
        <v>10000</v>
      </c>
      <c r="E3406" t="s">
        <v>10522</v>
      </c>
      <c r="F3406" t="s">
        <v>10522</v>
      </c>
      <c r="G3406" t="s">
        <v>10523</v>
      </c>
      <c r="H3406" t="s">
        <v>3489</v>
      </c>
      <c r="I3406" t="s">
        <v>3490</v>
      </c>
      <c r="J3406" s="56">
        <f t="shared" si="159"/>
        <v>0</v>
      </c>
      <c r="K3406" s="74" t="str">
        <f t="shared" si="160"/>
        <v>0-3 Days</v>
      </c>
      <c r="L3406" s="58" t="str">
        <f t="shared" si="161"/>
        <v>Not Applicable</v>
      </c>
    </row>
    <row r="3407" spans="1:12" ht="16.5" customHeight="1" x14ac:dyDescent="0.35">
      <c r="A3407" t="s">
        <v>3126</v>
      </c>
      <c r="B3407" t="s">
        <v>3126</v>
      </c>
      <c r="C3407">
        <v>0</v>
      </c>
      <c r="D3407">
        <v>49.56</v>
      </c>
      <c r="E3407" t="s">
        <v>10524</v>
      </c>
      <c r="F3407" t="s">
        <v>10524</v>
      </c>
      <c r="G3407" t="s">
        <v>10525</v>
      </c>
      <c r="H3407" t="s">
        <v>3489</v>
      </c>
      <c r="I3407" t="s">
        <v>3490</v>
      </c>
      <c r="J3407" s="56">
        <f t="shared" si="159"/>
        <v>0</v>
      </c>
      <c r="K3407" s="74" t="str">
        <f t="shared" si="160"/>
        <v>0-3 Days</v>
      </c>
      <c r="L3407" s="58" t="str">
        <f t="shared" si="161"/>
        <v>Not Applicable</v>
      </c>
    </row>
    <row r="3408" spans="1:12" ht="16.5" customHeight="1" x14ac:dyDescent="0.35">
      <c r="A3408" t="s">
        <v>3126</v>
      </c>
      <c r="B3408" t="s">
        <v>3126</v>
      </c>
      <c r="C3408">
        <v>1228647.82</v>
      </c>
      <c r="D3408">
        <v>0</v>
      </c>
      <c r="E3408" t="s">
        <v>10526</v>
      </c>
      <c r="F3408" t="s">
        <v>10526</v>
      </c>
      <c r="G3408" t="s">
        <v>10527</v>
      </c>
      <c r="H3408" t="s">
        <v>3455</v>
      </c>
      <c r="I3408" t="s">
        <v>3486</v>
      </c>
      <c r="J3408" s="56">
        <f t="shared" si="159"/>
        <v>0</v>
      </c>
      <c r="K3408" s="74" t="str">
        <f t="shared" si="160"/>
        <v>0-3 Days</v>
      </c>
      <c r="L3408" s="58" t="str">
        <f t="shared" si="161"/>
        <v>Normal</v>
      </c>
    </row>
    <row r="3409" spans="1:12" ht="16.5" customHeight="1" x14ac:dyDescent="0.35">
      <c r="A3409" t="s">
        <v>3126</v>
      </c>
      <c r="B3409" t="s">
        <v>3126</v>
      </c>
      <c r="C3409">
        <v>0</v>
      </c>
      <c r="D3409">
        <v>150</v>
      </c>
      <c r="E3409" t="s">
        <v>10528</v>
      </c>
      <c r="F3409" t="s">
        <v>10528</v>
      </c>
      <c r="G3409" t="s">
        <v>10529</v>
      </c>
      <c r="H3409" t="s">
        <v>3489</v>
      </c>
      <c r="I3409" t="s">
        <v>3490</v>
      </c>
      <c r="J3409" s="56">
        <f t="shared" si="159"/>
        <v>0</v>
      </c>
      <c r="K3409" s="74" t="str">
        <f t="shared" si="160"/>
        <v>0-3 Days</v>
      </c>
      <c r="L3409" s="58" t="str">
        <f t="shared" si="161"/>
        <v>Not Applicable</v>
      </c>
    </row>
    <row r="3410" spans="1:12" ht="16.5" customHeight="1" x14ac:dyDescent="0.35">
      <c r="A3410" t="s">
        <v>3126</v>
      </c>
      <c r="B3410" t="s">
        <v>3126</v>
      </c>
      <c r="C3410">
        <v>0</v>
      </c>
      <c r="D3410">
        <v>1000</v>
      </c>
      <c r="E3410" t="s">
        <v>10530</v>
      </c>
      <c r="F3410" t="s">
        <v>10531</v>
      </c>
      <c r="G3410" t="s">
        <v>10532</v>
      </c>
      <c r="H3410" t="s">
        <v>3489</v>
      </c>
      <c r="I3410" t="s">
        <v>3490</v>
      </c>
      <c r="J3410" s="56">
        <f t="shared" si="159"/>
        <v>0</v>
      </c>
      <c r="K3410" s="74" t="str">
        <f t="shared" si="160"/>
        <v>0-3 Days</v>
      </c>
      <c r="L3410" s="58" t="str">
        <f t="shared" si="161"/>
        <v>Not Applicable</v>
      </c>
    </row>
    <row r="3411" spans="1:12" ht="16.5" customHeight="1" x14ac:dyDescent="0.35">
      <c r="A3411" t="s">
        <v>3126</v>
      </c>
      <c r="B3411" t="s">
        <v>3126</v>
      </c>
      <c r="C3411">
        <v>10111</v>
      </c>
      <c r="D3411">
        <v>0</v>
      </c>
      <c r="E3411" t="s">
        <v>10533</v>
      </c>
      <c r="F3411" t="s">
        <v>10533</v>
      </c>
      <c r="G3411" t="s">
        <v>10496</v>
      </c>
      <c r="H3411" t="s">
        <v>3455</v>
      </c>
      <c r="I3411" t="s">
        <v>3507</v>
      </c>
      <c r="J3411" s="56">
        <f t="shared" si="159"/>
        <v>0</v>
      </c>
      <c r="K3411" s="74" t="str">
        <f t="shared" si="160"/>
        <v>0-3 Days</v>
      </c>
      <c r="L3411" s="58" t="str">
        <f t="shared" si="161"/>
        <v>Normal</v>
      </c>
    </row>
    <row r="3412" spans="1:12" ht="16.5" customHeight="1" x14ac:dyDescent="0.35">
      <c r="A3412" t="s">
        <v>3126</v>
      </c>
      <c r="B3412" t="s">
        <v>3126</v>
      </c>
      <c r="C3412">
        <v>0</v>
      </c>
      <c r="D3412">
        <v>56.64</v>
      </c>
      <c r="E3412" t="s">
        <v>10534</v>
      </c>
      <c r="F3412" t="s">
        <v>10534</v>
      </c>
      <c r="G3412" t="s">
        <v>10535</v>
      </c>
      <c r="H3412" t="s">
        <v>3489</v>
      </c>
      <c r="I3412" t="s">
        <v>3490</v>
      </c>
      <c r="J3412" s="56">
        <f t="shared" si="159"/>
        <v>0</v>
      </c>
      <c r="K3412" s="74" t="str">
        <f t="shared" si="160"/>
        <v>0-3 Days</v>
      </c>
      <c r="L3412" s="58" t="str">
        <f t="shared" si="161"/>
        <v>Not Applicable</v>
      </c>
    </row>
    <row r="3413" spans="1:12" ht="16.5" customHeight="1" x14ac:dyDescent="0.35">
      <c r="A3413" t="s">
        <v>3126</v>
      </c>
      <c r="B3413" t="s">
        <v>3126</v>
      </c>
      <c r="C3413">
        <v>0</v>
      </c>
      <c r="D3413">
        <v>600</v>
      </c>
      <c r="E3413" t="s">
        <v>10536</v>
      </c>
      <c r="F3413" t="s">
        <v>10536</v>
      </c>
      <c r="G3413" t="s">
        <v>10537</v>
      </c>
      <c r="H3413" t="s">
        <v>3489</v>
      </c>
      <c r="I3413" t="s">
        <v>3490</v>
      </c>
      <c r="J3413" s="56">
        <f t="shared" si="159"/>
        <v>0</v>
      </c>
      <c r="K3413" s="74" t="str">
        <f t="shared" si="160"/>
        <v>0-3 Days</v>
      </c>
      <c r="L3413" s="58" t="str">
        <f t="shared" si="161"/>
        <v>Not Applicable</v>
      </c>
    </row>
    <row r="3414" spans="1:12" ht="16.5" customHeight="1" x14ac:dyDescent="0.35">
      <c r="A3414" t="s">
        <v>3126</v>
      </c>
      <c r="B3414" t="s">
        <v>3126</v>
      </c>
      <c r="C3414">
        <v>0</v>
      </c>
      <c r="D3414">
        <v>247.8</v>
      </c>
      <c r="E3414" t="s">
        <v>10538</v>
      </c>
      <c r="F3414" t="s">
        <v>10539</v>
      </c>
      <c r="G3414" t="s">
        <v>10540</v>
      </c>
      <c r="H3414" t="s">
        <v>3532</v>
      </c>
      <c r="I3414" t="s">
        <v>3490</v>
      </c>
      <c r="J3414" s="56">
        <f t="shared" si="159"/>
        <v>0</v>
      </c>
      <c r="K3414" s="74" t="str">
        <f t="shared" si="160"/>
        <v>0-3 Days</v>
      </c>
      <c r="L3414" s="58" t="str">
        <f t="shared" si="161"/>
        <v>Not Applicable</v>
      </c>
    </row>
    <row r="3415" spans="1:12" ht="16.5" customHeight="1" x14ac:dyDescent="0.35">
      <c r="A3415" t="s">
        <v>3126</v>
      </c>
      <c r="B3415" t="s">
        <v>3126</v>
      </c>
      <c r="C3415">
        <v>0</v>
      </c>
      <c r="D3415">
        <v>250</v>
      </c>
      <c r="E3415" t="s">
        <v>10541</v>
      </c>
      <c r="F3415" t="s">
        <v>10541</v>
      </c>
      <c r="G3415" t="s">
        <v>10542</v>
      </c>
      <c r="H3415" t="s">
        <v>3532</v>
      </c>
      <c r="I3415" t="s">
        <v>3490</v>
      </c>
      <c r="J3415" s="56">
        <f t="shared" si="159"/>
        <v>0</v>
      </c>
      <c r="K3415" s="74" t="str">
        <f t="shared" si="160"/>
        <v>0-3 Days</v>
      </c>
      <c r="L3415" s="58" t="str">
        <f t="shared" si="161"/>
        <v>Not Applicable</v>
      </c>
    </row>
    <row r="3416" spans="1:12" ht="16.5" customHeight="1" x14ac:dyDescent="0.35">
      <c r="A3416" t="s">
        <v>3126</v>
      </c>
      <c r="B3416" t="s">
        <v>3126</v>
      </c>
      <c r="C3416">
        <v>0</v>
      </c>
      <c r="D3416">
        <v>28.32</v>
      </c>
      <c r="E3416" t="s">
        <v>10543</v>
      </c>
      <c r="F3416" t="s">
        <v>10543</v>
      </c>
      <c r="G3416" t="s">
        <v>10544</v>
      </c>
      <c r="H3416" t="s">
        <v>3489</v>
      </c>
      <c r="I3416" t="s">
        <v>3490</v>
      </c>
      <c r="J3416" s="56">
        <f t="shared" si="159"/>
        <v>0</v>
      </c>
      <c r="K3416" s="74" t="str">
        <f t="shared" si="160"/>
        <v>0-3 Days</v>
      </c>
      <c r="L3416" s="58" t="str">
        <f t="shared" si="161"/>
        <v>Not Applicable</v>
      </c>
    </row>
    <row r="3417" spans="1:12" ht="16.5" customHeight="1" x14ac:dyDescent="0.35">
      <c r="A3417" t="s">
        <v>3126</v>
      </c>
      <c r="B3417" t="s">
        <v>3126</v>
      </c>
      <c r="C3417">
        <v>250</v>
      </c>
      <c r="D3417">
        <v>0</v>
      </c>
      <c r="E3417" t="s">
        <v>10545</v>
      </c>
      <c r="F3417" t="s">
        <v>10545</v>
      </c>
      <c r="G3417" t="s">
        <v>10546</v>
      </c>
      <c r="H3417" t="s">
        <v>3455</v>
      </c>
      <c r="I3417" t="s">
        <v>3507</v>
      </c>
      <c r="J3417" s="56">
        <f t="shared" si="159"/>
        <v>0</v>
      </c>
      <c r="K3417" s="74" t="str">
        <f t="shared" si="160"/>
        <v>0-3 Days</v>
      </c>
      <c r="L3417" s="58" t="str">
        <f t="shared" si="161"/>
        <v>Normal</v>
      </c>
    </row>
    <row r="3418" spans="1:12" ht="16.5" customHeight="1" x14ac:dyDescent="0.35">
      <c r="A3418" t="s">
        <v>3126</v>
      </c>
      <c r="B3418" t="s">
        <v>3126</v>
      </c>
      <c r="C3418">
        <v>0</v>
      </c>
      <c r="D3418">
        <v>1500</v>
      </c>
      <c r="E3418" t="s">
        <v>10547</v>
      </c>
      <c r="F3418" t="s">
        <v>10547</v>
      </c>
      <c r="G3418" t="s">
        <v>10548</v>
      </c>
      <c r="H3418" t="s">
        <v>3489</v>
      </c>
      <c r="I3418" t="s">
        <v>3490</v>
      </c>
      <c r="J3418" s="56">
        <f t="shared" si="159"/>
        <v>0</v>
      </c>
      <c r="K3418" s="74" t="str">
        <f t="shared" si="160"/>
        <v>0-3 Days</v>
      </c>
      <c r="L3418" s="58" t="str">
        <f t="shared" si="161"/>
        <v>Not Applicable</v>
      </c>
    </row>
    <row r="3419" spans="1:12" ht="16.5" customHeight="1" x14ac:dyDescent="0.35">
      <c r="A3419" t="s">
        <v>3126</v>
      </c>
      <c r="B3419" t="s">
        <v>3126</v>
      </c>
      <c r="C3419">
        <v>0</v>
      </c>
      <c r="D3419">
        <v>250</v>
      </c>
      <c r="E3419" t="s">
        <v>10549</v>
      </c>
      <c r="F3419" t="s">
        <v>10549</v>
      </c>
      <c r="G3419" t="s">
        <v>10550</v>
      </c>
      <c r="H3419" t="s">
        <v>3489</v>
      </c>
      <c r="I3419" t="s">
        <v>3490</v>
      </c>
      <c r="J3419" s="56">
        <f t="shared" si="159"/>
        <v>0</v>
      </c>
      <c r="K3419" s="74" t="str">
        <f t="shared" si="160"/>
        <v>0-3 Days</v>
      </c>
      <c r="L3419" s="58" t="str">
        <f t="shared" si="161"/>
        <v>Not Applicable</v>
      </c>
    </row>
    <row r="3420" spans="1:12" ht="16.5" customHeight="1" x14ac:dyDescent="0.35">
      <c r="A3420" t="s">
        <v>3126</v>
      </c>
      <c r="B3420" t="s">
        <v>3126</v>
      </c>
      <c r="C3420">
        <v>0</v>
      </c>
      <c r="D3420">
        <v>1000</v>
      </c>
      <c r="E3420" t="s">
        <v>10551</v>
      </c>
      <c r="F3420" t="s">
        <v>10552</v>
      </c>
      <c r="G3420" t="s">
        <v>10553</v>
      </c>
      <c r="H3420" t="s">
        <v>3489</v>
      </c>
      <c r="I3420" t="s">
        <v>3490</v>
      </c>
      <c r="J3420" s="56">
        <f t="shared" si="159"/>
        <v>0</v>
      </c>
      <c r="K3420" s="74" t="str">
        <f t="shared" si="160"/>
        <v>0-3 Days</v>
      </c>
      <c r="L3420" s="58" t="str">
        <f t="shared" si="161"/>
        <v>Not Applicable</v>
      </c>
    </row>
    <row r="3421" spans="1:12" ht="16.5" customHeight="1" x14ac:dyDescent="0.35">
      <c r="A3421" t="s">
        <v>3126</v>
      </c>
      <c r="B3421" t="s">
        <v>3126</v>
      </c>
      <c r="C3421">
        <v>2650</v>
      </c>
      <c r="D3421">
        <v>0</v>
      </c>
      <c r="E3421" t="s">
        <v>10554</v>
      </c>
      <c r="F3421" t="s">
        <v>10554</v>
      </c>
      <c r="G3421" t="s">
        <v>10443</v>
      </c>
      <c r="H3421" t="s">
        <v>3458</v>
      </c>
      <c r="I3421" t="s">
        <v>3507</v>
      </c>
      <c r="J3421" s="56">
        <f t="shared" si="159"/>
        <v>0</v>
      </c>
      <c r="K3421" s="74" t="str">
        <f t="shared" si="160"/>
        <v>0-3 Days</v>
      </c>
      <c r="L3421" s="58" t="str">
        <f t="shared" si="161"/>
        <v>Normal</v>
      </c>
    </row>
    <row r="3422" spans="1:12" ht="16.5" customHeight="1" x14ac:dyDescent="0.35">
      <c r="A3422" t="s">
        <v>3126</v>
      </c>
      <c r="B3422" t="s">
        <v>3126</v>
      </c>
      <c r="C3422">
        <v>879354.61</v>
      </c>
      <c r="D3422">
        <v>0</v>
      </c>
      <c r="E3422" t="s">
        <v>10555</v>
      </c>
      <c r="F3422" t="s">
        <v>10555</v>
      </c>
      <c r="G3422" t="s">
        <v>10556</v>
      </c>
      <c r="H3422" t="s">
        <v>3455</v>
      </c>
      <c r="I3422" t="s">
        <v>3486</v>
      </c>
      <c r="J3422" s="56">
        <f t="shared" si="159"/>
        <v>0</v>
      </c>
      <c r="K3422" s="74" t="str">
        <f t="shared" si="160"/>
        <v>0-3 Days</v>
      </c>
      <c r="L3422" s="58" t="str">
        <f t="shared" si="161"/>
        <v>Normal</v>
      </c>
    </row>
    <row r="3423" spans="1:12" ht="16.5" customHeight="1" x14ac:dyDescent="0.35">
      <c r="A3423" t="s">
        <v>3126</v>
      </c>
      <c r="B3423" t="s">
        <v>3126</v>
      </c>
      <c r="C3423">
        <v>208</v>
      </c>
      <c r="D3423">
        <v>0</v>
      </c>
      <c r="E3423" t="s">
        <v>10557</v>
      </c>
      <c r="F3423" t="s">
        <v>10557</v>
      </c>
      <c r="G3423" t="s">
        <v>10558</v>
      </c>
      <c r="H3423" t="s">
        <v>4491</v>
      </c>
      <c r="I3423" t="s">
        <v>3507</v>
      </c>
      <c r="J3423" s="56">
        <f t="shared" si="159"/>
        <v>0</v>
      </c>
      <c r="K3423" s="74" t="str">
        <f t="shared" si="160"/>
        <v>0-3 Days</v>
      </c>
      <c r="L3423" s="58" t="str">
        <f t="shared" si="161"/>
        <v>Normal</v>
      </c>
    </row>
    <row r="3424" spans="1:12" ht="16.5" customHeight="1" x14ac:dyDescent="0.35">
      <c r="A3424" t="s">
        <v>3126</v>
      </c>
      <c r="B3424" t="s">
        <v>3126</v>
      </c>
      <c r="C3424">
        <v>0</v>
      </c>
      <c r="D3424">
        <v>250</v>
      </c>
      <c r="E3424" t="s">
        <v>10559</v>
      </c>
      <c r="F3424" t="s">
        <v>10559</v>
      </c>
      <c r="G3424" t="s">
        <v>10560</v>
      </c>
      <c r="H3424" t="s">
        <v>3532</v>
      </c>
      <c r="I3424" t="s">
        <v>3490</v>
      </c>
      <c r="J3424" s="56">
        <f t="shared" si="159"/>
        <v>0</v>
      </c>
      <c r="K3424" s="74" t="str">
        <f t="shared" si="160"/>
        <v>0-3 Days</v>
      </c>
      <c r="L3424" s="58" t="str">
        <f t="shared" si="161"/>
        <v>Not Applicable</v>
      </c>
    </row>
    <row r="3425" spans="1:12" ht="16.5" customHeight="1" x14ac:dyDescent="0.35">
      <c r="A3425" t="s">
        <v>3126</v>
      </c>
      <c r="B3425" t="s">
        <v>3126</v>
      </c>
      <c r="C3425">
        <v>5000</v>
      </c>
      <c r="D3425">
        <v>0</v>
      </c>
      <c r="E3425" t="s">
        <v>10561</v>
      </c>
      <c r="F3425" t="s">
        <v>10561</v>
      </c>
      <c r="G3425" t="s">
        <v>10562</v>
      </c>
      <c r="H3425" t="s">
        <v>3455</v>
      </c>
      <c r="I3425" t="s">
        <v>3507</v>
      </c>
      <c r="J3425" s="56">
        <f t="shared" si="159"/>
        <v>0</v>
      </c>
      <c r="K3425" s="74" t="str">
        <f t="shared" si="160"/>
        <v>0-3 Days</v>
      </c>
      <c r="L3425" s="58" t="str">
        <f t="shared" si="161"/>
        <v>Normal</v>
      </c>
    </row>
    <row r="3426" spans="1:12" ht="16.5" customHeight="1" x14ac:dyDescent="0.35">
      <c r="A3426" t="s">
        <v>3126</v>
      </c>
      <c r="B3426" t="s">
        <v>3126</v>
      </c>
      <c r="C3426">
        <v>0</v>
      </c>
      <c r="D3426">
        <v>250</v>
      </c>
      <c r="E3426" t="s">
        <v>10563</v>
      </c>
      <c r="F3426" t="s">
        <v>10563</v>
      </c>
      <c r="G3426" t="s">
        <v>10564</v>
      </c>
      <c r="H3426" t="s">
        <v>3489</v>
      </c>
      <c r="I3426" t="s">
        <v>3490</v>
      </c>
      <c r="J3426" s="56">
        <f t="shared" si="159"/>
        <v>0</v>
      </c>
      <c r="K3426" s="74" t="str">
        <f t="shared" si="160"/>
        <v>0-3 Days</v>
      </c>
      <c r="L3426" s="58" t="str">
        <f t="shared" si="161"/>
        <v>Not Applicable</v>
      </c>
    </row>
    <row r="3427" spans="1:12" ht="16.5" customHeight="1" x14ac:dyDescent="0.35">
      <c r="A3427" t="s">
        <v>3126</v>
      </c>
      <c r="B3427" t="s">
        <v>3126</v>
      </c>
      <c r="C3427">
        <v>0</v>
      </c>
      <c r="D3427">
        <v>1000</v>
      </c>
      <c r="E3427" t="s">
        <v>10565</v>
      </c>
      <c r="F3427" t="s">
        <v>10565</v>
      </c>
      <c r="G3427" t="s">
        <v>10427</v>
      </c>
      <c r="H3427" t="s">
        <v>3489</v>
      </c>
      <c r="I3427" t="s">
        <v>3490</v>
      </c>
      <c r="J3427" s="56">
        <f t="shared" si="159"/>
        <v>0</v>
      </c>
      <c r="K3427" s="74" t="str">
        <f t="shared" si="160"/>
        <v>0-3 Days</v>
      </c>
      <c r="L3427" s="58" t="str">
        <f t="shared" si="161"/>
        <v>Not Applicable</v>
      </c>
    </row>
    <row r="3428" spans="1:12" ht="16.5" customHeight="1" x14ac:dyDescent="0.35">
      <c r="A3428" t="s">
        <v>3126</v>
      </c>
      <c r="B3428" t="s">
        <v>3126</v>
      </c>
      <c r="C3428">
        <v>1660333.71</v>
      </c>
      <c r="D3428">
        <v>0</v>
      </c>
      <c r="E3428" t="s">
        <v>10566</v>
      </c>
      <c r="F3428" t="s">
        <v>10566</v>
      </c>
      <c r="G3428" t="s">
        <v>10567</v>
      </c>
      <c r="H3428" t="s">
        <v>3455</v>
      </c>
      <c r="I3428" t="s">
        <v>3486</v>
      </c>
      <c r="J3428" s="56">
        <f t="shared" si="159"/>
        <v>0</v>
      </c>
      <c r="K3428" s="74" t="str">
        <f t="shared" si="160"/>
        <v>0-3 Days</v>
      </c>
      <c r="L3428" s="58" t="str">
        <f t="shared" si="161"/>
        <v>Normal</v>
      </c>
    </row>
    <row r="3429" spans="1:12" ht="16.5" customHeight="1" x14ac:dyDescent="0.35">
      <c r="A3429" t="s">
        <v>3126</v>
      </c>
      <c r="B3429" t="s">
        <v>3126</v>
      </c>
      <c r="C3429">
        <v>0</v>
      </c>
      <c r="D3429">
        <v>1000</v>
      </c>
      <c r="E3429" t="s">
        <v>10568</v>
      </c>
      <c r="F3429" t="s">
        <v>3499</v>
      </c>
      <c r="G3429" t="s">
        <v>10569</v>
      </c>
      <c r="H3429" t="s">
        <v>3489</v>
      </c>
      <c r="I3429" t="s">
        <v>3490</v>
      </c>
      <c r="J3429" s="56">
        <f t="shared" si="159"/>
        <v>0</v>
      </c>
      <c r="K3429" s="74" t="str">
        <f t="shared" si="160"/>
        <v>0-3 Days</v>
      </c>
      <c r="L3429" s="58" t="str">
        <f t="shared" si="161"/>
        <v>Not Applicable</v>
      </c>
    </row>
    <row r="3430" spans="1:12" ht="16.5" customHeight="1" x14ac:dyDescent="0.35">
      <c r="A3430" t="s">
        <v>3126</v>
      </c>
      <c r="B3430" t="s">
        <v>3126</v>
      </c>
      <c r="C3430">
        <v>1167933.4399999999</v>
      </c>
      <c r="D3430">
        <v>0</v>
      </c>
      <c r="E3430" t="s">
        <v>10570</v>
      </c>
      <c r="F3430" t="s">
        <v>10570</v>
      </c>
      <c r="G3430" t="s">
        <v>10571</v>
      </c>
      <c r="H3430" t="s">
        <v>3455</v>
      </c>
      <c r="I3430" t="s">
        <v>3486</v>
      </c>
      <c r="J3430" s="56">
        <f t="shared" si="159"/>
        <v>0</v>
      </c>
      <c r="K3430" s="74" t="str">
        <f t="shared" si="160"/>
        <v>0-3 Days</v>
      </c>
      <c r="L3430" s="58" t="str">
        <f t="shared" si="161"/>
        <v>Normal</v>
      </c>
    </row>
    <row r="3431" spans="1:12" ht="16.5" customHeight="1" x14ac:dyDescent="0.35">
      <c r="A3431" t="s">
        <v>3126</v>
      </c>
      <c r="B3431" t="s">
        <v>3126</v>
      </c>
      <c r="C3431">
        <v>0</v>
      </c>
      <c r="D3431">
        <v>1000</v>
      </c>
      <c r="E3431" t="s">
        <v>10572</v>
      </c>
      <c r="F3431" t="s">
        <v>10572</v>
      </c>
      <c r="G3431" t="s">
        <v>10476</v>
      </c>
      <c r="H3431" t="s">
        <v>3489</v>
      </c>
      <c r="I3431" t="s">
        <v>3490</v>
      </c>
      <c r="J3431" s="56">
        <f t="shared" si="159"/>
        <v>0</v>
      </c>
      <c r="K3431" s="74" t="str">
        <f t="shared" si="160"/>
        <v>0-3 Days</v>
      </c>
      <c r="L3431" s="58" t="str">
        <f t="shared" si="161"/>
        <v>Not Applicable</v>
      </c>
    </row>
    <row r="3432" spans="1:12" ht="16.5" customHeight="1" x14ac:dyDescent="0.35">
      <c r="A3432" t="s">
        <v>3126</v>
      </c>
      <c r="B3432" t="s">
        <v>3126</v>
      </c>
      <c r="C3432">
        <v>0</v>
      </c>
      <c r="D3432">
        <v>250</v>
      </c>
      <c r="E3432" t="s">
        <v>10573</v>
      </c>
      <c r="F3432" t="s">
        <v>10573</v>
      </c>
      <c r="G3432" t="s">
        <v>10574</v>
      </c>
      <c r="H3432" t="s">
        <v>3489</v>
      </c>
      <c r="I3432" t="s">
        <v>3490</v>
      </c>
      <c r="J3432" s="56">
        <f t="shared" si="159"/>
        <v>0</v>
      </c>
      <c r="K3432" s="74" t="str">
        <f t="shared" si="160"/>
        <v>0-3 Days</v>
      </c>
      <c r="L3432" s="58" t="str">
        <f t="shared" si="161"/>
        <v>Not Applicable</v>
      </c>
    </row>
    <row r="3433" spans="1:12" ht="16.5" customHeight="1" x14ac:dyDescent="0.35">
      <c r="A3433" t="s">
        <v>3126</v>
      </c>
      <c r="B3433" t="s">
        <v>3126</v>
      </c>
      <c r="C3433">
        <v>0</v>
      </c>
      <c r="D3433">
        <v>5003888.8899999997</v>
      </c>
      <c r="E3433" t="s">
        <v>10575</v>
      </c>
      <c r="F3433" t="s">
        <v>10575</v>
      </c>
      <c r="G3433" t="s">
        <v>10576</v>
      </c>
      <c r="H3433" t="s">
        <v>3489</v>
      </c>
      <c r="I3433" t="s">
        <v>3486</v>
      </c>
      <c r="J3433" s="56">
        <f t="shared" si="159"/>
        <v>0</v>
      </c>
      <c r="K3433" s="74" t="str">
        <f t="shared" si="160"/>
        <v>0-3 Days</v>
      </c>
      <c r="L3433" s="58" t="str">
        <f t="shared" si="161"/>
        <v>Not Applicable</v>
      </c>
    </row>
    <row r="3434" spans="1:12" ht="16.5" customHeight="1" x14ac:dyDescent="0.35">
      <c r="A3434" t="s">
        <v>3126</v>
      </c>
      <c r="B3434" t="s">
        <v>3126</v>
      </c>
      <c r="C3434">
        <v>0</v>
      </c>
      <c r="D3434">
        <v>1000</v>
      </c>
      <c r="E3434" t="s">
        <v>10577</v>
      </c>
      <c r="F3434" t="s">
        <v>10577</v>
      </c>
      <c r="G3434" t="s">
        <v>10578</v>
      </c>
      <c r="H3434" t="s">
        <v>3489</v>
      </c>
      <c r="I3434" t="s">
        <v>3490</v>
      </c>
      <c r="J3434" s="56">
        <f t="shared" si="159"/>
        <v>0</v>
      </c>
      <c r="K3434" s="74" t="str">
        <f t="shared" si="160"/>
        <v>0-3 Days</v>
      </c>
      <c r="L3434" s="58" t="str">
        <f t="shared" si="161"/>
        <v>Not Applicable</v>
      </c>
    </row>
    <row r="3435" spans="1:12" ht="16.5" customHeight="1" x14ac:dyDescent="0.35">
      <c r="A3435" t="s">
        <v>3126</v>
      </c>
      <c r="B3435" t="s">
        <v>3126</v>
      </c>
      <c r="C3435">
        <v>0</v>
      </c>
      <c r="D3435">
        <v>250</v>
      </c>
      <c r="E3435" t="s">
        <v>10579</v>
      </c>
      <c r="F3435" t="s">
        <v>10579</v>
      </c>
      <c r="G3435" t="s">
        <v>10580</v>
      </c>
      <c r="H3435" t="s">
        <v>3489</v>
      </c>
      <c r="I3435" t="s">
        <v>3490</v>
      </c>
      <c r="J3435" s="56">
        <f t="shared" si="159"/>
        <v>0</v>
      </c>
      <c r="K3435" s="74" t="str">
        <f t="shared" si="160"/>
        <v>0-3 Days</v>
      </c>
      <c r="L3435" s="58" t="str">
        <f t="shared" si="161"/>
        <v>Not Applicable</v>
      </c>
    </row>
    <row r="3436" spans="1:12" ht="16.5" customHeight="1" x14ac:dyDescent="0.35">
      <c r="A3436" t="s">
        <v>3126</v>
      </c>
      <c r="B3436" t="s">
        <v>3126</v>
      </c>
      <c r="C3436">
        <v>0</v>
      </c>
      <c r="D3436">
        <v>1000</v>
      </c>
      <c r="E3436" t="s">
        <v>10581</v>
      </c>
      <c r="F3436" t="s">
        <v>10581</v>
      </c>
      <c r="G3436" t="s">
        <v>10582</v>
      </c>
      <c r="H3436" t="s">
        <v>3532</v>
      </c>
      <c r="I3436" t="s">
        <v>3490</v>
      </c>
      <c r="J3436" s="56">
        <f t="shared" si="159"/>
        <v>0</v>
      </c>
      <c r="K3436" s="74" t="str">
        <f t="shared" si="160"/>
        <v>0-3 Days</v>
      </c>
      <c r="L3436" s="58" t="str">
        <f t="shared" si="161"/>
        <v>Not Applicable</v>
      </c>
    </row>
    <row r="3437" spans="1:12" ht="16.5" customHeight="1" x14ac:dyDescent="0.35">
      <c r="A3437" t="s">
        <v>3126</v>
      </c>
      <c r="B3437" t="s">
        <v>3126</v>
      </c>
      <c r="C3437">
        <v>0</v>
      </c>
      <c r="D3437">
        <v>1000</v>
      </c>
      <c r="E3437" t="s">
        <v>10583</v>
      </c>
      <c r="F3437" t="s">
        <v>10584</v>
      </c>
      <c r="G3437" t="s">
        <v>10585</v>
      </c>
      <c r="H3437" t="s">
        <v>3489</v>
      </c>
      <c r="I3437" t="s">
        <v>3490</v>
      </c>
      <c r="J3437" s="56">
        <f t="shared" si="159"/>
        <v>0</v>
      </c>
      <c r="K3437" s="74" t="str">
        <f t="shared" si="160"/>
        <v>0-3 Days</v>
      </c>
      <c r="L3437" s="58" t="str">
        <f t="shared" si="161"/>
        <v>Not Applicable</v>
      </c>
    </row>
    <row r="3438" spans="1:12" ht="16.5" customHeight="1" x14ac:dyDescent="0.35">
      <c r="A3438" t="s">
        <v>3126</v>
      </c>
      <c r="B3438" t="s">
        <v>3126</v>
      </c>
      <c r="C3438">
        <v>0</v>
      </c>
      <c r="D3438">
        <v>250</v>
      </c>
      <c r="E3438" t="s">
        <v>10586</v>
      </c>
      <c r="F3438" t="s">
        <v>10586</v>
      </c>
      <c r="G3438" t="s">
        <v>10587</v>
      </c>
      <c r="H3438" t="s">
        <v>3489</v>
      </c>
      <c r="I3438" t="s">
        <v>3490</v>
      </c>
      <c r="J3438" s="56">
        <f t="shared" si="159"/>
        <v>0</v>
      </c>
      <c r="K3438" s="74" t="str">
        <f t="shared" si="160"/>
        <v>0-3 Days</v>
      </c>
      <c r="L3438" s="58" t="str">
        <f t="shared" si="161"/>
        <v>Not Applicable</v>
      </c>
    </row>
    <row r="3439" spans="1:12" ht="16.5" customHeight="1" x14ac:dyDescent="0.35">
      <c r="A3439" t="s">
        <v>3126</v>
      </c>
      <c r="B3439" t="s">
        <v>3126</v>
      </c>
      <c r="C3439">
        <v>0</v>
      </c>
      <c r="D3439">
        <v>1000</v>
      </c>
      <c r="E3439" t="s">
        <v>10588</v>
      </c>
      <c r="F3439" t="s">
        <v>10588</v>
      </c>
      <c r="G3439" t="s">
        <v>10589</v>
      </c>
      <c r="H3439" t="s">
        <v>3532</v>
      </c>
      <c r="I3439" t="s">
        <v>3490</v>
      </c>
      <c r="J3439" s="56">
        <f t="shared" si="159"/>
        <v>0</v>
      </c>
      <c r="K3439" s="74" t="str">
        <f t="shared" si="160"/>
        <v>0-3 Days</v>
      </c>
      <c r="L3439" s="58" t="str">
        <f t="shared" si="161"/>
        <v>Not Applicable</v>
      </c>
    </row>
    <row r="3440" spans="1:12" ht="16.5" customHeight="1" x14ac:dyDescent="0.35">
      <c r="A3440" t="s">
        <v>3126</v>
      </c>
      <c r="B3440" t="s">
        <v>3126</v>
      </c>
      <c r="C3440">
        <v>0</v>
      </c>
      <c r="D3440">
        <v>1000</v>
      </c>
      <c r="E3440" t="s">
        <v>10590</v>
      </c>
      <c r="F3440" t="s">
        <v>3561</v>
      </c>
      <c r="G3440" t="s">
        <v>10591</v>
      </c>
      <c r="H3440" t="s">
        <v>3562</v>
      </c>
      <c r="I3440" t="s">
        <v>3490</v>
      </c>
      <c r="J3440" s="56">
        <f t="shared" si="159"/>
        <v>0</v>
      </c>
      <c r="K3440" s="74" t="str">
        <f t="shared" si="160"/>
        <v>0-3 Days</v>
      </c>
      <c r="L3440" s="58" t="str">
        <f t="shared" si="161"/>
        <v>Not Applicable</v>
      </c>
    </row>
    <row r="3441" spans="1:12" ht="16.5" customHeight="1" x14ac:dyDescent="0.35">
      <c r="A3441" t="s">
        <v>3126</v>
      </c>
      <c r="B3441" t="s">
        <v>3126</v>
      </c>
      <c r="C3441">
        <v>0</v>
      </c>
      <c r="D3441">
        <v>250</v>
      </c>
      <c r="E3441" t="s">
        <v>10592</v>
      </c>
      <c r="F3441" t="s">
        <v>10592</v>
      </c>
      <c r="G3441" t="s">
        <v>10546</v>
      </c>
      <c r="H3441" t="s">
        <v>3489</v>
      </c>
      <c r="I3441" t="s">
        <v>3490</v>
      </c>
      <c r="J3441" s="56">
        <f t="shared" si="159"/>
        <v>0</v>
      </c>
      <c r="K3441" s="74" t="str">
        <f t="shared" si="160"/>
        <v>0-3 Days</v>
      </c>
      <c r="L3441" s="58" t="str">
        <f t="shared" si="161"/>
        <v>Not Applicable</v>
      </c>
    </row>
    <row r="3442" spans="1:12" ht="16.5" customHeight="1" x14ac:dyDescent="0.35">
      <c r="A3442" t="s">
        <v>3126</v>
      </c>
      <c r="B3442" t="s">
        <v>3126</v>
      </c>
      <c r="C3442">
        <v>0</v>
      </c>
      <c r="D3442">
        <v>2100</v>
      </c>
      <c r="E3442" t="s">
        <v>10593</v>
      </c>
      <c r="F3442" t="s">
        <v>10594</v>
      </c>
      <c r="G3442" t="s">
        <v>10595</v>
      </c>
      <c r="H3442" t="s">
        <v>3532</v>
      </c>
      <c r="I3442" t="s">
        <v>3490</v>
      </c>
      <c r="J3442" s="56">
        <f t="shared" si="159"/>
        <v>0</v>
      </c>
      <c r="K3442" s="74" t="str">
        <f t="shared" si="160"/>
        <v>0-3 Days</v>
      </c>
      <c r="L3442" s="58" t="str">
        <f t="shared" si="161"/>
        <v>Not Applicable</v>
      </c>
    </row>
    <row r="3443" spans="1:12" ht="16.5" customHeight="1" x14ac:dyDescent="0.35">
      <c r="A3443" t="s">
        <v>3126</v>
      </c>
      <c r="B3443" t="s">
        <v>3126</v>
      </c>
      <c r="C3443">
        <v>0</v>
      </c>
      <c r="D3443">
        <v>5000</v>
      </c>
      <c r="E3443" t="s">
        <v>10596</v>
      </c>
      <c r="F3443" t="s">
        <v>10596</v>
      </c>
      <c r="G3443" t="s">
        <v>10562</v>
      </c>
      <c r="H3443" t="s">
        <v>3489</v>
      </c>
      <c r="I3443" t="s">
        <v>3490</v>
      </c>
      <c r="J3443" s="56">
        <f t="shared" si="159"/>
        <v>0</v>
      </c>
      <c r="K3443" s="74" t="str">
        <f t="shared" si="160"/>
        <v>0-3 Days</v>
      </c>
      <c r="L3443" s="58" t="str">
        <f t="shared" si="161"/>
        <v>Not Applicable</v>
      </c>
    </row>
    <row r="3444" spans="1:12" ht="16.5" customHeight="1" x14ac:dyDescent="0.35">
      <c r="A3444" t="s">
        <v>3126</v>
      </c>
      <c r="B3444" t="s">
        <v>3126</v>
      </c>
      <c r="C3444">
        <v>10000</v>
      </c>
      <c r="D3444">
        <v>0</v>
      </c>
      <c r="E3444" t="s">
        <v>3163</v>
      </c>
      <c r="F3444" t="s">
        <v>3161</v>
      </c>
      <c r="G3444" t="s">
        <v>3159</v>
      </c>
      <c r="H3444" t="s">
        <v>3455</v>
      </c>
      <c r="I3444" t="s">
        <v>3490</v>
      </c>
      <c r="J3444" s="56">
        <f t="shared" si="159"/>
        <v>0</v>
      </c>
      <c r="K3444" s="74" t="str">
        <f t="shared" si="160"/>
        <v>0-3 Days</v>
      </c>
      <c r="L3444" s="58" t="str">
        <f t="shared" si="161"/>
        <v>Normal</v>
      </c>
    </row>
    <row r="3445" spans="1:12" ht="16.5" customHeight="1" x14ac:dyDescent="0.35">
      <c r="A3445" t="s">
        <v>3126</v>
      </c>
      <c r="B3445" t="s">
        <v>3126</v>
      </c>
      <c r="C3445">
        <v>0</v>
      </c>
      <c r="D3445">
        <v>100</v>
      </c>
      <c r="E3445" t="s">
        <v>10597</v>
      </c>
      <c r="F3445" t="s">
        <v>10597</v>
      </c>
      <c r="G3445" t="s">
        <v>10598</v>
      </c>
      <c r="H3445" t="s">
        <v>3489</v>
      </c>
      <c r="I3445" t="s">
        <v>3490</v>
      </c>
      <c r="J3445" s="56">
        <f t="shared" si="159"/>
        <v>0</v>
      </c>
      <c r="K3445" s="74" t="str">
        <f t="shared" si="160"/>
        <v>0-3 Days</v>
      </c>
      <c r="L3445" s="58" t="str">
        <f t="shared" si="161"/>
        <v>Not Applicable</v>
      </c>
    </row>
    <row r="3446" spans="1:12" ht="16.5" customHeight="1" x14ac:dyDescent="0.35">
      <c r="A3446" t="s">
        <v>3126</v>
      </c>
      <c r="B3446" t="s">
        <v>3126</v>
      </c>
      <c r="C3446">
        <v>0</v>
      </c>
      <c r="D3446">
        <v>500</v>
      </c>
      <c r="E3446" t="s">
        <v>10599</v>
      </c>
      <c r="F3446" t="s">
        <v>10599</v>
      </c>
      <c r="G3446" t="s">
        <v>10600</v>
      </c>
      <c r="H3446" t="s">
        <v>3532</v>
      </c>
      <c r="I3446" t="s">
        <v>3490</v>
      </c>
      <c r="J3446" s="56">
        <f t="shared" si="159"/>
        <v>0</v>
      </c>
      <c r="K3446" s="74" t="str">
        <f t="shared" si="160"/>
        <v>0-3 Days</v>
      </c>
      <c r="L3446" s="58" t="str">
        <f t="shared" si="161"/>
        <v>Not Applicable</v>
      </c>
    </row>
    <row r="3447" spans="1:12" ht="16.5" customHeight="1" x14ac:dyDescent="0.35">
      <c r="A3447" t="s">
        <v>3126</v>
      </c>
      <c r="B3447" t="s">
        <v>3126</v>
      </c>
      <c r="C3447">
        <v>0</v>
      </c>
      <c r="D3447">
        <v>208</v>
      </c>
      <c r="E3447" t="s">
        <v>10601</v>
      </c>
      <c r="F3447" t="s">
        <v>10601</v>
      </c>
      <c r="G3447" t="s">
        <v>10558</v>
      </c>
      <c r="H3447" t="s">
        <v>3489</v>
      </c>
      <c r="I3447" t="s">
        <v>3490</v>
      </c>
      <c r="J3447" s="56">
        <f t="shared" si="159"/>
        <v>0</v>
      </c>
      <c r="K3447" s="74" t="str">
        <f t="shared" si="160"/>
        <v>0-3 Days</v>
      </c>
      <c r="L3447" s="58" t="str">
        <f t="shared" si="161"/>
        <v>Not Applicable</v>
      </c>
    </row>
    <row r="3448" spans="1:12" ht="16.5" customHeight="1" x14ac:dyDescent="0.35">
      <c r="A3448" t="s">
        <v>3126</v>
      </c>
      <c r="B3448" t="s">
        <v>3126</v>
      </c>
      <c r="C3448">
        <v>744305.35</v>
      </c>
      <c r="D3448">
        <v>0</v>
      </c>
      <c r="E3448" t="s">
        <v>10602</v>
      </c>
      <c r="F3448" t="s">
        <v>10602</v>
      </c>
      <c r="G3448" t="s">
        <v>10603</v>
      </c>
      <c r="H3448" t="s">
        <v>3455</v>
      </c>
      <c r="I3448" t="s">
        <v>3486</v>
      </c>
      <c r="J3448" s="56">
        <f t="shared" si="159"/>
        <v>0</v>
      </c>
      <c r="K3448" s="74" t="str">
        <f t="shared" si="160"/>
        <v>0-3 Days</v>
      </c>
      <c r="L3448" s="58" t="str">
        <f t="shared" si="161"/>
        <v>Normal</v>
      </c>
    </row>
    <row r="3449" spans="1:12" ht="16.5" customHeight="1" x14ac:dyDescent="0.35">
      <c r="A3449" t="s">
        <v>3126</v>
      </c>
      <c r="B3449" t="s">
        <v>3126</v>
      </c>
      <c r="C3449">
        <v>909968.55</v>
      </c>
      <c r="D3449">
        <v>0</v>
      </c>
      <c r="E3449" t="s">
        <v>10604</v>
      </c>
      <c r="F3449" t="s">
        <v>10604</v>
      </c>
      <c r="G3449" t="s">
        <v>10605</v>
      </c>
      <c r="H3449" t="s">
        <v>3455</v>
      </c>
      <c r="I3449" t="s">
        <v>3486</v>
      </c>
      <c r="J3449" s="56">
        <f t="shared" si="159"/>
        <v>0</v>
      </c>
      <c r="K3449" s="74" t="str">
        <f t="shared" si="160"/>
        <v>0-3 Days</v>
      </c>
      <c r="L3449" s="58" t="str">
        <f t="shared" si="161"/>
        <v>Normal</v>
      </c>
    </row>
    <row r="3450" spans="1:12" ht="16.5" customHeight="1" x14ac:dyDescent="0.35">
      <c r="A3450" t="s">
        <v>3126</v>
      </c>
      <c r="B3450" t="s">
        <v>3126</v>
      </c>
      <c r="C3450">
        <v>0</v>
      </c>
      <c r="D3450">
        <v>500</v>
      </c>
      <c r="E3450" t="s">
        <v>10606</v>
      </c>
      <c r="F3450" t="s">
        <v>10606</v>
      </c>
      <c r="G3450" t="s">
        <v>10607</v>
      </c>
      <c r="H3450" t="s">
        <v>3489</v>
      </c>
      <c r="I3450" t="s">
        <v>3490</v>
      </c>
      <c r="J3450" s="56">
        <f t="shared" si="159"/>
        <v>0</v>
      </c>
      <c r="K3450" s="74" t="str">
        <f t="shared" si="160"/>
        <v>0-3 Days</v>
      </c>
      <c r="L3450" s="58" t="str">
        <f t="shared" si="161"/>
        <v>Not Applicable</v>
      </c>
    </row>
    <row r="3451" spans="1:12" ht="16.5" customHeight="1" x14ac:dyDescent="0.35">
      <c r="A3451" t="s">
        <v>3126</v>
      </c>
      <c r="B3451" t="s">
        <v>3126</v>
      </c>
      <c r="C3451">
        <v>500</v>
      </c>
      <c r="D3451">
        <v>0</v>
      </c>
      <c r="E3451" t="s">
        <v>10608</v>
      </c>
      <c r="F3451" t="s">
        <v>10608</v>
      </c>
      <c r="G3451" t="s">
        <v>10448</v>
      </c>
      <c r="H3451" t="s">
        <v>3455</v>
      </c>
      <c r="I3451" t="s">
        <v>3507</v>
      </c>
      <c r="J3451" s="56">
        <f t="shared" si="159"/>
        <v>0</v>
      </c>
      <c r="K3451" s="74" t="str">
        <f t="shared" si="160"/>
        <v>0-3 Days</v>
      </c>
      <c r="L3451" s="58" t="str">
        <f t="shared" si="161"/>
        <v>Normal</v>
      </c>
    </row>
    <row r="3452" spans="1:12" ht="16.5" customHeight="1" x14ac:dyDescent="0.35">
      <c r="A3452" t="s">
        <v>3126</v>
      </c>
      <c r="B3452" t="s">
        <v>3126</v>
      </c>
      <c r="C3452">
        <v>1179178.45</v>
      </c>
      <c r="D3452">
        <v>0</v>
      </c>
      <c r="E3452" t="s">
        <v>10609</v>
      </c>
      <c r="F3452" t="s">
        <v>10609</v>
      </c>
      <c r="G3452" t="s">
        <v>10610</v>
      </c>
      <c r="H3452" t="s">
        <v>3455</v>
      </c>
      <c r="I3452" t="s">
        <v>3486</v>
      </c>
      <c r="J3452" s="56">
        <f t="shared" si="159"/>
        <v>0</v>
      </c>
      <c r="K3452" s="74" t="str">
        <f t="shared" si="160"/>
        <v>0-3 Days</v>
      </c>
      <c r="L3452" s="58" t="str">
        <f t="shared" si="161"/>
        <v>Normal</v>
      </c>
    </row>
    <row r="3453" spans="1:12" ht="16.5" customHeight="1" x14ac:dyDescent="0.35">
      <c r="A3453" t="s">
        <v>3126</v>
      </c>
      <c r="B3453" t="s">
        <v>3126</v>
      </c>
      <c r="C3453">
        <v>0</v>
      </c>
      <c r="D3453">
        <v>600</v>
      </c>
      <c r="E3453" t="s">
        <v>10611</v>
      </c>
      <c r="F3453" t="s">
        <v>10611</v>
      </c>
      <c r="G3453" t="s">
        <v>10612</v>
      </c>
      <c r="H3453" t="s">
        <v>3489</v>
      </c>
      <c r="I3453" t="s">
        <v>3490</v>
      </c>
      <c r="J3453" s="56">
        <f t="shared" si="159"/>
        <v>0</v>
      </c>
      <c r="K3453" s="74" t="str">
        <f t="shared" si="160"/>
        <v>0-3 Days</v>
      </c>
      <c r="L3453" s="58" t="str">
        <f t="shared" si="161"/>
        <v>Not Applicable</v>
      </c>
    </row>
    <row r="3454" spans="1:12" ht="16.5" customHeight="1" x14ac:dyDescent="0.35">
      <c r="J3454" s="56" t="str">
        <f t="shared" si="159"/>
        <v/>
      </c>
      <c r="K3454" s="74" t="str">
        <f t="shared" si="160"/>
        <v/>
      </c>
      <c r="L3454" s="58" t="str">
        <f t="shared" si="161"/>
        <v/>
      </c>
    </row>
    <row r="3455" spans="1:12" ht="16.5" customHeight="1" x14ac:dyDescent="0.35">
      <c r="J3455" s="56" t="str">
        <f t="shared" si="159"/>
        <v/>
      </c>
      <c r="K3455" s="74" t="str">
        <f t="shared" si="160"/>
        <v/>
      </c>
      <c r="L3455" s="58" t="str">
        <f t="shared" si="161"/>
        <v/>
      </c>
    </row>
    <row r="3456" spans="1:12" ht="16.5" customHeight="1" x14ac:dyDescent="0.35">
      <c r="J3456" s="56" t="str">
        <f t="shared" si="159"/>
        <v/>
      </c>
      <c r="K3456" s="74" t="str">
        <f t="shared" si="160"/>
        <v/>
      </c>
      <c r="L3456" s="58" t="str">
        <f t="shared" si="161"/>
        <v/>
      </c>
    </row>
    <row r="3457" spans="10:12" ht="16.5" customHeight="1" x14ac:dyDescent="0.35">
      <c r="J3457" s="56" t="str">
        <f t="shared" si="159"/>
        <v/>
      </c>
      <c r="K3457" s="74" t="str">
        <f t="shared" si="160"/>
        <v/>
      </c>
      <c r="L3457" s="58" t="str">
        <f t="shared" si="161"/>
        <v/>
      </c>
    </row>
    <row r="3458" spans="10:12" ht="16.5" customHeight="1" x14ac:dyDescent="0.35">
      <c r="J3458" s="56" t="str">
        <f t="shared" si="159"/>
        <v/>
      </c>
      <c r="K3458" s="74" t="str">
        <f t="shared" si="160"/>
        <v/>
      </c>
      <c r="L3458" s="58" t="str">
        <f t="shared" si="161"/>
        <v/>
      </c>
    </row>
    <row r="3459" spans="10:12" ht="16.5" customHeight="1" x14ac:dyDescent="0.35">
      <c r="J3459" s="56" t="str">
        <f t="shared" si="159"/>
        <v/>
      </c>
      <c r="K3459" s="74" t="str">
        <f t="shared" si="160"/>
        <v/>
      </c>
      <c r="L3459" s="58" t="str">
        <f t="shared" si="161"/>
        <v/>
      </c>
    </row>
    <row r="3460" spans="10:12" ht="16.5" customHeight="1" x14ac:dyDescent="0.35">
      <c r="J3460" s="56" t="str">
        <f t="shared" si="159"/>
        <v/>
      </c>
      <c r="K3460" s="74" t="str">
        <f t="shared" si="160"/>
        <v/>
      </c>
      <c r="L3460" s="58" t="str">
        <f t="shared" si="161"/>
        <v/>
      </c>
    </row>
    <row r="3461" spans="10:12" ht="16.5" customHeight="1" x14ac:dyDescent="0.35">
      <c r="J3461" s="56" t="str">
        <f t="shared" si="159"/>
        <v/>
      </c>
      <c r="K3461" s="74" t="str">
        <f t="shared" si="160"/>
        <v/>
      </c>
      <c r="L3461" s="58" t="str">
        <f t="shared" si="161"/>
        <v/>
      </c>
    </row>
    <row r="3462" spans="10:12" ht="16.5" customHeight="1" x14ac:dyDescent="0.35">
      <c r="J3462" s="56" t="str">
        <f t="shared" si="159"/>
        <v/>
      </c>
      <c r="K3462" s="74" t="str">
        <f t="shared" si="160"/>
        <v/>
      </c>
      <c r="L3462" s="58" t="str">
        <f t="shared" si="161"/>
        <v/>
      </c>
    </row>
    <row r="3463" spans="10:12" ht="16.5" customHeight="1" x14ac:dyDescent="0.35">
      <c r="J3463" s="56" t="str">
        <f t="shared" si="159"/>
        <v/>
      </c>
      <c r="K3463" s="74" t="str">
        <f t="shared" si="160"/>
        <v/>
      </c>
      <c r="L3463" s="58" t="str">
        <f t="shared" si="161"/>
        <v/>
      </c>
    </row>
    <row r="3464" spans="10:12" ht="16.5" customHeight="1" x14ac:dyDescent="0.35">
      <c r="J3464" s="56" t="str">
        <f t="shared" si="159"/>
        <v/>
      </c>
      <c r="K3464" s="74" t="str">
        <f t="shared" si="160"/>
        <v/>
      </c>
      <c r="L3464" s="58" t="str">
        <f t="shared" si="161"/>
        <v/>
      </c>
    </row>
    <row r="3465" spans="10:12" ht="16.5" customHeight="1" x14ac:dyDescent="0.35">
      <c r="J3465" s="56" t="str">
        <f t="shared" ref="J3465:J3528" si="162">IF(A3465="","",A$5-A3465)</f>
        <v/>
      </c>
      <c r="K3465" s="74" t="str">
        <f t="shared" ref="K3465:K3528" si="163">IF(J3465="","",IF(J3465&lt;4,"0-3 Days",IF(J3465&lt;31,"4-30 Days",IF(J3465&lt;61,"31-60 Days",IF(J3465&lt;=90,"61-90 Days",IF(J3465&gt;90,"Above 90 Days","0"))))))</f>
        <v/>
      </c>
      <c r="L3465" s="58" t="str">
        <f t="shared" ref="L3465:L3528" si="164">IF(C3465="","",IF(C3465&gt;0,IF(J3465&lt;30,"Normal",IF(J3465&lt;60,"Especially Mentioned",IF(J3465&lt;90,"Substandard",IF(J3465&lt;=180,"Doubtful",IF(J3465&gt;180,"Loss","0"))))),"Not Applicable"))</f>
        <v/>
      </c>
    </row>
    <row r="3466" spans="10:12" ht="16.5" customHeight="1" x14ac:dyDescent="0.35">
      <c r="J3466" s="56" t="str">
        <f t="shared" si="162"/>
        <v/>
      </c>
      <c r="K3466" s="74" t="str">
        <f t="shared" si="163"/>
        <v/>
      </c>
      <c r="L3466" s="58" t="str">
        <f t="shared" si="164"/>
        <v/>
      </c>
    </row>
    <row r="3467" spans="10:12" ht="16.5" customHeight="1" x14ac:dyDescent="0.35">
      <c r="J3467" s="56" t="str">
        <f t="shared" si="162"/>
        <v/>
      </c>
      <c r="K3467" s="74" t="str">
        <f t="shared" si="163"/>
        <v/>
      </c>
      <c r="L3467" s="58" t="str">
        <f t="shared" si="164"/>
        <v/>
      </c>
    </row>
    <row r="3468" spans="10:12" ht="16.5" customHeight="1" x14ac:dyDescent="0.35">
      <c r="J3468" s="56" t="str">
        <f t="shared" si="162"/>
        <v/>
      </c>
      <c r="K3468" s="74" t="str">
        <f t="shared" si="163"/>
        <v/>
      </c>
      <c r="L3468" s="58" t="str">
        <f t="shared" si="164"/>
        <v/>
      </c>
    </row>
    <row r="3469" spans="10:12" ht="16.5" customHeight="1" x14ac:dyDescent="0.35">
      <c r="J3469" s="56" t="str">
        <f t="shared" si="162"/>
        <v/>
      </c>
      <c r="K3469" s="74" t="str">
        <f t="shared" si="163"/>
        <v/>
      </c>
      <c r="L3469" s="58" t="str">
        <f t="shared" si="164"/>
        <v/>
      </c>
    </row>
    <row r="3470" spans="10:12" ht="16.5" customHeight="1" x14ac:dyDescent="0.35">
      <c r="J3470" s="56" t="str">
        <f t="shared" si="162"/>
        <v/>
      </c>
      <c r="K3470" s="74" t="str">
        <f t="shared" si="163"/>
        <v/>
      </c>
      <c r="L3470" s="58" t="str">
        <f t="shared" si="164"/>
        <v/>
      </c>
    </row>
    <row r="3471" spans="10:12" ht="16.5" customHeight="1" x14ac:dyDescent="0.35">
      <c r="J3471" s="56" t="str">
        <f t="shared" si="162"/>
        <v/>
      </c>
      <c r="K3471" s="74" t="str">
        <f t="shared" si="163"/>
        <v/>
      </c>
      <c r="L3471" s="58" t="str">
        <f t="shared" si="164"/>
        <v/>
      </c>
    </row>
    <row r="3472" spans="10:12" ht="16.5" customHeight="1" x14ac:dyDescent="0.35">
      <c r="J3472" s="56" t="str">
        <f t="shared" si="162"/>
        <v/>
      </c>
      <c r="K3472" s="74" t="str">
        <f t="shared" si="163"/>
        <v/>
      </c>
      <c r="L3472" s="58" t="str">
        <f t="shared" si="164"/>
        <v/>
      </c>
    </row>
    <row r="3473" spans="10:12" ht="16.5" customHeight="1" x14ac:dyDescent="0.35">
      <c r="J3473" s="56" t="str">
        <f t="shared" si="162"/>
        <v/>
      </c>
      <c r="K3473" s="74" t="str">
        <f t="shared" si="163"/>
        <v/>
      </c>
      <c r="L3473" s="58" t="str">
        <f t="shared" si="164"/>
        <v/>
      </c>
    </row>
    <row r="3474" spans="10:12" ht="16.5" customHeight="1" x14ac:dyDescent="0.35">
      <c r="J3474" s="56" t="str">
        <f t="shared" si="162"/>
        <v/>
      </c>
      <c r="K3474" s="74" t="str">
        <f t="shared" si="163"/>
        <v/>
      </c>
      <c r="L3474" s="58" t="str">
        <f t="shared" si="164"/>
        <v/>
      </c>
    </row>
    <row r="3475" spans="10:12" ht="16.5" customHeight="1" x14ac:dyDescent="0.35">
      <c r="J3475" s="56" t="str">
        <f t="shared" si="162"/>
        <v/>
      </c>
      <c r="K3475" s="74" t="str">
        <f t="shared" si="163"/>
        <v/>
      </c>
      <c r="L3475" s="58" t="str">
        <f t="shared" si="164"/>
        <v/>
      </c>
    </row>
    <row r="3476" spans="10:12" ht="16.5" customHeight="1" x14ac:dyDescent="0.35">
      <c r="J3476" s="56" t="str">
        <f t="shared" si="162"/>
        <v/>
      </c>
      <c r="K3476" s="74" t="str">
        <f t="shared" si="163"/>
        <v/>
      </c>
      <c r="L3476" s="58" t="str">
        <f t="shared" si="164"/>
        <v/>
      </c>
    </row>
    <row r="3477" spans="10:12" ht="16.5" customHeight="1" x14ac:dyDescent="0.35">
      <c r="J3477" s="56" t="str">
        <f t="shared" si="162"/>
        <v/>
      </c>
      <c r="K3477" s="74" t="str">
        <f t="shared" si="163"/>
        <v/>
      </c>
      <c r="L3477" s="58" t="str">
        <f t="shared" si="164"/>
        <v/>
      </c>
    </row>
    <row r="3478" spans="10:12" ht="16.5" customHeight="1" x14ac:dyDescent="0.35">
      <c r="J3478" s="56" t="str">
        <f t="shared" si="162"/>
        <v/>
      </c>
      <c r="K3478" s="74" t="str">
        <f t="shared" si="163"/>
        <v/>
      </c>
      <c r="L3478" s="58" t="str">
        <f t="shared" si="164"/>
        <v/>
      </c>
    </row>
    <row r="3479" spans="10:12" ht="16.5" customHeight="1" x14ac:dyDescent="0.35">
      <c r="J3479" s="56" t="str">
        <f t="shared" si="162"/>
        <v/>
      </c>
      <c r="K3479" s="74" t="str">
        <f t="shared" si="163"/>
        <v/>
      </c>
      <c r="L3479" s="58" t="str">
        <f t="shared" si="164"/>
        <v/>
      </c>
    </row>
    <row r="3480" spans="10:12" ht="16.5" customHeight="1" x14ac:dyDescent="0.35">
      <c r="J3480" s="56" t="str">
        <f t="shared" si="162"/>
        <v/>
      </c>
      <c r="K3480" s="74" t="str">
        <f t="shared" si="163"/>
        <v/>
      </c>
      <c r="L3480" s="58" t="str">
        <f t="shared" si="164"/>
        <v/>
      </c>
    </row>
    <row r="3481" spans="10:12" ht="16.5" customHeight="1" x14ac:dyDescent="0.35">
      <c r="J3481" s="56" t="str">
        <f t="shared" si="162"/>
        <v/>
      </c>
      <c r="K3481" s="74" t="str">
        <f t="shared" si="163"/>
        <v/>
      </c>
      <c r="L3481" s="58" t="str">
        <f t="shared" si="164"/>
        <v/>
      </c>
    </row>
    <row r="3482" spans="10:12" ht="16.5" customHeight="1" x14ac:dyDescent="0.35">
      <c r="J3482" s="56" t="str">
        <f t="shared" si="162"/>
        <v/>
      </c>
      <c r="K3482" s="74" t="str">
        <f t="shared" si="163"/>
        <v/>
      </c>
      <c r="L3482" s="58" t="str">
        <f t="shared" si="164"/>
        <v/>
      </c>
    </row>
    <row r="3483" spans="10:12" ht="16.5" customHeight="1" x14ac:dyDescent="0.35">
      <c r="J3483" s="56" t="str">
        <f t="shared" si="162"/>
        <v/>
      </c>
      <c r="K3483" s="74" t="str">
        <f t="shared" si="163"/>
        <v/>
      </c>
      <c r="L3483" s="58" t="str">
        <f t="shared" si="164"/>
        <v/>
      </c>
    </row>
    <row r="3484" spans="10:12" ht="16.5" customHeight="1" x14ac:dyDescent="0.35">
      <c r="J3484" s="56" t="str">
        <f t="shared" si="162"/>
        <v/>
      </c>
      <c r="K3484" s="74" t="str">
        <f t="shared" si="163"/>
        <v/>
      </c>
      <c r="L3484" s="58" t="str">
        <f t="shared" si="164"/>
        <v/>
      </c>
    </row>
    <row r="3485" spans="10:12" ht="16.5" customHeight="1" x14ac:dyDescent="0.35">
      <c r="J3485" s="56" t="str">
        <f t="shared" si="162"/>
        <v/>
      </c>
      <c r="K3485" s="74" t="str">
        <f t="shared" si="163"/>
        <v/>
      </c>
      <c r="L3485" s="58" t="str">
        <f t="shared" si="164"/>
        <v/>
      </c>
    </row>
    <row r="3486" spans="10:12" ht="16.5" customHeight="1" x14ac:dyDescent="0.35">
      <c r="J3486" s="56" t="str">
        <f t="shared" si="162"/>
        <v/>
      </c>
      <c r="K3486" s="74" t="str">
        <f t="shared" si="163"/>
        <v/>
      </c>
      <c r="L3486" s="58" t="str">
        <f t="shared" si="164"/>
        <v/>
      </c>
    </row>
    <row r="3487" spans="10:12" ht="16.5" customHeight="1" x14ac:dyDescent="0.35">
      <c r="J3487" s="56" t="str">
        <f t="shared" si="162"/>
        <v/>
      </c>
      <c r="K3487" s="74" t="str">
        <f t="shared" si="163"/>
        <v/>
      </c>
      <c r="L3487" s="58" t="str">
        <f t="shared" si="164"/>
        <v/>
      </c>
    </row>
    <row r="3488" spans="10:12" ht="16.5" customHeight="1" x14ac:dyDescent="0.35">
      <c r="J3488" s="56" t="str">
        <f t="shared" si="162"/>
        <v/>
      </c>
      <c r="K3488" s="74" t="str">
        <f t="shared" si="163"/>
        <v/>
      </c>
      <c r="L3488" s="58" t="str">
        <f t="shared" si="164"/>
        <v/>
      </c>
    </row>
    <row r="3489" spans="10:12" ht="16.5" customHeight="1" x14ac:dyDescent="0.35">
      <c r="J3489" s="56" t="str">
        <f t="shared" si="162"/>
        <v/>
      </c>
      <c r="K3489" s="74" t="str">
        <f t="shared" si="163"/>
        <v/>
      </c>
      <c r="L3489" s="58" t="str">
        <f t="shared" si="164"/>
        <v/>
      </c>
    </row>
    <row r="3490" spans="10:12" ht="16.5" customHeight="1" x14ac:dyDescent="0.35">
      <c r="J3490" s="56" t="str">
        <f t="shared" si="162"/>
        <v/>
      </c>
      <c r="K3490" s="74" t="str">
        <f t="shared" si="163"/>
        <v/>
      </c>
      <c r="L3490" s="58" t="str">
        <f t="shared" si="164"/>
        <v/>
      </c>
    </row>
    <row r="3491" spans="10:12" ht="16.5" customHeight="1" x14ac:dyDescent="0.35">
      <c r="J3491" s="56" t="str">
        <f t="shared" si="162"/>
        <v/>
      </c>
      <c r="K3491" s="74" t="str">
        <f t="shared" si="163"/>
        <v/>
      </c>
      <c r="L3491" s="58" t="str">
        <f t="shared" si="164"/>
        <v/>
      </c>
    </row>
    <row r="3492" spans="10:12" ht="16.5" customHeight="1" x14ac:dyDescent="0.35">
      <c r="J3492" s="56" t="str">
        <f t="shared" si="162"/>
        <v/>
      </c>
      <c r="K3492" s="74" t="str">
        <f t="shared" si="163"/>
        <v/>
      </c>
      <c r="L3492" s="58" t="str">
        <f t="shared" si="164"/>
        <v/>
      </c>
    </row>
    <row r="3493" spans="10:12" ht="16.5" customHeight="1" x14ac:dyDescent="0.35">
      <c r="J3493" s="56" t="str">
        <f t="shared" si="162"/>
        <v/>
      </c>
      <c r="K3493" s="74" t="str">
        <f t="shared" si="163"/>
        <v/>
      </c>
      <c r="L3493" s="58" t="str">
        <f t="shared" si="164"/>
        <v/>
      </c>
    </row>
    <row r="3494" spans="10:12" ht="16.5" customHeight="1" x14ac:dyDescent="0.35">
      <c r="J3494" s="56" t="str">
        <f t="shared" si="162"/>
        <v/>
      </c>
      <c r="K3494" s="74" t="str">
        <f t="shared" si="163"/>
        <v/>
      </c>
      <c r="L3494" s="58" t="str">
        <f t="shared" si="164"/>
        <v/>
      </c>
    </row>
    <row r="3495" spans="10:12" ht="16.5" customHeight="1" x14ac:dyDescent="0.35">
      <c r="J3495" s="56" t="str">
        <f t="shared" si="162"/>
        <v/>
      </c>
      <c r="K3495" s="74" t="str">
        <f t="shared" si="163"/>
        <v/>
      </c>
      <c r="L3495" s="58" t="str">
        <f t="shared" si="164"/>
        <v/>
      </c>
    </row>
    <row r="3496" spans="10:12" ht="16.5" customHeight="1" x14ac:dyDescent="0.35">
      <c r="J3496" s="56" t="str">
        <f t="shared" si="162"/>
        <v/>
      </c>
      <c r="K3496" s="74" t="str">
        <f t="shared" si="163"/>
        <v/>
      </c>
      <c r="L3496" s="58" t="str">
        <f t="shared" si="164"/>
        <v/>
      </c>
    </row>
    <row r="3497" spans="10:12" ht="16.5" customHeight="1" x14ac:dyDescent="0.35">
      <c r="J3497" s="56" t="str">
        <f t="shared" si="162"/>
        <v/>
      </c>
      <c r="K3497" s="74" t="str">
        <f t="shared" si="163"/>
        <v/>
      </c>
      <c r="L3497" s="58" t="str">
        <f t="shared" si="164"/>
        <v/>
      </c>
    </row>
    <row r="3498" spans="10:12" ht="16.5" customHeight="1" x14ac:dyDescent="0.35">
      <c r="J3498" s="56" t="str">
        <f t="shared" si="162"/>
        <v/>
      </c>
      <c r="K3498" s="74" t="str">
        <f t="shared" si="163"/>
        <v/>
      </c>
      <c r="L3498" s="58" t="str">
        <f t="shared" si="164"/>
        <v/>
      </c>
    </row>
    <row r="3499" spans="10:12" ht="16.5" customHeight="1" x14ac:dyDescent="0.35">
      <c r="J3499" s="56" t="str">
        <f t="shared" si="162"/>
        <v/>
      </c>
      <c r="K3499" s="74" t="str">
        <f t="shared" si="163"/>
        <v/>
      </c>
      <c r="L3499" s="58" t="str">
        <f t="shared" si="164"/>
        <v/>
      </c>
    </row>
    <row r="3500" spans="10:12" ht="16.5" customHeight="1" x14ac:dyDescent="0.35">
      <c r="J3500" s="56" t="str">
        <f t="shared" si="162"/>
        <v/>
      </c>
      <c r="K3500" s="74" t="str">
        <f t="shared" si="163"/>
        <v/>
      </c>
      <c r="L3500" s="58" t="str">
        <f t="shared" si="164"/>
        <v/>
      </c>
    </row>
    <row r="3501" spans="10:12" ht="16.5" customHeight="1" x14ac:dyDescent="0.35">
      <c r="J3501" s="56" t="str">
        <f t="shared" si="162"/>
        <v/>
      </c>
      <c r="K3501" s="74" t="str">
        <f t="shared" si="163"/>
        <v/>
      </c>
      <c r="L3501" s="58" t="str">
        <f t="shared" si="164"/>
        <v/>
      </c>
    </row>
    <row r="3502" spans="10:12" ht="16.5" customHeight="1" x14ac:dyDescent="0.35">
      <c r="J3502" s="56" t="str">
        <f t="shared" si="162"/>
        <v/>
      </c>
      <c r="K3502" s="74" t="str">
        <f t="shared" si="163"/>
        <v/>
      </c>
      <c r="L3502" s="58" t="str">
        <f t="shared" si="164"/>
        <v/>
      </c>
    </row>
    <row r="3503" spans="10:12" ht="16.5" customHeight="1" x14ac:dyDescent="0.35">
      <c r="J3503" s="56" t="str">
        <f t="shared" si="162"/>
        <v/>
      </c>
      <c r="K3503" s="74" t="str">
        <f t="shared" si="163"/>
        <v/>
      </c>
      <c r="L3503" s="58" t="str">
        <f t="shared" si="164"/>
        <v/>
      </c>
    </row>
    <row r="3504" spans="10:12" ht="16.5" customHeight="1" x14ac:dyDescent="0.35">
      <c r="J3504" s="56" t="str">
        <f t="shared" si="162"/>
        <v/>
      </c>
      <c r="K3504" s="74" t="str">
        <f t="shared" si="163"/>
        <v/>
      </c>
      <c r="L3504" s="58" t="str">
        <f t="shared" si="164"/>
        <v/>
      </c>
    </row>
    <row r="3505" spans="10:12" ht="16.5" customHeight="1" x14ac:dyDescent="0.35">
      <c r="J3505" s="56" t="str">
        <f t="shared" si="162"/>
        <v/>
      </c>
      <c r="K3505" s="74" t="str">
        <f t="shared" si="163"/>
        <v/>
      </c>
      <c r="L3505" s="58" t="str">
        <f t="shared" si="164"/>
        <v/>
      </c>
    </row>
    <row r="3506" spans="10:12" ht="16.5" customHeight="1" x14ac:dyDescent="0.35">
      <c r="J3506" s="56" t="str">
        <f t="shared" si="162"/>
        <v/>
      </c>
      <c r="K3506" s="74" t="str">
        <f t="shared" si="163"/>
        <v/>
      </c>
      <c r="L3506" s="58" t="str">
        <f t="shared" si="164"/>
        <v/>
      </c>
    </row>
    <row r="3507" spans="10:12" ht="16.5" customHeight="1" x14ac:dyDescent="0.35">
      <c r="J3507" s="56" t="str">
        <f t="shared" si="162"/>
        <v/>
      </c>
      <c r="K3507" s="74" t="str">
        <f t="shared" si="163"/>
        <v/>
      </c>
      <c r="L3507" s="58" t="str">
        <f t="shared" si="164"/>
        <v/>
      </c>
    </row>
    <row r="3508" spans="10:12" ht="16.5" customHeight="1" x14ac:dyDescent="0.35">
      <c r="J3508" s="56" t="str">
        <f t="shared" si="162"/>
        <v/>
      </c>
      <c r="K3508" s="74" t="str">
        <f t="shared" si="163"/>
        <v/>
      </c>
      <c r="L3508" s="58" t="str">
        <f t="shared" si="164"/>
        <v/>
      </c>
    </row>
    <row r="3509" spans="10:12" ht="16.5" customHeight="1" x14ac:dyDescent="0.35">
      <c r="J3509" s="56" t="str">
        <f t="shared" si="162"/>
        <v/>
      </c>
      <c r="K3509" s="74" t="str">
        <f t="shared" si="163"/>
        <v/>
      </c>
      <c r="L3509" s="58" t="str">
        <f t="shared" si="164"/>
        <v/>
      </c>
    </row>
    <row r="3510" spans="10:12" ht="16.5" customHeight="1" x14ac:dyDescent="0.35">
      <c r="J3510" s="56" t="str">
        <f t="shared" si="162"/>
        <v/>
      </c>
      <c r="K3510" s="74" t="str">
        <f t="shared" si="163"/>
        <v/>
      </c>
      <c r="L3510" s="58" t="str">
        <f t="shared" si="164"/>
        <v/>
      </c>
    </row>
    <row r="3511" spans="10:12" ht="16.5" customHeight="1" x14ac:dyDescent="0.35">
      <c r="J3511" s="56" t="str">
        <f t="shared" si="162"/>
        <v/>
      </c>
      <c r="K3511" s="74" t="str">
        <f t="shared" si="163"/>
        <v/>
      </c>
      <c r="L3511" s="58" t="str">
        <f t="shared" si="164"/>
        <v/>
      </c>
    </row>
    <row r="3512" spans="10:12" ht="16.5" customHeight="1" x14ac:dyDescent="0.35">
      <c r="J3512" s="56" t="str">
        <f t="shared" si="162"/>
        <v/>
      </c>
      <c r="K3512" s="74" t="str">
        <f t="shared" si="163"/>
        <v/>
      </c>
      <c r="L3512" s="58" t="str">
        <f t="shared" si="164"/>
        <v/>
      </c>
    </row>
    <row r="3513" spans="10:12" ht="16.5" customHeight="1" x14ac:dyDescent="0.35">
      <c r="J3513" s="56" t="str">
        <f t="shared" si="162"/>
        <v/>
      </c>
      <c r="K3513" s="74" t="str">
        <f t="shared" si="163"/>
        <v/>
      </c>
      <c r="L3513" s="58" t="str">
        <f t="shared" si="164"/>
        <v/>
      </c>
    </row>
    <row r="3514" spans="10:12" ht="16.5" customHeight="1" x14ac:dyDescent="0.35">
      <c r="J3514" s="56" t="str">
        <f t="shared" si="162"/>
        <v/>
      </c>
      <c r="K3514" s="74" t="str">
        <f t="shared" si="163"/>
        <v/>
      </c>
      <c r="L3514" s="58" t="str">
        <f t="shared" si="164"/>
        <v/>
      </c>
    </row>
    <row r="3515" spans="10:12" ht="16.5" customHeight="1" x14ac:dyDescent="0.35">
      <c r="J3515" s="56" t="str">
        <f t="shared" si="162"/>
        <v/>
      </c>
      <c r="K3515" s="74" t="str">
        <f t="shared" si="163"/>
        <v/>
      </c>
      <c r="L3515" s="58" t="str">
        <f t="shared" si="164"/>
        <v/>
      </c>
    </row>
    <row r="3516" spans="10:12" ht="16.5" customHeight="1" x14ac:dyDescent="0.35">
      <c r="J3516" s="56" t="str">
        <f t="shared" si="162"/>
        <v/>
      </c>
      <c r="K3516" s="74" t="str">
        <f t="shared" si="163"/>
        <v/>
      </c>
      <c r="L3516" s="58" t="str">
        <f t="shared" si="164"/>
        <v/>
      </c>
    </row>
    <row r="3517" spans="10:12" ht="16.5" customHeight="1" x14ac:dyDescent="0.35">
      <c r="J3517" s="56" t="str">
        <f t="shared" si="162"/>
        <v/>
      </c>
      <c r="K3517" s="74" t="str">
        <f t="shared" si="163"/>
        <v/>
      </c>
      <c r="L3517" s="58" t="str">
        <f t="shared" si="164"/>
        <v/>
      </c>
    </row>
    <row r="3518" spans="10:12" ht="16.5" customHeight="1" x14ac:dyDescent="0.35">
      <c r="J3518" s="56" t="str">
        <f t="shared" si="162"/>
        <v/>
      </c>
      <c r="K3518" s="74" t="str">
        <f t="shared" si="163"/>
        <v/>
      </c>
      <c r="L3518" s="58" t="str">
        <f t="shared" si="164"/>
        <v/>
      </c>
    </row>
    <row r="3519" spans="10:12" ht="16.5" customHeight="1" x14ac:dyDescent="0.35">
      <c r="J3519" s="56" t="str">
        <f t="shared" si="162"/>
        <v/>
      </c>
      <c r="K3519" s="74" t="str">
        <f t="shared" si="163"/>
        <v/>
      </c>
      <c r="L3519" s="58" t="str">
        <f t="shared" si="164"/>
        <v/>
      </c>
    </row>
    <row r="3520" spans="10:12" ht="16.5" customHeight="1" x14ac:dyDescent="0.35">
      <c r="J3520" s="56" t="str">
        <f t="shared" si="162"/>
        <v/>
      </c>
      <c r="K3520" s="74" t="str">
        <f t="shared" si="163"/>
        <v/>
      </c>
      <c r="L3520" s="58" t="str">
        <f t="shared" si="164"/>
        <v/>
      </c>
    </row>
    <row r="3521" spans="10:12" ht="16.5" customHeight="1" x14ac:dyDescent="0.35">
      <c r="J3521" s="56" t="str">
        <f t="shared" si="162"/>
        <v/>
      </c>
      <c r="K3521" s="74" t="str">
        <f t="shared" si="163"/>
        <v/>
      </c>
      <c r="L3521" s="58" t="str">
        <f t="shared" si="164"/>
        <v/>
      </c>
    </row>
    <row r="3522" spans="10:12" ht="16.5" customHeight="1" x14ac:dyDescent="0.35">
      <c r="J3522" s="56" t="str">
        <f t="shared" si="162"/>
        <v/>
      </c>
      <c r="K3522" s="74" t="str">
        <f t="shared" si="163"/>
        <v/>
      </c>
      <c r="L3522" s="58" t="str">
        <f t="shared" si="164"/>
        <v/>
      </c>
    </row>
    <row r="3523" spans="10:12" ht="16.5" customHeight="1" x14ac:dyDescent="0.35">
      <c r="J3523" s="56" t="str">
        <f t="shared" si="162"/>
        <v/>
      </c>
      <c r="K3523" s="74" t="str">
        <f t="shared" si="163"/>
        <v/>
      </c>
      <c r="L3523" s="58" t="str">
        <f t="shared" si="164"/>
        <v/>
      </c>
    </row>
    <row r="3524" spans="10:12" ht="16.5" customHeight="1" x14ac:dyDescent="0.35">
      <c r="J3524" s="56" t="str">
        <f t="shared" si="162"/>
        <v/>
      </c>
      <c r="K3524" s="74" t="str">
        <f t="shared" si="163"/>
        <v/>
      </c>
      <c r="L3524" s="58" t="str">
        <f t="shared" si="164"/>
        <v/>
      </c>
    </row>
    <row r="3525" spans="10:12" ht="16.5" customHeight="1" x14ac:dyDescent="0.35">
      <c r="J3525" s="56" t="str">
        <f t="shared" si="162"/>
        <v/>
      </c>
      <c r="K3525" s="74" t="str">
        <f t="shared" si="163"/>
        <v/>
      </c>
      <c r="L3525" s="58" t="str">
        <f t="shared" si="164"/>
        <v/>
      </c>
    </row>
    <row r="3526" spans="10:12" ht="16.5" customHeight="1" x14ac:dyDescent="0.35">
      <c r="J3526" s="56" t="str">
        <f t="shared" si="162"/>
        <v/>
      </c>
      <c r="K3526" s="74" t="str">
        <f t="shared" si="163"/>
        <v/>
      </c>
      <c r="L3526" s="58" t="str">
        <f t="shared" si="164"/>
        <v/>
      </c>
    </row>
    <row r="3527" spans="10:12" ht="16.5" customHeight="1" x14ac:dyDescent="0.35">
      <c r="J3527" s="56" t="str">
        <f t="shared" si="162"/>
        <v/>
      </c>
      <c r="K3527" s="74" t="str">
        <f t="shared" si="163"/>
        <v/>
      </c>
      <c r="L3527" s="58" t="str">
        <f t="shared" si="164"/>
        <v/>
      </c>
    </row>
    <row r="3528" spans="10:12" ht="16.5" customHeight="1" x14ac:dyDescent="0.35">
      <c r="J3528" s="56" t="str">
        <f t="shared" si="162"/>
        <v/>
      </c>
      <c r="K3528" s="74" t="str">
        <f t="shared" si="163"/>
        <v/>
      </c>
      <c r="L3528" s="58" t="str">
        <f t="shared" si="164"/>
        <v/>
      </c>
    </row>
    <row r="3529" spans="10:12" ht="16.5" customHeight="1" x14ac:dyDescent="0.35">
      <c r="J3529" s="56" t="str">
        <f t="shared" ref="J3529:J3592" si="165">IF(A3529="","",A$5-A3529)</f>
        <v/>
      </c>
      <c r="K3529" s="74" t="str">
        <f t="shared" ref="K3529:K3592" si="166">IF(J3529="","",IF(J3529&lt;4,"0-3 Days",IF(J3529&lt;31,"4-30 Days",IF(J3529&lt;61,"31-60 Days",IF(J3529&lt;=90,"61-90 Days",IF(J3529&gt;90,"Above 90 Days","0"))))))</f>
        <v/>
      </c>
      <c r="L3529" s="58" t="str">
        <f t="shared" ref="L3529:L3592" si="167">IF(C3529="","",IF(C3529&gt;0,IF(J3529&lt;30,"Normal",IF(J3529&lt;60,"Especially Mentioned",IF(J3529&lt;90,"Substandard",IF(J3529&lt;=180,"Doubtful",IF(J3529&gt;180,"Loss","0"))))),"Not Applicable"))</f>
        <v/>
      </c>
    </row>
    <row r="3530" spans="10:12" ht="16.5" customHeight="1" x14ac:dyDescent="0.35">
      <c r="J3530" s="56" t="str">
        <f t="shared" si="165"/>
        <v/>
      </c>
      <c r="K3530" s="74" t="str">
        <f t="shared" si="166"/>
        <v/>
      </c>
      <c r="L3530" s="58" t="str">
        <f t="shared" si="167"/>
        <v/>
      </c>
    </row>
    <row r="3531" spans="10:12" ht="16.5" customHeight="1" x14ac:dyDescent="0.35">
      <c r="J3531" s="56" t="str">
        <f t="shared" si="165"/>
        <v/>
      </c>
      <c r="K3531" s="74" t="str">
        <f t="shared" si="166"/>
        <v/>
      </c>
      <c r="L3531" s="58" t="str">
        <f t="shared" si="167"/>
        <v/>
      </c>
    </row>
    <row r="3532" spans="10:12" ht="16.5" customHeight="1" x14ac:dyDescent="0.35">
      <c r="J3532" s="56" t="str">
        <f t="shared" si="165"/>
        <v/>
      </c>
      <c r="K3532" s="74" t="str">
        <f t="shared" si="166"/>
        <v/>
      </c>
      <c r="L3532" s="58" t="str">
        <f t="shared" si="167"/>
        <v/>
      </c>
    </row>
    <row r="3533" spans="10:12" ht="16.5" customHeight="1" x14ac:dyDescent="0.35">
      <c r="J3533" s="56" t="str">
        <f t="shared" si="165"/>
        <v/>
      </c>
      <c r="K3533" s="74" t="str">
        <f t="shared" si="166"/>
        <v/>
      </c>
      <c r="L3533" s="58" t="str">
        <f t="shared" si="167"/>
        <v/>
      </c>
    </row>
    <row r="3534" spans="10:12" ht="16.5" customHeight="1" x14ac:dyDescent="0.35">
      <c r="J3534" s="56" t="str">
        <f t="shared" si="165"/>
        <v/>
      </c>
      <c r="K3534" s="74" t="str">
        <f t="shared" si="166"/>
        <v/>
      </c>
      <c r="L3534" s="58" t="str">
        <f t="shared" si="167"/>
        <v/>
      </c>
    </row>
    <row r="3535" spans="10:12" ht="16.5" customHeight="1" x14ac:dyDescent="0.35">
      <c r="J3535" s="56" t="str">
        <f t="shared" si="165"/>
        <v/>
      </c>
      <c r="K3535" s="74" t="str">
        <f t="shared" si="166"/>
        <v/>
      </c>
      <c r="L3535" s="58" t="str">
        <f t="shared" si="167"/>
        <v/>
      </c>
    </row>
    <row r="3536" spans="10:12" ht="16.5" customHeight="1" x14ac:dyDescent="0.35">
      <c r="J3536" s="56" t="str">
        <f t="shared" si="165"/>
        <v/>
      </c>
      <c r="K3536" s="74" t="str">
        <f t="shared" si="166"/>
        <v/>
      </c>
      <c r="L3536" s="58" t="str">
        <f t="shared" si="167"/>
        <v/>
      </c>
    </row>
    <row r="3537" spans="10:12" ht="16.5" customHeight="1" x14ac:dyDescent="0.35">
      <c r="J3537" s="56" t="str">
        <f t="shared" si="165"/>
        <v/>
      </c>
      <c r="K3537" s="74" t="str">
        <f t="shared" si="166"/>
        <v/>
      </c>
      <c r="L3537" s="58" t="str">
        <f t="shared" si="167"/>
        <v/>
      </c>
    </row>
    <row r="3538" spans="10:12" ht="16.5" customHeight="1" x14ac:dyDescent="0.35">
      <c r="J3538" s="56" t="str">
        <f t="shared" si="165"/>
        <v/>
      </c>
      <c r="K3538" s="74" t="str">
        <f t="shared" si="166"/>
        <v/>
      </c>
      <c r="L3538" s="58" t="str">
        <f t="shared" si="167"/>
        <v/>
      </c>
    </row>
    <row r="3539" spans="10:12" ht="16.5" customHeight="1" x14ac:dyDescent="0.35">
      <c r="J3539" s="56" t="str">
        <f t="shared" si="165"/>
        <v/>
      </c>
      <c r="K3539" s="74" t="str">
        <f t="shared" si="166"/>
        <v/>
      </c>
      <c r="L3539" s="58" t="str">
        <f t="shared" si="167"/>
        <v/>
      </c>
    </row>
    <row r="3540" spans="10:12" ht="16.5" customHeight="1" x14ac:dyDescent="0.35">
      <c r="J3540" s="56" t="str">
        <f t="shared" si="165"/>
        <v/>
      </c>
      <c r="K3540" s="74" t="str">
        <f t="shared" si="166"/>
        <v/>
      </c>
      <c r="L3540" s="58" t="str">
        <f t="shared" si="167"/>
        <v/>
      </c>
    </row>
    <row r="3541" spans="10:12" ht="16.5" customHeight="1" x14ac:dyDescent="0.35">
      <c r="J3541" s="56" t="str">
        <f t="shared" si="165"/>
        <v/>
      </c>
      <c r="K3541" s="74" t="str">
        <f t="shared" si="166"/>
        <v/>
      </c>
      <c r="L3541" s="58" t="str">
        <f t="shared" si="167"/>
        <v/>
      </c>
    </row>
    <row r="3542" spans="10:12" ht="16.5" customHeight="1" x14ac:dyDescent="0.35">
      <c r="J3542" s="56" t="str">
        <f t="shared" si="165"/>
        <v/>
      </c>
      <c r="K3542" s="74" t="str">
        <f t="shared" si="166"/>
        <v/>
      </c>
      <c r="L3542" s="58" t="str">
        <f t="shared" si="167"/>
        <v/>
      </c>
    </row>
    <row r="3543" spans="10:12" ht="16.5" customHeight="1" x14ac:dyDescent="0.35">
      <c r="J3543" s="56" t="str">
        <f t="shared" si="165"/>
        <v/>
      </c>
      <c r="K3543" s="74" t="str">
        <f t="shared" si="166"/>
        <v/>
      </c>
      <c r="L3543" s="58" t="str">
        <f t="shared" si="167"/>
        <v/>
      </c>
    </row>
    <row r="3544" spans="10:12" ht="16.5" customHeight="1" x14ac:dyDescent="0.35">
      <c r="J3544" s="56" t="str">
        <f t="shared" si="165"/>
        <v/>
      </c>
      <c r="K3544" s="74" t="str">
        <f t="shared" si="166"/>
        <v/>
      </c>
      <c r="L3544" s="58" t="str">
        <f t="shared" si="167"/>
        <v/>
      </c>
    </row>
    <row r="3545" spans="10:12" ht="16.5" customHeight="1" x14ac:dyDescent="0.35">
      <c r="J3545" s="56" t="str">
        <f t="shared" si="165"/>
        <v/>
      </c>
      <c r="K3545" s="74" t="str">
        <f t="shared" si="166"/>
        <v/>
      </c>
      <c r="L3545" s="58" t="str">
        <f t="shared" si="167"/>
        <v/>
      </c>
    </row>
    <row r="3546" spans="10:12" ht="16.5" customHeight="1" x14ac:dyDescent="0.35">
      <c r="J3546" s="56" t="str">
        <f t="shared" si="165"/>
        <v/>
      </c>
      <c r="K3546" s="74" t="str">
        <f t="shared" si="166"/>
        <v/>
      </c>
      <c r="L3546" s="58" t="str">
        <f t="shared" si="167"/>
        <v/>
      </c>
    </row>
    <row r="3547" spans="10:12" ht="16.5" customHeight="1" x14ac:dyDescent="0.35">
      <c r="J3547" s="56" t="str">
        <f t="shared" si="165"/>
        <v/>
      </c>
      <c r="K3547" s="74" t="str">
        <f t="shared" si="166"/>
        <v/>
      </c>
      <c r="L3547" s="58" t="str">
        <f t="shared" si="167"/>
        <v/>
      </c>
    </row>
    <row r="3548" spans="10:12" ht="16.5" customHeight="1" x14ac:dyDescent="0.35">
      <c r="J3548" s="56" t="str">
        <f t="shared" si="165"/>
        <v/>
      </c>
      <c r="K3548" s="74" t="str">
        <f t="shared" si="166"/>
        <v/>
      </c>
      <c r="L3548" s="58" t="str">
        <f t="shared" si="167"/>
        <v/>
      </c>
    </row>
    <row r="3549" spans="10:12" ht="16.5" customHeight="1" x14ac:dyDescent="0.35">
      <c r="J3549" s="56" t="str">
        <f t="shared" si="165"/>
        <v/>
      </c>
      <c r="K3549" s="74" t="str">
        <f t="shared" si="166"/>
        <v/>
      </c>
      <c r="L3549" s="58" t="str">
        <f t="shared" si="167"/>
        <v/>
      </c>
    </row>
    <row r="3550" spans="10:12" ht="16.5" customHeight="1" x14ac:dyDescent="0.35">
      <c r="J3550" s="56" t="str">
        <f t="shared" si="165"/>
        <v/>
      </c>
      <c r="K3550" s="74" t="str">
        <f t="shared" si="166"/>
        <v/>
      </c>
      <c r="L3550" s="58" t="str">
        <f t="shared" si="167"/>
        <v/>
      </c>
    </row>
    <row r="3551" spans="10:12" ht="16.5" customHeight="1" x14ac:dyDescent="0.35">
      <c r="J3551" s="56" t="str">
        <f t="shared" si="165"/>
        <v/>
      </c>
      <c r="K3551" s="74" t="str">
        <f t="shared" si="166"/>
        <v/>
      </c>
      <c r="L3551" s="58" t="str">
        <f t="shared" si="167"/>
        <v/>
      </c>
    </row>
    <row r="3552" spans="10:12" ht="16.5" customHeight="1" x14ac:dyDescent="0.35">
      <c r="J3552" s="56" t="str">
        <f t="shared" si="165"/>
        <v/>
      </c>
      <c r="K3552" s="74" t="str">
        <f t="shared" si="166"/>
        <v/>
      </c>
      <c r="L3552" s="58" t="str">
        <f t="shared" si="167"/>
        <v/>
      </c>
    </row>
    <row r="3553" spans="10:12" ht="16.5" customHeight="1" x14ac:dyDescent="0.35">
      <c r="J3553" s="56" t="str">
        <f t="shared" si="165"/>
        <v/>
      </c>
      <c r="K3553" s="74" t="str">
        <f t="shared" si="166"/>
        <v/>
      </c>
      <c r="L3553" s="58" t="str">
        <f t="shared" si="167"/>
        <v/>
      </c>
    </row>
    <row r="3554" spans="10:12" ht="16.5" customHeight="1" x14ac:dyDescent="0.35">
      <c r="J3554" s="56" t="str">
        <f t="shared" si="165"/>
        <v/>
      </c>
      <c r="K3554" s="74" t="str">
        <f t="shared" si="166"/>
        <v/>
      </c>
      <c r="L3554" s="58" t="str">
        <f t="shared" si="167"/>
        <v/>
      </c>
    </row>
    <row r="3555" spans="10:12" ht="16.5" customHeight="1" x14ac:dyDescent="0.35">
      <c r="J3555" s="56" t="str">
        <f t="shared" si="165"/>
        <v/>
      </c>
      <c r="K3555" s="74" t="str">
        <f t="shared" si="166"/>
        <v/>
      </c>
      <c r="L3555" s="58" t="str">
        <f t="shared" si="167"/>
        <v/>
      </c>
    </row>
    <row r="3556" spans="10:12" ht="16.5" customHeight="1" x14ac:dyDescent="0.35">
      <c r="J3556" s="56" t="str">
        <f t="shared" si="165"/>
        <v/>
      </c>
      <c r="K3556" s="74" t="str">
        <f t="shared" si="166"/>
        <v/>
      </c>
      <c r="L3556" s="58" t="str">
        <f t="shared" si="167"/>
        <v/>
      </c>
    </row>
    <row r="3557" spans="10:12" ht="16.5" customHeight="1" x14ac:dyDescent="0.35">
      <c r="J3557" s="56" t="str">
        <f t="shared" si="165"/>
        <v/>
      </c>
      <c r="K3557" s="74" t="str">
        <f t="shared" si="166"/>
        <v/>
      </c>
      <c r="L3557" s="58" t="str">
        <f t="shared" si="167"/>
        <v/>
      </c>
    </row>
    <row r="3558" spans="10:12" ht="16.5" customHeight="1" x14ac:dyDescent="0.35">
      <c r="J3558" s="56" t="str">
        <f t="shared" si="165"/>
        <v/>
      </c>
      <c r="K3558" s="74" t="str">
        <f t="shared" si="166"/>
        <v/>
      </c>
      <c r="L3558" s="58" t="str">
        <f t="shared" si="167"/>
        <v/>
      </c>
    </row>
    <row r="3559" spans="10:12" ht="16.5" customHeight="1" x14ac:dyDescent="0.35">
      <c r="J3559" s="56" t="str">
        <f t="shared" si="165"/>
        <v/>
      </c>
      <c r="K3559" s="74" t="str">
        <f t="shared" si="166"/>
        <v/>
      </c>
      <c r="L3559" s="58" t="str">
        <f t="shared" si="167"/>
        <v/>
      </c>
    </row>
    <row r="3560" spans="10:12" ht="16.5" customHeight="1" x14ac:dyDescent="0.35">
      <c r="J3560" s="56" t="str">
        <f t="shared" si="165"/>
        <v/>
      </c>
      <c r="K3560" s="74" t="str">
        <f t="shared" si="166"/>
        <v/>
      </c>
      <c r="L3560" s="58" t="str">
        <f t="shared" si="167"/>
        <v/>
      </c>
    </row>
    <row r="3561" spans="10:12" ht="16.5" customHeight="1" x14ac:dyDescent="0.35">
      <c r="J3561" s="56" t="str">
        <f t="shared" si="165"/>
        <v/>
      </c>
      <c r="K3561" s="74" t="str">
        <f t="shared" si="166"/>
        <v/>
      </c>
      <c r="L3561" s="58" t="str">
        <f t="shared" si="167"/>
        <v/>
      </c>
    </row>
    <row r="3562" spans="10:12" ht="16.5" customHeight="1" x14ac:dyDescent="0.35">
      <c r="J3562" s="56" t="str">
        <f t="shared" si="165"/>
        <v/>
      </c>
      <c r="K3562" s="74" t="str">
        <f t="shared" si="166"/>
        <v/>
      </c>
      <c r="L3562" s="58" t="str">
        <f t="shared" si="167"/>
        <v/>
      </c>
    </row>
    <row r="3563" spans="10:12" ht="16.5" customHeight="1" x14ac:dyDescent="0.35">
      <c r="J3563" s="56" t="str">
        <f t="shared" si="165"/>
        <v/>
      </c>
      <c r="K3563" s="74" t="str">
        <f t="shared" si="166"/>
        <v/>
      </c>
      <c r="L3563" s="58" t="str">
        <f t="shared" si="167"/>
        <v/>
      </c>
    </row>
    <row r="3564" spans="10:12" ht="16.5" customHeight="1" x14ac:dyDescent="0.35">
      <c r="J3564" s="56" t="str">
        <f t="shared" si="165"/>
        <v/>
      </c>
      <c r="K3564" s="74" t="str">
        <f t="shared" si="166"/>
        <v/>
      </c>
      <c r="L3564" s="58" t="str">
        <f t="shared" si="167"/>
        <v/>
      </c>
    </row>
    <row r="3565" spans="10:12" ht="16.5" customHeight="1" x14ac:dyDescent="0.35">
      <c r="J3565" s="56" t="str">
        <f t="shared" si="165"/>
        <v/>
      </c>
      <c r="K3565" s="74" t="str">
        <f t="shared" si="166"/>
        <v/>
      </c>
      <c r="L3565" s="58" t="str">
        <f t="shared" si="167"/>
        <v/>
      </c>
    </row>
    <row r="3566" spans="10:12" ht="16.5" customHeight="1" x14ac:dyDescent="0.35">
      <c r="J3566" s="56" t="str">
        <f t="shared" si="165"/>
        <v/>
      </c>
      <c r="K3566" s="74" t="str">
        <f t="shared" si="166"/>
        <v/>
      </c>
      <c r="L3566" s="58" t="str">
        <f t="shared" si="167"/>
        <v/>
      </c>
    </row>
    <row r="3567" spans="10:12" ht="16.5" customHeight="1" x14ac:dyDescent="0.35">
      <c r="J3567" s="56" t="str">
        <f t="shared" si="165"/>
        <v/>
      </c>
      <c r="K3567" s="74" t="str">
        <f t="shared" si="166"/>
        <v/>
      </c>
      <c r="L3567" s="58" t="str">
        <f t="shared" si="167"/>
        <v/>
      </c>
    </row>
    <row r="3568" spans="10:12" ht="16.5" customHeight="1" x14ac:dyDescent="0.35">
      <c r="J3568" s="56" t="str">
        <f t="shared" si="165"/>
        <v/>
      </c>
      <c r="K3568" s="74" t="str">
        <f t="shared" si="166"/>
        <v/>
      </c>
      <c r="L3568" s="58" t="str">
        <f t="shared" si="167"/>
        <v/>
      </c>
    </row>
    <row r="3569" spans="10:12" ht="16.5" customHeight="1" x14ac:dyDescent="0.35">
      <c r="J3569" s="56" t="str">
        <f t="shared" si="165"/>
        <v/>
      </c>
      <c r="K3569" s="74" t="str">
        <f t="shared" si="166"/>
        <v/>
      </c>
      <c r="L3569" s="58" t="str">
        <f t="shared" si="167"/>
        <v/>
      </c>
    </row>
    <row r="3570" spans="10:12" ht="16.5" customHeight="1" x14ac:dyDescent="0.35">
      <c r="J3570" s="56" t="str">
        <f t="shared" si="165"/>
        <v/>
      </c>
      <c r="K3570" s="74" t="str">
        <f t="shared" si="166"/>
        <v/>
      </c>
      <c r="L3570" s="58" t="str">
        <f t="shared" si="167"/>
        <v/>
      </c>
    </row>
    <row r="3571" spans="10:12" ht="16.5" customHeight="1" x14ac:dyDescent="0.35">
      <c r="J3571" s="56" t="str">
        <f t="shared" si="165"/>
        <v/>
      </c>
      <c r="K3571" s="74" t="str">
        <f t="shared" si="166"/>
        <v/>
      </c>
      <c r="L3571" s="58" t="str">
        <f t="shared" si="167"/>
        <v/>
      </c>
    </row>
    <row r="3572" spans="10:12" ht="16.5" customHeight="1" x14ac:dyDescent="0.35">
      <c r="J3572" s="56" t="str">
        <f t="shared" si="165"/>
        <v/>
      </c>
      <c r="K3572" s="74" t="str">
        <f t="shared" si="166"/>
        <v/>
      </c>
      <c r="L3572" s="58" t="str">
        <f t="shared" si="167"/>
        <v/>
      </c>
    </row>
    <row r="3573" spans="10:12" ht="16.5" customHeight="1" x14ac:dyDescent="0.35">
      <c r="J3573" s="56" t="str">
        <f t="shared" si="165"/>
        <v/>
      </c>
      <c r="K3573" s="74" t="str">
        <f t="shared" si="166"/>
        <v/>
      </c>
      <c r="L3573" s="58" t="str">
        <f t="shared" si="167"/>
        <v/>
      </c>
    </row>
    <row r="3574" spans="10:12" ht="16.5" customHeight="1" x14ac:dyDescent="0.35">
      <c r="J3574" s="56" t="str">
        <f t="shared" si="165"/>
        <v/>
      </c>
      <c r="K3574" s="74" t="str">
        <f t="shared" si="166"/>
        <v/>
      </c>
      <c r="L3574" s="58" t="str">
        <f t="shared" si="167"/>
        <v/>
      </c>
    </row>
    <row r="3575" spans="10:12" ht="16.5" customHeight="1" x14ac:dyDescent="0.35">
      <c r="J3575" s="56" t="str">
        <f t="shared" si="165"/>
        <v/>
      </c>
      <c r="K3575" s="74" t="str">
        <f t="shared" si="166"/>
        <v/>
      </c>
      <c r="L3575" s="58" t="str">
        <f t="shared" si="167"/>
        <v/>
      </c>
    </row>
    <row r="3576" spans="10:12" ht="16.5" customHeight="1" x14ac:dyDescent="0.35">
      <c r="J3576" s="56" t="str">
        <f t="shared" si="165"/>
        <v/>
      </c>
      <c r="K3576" s="74" t="str">
        <f t="shared" si="166"/>
        <v/>
      </c>
      <c r="L3576" s="58" t="str">
        <f t="shared" si="167"/>
        <v/>
      </c>
    </row>
    <row r="3577" spans="10:12" ht="16.5" customHeight="1" x14ac:dyDescent="0.35">
      <c r="J3577" s="56" t="str">
        <f t="shared" si="165"/>
        <v/>
      </c>
      <c r="K3577" s="74" t="str">
        <f t="shared" si="166"/>
        <v/>
      </c>
      <c r="L3577" s="58" t="str">
        <f t="shared" si="167"/>
        <v/>
      </c>
    </row>
    <row r="3578" spans="10:12" ht="16.5" customHeight="1" x14ac:dyDescent="0.35">
      <c r="J3578" s="56" t="str">
        <f t="shared" si="165"/>
        <v/>
      </c>
      <c r="K3578" s="74" t="str">
        <f t="shared" si="166"/>
        <v/>
      </c>
      <c r="L3578" s="58" t="str">
        <f t="shared" si="167"/>
        <v/>
      </c>
    </row>
    <row r="3579" spans="10:12" ht="16.5" customHeight="1" x14ac:dyDescent="0.35">
      <c r="J3579" s="56" t="str">
        <f t="shared" si="165"/>
        <v/>
      </c>
      <c r="K3579" s="74" t="str">
        <f t="shared" si="166"/>
        <v/>
      </c>
      <c r="L3579" s="58" t="str">
        <f t="shared" si="167"/>
        <v/>
      </c>
    </row>
    <row r="3580" spans="10:12" ht="16.5" customHeight="1" x14ac:dyDescent="0.35">
      <c r="J3580" s="56" t="str">
        <f t="shared" si="165"/>
        <v/>
      </c>
      <c r="K3580" s="74" t="str">
        <f t="shared" si="166"/>
        <v/>
      </c>
      <c r="L3580" s="58" t="str">
        <f t="shared" si="167"/>
        <v/>
      </c>
    </row>
    <row r="3581" spans="10:12" ht="16.5" customHeight="1" x14ac:dyDescent="0.35">
      <c r="J3581" s="56" t="str">
        <f t="shared" si="165"/>
        <v/>
      </c>
      <c r="K3581" s="74" t="str">
        <f t="shared" si="166"/>
        <v/>
      </c>
      <c r="L3581" s="58" t="str">
        <f t="shared" si="167"/>
        <v/>
      </c>
    </row>
    <row r="3582" spans="10:12" ht="16.5" customHeight="1" x14ac:dyDescent="0.35">
      <c r="J3582" s="56" t="str">
        <f t="shared" si="165"/>
        <v/>
      </c>
      <c r="K3582" s="74" t="str">
        <f t="shared" si="166"/>
        <v/>
      </c>
      <c r="L3582" s="58" t="str">
        <f t="shared" si="167"/>
        <v/>
      </c>
    </row>
    <row r="3583" spans="10:12" ht="16.5" customHeight="1" x14ac:dyDescent="0.35">
      <c r="J3583" s="56" t="str">
        <f t="shared" si="165"/>
        <v/>
      </c>
      <c r="K3583" s="74" t="str">
        <f t="shared" si="166"/>
        <v/>
      </c>
      <c r="L3583" s="58" t="str">
        <f t="shared" si="167"/>
        <v/>
      </c>
    </row>
    <row r="3584" spans="10:12" ht="16.5" customHeight="1" x14ac:dyDescent="0.35">
      <c r="J3584" s="56" t="str">
        <f t="shared" si="165"/>
        <v/>
      </c>
      <c r="K3584" s="74" t="str">
        <f t="shared" si="166"/>
        <v/>
      </c>
      <c r="L3584" s="58" t="str">
        <f t="shared" si="167"/>
        <v/>
      </c>
    </row>
    <row r="3585" spans="10:12" ht="16.5" customHeight="1" x14ac:dyDescent="0.35">
      <c r="J3585" s="56" t="str">
        <f t="shared" si="165"/>
        <v/>
      </c>
      <c r="K3585" s="74" t="str">
        <f t="shared" si="166"/>
        <v/>
      </c>
      <c r="L3585" s="58" t="str">
        <f t="shared" si="167"/>
        <v/>
      </c>
    </row>
    <row r="3586" spans="10:12" ht="16.5" customHeight="1" x14ac:dyDescent="0.35">
      <c r="J3586" s="56" t="str">
        <f t="shared" si="165"/>
        <v/>
      </c>
      <c r="K3586" s="74" t="str">
        <f t="shared" si="166"/>
        <v/>
      </c>
      <c r="L3586" s="58" t="str">
        <f t="shared" si="167"/>
        <v/>
      </c>
    </row>
    <row r="3587" spans="10:12" ht="16.5" customHeight="1" x14ac:dyDescent="0.35">
      <c r="J3587" s="56" t="str">
        <f t="shared" si="165"/>
        <v/>
      </c>
      <c r="K3587" s="74" t="str">
        <f t="shared" si="166"/>
        <v/>
      </c>
      <c r="L3587" s="58" t="str">
        <f t="shared" si="167"/>
        <v/>
      </c>
    </row>
    <row r="3588" spans="10:12" ht="16.5" customHeight="1" x14ac:dyDescent="0.35">
      <c r="J3588" s="56" t="str">
        <f t="shared" si="165"/>
        <v/>
      </c>
      <c r="K3588" s="74" t="str">
        <f t="shared" si="166"/>
        <v/>
      </c>
      <c r="L3588" s="58" t="str">
        <f t="shared" si="167"/>
        <v/>
      </c>
    </row>
    <row r="3589" spans="10:12" ht="16.5" customHeight="1" x14ac:dyDescent="0.35">
      <c r="J3589" s="56" t="str">
        <f t="shared" si="165"/>
        <v/>
      </c>
      <c r="K3589" s="74" t="str">
        <f t="shared" si="166"/>
        <v/>
      </c>
      <c r="L3589" s="58" t="str">
        <f t="shared" si="167"/>
        <v/>
      </c>
    </row>
    <row r="3590" spans="10:12" ht="16.5" customHeight="1" x14ac:dyDescent="0.35">
      <c r="J3590" s="56" t="str">
        <f t="shared" si="165"/>
        <v/>
      </c>
      <c r="K3590" s="74" t="str">
        <f t="shared" si="166"/>
        <v/>
      </c>
      <c r="L3590" s="58" t="str">
        <f t="shared" si="167"/>
        <v/>
      </c>
    </row>
    <row r="3591" spans="10:12" ht="16.5" customHeight="1" x14ac:dyDescent="0.35">
      <c r="J3591" s="56" t="str">
        <f t="shared" si="165"/>
        <v/>
      </c>
      <c r="K3591" s="74" t="str">
        <f t="shared" si="166"/>
        <v/>
      </c>
      <c r="L3591" s="58" t="str">
        <f t="shared" si="167"/>
        <v/>
      </c>
    </row>
    <row r="3592" spans="10:12" ht="16.5" customHeight="1" x14ac:dyDescent="0.35">
      <c r="J3592" s="56" t="str">
        <f t="shared" si="165"/>
        <v/>
      </c>
      <c r="K3592" s="74" t="str">
        <f t="shared" si="166"/>
        <v/>
      </c>
      <c r="L3592" s="58" t="str">
        <f t="shared" si="167"/>
        <v/>
      </c>
    </row>
    <row r="3593" spans="10:12" ht="16.5" customHeight="1" x14ac:dyDescent="0.35">
      <c r="J3593" s="56" t="str">
        <f t="shared" ref="J3593:J3656" si="168">IF(A3593="","",A$5-A3593)</f>
        <v/>
      </c>
      <c r="K3593" s="74" t="str">
        <f t="shared" ref="K3593:K3656" si="169">IF(J3593="","",IF(J3593&lt;4,"0-3 Days",IF(J3593&lt;31,"4-30 Days",IF(J3593&lt;61,"31-60 Days",IF(J3593&lt;=90,"61-90 Days",IF(J3593&gt;90,"Above 90 Days","0"))))))</f>
        <v/>
      </c>
      <c r="L3593" s="58" t="str">
        <f t="shared" ref="L3593:L3656" si="170">IF(C3593="","",IF(C3593&gt;0,IF(J3593&lt;30,"Normal",IF(J3593&lt;60,"Especially Mentioned",IF(J3593&lt;90,"Substandard",IF(J3593&lt;=180,"Doubtful",IF(J3593&gt;180,"Loss","0"))))),"Not Applicable"))</f>
        <v/>
      </c>
    </row>
    <row r="3594" spans="10:12" ht="16.5" customHeight="1" x14ac:dyDescent="0.35">
      <c r="J3594" s="56" t="str">
        <f t="shared" si="168"/>
        <v/>
      </c>
      <c r="K3594" s="74" t="str">
        <f t="shared" si="169"/>
        <v/>
      </c>
      <c r="L3594" s="58" t="str">
        <f t="shared" si="170"/>
        <v/>
      </c>
    </row>
    <row r="3595" spans="10:12" ht="16.5" customHeight="1" x14ac:dyDescent="0.35">
      <c r="J3595" s="56" t="str">
        <f t="shared" si="168"/>
        <v/>
      </c>
      <c r="K3595" s="74" t="str">
        <f t="shared" si="169"/>
        <v/>
      </c>
      <c r="L3595" s="58" t="str">
        <f t="shared" si="170"/>
        <v/>
      </c>
    </row>
    <row r="3596" spans="10:12" ht="16.5" customHeight="1" x14ac:dyDescent="0.35">
      <c r="J3596" s="56" t="str">
        <f t="shared" si="168"/>
        <v/>
      </c>
      <c r="K3596" s="74" t="str">
        <f t="shared" si="169"/>
        <v/>
      </c>
      <c r="L3596" s="58" t="str">
        <f t="shared" si="170"/>
        <v/>
      </c>
    </row>
    <row r="3597" spans="10:12" ht="16.5" customHeight="1" x14ac:dyDescent="0.35">
      <c r="J3597" s="56" t="str">
        <f t="shared" si="168"/>
        <v/>
      </c>
      <c r="K3597" s="74" t="str">
        <f t="shared" si="169"/>
        <v/>
      </c>
      <c r="L3597" s="58" t="str">
        <f t="shared" si="170"/>
        <v/>
      </c>
    </row>
    <row r="3598" spans="10:12" ht="16.5" customHeight="1" x14ac:dyDescent="0.35">
      <c r="J3598" s="56" t="str">
        <f t="shared" si="168"/>
        <v/>
      </c>
      <c r="K3598" s="74" t="str">
        <f t="shared" si="169"/>
        <v/>
      </c>
      <c r="L3598" s="58" t="str">
        <f t="shared" si="170"/>
        <v/>
      </c>
    </row>
    <row r="3599" spans="10:12" ht="16.5" customHeight="1" x14ac:dyDescent="0.35">
      <c r="J3599" s="56" t="str">
        <f t="shared" si="168"/>
        <v/>
      </c>
      <c r="K3599" s="74" t="str">
        <f t="shared" si="169"/>
        <v/>
      </c>
      <c r="L3599" s="58" t="str">
        <f t="shared" si="170"/>
        <v/>
      </c>
    </row>
    <row r="3600" spans="10:12" ht="16.5" customHeight="1" x14ac:dyDescent="0.35">
      <c r="J3600" s="56" t="str">
        <f t="shared" si="168"/>
        <v/>
      </c>
      <c r="K3600" s="74" t="str">
        <f t="shared" si="169"/>
        <v/>
      </c>
      <c r="L3600" s="58" t="str">
        <f t="shared" si="170"/>
        <v/>
      </c>
    </row>
    <row r="3601" spans="10:12" ht="16.5" customHeight="1" x14ac:dyDescent="0.35">
      <c r="J3601" s="56" t="str">
        <f t="shared" si="168"/>
        <v/>
      </c>
      <c r="K3601" s="74" t="str">
        <f t="shared" si="169"/>
        <v/>
      </c>
      <c r="L3601" s="58" t="str">
        <f t="shared" si="170"/>
        <v/>
      </c>
    </row>
    <row r="3602" spans="10:12" ht="16.5" customHeight="1" x14ac:dyDescent="0.35">
      <c r="J3602" s="56" t="str">
        <f t="shared" si="168"/>
        <v/>
      </c>
      <c r="K3602" s="74" t="str">
        <f t="shared" si="169"/>
        <v/>
      </c>
      <c r="L3602" s="58" t="str">
        <f t="shared" si="170"/>
        <v/>
      </c>
    </row>
    <row r="3603" spans="10:12" ht="16.5" customHeight="1" x14ac:dyDescent="0.35">
      <c r="J3603" s="56" t="str">
        <f t="shared" si="168"/>
        <v/>
      </c>
      <c r="K3603" s="74" t="str">
        <f t="shared" si="169"/>
        <v/>
      </c>
      <c r="L3603" s="58" t="str">
        <f t="shared" si="170"/>
        <v/>
      </c>
    </row>
    <row r="3604" spans="10:12" ht="16.5" customHeight="1" x14ac:dyDescent="0.35">
      <c r="J3604" s="56" t="str">
        <f t="shared" si="168"/>
        <v/>
      </c>
      <c r="K3604" s="74" t="str">
        <f t="shared" si="169"/>
        <v/>
      </c>
      <c r="L3604" s="58" t="str">
        <f t="shared" si="170"/>
        <v/>
      </c>
    </row>
    <row r="3605" spans="10:12" ht="16.5" customHeight="1" x14ac:dyDescent="0.35">
      <c r="J3605" s="56" t="str">
        <f t="shared" si="168"/>
        <v/>
      </c>
      <c r="K3605" s="74" t="str">
        <f t="shared" si="169"/>
        <v/>
      </c>
      <c r="L3605" s="58" t="str">
        <f t="shared" si="170"/>
        <v/>
      </c>
    </row>
    <row r="3606" spans="10:12" ht="16.5" customHeight="1" x14ac:dyDescent="0.35">
      <c r="J3606" s="56" t="str">
        <f t="shared" si="168"/>
        <v/>
      </c>
      <c r="K3606" s="74" t="str">
        <f t="shared" si="169"/>
        <v/>
      </c>
      <c r="L3606" s="58" t="str">
        <f t="shared" si="170"/>
        <v/>
      </c>
    </row>
    <row r="3607" spans="10:12" ht="16.5" customHeight="1" x14ac:dyDescent="0.35">
      <c r="J3607" s="56" t="str">
        <f t="shared" si="168"/>
        <v/>
      </c>
      <c r="K3607" s="74" t="str">
        <f t="shared" si="169"/>
        <v/>
      </c>
      <c r="L3607" s="58" t="str">
        <f t="shared" si="170"/>
        <v/>
      </c>
    </row>
    <row r="3608" spans="10:12" ht="16.5" customHeight="1" x14ac:dyDescent="0.35">
      <c r="J3608" s="56" t="str">
        <f t="shared" si="168"/>
        <v/>
      </c>
      <c r="K3608" s="74" t="str">
        <f t="shared" si="169"/>
        <v/>
      </c>
      <c r="L3608" s="58" t="str">
        <f t="shared" si="170"/>
        <v/>
      </c>
    </row>
    <row r="3609" spans="10:12" ht="16.5" customHeight="1" x14ac:dyDescent="0.35">
      <c r="J3609" s="56" t="str">
        <f t="shared" si="168"/>
        <v/>
      </c>
      <c r="K3609" s="74" t="str">
        <f t="shared" si="169"/>
        <v/>
      </c>
      <c r="L3609" s="58" t="str">
        <f t="shared" si="170"/>
        <v/>
      </c>
    </row>
    <row r="3610" spans="10:12" ht="16.5" customHeight="1" x14ac:dyDescent="0.35">
      <c r="J3610" s="56" t="str">
        <f t="shared" si="168"/>
        <v/>
      </c>
      <c r="K3610" s="74" t="str">
        <f t="shared" si="169"/>
        <v/>
      </c>
      <c r="L3610" s="58" t="str">
        <f t="shared" si="170"/>
        <v/>
      </c>
    </row>
    <row r="3611" spans="10:12" ht="16.5" customHeight="1" x14ac:dyDescent="0.35">
      <c r="J3611" s="56" t="str">
        <f t="shared" si="168"/>
        <v/>
      </c>
      <c r="K3611" s="74" t="str">
        <f t="shared" si="169"/>
        <v/>
      </c>
      <c r="L3611" s="58" t="str">
        <f t="shared" si="170"/>
        <v/>
      </c>
    </row>
    <row r="3612" spans="10:12" ht="16.5" customHeight="1" x14ac:dyDescent="0.35">
      <c r="J3612" s="56" t="str">
        <f t="shared" si="168"/>
        <v/>
      </c>
      <c r="K3612" s="74" t="str">
        <f t="shared" si="169"/>
        <v/>
      </c>
      <c r="L3612" s="58" t="str">
        <f t="shared" si="170"/>
        <v/>
      </c>
    </row>
    <row r="3613" spans="10:12" ht="16.5" customHeight="1" x14ac:dyDescent="0.35">
      <c r="J3613" s="56" t="str">
        <f t="shared" si="168"/>
        <v/>
      </c>
      <c r="K3613" s="74" t="str">
        <f t="shared" si="169"/>
        <v/>
      </c>
      <c r="L3613" s="58" t="str">
        <f t="shared" si="170"/>
        <v/>
      </c>
    </row>
    <row r="3614" spans="10:12" ht="16.5" customHeight="1" x14ac:dyDescent="0.35">
      <c r="J3614" s="56" t="str">
        <f t="shared" si="168"/>
        <v/>
      </c>
      <c r="K3614" s="74" t="str">
        <f t="shared" si="169"/>
        <v/>
      </c>
      <c r="L3614" s="58" t="str">
        <f t="shared" si="170"/>
        <v/>
      </c>
    </row>
    <row r="3615" spans="10:12" ht="16.5" customHeight="1" x14ac:dyDescent="0.35">
      <c r="J3615" s="56" t="str">
        <f t="shared" si="168"/>
        <v/>
      </c>
      <c r="K3615" s="74" t="str">
        <f t="shared" si="169"/>
        <v/>
      </c>
      <c r="L3615" s="58" t="str">
        <f t="shared" si="170"/>
        <v/>
      </c>
    </row>
    <row r="3616" spans="10:12" ht="16.5" customHeight="1" x14ac:dyDescent="0.35">
      <c r="J3616" s="56" t="str">
        <f t="shared" si="168"/>
        <v/>
      </c>
      <c r="K3616" s="74" t="str">
        <f t="shared" si="169"/>
        <v/>
      </c>
      <c r="L3616" s="58" t="str">
        <f t="shared" si="170"/>
        <v/>
      </c>
    </row>
    <row r="3617" spans="10:12" ht="16.5" customHeight="1" x14ac:dyDescent="0.35">
      <c r="J3617" s="56" t="str">
        <f t="shared" si="168"/>
        <v/>
      </c>
      <c r="K3617" s="74" t="str">
        <f t="shared" si="169"/>
        <v/>
      </c>
      <c r="L3617" s="58" t="str">
        <f t="shared" si="170"/>
        <v/>
      </c>
    </row>
    <row r="3618" spans="10:12" ht="16.5" customHeight="1" x14ac:dyDescent="0.35">
      <c r="J3618" s="56" t="str">
        <f t="shared" si="168"/>
        <v/>
      </c>
      <c r="K3618" s="74" t="str">
        <f t="shared" si="169"/>
        <v/>
      </c>
      <c r="L3618" s="58" t="str">
        <f t="shared" si="170"/>
        <v/>
      </c>
    </row>
    <row r="3619" spans="10:12" ht="16.5" customHeight="1" x14ac:dyDescent="0.35">
      <c r="J3619" s="56" t="str">
        <f t="shared" si="168"/>
        <v/>
      </c>
      <c r="K3619" s="74" t="str">
        <f t="shared" si="169"/>
        <v/>
      </c>
      <c r="L3619" s="58" t="str">
        <f t="shared" si="170"/>
        <v/>
      </c>
    </row>
    <row r="3620" spans="10:12" ht="16.5" customHeight="1" x14ac:dyDescent="0.35">
      <c r="J3620" s="56" t="str">
        <f t="shared" si="168"/>
        <v/>
      </c>
      <c r="K3620" s="74" t="str">
        <f t="shared" si="169"/>
        <v/>
      </c>
      <c r="L3620" s="58" t="str">
        <f t="shared" si="170"/>
        <v/>
      </c>
    </row>
    <row r="3621" spans="10:12" ht="16.5" customHeight="1" x14ac:dyDescent="0.35">
      <c r="J3621" s="56" t="str">
        <f t="shared" si="168"/>
        <v/>
      </c>
      <c r="K3621" s="74" t="str">
        <f t="shared" si="169"/>
        <v/>
      </c>
      <c r="L3621" s="58" t="str">
        <f t="shared" si="170"/>
        <v/>
      </c>
    </row>
    <row r="3622" spans="10:12" ht="16.5" customHeight="1" x14ac:dyDescent="0.35">
      <c r="J3622" s="56" t="str">
        <f t="shared" si="168"/>
        <v/>
      </c>
      <c r="K3622" s="74" t="str">
        <f t="shared" si="169"/>
        <v/>
      </c>
      <c r="L3622" s="58" t="str">
        <f t="shared" si="170"/>
        <v/>
      </c>
    </row>
    <row r="3623" spans="10:12" ht="16.5" customHeight="1" x14ac:dyDescent="0.35">
      <c r="J3623" s="56" t="str">
        <f t="shared" si="168"/>
        <v/>
      </c>
      <c r="K3623" s="74" t="str">
        <f t="shared" si="169"/>
        <v/>
      </c>
      <c r="L3623" s="58" t="str">
        <f t="shared" si="170"/>
        <v/>
      </c>
    </row>
    <row r="3624" spans="10:12" ht="16.5" customHeight="1" x14ac:dyDescent="0.35">
      <c r="J3624" s="56" t="str">
        <f t="shared" si="168"/>
        <v/>
      </c>
      <c r="K3624" s="74" t="str">
        <f t="shared" si="169"/>
        <v/>
      </c>
      <c r="L3624" s="58" t="str">
        <f t="shared" si="170"/>
        <v/>
      </c>
    </row>
    <row r="3625" spans="10:12" ht="16.5" customHeight="1" x14ac:dyDescent="0.35">
      <c r="J3625" s="56" t="str">
        <f t="shared" si="168"/>
        <v/>
      </c>
      <c r="K3625" s="74" t="str">
        <f t="shared" si="169"/>
        <v/>
      </c>
      <c r="L3625" s="58" t="str">
        <f t="shared" si="170"/>
        <v/>
      </c>
    </row>
    <row r="3626" spans="10:12" ht="16.5" customHeight="1" x14ac:dyDescent="0.35">
      <c r="J3626" s="56" t="str">
        <f t="shared" si="168"/>
        <v/>
      </c>
      <c r="K3626" s="74" t="str">
        <f t="shared" si="169"/>
        <v/>
      </c>
      <c r="L3626" s="58" t="str">
        <f t="shared" si="170"/>
        <v/>
      </c>
    </row>
    <row r="3627" spans="10:12" ht="16.5" customHeight="1" x14ac:dyDescent="0.35">
      <c r="J3627" s="56" t="str">
        <f t="shared" si="168"/>
        <v/>
      </c>
      <c r="K3627" s="74" t="str">
        <f t="shared" si="169"/>
        <v/>
      </c>
      <c r="L3627" s="58" t="str">
        <f t="shared" si="170"/>
        <v/>
      </c>
    </row>
    <row r="3628" spans="10:12" ht="16.5" customHeight="1" x14ac:dyDescent="0.35">
      <c r="J3628" s="56" t="str">
        <f t="shared" si="168"/>
        <v/>
      </c>
      <c r="K3628" s="74" t="str">
        <f t="shared" si="169"/>
        <v/>
      </c>
      <c r="L3628" s="58" t="str">
        <f t="shared" si="170"/>
        <v/>
      </c>
    </row>
    <row r="3629" spans="10:12" ht="16.5" customHeight="1" x14ac:dyDescent="0.35">
      <c r="J3629" s="56" t="str">
        <f t="shared" si="168"/>
        <v/>
      </c>
      <c r="K3629" s="74" t="str">
        <f t="shared" si="169"/>
        <v/>
      </c>
      <c r="L3629" s="58" t="str">
        <f t="shared" si="170"/>
        <v/>
      </c>
    </row>
    <row r="3630" spans="10:12" ht="16.5" customHeight="1" x14ac:dyDescent="0.35">
      <c r="J3630" s="56" t="str">
        <f t="shared" si="168"/>
        <v/>
      </c>
      <c r="K3630" s="74" t="str">
        <f t="shared" si="169"/>
        <v/>
      </c>
      <c r="L3630" s="58" t="str">
        <f t="shared" si="170"/>
        <v/>
      </c>
    </row>
    <row r="3631" spans="10:12" ht="16.5" customHeight="1" x14ac:dyDescent="0.35">
      <c r="J3631" s="56" t="str">
        <f t="shared" si="168"/>
        <v/>
      </c>
      <c r="K3631" s="74" t="str">
        <f t="shared" si="169"/>
        <v/>
      </c>
      <c r="L3631" s="58" t="str">
        <f t="shared" si="170"/>
        <v/>
      </c>
    </row>
    <row r="3632" spans="10:12" ht="16.5" customHeight="1" x14ac:dyDescent="0.35">
      <c r="J3632" s="56" t="str">
        <f t="shared" si="168"/>
        <v/>
      </c>
      <c r="K3632" s="74" t="str">
        <f t="shared" si="169"/>
        <v/>
      </c>
      <c r="L3632" s="58" t="str">
        <f t="shared" si="170"/>
        <v/>
      </c>
    </row>
    <row r="3633" spans="10:12" ht="16.5" customHeight="1" x14ac:dyDescent="0.35">
      <c r="J3633" s="56" t="str">
        <f t="shared" si="168"/>
        <v/>
      </c>
      <c r="K3633" s="74" t="str">
        <f t="shared" si="169"/>
        <v/>
      </c>
      <c r="L3633" s="58" t="str">
        <f t="shared" si="170"/>
        <v/>
      </c>
    </row>
    <row r="3634" spans="10:12" ht="16.5" customHeight="1" x14ac:dyDescent="0.35">
      <c r="J3634" s="56" t="str">
        <f t="shared" si="168"/>
        <v/>
      </c>
      <c r="K3634" s="74" t="str">
        <f t="shared" si="169"/>
        <v/>
      </c>
      <c r="L3634" s="58" t="str">
        <f t="shared" si="170"/>
        <v/>
      </c>
    </row>
    <row r="3635" spans="10:12" ht="16.5" customHeight="1" x14ac:dyDescent="0.35">
      <c r="J3635" s="56" t="str">
        <f t="shared" si="168"/>
        <v/>
      </c>
      <c r="K3635" s="74" t="str">
        <f t="shared" si="169"/>
        <v/>
      </c>
      <c r="L3635" s="58" t="str">
        <f t="shared" si="170"/>
        <v/>
      </c>
    </row>
    <row r="3636" spans="10:12" ht="16.5" customHeight="1" x14ac:dyDescent="0.35">
      <c r="J3636" s="56" t="str">
        <f t="shared" si="168"/>
        <v/>
      </c>
      <c r="K3636" s="74" t="str">
        <f t="shared" si="169"/>
        <v/>
      </c>
      <c r="L3636" s="58" t="str">
        <f t="shared" si="170"/>
        <v/>
      </c>
    </row>
    <row r="3637" spans="10:12" ht="16.5" customHeight="1" x14ac:dyDescent="0.35">
      <c r="J3637" s="56" t="str">
        <f t="shared" si="168"/>
        <v/>
      </c>
      <c r="K3637" s="74" t="str">
        <f t="shared" si="169"/>
        <v/>
      </c>
      <c r="L3637" s="58" t="str">
        <f t="shared" si="170"/>
        <v/>
      </c>
    </row>
    <row r="3638" spans="10:12" ht="16.5" customHeight="1" x14ac:dyDescent="0.35">
      <c r="J3638" s="56" t="str">
        <f t="shared" si="168"/>
        <v/>
      </c>
      <c r="K3638" s="74" t="str">
        <f t="shared" si="169"/>
        <v/>
      </c>
      <c r="L3638" s="58" t="str">
        <f t="shared" si="170"/>
        <v/>
      </c>
    </row>
    <row r="3639" spans="10:12" ht="16.5" customHeight="1" x14ac:dyDescent="0.35">
      <c r="J3639" s="56" t="str">
        <f t="shared" si="168"/>
        <v/>
      </c>
      <c r="K3639" s="74" t="str">
        <f t="shared" si="169"/>
        <v/>
      </c>
      <c r="L3639" s="58" t="str">
        <f t="shared" si="170"/>
        <v/>
      </c>
    </row>
    <row r="3640" spans="10:12" ht="16.5" customHeight="1" x14ac:dyDescent="0.35">
      <c r="J3640" s="56" t="str">
        <f t="shared" si="168"/>
        <v/>
      </c>
      <c r="K3640" s="74" t="str">
        <f t="shared" si="169"/>
        <v/>
      </c>
      <c r="L3640" s="58" t="str">
        <f t="shared" si="170"/>
        <v/>
      </c>
    </row>
    <row r="3641" spans="10:12" ht="16.5" customHeight="1" x14ac:dyDescent="0.35">
      <c r="J3641" s="56" t="str">
        <f t="shared" si="168"/>
        <v/>
      </c>
      <c r="K3641" s="74" t="str">
        <f t="shared" si="169"/>
        <v/>
      </c>
      <c r="L3641" s="58" t="str">
        <f t="shared" si="170"/>
        <v/>
      </c>
    </row>
    <row r="3642" spans="10:12" ht="16.5" customHeight="1" x14ac:dyDescent="0.35">
      <c r="J3642" s="56" t="str">
        <f t="shared" si="168"/>
        <v/>
      </c>
      <c r="K3642" s="74" t="str">
        <f t="shared" si="169"/>
        <v/>
      </c>
      <c r="L3642" s="58" t="str">
        <f t="shared" si="170"/>
        <v/>
      </c>
    </row>
    <row r="3643" spans="10:12" ht="16.5" customHeight="1" x14ac:dyDescent="0.35">
      <c r="J3643" s="56" t="str">
        <f t="shared" si="168"/>
        <v/>
      </c>
      <c r="K3643" s="74" t="str">
        <f t="shared" si="169"/>
        <v/>
      </c>
      <c r="L3643" s="58" t="str">
        <f t="shared" si="170"/>
        <v/>
      </c>
    </row>
    <row r="3644" spans="10:12" ht="16.5" customHeight="1" x14ac:dyDescent="0.35">
      <c r="J3644" s="56" t="str">
        <f t="shared" si="168"/>
        <v/>
      </c>
      <c r="K3644" s="74" t="str">
        <f t="shared" si="169"/>
        <v/>
      </c>
      <c r="L3644" s="58" t="str">
        <f t="shared" si="170"/>
        <v/>
      </c>
    </row>
    <row r="3645" spans="10:12" ht="16.5" customHeight="1" x14ac:dyDescent="0.35">
      <c r="J3645" s="56" t="str">
        <f t="shared" si="168"/>
        <v/>
      </c>
      <c r="K3645" s="74" t="str">
        <f t="shared" si="169"/>
        <v/>
      </c>
      <c r="L3645" s="58" t="str">
        <f t="shared" si="170"/>
        <v/>
      </c>
    </row>
    <row r="3646" spans="10:12" ht="16.5" customHeight="1" x14ac:dyDescent="0.35">
      <c r="J3646" s="56" t="str">
        <f t="shared" si="168"/>
        <v/>
      </c>
      <c r="K3646" s="74" t="str">
        <f t="shared" si="169"/>
        <v/>
      </c>
      <c r="L3646" s="58" t="str">
        <f t="shared" si="170"/>
        <v/>
      </c>
    </row>
    <row r="3647" spans="10:12" ht="16.5" customHeight="1" x14ac:dyDescent="0.35">
      <c r="J3647" s="56" t="str">
        <f t="shared" si="168"/>
        <v/>
      </c>
      <c r="K3647" s="74" t="str">
        <f t="shared" si="169"/>
        <v/>
      </c>
      <c r="L3647" s="58" t="str">
        <f t="shared" si="170"/>
        <v/>
      </c>
    </row>
    <row r="3648" spans="10:12" ht="16.5" customHeight="1" x14ac:dyDescent="0.35">
      <c r="J3648" s="56" t="str">
        <f t="shared" si="168"/>
        <v/>
      </c>
      <c r="K3648" s="74" t="str">
        <f t="shared" si="169"/>
        <v/>
      </c>
      <c r="L3648" s="58" t="str">
        <f t="shared" si="170"/>
        <v/>
      </c>
    </row>
    <row r="3649" spans="10:12" ht="16.5" customHeight="1" x14ac:dyDescent="0.35">
      <c r="J3649" s="56" t="str">
        <f t="shared" si="168"/>
        <v/>
      </c>
      <c r="K3649" s="74" t="str">
        <f t="shared" si="169"/>
        <v/>
      </c>
      <c r="L3649" s="58" t="str">
        <f t="shared" si="170"/>
        <v/>
      </c>
    </row>
    <row r="3650" spans="10:12" ht="16.5" customHeight="1" x14ac:dyDescent="0.35">
      <c r="J3650" s="56" t="str">
        <f t="shared" si="168"/>
        <v/>
      </c>
      <c r="K3650" s="74" t="str">
        <f t="shared" si="169"/>
        <v/>
      </c>
      <c r="L3650" s="58" t="str">
        <f t="shared" si="170"/>
        <v/>
      </c>
    </row>
    <row r="3651" spans="10:12" ht="16.5" customHeight="1" x14ac:dyDescent="0.35">
      <c r="J3651" s="56" t="str">
        <f t="shared" si="168"/>
        <v/>
      </c>
      <c r="K3651" s="74" t="str">
        <f t="shared" si="169"/>
        <v/>
      </c>
      <c r="L3651" s="58" t="str">
        <f t="shared" si="170"/>
        <v/>
      </c>
    </row>
    <row r="3652" spans="10:12" ht="16.5" customHeight="1" x14ac:dyDescent="0.35">
      <c r="J3652" s="56" t="str">
        <f t="shared" si="168"/>
        <v/>
      </c>
      <c r="K3652" s="74" t="str">
        <f t="shared" si="169"/>
        <v/>
      </c>
      <c r="L3652" s="58" t="str">
        <f t="shared" si="170"/>
        <v/>
      </c>
    </row>
    <row r="3653" spans="10:12" ht="16.5" customHeight="1" x14ac:dyDescent="0.35">
      <c r="J3653" s="56" t="str">
        <f t="shared" si="168"/>
        <v/>
      </c>
      <c r="K3653" s="74" t="str">
        <f t="shared" si="169"/>
        <v/>
      </c>
      <c r="L3653" s="58" t="str">
        <f t="shared" si="170"/>
        <v/>
      </c>
    </row>
    <row r="3654" spans="10:12" ht="16.5" customHeight="1" x14ac:dyDescent="0.35">
      <c r="J3654" s="56" t="str">
        <f t="shared" si="168"/>
        <v/>
      </c>
      <c r="K3654" s="74" t="str">
        <f t="shared" si="169"/>
        <v/>
      </c>
      <c r="L3654" s="58" t="str">
        <f t="shared" si="170"/>
        <v/>
      </c>
    </row>
    <row r="3655" spans="10:12" ht="16.5" customHeight="1" x14ac:dyDescent="0.35">
      <c r="J3655" s="56" t="str">
        <f t="shared" si="168"/>
        <v/>
      </c>
      <c r="K3655" s="74" t="str">
        <f t="shared" si="169"/>
        <v/>
      </c>
      <c r="L3655" s="58" t="str">
        <f t="shared" si="170"/>
        <v/>
      </c>
    </row>
    <row r="3656" spans="10:12" ht="16.5" customHeight="1" x14ac:dyDescent="0.35">
      <c r="J3656" s="56" t="str">
        <f t="shared" si="168"/>
        <v/>
      </c>
      <c r="K3656" s="74" t="str">
        <f t="shared" si="169"/>
        <v/>
      </c>
      <c r="L3656" s="58" t="str">
        <f t="shared" si="170"/>
        <v/>
      </c>
    </row>
    <row r="3657" spans="10:12" ht="16.5" customHeight="1" x14ac:dyDescent="0.35">
      <c r="J3657" s="56" t="str">
        <f t="shared" ref="J3657:J3720" si="171">IF(A3657="","",A$5-A3657)</f>
        <v/>
      </c>
      <c r="K3657" s="74" t="str">
        <f t="shared" ref="K3657:K3720" si="172">IF(J3657="","",IF(J3657&lt;4,"0-3 Days",IF(J3657&lt;31,"4-30 Days",IF(J3657&lt;61,"31-60 Days",IF(J3657&lt;=90,"61-90 Days",IF(J3657&gt;90,"Above 90 Days","0"))))))</f>
        <v/>
      </c>
      <c r="L3657" s="58" t="str">
        <f t="shared" ref="L3657:L3720" si="173">IF(C3657="","",IF(C3657&gt;0,IF(J3657&lt;30,"Normal",IF(J3657&lt;60,"Especially Mentioned",IF(J3657&lt;90,"Substandard",IF(J3657&lt;=180,"Doubtful",IF(J3657&gt;180,"Loss","0"))))),"Not Applicable"))</f>
        <v/>
      </c>
    </row>
    <row r="3658" spans="10:12" ht="16.5" customHeight="1" x14ac:dyDescent="0.35">
      <c r="J3658" s="56" t="str">
        <f t="shared" si="171"/>
        <v/>
      </c>
      <c r="K3658" s="74" t="str">
        <f t="shared" si="172"/>
        <v/>
      </c>
      <c r="L3658" s="58" t="str">
        <f t="shared" si="173"/>
        <v/>
      </c>
    </row>
    <row r="3659" spans="10:12" ht="16.5" customHeight="1" x14ac:dyDescent="0.35">
      <c r="J3659" s="56" t="str">
        <f t="shared" si="171"/>
        <v/>
      </c>
      <c r="K3659" s="74" t="str">
        <f t="shared" si="172"/>
        <v/>
      </c>
      <c r="L3659" s="58" t="str">
        <f t="shared" si="173"/>
        <v/>
      </c>
    </row>
    <row r="3660" spans="10:12" ht="16.5" customHeight="1" x14ac:dyDescent="0.35">
      <c r="J3660" s="56" t="str">
        <f t="shared" si="171"/>
        <v/>
      </c>
      <c r="K3660" s="74" t="str">
        <f t="shared" si="172"/>
        <v/>
      </c>
      <c r="L3660" s="58" t="str">
        <f t="shared" si="173"/>
        <v/>
      </c>
    </row>
    <row r="3661" spans="10:12" ht="16.5" customHeight="1" x14ac:dyDescent="0.35">
      <c r="J3661" s="56" t="str">
        <f t="shared" si="171"/>
        <v/>
      </c>
      <c r="K3661" s="74" t="str">
        <f t="shared" si="172"/>
        <v/>
      </c>
      <c r="L3661" s="58" t="str">
        <f t="shared" si="173"/>
        <v/>
      </c>
    </row>
    <row r="3662" spans="10:12" ht="16.5" customHeight="1" x14ac:dyDescent="0.35">
      <c r="J3662" s="56" t="str">
        <f t="shared" si="171"/>
        <v/>
      </c>
      <c r="K3662" s="74" t="str">
        <f t="shared" si="172"/>
        <v/>
      </c>
      <c r="L3662" s="58" t="str">
        <f t="shared" si="173"/>
        <v/>
      </c>
    </row>
    <row r="3663" spans="10:12" ht="16.5" customHeight="1" x14ac:dyDescent="0.35">
      <c r="J3663" s="56" t="str">
        <f t="shared" si="171"/>
        <v/>
      </c>
      <c r="K3663" s="74" t="str">
        <f t="shared" si="172"/>
        <v/>
      </c>
      <c r="L3663" s="58" t="str">
        <f t="shared" si="173"/>
        <v/>
      </c>
    </row>
    <row r="3664" spans="10:12" ht="16.5" customHeight="1" x14ac:dyDescent="0.35">
      <c r="J3664" s="56" t="str">
        <f t="shared" si="171"/>
        <v/>
      </c>
      <c r="K3664" s="74" t="str">
        <f t="shared" si="172"/>
        <v/>
      </c>
      <c r="L3664" s="58" t="str">
        <f t="shared" si="173"/>
        <v/>
      </c>
    </row>
    <row r="3665" spans="10:12" ht="16.5" customHeight="1" x14ac:dyDescent="0.35">
      <c r="J3665" s="56" t="str">
        <f t="shared" si="171"/>
        <v/>
      </c>
      <c r="K3665" s="74" t="str">
        <f t="shared" si="172"/>
        <v/>
      </c>
      <c r="L3665" s="58" t="str">
        <f t="shared" si="173"/>
        <v/>
      </c>
    </row>
    <row r="3666" spans="10:12" ht="16.5" customHeight="1" x14ac:dyDescent="0.35">
      <c r="J3666" s="56" t="str">
        <f t="shared" si="171"/>
        <v/>
      </c>
      <c r="K3666" s="74" t="str">
        <f t="shared" si="172"/>
        <v/>
      </c>
      <c r="L3666" s="58" t="str">
        <f t="shared" si="173"/>
        <v/>
      </c>
    </row>
    <row r="3667" spans="10:12" ht="16.5" customHeight="1" x14ac:dyDescent="0.35">
      <c r="J3667" s="56" t="str">
        <f t="shared" si="171"/>
        <v/>
      </c>
      <c r="K3667" s="74" t="str">
        <f t="shared" si="172"/>
        <v/>
      </c>
      <c r="L3667" s="58" t="str">
        <f t="shared" si="173"/>
        <v/>
      </c>
    </row>
    <row r="3668" spans="10:12" ht="16.5" customHeight="1" x14ac:dyDescent="0.35">
      <c r="J3668" s="56" t="str">
        <f t="shared" si="171"/>
        <v/>
      </c>
      <c r="K3668" s="74" t="str">
        <f t="shared" si="172"/>
        <v/>
      </c>
      <c r="L3668" s="58" t="str">
        <f t="shared" si="173"/>
        <v/>
      </c>
    </row>
    <row r="3669" spans="10:12" ht="16.5" customHeight="1" x14ac:dyDescent="0.35">
      <c r="J3669" s="56" t="str">
        <f t="shared" si="171"/>
        <v/>
      </c>
      <c r="K3669" s="74" t="str">
        <f t="shared" si="172"/>
        <v/>
      </c>
      <c r="L3669" s="58" t="str">
        <f t="shared" si="173"/>
        <v/>
      </c>
    </row>
    <row r="3670" spans="10:12" ht="16.5" customHeight="1" x14ac:dyDescent="0.35">
      <c r="J3670" s="56" t="str">
        <f t="shared" si="171"/>
        <v/>
      </c>
      <c r="K3670" s="74" t="str">
        <f t="shared" si="172"/>
        <v/>
      </c>
      <c r="L3670" s="58" t="str">
        <f t="shared" si="173"/>
        <v/>
      </c>
    </row>
    <row r="3671" spans="10:12" ht="16.5" customHeight="1" x14ac:dyDescent="0.35">
      <c r="J3671" s="56" t="str">
        <f t="shared" si="171"/>
        <v/>
      </c>
      <c r="K3671" s="74" t="str">
        <f t="shared" si="172"/>
        <v/>
      </c>
      <c r="L3671" s="58" t="str">
        <f t="shared" si="173"/>
        <v/>
      </c>
    </row>
    <row r="3672" spans="10:12" ht="16.5" customHeight="1" x14ac:dyDescent="0.35">
      <c r="J3672" s="56" t="str">
        <f t="shared" si="171"/>
        <v/>
      </c>
      <c r="K3672" s="74" t="str">
        <f t="shared" si="172"/>
        <v/>
      </c>
      <c r="L3672" s="58" t="str">
        <f t="shared" si="173"/>
        <v/>
      </c>
    </row>
    <row r="3673" spans="10:12" ht="16.5" customHeight="1" x14ac:dyDescent="0.35">
      <c r="J3673" s="56" t="str">
        <f t="shared" si="171"/>
        <v/>
      </c>
      <c r="K3673" s="74" t="str">
        <f t="shared" si="172"/>
        <v/>
      </c>
      <c r="L3673" s="58" t="str">
        <f t="shared" si="173"/>
        <v/>
      </c>
    </row>
    <row r="3674" spans="10:12" ht="16.5" customHeight="1" x14ac:dyDescent="0.35">
      <c r="J3674" s="56" t="str">
        <f t="shared" si="171"/>
        <v/>
      </c>
      <c r="K3674" s="74" t="str">
        <f t="shared" si="172"/>
        <v/>
      </c>
      <c r="L3674" s="58" t="str">
        <f t="shared" si="173"/>
        <v/>
      </c>
    </row>
    <row r="3675" spans="10:12" ht="16.5" customHeight="1" x14ac:dyDescent="0.35">
      <c r="J3675" s="56" t="str">
        <f t="shared" si="171"/>
        <v/>
      </c>
      <c r="K3675" s="74" t="str">
        <f t="shared" si="172"/>
        <v/>
      </c>
      <c r="L3675" s="58" t="str">
        <f t="shared" si="173"/>
        <v/>
      </c>
    </row>
    <row r="3676" spans="10:12" ht="16.5" customHeight="1" x14ac:dyDescent="0.35">
      <c r="J3676" s="56" t="str">
        <f t="shared" si="171"/>
        <v/>
      </c>
      <c r="K3676" s="74" t="str">
        <f t="shared" si="172"/>
        <v/>
      </c>
      <c r="L3676" s="58" t="str">
        <f t="shared" si="173"/>
        <v/>
      </c>
    </row>
    <row r="3677" spans="10:12" ht="16.5" customHeight="1" x14ac:dyDescent="0.35">
      <c r="J3677" s="56" t="str">
        <f t="shared" si="171"/>
        <v/>
      </c>
      <c r="K3677" s="74" t="str">
        <f t="shared" si="172"/>
        <v/>
      </c>
      <c r="L3677" s="58" t="str">
        <f t="shared" si="173"/>
        <v/>
      </c>
    </row>
    <row r="3678" spans="10:12" ht="16.5" customHeight="1" x14ac:dyDescent="0.35">
      <c r="J3678" s="56" t="str">
        <f t="shared" si="171"/>
        <v/>
      </c>
      <c r="K3678" s="74" t="str">
        <f t="shared" si="172"/>
        <v/>
      </c>
      <c r="L3678" s="58" t="str">
        <f t="shared" si="173"/>
        <v/>
      </c>
    </row>
    <row r="3679" spans="10:12" ht="16.5" customHeight="1" x14ac:dyDescent="0.35">
      <c r="J3679" s="56" t="str">
        <f t="shared" si="171"/>
        <v/>
      </c>
      <c r="K3679" s="74" t="str">
        <f t="shared" si="172"/>
        <v/>
      </c>
      <c r="L3679" s="58" t="str">
        <f t="shared" si="173"/>
        <v/>
      </c>
    </row>
    <row r="3680" spans="10:12" ht="16.5" customHeight="1" x14ac:dyDescent="0.35">
      <c r="J3680" s="56" t="str">
        <f t="shared" si="171"/>
        <v/>
      </c>
      <c r="K3680" s="74" t="str">
        <f t="shared" si="172"/>
        <v/>
      </c>
      <c r="L3680" s="58" t="str">
        <f t="shared" si="173"/>
        <v/>
      </c>
    </row>
    <row r="3681" spans="10:12" ht="16.5" customHeight="1" x14ac:dyDescent="0.35">
      <c r="J3681" s="56" t="str">
        <f t="shared" si="171"/>
        <v/>
      </c>
      <c r="K3681" s="74" t="str">
        <f t="shared" si="172"/>
        <v/>
      </c>
      <c r="L3681" s="58" t="str">
        <f t="shared" si="173"/>
        <v/>
      </c>
    </row>
    <row r="3682" spans="10:12" ht="16.5" customHeight="1" x14ac:dyDescent="0.35">
      <c r="J3682" s="56" t="str">
        <f t="shared" si="171"/>
        <v/>
      </c>
      <c r="K3682" s="74" t="str">
        <f t="shared" si="172"/>
        <v/>
      </c>
      <c r="L3682" s="58" t="str">
        <f t="shared" si="173"/>
        <v/>
      </c>
    </row>
    <row r="3683" spans="10:12" ht="16.5" customHeight="1" x14ac:dyDescent="0.35">
      <c r="J3683" s="56" t="str">
        <f t="shared" si="171"/>
        <v/>
      </c>
      <c r="K3683" s="74" t="str">
        <f t="shared" si="172"/>
        <v/>
      </c>
      <c r="L3683" s="58" t="str">
        <f t="shared" si="173"/>
        <v/>
      </c>
    </row>
    <row r="3684" spans="10:12" ht="16.5" customHeight="1" x14ac:dyDescent="0.35">
      <c r="J3684" s="56" t="str">
        <f t="shared" si="171"/>
        <v/>
      </c>
      <c r="K3684" s="74" t="str">
        <f t="shared" si="172"/>
        <v/>
      </c>
      <c r="L3684" s="58" t="str">
        <f t="shared" si="173"/>
        <v/>
      </c>
    </row>
    <row r="3685" spans="10:12" ht="16.5" customHeight="1" x14ac:dyDescent="0.35">
      <c r="J3685" s="56" t="str">
        <f t="shared" si="171"/>
        <v/>
      </c>
      <c r="K3685" s="74" t="str">
        <f t="shared" si="172"/>
        <v/>
      </c>
      <c r="L3685" s="58" t="str">
        <f t="shared" si="173"/>
        <v/>
      </c>
    </row>
    <row r="3686" spans="10:12" ht="16.5" customHeight="1" x14ac:dyDescent="0.35">
      <c r="J3686" s="56" t="str">
        <f t="shared" si="171"/>
        <v/>
      </c>
      <c r="K3686" s="74" t="str">
        <f t="shared" si="172"/>
        <v/>
      </c>
      <c r="L3686" s="58" t="str">
        <f t="shared" si="173"/>
        <v/>
      </c>
    </row>
    <row r="3687" spans="10:12" ht="16.5" customHeight="1" x14ac:dyDescent="0.35">
      <c r="J3687" s="56" t="str">
        <f t="shared" si="171"/>
        <v/>
      </c>
      <c r="K3687" s="74" t="str">
        <f t="shared" si="172"/>
        <v/>
      </c>
      <c r="L3687" s="58" t="str">
        <f t="shared" si="173"/>
        <v/>
      </c>
    </row>
    <row r="3688" spans="10:12" ht="16.5" customHeight="1" x14ac:dyDescent="0.35">
      <c r="J3688" s="56" t="str">
        <f t="shared" si="171"/>
        <v/>
      </c>
      <c r="K3688" s="74" t="str">
        <f t="shared" si="172"/>
        <v/>
      </c>
      <c r="L3688" s="58" t="str">
        <f t="shared" si="173"/>
        <v/>
      </c>
    </row>
    <row r="3689" spans="10:12" ht="16.5" customHeight="1" x14ac:dyDescent="0.35">
      <c r="J3689" s="56" t="str">
        <f t="shared" si="171"/>
        <v/>
      </c>
      <c r="K3689" s="74" t="str">
        <f t="shared" si="172"/>
        <v/>
      </c>
      <c r="L3689" s="58" t="str">
        <f t="shared" si="173"/>
        <v/>
      </c>
    </row>
    <row r="3690" spans="10:12" ht="16.5" customHeight="1" x14ac:dyDescent="0.35">
      <c r="J3690" s="56" t="str">
        <f t="shared" si="171"/>
        <v/>
      </c>
      <c r="K3690" s="74" t="str">
        <f t="shared" si="172"/>
        <v/>
      </c>
      <c r="L3690" s="58" t="str">
        <f t="shared" si="173"/>
        <v/>
      </c>
    </row>
    <row r="3691" spans="10:12" ht="16.5" customHeight="1" x14ac:dyDescent="0.35">
      <c r="J3691" s="56" t="str">
        <f t="shared" si="171"/>
        <v/>
      </c>
      <c r="K3691" s="74" t="str">
        <f t="shared" si="172"/>
        <v/>
      </c>
      <c r="L3691" s="58" t="str">
        <f t="shared" si="173"/>
        <v/>
      </c>
    </row>
    <row r="3692" spans="10:12" ht="16.5" customHeight="1" x14ac:dyDescent="0.35">
      <c r="J3692" s="56" t="str">
        <f t="shared" si="171"/>
        <v/>
      </c>
      <c r="K3692" s="74" t="str">
        <f t="shared" si="172"/>
        <v/>
      </c>
      <c r="L3692" s="58" t="str">
        <f t="shared" si="173"/>
        <v/>
      </c>
    </row>
    <row r="3693" spans="10:12" ht="16.5" customHeight="1" x14ac:dyDescent="0.35">
      <c r="J3693" s="56" t="str">
        <f t="shared" si="171"/>
        <v/>
      </c>
      <c r="K3693" s="74" t="str">
        <f t="shared" si="172"/>
        <v/>
      </c>
      <c r="L3693" s="58" t="str">
        <f t="shared" si="173"/>
        <v/>
      </c>
    </row>
    <row r="3694" spans="10:12" ht="16.5" customHeight="1" x14ac:dyDescent="0.35">
      <c r="J3694" s="56" t="str">
        <f t="shared" si="171"/>
        <v/>
      </c>
      <c r="K3694" s="74" t="str">
        <f t="shared" si="172"/>
        <v/>
      </c>
      <c r="L3694" s="58" t="str">
        <f t="shared" si="173"/>
        <v/>
      </c>
    </row>
    <row r="3695" spans="10:12" ht="16.5" customHeight="1" x14ac:dyDescent="0.35">
      <c r="J3695" s="56" t="str">
        <f t="shared" si="171"/>
        <v/>
      </c>
      <c r="K3695" s="74" t="str">
        <f t="shared" si="172"/>
        <v/>
      </c>
      <c r="L3695" s="58" t="str">
        <f t="shared" si="173"/>
        <v/>
      </c>
    </row>
    <row r="3696" spans="10:12" ht="16.5" customHeight="1" x14ac:dyDescent="0.35">
      <c r="J3696" s="56" t="str">
        <f t="shared" si="171"/>
        <v/>
      </c>
      <c r="K3696" s="74" t="str">
        <f t="shared" si="172"/>
        <v/>
      </c>
      <c r="L3696" s="58" t="str">
        <f t="shared" si="173"/>
        <v/>
      </c>
    </row>
    <row r="3697" spans="10:12" ht="16.5" customHeight="1" x14ac:dyDescent="0.35">
      <c r="J3697" s="56" t="str">
        <f t="shared" si="171"/>
        <v/>
      </c>
      <c r="K3697" s="74" t="str">
        <f t="shared" si="172"/>
        <v/>
      </c>
      <c r="L3697" s="58" t="str">
        <f t="shared" si="173"/>
        <v/>
      </c>
    </row>
    <row r="3698" spans="10:12" ht="16.5" customHeight="1" x14ac:dyDescent="0.35">
      <c r="J3698" s="56" t="str">
        <f t="shared" si="171"/>
        <v/>
      </c>
      <c r="K3698" s="74" t="str">
        <f t="shared" si="172"/>
        <v/>
      </c>
      <c r="L3698" s="58" t="str">
        <f t="shared" si="173"/>
        <v/>
      </c>
    </row>
    <row r="3699" spans="10:12" ht="16.5" customHeight="1" x14ac:dyDescent="0.35">
      <c r="J3699" s="56" t="str">
        <f t="shared" si="171"/>
        <v/>
      </c>
      <c r="K3699" s="74" t="str">
        <f t="shared" si="172"/>
        <v/>
      </c>
      <c r="L3699" s="58" t="str">
        <f t="shared" si="173"/>
        <v/>
      </c>
    </row>
    <row r="3700" spans="10:12" ht="16.5" customHeight="1" x14ac:dyDescent="0.35">
      <c r="J3700" s="56" t="str">
        <f t="shared" si="171"/>
        <v/>
      </c>
      <c r="K3700" s="74" t="str">
        <f t="shared" si="172"/>
        <v/>
      </c>
      <c r="L3700" s="58" t="str">
        <f t="shared" si="173"/>
        <v/>
      </c>
    </row>
    <row r="3701" spans="10:12" ht="16.5" customHeight="1" x14ac:dyDescent="0.35">
      <c r="J3701" s="56" t="str">
        <f t="shared" si="171"/>
        <v/>
      </c>
      <c r="K3701" s="74" t="str">
        <f t="shared" si="172"/>
        <v/>
      </c>
      <c r="L3701" s="58" t="str">
        <f t="shared" si="173"/>
        <v/>
      </c>
    </row>
    <row r="3702" spans="10:12" ht="16.5" customHeight="1" x14ac:dyDescent="0.35">
      <c r="J3702" s="56" t="str">
        <f t="shared" si="171"/>
        <v/>
      </c>
      <c r="K3702" s="74" t="str">
        <f t="shared" si="172"/>
        <v/>
      </c>
      <c r="L3702" s="58" t="str">
        <f t="shared" si="173"/>
        <v/>
      </c>
    </row>
    <row r="3703" spans="10:12" ht="16.5" customHeight="1" x14ac:dyDescent="0.35">
      <c r="J3703" s="56" t="str">
        <f t="shared" si="171"/>
        <v/>
      </c>
      <c r="K3703" s="74" t="str">
        <f t="shared" si="172"/>
        <v/>
      </c>
      <c r="L3703" s="58" t="str">
        <f t="shared" si="173"/>
        <v/>
      </c>
    </row>
    <row r="3704" spans="10:12" ht="16.5" customHeight="1" x14ac:dyDescent="0.35">
      <c r="J3704" s="56" t="str">
        <f t="shared" si="171"/>
        <v/>
      </c>
      <c r="K3704" s="74" t="str">
        <f t="shared" si="172"/>
        <v/>
      </c>
      <c r="L3704" s="58" t="str">
        <f t="shared" si="173"/>
        <v/>
      </c>
    </row>
    <row r="3705" spans="10:12" ht="16.5" customHeight="1" x14ac:dyDescent="0.35">
      <c r="J3705" s="56" t="str">
        <f t="shared" si="171"/>
        <v/>
      </c>
      <c r="K3705" s="74" t="str">
        <f t="shared" si="172"/>
        <v/>
      </c>
      <c r="L3705" s="58" t="str">
        <f t="shared" si="173"/>
        <v/>
      </c>
    </row>
    <row r="3706" spans="10:12" ht="16.5" customHeight="1" x14ac:dyDescent="0.35">
      <c r="J3706" s="56" t="str">
        <f t="shared" si="171"/>
        <v/>
      </c>
      <c r="K3706" s="74" t="str">
        <f t="shared" si="172"/>
        <v/>
      </c>
      <c r="L3706" s="58" t="str">
        <f t="shared" si="173"/>
        <v/>
      </c>
    </row>
    <row r="3707" spans="10:12" ht="16.5" customHeight="1" x14ac:dyDescent="0.35">
      <c r="J3707" s="56" t="str">
        <f t="shared" si="171"/>
        <v/>
      </c>
      <c r="K3707" s="74" t="str">
        <f t="shared" si="172"/>
        <v/>
      </c>
      <c r="L3707" s="58" t="str">
        <f t="shared" si="173"/>
        <v/>
      </c>
    </row>
    <row r="3708" spans="10:12" ht="16.5" customHeight="1" x14ac:dyDescent="0.35">
      <c r="J3708" s="56" t="str">
        <f t="shared" si="171"/>
        <v/>
      </c>
      <c r="K3708" s="74" t="str">
        <f t="shared" si="172"/>
        <v/>
      </c>
      <c r="L3708" s="58" t="str">
        <f t="shared" si="173"/>
        <v/>
      </c>
    </row>
    <row r="3709" spans="10:12" ht="16.5" customHeight="1" x14ac:dyDescent="0.35">
      <c r="J3709" s="56" t="str">
        <f t="shared" si="171"/>
        <v/>
      </c>
      <c r="K3709" s="74" t="str">
        <f t="shared" si="172"/>
        <v/>
      </c>
      <c r="L3709" s="58" t="str">
        <f t="shared" si="173"/>
        <v/>
      </c>
    </row>
    <row r="3710" spans="10:12" ht="16.5" customHeight="1" x14ac:dyDescent="0.35">
      <c r="J3710" s="56" t="str">
        <f t="shared" si="171"/>
        <v/>
      </c>
      <c r="K3710" s="74" t="str">
        <f t="shared" si="172"/>
        <v/>
      </c>
      <c r="L3710" s="58" t="str">
        <f t="shared" si="173"/>
        <v/>
      </c>
    </row>
    <row r="3711" spans="10:12" ht="16.5" customHeight="1" x14ac:dyDescent="0.35">
      <c r="J3711" s="56" t="str">
        <f t="shared" si="171"/>
        <v/>
      </c>
      <c r="K3711" s="74" t="str">
        <f t="shared" si="172"/>
        <v/>
      </c>
      <c r="L3711" s="58" t="str">
        <f t="shared" si="173"/>
        <v/>
      </c>
    </row>
    <row r="3712" spans="10:12" ht="16.5" customHeight="1" x14ac:dyDescent="0.35">
      <c r="J3712" s="56" t="str">
        <f t="shared" si="171"/>
        <v/>
      </c>
      <c r="K3712" s="74" t="str">
        <f t="shared" si="172"/>
        <v/>
      </c>
      <c r="L3712" s="58" t="str">
        <f t="shared" si="173"/>
        <v/>
      </c>
    </row>
    <row r="3713" spans="10:12" ht="16.5" customHeight="1" x14ac:dyDescent="0.35">
      <c r="J3713" s="56" t="str">
        <f t="shared" si="171"/>
        <v/>
      </c>
      <c r="K3713" s="74" t="str">
        <f t="shared" si="172"/>
        <v/>
      </c>
      <c r="L3713" s="58" t="str">
        <f t="shared" si="173"/>
        <v/>
      </c>
    </row>
    <row r="3714" spans="10:12" ht="16.5" customHeight="1" x14ac:dyDescent="0.35">
      <c r="J3714" s="56" t="str">
        <f t="shared" si="171"/>
        <v/>
      </c>
      <c r="K3714" s="74" t="str">
        <f t="shared" si="172"/>
        <v/>
      </c>
      <c r="L3714" s="58" t="str">
        <f t="shared" si="173"/>
        <v/>
      </c>
    </row>
    <row r="3715" spans="10:12" ht="16.5" customHeight="1" x14ac:dyDescent="0.35">
      <c r="J3715" s="56" t="str">
        <f t="shared" si="171"/>
        <v/>
      </c>
      <c r="K3715" s="74" t="str">
        <f t="shared" si="172"/>
        <v/>
      </c>
      <c r="L3715" s="58" t="str">
        <f t="shared" si="173"/>
        <v/>
      </c>
    </row>
    <row r="3716" spans="10:12" ht="16.5" customHeight="1" x14ac:dyDescent="0.35">
      <c r="J3716" s="56" t="str">
        <f t="shared" si="171"/>
        <v/>
      </c>
      <c r="K3716" s="74" t="str">
        <f t="shared" si="172"/>
        <v/>
      </c>
      <c r="L3716" s="58" t="str">
        <f t="shared" si="173"/>
        <v/>
      </c>
    </row>
    <row r="3717" spans="10:12" ht="16.5" customHeight="1" x14ac:dyDescent="0.35">
      <c r="J3717" s="56" t="str">
        <f t="shared" si="171"/>
        <v/>
      </c>
      <c r="K3717" s="74" t="str">
        <f t="shared" si="172"/>
        <v/>
      </c>
      <c r="L3717" s="58" t="str">
        <f t="shared" si="173"/>
        <v/>
      </c>
    </row>
    <row r="3718" spans="10:12" ht="16.5" customHeight="1" x14ac:dyDescent="0.35">
      <c r="J3718" s="56" t="str">
        <f t="shared" si="171"/>
        <v/>
      </c>
      <c r="K3718" s="74" t="str">
        <f t="shared" si="172"/>
        <v/>
      </c>
      <c r="L3718" s="58" t="str">
        <f t="shared" si="173"/>
        <v/>
      </c>
    </row>
    <row r="3719" spans="10:12" ht="16.5" customHeight="1" x14ac:dyDescent="0.35">
      <c r="J3719" s="56" t="str">
        <f t="shared" si="171"/>
        <v/>
      </c>
      <c r="K3719" s="74" t="str">
        <f t="shared" si="172"/>
        <v/>
      </c>
      <c r="L3719" s="58" t="str">
        <f t="shared" si="173"/>
        <v/>
      </c>
    </row>
    <row r="3720" spans="10:12" ht="16.5" customHeight="1" x14ac:dyDescent="0.35">
      <c r="J3720" s="56" t="str">
        <f t="shared" si="171"/>
        <v/>
      </c>
      <c r="K3720" s="74" t="str">
        <f t="shared" si="172"/>
        <v/>
      </c>
      <c r="L3720" s="58" t="str">
        <f t="shared" si="173"/>
        <v/>
      </c>
    </row>
    <row r="3721" spans="10:12" ht="16.5" customHeight="1" x14ac:dyDescent="0.35">
      <c r="J3721" s="56" t="str">
        <f t="shared" ref="J3721:J3784" si="174">IF(A3721="","",A$5-A3721)</f>
        <v/>
      </c>
      <c r="K3721" s="74" t="str">
        <f t="shared" ref="K3721:K3784" si="175">IF(J3721="","",IF(J3721&lt;4,"0-3 Days",IF(J3721&lt;31,"4-30 Days",IF(J3721&lt;61,"31-60 Days",IF(J3721&lt;=90,"61-90 Days",IF(J3721&gt;90,"Above 90 Days","0"))))))</f>
        <v/>
      </c>
      <c r="L3721" s="58" t="str">
        <f t="shared" ref="L3721:L3784" si="176">IF(C3721="","",IF(C3721&gt;0,IF(J3721&lt;30,"Normal",IF(J3721&lt;60,"Especially Mentioned",IF(J3721&lt;90,"Substandard",IF(J3721&lt;=180,"Doubtful",IF(J3721&gt;180,"Loss","0"))))),"Not Applicable"))</f>
        <v/>
      </c>
    </row>
    <row r="3722" spans="10:12" ht="16.5" customHeight="1" x14ac:dyDescent="0.35">
      <c r="J3722" s="56" t="str">
        <f t="shared" si="174"/>
        <v/>
      </c>
      <c r="K3722" s="74" t="str">
        <f t="shared" si="175"/>
        <v/>
      </c>
      <c r="L3722" s="58" t="str">
        <f t="shared" si="176"/>
        <v/>
      </c>
    </row>
    <row r="3723" spans="10:12" ht="16.5" customHeight="1" x14ac:dyDescent="0.35">
      <c r="J3723" s="56" t="str">
        <f t="shared" si="174"/>
        <v/>
      </c>
      <c r="K3723" s="74" t="str">
        <f t="shared" si="175"/>
        <v/>
      </c>
      <c r="L3723" s="58" t="str">
        <f t="shared" si="176"/>
        <v/>
      </c>
    </row>
    <row r="3724" spans="10:12" ht="16.5" customHeight="1" x14ac:dyDescent="0.35">
      <c r="J3724" s="56" t="str">
        <f t="shared" si="174"/>
        <v/>
      </c>
      <c r="K3724" s="74" t="str">
        <f t="shared" si="175"/>
        <v/>
      </c>
      <c r="L3724" s="58" t="str">
        <f t="shared" si="176"/>
        <v/>
      </c>
    </row>
    <row r="3725" spans="10:12" ht="16.5" customHeight="1" x14ac:dyDescent="0.35">
      <c r="J3725" s="56" t="str">
        <f t="shared" si="174"/>
        <v/>
      </c>
      <c r="K3725" s="74" t="str">
        <f t="shared" si="175"/>
        <v/>
      </c>
      <c r="L3725" s="58" t="str">
        <f t="shared" si="176"/>
        <v/>
      </c>
    </row>
    <row r="3726" spans="10:12" ht="16.5" customHeight="1" x14ac:dyDescent="0.35">
      <c r="J3726" s="56" t="str">
        <f t="shared" si="174"/>
        <v/>
      </c>
      <c r="K3726" s="74" t="str">
        <f t="shared" si="175"/>
        <v/>
      </c>
      <c r="L3726" s="58" t="str">
        <f t="shared" si="176"/>
        <v/>
      </c>
    </row>
    <row r="3727" spans="10:12" ht="16.5" customHeight="1" x14ac:dyDescent="0.35">
      <c r="J3727" s="56" t="str">
        <f t="shared" si="174"/>
        <v/>
      </c>
      <c r="K3727" s="74" t="str">
        <f t="shared" si="175"/>
        <v/>
      </c>
      <c r="L3727" s="58" t="str">
        <f t="shared" si="176"/>
        <v/>
      </c>
    </row>
    <row r="3728" spans="10:12" ht="16.5" customHeight="1" x14ac:dyDescent="0.35">
      <c r="J3728" s="56" t="str">
        <f t="shared" si="174"/>
        <v/>
      </c>
      <c r="K3728" s="74" t="str">
        <f t="shared" si="175"/>
        <v/>
      </c>
      <c r="L3728" s="58" t="str">
        <f t="shared" si="176"/>
        <v/>
      </c>
    </row>
    <row r="3729" spans="10:12" ht="16.5" customHeight="1" x14ac:dyDescent="0.35">
      <c r="J3729" s="56" t="str">
        <f t="shared" si="174"/>
        <v/>
      </c>
      <c r="K3729" s="74" t="str">
        <f t="shared" si="175"/>
        <v/>
      </c>
      <c r="L3729" s="58" t="str">
        <f t="shared" si="176"/>
        <v/>
      </c>
    </row>
    <row r="3730" spans="10:12" ht="16.5" customHeight="1" x14ac:dyDescent="0.35">
      <c r="J3730" s="56" t="str">
        <f t="shared" si="174"/>
        <v/>
      </c>
      <c r="K3730" s="74" t="str">
        <f t="shared" si="175"/>
        <v/>
      </c>
      <c r="L3730" s="58" t="str">
        <f t="shared" si="176"/>
        <v/>
      </c>
    </row>
    <row r="3731" spans="10:12" ht="16.5" customHeight="1" x14ac:dyDescent="0.35">
      <c r="J3731" s="56" t="str">
        <f t="shared" si="174"/>
        <v/>
      </c>
      <c r="K3731" s="74" t="str">
        <f t="shared" si="175"/>
        <v/>
      </c>
      <c r="L3731" s="58" t="str">
        <f t="shared" si="176"/>
        <v/>
      </c>
    </row>
    <row r="3732" spans="10:12" ht="16.5" customHeight="1" x14ac:dyDescent="0.35">
      <c r="J3732" s="56" t="str">
        <f t="shared" si="174"/>
        <v/>
      </c>
      <c r="K3732" s="74" t="str">
        <f t="shared" si="175"/>
        <v/>
      </c>
      <c r="L3732" s="58" t="str">
        <f t="shared" si="176"/>
        <v/>
      </c>
    </row>
    <row r="3733" spans="10:12" ht="16.5" customHeight="1" x14ac:dyDescent="0.35">
      <c r="J3733" s="56" t="str">
        <f t="shared" si="174"/>
        <v/>
      </c>
      <c r="K3733" s="74" t="str">
        <f t="shared" si="175"/>
        <v/>
      </c>
      <c r="L3733" s="58" t="str">
        <f t="shared" si="176"/>
        <v/>
      </c>
    </row>
    <row r="3734" spans="10:12" ht="16.5" customHeight="1" x14ac:dyDescent="0.35">
      <c r="J3734" s="56" t="str">
        <f t="shared" si="174"/>
        <v/>
      </c>
      <c r="K3734" s="74" t="str">
        <f t="shared" si="175"/>
        <v/>
      </c>
      <c r="L3734" s="58" t="str">
        <f t="shared" si="176"/>
        <v/>
      </c>
    </row>
    <row r="3735" spans="10:12" ht="16.5" customHeight="1" x14ac:dyDescent="0.35">
      <c r="J3735" s="56" t="str">
        <f t="shared" si="174"/>
        <v/>
      </c>
      <c r="K3735" s="74" t="str">
        <f t="shared" si="175"/>
        <v/>
      </c>
      <c r="L3735" s="58" t="str">
        <f t="shared" si="176"/>
        <v/>
      </c>
    </row>
    <row r="3736" spans="10:12" ht="16.5" customHeight="1" x14ac:dyDescent="0.35">
      <c r="J3736" s="56" t="str">
        <f t="shared" si="174"/>
        <v/>
      </c>
      <c r="K3736" s="74" t="str">
        <f t="shared" si="175"/>
        <v/>
      </c>
      <c r="L3736" s="58" t="str">
        <f t="shared" si="176"/>
        <v/>
      </c>
    </row>
    <row r="3737" spans="10:12" ht="16.5" customHeight="1" x14ac:dyDescent="0.35">
      <c r="J3737" s="56" t="str">
        <f t="shared" si="174"/>
        <v/>
      </c>
      <c r="K3737" s="74" t="str">
        <f t="shared" si="175"/>
        <v/>
      </c>
      <c r="L3737" s="58" t="str">
        <f t="shared" si="176"/>
        <v/>
      </c>
    </row>
    <row r="3738" spans="10:12" ht="16.5" customHeight="1" x14ac:dyDescent="0.35">
      <c r="J3738" s="56" t="str">
        <f t="shared" si="174"/>
        <v/>
      </c>
      <c r="K3738" s="74" t="str">
        <f t="shared" si="175"/>
        <v/>
      </c>
      <c r="L3738" s="58" t="str">
        <f t="shared" si="176"/>
        <v/>
      </c>
    </row>
    <row r="3739" spans="10:12" ht="16.5" customHeight="1" x14ac:dyDescent="0.35">
      <c r="J3739" s="56" t="str">
        <f t="shared" si="174"/>
        <v/>
      </c>
      <c r="K3739" s="74" t="str">
        <f t="shared" si="175"/>
        <v/>
      </c>
      <c r="L3739" s="58" t="str">
        <f t="shared" si="176"/>
        <v/>
      </c>
    </row>
    <row r="3740" spans="10:12" ht="16.5" customHeight="1" x14ac:dyDescent="0.35">
      <c r="J3740" s="56" t="str">
        <f t="shared" si="174"/>
        <v/>
      </c>
      <c r="K3740" s="74" t="str">
        <f t="shared" si="175"/>
        <v/>
      </c>
      <c r="L3740" s="58" t="str">
        <f t="shared" si="176"/>
        <v/>
      </c>
    </row>
    <row r="3741" spans="10:12" ht="16.5" customHeight="1" x14ac:dyDescent="0.35">
      <c r="J3741" s="56" t="str">
        <f t="shared" si="174"/>
        <v/>
      </c>
      <c r="K3741" s="74" t="str">
        <f t="shared" si="175"/>
        <v/>
      </c>
      <c r="L3741" s="58" t="str">
        <f t="shared" si="176"/>
        <v/>
      </c>
    </row>
    <row r="3742" spans="10:12" ht="16.5" customHeight="1" x14ac:dyDescent="0.35">
      <c r="J3742" s="56" t="str">
        <f t="shared" si="174"/>
        <v/>
      </c>
      <c r="K3742" s="74" t="str">
        <f t="shared" si="175"/>
        <v/>
      </c>
      <c r="L3742" s="58" t="str">
        <f t="shared" si="176"/>
        <v/>
      </c>
    </row>
    <row r="3743" spans="10:12" ht="16.5" customHeight="1" x14ac:dyDescent="0.35">
      <c r="J3743" s="56" t="str">
        <f t="shared" si="174"/>
        <v/>
      </c>
      <c r="K3743" s="74" t="str">
        <f t="shared" si="175"/>
        <v/>
      </c>
      <c r="L3743" s="58" t="str">
        <f t="shared" si="176"/>
        <v/>
      </c>
    </row>
    <row r="3744" spans="10:12" ht="16.5" customHeight="1" x14ac:dyDescent="0.35">
      <c r="J3744" s="56" t="str">
        <f t="shared" si="174"/>
        <v/>
      </c>
      <c r="K3744" s="74" t="str">
        <f t="shared" si="175"/>
        <v/>
      </c>
      <c r="L3744" s="58" t="str">
        <f t="shared" si="176"/>
        <v/>
      </c>
    </row>
    <row r="3745" spans="10:12" ht="16.5" customHeight="1" x14ac:dyDescent="0.35">
      <c r="J3745" s="56" t="str">
        <f t="shared" si="174"/>
        <v/>
      </c>
      <c r="K3745" s="74" t="str">
        <f t="shared" si="175"/>
        <v/>
      </c>
      <c r="L3745" s="58" t="str">
        <f t="shared" si="176"/>
        <v/>
      </c>
    </row>
    <row r="3746" spans="10:12" ht="16.5" customHeight="1" x14ac:dyDescent="0.35">
      <c r="J3746" s="56" t="str">
        <f t="shared" si="174"/>
        <v/>
      </c>
      <c r="K3746" s="74" t="str">
        <f t="shared" si="175"/>
        <v/>
      </c>
      <c r="L3746" s="58" t="str">
        <f t="shared" si="176"/>
        <v/>
      </c>
    </row>
    <row r="3747" spans="10:12" ht="16.5" customHeight="1" x14ac:dyDescent="0.35">
      <c r="J3747" s="56" t="str">
        <f t="shared" si="174"/>
        <v/>
      </c>
      <c r="K3747" s="74" t="str">
        <f t="shared" si="175"/>
        <v/>
      </c>
      <c r="L3747" s="58" t="str">
        <f t="shared" si="176"/>
        <v/>
      </c>
    </row>
    <row r="3748" spans="10:12" ht="16.5" customHeight="1" x14ac:dyDescent="0.35">
      <c r="J3748" s="56" t="str">
        <f t="shared" si="174"/>
        <v/>
      </c>
      <c r="K3748" s="74" t="str">
        <f t="shared" si="175"/>
        <v/>
      </c>
      <c r="L3748" s="58" t="str">
        <f t="shared" si="176"/>
        <v/>
      </c>
    </row>
    <row r="3749" spans="10:12" ht="16.5" customHeight="1" x14ac:dyDescent="0.35">
      <c r="J3749" s="56" t="str">
        <f t="shared" si="174"/>
        <v/>
      </c>
      <c r="K3749" s="74" t="str">
        <f t="shared" si="175"/>
        <v/>
      </c>
      <c r="L3749" s="58" t="str">
        <f t="shared" si="176"/>
        <v/>
      </c>
    </row>
    <row r="3750" spans="10:12" ht="16.5" customHeight="1" x14ac:dyDescent="0.35">
      <c r="J3750" s="56" t="str">
        <f t="shared" si="174"/>
        <v/>
      </c>
      <c r="K3750" s="74" t="str">
        <f t="shared" si="175"/>
        <v/>
      </c>
      <c r="L3750" s="58" t="str">
        <f t="shared" si="176"/>
        <v/>
      </c>
    </row>
    <row r="3751" spans="10:12" ht="16.5" customHeight="1" x14ac:dyDescent="0.35">
      <c r="J3751" s="56" t="str">
        <f t="shared" si="174"/>
        <v/>
      </c>
      <c r="K3751" s="74" t="str">
        <f t="shared" si="175"/>
        <v/>
      </c>
      <c r="L3751" s="58" t="str">
        <f t="shared" si="176"/>
        <v/>
      </c>
    </row>
    <row r="3752" spans="10:12" ht="16.5" customHeight="1" x14ac:dyDescent="0.35">
      <c r="J3752" s="56" t="str">
        <f t="shared" si="174"/>
        <v/>
      </c>
      <c r="K3752" s="74" t="str">
        <f t="shared" si="175"/>
        <v/>
      </c>
      <c r="L3752" s="58" t="str">
        <f t="shared" si="176"/>
        <v/>
      </c>
    </row>
    <row r="3753" spans="10:12" ht="16.5" customHeight="1" x14ac:dyDescent="0.35">
      <c r="J3753" s="56" t="str">
        <f t="shared" si="174"/>
        <v/>
      </c>
      <c r="K3753" s="74" t="str">
        <f t="shared" si="175"/>
        <v/>
      </c>
      <c r="L3753" s="58" t="str">
        <f t="shared" si="176"/>
        <v/>
      </c>
    </row>
    <row r="3754" spans="10:12" ht="16.5" customHeight="1" x14ac:dyDescent="0.35">
      <c r="J3754" s="56" t="str">
        <f t="shared" si="174"/>
        <v/>
      </c>
      <c r="K3754" s="74" t="str">
        <f t="shared" si="175"/>
        <v/>
      </c>
      <c r="L3754" s="58" t="str">
        <f t="shared" si="176"/>
        <v/>
      </c>
    </row>
    <row r="3755" spans="10:12" ht="16.5" customHeight="1" x14ac:dyDescent="0.35">
      <c r="J3755" s="56" t="str">
        <f t="shared" si="174"/>
        <v/>
      </c>
      <c r="K3755" s="74" t="str">
        <f t="shared" si="175"/>
        <v/>
      </c>
      <c r="L3755" s="58" t="str">
        <f t="shared" si="176"/>
        <v/>
      </c>
    </row>
    <row r="3756" spans="10:12" ht="16.5" customHeight="1" x14ac:dyDescent="0.35">
      <c r="J3756" s="56" t="str">
        <f t="shared" si="174"/>
        <v/>
      </c>
      <c r="K3756" s="74" t="str">
        <f t="shared" si="175"/>
        <v/>
      </c>
      <c r="L3756" s="58" t="str">
        <f t="shared" si="176"/>
        <v/>
      </c>
    </row>
    <row r="3757" spans="10:12" ht="16.5" customHeight="1" x14ac:dyDescent="0.35">
      <c r="J3757" s="56" t="str">
        <f t="shared" si="174"/>
        <v/>
      </c>
      <c r="K3757" s="74" t="str">
        <f t="shared" si="175"/>
        <v/>
      </c>
      <c r="L3757" s="58" t="str">
        <f t="shared" si="176"/>
        <v/>
      </c>
    </row>
    <row r="3758" spans="10:12" ht="16.5" customHeight="1" x14ac:dyDescent="0.35">
      <c r="J3758" s="56" t="str">
        <f t="shared" si="174"/>
        <v/>
      </c>
      <c r="K3758" s="74" t="str">
        <f t="shared" si="175"/>
        <v/>
      </c>
      <c r="L3758" s="58" t="str">
        <f t="shared" si="176"/>
        <v/>
      </c>
    </row>
    <row r="3759" spans="10:12" ht="16.5" customHeight="1" x14ac:dyDescent="0.35">
      <c r="J3759" s="56" t="str">
        <f t="shared" si="174"/>
        <v/>
      </c>
      <c r="K3759" s="74" t="str">
        <f t="shared" si="175"/>
        <v/>
      </c>
      <c r="L3759" s="58" t="str">
        <f t="shared" si="176"/>
        <v/>
      </c>
    </row>
    <row r="3760" spans="10:12" ht="16.5" customHeight="1" x14ac:dyDescent="0.35">
      <c r="J3760" s="56" t="str">
        <f t="shared" si="174"/>
        <v/>
      </c>
      <c r="K3760" s="74" t="str">
        <f t="shared" si="175"/>
        <v/>
      </c>
      <c r="L3760" s="58" t="str">
        <f t="shared" si="176"/>
        <v/>
      </c>
    </row>
    <row r="3761" spans="10:12" ht="16.5" customHeight="1" x14ac:dyDescent="0.35">
      <c r="J3761" s="56" t="str">
        <f t="shared" si="174"/>
        <v/>
      </c>
      <c r="K3761" s="74" t="str">
        <f t="shared" si="175"/>
        <v/>
      </c>
      <c r="L3761" s="58" t="str">
        <f t="shared" si="176"/>
        <v/>
      </c>
    </row>
    <row r="3762" spans="10:12" ht="16.5" customHeight="1" x14ac:dyDescent="0.35">
      <c r="J3762" s="56" t="str">
        <f t="shared" si="174"/>
        <v/>
      </c>
      <c r="K3762" s="74" t="str">
        <f t="shared" si="175"/>
        <v/>
      </c>
      <c r="L3762" s="58" t="str">
        <f t="shared" si="176"/>
        <v/>
      </c>
    </row>
    <row r="3763" spans="10:12" ht="16.5" customHeight="1" x14ac:dyDescent="0.35">
      <c r="J3763" s="56" t="str">
        <f t="shared" si="174"/>
        <v/>
      </c>
      <c r="K3763" s="74" t="str">
        <f t="shared" si="175"/>
        <v/>
      </c>
      <c r="L3763" s="58" t="str">
        <f t="shared" si="176"/>
        <v/>
      </c>
    </row>
    <row r="3764" spans="10:12" ht="16.5" customHeight="1" x14ac:dyDescent="0.35">
      <c r="J3764" s="56" t="str">
        <f t="shared" si="174"/>
        <v/>
      </c>
      <c r="K3764" s="74" t="str">
        <f t="shared" si="175"/>
        <v/>
      </c>
      <c r="L3764" s="58" t="str">
        <f t="shared" si="176"/>
        <v/>
      </c>
    </row>
    <row r="3765" spans="10:12" ht="16.5" customHeight="1" x14ac:dyDescent="0.35">
      <c r="J3765" s="56" t="str">
        <f t="shared" si="174"/>
        <v/>
      </c>
      <c r="K3765" s="74" t="str">
        <f t="shared" si="175"/>
        <v/>
      </c>
      <c r="L3765" s="58" t="str">
        <f t="shared" si="176"/>
        <v/>
      </c>
    </row>
    <row r="3766" spans="10:12" ht="16.5" customHeight="1" x14ac:dyDescent="0.35">
      <c r="J3766" s="56" t="str">
        <f t="shared" si="174"/>
        <v/>
      </c>
      <c r="K3766" s="74" t="str">
        <f t="shared" si="175"/>
        <v/>
      </c>
      <c r="L3766" s="58" t="str">
        <f t="shared" si="176"/>
        <v/>
      </c>
    </row>
    <row r="3767" spans="10:12" ht="16.5" customHeight="1" x14ac:dyDescent="0.35">
      <c r="J3767" s="56" t="str">
        <f t="shared" si="174"/>
        <v/>
      </c>
      <c r="K3767" s="74" t="str">
        <f t="shared" si="175"/>
        <v/>
      </c>
      <c r="L3767" s="58" t="str">
        <f t="shared" si="176"/>
        <v/>
      </c>
    </row>
    <row r="3768" spans="10:12" ht="16.5" customHeight="1" x14ac:dyDescent="0.35">
      <c r="J3768" s="56" t="str">
        <f t="shared" si="174"/>
        <v/>
      </c>
      <c r="K3768" s="74" t="str">
        <f t="shared" si="175"/>
        <v/>
      </c>
      <c r="L3768" s="58" t="str">
        <f t="shared" si="176"/>
        <v/>
      </c>
    </row>
    <row r="3769" spans="10:12" ht="16.5" customHeight="1" x14ac:dyDescent="0.35">
      <c r="J3769" s="56" t="str">
        <f t="shared" si="174"/>
        <v/>
      </c>
      <c r="K3769" s="74" t="str">
        <f t="shared" si="175"/>
        <v/>
      </c>
      <c r="L3769" s="58" t="str">
        <f t="shared" si="176"/>
        <v/>
      </c>
    </row>
    <row r="3770" spans="10:12" ht="16.5" customHeight="1" x14ac:dyDescent="0.35">
      <c r="J3770" s="56" t="str">
        <f t="shared" si="174"/>
        <v/>
      </c>
      <c r="K3770" s="74" t="str">
        <f t="shared" si="175"/>
        <v/>
      </c>
      <c r="L3770" s="58" t="str">
        <f t="shared" si="176"/>
        <v/>
      </c>
    </row>
    <row r="3771" spans="10:12" ht="16.5" customHeight="1" x14ac:dyDescent="0.35">
      <c r="J3771" s="56" t="str">
        <f t="shared" si="174"/>
        <v/>
      </c>
      <c r="K3771" s="74" t="str">
        <f t="shared" si="175"/>
        <v/>
      </c>
      <c r="L3771" s="58" t="str">
        <f t="shared" si="176"/>
        <v/>
      </c>
    </row>
    <row r="3772" spans="10:12" ht="16.5" customHeight="1" x14ac:dyDescent="0.35">
      <c r="J3772" s="56" t="str">
        <f t="shared" si="174"/>
        <v/>
      </c>
      <c r="K3772" s="74" t="str">
        <f t="shared" si="175"/>
        <v/>
      </c>
      <c r="L3772" s="58" t="str">
        <f t="shared" si="176"/>
        <v/>
      </c>
    </row>
    <row r="3773" spans="10:12" ht="16.5" customHeight="1" x14ac:dyDescent="0.35">
      <c r="J3773" s="56" t="str">
        <f t="shared" si="174"/>
        <v/>
      </c>
      <c r="K3773" s="74" t="str">
        <f t="shared" si="175"/>
        <v/>
      </c>
      <c r="L3773" s="58" t="str">
        <f t="shared" si="176"/>
        <v/>
      </c>
    </row>
    <row r="3774" spans="10:12" ht="16.5" customHeight="1" x14ac:dyDescent="0.35">
      <c r="J3774" s="56" t="str">
        <f t="shared" si="174"/>
        <v/>
      </c>
      <c r="K3774" s="74" t="str">
        <f t="shared" si="175"/>
        <v/>
      </c>
      <c r="L3774" s="58" t="str">
        <f t="shared" si="176"/>
        <v/>
      </c>
    </row>
    <row r="3775" spans="10:12" ht="16.5" customHeight="1" x14ac:dyDescent="0.35">
      <c r="J3775" s="56" t="str">
        <f t="shared" si="174"/>
        <v/>
      </c>
      <c r="K3775" s="74" t="str">
        <f t="shared" si="175"/>
        <v/>
      </c>
      <c r="L3775" s="58" t="str">
        <f t="shared" si="176"/>
        <v/>
      </c>
    </row>
    <row r="3776" spans="10:12" ht="16.5" customHeight="1" x14ac:dyDescent="0.35">
      <c r="J3776" s="56" t="str">
        <f t="shared" si="174"/>
        <v/>
      </c>
      <c r="K3776" s="74" t="str">
        <f t="shared" si="175"/>
        <v/>
      </c>
      <c r="L3776" s="58" t="str">
        <f t="shared" si="176"/>
        <v/>
      </c>
    </row>
    <row r="3777" spans="10:12" ht="16.5" customHeight="1" x14ac:dyDescent="0.35">
      <c r="J3777" s="56" t="str">
        <f t="shared" si="174"/>
        <v/>
      </c>
      <c r="K3777" s="74" t="str">
        <f t="shared" si="175"/>
        <v/>
      </c>
      <c r="L3777" s="58" t="str">
        <f t="shared" si="176"/>
        <v/>
      </c>
    </row>
    <row r="3778" spans="10:12" ht="16.5" customHeight="1" x14ac:dyDescent="0.35">
      <c r="J3778" s="56" t="str">
        <f t="shared" si="174"/>
        <v/>
      </c>
      <c r="K3778" s="74" t="str">
        <f t="shared" si="175"/>
        <v/>
      </c>
      <c r="L3778" s="58" t="str">
        <f t="shared" si="176"/>
        <v/>
      </c>
    </row>
    <row r="3779" spans="10:12" ht="16.5" customHeight="1" x14ac:dyDescent="0.35">
      <c r="J3779" s="56" t="str">
        <f t="shared" si="174"/>
        <v/>
      </c>
      <c r="K3779" s="74" t="str">
        <f t="shared" si="175"/>
        <v/>
      </c>
      <c r="L3779" s="58" t="str">
        <f t="shared" si="176"/>
        <v/>
      </c>
    </row>
    <row r="3780" spans="10:12" ht="16.5" customHeight="1" x14ac:dyDescent="0.35">
      <c r="J3780" s="56" t="str">
        <f t="shared" si="174"/>
        <v/>
      </c>
      <c r="K3780" s="74" t="str">
        <f t="shared" si="175"/>
        <v/>
      </c>
      <c r="L3780" s="58" t="str">
        <f t="shared" si="176"/>
        <v/>
      </c>
    </row>
    <row r="3781" spans="10:12" ht="16.5" customHeight="1" x14ac:dyDescent="0.35">
      <c r="J3781" s="56" t="str">
        <f t="shared" si="174"/>
        <v/>
      </c>
      <c r="K3781" s="74" t="str">
        <f t="shared" si="175"/>
        <v/>
      </c>
      <c r="L3781" s="58" t="str">
        <f t="shared" si="176"/>
        <v/>
      </c>
    </row>
    <row r="3782" spans="10:12" ht="16.5" customHeight="1" x14ac:dyDescent="0.35">
      <c r="J3782" s="56" t="str">
        <f t="shared" si="174"/>
        <v/>
      </c>
      <c r="K3782" s="74" t="str">
        <f t="shared" si="175"/>
        <v/>
      </c>
      <c r="L3782" s="58" t="str">
        <f t="shared" si="176"/>
        <v/>
      </c>
    </row>
    <row r="3783" spans="10:12" ht="16.5" customHeight="1" x14ac:dyDescent="0.35">
      <c r="J3783" s="56" t="str">
        <f t="shared" si="174"/>
        <v/>
      </c>
      <c r="K3783" s="74" t="str">
        <f t="shared" si="175"/>
        <v/>
      </c>
      <c r="L3783" s="58" t="str">
        <f t="shared" si="176"/>
        <v/>
      </c>
    </row>
    <row r="3784" spans="10:12" ht="16.5" customHeight="1" x14ac:dyDescent="0.35">
      <c r="J3784" s="56" t="str">
        <f t="shared" si="174"/>
        <v/>
      </c>
      <c r="K3784" s="74" t="str">
        <f t="shared" si="175"/>
        <v/>
      </c>
      <c r="L3784" s="58" t="str">
        <f t="shared" si="176"/>
        <v/>
      </c>
    </row>
    <row r="3785" spans="10:12" ht="16.5" customHeight="1" x14ac:dyDescent="0.35">
      <c r="J3785" s="56" t="str">
        <f t="shared" ref="J3785:J3848" si="177">IF(A3785="","",A$5-A3785)</f>
        <v/>
      </c>
      <c r="K3785" s="74" t="str">
        <f t="shared" ref="K3785:K3848" si="178">IF(J3785="","",IF(J3785&lt;4,"0-3 Days",IF(J3785&lt;31,"4-30 Days",IF(J3785&lt;61,"31-60 Days",IF(J3785&lt;=90,"61-90 Days",IF(J3785&gt;90,"Above 90 Days","0"))))))</f>
        <v/>
      </c>
      <c r="L3785" s="58" t="str">
        <f t="shared" ref="L3785:L3848" si="179">IF(C3785="","",IF(C3785&gt;0,IF(J3785&lt;30,"Normal",IF(J3785&lt;60,"Especially Mentioned",IF(J3785&lt;90,"Substandard",IF(J3785&lt;=180,"Doubtful",IF(J3785&gt;180,"Loss","0"))))),"Not Applicable"))</f>
        <v/>
      </c>
    </row>
    <row r="3786" spans="10:12" ht="16.5" customHeight="1" x14ac:dyDescent="0.35">
      <c r="J3786" s="56" t="str">
        <f t="shared" si="177"/>
        <v/>
      </c>
      <c r="K3786" s="74" t="str">
        <f t="shared" si="178"/>
        <v/>
      </c>
      <c r="L3786" s="58" t="str">
        <f t="shared" si="179"/>
        <v/>
      </c>
    </row>
    <row r="3787" spans="10:12" ht="16.5" customHeight="1" x14ac:dyDescent="0.35">
      <c r="J3787" s="56" t="str">
        <f t="shared" si="177"/>
        <v/>
      </c>
      <c r="K3787" s="74" t="str">
        <f t="shared" si="178"/>
        <v/>
      </c>
      <c r="L3787" s="58" t="str">
        <f t="shared" si="179"/>
        <v/>
      </c>
    </row>
    <row r="3788" spans="10:12" ht="16.5" customHeight="1" x14ac:dyDescent="0.35">
      <c r="J3788" s="56" t="str">
        <f t="shared" si="177"/>
        <v/>
      </c>
      <c r="K3788" s="74" t="str">
        <f t="shared" si="178"/>
        <v/>
      </c>
      <c r="L3788" s="58" t="str">
        <f t="shared" si="179"/>
        <v/>
      </c>
    </row>
    <row r="3789" spans="10:12" ht="16.5" customHeight="1" x14ac:dyDescent="0.35">
      <c r="J3789" s="56" t="str">
        <f t="shared" si="177"/>
        <v/>
      </c>
      <c r="K3789" s="74" t="str">
        <f t="shared" si="178"/>
        <v/>
      </c>
      <c r="L3789" s="58" t="str">
        <f t="shared" si="179"/>
        <v/>
      </c>
    </row>
    <row r="3790" spans="10:12" ht="16.5" customHeight="1" x14ac:dyDescent="0.35">
      <c r="J3790" s="56" t="str">
        <f t="shared" si="177"/>
        <v/>
      </c>
      <c r="K3790" s="74" t="str">
        <f t="shared" si="178"/>
        <v/>
      </c>
      <c r="L3790" s="58" t="str">
        <f t="shared" si="179"/>
        <v/>
      </c>
    </row>
    <row r="3791" spans="10:12" ht="16.5" customHeight="1" x14ac:dyDescent="0.35">
      <c r="J3791" s="56" t="str">
        <f t="shared" si="177"/>
        <v/>
      </c>
      <c r="K3791" s="74" t="str">
        <f t="shared" si="178"/>
        <v/>
      </c>
      <c r="L3791" s="58" t="str">
        <f t="shared" si="179"/>
        <v/>
      </c>
    </row>
    <row r="3792" spans="10:12" ht="16.5" customHeight="1" x14ac:dyDescent="0.35">
      <c r="J3792" s="56" t="str">
        <f t="shared" si="177"/>
        <v/>
      </c>
      <c r="K3792" s="74" t="str">
        <f t="shared" si="178"/>
        <v/>
      </c>
      <c r="L3792" s="58" t="str">
        <f t="shared" si="179"/>
        <v/>
      </c>
    </row>
    <row r="3793" spans="10:12" ht="16.5" customHeight="1" x14ac:dyDescent="0.35">
      <c r="J3793" s="56" t="str">
        <f t="shared" si="177"/>
        <v/>
      </c>
      <c r="K3793" s="74" t="str">
        <f t="shared" si="178"/>
        <v/>
      </c>
      <c r="L3793" s="58" t="str">
        <f t="shared" si="179"/>
        <v/>
      </c>
    </row>
    <row r="3794" spans="10:12" ht="16.5" customHeight="1" x14ac:dyDescent="0.35">
      <c r="J3794" s="56" t="str">
        <f t="shared" si="177"/>
        <v/>
      </c>
      <c r="K3794" s="74" t="str">
        <f t="shared" si="178"/>
        <v/>
      </c>
      <c r="L3794" s="58" t="str">
        <f t="shared" si="179"/>
        <v/>
      </c>
    </row>
    <row r="3795" spans="10:12" ht="16.5" customHeight="1" x14ac:dyDescent="0.35">
      <c r="J3795" s="56" t="str">
        <f t="shared" si="177"/>
        <v/>
      </c>
      <c r="K3795" s="74" t="str">
        <f t="shared" si="178"/>
        <v/>
      </c>
      <c r="L3795" s="58" t="str">
        <f t="shared" si="179"/>
        <v/>
      </c>
    </row>
    <row r="3796" spans="10:12" ht="16.5" customHeight="1" x14ac:dyDescent="0.35">
      <c r="J3796" s="56" t="str">
        <f t="shared" si="177"/>
        <v/>
      </c>
      <c r="K3796" s="74" t="str">
        <f t="shared" si="178"/>
        <v/>
      </c>
      <c r="L3796" s="58" t="str">
        <f t="shared" si="179"/>
        <v/>
      </c>
    </row>
    <row r="3797" spans="10:12" ht="16.5" customHeight="1" x14ac:dyDescent="0.35">
      <c r="J3797" s="56" t="str">
        <f t="shared" si="177"/>
        <v/>
      </c>
      <c r="K3797" s="74" t="str">
        <f t="shared" si="178"/>
        <v/>
      </c>
      <c r="L3797" s="58" t="str">
        <f t="shared" si="179"/>
        <v/>
      </c>
    </row>
    <row r="3798" spans="10:12" ht="16.5" customHeight="1" x14ac:dyDescent="0.35">
      <c r="J3798" s="56" t="str">
        <f t="shared" si="177"/>
        <v/>
      </c>
      <c r="K3798" s="74" t="str">
        <f t="shared" si="178"/>
        <v/>
      </c>
      <c r="L3798" s="58" t="str">
        <f t="shared" si="179"/>
        <v/>
      </c>
    </row>
    <row r="3799" spans="10:12" ht="16.5" customHeight="1" x14ac:dyDescent="0.35">
      <c r="J3799" s="56" t="str">
        <f t="shared" si="177"/>
        <v/>
      </c>
      <c r="K3799" s="74" t="str">
        <f t="shared" si="178"/>
        <v/>
      </c>
      <c r="L3799" s="58" t="str">
        <f t="shared" si="179"/>
        <v/>
      </c>
    </row>
    <row r="3800" spans="10:12" ht="16.5" customHeight="1" x14ac:dyDescent="0.35">
      <c r="J3800" s="56" t="str">
        <f t="shared" si="177"/>
        <v/>
      </c>
      <c r="K3800" s="74" t="str">
        <f t="shared" si="178"/>
        <v/>
      </c>
      <c r="L3800" s="58" t="str">
        <f t="shared" si="179"/>
        <v/>
      </c>
    </row>
    <row r="3801" spans="10:12" ht="16.5" customHeight="1" x14ac:dyDescent="0.35">
      <c r="J3801" s="56" t="str">
        <f t="shared" si="177"/>
        <v/>
      </c>
      <c r="K3801" s="74" t="str">
        <f t="shared" si="178"/>
        <v/>
      </c>
      <c r="L3801" s="58" t="str">
        <f t="shared" si="179"/>
        <v/>
      </c>
    </row>
    <row r="3802" spans="10:12" ht="16.5" customHeight="1" x14ac:dyDescent="0.35">
      <c r="J3802" s="56" t="str">
        <f t="shared" si="177"/>
        <v/>
      </c>
      <c r="K3802" s="74" t="str">
        <f t="shared" si="178"/>
        <v/>
      </c>
      <c r="L3802" s="58" t="str">
        <f t="shared" si="179"/>
        <v/>
      </c>
    </row>
    <row r="3803" spans="10:12" ht="16.5" customHeight="1" x14ac:dyDescent="0.35">
      <c r="J3803" s="56" t="str">
        <f t="shared" si="177"/>
        <v/>
      </c>
      <c r="K3803" s="74" t="str">
        <f t="shared" si="178"/>
        <v/>
      </c>
      <c r="L3803" s="58" t="str">
        <f t="shared" si="179"/>
        <v/>
      </c>
    </row>
    <row r="3804" spans="10:12" ht="16.5" customHeight="1" x14ac:dyDescent="0.35">
      <c r="J3804" s="56" t="str">
        <f t="shared" si="177"/>
        <v/>
      </c>
      <c r="K3804" s="74" t="str">
        <f t="shared" si="178"/>
        <v/>
      </c>
      <c r="L3804" s="58" t="str">
        <f t="shared" si="179"/>
        <v/>
      </c>
    </row>
    <row r="3805" spans="10:12" ht="16.5" customHeight="1" x14ac:dyDescent="0.35">
      <c r="J3805" s="56" t="str">
        <f t="shared" si="177"/>
        <v/>
      </c>
      <c r="K3805" s="74" t="str">
        <f t="shared" si="178"/>
        <v/>
      </c>
      <c r="L3805" s="58" t="str">
        <f t="shared" si="179"/>
        <v/>
      </c>
    </row>
    <row r="3806" spans="10:12" ht="16.5" customHeight="1" x14ac:dyDescent="0.35">
      <c r="J3806" s="56" t="str">
        <f t="shared" si="177"/>
        <v/>
      </c>
      <c r="K3806" s="74" t="str">
        <f t="shared" si="178"/>
        <v/>
      </c>
      <c r="L3806" s="58" t="str">
        <f t="shared" si="179"/>
        <v/>
      </c>
    </row>
    <row r="3807" spans="10:12" ht="16.5" customHeight="1" x14ac:dyDescent="0.35">
      <c r="J3807" s="56" t="str">
        <f t="shared" si="177"/>
        <v/>
      </c>
      <c r="K3807" s="74" t="str">
        <f t="shared" si="178"/>
        <v/>
      </c>
      <c r="L3807" s="58" t="str">
        <f t="shared" si="179"/>
        <v/>
      </c>
    </row>
    <row r="3808" spans="10:12" ht="16.5" customHeight="1" x14ac:dyDescent="0.35">
      <c r="J3808" s="56" t="str">
        <f t="shared" si="177"/>
        <v/>
      </c>
      <c r="K3808" s="74" t="str">
        <f t="shared" si="178"/>
        <v/>
      </c>
      <c r="L3808" s="58" t="str">
        <f t="shared" si="179"/>
        <v/>
      </c>
    </row>
    <row r="3809" spans="10:12" ht="16.5" customHeight="1" x14ac:dyDescent="0.35">
      <c r="J3809" s="56" t="str">
        <f t="shared" si="177"/>
        <v/>
      </c>
      <c r="K3809" s="74" t="str">
        <f t="shared" si="178"/>
        <v/>
      </c>
      <c r="L3809" s="58" t="str">
        <f t="shared" si="179"/>
        <v/>
      </c>
    </row>
    <row r="3810" spans="10:12" ht="16.5" customHeight="1" x14ac:dyDescent="0.35">
      <c r="J3810" s="56" t="str">
        <f t="shared" si="177"/>
        <v/>
      </c>
      <c r="K3810" s="74" t="str">
        <f t="shared" si="178"/>
        <v/>
      </c>
      <c r="L3810" s="58" t="str">
        <f t="shared" si="179"/>
        <v/>
      </c>
    </row>
    <row r="3811" spans="10:12" ht="16.5" customHeight="1" x14ac:dyDescent="0.35">
      <c r="J3811" s="56" t="str">
        <f t="shared" si="177"/>
        <v/>
      </c>
      <c r="K3811" s="74" t="str">
        <f t="shared" si="178"/>
        <v/>
      </c>
      <c r="L3811" s="58" t="str">
        <f t="shared" si="179"/>
        <v/>
      </c>
    </row>
    <row r="3812" spans="10:12" ht="16.5" customHeight="1" x14ac:dyDescent="0.35">
      <c r="J3812" s="56" t="str">
        <f t="shared" si="177"/>
        <v/>
      </c>
      <c r="K3812" s="74" t="str">
        <f t="shared" si="178"/>
        <v/>
      </c>
      <c r="L3812" s="58" t="str">
        <f t="shared" si="179"/>
        <v/>
      </c>
    </row>
    <row r="3813" spans="10:12" ht="16.5" customHeight="1" x14ac:dyDescent="0.35">
      <c r="J3813" s="56" t="str">
        <f t="shared" si="177"/>
        <v/>
      </c>
      <c r="K3813" s="74" t="str">
        <f t="shared" si="178"/>
        <v/>
      </c>
      <c r="L3813" s="58" t="str">
        <f t="shared" si="179"/>
        <v/>
      </c>
    </row>
    <row r="3814" spans="10:12" ht="16.5" customHeight="1" x14ac:dyDescent="0.35">
      <c r="J3814" s="56" t="str">
        <f t="shared" si="177"/>
        <v/>
      </c>
      <c r="K3814" s="74" t="str">
        <f t="shared" si="178"/>
        <v/>
      </c>
      <c r="L3814" s="58" t="str">
        <f t="shared" si="179"/>
        <v/>
      </c>
    </row>
    <row r="3815" spans="10:12" ht="16.5" customHeight="1" x14ac:dyDescent="0.35">
      <c r="J3815" s="56" t="str">
        <f t="shared" si="177"/>
        <v/>
      </c>
      <c r="K3815" s="74" t="str">
        <f t="shared" si="178"/>
        <v/>
      </c>
      <c r="L3815" s="58" t="str">
        <f t="shared" si="179"/>
        <v/>
      </c>
    </row>
    <row r="3816" spans="10:12" ht="16.5" customHeight="1" x14ac:dyDescent="0.35">
      <c r="J3816" s="56" t="str">
        <f t="shared" si="177"/>
        <v/>
      </c>
      <c r="K3816" s="74" t="str">
        <f t="shared" si="178"/>
        <v/>
      </c>
      <c r="L3816" s="58" t="str">
        <f t="shared" si="179"/>
        <v/>
      </c>
    </row>
    <row r="3817" spans="10:12" ht="16.5" customHeight="1" x14ac:dyDescent="0.35">
      <c r="J3817" s="56" t="str">
        <f t="shared" si="177"/>
        <v/>
      </c>
      <c r="K3817" s="74" t="str">
        <f t="shared" si="178"/>
        <v/>
      </c>
      <c r="L3817" s="58" t="str">
        <f t="shared" si="179"/>
        <v/>
      </c>
    </row>
    <row r="3818" spans="10:12" ht="16.5" customHeight="1" x14ac:dyDescent="0.35">
      <c r="J3818" s="56" t="str">
        <f t="shared" si="177"/>
        <v/>
      </c>
      <c r="K3818" s="74" t="str">
        <f t="shared" si="178"/>
        <v/>
      </c>
      <c r="L3818" s="58" t="str">
        <f t="shared" si="179"/>
        <v/>
      </c>
    </row>
    <row r="3819" spans="10:12" ht="16.5" customHeight="1" x14ac:dyDescent="0.35">
      <c r="J3819" s="56" t="str">
        <f t="shared" si="177"/>
        <v/>
      </c>
      <c r="K3819" s="74" t="str">
        <f t="shared" si="178"/>
        <v/>
      </c>
      <c r="L3819" s="58" t="str">
        <f t="shared" si="179"/>
        <v/>
      </c>
    </row>
    <row r="3820" spans="10:12" ht="16.5" customHeight="1" x14ac:dyDescent="0.35">
      <c r="J3820" s="56" t="str">
        <f t="shared" si="177"/>
        <v/>
      </c>
      <c r="K3820" s="74" t="str">
        <f t="shared" si="178"/>
        <v/>
      </c>
      <c r="L3820" s="58" t="str">
        <f t="shared" si="179"/>
        <v/>
      </c>
    </row>
    <row r="3821" spans="10:12" ht="16.5" customHeight="1" x14ac:dyDescent="0.35">
      <c r="J3821" s="56" t="str">
        <f t="shared" si="177"/>
        <v/>
      </c>
      <c r="K3821" s="74" t="str">
        <f t="shared" si="178"/>
        <v/>
      </c>
      <c r="L3821" s="58" t="str">
        <f t="shared" si="179"/>
        <v/>
      </c>
    </row>
    <row r="3822" spans="10:12" ht="16.5" customHeight="1" x14ac:dyDescent="0.35">
      <c r="J3822" s="56" t="str">
        <f t="shared" si="177"/>
        <v/>
      </c>
      <c r="K3822" s="74" t="str">
        <f t="shared" si="178"/>
        <v/>
      </c>
      <c r="L3822" s="58" t="str">
        <f t="shared" si="179"/>
        <v/>
      </c>
    </row>
    <row r="3823" spans="10:12" ht="16.5" customHeight="1" x14ac:dyDescent="0.35">
      <c r="J3823" s="56" t="str">
        <f t="shared" si="177"/>
        <v/>
      </c>
      <c r="K3823" s="74" t="str">
        <f t="shared" si="178"/>
        <v/>
      </c>
      <c r="L3823" s="58" t="str">
        <f t="shared" si="179"/>
        <v/>
      </c>
    </row>
    <row r="3824" spans="10:12" ht="16.5" customHeight="1" x14ac:dyDescent="0.35">
      <c r="J3824" s="56" t="str">
        <f t="shared" si="177"/>
        <v/>
      </c>
      <c r="K3824" s="74" t="str">
        <f t="shared" si="178"/>
        <v/>
      </c>
      <c r="L3824" s="58" t="str">
        <f t="shared" si="179"/>
        <v/>
      </c>
    </row>
    <row r="3825" spans="10:12" ht="16.5" customHeight="1" x14ac:dyDescent="0.35">
      <c r="J3825" s="56" t="str">
        <f t="shared" si="177"/>
        <v/>
      </c>
      <c r="K3825" s="74" t="str">
        <f t="shared" si="178"/>
        <v/>
      </c>
      <c r="L3825" s="58" t="str">
        <f t="shared" si="179"/>
        <v/>
      </c>
    </row>
    <row r="3826" spans="10:12" ht="16.5" customHeight="1" x14ac:dyDescent="0.35">
      <c r="J3826" s="56" t="str">
        <f t="shared" si="177"/>
        <v/>
      </c>
      <c r="K3826" s="74" t="str">
        <f t="shared" si="178"/>
        <v/>
      </c>
      <c r="L3826" s="58" t="str">
        <f t="shared" si="179"/>
        <v/>
      </c>
    </row>
    <row r="3827" spans="10:12" ht="16.5" customHeight="1" x14ac:dyDescent="0.35">
      <c r="J3827" s="56" t="str">
        <f t="shared" si="177"/>
        <v/>
      </c>
      <c r="K3827" s="74" t="str">
        <f t="shared" si="178"/>
        <v/>
      </c>
      <c r="L3827" s="58" t="str">
        <f t="shared" si="179"/>
        <v/>
      </c>
    </row>
    <row r="3828" spans="10:12" ht="16.5" customHeight="1" x14ac:dyDescent="0.35">
      <c r="J3828" s="56" t="str">
        <f t="shared" si="177"/>
        <v/>
      </c>
      <c r="K3828" s="74" t="str">
        <f t="shared" si="178"/>
        <v/>
      </c>
      <c r="L3828" s="58" t="str">
        <f t="shared" si="179"/>
        <v/>
      </c>
    </row>
    <row r="3829" spans="10:12" ht="16.5" customHeight="1" x14ac:dyDescent="0.35">
      <c r="J3829" s="56" t="str">
        <f t="shared" si="177"/>
        <v/>
      </c>
      <c r="K3829" s="74" t="str">
        <f t="shared" si="178"/>
        <v/>
      </c>
      <c r="L3829" s="58" t="str">
        <f t="shared" si="179"/>
        <v/>
      </c>
    </row>
    <row r="3830" spans="10:12" ht="16.5" customHeight="1" x14ac:dyDescent="0.35">
      <c r="J3830" s="56" t="str">
        <f t="shared" si="177"/>
        <v/>
      </c>
      <c r="K3830" s="74" t="str">
        <f t="shared" si="178"/>
        <v/>
      </c>
      <c r="L3830" s="58" t="str">
        <f t="shared" si="179"/>
        <v/>
      </c>
    </row>
    <row r="3831" spans="10:12" ht="16.5" customHeight="1" x14ac:dyDescent="0.35">
      <c r="J3831" s="56" t="str">
        <f t="shared" si="177"/>
        <v/>
      </c>
      <c r="K3831" s="74" t="str">
        <f t="shared" si="178"/>
        <v/>
      </c>
      <c r="L3831" s="58" t="str">
        <f t="shared" si="179"/>
        <v/>
      </c>
    </row>
    <row r="3832" spans="10:12" ht="16.5" customHeight="1" x14ac:dyDescent="0.35">
      <c r="J3832" s="56" t="str">
        <f t="shared" si="177"/>
        <v/>
      </c>
      <c r="K3832" s="74" t="str">
        <f t="shared" si="178"/>
        <v/>
      </c>
      <c r="L3832" s="58" t="str">
        <f t="shared" si="179"/>
        <v/>
      </c>
    </row>
    <row r="3833" spans="10:12" ht="16.5" customHeight="1" x14ac:dyDescent="0.35">
      <c r="J3833" s="56" t="str">
        <f t="shared" si="177"/>
        <v/>
      </c>
      <c r="K3833" s="74" t="str">
        <f t="shared" si="178"/>
        <v/>
      </c>
      <c r="L3833" s="58" t="str">
        <f t="shared" si="179"/>
        <v/>
      </c>
    </row>
    <row r="3834" spans="10:12" ht="16.5" customHeight="1" x14ac:dyDescent="0.35">
      <c r="J3834" s="56" t="str">
        <f t="shared" si="177"/>
        <v/>
      </c>
      <c r="K3834" s="74" t="str">
        <f t="shared" si="178"/>
        <v/>
      </c>
      <c r="L3834" s="58" t="str">
        <f t="shared" si="179"/>
        <v/>
      </c>
    </row>
    <row r="3835" spans="10:12" ht="16.5" customHeight="1" x14ac:dyDescent="0.35">
      <c r="J3835" s="56" t="str">
        <f t="shared" si="177"/>
        <v/>
      </c>
      <c r="K3835" s="74" t="str">
        <f t="shared" si="178"/>
        <v/>
      </c>
      <c r="L3835" s="58" t="str">
        <f t="shared" si="179"/>
        <v/>
      </c>
    </row>
    <row r="3836" spans="10:12" ht="16.5" customHeight="1" x14ac:dyDescent="0.35">
      <c r="J3836" s="56" t="str">
        <f t="shared" si="177"/>
        <v/>
      </c>
      <c r="K3836" s="74" t="str">
        <f t="shared" si="178"/>
        <v/>
      </c>
      <c r="L3836" s="58" t="str">
        <f t="shared" si="179"/>
        <v/>
      </c>
    </row>
    <row r="3837" spans="10:12" ht="16.5" customHeight="1" x14ac:dyDescent="0.35">
      <c r="J3837" s="56" t="str">
        <f t="shared" si="177"/>
        <v/>
      </c>
      <c r="K3837" s="74" t="str">
        <f t="shared" si="178"/>
        <v/>
      </c>
      <c r="L3837" s="58" t="str">
        <f t="shared" si="179"/>
        <v/>
      </c>
    </row>
    <row r="3838" spans="10:12" ht="16.5" customHeight="1" x14ac:dyDescent="0.35">
      <c r="J3838" s="56" t="str">
        <f t="shared" si="177"/>
        <v/>
      </c>
      <c r="K3838" s="74" t="str">
        <f t="shared" si="178"/>
        <v/>
      </c>
      <c r="L3838" s="58" t="str">
        <f t="shared" si="179"/>
        <v/>
      </c>
    </row>
    <row r="3839" spans="10:12" ht="16.5" customHeight="1" x14ac:dyDescent="0.35">
      <c r="J3839" s="56" t="str">
        <f t="shared" si="177"/>
        <v/>
      </c>
      <c r="K3839" s="74" t="str">
        <f t="shared" si="178"/>
        <v/>
      </c>
      <c r="L3839" s="58" t="str">
        <f t="shared" si="179"/>
        <v/>
      </c>
    </row>
    <row r="3840" spans="10:12" ht="16.5" customHeight="1" x14ac:dyDescent="0.35">
      <c r="J3840" s="56" t="str">
        <f t="shared" si="177"/>
        <v/>
      </c>
      <c r="K3840" s="74" t="str">
        <f t="shared" si="178"/>
        <v/>
      </c>
      <c r="L3840" s="58" t="str">
        <f t="shared" si="179"/>
        <v/>
      </c>
    </row>
    <row r="3841" spans="10:12" ht="16.5" customHeight="1" x14ac:dyDescent="0.35">
      <c r="J3841" s="56" t="str">
        <f t="shared" si="177"/>
        <v/>
      </c>
      <c r="K3841" s="74" t="str">
        <f t="shared" si="178"/>
        <v/>
      </c>
      <c r="L3841" s="58" t="str">
        <f t="shared" si="179"/>
        <v/>
      </c>
    </row>
    <row r="3842" spans="10:12" ht="16.5" customHeight="1" x14ac:dyDescent="0.35">
      <c r="J3842" s="56" t="str">
        <f t="shared" si="177"/>
        <v/>
      </c>
      <c r="K3842" s="74" t="str">
        <f t="shared" si="178"/>
        <v/>
      </c>
      <c r="L3842" s="58" t="str">
        <f t="shared" si="179"/>
        <v/>
      </c>
    </row>
    <row r="3843" spans="10:12" ht="16.5" customHeight="1" x14ac:dyDescent="0.35">
      <c r="J3843" s="56" t="str">
        <f t="shared" si="177"/>
        <v/>
      </c>
      <c r="K3843" s="74" t="str">
        <f t="shared" si="178"/>
        <v/>
      </c>
      <c r="L3843" s="58" t="str">
        <f t="shared" si="179"/>
        <v/>
      </c>
    </row>
    <row r="3844" spans="10:12" ht="16.5" customHeight="1" x14ac:dyDescent="0.35">
      <c r="J3844" s="56" t="str">
        <f t="shared" si="177"/>
        <v/>
      </c>
      <c r="K3844" s="74" t="str">
        <f t="shared" si="178"/>
        <v/>
      </c>
      <c r="L3844" s="58" t="str">
        <f t="shared" si="179"/>
        <v/>
      </c>
    </row>
    <row r="3845" spans="10:12" ht="16.5" customHeight="1" x14ac:dyDescent="0.35">
      <c r="J3845" s="56" t="str">
        <f t="shared" si="177"/>
        <v/>
      </c>
      <c r="K3845" s="74" t="str">
        <f t="shared" si="178"/>
        <v/>
      </c>
      <c r="L3845" s="58" t="str">
        <f t="shared" si="179"/>
        <v/>
      </c>
    </row>
    <row r="3846" spans="10:12" ht="16.5" customHeight="1" x14ac:dyDescent="0.35">
      <c r="J3846" s="56" t="str">
        <f t="shared" si="177"/>
        <v/>
      </c>
      <c r="K3846" s="74" t="str">
        <f t="shared" si="178"/>
        <v/>
      </c>
      <c r="L3846" s="58" t="str">
        <f t="shared" si="179"/>
        <v/>
      </c>
    </row>
    <row r="3847" spans="10:12" ht="16.5" customHeight="1" x14ac:dyDescent="0.35">
      <c r="J3847" s="56" t="str">
        <f t="shared" si="177"/>
        <v/>
      </c>
      <c r="K3847" s="74" t="str">
        <f t="shared" si="178"/>
        <v/>
      </c>
      <c r="L3847" s="58" t="str">
        <f t="shared" si="179"/>
        <v/>
      </c>
    </row>
    <row r="3848" spans="10:12" ht="16.5" customHeight="1" x14ac:dyDescent="0.35">
      <c r="J3848" s="56" t="str">
        <f t="shared" si="177"/>
        <v/>
      </c>
      <c r="K3848" s="74" t="str">
        <f t="shared" si="178"/>
        <v/>
      </c>
      <c r="L3848" s="58" t="str">
        <f t="shared" si="179"/>
        <v/>
      </c>
    </row>
    <row r="3849" spans="10:12" ht="16.5" customHeight="1" x14ac:dyDescent="0.35">
      <c r="J3849" s="56" t="str">
        <f t="shared" ref="J3849:J3912" si="180">IF(A3849="","",A$5-A3849)</f>
        <v/>
      </c>
      <c r="K3849" s="74" t="str">
        <f t="shared" ref="K3849:K3912" si="181">IF(J3849="","",IF(J3849&lt;4,"0-3 Days",IF(J3849&lt;31,"4-30 Days",IF(J3849&lt;61,"31-60 Days",IF(J3849&lt;=90,"61-90 Days",IF(J3849&gt;90,"Above 90 Days","0"))))))</f>
        <v/>
      </c>
      <c r="L3849" s="58" t="str">
        <f t="shared" ref="L3849:L3912" si="182">IF(C3849="","",IF(C3849&gt;0,IF(J3849&lt;30,"Normal",IF(J3849&lt;60,"Especially Mentioned",IF(J3849&lt;90,"Substandard",IF(J3849&lt;=180,"Doubtful",IF(J3849&gt;180,"Loss","0"))))),"Not Applicable"))</f>
        <v/>
      </c>
    </row>
    <row r="3850" spans="10:12" ht="16.5" customHeight="1" x14ac:dyDescent="0.35">
      <c r="J3850" s="56" t="str">
        <f t="shared" si="180"/>
        <v/>
      </c>
      <c r="K3850" s="74" t="str">
        <f t="shared" si="181"/>
        <v/>
      </c>
      <c r="L3850" s="58" t="str">
        <f t="shared" si="182"/>
        <v/>
      </c>
    </row>
    <row r="3851" spans="10:12" ht="16.5" customHeight="1" x14ac:dyDescent="0.35">
      <c r="J3851" s="56" t="str">
        <f t="shared" si="180"/>
        <v/>
      </c>
      <c r="K3851" s="74" t="str">
        <f t="shared" si="181"/>
        <v/>
      </c>
      <c r="L3851" s="58" t="str">
        <f t="shared" si="182"/>
        <v/>
      </c>
    </row>
    <row r="3852" spans="10:12" ht="16.5" customHeight="1" x14ac:dyDescent="0.35">
      <c r="J3852" s="56" t="str">
        <f t="shared" si="180"/>
        <v/>
      </c>
      <c r="K3852" s="74" t="str">
        <f t="shared" si="181"/>
        <v/>
      </c>
      <c r="L3852" s="58" t="str">
        <f t="shared" si="182"/>
        <v/>
      </c>
    </row>
    <row r="3853" spans="10:12" ht="16.5" customHeight="1" x14ac:dyDescent="0.35">
      <c r="J3853" s="56" t="str">
        <f t="shared" si="180"/>
        <v/>
      </c>
      <c r="K3853" s="74" t="str">
        <f t="shared" si="181"/>
        <v/>
      </c>
      <c r="L3853" s="58" t="str">
        <f t="shared" si="182"/>
        <v/>
      </c>
    </row>
    <row r="3854" spans="10:12" ht="16.5" customHeight="1" x14ac:dyDescent="0.35">
      <c r="J3854" s="56" t="str">
        <f t="shared" si="180"/>
        <v/>
      </c>
      <c r="K3854" s="74" t="str">
        <f t="shared" si="181"/>
        <v/>
      </c>
      <c r="L3854" s="58" t="str">
        <f t="shared" si="182"/>
        <v/>
      </c>
    </row>
    <row r="3855" spans="10:12" ht="16.5" customHeight="1" x14ac:dyDescent="0.35">
      <c r="J3855" s="56" t="str">
        <f t="shared" si="180"/>
        <v/>
      </c>
      <c r="K3855" s="74" t="str">
        <f t="shared" si="181"/>
        <v/>
      </c>
      <c r="L3855" s="58" t="str">
        <f t="shared" si="182"/>
        <v/>
      </c>
    </row>
    <row r="3856" spans="10:12" ht="16.5" customHeight="1" x14ac:dyDescent="0.35">
      <c r="J3856" s="56" t="str">
        <f t="shared" si="180"/>
        <v/>
      </c>
      <c r="K3856" s="74" t="str">
        <f t="shared" si="181"/>
        <v/>
      </c>
      <c r="L3856" s="58" t="str">
        <f t="shared" si="182"/>
        <v/>
      </c>
    </row>
    <row r="3857" spans="10:12" ht="16.5" customHeight="1" x14ac:dyDescent="0.35">
      <c r="J3857" s="56" t="str">
        <f t="shared" si="180"/>
        <v/>
      </c>
      <c r="K3857" s="74" t="str">
        <f t="shared" si="181"/>
        <v/>
      </c>
      <c r="L3857" s="58" t="str">
        <f t="shared" si="182"/>
        <v/>
      </c>
    </row>
    <row r="3858" spans="10:12" ht="16.5" customHeight="1" x14ac:dyDescent="0.35">
      <c r="J3858" s="56" t="str">
        <f t="shared" si="180"/>
        <v/>
      </c>
      <c r="K3858" s="74" t="str">
        <f t="shared" si="181"/>
        <v/>
      </c>
      <c r="L3858" s="58" t="str">
        <f t="shared" si="182"/>
        <v/>
      </c>
    </row>
    <row r="3859" spans="10:12" ht="16.5" customHeight="1" x14ac:dyDescent="0.35">
      <c r="J3859" s="56" t="str">
        <f t="shared" si="180"/>
        <v/>
      </c>
      <c r="K3859" s="74" t="str">
        <f t="shared" si="181"/>
        <v/>
      </c>
      <c r="L3859" s="58" t="str">
        <f t="shared" si="182"/>
        <v/>
      </c>
    </row>
    <row r="3860" spans="10:12" ht="16.5" customHeight="1" x14ac:dyDescent="0.35">
      <c r="J3860" s="56" t="str">
        <f t="shared" si="180"/>
        <v/>
      </c>
      <c r="K3860" s="74" t="str">
        <f t="shared" si="181"/>
        <v/>
      </c>
      <c r="L3860" s="58" t="str">
        <f t="shared" si="182"/>
        <v/>
      </c>
    </row>
    <row r="3861" spans="10:12" ht="16.5" customHeight="1" x14ac:dyDescent="0.35">
      <c r="J3861" s="56" t="str">
        <f t="shared" si="180"/>
        <v/>
      </c>
      <c r="K3861" s="74" t="str">
        <f t="shared" si="181"/>
        <v/>
      </c>
      <c r="L3861" s="58" t="str">
        <f t="shared" si="182"/>
        <v/>
      </c>
    </row>
    <row r="3862" spans="10:12" ht="16.5" customHeight="1" x14ac:dyDescent="0.35">
      <c r="J3862" s="56" t="str">
        <f t="shared" si="180"/>
        <v/>
      </c>
      <c r="K3862" s="74" t="str">
        <f t="shared" si="181"/>
        <v/>
      </c>
      <c r="L3862" s="58" t="str">
        <f t="shared" si="182"/>
        <v/>
      </c>
    </row>
    <row r="3863" spans="10:12" ht="16.5" customHeight="1" x14ac:dyDescent="0.35">
      <c r="J3863" s="56" t="str">
        <f t="shared" si="180"/>
        <v/>
      </c>
      <c r="K3863" s="74" t="str">
        <f t="shared" si="181"/>
        <v/>
      </c>
      <c r="L3863" s="58" t="str">
        <f t="shared" si="182"/>
        <v/>
      </c>
    </row>
    <row r="3864" spans="10:12" ht="16.5" customHeight="1" x14ac:dyDescent="0.35">
      <c r="J3864" s="56" t="str">
        <f t="shared" si="180"/>
        <v/>
      </c>
      <c r="K3864" s="74" t="str">
        <f t="shared" si="181"/>
        <v/>
      </c>
      <c r="L3864" s="58" t="str">
        <f t="shared" si="182"/>
        <v/>
      </c>
    </row>
    <row r="3865" spans="10:12" ht="16.5" customHeight="1" x14ac:dyDescent="0.35">
      <c r="J3865" s="56" t="str">
        <f t="shared" si="180"/>
        <v/>
      </c>
      <c r="K3865" s="74" t="str">
        <f t="shared" si="181"/>
        <v/>
      </c>
      <c r="L3865" s="58" t="str">
        <f t="shared" si="182"/>
        <v/>
      </c>
    </row>
    <row r="3866" spans="10:12" ht="16.5" customHeight="1" x14ac:dyDescent="0.35">
      <c r="J3866" s="56" t="str">
        <f t="shared" si="180"/>
        <v/>
      </c>
      <c r="K3866" s="74" t="str">
        <f t="shared" si="181"/>
        <v/>
      </c>
      <c r="L3866" s="58" t="str">
        <f t="shared" si="182"/>
        <v/>
      </c>
    </row>
    <row r="3867" spans="10:12" ht="16.5" customHeight="1" x14ac:dyDescent="0.35">
      <c r="J3867" s="56" t="str">
        <f t="shared" si="180"/>
        <v/>
      </c>
      <c r="K3867" s="74" t="str">
        <f t="shared" si="181"/>
        <v/>
      </c>
      <c r="L3867" s="58" t="str">
        <f t="shared" si="182"/>
        <v/>
      </c>
    </row>
    <row r="3868" spans="10:12" ht="16.5" customHeight="1" x14ac:dyDescent="0.35">
      <c r="J3868" s="56" t="str">
        <f t="shared" si="180"/>
        <v/>
      </c>
      <c r="K3868" s="74" t="str">
        <f t="shared" si="181"/>
        <v/>
      </c>
      <c r="L3868" s="58" t="str">
        <f t="shared" si="182"/>
        <v/>
      </c>
    </row>
    <row r="3869" spans="10:12" ht="16.5" customHeight="1" x14ac:dyDescent="0.35">
      <c r="J3869" s="56" t="str">
        <f t="shared" si="180"/>
        <v/>
      </c>
      <c r="K3869" s="74" t="str">
        <f t="shared" si="181"/>
        <v/>
      </c>
      <c r="L3869" s="58" t="str">
        <f t="shared" si="182"/>
        <v/>
      </c>
    </row>
    <row r="3870" spans="10:12" ht="16.5" customHeight="1" x14ac:dyDescent="0.35">
      <c r="J3870" s="56" t="str">
        <f t="shared" si="180"/>
        <v/>
      </c>
      <c r="K3870" s="74" t="str">
        <f t="shared" si="181"/>
        <v/>
      </c>
      <c r="L3870" s="58" t="str">
        <f t="shared" si="182"/>
        <v/>
      </c>
    </row>
    <row r="3871" spans="10:12" ht="16.5" customHeight="1" x14ac:dyDescent="0.35">
      <c r="J3871" s="56" t="str">
        <f t="shared" si="180"/>
        <v/>
      </c>
      <c r="K3871" s="74" t="str">
        <f t="shared" si="181"/>
        <v/>
      </c>
      <c r="L3871" s="58" t="str">
        <f t="shared" si="182"/>
        <v/>
      </c>
    </row>
    <row r="3872" spans="10:12" ht="16.5" customHeight="1" x14ac:dyDescent="0.35">
      <c r="J3872" s="56" t="str">
        <f t="shared" si="180"/>
        <v/>
      </c>
      <c r="K3872" s="74" t="str">
        <f t="shared" si="181"/>
        <v/>
      </c>
      <c r="L3872" s="58" t="str">
        <f t="shared" si="182"/>
        <v/>
      </c>
    </row>
    <row r="3873" spans="10:12" ht="16.5" customHeight="1" x14ac:dyDescent="0.35">
      <c r="J3873" s="56" t="str">
        <f t="shared" si="180"/>
        <v/>
      </c>
      <c r="K3873" s="74" t="str">
        <f t="shared" si="181"/>
        <v/>
      </c>
      <c r="L3873" s="58" t="str">
        <f t="shared" si="182"/>
        <v/>
      </c>
    </row>
    <row r="3874" spans="10:12" ht="16.5" customHeight="1" x14ac:dyDescent="0.35">
      <c r="J3874" s="56" t="str">
        <f t="shared" si="180"/>
        <v/>
      </c>
      <c r="K3874" s="74" t="str">
        <f t="shared" si="181"/>
        <v/>
      </c>
      <c r="L3874" s="58" t="str">
        <f t="shared" si="182"/>
        <v/>
      </c>
    </row>
    <row r="3875" spans="10:12" ht="16.5" customHeight="1" x14ac:dyDescent="0.35">
      <c r="J3875" s="56" t="str">
        <f t="shared" si="180"/>
        <v/>
      </c>
      <c r="K3875" s="74" t="str">
        <f t="shared" si="181"/>
        <v/>
      </c>
      <c r="L3875" s="58" t="str">
        <f t="shared" si="182"/>
        <v/>
      </c>
    </row>
    <row r="3876" spans="10:12" ht="16.5" customHeight="1" x14ac:dyDescent="0.35">
      <c r="J3876" s="56" t="str">
        <f t="shared" si="180"/>
        <v/>
      </c>
      <c r="K3876" s="74" t="str">
        <f t="shared" si="181"/>
        <v/>
      </c>
      <c r="L3876" s="58" t="str">
        <f t="shared" si="182"/>
        <v/>
      </c>
    </row>
    <row r="3877" spans="10:12" ht="16.5" customHeight="1" x14ac:dyDescent="0.35">
      <c r="J3877" s="56" t="str">
        <f t="shared" si="180"/>
        <v/>
      </c>
      <c r="K3877" s="74" t="str">
        <f t="shared" si="181"/>
        <v/>
      </c>
      <c r="L3877" s="58" t="str">
        <f t="shared" si="182"/>
        <v/>
      </c>
    </row>
    <row r="3878" spans="10:12" ht="16.5" customHeight="1" x14ac:dyDescent="0.35">
      <c r="J3878" s="56" t="str">
        <f t="shared" si="180"/>
        <v/>
      </c>
      <c r="K3878" s="74" t="str">
        <f t="shared" si="181"/>
        <v/>
      </c>
      <c r="L3878" s="58" t="str">
        <f t="shared" si="182"/>
        <v/>
      </c>
    </row>
    <row r="3879" spans="10:12" ht="16.5" customHeight="1" x14ac:dyDescent="0.35">
      <c r="J3879" s="56" t="str">
        <f t="shared" si="180"/>
        <v/>
      </c>
      <c r="K3879" s="74" t="str">
        <f t="shared" si="181"/>
        <v/>
      </c>
      <c r="L3879" s="58" t="str">
        <f t="shared" si="182"/>
        <v/>
      </c>
    </row>
    <row r="3880" spans="10:12" ht="16.5" customHeight="1" x14ac:dyDescent="0.35">
      <c r="J3880" s="56" t="str">
        <f t="shared" si="180"/>
        <v/>
      </c>
      <c r="K3880" s="74" t="str">
        <f t="shared" si="181"/>
        <v/>
      </c>
      <c r="L3880" s="58" t="str">
        <f t="shared" si="182"/>
        <v/>
      </c>
    </row>
    <row r="3881" spans="10:12" ht="16.5" customHeight="1" x14ac:dyDescent="0.35">
      <c r="J3881" s="56" t="str">
        <f t="shared" si="180"/>
        <v/>
      </c>
      <c r="K3881" s="74" t="str">
        <f t="shared" si="181"/>
        <v/>
      </c>
      <c r="L3881" s="58" t="str">
        <f t="shared" si="182"/>
        <v/>
      </c>
    </row>
    <row r="3882" spans="10:12" ht="16.5" customHeight="1" x14ac:dyDescent="0.35">
      <c r="J3882" s="56" t="str">
        <f t="shared" si="180"/>
        <v/>
      </c>
      <c r="K3882" s="74" t="str">
        <f t="shared" si="181"/>
        <v/>
      </c>
      <c r="L3882" s="58" t="str">
        <f t="shared" si="182"/>
        <v/>
      </c>
    </row>
    <row r="3883" spans="10:12" ht="16.5" customHeight="1" x14ac:dyDescent="0.35">
      <c r="J3883" s="56" t="str">
        <f t="shared" si="180"/>
        <v/>
      </c>
      <c r="K3883" s="74" t="str">
        <f t="shared" si="181"/>
        <v/>
      </c>
      <c r="L3883" s="58" t="str">
        <f t="shared" si="182"/>
        <v/>
      </c>
    </row>
    <row r="3884" spans="10:12" ht="16.5" customHeight="1" x14ac:dyDescent="0.35">
      <c r="J3884" s="56" t="str">
        <f t="shared" si="180"/>
        <v/>
      </c>
      <c r="K3884" s="74" t="str">
        <f t="shared" si="181"/>
        <v/>
      </c>
      <c r="L3884" s="58" t="str">
        <f t="shared" si="182"/>
        <v/>
      </c>
    </row>
    <row r="3885" spans="10:12" ht="16.5" customHeight="1" x14ac:dyDescent="0.35">
      <c r="J3885" s="56" t="str">
        <f t="shared" si="180"/>
        <v/>
      </c>
      <c r="K3885" s="74" t="str">
        <f t="shared" si="181"/>
        <v/>
      </c>
      <c r="L3885" s="58" t="str">
        <f t="shared" si="182"/>
        <v/>
      </c>
    </row>
    <row r="3886" spans="10:12" ht="16.5" customHeight="1" x14ac:dyDescent="0.35">
      <c r="J3886" s="56" t="str">
        <f t="shared" si="180"/>
        <v/>
      </c>
      <c r="K3886" s="74" t="str">
        <f t="shared" si="181"/>
        <v/>
      </c>
      <c r="L3886" s="58" t="str">
        <f t="shared" si="182"/>
        <v/>
      </c>
    </row>
    <row r="3887" spans="10:12" ht="16.5" customHeight="1" x14ac:dyDescent="0.35">
      <c r="J3887" s="56" t="str">
        <f t="shared" si="180"/>
        <v/>
      </c>
      <c r="K3887" s="74" t="str">
        <f t="shared" si="181"/>
        <v/>
      </c>
      <c r="L3887" s="58" t="str">
        <f t="shared" si="182"/>
        <v/>
      </c>
    </row>
    <row r="3888" spans="10:12" ht="16.5" customHeight="1" x14ac:dyDescent="0.35">
      <c r="J3888" s="56" t="str">
        <f t="shared" si="180"/>
        <v/>
      </c>
      <c r="K3888" s="74" t="str">
        <f t="shared" si="181"/>
        <v/>
      </c>
      <c r="L3888" s="58" t="str">
        <f t="shared" si="182"/>
        <v/>
      </c>
    </row>
    <row r="3889" spans="10:12" ht="16.5" customHeight="1" x14ac:dyDescent="0.35">
      <c r="J3889" s="56" t="str">
        <f t="shared" si="180"/>
        <v/>
      </c>
      <c r="K3889" s="74" t="str">
        <f t="shared" si="181"/>
        <v/>
      </c>
      <c r="L3889" s="58" t="str">
        <f t="shared" si="182"/>
        <v/>
      </c>
    </row>
    <row r="3890" spans="10:12" ht="16.5" customHeight="1" x14ac:dyDescent="0.35">
      <c r="J3890" s="56" t="str">
        <f t="shared" si="180"/>
        <v/>
      </c>
      <c r="K3890" s="74" t="str">
        <f t="shared" si="181"/>
        <v/>
      </c>
      <c r="L3890" s="58" t="str">
        <f t="shared" si="182"/>
        <v/>
      </c>
    </row>
    <row r="3891" spans="10:12" ht="16.5" customHeight="1" x14ac:dyDescent="0.35">
      <c r="J3891" s="56" t="str">
        <f t="shared" si="180"/>
        <v/>
      </c>
      <c r="K3891" s="74" t="str">
        <f t="shared" si="181"/>
        <v/>
      </c>
      <c r="L3891" s="58" t="str">
        <f t="shared" si="182"/>
        <v/>
      </c>
    </row>
    <row r="3892" spans="10:12" ht="16.5" customHeight="1" x14ac:dyDescent="0.35">
      <c r="J3892" s="56" t="str">
        <f t="shared" si="180"/>
        <v/>
      </c>
      <c r="K3892" s="74" t="str">
        <f t="shared" si="181"/>
        <v/>
      </c>
      <c r="L3892" s="58" t="str">
        <f t="shared" si="182"/>
        <v/>
      </c>
    </row>
    <row r="3893" spans="10:12" ht="16.5" customHeight="1" x14ac:dyDescent="0.35">
      <c r="J3893" s="56" t="str">
        <f t="shared" si="180"/>
        <v/>
      </c>
      <c r="K3893" s="74" t="str">
        <f t="shared" si="181"/>
        <v/>
      </c>
      <c r="L3893" s="58" t="str">
        <f t="shared" si="182"/>
        <v/>
      </c>
    </row>
    <row r="3894" spans="10:12" ht="16.5" customHeight="1" x14ac:dyDescent="0.35">
      <c r="J3894" s="56" t="str">
        <f t="shared" si="180"/>
        <v/>
      </c>
      <c r="K3894" s="74" t="str">
        <f t="shared" si="181"/>
        <v/>
      </c>
      <c r="L3894" s="58" t="str">
        <f t="shared" si="182"/>
        <v/>
      </c>
    </row>
    <row r="3895" spans="10:12" ht="16.5" customHeight="1" x14ac:dyDescent="0.35">
      <c r="J3895" s="56" t="str">
        <f t="shared" si="180"/>
        <v/>
      </c>
      <c r="K3895" s="74" t="str">
        <f t="shared" si="181"/>
        <v/>
      </c>
      <c r="L3895" s="58" t="str">
        <f t="shared" si="182"/>
        <v/>
      </c>
    </row>
    <row r="3896" spans="10:12" ht="16.5" customHeight="1" x14ac:dyDescent="0.35">
      <c r="J3896" s="56" t="str">
        <f t="shared" si="180"/>
        <v/>
      </c>
      <c r="K3896" s="74" t="str">
        <f t="shared" si="181"/>
        <v/>
      </c>
      <c r="L3896" s="58" t="str">
        <f t="shared" si="182"/>
        <v/>
      </c>
    </row>
    <row r="3897" spans="10:12" ht="16.5" customHeight="1" x14ac:dyDescent="0.35">
      <c r="J3897" s="56" t="str">
        <f t="shared" si="180"/>
        <v/>
      </c>
      <c r="K3897" s="74" t="str">
        <f t="shared" si="181"/>
        <v/>
      </c>
      <c r="L3897" s="58" t="str">
        <f t="shared" si="182"/>
        <v/>
      </c>
    </row>
    <row r="3898" spans="10:12" ht="16.5" customHeight="1" x14ac:dyDescent="0.35">
      <c r="J3898" s="56" t="str">
        <f t="shared" si="180"/>
        <v/>
      </c>
      <c r="K3898" s="74" t="str">
        <f t="shared" si="181"/>
        <v/>
      </c>
      <c r="L3898" s="58" t="str">
        <f t="shared" si="182"/>
        <v/>
      </c>
    </row>
    <row r="3899" spans="10:12" ht="16.5" customHeight="1" x14ac:dyDescent="0.35">
      <c r="J3899" s="56" t="str">
        <f t="shared" si="180"/>
        <v/>
      </c>
      <c r="K3899" s="74" t="str">
        <f t="shared" si="181"/>
        <v/>
      </c>
      <c r="L3899" s="58" t="str">
        <f t="shared" si="182"/>
        <v/>
      </c>
    </row>
    <row r="3900" spans="10:12" ht="16.5" customHeight="1" x14ac:dyDescent="0.35">
      <c r="J3900" s="56" t="str">
        <f t="shared" si="180"/>
        <v/>
      </c>
      <c r="K3900" s="74" t="str">
        <f t="shared" si="181"/>
        <v/>
      </c>
      <c r="L3900" s="58" t="str">
        <f t="shared" si="182"/>
        <v/>
      </c>
    </row>
    <row r="3901" spans="10:12" ht="16.5" customHeight="1" x14ac:dyDescent="0.35">
      <c r="J3901" s="56" t="str">
        <f t="shared" si="180"/>
        <v/>
      </c>
      <c r="K3901" s="74" t="str">
        <f t="shared" si="181"/>
        <v/>
      </c>
      <c r="L3901" s="58" t="str">
        <f t="shared" si="182"/>
        <v/>
      </c>
    </row>
    <row r="3902" spans="10:12" ht="16.5" customHeight="1" x14ac:dyDescent="0.35">
      <c r="J3902" s="56" t="str">
        <f t="shared" si="180"/>
        <v/>
      </c>
      <c r="K3902" s="74" t="str">
        <f t="shared" si="181"/>
        <v/>
      </c>
      <c r="L3902" s="58" t="str">
        <f t="shared" si="182"/>
        <v/>
      </c>
    </row>
    <row r="3903" spans="10:12" ht="16.5" customHeight="1" x14ac:dyDescent="0.35">
      <c r="J3903" s="56" t="str">
        <f t="shared" si="180"/>
        <v/>
      </c>
      <c r="K3903" s="74" t="str">
        <f t="shared" si="181"/>
        <v/>
      </c>
      <c r="L3903" s="58" t="str">
        <f t="shared" si="182"/>
        <v/>
      </c>
    </row>
    <row r="3904" spans="10:12" ht="16.5" customHeight="1" x14ac:dyDescent="0.35">
      <c r="J3904" s="56" t="str">
        <f t="shared" si="180"/>
        <v/>
      </c>
      <c r="K3904" s="74" t="str">
        <f t="shared" si="181"/>
        <v/>
      </c>
      <c r="L3904" s="58" t="str">
        <f t="shared" si="182"/>
        <v/>
      </c>
    </row>
    <row r="3905" spans="10:12" ht="16.5" customHeight="1" x14ac:dyDescent="0.35">
      <c r="J3905" s="56" t="str">
        <f t="shared" si="180"/>
        <v/>
      </c>
      <c r="K3905" s="74" t="str">
        <f t="shared" si="181"/>
        <v/>
      </c>
      <c r="L3905" s="58" t="str">
        <f t="shared" si="182"/>
        <v/>
      </c>
    </row>
    <row r="3906" spans="10:12" ht="16.5" customHeight="1" x14ac:dyDescent="0.35">
      <c r="J3906" s="56" t="str">
        <f t="shared" si="180"/>
        <v/>
      </c>
      <c r="K3906" s="74" t="str">
        <f t="shared" si="181"/>
        <v/>
      </c>
      <c r="L3906" s="58" t="str">
        <f t="shared" si="182"/>
        <v/>
      </c>
    </row>
    <row r="3907" spans="10:12" ht="16.5" customHeight="1" x14ac:dyDescent="0.35">
      <c r="J3907" s="56" t="str">
        <f t="shared" si="180"/>
        <v/>
      </c>
      <c r="K3907" s="74" t="str">
        <f t="shared" si="181"/>
        <v/>
      </c>
      <c r="L3907" s="58" t="str">
        <f t="shared" si="182"/>
        <v/>
      </c>
    </row>
    <row r="3908" spans="10:12" ht="16.5" customHeight="1" x14ac:dyDescent="0.35">
      <c r="J3908" s="56" t="str">
        <f t="shared" si="180"/>
        <v/>
      </c>
      <c r="K3908" s="74" t="str">
        <f t="shared" si="181"/>
        <v/>
      </c>
      <c r="L3908" s="58" t="str">
        <f t="shared" si="182"/>
        <v/>
      </c>
    </row>
    <row r="3909" spans="10:12" ht="16.5" customHeight="1" x14ac:dyDescent="0.35">
      <c r="J3909" s="56" t="str">
        <f t="shared" si="180"/>
        <v/>
      </c>
      <c r="K3909" s="74" t="str">
        <f t="shared" si="181"/>
        <v/>
      </c>
      <c r="L3909" s="58" t="str">
        <f t="shared" si="182"/>
        <v/>
      </c>
    </row>
    <row r="3910" spans="10:12" ht="16.5" customHeight="1" x14ac:dyDescent="0.35">
      <c r="J3910" s="56" t="str">
        <f t="shared" si="180"/>
        <v/>
      </c>
      <c r="K3910" s="74" t="str">
        <f t="shared" si="181"/>
        <v/>
      </c>
      <c r="L3910" s="58" t="str">
        <f t="shared" si="182"/>
        <v/>
      </c>
    </row>
    <row r="3911" spans="10:12" ht="16.5" customHeight="1" x14ac:dyDescent="0.35">
      <c r="J3911" s="56" t="str">
        <f t="shared" si="180"/>
        <v/>
      </c>
      <c r="K3911" s="74" t="str">
        <f t="shared" si="181"/>
        <v/>
      </c>
      <c r="L3911" s="58" t="str">
        <f t="shared" si="182"/>
        <v/>
      </c>
    </row>
    <row r="3912" spans="10:12" ht="16.5" customHeight="1" x14ac:dyDescent="0.35">
      <c r="J3912" s="56" t="str">
        <f t="shared" si="180"/>
        <v/>
      </c>
      <c r="K3912" s="74" t="str">
        <f t="shared" si="181"/>
        <v/>
      </c>
      <c r="L3912" s="58" t="str">
        <f t="shared" si="182"/>
        <v/>
      </c>
    </row>
    <row r="3913" spans="10:12" ht="16.5" customHeight="1" x14ac:dyDescent="0.35">
      <c r="J3913" s="56" t="str">
        <f t="shared" ref="J3913:J3976" si="183">IF(A3913="","",A$5-A3913)</f>
        <v/>
      </c>
      <c r="K3913" s="74" t="str">
        <f t="shared" ref="K3913:K3976" si="184">IF(J3913="","",IF(J3913&lt;4,"0-3 Days",IF(J3913&lt;31,"4-30 Days",IF(J3913&lt;61,"31-60 Days",IF(J3913&lt;=90,"61-90 Days",IF(J3913&gt;90,"Above 90 Days","0"))))))</f>
        <v/>
      </c>
      <c r="L3913" s="58" t="str">
        <f t="shared" ref="L3913:L3976" si="185">IF(C3913="","",IF(C3913&gt;0,IF(J3913&lt;30,"Normal",IF(J3913&lt;60,"Especially Mentioned",IF(J3913&lt;90,"Substandard",IF(J3913&lt;=180,"Doubtful",IF(J3913&gt;180,"Loss","0"))))),"Not Applicable"))</f>
        <v/>
      </c>
    </row>
    <row r="3914" spans="10:12" ht="16.5" customHeight="1" x14ac:dyDescent="0.35">
      <c r="J3914" s="56" t="str">
        <f t="shared" si="183"/>
        <v/>
      </c>
      <c r="K3914" s="74" t="str">
        <f t="shared" si="184"/>
        <v/>
      </c>
      <c r="L3914" s="58" t="str">
        <f t="shared" si="185"/>
        <v/>
      </c>
    </row>
    <row r="3915" spans="10:12" ht="16.5" customHeight="1" x14ac:dyDescent="0.35">
      <c r="J3915" s="56" t="str">
        <f t="shared" si="183"/>
        <v/>
      </c>
      <c r="K3915" s="74" t="str">
        <f t="shared" si="184"/>
        <v/>
      </c>
      <c r="L3915" s="58" t="str">
        <f t="shared" si="185"/>
        <v/>
      </c>
    </row>
    <row r="3916" spans="10:12" ht="16.5" customHeight="1" x14ac:dyDescent="0.35">
      <c r="J3916" s="56" t="str">
        <f t="shared" si="183"/>
        <v/>
      </c>
      <c r="K3916" s="74" t="str">
        <f t="shared" si="184"/>
        <v/>
      </c>
      <c r="L3916" s="58" t="str">
        <f t="shared" si="185"/>
        <v/>
      </c>
    </row>
    <row r="3917" spans="10:12" ht="16.5" customHeight="1" x14ac:dyDescent="0.35">
      <c r="J3917" s="56" t="str">
        <f t="shared" si="183"/>
        <v/>
      </c>
      <c r="K3917" s="74" t="str">
        <f t="shared" si="184"/>
        <v/>
      </c>
      <c r="L3917" s="58" t="str">
        <f t="shared" si="185"/>
        <v/>
      </c>
    </row>
    <row r="3918" spans="10:12" ht="16.5" customHeight="1" x14ac:dyDescent="0.35">
      <c r="J3918" s="56" t="str">
        <f t="shared" si="183"/>
        <v/>
      </c>
      <c r="K3918" s="74" t="str">
        <f t="shared" si="184"/>
        <v/>
      </c>
      <c r="L3918" s="58" t="str">
        <f t="shared" si="185"/>
        <v/>
      </c>
    </row>
    <row r="3919" spans="10:12" ht="16.5" customHeight="1" x14ac:dyDescent="0.35">
      <c r="J3919" s="56" t="str">
        <f t="shared" si="183"/>
        <v/>
      </c>
      <c r="K3919" s="74" t="str">
        <f t="shared" si="184"/>
        <v/>
      </c>
      <c r="L3919" s="58" t="str">
        <f t="shared" si="185"/>
        <v/>
      </c>
    </row>
    <row r="3920" spans="10:12" ht="16.5" customHeight="1" x14ac:dyDescent="0.35">
      <c r="J3920" s="56" t="str">
        <f t="shared" si="183"/>
        <v/>
      </c>
      <c r="K3920" s="74" t="str">
        <f t="shared" si="184"/>
        <v/>
      </c>
      <c r="L3920" s="58" t="str">
        <f t="shared" si="185"/>
        <v/>
      </c>
    </row>
    <row r="3921" spans="10:12" ht="16.5" customHeight="1" x14ac:dyDescent="0.35">
      <c r="J3921" s="56" t="str">
        <f t="shared" si="183"/>
        <v/>
      </c>
      <c r="K3921" s="74" t="str">
        <f t="shared" si="184"/>
        <v/>
      </c>
      <c r="L3921" s="58" t="str">
        <f t="shared" si="185"/>
        <v/>
      </c>
    </row>
    <row r="3922" spans="10:12" ht="16.5" customHeight="1" x14ac:dyDescent="0.35">
      <c r="J3922" s="56" t="str">
        <f t="shared" si="183"/>
        <v/>
      </c>
      <c r="K3922" s="74" t="str">
        <f t="shared" si="184"/>
        <v/>
      </c>
      <c r="L3922" s="58" t="str">
        <f t="shared" si="185"/>
        <v/>
      </c>
    </row>
    <row r="3923" spans="10:12" ht="16.5" customHeight="1" x14ac:dyDescent="0.35">
      <c r="J3923" s="56" t="str">
        <f t="shared" si="183"/>
        <v/>
      </c>
      <c r="K3923" s="74" t="str">
        <f t="shared" si="184"/>
        <v/>
      </c>
      <c r="L3923" s="58" t="str">
        <f t="shared" si="185"/>
        <v/>
      </c>
    </row>
    <row r="3924" spans="10:12" ht="16.5" customHeight="1" x14ac:dyDescent="0.35">
      <c r="J3924" s="56" t="str">
        <f t="shared" si="183"/>
        <v/>
      </c>
      <c r="K3924" s="74" t="str">
        <f t="shared" si="184"/>
        <v/>
      </c>
      <c r="L3924" s="58" t="str">
        <f t="shared" si="185"/>
        <v/>
      </c>
    </row>
    <row r="3925" spans="10:12" ht="16.5" customHeight="1" x14ac:dyDescent="0.35">
      <c r="J3925" s="56" t="str">
        <f t="shared" si="183"/>
        <v/>
      </c>
      <c r="K3925" s="74" t="str">
        <f t="shared" si="184"/>
        <v/>
      </c>
      <c r="L3925" s="58" t="str">
        <f t="shared" si="185"/>
        <v/>
      </c>
    </row>
    <row r="3926" spans="10:12" ht="16.5" customHeight="1" x14ac:dyDescent="0.35">
      <c r="J3926" s="56" t="str">
        <f t="shared" si="183"/>
        <v/>
      </c>
      <c r="K3926" s="74" t="str">
        <f t="shared" si="184"/>
        <v/>
      </c>
      <c r="L3926" s="58" t="str">
        <f t="shared" si="185"/>
        <v/>
      </c>
    </row>
    <row r="3927" spans="10:12" ht="16.5" customHeight="1" x14ac:dyDescent="0.35">
      <c r="J3927" s="56" t="str">
        <f t="shared" si="183"/>
        <v/>
      </c>
      <c r="K3927" s="74" t="str">
        <f t="shared" si="184"/>
        <v/>
      </c>
      <c r="L3927" s="58" t="str">
        <f t="shared" si="185"/>
        <v/>
      </c>
    </row>
    <row r="3928" spans="10:12" ht="16.5" customHeight="1" x14ac:dyDescent="0.35">
      <c r="J3928" s="56" t="str">
        <f t="shared" si="183"/>
        <v/>
      </c>
      <c r="K3928" s="74" t="str">
        <f t="shared" si="184"/>
        <v/>
      </c>
      <c r="L3928" s="58" t="str">
        <f t="shared" si="185"/>
        <v/>
      </c>
    </row>
    <row r="3929" spans="10:12" ht="16.5" customHeight="1" x14ac:dyDescent="0.35">
      <c r="J3929" s="56" t="str">
        <f t="shared" si="183"/>
        <v/>
      </c>
      <c r="K3929" s="74" t="str">
        <f t="shared" si="184"/>
        <v/>
      </c>
      <c r="L3929" s="58" t="str">
        <f t="shared" si="185"/>
        <v/>
      </c>
    </row>
    <row r="3930" spans="10:12" ht="16.5" customHeight="1" x14ac:dyDescent="0.35">
      <c r="J3930" s="56" t="str">
        <f t="shared" si="183"/>
        <v/>
      </c>
      <c r="K3930" s="74" t="str">
        <f t="shared" si="184"/>
        <v/>
      </c>
      <c r="L3930" s="58" t="str">
        <f t="shared" si="185"/>
        <v/>
      </c>
    </row>
    <row r="3931" spans="10:12" ht="16.5" customHeight="1" x14ac:dyDescent="0.35">
      <c r="J3931" s="56" t="str">
        <f t="shared" si="183"/>
        <v/>
      </c>
      <c r="K3931" s="74" t="str">
        <f t="shared" si="184"/>
        <v/>
      </c>
      <c r="L3931" s="58" t="str">
        <f t="shared" si="185"/>
        <v/>
      </c>
    </row>
    <row r="3932" spans="10:12" ht="16.5" customHeight="1" x14ac:dyDescent="0.35">
      <c r="J3932" s="56" t="str">
        <f t="shared" si="183"/>
        <v/>
      </c>
      <c r="K3932" s="74" t="str">
        <f t="shared" si="184"/>
        <v/>
      </c>
      <c r="L3932" s="58" t="str">
        <f t="shared" si="185"/>
        <v/>
      </c>
    </row>
    <row r="3933" spans="10:12" ht="16.5" customHeight="1" x14ac:dyDescent="0.35">
      <c r="J3933" s="56" t="str">
        <f t="shared" si="183"/>
        <v/>
      </c>
      <c r="K3933" s="74" t="str">
        <f t="shared" si="184"/>
        <v/>
      </c>
      <c r="L3933" s="58" t="str">
        <f t="shared" si="185"/>
        <v/>
      </c>
    </row>
    <row r="3934" spans="10:12" ht="16.5" customHeight="1" x14ac:dyDescent="0.35">
      <c r="J3934" s="56" t="str">
        <f t="shared" si="183"/>
        <v/>
      </c>
      <c r="K3934" s="74" t="str">
        <f t="shared" si="184"/>
        <v/>
      </c>
      <c r="L3934" s="58" t="str">
        <f t="shared" si="185"/>
        <v/>
      </c>
    </row>
    <row r="3935" spans="10:12" ht="16.5" customHeight="1" x14ac:dyDescent="0.35">
      <c r="J3935" s="56" t="str">
        <f t="shared" si="183"/>
        <v/>
      </c>
      <c r="K3935" s="74" t="str">
        <f t="shared" si="184"/>
        <v/>
      </c>
      <c r="L3935" s="58" t="str">
        <f t="shared" si="185"/>
        <v/>
      </c>
    </row>
    <row r="3936" spans="10:12" ht="16.5" customHeight="1" x14ac:dyDescent="0.35">
      <c r="J3936" s="56" t="str">
        <f t="shared" si="183"/>
        <v/>
      </c>
      <c r="K3936" s="74" t="str">
        <f t="shared" si="184"/>
        <v/>
      </c>
      <c r="L3936" s="58" t="str">
        <f t="shared" si="185"/>
        <v/>
      </c>
    </row>
    <row r="3937" spans="10:12" ht="16.5" customHeight="1" x14ac:dyDescent="0.35">
      <c r="J3937" s="56" t="str">
        <f t="shared" si="183"/>
        <v/>
      </c>
      <c r="K3937" s="74" t="str">
        <f t="shared" si="184"/>
        <v/>
      </c>
      <c r="L3937" s="58" t="str">
        <f t="shared" si="185"/>
        <v/>
      </c>
    </row>
    <row r="3938" spans="10:12" ht="16.5" customHeight="1" x14ac:dyDescent="0.35">
      <c r="J3938" s="56" t="str">
        <f t="shared" si="183"/>
        <v/>
      </c>
      <c r="K3938" s="74" t="str">
        <f t="shared" si="184"/>
        <v/>
      </c>
      <c r="L3938" s="58" t="str">
        <f t="shared" si="185"/>
        <v/>
      </c>
    </row>
    <row r="3939" spans="10:12" ht="16.5" customHeight="1" x14ac:dyDescent="0.35">
      <c r="J3939" s="56" t="str">
        <f t="shared" si="183"/>
        <v/>
      </c>
      <c r="K3939" s="74" t="str">
        <f t="shared" si="184"/>
        <v/>
      </c>
      <c r="L3939" s="58" t="str">
        <f t="shared" si="185"/>
        <v/>
      </c>
    </row>
    <row r="3940" spans="10:12" ht="16.5" customHeight="1" x14ac:dyDescent="0.35">
      <c r="J3940" s="56" t="str">
        <f t="shared" si="183"/>
        <v/>
      </c>
      <c r="K3940" s="74" t="str">
        <f t="shared" si="184"/>
        <v/>
      </c>
      <c r="L3940" s="58" t="str">
        <f t="shared" si="185"/>
        <v/>
      </c>
    </row>
    <row r="3941" spans="10:12" ht="16.5" customHeight="1" x14ac:dyDescent="0.35">
      <c r="J3941" s="56" t="str">
        <f t="shared" si="183"/>
        <v/>
      </c>
      <c r="K3941" s="74" t="str">
        <f t="shared" si="184"/>
        <v/>
      </c>
      <c r="L3941" s="58" t="str">
        <f t="shared" si="185"/>
        <v/>
      </c>
    </row>
    <row r="3942" spans="10:12" ht="16.5" customHeight="1" x14ac:dyDescent="0.35">
      <c r="J3942" s="56" t="str">
        <f t="shared" si="183"/>
        <v/>
      </c>
      <c r="K3942" s="74" t="str">
        <f t="shared" si="184"/>
        <v/>
      </c>
      <c r="L3942" s="58" t="str">
        <f t="shared" si="185"/>
        <v/>
      </c>
    </row>
    <row r="3943" spans="10:12" ht="16.5" customHeight="1" x14ac:dyDescent="0.35">
      <c r="J3943" s="56" t="str">
        <f t="shared" si="183"/>
        <v/>
      </c>
      <c r="K3943" s="74" t="str">
        <f t="shared" si="184"/>
        <v/>
      </c>
      <c r="L3943" s="58" t="str">
        <f t="shared" si="185"/>
        <v/>
      </c>
    </row>
    <row r="3944" spans="10:12" ht="16.5" customHeight="1" x14ac:dyDescent="0.35">
      <c r="J3944" s="56" t="str">
        <f t="shared" si="183"/>
        <v/>
      </c>
      <c r="K3944" s="74" t="str">
        <f t="shared" si="184"/>
        <v/>
      </c>
      <c r="L3944" s="58" t="str">
        <f t="shared" si="185"/>
        <v/>
      </c>
    </row>
    <row r="3945" spans="10:12" ht="16.5" customHeight="1" x14ac:dyDescent="0.35">
      <c r="J3945" s="56" t="str">
        <f t="shared" si="183"/>
        <v/>
      </c>
      <c r="K3945" s="74" t="str">
        <f t="shared" si="184"/>
        <v/>
      </c>
      <c r="L3945" s="58" t="str">
        <f t="shared" si="185"/>
        <v/>
      </c>
    </row>
    <row r="3946" spans="10:12" ht="16.5" customHeight="1" x14ac:dyDescent="0.35">
      <c r="J3946" s="56" t="str">
        <f t="shared" si="183"/>
        <v/>
      </c>
      <c r="K3946" s="74" t="str">
        <f t="shared" si="184"/>
        <v/>
      </c>
      <c r="L3946" s="58" t="str">
        <f t="shared" si="185"/>
        <v/>
      </c>
    </row>
    <row r="3947" spans="10:12" ht="16.5" customHeight="1" x14ac:dyDescent="0.35">
      <c r="J3947" s="56" t="str">
        <f t="shared" si="183"/>
        <v/>
      </c>
      <c r="K3947" s="74" t="str">
        <f t="shared" si="184"/>
        <v/>
      </c>
      <c r="L3947" s="58" t="str">
        <f t="shared" si="185"/>
        <v/>
      </c>
    </row>
    <row r="3948" spans="10:12" ht="16.5" customHeight="1" x14ac:dyDescent="0.35">
      <c r="J3948" s="56" t="str">
        <f t="shared" si="183"/>
        <v/>
      </c>
      <c r="K3948" s="74" t="str">
        <f t="shared" si="184"/>
        <v/>
      </c>
      <c r="L3948" s="58" t="str">
        <f t="shared" si="185"/>
        <v/>
      </c>
    </row>
    <row r="3949" spans="10:12" ht="16.5" customHeight="1" x14ac:dyDescent="0.35">
      <c r="J3949" s="56" t="str">
        <f t="shared" si="183"/>
        <v/>
      </c>
      <c r="K3949" s="74" t="str">
        <f t="shared" si="184"/>
        <v/>
      </c>
      <c r="L3949" s="58" t="str">
        <f t="shared" si="185"/>
        <v/>
      </c>
    </row>
    <row r="3950" spans="10:12" ht="16.5" customHeight="1" x14ac:dyDescent="0.35">
      <c r="J3950" s="56" t="str">
        <f t="shared" si="183"/>
        <v/>
      </c>
      <c r="K3950" s="74" t="str">
        <f t="shared" si="184"/>
        <v/>
      </c>
      <c r="L3950" s="58" t="str">
        <f t="shared" si="185"/>
        <v/>
      </c>
    </row>
    <row r="3951" spans="10:12" ht="16.5" customHeight="1" x14ac:dyDescent="0.35">
      <c r="J3951" s="56" t="str">
        <f t="shared" si="183"/>
        <v/>
      </c>
      <c r="K3951" s="74" t="str">
        <f t="shared" si="184"/>
        <v/>
      </c>
      <c r="L3951" s="58" t="str">
        <f t="shared" si="185"/>
        <v/>
      </c>
    </row>
    <row r="3952" spans="10:12" ht="16.5" customHeight="1" x14ac:dyDescent="0.35">
      <c r="J3952" s="56" t="str">
        <f t="shared" si="183"/>
        <v/>
      </c>
      <c r="K3952" s="74" t="str">
        <f t="shared" si="184"/>
        <v/>
      </c>
      <c r="L3952" s="58" t="str">
        <f t="shared" si="185"/>
        <v/>
      </c>
    </row>
    <row r="3953" spans="10:12" ht="16.5" customHeight="1" x14ac:dyDescent="0.35">
      <c r="J3953" s="56" t="str">
        <f t="shared" si="183"/>
        <v/>
      </c>
      <c r="K3953" s="74" t="str">
        <f t="shared" si="184"/>
        <v/>
      </c>
      <c r="L3953" s="58" t="str">
        <f t="shared" si="185"/>
        <v/>
      </c>
    </row>
    <row r="3954" spans="10:12" ht="16.5" customHeight="1" x14ac:dyDescent="0.35">
      <c r="J3954" s="56" t="str">
        <f t="shared" si="183"/>
        <v/>
      </c>
      <c r="K3954" s="74" t="str">
        <f t="shared" si="184"/>
        <v/>
      </c>
      <c r="L3954" s="58" t="str">
        <f t="shared" si="185"/>
        <v/>
      </c>
    </row>
    <row r="3955" spans="10:12" ht="16.5" customHeight="1" x14ac:dyDescent="0.35">
      <c r="J3955" s="56" t="str">
        <f t="shared" si="183"/>
        <v/>
      </c>
      <c r="K3955" s="74" t="str">
        <f t="shared" si="184"/>
        <v/>
      </c>
      <c r="L3955" s="58" t="str">
        <f t="shared" si="185"/>
        <v/>
      </c>
    </row>
    <row r="3956" spans="10:12" ht="16.5" customHeight="1" x14ac:dyDescent="0.35">
      <c r="J3956" s="56" t="str">
        <f t="shared" si="183"/>
        <v/>
      </c>
      <c r="K3956" s="74" t="str">
        <f t="shared" si="184"/>
        <v/>
      </c>
      <c r="L3956" s="58" t="str">
        <f t="shared" si="185"/>
        <v/>
      </c>
    </row>
    <row r="3957" spans="10:12" ht="16.5" customHeight="1" x14ac:dyDescent="0.35">
      <c r="J3957" s="56" t="str">
        <f t="shared" si="183"/>
        <v/>
      </c>
      <c r="K3957" s="74" t="str">
        <f t="shared" si="184"/>
        <v/>
      </c>
      <c r="L3957" s="58" t="str">
        <f t="shared" si="185"/>
        <v/>
      </c>
    </row>
    <row r="3958" spans="10:12" ht="16.5" customHeight="1" x14ac:dyDescent="0.35">
      <c r="J3958" s="56" t="str">
        <f t="shared" si="183"/>
        <v/>
      </c>
      <c r="K3958" s="74" t="str">
        <f t="shared" si="184"/>
        <v/>
      </c>
      <c r="L3958" s="58" t="str">
        <f t="shared" si="185"/>
        <v/>
      </c>
    </row>
    <row r="3959" spans="10:12" ht="16.5" customHeight="1" x14ac:dyDescent="0.35">
      <c r="J3959" s="56" t="str">
        <f t="shared" si="183"/>
        <v/>
      </c>
      <c r="K3959" s="74" t="str">
        <f t="shared" si="184"/>
        <v/>
      </c>
      <c r="L3959" s="58" t="str">
        <f t="shared" si="185"/>
        <v/>
      </c>
    </row>
    <row r="3960" spans="10:12" ht="16.5" customHeight="1" x14ac:dyDescent="0.35">
      <c r="J3960" s="56" t="str">
        <f t="shared" si="183"/>
        <v/>
      </c>
      <c r="K3960" s="74" t="str">
        <f t="shared" si="184"/>
        <v/>
      </c>
      <c r="L3960" s="58" t="str">
        <f t="shared" si="185"/>
        <v/>
      </c>
    </row>
    <row r="3961" spans="10:12" ht="16.5" customHeight="1" x14ac:dyDescent="0.35">
      <c r="J3961" s="56" t="str">
        <f t="shared" si="183"/>
        <v/>
      </c>
      <c r="K3961" s="74" t="str">
        <f t="shared" si="184"/>
        <v/>
      </c>
      <c r="L3961" s="58" t="str">
        <f t="shared" si="185"/>
        <v/>
      </c>
    </row>
    <row r="3962" spans="10:12" ht="16.5" customHeight="1" x14ac:dyDescent="0.35">
      <c r="J3962" s="56" t="str">
        <f t="shared" si="183"/>
        <v/>
      </c>
      <c r="K3962" s="74" t="str">
        <f t="shared" si="184"/>
        <v/>
      </c>
      <c r="L3962" s="58" t="str">
        <f t="shared" si="185"/>
        <v/>
      </c>
    </row>
    <row r="3963" spans="10:12" ht="16.5" customHeight="1" x14ac:dyDescent="0.35">
      <c r="J3963" s="56" t="str">
        <f t="shared" si="183"/>
        <v/>
      </c>
      <c r="K3963" s="74" t="str">
        <f t="shared" si="184"/>
        <v/>
      </c>
      <c r="L3963" s="58" t="str">
        <f t="shared" si="185"/>
        <v/>
      </c>
    </row>
    <row r="3964" spans="10:12" ht="16.5" customHeight="1" x14ac:dyDescent="0.35">
      <c r="J3964" s="56" t="str">
        <f t="shared" si="183"/>
        <v/>
      </c>
      <c r="K3964" s="74" t="str">
        <f t="shared" si="184"/>
        <v/>
      </c>
      <c r="L3964" s="58" t="str">
        <f t="shared" si="185"/>
        <v/>
      </c>
    </row>
    <row r="3965" spans="10:12" ht="16.5" customHeight="1" x14ac:dyDescent="0.35">
      <c r="J3965" s="56" t="str">
        <f t="shared" si="183"/>
        <v/>
      </c>
      <c r="K3965" s="74" t="str">
        <f t="shared" si="184"/>
        <v/>
      </c>
      <c r="L3965" s="58" t="str">
        <f t="shared" si="185"/>
        <v/>
      </c>
    </row>
    <row r="3966" spans="10:12" ht="16.5" customHeight="1" x14ac:dyDescent="0.35">
      <c r="J3966" s="56" t="str">
        <f t="shared" si="183"/>
        <v/>
      </c>
      <c r="K3966" s="74" t="str">
        <f t="shared" si="184"/>
        <v/>
      </c>
      <c r="L3966" s="58" t="str">
        <f t="shared" si="185"/>
        <v/>
      </c>
    </row>
    <row r="3967" spans="10:12" ht="16.5" customHeight="1" x14ac:dyDescent="0.35">
      <c r="J3967" s="56" t="str">
        <f t="shared" si="183"/>
        <v/>
      </c>
      <c r="K3967" s="74" t="str">
        <f t="shared" si="184"/>
        <v/>
      </c>
      <c r="L3967" s="58" t="str">
        <f t="shared" si="185"/>
        <v/>
      </c>
    </row>
    <row r="3968" spans="10:12" ht="16.5" customHeight="1" x14ac:dyDescent="0.35">
      <c r="J3968" s="56" t="str">
        <f t="shared" si="183"/>
        <v/>
      </c>
      <c r="K3968" s="74" t="str">
        <f t="shared" si="184"/>
        <v/>
      </c>
      <c r="L3968" s="58" t="str">
        <f t="shared" si="185"/>
        <v/>
      </c>
    </row>
    <row r="3969" spans="10:12" ht="16.5" customHeight="1" x14ac:dyDescent="0.35">
      <c r="J3969" s="56" t="str">
        <f t="shared" si="183"/>
        <v/>
      </c>
      <c r="K3969" s="74" t="str">
        <f t="shared" si="184"/>
        <v/>
      </c>
      <c r="L3969" s="58" t="str">
        <f t="shared" si="185"/>
        <v/>
      </c>
    </row>
    <row r="3970" spans="10:12" ht="16.5" customHeight="1" x14ac:dyDescent="0.35">
      <c r="J3970" s="56" t="str">
        <f t="shared" si="183"/>
        <v/>
      </c>
      <c r="K3970" s="74" t="str">
        <f t="shared" si="184"/>
        <v/>
      </c>
      <c r="L3970" s="58" t="str">
        <f t="shared" si="185"/>
        <v/>
      </c>
    </row>
    <row r="3971" spans="10:12" ht="16.5" customHeight="1" x14ac:dyDescent="0.35">
      <c r="J3971" s="56" t="str">
        <f t="shared" si="183"/>
        <v/>
      </c>
      <c r="K3971" s="74" t="str">
        <f t="shared" si="184"/>
        <v/>
      </c>
      <c r="L3971" s="58" t="str">
        <f t="shared" si="185"/>
        <v/>
      </c>
    </row>
    <row r="3972" spans="10:12" ht="16.5" customHeight="1" x14ac:dyDescent="0.35">
      <c r="J3972" s="56" t="str">
        <f t="shared" si="183"/>
        <v/>
      </c>
      <c r="K3972" s="74" t="str">
        <f t="shared" si="184"/>
        <v/>
      </c>
      <c r="L3972" s="58" t="str">
        <f t="shared" si="185"/>
        <v/>
      </c>
    </row>
    <row r="3973" spans="10:12" ht="16.5" customHeight="1" x14ac:dyDescent="0.35">
      <c r="J3973" s="56" t="str">
        <f t="shared" si="183"/>
        <v/>
      </c>
      <c r="K3973" s="74" t="str">
        <f t="shared" si="184"/>
        <v/>
      </c>
      <c r="L3973" s="58" t="str">
        <f t="shared" si="185"/>
        <v/>
      </c>
    </row>
    <row r="3974" spans="10:12" ht="16.5" customHeight="1" x14ac:dyDescent="0.35">
      <c r="J3974" s="56" t="str">
        <f t="shared" si="183"/>
        <v/>
      </c>
      <c r="K3974" s="74" t="str">
        <f t="shared" si="184"/>
        <v/>
      </c>
      <c r="L3974" s="58" t="str">
        <f t="shared" si="185"/>
        <v/>
      </c>
    </row>
    <row r="3975" spans="10:12" ht="16.5" customHeight="1" x14ac:dyDescent="0.35">
      <c r="J3975" s="56" t="str">
        <f t="shared" si="183"/>
        <v/>
      </c>
      <c r="K3975" s="74" t="str">
        <f t="shared" si="184"/>
        <v/>
      </c>
      <c r="L3975" s="58" t="str">
        <f t="shared" si="185"/>
        <v/>
      </c>
    </row>
    <row r="3976" spans="10:12" ht="16.5" customHeight="1" x14ac:dyDescent="0.35">
      <c r="J3976" s="56" t="str">
        <f t="shared" si="183"/>
        <v/>
      </c>
      <c r="K3976" s="74" t="str">
        <f t="shared" si="184"/>
        <v/>
      </c>
      <c r="L3976" s="58" t="str">
        <f t="shared" si="185"/>
        <v/>
      </c>
    </row>
    <row r="3977" spans="10:12" ht="16.5" customHeight="1" x14ac:dyDescent="0.35">
      <c r="J3977" s="56" t="str">
        <f t="shared" ref="J3977:J4040" si="186">IF(A3977="","",A$5-A3977)</f>
        <v/>
      </c>
      <c r="K3977" s="74" t="str">
        <f t="shared" ref="K3977:K4040" si="187">IF(J3977="","",IF(J3977&lt;4,"0-3 Days",IF(J3977&lt;31,"4-30 Days",IF(J3977&lt;61,"31-60 Days",IF(J3977&lt;=90,"61-90 Days",IF(J3977&gt;90,"Above 90 Days","0"))))))</f>
        <v/>
      </c>
      <c r="L3977" s="58" t="str">
        <f t="shared" ref="L3977:L4040" si="188">IF(C3977="","",IF(C3977&gt;0,IF(J3977&lt;30,"Normal",IF(J3977&lt;60,"Especially Mentioned",IF(J3977&lt;90,"Substandard",IF(J3977&lt;=180,"Doubtful",IF(J3977&gt;180,"Loss","0"))))),"Not Applicable"))</f>
        <v/>
      </c>
    </row>
    <row r="3978" spans="10:12" ht="16.5" customHeight="1" x14ac:dyDescent="0.35">
      <c r="J3978" s="56" t="str">
        <f t="shared" si="186"/>
        <v/>
      </c>
      <c r="K3978" s="74" t="str">
        <f t="shared" si="187"/>
        <v/>
      </c>
      <c r="L3978" s="58" t="str">
        <f t="shared" si="188"/>
        <v/>
      </c>
    </row>
    <row r="3979" spans="10:12" ht="16.5" customHeight="1" x14ac:dyDescent="0.35">
      <c r="J3979" s="56" t="str">
        <f t="shared" si="186"/>
        <v/>
      </c>
      <c r="K3979" s="74" t="str">
        <f t="shared" si="187"/>
        <v/>
      </c>
      <c r="L3979" s="58" t="str">
        <f t="shared" si="188"/>
        <v/>
      </c>
    </row>
    <row r="3980" spans="10:12" ht="16.5" customHeight="1" x14ac:dyDescent="0.35">
      <c r="J3980" s="56" t="str">
        <f t="shared" si="186"/>
        <v/>
      </c>
      <c r="K3980" s="74" t="str">
        <f t="shared" si="187"/>
        <v/>
      </c>
      <c r="L3980" s="58" t="str">
        <f t="shared" si="188"/>
        <v/>
      </c>
    </row>
    <row r="3981" spans="10:12" ht="16.5" customHeight="1" x14ac:dyDescent="0.35">
      <c r="J3981" s="56" t="str">
        <f t="shared" si="186"/>
        <v/>
      </c>
      <c r="K3981" s="74" t="str">
        <f t="shared" si="187"/>
        <v/>
      </c>
      <c r="L3981" s="58" t="str">
        <f t="shared" si="188"/>
        <v/>
      </c>
    </row>
    <row r="3982" spans="10:12" ht="16.5" customHeight="1" x14ac:dyDescent="0.35">
      <c r="J3982" s="56" t="str">
        <f t="shared" si="186"/>
        <v/>
      </c>
      <c r="K3982" s="74" t="str">
        <f t="shared" si="187"/>
        <v/>
      </c>
      <c r="L3982" s="58" t="str">
        <f t="shared" si="188"/>
        <v/>
      </c>
    </row>
    <row r="3983" spans="10:12" ht="16.5" customHeight="1" x14ac:dyDescent="0.35">
      <c r="J3983" s="56" t="str">
        <f t="shared" si="186"/>
        <v/>
      </c>
      <c r="K3983" s="74" t="str">
        <f t="shared" si="187"/>
        <v/>
      </c>
      <c r="L3983" s="58" t="str">
        <f t="shared" si="188"/>
        <v/>
      </c>
    </row>
    <row r="3984" spans="10:12" ht="16.5" customHeight="1" x14ac:dyDescent="0.35">
      <c r="J3984" s="56" t="str">
        <f t="shared" si="186"/>
        <v/>
      </c>
      <c r="K3984" s="74" t="str">
        <f t="shared" si="187"/>
        <v/>
      </c>
      <c r="L3984" s="58" t="str">
        <f t="shared" si="188"/>
        <v/>
      </c>
    </row>
    <row r="3985" spans="10:12" ht="16.5" customHeight="1" x14ac:dyDescent="0.35">
      <c r="J3985" s="56" t="str">
        <f t="shared" si="186"/>
        <v/>
      </c>
      <c r="K3985" s="74" t="str">
        <f t="shared" si="187"/>
        <v/>
      </c>
      <c r="L3985" s="58" t="str">
        <f t="shared" si="188"/>
        <v/>
      </c>
    </row>
    <row r="3986" spans="10:12" ht="16.5" customHeight="1" x14ac:dyDescent="0.35">
      <c r="J3986" s="56" t="str">
        <f t="shared" si="186"/>
        <v/>
      </c>
      <c r="K3986" s="74" t="str">
        <f t="shared" si="187"/>
        <v/>
      </c>
      <c r="L3986" s="58" t="str">
        <f t="shared" si="188"/>
        <v/>
      </c>
    </row>
    <row r="3987" spans="10:12" ht="16.5" customHeight="1" x14ac:dyDescent="0.35">
      <c r="J3987" s="56" t="str">
        <f t="shared" si="186"/>
        <v/>
      </c>
      <c r="K3987" s="74" t="str">
        <f t="shared" si="187"/>
        <v/>
      </c>
      <c r="L3987" s="58" t="str">
        <f t="shared" si="188"/>
        <v/>
      </c>
    </row>
    <row r="3988" spans="10:12" ht="16.5" customHeight="1" x14ac:dyDescent="0.35">
      <c r="J3988" s="56" t="str">
        <f t="shared" si="186"/>
        <v/>
      </c>
      <c r="K3988" s="74" t="str">
        <f t="shared" si="187"/>
        <v/>
      </c>
      <c r="L3988" s="58" t="str">
        <f t="shared" si="188"/>
        <v/>
      </c>
    </row>
    <row r="3989" spans="10:12" ht="16.5" customHeight="1" x14ac:dyDescent="0.35">
      <c r="J3989" s="56" t="str">
        <f t="shared" si="186"/>
        <v/>
      </c>
      <c r="K3989" s="74" t="str">
        <f t="shared" si="187"/>
        <v/>
      </c>
      <c r="L3989" s="58" t="str">
        <f t="shared" si="188"/>
        <v/>
      </c>
    </row>
    <row r="3990" spans="10:12" ht="16.5" customHeight="1" x14ac:dyDescent="0.35">
      <c r="J3990" s="56" t="str">
        <f t="shared" si="186"/>
        <v/>
      </c>
      <c r="K3990" s="74" t="str">
        <f t="shared" si="187"/>
        <v/>
      </c>
      <c r="L3990" s="58" t="str">
        <f t="shared" si="188"/>
        <v/>
      </c>
    </row>
    <row r="3991" spans="10:12" ht="16.5" customHeight="1" x14ac:dyDescent="0.35">
      <c r="J3991" s="56" t="str">
        <f t="shared" si="186"/>
        <v/>
      </c>
      <c r="K3991" s="74" t="str">
        <f t="shared" si="187"/>
        <v/>
      </c>
      <c r="L3991" s="58" t="str">
        <f t="shared" si="188"/>
        <v/>
      </c>
    </row>
    <row r="3992" spans="10:12" ht="16.5" customHeight="1" x14ac:dyDescent="0.35">
      <c r="J3992" s="56" t="str">
        <f t="shared" si="186"/>
        <v/>
      </c>
      <c r="K3992" s="74" t="str">
        <f t="shared" si="187"/>
        <v/>
      </c>
      <c r="L3992" s="58" t="str">
        <f t="shared" si="188"/>
        <v/>
      </c>
    </row>
    <row r="3993" spans="10:12" ht="16.5" customHeight="1" x14ac:dyDescent="0.35">
      <c r="J3993" s="56" t="str">
        <f t="shared" si="186"/>
        <v/>
      </c>
      <c r="K3993" s="74" t="str">
        <f t="shared" si="187"/>
        <v/>
      </c>
      <c r="L3993" s="58" t="str">
        <f t="shared" si="188"/>
        <v/>
      </c>
    </row>
    <row r="3994" spans="10:12" ht="16.5" customHeight="1" x14ac:dyDescent="0.35">
      <c r="J3994" s="56" t="str">
        <f t="shared" si="186"/>
        <v/>
      </c>
      <c r="K3994" s="74" t="str">
        <f t="shared" si="187"/>
        <v/>
      </c>
      <c r="L3994" s="58" t="str">
        <f t="shared" si="188"/>
        <v/>
      </c>
    </row>
    <row r="3995" spans="10:12" ht="16.5" customHeight="1" x14ac:dyDescent="0.35">
      <c r="J3995" s="56" t="str">
        <f t="shared" si="186"/>
        <v/>
      </c>
      <c r="K3995" s="74" t="str">
        <f t="shared" si="187"/>
        <v/>
      </c>
      <c r="L3995" s="58" t="str">
        <f t="shared" si="188"/>
        <v/>
      </c>
    </row>
    <row r="3996" spans="10:12" ht="16.5" customHeight="1" x14ac:dyDescent="0.35">
      <c r="J3996" s="56" t="str">
        <f t="shared" si="186"/>
        <v/>
      </c>
      <c r="K3996" s="74" t="str">
        <f t="shared" si="187"/>
        <v/>
      </c>
      <c r="L3996" s="58" t="str">
        <f t="shared" si="188"/>
        <v/>
      </c>
    </row>
    <row r="3997" spans="10:12" ht="16.5" customHeight="1" x14ac:dyDescent="0.35">
      <c r="J3997" s="56" t="str">
        <f t="shared" si="186"/>
        <v/>
      </c>
      <c r="K3997" s="74" t="str">
        <f t="shared" si="187"/>
        <v/>
      </c>
      <c r="L3997" s="58" t="str">
        <f t="shared" si="188"/>
        <v/>
      </c>
    </row>
    <row r="3998" spans="10:12" ht="16.5" customHeight="1" x14ac:dyDescent="0.35">
      <c r="J3998" s="56" t="str">
        <f t="shared" si="186"/>
        <v/>
      </c>
      <c r="K3998" s="74" t="str">
        <f t="shared" si="187"/>
        <v/>
      </c>
      <c r="L3998" s="58" t="str">
        <f t="shared" si="188"/>
        <v/>
      </c>
    </row>
    <row r="3999" spans="10:12" ht="16.5" customHeight="1" x14ac:dyDescent="0.35">
      <c r="J3999" s="56" t="str">
        <f t="shared" si="186"/>
        <v/>
      </c>
      <c r="K3999" s="74" t="str">
        <f t="shared" si="187"/>
        <v/>
      </c>
      <c r="L3999" s="58" t="str">
        <f t="shared" si="188"/>
        <v/>
      </c>
    </row>
    <row r="4000" spans="10:12" ht="16.5" customHeight="1" x14ac:dyDescent="0.35">
      <c r="J4000" s="56" t="str">
        <f t="shared" si="186"/>
        <v/>
      </c>
      <c r="K4000" s="74" t="str">
        <f t="shared" si="187"/>
        <v/>
      </c>
      <c r="L4000" s="58" t="str">
        <f t="shared" si="188"/>
        <v/>
      </c>
    </row>
    <row r="4001" spans="10:12" ht="16.5" customHeight="1" x14ac:dyDescent="0.35">
      <c r="J4001" s="56" t="str">
        <f t="shared" si="186"/>
        <v/>
      </c>
      <c r="K4001" s="74" t="str">
        <f t="shared" si="187"/>
        <v/>
      </c>
      <c r="L4001" s="58" t="str">
        <f t="shared" si="188"/>
        <v/>
      </c>
    </row>
    <row r="4002" spans="10:12" ht="16.5" customHeight="1" x14ac:dyDescent="0.35">
      <c r="J4002" s="56" t="str">
        <f t="shared" si="186"/>
        <v/>
      </c>
      <c r="K4002" s="74" t="str">
        <f t="shared" si="187"/>
        <v/>
      </c>
      <c r="L4002" s="58" t="str">
        <f t="shared" si="188"/>
        <v/>
      </c>
    </row>
    <row r="4003" spans="10:12" ht="16.5" customHeight="1" x14ac:dyDescent="0.35">
      <c r="J4003" s="56" t="str">
        <f t="shared" si="186"/>
        <v/>
      </c>
      <c r="K4003" s="74" t="str">
        <f t="shared" si="187"/>
        <v/>
      </c>
      <c r="L4003" s="58" t="str">
        <f t="shared" si="188"/>
        <v/>
      </c>
    </row>
    <row r="4004" spans="10:12" ht="16.5" customHeight="1" x14ac:dyDescent="0.35">
      <c r="J4004" s="56" t="str">
        <f t="shared" si="186"/>
        <v/>
      </c>
      <c r="K4004" s="74" t="str">
        <f t="shared" si="187"/>
        <v/>
      </c>
      <c r="L4004" s="58" t="str">
        <f t="shared" si="188"/>
        <v/>
      </c>
    </row>
    <row r="4005" spans="10:12" ht="16.5" customHeight="1" x14ac:dyDescent="0.35">
      <c r="J4005" s="56" t="str">
        <f t="shared" si="186"/>
        <v/>
      </c>
      <c r="K4005" s="74" t="str">
        <f t="shared" si="187"/>
        <v/>
      </c>
      <c r="L4005" s="58" t="str">
        <f t="shared" si="188"/>
        <v/>
      </c>
    </row>
    <row r="4006" spans="10:12" ht="16.5" customHeight="1" x14ac:dyDescent="0.35">
      <c r="J4006" s="56" t="str">
        <f t="shared" si="186"/>
        <v/>
      </c>
      <c r="K4006" s="74" t="str">
        <f t="shared" si="187"/>
        <v/>
      </c>
      <c r="L4006" s="58" t="str">
        <f t="shared" si="188"/>
        <v/>
      </c>
    </row>
    <row r="4007" spans="10:12" ht="16.5" customHeight="1" x14ac:dyDescent="0.35">
      <c r="J4007" s="56" t="str">
        <f t="shared" si="186"/>
        <v/>
      </c>
      <c r="K4007" s="74" t="str">
        <f t="shared" si="187"/>
        <v/>
      </c>
      <c r="L4007" s="58" t="str">
        <f t="shared" si="188"/>
        <v/>
      </c>
    </row>
    <row r="4008" spans="10:12" ht="16.5" customHeight="1" x14ac:dyDescent="0.35">
      <c r="J4008" s="56" t="str">
        <f t="shared" si="186"/>
        <v/>
      </c>
      <c r="K4008" s="74" t="str">
        <f t="shared" si="187"/>
        <v/>
      </c>
      <c r="L4008" s="58" t="str">
        <f t="shared" si="188"/>
        <v/>
      </c>
    </row>
    <row r="4009" spans="10:12" ht="16.5" customHeight="1" x14ac:dyDescent="0.35">
      <c r="J4009" s="56" t="str">
        <f t="shared" si="186"/>
        <v/>
      </c>
      <c r="K4009" s="74" t="str">
        <f t="shared" si="187"/>
        <v/>
      </c>
      <c r="L4009" s="58" t="str">
        <f t="shared" si="188"/>
        <v/>
      </c>
    </row>
    <row r="4010" spans="10:12" ht="16.5" customHeight="1" x14ac:dyDescent="0.35">
      <c r="J4010" s="56" t="str">
        <f t="shared" si="186"/>
        <v/>
      </c>
      <c r="K4010" s="74" t="str">
        <f t="shared" si="187"/>
        <v/>
      </c>
      <c r="L4010" s="58" t="str">
        <f t="shared" si="188"/>
        <v/>
      </c>
    </row>
    <row r="4011" spans="10:12" ht="16.5" customHeight="1" x14ac:dyDescent="0.35">
      <c r="J4011" s="56" t="str">
        <f t="shared" si="186"/>
        <v/>
      </c>
      <c r="K4011" s="74" t="str">
        <f t="shared" si="187"/>
        <v/>
      </c>
      <c r="L4011" s="58" t="str">
        <f t="shared" si="188"/>
        <v/>
      </c>
    </row>
    <row r="4012" spans="10:12" ht="16.5" customHeight="1" x14ac:dyDescent="0.35">
      <c r="J4012" s="56" t="str">
        <f t="shared" si="186"/>
        <v/>
      </c>
      <c r="K4012" s="74" t="str">
        <f t="shared" si="187"/>
        <v/>
      </c>
      <c r="L4012" s="58" t="str">
        <f t="shared" si="188"/>
        <v/>
      </c>
    </row>
    <row r="4013" spans="10:12" ht="16.5" customHeight="1" x14ac:dyDescent="0.35">
      <c r="J4013" s="56" t="str">
        <f t="shared" si="186"/>
        <v/>
      </c>
      <c r="K4013" s="74" t="str">
        <f t="shared" si="187"/>
        <v/>
      </c>
      <c r="L4013" s="58" t="str">
        <f t="shared" si="188"/>
        <v/>
      </c>
    </row>
    <row r="4014" spans="10:12" ht="16.5" customHeight="1" x14ac:dyDescent="0.35">
      <c r="J4014" s="56" t="str">
        <f t="shared" si="186"/>
        <v/>
      </c>
      <c r="K4014" s="74" t="str">
        <f t="shared" si="187"/>
        <v/>
      </c>
      <c r="L4014" s="58" t="str">
        <f t="shared" si="188"/>
        <v/>
      </c>
    </row>
    <row r="4015" spans="10:12" ht="16.5" customHeight="1" x14ac:dyDescent="0.35">
      <c r="J4015" s="56" t="str">
        <f t="shared" si="186"/>
        <v/>
      </c>
      <c r="K4015" s="74" t="str">
        <f t="shared" si="187"/>
        <v/>
      </c>
      <c r="L4015" s="58" t="str">
        <f t="shared" si="188"/>
        <v/>
      </c>
    </row>
    <row r="4016" spans="10:12" ht="16.5" customHeight="1" x14ac:dyDescent="0.35">
      <c r="J4016" s="56" t="str">
        <f t="shared" si="186"/>
        <v/>
      </c>
      <c r="K4016" s="74" t="str">
        <f t="shared" si="187"/>
        <v/>
      </c>
      <c r="L4016" s="58" t="str">
        <f t="shared" si="188"/>
        <v/>
      </c>
    </row>
    <row r="4017" spans="10:12" ht="16.5" customHeight="1" x14ac:dyDescent="0.35">
      <c r="J4017" s="56" t="str">
        <f t="shared" si="186"/>
        <v/>
      </c>
      <c r="K4017" s="74" t="str">
        <f t="shared" si="187"/>
        <v/>
      </c>
      <c r="L4017" s="58" t="str">
        <f t="shared" si="188"/>
        <v/>
      </c>
    </row>
    <row r="4018" spans="10:12" ht="16.5" customHeight="1" x14ac:dyDescent="0.35">
      <c r="J4018" s="56" t="str">
        <f t="shared" si="186"/>
        <v/>
      </c>
      <c r="K4018" s="74" t="str">
        <f t="shared" si="187"/>
        <v/>
      </c>
      <c r="L4018" s="58" t="str">
        <f t="shared" si="188"/>
        <v/>
      </c>
    </row>
    <row r="4019" spans="10:12" ht="16.5" customHeight="1" x14ac:dyDescent="0.35">
      <c r="J4019" s="56" t="str">
        <f t="shared" si="186"/>
        <v/>
      </c>
      <c r="K4019" s="74" t="str">
        <f t="shared" si="187"/>
        <v/>
      </c>
      <c r="L4019" s="58" t="str">
        <f t="shared" si="188"/>
        <v/>
      </c>
    </row>
    <row r="4020" spans="10:12" ht="16.5" customHeight="1" x14ac:dyDescent="0.35">
      <c r="J4020" s="56" t="str">
        <f t="shared" si="186"/>
        <v/>
      </c>
      <c r="K4020" s="74" t="str">
        <f t="shared" si="187"/>
        <v/>
      </c>
      <c r="L4020" s="58" t="str">
        <f t="shared" si="188"/>
        <v/>
      </c>
    </row>
    <row r="4021" spans="10:12" ht="16.5" customHeight="1" x14ac:dyDescent="0.35">
      <c r="J4021" s="56" t="str">
        <f t="shared" si="186"/>
        <v/>
      </c>
      <c r="K4021" s="74" t="str">
        <f t="shared" si="187"/>
        <v/>
      </c>
      <c r="L4021" s="58" t="str">
        <f t="shared" si="188"/>
        <v/>
      </c>
    </row>
    <row r="4022" spans="10:12" ht="16.5" customHeight="1" x14ac:dyDescent="0.35">
      <c r="J4022" s="56" t="str">
        <f t="shared" si="186"/>
        <v/>
      </c>
      <c r="K4022" s="74" t="str">
        <f t="shared" si="187"/>
        <v/>
      </c>
      <c r="L4022" s="58" t="str">
        <f t="shared" si="188"/>
        <v/>
      </c>
    </row>
    <row r="4023" spans="10:12" ht="16.5" customHeight="1" x14ac:dyDescent="0.35">
      <c r="J4023" s="56" t="str">
        <f t="shared" si="186"/>
        <v/>
      </c>
      <c r="K4023" s="74" t="str">
        <f t="shared" si="187"/>
        <v/>
      </c>
      <c r="L4023" s="58" t="str">
        <f t="shared" si="188"/>
        <v/>
      </c>
    </row>
    <row r="4024" spans="10:12" ht="16.5" customHeight="1" x14ac:dyDescent="0.35">
      <c r="J4024" s="56" t="str">
        <f t="shared" si="186"/>
        <v/>
      </c>
      <c r="K4024" s="74" t="str">
        <f t="shared" si="187"/>
        <v/>
      </c>
      <c r="L4024" s="58" t="str">
        <f t="shared" si="188"/>
        <v/>
      </c>
    </row>
    <row r="4025" spans="10:12" ht="16.5" customHeight="1" x14ac:dyDescent="0.35">
      <c r="J4025" s="56" t="str">
        <f t="shared" si="186"/>
        <v/>
      </c>
      <c r="K4025" s="74" t="str">
        <f t="shared" si="187"/>
        <v/>
      </c>
      <c r="L4025" s="58" t="str">
        <f t="shared" si="188"/>
        <v/>
      </c>
    </row>
    <row r="4026" spans="10:12" ht="16.5" customHeight="1" x14ac:dyDescent="0.35">
      <c r="J4026" s="56" t="str">
        <f t="shared" si="186"/>
        <v/>
      </c>
      <c r="K4026" s="74" t="str">
        <f t="shared" si="187"/>
        <v/>
      </c>
      <c r="L4026" s="58" t="str">
        <f t="shared" si="188"/>
        <v/>
      </c>
    </row>
    <row r="4027" spans="10:12" ht="16.5" customHeight="1" x14ac:dyDescent="0.35">
      <c r="J4027" s="56" t="str">
        <f t="shared" si="186"/>
        <v/>
      </c>
      <c r="K4027" s="74" t="str">
        <f t="shared" si="187"/>
        <v/>
      </c>
      <c r="L4027" s="58" t="str">
        <f t="shared" si="188"/>
        <v/>
      </c>
    </row>
    <row r="4028" spans="10:12" ht="16.5" customHeight="1" x14ac:dyDescent="0.35">
      <c r="J4028" s="56" t="str">
        <f t="shared" si="186"/>
        <v/>
      </c>
      <c r="K4028" s="74" t="str">
        <f t="shared" si="187"/>
        <v/>
      </c>
      <c r="L4028" s="58" t="str">
        <f t="shared" si="188"/>
        <v/>
      </c>
    </row>
    <row r="4029" spans="10:12" ht="16.5" customHeight="1" x14ac:dyDescent="0.35">
      <c r="J4029" s="56" t="str">
        <f t="shared" si="186"/>
        <v/>
      </c>
      <c r="K4029" s="74" t="str">
        <f t="shared" si="187"/>
        <v/>
      </c>
      <c r="L4029" s="58" t="str">
        <f t="shared" si="188"/>
        <v/>
      </c>
    </row>
    <row r="4030" spans="10:12" ht="16.5" customHeight="1" x14ac:dyDescent="0.35">
      <c r="J4030" s="56" t="str">
        <f t="shared" si="186"/>
        <v/>
      </c>
      <c r="K4030" s="74" t="str">
        <f t="shared" si="187"/>
        <v/>
      </c>
      <c r="L4030" s="58" t="str">
        <f t="shared" si="188"/>
        <v/>
      </c>
    </row>
    <row r="4031" spans="10:12" ht="16.5" customHeight="1" x14ac:dyDescent="0.35">
      <c r="J4031" s="56" t="str">
        <f t="shared" si="186"/>
        <v/>
      </c>
      <c r="K4031" s="74" t="str">
        <f t="shared" si="187"/>
        <v/>
      </c>
      <c r="L4031" s="58" t="str">
        <f t="shared" si="188"/>
        <v/>
      </c>
    </row>
    <row r="4032" spans="10:12" ht="16.5" customHeight="1" x14ac:dyDescent="0.35">
      <c r="J4032" s="56" t="str">
        <f t="shared" si="186"/>
        <v/>
      </c>
      <c r="K4032" s="74" t="str">
        <f t="shared" si="187"/>
        <v/>
      </c>
      <c r="L4032" s="58" t="str">
        <f t="shared" si="188"/>
        <v/>
      </c>
    </row>
    <row r="4033" spans="10:12" ht="16.5" customHeight="1" x14ac:dyDescent="0.35">
      <c r="J4033" s="56" t="str">
        <f t="shared" si="186"/>
        <v/>
      </c>
      <c r="K4033" s="74" t="str">
        <f t="shared" si="187"/>
        <v/>
      </c>
      <c r="L4033" s="58" t="str">
        <f t="shared" si="188"/>
        <v/>
      </c>
    </row>
    <row r="4034" spans="10:12" ht="16.5" customHeight="1" x14ac:dyDescent="0.35">
      <c r="J4034" s="56" t="str">
        <f t="shared" si="186"/>
        <v/>
      </c>
      <c r="K4034" s="74" t="str">
        <f t="shared" si="187"/>
        <v/>
      </c>
      <c r="L4034" s="58" t="str">
        <f t="shared" si="188"/>
        <v/>
      </c>
    </row>
    <row r="4035" spans="10:12" ht="16.5" customHeight="1" x14ac:dyDescent="0.35">
      <c r="J4035" s="56" t="str">
        <f t="shared" si="186"/>
        <v/>
      </c>
      <c r="K4035" s="74" t="str">
        <f t="shared" si="187"/>
        <v/>
      </c>
      <c r="L4035" s="58" t="str">
        <f t="shared" si="188"/>
        <v/>
      </c>
    </row>
    <row r="4036" spans="10:12" ht="16.5" customHeight="1" x14ac:dyDescent="0.35">
      <c r="J4036" s="56" t="str">
        <f t="shared" si="186"/>
        <v/>
      </c>
      <c r="K4036" s="74" t="str">
        <f t="shared" si="187"/>
        <v/>
      </c>
      <c r="L4036" s="58" t="str">
        <f t="shared" si="188"/>
        <v/>
      </c>
    </row>
    <row r="4037" spans="10:12" ht="16.5" customHeight="1" x14ac:dyDescent="0.35">
      <c r="J4037" s="56" t="str">
        <f t="shared" si="186"/>
        <v/>
      </c>
      <c r="K4037" s="74" t="str">
        <f t="shared" si="187"/>
        <v/>
      </c>
      <c r="L4037" s="58" t="str">
        <f t="shared" si="188"/>
        <v/>
      </c>
    </row>
    <row r="4038" spans="10:12" ht="16.5" customHeight="1" x14ac:dyDescent="0.35">
      <c r="J4038" s="56" t="str">
        <f t="shared" si="186"/>
        <v/>
      </c>
      <c r="K4038" s="74" t="str">
        <f t="shared" si="187"/>
        <v/>
      </c>
      <c r="L4038" s="58" t="str">
        <f t="shared" si="188"/>
        <v/>
      </c>
    </row>
    <row r="4039" spans="10:12" ht="16.5" customHeight="1" x14ac:dyDescent="0.35">
      <c r="J4039" s="56" t="str">
        <f t="shared" si="186"/>
        <v/>
      </c>
      <c r="K4039" s="74" t="str">
        <f t="shared" si="187"/>
        <v/>
      </c>
      <c r="L4039" s="58" t="str">
        <f t="shared" si="188"/>
        <v/>
      </c>
    </row>
    <row r="4040" spans="10:12" ht="16.5" customHeight="1" x14ac:dyDescent="0.35">
      <c r="J4040" s="56" t="str">
        <f t="shared" si="186"/>
        <v/>
      </c>
      <c r="K4040" s="74" t="str">
        <f t="shared" si="187"/>
        <v/>
      </c>
      <c r="L4040" s="58" t="str">
        <f t="shared" si="188"/>
        <v/>
      </c>
    </row>
    <row r="4041" spans="10:12" ht="16.5" customHeight="1" x14ac:dyDescent="0.35">
      <c r="J4041" s="56" t="str">
        <f t="shared" ref="J4041:J4104" si="189">IF(A4041="","",A$5-A4041)</f>
        <v/>
      </c>
      <c r="K4041" s="74" t="str">
        <f t="shared" ref="K4041:K4104" si="190">IF(J4041="","",IF(J4041&lt;4,"0-3 Days",IF(J4041&lt;31,"4-30 Days",IF(J4041&lt;61,"31-60 Days",IF(J4041&lt;=90,"61-90 Days",IF(J4041&gt;90,"Above 90 Days","0"))))))</f>
        <v/>
      </c>
      <c r="L4041" s="58" t="str">
        <f t="shared" ref="L4041:L4104" si="191">IF(C4041="","",IF(C4041&gt;0,IF(J4041&lt;30,"Normal",IF(J4041&lt;60,"Especially Mentioned",IF(J4041&lt;90,"Substandard",IF(J4041&lt;=180,"Doubtful",IF(J4041&gt;180,"Loss","0"))))),"Not Applicable"))</f>
        <v/>
      </c>
    </row>
    <row r="4042" spans="10:12" ht="16.5" customHeight="1" x14ac:dyDescent="0.35">
      <c r="J4042" s="56" t="str">
        <f t="shared" si="189"/>
        <v/>
      </c>
      <c r="K4042" s="74" t="str">
        <f t="shared" si="190"/>
        <v/>
      </c>
      <c r="L4042" s="58" t="str">
        <f t="shared" si="191"/>
        <v/>
      </c>
    </row>
    <row r="4043" spans="10:12" ht="16.5" customHeight="1" x14ac:dyDescent="0.35">
      <c r="J4043" s="56" t="str">
        <f t="shared" si="189"/>
        <v/>
      </c>
      <c r="K4043" s="74" t="str">
        <f t="shared" si="190"/>
        <v/>
      </c>
      <c r="L4043" s="58" t="str">
        <f t="shared" si="191"/>
        <v/>
      </c>
    </row>
    <row r="4044" spans="10:12" ht="16.5" customHeight="1" x14ac:dyDescent="0.35">
      <c r="J4044" s="56" t="str">
        <f t="shared" si="189"/>
        <v/>
      </c>
      <c r="K4044" s="74" t="str">
        <f t="shared" si="190"/>
        <v/>
      </c>
      <c r="L4044" s="58" t="str">
        <f t="shared" si="191"/>
        <v/>
      </c>
    </row>
    <row r="4045" spans="10:12" ht="16.5" customHeight="1" x14ac:dyDescent="0.35">
      <c r="J4045" s="56" t="str">
        <f t="shared" si="189"/>
        <v/>
      </c>
      <c r="K4045" s="74" t="str">
        <f t="shared" si="190"/>
        <v/>
      </c>
      <c r="L4045" s="58" t="str">
        <f t="shared" si="191"/>
        <v/>
      </c>
    </row>
    <row r="4046" spans="10:12" ht="16.5" customHeight="1" x14ac:dyDescent="0.35">
      <c r="J4046" s="56" t="str">
        <f t="shared" si="189"/>
        <v/>
      </c>
      <c r="K4046" s="74" t="str">
        <f t="shared" si="190"/>
        <v/>
      </c>
      <c r="L4046" s="58" t="str">
        <f t="shared" si="191"/>
        <v/>
      </c>
    </row>
    <row r="4047" spans="10:12" ht="16.5" customHeight="1" x14ac:dyDescent="0.35">
      <c r="J4047" s="56" t="str">
        <f t="shared" si="189"/>
        <v/>
      </c>
      <c r="K4047" s="74" t="str">
        <f t="shared" si="190"/>
        <v/>
      </c>
      <c r="L4047" s="58" t="str">
        <f t="shared" si="191"/>
        <v/>
      </c>
    </row>
    <row r="4048" spans="10:12" ht="16.5" customHeight="1" x14ac:dyDescent="0.35">
      <c r="J4048" s="56" t="str">
        <f t="shared" si="189"/>
        <v/>
      </c>
      <c r="K4048" s="74" t="str">
        <f t="shared" si="190"/>
        <v/>
      </c>
      <c r="L4048" s="58" t="str">
        <f t="shared" si="191"/>
        <v/>
      </c>
    </row>
    <row r="4049" spans="10:12" ht="16.5" customHeight="1" x14ac:dyDescent="0.35">
      <c r="J4049" s="56" t="str">
        <f t="shared" si="189"/>
        <v/>
      </c>
      <c r="K4049" s="74" t="str">
        <f t="shared" si="190"/>
        <v/>
      </c>
      <c r="L4049" s="58" t="str">
        <f t="shared" si="191"/>
        <v/>
      </c>
    </row>
    <row r="4050" spans="10:12" ht="16.5" customHeight="1" x14ac:dyDescent="0.35">
      <c r="J4050" s="56" t="str">
        <f t="shared" si="189"/>
        <v/>
      </c>
      <c r="K4050" s="74" t="str">
        <f t="shared" si="190"/>
        <v/>
      </c>
      <c r="L4050" s="58" t="str">
        <f t="shared" si="191"/>
        <v/>
      </c>
    </row>
    <row r="4051" spans="10:12" ht="16.5" customHeight="1" x14ac:dyDescent="0.35">
      <c r="J4051" s="56" t="str">
        <f t="shared" si="189"/>
        <v/>
      </c>
      <c r="K4051" s="74" t="str">
        <f t="shared" si="190"/>
        <v/>
      </c>
      <c r="L4051" s="58" t="str">
        <f t="shared" si="191"/>
        <v/>
      </c>
    </row>
    <row r="4052" spans="10:12" ht="16.5" customHeight="1" x14ac:dyDescent="0.35">
      <c r="J4052" s="56" t="str">
        <f t="shared" si="189"/>
        <v/>
      </c>
      <c r="K4052" s="74" t="str">
        <f t="shared" si="190"/>
        <v/>
      </c>
      <c r="L4052" s="58" t="str">
        <f t="shared" si="191"/>
        <v/>
      </c>
    </row>
    <row r="4053" spans="10:12" ht="16.5" customHeight="1" x14ac:dyDescent="0.35">
      <c r="J4053" s="56" t="str">
        <f t="shared" si="189"/>
        <v/>
      </c>
      <c r="K4053" s="74" t="str">
        <f t="shared" si="190"/>
        <v/>
      </c>
      <c r="L4053" s="58" t="str">
        <f t="shared" si="191"/>
        <v/>
      </c>
    </row>
    <row r="4054" spans="10:12" ht="16.5" customHeight="1" x14ac:dyDescent="0.35">
      <c r="J4054" s="56" t="str">
        <f t="shared" si="189"/>
        <v/>
      </c>
      <c r="K4054" s="74" t="str">
        <f t="shared" si="190"/>
        <v/>
      </c>
      <c r="L4054" s="58" t="str">
        <f t="shared" si="191"/>
        <v/>
      </c>
    </row>
    <row r="4055" spans="10:12" ht="16.5" customHeight="1" x14ac:dyDescent="0.35">
      <c r="J4055" s="56" t="str">
        <f t="shared" si="189"/>
        <v/>
      </c>
      <c r="K4055" s="74" t="str">
        <f t="shared" si="190"/>
        <v/>
      </c>
      <c r="L4055" s="58" t="str">
        <f t="shared" si="191"/>
        <v/>
      </c>
    </row>
    <row r="4056" spans="10:12" ht="16.5" customHeight="1" x14ac:dyDescent="0.35">
      <c r="J4056" s="56" t="str">
        <f t="shared" si="189"/>
        <v/>
      </c>
      <c r="K4056" s="74" t="str">
        <f t="shared" si="190"/>
        <v/>
      </c>
      <c r="L4056" s="58" t="str">
        <f t="shared" si="191"/>
        <v/>
      </c>
    </row>
    <row r="4057" spans="10:12" ht="16.5" customHeight="1" x14ac:dyDescent="0.35">
      <c r="J4057" s="56" t="str">
        <f t="shared" si="189"/>
        <v/>
      </c>
      <c r="K4057" s="74" t="str">
        <f t="shared" si="190"/>
        <v/>
      </c>
      <c r="L4057" s="58" t="str">
        <f t="shared" si="191"/>
        <v/>
      </c>
    </row>
    <row r="4058" spans="10:12" ht="16.5" customHeight="1" x14ac:dyDescent="0.35">
      <c r="J4058" s="56" t="str">
        <f t="shared" si="189"/>
        <v/>
      </c>
      <c r="K4058" s="74" t="str">
        <f t="shared" si="190"/>
        <v/>
      </c>
      <c r="L4058" s="58" t="str">
        <f t="shared" si="191"/>
        <v/>
      </c>
    </row>
    <row r="4059" spans="10:12" ht="16.5" customHeight="1" x14ac:dyDescent="0.35">
      <c r="J4059" s="56" t="str">
        <f t="shared" si="189"/>
        <v/>
      </c>
      <c r="K4059" s="74" t="str">
        <f t="shared" si="190"/>
        <v/>
      </c>
      <c r="L4059" s="58" t="str">
        <f t="shared" si="191"/>
        <v/>
      </c>
    </row>
    <row r="4060" spans="10:12" ht="16.5" customHeight="1" x14ac:dyDescent="0.35">
      <c r="J4060" s="56" t="str">
        <f t="shared" si="189"/>
        <v/>
      </c>
      <c r="K4060" s="74" t="str">
        <f t="shared" si="190"/>
        <v/>
      </c>
      <c r="L4060" s="58" t="str">
        <f t="shared" si="191"/>
        <v/>
      </c>
    </row>
    <row r="4061" spans="10:12" ht="16.5" customHeight="1" x14ac:dyDescent="0.35">
      <c r="J4061" s="56" t="str">
        <f t="shared" si="189"/>
        <v/>
      </c>
      <c r="K4061" s="74" t="str">
        <f t="shared" si="190"/>
        <v/>
      </c>
      <c r="L4061" s="58" t="str">
        <f t="shared" si="191"/>
        <v/>
      </c>
    </row>
    <row r="4062" spans="10:12" ht="16.5" customHeight="1" x14ac:dyDescent="0.35">
      <c r="J4062" s="56" t="str">
        <f t="shared" si="189"/>
        <v/>
      </c>
      <c r="K4062" s="74" t="str">
        <f t="shared" si="190"/>
        <v/>
      </c>
      <c r="L4062" s="58" t="str">
        <f t="shared" si="191"/>
        <v/>
      </c>
    </row>
    <row r="4063" spans="10:12" ht="16.5" customHeight="1" x14ac:dyDescent="0.35">
      <c r="J4063" s="56" t="str">
        <f t="shared" si="189"/>
        <v/>
      </c>
      <c r="K4063" s="74" t="str">
        <f t="shared" si="190"/>
        <v/>
      </c>
      <c r="L4063" s="58" t="str">
        <f t="shared" si="191"/>
        <v/>
      </c>
    </row>
    <row r="4064" spans="10:12" ht="16.5" customHeight="1" x14ac:dyDescent="0.35">
      <c r="J4064" s="56" t="str">
        <f t="shared" si="189"/>
        <v/>
      </c>
      <c r="K4064" s="74" t="str">
        <f t="shared" si="190"/>
        <v/>
      </c>
      <c r="L4064" s="58" t="str">
        <f t="shared" si="191"/>
        <v/>
      </c>
    </row>
    <row r="4065" spans="10:12" ht="16.5" customHeight="1" x14ac:dyDescent="0.35">
      <c r="J4065" s="56" t="str">
        <f t="shared" si="189"/>
        <v/>
      </c>
      <c r="K4065" s="74" t="str">
        <f t="shared" si="190"/>
        <v/>
      </c>
      <c r="L4065" s="58" t="str">
        <f t="shared" si="191"/>
        <v/>
      </c>
    </row>
    <row r="4066" spans="10:12" ht="16.5" customHeight="1" x14ac:dyDescent="0.35">
      <c r="J4066" s="56" t="str">
        <f t="shared" si="189"/>
        <v/>
      </c>
      <c r="K4066" s="74" t="str">
        <f t="shared" si="190"/>
        <v/>
      </c>
      <c r="L4066" s="58" t="str">
        <f t="shared" si="191"/>
        <v/>
      </c>
    </row>
    <row r="4067" spans="10:12" ht="16.5" customHeight="1" x14ac:dyDescent="0.35">
      <c r="J4067" s="56" t="str">
        <f t="shared" si="189"/>
        <v/>
      </c>
      <c r="K4067" s="74" t="str">
        <f t="shared" si="190"/>
        <v/>
      </c>
      <c r="L4067" s="58" t="str">
        <f t="shared" si="191"/>
        <v/>
      </c>
    </row>
    <row r="4068" spans="10:12" ht="16.5" customHeight="1" x14ac:dyDescent="0.35">
      <c r="J4068" s="56" t="str">
        <f t="shared" si="189"/>
        <v/>
      </c>
      <c r="K4068" s="74" t="str">
        <f t="shared" si="190"/>
        <v/>
      </c>
      <c r="L4068" s="58" t="str">
        <f t="shared" si="191"/>
        <v/>
      </c>
    </row>
    <row r="4069" spans="10:12" ht="16.5" customHeight="1" x14ac:dyDescent="0.35">
      <c r="J4069" s="56" t="str">
        <f t="shared" si="189"/>
        <v/>
      </c>
      <c r="K4069" s="74" t="str">
        <f t="shared" si="190"/>
        <v/>
      </c>
      <c r="L4069" s="58" t="str">
        <f t="shared" si="191"/>
        <v/>
      </c>
    </row>
    <row r="4070" spans="10:12" ht="16.5" customHeight="1" x14ac:dyDescent="0.35">
      <c r="J4070" s="56" t="str">
        <f t="shared" si="189"/>
        <v/>
      </c>
      <c r="K4070" s="74" t="str">
        <f t="shared" si="190"/>
        <v/>
      </c>
      <c r="L4070" s="58" t="str">
        <f t="shared" si="191"/>
        <v/>
      </c>
    </row>
    <row r="4071" spans="10:12" ht="16.5" customHeight="1" x14ac:dyDescent="0.35">
      <c r="J4071" s="56" t="str">
        <f t="shared" si="189"/>
        <v/>
      </c>
      <c r="K4071" s="74" t="str">
        <f t="shared" si="190"/>
        <v/>
      </c>
      <c r="L4071" s="58" t="str">
        <f t="shared" si="191"/>
        <v/>
      </c>
    </row>
    <row r="4072" spans="10:12" ht="16.5" customHeight="1" x14ac:dyDescent="0.35">
      <c r="J4072" s="56" t="str">
        <f t="shared" si="189"/>
        <v/>
      </c>
      <c r="K4072" s="74" t="str">
        <f t="shared" si="190"/>
        <v/>
      </c>
      <c r="L4072" s="58" t="str">
        <f t="shared" si="191"/>
        <v/>
      </c>
    </row>
    <row r="4073" spans="10:12" ht="16.5" customHeight="1" x14ac:dyDescent="0.35">
      <c r="J4073" s="56" t="str">
        <f t="shared" si="189"/>
        <v/>
      </c>
      <c r="K4073" s="74" t="str">
        <f t="shared" si="190"/>
        <v/>
      </c>
      <c r="L4073" s="58" t="str">
        <f t="shared" si="191"/>
        <v/>
      </c>
    </row>
    <row r="4074" spans="10:12" ht="16.5" customHeight="1" x14ac:dyDescent="0.35">
      <c r="J4074" s="56" t="str">
        <f t="shared" si="189"/>
        <v/>
      </c>
      <c r="K4074" s="74" t="str">
        <f t="shared" si="190"/>
        <v/>
      </c>
      <c r="L4074" s="58" t="str">
        <f t="shared" si="191"/>
        <v/>
      </c>
    </row>
    <row r="4075" spans="10:12" ht="16.5" customHeight="1" x14ac:dyDescent="0.35">
      <c r="J4075" s="56" t="str">
        <f t="shared" si="189"/>
        <v/>
      </c>
      <c r="K4075" s="74" t="str">
        <f t="shared" si="190"/>
        <v/>
      </c>
      <c r="L4075" s="58" t="str">
        <f t="shared" si="191"/>
        <v/>
      </c>
    </row>
    <row r="4076" spans="10:12" ht="16.5" customHeight="1" x14ac:dyDescent="0.35">
      <c r="J4076" s="56" t="str">
        <f t="shared" si="189"/>
        <v/>
      </c>
      <c r="K4076" s="74" t="str">
        <f t="shared" si="190"/>
        <v/>
      </c>
      <c r="L4076" s="58" t="str">
        <f t="shared" si="191"/>
        <v/>
      </c>
    </row>
    <row r="4077" spans="10:12" ht="16.5" customHeight="1" x14ac:dyDescent="0.35">
      <c r="J4077" s="56" t="str">
        <f t="shared" si="189"/>
        <v/>
      </c>
      <c r="K4077" s="74" t="str">
        <f t="shared" si="190"/>
        <v/>
      </c>
      <c r="L4077" s="58" t="str">
        <f t="shared" si="191"/>
        <v/>
      </c>
    </row>
    <row r="4078" spans="10:12" ht="16.5" customHeight="1" x14ac:dyDescent="0.35">
      <c r="J4078" s="56" t="str">
        <f t="shared" si="189"/>
        <v/>
      </c>
      <c r="K4078" s="74" t="str">
        <f t="shared" si="190"/>
        <v/>
      </c>
      <c r="L4078" s="58" t="str">
        <f t="shared" si="191"/>
        <v/>
      </c>
    </row>
    <row r="4079" spans="10:12" ht="16.5" customHeight="1" x14ac:dyDescent="0.35">
      <c r="J4079" s="56" t="str">
        <f t="shared" si="189"/>
        <v/>
      </c>
      <c r="K4079" s="74" t="str">
        <f t="shared" si="190"/>
        <v/>
      </c>
      <c r="L4079" s="58" t="str">
        <f t="shared" si="191"/>
        <v/>
      </c>
    </row>
    <row r="4080" spans="10:12" ht="16.5" customHeight="1" x14ac:dyDescent="0.35">
      <c r="J4080" s="56" t="str">
        <f t="shared" si="189"/>
        <v/>
      </c>
      <c r="K4080" s="74" t="str">
        <f t="shared" si="190"/>
        <v/>
      </c>
      <c r="L4080" s="58" t="str">
        <f t="shared" si="191"/>
        <v/>
      </c>
    </row>
    <row r="4081" spans="10:12" ht="16.5" customHeight="1" x14ac:dyDescent="0.35">
      <c r="J4081" s="56" t="str">
        <f t="shared" si="189"/>
        <v/>
      </c>
      <c r="K4081" s="74" t="str">
        <f t="shared" si="190"/>
        <v/>
      </c>
      <c r="L4081" s="58" t="str">
        <f t="shared" si="191"/>
        <v/>
      </c>
    </row>
    <row r="4082" spans="10:12" ht="16.5" customHeight="1" x14ac:dyDescent="0.35">
      <c r="J4082" s="56" t="str">
        <f t="shared" si="189"/>
        <v/>
      </c>
      <c r="K4082" s="74" t="str">
        <f t="shared" si="190"/>
        <v/>
      </c>
      <c r="L4082" s="58" t="str">
        <f t="shared" si="191"/>
        <v/>
      </c>
    </row>
    <row r="4083" spans="10:12" ht="16.5" customHeight="1" x14ac:dyDescent="0.35">
      <c r="J4083" s="56" t="str">
        <f t="shared" si="189"/>
        <v/>
      </c>
      <c r="K4083" s="74" t="str">
        <f t="shared" si="190"/>
        <v/>
      </c>
      <c r="L4083" s="58" t="str">
        <f t="shared" si="191"/>
        <v/>
      </c>
    </row>
    <row r="4084" spans="10:12" ht="16.5" customHeight="1" x14ac:dyDescent="0.35">
      <c r="J4084" s="56" t="str">
        <f t="shared" si="189"/>
        <v/>
      </c>
      <c r="K4084" s="74" t="str">
        <f t="shared" si="190"/>
        <v/>
      </c>
      <c r="L4084" s="58" t="str">
        <f t="shared" si="191"/>
        <v/>
      </c>
    </row>
    <row r="4085" spans="10:12" ht="16.5" customHeight="1" x14ac:dyDescent="0.35">
      <c r="J4085" s="56" t="str">
        <f t="shared" si="189"/>
        <v/>
      </c>
      <c r="K4085" s="74" t="str">
        <f t="shared" si="190"/>
        <v/>
      </c>
      <c r="L4085" s="58" t="str">
        <f t="shared" si="191"/>
        <v/>
      </c>
    </row>
    <row r="4086" spans="10:12" ht="16.5" customHeight="1" x14ac:dyDescent="0.35">
      <c r="J4086" s="56" t="str">
        <f t="shared" si="189"/>
        <v/>
      </c>
      <c r="K4086" s="74" t="str">
        <f t="shared" si="190"/>
        <v/>
      </c>
      <c r="L4086" s="58" t="str">
        <f t="shared" si="191"/>
        <v/>
      </c>
    </row>
    <row r="4087" spans="10:12" ht="16.5" customHeight="1" x14ac:dyDescent="0.35">
      <c r="J4087" s="56" t="str">
        <f t="shared" si="189"/>
        <v/>
      </c>
      <c r="K4087" s="74" t="str">
        <f t="shared" si="190"/>
        <v/>
      </c>
      <c r="L4087" s="58" t="str">
        <f t="shared" si="191"/>
        <v/>
      </c>
    </row>
    <row r="4088" spans="10:12" ht="16.5" customHeight="1" x14ac:dyDescent="0.35">
      <c r="J4088" s="56" t="str">
        <f t="shared" si="189"/>
        <v/>
      </c>
      <c r="K4088" s="74" t="str">
        <f t="shared" si="190"/>
        <v/>
      </c>
      <c r="L4088" s="58" t="str">
        <f t="shared" si="191"/>
        <v/>
      </c>
    </row>
    <row r="4089" spans="10:12" ht="16.5" customHeight="1" x14ac:dyDescent="0.35">
      <c r="J4089" s="56" t="str">
        <f t="shared" si="189"/>
        <v/>
      </c>
      <c r="K4089" s="74" t="str">
        <f t="shared" si="190"/>
        <v/>
      </c>
      <c r="L4089" s="58" t="str">
        <f t="shared" si="191"/>
        <v/>
      </c>
    </row>
    <row r="4090" spans="10:12" ht="16.5" customHeight="1" x14ac:dyDescent="0.35">
      <c r="J4090" s="56" t="str">
        <f t="shared" si="189"/>
        <v/>
      </c>
      <c r="K4090" s="74" t="str">
        <f t="shared" si="190"/>
        <v/>
      </c>
      <c r="L4090" s="58" t="str">
        <f t="shared" si="191"/>
        <v/>
      </c>
    </row>
    <row r="4091" spans="10:12" ht="16.5" customHeight="1" x14ac:dyDescent="0.35">
      <c r="J4091" s="56" t="str">
        <f t="shared" si="189"/>
        <v/>
      </c>
      <c r="K4091" s="74" t="str">
        <f t="shared" si="190"/>
        <v/>
      </c>
      <c r="L4091" s="58" t="str">
        <f t="shared" si="191"/>
        <v/>
      </c>
    </row>
    <row r="4092" spans="10:12" ht="16.5" customHeight="1" x14ac:dyDescent="0.35">
      <c r="J4092" s="56" t="str">
        <f t="shared" si="189"/>
        <v/>
      </c>
      <c r="K4092" s="74" t="str">
        <f t="shared" si="190"/>
        <v/>
      </c>
      <c r="L4092" s="58" t="str">
        <f t="shared" si="191"/>
        <v/>
      </c>
    </row>
    <row r="4093" spans="10:12" ht="16.5" customHeight="1" x14ac:dyDescent="0.35">
      <c r="J4093" s="56" t="str">
        <f t="shared" si="189"/>
        <v/>
      </c>
      <c r="K4093" s="74" t="str">
        <f t="shared" si="190"/>
        <v/>
      </c>
      <c r="L4093" s="58" t="str">
        <f t="shared" si="191"/>
        <v/>
      </c>
    </row>
    <row r="4094" spans="10:12" ht="16.5" customHeight="1" x14ac:dyDescent="0.35">
      <c r="J4094" s="56" t="str">
        <f t="shared" si="189"/>
        <v/>
      </c>
      <c r="K4094" s="74" t="str">
        <f t="shared" si="190"/>
        <v/>
      </c>
      <c r="L4094" s="58" t="str">
        <f t="shared" si="191"/>
        <v/>
      </c>
    </row>
    <row r="4095" spans="10:12" ht="16.5" customHeight="1" x14ac:dyDescent="0.35">
      <c r="J4095" s="56" t="str">
        <f t="shared" si="189"/>
        <v/>
      </c>
      <c r="K4095" s="74" t="str">
        <f t="shared" si="190"/>
        <v/>
      </c>
      <c r="L4095" s="58" t="str">
        <f t="shared" si="191"/>
        <v/>
      </c>
    </row>
    <row r="4096" spans="10:12" ht="16.5" customHeight="1" x14ac:dyDescent="0.35">
      <c r="J4096" s="56" t="str">
        <f t="shared" si="189"/>
        <v/>
      </c>
      <c r="K4096" s="74" t="str">
        <f t="shared" si="190"/>
        <v/>
      </c>
      <c r="L4096" s="58" t="str">
        <f t="shared" si="191"/>
        <v/>
      </c>
    </row>
    <row r="4097" spans="10:12" ht="16.5" customHeight="1" x14ac:dyDescent="0.35">
      <c r="J4097" s="56" t="str">
        <f t="shared" si="189"/>
        <v/>
      </c>
      <c r="K4097" s="74" t="str">
        <f t="shared" si="190"/>
        <v/>
      </c>
      <c r="L4097" s="58" t="str">
        <f t="shared" si="191"/>
        <v/>
      </c>
    </row>
    <row r="4098" spans="10:12" ht="16.5" customHeight="1" x14ac:dyDescent="0.35">
      <c r="J4098" s="56" t="str">
        <f t="shared" si="189"/>
        <v/>
      </c>
      <c r="K4098" s="74" t="str">
        <f t="shared" si="190"/>
        <v/>
      </c>
      <c r="L4098" s="58" t="str">
        <f t="shared" si="191"/>
        <v/>
      </c>
    </row>
    <row r="4099" spans="10:12" ht="16.5" customHeight="1" x14ac:dyDescent="0.35">
      <c r="J4099" s="56" t="str">
        <f t="shared" si="189"/>
        <v/>
      </c>
      <c r="K4099" s="74" t="str">
        <f t="shared" si="190"/>
        <v/>
      </c>
      <c r="L4099" s="58" t="str">
        <f t="shared" si="191"/>
        <v/>
      </c>
    </row>
    <row r="4100" spans="10:12" ht="16.5" customHeight="1" x14ac:dyDescent="0.35">
      <c r="J4100" s="56" t="str">
        <f t="shared" si="189"/>
        <v/>
      </c>
      <c r="K4100" s="74" t="str">
        <f t="shared" si="190"/>
        <v/>
      </c>
      <c r="L4100" s="58" t="str">
        <f t="shared" si="191"/>
        <v/>
      </c>
    </row>
    <row r="4101" spans="10:12" ht="16.5" customHeight="1" x14ac:dyDescent="0.35">
      <c r="J4101" s="56" t="str">
        <f t="shared" si="189"/>
        <v/>
      </c>
      <c r="K4101" s="74" t="str">
        <f t="shared" si="190"/>
        <v/>
      </c>
      <c r="L4101" s="58" t="str">
        <f t="shared" si="191"/>
        <v/>
      </c>
    </row>
    <row r="4102" spans="10:12" ht="16.5" customHeight="1" x14ac:dyDescent="0.35">
      <c r="J4102" s="56" t="str">
        <f t="shared" si="189"/>
        <v/>
      </c>
      <c r="K4102" s="74" t="str">
        <f t="shared" si="190"/>
        <v/>
      </c>
      <c r="L4102" s="58" t="str">
        <f t="shared" si="191"/>
        <v/>
      </c>
    </row>
    <row r="4103" spans="10:12" ht="16.5" customHeight="1" x14ac:dyDescent="0.35">
      <c r="J4103" s="56" t="str">
        <f t="shared" si="189"/>
        <v/>
      </c>
      <c r="K4103" s="74" t="str">
        <f t="shared" si="190"/>
        <v/>
      </c>
      <c r="L4103" s="58" t="str">
        <f t="shared" si="191"/>
        <v/>
      </c>
    </row>
    <row r="4104" spans="10:12" ht="16.5" customHeight="1" x14ac:dyDescent="0.35">
      <c r="J4104" s="56" t="str">
        <f t="shared" si="189"/>
        <v/>
      </c>
      <c r="K4104" s="74" t="str">
        <f t="shared" si="190"/>
        <v/>
      </c>
      <c r="L4104" s="58" t="str">
        <f t="shared" si="191"/>
        <v/>
      </c>
    </row>
    <row r="4105" spans="10:12" ht="16.5" customHeight="1" x14ac:dyDescent="0.35">
      <c r="J4105" s="56" t="str">
        <f t="shared" ref="J4105:J4168" si="192">IF(A4105="","",A$5-A4105)</f>
        <v/>
      </c>
      <c r="K4105" s="74" t="str">
        <f t="shared" ref="K4105:K4168" si="193">IF(J4105="","",IF(J4105&lt;4,"0-3 Days",IF(J4105&lt;31,"4-30 Days",IF(J4105&lt;61,"31-60 Days",IF(J4105&lt;=90,"61-90 Days",IF(J4105&gt;90,"Above 90 Days","0"))))))</f>
        <v/>
      </c>
      <c r="L4105" s="58" t="str">
        <f t="shared" ref="L4105:L4168" si="194">IF(C4105="","",IF(C4105&gt;0,IF(J4105&lt;30,"Normal",IF(J4105&lt;60,"Especially Mentioned",IF(J4105&lt;90,"Substandard",IF(J4105&lt;=180,"Doubtful",IF(J4105&gt;180,"Loss","0"))))),"Not Applicable"))</f>
        <v/>
      </c>
    </row>
    <row r="4106" spans="10:12" ht="16.5" customHeight="1" x14ac:dyDescent="0.35">
      <c r="J4106" s="56" t="str">
        <f t="shared" si="192"/>
        <v/>
      </c>
      <c r="K4106" s="74" t="str">
        <f t="shared" si="193"/>
        <v/>
      </c>
      <c r="L4106" s="58" t="str">
        <f t="shared" si="194"/>
        <v/>
      </c>
    </row>
    <row r="4107" spans="10:12" ht="16.5" customHeight="1" x14ac:dyDescent="0.35">
      <c r="J4107" s="56" t="str">
        <f t="shared" si="192"/>
        <v/>
      </c>
      <c r="K4107" s="74" t="str">
        <f t="shared" si="193"/>
        <v/>
      </c>
      <c r="L4107" s="58" t="str">
        <f t="shared" si="194"/>
        <v/>
      </c>
    </row>
    <row r="4108" spans="10:12" ht="16.5" customHeight="1" x14ac:dyDescent="0.35">
      <c r="J4108" s="56" t="str">
        <f t="shared" si="192"/>
        <v/>
      </c>
      <c r="K4108" s="74" t="str">
        <f t="shared" si="193"/>
        <v/>
      </c>
      <c r="L4108" s="58" t="str">
        <f t="shared" si="194"/>
        <v/>
      </c>
    </row>
    <row r="4109" spans="10:12" ht="16.5" customHeight="1" x14ac:dyDescent="0.35">
      <c r="J4109" s="56" t="str">
        <f t="shared" si="192"/>
        <v/>
      </c>
      <c r="K4109" s="74" t="str">
        <f t="shared" si="193"/>
        <v/>
      </c>
      <c r="L4109" s="58" t="str">
        <f t="shared" si="194"/>
        <v/>
      </c>
    </row>
    <row r="4110" spans="10:12" ht="16.5" customHeight="1" x14ac:dyDescent="0.35">
      <c r="J4110" s="56" t="str">
        <f t="shared" si="192"/>
        <v/>
      </c>
      <c r="K4110" s="74" t="str">
        <f t="shared" si="193"/>
        <v/>
      </c>
      <c r="L4110" s="58" t="str">
        <f t="shared" si="194"/>
        <v/>
      </c>
    </row>
    <row r="4111" spans="10:12" ht="16.5" customHeight="1" x14ac:dyDescent="0.35">
      <c r="J4111" s="56" t="str">
        <f t="shared" si="192"/>
        <v/>
      </c>
      <c r="K4111" s="74" t="str">
        <f t="shared" si="193"/>
        <v/>
      </c>
      <c r="L4111" s="58" t="str">
        <f t="shared" si="194"/>
        <v/>
      </c>
    </row>
    <row r="4112" spans="10:12" ht="16.5" customHeight="1" x14ac:dyDescent="0.35">
      <c r="J4112" s="56" t="str">
        <f t="shared" si="192"/>
        <v/>
      </c>
      <c r="K4112" s="74" t="str">
        <f t="shared" si="193"/>
        <v/>
      </c>
      <c r="L4112" s="58" t="str">
        <f t="shared" si="194"/>
        <v/>
      </c>
    </row>
    <row r="4113" spans="10:12" ht="16.5" customHeight="1" x14ac:dyDescent="0.35">
      <c r="J4113" s="56" t="str">
        <f t="shared" si="192"/>
        <v/>
      </c>
      <c r="K4113" s="74" t="str">
        <f t="shared" si="193"/>
        <v/>
      </c>
      <c r="L4113" s="58" t="str">
        <f t="shared" si="194"/>
        <v/>
      </c>
    </row>
    <row r="4114" spans="10:12" ht="16.5" customHeight="1" x14ac:dyDescent="0.35">
      <c r="J4114" s="56" t="str">
        <f t="shared" si="192"/>
        <v/>
      </c>
      <c r="K4114" s="74" t="str">
        <f t="shared" si="193"/>
        <v/>
      </c>
      <c r="L4114" s="58" t="str">
        <f t="shared" si="194"/>
        <v/>
      </c>
    </row>
    <row r="4115" spans="10:12" ht="16.5" customHeight="1" x14ac:dyDescent="0.35">
      <c r="J4115" s="56" t="str">
        <f t="shared" si="192"/>
        <v/>
      </c>
      <c r="K4115" s="74" t="str">
        <f t="shared" si="193"/>
        <v/>
      </c>
      <c r="L4115" s="58" t="str">
        <f t="shared" si="194"/>
        <v/>
      </c>
    </row>
    <row r="4116" spans="10:12" ht="16.5" customHeight="1" x14ac:dyDescent="0.35">
      <c r="J4116" s="56" t="str">
        <f t="shared" si="192"/>
        <v/>
      </c>
      <c r="K4116" s="74" t="str">
        <f t="shared" si="193"/>
        <v/>
      </c>
      <c r="L4116" s="58" t="str">
        <f t="shared" si="194"/>
        <v/>
      </c>
    </row>
    <row r="4117" spans="10:12" ht="16.5" customHeight="1" x14ac:dyDescent="0.35">
      <c r="J4117" s="56" t="str">
        <f t="shared" si="192"/>
        <v/>
      </c>
      <c r="K4117" s="74" t="str">
        <f t="shared" si="193"/>
        <v/>
      </c>
      <c r="L4117" s="58" t="str">
        <f t="shared" si="194"/>
        <v/>
      </c>
    </row>
    <row r="4118" spans="10:12" ht="16.5" customHeight="1" x14ac:dyDescent="0.35">
      <c r="J4118" s="56" t="str">
        <f t="shared" si="192"/>
        <v/>
      </c>
      <c r="K4118" s="74" t="str">
        <f t="shared" si="193"/>
        <v/>
      </c>
      <c r="L4118" s="58" t="str">
        <f t="shared" si="194"/>
        <v/>
      </c>
    </row>
    <row r="4119" spans="10:12" ht="16.5" customHeight="1" x14ac:dyDescent="0.35">
      <c r="J4119" s="56" t="str">
        <f t="shared" si="192"/>
        <v/>
      </c>
      <c r="K4119" s="74" t="str">
        <f t="shared" si="193"/>
        <v/>
      </c>
      <c r="L4119" s="58" t="str">
        <f t="shared" si="194"/>
        <v/>
      </c>
    </row>
    <row r="4120" spans="10:12" ht="16.5" customHeight="1" x14ac:dyDescent="0.35">
      <c r="J4120" s="56" t="str">
        <f t="shared" si="192"/>
        <v/>
      </c>
      <c r="K4120" s="74" t="str">
        <f t="shared" si="193"/>
        <v/>
      </c>
      <c r="L4120" s="58" t="str">
        <f t="shared" si="194"/>
        <v/>
      </c>
    </row>
    <row r="4121" spans="10:12" ht="16.5" customHeight="1" x14ac:dyDescent="0.35">
      <c r="J4121" s="56" t="str">
        <f t="shared" si="192"/>
        <v/>
      </c>
      <c r="K4121" s="74" t="str">
        <f t="shared" si="193"/>
        <v/>
      </c>
      <c r="L4121" s="58" t="str">
        <f t="shared" si="194"/>
        <v/>
      </c>
    </row>
    <row r="4122" spans="10:12" ht="16.5" customHeight="1" x14ac:dyDescent="0.35">
      <c r="J4122" s="56" t="str">
        <f t="shared" si="192"/>
        <v/>
      </c>
      <c r="K4122" s="74" t="str">
        <f t="shared" si="193"/>
        <v/>
      </c>
      <c r="L4122" s="58" t="str">
        <f t="shared" si="194"/>
        <v/>
      </c>
    </row>
    <row r="4123" spans="10:12" ht="16.5" customHeight="1" x14ac:dyDescent="0.35">
      <c r="J4123" s="56" t="str">
        <f t="shared" si="192"/>
        <v/>
      </c>
      <c r="K4123" s="74" t="str">
        <f t="shared" si="193"/>
        <v/>
      </c>
      <c r="L4123" s="58" t="str">
        <f t="shared" si="194"/>
        <v/>
      </c>
    </row>
    <row r="4124" spans="10:12" ht="16.5" customHeight="1" x14ac:dyDescent="0.35">
      <c r="J4124" s="56" t="str">
        <f t="shared" si="192"/>
        <v/>
      </c>
      <c r="K4124" s="74" t="str">
        <f t="shared" si="193"/>
        <v/>
      </c>
      <c r="L4124" s="58" t="str">
        <f t="shared" si="194"/>
        <v/>
      </c>
    </row>
    <row r="4125" spans="10:12" ht="16.5" customHeight="1" x14ac:dyDescent="0.35">
      <c r="J4125" s="56" t="str">
        <f t="shared" si="192"/>
        <v/>
      </c>
      <c r="K4125" s="74" t="str">
        <f t="shared" si="193"/>
        <v/>
      </c>
      <c r="L4125" s="58" t="str">
        <f t="shared" si="194"/>
        <v/>
      </c>
    </row>
    <row r="4126" spans="10:12" ht="16.5" customHeight="1" x14ac:dyDescent="0.35">
      <c r="J4126" s="56" t="str">
        <f t="shared" si="192"/>
        <v/>
      </c>
      <c r="K4126" s="74" t="str">
        <f t="shared" si="193"/>
        <v/>
      </c>
      <c r="L4126" s="58" t="str">
        <f t="shared" si="194"/>
        <v/>
      </c>
    </row>
    <row r="4127" spans="10:12" ht="16.5" customHeight="1" x14ac:dyDescent="0.35">
      <c r="J4127" s="56" t="str">
        <f t="shared" si="192"/>
        <v/>
      </c>
      <c r="K4127" s="74" t="str">
        <f t="shared" si="193"/>
        <v/>
      </c>
      <c r="L4127" s="58" t="str">
        <f t="shared" si="194"/>
        <v/>
      </c>
    </row>
    <row r="4128" spans="10:12" ht="16.5" customHeight="1" x14ac:dyDescent="0.35">
      <c r="J4128" s="56" t="str">
        <f t="shared" si="192"/>
        <v/>
      </c>
      <c r="K4128" s="74" t="str">
        <f t="shared" si="193"/>
        <v/>
      </c>
      <c r="L4128" s="58" t="str">
        <f t="shared" si="194"/>
        <v/>
      </c>
    </row>
    <row r="4129" spans="10:12" ht="16.5" customHeight="1" x14ac:dyDescent="0.35">
      <c r="J4129" s="56" t="str">
        <f t="shared" si="192"/>
        <v/>
      </c>
      <c r="K4129" s="74" t="str">
        <f t="shared" si="193"/>
        <v/>
      </c>
      <c r="L4129" s="58" t="str">
        <f t="shared" si="194"/>
        <v/>
      </c>
    </row>
    <row r="4130" spans="10:12" ht="16.5" customHeight="1" x14ac:dyDescent="0.35">
      <c r="J4130" s="56" t="str">
        <f t="shared" si="192"/>
        <v/>
      </c>
      <c r="K4130" s="74" t="str">
        <f t="shared" si="193"/>
        <v/>
      </c>
      <c r="L4130" s="58" t="str">
        <f t="shared" si="194"/>
        <v/>
      </c>
    </row>
    <row r="4131" spans="10:12" ht="16.5" customHeight="1" x14ac:dyDescent="0.35">
      <c r="J4131" s="56" t="str">
        <f t="shared" si="192"/>
        <v/>
      </c>
      <c r="K4131" s="74" t="str">
        <f t="shared" si="193"/>
        <v/>
      </c>
      <c r="L4131" s="58" t="str">
        <f t="shared" si="194"/>
        <v/>
      </c>
    </row>
    <row r="4132" spans="10:12" ht="16.5" customHeight="1" x14ac:dyDescent="0.35">
      <c r="J4132" s="56" t="str">
        <f t="shared" si="192"/>
        <v/>
      </c>
      <c r="K4132" s="74" t="str">
        <f t="shared" si="193"/>
        <v/>
      </c>
      <c r="L4132" s="58" t="str">
        <f t="shared" si="194"/>
        <v/>
      </c>
    </row>
    <row r="4133" spans="10:12" ht="16.5" customHeight="1" x14ac:dyDescent="0.35">
      <c r="J4133" s="56" t="str">
        <f t="shared" si="192"/>
        <v/>
      </c>
      <c r="K4133" s="74" t="str">
        <f t="shared" si="193"/>
        <v/>
      </c>
      <c r="L4133" s="58" t="str">
        <f t="shared" si="194"/>
        <v/>
      </c>
    </row>
    <row r="4134" spans="10:12" ht="16.5" customHeight="1" x14ac:dyDescent="0.35">
      <c r="J4134" s="56" t="str">
        <f t="shared" si="192"/>
        <v/>
      </c>
      <c r="K4134" s="74" t="str">
        <f t="shared" si="193"/>
        <v/>
      </c>
      <c r="L4134" s="58" t="str">
        <f t="shared" si="194"/>
        <v/>
      </c>
    </row>
    <row r="4135" spans="10:12" ht="16.5" customHeight="1" x14ac:dyDescent="0.35">
      <c r="J4135" s="56" t="str">
        <f t="shared" si="192"/>
        <v/>
      </c>
      <c r="K4135" s="74" t="str">
        <f t="shared" si="193"/>
        <v/>
      </c>
      <c r="L4135" s="58" t="str">
        <f t="shared" si="194"/>
        <v/>
      </c>
    </row>
    <row r="4136" spans="10:12" ht="16.5" customHeight="1" x14ac:dyDescent="0.35">
      <c r="J4136" s="56" t="str">
        <f t="shared" si="192"/>
        <v/>
      </c>
      <c r="K4136" s="74" t="str">
        <f t="shared" si="193"/>
        <v/>
      </c>
      <c r="L4136" s="58" t="str">
        <f t="shared" si="194"/>
        <v/>
      </c>
    </row>
    <row r="4137" spans="10:12" ht="16.5" customHeight="1" x14ac:dyDescent="0.35">
      <c r="J4137" s="56" t="str">
        <f t="shared" si="192"/>
        <v/>
      </c>
      <c r="K4137" s="74" t="str">
        <f t="shared" si="193"/>
        <v/>
      </c>
      <c r="L4137" s="58" t="str">
        <f t="shared" si="194"/>
        <v/>
      </c>
    </row>
    <row r="4138" spans="10:12" ht="16.5" customHeight="1" x14ac:dyDescent="0.35">
      <c r="J4138" s="56" t="str">
        <f t="shared" si="192"/>
        <v/>
      </c>
      <c r="K4138" s="74" t="str">
        <f t="shared" si="193"/>
        <v/>
      </c>
      <c r="L4138" s="58" t="str">
        <f t="shared" si="194"/>
        <v/>
      </c>
    </row>
    <row r="4139" spans="10:12" ht="16.5" customHeight="1" x14ac:dyDescent="0.35">
      <c r="J4139" s="56" t="str">
        <f t="shared" si="192"/>
        <v/>
      </c>
      <c r="K4139" s="74" t="str">
        <f t="shared" si="193"/>
        <v/>
      </c>
      <c r="L4139" s="58" t="str">
        <f t="shared" si="194"/>
        <v/>
      </c>
    </row>
    <row r="4140" spans="10:12" ht="16.5" customHeight="1" x14ac:dyDescent="0.35">
      <c r="J4140" s="56" t="str">
        <f t="shared" si="192"/>
        <v/>
      </c>
      <c r="K4140" s="74" t="str">
        <f t="shared" si="193"/>
        <v/>
      </c>
      <c r="L4140" s="58" t="str">
        <f t="shared" si="194"/>
        <v/>
      </c>
    </row>
    <row r="4141" spans="10:12" ht="16.5" customHeight="1" x14ac:dyDescent="0.35">
      <c r="J4141" s="56" t="str">
        <f t="shared" si="192"/>
        <v/>
      </c>
      <c r="K4141" s="74" t="str">
        <f t="shared" si="193"/>
        <v/>
      </c>
      <c r="L4141" s="58" t="str">
        <f t="shared" si="194"/>
        <v/>
      </c>
    </row>
    <row r="4142" spans="10:12" ht="16.5" customHeight="1" x14ac:dyDescent="0.35">
      <c r="J4142" s="56" t="str">
        <f t="shared" si="192"/>
        <v/>
      </c>
      <c r="K4142" s="74" t="str">
        <f t="shared" si="193"/>
        <v/>
      </c>
      <c r="L4142" s="58" t="str">
        <f t="shared" si="194"/>
        <v/>
      </c>
    </row>
    <row r="4143" spans="10:12" ht="16.5" customHeight="1" x14ac:dyDescent="0.35">
      <c r="J4143" s="56" t="str">
        <f t="shared" si="192"/>
        <v/>
      </c>
      <c r="K4143" s="74" t="str">
        <f t="shared" si="193"/>
        <v/>
      </c>
      <c r="L4143" s="58" t="str">
        <f t="shared" si="194"/>
        <v/>
      </c>
    </row>
    <row r="4144" spans="10:12" ht="16.5" customHeight="1" x14ac:dyDescent="0.35">
      <c r="J4144" s="56" t="str">
        <f t="shared" si="192"/>
        <v/>
      </c>
      <c r="K4144" s="74" t="str">
        <f t="shared" si="193"/>
        <v/>
      </c>
      <c r="L4144" s="58" t="str">
        <f t="shared" si="194"/>
        <v/>
      </c>
    </row>
    <row r="4145" spans="10:12" ht="16.5" customHeight="1" x14ac:dyDescent="0.35">
      <c r="J4145" s="56" t="str">
        <f t="shared" si="192"/>
        <v/>
      </c>
      <c r="K4145" s="74" t="str">
        <f t="shared" si="193"/>
        <v/>
      </c>
      <c r="L4145" s="58" t="str">
        <f t="shared" si="194"/>
        <v/>
      </c>
    </row>
    <row r="4146" spans="10:12" ht="16.5" customHeight="1" x14ac:dyDescent="0.35">
      <c r="J4146" s="56" t="str">
        <f t="shared" si="192"/>
        <v/>
      </c>
      <c r="K4146" s="74" t="str">
        <f t="shared" si="193"/>
        <v/>
      </c>
      <c r="L4146" s="58" t="str">
        <f t="shared" si="194"/>
        <v/>
      </c>
    </row>
    <row r="4147" spans="10:12" ht="16.5" customHeight="1" x14ac:dyDescent="0.35">
      <c r="J4147" s="56" t="str">
        <f t="shared" si="192"/>
        <v/>
      </c>
      <c r="K4147" s="74" t="str">
        <f t="shared" si="193"/>
        <v/>
      </c>
      <c r="L4147" s="58" t="str">
        <f t="shared" si="194"/>
        <v/>
      </c>
    </row>
    <row r="4148" spans="10:12" ht="16.5" customHeight="1" x14ac:dyDescent="0.35">
      <c r="J4148" s="56" t="str">
        <f t="shared" si="192"/>
        <v/>
      </c>
      <c r="K4148" s="74" t="str">
        <f t="shared" si="193"/>
        <v/>
      </c>
      <c r="L4148" s="58" t="str">
        <f t="shared" si="194"/>
        <v/>
      </c>
    </row>
    <row r="4149" spans="10:12" ht="16.5" customHeight="1" x14ac:dyDescent="0.35">
      <c r="J4149" s="56" t="str">
        <f t="shared" si="192"/>
        <v/>
      </c>
      <c r="K4149" s="74" t="str">
        <f t="shared" si="193"/>
        <v/>
      </c>
      <c r="L4149" s="58" t="str">
        <f t="shared" si="194"/>
        <v/>
      </c>
    </row>
    <row r="4150" spans="10:12" ht="16.5" customHeight="1" x14ac:dyDescent="0.35">
      <c r="J4150" s="56" t="str">
        <f t="shared" si="192"/>
        <v/>
      </c>
      <c r="K4150" s="74" t="str">
        <f t="shared" si="193"/>
        <v/>
      </c>
      <c r="L4150" s="58" t="str">
        <f t="shared" si="194"/>
        <v/>
      </c>
    </row>
    <row r="4151" spans="10:12" ht="16.5" customHeight="1" x14ac:dyDescent="0.35">
      <c r="J4151" s="56" t="str">
        <f t="shared" si="192"/>
        <v/>
      </c>
      <c r="K4151" s="74" t="str">
        <f t="shared" si="193"/>
        <v/>
      </c>
      <c r="L4151" s="58" t="str">
        <f t="shared" si="194"/>
        <v/>
      </c>
    </row>
    <row r="4152" spans="10:12" ht="16.5" customHeight="1" x14ac:dyDescent="0.35">
      <c r="J4152" s="56" t="str">
        <f t="shared" si="192"/>
        <v/>
      </c>
      <c r="K4152" s="74" t="str">
        <f t="shared" si="193"/>
        <v/>
      </c>
      <c r="L4152" s="58" t="str">
        <f t="shared" si="194"/>
        <v/>
      </c>
    </row>
    <row r="4153" spans="10:12" ht="16.5" customHeight="1" x14ac:dyDescent="0.35">
      <c r="J4153" s="56" t="str">
        <f t="shared" si="192"/>
        <v/>
      </c>
      <c r="K4153" s="74" t="str">
        <f t="shared" si="193"/>
        <v/>
      </c>
      <c r="L4153" s="58" t="str">
        <f t="shared" si="194"/>
        <v/>
      </c>
    </row>
    <row r="4154" spans="10:12" ht="16.5" customHeight="1" x14ac:dyDescent="0.35">
      <c r="J4154" s="56" t="str">
        <f t="shared" si="192"/>
        <v/>
      </c>
      <c r="K4154" s="74" t="str">
        <f t="shared" si="193"/>
        <v/>
      </c>
      <c r="L4154" s="58" t="str">
        <f t="shared" si="194"/>
        <v/>
      </c>
    </row>
    <row r="4155" spans="10:12" ht="16.5" customHeight="1" x14ac:dyDescent="0.35">
      <c r="J4155" s="56" t="str">
        <f t="shared" si="192"/>
        <v/>
      </c>
      <c r="K4155" s="74" t="str">
        <f t="shared" si="193"/>
        <v/>
      </c>
      <c r="L4155" s="58" t="str">
        <f t="shared" si="194"/>
        <v/>
      </c>
    </row>
    <row r="4156" spans="10:12" ht="16.5" customHeight="1" x14ac:dyDescent="0.35">
      <c r="J4156" s="56" t="str">
        <f t="shared" si="192"/>
        <v/>
      </c>
      <c r="K4156" s="74" t="str">
        <f t="shared" si="193"/>
        <v/>
      </c>
      <c r="L4156" s="58" t="str">
        <f t="shared" si="194"/>
        <v/>
      </c>
    </row>
    <row r="4157" spans="10:12" ht="16.5" customHeight="1" x14ac:dyDescent="0.35">
      <c r="J4157" s="56" t="str">
        <f t="shared" si="192"/>
        <v/>
      </c>
      <c r="K4157" s="74" t="str">
        <f t="shared" si="193"/>
        <v/>
      </c>
      <c r="L4157" s="58" t="str">
        <f t="shared" si="194"/>
        <v/>
      </c>
    </row>
    <row r="4158" spans="10:12" ht="16.5" customHeight="1" x14ac:dyDescent="0.35">
      <c r="J4158" s="56" t="str">
        <f t="shared" si="192"/>
        <v/>
      </c>
      <c r="K4158" s="74" t="str">
        <f t="shared" si="193"/>
        <v/>
      </c>
      <c r="L4158" s="58" t="str">
        <f t="shared" si="194"/>
        <v/>
      </c>
    </row>
    <row r="4159" spans="10:12" ht="16.5" customHeight="1" x14ac:dyDescent="0.35">
      <c r="J4159" s="56" t="str">
        <f t="shared" si="192"/>
        <v/>
      </c>
      <c r="K4159" s="74" t="str">
        <f t="shared" si="193"/>
        <v/>
      </c>
      <c r="L4159" s="58" t="str">
        <f t="shared" si="194"/>
        <v/>
      </c>
    </row>
    <row r="4160" spans="10:12" ht="16.5" customHeight="1" x14ac:dyDescent="0.35">
      <c r="J4160" s="56" t="str">
        <f t="shared" si="192"/>
        <v/>
      </c>
      <c r="K4160" s="74" t="str">
        <f t="shared" si="193"/>
        <v/>
      </c>
      <c r="L4160" s="58" t="str">
        <f t="shared" si="194"/>
        <v/>
      </c>
    </row>
    <row r="4161" spans="10:12" ht="16.5" customHeight="1" x14ac:dyDescent="0.35">
      <c r="J4161" s="56" t="str">
        <f t="shared" si="192"/>
        <v/>
      </c>
      <c r="K4161" s="74" t="str">
        <f t="shared" si="193"/>
        <v/>
      </c>
      <c r="L4161" s="58" t="str">
        <f t="shared" si="194"/>
        <v/>
      </c>
    </row>
    <row r="4162" spans="10:12" ht="16.5" customHeight="1" x14ac:dyDescent="0.35">
      <c r="J4162" s="56" t="str">
        <f t="shared" si="192"/>
        <v/>
      </c>
      <c r="K4162" s="74" t="str">
        <f t="shared" si="193"/>
        <v/>
      </c>
      <c r="L4162" s="58" t="str">
        <f t="shared" si="194"/>
        <v/>
      </c>
    </row>
    <row r="4163" spans="10:12" ht="16.5" customHeight="1" x14ac:dyDescent="0.35">
      <c r="J4163" s="56" t="str">
        <f t="shared" si="192"/>
        <v/>
      </c>
      <c r="K4163" s="74" t="str">
        <f t="shared" si="193"/>
        <v/>
      </c>
      <c r="L4163" s="58" t="str">
        <f t="shared" si="194"/>
        <v/>
      </c>
    </row>
    <row r="4164" spans="10:12" ht="16.5" customHeight="1" x14ac:dyDescent="0.35">
      <c r="J4164" s="56" t="str">
        <f t="shared" si="192"/>
        <v/>
      </c>
      <c r="K4164" s="74" t="str">
        <f t="shared" si="193"/>
        <v/>
      </c>
      <c r="L4164" s="58" t="str">
        <f t="shared" si="194"/>
        <v/>
      </c>
    </row>
    <row r="4165" spans="10:12" ht="16.5" customHeight="1" x14ac:dyDescent="0.35">
      <c r="J4165" s="56" t="str">
        <f t="shared" si="192"/>
        <v/>
      </c>
      <c r="K4165" s="74" t="str">
        <f t="shared" si="193"/>
        <v/>
      </c>
      <c r="L4165" s="58" t="str">
        <f t="shared" si="194"/>
        <v/>
      </c>
    </row>
    <row r="4166" spans="10:12" ht="16.5" customHeight="1" x14ac:dyDescent="0.35">
      <c r="J4166" s="56" t="str">
        <f t="shared" si="192"/>
        <v/>
      </c>
      <c r="K4166" s="74" t="str">
        <f t="shared" si="193"/>
        <v/>
      </c>
      <c r="L4166" s="58" t="str">
        <f t="shared" si="194"/>
        <v/>
      </c>
    </row>
    <row r="4167" spans="10:12" ht="16.5" customHeight="1" x14ac:dyDescent="0.35">
      <c r="J4167" s="56" t="str">
        <f t="shared" si="192"/>
        <v/>
      </c>
      <c r="K4167" s="74" t="str">
        <f t="shared" si="193"/>
        <v/>
      </c>
      <c r="L4167" s="58" t="str">
        <f t="shared" si="194"/>
        <v/>
      </c>
    </row>
    <row r="4168" spans="10:12" ht="16.5" customHeight="1" x14ac:dyDescent="0.35">
      <c r="J4168" s="56" t="str">
        <f t="shared" si="192"/>
        <v/>
      </c>
      <c r="K4168" s="74" t="str">
        <f t="shared" si="193"/>
        <v/>
      </c>
      <c r="L4168" s="58" t="str">
        <f t="shared" si="194"/>
        <v/>
      </c>
    </row>
    <row r="4169" spans="10:12" ht="16.5" customHeight="1" x14ac:dyDescent="0.35">
      <c r="J4169" s="56" t="str">
        <f t="shared" ref="J4169:J4232" si="195">IF(A4169="","",A$5-A4169)</f>
        <v/>
      </c>
      <c r="K4169" s="74" t="str">
        <f t="shared" ref="K4169:K4232" si="196">IF(J4169="","",IF(J4169&lt;4,"0-3 Days",IF(J4169&lt;31,"4-30 Days",IF(J4169&lt;61,"31-60 Days",IF(J4169&lt;=90,"61-90 Days",IF(J4169&gt;90,"Above 90 Days","0"))))))</f>
        <v/>
      </c>
      <c r="L4169" s="58" t="str">
        <f t="shared" ref="L4169:L4232" si="197">IF(C4169="","",IF(C4169&gt;0,IF(J4169&lt;30,"Normal",IF(J4169&lt;60,"Especially Mentioned",IF(J4169&lt;90,"Substandard",IF(J4169&lt;=180,"Doubtful",IF(J4169&gt;180,"Loss","0"))))),"Not Applicable"))</f>
        <v/>
      </c>
    </row>
    <row r="4170" spans="10:12" ht="16.5" customHeight="1" x14ac:dyDescent="0.35">
      <c r="J4170" s="56" t="str">
        <f t="shared" si="195"/>
        <v/>
      </c>
      <c r="K4170" s="74" t="str">
        <f t="shared" si="196"/>
        <v/>
      </c>
      <c r="L4170" s="58" t="str">
        <f t="shared" si="197"/>
        <v/>
      </c>
    </row>
    <row r="4171" spans="10:12" ht="16.5" customHeight="1" x14ac:dyDescent="0.35">
      <c r="J4171" s="56" t="str">
        <f t="shared" si="195"/>
        <v/>
      </c>
      <c r="K4171" s="74" t="str">
        <f t="shared" si="196"/>
        <v/>
      </c>
      <c r="L4171" s="58" t="str">
        <f t="shared" si="197"/>
        <v/>
      </c>
    </row>
    <row r="4172" spans="10:12" ht="16.5" customHeight="1" x14ac:dyDescent="0.35">
      <c r="J4172" s="56" t="str">
        <f t="shared" si="195"/>
        <v/>
      </c>
      <c r="K4172" s="74" t="str">
        <f t="shared" si="196"/>
        <v/>
      </c>
      <c r="L4172" s="58" t="str">
        <f t="shared" si="197"/>
        <v/>
      </c>
    </row>
    <row r="4173" spans="10:12" ht="16.5" customHeight="1" x14ac:dyDescent="0.35">
      <c r="J4173" s="56" t="str">
        <f t="shared" si="195"/>
        <v/>
      </c>
      <c r="K4173" s="74" t="str">
        <f t="shared" si="196"/>
        <v/>
      </c>
      <c r="L4173" s="58" t="str">
        <f t="shared" si="197"/>
        <v/>
      </c>
    </row>
    <row r="4174" spans="10:12" ht="16.5" customHeight="1" x14ac:dyDescent="0.35">
      <c r="J4174" s="56" t="str">
        <f t="shared" si="195"/>
        <v/>
      </c>
      <c r="K4174" s="74" t="str">
        <f t="shared" si="196"/>
        <v/>
      </c>
      <c r="L4174" s="58" t="str">
        <f t="shared" si="197"/>
        <v/>
      </c>
    </row>
    <row r="4175" spans="10:12" ht="16.5" customHeight="1" x14ac:dyDescent="0.35">
      <c r="J4175" s="56" t="str">
        <f t="shared" si="195"/>
        <v/>
      </c>
      <c r="K4175" s="74" t="str">
        <f t="shared" si="196"/>
        <v/>
      </c>
      <c r="L4175" s="58" t="str">
        <f t="shared" si="197"/>
        <v/>
      </c>
    </row>
    <row r="4176" spans="10:12" ht="16.5" customHeight="1" x14ac:dyDescent="0.35">
      <c r="J4176" s="56" t="str">
        <f t="shared" si="195"/>
        <v/>
      </c>
      <c r="K4176" s="74" t="str">
        <f t="shared" si="196"/>
        <v/>
      </c>
      <c r="L4176" s="58" t="str">
        <f t="shared" si="197"/>
        <v/>
      </c>
    </row>
    <row r="4177" spans="10:12" ht="16.5" customHeight="1" x14ac:dyDescent="0.35">
      <c r="J4177" s="56" t="str">
        <f t="shared" si="195"/>
        <v/>
      </c>
      <c r="K4177" s="74" t="str">
        <f t="shared" si="196"/>
        <v/>
      </c>
      <c r="L4177" s="58" t="str">
        <f t="shared" si="197"/>
        <v/>
      </c>
    </row>
    <row r="4178" spans="10:12" ht="16.5" customHeight="1" x14ac:dyDescent="0.35">
      <c r="J4178" s="56" t="str">
        <f t="shared" si="195"/>
        <v/>
      </c>
      <c r="K4178" s="74" t="str">
        <f t="shared" si="196"/>
        <v/>
      </c>
      <c r="L4178" s="58" t="str">
        <f t="shared" si="197"/>
        <v/>
      </c>
    </row>
    <row r="4179" spans="10:12" ht="16.5" customHeight="1" x14ac:dyDescent="0.35">
      <c r="J4179" s="56" t="str">
        <f t="shared" si="195"/>
        <v/>
      </c>
      <c r="K4179" s="74" t="str">
        <f t="shared" si="196"/>
        <v/>
      </c>
      <c r="L4179" s="58" t="str">
        <f t="shared" si="197"/>
        <v/>
      </c>
    </row>
    <row r="4180" spans="10:12" ht="16.5" customHeight="1" x14ac:dyDescent="0.35">
      <c r="J4180" s="56" t="str">
        <f t="shared" si="195"/>
        <v/>
      </c>
      <c r="K4180" s="74" t="str">
        <f t="shared" si="196"/>
        <v/>
      </c>
      <c r="L4180" s="58" t="str">
        <f t="shared" si="197"/>
        <v/>
      </c>
    </row>
    <row r="4181" spans="10:12" ht="16.5" customHeight="1" x14ac:dyDescent="0.35">
      <c r="J4181" s="56" t="str">
        <f t="shared" si="195"/>
        <v/>
      </c>
      <c r="K4181" s="74" t="str">
        <f t="shared" si="196"/>
        <v/>
      </c>
      <c r="L4181" s="58" t="str">
        <f t="shared" si="197"/>
        <v/>
      </c>
    </row>
    <row r="4182" spans="10:12" ht="16.5" customHeight="1" x14ac:dyDescent="0.35">
      <c r="J4182" s="56" t="str">
        <f t="shared" si="195"/>
        <v/>
      </c>
      <c r="K4182" s="74" t="str">
        <f t="shared" si="196"/>
        <v/>
      </c>
      <c r="L4182" s="58" t="str">
        <f t="shared" si="197"/>
        <v/>
      </c>
    </row>
    <row r="4183" spans="10:12" ht="16.5" customHeight="1" x14ac:dyDescent="0.35">
      <c r="J4183" s="56" t="str">
        <f t="shared" si="195"/>
        <v/>
      </c>
      <c r="K4183" s="74" t="str">
        <f t="shared" si="196"/>
        <v/>
      </c>
      <c r="L4183" s="58" t="str">
        <f t="shared" si="197"/>
        <v/>
      </c>
    </row>
    <row r="4184" spans="10:12" ht="16.5" customHeight="1" x14ac:dyDescent="0.35">
      <c r="J4184" s="56" t="str">
        <f t="shared" si="195"/>
        <v/>
      </c>
      <c r="K4184" s="74" t="str">
        <f t="shared" si="196"/>
        <v/>
      </c>
      <c r="L4184" s="58" t="str">
        <f t="shared" si="197"/>
        <v/>
      </c>
    </row>
    <row r="4185" spans="10:12" ht="16.5" customHeight="1" x14ac:dyDescent="0.35">
      <c r="J4185" s="56" t="str">
        <f t="shared" si="195"/>
        <v/>
      </c>
      <c r="K4185" s="74" t="str">
        <f t="shared" si="196"/>
        <v/>
      </c>
      <c r="L4185" s="58" t="str">
        <f t="shared" si="197"/>
        <v/>
      </c>
    </row>
    <row r="4186" spans="10:12" ht="16.5" customHeight="1" x14ac:dyDescent="0.35">
      <c r="J4186" s="56" t="str">
        <f t="shared" si="195"/>
        <v/>
      </c>
      <c r="K4186" s="74" t="str">
        <f t="shared" si="196"/>
        <v/>
      </c>
      <c r="L4186" s="58" t="str">
        <f t="shared" si="197"/>
        <v/>
      </c>
    </row>
    <row r="4187" spans="10:12" ht="16.5" customHeight="1" x14ac:dyDescent="0.35">
      <c r="J4187" s="56" t="str">
        <f t="shared" si="195"/>
        <v/>
      </c>
      <c r="K4187" s="74" t="str">
        <f t="shared" si="196"/>
        <v/>
      </c>
      <c r="L4187" s="58" t="str">
        <f t="shared" si="197"/>
        <v/>
      </c>
    </row>
    <row r="4188" spans="10:12" ht="16.5" customHeight="1" x14ac:dyDescent="0.35">
      <c r="J4188" s="56" t="str">
        <f t="shared" si="195"/>
        <v/>
      </c>
      <c r="K4188" s="74" t="str">
        <f t="shared" si="196"/>
        <v/>
      </c>
      <c r="L4188" s="58" t="str">
        <f t="shared" si="197"/>
        <v/>
      </c>
    </row>
    <row r="4189" spans="10:12" ht="16.5" customHeight="1" x14ac:dyDescent="0.35">
      <c r="J4189" s="56" t="str">
        <f t="shared" si="195"/>
        <v/>
      </c>
      <c r="K4189" s="74" t="str">
        <f t="shared" si="196"/>
        <v/>
      </c>
      <c r="L4189" s="58" t="str">
        <f t="shared" si="197"/>
        <v/>
      </c>
    </row>
    <row r="4190" spans="10:12" ht="16.5" customHeight="1" x14ac:dyDescent="0.35">
      <c r="J4190" s="56" t="str">
        <f t="shared" si="195"/>
        <v/>
      </c>
      <c r="K4190" s="74" t="str">
        <f t="shared" si="196"/>
        <v/>
      </c>
      <c r="L4190" s="58" t="str">
        <f t="shared" si="197"/>
        <v/>
      </c>
    </row>
    <row r="4191" spans="10:12" ht="16.5" customHeight="1" x14ac:dyDescent="0.35">
      <c r="J4191" s="56" t="str">
        <f t="shared" si="195"/>
        <v/>
      </c>
      <c r="K4191" s="74" t="str">
        <f t="shared" si="196"/>
        <v/>
      </c>
      <c r="L4191" s="58" t="str">
        <f t="shared" si="197"/>
        <v/>
      </c>
    </row>
    <row r="4192" spans="10:12" ht="16.5" customHeight="1" x14ac:dyDescent="0.35">
      <c r="J4192" s="56" t="str">
        <f t="shared" si="195"/>
        <v/>
      </c>
      <c r="K4192" s="74" t="str">
        <f t="shared" si="196"/>
        <v/>
      </c>
      <c r="L4192" s="58" t="str">
        <f t="shared" si="197"/>
        <v/>
      </c>
    </row>
    <row r="4193" spans="10:12" ht="16.5" customHeight="1" x14ac:dyDescent="0.35">
      <c r="J4193" s="56" t="str">
        <f t="shared" si="195"/>
        <v/>
      </c>
      <c r="K4193" s="74" t="str">
        <f t="shared" si="196"/>
        <v/>
      </c>
      <c r="L4193" s="58" t="str">
        <f t="shared" si="197"/>
        <v/>
      </c>
    </row>
    <row r="4194" spans="10:12" ht="16.5" customHeight="1" x14ac:dyDescent="0.35">
      <c r="J4194" s="56" t="str">
        <f t="shared" si="195"/>
        <v/>
      </c>
      <c r="K4194" s="74" t="str">
        <f t="shared" si="196"/>
        <v/>
      </c>
      <c r="L4194" s="58" t="str">
        <f t="shared" si="197"/>
        <v/>
      </c>
    </row>
    <row r="4195" spans="10:12" ht="16.5" customHeight="1" x14ac:dyDescent="0.35">
      <c r="J4195" s="56" t="str">
        <f t="shared" si="195"/>
        <v/>
      </c>
      <c r="K4195" s="74" t="str">
        <f t="shared" si="196"/>
        <v/>
      </c>
      <c r="L4195" s="58" t="str">
        <f t="shared" si="197"/>
        <v/>
      </c>
    </row>
    <row r="4196" spans="10:12" ht="16.5" customHeight="1" x14ac:dyDescent="0.35">
      <c r="J4196" s="56" t="str">
        <f t="shared" si="195"/>
        <v/>
      </c>
      <c r="K4196" s="74" t="str">
        <f t="shared" si="196"/>
        <v/>
      </c>
      <c r="L4196" s="58" t="str">
        <f t="shared" si="197"/>
        <v/>
      </c>
    </row>
    <row r="4197" spans="10:12" ht="16.5" customHeight="1" x14ac:dyDescent="0.35">
      <c r="J4197" s="56" t="str">
        <f t="shared" si="195"/>
        <v/>
      </c>
      <c r="K4197" s="74" t="str">
        <f t="shared" si="196"/>
        <v/>
      </c>
      <c r="L4197" s="58" t="str">
        <f t="shared" si="197"/>
        <v/>
      </c>
    </row>
    <row r="4198" spans="10:12" ht="16.5" customHeight="1" x14ac:dyDescent="0.35">
      <c r="J4198" s="56" t="str">
        <f t="shared" si="195"/>
        <v/>
      </c>
      <c r="K4198" s="74" t="str">
        <f t="shared" si="196"/>
        <v/>
      </c>
      <c r="L4198" s="58" t="str">
        <f t="shared" si="197"/>
        <v/>
      </c>
    </row>
    <row r="4199" spans="10:12" ht="16.5" customHeight="1" x14ac:dyDescent="0.35">
      <c r="J4199" s="56" t="str">
        <f t="shared" si="195"/>
        <v/>
      </c>
      <c r="K4199" s="74" t="str">
        <f t="shared" si="196"/>
        <v/>
      </c>
      <c r="L4199" s="58" t="str">
        <f t="shared" si="197"/>
        <v/>
      </c>
    </row>
    <row r="4200" spans="10:12" ht="16.5" customHeight="1" x14ac:dyDescent="0.35">
      <c r="J4200" s="56" t="str">
        <f t="shared" si="195"/>
        <v/>
      </c>
      <c r="K4200" s="74" t="str">
        <f t="shared" si="196"/>
        <v/>
      </c>
      <c r="L4200" s="58" t="str">
        <f t="shared" si="197"/>
        <v/>
      </c>
    </row>
    <row r="4201" spans="10:12" ht="16.5" customHeight="1" x14ac:dyDescent="0.35">
      <c r="J4201" s="56" t="str">
        <f t="shared" si="195"/>
        <v/>
      </c>
      <c r="K4201" s="74" t="str">
        <f t="shared" si="196"/>
        <v/>
      </c>
      <c r="L4201" s="58" t="str">
        <f t="shared" si="197"/>
        <v/>
      </c>
    </row>
    <row r="4202" spans="10:12" ht="16.5" customHeight="1" x14ac:dyDescent="0.35">
      <c r="J4202" s="56" t="str">
        <f t="shared" si="195"/>
        <v/>
      </c>
      <c r="K4202" s="74" t="str">
        <f t="shared" si="196"/>
        <v/>
      </c>
      <c r="L4202" s="58" t="str">
        <f t="shared" si="197"/>
        <v/>
      </c>
    </row>
    <row r="4203" spans="10:12" ht="16.5" customHeight="1" x14ac:dyDescent="0.35">
      <c r="J4203" s="56" t="str">
        <f t="shared" si="195"/>
        <v/>
      </c>
      <c r="K4203" s="74" t="str">
        <f t="shared" si="196"/>
        <v/>
      </c>
      <c r="L4203" s="58" t="str">
        <f t="shared" si="197"/>
        <v/>
      </c>
    </row>
    <row r="4204" spans="10:12" ht="16.5" customHeight="1" x14ac:dyDescent="0.35">
      <c r="J4204" s="56" t="str">
        <f t="shared" si="195"/>
        <v/>
      </c>
      <c r="K4204" s="74" t="str">
        <f t="shared" si="196"/>
        <v/>
      </c>
      <c r="L4204" s="58" t="str">
        <f t="shared" si="197"/>
        <v/>
      </c>
    </row>
    <row r="4205" spans="10:12" ht="16.5" customHeight="1" x14ac:dyDescent="0.35">
      <c r="J4205" s="56" t="str">
        <f t="shared" si="195"/>
        <v/>
      </c>
      <c r="K4205" s="74" t="str">
        <f t="shared" si="196"/>
        <v/>
      </c>
      <c r="L4205" s="58" t="str">
        <f t="shared" si="197"/>
        <v/>
      </c>
    </row>
    <row r="4206" spans="10:12" ht="16.5" customHeight="1" x14ac:dyDescent="0.35">
      <c r="J4206" s="56" t="str">
        <f t="shared" si="195"/>
        <v/>
      </c>
      <c r="K4206" s="74" t="str">
        <f t="shared" si="196"/>
        <v/>
      </c>
      <c r="L4206" s="58" t="str">
        <f t="shared" si="197"/>
        <v/>
      </c>
    </row>
    <row r="4207" spans="10:12" ht="16.5" customHeight="1" x14ac:dyDescent="0.35">
      <c r="J4207" s="56" t="str">
        <f t="shared" si="195"/>
        <v/>
      </c>
      <c r="K4207" s="74" t="str">
        <f t="shared" si="196"/>
        <v/>
      </c>
      <c r="L4207" s="58" t="str">
        <f t="shared" si="197"/>
        <v/>
      </c>
    </row>
    <row r="4208" spans="10:12" ht="16.5" customHeight="1" x14ac:dyDescent="0.35">
      <c r="J4208" s="56" t="str">
        <f t="shared" si="195"/>
        <v/>
      </c>
      <c r="K4208" s="74" t="str">
        <f t="shared" si="196"/>
        <v/>
      </c>
      <c r="L4208" s="58" t="str">
        <f t="shared" si="197"/>
        <v/>
      </c>
    </row>
    <row r="4209" spans="10:12" ht="16.5" customHeight="1" x14ac:dyDescent="0.35">
      <c r="J4209" s="56" t="str">
        <f t="shared" si="195"/>
        <v/>
      </c>
      <c r="K4209" s="74" t="str">
        <f t="shared" si="196"/>
        <v/>
      </c>
      <c r="L4209" s="58" t="str">
        <f t="shared" si="197"/>
        <v/>
      </c>
    </row>
    <row r="4210" spans="10:12" ht="16.5" customHeight="1" x14ac:dyDescent="0.35">
      <c r="J4210" s="56" t="str">
        <f t="shared" si="195"/>
        <v/>
      </c>
      <c r="K4210" s="74" t="str">
        <f t="shared" si="196"/>
        <v/>
      </c>
      <c r="L4210" s="58" t="str">
        <f t="shared" si="197"/>
        <v/>
      </c>
    </row>
    <row r="4211" spans="10:12" ht="16.5" customHeight="1" x14ac:dyDescent="0.35">
      <c r="J4211" s="56" t="str">
        <f t="shared" si="195"/>
        <v/>
      </c>
      <c r="K4211" s="74" t="str">
        <f t="shared" si="196"/>
        <v/>
      </c>
      <c r="L4211" s="58" t="str">
        <f t="shared" si="197"/>
        <v/>
      </c>
    </row>
    <row r="4212" spans="10:12" ht="16.5" customHeight="1" x14ac:dyDescent="0.35">
      <c r="J4212" s="56" t="str">
        <f t="shared" si="195"/>
        <v/>
      </c>
      <c r="K4212" s="74" t="str">
        <f t="shared" si="196"/>
        <v/>
      </c>
      <c r="L4212" s="58" t="str">
        <f t="shared" si="197"/>
        <v/>
      </c>
    </row>
    <row r="4213" spans="10:12" ht="16.5" customHeight="1" x14ac:dyDescent="0.35">
      <c r="J4213" s="56" t="str">
        <f t="shared" si="195"/>
        <v/>
      </c>
      <c r="K4213" s="74" t="str">
        <f t="shared" si="196"/>
        <v/>
      </c>
      <c r="L4213" s="58" t="str">
        <f t="shared" si="197"/>
        <v/>
      </c>
    </row>
    <row r="4214" spans="10:12" ht="16.5" customHeight="1" x14ac:dyDescent="0.35">
      <c r="J4214" s="56" t="str">
        <f t="shared" si="195"/>
        <v/>
      </c>
      <c r="K4214" s="74" t="str">
        <f t="shared" si="196"/>
        <v/>
      </c>
      <c r="L4214" s="58" t="str">
        <f t="shared" si="197"/>
        <v/>
      </c>
    </row>
    <row r="4215" spans="10:12" ht="16.5" customHeight="1" x14ac:dyDescent="0.35">
      <c r="J4215" s="56" t="str">
        <f t="shared" si="195"/>
        <v/>
      </c>
      <c r="K4215" s="74" t="str">
        <f t="shared" si="196"/>
        <v/>
      </c>
      <c r="L4215" s="58" t="str">
        <f t="shared" si="197"/>
        <v/>
      </c>
    </row>
    <row r="4216" spans="10:12" ht="16.5" customHeight="1" x14ac:dyDescent="0.35">
      <c r="J4216" s="56" t="str">
        <f t="shared" si="195"/>
        <v/>
      </c>
      <c r="K4216" s="74" t="str">
        <f t="shared" si="196"/>
        <v/>
      </c>
      <c r="L4216" s="58" t="str">
        <f t="shared" si="197"/>
        <v/>
      </c>
    </row>
    <row r="4217" spans="10:12" ht="16.5" customHeight="1" x14ac:dyDescent="0.35">
      <c r="J4217" s="56" t="str">
        <f t="shared" si="195"/>
        <v/>
      </c>
      <c r="K4217" s="74" t="str">
        <f t="shared" si="196"/>
        <v/>
      </c>
      <c r="L4217" s="58" t="str">
        <f t="shared" si="197"/>
        <v/>
      </c>
    </row>
    <row r="4218" spans="10:12" ht="16.5" customHeight="1" x14ac:dyDescent="0.35">
      <c r="J4218" s="56" t="str">
        <f t="shared" si="195"/>
        <v/>
      </c>
      <c r="K4218" s="74" t="str">
        <f t="shared" si="196"/>
        <v/>
      </c>
      <c r="L4218" s="58" t="str">
        <f t="shared" si="197"/>
        <v/>
      </c>
    </row>
    <row r="4219" spans="10:12" ht="16.5" customHeight="1" x14ac:dyDescent="0.35">
      <c r="J4219" s="56" t="str">
        <f t="shared" si="195"/>
        <v/>
      </c>
      <c r="K4219" s="74" t="str">
        <f t="shared" si="196"/>
        <v/>
      </c>
      <c r="L4219" s="58" t="str">
        <f t="shared" si="197"/>
        <v/>
      </c>
    </row>
    <row r="4220" spans="10:12" ht="16.5" customHeight="1" x14ac:dyDescent="0.35">
      <c r="J4220" s="56" t="str">
        <f t="shared" si="195"/>
        <v/>
      </c>
      <c r="K4220" s="74" t="str">
        <f t="shared" si="196"/>
        <v/>
      </c>
      <c r="L4220" s="58" t="str">
        <f t="shared" si="197"/>
        <v/>
      </c>
    </row>
    <row r="4221" spans="10:12" ht="16.5" customHeight="1" x14ac:dyDescent="0.35">
      <c r="J4221" s="56" t="str">
        <f t="shared" si="195"/>
        <v/>
      </c>
      <c r="K4221" s="74" t="str">
        <f t="shared" si="196"/>
        <v/>
      </c>
      <c r="L4221" s="58" t="str">
        <f t="shared" si="197"/>
        <v/>
      </c>
    </row>
    <row r="4222" spans="10:12" ht="16.5" customHeight="1" x14ac:dyDescent="0.35">
      <c r="J4222" s="56" t="str">
        <f t="shared" si="195"/>
        <v/>
      </c>
      <c r="K4222" s="74" t="str">
        <f t="shared" si="196"/>
        <v/>
      </c>
      <c r="L4222" s="58" t="str">
        <f t="shared" si="197"/>
        <v/>
      </c>
    </row>
    <row r="4223" spans="10:12" ht="16.5" customHeight="1" x14ac:dyDescent="0.35">
      <c r="J4223" s="56" t="str">
        <f t="shared" si="195"/>
        <v/>
      </c>
      <c r="K4223" s="74" t="str">
        <f t="shared" si="196"/>
        <v/>
      </c>
      <c r="L4223" s="58" t="str">
        <f t="shared" si="197"/>
        <v/>
      </c>
    </row>
    <row r="4224" spans="10:12" ht="16.5" customHeight="1" x14ac:dyDescent="0.35">
      <c r="J4224" s="56" t="str">
        <f t="shared" si="195"/>
        <v/>
      </c>
      <c r="K4224" s="74" t="str">
        <f t="shared" si="196"/>
        <v/>
      </c>
      <c r="L4224" s="58" t="str">
        <f t="shared" si="197"/>
        <v/>
      </c>
    </row>
    <row r="4225" spans="10:12" ht="16.5" customHeight="1" x14ac:dyDescent="0.35">
      <c r="J4225" s="56" t="str">
        <f t="shared" si="195"/>
        <v/>
      </c>
      <c r="K4225" s="74" t="str">
        <f t="shared" si="196"/>
        <v/>
      </c>
      <c r="L4225" s="58" t="str">
        <f t="shared" si="197"/>
        <v/>
      </c>
    </row>
    <row r="4226" spans="10:12" ht="16.5" customHeight="1" x14ac:dyDescent="0.35">
      <c r="J4226" s="56" t="str">
        <f t="shared" si="195"/>
        <v/>
      </c>
      <c r="K4226" s="74" t="str">
        <f t="shared" si="196"/>
        <v/>
      </c>
      <c r="L4226" s="58" t="str">
        <f t="shared" si="197"/>
        <v/>
      </c>
    </row>
    <row r="4227" spans="10:12" ht="16.5" customHeight="1" x14ac:dyDescent="0.35">
      <c r="J4227" s="56" t="str">
        <f t="shared" si="195"/>
        <v/>
      </c>
      <c r="K4227" s="74" t="str">
        <f t="shared" si="196"/>
        <v/>
      </c>
      <c r="L4227" s="58" t="str">
        <f t="shared" si="197"/>
        <v/>
      </c>
    </row>
    <row r="4228" spans="10:12" ht="16.5" customHeight="1" x14ac:dyDescent="0.35">
      <c r="J4228" s="56" t="str">
        <f t="shared" si="195"/>
        <v/>
      </c>
      <c r="K4228" s="74" t="str">
        <f t="shared" si="196"/>
        <v/>
      </c>
      <c r="L4228" s="58" t="str">
        <f t="shared" si="197"/>
        <v/>
      </c>
    </row>
    <row r="4229" spans="10:12" ht="16.5" customHeight="1" x14ac:dyDescent="0.35">
      <c r="J4229" s="56" t="str">
        <f t="shared" si="195"/>
        <v/>
      </c>
      <c r="K4229" s="74" t="str">
        <f t="shared" si="196"/>
        <v/>
      </c>
      <c r="L4229" s="58" t="str">
        <f t="shared" si="197"/>
        <v/>
      </c>
    </row>
    <row r="4230" spans="10:12" ht="16.5" customHeight="1" x14ac:dyDescent="0.35">
      <c r="J4230" s="56" t="str">
        <f t="shared" si="195"/>
        <v/>
      </c>
      <c r="K4230" s="74" t="str">
        <f t="shared" si="196"/>
        <v/>
      </c>
      <c r="L4230" s="58" t="str">
        <f t="shared" si="197"/>
        <v/>
      </c>
    </row>
    <row r="4231" spans="10:12" ht="16.5" customHeight="1" x14ac:dyDescent="0.35">
      <c r="J4231" s="56" t="str">
        <f t="shared" si="195"/>
        <v/>
      </c>
      <c r="K4231" s="74" t="str">
        <f t="shared" si="196"/>
        <v/>
      </c>
      <c r="L4231" s="58" t="str">
        <f t="shared" si="197"/>
        <v/>
      </c>
    </row>
    <row r="4232" spans="10:12" ht="16.5" customHeight="1" x14ac:dyDescent="0.35">
      <c r="J4232" s="56" t="str">
        <f t="shared" si="195"/>
        <v/>
      </c>
      <c r="K4232" s="74" t="str">
        <f t="shared" si="196"/>
        <v/>
      </c>
      <c r="L4232" s="58" t="str">
        <f t="shared" si="197"/>
        <v/>
      </c>
    </row>
    <row r="4233" spans="10:12" ht="16.5" customHeight="1" x14ac:dyDescent="0.35">
      <c r="J4233" s="56" t="str">
        <f t="shared" ref="J4233:J4296" si="198">IF(A4233="","",A$5-A4233)</f>
        <v/>
      </c>
      <c r="K4233" s="74" t="str">
        <f t="shared" ref="K4233:K4296" si="199">IF(J4233="","",IF(J4233&lt;4,"0-3 Days",IF(J4233&lt;31,"4-30 Days",IF(J4233&lt;61,"31-60 Days",IF(J4233&lt;=90,"61-90 Days",IF(J4233&gt;90,"Above 90 Days","0"))))))</f>
        <v/>
      </c>
      <c r="L4233" s="58" t="str">
        <f t="shared" ref="L4233:L4296" si="200">IF(C4233="","",IF(C4233&gt;0,IF(J4233&lt;30,"Normal",IF(J4233&lt;60,"Especially Mentioned",IF(J4233&lt;90,"Substandard",IF(J4233&lt;=180,"Doubtful",IF(J4233&gt;180,"Loss","0"))))),"Not Applicable"))</f>
        <v/>
      </c>
    </row>
    <row r="4234" spans="10:12" ht="16.5" customHeight="1" x14ac:dyDescent="0.35">
      <c r="J4234" s="56" t="str">
        <f t="shared" si="198"/>
        <v/>
      </c>
      <c r="K4234" s="74" t="str">
        <f t="shared" si="199"/>
        <v/>
      </c>
      <c r="L4234" s="58" t="str">
        <f t="shared" si="200"/>
        <v/>
      </c>
    </row>
    <row r="4235" spans="10:12" ht="16.5" customHeight="1" x14ac:dyDescent="0.35">
      <c r="J4235" s="56" t="str">
        <f t="shared" si="198"/>
        <v/>
      </c>
      <c r="K4235" s="74" t="str">
        <f t="shared" si="199"/>
        <v/>
      </c>
      <c r="L4235" s="58" t="str">
        <f t="shared" si="200"/>
        <v/>
      </c>
    </row>
    <row r="4236" spans="10:12" ht="16.5" customHeight="1" x14ac:dyDescent="0.35">
      <c r="J4236" s="56" t="str">
        <f t="shared" si="198"/>
        <v/>
      </c>
      <c r="K4236" s="74" t="str">
        <f t="shared" si="199"/>
        <v/>
      </c>
      <c r="L4236" s="58" t="str">
        <f t="shared" si="200"/>
        <v/>
      </c>
    </row>
    <row r="4237" spans="10:12" ht="16.5" customHeight="1" x14ac:dyDescent="0.35">
      <c r="J4237" s="56" t="str">
        <f t="shared" si="198"/>
        <v/>
      </c>
      <c r="K4237" s="74" t="str">
        <f t="shared" si="199"/>
        <v/>
      </c>
      <c r="L4237" s="58" t="str">
        <f t="shared" si="200"/>
        <v/>
      </c>
    </row>
    <row r="4238" spans="10:12" ht="16.5" customHeight="1" x14ac:dyDescent="0.35">
      <c r="J4238" s="56" t="str">
        <f t="shared" si="198"/>
        <v/>
      </c>
      <c r="K4238" s="74" t="str">
        <f t="shared" si="199"/>
        <v/>
      </c>
      <c r="L4238" s="58" t="str">
        <f t="shared" si="200"/>
        <v/>
      </c>
    </row>
    <row r="4239" spans="10:12" ht="16.5" customHeight="1" x14ac:dyDescent="0.35">
      <c r="J4239" s="56" t="str">
        <f t="shared" si="198"/>
        <v/>
      </c>
      <c r="K4239" s="74" t="str">
        <f t="shared" si="199"/>
        <v/>
      </c>
      <c r="L4239" s="58" t="str">
        <f t="shared" si="200"/>
        <v/>
      </c>
    </row>
    <row r="4240" spans="10:12" ht="16.5" customHeight="1" x14ac:dyDescent="0.35">
      <c r="J4240" s="56" t="str">
        <f t="shared" si="198"/>
        <v/>
      </c>
      <c r="K4240" s="74" t="str">
        <f t="shared" si="199"/>
        <v/>
      </c>
      <c r="L4240" s="58" t="str">
        <f t="shared" si="200"/>
        <v/>
      </c>
    </row>
    <row r="4241" spans="10:12" ht="16.5" customHeight="1" x14ac:dyDescent="0.35">
      <c r="J4241" s="56" t="str">
        <f t="shared" si="198"/>
        <v/>
      </c>
      <c r="K4241" s="74" t="str">
        <f t="shared" si="199"/>
        <v/>
      </c>
      <c r="L4241" s="58" t="str">
        <f t="shared" si="200"/>
        <v/>
      </c>
    </row>
    <row r="4242" spans="10:12" ht="16.5" customHeight="1" x14ac:dyDescent="0.35">
      <c r="J4242" s="56" t="str">
        <f t="shared" si="198"/>
        <v/>
      </c>
      <c r="K4242" s="74" t="str">
        <f t="shared" si="199"/>
        <v/>
      </c>
      <c r="L4242" s="58" t="str">
        <f t="shared" si="200"/>
        <v/>
      </c>
    </row>
    <row r="4243" spans="10:12" ht="16.5" customHeight="1" x14ac:dyDescent="0.35">
      <c r="J4243" s="56" t="str">
        <f t="shared" si="198"/>
        <v/>
      </c>
      <c r="K4243" s="74" t="str">
        <f t="shared" si="199"/>
        <v/>
      </c>
      <c r="L4243" s="58" t="str">
        <f t="shared" si="200"/>
        <v/>
      </c>
    </row>
    <row r="4244" spans="10:12" ht="16.5" customHeight="1" x14ac:dyDescent="0.35">
      <c r="J4244" s="56" t="str">
        <f t="shared" si="198"/>
        <v/>
      </c>
      <c r="K4244" s="74" t="str">
        <f t="shared" si="199"/>
        <v/>
      </c>
      <c r="L4244" s="58" t="str">
        <f t="shared" si="200"/>
        <v/>
      </c>
    </row>
    <row r="4245" spans="10:12" ht="16.5" customHeight="1" x14ac:dyDescent="0.35">
      <c r="J4245" s="56" t="str">
        <f t="shared" si="198"/>
        <v/>
      </c>
      <c r="K4245" s="74" t="str">
        <f t="shared" si="199"/>
        <v/>
      </c>
      <c r="L4245" s="58" t="str">
        <f t="shared" si="200"/>
        <v/>
      </c>
    </row>
    <row r="4246" spans="10:12" ht="16.5" customHeight="1" x14ac:dyDescent="0.35">
      <c r="J4246" s="56" t="str">
        <f t="shared" si="198"/>
        <v/>
      </c>
      <c r="K4246" s="74" t="str">
        <f t="shared" si="199"/>
        <v/>
      </c>
      <c r="L4246" s="58" t="str">
        <f t="shared" si="200"/>
        <v/>
      </c>
    </row>
    <row r="4247" spans="10:12" ht="16.5" customHeight="1" x14ac:dyDescent="0.35">
      <c r="J4247" s="56" t="str">
        <f t="shared" si="198"/>
        <v/>
      </c>
      <c r="K4247" s="74" t="str">
        <f t="shared" si="199"/>
        <v/>
      </c>
      <c r="L4247" s="58" t="str">
        <f t="shared" si="200"/>
        <v/>
      </c>
    </row>
    <row r="4248" spans="10:12" ht="16.5" customHeight="1" x14ac:dyDescent="0.35">
      <c r="J4248" s="56" t="str">
        <f t="shared" si="198"/>
        <v/>
      </c>
      <c r="K4248" s="74" t="str">
        <f t="shared" si="199"/>
        <v/>
      </c>
      <c r="L4248" s="58" t="str">
        <f t="shared" si="200"/>
        <v/>
      </c>
    </row>
    <row r="4249" spans="10:12" ht="16.5" customHeight="1" x14ac:dyDescent="0.35">
      <c r="J4249" s="56" t="str">
        <f t="shared" si="198"/>
        <v/>
      </c>
      <c r="K4249" s="74" t="str">
        <f t="shared" si="199"/>
        <v/>
      </c>
      <c r="L4249" s="58" t="str">
        <f t="shared" si="200"/>
        <v/>
      </c>
    </row>
    <row r="4250" spans="10:12" ht="16.5" customHeight="1" x14ac:dyDescent="0.35">
      <c r="J4250" s="56" t="str">
        <f t="shared" si="198"/>
        <v/>
      </c>
      <c r="K4250" s="74" t="str">
        <f t="shared" si="199"/>
        <v/>
      </c>
      <c r="L4250" s="58" t="str">
        <f t="shared" si="200"/>
        <v/>
      </c>
    </row>
    <row r="4251" spans="10:12" ht="16.5" customHeight="1" x14ac:dyDescent="0.35">
      <c r="J4251" s="56" t="str">
        <f t="shared" si="198"/>
        <v/>
      </c>
      <c r="K4251" s="74" t="str">
        <f t="shared" si="199"/>
        <v/>
      </c>
      <c r="L4251" s="58" t="str">
        <f t="shared" si="200"/>
        <v/>
      </c>
    </row>
    <row r="4252" spans="10:12" ht="16.5" customHeight="1" x14ac:dyDescent="0.35">
      <c r="J4252" s="56" t="str">
        <f t="shared" si="198"/>
        <v/>
      </c>
      <c r="K4252" s="74" t="str">
        <f t="shared" si="199"/>
        <v/>
      </c>
      <c r="L4252" s="58" t="str">
        <f t="shared" si="200"/>
        <v/>
      </c>
    </row>
    <row r="4253" spans="10:12" ht="16.5" customHeight="1" x14ac:dyDescent="0.35">
      <c r="J4253" s="56" t="str">
        <f t="shared" si="198"/>
        <v/>
      </c>
      <c r="K4253" s="74" t="str">
        <f t="shared" si="199"/>
        <v/>
      </c>
      <c r="L4253" s="58" t="str">
        <f t="shared" si="200"/>
        <v/>
      </c>
    </row>
    <row r="4254" spans="10:12" ht="16.5" customHeight="1" x14ac:dyDescent="0.35">
      <c r="J4254" s="56" t="str">
        <f t="shared" si="198"/>
        <v/>
      </c>
      <c r="K4254" s="74" t="str">
        <f t="shared" si="199"/>
        <v/>
      </c>
      <c r="L4254" s="58" t="str">
        <f t="shared" si="200"/>
        <v/>
      </c>
    </row>
    <row r="4255" spans="10:12" ht="16.5" customHeight="1" x14ac:dyDescent="0.35">
      <c r="J4255" s="56" t="str">
        <f t="shared" si="198"/>
        <v/>
      </c>
      <c r="K4255" s="74" t="str">
        <f t="shared" si="199"/>
        <v/>
      </c>
      <c r="L4255" s="58" t="str">
        <f t="shared" si="200"/>
        <v/>
      </c>
    </row>
    <row r="4256" spans="10:12" ht="16.5" customHeight="1" x14ac:dyDescent="0.35">
      <c r="J4256" s="56" t="str">
        <f t="shared" si="198"/>
        <v/>
      </c>
      <c r="K4256" s="74" t="str">
        <f t="shared" si="199"/>
        <v/>
      </c>
      <c r="L4256" s="58" t="str">
        <f t="shared" si="200"/>
        <v/>
      </c>
    </row>
    <row r="4257" spans="10:12" ht="16.5" customHeight="1" x14ac:dyDescent="0.35">
      <c r="J4257" s="56" t="str">
        <f t="shared" si="198"/>
        <v/>
      </c>
      <c r="K4257" s="74" t="str">
        <f t="shared" si="199"/>
        <v/>
      </c>
      <c r="L4257" s="58" t="str">
        <f t="shared" si="200"/>
        <v/>
      </c>
    </row>
    <row r="4258" spans="10:12" ht="16.5" customHeight="1" x14ac:dyDescent="0.35">
      <c r="J4258" s="56" t="str">
        <f t="shared" si="198"/>
        <v/>
      </c>
      <c r="K4258" s="74" t="str">
        <f t="shared" si="199"/>
        <v/>
      </c>
      <c r="L4258" s="58" t="str">
        <f t="shared" si="200"/>
        <v/>
      </c>
    </row>
    <row r="4259" spans="10:12" ht="16.5" customHeight="1" x14ac:dyDescent="0.35">
      <c r="J4259" s="56" t="str">
        <f t="shared" si="198"/>
        <v/>
      </c>
      <c r="K4259" s="74" t="str">
        <f t="shared" si="199"/>
        <v/>
      </c>
      <c r="L4259" s="58" t="str">
        <f t="shared" si="200"/>
        <v/>
      </c>
    </row>
    <row r="4260" spans="10:12" ht="16.5" customHeight="1" x14ac:dyDescent="0.35">
      <c r="J4260" s="56" t="str">
        <f t="shared" si="198"/>
        <v/>
      </c>
      <c r="K4260" s="74" t="str">
        <f t="shared" si="199"/>
        <v/>
      </c>
      <c r="L4260" s="58" t="str">
        <f t="shared" si="200"/>
        <v/>
      </c>
    </row>
    <row r="4261" spans="10:12" ht="16.5" customHeight="1" x14ac:dyDescent="0.35">
      <c r="J4261" s="56" t="str">
        <f t="shared" si="198"/>
        <v/>
      </c>
      <c r="K4261" s="74" t="str">
        <f t="shared" si="199"/>
        <v/>
      </c>
      <c r="L4261" s="58" t="str">
        <f t="shared" si="200"/>
        <v/>
      </c>
    </row>
    <row r="4262" spans="10:12" ht="16.5" customHeight="1" x14ac:dyDescent="0.35">
      <c r="J4262" s="56" t="str">
        <f t="shared" si="198"/>
        <v/>
      </c>
      <c r="K4262" s="74" t="str">
        <f t="shared" si="199"/>
        <v/>
      </c>
      <c r="L4262" s="58" t="str">
        <f t="shared" si="200"/>
        <v/>
      </c>
    </row>
    <row r="4263" spans="10:12" ht="16.5" customHeight="1" x14ac:dyDescent="0.35">
      <c r="J4263" s="56" t="str">
        <f t="shared" si="198"/>
        <v/>
      </c>
      <c r="K4263" s="74" t="str">
        <f t="shared" si="199"/>
        <v/>
      </c>
      <c r="L4263" s="58" t="str">
        <f t="shared" si="200"/>
        <v/>
      </c>
    </row>
    <row r="4264" spans="10:12" ht="16.5" customHeight="1" x14ac:dyDescent="0.35">
      <c r="J4264" s="56" t="str">
        <f t="shared" si="198"/>
        <v/>
      </c>
      <c r="K4264" s="74" t="str">
        <f t="shared" si="199"/>
        <v/>
      </c>
      <c r="L4264" s="58" t="str">
        <f t="shared" si="200"/>
        <v/>
      </c>
    </row>
    <row r="4265" spans="10:12" ht="16.5" customHeight="1" x14ac:dyDescent="0.35">
      <c r="J4265" s="56" t="str">
        <f t="shared" si="198"/>
        <v/>
      </c>
      <c r="K4265" s="74" t="str">
        <f t="shared" si="199"/>
        <v/>
      </c>
      <c r="L4265" s="58" t="str">
        <f t="shared" si="200"/>
        <v/>
      </c>
    </row>
    <row r="4266" spans="10:12" ht="16.5" customHeight="1" x14ac:dyDescent="0.35">
      <c r="J4266" s="56" t="str">
        <f t="shared" si="198"/>
        <v/>
      </c>
      <c r="K4266" s="74" t="str">
        <f t="shared" si="199"/>
        <v/>
      </c>
      <c r="L4266" s="58" t="str">
        <f t="shared" si="200"/>
        <v/>
      </c>
    </row>
    <row r="4267" spans="10:12" ht="16.5" customHeight="1" x14ac:dyDescent="0.35">
      <c r="J4267" s="56" t="str">
        <f t="shared" si="198"/>
        <v/>
      </c>
      <c r="K4267" s="74" t="str">
        <f t="shared" si="199"/>
        <v/>
      </c>
      <c r="L4267" s="58" t="str">
        <f t="shared" si="200"/>
        <v/>
      </c>
    </row>
    <row r="4268" spans="10:12" ht="16.5" customHeight="1" x14ac:dyDescent="0.35">
      <c r="J4268" s="56" t="str">
        <f t="shared" si="198"/>
        <v/>
      </c>
      <c r="K4268" s="74" t="str">
        <f t="shared" si="199"/>
        <v/>
      </c>
      <c r="L4268" s="58" t="str">
        <f t="shared" si="200"/>
        <v/>
      </c>
    </row>
    <row r="4269" spans="10:12" ht="16.5" customHeight="1" x14ac:dyDescent="0.35">
      <c r="J4269" s="56" t="str">
        <f t="shared" si="198"/>
        <v/>
      </c>
      <c r="K4269" s="74" t="str">
        <f t="shared" si="199"/>
        <v/>
      </c>
      <c r="L4269" s="58" t="str">
        <f t="shared" si="200"/>
        <v/>
      </c>
    </row>
    <row r="4270" spans="10:12" ht="16.5" customHeight="1" x14ac:dyDescent="0.35">
      <c r="J4270" s="56" t="str">
        <f t="shared" si="198"/>
        <v/>
      </c>
      <c r="K4270" s="74" t="str">
        <f t="shared" si="199"/>
        <v/>
      </c>
      <c r="L4270" s="58" t="str">
        <f t="shared" si="200"/>
        <v/>
      </c>
    </row>
    <row r="4271" spans="10:12" ht="16.5" customHeight="1" x14ac:dyDescent="0.35">
      <c r="J4271" s="56" t="str">
        <f t="shared" si="198"/>
        <v/>
      </c>
      <c r="K4271" s="74" t="str">
        <f t="shared" si="199"/>
        <v/>
      </c>
      <c r="L4271" s="58" t="str">
        <f t="shared" si="200"/>
        <v/>
      </c>
    </row>
    <row r="4272" spans="10:12" ht="16.5" customHeight="1" x14ac:dyDescent="0.35">
      <c r="J4272" s="56" t="str">
        <f t="shared" si="198"/>
        <v/>
      </c>
      <c r="K4272" s="74" t="str">
        <f t="shared" si="199"/>
        <v/>
      </c>
      <c r="L4272" s="58" t="str">
        <f t="shared" si="200"/>
        <v/>
      </c>
    </row>
    <row r="4273" spans="10:12" ht="16.5" customHeight="1" x14ac:dyDescent="0.35">
      <c r="J4273" s="56" t="str">
        <f t="shared" si="198"/>
        <v/>
      </c>
      <c r="K4273" s="74" t="str">
        <f t="shared" si="199"/>
        <v/>
      </c>
      <c r="L4273" s="58" t="str">
        <f t="shared" si="200"/>
        <v/>
      </c>
    </row>
    <row r="4274" spans="10:12" ht="16.5" customHeight="1" x14ac:dyDescent="0.35">
      <c r="J4274" s="56" t="str">
        <f t="shared" si="198"/>
        <v/>
      </c>
      <c r="K4274" s="74" t="str">
        <f t="shared" si="199"/>
        <v/>
      </c>
      <c r="L4274" s="58" t="str">
        <f t="shared" si="200"/>
        <v/>
      </c>
    </row>
    <row r="4275" spans="10:12" ht="16.5" customHeight="1" x14ac:dyDescent="0.35">
      <c r="J4275" s="56" t="str">
        <f t="shared" si="198"/>
        <v/>
      </c>
      <c r="K4275" s="74" t="str">
        <f t="shared" si="199"/>
        <v/>
      </c>
      <c r="L4275" s="58" t="str">
        <f t="shared" si="200"/>
        <v/>
      </c>
    </row>
    <row r="4276" spans="10:12" ht="16.5" customHeight="1" x14ac:dyDescent="0.35">
      <c r="J4276" s="56" t="str">
        <f t="shared" si="198"/>
        <v/>
      </c>
      <c r="K4276" s="74" t="str">
        <f t="shared" si="199"/>
        <v/>
      </c>
      <c r="L4276" s="58" t="str">
        <f t="shared" si="200"/>
        <v/>
      </c>
    </row>
    <row r="4277" spans="10:12" ht="16.5" customHeight="1" x14ac:dyDescent="0.35">
      <c r="J4277" s="56" t="str">
        <f t="shared" si="198"/>
        <v/>
      </c>
      <c r="K4277" s="74" t="str">
        <f t="shared" si="199"/>
        <v/>
      </c>
      <c r="L4277" s="58" t="str">
        <f t="shared" si="200"/>
        <v/>
      </c>
    </row>
    <row r="4278" spans="10:12" ht="16.5" customHeight="1" x14ac:dyDescent="0.35">
      <c r="J4278" s="56" t="str">
        <f t="shared" si="198"/>
        <v/>
      </c>
      <c r="K4278" s="74" t="str">
        <f t="shared" si="199"/>
        <v/>
      </c>
      <c r="L4278" s="58" t="str">
        <f t="shared" si="200"/>
        <v/>
      </c>
    </row>
    <row r="4279" spans="10:12" ht="16.5" customHeight="1" x14ac:dyDescent="0.35">
      <c r="J4279" s="56" t="str">
        <f t="shared" si="198"/>
        <v/>
      </c>
      <c r="K4279" s="74" t="str">
        <f t="shared" si="199"/>
        <v/>
      </c>
      <c r="L4279" s="58" t="str">
        <f t="shared" si="200"/>
        <v/>
      </c>
    </row>
    <row r="4280" spans="10:12" ht="16.5" customHeight="1" x14ac:dyDescent="0.35">
      <c r="J4280" s="56" t="str">
        <f t="shared" si="198"/>
        <v/>
      </c>
      <c r="K4280" s="74" t="str">
        <f t="shared" si="199"/>
        <v/>
      </c>
      <c r="L4280" s="58" t="str">
        <f t="shared" si="200"/>
        <v/>
      </c>
    </row>
    <row r="4281" spans="10:12" ht="16.5" customHeight="1" x14ac:dyDescent="0.35">
      <c r="J4281" s="56" t="str">
        <f t="shared" si="198"/>
        <v/>
      </c>
      <c r="K4281" s="74" t="str">
        <f t="shared" si="199"/>
        <v/>
      </c>
      <c r="L4281" s="58" t="str">
        <f t="shared" si="200"/>
        <v/>
      </c>
    </row>
    <row r="4282" spans="10:12" ht="16.5" customHeight="1" x14ac:dyDescent="0.35">
      <c r="J4282" s="56" t="str">
        <f t="shared" si="198"/>
        <v/>
      </c>
      <c r="K4282" s="74" t="str">
        <f t="shared" si="199"/>
        <v/>
      </c>
      <c r="L4282" s="58" t="str">
        <f t="shared" si="200"/>
        <v/>
      </c>
    </row>
    <row r="4283" spans="10:12" ht="16.5" customHeight="1" x14ac:dyDescent="0.35">
      <c r="J4283" s="56" t="str">
        <f t="shared" si="198"/>
        <v/>
      </c>
      <c r="K4283" s="74" t="str">
        <f t="shared" si="199"/>
        <v/>
      </c>
      <c r="L4283" s="58" t="str">
        <f t="shared" si="200"/>
        <v/>
      </c>
    </row>
    <row r="4284" spans="10:12" ht="16.5" customHeight="1" x14ac:dyDescent="0.35">
      <c r="J4284" s="56" t="str">
        <f t="shared" si="198"/>
        <v/>
      </c>
      <c r="K4284" s="74" t="str">
        <f t="shared" si="199"/>
        <v/>
      </c>
      <c r="L4284" s="58" t="str">
        <f t="shared" si="200"/>
        <v/>
      </c>
    </row>
    <row r="4285" spans="10:12" ht="16.5" customHeight="1" x14ac:dyDescent="0.35">
      <c r="J4285" s="56" t="str">
        <f t="shared" si="198"/>
        <v/>
      </c>
      <c r="K4285" s="74" t="str">
        <f t="shared" si="199"/>
        <v/>
      </c>
      <c r="L4285" s="58" t="str">
        <f t="shared" si="200"/>
        <v/>
      </c>
    </row>
    <row r="4286" spans="10:12" ht="16.5" customHeight="1" x14ac:dyDescent="0.35">
      <c r="J4286" s="56" t="str">
        <f t="shared" si="198"/>
        <v/>
      </c>
      <c r="K4286" s="74" t="str">
        <f t="shared" si="199"/>
        <v/>
      </c>
      <c r="L4286" s="58" t="str">
        <f t="shared" si="200"/>
        <v/>
      </c>
    </row>
    <row r="4287" spans="10:12" ht="16.5" customHeight="1" x14ac:dyDescent="0.35">
      <c r="J4287" s="56" t="str">
        <f t="shared" si="198"/>
        <v/>
      </c>
      <c r="K4287" s="74" t="str">
        <f t="shared" si="199"/>
        <v/>
      </c>
      <c r="L4287" s="58" t="str">
        <f t="shared" si="200"/>
        <v/>
      </c>
    </row>
    <row r="4288" spans="10:12" ht="16.5" customHeight="1" x14ac:dyDescent="0.35">
      <c r="J4288" s="56" t="str">
        <f t="shared" si="198"/>
        <v/>
      </c>
      <c r="K4288" s="74" t="str">
        <f t="shared" si="199"/>
        <v/>
      </c>
      <c r="L4288" s="58" t="str">
        <f t="shared" si="200"/>
        <v/>
      </c>
    </row>
    <row r="4289" spans="10:12" ht="16.5" customHeight="1" x14ac:dyDescent="0.35">
      <c r="J4289" s="56" t="str">
        <f t="shared" si="198"/>
        <v/>
      </c>
      <c r="K4289" s="74" t="str">
        <f t="shared" si="199"/>
        <v/>
      </c>
      <c r="L4289" s="58" t="str">
        <f t="shared" si="200"/>
        <v/>
      </c>
    </row>
    <row r="4290" spans="10:12" ht="16.5" customHeight="1" x14ac:dyDescent="0.35">
      <c r="J4290" s="56" t="str">
        <f t="shared" si="198"/>
        <v/>
      </c>
      <c r="K4290" s="74" t="str">
        <f t="shared" si="199"/>
        <v/>
      </c>
      <c r="L4290" s="58" t="str">
        <f t="shared" si="200"/>
        <v/>
      </c>
    </row>
    <row r="4291" spans="10:12" ht="16.5" customHeight="1" x14ac:dyDescent="0.35">
      <c r="J4291" s="56" t="str">
        <f t="shared" si="198"/>
        <v/>
      </c>
      <c r="K4291" s="74" t="str">
        <f t="shared" si="199"/>
        <v/>
      </c>
      <c r="L4291" s="58" t="str">
        <f t="shared" si="200"/>
        <v/>
      </c>
    </row>
    <row r="4292" spans="10:12" ht="16.5" customHeight="1" x14ac:dyDescent="0.35">
      <c r="J4292" s="56" t="str">
        <f t="shared" si="198"/>
        <v/>
      </c>
      <c r="K4292" s="74" t="str">
        <f t="shared" si="199"/>
        <v/>
      </c>
      <c r="L4292" s="58" t="str">
        <f t="shared" si="200"/>
        <v/>
      </c>
    </row>
    <row r="4293" spans="10:12" ht="16.5" customHeight="1" x14ac:dyDescent="0.35">
      <c r="J4293" s="56" t="str">
        <f t="shared" si="198"/>
        <v/>
      </c>
      <c r="K4293" s="74" t="str">
        <f t="shared" si="199"/>
        <v/>
      </c>
      <c r="L4293" s="58" t="str">
        <f t="shared" si="200"/>
        <v/>
      </c>
    </row>
    <row r="4294" spans="10:12" ht="16.5" customHeight="1" x14ac:dyDescent="0.35">
      <c r="J4294" s="56" t="str">
        <f t="shared" si="198"/>
        <v/>
      </c>
      <c r="K4294" s="74" t="str">
        <f t="shared" si="199"/>
        <v/>
      </c>
      <c r="L4294" s="58" t="str">
        <f t="shared" si="200"/>
        <v/>
      </c>
    </row>
    <row r="4295" spans="10:12" ht="16.5" customHeight="1" x14ac:dyDescent="0.35">
      <c r="J4295" s="56" t="str">
        <f t="shared" si="198"/>
        <v/>
      </c>
      <c r="K4295" s="74" t="str">
        <f t="shared" si="199"/>
        <v/>
      </c>
      <c r="L4295" s="58" t="str">
        <f t="shared" si="200"/>
        <v/>
      </c>
    </row>
    <row r="4296" spans="10:12" ht="16.5" customHeight="1" x14ac:dyDescent="0.35">
      <c r="J4296" s="56" t="str">
        <f t="shared" si="198"/>
        <v/>
      </c>
      <c r="K4296" s="74" t="str">
        <f t="shared" si="199"/>
        <v/>
      </c>
      <c r="L4296" s="58" t="str">
        <f t="shared" si="200"/>
        <v/>
      </c>
    </row>
    <row r="4297" spans="10:12" ht="16.5" customHeight="1" x14ac:dyDescent="0.35">
      <c r="J4297" s="56" t="str">
        <f t="shared" ref="J4297:J4360" si="201">IF(A4297="","",A$5-A4297)</f>
        <v/>
      </c>
      <c r="K4297" s="74" t="str">
        <f t="shared" ref="K4297:K4360" si="202">IF(J4297="","",IF(J4297&lt;4,"0-3 Days",IF(J4297&lt;31,"4-30 Days",IF(J4297&lt;61,"31-60 Days",IF(J4297&lt;=90,"61-90 Days",IF(J4297&gt;90,"Above 90 Days","0"))))))</f>
        <v/>
      </c>
      <c r="L4297" s="58" t="str">
        <f t="shared" ref="L4297:L4360" si="203">IF(C4297="","",IF(C4297&gt;0,IF(J4297&lt;30,"Normal",IF(J4297&lt;60,"Especially Mentioned",IF(J4297&lt;90,"Substandard",IF(J4297&lt;=180,"Doubtful",IF(J4297&gt;180,"Loss","0"))))),"Not Applicable"))</f>
        <v/>
      </c>
    </row>
    <row r="4298" spans="10:12" ht="16.5" customHeight="1" x14ac:dyDescent="0.35">
      <c r="J4298" s="56" t="str">
        <f t="shared" si="201"/>
        <v/>
      </c>
      <c r="K4298" s="74" t="str">
        <f t="shared" si="202"/>
        <v/>
      </c>
      <c r="L4298" s="58" t="str">
        <f t="shared" si="203"/>
        <v/>
      </c>
    </row>
    <row r="4299" spans="10:12" ht="16.5" customHeight="1" x14ac:dyDescent="0.35">
      <c r="J4299" s="56" t="str">
        <f t="shared" si="201"/>
        <v/>
      </c>
      <c r="K4299" s="74" t="str">
        <f t="shared" si="202"/>
        <v/>
      </c>
      <c r="L4299" s="58" t="str">
        <f t="shared" si="203"/>
        <v/>
      </c>
    </row>
    <row r="4300" spans="10:12" ht="16.5" customHeight="1" x14ac:dyDescent="0.35">
      <c r="J4300" s="56" t="str">
        <f t="shared" si="201"/>
        <v/>
      </c>
      <c r="K4300" s="74" t="str">
        <f t="shared" si="202"/>
        <v/>
      </c>
      <c r="L4300" s="58" t="str">
        <f t="shared" si="203"/>
        <v/>
      </c>
    </row>
    <row r="4301" spans="10:12" ht="16.5" customHeight="1" x14ac:dyDescent="0.35">
      <c r="J4301" s="56" t="str">
        <f t="shared" si="201"/>
        <v/>
      </c>
      <c r="K4301" s="74" t="str">
        <f t="shared" si="202"/>
        <v/>
      </c>
      <c r="L4301" s="58" t="str">
        <f t="shared" si="203"/>
        <v/>
      </c>
    </row>
    <row r="4302" spans="10:12" ht="16.5" customHeight="1" x14ac:dyDescent="0.35">
      <c r="J4302" s="56" t="str">
        <f t="shared" si="201"/>
        <v/>
      </c>
      <c r="K4302" s="74" t="str">
        <f t="shared" si="202"/>
        <v/>
      </c>
      <c r="L4302" s="58" t="str">
        <f t="shared" si="203"/>
        <v/>
      </c>
    </row>
    <row r="4303" spans="10:12" ht="16.5" customHeight="1" x14ac:dyDescent="0.35">
      <c r="J4303" s="56" t="str">
        <f t="shared" si="201"/>
        <v/>
      </c>
      <c r="K4303" s="74" t="str">
        <f t="shared" si="202"/>
        <v/>
      </c>
      <c r="L4303" s="58" t="str">
        <f t="shared" si="203"/>
        <v/>
      </c>
    </row>
    <row r="4304" spans="10:12" ht="16.5" customHeight="1" x14ac:dyDescent="0.35">
      <c r="J4304" s="56" t="str">
        <f t="shared" si="201"/>
        <v/>
      </c>
      <c r="K4304" s="74" t="str">
        <f t="shared" si="202"/>
        <v/>
      </c>
      <c r="L4304" s="58" t="str">
        <f t="shared" si="203"/>
        <v/>
      </c>
    </row>
    <row r="4305" spans="10:12" ht="16.5" customHeight="1" x14ac:dyDescent="0.35">
      <c r="J4305" s="56" t="str">
        <f t="shared" si="201"/>
        <v/>
      </c>
      <c r="K4305" s="74" t="str">
        <f t="shared" si="202"/>
        <v/>
      </c>
      <c r="L4305" s="58" t="str">
        <f t="shared" si="203"/>
        <v/>
      </c>
    </row>
    <row r="4306" spans="10:12" ht="16.5" customHeight="1" x14ac:dyDescent="0.35">
      <c r="J4306" s="56" t="str">
        <f t="shared" si="201"/>
        <v/>
      </c>
      <c r="K4306" s="74" t="str">
        <f t="shared" si="202"/>
        <v/>
      </c>
      <c r="L4306" s="58" t="str">
        <f t="shared" si="203"/>
        <v/>
      </c>
    </row>
    <row r="4307" spans="10:12" ht="16.5" customHeight="1" x14ac:dyDescent="0.35">
      <c r="J4307" s="56" t="str">
        <f t="shared" si="201"/>
        <v/>
      </c>
      <c r="K4307" s="74" t="str">
        <f t="shared" si="202"/>
        <v/>
      </c>
      <c r="L4307" s="58" t="str">
        <f t="shared" si="203"/>
        <v/>
      </c>
    </row>
    <row r="4308" spans="10:12" ht="16.5" customHeight="1" x14ac:dyDescent="0.35">
      <c r="J4308" s="56" t="str">
        <f t="shared" si="201"/>
        <v/>
      </c>
      <c r="K4308" s="74" t="str">
        <f t="shared" si="202"/>
        <v/>
      </c>
      <c r="L4308" s="58" t="str">
        <f t="shared" si="203"/>
        <v/>
      </c>
    </row>
    <row r="4309" spans="10:12" ht="16.5" customHeight="1" x14ac:dyDescent="0.35">
      <c r="J4309" s="56" t="str">
        <f t="shared" si="201"/>
        <v/>
      </c>
      <c r="K4309" s="74" t="str">
        <f t="shared" si="202"/>
        <v/>
      </c>
      <c r="L4309" s="58" t="str">
        <f t="shared" si="203"/>
        <v/>
      </c>
    </row>
    <row r="4310" spans="10:12" ht="16.5" customHeight="1" x14ac:dyDescent="0.35">
      <c r="J4310" s="56" t="str">
        <f t="shared" si="201"/>
        <v/>
      </c>
      <c r="K4310" s="74" t="str">
        <f t="shared" si="202"/>
        <v/>
      </c>
      <c r="L4310" s="58" t="str">
        <f t="shared" si="203"/>
        <v/>
      </c>
    </row>
    <row r="4311" spans="10:12" ht="16.5" customHeight="1" x14ac:dyDescent="0.35">
      <c r="J4311" s="56" t="str">
        <f t="shared" si="201"/>
        <v/>
      </c>
      <c r="K4311" s="74" t="str">
        <f t="shared" si="202"/>
        <v/>
      </c>
      <c r="L4311" s="58" t="str">
        <f t="shared" si="203"/>
        <v/>
      </c>
    </row>
    <row r="4312" spans="10:12" ht="16.5" customHeight="1" x14ac:dyDescent="0.35">
      <c r="J4312" s="56" t="str">
        <f t="shared" si="201"/>
        <v/>
      </c>
      <c r="K4312" s="74" t="str">
        <f t="shared" si="202"/>
        <v/>
      </c>
      <c r="L4312" s="58" t="str">
        <f t="shared" si="203"/>
        <v/>
      </c>
    </row>
    <row r="4313" spans="10:12" ht="16.5" customHeight="1" x14ac:dyDescent="0.35">
      <c r="J4313" s="56" t="str">
        <f t="shared" si="201"/>
        <v/>
      </c>
      <c r="K4313" s="74" t="str">
        <f t="shared" si="202"/>
        <v/>
      </c>
      <c r="L4313" s="58" t="str">
        <f t="shared" si="203"/>
        <v/>
      </c>
    </row>
    <row r="4314" spans="10:12" ht="16.5" customHeight="1" x14ac:dyDescent="0.35">
      <c r="J4314" s="56" t="str">
        <f t="shared" si="201"/>
        <v/>
      </c>
      <c r="K4314" s="74" t="str">
        <f t="shared" si="202"/>
        <v/>
      </c>
      <c r="L4314" s="58" t="str">
        <f t="shared" si="203"/>
        <v/>
      </c>
    </row>
    <row r="4315" spans="10:12" ht="16.5" customHeight="1" x14ac:dyDescent="0.35">
      <c r="J4315" s="56" t="str">
        <f t="shared" si="201"/>
        <v/>
      </c>
      <c r="K4315" s="74" t="str">
        <f t="shared" si="202"/>
        <v/>
      </c>
      <c r="L4315" s="58" t="str">
        <f t="shared" si="203"/>
        <v/>
      </c>
    </row>
    <row r="4316" spans="10:12" ht="16.5" customHeight="1" x14ac:dyDescent="0.35">
      <c r="J4316" s="56" t="str">
        <f t="shared" si="201"/>
        <v/>
      </c>
      <c r="K4316" s="74" t="str">
        <f t="shared" si="202"/>
        <v/>
      </c>
      <c r="L4316" s="58" t="str">
        <f t="shared" si="203"/>
        <v/>
      </c>
    </row>
    <row r="4317" spans="10:12" ht="16.5" customHeight="1" x14ac:dyDescent="0.35">
      <c r="J4317" s="56" t="str">
        <f t="shared" si="201"/>
        <v/>
      </c>
      <c r="K4317" s="74" t="str">
        <f t="shared" si="202"/>
        <v/>
      </c>
      <c r="L4317" s="58" t="str">
        <f t="shared" si="203"/>
        <v/>
      </c>
    </row>
    <row r="4318" spans="10:12" ht="16.5" customHeight="1" x14ac:dyDescent="0.35">
      <c r="J4318" s="56" t="str">
        <f t="shared" si="201"/>
        <v/>
      </c>
      <c r="K4318" s="74" t="str">
        <f t="shared" si="202"/>
        <v/>
      </c>
      <c r="L4318" s="58" t="str">
        <f t="shared" si="203"/>
        <v/>
      </c>
    </row>
    <row r="4319" spans="10:12" ht="16.5" customHeight="1" x14ac:dyDescent="0.35">
      <c r="J4319" s="56" t="str">
        <f t="shared" si="201"/>
        <v/>
      </c>
      <c r="K4319" s="74" t="str">
        <f t="shared" si="202"/>
        <v/>
      </c>
      <c r="L4319" s="58" t="str">
        <f t="shared" si="203"/>
        <v/>
      </c>
    </row>
    <row r="4320" spans="10:12" ht="16.5" customHeight="1" x14ac:dyDescent="0.35">
      <c r="J4320" s="56" t="str">
        <f t="shared" si="201"/>
        <v/>
      </c>
      <c r="K4320" s="74" t="str">
        <f t="shared" si="202"/>
        <v/>
      </c>
      <c r="L4320" s="58" t="str">
        <f t="shared" si="203"/>
        <v/>
      </c>
    </row>
    <row r="4321" spans="10:12" ht="16.5" customHeight="1" x14ac:dyDescent="0.35">
      <c r="J4321" s="56" t="str">
        <f t="shared" si="201"/>
        <v/>
      </c>
      <c r="K4321" s="74" t="str">
        <f t="shared" si="202"/>
        <v/>
      </c>
      <c r="L4321" s="58" t="str">
        <f t="shared" si="203"/>
        <v/>
      </c>
    </row>
    <row r="4322" spans="10:12" ht="16.5" customHeight="1" x14ac:dyDescent="0.35">
      <c r="J4322" s="56" t="str">
        <f t="shared" si="201"/>
        <v/>
      </c>
      <c r="K4322" s="74" t="str">
        <f t="shared" si="202"/>
        <v/>
      </c>
      <c r="L4322" s="58" t="str">
        <f t="shared" si="203"/>
        <v/>
      </c>
    </row>
    <row r="4323" spans="10:12" ht="16.5" customHeight="1" x14ac:dyDescent="0.35">
      <c r="J4323" s="56" t="str">
        <f t="shared" si="201"/>
        <v/>
      </c>
      <c r="K4323" s="74" t="str">
        <f t="shared" si="202"/>
        <v/>
      </c>
      <c r="L4323" s="58" t="str">
        <f t="shared" si="203"/>
        <v/>
      </c>
    </row>
    <row r="4324" spans="10:12" ht="16.5" customHeight="1" x14ac:dyDescent="0.35">
      <c r="J4324" s="56" t="str">
        <f t="shared" si="201"/>
        <v/>
      </c>
      <c r="K4324" s="74" t="str">
        <f t="shared" si="202"/>
        <v/>
      </c>
      <c r="L4324" s="58" t="str">
        <f t="shared" si="203"/>
        <v/>
      </c>
    </row>
    <row r="4325" spans="10:12" ht="16.5" customHeight="1" x14ac:dyDescent="0.35">
      <c r="J4325" s="56" t="str">
        <f t="shared" si="201"/>
        <v/>
      </c>
      <c r="K4325" s="74" t="str">
        <f t="shared" si="202"/>
        <v/>
      </c>
      <c r="L4325" s="58" t="str">
        <f t="shared" si="203"/>
        <v/>
      </c>
    </row>
    <row r="4326" spans="10:12" ht="16.5" customHeight="1" x14ac:dyDescent="0.35">
      <c r="J4326" s="56" t="str">
        <f t="shared" si="201"/>
        <v/>
      </c>
      <c r="K4326" s="74" t="str">
        <f t="shared" si="202"/>
        <v/>
      </c>
      <c r="L4326" s="58" t="str">
        <f t="shared" si="203"/>
        <v/>
      </c>
    </row>
    <row r="4327" spans="10:12" ht="16.5" customHeight="1" x14ac:dyDescent="0.35">
      <c r="J4327" s="56" t="str">
        <f t="shared" si="201"/>
        <v/>
      </c>
      <c r="K4327" s="74" t="str">
        <f t="shared" si="202"/>
        <v/>
      </c>
      <c r="L4327" s="58" t="str">
        <f t="shared" si="203"/>
        <v/>
      </c>
    </row>
    <row r="4328" spans="10:12" ht="16.5" customHeight="1" x14ac:dyDescent="0.35">
      <c r="J4328" s="56" t="str">
        <f t="shared" si="201"/>
        <v/>
      </c>
      <c r="K4328" s="74" t="str">
        <f t="shared" si="202"/>
        <v/>
      </c>
      <c r="L4328" s="58" t="str">
        <f t="shared" si="203"/>
        <v/>
      </c>
    </row>
    <row r="4329" spans="10:12" ht="16.5" customHeight="1" x14ac:dyDescent="0.35">
      <c r="J4329" s="56" t="str">
        <f t="shared" si="201"/>
        <v/>
      </c>
      <c r="K4329" s="74" t="str">
        <f t="shared" si="202"/>
        <v/>
      </c>
      <c r="L4329" s="58" t="str">
        <f t="shared" si="203"/>
        <v/>
      </c>
    </row>
    <row r="4330" spans="10:12" ht="16.5" customHeight="1" x14ac:dyDescent="0.35">
      <c r="J4330" s="56" t="str">
        <f t="shared" si="201"/>
        <v/>
      </c>
      <c r="K4330" s="74" t="str">
        <f t="shared" si="202"/>
        <v/>
      </c>
      <c r="L4330" s="58" t="str">
        <f t="shared" si="203"/>
        <v/>
      </c>
    </row>
    <row r="4331" spans="10:12" ht="16.5" customHeight="1" x14ac:dyDescent="0.35">
      <c r="J4331" s="56" t="str">
        <f t="shared" si="201"/>
        <v/>
      </c>
      <c r="K4331" s="74" t="str">
        <f t="shared" si="202"/>
        <v/>
      </c>
      <c r="L4331" s="58" t="str">
        <f t="shared" si="203"/>
        <v/>
      </c>
    </row>
    <row r="4332" spans="10:12" ht="16.5" customHeight="1" x14ac:dyDescent="0.35">
      <c r="J4332" s="56" t="str">
        <f t="shared" si="201"/>
        <v/>
      </c>
      <c r="K4332" s="74" t="str">
        <f t="shared" si="202"/>
        <v/>
      </c>
      <c r="L4332" s="58" t="str">
        <f t="shared" si="203"/>
        <v/>
      </c>
    </row>
    <row r="4333" spans="10:12" ht="16.5" customHeight="1" x14ac:dyDescent="0.35">
      <c r="J4333" s="56" t="str">
        <f t="shared" si="201"/>
        <v/>
      </c>
      <c r="K4333" s="74" t="str">
        <f t="shared" si="202"/>
        <v/>
      </c>
      <c r="L4333" s="58" t="str">
        <f t="shared" si="203"/>
        <v/>
      </c>
    </row>
    <row r="4334" spans="10:12" ht="16.5" customHeight="1" x14ac:dyDescent="0.35">
      <c r="J4334" s="56" t="str">
        <f t="shared" si="201"/>
        <v/>
      </c>
      <c r="K4334" s="74" t="str">
        <f t="shared" si="202"/>
        <v/>
      </c>
      <c r="L4334" s="58" t="str">
        <f t="shared" si="203"/>
        <v/>
      </c>
    </row>
    <row r="4335" spans="10:12" ht="16.5" customHeight="1" x14ac:dyDescent="0.35">
      <c r="J4335" s="56" t="str">
        <f t="shared" si="201"/>
        <v/>
      </c>
      <c r="K4335" s="74" t="str">
        <f t="shared" si="202"/>
        <v/>
      </c>
      <c r="L4335" s="58" t="str">
        <f t="shared" si="203"/>
        <v/>
      </c>
    </row>
    <row r="4336" spans="10:12" ht="16.5" customHeight="1" x14ac:dyDescent="0.35">
      <c r="J4336" s="56" t="str">
        <f t="shared" si="201"/>
        <v/>
      </c>
      <c r="K4336" s="74" t="str">
        <f t="shared" si="202"/>
        <v/>
      </c>
      <c r="L4336" s="58" t="str">
        <f t="shared" si="203"/>
        <v/>
      </c>
    </row>
    <row r="4337" spans="10:12" ht="16.5" customHeight="1" x14ac:dyDescent="0.35">
      <c r="J4337" s="56" t="str">
        <f t="shared" si="201"/>
        <v/>
      </c>
      <c r="K4337" s="74" t="str">
        <f t="shared" si="202"/>
        <v/>
      </c>
      <c r="L4337" s="58" t="str">
        <f t="shared" si="203"/>
        <v/>
      </c>
    </row>
    <row r="4338" spans="10:12" ht="16.5" customHeight="1" x14ac:dyDescent="0.35">
      <c r="J4338" s="56" t="str">
        <f t="shared" si="201"/>
        <v/>
      </c>
      <c r="K4338" s="74" t="str">
        <f t="shared" si="202"/>
        <v/>
      </c>
      <c r="L4338" s="58" t="str">
        <f t="shared" si="203"/>
        <v/>
      </c>
    </row>
    <row r="4339" spans="10:12" ht="16.5" customHeight="1" x14ac:dyDescent="0.35">
      <c r="J4339" s="56" t="str">
        <f t="shared" si="201"/>
        <v/>
      </c>
      <c r="K4339" s="74" t="str">
        <f t="shared" si="202"/>
        <v/>
      </c>
      <c r="L4339" s="58" t="str">
        <f t="shared" si="203"/>
        <v/>
      </c>
    </row>
    <row r="4340" spans="10:12" ht="16.5" customHeight="1" x14ac:dyDescent="0.35">
      <c r="J4340" s="56" t="str">
        <f t="shared" si="201"/>
        <v/>
      </c>
      <c r="K4340" s="74" t="str">
        <f t="shared" si="202"/>
        <v/>
      </c>
      <c r="L4340" s="58" t="str">
        <f t="shared" si="203"/>
        <v/>
      </c>
    </row>
    <row r="4341" spans="10:12" ht="16.5" customHeight="1" x14ac:dyDescent="0.35">
      <c r="J4341" s="56" t="str">
        <f t="shared" si="201"/>
        <v/>
      </c>
      <c r="K4341" s="74" t="str">
        <f t="shared" si="202"/>
        <v/>
      </c>
      <c r="L4341" s="58" t="str">
        <f t="shared" si="203"/>
        <v/>
      </c>
    </row>
    <row r="4342" spans="10:12" ht="16.5" customHeight="1" x14ac:dyDescent="0.35">
      <c r="J4342" s="56" t="str">
        <f t="shared" si="201"/>
        <v/>
      </c>
      <c r="K4342" s="74" t="str">
        <f t="shared" si="202"/>
        <v/>
      </c>
      <c r="L4342" s="58" t="str">
        <f t="shared" si="203"/>
        <v/>
      </c>
    </row>
    <row r="4343" spans="10:12" ht="16.5" customHeight="1" x14ac:dyDescent="0.35">
      <c r="J4343" s="56" t="str">
        <f t="shared" si="201"/>
        <v/>
      </c>
      <c r="K4343" s="74" t="str">
        <f t="shared" si="202"/>
        <v/>
      </c>
      <c r="L4343" s="58" t="str">
        <f t="shared" si="203"/>
        <v/>
      </c>
    </row>
    <row r="4344" spans="10:12" ht="16.5" customHeight="1" x14ac:dyDescent="0.35">
      <c r="J4344" s="56" t="str">
        <f t="shared" si="201"/>
        <v/>
      </c>
      <c r="K4344" s="74" t="str">
        <f t="shared" si="202"/>
        <v/>
      </c>
      <c r="L4344" s="58" t="str">
        <f t="shared" si="203"/>
        <v/>
      </c>
    </row>
    <row r="4345" spans="10:12" ht="16.5" customHeight="1" x14ac:dyDescent="0.35">
      <c r="J4345" s="56" t="str">
        <f t="shared" si="201"/>
        <v/>
      </c>
      <c r="K4345" s="74" t="str">
        <f t="shared" si="202"/>
        <v/>
      </c>
      <c r="L4345" s="58" t="str">
        <f t="shared" si="203"/>
        <v/>
      </c>
    </row>
    <row r="4346" spans="10:12" ht="16.5" customHeight="1" x14ac:dyDescent="0.35">
      <c r="J4346" s="56" t="str">
        <f t="shared" si="201"/>
        <v/>
      </c>
      <c r="K4346" s="74" t="str">
        <f t="shared" si="202"/>
        <v/>
      </c>
      <c r="L4346" s="58" t="str">
        <f t="shared" si="203"/>
        <v/>
      </c>
    </row>
    <row r="4347" spans="10:12" ht="16.5" customHeight="1" x14ac:dyDescent="0.35">
      <c r="J4347" s="56" t="str">
        <f t="shared" si="201"/>
        <v/>
      </c>
      <c r="K4347" s="74" t="str">
        <f t="shared" si="202"/>
        <v/>
      </c>
      <c r="L4347" s="58" t="str">
        <f t="shared" si="203"/>
        <v/>
      </c>
    </row>
    <row r="4348" spans="10:12" ht="16.5" customHeight="1" x14ac:dyDescent="0.35">
      <c r="J4348" s="56" t="str">
        <f t="shared" si="201"/>
        <v/>
      </c>
      <c r="K4348" s="74" t="str">
        <f t="shared" si="202"/>
        <v/>
      </c>
      <c r="L4348" s="58" t="str">
        <f t="shared" si="203"/>
        <v/>
      </c>
    </row>
    <row r="4349" spans="10:12" ht="16.5" customHeight="1" x14ac:dyDescent="0.35">
      <c r="J4349" s="56" t="str">
        <f t="shared" si="201"/>
        <v/>
      </c>
      <c r="K4349" s="74" t="str">
        <f t="shared" si="202"/>
        <v/>
      </c>
      <c r="L4349" s="58" t="str">
        <f t="shared" si="203"/>
        <v/>
      </c>
    </row>
    <row r="4350" spans="10:12" ht="16.5" customHeight="1" x14ac:dyDescent="0.35">
      <c r="J4350" s="56" t="str">
        <f t="shared" si="201"/>
        <v/>
      </c>
      <c r="K4350" s="74" t="str">
        <f t="shared" si="202"/>
        <v/>
      </c>
      <c r="L4350" s="58" t="str">
        <f t="shared" si="203"/>
        <v/>
      </c>
    </row>
    <row r="4351" spans="10:12" ht="16.5" customHeight="1" x14ac:dyDescent="0.35">
      <c r="J4351" s="56" t="str">
        <f t="shared" si="201"/>
        <v/>
      </c>
      <c r="K4351" s="74" t="str">
        <f t="shared" si="202"/>
        <v/>
      </c>
      <c r="L4351" s="58" t="str">
        <f t="shared" si="203"/>
        <v/>
      </c>
    </row>
    <row r="4352" spans="10:12" ht="16.5" customHeight="1" x14ac:dyDescent="0.35">
      <c r="J4352" s="56" t="str">
        <f t="shared" si="201"/>
        <v/>
      </c>
      <c r="K4352" s="74" t="str">
        <f t="shared" si="202"/>
        <v/>
      </c>
      <c r="L4352" s="58" t="str">
        <f t="shared" si="203"/>
        <v/>
      </c>
    </row>
    <row r="4353" spans="10:12" ht="16.5" customHeight="1" x14ac:dyDescent="0.35">
      <c r="J4353" s="56" t="str">
        <f t="shared" si="201"/>
        <v/>
      </c>
      <c r="K4353" s="74" t="str">
        <f t="shared" si="202"/>
        <v/>
      </c>
      <c r="L4353" s="58" t="str">
        <f t="shared" si="203"/>
        <v/>
      </c>
    </row>
    <row r="4354" spans="10:12" ht="16.5" customHeight="1" x14ac:dyDescent="0.35">
      <c r="J4354" s="56" t="str">
        <f t="shared" si="201"/>
        <v/>
      </c>
      <c r="K4354" s="74" t="str">
        <f t="shared" si="202"/>
        <v/>
      </c>
      <c r="L4354" s="58" t="str">
        <f t="shared" si="203"/>
        <v/>
      </c>
    </row>
    <row r="4355" spans="10:12" ht="16.5" customHeight="1" x14ac:dyDescent="0.35">
      <c r="J4355" s="56" t="str">
        <f t="shared" si="201"/>
        <v/>
      </c>
      <c r="K4355" s="74" t="str">
        <f t="shared" si="202"/>
        <v/>
      </c>
      <c r="L4355" s="58" t="str">
        <f t="shared" si="203"/>
        <v/>
      </c>
    </row>
    <row r="4356" spans="10:12" ht="16.5" customHeight="1" x14ac:dyDescent="0.35">
      <c r="J4356" s="56" t="str">
        <f t="shared" si="201"/>
        <v/>
      </c>
      <c r="K4356" s="74" t="str">
        <f t="shared" si="202"/>
        <v/>
      </c>
      <c r="L4356" s="58" t="str">
        <f t="shared" si="203"/>
        <v/>
      </c>
    </row>
    <row r="4357" spans="10:12" ht="16.5" customHeight="1" x14ac:dyDescent="0.35">
      <c r="J4357" s="56" t="str">
        <f t="shared" si="201"/>
        <v/>
      </c>
      <c r="K4357" s="74" t="str">
        <f t="shared" si="202"/>
        <v/>
      </c>
      <c r="L4357" s="58" t="str">
        <f t="shared" si="203"/>
        <v/>
      </c>
    </row>
    <row r="4358" spans="10:12" ht="16.5" customHeight="1" x14ac:dyDescent="0.35">
      <c r="J4358" s="56" t="str">
        <f t="shared" si="201"/>
        <v/>
      </c>
      <c r="K4358" s="74" t="str">
        <f t="shared" si="202"/>
        <v/>
      </c>
      <c r="L4358" s="58" t="str">
        <f t="shared" si="203"/>
        <v/>
      </c>
    </row>
    <row r="4359" spans="10:12" ht="16.5" customHeight="1" x14ac:dyDescent="0.35">
      <c r="J4359" s="56" t="str">
        <f t="shared" si="201"/>
        <v/>
      </c>
      <c r="K4359" s="74" t="str">
        <f t="shared" si="202"/>
        <v/>
      </c>
      <c r="L4359" s="58" t="str">
        <f t="shared" si="203"/>
        <v/>
      </c>
    </row>
    <row r="4360" spans="10:12" ht="16.5" customHeight="1" x14ac:dyDescent="0.35">
      <c r="J4360" s="56" t="str">
        <f t="shared" si="201"/>
        <v/>
      </c>
      <c r="K4360" s="74" t="str">
        <f t="shared" si="202"/>
        <v/>
      </c>
      <c r="L4360" s="58" t="str">
        <f t="shared" si="203"/>
        <v/>
      </c>
    </row>
    <row r="4361" spans="10:12" ht="16.5" customHeight="1" x14ac:dyDescent="0.35">
      <c r="J4361" s="56" t="str">
        <f t="shared" ref="J4361:J4424" si="204">IF(A4361="","",A$5-A4361)</f>
        <v/>
      </c>
      <c r="K4361" s="74" t="str">
        <f t="shared" ref="K4361:K4424" si="205">IF(J4361="","",IF(J4361&lt;4,"0-3 Days",IF(J4361&lt;31,"4-30 Days",IF(J4361&lt;61,"31-60 Days",IF(J4361&lt;=90,"61-90 Days",IF(J4361&gt;90,"Above 90 Days","0"))))))</f>
        <v/>
      </c>
      <c r="L4361" s="58" t="str">
        <f t="shared" ref="L4361:L4424" si="206">IF(C4361="","",IF(C4361&gt;0,IF(J4361&lt;30,"Normal",IF(J4361&lt;60,"Especially Mentioned",IF(J4361&lt;90,"Substandard",IF(J4361&lt;=180,"Doubtful",IF(J4361&gt;180,"Loss","0"))))),"Not Applicable"))</f>
        <v/>
      </c>
    </row>
    <row r="4362" spans="10:12" ht="16.5" customHeight="1" x14ac:dyDescent="0.35">
      <c r="J4362" s="56" t="str">
        <f t="shared" si="204"/>
        <v/>
      </c>
      <c r="K4362" s="74" t="str">
        <f t="shared" si="205"/>
        <v/>
      </c>
      <c r="L4362" s="58" t="str">
        <f t="shared" si="206"/>
        <v/>
      </c>
    </row>
    <row r="4363" spans="10:12" ht="16.5" customHeight="1" x14ac:dyDescent="0.35">
      <c r="J4363" s="56" t="str">
        <f t="shared" si="204"/>
        <v/>
      </c>
      <c r="K4363" s="74" t="str">
        <f t="shared" si="205"/>
        <v/>
      </c>
      <c r="L4363" s="58" t="str">
        <f t="shared" si="206"/>
        <v/>
      </c>
    </row>
    <row r="4364" spans="10:12" ht="16.5" customHeight="1" x14ac:dyDescent="0.35">
      <c r="J4364" s="56" t="str">
        <f t="shared" si="204"/>
        <v/>
      </c>
      <c r="K4364" s="74" t="str">
        <f t="shared" si="205"/>
        <v/>
      </c>
      <c r="L4364" s="58" t="str">
        <f t="shared" si="206"/>
        <v/>
      </c>
    </row>
    <row r="4365" spans="10:12" ht="16.5" customHeight="1" x14ac:dyDescent="0.35">
      <c r="J4365" s="56" t="str">
        <f t="shared" si="204"/>
        <v/>
      </c>
      <c r="K4365" s="74" t="str">
        <f t="shared" si="205"/>
        <v/>
      </c>
      <c r="L4365" s="58" t="str">
        <f t="shared" si="206"/>
        <v/>
      </c>
    </row>
    <row r="4366" spans="10:12" ht="16.5" customHeight="1" x14ac:dyDescent="0.35">
      <c r="J4366" s="56" t="str">
        <f t="shared" si="204"/>
        <v/>
      </c>
      <c r="K4366" s="74" t="str">
        <f t="shared" si="205"/>
        <v/>
      </c>
      <c r="L4366" s="58" t="str">
        <f t="shared" si="206"/>
        <v/>
      </c>
    </row>
    <row r="4367" spans="10:12" ht="16.5" customHeight="1" x14ac:dyDescent="0.35">
      <c r="J4367" s="56" t="str">
        <f t="shared" si="204"/>
        <v/>
      </c>
      <c r="K4367" s="74" t="str">
        <f t="shared" si="205"/>
        <v/>
      </c>
      <c r="L4367" s="58" t="str">
        <f t="shared" si="206"/>
        <v/>
      </c>
    </row>
    <row r="4368" spans="10:12" ht="16.5" customHeight="1" x14ac:dyDescent="0.35">
      <c r="J4368" s="56" t="str">
        <f t="shared" si="204"/>
        <v/>
      </c>
      <c r="K4368" s="74" t="str">
        <f t="shared" si="205"/>
        <v/>
      </c>
      <c r="L4368" s="58" t="str">
        <f t="shared" si="206"/>
        <v/>
      </c>
    </row>
    <row r="4369" spans="10:12" ht="16.5" customHeight="1" x14ac:dyDescent="0.35">
      <c r="J4369" s="56" t="str">
        <f t="shared" si="204"/>
        <v/>
      </c>
      <c r="K4369" s="74" t="str">
        <f t="shared" si="205"/>
        <v/>
      </c>
      <c r="L4369" s="58" t="str">
        <f t="shared" si="206"/>
        <v/>
      </c>
    </row>
    <row r="4370" spans="10:12" ht="16.5" customHeight="1" x14ac:dyDescent="0.35">
      <c r="J4370" s="56" t="str">
        <f t="shared" si="204"/>
        <v/>
      </c>
      <c r="K4370" s="74" t="str">
        <f t="shared" si="205"/>
        <v/>
      </c>
      <c r="L4370" s="58" t="str">
        <f t="shared" si="206"/>
        <v/>
      </c>
    </row>
    <row r="4371" spans="10:12" ht="16.5" customHeight="1" x14ac:dyDescent="0.35">
      <c r="J4371" s="56" t="str">
        <f t="shared" si="204"/>
        <v/>
      </c>
      <c r="K4371" s="74" t="str">
        <f t="shared" si="205"/>
        <v/>
      </c>
      <c r="L4371" s="58" t="str">
        <f t="shared" si="206"/>
        <v/>
      </c>
    </row>
    <row r="4372" spans="10:12" ht="16.5" customHeight="1" x14ac:dyDescent="0.35">
      <c r="J4372" s="56" t="str">
        <f t="shared" si="204"/>
        <v/>
      </c>
      <c r="K4372" s="74" t="str">
        <f t="shared" si="205"/>
        <v/>
      </c>
      <c r="L4372" s="58" t="str">
        <f t="shared" si="206"/>
        <v/>
      </c>
    </row>
    <row r="4373" spans="10:12" ht="16.5" customHeight="1" x14ac:dyDescent="0.35">
      <c r="J4373" s="56" t="str">
        <f t="shared" si="204"/>
        <v/>
      </c>
      <c r="K4373" s="74" t="str">
        <f t="shared" si="205"/>
        <v/>
      </c>
      <c r="L4373" s="58" t="str">
        <f t="shared" si="206"/>
        <v/>
      </c>
    </row>
    <row r="4374" spans="10:12" ht="16.5" customHeight="1" x14ac:dyDescent="0.35">
      <c r="J4374" s="56" t="str">
        <f t="shared" si="204"/>
        <v/>
      </c>
      <c r="K4374" s="74" t="str">
        <f t="shared" si="205"/>
        <v/>
      </c>
      <c r="L4374" s="58" t="str">
        <f t="shared" si="206"/>
        <v/>
      </c>
    </row>
    <row r="4375" spans="10:12" ht="16.5" customHeight="1" x14ac:dyDescent="0.35">
      <c r="J4375" s="56" t="str">
        <f t="shared" si="204"/>
        <v/>
      </c>
      <c r="K4375" s="74" t="str">
        <f t="shared" si="205"/>
        <v/>
      </c>
      <c r="L4375" s="58" t="str">
        <f t="shared" si="206"/>
        <v/>
      </c>
    </row>
    <row r="4376" spans="10:12" ht="16.5" customHeight="1" x14ac:dyDescent="0.35">
      <c r="J4376" s="56" t="str">
        <f t="shared" si="204"/>
        <v/>
      </c>
      <c r="K4376" s="74" t="str">
        <f t="shared" si="205"/>
        <v/>
      </c>
      <c r="L4376" s="58" t="str">
        <f t="shared" si="206"/>
        <v/>
      </c>
    </row>
    <row r="4377" spans="10:12" ht="16.5" customHeight="1" x14ac:dyDescent="0.35">
      <c r="J4377" s="56" t="str">
        <f t="shared" si="204"/>
        <v/>
      </c>
      <c r="K4377" s="74" t="str">
        <f t="shared" si="205"/>
        <v/>
      </c>
      <c r="L4377" s="58" t="str">
        <f t="shared" si="206"/>
        <v/>
      </c>
    </row>
    <row r="4378" spans="10:12" ht="16.5" customHeight="1" x14ac:dyDescent="0.35">
      <c r="J4378" s="56" t="str">
        <f t="shared" si="204"/>
        <v/>
      </c>
      <c r="K4378" s="74" t="str">
        <f t="shared" si="205"/>
        <v/>
      </c>
      <c r="L4378" s="58" t="str">
        <f t="shared" si="206"/>
        <v/>
      </c>
    </row>
    <row r="4379" spans="10:12" ht="16.5" customHeight="1" x14ac:dyDescent="0.35">
      <c r="J4379" s="56" t="str">
        <f t="shared" si="204"/>
        <v/>
      </c>
      <c r="K4379" s="74" t="str">
        <f t="shared" si="205"/>
        <v/>
      </c>
      <c r="L4379" s="58" t="str">
        <f t="shared" si="206"/>
        <v/>
      </c>
    </row>
    <row r="4380" spans="10:12" ht="16.5" customHeight="1" x14ac:dyDescent="0.35">
      <c r="J4380" s="56" t="str">
        <f t="shared" si="204"/>
        <v/>
      </c>
      <c r="K4380" s="74" t="str">
        <f t="shared" si="205"/>
        <v/>
      </c>
      <c r="L4380" s="58" t="str">
        <f t="shared" si="206"/>
        <v/>
      </c>
    </row>
    <row r="4381" spans="10:12" ht="16.5" customHeight="1" x14ac:dyDescent="0.35">
      <c r="J4381" s="56" t="str">
        <f t="shared" si="204"/>
        <v/>
      </c>
      <c r="K4381" s="74" t="str">
        <f t="shared" si="205"/>
        <v/>
      </c>
      <c r="L4381" s="58" t="str">
        <f t="shared" si="206"/>
        <v/>
      </c>
    </row>
    <row r="4382" spans="10:12" ht="16.5" customHeight="1" x14ac:dyDescent="0.35">
      <c r="J4382" s="56" t="str">
        <f t="shared" si="204"/>
        <v/>
      </c>
      <c r="K4382" s="74" t="str">
        <f t="shared" si="205"/>
        <v/>
      </c>
      <c r="L4382" s="58" t="str">
        <f t="shared" si="206"/>
        <v/>
      </c>
    </row>
    <row r="4383" spans="10:12" ht="16.5" customHeight="1" x14ac:dyDescent="0.35">
      <c r="J4383" s="56" t="str">
        <f t="shared" si="204"/>
        <v/>
      </c>
      <c r="K4383" s="74" t="str">
        <f t="shared" si="205"/>
        <v/>
      </c>
      <c r="L4383" s="58" t="str">
        <f t="shared" si="206"/>
        <v/>
      </c>
    </row>
    <row r="4384" spans="10:12" ht="16.5" customHeight="1" x14ac:dyDescent="0.35">
      <c r="J4384" s="56" t="str">
        <f t="shared" si="204"/>
        <v/>
      </c>
      <c r="K4384" s="74" t="str">
        <f t="shared" si="205"/>
        <v/>
      </c>
      <c r="L4384" s="58" t="str">
        <f t="shared" si="206"/>
        <v/>
      </c>
    </row>
    <row r="4385" spans="10:12" ht="16.5" customHeight="1" x14ac:dyDescent="0.35">
      <c r="J4385" s="56" t="str">
        <f t="shared" si="204"/>
        <v/>
      </c>
      <c r="K4385" s="74" t="str">
        <f t="shared" si="205"/>
        <v/>
      </c>
      <c r="L4385" s="58" t="str">
        <f t="shared" si="206"/>
        <v/>
      </c>
    </row>
    <row r="4386" spans="10:12" ht="16.5" customHeight="1" x14ac:dyDescent="0.35">
      <c r="J4386" s="56" t="str">
        <f t="shared" si="204"/>
        <v/>
      </c>
      <c r="K4386" s="74" t="str">
        <f t="shared" si="205"/>
        <v/>
      </c>
      <c r="L4386" s="58" t="str">
        <f t="shared" si="206"/>
        <v/>
      </c>
    </row>
    <row r="4387" spans="10:12" ht="16.5" customHeight="1" x14ac:dyDescent="0.35">
      <c r="J4387" s="56" t="str">
        <f t="shared" si="204"/>
        <v/>
      </c>
      <c r="K4387" s="74" t="str">
        <f t="shared" si="205"/>
        <v/>
      </c>
      <c r="L4387" s="58" t="str">
        <f t="shared" si="206"/>
        <v/>
      </c>
    </row>
    <row r="4388" spans="10:12" ht="16.5" customHeight="1" x14ac:dyDescent="0.35">
      <c r="J4388" s="56" t="str">
        <f t="shared" si="204"/>
        <v/>
      </c>
      <c r="K4388" s="74" t="str">
        <f t="shared" si="205"/>
        <v/>
      </c>
      <c r="L4388" s="58" t="str">
        <f t="shared" si="206"/>
        <v/>
      </c>
    </row>
    <row r="4389" spans="10:12" ht="16.5" customHeight="1" x14ac:dyDescent="0.35">
      <c r="J4389" s="56" t="str">
        <f t="shared" si="204"/>
        <v/>
      </c>
      <c r="K4389" s="74" t="str">
        <f t="shared" si="205"/>
        <v/>
      </c>
      <c r="L4389" s="58" t="str">
        <f t="shared" si="206"/>
        <v/>
      </c>
    </row>
    <row r="4390" spans="10:12" ht="16.5" customHeight="1" x14ac:dyDescent="0.35">
      <c r="J4390" s="56" t="str">
        <f t="shared" si="204"/>
        <v/>
      </c>
      <c r="K4390" s="74" t="str">
        <f t="shared" si="205"/>
        <v/>
      </c>
      <c r="L4390" s="58" t="str">
        <f t="shared" si="206"/>
        <v/>
      </c>
    </row>
    <row r="4391" spans="10:12" ht="16.5" customHeight="1" x14ac:dyDescent="0.35">
      <c r="J4391" s="56" t="str">
        <f t="shared" si="204"/>
        <v/>
      </c>
      <c r="K4391" s="74" t="str">
        <f t="shared" si="205"/>
        <v/>
      </c>
      <c r="L4391" s="58" t="str">
        <f t="shared" si="206"/>
        <v/>
      </c>
    </row>
    <row r="4392" spans="10:12" ht="16.5" customHeight="1" x14ac:dyDescent="0.35">
      <c r="J4392" s="56" t="str">
        <f t="shared" si="204"/>
        <v/>
      </c>
      <c r="K4392" s="74" t="str">
        <f t="shared" si="205"/>
        <v/>
      </c>
      <c r="L4392" s="58" t="str">
        <f t="shared" si="206"/>
        <v/>
      </c>
    </row>
    <row r="4393" spans="10:12" ht="16.5" customHeight="1" x14ac:dyDescent="0.35">
      <c r="J4393" s="56" t="str">
        <f t="shared" si="204"/>
        <v/>
      </c>
      <c r="K4393" s="74" t="str">
        <f t="shared" si="205"/>
        <v/>
      </c>
      <c r="L4393" s="58" t="str">
        <f t="shared" si="206"/>
        <v/>
      </c>
    </row>
    <row r="4394" spans="10:12" ht="16.5" customHeight="1" x14ac:dyDescent="0.35">
      <c r="J4394" s="56" t="str">
        <f t="shared" si="204"/>
        <v/>
      </c>
      <c r="K4394" s="74" t="str">
        <f t="shared" si="205"/>
        <v/>
      </c>
      <c r="L4394" s="58" t="str">
        <f t="shared" si="206"/>
        <v/>
      </c>
    </row>
    <row r="4395" spans="10:12" ht="16.5" customHeight="1" x14ac:dyDescent="0.35">
      <c r="J4395" s="56" t="str">
        <f t="shared" si="204"/>
        <v/>
      </c>
      <c r="K4395" s="74" t="str">
        <f t="shared" si="205"/>
        <v/>
      </c>
      <c r="L4395" s="58" t="str">
        <f t="shared" si="206"/>
        <v/>
      </c>
    </row>
    <row r="4396" spans="10:12" ht="16.5" customHeight="1" x14ac:dyDescent="0.35">
      <c r="J4396" s="56" t="str">
        <f t="shared" si="204"/>
        <v/>
      </c>
      <c r="K4396" s="74" t="str">
        <f t="shared" si="205"/>
        <v/>
      </c>
      <c r="L4396" s="58" t="str">
        <f t="shared" si="206"/>
        <v/>
      </c>
    </row>
    <row r="4397" spans="10:12" ht="16.5" customHeight="1" x14ac:dyDescent="0.35">
      <c r="J4397" s="56" t="str">
        <f t="shared" si="204"/>
        <v/>
      </c>
      <c r="K4397" s="74" t="str">
        <f t="shared" si="205"/>
        <v/>
      </c>
      <c r="L4397" s="58" t="str">
        <f t="shared" si="206"/>
        <v/>
      </c>
    </row>
    <row r="4398" spans="10:12" ht="16.5" customHeight="1" x14ac:dyDescent="0.35">
      <c r="J4398" s="56" t="str">
        <f t="shared" si="204"/>
        <v/>
      </c>
      <c r="K4398" s="74" t="str">
        <f t="shared" si="205"/>
        <v/>
      </c>
      <c r="L4398" s="58" t="str">
        <f t="shared" si="206"/>
        <v/>
      </c>
    </row>
    <row r="4399" spans="10:12" ht="16.5" customHeight="1" x14ac:dyDescent="0.35">
      <c r="J4399" s="56" t="str">
        <f t="shared" si="204"/>
        <v/>
      </c>
      <c r="K4399" s="74" t="str">
        <f t="shared" si="205"/>
        <v/>
      </c>
      <c r="L4399" s="58" t="str">
        <f t="shared" si="206"/>
        <v/>
      </c>
    </row>
    <row r="4400" spans="10:12" ht="16.5" customHeight="1" x14ac:dyDescent="0.35">
      <c r="J4400" s="56" t="str">
        <f t="shared" si="204"/>
        <v/>
      </c>
      <c r="K4400" s="74" t="str">
        <f t="shared" si="205"/>
        <v/>
      </c>
      <c r="L4400" s="58" t="str">
        <f t="shared" si="206"/>
        <v/>
      </c>
    </row>
    <row r="4401" spans="10:12" ht="16.5" customHeight="1" x14ac:dyDescent="0.35">
      <c r="J4401" s="56" t="str">
        <f t="shared" si="204"/>
        <v/>
      </c>
      <c r="K4401" s="74" t="str">
        <f t="shared" si="205"/>
        <v/>
      </c>
      <c r="L4401" s="58" t="str">
        <f t="shared" si="206"/>
        <v/>
      </c>
    </row>
    <row r="4402" spans="10:12" ht="16.5" customHeight="1" x14ac:dyDescent="0.35">
      <c r="J4402" s="56" t="str">
        <f t="shared" si="204"/>
        <v/>
      </c>
      <c r="K4402" s="74" t="str">
        <f t="shared" si="205"/>
        <v/>
      </c>
      <c r="L4402" s="58" t="str">
        <f t="shared" si="206"/>
        <v/>
      </c>
    </row>
    <row r="4403" spans="10:12" ht="16.5" customHeight="1" x14ac:dyDescent="0.35">
      <c r="J4403" s="56" t="str">
        <f t="shared" si="204"/>
        <v/>
      </c>
      <c r="K4403" s="74" t="str">
        <f t="shared" si="205"/>
        <v/>
      </c>
      <c r="L4403" s="58" t="str">
        <f t="shared" si="206"/>
        <v/>
      </c>
    </row>
    <row r="4404" spans="10:12" ht="16.5" customHeight="1" x14ac:dyDescent="0.35">
      <c r="J4404" s="56" t="str">
        <f t="shared" si="204"/>
        <v/>
      </c>
      <c r="K4404" s="74" t="str">
        <f t="shared" si="205"/>
        <v/>
      </c>
      <c r="L4404" s="58" t="str">
        <f t="shared" si="206"/>
        <v/>
      </c>
    </row>
    <row r="4405" spans="10:12" ht="16.5" customHeight="1" x14ac:dyDescent="0.35">
      <c r="J4405" s="56" t="str">
        <f t="shared" si="204"/>
        <v/>
      </c>
      <c r="K4405" s="74" t="str">
        <f t="shared" si="205"/>
        <v/>
      </c>
      <c r="L4405" s="58" t="str">
        <f t="shared" si="206"/>
        <v/>
      </c>
    </row>
    <row r="4406" spans="10:12" ht="16.5" customHeight="1" x14ac:dyDescent="0.35">
      <c r="J4406" s="56" t="str">
        <f t="shared" si="204"/>
        <v/>
      </c>
      <c r="K4406" s="74" t="str">
        <f t="shared" si="205"/>
        <v/>
      </c>
      <c r="L4406" s="58" t="str">
        <f t="shared" si="206"/>
        <v/>
      </c>
    </row>
    <row r="4407" spans="10:12" ht="16.5" customHeight="1" x14ac:dyDescent="0.35">
      <c r="J4407" s="56" t="str">
        <f t="shared" si="204"/>
        <v/>
      </c>
      <c r="K4407" s="74" t="str">
        <f t="shared" si="205"/>
        <v/>
      </c>
      <c r="L4407" s="58" t="str">
        <f t="shared" si="206"/>
        <v/>
      </c>
    </row>
    <row r="4408" spans="10:12" ht="16.5" customHeight="1" x14ac:dyDescent="0.35">
      <c r="J4408" s="56" t="str">
        <f t="shared" si="204"/>
        <v/>
      </c>
      <c r="K4408" s="74" t="str">
        <f t="shared" si="205"/>
        <v/>
      </c>
      <c r="L4408" s="58" t="str">
        <f t="shared" si="206"/>
        <v/>
      </c>
    </row>
    <row r="4409" spans="10:12" ht="16.5" customHeight="1" x14ac:dyDescent="0.35">
      <c r="J4409" s="56" t="str">
        <f t="shared" si="204"/>
        <v/>
      </c>
      <c r="K4409" s="74" t="str">
        <f t="shared" si="205"/>
        <v/>
      </c>
      <c r="L4409" s="58" t="str">
        <f t="shared" si="206"/>
        <v/>
      </c>
    </row>
    <row r="4410" spans="10:12" ht="16.5" customHeight="1" x14ac:dyDescent="0.35">
      <c r="J4410" s="56" t="str">
        <f t="shared" si="204"/>
        <v/>
      </c>
      <c r="K4410" s="74" t="str">
        <f t="shared" si="205"/>
        <v/>
      </c>
      <c r="L4410" s="58" t="str">
        <f t="shared" si="206"/>
        <v/>
      </c>
    </row>
    <row r="4411" spans="10:12" ht="16.5" customHeight="1" x14ac:dyDescent="0.35">
      <c r="J4411" s="56" t="str">
        <f t="shared" si="204"/>
        <v/>
      </c>
      <c r="K4411" s="74" t="str">
        <f t="shared" si="205"/>
        <v/>
      </c>
      <c r="L4411" s="58" t="str">
        <f t="shared" si="206"/>
        <v/>
      </c>
    </row>
    <row r="4412" spans="10:12" ht="16.5" customHeight="1" x14ac:dyDescent="0.35">
      <c r="J4412" s="56" t="str">
        <f t="shared" si="204"/>
        <v/>
      </c>
      <c r="K4412" s="74" t="str">
        <f t="shared" si="205"/>
        <v/>
      </c>
      <c r="L4412" s="58" t="str">
        <f t="shared" si="206"/>
        <v/>
      </c>
    </row>
    <row r="4413" spans="10:12" ht="16.5" customHeight="1" x14ac:dyDescent="0.35">
      <c r="J4413" s="56" t="str">
        <f t="shared" si="204"/>
        <v/>
      </c>
      <c r="K4413" s="74" t="str">
        <f t="shared" si="205"/>
        <v/>
      </c>
      <c r="L4413" s="58" t="str">
        <f t="shared" si="206"/>
        <v/>
      </c>
    </row>
    <row r="4414" spans="10:12" ht="16.5" customHeight="1" x14ac:dyDescent="0.35">
      <c r="J4414" s="56" t="str">
        <f t="shared" si="204"/>
        <v/>
      </c>
      <c r="K4414" s="74" t="str">
        <f t="shared" si="205"/>
        <v/>
      </c>
      <c r="L4414" s="58" t="str">
        <f t="shared" si="206"/>
        <v/>
      </c>
    </row>
    <row r="4415" spans="10:12" ht="16.5" customHeight="1" x14ac:dyDescent="0.35">
      <c r="J4415" s="56" t="str">
        <f t="shared" si="204"/>
        <v/>
      </c>
      <c r="K4415" s="74" t="str">
        <f t="shared" si="205"/>
        <v/>
      </c>
      <c r="L4415" s="58" t="str">
        <f t="shared" si="206"/>
        <v/>
      </c>
    </row>
    <row r="4416" spans="10:12" ht="16.5" customHeight="1" x14ac:dyDescent="0.35">
      <c r="J4416" s="56" t="str">
        <f t="shared" si="204"/>
        <v/>
      </c>
      <c r="K4416" s="74" t="str">
        <f t="shared" si="205"/>
        <v/>
      </c>
      <c r="L4416" s="58" t="str">
        <f t="shared" si="206"/>
        <v/>
      </c>
    </row>
    <row r="4417" spans="10:12" ht="16.5" customHeight="1" x14ac:dyDescent="0.35">
      <c r="J4417" s="56" t="str">
        <f t="shared" si="204"/>
        <v/>
      </c>
      <c r="K4417" s="74" t="str">
        <f t="shared" si="205"/>
        <v/>
      </c>
      <c r="L4417" s="58" t="str">
        <f t="shared" si="206"/>
        <v/>
      </c>
    </row>
    <row r="4418" spans="10:12" ht="16.5" customHeight="1" x14ac:dyDescent="0.35">
      <c r="J4418" s="56" t="str">
        <f t="shared" si="204"/>
        <v/>
      </c>
      <c r="K4418" s="74" t="str">
        <f t="shared" si="205"/>
        <v/>
      </c>
      <c r="L4418" s="58" t="str">
        <f t="shared" si="206"/>
        <v/>
      </c>
    </row>
    <row r="4419" spans="10:12" ht="16.5" customHeight="1" x14ac:dyDescent="0.35">
      <c r="J4419" s="56" t="str">
        <f t="shared" si="204"/>
        <v/>
      </c>
      <c r="K4419" s="74" t="str">
        <f t="shared" si="205"/>
        <v/>
      </c>
      <c r="L4419" s="58" t="str">
        <f t="shared" si="206"/>
        <v/>
      </c>
    </row>
    <row r="4420" spans="10:12" ht="16.5" customHeight="1" x14ac:dyDescent="0.35">
      <c r="J4420" s="56" t="str">
        <f t="shared" si="204"/>
        <v/>
      </c>
      <c r="K4420" s="74" t="str">
        <f t="shared" si="205"/>
        <v/>
      </c>
      <c r="L4420" s="58" t="str">
        <f t="shared" si="206"/>
        <v/>
      </c>
    </row>
    <row r="4421" spans="10:12" ht="16.5" customHeight="1" x14ac:dyDescent="0.35">
      <c r="J4421" s="56" t="str">
        <f t="shared" si="204"/>
        <v/>
      </c>
      <c r="K4421" s="74" t="str">
        <f t="shared" si="205"/>
        <v/>
      </c>
      <c r="L4421" s="58" t="str">
        <f t="shared" si="206"/>
        <v/>
      </c>
    </row>
    <row r="4422" spans="10:12" ht="16.5" customHeight="1" x14ac:dyDescent="0.35">
      <c r="J4422" s="56" t="str">
        <f t="shared" si="204"/>
        <v/>
      </c>
      <c r="K4422" s="74" t="str">
        <f t="shared" si="205"/>
        <v/>
      </c>
      <c r="L4422" s="58" t="str">
        <f t="shared" si="206"/>
        <v/>
      </c>
    </row>
    <row r="4423" spans="10:12" ht="16.5" customHeight="1" x14ac:dyDescent="0.35">
      <c r="J4423" s="56" t="str">
        <f t="shared" si="204"/>
        <v/>
      </c>
      <c r="K4423" s="74" t="str">
        <f t="shared" si="205"/>
        <v/>
      </c>
      <c r="L4423" s="58" t="str">
        <f t="shared" si="206"/>
        <v/>
      </c>
    </row>
    <row r="4424" spans="10:12" ht="16.5" customHeight="1" x14ac:dyDescent="0.35">
      <c r="J4424" s="56" t="str">
        <f t="shared" si="204"/>
        <v/>
      </c>
      <c r="K4424" s="74" t="str">
        <f t="shared" si="205"/>
        <v/>
      </c>
      <c r="L4424" s="58" t="str">
        <f t="shared" si="206"/>
        <v/>
      </c>
    </row>
    <row r="4425" spans="10:12" ht="16.5" customHeight="1" x14ac:dyDescent="0.35">
      <c r="J4425" s="56" t="str">
        <f t="shared" ref="J4425:J4488" si="207">IF(A4425="","",A$5-A4425)</f>
        <v/>
      </c>
      <c r="K4425" s="74" t="str">
        <f t="shared" ref="K4425:K4488" si="208">IF(J4425="","",IF(J4425&lt;4,"0-3 Days",IF(J4425&lt;31,"4-30 Days",IF(J4425&lt;61,"31-60 Days",IF(J4425&lt;=90,"61-90 Days",IF(J4425&gt;90,"Above 90 Days","0"))))))</f>
        <v/>
      </c>
      <c r="L4425" s="58" t="str">
        <f t="shared" ref="L4425:L4488" si="209">IF(C4425="","",IF(C4425&gt;0,IF(J4425&lt;30,"Normal",IF(J4425&lt;60,"Especially Mentioned",IF(J4425&lt;90,"Substandard",IF(J4425&lt;=180,"Doubtful",IF(J4425&gt;180,"Loss","0"))))),"Not Applicable"))</f>
        <v/>
      </c>
    </row>
    <row r="4426" spans="10:12" ht="16.5" customHeight="1" x14ac:dyDescent="0.35">
      <c r="J4426" s="56" t="str">
        <f t="shared" si="207"/>
        <v/>
      </c>
      <c r="K4426" s="74" t="str">
        <f t="shared" si="208"/>
        <v/>
      </c>
      <c r="L4426" s="58" t="str">
        <f t="shared" si="209"/>
        <v/>
      </c>
    </row>
    <row r="4427" spans="10:12" ht="16.5" customHeight="1" x14ac:dyDescent="0.35">
      <c r="J4427" s="56" t="str">
        <f t="shared" si="207"/>
        <v/>
      </c>
      <c r="K4427" s="74" t="str">
        <f t="shared" si="208"/>
        <v/>
      </c>
      <c r="L4427" s="58" t="str">
        <f t="shared" si="209"/>
        <v/>
      </c>
    </row>
    <row r="4428" spans="10:12" ht="16.5" customHeight="1" x14ac:dyDescent="0.35">
      <c r="J4428" s="56" t="str">
        <f t="shared" si="207"/>
        <v/>
      </c>
      <c r="K4428" s="74" t="str">
        <f t="shared" si="208"/>
        <v/>
      </c>
      <c r="L4428" s="58" t="str">
        <f t="shared" si="209"/>
        <v/>
      </c>
    </row>
    <row r="4429" spans="10:12" ht="16.5" customHeight="1" x14ac:dyDescent="0.35">
      <c r="J4429" s="56" t="str">
        <f t="shared" si="207"/>
        <v/>
      </c>
      <c r="K4429" s="74" t="str">
        <f t="shared" si="208"/>
        <v/>
      </c>
      <c r="L4429" s="58" t="str">
        <f t="shared" si="209"/>
        <v/>
      </c>
    </row>
    <row r="4430" spans="10:12" ht="16.5" customHeight="1" x14ac:dyDescent="0.35">
      <c r="J4430" s="56" t="str">
        <f t="shared" si="207"/>
        <v/>
      </c>
      <c r="K4430" s="74" t="str">
        <f t="shared" si="208"/>
        <v/>
      </c>
      <c r="L4430" s="58" t="str">
        <f t="shared" si="209"/>
        <v/>
      </c>
    </row>
    <row r="4431" spans="10:12" ht="16.5" customHeight="1" x14ac:dyDescent="0.35">
      <c r="J4431" s="56" t="str">
        <f t="shared" si="207"/>
        <v/>
      </c>
      <c r="K4431" s="74" t="str">
        <f t="shared" si="208"/>
        <v/>
      </c>
      <c r="L4431" s="58" t="str">
        <f t="shared" si="209"/>
        <v/>
      </c>
    </row>
    <row r="4432" spans="10:12" ht="16.5" customHeight="1" x14ac:dyDescent="0.35">
      <c r="J4432" s="56" t="str">
        <f t="shared" si="207"/>
        <v/>
      </c>
      <c r="K4432" s="74" t="str">
        <f t="shared" si="208"/>
        <v/>
      </c>
      <c r="L4432" s="58" t="str">
        <f t="shared" si="209"/>
        <v/>
      </c>
    </row>
    <row r="4433" spans="10:12" ht="16.5" customHeight="1" x14ac:dyDescent="0.35">
      <c r="J4433" s="56" t="str">
        <f t="shared" si="207"/>
        <v/>
      </c>
      <c r="K4433" s="74" t="str">
        <f t="shared" si="208"/>
        <v/>
      </c>
      <c r="L4433" s="58" t="str">
        <f t="shared" si="209"/>
        <v/>
      </c>
    </row>
    <row r="4434" spans="10:12" ht="16.5" customHeight="1" x14ac:dyDescent="0.35">
      <c r="J4434" s="56" t="str">
        <f t="shared" si="207"/>
        <v/>
      </c>
      <c r="K4434" s="74" t="str">
        <f t="shared" si="208"/>
        <v/>
      </c>
      <c r="L4434" s="58" t="str">
        <f t="shared" si="209"/>
        <v/>
      </c>
    </row>
    <row r="4435" spans="10:12" ht="16.5" customHeight="1" x14ac:dyDescent="0.35">
      <c r="J4435" s="56" t="str">
        <f t="shared" si="207"/>
        <v/>
      </c>
      <c r="K4435" s="74" t="str">
        <f t="shared" si="208"/>
        <v/>
      </c>
      <c r="L4435" s="58" t="str">
        <f t="shared" si="209"/>
        <v/>
      </c>
    </row>
    <row r="4436" spans="10:12" ht="16.5" customHeight="1" x14ac:dyDescent="0.35">
      <c r="J4436" s="56" t="str">
        <f t="shared" si="207"/>
        <v/>
      </c>
      <c r="K4436" s="74" t="str">
        <f t="shared" si="208"/>
        <v/>
      </c>
      <c r="L4436" s="58" t="str">
        <f t="shared" si="209"/>
        <v/>
      </c>
    </row>
    <row r="4437" spans="10:12" ht="16.5" customHeight="1" x14ac:dyDescent="0.35">
      <c r="J4437" s="56" t="str">
        <f t="shared" si="207"/>
        <v/>
      </c>
      <c r="K4437" s="74" t="str">
        <f t="shared" si="208"/>
        <v/>
      </c>
      <c r="L4437" s="58" t="str">
        <f t="shared" si="209"/>
        <v/>
      </c>
    </row>
    <row r="4438" spans="10:12" ht="16.5" customHeight="1" x14ac:dyDescent="0.35">
      <c r="J4438" s="56" t="str">
        <f t="shared" si="207"/>
        <v/>
      </c>
      <c r="K4438" s="74" t="str">
        <f t="shared" si="208"/>
        <v/>
      </c>
      <c r="L4438" s="58" t="str">
        <f t="shared" si="209"/>
        <v/>
      </c>
    </row>
    <row r="4439" spans="10:12" ht="16.5" customHeight="1" x14ac:dyDescent="0.35">
      <c r="J4439" s="56" t="str">
        <f t="shared" si="207"/>
        <v/>
      </c>
      <c r="K4439" s="74" t="str">
        <f t="shared" si="208"/>
        <v/>
      </c>
      <c r="L4439" s="58" t="str">
        <f t="shared" si="209"/>
        <v/>
      </c>
    </row>
    <row r="4440" spans="10:12" ht="16.5" customHeight="1" x14ac:dyDescent="0.35">
      <c r="J4440" s="56" t="str">
        <f t="shared" si="207"/>
        <v/>
      </c>
      <c r="K4440" s="74" t="str">
        <f t="shared" si="208"/>
        <v/>
      </c>
      <c r="L4440" s="58" t="str">
        <f t="shared" si="209"/>
        <v/>
      </c>
    </row>
    <row r="4441" spans="10:12" ht="16.5" customHeight="1" x14ac:dyDescent="0.35">
      <c r="J4441" s="56" t="str">
        <f t="shared" si="207"/>
        <v/>
      </c>
      <c r="K4441" s="74" t="str">
        <f t="shared" si="208"/>
        <v/>
      </c>
      <c r="L4441" s="58" t="str">
        <f t="shared" si="209"/>
        <v/>
      </c>
    </row>
    <row r="4442" spans="10:12" ht="16.5" customHeight="1" x14ac:dyDescent="0.35">
      <c r="J4442" s="56" t="str">
        <f t="shared" si="207"/>
        <v/>
      </c>
      <c r="K4442" s="74" t="str">
        <f t="shared" si="208"/>
        <v/>
      </c>
      <c r="L4442" s="58" t="str">
        <f t="shared" si="209"/>
        <v/>
      </c>
    </row>
    <row r="4443" spans="10:12" ht="16.5" customHeight="1" x14ac:dyDescent="0.35">
      <c r="J4443" s="56" t="str">
        <f t="shared" si="207"/>
        <v/>
      </c>
      <c r="K4443" s="74" t="str">
        <f t="shared" si="208"/>
        <v/>
      </c>
      <c r="L4443" s="58" t="str">
        <f t="shared" si="209"/>
        <v/>
      </c>
    </row>
    <row r="4444" spans="10:12" ht="16.5" customHeight="1" x14ac:dyDescent="0.35">
      <c r="J4444" s="56" t="str">
        <f t="shared" si="207"/>
        <v/>
      </c>
      <c r="K4444" s="74" t="str">
        <f t="shared" si="208"/>
        <v/>
      </c>
      <c r="L4444" s="58" t="str">
        <f t="shared" si="209"/>
        <v/>
      </c>
    </row>
    <row r="4445" spans="10:12" ht="16.5" customHeight="1" x14ac:dyDescent="0.35">
      <c r="J4445" s="56" t="str">
        <f t="shared" si="207"/>
        <v/>
      </c>
      <c r="K4445" s="74" t="str">
        <f t="shared" si="208"/>
        <v/>
      </c>
      <c r="L4445" s="58" t="str">
        <f t="shared" si="209"/>
        <v/>
      </c>
    </row>
    <row r="4446" spans="10:12" ht="16.5" customHeight="1" x14ac:dyDescent="0.35">
      <c r="J4446" s="56" t="str">
        <f t="shared" si="207"/>
        <v/>
      </c>
      <c r="K4446" s="74" t="str">
        <f t="shared" si="208"/>
        <v/>
      </c>
      <c r="L4446" s="58" t="str">
        <f t="shared" si="209"/>
        <v/>
      </c>
    </row>
    <row r="4447" spans="10:12" ht="16.5" customHeight="1" x14ac:dyDescent="0.35">
      <c r="J4447" s="56" t="str">
        <f t="shared" si="207"/>
        <v/>
      </c>
      <c r="K4447" s="74" t="str">
        <f t="shared" si="208"/>
        <v/>
      </c>
      <c r="L4447" s="58" t="str">
        <f t="shared" si="209"/>
        <v/>
      </c>
    </row>
    <row r="4448" spans="10:12" ht="16.5" customHeight="1" x14ac:dyDescent="0.35">
      <c r="J4448" s="56" t="str">
        <f t="shared" si="207"/>
        <v/>
      </c>
      <c r="K4448" s="74" t="str">
        <f t="shared" si="208"/>
        <v/>
      </c>
      <c r="L4448" s="58" t="str">
        <f t="shared" si="209"/>
        <v/>
      </c>
    </row>
    <row r="4449" spans="10:12" ht="16.5" customHeight="1" x14ac:dyDescent="0.35">
      <c r="J4449" s="56" t="str">
        <f t="shared" si="207"/>
        <v/>
      </c>
      <c r="K4449" s="74" t="str">
        <f t="shared" si="208"/>
        <v/>
      </c>
      <c r="L4449" s="58" t="str">
        <f t="shared" si="209"/>
        <v/>
      </c>
    </row>
    <row r="4450" spans="10:12" ht="16.5" customHeight="1" x14ac:dyDescent="0.35">
      <c r="J4450" s="56" t="str">
        <f t="shared" si="207"/>
        <v/>
      </c>
      <c r="K4450" s="74" t="str">
        <f t="shared" si="208"/>
        <v/>
      </c>
      <c r="L4450" s="58" t="str">
        <f t="shared" si="209"/>
        <v/>
      </c>
    </row>
    <row r="4451" spans="10:12" ht="16.5" customHeight="1" x14ac:dyDescent="0.35">
      <c r="J4451" s="56" t="str">
        <f t="shared" si="207"/>
        <v/>
      </c>
      <c r="K4451" s="74" t="str">
        <f t="shared" si="208"/>
        <v/>
      </c>
      <c r="L4451" s="58" t="str">
        <f t="shared" si="209"/>
        <v/>
      </c>
    </row>
    <row r="4452" spans="10:12" ht="16.5" customHeight="1" x14ac:dyDescent="0.35">
      <c r="J4452" s="56" t="str">
        <f t="shared" si="207"/>
        <v/>
      </c>
      <c r="K4452" s="74" t="str">
        <f t="shared" si="208"/>
        <v/>
      </c>
      <c r="L4452" s="58" t="str">
        <f t="shared" si="209"/>
        <v/>
      </c>
    </row>
    <row r="4453" spans="10:12" ht="16.5" customHeight="1" x14ac:dyDescent="0.35">
      <c r="J4453" s="56" t="str">
        <f t="shared" si="207"/>
        <v/>
      </c>
      <c r="K4453" s="74" t="str">
        <f t="shared" si="208"/>
        <v/>
      </c>
      <c r="L4453" s="58" t="str">
        <f t="shared" si="209"/>
        <v/>
      </c>
    </row>
    <row r="4454" spans="10:12" ht="16.5" customHeight="1" x14ac:dyDescent="0.35">
      <c r="J4454" s="56" t="str">
        <f t="shared" si="207"/>
        <v/>
      </c>
      <c r="K4454" s="74" t="str">
        <f t="shared" si="208"/>
        <v/>
      </c>
      <c r="L4454" s="58" t="str">
        <f t="shared" si="209"/>
        <v/>
      </c>
    </row>
    <row r="4455" spans="10:12" ht="16.5" customHeight="1" x14ac:dyDescent="0.35">
      <c r="J4455" s="56" t="str">
        <f t="shared" si="207"/>
        <v/>
      </c>
      <c r="K4455" s="74" t="str">
        <f t="shared" si="208"/>
        <v/>
      </c>
      <c r="L4455" s="58" t="str">
        <f t="shared" si="209"/>
        <v/>
      </c>
    </row>
    <row r="4456" spans="10:12" ht="16.5" customHeight="1" x14ac:dyDescent="0.35">
      <c r="J4456" s="56" t="str">
        <f t="shared" si="207"/>
        <v/>
      </c>
      <c r="K4456" s="74" t="str">
        <f t="shared" si="208"/>
        <v/>
      </c>
      <c r="L4456" s="58" t="str">
        <f t="shared" si="209"/>
        <v/>
      </c>
    </row>
    <row r="4457" spans="10:12" ht="16.5" customHeight="1" x14ac:dyDescent="0.35">
      <c r="J4457" s="56" t="str">
        <f t="shared" si="207"/>
        <v/>
      </c>
      <c r="K4457" s="74" t="str">
        <f t="shared" si="208"/>
        <v/>
      </c>
      <c r="L4457" s="58" t="str">
        <f t="shared" si="209"/>
        <v/>
      </c>
    </row>
    <row r="4458" spans="10:12" ht="16.5" customHeight="1" x14ac:dyDescent="0.35">
      <c r="J4458" s="56" t="str">
        <f t="shared" si="207"/>
        <v/>
      </c>
      <c r="K4458" s="74" t="str">
        <f t="shared" si="208"/>
        <v/>
      </c>
      <c r="L4458" s="58" t="str">
        <f t="shared" si="209"/>
        <v/>
      </c>
    </row>
    <row r="4459" spans="10:12" ht="16.5" customHeight="1" x14ac:dyDescent="0.35">
      <c r="J4459" s="56" t="str">
        <f t="shared" si="207"/>
        <v/>
      </c>
      <c r="K4459" s="74" t="str">
        <f t="shared" si="208"/>
        <v/>
      </c>
      <c r="L4459" s="58" t="str">
        <f t="shared" si="209"/>
        <v/>
      </c>
    </row>
    <row r="4460" spans="10:12" ht="16.5" customHeight="1" x14ac:dyDescent="0.35">
      <c r="J4460" s="56" t="str">
        <f t="shared" si="207"/>
        <v/>
      </c>
      <c r="K4460" s="74" t="str">
        <f t="shared" si="208"/>
        <v/>
      </c>
      <c r="L4460" s="58" t="str">
        <f t="shared" si="209"/>
        <v/>
      </c>
    </row>
    <row r="4461" spans="10:12" ht="16.5" customHeight="1" x14ac:dyDescent="0.35">
      <c r="J4461" s="56" t="str">
        <f t="shared" si="207"/>
        <v/>
      </c>
      <c r="K4461" s="74" t="str">
        <f t="shared" si="208"/>
        <v/>
      </c>
      <c r="L4461" s="58" t="str">
        <f t="shared" si="209"/>
        <v/>
      </c>
    </row>
    <row r="4462" spans="10:12" ht="16.5" customHeight="1" x14ac:dyDescent="0.35">
      <c r="J4462" s="56" t="str">
        <f t="shared" si="207"/>
        <v/>
      </c>
      <c r="K4462" s="74" t="str">
        <f t="shared" si="208"/>
        <v/>
      </c>
      <c r="L4462" s="58" t="str">
        <f t="shared" si="209"/>
        <v/>
      </c>
    </row>
    <row r="4463" spans="10:12" ht="16.5" customHeight="1" x14ac:dyDescent="0.35">
      <c r="J4463" s="56" t="str">
        <f t="shared" si="207"/>
        <v/>
      </c>
      <c r="K4463" s="74" t="str">
        <f t="shared" si="208"/>
        <v/>
      </c>
      <c r="L4463" s="58" t="str">
        <f t="shared" si="209"/>
        <v/>
      </c>
    </row>
    <row r="4464" spans="10:12" ht="16.5" customHeight="1" x14ac:dyDescent="0.35">
      <c r="J4464" s="56" t="str">
        <f t="shared" si="207"/>
        <v/>
      </c>
      <c r="K4464" s="74" t="str">
        <f t="shared" si="208"/>
        <v/>
      </c>
      <c r="L4464" s="58" t="str">
        <f t="shared" si="209"/>
        <v/>
      </c>
    </row>
    <row r="4465" spans="10:12" ht="16.5" customHeight="1" x14ac:dyDescent="0.35">
      <c r="J4465" s="56" t="str">
        <f t="shared" si="207"/>
        <v/>
      </c>
      <c r="K4465" s="74" t="str">
        <f t="shared" si="208"/>
        <v/>
      </c>
      <c r="L4465" s="58" t="str">
        <f t="shared" si="209"/>
        <v/>
      </c>
    </row>
    <row r="4466" spans="10:12" ht="16.5" customHeight="1" x14ac:dyDescent="0.35">
      <c r="J4466" s="56" t="str">
        <f t="shared" si="207"/>
        <v/>
      </c>
      <c r="K4466" s="74" t="str">
        <f t="shared" si="208"/>
        <v/>
      </c>
      <c r="L4466" s="58" t="str">
        <f t="shared" si="209"/>
        <v/>
      </c>
    </row>
    <row r="4467" spans="10:12" ht="16.5" customHeight="1" x14ac:dyDescent="0.35">
      <c r="J4467" s="56" t="str">
        <f t="shared" si="207"/>
        <v/>
      </c>
      <c r="K4467" s="74" t="str">
        <f t="shared" si="208"/>
        <v/>
      </c>
      <c r="L4467" s="58" t="str">
        <f t="shared" si="209"/>
        <v/>
      </c>
    </row>
    <row r="4468" spans="10:12" ht="16.5" customHeight="1" x14ac:dyDescent="0.35">
      <c r="J4468" s="56" t="str">
        <f t="shared" si="207"/>
        <v/>
      </c>
      <c r="K4468" s="74" t="str">
        <f t="shared" si="208"/>
        <v/>
      </c>
      <c r="L4468" s="58" t="str">
        <f t="shared" si="209"/>
        <v/>
      </c>
    </row>
    <row r="4469" spans="10:12" ht="16.5" customHeight="1" x14ac:dyDescent="0.35">
      <c r="J4469" s="56" t="str">
        <f t="shared" si="207"/>
        <v/>
      </c>
      <c r="K4469" s="74" t="str">
        <f t="shared" si="208"/>
        <v/>
      </c>
      <c r="L4469" s="58" t="str">
        <f t="shared" si="209"/>
        <v/>
      </c>
    </row>
    <row r="4470" spans="10:12" ht="16.5" customHeight="1" x14ac:dyDescent="0.35">
      <c r="J4470" s="56" t="str">
        <f t="shared" si="207"/>
        <v/>
      </c>
      <c r="K4470" s="74" t="str">
        <f t="shared" si="208"/>
        <v/>
      </c>
      <c r="L4470" s="58" t="str">
        <f t="shared" si="209"/>
        <v/>
      </c>
    </row>
    <row r="4471" spans="10:12" ht="16.5" customHeight="1" x14ac:dyDescent="0.35">
      <c r="J4471" s="56" t="str">
        <f t="shared" si="207"/>
        <v/>
      </c>
      <c r="K4471" s="74" t="str">
        <f t="shared" si="208"/>
        <v/>
      </c>
      <c r="L4471" s="58" t="str">
        <f t="shared" si="209"/>
        <v/>
      </c>
    </row>
    <row r="4472" spans="10:12" ht="16.5" customHeight="1" x14ac:dyDescent="0.35">
      <c r="J4472" s="56" t="str">
        <f t="shared" si="207"/>
        <v/>
      </c>
      <c r="K4472" s="74" t="str">
        <f t="shared" si="208"/>
        <v/>
      </c>
      <c r="L4472" s="58" t="str">
        <f t="shared" si="209"/>
        <v/>
      </c>
    </row>
    <row r="4473" spans="10:12" ht="16.5" customHeight="1" x14ac:dyDescent="0.35">
      <c r="J4473" s="56" t="str">
        <f t="shared" si="207"/>
        <v/>
      </c>
      <c r="K4473" s="74" t="str">
        <f t="shared" si="208"/>
        <v/>
      </c>
      <c r="L4473" s="58" t="str">
        <f t="shared" si="209"/>
        <v/>
      </c>
    </row>
    <row r="4474" spans="10:12" ht="16.5" customHeight="1" x14ac:dyDescent="0.35">
      <c r="J4474" s="56" t="str">
        <f t="shared" si="207"/>
        <v/>
      </c>
      <c r="K4474" s="74" t="str">
        <f t="shared" si="208"/>
        <v/>
      </c>
      <c r="L4474" s="58" t="str">
        <f t="shared" si="209"/>
        <v/>
      </c>
    </row>
    <row r="4475" spans="10:12" ht="16.5" customHeight="1" x14ac:dyDescent="0.35">
      <c r="J4475" s="56" t="str">
        <f t="shared" si="207"/>
        <v/>
      </c>
      <c r="K4475" s="74" t="str">
        <f t="shared" si="208"/>
        <v/>
      </c>
      <c r="L4475" s="58" t="str">
        <f t="shared" si="209"/>
        <v/>
      </c>
    </row>
    <row r="4476" spans="10:12" ht="16.5" customHeight="1" x14ac:dyDescent="0.35">
      <c r="J4476" s="56" t="str">
        <f t="shared" si="207"/>
        <v/>
      </c>
      <c r="K4476" s="74" t="str">
        <f t="shared" si="208"/>
        <v/>
      </c>
      <c r="L4476" s="58" t="str">
        <f t="shared" si="209"/>
        <v/>
      </c>
    </row>
    <row r="4477" spans="10:12" ht="16.5" customHeight="1" x14ac:dyDescent="0.35">
      <c r="J4477" s="56" t="str">
        <f t="shared" si="207"/>
        <v/>
      </c>
      <c r="K4477" s="74" t="str">
        <f t="shared" si="208"/>
        <v/>
      </c>
      <c r="L4477" s="58" t="str">
        <f t="shared" si="209"/>
        <v/>
      </c>
    </row>
    <row r="4478" spans="10:12" ht="16.5" customHeight="1" x14ac:dyDescent="0.35">
      <c r="J4478" s="56" t="str">
        <f t="shared" si="207"/>
        <v/>
      </c>
      <c r="K4478" s="74" t="str">
        <f t="shared" si="208"/>
        <v/>
      </c>
      <c r="L4478" s="58" t="str">
        <f t="shared" si="209"/>
        <v/>
      </c>
    </row>
    <row r="4479" spans="10:12" ht="16.5" customHeight="1" x14ac:dyDescent="0.35">
      <c r="J4479" s="56" t="str">
        <f t="shared" si="207"/>
        <v/>
      </c>
      <c r="K4479" s="74" t="str">
        <f t="shared" si="208"/>
        <v/>
      </c>
      <c r="L4479" s="58" t="str">
        <f t="shared" si="209"/>
        <v/>
      </c>
    </row>
    <row r="4480" spans="10:12" ht="16.5" customHeight="1" x14ac:dyDescent="0.35">
      <c r="J4480" s="56" t="str">
        <f t="shared" si="207"/>
        <v/>
      </c>
      <c r="K4480" s="74" t="str">
        <f t="shared" si="208"/>
        <v/>
      </c>
      <c r="L4480" s="58" t="str">
        <f t="shared" si="209"/>
        <v/>
      </c>
    </row>
    <row r="4481" spans="10:12" ht="16.5" customHeight="1" x14ac:dyDescent="0.35">
      <c r="J4481" s="56" t="str">
        <f t="shared" si="207"/>
        <v/>
      </c>
      <c r="K4481" s="74" t="str">
        <f t="shared" si="208"/>
        <v/>
      </c>
      <c r="L4481" s="58" t="str">
        <f t="shared" si="209"/>
        <v/>
      </c>
    </row>
    <row r="4482" spans="10:12" ht="16.5" customHeight="1" x14ac:dyDescent="0.35">
      <c r="J4482" s="56" t="str">
        <f t="shared" si="207"/>
        <v/>
      </c>
      <c r="K4482" s="74" t="str">
        <f t="shared" si="208"/>
        <v/>
      </c>
      <c r="L4482" s="58" t="str">
        <f t="shared" si="209"/>
        <v/>
      </c>
    </row>
    <row r="4483" spans="10:12" ht="16.5" customHeight="1" x14ac:dyDescent="0.35">
      <c r="J4483" s="56" t="str">
        <f t="shared" si="207"/>
        <v/>
      </c>
      <c r="K4483" s="74" t="str">
        <f t="shared" si="208"/>
        <v/>
      </c>
      <c r="L4483" s="58" t="str">
        <f t="shared" si="209"/>
        <v/>
      </c>
    </row>
    <row r="4484" spans="10:12" ht="16.5" customHeight="1" x14ac:dyDescent="0.35">
      <c r="J4484" s="56" t="str">
        <f t="shared" si="207"/>
        <v/>
      </c>
      <c r="K4484" s="74" t="str">
        <f t="shared" si="208"/>
        <v/>
      </c>
      <c r="L4484" s="58" t="str">
        <f t="shared" si="209"/>
        <v/>
      </c>
    </row>
    <row r="4485" spans="10:12" ht="16.5" customHeight="1" x14ac:dyDescent="0.35">
      <c r="J4485" s="56" t="str">
        <f t="shared" si="207"/>
        <v/>
      </c>
      <c r="K4485" s="74" t="str">
        <f t="shared" si="208"/>
        <v/>
      </c>
      <c r="L4485" s="58" t="str">
        <f t="shared" si="209"/>
        <v/>
      </c>
    </row>
    <row r="4486" spans="10:12" ht="16.5" customHeight="1" x14ac:dyDescent="0.35">
      <c r="J4486" s="56" t="str">
        <f t="shared" si="207"/>
        <v/>
      </c>
      <c r="K4486" s="74" t="str">
        <f t="shared" si="208"/>
        <v/>
      </c>
      <c r="L4486" s="58" t="str">
        <f t="shared" si="209"/>
        <v/>
      </c>
    </row>
    <row r="4487" spans="10:12" ht="16.5" customHeight="1" x14ac:dyDescent="0.35">
      <c r="J4487" s="56" t="str">
        <f t="shared" si="207"/>
        <v/>
      </c>
      <c r="K4487" s="74" t="str">
        <f t="shared" si="208"/>
        <v/>
      </c>
      <c r="L4487" s="58" t="str">
        <f t="shared" si="209"/>
        <v/>
      </c>
    </row>
    <row r="4488" spans="10:12" ht="16.5" customHeight="1" x14ac:dyDescent="0.35">
      <c r="J4488" s="56" t="str">
        <f t="shared" si="207"/>
        <v/>
      </c>
      <c r="K4488" s="74" t="str">
        <f t="shared" si="208"/>
        <v/>
      </c>
      <c r="L4488" s="58" t="str">
        <f t="shared" si="209"/>
        <v/>
      </c>
    </row>
    <row r="4489" spans="10:12" ht="16.5" customHeight="1" x14ac:dyDescent="0.35">
      <c r="J4489" s="56" t="str">
        <f t="shared" ref="J4489:J4552" si="210">IF(A4489="","",A$5-A4489)</f>
        <v/>
      </c>
      <c r="K4489" s="74" t="str">
        <f t="shared" ref="K4489:K4552" si="211">IF(J4489="","",IF(J4489&lt;4,"0-3 Days",IF(J4489&lt;31,"4-30 Days",IF(J4489&lt;61,"31-60 Days",IF(J4489&lt;=90,"61-90 Days",IF(J4489&gt;90,"Above 90 Days","0"))))))</f>
        <v/>
      </c>
      <c r="L4489" s="58" t="str">
        <f t="shared" ref="L4489:L4552" si="212">IF(C4489="","",IF(C4489&gt;0,IF(J4489&lt;30,"Normal",IF(J4489&lt;60,"Especially Mentioned",IF(J4489&lt;90,"Substandard",IF(J4489&lt;=180,"Doubtful",IF(J4489&gt;180,"Loss","0"))))),"Not Applicable"))</f>
        <v/>
      </c>
    </row>
    <row r="4490" spans="10:12" ht="16.5" customHeight="1" x14ac:dyDescent="0.35">
      <c r="J4490" s="56" t="str">
        <f t="shared" si="210"/>
        <v/>
      </c>
      <c r="K4490" s="74" t="str">
        <f t="shared" si="211"/>
        <v/>
      </c>
      <c r="L4490" s="58" t="str">
        <f t="shared" si="212"/>
        <v/>
      </c>
    </row>
    <row r="4491" spans="10:12" ht="16.5" customHeight="1" x14ac:dyDescent="0.35">
      <c r="J4491" s="56" t="str">
        <f t="shared" si="210"/>
        <v/>
      </c>
      <c r="K4491" s="74" t="str">
        <f t="shared" si="211"/>
        <v/>
      </c>
      <c r="L4491" s="58" t="str">
        <f t="shared" si="212"/>
        <v/>
      </c>
    </row>
    <row r="4492" spans="10:12" ht="16.5" customHeight="1" x14ac:dyDescent="0.35">
      <c r="J4492" s="56" t="str">
        <f t="shared" si="210"/>
        <v/>
      </c>
      <c r="K4492" s="74" t="str">
        <f t="shared" si="211"/>
        <v/>
      </c>
      <c r="L4492" s="58" t="str">
        <f t="shared" si="212"/>
        <v/>
      </c>
    </row>
    <row r="4493" spans="10:12" ht="16.5" customHeight="1" x14ac:dyDescent="0.35">
      <c r="J4493" s="56" t="str">
        <f t="shared" si="210"/>
        <v/>
      </c>
      <c r="K4493" s="74" t="str">
        <f t="shared" si="211"/>
        <v/>
      </c>
      <c r="L4493" s="58" t="str">
        <f t="shared" si="212"/>
        <v/>
      </c>
    </row>
    <row r="4494" spans="10:12" ht="16.5" customHeight="1" x14ac:dyDescent="0.35">
      <c r="J4494" s="56" t="str">
        <f t="shared" si="210"/>
        <v/>
      </c>
      <c r="K4494" s="74" t="str">
        <f t="shared" si="211"/>
        <v/>
      </c>
      <c r="L4494" s="58" t="str">
        <f t="shared" si="212"/>
        <v/>
      </c>
    </row>
    <row r="4495" spans="10:12" ht="16.5" customHeight="1" x14ac:dyDescent="0.35">
      <c r="J4495" s="56" t="str">
        <f t="shared" si="210"/>
        <v/>
      </c>
      <c r="K4495" s="74" t="str">
        <f t="shared" si="211"/>
        <v/>
      </c>
      <c r="L4495" s="58" t="str">
        <f t="shared" si="212"/>
        <v/>
      </c>
    </row>
    <row r="4496" spans="10:12" ht="16.5" customHeight="1" x14ac:dyDescent="0.35">
      <c r="J4496" s="56" t="str">
        <f t="shared" si="210"/>
        <v/>
      </c>
      <c r="K4496" s="74" t="str">
        <f t="shared" si="211"/>
        <v/>
      </c>
      <c r="L4496" s="58" t="str">
        <f t="shared" si="212"/>
        <v/>
      </c>
    </row>
    <row r="4497" spans="10:12" ht="16.5" customHeight="1" x14ac:dyDescent="0.35">
      <c r="J4497" s="56" t="str">
        <f t="shared" si="210"/>
        <v/>
      </c>
      <c r="K4497" s="74" t="str">
        <f t="shared" si="211"/>
        <v/>
      </c>
      <c r="L4497" s="58" t="str">
        <f t="shared" si="212"/>
        <v/>
      </c>
    </row>
    <row r="4498" spans="10:12" ht="16.5" customHeight="1" x14ac:dyDescent="0.35">
      <c r="J4498" s="56" t="str">
        <f t="shared" si="210"/>
        <v/>
      </c>
      <c r="K4498" s="74" t="str">
        <f t="shared" si="211"/>
        <v/>
      </c>
      <c r="L4498" s="58" t="str">
        <f t="shared" si="212"/>
        <v/>
      </c>
    </row>
    <row r="4499" spans="10:12" ht="16.5" customHeight="1" x14ac:dyDescent="0.35">
      <c r="J4499" s="56" t="str">
        <f t="shared" si="210"/>
        <v/>
      </c>
      <c r="K4499" s="74" t="str">
        <f t="shared" si="211"/>
        <v/>
      </c>
      <c r="L4499" s="58" t="str">
        <f t="shared" si="212"/>
        <v/>
      </c>
    </row>
    <row r="4500" spans="10:12" ht="16.5" customHeight="1" x14ac:dyDescent="0.35">
      <c r="J4500" s="56" t="str">
        <f t="shared" si="210"/>
        <v/>
      </c>
      <c r="K4500" s="74" t="str">
        <f t="shared" si="211"/>
        <v/>
      </c>
      <c r="L4500" s="58" t="str">
        <f t="shared" si="212"/>
        <v/>
      </c>
    </row>
    <row r="4501" spans="10:12" ht="16.5" customHeight="1" x14ac:dyDescent="0.35">
      <c r="J4501" s="56" t="str">
        <f t="shared" si="210"/>
        <v/>
      </c>
      <c r="K4501" s="74" t="str">
        <f t="shared" si="211"/>
        <v/>
      </c>
      <c r="L4501" s="58" t="str">
        <f t="shared" si="212"/>
        <v/>
      </c>
    </row>
    <row r="4502" spans="10:12" ht="16.5" customHeight="1" x14ac:dyDescent="0.35">
      <c r="J4502" s="56" t="str">
        <f t="shared" si="210"/>
        <v/>
      </c>
      <c r="K4502" s="74" t="str">
        <f t="shared" si="211"/>
        <v/>
      </c>
      <c r="L4502" s="58" t="str">
        <f t="shared" si="212"/>
        <v/>
      </c>
    </row>
    <row r="4503" spans="10:12" ht="16.5" customHeight="1" x14ac:dyDescent="0.35">
      <c r="J4503" s="56" t="str">
        <f t="shared" si="210"/>
        <v/>
      </c>
      <c r="K4503" s="74" t="str">
        <f t="shared" si="211"/>
        <v/>
      </c>
      <c r="L4503" s="58" t="str">
        <f t="shared" si="212"/>
        <v/>
      </c>
    </row>
    <row r="4504" spans="10:12" ht="16.5" customHeight="1" x14ac:dyDescent="0.35">
      <c r="J4504" s="56" t="str">
        <f t="shared" si="210"/>
        <v/>
      </c>
      <c r="K4504" s="74" t="str">
        <f t="shared" si="211"/>
        <v/>
      </c>
      <c r="L4504" s="58" t="str">
        <f t="shared" si="212"/>
        <v/>
      </c>
    </row>
    <row r="4505" spans="10:12" ht="16.5" customHeight="1" x14ac:dyDescent="0.35">
      <c r="J4505" s="56" t="str">
        <f t="shared" si="210"/>
        <v/>
      </c>
      <c r="K4505" s="74" t="str">
        <f t="shared" si="211"/>
        <v/>
      </c>
      <c r="L4505" s="58" t="str">
        <f t="shared" si="212"/>
        <v/>
      </c>
    </row>
    <row r="4506" spans="10:12" ht="16.5" customHeight="1" x14ac:dyDescent="0.35">
      <c r="J4506" s="56" t="str">
        <f t="shared" si="210"/>
        <v/>
      </c>
      <c r="K4506" s="74" t="str">
        <f t="shared" si="211"/>
        <v/>
      </c>
      <c r="L4506" s="58" t="str">
        <f t="shared" si="212"/>
        <v/>
      </c>
    </row>
    <row r="4507" spans="10:12" ht="16.5" customHeight="1" x14ac:dyDescent="0.35">
      <c r="J4507" s="56" t="str">
        <f t="shared" si="210"/>
        <v/>
      </c>
      <c r="K4507" s="74" t="str">
        <f t="shared" si="211"/>
        <v/>
      </c>
      <c r="L4507" s="58" t="str">
        <f t="shared" si="212"/>
        <v/>
      </c>
    </row>
    <row r="4508" spans="10:12" ht="16.5" customHeight="1" x14ac:dyDescent="0.35">
      <c r="J4508" s="56" t="str">
        <f t="shared" si="210"/>
        <v/>
      </c>
      <c r="K4508" s="74" t="str">
        <f t="shared" si="211"/>
        <v/>
      </c>
      <c r="L4508" s="58" t="str">
        <f t="shared" si="212"/>
        <v/>
      </c>
    </row>
    <row r="4509" spans="10:12" ht="16.5" customHeight="1" x14ac:dyDescent="0.35">
      <c r="J4509" s="56" t="str">
        <f t="shared" si="210"/>
        <v/>
      </c>
      <c r="K4509" s="74" t="str">
        <f t="shared" si="211"/>
        <v/>
      </c>
      <c r="L4509" s="58" t="str">
        <f t="shared" si="212"/>
        <v/>
      </c>
    </row>
    <row r="4510" spans="10:12" ht="16.5" customHeight="1" x14ac:dyDescent="0.35">
      <c r="J4510" s="56" t="str">
        <f t="shared" si="210"/>
        <v/>
      </c>
      <c r="K4510" s="74" t="str">
        <f t="shared" si="211"/>
        <v/>
      </c>
      <c r="L4510" s="58" t="str">
        <f t="shared" si="212"/>
        <v/>
      </c>
    </row>
    <row r="4511" spans="10:12" ht="16.5" customHeight="1" x14ac:dyDescent="0.35">
      <c r="J4511" s="56" t="str">
        <f t="shared" si="210"/>
        <v/>
      </c>
      <c r="K4511" s="74" t="str">
        <f t="shared" si="211"/>
        <v/>
      </c>
      <c r="L4511" s="58" t="str">
        <f t="shared" si="212"/>
        <v/>
      </c>
    </row>
    <row r="4512" spans="10:12" ht="16.5" customHeight="1" x14ac:dyDescent="0.35">
      <c r="J4512" s="56" t="str">
        <f t="shared" si="210"/>
        <v/>
      </c>
      <c r="K4512" s="74" t="str">
        <f t="shared" si="211"/>
        <v/>
      </c>
      <c r="L4512" s="58" t="str">
        <f t="shared" si="212"/>
        <v/>
      </c>
    </row>
    <row r="4513" spans="10:12" ht="16.5" customHeight="1" x14ac:dyDescent="0.35">
      <c r="J4513" s="56" t="str">
        <f t="shared" si="210"/>
        <v/>
      </c>
      <c r="K4513" s="74" t="str">
        <f t="shared" si="211"/>
        <v/>
      </c>
      <c r="L4513" s="58" t="str">
        <f t="shared" si="212"/>
        <v/>
      </c>
    </row>
    <row r="4514" spans="10:12" ht="16.5" customHeight="1" x14ac:dyDescent="0.35">
      <c r="J4514" s="56" t="str">
        <f t="shared" si="210"/>
        <v/>
      </c>
      <c r="K4514" s="74" t="str">
        <f t="shared" si="211"/>
        <v/>
      </c>
      <c r="L4514" s="58" t="str">
        <f t="shared" si="212"/>
        <v/>
      </c>
    </row>
    <row r="4515" spans="10:12" ht="16.5" customHeight="1" x14ac:dyDescent="0.35">
      <c r="J4515" s="56" t="str">
        <f t="shared" si="210"/>
        <v/>
      </c>
      <c r="K4515" s="74" t="str">
        <f t="shared" si="211"/>
        <v/>
      </c>
      <c r="L4515" s="58" t="str">
        <f t="shared" si="212"/>
        <v/>
      </c>
    </row>
    <row r="4516" spans="10:12" ht="16.5" customHeight="1" x14ac:dyDescent="0.35">
      <c r="J4516" s="56" t="str">
        <f t="shared" si="210"/>
        <v/>
      </c>
      <c r="K4516" s="74" t="str">
        <f t="shared" si="211"/>
        <v/>
      </c>
      <c r="L4516" s="58" t="str">
        <f t="shared" si="212"/>
        <v/>
      </c>
    </row>
    <row r="4517" spans="10:12" ht="16.5" customHeight="1" x14ac:dyDescent="0.35">
      <c r="J4517" s="56" t="str">
        <f t="shared" si="210"/>
        <v/>
      </c>
      <c r="K4517" s="74" t="str">
        <f t="shared" si="211"/>
        <v/>
      </c>
      <c r="L4517" s="58" t="str">
        <f t="shared" si="212"/>
        <v/>
      </c>
    </row>
    <row r="4518" spans="10:12" ht="16.5" customHeight="1" x14ac:dyDescent="0.35">
      <c r="J4518" s="56" t="str">
        <f t="shared" si="210"/>
        <v/>
      </c>
      <c r="K4518" s="74" t="str">
        <f t="shared" si="211"/>
        <v/>
      </c>
      <c r="L4518" s="58" t="str">
        <f t="shared" si="212"/>
        <v/>
      </c>
    </row>
    <row r="4519" spans="10:12" ht="16.5" customHeight="1" x14ac:dyDescent="0.35">
      <c r="J4519" s="56" t="str">
        <f t="shared" si="210"/>
        <v/>
      </c>
      <c r="K4519" s="74" t="str">
        <f t="shared" si="211"/>
        <v/>
      </c>
      <c r="L4519" s="58" t="str">
        <f t="shared" si="212"/>
        <v/>
      </c>
    </row>
    <row r="4520" spans="10:12" ht="16.5" customHeight="1" x14ac:dyDescent="0.35">
      <c r="J4520" s="56" t="str">
        <f t="shared" si="210"/>
        <v/>
      </c>
      <c r="K4520" s="74" t="str">
        <f t="shared" si="211"/>
        <v/>
      </c>
      <c r="L4520" s="58" t="str">
        <f t="shared" si="212"/>
        <v/>
      </c>
    </row>
    <row r="4521" spans="10:12" ht="16.5" customHeight="1" x14ac:dyDescent="0.35">
      <c r="J4521" s="56" t="str">
        <f t="shared" si="210"/>
        <v/>
      </c>
      <c r="K4521" s="74" t="str">
        <f t="shared" si="211"/>
        <v/>
      </c>
      <c r="L4521" s="58" t="str">
        <f t="shared" si="212"/>
        <v/>
      </c>
    </row>
    <row r="4522" spans="10:12" ht="16.5" customHeight="1" x14ac:dyDescent="0.35">
      <c r="J4522" s="56" t="str">
        <f t="shared" si="210"/>
        <v/>
      </c>
      <c r="K4522" s="74" t="str">
        <f t="shared" si="211"/>
        <v/>
      </c>
      <c r="L4522" s="58" t="str">
        <f t="shared" si="212"/>
        <v/>
      </c>
    </row>
    <row r="4523" spans="10:12" ht="16.5" customHeight="1" x14ac:dyDescent="0.35">
      <c r="J4523" s="56" t="str">
        <f t="shared" si="210"/>
        <v/>
      </c>
      <c r="K4523" s="74" t="str">
        <f t="shared" si="211"/>
        <v/>
      </c>
      <c r="L4523" s="58" t="str">
        <f t="shared" si="212"/>
        <v/>
      </c>
    </row>
    <row r="4524" spans="10:12" ht="16.5" customHeight="1" x14ac:dyDescent="0.35">
      <c r="J4524" s="56" t="str">
        <f t="shared" si="210"/>
        <v/>
      </c>
      <c r="K4524" s="74" t="str">
        <f t="shared" si="211"/>
        <v/>
      </c>
      <c r="L4524" s="58" t="str">
        <f t="shared" si="212"/>
        <v/>
      </c>
    </row>
    <row r="4525" spans="10:12" ht="16.5" customHeight="1" x14ac:dyDescent="0.35">
      <c r="J4525" s="56" t="str">
        <f t="shared" si="210"/>
        <v/>
      </c>
      <c r="K4525" s="74" t="str">
        <f t="shared" si="211"/>
        <v/>
      </c>
      <c r="L4525" s="58" t="str">
        <f t="shared" si="212"/>
        <v/>
      </c>
    </row>
    <row r="4526" spans="10:12" ht="16.5" customHeight="1" x14ac:dyDescent="0.35">
      <c r="J4526" s="56" t="str">
        <f t="shared" si="210"/>
        <v/>
      </c>
      <c r="K4526" s="74" t="str">
        <f t="shared" si="211"/>
        <v/>
      </c>
      <c r="L4526" s="58" t="str">
        <f t="shared" si="212"/>
        <v/>
      </c>
    </row>
    <row r="4527" spans="10:12" ht="16.5" customHeight="1" x14ac:dyDescent="0.35">
      <c r="J4527" s="56" t="str">
        <f t="shared" si="210"/>
        <v/>
      </c>
      <c r="K4527" s="74" t="str">
        <f t="shared" si="211"/>
        <v/>
      </c>
      <c r="L4527" s="58" t="str">
        <f t="shared" si="212"/>
        <v/>
      </c>
    </row>
    <row r="4528" spans="10:12" ht="16.5" customHeight="1" x14ac:dyDescent="0.35">
      <c r="J4528" s="56" t="str">
        <f t="shared" si="210"/>
        <v/>
      </c>
      <c r="K4528" s="74" t="str">
        <f t="shared" si="211"/>
        <v/>
      </c>
      <c r="L4528" s="58" t="str">
        <f t="shared" si="212"/>
        <v/>
      </c>
    </row>
    <row r="4529" spans="10:12" ht="16.5" customHeight="1" x14ac:dyDescent="0.35">
      <c r="J4529" s="56" t="str">
        <f t="shared" si="210"/>
        <v/>
      </c>
      <c r="K4529" s="74" t="str">
        <f t="shared" si="211"/>
        <v/>
      </c>
      <c r="L4529" s="58" t="str">
        <f t="shared" si="212"/>
        <v/>
      </c>
    </row>
    <row r="4530" spans="10:12" ht="16.5" customHeight="1" x14ac:dyDescent="0.35">
      <c r="J4530" s="56" t="str">
        <f t="shared" si="210"/>
        <v/>
      </c>
      <c r="K4530" s="74" t="str">
        <f t="shared" si="211"/>
        <v/>
      </c>
      <c r="L4530" s="58" t="str">
        <f t="shared" si="212"/>
        <v/>
      </c>
    </row>
    <row r="4531" spans="10:12" ht="16.5" customHeight="1" x14ac:dyDescent="0.35">
      <c r="J4531" s="56" t="str">
        <f t="shared" si="210"/>
        <v/>
      </c>
      <c r="K4531" s="74" t="str">
        <f t="shared" si="211"/>
        <v/>
      </c>
      <c r="L4531" s="58" t="str">
        <f t="shared" si="212"/>
        <v/>
      </c>
    </row>
    <row r="4532" spans="10:12" ht="16.5" customHeight="1" x14ac:dyDescent="0.35">
      <c r="J4532" s="56" t="str">
        <f t="shared" si="210"/>
        <v/>
      </c>
      <c r="K4532" s="74" t="str">
        <f t="shared" si="211"/>
        <v/>
      </c>
      <c r="L4532" s="58" t="str">
        <f t="shared" si="212"/>
        <v/>
      </c>
    </row>
    <row r="4533" spans="10:12" ht="16.5" customHeight="1" x14ac:dyDescent="0.35">
      <c r="J4533" s="56" t="str">
        <f t="shared" si="210"/>
        <v/>
      </c>
      <c r="K4533" s="74" t="str">
        <f t="shared" si="211"/>
        <v/>
      </c>
      <c r="L4533" s="58" t="str">
        <f t="shared" si="212"/>
        <v/>
      </c>
    </row>
    <row r="4534" spans="10:12" ht="16.5" customHeight="1" x14ac:dyDescent="0.35">
      <c r="J4534" s="56" t="str">
        <f t="shared" si="210"/>
        <v/>
      </c>
      <c r="K4534" s="74" t="str">
        <f t="shared" si="211"/>
        <v/>
      </c>
      <c r="L4534" s="58" t="str">
        <f t="shared" si="212"/>
        <v/>
      </c>
    </row>
    <row r="4535" spans="10:12" ht="16.5" customHeight="1" x14ac:dyDescent="0.35">
      <c r="J4535" s="56" t="str">
        <f t="shared" si="210"/>
        <v/>
      </c>
      <c r="K4535" s="74" t="str">
        <f t="shared" si="211"/>
        <v/>
      </c>
      <c r="L4535" s="58" t="str">
        <f t="shared" si="212"/>
        <v/>
      </c>
    </row>
    <row r="4536" spans="10:12" ht="16.5" customHeight="1" x14ac:dyDescent="0.35">
      <c r="J4536" s="56" t="str">
        <f t="shared" si="210"/>
        <v/>
      </c>
      <c r="K4536" s="74" t="str">
        <f t="shared" si="211"/>
        <v/>
      </c>
      <c r="L4536" s="58" t="str">
        <f t="shared" si="212"/>
        <v/>
      </c>
    </row>
    <row r="4537" spans="10:12" ht="16.5" customHeight="1" x14ac:dyDescent="0.35">
      <c r="J4537" s="56" t="str">
        <f t="shared" si="210"/>
        <v/>
      </c>
      <c r="K4537" s="74" t="str">
        <f t="shared" si="211"/>
        <v/>
      </c>
      <c r="L4537" s="58" t="str">
        <f t="shared" si="212"/>
        <v/>
      </c>
    </row>
    <row r="4538" spans="10:12" ht="16.5" customHeight="1" x14ac:dyDescent="0.35">
      <c r="J4538" s="56" t="str">
        <f t="shared" si="210"/>
        <v/>
      </c>
      <c r="K4538" s="74" t="str">
        <f t="shared" si="211"/>
        <v/>
      </c>
      <c r="L4538" s="58" t="str">
        <f t="shared" si="212"/>
        <v/>
      </c>
    </row>
    <row r="4539" spans="10:12" ht="16.5" customHeight="1" x14ac:dyDescent="0.35">
      <c r="J4539" s="56" t="str">
        <f t="shared" si="210"/>
        <v/>
      </c>
      <c r="K4539" s="74" t="str">
        <f t="shared" si="211"/>
        <v/>
      </c>
      <c r="L4539" s="58" t="str">
        <f t="shared" si="212"/>
        <v/>
      </c>
    </row>
    <row r="4540" spans="10:12" ht="16.5" customHeight="1" x14ac:dyDescent="0.35">
      <c r="J4540" s="56" t="str">
        <f t="shared" si="210"/>
        <v/>
      </c>
      <c r="K4540" s="74" t="str">
        <f t="shared" si="211"/>
        <v/>
      </c>
      <c r="L4540" s="58" t="str">
        <f t="shared" si="212"/>
        <v/>
      </c>
    </row>
    <row r="4541" spans="10:12" ht="16.5" customHeight="1" x14ac:dyDescent="0.35">
      <c r="J4541" s="56" t="str">
        <f t="shared" si="210"/>
        <v/>
      </c>
      <c r="K4541" s="74" t="str">
        <f t="shared" si="211"/>
        <v/>
      </c>
      <c r="L4541" s="58" t="str">
        <f t="shared" si="212"/>
        <v/>
      </c>
    </row>
    <row r="4542" spans="10:12" ht="16.5" customHeight="1" x14ac:dyDescent="0.35">
      <c r="J4542" s="56" t="str">
        <f t="shared" si="210"/>
        <v/>
      </c>
      <c r="K4542" s="74" t="str">
        <f t="shared" si="211"/>
        <v/>
      </c>
      <c r="L4542" s="58" t="str">
        <f t="shared" si="212"/>
        <v/>
      </c>
    </row>
    <row r="4543" spans="10:12" ht="16.5" customHeight="1" x14ac:dyDescent="0.35">
      <c r="J4543" s="56" t="str">
        <f t="shared" si="210"/>
        <v/>
      </c>
      <c r="K4543" s="74" t="str">
        <f t="shared" si="211"/>
        <v/>
      </c>
      <c r="L4543" s="58" t="str">
        <f t="shared" si="212"/>
        <v/>
      </c>
    </row>
    <row r="4544" spans="10:12" ht="16.5" customHeight="1" x14ac:dyDescent="0.35">
      <c r="J4544" s="56" t="str">
        <f t="shared" si="210"/>
        <v/>
      </c>
      <c r="K4544" s="74" t="str">
        <f t="shared" si="211"/>
        <v/>
      </c>
      <c r="L4544" s="58" t="str">
        <f t="shared" si="212"/>
        <v/>
      </c>
    </row>
    <row r="4545" spans="10:12" ht="16.5" customHeight="1" x14ac:dyDescent="0.35">
      <c r="J4545" s="56" t="str">
        <f t="shared" si="210"/>
        <v/>
      </c>
      <c r="K4545" s="74" t="str">
        <f t="shared" si="211"/>
        <v/>
      </c>
      <c r="L4545" s="58" t="str">
        <f t="shared" si="212"/>
        <v/>
      </c>
    </row>
    <row r="4546" spans="10:12" ht="16.5" customHeight="1" x14ac:dyDescent="0.35">
      <c r="J4546" s="56" t="str">
        <f t="shared" si="210"/>
        <v/>
      </c>
      <c r="K4546" s="74" t="str">
        <f t="shared" si="211"/>
        <v/>
      </c>
      <c r="L4546" s="58" t="str">
        <f t="shared" si="212"/>
        <v/>
      </c>
    </row>
    <row r="4547" spans="10:12" ht="16.5" customHeight="1" x14ac:dyDescent="0.35">
      <c r="J4547" s="56" t="str">
        <f t="shared" si="210"/>
        <v/>
      </c>
      <c r="K4547" s="74" t="str">
        <f t="shared" si="211"/>
        <v/>
      </c>
      <c r="L4547" s="58" t="str">
        <f t="shared" si="212"/>
        <v/>
      </c>
    </row>
    <row r="4548" spans="10:12" ht="16.5" customHeight="1" x14ac:dyDescent="0.35">
      <c r="J4548" s="56" t="str">
        <f t="shared" si="210"/>
        <v/>
      </c>
      <c r="K4548" s="74" t="str">
        <f t="shared" si="211"/>
        <v/>
      </c>
      <c r="L4548" s="58" t="str">
        <f t="shared" si="212"/>
        <v/>
      </c>
    </row>
    <row r="4549" spans="10:12" ht="16.5" customHeight="1" x14ac:dyDescent="0.35">
      <c r="J4549" s="56" t="str">
        <f t="shared" si="210"/>
        <v/>
      </c>
      <c r="K4549" s="74" t="str">
        <f t="shared" si="211"/>
        <v/>
      </c>
      <c r="L4549" s="58" t="str">
        <f t="shared" si="212"/>
        <v/>
      </c>
    </row>
    <row r="4550" spans="10:12" ht="16.5" customHeight="1" x14ac:dyDescent="0.35">
      <c r="J4550" s="56" t="str">
        <f t="shared" si="210"/>
        <v/>
      </c>
      <c r="K4550" s="74" t="str">
        <f t="shared" si="211"/>
        <v/>
      </c>
      <c r="L4550" s="58" t="str">
        <f t="shared" si="212"/>
        <v/>
      </c>
    </row>
    <row r="4551" spans="10:12" ht="16.5" customHeight="1" x14ac:dyDescent="0.35">
      <c r="J4551" s="56" t="str">
        <f t="shared" si="210"/>
        <v/>
      </c>
      <c r="K4551" s="74" t="str">
        <f t="shared" si="211"/>
        <v/>
      </c>
      <c r="L4551" s="58" t="str">
        <f t="shared" si="212"/>
        <v/>
      </c>
    </row>
    <row r="4552" spans="10:12" ht="16.5" customHeight="1" x14ac:dyDescent="0.35">
      <c r="J4552" s="56" t="str">
        <f t="shared" si="210"/>
        <v/>
      </c>
      <c r="K4552" s="74" t="str">
        <f t="shared" si="211"/>
        <v/>
      </c>
      <c r="L4552" s="58" t="str">
        <f t="shared" si="212"/>
        <v/>
      </c>
    </row>
    <row r="4553" spans="10:12" ht="16.5" customHeight="1" x14ac:dyDescent="0.35">
      <c r="J4553" s="56" t="str">
        <f t="shared" ref="J4553:J4616" si="213">IF(A4553="","",A$5-A4553)</f>
        <v/>
      </c>
      <c r="K4553" s="74" t="str">
        <f t="shared" ref="K4553:K4616" si="214">IF(J4553="","",IF(J4553&lt;4,"0-3 Days",IF(J4553&lt;31,"4-30 Days",IF(J4553&lt;61,"31-60 Days",IF(J4553&lt;=90,"61-90 Days",IF(J4553&gt;90,"Above 90 Days","0"))))))</f>
        <v/>
      </c>
      <c r="L4553" s="58" t="str">
        <f t="shared" ref="L4553:L4616" si="215">IF(C4553="","",IF(C4553&gt;0,IF(J4553&lt;30,"Normal",IF(J4553&lt;60,"Especially Mentioned",IF(J4553&lt;90,"Substandard",IF(J4553&lt;=180,"Doubtful",IF(J4553&gt;180,"Loss","0"))))),"Not Applicable"))</f>
        <v/>
      </c>
    </row>
    <row r="4554" spans="10:12" ht="16.5" customHeight="1" x14ac:dyDescent="0.35">
      <c r="J4554" s="56" t="str">
        <f t="shared" si="213"/>
        <v/>
      </c>
      <c r="K4554" s="74" t="str">
        <f t="shared" si="214"/>
        <v/>
      </c>
      <c r="L4554" s="58" t="str">
        <f t="shared" si="215"/>
        <v/>
      </c>
    </row>
    <row r="4555" spans="10:12" ht="16.5" customHeight="1" x14ac:dyDescent="0.35">
      <c r="J4555" s="56" t="str">
        <f t="shared" si="213"/>
        <v/>
      </c>
      <c r="K4555" s="74" t="str">
        <f t="shared" si="214"/>
        <v/>
      </c>
      <c r="L4555" s="58" t="str">
        <f t="shared" si="215"/>
        <v/>
      </c>
    </row>
    <row r="4556" spans="10:12" ht="16.5" customHeight="1" x14ac:dyDescent="0.35">
      <c r="J4556" s="56" t="str">
        <f t="shared" si="213"/>
        <v/>
      </c>
      <c r="K4556" s="74" t="str">
        <f t="shared" si="214"/>
        <v/>
      </c>
      <c r="L4556" s="58" t="str">
        <f t="shared" si="215"/>
        <v/>
      </c>
    </row>
    <row r="4557" spans="10:12" ht="16.5" customHeight="1" x14ac:dyDescent="0.35">
      <c r="J4557" s="56" t="str">
        <f t="shared" si="213"/>
        <v/>
      </c>
      <c r="K4557" s="74" t="str">
        <f t="shared" si="214"/>
        <v/>
      </c>
      <c r="L4557" s="58" t="str">
        <f t="shared" si="215"/>
        <v/>
      </c>
    </row>
    <row r="4558" spans="10:12" ht="16.5" customHeight="1" x14ac:dyDescent="0.35">
      <c r="J4558" s="56" t="str">
        <f t="shared" si="213"/>
        <v/>
      </c>
      <c r="K4558" s="74" t="str">
        <f t="shared" si="214"/>
        <v/>
      </c>
      <c r="L4558" s="58" t="str">
        <f t="shared" si="215"/>
        <v/>
      </c>
    </row>
    <row r="4559" spans="10:12" ht="16.5" customHeight="1" x14ac:dyDescent="0.35">
      <c r="J4559" s="56" t="str">
        <f t="shared" si="213"/>
        <v/>
      </c>
      <c r="K4559" s="74" t="str">
        <f t="shared" si="214"/>
        <v/>
      </c>
      <c r="L4559" s="58" t="str">
        <f t="shared" si="215"/>
        <v/>
      </c>
    </row>
    <row r="4560" spans="10:12" ht="16.5" customHeight="1" x14ac:dyDescent="0.35">
      <c r="J4560" s="56" t="str">
        <f t="shared" si="213"/>
        <v/>
      </c>
      <c r="K4560" s="74" t="str">
        <f t="shared" si="214"/>
        <v/>
      </c>
      <c r="L4560" s="58" t="str">
        <f t="shared" si="215"/>
        <v/>
      </c>
    </row>
    <row r="4561" spans="10:12" ht="16.5" customHeight="1" x14ac:dyDescent="0.35">
      <c r="J4561" s="56" t="str">
        <f t="shared" si="213"/>
        <v/>
      </c>
      <c r="K4561" s="74" t="str">
        <f t="shared" si="214"/>
        <v/>
      </c>
      <c r="L4561" s="58" t="str">
        <f t="shared" si="215"/>
        <v/>
      </c>
    </row>
    <row r="4562" spans="10:12" ht="16.5" customHeight="1" x14ac:dyDescent="0.35">
      <c r="J4562" s="56" t="str">
        <f t="shared" si="213"/>
        <v/>
      </c>
      <c r="K4562" s="74" t="str">
        <f t="shared" si="214"/>
        <v/>
      </c>
      <c r="L4562" s="58" t="str">
        <f t="shared" si="215"/>
        <v/>
      </c>
    </row>
    <row r="4563" spans="10:12" ht="16.5" customHeight="1" x14ac:dyDescent="0.35">
      <c r="J4563" s="56" t="str">
        <f t="shared" si="213"/>
        <v/>
      </c>
      <c r="K4563" s="74" t="str">
        <f t="shared" si="214"/>
        <v/>
      </c>
      <c r="L4563" s="58" t="str">
        <f t="shared" si="215"/>
        <v/>
      </c>
    </row>
    <row r="4564" spans="10:12" ht="16.5" customHeight="1" x14ac:dyDescent="0.35">
      <c r="J4564" s="56" t="str">
        <f t="shared" si="213"/>
        <v/>
      </c>
      <c r="K4564" s="74" t="str">
        <f t="shared" si="214"/>
        <v/>
      </c>
      <c r="L4564" s="58" t="str">
        <f t="shared" si="215"/>
        <v/>
      </c>
    </row>
    <row r="4565" spans="10:12" ht="16.5" customHeight="1" x14ac:dyDescent="0.35">
      <c r="J4565" s="56" t="str">
        <f t="shared" si="213"/>
        <v/>
      </c>
      <c r="K4565" s="74" t="str">
        <f t="shared" si="214"/>
        <v/>
      </c>
      <c r="L4565" s="58" t="str">
        <f t="shared" si="215"/>
        <v/>
      </c>
    </row>
    <row r="4566" spans="10:12" ht="16.5" customHeight="1" x14ac:dyDescent="0.35">
      <c r="J4566" s="56" t="str">
        <f t="shared" si="213"/>
        <v/>
      </c>
      <c r="K4566" s="74" t="str">
        <f t="shared" si="214"/>
        <v/>
      </c>
      <c r="L4566" s="58" t="str">
        <f t="shared" si="215"/>
        <v/>
      </c>
    </row>
    <row r="4567" spans="10:12" ht="16.5" customHeight="1" x14ac:dyDescent="0.35">
      <c r="J4567" s="56" t="str">
        <f t="shared" si="213"/>
        <v/>
      </c>
      <c r="K4567" s="74" t="str">
        <f t="shared" si="214"/>
        <v/>
      </c>
      <c r="L4567" s="58" t="str">
        <f t="shared" si="215"/>
        <v/>
      </c>
    </row>
    <row r="4568" spans="10:12" ht="16.5" customHeight="1" x14ac:dyDescent="0.35">
      <c r="J4568" s="56" t="str">
        <f t="shared" si="213"/>
        <v/>
      </c>
      <c r="K4568" s="74" t="str">
        <f t="shared" si="214"/>
        <v/>
      </c>
      <c r="L4568" s="58" t="str">
        <f t="shared" si="215"/>
        <v/>
      </c>
    </row>
    <row r="4569" spans="10:12" ht="16.5" customHeight="1" x14ac:dyDescent="0.35">
      <c r="J4569" s="56" t="str">
        <f t="shared" si="213"/>
        <v/>
      </c>
      <c r="K4569" s="74" t="str">
        <f t="shared" si="214"/>
        <v/>
      </c>
      <c r="L4569" s="58" t="str">
        <f t="shared" si="215"/>
        <v/>
      </c>
    </row>
    <row r="4570" spans="10:12" ht="16.5" customHeight="1" x14ac:dyDescent="0.35">
      <c r="J4570" s="56" t="str">
        <f t="shared" si="213"/>
        <v/>
      </c>
      <c r="K4570" s="74" t="str">
        <f t="shared" si="214"/>
        <v/>
      </c>
      <c r="L4570" s="58" t="str">
        <f t="shared" si="215"/>
        <v/>
      </c>
    </row>
    <row r="4571" spans="10:12" ht="16.5" customHeight="1" x14ac:dyDescent="0.35">
      <c r="J4571" s="56" t="str">
        <f t="shared" si="213"/>
        <v/>
      </c>
      <c r="K4571" s="74" t="str">
        <f t="shared" si="214"/>
        <v/>
      </c>
      <c r="L4571" s="58" t="str">
        <f t="shared" si="215"/>
        <v/>
      </c>
    </row>
    <row r="4572" spans="10:12" ht="16.5" customHeight="1" x14ac:dyDescent="0.35">
      <c r="J4572" s="56" t="str">
        <f t="shared" si="213"/>
        <v/>
      </c>
      <c r="K4572" s="74" t="str">
        <f t="shared" si="214"/>
        <v/>
      </c>
      <c r="L4572" s="58" t="str">
        <f t="shared" si="215"/>
        <v/>
      </c>
    </row>
    <row r="4573" spans="10:12" ht="16.5" customHeight="1" x14ac:dyDescent="0.35">
      <c r="J4573" s="56" t="str">
        <f t="shared" si="213"/>
        <v/>
      </c>
      <c r="K4573" s="74" t="str">
        <f t="shared" si="214"/>
        <v/>
      </c>
      <c r="L4573" s="58" t="str">
        <f t="shared" si="215"/>
        <v/>
      </c>
    </row>
    <row r="4574" spans="10:12" ht="16.5" customHeight="1" x14ac:dyDescent="0.35">
      <c r="J4574" s="56" t="str">
        <f t="shared" si="213"/>
        <v/>
      </c>
      <c r="K4574" s="74" t="str">
        <f t="shared" si="214"/>
        <v/>
      </c>
      <c r="L4574" s="58" t="str">
        <f t="shared" si="215"/>
        <v/>
      </c>
    </row>
    <row r="4575" spans="10:12" ht="16.5" customHeight="1" x14ac:dyDescent="0.35">
      <c r="J4575" s="56" t="str">
        <f t="shared" si="213"/>
        <v/>
      </c>
      <c r="K4575" s="74" t="str">
        <f t="shared" si="214"/>
        <v/>
      </c>
      <c r="L4575" s="58" t="str">
        <f t="shared" si="215"/>
        <v/>
      </c>
    </row>
    <row r="4576" spans="10:12" ht="16.5" customHeight="1" x14ac:dyDescent="0.35">
      <c r="J4576" s="56" t="str">
        <f t="shared" si="213"/>
        <v/>
      </c>
      <c r="K4576" s="74" t="str">
        <f t="shared" si="214"/>
        <v/>
      </c>
      <c r="L4576" s="58" t="str">
        <f t="shared" si="215"/>
        <v/>
      </c>
    </row>
    <row r="4577" spans="10:12" ht="16.5" customHeight="1" x14ac:dyDescent="0.35">
      <c r="J4577" s="56" t="str">
        <f t="shared" si="213"/>
        <v/>
      </c>
      <c r="K4577" s="74" t="str">
        <f t="shared" si="214"/>
        <v/>
      </c>
      <c r="L4577" s="58" t="str">
        <f t="shared" si="215"/>
        <v/>
      </c>
    </row>
    <row r="4578" spans="10:12" ht="16.5" customHeight="1" x14ac:dyDescent="0.35">
      <c r="J4578" s="56" t="str">
        <f t="shared" si="213"/>
        <v/>
      </c>
      <c r="K4578" s="74" t="str">
        <f t="shared" si="214"/>
        <v/>
      </c>
      <c r="L4578" s="58" t="str">
        <f t="shared" si="215"/>
        <v/>
      </c>
    </row>
    <row r="4579" spans="10:12" ht="16.5" customHeight="1" x14ac:dyDescent="0.35">
      <c r="J4579" s="56" t="str">
        <f t="shared" si="213"/>
        <v/>
      </c>
      <c r="K4579" s="74" t="str">
        <f t="shared" si="214"/>
        <v/>
      </c>
      <c r="L4579" s="58" t="str">
        <f t="shared" si="215"/>
        <v/>
      </c>
    </row>
    <row r="4580" spans="10:12" ht="16.5" customHeight="1" x14ac:dyDescent="0.35">
      <c r="J4580" s="56" t="str">
        <f t="shared" si="213"/>
        <v/>
      </c>
      <c r="K4580" s="74" t="str">
        <f t="shared" si="214"/>
        <v/>
      </c>
      <c r="L4580" s="58" t="str">
        <f t="shared" si="215"/>
        <v/>
      </c>
    </row>
    <row r="4581" spans="10:12" ht="16.5" customHeight="1" x14ac:dyDescent="0.35">
      <c r="J4581" s="56" t="str">
        <f t="shared" si="213"/>
        <v/>
      </c>
      <c r="K4581" s="74" t="str">
        <f t="shared" si="214"/>
        <v/>
      </c>
      <c r="L4581" s="58" t="str">
        <f t="shared" si="215"/>
        <v/>
      </c>
    </row>
    <row r="4582" spans="10:12" ht="16.5" customHeight="1" x14ac:dyDescent="0.35">
      <c r="J4582" s="56" t="str">
        <f t="shared" si="213"/>
        <v/>
      </c>
      <c r="K4582" s="74" t="str">
        <f t="shared" si="214"/>
        <v/>
      </c>
      <c r="L4582" s="58" t="str">
        <f t="shared" si="215"/>
        <v/>
      </c>
    </row>
    <row r="4583" spans="10:12" ht="16.5" customHeight="1" x14ac:dyDescent="0.35">
      <c r="J4583" s="56" t="str">
        <f t="shared" si="213"/>
        <v/>
      </c>
      <c r="K4583" s="74" t="str">
        <f t="shared" si="214"/>
        <v/>
      </c>
      <c r="L4583" s="58" t="str">
        <f t="shared" si="215"/>
        <v/>
      </c>
    </row>
    <row r="4584" spans="10:12" ht="16.5" customHeight="1" x14ac:dyDescent="0.35">
      <c r="J4584" s="56" t="str">
        <f t="shared" si="213"/>
        <v/>
      </c>
      <c r="K4584" s="74" t="str">
        <f t="shared" si="214"/>
        <v/>
      </c>
      <c r="L4584" s="58" t="str">
        <f t="shared" si="215"/>
        <v/>
      </c>
    </row>
    <row r="4585" spans="10:12" ht="16.5" customHeight="1" x14ac:dyDescent="0.35">
      <c r="J4585" s="56" t="str">
        <f t="shared" si="213"/>
        <v/>
      </c>
      <c r="K4585" s="74" t="str">
        <f t="shared" si="214"/>
        <v/>
      </c>
      <c r="L4585" s="58" t="str">
        <f t="shared" si="215"/>
        <v/>
      </c>
    </row>
    <row r="4586" spans="10:12" ht="16.5" customHeight="1" x14ac:dyDescent="0.35">
      <c r="J4586" s="56" t="str">
        <f t="shared" si="213"/>
        <v/>
      </c>
      <c r="K4586" s="74" t="str">
        <f t="shared" si="214"/>
        <v/>
      </c>
      <c r="L4586" s="58" t="str">
        <f t="shared" si="215"/>
        <v/>
      </c>
    </row>
    <row r="4587" spans="10:12" ht="16.5" customHeight="1" x14ac:dyDescent="0.35">
      <c r="J4587" s="56" t="str">
        <f t="shared" si="213"/>
        <v/>
      </c>
      <c r="K4587" s="74" t="str">
        <f t="shared" si="214"/>
        <v/>
      </c>
      <c r="L4587" s="58" t="str">
        <f t="shared" si="215"/>
        <v/>
      </c>
    </row>
    <row r="4588" spans="10:12" ht="16.5" customHeight="1" x14ac:dyDescent="0.35">
      <c r="J4588" s="56" t="str">
        <f t="shared" si="213"/>
        <v/>
      </c>
      <c r="K4588" s="74" t="str">
        <f t="shared" si="214"/>
        <v/>
      </c>
      <c r="L4588" s="58" t="str">
        <f t="shared" si="215"/>
        <v/>
      </c>
    </row>
    <row r="4589" spans="10:12" ht="16.5" customHeight="1" x14ac:dyDescent="0.35">
      <c r="J4589" s="56" t="str">
        <f t="shared" si="213"/>
        <v/>
      </c>
      <c r="K4589" s="74" t="str">
        <f t="shared" si="214"/>
        <v/>
      </c>
      <c r="L4589" s="58" t="str">
        <f t="shared" si="215"/>
        <v/>
      </c>
    </row>
    <row r="4590" spans="10:12" ht="16.5" customHeight="1" x14ac:dyDescent="0.35">
      <c r="J4590" s="56" t="str">
        <f t="shared" si="213"/>
        <v/>
      </c>
      <c r="K4590" s="74" t="str">
        <f t="shared" si="214"/>
        <v/>
      </c>
      <c r="L4590" s="58" t="str">
        <f t="shared" si="215"/>
        <v/>
      </c>
    </row>
    <row r="4591" spans="10:12" ht="16.5" customHeight="1" x14ac:dyDescent="0.35">
      <c r="J4591" s="56" t="str">
        <f t="shared" si="213"/>
        <v/>
      </c>
      <c r="K4591" s="74" t="str">
        <f t="shared" si="214"/>
        <v/>
      </c>
      <c r="L4591" s="58" t="str">
        <f t="shared" si="215"/>
        <v/>
      </c>
    </row>
    <row r="4592" spans="10:12" ht="16.5" customHeight="1" x14ac:dyDescent="0.35">
      <c r="J4592" s="56" t="str">
        <f t="shared" si="213"/>
        <v/>
      </c>
      <c r="K4592" s="74" t="str">
        <f t="shared" si="214"/>
        <v/>
      </c>
      <c r="L4592" s="58" t="str">
        <f t="shared" si="215"/>
        <v/>
      </c>
    </row>
    <row r="4593" spans="10:12" ht="16.5" customHeight="1" x14ac:dyDescent="0.35">
      <c r="J4593" s="56" t="str">
        <f t="shared" si="213"/>
        <v/>
      </c>
      <c r="K4593" s="74" t="str">
        <f t="shared" si="214"/>
        <v/>
      </c>
      <c r="L4593" s="58" t="str">
        <f t="shared" si="215"/>
        <v/>
      </c>
    </row>
    <row r="4594" spans="10:12" ht="16.5" customHeight="1" x14ac:dyDescent="0.35">
      <c r="J4594" s="56" t="str">
        <f t="shared" si="213"/>
        <v/>
      </c>
      <c r="K4594" s="74" t="str">
        <f t="shared" si="214"/>
        <v/>
      </c>
      <c r="L4594" s="58" t="str">
        <f t="shared" si="215"/>
        <v/>
      </c>
    </row>
    <row r="4595" spans="10:12" ht="16.5" customHeight="1" x14ac:dyDescent="0.35">
      <c r="J4595" s="56" t="str">
        <f t="shared" si="213"/>
        <v/>
      </c>
      <c r="K4595" s="74" t="str">
        <f t="shared" si="214"/>
        <v/>
      </c>
      <c r="L4595" s="58" t="str">
        <f t="shared" si="215"/>
        <v/>
      </c>
    </row>
    <row r="4596" spans="10:12" ht="16.5" customHeight="1" x14ac:dyDescent="0.35">
      <c r="J4596" s="56" t="str">
        <f t="shared" si="213"/>
        <v/>
      </c>
      <c r="K4596" s="74" t="str">
        <f t="shared" si="214"/>
        <v/>
      </c>
      <c r="L4596" s="58" t="str">
        <f t="shared" si="215"/>
        <v/>
      </c>
    </row>
    <row r="4597" spans="10:12" ht="16.5" customHeight="1" x14ac:dyDescent="0.35">
      <c r="J4597" s="56" t="str">
        <f t="shared" si="213"/>
        <v/>
      </c>
      <c r="K4597" s="74" t="str">
        <f t="shared" si="214"/>
        <v/>
      </c>
      <c r="L4597" s="58" t="str">
        <f t="shared" si="215"/>
        <v/>
      </c>
    </row>
    <row r="4598" spans="10:12" ht="16.5" customHeight="1" x14ac:dyDescent="0.35">
      <c r="J4598" s="56" t="str">
        <f t="shared" si="213"/>
        <v/>
      </c>
      <c r="K4598" s="74" t="str">
        <f t="shared" si="214"/>
        <v/>
      </c>
      <c r="L4598" s="58" t="str">
        <f t="shared" si="215"/>
        <v/>
      </c>
    </row>
    <row r="4599" spans="10:12" ht="16.5" customHeight="1" x14ac:dyDescent="0.35">
      <c r="J4599" s="56" t="str">
        <f t="shared" si="213"/>
        <v/>
      </c>
      <c r="K4599" s="74" t="str">
        <f t="shared" si="214"/>
        <v/>
      </c>
      <c r="L4599" s="58" t="str">
        <f t="shared" si="215"/>
        <v/>
      </c>
    </row>
    <row r="4600" spans="10:12" ht="16.5" customHeight="1" x14ac:dyDescent="0.35">
      <c r="J4600" s="56" t="str">
        <f t="shared" si="213"/>
        <v/>
      </c>
      <c r="K4600" s="74" t="str">
        <f t="shared" si="214"/>
        <v/>
      </c>
      <c r="L4600" s="58" t="str">
        <f t="shared" si="215"/>
        <v/>
      </c>
    </row>
    <row r="4601" spans="10:12" ht="16.5" customHeight="1" x14ac:dyDescent="0.35">
      <c r="J4601" s="56" t="str">
        <f t="shared" si="213"/>
        <v/>
      </c>
      <c r="K4601" s="74" t="str">
        <f t="shared" si="214"/>
        <v/>
      </c>
      <c r="L4601" s="58" t="str">
        <f t="shared" si="215"/>
        <v/>
      </c>
    </row>
    <row r="4602" spans="10:12" ht="16.5" customHeight="1" x14ac:dyDescent="0.35">
      <c r="J4602" s="56" t="str">
        <f t="shared" si="213"/>
        <v/>
      </c>
      <c r="K4602" s="74" t="str">
        <f t="shared" si="214"/>
        <v/>
      </c>
      <c r="L4602" s="58" t="str">
        <f t="shared" si="215"/>
        <v/>
      </c>
    </row>
    <row r="4603" spans="10:12" ht="16.5" customHeight="1" x14ac:dyDescent="0.35">
      <c r="J4603" s="56" t="str">
        <f t="shared" si="213"/>
        <v/>
      </c>
      <c r="K4603" s="74" t="str">
        <f t="shared" si="214"/>
        <v/>
      </c>
      <c r="L4603" s="58" t="str">
        <f t="shared" si="215"/>
        <v/>
      </c>
    </row>
    <row r="4604" spans="10:12" ht="16.5" customHeight="1" x14ac:dyDescent="0.35">
      <c r="J4604" s="56" t="str">
        <f t="shared" si="213"/>
        <v/>
      </c>
      <c r="K4604" s="74" t="str">
        <f t="shared" si="214"/>
        <v/>
      </c>
      <c r="L4604" s="58" t="str">
        <f t="shared" si="215"/>
        <v/>
      </c>
    </row>
    <row r="4605" spans="10:12" ht="16.5" customHeight="1" x14ac:dyDescent="0.35">
      <c r="J4605" s="56" t="str">
        <f t="shared" si="213"/>
        <v/>
      </c>
      <c r="K4605" s="74" t="str">
        <f t="shared" si="214"/>
        <v/>
      </c>
      <c r="L4605" s="58" t="str">
        <f t="shared" si="215"/>
        <v/>
      </c>
    </row>
    <row r="4606" spans="10:12" ht="16.5" customHeight="1" x14ac:dyDescent="0.35">
      <c r="J4606" s="56" t="str">
        <f t="shared" si="213"/>
        <v/>
      </c>
      <c r="K4606" s="74" t="str">
        <f t="shared" si="214"/>
        <v/>
      </c>
      <c r="L4606" s="58" t="str">
        <f t="shared" si="215"/>
        <v/>
      </c>
    </row>
    <row r="4607" spans="10:12" ht="16.5" customHeight="1" x14ac:dyDescent="0.35">
      <c r="J4607" s="56" t="str">
        <f t="shared" si="213"/>
        <v/>
      </c>
      <c r="K4607" s="74" t="str">
        <f t="shared" si="214"/>
        <v/>
      </c>
      <c r="L4607" s="58" t="str">
        <f t="shared" si="215"/>
        <v/>
      </c>
    </row>
    <row r="4608" spans="10:12" ht="16.5" customHeight="1" x14ac:dyDescent="0.35">
      <c r="J4608" s="56" t="str">
        <f t="shared" si="213"/>
        <v/>
      </c>
      <c r="K4608" s="74" t="str">
        <f t="shared" si="214"/>
        <v/>
      </c>
      <c r="L4608" s="58" t="str">
        <f t="shared" si="215"/>
        <v/>
      </c>
    </row>
    <row r="4609" spans="10:12" ht="16.5" customHeight="1" x14ac:dyDescent="0.35">
      <c r="J4609" s="56" t="str">
        <f t="shared" si="213"/>
        <v/>
      </c>
      <c r="K4609" s="74" t="str">
        <f t="shared" si="214"/>
        <v/>
      </c>
      <c r="L4609" s="58" t="str">
        <f t="shared" si="215"/>
        <v/>
      </c>
    </row>
    <row r="4610" spans="10:12" ht="16.5" customHeight="1" x14ac:dyDescent="0.35">
      <c r="J4610" s="56" t="str">
        <f t="shared" si="213"/>
        <v/>
      </c>
      <c r="K4610" s="74" t="str">
        <f t="shared" si="214"/>
        <v/>
      </c>
      <c r="L4610" s="58" t="str">
        <f t="shared" si="215"/>
        <v/>
      </c>
    </row>
    <row r="4611" spans="10:12" ht="16.5" customHeight="1" x14ac:dyDescent="0.35">
      <c r="J4611" s="56" t="str">
        <f t="shared" si="213"/>
        <v/>
      </c>
      <c r="K4611" s="74" t="str">
        <f t="shared" si="214"/>
        <v/>
      </c>
      <c r="L4611" s="58" t="str">
        <f t="shared" si="215"/>
        <v/>
      </c>
    </row>
    <row r="4612" spans="10:12" ht="16.5" customHeight="1" x14ac:dyDescent="0.35">
      <c r="J4612" s="56" t="str">
        <f t="shared" si="213"/>
        <v/>
      </c>
      <c r="K4612" s="74" t="str">
        <f t="shared" si="214"/>
        <v/>
      </c>
      <c r="L4612" s="58" t="str">
        <f t="shared" si="215"/>
        <v/>
      </c>
    </row>
    <row r="4613" spans="10:12" ht="16.5" customHeight="1" x14ac:dyDescent="0.35">
      <c r="J4613" s="56" t="str">
        <f t="shared" si="213"/>
        <v/>
      </c>
      <c r="K4613" s="74" t="str">
        <f t="shared" si="214"/>
        <v/>
      </c>
      <c r="L4613" s="58" t="str">
        <f t="shared" si="215"/>
        <v/>
      </c>
    </row>
    <row r="4614" spans="10:12" ht="16.5" customHeight="1" x14ac:dyDescent="0.35">
      <c r="J4614" s="56" t="str">
        <f t="shared" si="213"/>
        <v/>
      </c>
      <c r="K4614" s="74" t="str">
        <f t="shared" si="214"/>
        <v/>
      </c>
      <c r="L4614" s="58" t="str">
        <f t="shared" si="215"/>
        <v/>
      </c>
    </row>
    <row r="4615" spans="10:12" ht="16.5" customHeight="1" x14ac:dyDescent="0.35">
      <c r="J4615" s="56" t="str">
        <f t="shared" si="213"/>
        <v/>
      </c>
      <c r="K4615" s="74" t="str">
        <f t="shared" si="214"/>
        <v/>
      </c>
      <c r="L4615" s="58" t="str">
        <f t="shared" si="215"/>
        <v/>
      </c>
    </row>
    <row r="4616" spans="10:12" ht="16.5" customHeight="1" x14ac:dyDescent="0.35">
      <c r="J4616" s="56" t="str">
        <f t="shared" si="213"/>
        <v/>
      </c>
      <c r="K4616" s="74" t="str">
        <f t="shared" si="214"/>
        <v/>
      </c>
      <c r="L4616" s="58" t="str">
        <f t="shared" si="215"/>
        <v/>
      </c>
    </row>
    <row r="4617" spans="10:12" ht="16.5" customHeight="1" x14ac:dyDescent="0.35">
      <c r="J4617" s="56" t="str">
        <f t="shared" ref="J4617:J4680" si="216">IF(A4617="","",A$5-A4617)</f>
        <v/>
      </c>
      <c r="K4617" s="74" t="str">
        <f t="shared" ref="K4617:K4680" si="217">IF(J4617="","",IF(J4617&lt;4,"0-3 Days",IF(J4617&lt;31,"4-30 Days",IF(J4617&lt;61,"31-60 Days",IF(J4617&lt;=90,"61-90 Days",IF(J4617&gt;90,"Above 90 Days","0"))))))</f>
        <v/>
      </c>
      <c r="L4617" s="58" t="str">
        <f t="shared" ref="L4617:L4680" si="218">IF(C4617="","",IF(C4617&gt;0,IF(J4617&lt;30,"Normal",IF(J4617&lt;60,"Especially Mentioned",IF(J4617&lt;90,"Substandard",IF(J4617&lt;=180,"Doubtful",IF(J4617&gt;180,"Loss","0"))))),"Not Applicable"))</f>
        <v/>
      </c>
    </row>
    <row r="4618" spans="10:12" ht="16.5" customHeight="1" x14ac:dyDescent="0.35">
      <c r="J4618" s="56" t="str">
        <f t="shared" si="216"/>
        <v/>
      </c>
      <c r="K4618" s="74" t="str">
        <f t="shared" si="217"/>
        <v/>
      </c>
      <c r="L4618" s="58" t="str">
        <f t="shared" si="218"/>
        <v/>
      </c>
    </row>
    <row r="4619" spans="10:12" ht="16.5" customHeight="1" x14ac:dyDescent="0.35">
      <c r="J4619" s="56" t="str">
        <f t="shared" si="216"/>
        <v/>
      </c>
      <c r="K4619" s="74" t="str">
        <f t="shared" si="217"/>
        <v/>
      </c>
      <c r="L4619" s="58" t="str">
        <f t="shared" si="218"/>
        <v/>
      </c>
    </row>
    <row r="4620" spans="10:12" ht="16.5" customHeight="1" x14ac:dyDescent="0.35">
      <c r="J4620" s="56" t="str">
        <f t="shared" si="216"/>
        <v/>
      </c>
      <c r="K4620" s="74" t="str">
        <f t="shared" si="217"/>
        <v/>
      </c>
      <c r="L4620" s="58" t="str">
        <f t="shared" si="218"/>
        <v/>
      </c>
    </row>
    <row r="4621" spans="10:12" ht="16.5" customHeight="1" x14ac:dyDescent="0.35">
      <c r="J4621" s="56" t="str">
        <f t="shared" si="216"/>
        <v/>
      </c>
      <c r="K4621" s="74" t="str">
        <f t="shared" si="217"/>
        <v/>
      </c>
      <c r="L4621" s="58" t="str">
        <f t="shared" si="218"/>
        <v/>
      </c>
    </row>
    <row r="4622" spans="10:12" ht="16.5" customHeight="1" x14ac:dyDescent="0.35">
      <c r="J4622" s="56" t="str">
        <f t="shared" si="216"/>
        <v/>
      </c>
      <c r="K4622" s="74" t="str">
        <f t="shared" si="217"/>
        <v/>
      </c>
      <c r="L4622" s="58" t="str">
        <f t="shared" si="218"/>
        <v/>
      </c>
    </row>
    <row r="4623" spans="10:12" ht="16.5" customHeight="1" x14ac:dyDescent="0.35">
      <c r="J4623" s="56" t="str">
        <f t="shared" si="216"/>
        <v/>
      </c>
      <c r="K4623" s="74" t="str">
        <f t="shared" si="217"/>
        <v/>
      </c>
      <c r="L4623" s="58" t="str">
        <f t="shared" si="218"/>
        <v/>
      </c>
    </row>
    <row r="4624" spans="10:12" ht="16.5" customHeight="1" x14ac:dyDescent="0.35">
      <c r="J4624" s="56" t="str">
        <f t="shared" si="216"/>
        <v/>
      </c>
      <c r="K4624" s="74" t="str">
        <f t="shared" si="217"/>
        <v/>
      </c>
      <c r="L4624" s="58" t="str">
        <f t="shared" si="218"/>
        <v/>
      </c>
    </row>
    <row r="4625" spans="10:12" ht="16.5" customHeight="1" x14ac:dyDescent="0.35">
      <c r="J4625" s="56" t="str">
        <f t="shared" si="216"/>
        <v/>
      </c>
      <c r="K4625" s="74" t="str">
        <f t="shared" si="217"/>
        <v/>
      </c>
      <c r="L4625" s="58" t="str">
        <f t="shared" si="218"/>
        <v/>
      </c>
    </row>
    <row r="4626" spans="10:12" ht="16.5" customHeight="1" x14ac:dyDescent="0.35">
      <c r="J4626" s="56" t="str">
        <f t="shared" si="216"/>
        <v/>
      </c>
      <c r="K4626" s="74" t="str">
        <f t="shared" si="217"/>
        <v/>
      </c>
      <c r="L4626" s="58" t="str">
        <f t="shared" si="218"/>
        <v/>
      </c>
    </row>
    <row r="4627" spans="10:12" ht="16.5" customHeight="1" x14ac:dyDescent="0.35">
      <c r="J4627" s="56" t="str">
        <f t="shared" si="216"/>
        <v/>
      </c>
      <c r="K4627" s="74" t="str">
        <f t="shared" si="217"/>
        <v/>
      </c>
      <c r="L4627" s="58" t="str">
        <f t="shared" si="218"/>
        <v/>
      </c>
    </row>
    <row r="4628" spans="10:12" ht="16.5" customHeight="1" x14ac:dyDescent="0.35">
      <c r="J4628" s="56" t="str">
        <f t="shared" si="216"/>
        <v/>
      </c>
      <c r="K4628" s="74" t="str">
        <f t="shared" si="217"/>
        <v/>
      </c>
      <c r="L4628" s="58" t="str">
        <f t="shared" si="218"/>
        <v/>
      </c>
    </row>
    <row r="4629" spans="10:12" ht="16.5" customHeight="1" x14ac:dyDescent="0.35">
      <c r="J4629" s="56" t="str">
        <f t="shared" si="216"/>
        <v/>
      </c>
      <c r="K4629" s="74" t="str">
        <f t="shared" si="217"/>
        <v/>
      </c>
      <c r="L4629" s="58" t="str">
        <f t="shared" si="218"/>
        <v/>
      </c>
    </row>
    <row r="4630" spans="10:12" ht="16.5" customHeight="1" x14ac:dyDescent="0.35">
      <c r="J4630" s="56" t="str">
        <f t="shared" si="216"/>
        <v/>
      </c>
      <c r="K4630" s="74" t="str">
        <f t="shared" si="217"/>
        <v/>
      </c>
      <c r="L4630" s="58" t="str">
        <f t="shared" si="218"/>
        <v/>
      </c>
    </row>
    <row r="4631" spans="10:12" ht="16.5" customHeight="1" x14ac:dyDescent="0.35">
      <c r="J4631" s="56" t="str">
        <f t="shared" si="216"/>
        <v/>
      </c>
      <c r="K4631" s="74" t="str">
        <f t="shared" si="217"/>
        <v/>
      </c>
      <c r="L4631" s="58" t="str">
        <f t="shared" si="218"/>
        <v/>
      </c>
    </row>
    <row r="4632" spans="10:12" ht="16.5" customHeight="1" x14ac:dyDescent="0.35">
      <c r="J4632" s="56" t="str">
        <f t="shared" si="216"/>
        <v/>
      </c>
      <c r="K4632" s="74" t="str">
        <f t="shared" si="217"/>
        <v/>
      </c>
      <c r="L4632" s="58" t="str">
        <f t="shared" si="218"/>
        <v/>
      </c>
    </row>
    <row r="4633" spans="10:12" ht="16.5" customHeight="1" x14ac:dyDescent="0.35">
      <c r="J4633" s="56" t="str">
        <f t="shared" si="216"/>
        <v/>
      </c>
      <c r="K4633" s="74" t="str">
        <f t="shared" si="217"/>
        <v/>
      </c>
      <c r="L4633" s="58" t="str">
        <f t="shared" si="218"/>
        <v/>
      </c>
    </row>
    <row r="4634" spans="10:12" ht="16.5" customHeight="1" x14ac:dyDescent="0.35">
      <c r="J4634" s="56" t="str">
        <f t="shared" si="216"/>
        <v/>
      </c>
      <c r="K4634" s="74" t="str">
        <f t="shared" si="217"/>
        <v/>
      </c>
      <c r="L4634" s="58" t="str">
        <f t="shared" si="218"/>
        <v/>
      </c>
    </row>
    <row r="4635" spans="10:12" ht="16.5" customHeight="1" x14ac:dyDescent="0.35">
      <c r="J4635" s="56" t="str">
        <f t="shared" si="216"/>
        <v/>
      </c>
      <c r="K4635" s="74" t="str">
        <f t="shared" si="217"/>
        <v/>
      </c>
      <c r="L4635" s="58" t="str">
        <f t="shared" si="218"/>
        <v/>
      </c>
    </row>
    <row r="4636" spans="10:12" ht="16.5" customHeight="1" x14ac:dyDescent="0.35">
      <c r="J4636" s="56" t="str">
        <f t="shared" si="216"/>
        <v/>
      </c>
      <c r="K4636" s="74" t="str">
        <f t="shared" si="217"/>
        <v/>
      </c>
      <c r="L4636" s="58" t="str">
        <f t="shared" si="218"/>
        <v/>
      </c>
    </row>
    <row r="4637" spans="10:12" ht="16.5" customHeight="1" x14ac:dyDescent="0.35">
      <c r="J4637" s="56" t="str">
        <f t="shared" si="216"/>
        <v/>
      </c>
      <c r="K4637" s="74" t="str">
        <f t="shared" si="217"/>
        <v/>
      </c>
      <c r="L4637" s="58" t="str">
        <f t="shared" si="218"/>
        <v/>
      </c>
    </row>
    <row r="4638" spans="10:12" ht="16.5" customHeight="1" x14ac:dyDescent="0.35">
      <c r="J4638" s="56" t="str">
        <f t="shared" si="216"/>
        <v/>
      </c>
      <c r="K4638" s="74" t="str">
        <f t="shared" si="217"/>
        <v/>
      </c>
      <c r="L4638" s="58" t="str">
        <f t="shared" si="218"/>
        <v/>
      </c>
    </row>
    <row r="4639" spans="10:12" ht="16.5" customHeight="1" x14ac:dyDescent="0.35">
      <c r="J4639" s="56" t="str">
        <f t="shared" si="216"/>
        <v/>
      </c>
      <c r="K4639" s="74" t="str">
        <f t="shared" si="217"/>
        <v/>
      </c>
      <c r="L4639" s="58" t="str">
        <f t="shared" si="218"/>
        <v/>
      </c>
    </row>
    <row r="4640" spans="10:12" ht="16.5" customHeight="1" x14ac:dyDescent="0.35">
      <c r="J4640" s="56" t="str">
        <f t="shared" si="216"/>
        <v/>
      </c>
      <c r="K4640" s="74" t="str">
        <f t="shared" si="217"/>
        <v/>
      </c>
      <c r="L4640" s="58" t="str">
        <f t="shared" si="218"/>
        <v/>
      </c>
    </row>
    <row r="4641" spans="10:12" ht="16.5" customHeight="1" x14ac:dyDescent="0.35">
      <c r="J4641" s="56" t="str">
        <f t="shared" si="216"/>
        <v/>
      </c>
      <c r="K4641" s="74" t="str">
        <f t="shared" si="217"/>
        <v/>
      </c>
      <c r="L4641" s="58" t="str">
        <f t="shared" si="218"/>
        <v/>
      </c>
    </row>
    <row r="4642" spans="10:12" ht="16.5" customHeight="1" x14ac:dyDescent="0.35">
      <c r="J4642" s="56" t="str">
        <f t="shared" si="216"/>
        <v/>
      </c>
      <c r="K4642" s="74" t="str">
        <f t="shared" si="217"/>
        <v/>
      </c>
      <c r="L4642" s="58" t="str">
        <f t="shared" si="218"/>
        <v/>
      </c>
    </row>
    <row r="4643" spans="10:12" ht="16.5" customHeight="1" x14ac:dyDescent="0.35">
      <c r="J4643" s="56" t="str">
        <f t="shared" si="216"/>
        <v/>
      </c>
      <c r="K4643" s="74" t="str">
        <f t="shared" si="217"/>
        <v/>
      </c>
      <c r="L4643" s="58" t="str">
        <f t="shared" si="218"/>
        <v/>
      </c>
    </row>
    <row r="4644" spans="10:12" ht="16.5" customHeight="1" x14ac:dyDescent="0.35">
      <c r="J4644" s="56" t="str">
        <f t="shared" si="216"/>
        <v/>
      </c>
      <c r="K4644" s="74" t="str">
        <f t="shared" si="217"/>
        <v/>
      </c>
      <c r="L4644" s="58" t="str">
        <f t="shared" si="218"/>
        <v/>
      </c>
    </row>
    <row r="4645" spans="10:12" ht="16.5" customHeight="1" x14ac:dyDescent="0.35">
      <c r="J4645" s="56" t="str">
        <f t="shared" si="216"/>
        <v/>
      </c>
      <c r="K4645" s="74" t="str">
        <f t="shared" si="217"/>
        <v/>
      </c>
      <c r="L4645" s="58" t="str">
        <f t="shared" si="218"/>
        <v/>
      </c>
    </row>
    <row r="4646" spans="10:12" ht="16.5" customHeight="1" x14ac:dyDescent="0.35">
      <c r="J4646" s="56" t="str">
        <f t="shared" si="216"/>
        <v/>
      </c>
      <c r="K4646" s="74" t="str">
        <f t="shared" si="217"/>
        <v/>
      </c>
      <c r="L4646" s="58" t="str">
        <f t="shared" si="218"/>
        <v/>
      </c>
    </row>
    <row r="4647" spans="10:12" ht="16.5" customHeight="1" x14ac:dyDescent="0.35">
      <c r="J4647" s="56" t="str">
        <f t="shared" si="216"/>
        <v/>
      </c>
      <c r="K4647" s="74" t="str">
        <f t="shared" si="217"/>
        <v/>
      </c>
      <c r="L4647" s="58" t="str">
        <f t="shared" si="218"/>
        <v/>
      </c>
    </row>
    <row r="4648" spans="10:12" ht="16.5" customHeight="1" x14ac:dyDescent="0.35">
      <c r="J4648" s="56" t="str">
        <f t="shared" si="216"/>
        <v/>
      </c>
      <c r="K4648" s="74" t="str">
        <f t="shared" si="217"/>
        <v/>
      </c>
      <c r="L4648" s="58" t="str">
        <f t="shared" si="218"/>
        <v/>
      </c>
    </row>
    <row r="4649" spans="10:12" ht="16.5" customHeight="1" x14ac:dyDescent="0.35">
      <c r="J4649" s="56" t="str">
        <f t="shared" si="216"/>
        <v/>
      </c>
      <c r="K4649" s="74" t="str">
        <f t="shared" si="217"/>
        <v/>
      </c>
      <c r="L4649" s="58" t="str">
        <f t="shared" si="218"/>
        <v/>
      </c>
    </row>
    <row r="4650" spans="10:12" ht="16.5" customHeight="1" x14ac:dyDescent="0.35">
      <c r="J4650" s="56" t="str">
        <f t="shared" si="216"/>
        <v/>
      </c>
      <c r="K4650" s="74" t="str">
        <f t="shared" si="217"/>
        <v/>
      </c>
      <c r="L4650" s="58" t="str">
        <f t="shared" si="218"/>
        <v/>
      </c>
    </row>
    <row r="4651" spans="10:12" ht="16.5" customHeight="1" x14ac:dyDescent="0.35">
      <c r="J4651" s="56" t="str">
        <f t="shared" si="216"/>
        <v/>
      </c>
      <c r="K4651" s="74" t="str">
        <f t="shared" si="217"/>
        <v/>
      </c>
      <c r="L4651" s="58" t="str">
        <f t="shared" si="218"/>
        <v/>
      </c>
    </row>
    <row r="4652" spans="10:12" ht="16.5" customHeight="1" x14ac:dyDescent="0.35">
      <c r="J4652" s="56" t="str">
        <f t="shared" si="216"/>
        <v/>
      </c>
      <c r="K4652" s="74" t="str">
        <f t="shared" si="217"/>
        <v/>
      </c>
      <c r="L4652" s="58" t="str">
        <f t="shared" si="218"/>
        <v/>
      </c>
    </row>
    <row r="4653" spans="10:12" ht="16.5" customHeight="1" x14ac:dyDescent="0.35">
      <c r="J4653" s="56" t="str">
        <f t="shared" si="216"/>
        <v/>
      </c>
      <c r="K4653" s="74" t="str">
        <f t="shared" si="217"/>
        <v/>
      </c>
      <c r="L4653" s="58" t="str">
        <f t="shared" si="218"/>
        <v/>
      </c>
    </row>
    <row r="4654" spans="10:12" ht="16.5" customHeight="1" x14ac:dyDescent="0.35">
      <c r="J4654" s="56" t="str">
        <f t="shared" si="216"/>
        <v/>
      </c>
      <c r="K4654" s="74" t="str">
        <f t="shared" si="217"/>
        <v/>
      </c>
      <c r="L4654" s="58" t="str">
        <f t="shared" si="218"/>
        <v/>
      </c>
    </row>
    <row r="4655" spans="10:12" ht="16.5" customHeight="1" x14ac:dyDescent="0.35">
      <c r="J4655" s="56" t="str">
        <f t="shared" si="216"/>
        <v/>
      </c>
      <c r="K4655" s="74" t="str">
        <f t="shared" si="217"/>
        <v/>
      </c>
      <c r="L4655" s="58" t="str">
        <f t="shared" si="218"/>
        <v/>
      </c>
    </row>
    <row r="4656" spans="10:12" ht="16.5" customHeight="1" x14ac:dyDescent="0.35">
      <c r="J4656" s="56" t="str">
        <f t="shared" si="216"/>
        <v/>
      </c>
      <c r="K4656" s="74" t="str">
        <f t="shared" si="217"/>
        <v/>
      </c>
      <c r="L4656" s="58" t="str">
        <f t="shared" si="218"/>
        <v/>
      </c>
    </row>
    <row r="4657" spans="10:12" ht="16.5" customHeight="1" x14ac:dyDescent="0.35">
      <c r="J4657" s="56" t="str">
        <f t="shared" si="216"/>
        <v/>
      </c>
      <c r="K4657" s="74" t="str">
        <f t="shared" si="217"/>
        <v/>
      </c>
      <c r="L4657" s="58" t="str">
        <f t="shared" si="218"/>
        <v/>
      </c>
    </row>
    <row r="4658" spans="10:12" ht="16.5" customHeight="1" x14ac:dyDescent="0.35">
      <c r="J4658" s="56" t="str">
        <f t="shared" si="216"/>
        <v/>
      </c>
      <c r="K4658" s="74" t="str">
        <f t="shared" si="217"/>
        <v/>
      </c>
      <c r="L4658" s="58" t="str">
        <f t="shared" si="218"/>
        <v/>
      </c>
    </row>
    <row r="4659" spans="10:12" ht="16.5" customHeight="1" x14ac:dyDescent="0.35">
      <c r="J4659" s="56" t="str">
        <f t="shared" si="216"/>
        <v/>
      </c>
      <c r="K4659" s="74" t="str">
        <f t="shared" si="217"/>
        <v/>
      </c>
      <c r="L4659" s="58" t="str">
        <f t="shared" si="218"/>
        <v/>
      </c>
    </row>
    <row r="4660" spans="10:12" ht="16.5" customHeight="1" x14ac:dyDescent="0.35">
      <c r="J4660" s="56" t="str">
        <f t="shared" si="216"/>
        <v/>
      </c>
      <c r="K4660" s="74" t="str">
        <f t="shared" si="217"/>
        <v/>
      </c>
      <c r="L4660" s="58" t="str">
        <f t="shared" si="218"/>
        <v/>
      </c>
    </row>
    <row r="4661" spans="10:12" ht="16.5" customHeight="1" x14ac:dyDescent="0.35">
      <c r="J4661" s="56" t="str">
        <f t="shared" si="216"/>
        <v/>
      </c>
      <c r="K4661" s="74" t="str">
        <f t="shared" si="217"/>
        <v/>
      </c>
      <c r="L4661" s="58" t="str">
        <f t="shared" si="218"/>
        <v/>
      </c>
    </row>
    <row r="4662" spans="10:12" ht="16.5" customHeight="1" x14ac:dyDescent="0.35">
      <c r="J4662" s="56" t="str">
        <f t="shared" si="216"/>
        <v/>
      </c>
      <c r="K4662" s="74" t="str">
        <f t="shared" si="217"/>
        <v/>
      </c>
      <c r="L4662" s="58" t="str">
        <f t="shared" si="218"/>
        <v/>
      </c>
    </row>
    <row r="4663" spans="10:12" ht="16.5" customHeight="1" x14ac:dyDescent="0.35">
      <c r="J4663" s="56" t="str">
        <f t="shared" si="216"/>
        <v/>
      </c>
      <c r="K4663" s="74" t="str">
        <f t="shared" si="217"/>
        <v/>
      </c>
      <c r="L4663" s="58" t="str">
        <f t="shared" si="218"/>
        <v/>
      </c>
    </row>
    <row r="4664" spans="10:12" ht="16.5" customHeight="1" x14ac:dyDescent="0.35">
      <c r="J4664" s="56" t="str">
        <f t="shared" si="216"/>
        <v/>
      </c>
      <c r="K4664" s="74" t="str">
        <f t="shared" si="217"/>
        <v/>
      </c>
      <c r="L4664" s="58" t="str">
        <f t="shared" si="218"/>
        <v/>
      </c>
    </row>
    <row r="4665" spans="10:12" ht="16.5" customHeight="1" x14ac:dyDescent="0.35">
      <c r="J4665" s="56" t="str">
        <f t="shared" si="216"/>
        <v/>
      </c>
      <c r="K4665" s="74" t="str">
        <f t="shared" si="217"/>
        <v/>
      </c>
      <c r="L4665" s="58" t="str">
        <f t="shared" si="218"/>
        <v/>
      </c>
    </row>
    <row r="4666" spans="10:12" ht="16.5" customHeight="1" x14ac:dyDescent="0.35">
      <c r="J4666" s="56" t="str">
        <f t="shared" si="216"/>
        <v/>
      </c>
      <c r="K4666" s="74" t="str">
        <f t="shared" si="217"/>
        <v/>
      </c>
      <c r="L4666" s="58" t="str">
        <f t="shared" si="218"/>
        <v/>
      </c>
    </row>
    <row r="4667" spans="10:12" ht="16.5" customHeight="1" x14ac:dyDescent="0.35">
      <c r="J4667" s="56" t="str">
        <f t="shared" si="216"/>
        <v/>
      </c>
      <c r="K4667" s="74" t="str">
        <f t="shared" si="217"/>
        <v/>
      </c>
      <c r="L4667" s="58" t="str">
        <f t="shared" si="218"/>
        <v/>
      </c>
    </row>
    <row r="4668" spans="10:12" ht="16.5" customHeight="1" x14ac:dyDescent="0.35">
      <c r="J4668" s="56" t="str">
        <f t="shared" si="216"/>
        <v/>
      </c>
      <c r="K4668" s="74" t="str">
        <f t="shared" si="217"/>
        <v/>
      </c>
      <c r="L4668" s="58" t="str">
        <f t="shared" si="218"/>
        <v/>
      </c>
    </row>
    <row r="4669" spans="10:12" ht="16.5" customHeight="1" x14ac:dyDescent="0.35">
      <c r="J4669" s="56" t="str">
        <f t="shared" si="216"/>
        <v/>
      </c>
      <c r="K4669" s="74" t="str">
        <f t="shared" si="217"/>
        <v/>
      </c>
      <c r="L4669" s="58" t="str">
        <f t="shared" si="218"/>
        <v/>
      </c>
    </row>
    <row r="4670" spans="10:12" ht="16.5" customHeight="1" x14ac:dyDescent="0.35">
      <c r="J4670" s="56" t="str">
        <f t="shared" si="216"/>
        <v/>
      </c>
      <c r="K4670" s="74" t="str">
        <f t="shared" si="217"/>
        <v/>
      </c>
      <c r="L4670" s="58" t="str">
        <f t="shared" si="218"/>
        <v/>
      </c>
    </row>
    <row r="4671" spans="10:12" ht="16.5" customHeight="1" x14ac:dyDescent="0.35">
      <c r="J4671" s="56" t="str">
        <f t="shared" si="216"/>
        <v/>
      </c>
      <c r="K4671" s="74" t="str">
        <f t="shared" si="217"/>
        <v/>
      </c>
      <c r="L4671" s="58" t="str">
        <f t="shared" si="218"/>
        <v/>
      </c>
    </row>
    <row r="4672" spans="10:12" ht="16.5" customHeight="1" x14ac:dyDescent="0.35">
      <c r="J4672" s="56" t="str">
        <f t="shared" si="216"/>
        <v/>
      </c>
      <c r="K4672" s="74" t="str">
        <f t="shared" si="217"/>
        <v/>
      </c>
      <c r="L4672" s="58" t="str">
        <f t="shared" si="218"/>
        <v/>
      </c>
    </row>
    <row r="4673" spans="10:12" ht="16.5" customHeight="1" x14ac:dyDescent="0.35">
      <c r="J4673" s="56" t="str">
        <f t="shared" si="216"/>
        <v/>
      </c>
      <c r="K4673" s="74" t="str">
        <f t="shared" si="217"/>
        <v/>
      </c>
      <c r="L4673" s="58" t="str">
        <f t="shared" si="218"/>
        <v/>
      </c>
    </row>
    <row r="4674" spans="10:12" ht="16.5" customHeight="1" x14ac:dyDescent="0.35">
      <c r="J4674" s="56" t="str">
        <f t="shared" si="216"/>
        <v/>
      </c>
      <c r="K4674" s="74" t="str">
        <f t="shared" si="217"/>
        <v/>
      </c>
      <c r="L4674" s="58" t="str">
        <f t="shared" si="218"/>
        <v/>
      </c>
    </row>
    <row r="4675" spans="10:12" ht="16.5" customHeight="1" x14ac:dyDescent="0.35">
      <c r="J4675" s="56" t="str">
        <f t="shared" si="216"/>
        <v/>
      </c>
      <c r="K4675" s="74" t="str">
        <f t="shared" si="217"/>
        <v/>
      </c>
      <c r="L4675" s="58" t="str">
        <f t="shared" si="218"/>
        <v/>
      </c>
    </row>
    <row r="4676" spans="10:12" ht="16.5" customHeight="1" x14ac:dyDescent="0.35">
      <c r="J4676" s="56" t="str">
        <f t="shared" si="216"/>
        <v/>
      </c>
      <c r="K4676" s="74" t="str">
        <f t="shared" si="217"/>
        <v/>
      </c>
      <c r="L4676" s="58" t="str">
        <f t="shared" si="218"/>
        <v/>
      </c>
    </row>
    <row r="4677" spans="10:12" ht="16.5" customHeight="1" x14ac:dyDescent="0.35">
      <c r="J4677" s="56" t="str">
        <f t="shared" si="216"/>
        <v/>
      </c>
      <c r="K4677" s="74" t="str">
        <f t="shared" si="217"/>
        <v/>
      </c>
      <c r="L4677" s="58" t="str">
        <f t="shared" si="218"/>
        <v/>
      </c>
    </row>
    <row r="4678" spans="10:12" ht="16.5" customHeight="1" x14ac:dyDescent="0.35">
      <c r="J4678" s="56" t="str">
        <f t="shared" si="216"/>
        <v/>
      </c>
      <c r="K4678" s="74" t="str">
        <f t="shared" si="217"/>
        <v/>
      </c>
      <c r="L4678" s="58" t="str">
        <f t="shared" si="218"/>
        <v/>
      </c>
    </row>
    <row r="4679" spans="10:12" ht="16.5" customHeight="1" x14ac:dyDescent="0.35">
      <c r="J4679" s="56" t="str">
        <f t="shared" si="216"/>
        <v/>
      </c>
      <c r="K4679" s="74" t="str">
        <f t="shared" si="217"/>
        <v/>
      </c>
      <c r="L4679" s="58" t="str">
        <f t="shared" si="218"/>
        <v/>
      </c>
    </row>
    <row r="4680" spans="10:12" ht="16.5" customHeight="1" x14ac:dyDescent="0.35">
      <c r="J4680" s="56" t="str">
        <f t="shared" si="216"/>
        <v/>
      </c>
      <c r="K4680" s="74" t="str">
        <f t="shared" si="217"/>
        <v/>
      </c>
      <c r="L4680" s="58" t="str">
        <f t="shared" si="218"/>
        <v/>
      </c>
    </row>
    <row r="4681" spans="10:12" ht="16.5" customHeight="1" x14ac:dyDescent="0.35">
      <c r="J4681" s="56" t="str">
        <f t="shared" ref="J4681:J4744" si="219">IF(A4681="","",A$5-A4681)</f>
        <v/>
      </c>
      <c r="K4681" s="74" t="str">
        <f t="shared" ref="K4681:K4744" si="220">IF(J4681="","",IF(J4681&lt;4,"0-3 Days",IF(J4681&lt;31,"4-30 Days",IF(J4681&lt;61,"31-60 Days",IF(J4681&lt;=90,"61-90 Days",IF(J4681&gt;90,"Above 90 Days","0"))))))</f>
        <v/>
      </c>
      <c r="L4681" s="58" t="str">
        <f t="shared" ref="L4681:L4744" si="221">IF(C4681="","",IF(C4681&gt;0,IF(J4681&lt;30,"Normal",IF(J4681&lt;60,"Especially Mentioned",IF(J4681&lt;90,"Substandard",IF(J4681&lt;=180,"Doubtful",IF(J4681&gt;180,"Loss","0"))))),"Not Applicable"))</f>
        <v/>
      </c>
    </row>
    <row r="4682" spans="10:12" ht="16.5" customHeight="1" x14ac:dyDescent="0.35">
      <c r="J4682" s="56" t="str">
        <f t="shared" si="219"/>
        <v/>
      </c>
      <c r="K4682" s="74" t="str">
        <f t="shared" si="220"/>
        <v/>
      </c>
      <c r="L4682" s="58" t="str">
        <f t="shared" si="221"/>
        <v/>
      </c>
    </row>
    <row r="4683" spans="10:12" ht="16.5" customHeight="1" x14ac:dyDescent="0.35">
      <c r="J4683" s="56" t="str">
        <f t="shared" si="219"/>
        <v/>
      </c>
      <c r="K4683" s="74" t="str">
        <f t="shared" si="220"/>
        <v/>
      </c>
      <c r="L4683" s="58" t="str">
        <f t="shared" si="221"/>
        <v/>
      </c>
    </row>
    <row r="4684" spans="10:12" ht="16.5" customHeight="1" x14ac:dyDescent="0.35">
      <c r="J4684" s="56" t="str">
        <f t="shared" si="219"/>
        <v/>
      </c>
      <c r="K4684" s="74" t="str">
        <f t="shared" si="220"/>
        <v/>
      </c>
      <c r="L4684" s="58" t="str">
        <f t="shared" si="221"/>
        <v/>
      </c>
    </row>
    <row r="4685" spans="10:12" ht="16.5" customHeight="1" x14ac:dyDescent="0.35">
      <c r="J4685" s="56" t="str">
        <f t="shared" si="219"/>
        <v/>
      </c>
      <c r="K4685" s="74" t="str">
        <f t="shared" si="220"/>
        <v/>
      </c>
      <c r="L4685" s="58" t="str">
        <f t="shared" si="221"/>
        <v/>
      </c>
    </row>
    <row r="4686" spans="10:12" ht="16.5" customHeight="1" x14ac:dyDescent="0.35">
      <c r="J4686" s="56" t="str">
        <f t="shared" si="219"/>
        <v/>
      </c>
      <c r="K4686" s="74" t="str">
        <f t="shared" si="220"/>
        <v/>
      </c>
      <c r="L4686" s="58" t="str">
        <f t="shared" si="221"/>
        <v/>
      </c>
    </row>
    <row r="4687" spans="10:12" ht="16.5" customHeight="1" x14ac:dyDescent="0.35">
      <c r="J4687" s="56" t="str">
        <f t="shared" si="219"/>
        <v/>
      </c>
      <c r="K4687" s="74" t="str">
        <f t="shared" si="220"/>
        <v/>
      </c>
      <c r="L4687" s="58" t="str">
        <f t="shared" si="221"/>
        <v/>
      </c>
    </row>
    <row r="4688" spans="10:12" ht="16.5" customHeight="1" x14ac:dyDescent="0.35">
      <c r="J4688" s="56" t="str">
        <f t="shared" si="219"/>
        <v/>
      </c>
      <c r="K4688" s="74" t="str">
        <f t="shared" si="220"/>
        <v/>
      </c>
      <c r="L4688" s="58" t="str">
        <f t="shared" si="221"/>
        <v/>
      </c>
    </row>
    <row r="4689" spans="10:12" ht="16.5" customHeight="1" x14ac:dyDescent="0.35">
      <c r="J4689" s="56" t="str">
        <f t="shared" si="219"/>
        <v/>
      </c>
      <c r="K4689" s="74" t="str">
        <f t="shared" si="220"/>
        <v/>
      </c>
      <c r="L4689" s="58" t="str">
        <f t="shared" si="221"/>
        <v/>
      </c>
    </row>
    <row r="4690" spans="10:12" ht="16.5" customHeight="1" x14ac:dyDescent="0.35">
      <c r="J4690" s="56" t="str">
        <f t="shared" si="219"/>
        <v/>
      </c>
      <c r="K4690" s="74" t="str">
        <f t="shared" si="220"/>
        <v/>
      </c>
      <c r="L4690" s="58" t="str">
        <f t="shared" si="221"/>
        <v/>
      </c>
    </row>
    <row r="4691" spans="10:12" ht="16.5" customHeight="1" x14ac:dyDescent="0.35">
      <c r="J4691" s="56" t="str">
        <f t="shared" si="219"/>
        <v/>
      </c>
      <c r="K4691" s="74" t="str">
        <f t="shared" si="220"/>
        <v/>
      </c>
      <c r="L4691" s="58" t="str">
        <f t="shared" si="221"/>
        <v/>
      </c>
    </row>
    <row r="4692" spans="10:12" ht="16.5" customHeight="1" x14ac:dyDescent="0.35">
      <c r="J4692" s="56" t="str">
        <f t="shared" si="219"/>
        <v/>
      </c>
      <c r="K4692" s="74" t="str">
        <f t="shared" si="220"/>
        <v/>
      </c>
      <c r="L4692" s="58" t="str">
        <f t="shared" si="221"/>
        <v/>
      </c>
    </row>
    <row r="4693" spans="10:12" ht="16.5" customHeight="1" x14ac:dyDescent="0.35">
      <c r="J4693" s="56" t="str">
        <f t="shared" si="219"/>
        <v/>
      </c>
      <c r="K4693" s="74" t="str">
        <f t="shared" si="220"/>
        <v/>
      </c>
      <c r="L4693" s="58" t="str">
        <f t="shared" si="221"/>
        <v/>
      </c>
    </row>
    <row r="4694" spans="10:12" ht="16.5" customHeight="1" x14ac:dyDescent="0.35">
      <c r="J4694" s="56" t="str">
        <f t="shared" si="219"/>
        <v/>
      </c>
      <c r="K4694" s="74" t="str">
        <f t="shared" si="220"/>
        <v/>
      </c>
      <c r="L4694" s="58" t="str">
        <f t="shared" si="221"/>
        <v/>
      </c>
    </row>
    <row r="4695" spans="10:12" ht="16.5" customHeight="1" x14ac:dyDescent="0.35">
      <c r="J4695" s="56" t="str">
        <f t="shared" si="219"/>
        <v/>
      </c>
      <c r="K4695" s="74" t="str">
        <f t="shared" si="220"/>
        <v/>
      </c>
      <c r="L4695" s="58" t="str">
        <f t="shared" si="221"/>
        <v/>
      </c>
    </row>
    <row r="4696" spans="10:12" ht="16.5" customHeight="1" x14ac:dyDescent="0.35">
      <c r="J4696" s="56" t="str">
        <f t="shared" si="219"/>
        <v/>
      </c>
      <c r="K4696" s="74" t="str">
        <f t="shared" si="220"/>
        <v/>
      </c>
      <c r="L4696" s="58" t="str">
        <f t="shared" si="221"/>
        <v/>
      </c>
    </row>
    <row r="4697" spans="10:12" ht="16.5" customHeight="1" x14ac:dyDescent="0.35">
      <c r="J4697" s="56" t="str">
        <f t="shared" si="219"/>
        <v/>
      </c>
      <c r="K4697" s="74" t="str">
        <f t="shared" si="220"/>
        <v/>
      </c>
      <c r="L4697" s="58" t="str">
        <f t="shared" si="221"/>
        <v/>
      </c>
    </row>
    <row r="4698" spans="10:12" ht="16.5" customHeight="1" x14ac:dyDescent="0.35">
      <c r="J4698" s="56" t="str">
        <f t="shared" si="219"/>
        <v/>
      </c>
      <c r="K4698" s="74" t="str">
        <f t="shared" si="220"/>
        <v/>
      </c>
      <c r="L4698" s="58" t="str">
        <f t="shared" si="221"/>
        <v/>
      </c>
    </row>
    <row r="4699" spans="10:12" ht="16.5" customHeight="1" x14ac:dyDescent="0.35">
      <c r="J4699" s="56" t="str">
        <f t="shared" si="219"/>
        <v/>
      </c>
      <c r="K4699" s="74" t="str">
        <f t="shared" si="220"/>
        <v/>
      </c>
      <c r="L4699" s="58" t="str">
        <f t="shared" si="221"/>
        <v/>
      </c>
    </row>
    <row r="4700" spans="10:12" ht="16.5" customHeight="1" x14ac:dyDescent="0.35">
      <c r="J4700" s="56" t="str">
        <f t="shared" si="219"/>
        <v/>
      </c>
      <c r="K4700" s="74" t="str">
        <f t="shared" si="220"/>
        <v/>
      </c>
      <c r="L4700" s="58" t="str">
        <f t="shared" si="221"/>
        <v/>
      </c>
    </row>
    <row r="4701" spans="10:12" ht="16.5" customHeight="1" x14ac:dyDescent="0.35">
      <c r="J4701" s="56" t="str">
        <f t="shared" si="219"/>
        <v/>
      </c>
      <c r="K4701" s="74" t="str">
        <f t="shared" si="220"/>
        <v/>
      </c>
      <c r="L4701" s="58" t="str">
        <f t="shared" si="221"/>
        <v/>
      </c>
    </row>
    <row r="4702" spans="10:12" ht="16.5" customHeight="1" x14ac:dyDescent="0.35">
      <c r="J4702" s="56" t="str">
        <f t="shared" si="219"/>
        <v/>
      </c>
      <c r="K4702" s="74" t="str">
        <f t="shared" si="220"/>
        <v/>
      </c>
      <c r="L4702" s="58" t="str">
        <f t="shared" si="221"/>
        <v/>
      </c>
    </row>
    <row r="4703" spans="10:12" ht="16.5" customHeight="1" x14ac:dyDescent="0.35">
      <c r="J4703" s="56" t="str">
        <f t="shared" si="219"/>
        <v/>
      </c>
      <c r="K4703" s="74" t="str">
        <f t="shared" si="220"/>
        <v/>
      </c>
      <c r="L4703" s="58" t="str">
        <f t="shared" si="221"/>
        <v/>
      </c>
    </row>
    <row r="4704" spans="10:12" ht="16.5" customHeight="1" x14ac:dyDescent="0.35">
      <c r="J4704" s="56" t="str">
        <f t="shared" si="219"/>
        <v/>
      </c>
      <c r="K4704" s="74" t="str">
        <f t="shared" si="220"/>
        <v/>
      </c>
      <c r="L4704" s="58" t="str">
        <f t="shared" si="221"/>
        <v/>
      </c>
    </row>
    <row r="4705" spans="10:12" ht="16.5" customHeight="1" x14ac:dyDescent="0.35">
      <c r="J4705" s="56" t="str">
        <f t="shared" si="219"/>
        <v/>
      </c>
      <c r="K4705" s="74" t="str">
        <f t="shared" si="220"/>
        <v/>
      </c>
      <c r="L4705" s="58" t="str">
        <f t="shared" si="221"/>
        <v/>
      </c>
    </row>
    <row r="4706" spans="10:12" ht="16.5" customHeight="1" x14ac:dyDescent="0.35">
      <c r="J4706" s="56" t="str">
        <f t="shared" si="219"/>
        <v/>
      </c>
      <c r="K4706" s="74" t="str">
        <f t="shared" si="220"/>
        <v/>
      </c>
      <c r="L4706" s="58" t="str">
        <f t="shared" si="221"/>
        <v/>
      </c>
    </row>
    <row r="4707" spans="10:12" ht="16.5" customHeight="1" x14ac:dyDescent="0.35">
      <c r="J4707" s="56" t="str">
        <f t="shared" si="219"/>
        <v/>
      </c>
      <c r="K4707" s="74" t="str">
        <f t="shared" si="220"/>
        <v/>
      </c>
      <c r="L4707" s="58" t="str">
        <f t="shared" si="221"/>
        <v/>
      </c>
    </row>
    <row r="4708" spans="10:12" ht="16.5" customHeight="1" x14ac:dyDescent="0.35">
      <c r="J4708" s="56" t="str">
        <f t="shared" si="219"/>
        <v/>
      </c>
      <c r="K4708" s="74" t="str">
        <f t="shared" si="220"/>
        <v/>
      </c>
      <c r="L4708" s="58" t="str">
        <f t="shared" si="221"/>
        <v/>
      </c>
    </row>
    <row r="4709" spans="10:12" ht="16.5" customHeight="1" x14ac:dyDescent="0.35">
      <c r="J4709" s="56" t="str">
        <f t="shared" si="219"/>
        <v/>
      </c>
      <c r="K4709" s="74" t="str">
        <f t="shared" si="220"/>
        <v/>
      </c>
      <c r="L4709" s="58" t="str">
        <f t="shared" si="221"/>
        <v/>
      </c>
    </row>
    <row r="4710" spans="10:12" ht="16.5" customHeight="1" x14ac:dyDescent="0.35">
      <c r="J4710" s="56" t="str">
        <f t="shared" si="219"/>
        <v/>
      </c>
      <c r="K4710" s="74" t="str">
        <f t="shared" si="220"/>
        <v/>
      </c>
      <c r="L4710" s="58" t="str">
        <f t="shared" si="221"/>
        <v/>
      </c>
    </row>
    <row r="4711" spans="10:12" ht="16.5" customHeight="1" x14ac:dyDescent="0.35">
      <c r="J4711" s="56" t="str">
        <f t="shared" si="219"/>
        <v/>
      </c>
      <c r="K4711" s="74" t="str">
        <f t="shared" si="220"/>
        <v/>
      </c>
      <c r="L4711" s="58" t="str">
        <f t="shared" si="221"/>
        <v/>
      </c>
    </row>
    <row r="4712" spans="10:12" ht="16.5" customHeight="1" x14ac:dyDescent="0.35">
      <c r="J4712" s="56" t="str">
        <f t="shared" si="219"/>
        <v/>
      </c>
      <c r="K4712" s="74" t="str">
        <f t="shared" si="220"/>
        <v/>
      </c>
      <c r="L4712" s="58" t="str">
        <f t="shared" si="221"/>
        <v/>
      </c>
    </row>
    <row r="4713" spans="10:12" ht="16.5" customHeight="1" x14ac:dyDescent="0.35">
      <c r="J4713" s="56" t="str">
        <f t="shared" si="219"/>
        <v/>
      </c>
      <c r="K4713" s="74" t="str">
        <f t="shared" si="220"/>
        <v/>
      </c>
      <c r="L4713" s="58" t="str">
        <f t="shared" si="221"/>
        <v/>
      </c>
    </row>
    <row r="4714" spans="10:12" ht="16.5" customHeight="1" x14ac:dyDescent="0.35">
      <c r="J4714" s="56" t="str">
        <f t="shared" si="219"/>
        <v/>
      </c>
      <c r="K4714" s="74" t="str">
        <f t="shared" si="220"/>
        <v/>
      </c>
      <c r="L4714" s="58" t="str">
        <f t="shared" si="221"/>
        <v/>
      </c>
    </row>
    <row r="4715" spans="10:12" ht="16.5" customHeight="1" x14ac:dyDescent="0.35">
      <c r="J4715" s="56" t="str">
        <f t="shared" si="219"/>
        <v/>
      </c>
      <c r="K4715" s="74" t="str">
        <f t="shared" si="220"/>
        <v/>
      </c>
      <c r="L4715" s="58" t="str">
        <f t="shared" si="221"/>
        <v/>
      </c>
    </row>
    <row r="4716" spans="10:12" ht="16.5" customHeight="1" x14ac:dyDescent="0.35">
      <c r="J4716" s="56" t="str">
        <f t="shared" si="219"/>
        <v/>
      </c>
      <c r="K4716" s="74" t="str">
        <f t="shared" si="220"/>
        <v/>
      </c>
      <c r="L4716" s="58" t="str">
        <f t="shared" si="221"/>
        <v/>
      </c>
    </row>
    <row r="4717" spans="10:12" ht="16.5" customHeight="1" x14ac:dyDescent="0.35">
      <c r="J4717" s="56" t="str">
        <f t="shared" si="219"/>
        <v/>
      </c>
      <c r="K4717" s="74" t="str">
        <f t="shared" si="220"/>
        <v/>
      </c>
      <c r="L4717" s="58" t="str">
        <f t="shared" si="221"/>
        <v/>
      </c>
    </row>
    <row r="4718" spans="10:12" ht="16.5" customHeight="1" x14ac:dyDescent="0.35">
      <c r="J4718" s="56" t="str">
        <f t="shared" si="219"/>
        <v/>
      </c>
      <c r="K4718" s="74" t="str">
        <f t="shared" si="220"/>
        <v/>
      </c>
      <c r="L4718" s="58" t="str">
        <f t="shared" si="221"/>
        <v/>
      </c>
    </row>
    <row r="4719" spans="10:12" ht="16.5" customHeight="1" x14ac:dyDescent="0.35">
      <c r="J4719" s="56" t="str">
        <f t="shared" si="219"/>
        <v/>
      </c>
      <c r="K4719" s="74" t="str">
        <f t="shared" si="220"/>
        <v/>
      </c>
      <c r="L4719" s="58" t="str">
        <f t="shared" si="221"/>
        <v/>
      </c>
    </row>
    <row r="4720" spans="10:12" ht="16.5" customHeight="1" x14ac:dyDescent="0.35">
      <c r="J4720" s="56" t="str">
        <f t="shared" si="219"/>
        <v/>
      </c>
      <c r="K4720" s="74" t="str">
        <f t="shared" si="220"/>
        <v/>
      </c>
      <c r="L4720" s="58" t="str">
        <f t="shared" si="221"/>
        <v/>
      </c>
    </row>
    <row r="4721" spans="10:12" ht="16.5" customHeight="1" x14ac:dyDescent="0.35">
      <c r="J4721" s="56" t="str">
        <f t="shared" si="219"/>
        <v/>
      </c>
      <c r="K4721" s="74" t="str">
        <f t="shared" si="220"/>
        <v/>
      </c>
      <c r="L4721" s="58" t="str">
        <f t="shared" si="221"/>
        <v/>
      </c>
    </row>
    <row r="4722" spans="10:12" ht="16.5" customHeight="1" x14ac:dyDescent="0.35">
      <c r="J4722" s="56" t="str">
        <f t="shared" si="219"/>
        <v/>
      </c>
      <c r="K4722" s="74" t="str">
        <f t="shared" si="220"/>
        <v/>
      </c>
      <c r="L4722" s="58" t="str">
        <f t="shared" si="221"/>
        <v/>
      </c>
    </row>
    <row r="4723" spans="10:12" ht="16.5" customHeight="1" x14ac:dyDescent="0.35">
      <c r="J4723" s="56" t="str">
        <f t="shared" si="219"/>
        <v/>
      </c>
      <c r="K4723" s="74" t="str">
        <f t="shared" si="220"/>
        <v/>
      </c>
      <c r="L4723" s="58" t="str">
        <f t="shared" si="221"/>
        <v/>
      </c>
    </row>
    <row r="4724" spans="10:12" ht="16.5" customHeight="1" x14ac:dyDescent="0.35">
      <c r="J4724" s="56" t="str">
        <f t="shared" si="219"/>
        <v/>
      </c>
      <c r="K4724" s="74" t="str">
        <f t="shared" si="220"/>
        <v/>
      </c>
      <c r="L4724" s="58" t="str">
        <f t="shared" si="221"/>
        <v/>
      </c>
    </row>
    <row r="4725" spans="10:12" ht="16.5" customHeight="1" x14ac:dyDescent="0.35">
      <c r="J4725" s="56" t="str">
        <f t="shared" si="219"/>
        <v/>
      </c>
      <c r="K4725" s="74" t="str">
        <f t="shared" si="220"/>
        <v/>
      </c>
      <c r="L4725" s="58" t="str">
        <f t="shared" si="221"/>
        <v/>
      </c>
    </row>
    <row r="4726" spans="10:12" ht="16.5" customHeight="1" x14ac:dyDescent="0.35">
      <c r="J4726" s="56" t="str">
        <f t="shared" si="219"/>
        <v/>
      </c>
      <c r="K4726" s="74" t="str">
        <f t="shared" si="220"/>
        <v/>
      </c>
      <c r="L4726" s="58" t="str">
        <f t="shared" si="221"/>
        <v/>
      </c>
    </row>
    <row r="4727" spans="10:12" ht="16.5" customHeight="1" x14ac:dyDescent="0.35">
      <c r="J4727" s="56" t="str">
        <f t="shared" si="219"/>
        <v/>
      </c>
      <c r="K4727" s="74" t="str">
        <f t="shared" si="220"/>
        <v/>
      </c>
      <c r="L4727" s="58" t="str">
        <f t="shared" si="221"/>
        <v/>
      </c>
    </row>
    <row r="4728" spans="10:12" ht="16.5" customHeight="1" x14ac:dyDescent="0.35">
      <c r="J4728" s="56" t="str">
        <f t="shared" si="219"/>
        <v/>
      </c>
      <c r="K4728" s="74" t="str">
        <f t="shared" si="220"/>
        <v/>
      </c>
      <c r="L4728" s="58" t="str">
        <f t="shared" si="221"/>
        <v/>
      </c>
    </row>
    <row r="4729" spans="10:12" ht="16.5" customHeight="1" x14ac:dyDescent="0.35">
      <c r="J4729" s="56" t="str">
        <f t="shared" si="219"/>
        <v/>
      </c>
      <c r="K4729" s="74" t="str">
        <f t="shared" si="220"/>
        <v/>
      </c>
      <c r="L4729" s="58" t="str">
        <f t="shared" si="221"/>
        <v/>
      </c>
    </row>
    <row r="4730" spans="10:12" ht="16.5" customHeight="1" x14ac:dyDescent="0.35">
      <c r="J4730" s="56" t="str">
        <f t="shared" si="219"/>
        <v/>
      </c>
      <c r="K4730" s="74" t="str">
        <f t="shared" si="220"/>
        <v/>
      </c>
      <c r="L4730" s="58" t="str">
        <f t="shared" si="221"/>
        <v/>
      </c>
    </row>
    <row r="4731" spans="10:12" ht="16.5" customHeight="1" x14ac:dyDescent="0.35">
      <c r="J4731" s="56" t="str">
        <f t="shared" si="219"/>
        <v/>
      </c>
      <c r="K4731" s="74" t="str">
        <f t="shared" si="220"/>
        <v/>
      </c>
      <c r="L4731" s="58" t="str">
        <f t="shared" si="221"/>
        <v/>
      </c>
    </row>
    <row r="4732" spans="10:12" ht="16.5" customHeight="1" x14ac:dyDescent="0.35">
      <c r="J4732" s="56" t="str">
        <f t="shared" si="219"/>
        <v/>
      </c>
      <c r="K4732" s="74" t="str">
        <f t="shared" si="220"/>
        <v/>
      </c>
      <c r="L4732" s="58" t="str">
        <f t="shared" si="221"/>
        <v/>
      </c>
    </row>
    <row r="4733" spans="10:12" ht="16.5" customHeight="1" x14ac:dyDescent="0.35">
      <c r="J4733" s="56" t="str">
        <f t="shared" si="219"/>
        <v/>
      </c>
      <c r="K4733" s="74" t="str">
        <f t="shared" si="220"/>
        <v/>
      </c>
      <c r="L4733" s="58" t="str">
        <f t="shared" si="221"/>
        <v/>
      </c>
    </row>
    <row r="4734" spans="10:12" ht="16.5" customHeight="1" x14ac:dyDescent="0.35">
      <c r="J4734" s="56" t="str">
        <f t="shared" si="219"/>
        <v/>
      </c>
      <c r="K4734" s="74" t="str">
        <f t="shared" si="220"/>
        <v/>
      </c>
      <c r="L4734" s="58" t="str">
        <f t="shared" si="221"/>
        <v/>
      </c>
    </row>
    <row r="4735" spans="10:12" ht="16.5" customHeight="1" x14ac:dyDescent="0.35">
      <c r="J4735" s="56" t="str">
        <f t="shared" si="219"/>
        <v/>
      </c>
      <c r="K4735" s="74" t="str">
        <f t="shared" si="220"/>
        <v/>
      </c>
      <c r="L4735" s="58" t="str">
        <f t="shared" si="221"/>
        <v/>
      </c>
    </row>
    <row r="4736" spans="10:12" ht="16.5" customHeight="1" x14ac:dyDescent="0.35">
      <c r="J4736" s="56" t="str">
        <f t="shared" si="219"/>
        <v/>
      </c>
      <c r="K4736" s="74" t="str">
        <f t="shared" si="220"/>
        <v/>
      </c>
      <c r="L4736" s="58" t="str">
        <f t="shared" si="221"/>
        <v/>
      </c>
    </row>
    <row r="4737" spans="10:12" ht="16.5" customHeight="1" x14ac:dyDescent="0.35">
      <c r="J4737" s="56" t="str">
        <f t="shared" si="219"/>
        <v/>
      </c>
      <c r="K4737" s="74" t="str">
        <f t="shared" si="220"/>
        <v/>
      </c>
      <c r="L4737" s="58" t="str">
        <f t="shared" si="221"/>
        <v/>
      </c>
    </row>
    <row r="4738" spans="10:12" ht="16.5" customHeight="1" x14ac:dyDescent="0.35">
      <c r="J4738" s="56" t="str">
        <f t="shared" si="219"/>
        <v/>
      </c>
      <c r="K4738" s="74" t="str">
        <f t="shared" si="220"/>
        <v/>
      </c>
      <c r="L4738" s="58" t="str">
        <f t="shared" si="221"/>
        <v/>
      </c>
    </row>
    <row r="4739" spans="10:12" ht="16.5" customHeight="1" x14ac:dyDescent="0.35">
      <c r="J4739" s="56" t="str">
        <f t="shared" si="219"/>
        <v/>
      </c>
      <c r="K4739" s="74" t="str">
        <f t="shared" si="220"/>
        <v/>
      </c>
      <c r="L4739" s="58" t="str">
        <f t="shared" si="221"/>
        <v/>
      </c>
    </row>
    <row r="4740" spans="10:12" ht="16.5" customHeight="1" x14ac:dyDescent="0.35">
      <c r="J4740" s="56" t="str">
        <f t="shared" si="219"/>
        <v/>
      </c>
      <c r="K4740" s="74" t="str">
        <f t="shared" si="220"/>
        <v/>
      </c>
      <c r="L4740" s="58" t="str">
        <f t="shared" si="221"/>
        <v/>
      </c>
    </row>
    <row r="4741" spans="10:12" ht="16.5" customHeight="1" x14ac:dyDescent="0.35">
      <c r="J4741" s="56" t="str">
        <f t="shared" si="219"/>
        <v/>
      </c>
      <c r="K4741" s="74" t="str">
        <f t="shared" si="220"/>
        <v/>
      </c>
      <c r="L4741" s="58" t="str">
        <f t="shared" si="221"/>
        <v/>
      </c>
    </row>
    <row r="4742" spans="10:12" ht="16.5" customHeight="1" x14ac:dyDescent="0.35">
      <c r="J4742" s="56" t="str">
        <f t="shared" si="219"/>
        <v/>
      </c>
      <c r="K4742" s="74" t="str">
        <f t="shared" si="220"/>
        <v/>
      </c>
      <c r="L4742" s="58" t="str">
        <f t="shared" si="221"/>
        <v/>
      </c>
    </row>
    <row r="4743" spans="10:12" ht="16.5" customHeight="1" x14ac:dyDescent="0.35">
      <c r="J4743" s="56" t="str">
        <f t="shared" si="219"/>
        <v/>
      </c>
      <c r="K4743" s="74" t="str">
        <f t="shared" si="220"/>
        <v/>
      </c>
      <c r="L4743" s="58" t="str">
        <f t="shared" si="221"/>
        <v/>
      </c>
    </row>
    <row r="4744" spans="10:12" ht="16.5" customHeight="1" x14ac:dyDescent="0.35">
      <c r="J4744" s="56" t="str">
        <f t="shared" si="219"/>
        <v/>
      </c>
      <c r="K4744" s="74" t="str">
        <f t="shared" si="220"/>
        <v/>
      </c>
      <c r="L4744" s="58" t="str">
        <f t="shared" si="221"/>
        <v/>
      </c>
    </row>
    <row r="4745" spans="10:12" ht="16.5" customHeight="1" x14ac:dyDescent="0.35">
      <c r="J4745" s="56" t="str">
        <f t="shared" ref="J4745:J4808" si="222">IF(A4745="","",A$5-A4745)</f>
        <v/>
      </c>
      <c r="K4745" s="74" t="str">
        <f t="shared" ref="K4745:K4808" si="223">IF(J4745="","",IF(J4745&lt;4,"0-3 Days",IF(J4745&lt;31,"4-30 Days",IF(J4745&lt;61,"31-60 Days",IF(J4745&lt;=90,"61-90 Days",IF(J4745&gt;90,"Above 90 Days","0"))))))</f>
        <v/>
      </c>
      <c r="L4745" s="58" t="str">
        <f t="shared" ref="L4745:L4808" si="224">IF(C4745="","",IF(C4745&gt;0,IF(J4745&lt;30,"Normal",IF(J4745&lt;60,"Especially Mentioned",IF(J4745&lt;90,"Substandard",IF(J4745&lt;=180,"Doubtful",IF(J4745&gt;180,"Loss","0"))))),"Not Applicable"))</f>
        <v/>
      </c>
    </row>
    <row r="4746" spans="10:12" ht="16.5" customHeight="1" x14ac:dyDescent="0.35">
      <c r="J4746" s="56" t="str">
        <f t="shared" si="222"/>
        <v/>
      </c>
      <c r="K4746" s="74" t="str">
        <f t="shared" si="223"/>
        <v/>
      </c>
      <c r="L4746" s="58" t="str">
        <f t="shared" si="224"/>
        <v/>
      </c>
    </row>
    <row r="4747" spans="10:12" ht="16.5" customHeight="1" x14ac:dyDescent="0.35">
      <c r="J4747" s="56" t="str">
        <f t="shared" si="222"/>
        <v/>
      </c>
      <c r="K4747" s="74" t="str">
        <f t="shared" si="223"/>
        <v/>
      </c>
      <c r="L4747" s="58" t="str">
        <f t="shared" si="224"/>
        <v/>
      </c>
    </row>
    <row r="4748" spans="10:12" ht="16.5" customHeight="1" x14ac:dyDescent="0.35">
      <c r="J4748" s="56" t="str">
        <f t="shared" si="222"/>
        <v/>
      </c>
      <c r="K4748" s="74" t="str">
        <f t="shared" si="223"/>
        <v/>
      </c>
      <c r="L4748" s="58" t="str">
        <f t="shared" si="224"/>
        <v/>
      </c>
    </row>
    <row r="4749" spans="10:12" ht="16.5" customHeight="1" x14ac:dyDescent="0.35">
      <c r="J4749" s="56" t="str">
        <f t="shared" si="222"/>
        <v/>
      </c>
      <c r="K4749" s="74" t="str">
        <f t="shared" si="223"/>
        <v/>
      </c>
      <c r="L4749" s="58" t="str">
        <f t="shared" si="224"/>
        <v/>
      </c>
    </row>
    <row r="4750" spans="10:12" ht="16.5" customHeight="1" x14ac:dyDescent="0.35">
      <c r="J4750" s="56" t="str">
        <f t="shared" si="222"/>
        <v/>
      </c>
      <c r="K4750" s="74" t="str">
        <f t="shared" si="223"/>
        <v/>
      </c>
      <c r="L4750" s="58" t="str">
        <f t="shared" si="224"/>
        <v/>
      </c>
    </row>
    <row r="4751" spans="10:12" ht="16.5" customHeight="1" x14ac:dyDescent="0.35">
      <c r="J4751" s="56" t="str">
        <f t="shared" si="222"/>
        <v/>
      </c>
      <c r="K4751" s="74" t="str">
        <f t="shared" si="223"/>
        <v/>
      </c>
      <c r="L4751" s="58" t="str">
        <f t="shared" si="224"/>
        <v/>
      </c>
    </row>
    <row r="4752" spans="10:12" ht="16.5" customHeight="1" x14ac:dyDescent="0.35">
      <c r="J4752" s="56" t="str">
        <f t="shared" si="222"/>
        <v/>
      </c>
      <c r="K4752" s="74" t="str">
        <f t="shared" si="223"/>
        <v/>
      </c>
      <c r="L4752" s="58" t="str">
        <f t="shared" si="224"/>
        <v/>
      </c>
    </row>
    <row r="4753" spans="10:12" ht="16.5" customHeight="1" x14ac:dyDescent="0.35">
      <c r="J4753" s="56" t="str">
        <f t="shared" si="222"/>
        <v/>
      </c>
      <c r="K4753" s="74" t="str">
        <f t="shared" si="223"/>
        <v/>
      </c>
      <c r="L4753" s="58" t="str">
        <f t="shared" si="224"/>
        <v/>
      </c>
    </row>
    <row r="4754" spans="10:12" ht="16.5" customHeight="1" x14ac:dyDescent="0.35">
      <c r="J4754" s="56" t="str">
        <f t="shared" si="222"/>
        <v/>
      </c>
      <c r="K4754" s="74" t="str">
        <f t="shared" si="223"/>
        <v/>
      </c>
      <c r="L4754" s="58" t="str">
        <f t="shared" si="224"/>
        <v/>
      </c>
    </row>
    <row r="4755" spans="10:12" ht="16.5" customHeight="1" x14ac:dyDescent="0.35">
      <c r="J4755" s="56" t="str">
        <f t="shared" si="222"/>
        <v/>
      </c>
      <c r="K4755" s="74" t="str">
        <f t="shared" si="223"/>
        <v/>
      </c>
      <c r="L4755" s="58" t="str">
        <f t="shared" si="224"/>
        <v/>
      </c>
    </row>
    <row r="4756" spans="10:12" ht="16.5" customHeight="1" x14ac:dyDescent="0.35">
      <c r="J4756" s="56" t="str">
        <f t="shared" si="222"/>
        <v/>
      </c>
      <c r="K4756" s="74" t="str">
        <f t="shared" si="223"/>
        <v/>
      </c>
      <c r="L4756" s="58" t="str">
        <f t="shared" si="224"/>
        <v/>
      </c>
    </row>
    <row r="4757" spans="10:12" ht="16.5" customHeight="1" x14ac:dyDescent="0.35">
      <c r="J4757" s="56" t="str">
        <f t="shared" si="222"/>
        <v/>
      </c>
      <c r="K4757" s="74" t="str">
        <f t="shared" si="223"/>
        <v/>
      </c>
      <c r="L4757" s="58" t="str">
        <f t="shared" si="224"/>
        <v/>
      </c>
    </row>
    <row r="4758" spans="10:12" ht="16.5" customHeight="1" x14ac:dyDescent="0.35">
      <c r="J4758" s="56" t="str">
        <f t="shared" si="222"/>
        <v/>
      </c>
      <c r="K4758" s="74" t="str">
        <f t="shared" si="223"/>
        <v/>
      </c>
      <c r="L4758" s="58" t="str">
        <f t="shared" si="224"/>
        <v/>
      </c>
    </row>
    <row r="4759" spans="10:12" ht="16.5" customHeight="1" x14ac:dyDescent="0.35">
      <c r="J4759" s="56" t="str">
        <f t="shared" si="222"/>
        <v/>
      </c>
      <c r="K4759" s="74" t="str">
        <f t="shared" si="223"/>
        <v/>
      </c>
      <c r="L4759" s="58" t="str">
        <f t="shared" si="224"/>
        <v/>
      </c>
    </row>
    <row r="4760" spans="10:12" ht="16.5" customHeight="1" x14ac:dyDescent="0.35">
      <c r="J4760" s="56" t="str">
        <f t="shared" si="222"/>
        <v/>
      </c>
      <c r="K4760" s="74" t="str">
        <f t="shared" si="223"/>
        <v/>
      </c>
      <c r="L4760" s="58" t="str">
        <f t="shared" si="224"/>
        <v/>
      </c>
    </row>
    <row r="4761" spans="10:12" ht="16.5" customHeight="1" x14ac:dyDescent="0.35">
      <c r="J4761" s="56" t="str">
        <f t="shared" si="222"/>
        <v/>
      </c>
      <c r="K4761" s="74" t="str">
        <f t="shared" si="223"/>
        <v/>
      </c>
      <c r="L4761" s="58" t="str">
        <f t="shared" si="224"/>
        <v/>
      </c>
    </row>
    <row r="4762" spans="10:12" ht="16.5" customHeight="1" x14ac:dyDescent="0.35">
      <c r="J4762" s="56" t="str">
        <f t="shared" si="222"/>
        <v/>
      </c>
      <c r="K4762" s="74" t="str">
        <f t="shared" si="223"/>
        <v/>
      </c>
      <c r="L4762" s="58" t="str">
        <f t="shared" si="224"/>
        <v/>
      </c>
    </row>
    <row r="4763" spans="10:12" ht="16.5" customHeight="1" x14ac:dyDescent="0.35">
      <c r="J4763" s="56" t="str">
        <f t="shared" si="222"/>
        <v/>
      </c>
      <c r="K4763" s="74" t="str">
        <f t="shared" si="223"/>
        <v/>
      </c>
      <c r="L4763" s="58" t="str">
        <f t="shared" si="224"/>
        <v/>
      </c>
    </row>
    <row r="4764" spans="10:12" ht="16.5" customHeight="1" x14ac:dyDescent="0.35">
      <c r="J4764" s="56" t="str">
        <f t="shared" si="222"/>
        <v/>
      </c>
      <c r="K4764" s="74" t="str">
        <f t="shared" si="223"/>
        <v/>
      </c>
      <c r="L4764" s="58" t="str">
        <f t="shared" si="224"/>
        <v/>
      </c>
    </row>
    <row r="4765" spans="10:12" ht="16.5" customHeight="1" x14ac:dyDescent="0.35">
      <c r="J4765" s="56" t="str">
        <f t="shared" si="222"/>
        <v/>
      </c>
      <c r="K4765" s="74" t="str">
        <f t="shared" si="223"/>
        <v/>
      </c>
      <c r="L4765" s="58" t="str">
        <f t="shared" si="224"/>
        <v/>
      </c>
    </row>
    <row r="4766" spans="10:12" ht="16.5" customHeight="1" x14ac:dyDescent="0.35">
      <c r="J4766" s="56" t="str">
        <f t="shared" si="222"/>
        <v/>
      </c>
      <c r="K4766" s="74" t="str">
        <f t="shared" si="223"/>
        <v/>
      </c>
      <c r="L4766" s="58" t="str">
        <f t="shared" si="224"/>
        <v/>
      </c>
    </row>
    <row r="4767" spans="10:12" ht="16.5" customHeight="1" x14ac:dyDescent="0.35">
      <c r="J4767" s="56" t="str">
        <f t="shared" si="222"/>
        <v/>
      </c>
      <c r="K4767" s="74" t="str">
        <f t="shared" si="223"/>
        <v/>
      </c>
      <c r="L4767" s="58" t="str">
        <f t="shared" si="224"/>
        <v/>
      </c>
    </row>
    <row r="4768" spans="10:12" ht="16.5" customHeight="1" x14ac:dyDescent="0.35">
      <c r="J4768" s="56" t="str">
        <f t="shared" si="222"/>
        <v/>
      </c>
      <c r="K4768" s="74" t="str">
        <f t="shared" si="223"/>
        <v/>
      </c>
      <c r="L4768" s="58" t="str">
        <f t="shared" si="224"/>
        <v/>
      </c>
    </row>
    <row r="4769" spans="10:12" ht="16.5" customHeight="1" x14ac:dyDescent="0.35">
      <c r="J4769" s="56" t="str">
        <f t="shared" si="222"/>
        <v/>
      </c>
      <c r="K4769" s="74" t="str">
        <f t="shared" si="223"/>
        <v/>
      </c>
      <c r="L4769" s="58" t="str">
        <f t="shared" si="224"/>
        <v/>
      </c>
    </row>
    <row r="4770" spans="10:12" ht="16.5" customHeight="1" x14ac:dyDescent="0.35">
      <c r="J4770" s="56" t="str">
        <f t="shared" si="222"/>
        <v/>
      </c>
      <c r="K4770" s="74" t="str">
        <f t="shared" si="223"/>
        <v/>
      </c>
      <c r="L4770" s="58" t="str">
        <f t="shared" si="224"/>
        <v/>
      </c>
    </row>
    <row r="4771" spans="10:12" ht="16.5" customHeight="1" x14ac:dyDescent="0.35">
      <c r="J4771" s="56" t="str">
        <f t="shared" si="222"/>
        <v/>
      </c>
      <c r="K4771" s="74" t="str">
        <f t="shared" si="223"/>
        <v/>
      </c>
      <c r="L4771" s="58" t="str">
        <f t="shared" si="224"/>
        <v/>
      </c>
    </row>
    <row r="4772" spans="10:12" ht="16.5" customHeight="1" x14ac:dyDescent="0.35">
      <c r="J4772" s="56" t="str">
        <f t="shared" si="222"/>
        <v/>
      </c>
      <c r="K4772" s="74" t="str">
        <f t="shared" si="223"/>
        <v/>
      </c>
      <c r="L4772" s="58" t="str">
        <f t="shared" si="224"/>
        <v/>
      </c>
    </row>
    <row r="4773" spans="10:12" ht="16.5" customHeight="1" x14ac:dyDescent="0.35">
      <c r="J4773" s="56" t="str">
        <f t="shared" si="222"/>
        <v/>
      </c>
      <c r="K4773" s="74" t="str">
        <f t="shared" si="223"/>
        <v/>
      </c>
      <c r="L4773" s="58" t="str">
        <f t="shared" si="224"/>
        <v/>
      </c>
    </row>
    <row r="4774" spans="10:12" ht="16.5" customHeight="1" x14ac:dyDescent="0.35">
      <c r="J4774" s="56" t="str">
        <f t="shared" si="222"/>
        <v/>
      </c>
      <c r="K4774" s="74" t="str">
        <f t="shared" si="223"/>
        <v/>
      </c>
      <c r="L4774" s="58" t="str">
        <f t="shared" si="224"/>
        <v/>
      </c>
    </row>
    <row r="4775" spans="10:12" ht="16.5" customHeight="1" x14ac:dyDescent="0.35">
      <c r="J4775" s="56" t="str">
        <f t="shared" si="222"/>
        <v/>
      </c>
      <c r="K4775" s="74" t="str">
        <f t="shared" si="223"/>
        <v/>
      </c>
      <c r="L4775" s="58" t="str">
        <f t="shared" si="224"/>
        <v/>
      </c>
    </row>
    <row r="4776" spans="10:12" ht="16.5" customHeight="1" x14ac:dyDescent="0.35">
      <c r="J4776" s="56" t="str">
        <f t="shared" si="222"/>
        <v/>
      </c>
      <c r="K4776" s="74" t="str">
        <f t="shared" si="223"/>
        <v/>
      </c>
      <c r="L4776" s="58" t="str">
        <f t="shared" si="224"/>
        <v/>
      </c>
    </row>
    <row r="4777" spans="10:12" ht="16.5" customHeight="1" x14ac:dyDescent="0.35">
      <c r="J4777" s="56" t="str">
        <f t="shared" si="222"/>
        <v/>
      </c>
      <c r="K4777" s="74" t="str">
        <f t="shared" si="223"/>
        <v/>
      </c>
      <c r="L4777" s="58" t="str">
        <f t="shared" si="224"/>
        <v/>
      </c>
    </row>
    <row r="4778" spans="10:12" ht="16.5" customHeight="1" x14ac:dyDescent="0.35">
      <c r="J4778" s="56" t="str">
        <f t="shared" si="222"/>
        <v/>
      </c>
      <c r="K4778" s="74" t="str">
        <f t="shared" si="223"/>
        <v/>
      </c>
      <c r="L4778" s="58" t="str">
        <f t="shared" si="224"/>
        <v/>
      </c>
    </row>
    <row r="4779" spans="10:12" ht="16.5" customHeight="1" x14ac:dyDescent="0.35">
      <c r="J4779" s="56" t="str">
        <f t="shared" si="222"/>
        <v/>
      </c>
      <c r="K4779" s="74" t="str">
        <f t="shared" si="223"/>
        <v/>
      </c>
      <c r="L4779" s="58" t="str">
        <f t="shared" si="224"/>
        <v/>
      </c>
    </row>
    <row r="4780" spans="10:12" ht="16.5" customHeight="1" x14ac:dyDescent="0.35">
      <c r="J4780" s="56" t="str">
        <f t="shared" si="222"/>
        <v/>
      </c>
      <c r="K4780" s="74" t="str">
        <f t="shared" si="223"/>
        <v/>
      </c>
      <c r="L4780" s="58" t="str">
        <f t="shared" si="224"/>
        <v/>
      </c>
    </row>
    <row r="4781" spans="10:12" ht="16.5" customHeight="1" x14ac:dyDescent="0.35">
      <c r="J4781" s="56" t="str">
        <f t="shared" si="222"/>
        <v/>
      </c>
      <c r="K4781" s="74" t="str">
        <f t="shared" si="223"/>
        <v/>
      </c>
      <c r="L4781" s="58" t="str">
        <f t="shared" si="224"/>
        <v/>
      </c>
    </row>
    <row r="4782" spans="10:12" ht="16.5" customHeight="1" x14ac:dyDescent="0.35">
      <c r="J4782" s="56" t="str">
        <f t="shared" si="222"/>
        <v/>
      </c>
      <c r="K4782" s="74" t="str">
        <f t="shared" si="223"/>
        <v/>
      </c>
      <c r="L4782" s="58" t="str">
        <f t="shared" si="224"/>
        <v/>
      </c>
    </row>
    <row r="4783" spans="10:12" ht="16.5" customHeight="1" x14ac:dyDescent="0.35">
      <c r="J4783" s="56" t="str">
        <f t="shared" si="222"/>
        <v/>
      </c>
      <c r="K4783" s="74" t="str">
        <f t="shared" si="223"/>
        <v/>
      </c>
      <c r="L4783" s="58" t="str">
        <f t="shared" si="224"/>
        <v/>
      </c>
    </row>
    <row r="4784" spans="10:12" ht="16.5" customHeight="1" x14ac:dyDescent="0.35">
      <c r="J4784" s="56" t="str">
        <f t="shared" si="222"/>
        <v/>
      </c>
      <c r="K4784" s="74" t="str">
        <f t="shared" si="223"/>
        <v/>
      </c>
      <c r="L4784" s="58" t="str">
        <f t="shared" si="224"/>
        <v/>
      </c>
    </row>
    <row r="4785" spans="10:12" ht="16.5" customHeight="1" x14ac:dyDescent="0.35">
      <c r="J4785" s="56" t="str">
        <f t="shared" si="222"/>
        <v/>
      </c>
      <c r="K4785" s="74" t="str">
        <f t="shared" si="223"/>
        <v/>
      </c>
      <c r="L4785" s="58" t="str">
        <f t="shared" si="224"/>
        <v/>
      </c>
    </row>
    <row r="4786" spans="10:12" ht="16.5" customHeight="1" x14ac:dyDescent="0.35">
      <c r="J4786" s="56" t="str">
        <f t="shared" si="222"/>
        <v/>
      </c>
      <c r="K4786" s="74" t="str">
        <f t="shared" si="223"/>
        <v/>
      </c>
      <c r="L4786" s="58" t="str">
        <f t="shared" si="224"/>
        <v/>
      </c>
    </row>
    <row r="4787" spans="10:12" ht="16.5" customHeight="1" x14ac:dyDescent="0.35">
      <c r="J4787" s="56" t="str">
        <f t="shared" si="222"/>
        <v/>
      </c>
      <c r="K4787" s="74" t="str">
        <f t="shared" si="223"/>
        <v/>
      </c>
      <c r="L4787" s="58" t="str">
        <f t="shared" si="224"/>
        <v/>
      </c>
    </row>
    <row r="4788" spans="10:12" ht="16.5" customHeight="1" x14ac:dyDescent="0.35">
      <c r="J4788" s="56" t="str">
        <f t="shared" si="222"/>
        <v/>
      </c>
      <c r="K4788" s="74" t="str">
        <f t="shared" si="223"/>
        <v/>
      </c>
      <c r="L4788" s="58" t="str">
        <f t="shared" si="224"/>
        <v/>
      </c>
    </row>
    <row r="4789" spans="10:12" ht="16.5" customHeight="1" x14ac:dyDescent="0.35">
      <c r="J4789" s="56" t="str">
        <f t="shared" si="222"/>
        <v/>
      </c>
      <c r="K4789" s="74" t="str">
        <f t="shared" si="223"/>
        <v/>
      </c>
      <c r="L4789" s="58" t="str">
        <f t="shared" si="224"/>
        <v/>
      </c>
    </row>
    <row r="4790" spans="10:12" ht="16.5" customHeight="1" x14ac:dyDescent="0.35">
      <c r="J4790" s="56" t="str">
        <f t="shared" si="222"/>
        <v/>
      </c>
      <c r="K4790" s="74" t="str">
        <f t="shared" si="223"/>
        <v/>
      </c>
      <c r="L4790" s="58" t="str">
        <f t="shared" si="224"/>
        <v/>
      </c>
    </row>
    <row r="4791" spans="10:12" ht="16.5" customHeight="1" x14ac:dyDescent="0.35">
      <c r="J4791" s="56" t="str">
        <f t="shared" si="222"/>
        <v/>
      </c>
      <c r="K4791" s="74" t="str">
        <f t="shared" si="223"/>
        <v/>
      </c>
      <c r="L4791" s="58" t="str">
        <f t="shared" si="224"/>
        <v/>
      </c>
    </row>
    <row r="4792" spans="10:12" ht="16.5" customHeight="1" x14ac:dyDescent="0.35">
      <c r="J4792" s="56" t="str">
        <f t="shared" si="222"/>
        <v/>
      </c>
      <c r="K4792" s="74" t="str">
        <f t="shared" si="223"/>
        <v/>
      </c>
      <c r="L4792" s="58" t="str">
        <f t="shared" si="224"/>
        <v/>
      </c>
    </row>
    <row r="4793" spans="10:12" ht="16.5" customHeight="1" x14ac:dyDescent="0.35">
      <c r="J4793" s="56" t="str">
        <f t="shared" si="222"/>
        <v/>
      </c>
      <c r="K4793" s="74" t="str">
        <f t="shared" si="223"/>
        <v/>
      </c>
      <c r="L4793" s="58" t="str">
        <f t="shared" si="224"/>
        <v/>
      </c>
    </row>
    <row r="4794" spans="10:12" ht="16.5" customHeight="1" x14ac:dyDescent="0.35">
      <c r="J4794" s="56" t="str">
        <f t="shared" si="222"/>
        <v/>
      </c>
      <c r="K4794" s="74" t="str">
        <f t="shared" si="223"/>
        <v/>
      </c>
      <c r="L4794" s="58" t="str">
        <f t="shared" si="224"/>
        <v/>
      </c>
    </row>
    <row r="4795" spans="10:12" ht="16.5" customHeight="1" x14ac:dyDescent="0.35">
      <c r="J4795" s="56" t="str">
        <f t="shared" si="222"/>
        <v/>
      </c>
      <c r="K4795" s="74" t="str">
        <f t="shared" si="223"/>
        <v/>
      </c>
      <c r="L4795" s="58" t="str">
        <f t="shared" si="224"/>
        <v/>
      </c>
    </row>
    <row r="4796" spans="10:12" ht="16.5" customHeight="1" x14ac:dyDescent="0.35">
      <c r="J4796" s="56" t="str">
        <f t="shared" si="222"/>
        <v/>
      </c>
      <c r="K4796" s="74" t="str">
        <f t="shared" si="223"/>
        <v/>
      </c>
      <c r="L4796" s="58" t="str">
        <f t="shared" si="224"/>
        <v/>
      </c>
    </row>
    <row r="4797" spans="10:12" ht="16.5" customHeight="1" x14ac:dyDescent="0.35">
      <c r="J4797" s="56" t="str">
        <f t="shared" si="222"/>
        <v/>
      </c>
      <c r="K4797" s="74" t="str">
        <f t="shared" si="223"/>
        <v/>
      </c>
      <c r="L4797" s="58" t="str">
        <f t="shared" si="224"/>
        <v/>
      </c>
    </row>
    <row r="4798" spans="10:12" ht="16.5" customHeight="1" x14ac:dyDescent="0.35">
      <c r="J4798" s="56" t="str">
        <f t="shared" si="222"/>
        <v/>
      </c>
      <c r="K4798" s="74" t="str">
        <f t="shared" si="223"/>
        <v/>
      </c>
      <c r="L4798" s="58" t="str">
        <f t="shared" si="224"/>
        <v/>
      </c>
    </row>
    <row r="4799" spans="10:12" ht="16.5" customHeight="1" x14ac:dyDescent="0.35">
      <c r="J4799" s="56" t="str">
        <f t="shared" si="222"/>
        <v/>
      </c>
      <c r="K4799" s="74" t="str">
        <f t="shared" si="223"/>
        <v/>
      </c>
      <c r="L4799" s="58" t="str">
        <f t="shared" si="224"/>
        <v/>
      </c>
    </row>
    <row r="4800" spans="10:12" ht="16.5" customHeight="1" x14ac:dyDescent="0.35">
      <c r="J4800" s="56" t="str">
        <f t="shared" si="222"/>
        <v/>
      </c>
      <c r="K4800" s="74" t="str">
        <f t="shared" si="223"/>
        <v/>
      </c>
      <c r="L4800" s="58" t="str">
        <f t="shared" si="224"/>
        <v/>
      </c>
    </row>
    <row r="4801" spans="10:12" ht="16.5" customHeight="1" x14ac:dyDescent="0.35">
      <c r="J4801" s="56" t="str">
        <f t="shared" si="222"/>
        <v/>
      </c>
      <c r="K4801" s="74" t="str">
        <f t="shared" si="223"/>
        <v/>
      </c>
      <c r="L4801" s="58" t="str">
        <f t="shared" si="224"/>
        <v/>
      </c>
    </row>
    <row r="4802" spans="10:12" ht="16.5" customHeight="1" x14ac:dyDescent="0.35">
      <c r="J4802" s="56" t="str">
        <f t="shared" si="222"/>
        <v/>
      </c>
      <c r="K4802" s="74" t="str">
        <f t="shared" si="223"/>
        <v/>
      </c>
      <c r="L4802" s="58" t="str">
        <f t="shared" si="224"/>
        <v/>
      </c>
    </row>
    <row r="4803" spans="10:12" ht="16.5" customHeight="1" x14ac:dyDescent="0.35">
      <c r="J4803" s="56" t="str">
        <f t="shared" si="222"/>
        <v/>
      </c>
      <c r="K4803" s="74" t="str">
        <f t="shared" si="223"/>
        <v/>
      </c>
      <c r="L4803" s="58" t="str">
        <f t="shared" si="224"/>
        <v/>
      </c>
    </row>
    <row r="4804" spans="10:12" ht="16.5" customHeight="1" x14ac:dyDescent="0.35">
      <c r="J4804" s="56" t="str">
        <f t="shared" si="222"/>
        <v/>
      </c>
      <c r="K4804" s="74" t="str">
        <f t="shared" si="223"/>
        <v/>
      </c>
      <c r="L4804" s="58" t="str">
        <f t="shared" si="224"/>
        <v/>
      </c>
    </row>
    <row r="4805" spans="10:12" ht="16.5" customHeight="1" x14ac:dyDescent="0.35">
      <c r="J4805" s="56" t="str">
        <f t="shared" si="222"/>
        <v/>
      </c>
      <c r="K4805" s="74" t="str">
        <f t="shared" si="223"/>
        <v/>
      </c>
      <c r="L4805" s="58" t="str">
        <f t="shared" si="224"/>
        <v/>
      </c>
    </row>
    <row r="4806" spans="10:12" ht="16.5" customHeight="1" x14ac:dyDescent="0.35">
      <c r="J4806" s="56" t="str">
        <f t="shared" si="222"/>
        <v/>
      </c>
      <c r="K4806" s="74" t="str">
        <f t="shared" si="223"/>
        <v/>
      </c>
      <c r="L4806" s="58" t="str">
        <f t="shared" si="224"/>
        <v/>
      </c>
    </row>
    <row r="4807" spans="10:12" ht="16.5" customHeight="1" x14ac:dyDescent="0.35">
      <c r="J4807" s="56" t="str">
        <f t="shared" si="222"/>
        <v/>
      </c>
      <c r="K4807" s="74" t="str">
        <f t="shared" si="223"/>
        <v/>
      </c>
      <c r="L4807" s="58" t="str">
        <f t="shared" si="224"/>
        <v/>
      </c>
    </row>
    <row r="4808" spans="10:12" ht="16.5" customHeight="1" x14ac:dyDescent="0.35">
      <c r="J4808" s="56" t="str">
        <f t="shared" si="222"/>
        <v/>
      </c>
      <c r="K4808" s="74" t="str">
        <f t="shared" si="223"/>
        <v/>
      </c>
      <c r="L4808" s="58" t="str">
        <f t="shared" si="224"/>
        <v/>
      </c>
    </row>
    <row r="4809" spans="10:12" ht="16.5" customHeight="1" x14ac:dyDescent="0.35">
      <c r="J4809" s="56" t="str">
        <f t="shared" ref="J4809:J4872" si="225">IF(A4809="","",A$5-A4809)</f>
        <v/>
      </c>
      <c r="K4809" s="74" t="str">
        <f t="shared" ref="K4809:K4872" si="226">IF(J4809="","",IF(J4809&lt;4,"0-3 Days",IF(J4809&lt;31,"4-30 Days",IF(J4809&lt;61,"31-60 Days",IF(J4809&lt;=90,"61-90 Days",IF(J4809&gt;90,"Above 90 Days","0"))))))</f>
        <v/>
      </c>
      <c r="L4809" s="58" t="str">
        <f t="shared" ref="L4809:L4872" si="227">IF(C4809="","",IF(C4809&gt;0,IF(J4809&lt;30,"Normal",IF(J4809&lt;60,"Especially Mentioned",IF(J4809&lt;90,"Substandard",IF(J4809&lt;=180,"Doubtful",IF(J4809&gt;180,"Loss","0"))))),"Not Applicable"))</f>
        <v/>
      </c>
    </row>
    <row r="4810" spans="10:12" ht="16.5" customHeight="1" x14ac:dyDescent="0.35">
      <c r="J4810" s="56" t="str">
        <f t="shared" si="225"/>
        <v/>
      </c>
      <c r="K4810" s="74" t="str">
        <f t="shared" si="226"/>
        <v/>
      </c>
      <c r="L4810" s="58" t="str">
        <f t="shared" si="227"/>
        <v/>
      </c>
    </row>
    <row r="4811" spans="10:12" ht="16.5" customHeight="1" x14ac:dyDescent="0.35">
      <c r="J4811" s="56" t="str">
        <f t="shared" si="225"/>
        <v/>
      </c>
      <c r="K4811" s="74" t="str">
        <f t="shared" si="226"/>
        <v/>
      </c>
      <c r="L4811" s="58" t="str">
        <f t="shared" si="227"/>
        <v/>
      </c>
    </row>
    <row r="4812" spans="10:12" ht="16.5" customHeight="1" x14ac:dyDescent="0.35">
      <c r="J4812" s="56" t="str">
        <f t="shared" si="225"/>
        <v/>
      </c>
      <c r="K4812" s="74" t="str">
        <f t="shared" si="226"/>
        <v/>
      </c>
      <c r="L4812" s="58" t="str">
        <f t="shared" si="227"/>
        <v/>
      </c>
    </row>
    <row r="4813" spans="10:12" ht="16.5" customHeight="1" x14ac:dyDescent="0.35">
      <c r="J4813" s="56" t="str">
        <f t="shared" si="225"/>
        <v/>
      </c>
      <c r="K4813" s="74" t="str">
        <f t="shared" si="226"/>
        <v/>
      </c>
      <c r="L4813" s="58" t="str">
        <f t="shared" si="227"/>
        <v/>
      </c>
    </row>
    <row r="4814" spans="10:12" ht="16.5" customHeight="1" x14ac:dyDescent="0.35">
      <c r="J4814" s="56" t="str">
        <f t="shared" si="225"/>
        <v/>
      </c>
      <c r="K4814" s="74" t="str">
        <f t="shared" si="226"/>
        <v/>
      </c>
      <c r="L4814" s="58" t="str">
        <f t="shared" si="227"/>
        <v/>
      </c>
    </row>
    <row r="4815" spans="10:12" ht="16.5" customHeight="1" x14ac:dyDescent="0.35">
      <c r="J4815" s="56" t="str">
        <f t="shared" si="225"/>
        <v/>
      </c>
      <c r="K4815" s="74" t="str">
        <f t="shared" si="226"/>
        <v/>
      </c>
      <c r="L4815" s="58" t="str">
        <f t="shared" si="227"/>
        <v/>
      </c>
    </row>
    <row r="4816" spans="10:12" ht="16.5" customHeight="1" x14ac:dyDescent="0.35">
      <c r="J4816" s="56" t="str">
        <f t="shared" si="225"/>
        <v/>
      </c>
      <c r="K4816" s="74" t="str">
        <f t="shared" si="226"/>
        <v/>
      </c>
      <c r="L4816" s="58" t="str">
        <f t="shared" si="227"/>
        <v/>
      </c>
    </row>
    <row r="4817" spans="10:12" ht="16.5" customHeight="1" x14ac:dyDescent="0.35">
      <c r="J4817" s="56" t="str">
        <f t="shared" si="225"/>
        <v/>
      </c>
      <c r="K4817" s="74" t="str">
        <f t="shared" si="226"/>
        <v/>
      </c>
      <c r="L4817" s="58" t="str">
        <f t="shared" si="227"/>
        <v/>
      </c>
    </row>
    <row r="4818" spans="10:12" ht="16.5" customHeight="1" x14ac:dyDescent="0.35">
      <c r="J4818" s="56" t="str">
        <f t="shared" si="225"/>
        <v/>
      </c>
      <c r="K4818" s="74" t="str">
        <f t="shared" si="226"/>
        <v/>
      </c>
      <c r="L4818" s="58" t="str">
        <f t="shared" si="227"/>
        <v/>
      </c>
    </row>
    <row r="4819" spans="10:12" ht="16.5" customHeight="1" x14ac:dyDescent="0.35">
      <c r="J4819" s="56" t="str">
        <f t="shared" si="225"/>
        <v/>
      </c>
      <c r="K4819" s="74" t="str">
        <f t="shared" si="226"/>
        <v/>
      </c>
      <c r="L4819" s="58" t="str">
        <f t="shared" si="227"/>
        <v/>
      </c>
    </row>
    <row r="4820" spans="10:12" ht="16.5" customHeight="1" x14ac:dyDescent="0.35">
      <c r="J4820" s="56" t="str">
        <f t="shared" si="225"/>
        <v/>
      </c>
      <c r="K4820" s="74" t="str">
        <f t="shared" si="226"/>
        <v/>
      </c>
      <c r="L4820" s="58" t="str">
        <f t="shared" si="227"/>
        <v/>
      </c>
    </row>
    <row r="4821" spans="10:12" ht="16.5" customHeight="1" x14ac:dyDescent="0.35">
      <c r="J4821" s="56" t="str">
        <f t="shared" si="225"/>
        <v/>
      </c>
      <c r="K4821" s="74" t="str">
        <f t="shared" si="226"/>
        <v/>
      </c>
      <c r="L4821" s="58" t="str">
        <f t="shared" si="227"/>
        <v/>
      </c>
    </row>
    <row r="4822" spans="10:12" ht="16.5" customHeight="1" x14ac:dyDescent="0.35">
      <c r="J4822" s="56" t="str">
        <f t="shared" si="225"/>
        <v/>
      </c>
      <c r="K4822" s="74" t="str">
        <f t="shared" si="226"/>
        <v/>
      </c>
      <c r="L4822" s="58" t="str">
        <f t="shared" si="227"/>
        <v/>
      </c>
    </row>
    <row r="4823" spans="10:12" ht="16.5" customHeight="1" x14ac:dyDescent="0.35">
      <c r="J4823" s="56" t="str">
        <f t="shared" si="225"/>
        <v/>
      </c>
      <c r="K4823" s="74" t="str">
        <f t="shared" si="226"/>
        <v/>
      </c>
      <c r="L4823" s="58" t="str">
        <f t="shared" si="227"/>
        <v/>
      </c>
    </row>
    <row r="4824" spans="10:12" ht="16.5" customHeight="1" x14ac:dyDescent="0.35">
      <c r="J4824" s="56" t="str">
        <f t="shared" si="225"/>
        <v/>
      </c>
      <c r="K4824" s="74" t="str">
        <f t="shared" si="226"/>
        <v/>
      </c>
      <c r="L4824" s="58" t="str">
        <f t="shared" si="227"/>
        <v/>
      </c>
    </row>
    <row r="4825" spans="10:12" ht="16.5" customHeight="1" x14ac:dyDescent="0.35">
      <c r="J4825" s="56" t="str">
        <f t="shared" si="225"/>
        <v/>
      </c>
      <c r="K4825" s="74" t="str">
        <f t="shared" si="226"/>
        <v/>
      </c>
      <c r="L4825" s="58" t="str">
        <f t="shared" si="227"/>
        <v/>
      </c>
    </row>
    <row r="4826" spans="10:12" ht="16.5" customHeight="1" x14ac:dyDescent="0.35">
      <c r="J4826" s="56" t="str">
        <f t="shared" si="225"/>
        <v/>
      </c>
      <c r="K4826" s="74" t="str">
        <f t="shared" si="226"/>
        <v/>
      </c>
      <c r="L4826" s="58" t="str">
        <f t="shared" si="227"/>
        <v/>
      </c>
    </row>
    <row r="4827" spans="10:12" ht="16.5" customHeight="1" x14ac:dyDescent="0.35">
      <c r="J4827" s="56" t="str">
        <f t="shared" si="225"/>
        <v/>
      </c>
      <c r="K4827" s="74" t="str">
        <f t="shared" si="226"/>
        <v/>
      </c>
      <c r="L4827" s="58" t="str">
        <f t="shared" si="227"/>
        <v/>
      </c>
    </row>
    <row r="4828" spans="10:12" ht="16.5" customHeight="1" x14ac:dyDescent="0.35">
      <c r="J4828" s="56" t="str">
        <f t="shared" si="225"/>
        <v/>
      </c>
      <c r="K4828" s="74" t="str">
        <f t="shared" si="226"/>
        <v/>
      </c>
      <c r="L4828" s="58" t="str">
        <f t="shared" si="227"/>
        <v/>
      </c>
    </row>
    <row r="4829" spans="10:12" ht="16.5" customHeight="1" x14ac:dyDescent="0.35">
      <c r="J4829" s="56" t="str">
        <f t="shared" si="225"/>
        <v/>
      </c>
      <c r="K4829" s="74" t="str">
        <f t="shared" si="226"/>
        <v/>
      </c>
      <c r="L4829" s="58" t="str">
        <f t="shared" si="227"/>
        <v/>
      </c>
    </row>
    <row r="4830" spans="10:12" ht="16.5" customHeight="1" x14ac:dyDescent="0.35">
      <c r="J4830" s="56" t="str">
        <f t="shared" si="225"/>
        <v/>
      </c>
      <c r="K4830" s="74" t="str">
        <f t="shared" si="226"/>
        <v/>
      </c>
      <c r="L4830" s="58" t="str">
        <f t="shared" si="227"/>
        <v/>
      </c>
    </row>
    <row r="4831" spans="10:12" ht="16.5" customHeight="1" x14ac:dyDescent="0.35">
      <c r="J4831" s="56" t="str">
        <f t="shared" si="225"/>
        <v/>
      </c>
      <c r="K4831" s="74" t="str">
        <f t="shared" si="226"/>
        <v/>
      </c>
      <c r="L4831" s="58" t="str">
        <f t="shared" si="227"/>
        <v/>
      </c>
    </row>
    <row r="4832" spans="10:12" ht="16.5" customHeight="1" x14ac:dyDescent="0.35">
      <c r="J4832" s="56" t="str">
        <f t="shared" si="225"/>
        <v/>
      </c>
      <c r="K4832" s="74" t="str">
        <f t="shared" si="226"/>
        <v/>
      </c>
      <c r="L4832" s="58" t="str">
        <f t="shared" si="227"/>
        <v/>
      </c>
    </row>
    <row r="4833" spans="10:12" ht="16.5" customHeight="1" x14ac:dyDescent="0.35">
      <c r="J4833" s="56" t="str">
        <f t="shared" si="225"/>
        <v/>
      </c>
      <c r="K4833" s="74" t="str">
        <f t="shared" si="226"/>
        <v/>
      </c>
      <c r="L4833" s="58" t="str">
        <f t="shared" si="227"/>
        <v/>
      </c>
    </row>
    <row r="4834" spans="10:12" ht="16.5" customHeight="1" x14ac:dyDescent="0.35">
      <c r="J4834" s="56" t="str">
        <f t="shared" si="225"/>
        <v/>
      </c>
      <c r="K4834" s="74" t="str">
        <f t="shared" si="226"/>
        <v/>
      </c>
      <c r="L4834" s="58" t="str">
        <f t="shared" si="227"/>
        <v/>
      </c>
    </row>
    <row r="4835" spans="10:12" ht="16.5" customHeight="1" x14ac:dyDescent="0.35">
      <c r="J4835" s="56" t="str">
        <f t="shared" si="225"/>
        <v/>
      </c>
      <c r="K4835" s="74" t="str">
        <f t="shared" si="226"/>
        <v/>
      </c>
      <c r="L4835" s="58" t="str">
        <f t="shared" si="227"/>
        <v/>
      </c>
    </row>
    <row r="4836" spans="10:12" ht="16.5" customHeight="1" x14ac:dyDescent="0.35">
      <c r="J4836" s="56" t="str">
        <f t="shared" si="225"/>
        <v/>
      </c>
      <c r="K4836" s="74" t="str">
        <f t="shared" si="226"/>
        <v/>
      </c>
      <c r="L4836" s="58" t="str">
        <f t="shared" si="227"/>
        <v/>
      </c>
    </row>
    <row r="4837" spans="10:12" ht="16.5" customHeight="1" x14ac:dyDescent="0.35">
      <c r="J4837" s="56" t="str">
        <f t="shared" si="225"/>
        <v/>
      </c>
      <c r="K4837" s="74" t="str">
        <f t="shared" si="226"/>
        <v/>
      </c>
      <c r="L4837" s="58" t="str">
        <f t="shared" si="227"/>
        <v/>
      </c>
    </row>
    <row r="4838" spans="10:12" ht="16.5" customHeight="1" x14ac:dyDescent="0.35">
      <c r="J4838" s="56" t="str">
        <f t="shared" si="225"/>
        <v/>
      </c>
      <c r="K4838" s="74" t="str">
        <f t="shared" si="226"/>
        <v/>
      </c>
      <c r="L4838" s="58" t="str">
        <f t="shared" si="227"/>
        <v/>
      </c>
    </row>
    <row r="4839" spans="10:12" ht="16.5" customHeight="1" x14ac:dyDescent="0.35">
      <c r="J4839" s="56" t="str">
        <f t="shared" si="225"/>
        <v/>
      </c>
      <c r="K4839" s="74" t="str">
        <f t="shared" si="226"/>
        <v/>
      </c>
      <c r="L4839" s="58" t="str">
        <f t="shared" si="227"/>
        <v/>
      </c>
    </row>
    <row r="4840" spans="10:12" ht="16.5" customHeight="1" x14ac:dyDescent="0.35">
      <c r="J4840" s="56" t="str">
        <f t="shared" si="225"/>
        <v/>
      </c>
      <c r="K4840" s="74" t="str">
        <f t="shared" si="226"/>
        <v/>
      </c>
      <c r="L4840" s="58" t="str">
        <f t="shared" si="227"/>
        <v/>
      </c>
    </row>
    <row r="4841" spans="10:12" ht="16.5" customHeight="1" x14ac:dyDescent="0.35">
      <c r="J4841" s="56" t="str">
        <f t="shared" si="225"/>
        <v/>
      </c>
      <c r="K4841" s="74" t="str">
        <f t="shared" si="226"/>
        <v/>
      </c>
      <c r="L4841" s="58" t="str">
        <f t="shared" si="227"/>
        <v/>
      </c>
    </row>
    <row r="4842" spans="10:12" ht="16.5" customHeight="1" x14ac:dyDescent="0.35">
      <c r="J4842" s="56" t="str">
        <f t="shared" si="225"/>
        <v/>
      </c>
      <c r="K4842" s="74" t="str">
        <f t="shared" si="226"/>
        <v/>
      </c>
      <c r="L4842" s="58" t="str">
        <f t="shared" si="227"/>
        <v/>
      </c>
    </row>
    <row r="4843" spans="10:12" ht="16.5" customHeight="1" x14ac:dyDescent="0.35">
      <c r="J4843" s="56" t="str">
        <f t="shared" si="225"/>
        <v/>
      </c>
      <c r="K4843" s="74" t="str">
        <f t="shared" si="226"/>
        <v/>
      </c>
      <c r="L4843" s="58" t="str">
        <f t="shared" si="227"/>
        <v/>
      </c>
    </row>
    <row r="4844" spans="10:12" ht="16.5" customHeight="1" x14ac:dyDescent="0.35">
      <c r="J4844" s="56" t="str">
        <f t="shared" si="225"/>
        <v/>
      </c>
      <c r="K4844" s="74" t="str">
        <f t="shared" si="226"/>
        <v/>
      </c>
      <c r="L4844" s="58" t="str">
        <f t="shared" si="227"/>
        <v/>
      </c>
    </row>
    <row r="4845" spans="10:12" ht="16.5" customHeight="1" x14ac:dyDescent="0.35">
      <c r="J4845" s="56" t="str">
        <f t="shared" si="225"/>
        <v/>
      </c>
      <c r="K4845" s="74" t="str">
        <f t="shared" si="226"/>
        <v/>
      </c>
      <c r="L4845" s="58" t="str">
        <f t="shared" si="227"/>
        <v/>
      </c>
    </row>
    <row r="4846" spans="10:12" ht="16.5" customHeight="1" x14ac:dyDescent="0.35">
      <c r="J4846" s="56" t="str">
        <f t="shared" si="225"/>
        <v/>
      </c>
      <c r="K4846" s="74" t="str">
        <f t="shared" si="226"/>
        <v/>
      </c>
      <c r="L4846" s="58" t="str">
        <f t="shared" si="227"/>
        <v/>
      </c>
    </row>
    <row r="4847" spans="10:12" ht="16.5" customHeight="1" x14ac:dyDescent="0.35">
      <c r="J4847" s="56" t="str">
        <f t="shared" si="225"/>
        <v/>
      </c>
      <c r="K4847" s="74" t="str">
        <f t="shared" si="226"/>
        <v/>
      </c>
      <c r="L4847" s="58" t="str">
        <f t="shared" si="227"/>
        <v/>
      </c>
    </row>
    <row r="4848" spans="10:12" ht="16.5" customHeight="1" x14ac:dyDescent="0.35">
      <c r="J4848" s="56" t="str">
        <f t="shared" si="225"/>
        <v/>
      </c>
      <c r="K4848" s="74" t="str">
        <f t="shared" si="226"/>
        <v/>
      </c>
      <c r="L4848" s="58" t="str">
        <f t="shared" si="227"/>
        <v/>
      </c>
    </row>
    <row r="4849" spans="10:12" ht="16.5" customHeight="1" x14ac:dyDescent="0.35">
      <c r="J4849" s="56" t="str">
        <f t="shared" si="225"/>
        <v/>
      </c>
      <c r="K4849" s="74" t="str">
        <f t="shared" si="226"/>
        <v/>
      </c>
      <c r="L4849" s="58" t="str">
        <f t="shared" si="227"/>
        <v/>
      </c>
    </row>
    <row r="4850" spans="10:12" ht="16.5" customHeight="1" x14ac:dyDescent="0.35">
      <c r="J4850" s="56" t="str">
        <f t="shared" si="225"/>
        <v/>
      </c>
      <c r="K4850" s="74" t="str">
        <f t="shared" si="226"/>
        <v/>
      </c>
      <c r="L4850" s="58" t="str">
        <f t="shared" si="227"/>
        <v/>
      </c>
    </row>
    <row r="4851" spans="10:12" ht="16.5" customHeight="1" x14ac:dyDescent="0.35">
      <c r="J4851" s="56" t="str">
        <f t="shared" si="225"/>
        <v/>
      </c>
      <c r="K4851" s="74" t="str">
        <f t="shared" si="226"/>
        <v/>
      </c>
      <c r="L4851" s="58" t="str">
        <f t="shared" si="227"/>
        <v/>
      </c>
    </row>
    <row r="4852" spans="10:12" ht="16.5" customHeight="1" x14ac:dyDescent="0.35">
      <c r="J4852" s="56" t="str">
        <f t="shared" si="225"/>
        <v/>
      </c>
      <c r="K4852" s="74" t="str">
        <f t="shared" si="226"/>
        <v/>
      </c>
      <c r="L4852" s="58" t="str">
        <f t="shared" si="227"/>
        <v/>
      </c>
    </row>
    <row r="4853" spans="10:12" ht="16.5" customHeight="1" x14ac:dyDescent="0.35">
      <c r="J4853" s="56" t="str">
        <f t="shared" si="225"/>
        <v/>
      </c>
      <c r="K4853" s="74" t="str">
        <f t="shared" si="226"/>
        <v/>
      </c>
      <c r="L4853" s="58" t="str">
        <f t="shared" si="227"/>
        <v/>
      </c>
    </row>
    <row r="4854" spans="10:12" ht="16.5" customHeight="1" x14ac:dyDescent="0.35">
      <c r="J4854" s="56" t="str">
        <f t="shared" si="225"/>
        <v/>
      </c>
      <c r="K4854" s="74" t="str">
        <f t="shared" si="226"/>
        <v/>
      </c>
      <c r="L4854" s="58" t="str">
        <f t="shared" si="227"/>
        <v/>
      </c>
    </row>
    <row r="4855" spans="10:12" ht="16.5" customHeight="1" x14ac:dyDescent="0.35">
      <c r="J4855" s="56" t="str">
        <f t="shared" si="225"/>
        <v/>
      </c>
      <c r="K4855" s="74" t="str">
        <f t="shared" si="226"/>
        <v/>
      </c>
      <c r="L4855" s="58" t="str">
        <f t="shared" si="227"/>
        <v/>
      </c>
    </row>
    <row r="4856" spans="10:12" ht="16.5" customHeight="1" x14ac:dyDescent="0.35">
      <c r="J4856" s="56" t="str">
        <f t="shared" si="225"/>
        <v/>
      </c>
      <c r="K4856" s="74" t="str">
        <f t="shared" si="226"/>
        <v/>
      </c>
      <c r="L4856" s="58" t="str">
        <f t="shared" si="227"/>
        <v/>
      </c>
    </row>
    <row r="4857" spans="10:12" ht="16.5" customHeight="1" x14ac:dyDescent="0.35">
      <c r="J4857" s="56" t="str">
        <f t="shared" si="225"/>
        <v/>
      </c>
      <c r="K4857" s="74" t="str">
        <f t="shared" si="226"/>
        <v/>
      </c>
      <c r="L4857" s="58" t="str">
        <f t="shared" si="227"/>
        <v/>
      </c>
    </row>
    <row r="4858" spans="10:12" ht="16.5" customHeight="1" x14ac:dyDescent="0.35">
      <c r="J4858" s="56" t="str">
        <f t="shared" si="225"/>
        <v/>
      </c>
      <c r="K4858" s="74" t="str">
        <f t="shared" si="226"/>
        <v/>
      </c>
      <c r="L4858" s="58" t="str">
        <f t="shared" si="227"/>
        <v/>
      </c>
    </row>
    <row r="4859" spans="10:12" ht="16.5" customHeight="1" x14ac:dyDescent="0.35">
      <c r="J4859" s="56" t="str">
        <f t="shared" si="225"/>
        <v/>
      </c>
      <c r="K4859" s="74" t="str">
        <f t="shared" si="226"/>
        <v/>
      </c>
      <c r="L4859" s="58" t="str">
        <f t="shared" si="227"/>
        <v/>
      </c>
    </row>
    <row r="4860" spans="10:12" ht="16.5" customHeight="1" x14ac:dyDescent="0.35">
      <c r="J4860" s="56" t="str">
        <f t="shared" si="225"/>
        <v/>
      </c>
      <c r="K4860" s="74" t="str">
        <f t="shared" si="226"/>
        <v/>
      </c>
      <c r="L4860" s="58" t="str">
        <f t="shared" si="227"/>
        <v/>
      </c>
    </row>
    <row r="4861" spans="10:12" ht="16.5" customHeight="1" x14ac:dyDescent="0.35">
      <c r="J4861" s="56" t="str">
        <f t="shared" si="225"/>
        <v/>
      </c>
      <c r="K4861" s="74" t="str">
        <f t="shared" si="226"/>
        <v/>
      </c>
      <c r="L4861" s="58" t="str">
        <f t="shared" si="227"/>
        <v/>
      </c>
    </row>
    <row r="4862" spans="10:12" ht="16.5" customHeight="1" x14ac:dyDescent="0.35">
      <c r="J4862" s="56" t="str">
        <f t="shared" si="225"/>
        <v/>
      </c>
      <c r="K4862" s="74" t="str">
        <f t="shared" si="226"/>
        <v/>
      </c>
      <c r="L4862" s="58" t="str">
        <f t="shared" si="227"/>
        <v/>
      </c>
    </row>
    <row r="4863" spans="10:12" ht="16.5" customHeight="1" x14ac:dyDescent="0.35">
      <c r="J4863" s="56" t="str">
        <f t="shared" si="225"/>
        <v/>
      </c>
      <c r="K4863" s="74" t="str">
        <f t="shared" si="226"/>
        <v/>
      </c>
      <c r="L4863" s="58" t="str">
        <f t="shared" si="227"/>
        <v/>
      </c>
    </row>
    <row r="4864" spans="10:12" ht="16.5" customHeight="1" x14ac:dyDescent="0.35">
      <c r="J4864" s="56" t="str">
        <f t="shared" si="225"/>
        <v/>
      </c>
      <c r="K4864" s="74" t="str">
        <f t="shared" si="226"/>
        <v/>
      </c>
      <c r="L4864" s="58" t="str">
        <f t="shared" si="227"/>
        <v/>
      </c>
    </row>
    <row r="4865" spans="10:12" ht="16.5" customHeight="1" x14ac:dyDescent="0.35">
      <c r="J4865" s="56" t="str">
        <f t="shared" si="225"/>
        <v/>
      </c>
      <c r="K4865" s="74" t="str">
        <f t="shared" si="226"/>
        <v/>
      </c>
      <c r="L4865" s="58" t="str">
        <f t="shared" si="227"/>
        <v/>
      </c>
    </row>
    <row r="4866" spans="10:12" ht="16.5" customHeight="1" x14ac:dyDescent="0.35">
      <c r="J4866" s="56" t="str">
        <f t="shared" si="225"/>
        <v/>
      </c>
      <c r="K4866" s="74" t="str">
        <f t="shared" si="226"/>
        <v/>
      </c>
      <c r="L4866" s="58" t="str">
        <f t="shared" si="227"/>
        <v/>
      </c>
    </row>
    <row r="4867" spans="10:12" ht="16.5" customHeight="1" x14ac:dyDescent="0.35">
      <c r="J4867" s="56" t="str">
        <f t="shared" si="225"/>
        <v/>
      </c>
      <c r="K4867" s="74" t="str">
        <f t="shared" si="226"/>
        <v/>
      </c>
      <c r="L4867" s="58" t="str">
        <f t="shared" si="227"/>
        <v/>
      </c>
    </row>
    <row r="4868" spans="10:12" ht="16.5" customHeight="1" x14ac:dyDescent="0.35">
      <c r="J4868" s="56" t="str">
        <f t="shared" si="225"/>
        <v/>
      </c>
      <c r="K4868" s="74" t="str">
        <f t="shared" si="226"/>
        <v/>
      </c>
      <c r="L4868" s="58" t="str">
        <f t="shared" si="227"/>
        <v/>
      </c>
    </row>
    <row r="4869" spans="10:12" ht="16.5" customHeight="1" x14ac:dyDescent="0.35">
      <c r="J4869" s="56" t="str">
        <f t="shared" si="225"/>
        <v/>
      </c>
      <c r="K4869" s="74" t="str">
        <f t="shared" si="226"/>
        <v/>
      </c>
      <c r="L4869" s="58" t="str">
        <f t="shared" si="227"/>
        <v/>
      </c>
    </row>
    <row r="4870" spans="10:12" ht="16.5" customHeight="1" x14ac:dyDescent="0.35">
      <c r="J4870" s="56" t="str">
        <f t="shared" si="225"/>
        <v/>
      </c>
      <c r="K4870" s="74" t="str">
        <f t="shared" si="226"/>
        <v/>
      </c>
      <c r="L4870" s="58" t="str">
        <f t="shared" si="227"/>
        <v/>
      </c>
    </row>
    <row r="4871" spans="10:12" ht="16.5" customHeight="1" x14ac:dyDescent="0.35">
      <c r="J4871" s="56" t="str">
        <f t="shared" si="225"/>
        <v/>
      </c>
      <c r="K4871" s="74" t="str">
        <f t="shared" si="226"/>
        <v/>
      </c>
      <c r="L4871" s="58" t="str">
        <f t="shared" si="227"/>
        <v/>
      </c>
    </row>
    <row r="4872" spans="10:12" ht="16.5" customHeight="1" x14ac:dyDescent="0.35">
      <c r="J4872" s="56" t="str">
        <f t="shared" si="225"/>
        <v/>
      </c>
      <c r="K4872" s="74" t="str">
        <f t="shared" si="226"/>
        <v/>
      </c>
      <c r="L4872" s="58" t="str">
        <f t="shared" si="227"/>
        <v/>
      </c>
    </row>
    <row r="4873" spans="10:12" ht="16.5" customHeight="1" x14ac:dyDescent="0.35">
      <c r="J4873" s="56" t="str">
        <f t="shared" ref="J4873:J4936" si="228">IF(A4873="","",A$5-A4873)</f>
        <v/>
      </c>
      <c r="K4873" s="74" t="str">
        <f t="shared" ref="K4873:K4936" si="229">IF(J4873="","",IF(J4873&lt;4,"0-3 Days",IF(J4873&lt;31,"4-30 Days",IF(J4873&lt;61,"31-60 Days",IF(J4873&lt;=90,"61-90 Days",IF(J4873&gt;90,"Above 90 Days","0"))))))</f>
        <v/>
      </c>
      <c r="L4873" s="58" t="str">
        <f t="shared" ref="L4873:L4936" si="230">IF(C4873="","",IF(C4873&gt;0,IF(J4873&lt;30,"Normal",IF(J4873&lt;60,"Especially Mentioned",IF(J4873&lt;90,"Substandard",IF(J4873&lt;=180,"Doubtful",IF(J4873&gt;180,"Loss","0"))))),"Not Applicable"))</f>
        <v/>
      </c>
    </row>
    <row r="4874" spans="10:12" ht="16.5" customHeight="1" x14ac:dyDescent="0.35">
      <c r="J4874" s="56" t="str">
        <f t="shared" si="228"/>
        <v/>
      </c>
      <c r="K4874" s="74" t="str">
        <f t="shared" si="229"/>
        <v/>
      </c>
      <c r="L4874" s="58" t="str">
        <f t="shared" si="230"/>
        <v/>
      </c>
    </row>
    <row r="4875" spans="10:12" ht="16.5" customHeight="1" x14ac:dyDescent="0.35">
      <c r="J4875" s="56" t="str">
        <f t="shared" si="228"/>
        <v/>
      </c>
      <c r="K4875" s="74" t="str">
        <f t="shared" si="229"/>
        <v/>
      </c>
      <c r="L4875" s="58" t="str">
        <f t="shared" si="230"/>
        <v/>
      </c>
    </row>
    <row r="4876" spans="10:12" ht="16.5" customHeight="1" x14ac:dyDescent="0.35">
      <c r="J4876" s="56" t="str">
        <f t="shared" si="228"/>
        <v/>
      </c>
      <c r="K4876" s="74" t="str">
        <f t="shared" si="229"/>
        <v/>
      </c>
      <c r="L4876" s="58" t="str">
        <f t="shared" si="230"/>
        <v/>
      </c>
    </row>
    <row r="4877" spans="10:12" ht="16.5" customHeight="1" x14ac:dyDescent="0.35">
      <c r="J4877" s="56" t="str">
        <f t="shared" si="228"/>
        <v/>
      </c>
      <c r="K4877" s="74" t="str">
        <f t="shared" si="229"/>
        <v/>
      </c>
      <c r="L4877" s="58" t="str">
        <f t="shared" si="230"/>
        <v/>
      </c>
    </row>
    <row r="4878" spans="10:12" ht="16.5" customHeight="1" x14ac:dyDescent="0.35">
      <c r="J4878" s="56" t="str">
        <f t="shared" si="228"/>
        <v/>
      </c>
      <c r="K4878" s="74" t="str">
        <f t="shared" si="229"/>
        <v/>
      </c>
      <c r="L4878" s="58" t="str">
        <f t="shared" si="230"/>
        <v/>
      </c>
    </row>
    <row r="4879" spans="10:12" ht="16.5" customHeight="1" x14ac:dyDescent="0.35">
      <c r="J4879" s="56" t="str">
        <f t="shared" si="228"/>
        <v/>
      </c>
      <c r="K4879" s="74" t="str">
        <f t="shared" si="229"/>
        <v/>
      </c>
      <c r="L4879" s="58" t="str">
        <f t="shared" si="230"/>
        <v/>
      </c>
    </row>
    <row r="4880" spans="10:12" ht="16.5" customHeight="1" x14ac:dyDescent="0.35">
      <c r="J4880" s="56" t="str">
        <f t="shared" si="228"/>
        <v/>
      </c>
      <c r="K4880" s="74" t="str">
        <f t="shared" si="229"/>
        <v/>
      </c>
      <c r="L4880" s="58" t="str">
        <f t="shared" si="230"/>
        <v/>
      </c>
    </row>
    <row r="4881" spans="10:12" ht="16.5" customHeight="1" x14ac:dyDescent="0.35">
      <c r="J4881" s="56" t="str">
        <f t="shared" si="228"/>
        <v/>
      </c>
      <c r="K4881" s="74" t="str">
        <f t="shared" si="229"/>
        <v/>
      </c>
      <c r="L4881" s="58" t="str">
        <f t="shared" si="230"/>
        <v/>
      </c>
    </row>
    <row r="4882" spans="10:12" ht="16.5" customHeight="1" x14ac:dyDescent="0.35">
      <c r="J4882" s="56" t="str">
        <f t="shared" si="228"/>
        <v/>
      </c>
      <c r="K4882" s="74" t="str">
        <f t="shared" si="229"/>
        <v/>
      </c>
      <c r="L4882" s="58" t="str">
        <f t="shared" si="230"/>
        <v/>
      </c>
    </row>
    <row r="4883" spans="10:12" ht="16.5" customHeight="1" x14ac:dyDescent="0.35">
      <c r="J4883" s="56" t="str">
        <f t="shared" si="228"/>
        <v/>
      </c>
      <c r="K4883" s="74" t="str">
        <f t="shared" si="229"/>
        <v/>
      </c>
      <c r="L4883" s="58" t="str">
        <f t="shared" si="230"/>
        <v/>
      </c>
    </row>
    <row r="4884" spans="10:12" ht="16.5" customHeight="1" x14ac:dyDescent="0.35">
      <c r="J4884" s="56" t="str">
        <f t="shared" si="228"/>
        <v/>
      </c>
      <c r="K4884" s="74" t="str">
        <f t="shared" si="229"/>
        <v/>
      </c>
      <c r="L4884" s="58" t="str">
        <f t="shared" si="230"/>
        <v/>
      </c>
    </row>
    <row r="4885" spans="10:12" ht="16.5" customHeight="1" x14ac:dyDescent="0.35">
      <c r="J4885" s="56" t="str">
        <f t="shared" si="228"/>
        <v/>
      </c>
      <c r="K4885" s="74" t="str">
        <f t="shared" si="229"/>
        <v/>
      </c>
      <c r="L4885" s="58" t="str">
        <f t="shared" si="230"/>
        <v/>
      </c>
    </row>
    <row r="4886" spans="10:12" ht="16.5" customHeight="1" x14ac:dyDescent="0.35">
      <c r="J4886" s="56" t="str">
        <f t="shared" si="228"/>
        <v/>
      </c>
      <c r="K4886" s="74" t="str">
        <f t="shared" si="229"/>
        <v/>
      </c>
      <c r="L4886" s="58" t="str">
        <f t="shared" si="230"/>
        <v/>
      </c>
    </row>
    <row r="4887" spans="10:12" ht="16.5" customHeight="1" x14ac:dyDescent="0.35">
      <c r="J4887" s="56" t="str">
        <f t="shared" si="228"/>
        <v/>
      </c>
      <c r="K4887" s="74" t="str">
        <f t="shared" si="229"/>
        <v/>
      </c>
      <c r="L4887" s="58" t="str">
        <f t="shared" si="230"/>
        <v/>
      </c>
    </row>
    <row r="4888" spans="10:12" ht="16.5" customHeight="1" x14ac:dyDescent="0.35">
      <c r="J4888" s="56" t="str">
        <f t="shared" si="228"/>
        <v/>
      </c>
      <c r="K4888" s="74" t="str">
        <f t="shared" si="229"/>
        <v/>
      </c>
      <c r="L4888" s="58" t="str">
        <f t="shared" si="230"/>
        <v/>
      </c>
    </row>
    <row r="4889" spans="10:12" ht="16.5" customHeight="1" x14ac:dyDescent="0.35">
      <c r="J4889" s="56" t="str">
        <f t="shared" si="228"/>
        <v/>
      </c>
      <c r="K4889" s="74" t="str">
        <f t="shared" si="229"/>
        <v/>
      </c>
      <c r="L4889" s="58" t="str">
        <f t="shared" si="230"/>
        <v/>
      </c>
    </row>
    <row r="4890" spans="10:12" ht="16.5" customHeight="1" x14ac:dyDescent="0.35">
      <c r="J4890" s="56" t="str">
        <f t="shared" si="228"/>
        <v/>
      </c>
      <c r="K4890" s="74" t="str">
        <f t="shared" si="229"/>
        <v/>
      </c>
      <c r="L4890" s="58" t="str">
        <f t="shared" si="230"/>
        <v/>
      </c>
    </row>
    <row r="4891" spans="10:12" ht="16.5" customHeight="1" x14ac:dyDescent="0.35">
      <c r="J4891" s="56" t="str">
        <f t="shared" si="228"/>
        <v/>
      </c>
      <c r="K4891" s="74" t="str">
        <f t="shared" si="229"/>
        <v/>
      </c>
      <c r="L4891" s="58" t="str">
        <f t="shared" si="230"/>
        <v/>
      </c>
    </row>
    <row r="4892" spans="10:12" ht="16.5" customHeight="1" x14ac:dyDescent="0.35">
      <c r="J4892" s="56" t="str">
        <f t="shared" si="228"/>
        <v/>
      </c>
      <c r="K4892" s="74" t="str">
        <f t="shared" si="229"/>
        <v/>
      </c>
      <c r="L4892" s="58" t="str">
        <f t="shared" si="230"/>
        <v/>
      </c>
    </row>
    <row r="4893" spans="10:12" ht="16.5" customHeight="1" x14ac:dyDescent="0.35">
      <c r="J4893" s="56" t="str">
        <f t="shared" si="228"/>
        <v/>
      </c>
      <c r="K4893" s="74" t="str">
        <f t="shared" si="229"/>
        <v/>
      </c>
      <c r="L4893" s="58" t="str">
        <f t="shared" si="230"/>
        <v/>
      </c>
    </row>
    <row r="4894" spans="10:12" ht="16.5" customHeight="1" x14ac:dyDescent="0.35">
      <c r="J4894" s="56" t="str">
        <f t="shared" si="228"/>
        <v/>
      </c>
      <c r="K4894" s="74" t="str">
        <f t="shared" si="229"/>
        <v/>
      </c>
      <c r="L4894" s="58" t="str">
        <f t="shared" si="230"/>
        <v/>
      </c>
    </row>
    <row r="4895" spans="10:12" ht="16.5" customHeight="1" x14ac:dyDescent="0.35">
      <c r="J4895" s="56" t="str">
        <f t="shared" si="228"/>
        <v/>
      </c>
      <c r="K4895" s="74" t="str">
        <f t="shared" si="229"/>
        <v/>
      </c>
      <c r="L4895" s="58" t="str">
        <f t="shared" si="230"/>
        <v/>
      </c>
    </row>
    <row r="4896" spans="10:12" ht="16.5" customHeight="1" x14ac:dyDescent="0.35">
      <c r="J4896" s="56" t="str">
        <f t="shared" si="228"/>
        <v/>
      </c>
      <c r="K4896" s="74" t="str">
        <f t="shared" si="229"/>
        <v/>
      </c>
      <c r="L4896" s="58" t="str">
        <f t="shared" si="230"/>
        <v/>
      </c>
    </row>
    <row r="4897" spans="10:12" ht="16.5" customHeight="1" x14ac:dyDescent="0.35">
      <c r="J4897" s="56" t="str">
        <f t="shared" si="228"/>
        <v/>
      </c>
      <c r="K4897" s="74" t="str">
        <f t="shared" si="229"/>
        <v/>
      </c>
      <c r="L4897" s="58" t="str">
        <f t="shared" si="230"/>
        <v/>
      </c>
    </row>
    <row r="4898" spans="10:12" ht="16.5" customHeight="1" x14ac:dyDescent="0.35">
      <c r="J4898" s="56" t="str">
        <f t="shared" si="228"/>
        <v/>
      </c>
      <c r="K4898" s="74" t="str">
        <f t="shared" si="229"/>
        <v/>
      </c>
      <c r="L4898" s="58" t="str">
        <f t="shared" si="230"/>
        <v/>
      </c>
    </row>
    <row r="4899" spans="10:12" ht="16.5" customHeight="1" x14ac:dyDescent="0.35">
      <c r="J4899" s="56" t="str">
        <f t="shared" si="228"/>
        <v/>
      </c>
      <c r="K4899" s="74" t="str">
        <f t="shared" si="229"/>
        <v/>
      </c>
      <c r="L4899" s="58" t="str">
        <f t="shared" si="230"/>
        <v/>
      </c>
    </row>
    <row r="4900" spans="10:12" ht="16.5" customHeight="1" x14ac:dyDescent="0.35">
      <c r="J4900" s="56" t="str">
        <f t="shared" si="228"/>
        <v/>
      </c>
      <c r="K4900" s="74" t="str">
        <f t="shared" si="229"/>
        <v/>
      </c>
      <c r="L4900" s="58" t="str">
        <f t="shared" si="230"/>
        <v/>
      </c>
    </row>
    <row r="4901" spans="10:12" ht="16.5" customHeight="1" x14ac:dyDescent="0.35">
      <c r="J4901" s="56" t="str">
        <f t="shared" si="228"/>
        <v/>
      </c>
      <c r="K4901" s="74" t="str">
        <f t="shared" si="229"/>
        <v/>
      </c>
      <c r="L4901" s="58" t="str">
        <f t="shared" si="230"/>
        <v/>
      </c>
    </row>
    <row r="4902" spans="10:12" ht="16.5" customHeight="1" x14ac:dyDescent="0.35">
      <c r="J4902" s="56" t="str">
        <f t="shared" si="228"/>
        <v/>
      </c>
      <c r="K4902" s="74" t="str">
        <f t="shared" si="229"/>
        <v/>
      </c>
      <c r="L4902" s="58" t="str">
        <f t="shared" si="230"/>
        <v/>
      </c>
    </row>
    <row r="4903" spans="10:12" ht="16.5" customHeight="1" x14ac:dyDescent="0.35">
      <c r="J4903" s="56" t="str">
        <f t="shared" si="228"/>
        <v/>
      </c>
      <c r="K4903" s="74" t="str">
        <f t="shared" si="229"/>
        <v/>
      </c>
      <c r="L4903" s="58" t="str">
        <f t="shared" si="230"/>
        <v/>
      </c>
    </row>
    <row r="4904" spans="10:12" ht="16.5" customHeight="1" x14ac:dyDescent="0.35">
      <c r="J4904" s="56" t="str">
        <f t="shared" si="228"/>
        <v/>
      </c>
      <c r="K4904" s="74" t="str">
        <f t="shared" si="229"/>
        <v/>
      </c>
      <c r="L4904" s="58" t="str">
        <f t="shared" si="230"/>
        <v/>
      </c>
    </row>
    <row r="4905" spans="10:12" ht="16.5" customHeight="1" x14ac:dyDescent="0.35">
      <c r="J4905" s="56" t="str">
        <f t="shared" si="228"/>
        <v/>
      </c>
      <c r="K4905" s="74" t="str">
        <f t="shared" si="229"/>
        <v/>
      </c>
      <c r="L4905" s="58" t="str">
        <f t="shared" si="230"/>
        <v/>
      </c>
    </row>
    <row r="4906" spans="10:12" ht="16.5" customHeight="1" x14ac:dyDescent="0.35">
      <c r="J4906" s="56" t="str">
        <f t="shared" si="228"/>
        <v/>
      </c>
      <c r="K4906" s="74" t="str">
        <f t="shared" si="229"/>
        <v/>
      </c>
      <c r="L4906" s="58" t="str">
        <f t="shared" si="230"/>
        <v/>
      </c>
    </row>
    <row r="4907" spans="10:12" ht="16.5" customHeight="1" x14ac:dyDescent="0.35">
      <c r="J4907" s="56" t="str">
        <f t="shared" si="228"/>
        <v/>
      </c>
      <c r="K4907" s="74" t="str">
        <f t="shared" si="229"/>
        <v/>
      </c>
      <c r="L4907" s="58" t="str">
        <f t="shared" si="230"/>
        <v/>
      </c>
    </row>
    <row r="4908" spans="10:12" ht="16.5" customHeight="1" x14ac:dyDescent="0.35">
      <c r="J4908" s="56" t="str">
        <f t="shared" si="228"/>
        <v/>
      </c>
      <c r="K4908" s="74" t="str">
        <f t="shared" si="229"/>
        <v/>
      </c>
      <c r="L4908" s="58" t="str">
        <f t="shared" si="230"/>
        <v/>
      </c>
    </row>
    <row r="4909" spans="10:12" ht="16.5" customHeight="1" x14ac:dyDescent="0.35">
      <c r="J4909" s="56" t="str">
        <f t="shared" si="228"/>
        <v/>
      </c>
      <c r="K4909" s="74" t="str">
        <f t="shared" si="229"/>
        <v/>
      </c>
      <c r="L4909" s="58" t="str">
        <f t="shared" si="230"/>
        <v/>
      </c>
    </row>
    <row r="4910" spans="10:12" ht="16.5" customHeight="1" x14ac:dyDescent="0.35">
      <c r="J4910" s="56" t="str">
        <f t="shared" si="228"/>
        <v/>
      </c>
      <c r="K4910" s="74" t="str">
        <f t="shared" si="229"/>
        <v/>
      </c>
      <c r="L4910" s="58" t="str">
        <f t="shared" si="230"/>
        <v/>
      </c>
    </row>
    <row r="4911" spans="10:12" ht="16.5" customHeight="1" x14ac:dyDescent="0.35">
      <c r="J4911" s="56" t="str">
        <f t="shared" si="228"/>
        <v/>
      </c>
      <c r="K4911" s="74" t="str">
        <f t="shared" si="229"/>
        <v/>
      </c>
      <c r="L4911" s="58" t="str">
        <f t="shared" si="230"/>
        <v/>
      </c>
    </row>
    <row r="4912" spans="10:12" ht="16.5" customHeight="1" x14ac:dyDescent="0.35">
      <c r="J4912" s="56" t="str">
        <f t="shared" si="228"/>
        <v/>
      </c>
      <c r="K4912" s="74" t="str">
        <f t="shared" si="229"/>
        <v/>
      </c>
      <c r="L4912" s="58" t="str">
        <f t="shared" si="230"/>
        <v/>
      </c>
    </row>
    <row r="4913" spans="10:12" ht="16.5" customHeight="1" x14ac:dyDescent="0.35">
      <c r="J4913" s="56" t="str">
        <f t="shared" si="228"/>
        <v/>
      </c>
      <c r="K4913" s="74" t="str">
        <f t="shared" si="229"/>
        <v/>
      </c>
      <c r="L4913" s="58" t="str">
        <f t="shared" si="230"/>
        <v/>
      </c>
    </row>
    <row r="4914" spans="10:12" ht="16.5" customHeight="1" x14ac:dyDescent="0.35">
      <c r="J4914" s="56" t="str">
        <f t="shared" si="228"/>
        <v/>
      </c>
      <c r="K4914" s="74" t="str">
        <f t="shared" si="229"/>
        <v/>
      </c>
      <c r="L4914" s="58" t="str">
        <f t="shared" si="230"/>
        <v/>
      </c>
    </row>
    <row r="4915" spans="10:12" ht="16.5" customHeight="1" x14ac:dyDescent="0.35">
      <c r="J4915" s="56" t="str">
        <f t="shared" si="228"/>
        <v/>
      </c>
      <c r="K4915" s="74" t="str">
        <f t="shared" si="229"/>
        <v/>
      </c>
      <c r="L4915" s="58" t="str">
        <f t="shared" si="230"/>
        <v/>
      </c>
    </row>
    <row r="4916" spans="10:12" ht="16.5" customHeight="1" x14ac:dyDescent="0.35">
      <c r="J4916" s="56" t="str">
        <f t="shared" si="228"/>
        <v/>
      </c>
      <c r="K4916" s="74" t="str">
        <f t="shared" si="229"/>
        <v/>
      </c>
      <c r="L4916" s="58" t="str">
        <f t="shared" si="230"/>
        <v/>
      </c>
    </row>
    <row r="4917" spans="10:12" ht="16.5" customHeight="1" x14ac:dyDescent="0.35">
      <c r="J4917" s="56" t="str">
        <f t="shared" si="228"/>
        <v/>
      </c>
      <c r="K4917" s="74" t="str">
        <f t="shared" si="229"/>
        <v/>
      </c>
      <c r="L4917" s="58" t="str">
        <f t="shared" si="230"/>
        <v/>
      </c>
    </row>
    <row r="4918" spans="10:12" ht="16.5" customHeight="1" x14ac:dyDescent="0.35">
      <c r="J4918" s="56" t="str">
        <f t="shared" si="228"/>
        <v/>
      </c>
      <c r="K4918" s="74" t="str">
        <f t="shared" si="229"/>
        <v/>
      </c>
      <c r="L4918" s="58" t="str">
        <f t="shared" si="230"/>
        <v/>
      </c>
    </row>
    <row r="4919" spans="10:12" ht="16.5" customHeight="1" x14ac:dyDescent="0.35">
      <c r="J4919" s="56" t="str">
        <f t="shared" si="228"/>
        <v/>
      </c>
      <c r="K4919" s="74" t="str">
        <f t="shared" si="229"/>
        <v/>
      </c>
      <c r="L4919" s="58" t="str">
        <f t="shared" si="230"/>
        <v/>
      </c>
    </row>
    <row r="4920" spans="10:12" ht="16.5" customHeight="1" x14ac:dyDescent="0.35">
      <c r="J4920" s="56" t="str">
        <f t="shared" si="228"/>
        <v/>
      </c>
      <c r="K4920" s="74" t="str">
        <f t="shared" si="229"/>
        <v/>
      </c>
      <c r="L4920" s="58" t="str">
        <f t="shared" si="230"/>
        <v/>
      </c>
    </row>
    <row r="4921" spans="10:12" ht="16.5" customHeight="1" x14ac:dyDescent="0.35">
      <c r="J4921" s="56" t="str">
        <f t="shared" si="228"/>
        <v/>
      </c>
      <c r="K4921" s="74" t="str">
        <f t="shared" si="229"/>
        <v/>
      </c>
      <c r="L4921" s="58" t="str">
        <f t="shared" si="230"/>
        <v/>
      </c>
    </row>
    <row r="4922" spans="10:12" ht="16.5" customHeight="1" x14ac:dyDescent="0.35">
      <c r="J4922" s="56" t="str">
        <f t="shared" si="228"/>
        <v/>
      </c>
      <c r="K4922" s="74" t="str">
        <f t="shared" si="229"/>
        <v/>
      </c>
      <c r="L4922" s="58" t="str">
        <f t="shared" si="230"/>
        <v/>
      </c>
    </row>
    <row r="4923" spans="10:12" ht="16.5" customHeight="1" x14ac:dyDescent="0.35">
      <c r="J4923" s="56" t="str">
        <f t="shared" si="228"/>
        <v/>
      </c>
      <c r="K4923" s="74" t="str">
        <f t="shared" si="229"/>
        <v/>
      </c>
      <c r="L4923" s="58" t="str">
        <f t="shared" si="230"/>
        <v/>
      </c>
    </row>
    <row r="4924" spans="10:12" ht="16.5" customHeight="1" x14ac:dyDescent="0.35">
      <c r="J4924" s="56" t="str">
        <f t="shared" si="228"/>
        <v/>
      </c>
      <c r="K4924" s="74" t="str">
        <f t="shared" si="229"/>
        <v/>
      </c>
      <c r="L4924" s="58" t="str">
        <f t="shared" si="230"/>
        <v/>
      </c>
    </row>
    <row r="4925" spans="10:12" ht="16.5" customHeight="1" x14ac:dyDescent="0.35">
      <c r="J4925" s="56" t="str">
        <f t="shared" si="228"/>
        <v/>
      </c>
      <c r="K4925" s="74" t="str">
        <f t="shared" si="229"/>
        <v/>
      </c>
      <c r="L4925" s="58" t="str">
        <f t="shared" si="230"/>
        <v/>
      </c>
    </row>
    <row r="4926" spans="10:12" ht="16.5" customHeight="1" x14ac:dyDescent="0.35">
      <c r="J4926" s="56" t="str">
        <f t="shared" si="228"/>
        <v/>
      </c>
      <c r="K4926" s="74" t="str">
        <f t="shared" si="229"/>
        <v/>
      </c>
      <c r="L4926" s="58" t="str">
        <f t="shared" si="230"/>
        <v/>
      </c>
    </row>
    <row r="4927" spans="10:12" ht="16.5" customHeight="1" x14ac:dyDescent="0.35">
      <c r="J4927" s="56" t="str">
        <f t="shared" si="228"/>
        <v/>
      </c>
      <c r="K4927" s="74" t="str">
        <f t="shared" si="229"/>
        <v/>
      </c>
      <c r="L4927" s="58" t="str">
        <f t="shared" si="230"/>
        <v/>
      </c>
    </row>
    <row r="4928" spans="10:12" ht="16.5" customHeight="1" x14ac:dyDescent="0.35">
      <c r="J4928" s="56" t="str">
        <f t="shared" si="228"/>
        <v/>
      </c>
      <c r="K4928" s="74" t="str">
        <f t="shared" si="229"/>
        <v/>
      </c>
      <c r="L4928" s="58" t="str">
        <f t="shared" si="230"/>
        <v/>
      </c>
    </row>
    <row r="4929" spans="10:12" ht="16.5" customHeight="1" x14ac:dyDescent="0.35">
      <c r="J4929" s="56" t="str">
        <f t="shared" si="228"/>
        <v/>
      </c>
      <c r="K4929" s="74" t="str">
        <f t="shared" si="229"/>
        <v/>
      </c>
      <c r="L4929" s="58" t="str">
        <f t="shared" si="230"/>
        <v/>
      </c>
    </row>
    <row r="4930" spans="10:12" ht="16.5" customHeight="1" x14ac:dyDescent="0.35">
      <c r="J4930" s="56" t="str">
        <f t="shared" si="228"/>
        <v/>
      </c>
      <c r="K4930" s="74" t="str">
        <f t="shared" si="229"/>
        <v/>
      </c>
      <c r="L4930" s="58" t="str">
        <f t="shared" si="230"/>
        <v/>
      </c>
    </row>
    <row r="4931" spans="10:12" ht="16.5" customHeight="1" x14ac:dyDescent="0.35">
      <c r="J4931" s="56" t="str">
        <f t="shared" si="228"/>
        <v/>
      </c>
      <c r="K4931" s="74" t="str">
        <f t="shared" si="229"/>
        <v/>
      </c>
      <c r="L4931" s="58" t="str">
        <f t="shared" si="230"/>
        <v/>
      </c>
    </row>
    <row r="4932" spans="10:12" ht="16.5" customHeight="1" x14ac:dyDescent="0.35">
      <c r="J4932" s="56" t="str">
        <f t="shared" si="228"/>
        <v/>
      </c>
      <c r="K4932" s="74" t="str">
        <f t="shared" si="229"/>
        <v/>
      </c>
      <c r="L4932" s="58" t="str">
        <f t="shared" si="230"/>
        <v/>
      </c>
    </row>
    <row r="4933" spans="10:12" ht="16.5" customHeight="1" x14ac:dyDescent="0.35">
      <c r="J4933" s="56" t="str">
        <f t="shared" si="228"/>
        <v/>
      </c>
      <c r="K4933" s="74" t="str">
        <f t="shared" si="229"/>
        <v/>
      </c>
      <c r="L4933" s="58" t="str">
        <f t="shared" si="230"/>
        <v/>
      </c>
    </row>
    <row r="4934" spans="10:12" ht="16.5" customHeight="1" x14ac:dyDescent="0.35">
      <c r="J4934" s="56" t="str">
        <f t="shared" si="228"/>
        <v/>
      </c>
      <c r="K4934" s="74" t="str">
        <f t="shared" si="229"/>
        <v/>
      </c>
      <c r="L4934" s="58" t="str">
        <f t="shared" si="230"/>
        <v/>
      </c>
    </row>
    <row r="4935" spans="10:12" ht="16.5" customHeight="1" x14ac:dyDescent="0.35">
      <c r="J4935" s="56" t="str">
        <f t="shared" si="228"/>
        <v/>
      </c>
      <c r="K4935" s="74" t="str">
        <f t="shared" si="229"/>
        <v/>
      </c>
      <c r="L4935" s="58" t="str">
        <f t="shared" si="230"/>
        <v/>
      </c>
    </row>
    <row r="4936" spans="10:12" ht="16.5" customHeight="1" x14ac:dyDescent="0.35">
      <c r="J4936" s="56" t="str">
        <f t="shared" si="228"/>
        <v/>
      </c>
      <c r="K4936" s="74" t="str">
        <f t="shared" si="229"/>
        <v/>
      </c>
      <c r="L4936" s="58" t="str">
        <f t="shared" si="230"/>
        <v/>
      </c>
    </row>
    <row r="4937" spans="10:12" ht="16.5" customHeight="1" x14ac:dyDescent="0.35">
      <c r="J4937" s="56" t="str">
        <f t="shared" ref="J4937:J5000" si="231">IF(A4937="","",A$5-A4937)</f>
        <v/>
      </c>
      <c r="K4937" s="74" t="str">
        <f t="shared" ref="K4937:K5000" si="232">IF(J4937="","",IF(J4937&lt;4,"0-3 Days",IF(J4937&lt;31,"4-30 Days",IF(J4937&lt;61,"31-60 Days",IF(J4937&lt;=90,"61-90 Days",IF(J4937&gt;90,"Above 90 Days","0"))))))</f>
        <v/>
      </c>
      <c r="L4937" s="58" t="str">
        <f t="shared" ref="L4937:L5000" si="233">IF(C4937="","",IF(C4937&gt;0,IF(J4937&lt;30,"Normal",IF(J4937&lt;60,"Especially Mentioned",IF(J4937&lt;90,"Substandard",IF(J4937&lt;=180,"Doubtful",IF(J4937&gt;180,"Loss","0"))))),"Not Applicable"))</f>
        <v/>
      </c>
    </row>
    <row r="4938" spans="10:12" ht="16.5" customHeight="1" x14ac:dyDescent="0.35">
      <c r="J4938" s="56" t="str">
        <f t="shared" si="231"/>
        <v/>
      </c>
      <c r="K4938" s="74" t="str">
        <f t="shared" si="232"/>
        <v/>
      </c>
      <c r="L4938" s="58" t="str">
        <f t="shared" si="233"/>
        <v/>
      </c>
    </row>
    <row r="4939" spans="10:12" ht="16.5" customHeight="1" x14ac:dyDescent="0.35">
      <c r="J4939" s="56" t="str">
        <f t="shared" si="231"/>
        <v/>
      </c>
      <c r="K4939" s="74" t="str">
        <f t="shared" si="232"/>
        <v/>
      </c>
      <c r="L4939" s="58" t="str">
        <f t="shared" si="233"/>
        <v/>
      </c>
    </row>
    <row r="4940" spans="10:12" ht="16.5" customHeight="1" x14ac:dyDescent="0.35">
      <c r="J4940" s="56" t="str">
        <f t="shared" si="231"/>
        <v/>
      </c>
      <c r="K4940" s="74" t="str">
        <f t="shared" si="232"/>
        <v/>
      </c>
      <c r="L4940" s="58" t="str">
        <f t="shared" si="233"/>
        <v/>
      </c>
    </row>
    <row r="4941" spans="10:12" ht="16.5" customHeight="1" x14ac:dyDescent="0.35">
      <c r="J4941" s="56" t="str">
        <f t="shared" si="231"/>
        <v/>
      </c>
      <c r="K4941" s="74" t="str">
        <f t="shared" si="232"/>
        <v/>
      </c>
      <c r="L4941" s="58" t="str">
        <f t="shared" si="233"/>
        <v/>
      </c>
    </row>
    <row r="4942" spans="10:12" ht="16.5" customHeight="1" x14ac:dyDescent="0.35">
      <c r="J4942" s="56" t="str">
        <f t="shared" si="231"/>
        <v/>
      </c>
      <c r="K4942" s="74" t="str">
        <f t="shared" si="232"/>
        <v/>
      </c>
      <c r="L4942" s="58" t="str">
        <f t="shared" si="233"/>
        <v/>
      </c>
    </row>
    <row r="4943" spans="10:12" ht="16.5" customHeight="1" x14ac:dyDescent="0.35">
      <c r="J4943" s="56" t="str">
        <f t="shared" si="231"/>
        <v/>
      </c>
      <c r="K4943" s="74" t="str">
        <f t="shared" si="232"/>
        <v/>
      </c>
      <c r="L4943" s="58" t="str">
        <f t="shared" si="233"/>
        <v/>
      </c>
    </row>
    <row r="4944" spans="10:12" ht="16.5" customHeight="1" x14ac:dyDescent="0.35">
      <c r="J4944" s="56" t="str">
        <f t="shared" si="231"/>
        <v/>
      </c>
      <c r="K4944" s="74" t="str">
        <f t="shared" si="232"/>
        <v/>
      </c>
      <c r="L4944" s="58" t="str">
        <f t="shared" si="233"/>
        <v/>
      </c>
    </row>
    <row r="4945" spans="10:12" ht="16.5" customHeight="1" x14ac:dyDescent="0.35">
      <c r="J4945" s="56" t="str">
        <f t="shared" si="231"/>
        <v/>
      </c>
      <c r="K4945" s="74" t="str">
        <f t="shared" si="232"/>
        <v/>
      </c>
      <c r="L4945" s="58" t="str">
        <f t="shared" si="233"/>
        <v/>
      </c>
    </row>
    <row r="4946" spans="10:12" ht="16.5" customHeight="1" x14ac:dyDescent="0.35">
      <c r="J4946" s="56" t="str">
        <f t="shared" si="231"/>
        <v/>
      </c>
      <c r="K4946" s="74" t="str">
        <f t="shared" si="232"/>
        <v/>
      </c>
      <c r="L4946" s="58" t="str">
        <f t="shared" si="233"/>
        <v/>
      </c>
    </row>
    <row r="4947" spans="10:12" ht="16.5" customHeight="1" x14ac:dyDescent="0.35">
      <c r="J4947" s="56" t="str">
        <f t="shared" si="231"/>
        <v/>
      </c>
      <c r="K4947" s="74" t="str">
        <f t="shared" si="232"/>
        <v/>
      </c>
      <c r="L4947" s="58" t="str">
        <f t="shared" si="233"/>
        <v/>
      </c>
    </row>
    <row r="4948" spans="10:12" ht="16.5" customHeight="1" x14ac:dyDescent="0.35">
      <c r="J4948" s="56" t="str">
        <f t="shared" si="231"/>
        <v/>
      </c>
      <c r="K4948" s="74" t="str">
        <f t="shared" si="232"/>
        <v/>
      </c>
      <c r="L4948" s="58" t="str">
        <f t="shared" si="233"/>
        <v/>
      </c>
    </row>
    <row r="4949" spans="10:12" ht="16.5" customHeight="1" x14ac:dyDescent="0.35">
      <c r="J4949" s="56" t="str">
        <f t="shared" si="231"/>
        <v/>
      </c>
      <c r="K4949" s="74" t="str">
        <f t="shared" si="232"/>
        <v/>
      </c>
      <c r="L4949" s="58" t="str">
        <f t="shared" si="233"/>
        <v/>
      </c>
    </row>
    <row r="4950" spans="10:12" ht="16.5" customHeight="1" x14ac:dyDescent="0.35">
      <c r="J4950" s="56" t="str">
        <f t="shared" si="231"/>
        <v/>
      </c>
      <c r="K4950" s="74" t="str">
        <f t="shared" si="232"/>
        <v/>
      </c>
      <c r="L4950" s="58" t="str">
        <f t="shared" si="233"/>
        <v/>
      </c>
    </row>
    <row r="4951" spans="10:12" ht="16.5" customHeight="1" x14ac:dyDescent="0.35">
      <c r="J4951" s="56" t="str">
        <f t="shared" si="231"/>
        <v/>
      </c>
      <c r="K4951" s="74" t="str">
        <f t="shared" si="232"/>
        <v/>
      </c>
      <c r="L4951" s="58" t="str">
        <f t="shared" si="233"/>
        <v/>
      </c>
    </row>
    <row r="4952" spans="10:12" ht="16.5" customHeight="1" x14ac:dyDescent="0.35">
      <c r="J4952" s="56" t="str">
        <f t="shared" si="231"/>
        <v/>
      </c>
      <c r="K4952" s="74" t="str">
        <f t="shared" si="232"/>
        <v/>
      </c>
      <c r="L4952" s="58" t="str">
        <f t="shared" si="233"/>
        <v/>
      </c>
    </row>
    <row r="4953" spans="10:12" ht="16.5" customHeight="1" x14ac:dyDescent="0.35">
      <c r="J4953" s="56" t="str">
        <f t="shared" si="231"/>
        <v/>
      </c>
      <c r="K4953" s="74" t="str">
        <f t="shared" si="232"/>
        <v/>
      </c>
      <c r="L4953" s="58" t="str">
        <f t="shared" si="233"/>
        <v/>
      </c>
    </row>
    <row r="4954" spans="10:12" ht="16.5" customHeight="1" x14ac:dyDescent="0.35">
      <c r="J4954" s="56" t="str">
        <f t="shared" si="231"/>
        <v/>
      </c>
      <c r="K4954" s="74" t="str">
        <f t="shared" si="232"/>
        <v/>
      </c>
      <c r="L4954" s="58" t="str">
        <f t="shared" si="233"/>
        <v/>
      </c>
    </row>
    <row r="4955" spans="10:12" ht="16.5" customHeight="1" x14ac:dyDescent="0.35">
      <c r="J4955" s="56" t="str">
        <f t="shared" si="231"/>
        <v/>
      </c>
      <c r="K4955" s="74" t="str">
        <f t="shared" si="232"/>
        <v/>
      </c>
      <c r="L4955" s="58" t="str">
        <f t="shared" si="233"/>
        <v/>
      </c>
    </row>
    <row r="4956" spans="10:12" ht="16.5" customHeight="1" x14ac:dyDescent="0.35">
      <c r="J4956" s="56" t="str">
        <f t="shared" si="231"/>
        <v/>
      </c>
      <c r="K4956" s="74" t="str">
        <f t="shared" si="232"/>
        <v/>
      </c>
      <c r="L4956" s="58" t="str">
        <f t="shared" si="233"/>
        <v/>
      </c>
    </row>
    <row r="4957" spans="10:12" ht="16.5" customHeight="1" x14ac:dyDescent="0.35">
      <c r="J4957" s="56" t="str">
        <f t="shared" si="231"/>
        <v/>
      </c>
      <c r="K4957" s="74" t="str">
        <f t="shared" si="232"/>
        <v/>
      </c>
      <c r="L4957" s="58" t="str">
        <f t="shared" si="233"/>
        <v/>
      </c>
    </row>
    <row r="4958" spans="10:12" ht="16.5" customHeight="1" x14ac:dyDescent="0.35">
      <c r="J4958" s="56" t="str">
        <f t="shared" si="231"/>
        <v/>
      </c>
      <c r="K4958" s="74" t="str">
        <f t="shared" si="232"/>
        <v/>
      </c>
      <c r="L4958" s="58" t="str">
        <f t="shared" si="233"/>
        <v/>
      </c>
    </row>
    <row r="4959" spans="10:12" ht="16.5" customHeight="1" x14ac:dyDescent="0.35">
      <c r="J4959" s="56" t="str">
        <f t="shared" si="231"/>
        <v/>
      </c>
      <c r="K4959" s="74" t="str">
        <f t="shared" si="232"/>
        <v/>
      </c>
      <c r="L4959" s="58" t="str">
        <f t="shared" si="233"/>
        <v/>
      </c>
    </row>
    <row r="4960" spans="10:12" ht="16.5" customHeight="1" x14ac:dyDescent="0.35">
      <c r="J4960" s="56" t="str">
        <f t="shared" si="231"/>
        <v/>
      </c>
      <c r="K4960" s="74" t="str">
        <f t="shared" si="232"/>
        <v/>
      </c>
      <c r="L4960" s="58" t="str">
        <f t="shared" si="233"/>
        <v/>
      </c>
    </row>
    <row r="4961" spans="10:12" ht="16.5" customHeight="1" x14ac:dyDescent="0.35">
      <c r="J4961" s="56" t="str">
        <f t="shared" si="231"/>
        <v/>
      </c>
      <c r="K4961" s="74" t="str">
        <f t="shared" si="232"/>
        <v/>
      </c>
      <c r="L4961" s="58" t="str">
        <f t="shared" si="233"/>
        <v/>
      </c>
    </row>
    <row r="4962" spans="10:12" ht="16.5" customHeight="1" x14ac:dyDescent="0.35">
      <c r="J4962" s="56" t="str">
        <f t="shared" si="231"/>
        <v/>
      </c>
      <c r="K4962" s="74" t="str">
        <f t="shared" si="232"/>
        <v/>
      </c>
      <c r="L4962" s="58" t="str">
        <f t="shared" si="233"/>
        <v/>
      </c>
    </row>
    <row r="4963" spans="10:12" ht="16.5" customHeight="1" x14ac:dyDescent="0.35">
      <c r="J4963" s="56" t="str">
        <f t="shared" si="231"/>
        <v/>
      </c>
      <c r="K4963" s="74" t="str">
        <f t="shared" si="232"/>
        <v/>
      </c>
      <c r="L4963" s="58" t="str">
        <f t="shared" si="233"/>
        <v/>
      </c>
    </row>
    <row r="4964" spans="10:12" ht="16.5" customHeight="1" x14ac:dyDescent="0.35">
      <c r="J4964" s="56" t="str">
        <f t="shared" si="231"/>
        <v/>
      </c>
      <c r="K4964" s="74" t="str">
        <f t="shared" si="232"/>
        <v/>
      </c>
      <c r="L4964" s="58" t="str">
        <f t="shared" si="233"/>
        <v/>
      </c>
    </row>
    <row r="4965" spans="10:12" ht="16.5" customHeight="1" x14ac:dyDescent="0.35">
      <c r="J4965" s="56" t="str">
        <f t="shared" si="231"/>
        <v/>
      </c>
      <c r="K4965" s="74" t="str">
        <f t="shared" si="232"/>
        <v/>
      </c>
      <c r="L4965" s="58" t="str">
        <f t="shared" si="233"/>
        <v/>
      </c>
    </row>
    <row r="4966" spans="10:12" ht="16.5" customHeight="1" x14ac:dyDescent="0.35">
      <c r="J4966" s="56" t="str">
        <f t="shared" si="231"/>
        <v/>
      </c>
      <c r="K4966" s="74" t="str">
        <f t="shared" si="232"/>
        <v/>
      </c>
      <c r="L4966" s="58" t="str">
        <f t="shared" si="233"/>
        <v/>
      </c>
    </row>
    <row r="4967" spans="10:12" ht="16.5" customHeight="1" x14ac:dyDescent="0.35">
      <c r="J4967" s="56" t="str">
        <f t="shared" si="231"/>
        <v/>
      </c>
      <c r="K4967" s="74" t="str">
        <f t="shared" si="232"/>
        <v/>
      </c>
      <c r="L4967" s="58" t="str">
        <f t="shared" si="233"/>
        <v/>
      </c>
    </row>
    <row r="4968" spans="10:12" ht="16.5" customHeight="1" x14ac:dyDescent="0.35">
      <c r="J4968" s="56" t="str">
        <f t="shared" si="231"/>
        <v/>
      </c>
      <c r="K4968" s="74" t="str">
        <f t="shared" si="232"/>
        <v/>
      </c>
      <c r="L4968" s="58" t="str">
        <f t="shared" si="233"/>
        <v/>
      </c>
    </row>
    <row r="4969" spans="10:12" ht="16.5" customHeight="1" x14ac:dyDescent="0.35">
      <c r="J4969" s="56" t="str">
        <f t="shared" si="231"/>
        <v/>
      </c>
      <c r="K4969" s="74" t="str">
        <f t="shared" si="232"/>
        <v/>
      </c>
      <c r="L4969" s="58" t="str">
        <f t="shared" si="233"/>
        <v/>
      </c>
    </row>
    <row r="4970" spans="10:12" ht="16.5" customHeight="1" x14ac:dyDescent="0.35">
      <c r="J4970" s="56" t="str">
        <f t="shared" si="231"/>
        <v/>
      </c>
      <c r="K4970" s="74" t="str">
        <f t="shared" si="232"/>
        <v/>
      </c>
      <c r="L4970" s="58" t="str">
        <f t="shared" si="233"/>
        <v/>
      </c>
    </row>
    <row r="4971" spans="10:12" ht="16.5" customHeight="1" x14ac:dyDescent="0.35">
      <c r="J4971" s="56" t="str">
        <f t="shared" si="231"/>
        <v/>
      </c>
      <c r="K4971" s="74" t="str">
        <f t="shared" si="232"/>
        <v/>
      </c>
      <c r="L4971" s="58" t="str">
        <f t="shared" si="233"/>
        <v/>
      </c>
    </row>
    <row r="4972" spans="10:12" ht="16.5" customHeight="1" x14ac:dyDescent="0.35">
      <c r="J4972" s="56" t="str">
        <f t="shared" si="231"/>
        <v/>
      </c>
      <c r="K4972" s="74" t="str">
        <f t="shared" si="232"/>
        <v/>
      </c>
      <c r="L4972" s="58" t="str">
        <f t="shared" si="233"/>
        <v/>
      </c>
    </row>
    <row r="4973" spans="10:12" ht="16.5" customHeight="1" x14ac:dyDescent="0.35">
      <c r="J4973" s="56" t="str">
        <f t="shared" si="231"/>
        <v/>
      </c>
      <c r="K4973" s="74" t="str">
        <f t="shared" si="232"/>
        <v/>
      </c>
      <c r="L4973" s="58" t="str">
        <f t="shared" si="233"/>
        <v/>
      </c>
    </row>
    <row r="4974" spans="10:12" ht="16.5" customHeight="1" x14ac:dyDescent="0.35">
      <c r="J4974" s="56" t="str">
        <f t="shared" si="231"/>
        <v/>
      </c>
      <c r="K4974" s="74" t="str">
        <f t="shared" si="232"/>
        <v/>
      </c>
      <c r="L4974" s="58" t="str">
        <f t="shared" si="233"/>
        <v/>
      </c>
    </row>
    <row r="4975" spans="10:12" ht="16.5" customHeight="1" x14ac:dyDescent="0.35">
      <c r="J4975" s="56" t="str">
        <f t="shared" si="231"/>
        <v/>
      </c>
      <c r="K4975" s="74" t="str">
        <f t="shared" si="232"/>
        <v/>
      </c>
      <c r="L4975" s="58" t="str">
        <f t="shared" si="233"/>
        <v/>
      </c>
    </row>
    <row r="4976" spans="10:12" ht="16.5" customHeight="1" x14ac:dyDescent="0.35">
      <c r="J4976" s="56" t="str">
        <f t="shared" si="231"/>
        <v/>
      </c>
      <c r="K4976" s="74" t="str">
        <f t="shared" si="232"/>
        <v/>
      </c>
      <c r="L4976" s="58" t="str">
        <f t="shared" si="233"/>
        <v/>
      </c>
    </row>
    <row r="4977" spans="10:12" ht="16.5" customHeight="1" x14ac:dyDescent="0.35">
      <c r="J4977" s="56" t="str">
        <f t="shared" si="231"/>
        <v/>
      </c>
      <c r="K4977" s="74" t="str">
        <f t="shared" si="232"/>
        <v/>
      </c>
      <c r="L4977" s="58" t="str">
        <f t="shared" si="233"/>
        <v/>
      </c>
    </row>
    <row r="4978" spans="10:12" ht="16.5" customHeight="1" x14ac:dyDescent="0.35">
      <c r="J4978" s="56" t="str">
        <f t="shared" si="231"/>
        <v/>
      </c>
      <c r="K4978" s="74" t="str">
        <f t="shared" si="232"/>
        <v/>
      </c>
      <c r="L4978" s="58" t="str">
        <f t="shared" si="233"/>
        <v/>
      </c>
    </row>
    <row r="4979" spans="10:12" ht="16.5" customHeight="1" x14ac:dyDescent="0.35">
      <c r="J4979" s="56" t="str">
        <f t="shared" si="231"/>
        <v/>
      </c>
      <c r="K4979" s="74" t="str">
        <f t="shared" si="232"/>
        <v/>
      </c>
      <c r="L4979" s="58" t="str">
        <f t="shared" si="233"/>
        <v/>
      </c>
    </row>
    <row r="4980" spans="10:12" ht="16.5" customHeight="1" x14ac:dyDescent="0.35">
      <c r="J4980" s="56" t="str">
        <f t="shared" si="231"/>
        <v/>
      </c>
      <c r="K4980" s="74" t="str">
        <f t="shared" si="232"/>
        <v/>
      </c>
      <c r="L4980" s="58" t="str">
        <f t="shared" si="233"/>
        <v/>
      </c>
    </row>
    <row r="4981" spans="10:12" ht="16.5" customHeight="1" x14ac:dyDescent="0.35">
      <c r="J4981" s="56" t="str">
        <f t="shared" si="231"/>
        <v/>
      </c>
      <c r="K4981" s="74" t="str">
        <f t="shared" si="232"/>
        <v/>
      </c>
      <c r="L4981" s="58" t="str">
        <f t="shared" si="233"/>
        <v/>
      </c>
    </row>
    <row r="4982" spans="10:12" ht="16.5" customHeight="1" x14ac:dyDescent="0.35">
      <c r="J4982" s="56" t="str">
        <f t="shared" si="231"/>
        <v/>
      </c>
      <c r="K4982" s="74" t="str">
        <f t="shared" si="232"/>
        <v/>
      </c>
      <c r="L4982" s="58" t="str">
        <f t="shared" si="233"/>
        <v/>
      </c>
    </row>
    <row r="4983" spans="10:12" ht="16.5" customHeight="1" x14ac:dyDescent="0.35">
      <c r="J4983" s="56" t="str">
        <f t="shared" si="231"/>
        <v/>
      </c>
      <c r="K4983" s="74" t="str">
        <f t="shared" si="232"/>
        <v/>
      </c>
      <c r="L4983" s="58" t="str">
        <f t="shared" si="233"/>
        <v/>
      </c>
    </row>
    <row r="4984" spans="10:12" ht="16.5" customHeight="1" x14ac:dyDescent="0.35">
      <c r="J4984" s="56" t="str">
        <f t="shared" si="231"/>
        <v/>
      </c>
      <c r="K4984" s="74" t="str">
        <f t="shared" si="232"/>
        <v/>
      </c>
      <c r="L4984" s="58" t="str">
        <f t="shared" si="233"/>
        <v/>
      </c>
    </row>
    <row r="4985" spans="10:12" ht="16.5" customHeight="1" x14ac:dyDescent="0.35">
      <c r="J4985" s="56" t="str">
        <f t="shared" si="231"/>
        <v/>
      </c>
      <c r="K4985" s="74" t="str">
        <f t="shared" si="232"/>
        <v/>
      </c>
      <c r="L4985" s="58" t="str">
        <f t="shared" si="233"/>
        <v/>
      </c>
    </row>
    <row r="4986" spans="10:12" ht="16.5" customHeight="1" x14ac:dyDescent="0.35">
      <c r="J4986" s="56" t="str">
        <f t="shared" si="231"/>
        <v/>
      </c>
      <c r="K4986" s="74" t="str">
        <f t="shared" si="232"/>
        <v/>
      </c>
      <c r="L4986" s="58" t="str">
        <f t="shared" si="233"/>
        <v/>
      </c>
    </row>
    <row r="4987" spans="10:12" ht="16.5" customHeight="1" x14ac:dyDescent="0.35">
      <c r="J4987" s="56" t="str">
        <f t="shared" si="231"/>
        <v/>
      </c>
      <c r="K4987" s="74" t="str">
        <f t="shared" si="232"/>
        <v/>
      </c>
      <c r="L4987" s="58" t="str">
        <f t="shared" si="233"/>
        <v/>
      </c>
    </row>
    <row r="4988" spans="10:12" ht="16.5" customHeight="1" x14ac:dyDescent="0.35">
      <c r="J4988" s="56" t="str">
        <f t="shared" si="231"/>
        <v/>
      </c>
      <c r="K4988" s="74" t="str">
        <f t="shared" si="232"/>
        <v/>
      </c>
      <c r="L4988" s="58" t="str">
        <f t="shared" si="233"/>
        <v/>
      </c>
    </row>
    <row r="4989" spans="10:12" ht="16.5" customHeight="1" x14ac:dyDescent="0.35">
      <c r="J4989" s="56" t="str">
        <f t="shared" si="231"/>
        <v/>
      </c>
      <c r="K4989" s="74" t="str">
        <f t="shared" si="232"/>
        <v/>
      </c>
      <c r="L4989" s="58" t="str">
        <f t="shared" si="233"/>
        <v/>
      </c>
    </row>
    <row r="4990" spans="10:12" ht="16.5" customHeight="1" x14ac:dyDescent="0.35">
      <c r="J4990" s="56" t="str">
        <f t="shared" si="231"/>
        <v/>
      </c>
      <c r="K4990" s="74" t="str">
        <f t="shared" si="232"/>
        <v/>
      </c>
      <c r="L4990" s="58" t="str">
        <f t="shared" si="233"/>
        <v/>
      </c>
    </row>
    <row r="4991" spans="10:12" ht="16.5" customHeight="1" x14ac:dyDescent="0.35">
      <c r="J4991" s="56" t="str">
        <f t="shared" si="231"/>
        <v/>
      </c>
      <c r="K4991" s="74" t="str">
        <f t="shared" si="232"/>
        <v/>
      </c>
      <c r="L4991" s="58" t="str">
        <f t="shared" si="233"/>
        <v/>
      </c>
    </row>
    <row r="4992" spans="10:12" ht="16.5" customHeight="1" x14ac:dyDescent="0.35">
      <c r="J4992" s="56" t="str">
        <f t="shared" si="231"/>
        <v/>
      </c>
      <c r="K4992" s="74" t="str">
        <f t="shared" si="232"/>
        <v/>
      </c>
      <c r="L4992" s="58" t="str">
        <f t="shared" si="233"/>
        <v/>
      </c>
    </row>
    <row r="4993" spans="10:12" ht="16.5" customHeight="1" x14ac:dyDescent="0.35">
      <c r="J4993" s="56" t="str">
        <f t="shared" si="231"/>
        <v/>
      </c>
      <c r="K4993" s="74" t="str">
        <f t="shared" si="232"/>
        <v/>
      </c>
      <c r="L4993" s="58" t="str">
        <f t="shared" si="233"/>
        <v/>
      </c>
    </row>
    <row r="4994" spans="10:12" ht="16.5" customHeight="1" x14ac:dyDescent="0.35">
      <c r="J4994" s="56" t="str">
        <f t="shared" si="231"/>
        <v/>
      </c>
      <c r="K4994" s="74" t="str">
        <f t="shared" si="232"/>
        <v/>
      </c>
      <c r="L4994" s="58" t="str">
        <f t="shared" si="233"/>
        <v/>
      </c>
    </row>
    <row r="4995" spans="10:12" ht="16.5" customHeight="1" x14ac:dyDescent="0.35">
      <c r="J4995" s="56" t="str">
        <f t="shared" si="231"/>
        <v/>
      </c>
      <c r="K4995" s="74" t="str">
        <f t="shared" si="232"/>
        <v/>
      </c>
      <c r="L4995" s="58" t="str">
        <f t="shared" si="233"/>
        <v/>
      </c>
    </row>
    <row r="4996" spans="10:12" ht="16.5" customHeight="1" x14ac:dyDescent="0.35">
      <c r="J4996" s="56" t="str">
        <f t="shared" si="231"/>
        <v/>
      </c>
      <c r="K4996" s="74" t="str">
        <f t="shared" si="232"/>
        <v/>
      </c>
      <c r="L4996" s="58" t="str">
        <f t="shared" si="233"/>
        <v/>
      </c>
    </row>
    <row r="4997" spans="10:12" ht="16.5" customHeight="1" x14ac:dyDescent="0.35">
      <c r="J4997" s="56" t="str">
        <f t="shared" si="231"/>
        <v/>
      </c>
      <c r="K4997" s="74" t="str">
        <f t="shared" si="232"/>
        <v/>
      </c>
      <c r="L4997" s="58" t="str">
        <f t="shared" si="233"/>
        <v/>
      </c>
    </row>
    <row r="4998" spans="10:12" ht="16.5" customHeight="1" x14ac:dyDescent="0.35">
      <c r="J4998" s="56" t="str">
        <f t="shared" si="231"/>
        <v/>
      </c>
      <c r="K4998" s="74" t="str">
        <f t="shared" si="232"/>
        <v/>
      </c>
      <c r="L4998" s="58" t="str">
        <f t="shared" si="233"/>
        <v/>
      </c>
    </row>
    <row r="4999" spans="10:12" ht="16.5" customHeight="1" x14ac:dyDescent="0.35">
      <c r="J4999" s="56" t="str">
        <f t="shared" si="231"/>
        <v/>
      </c>
      <c r="K4999" s="74" t="str">
        <f t="shared" si="232"/>
        <v/>
      </c>
      <c r="L4999" s="58" t="str">
        <f t="shared" si="233"/>
        <v/>
      </c>
    </row>
    <row r="5000" spans="10:12" ht="16.5" customHeight="1" x14ac:dyDescent="0.35">
      <c r="J5000" s="56" t="str">
        <f t="shared" si="231"/>
        <v/>
      </c>
      <c r="K5000" s="74" t="str">
        <f t="shared" si="232"/>
        <v/>
      </c>
      <c r="L5000" s="58" t="str">
        <f t="shared" si="233"/>
        <v/>
      </c>
    </row>
    <row r="5001" spans="10:12" ht="16.5" customHeight="1" x14ac:dyDescent="0.35">
      <c r="J5001" s="56" t="str">
        <f t="shared" ref="J5001:J5064" si="234">IF(A5001="","",A$5-A5001)</f>
        <v/>
      </c>
      <c r="K5001" s="74" t="str">
        <f t="shared" ref="K5001:K5064" si="235">IF(J5001="","",IF(J5001&lt;4,"0-3 Days",IF(J5001&lt;31,"4-30 Days",IF(J5001&lt;61,"31-60 Days",IF(J5001&lt;=90,"61-90 Days",IF(J5001&gt;90,"Above 90 Days","0"))))))</f>
        <v/>
      </c>
      <c r="L5001" s="58" t="str">
        <f t="shared" ref="L5001:L5064" si="236">IF(C5001="","",IF(C5001&gt;0,IF(J5001&lt;30,"Normal",IF(J5001&lt;60,"Especially Mentioned",IF(J5001&lt;90,"Substandard",IF(J5001&lt;=180,"Doubtful",IF(J5001&gt;180,"Loss","0"))))),"Not Applicable"))</f>
        <v/>
      </c>
    </row>
    <row r="5002" spans="10:12" ht="16.5" customHeight="1" x14ac:dyDescent="0.35">
      <c r="J5002" s="56" t="str">
        <f t="shared" si="234"/>
        <v/>
      </c>
      <c r="K5002" s="74" t="str">
        <f t="shared" si="235"/>
        <v/>
      </c>
      <c r="L5002" s="58" t="str">
        <f t="shared" si="236"/>
        <v/>
      </c>
    </row>
    <row r="5003" spans="10:12" ht="16.5" customHeight="1" x14ac:dyDescent="0.35">
      <c r="J5003" s="56" t="str">
        <f t="shared" si="234"/>
        <v/>
      </c>
      <c r="K5003" s="74" t="str">
        <f t="shared" si="235"/>
        <v/>
      </c>
      <c r="L5003" s="58" t="str">
        <f t="shared" si="236"/>
        <v/>
      </c>
    </row>
    <row r="5004" spans="10:12" ht="16.5" customHeight="1" x14ac:dyDescent="0.35">
      <c r="J5004" s="56" t="str">
        <f t="shared" si="234"/>
        <v/>
      </c>
      <c r="K5004" s="74" t="str">
        <f t="shared" si="235"/>
        <v/>
      </c>
      <c r="L5004" s="58" t="str">
        <f t="shared" si="236"/>
        <v/>
      </c>
    </row>
    <row r="5005" spans="10:12" ht="16.5" customHeight="1" x14ac:dyDescent="0.35">
      <c r="J5005" s="56" t="str">
        <f t="shared" si="234"/>
        <v/>
      </c>
      <c r="K5005" s="74" t="str">
        <f t="shared" si="235"/>
        <v/>
      </c>
      <c r="L5005" s="58" t="str">
        <f t="shared" si="236"/>
        <v/>
      </c>
    </row>
    <row r="5006" spans="10:12" ht="16.5" customHeight="1" x14ac:dyDescent="0.35">
      <c r="J5006" s="56" t="str">
        <f t="shared" si="234"/>
        <v/>
      </c>
      <c r="K5006" s="74" t="str">
        <f t="shared" si="235"/>
        <v/>
      </c>
      <c r="L5006" s="58" t="str">
        <f t="shared" si="236"/>
        <v/>
      </c>
    </row>
    <row r="5007" spans="10:12" ht="16.5" customHeight="1" x14ac:dyDescent="0.35">
      <c r="J5007" s="56" t="str">
        <f t="shared" si="234"/>
        <v/>
      </c>
      <c r="K5007" s="74" t="str">
        <f t="shared" si="235"/>
        <v/>
      </c>
      <c r="L5007" s="58" t="str">
        <f t="shared" si="236"/>
        <v/>
      </c>
    </row>
    <row r="5008" spans="10:12" ht="16.5" customHeight="1" x14ac:dyDescent="0.35">
      <c r="J5008" s="56" t="str">
        <f t="shared" si="234"/>
        <v/>
      </c>
      <c r="K5008" s="74" t="str">
        <f t="shared" si="235"/>
        <v/>
      </c>
      <c r="L5008" s="58" t="str">
        <f t="shared" si="236"/>
        <v/>
      </c>
    </row>
    <row r="5009" spans="10:12" ht="16.5" customHeight="1" x14ac:dyDescent="0.35">
      <c r="J5009" s="56" t="str">
        <f t="shared" si="234"/>
        <v/>
      </c>
      <c r="K5009" s="74" t="str">
        <f t="shared" si="235"/>
        <v/>
      </c>
      <c r="L5009" s="58" t="str">
        <f t="shared" si="236"/>
        <v/>
      </c>
    </row>
    <row r="5010" spans="10:12" ht="16.5" customHeight="1" x14ac:dyDescent="0.35">
      <c r="J5010" s="56" t="str">
        <f t="shared" si="234"/>
        <v/>
      </c>
      <c r="K5010" s="74" t="str">
        <f t="shared" si="235"/>
        <v/>
      </c>
      <c r="L5010" s="58" t="str">
        <f t="shared" si="236"/>
        <v/>
      </c>
    </row>
    <row r="5011" spans="10:12" ht="16.5" customHeight="1" x14ac:dyDescent="0.35">
      <c r="J5011" s="56" t="str">
        <f t="shared" si="234"/>
        <v/>
      </c>
      <c r="K5011" s="74" t="str">
        <f t="shared" si="235"/>
        <v/>
      </c>
      <c r="L5011" s="58" t="str">
        <f t="shared" si="236"/>
        <v/>
      </c>
    </row>
    <row r="5012" spans="10:12" ht="16.5" customHeight="1" x14ac:dyDescent="0.35">
      <c r="J5012" s="56" t="str">
        <f t="shared" si="234"/>
        <v/>
      </c>
      <c r="K5012" s="74" t="str">
        <f t="shared" si="235"/>
        <v/>
      </c>
      <c r="L5012" s="58" t="str">
        <f t="shared" si="236"/>
        <v/>
      </c>
    </row>
    <row r="5013" spans="10:12" ht="16.5" customHeight="1" x14ac:dyDescent="0.35">
      <c r="J5013" s="56" t="str">
        <f t="shared" si="234"/>
        <v/>
      </c>
      <c r="K5013" s="74" t="str">
        <f t="shared" si="235"/>
        <v/>
      </c>
      <c r="L5013" s="58" t="str">
        <f t="shared" si="236"/>
        <v/>
      </c>
    </row>
    <row r="5014" spans="10:12" ht="16.5" customHeight="1" x14ac:dyDescent="0.35">
      <c r="J5014" s="56" t="str">
        <f t="shared" si="234"/>
        <v/>
      </c>
      <c r="K5014" s="74" t="str">
        <f t="shared" si="235"/>
        <v/>
      </c>
      <c r="L5014" s="58" t="str">
        <f t="shared" si="236"/>
        <v/>
      </c>
    </row>
    <row r="5015" spans="10:12" ht="16.5" customHeight="1" x14ac:dyDescent="0.35">
      <c r="J5015" s="56" t="str">
        <f t="shared" si="234"/>
        <v/>
      </c>
      <c r="K5015" s="74" t="str">
        <f t="shared" si="235"/>
        <v/>
      </c>
      <c r="L5015" s="58" t="str">
        <f t="shared" si="236"/>
        <v/>
      </c>
    </row>
    <row r="5016" spans="10:12" ht="16.5" customHeight="1" x14ac:dyDescent="0.35">
      <c r="J5016" s="56" t="str">
        <f t="shared" si="234"/>
        <v/>
      </c>
      <c r="K5016" s="74" t="str">
        <f t="shared" si="235"/>
        <v/>
      </c>
      <c r="L5016" s="58" t="str">
        <f t="shared" si="236"/>
        <v/>
      </c>
    </row>
    <row r="5017" spans="10:12" ht="16.5" customHeight="1" x14ac:dyDescent="0.35">
      <c r="J5017" s="56" t="str">
        <f t="shared" si="234"/>
        <v/>
      </c>
      <c r="K5017" s="74" t="str">
        <f t="shared" si="235"/>
        <v/>
      </c>
      <c r="L5017" s="58" t="str">
        <f t="shared" si="236"/>
        <v/>
      </c>
    </row>
    <row r="5018" spans="10:12" ht="16.5" customHeight="1" x14ac:dyDescent="0.35">
      <c r="J5018" s="56" t="str">
        <f t="shared" si="234"/>
        <v/>
      </c>
      <c r="K5018" s="74" t="str">
        <f t="shared" si="235"/>
        <v/>
      </c>
      <c r="L5018" s="58" t="str">
        <f t="shared" si="236"/>
        <v/>
      </c>
    </row>
    <row r="5019" spans="10:12" ht="16.5" customHeight="1" x14ac:dyDescent="0.35">
      <c r="J5019" s="56" t="str">
        <f t="shared" si="234"/>
        <v/>
      </c>
      <c r="K5019" s="74" t="str">
        <f t="shared" si="235"/>
        <v/>
      </c>
      <c r="L5019" s="58" t="str">
        <f t="shared" si="236"/>
        <v/>
      </c>
    </row>
    <row r="5020" spans="10:12" ht="16.5" customHeight="1" x14ac:dyDescent="0.35">
      <c r="J5020" s="56" t="str">
        <f t="shared" si="234"/>
        <v/>
      </c>
      <c r="K5020" s="74" t="str">
        <f t="shared" si="235"/>
        <v/>
      </c>
      <c r="L5020" s="58" t="str">
        <f t="shared" si="236"/>
        <v/>
      </c>
    </row>
    <row r="5021" spans="10:12" ht="16.5" customHeight="1" x14ac:dyDescent="0.35">
      <c r="J5021" s="56" t="str">
        <f t="shared" si="234"/>
        <v/>
      </c>
      <c r="K5021" s="74" t="str">
        <f t="shared" si="235"/>
        <v/>
      </c>
      <c r="L5021" s="58" t="str">
        <f t="shared" si="236"/>
        <v/>
      </c>
    </row>
    <row r="5022" spans="10:12" ht="16.5" customHeight="1" x14ac:dyDescent="0.35">
      <c r="J5022" s="56" t="str">
        <f t="shared" si="234"/>
        <v/>
      </c>
      <c r="K5022" s="74" t="str">
        <f t="shared" si="235"/>
        <v/>
      </c>
      <c r="L5022" s="58" t="str">
        <f t="shared" si="236"/>
        <v/>
      </c>
    </row>
    <row r="5023" spans="10:12" ht="16.5" customHeight="1" x14ac:dyDescent="0.35">
      <c r="J5023" s="56" t="str">
        <f t="shared" si="234"/>
        <v/>
      </c>
      <c r="K5023" s="74" t="str">
        <f t="shared" si="235"/>
        <v/>
      </c>
      <c r="L5023" s="58" t="str">
        <f t="shared" si="236"/>
        <v/>
      </c>
    </row>
    <row r="5024" spans="10:12" ht="16.5" customHeight="1" x14ac:dyDescent="0.35">
      <c r="J5024" s="56" t="str">
        <f t="shared" si="234"/>
        <v/>
      </c>
      <c r="K5024" s="74" t="str">
        <f t="shared" si="235"/>
        <v/>
      </c>
      <c r="L5024" s="58" t="str">
        <f t="shared" si="236"/>
        <v/>
      </c>
    </row>
    <row r="5025" spans="10:12" ht="16.5" customHeight="1" x14ac:dyDescent="0.35">
      <c r="J5025" s="56" t="str">
        <f t="shared" si="234"/>
        <v/>
      </c>
      <c r="K5025" s="74" t="str">
        <f t="shared" si="235"/>
        <v/>
      </c>
      <c r="L5025" s="58" t="str">
        <f t="shared" si="236"/>
        <v/>
      </c>
    </row>
    <row r="5026" spans="10:12" ht="16.5" customHeight="1" x14ac:dyDescent="0.35">
      <c r="J5026" s="56" t="str">
        <f t="shared" si="234"/>
        <v/>
      </c>
      <c r="K5026" s="74" t="str">
        <f t="shared" si="235"/>
        <v/>
      </c>
      <c r="L5026" s="58" t="str">
        <f t="shared" si="236"/>
        <v/>
      </c>
    </row>
    <row r="5027" spans="10:12" ht="16.5" customHeight="1" x14ac:dyDescent="0.35">
      <c r="J5027" s="56" t="str">
        <f t="shared" si="234"/>
        <v/>
      </c>
      <c r="K5027" s="74" t="str">
        <f t="shared" si="235"/>
        <v/>
      </c>
      <c r="L5027" s="58" t="str">
        <f t="shared" si="236"/>
        <v/>
      </c>
    </row>
    <row r="5028" spans="10:12" ht="16.5" customHeight="1" x14ac:dyDescent="0.35">
      <c r="J5028" s="56" t="str">
        <f t="shared" si="234"/>
        <v/>
      </c>
      <c r="K5028" s="74" t="str">
        <f t="shared" si="235"/>
        <v/>
      </c>
      <c r="L5028" s="58" t="str">
        <f t="shared" si="236"/>
        <v/>
      </c>
    </row>
    <row r="5029" spans="10:12" ht="16.5" customHeight="1" x14ac:dyDescent="0.35">
      <c r="J5029" s="56" t="str">
        <f t="shared" si="234"/>
        <v/>
      </c>
      <c r="K5029" s="74" t="str">
        <f t="shared" si="235"/>
        <v/>
      </c>
      <c r="L5029" s="58" t="str">
        <f t="shared" si="236"/>
        <v/>
      </c>
    </row>
    <row r="5030" spans="10:12" ht="16.5" customHeight="1" x14ac:dyDescent="0.35">
      <c r="J5030" s="56" t="str">
        <f t="shared" si="234"/>
        <v/>
      </c>
      <c r="K5030" s="74" t="str">
        <f t="shared" si="235"/>
        <v/>
      </c>
      <c r="L5030" s="58" t="str">
        <f t="shared" si="236"/>
        <v/>
      </c>
    </row>
    <row r="5031" spans="10:12" ht="16.5" customHeight="1" x14ac:dyDescent="0.35">
      <c r="J5031" s="56" t="str">
        <f t="shared" si="234"/>
        <v/>
      </c>
      <c r="K5031" s="74" t="str">
        <f t="shared" si="235"/>
        <v/>
      </c>
      <c r="L5031" s="58" t="str">
        <f t="shared" si="236"/>
        <v/>
      </c>
    </row>
    <row r="5032" spans="10:12" ht="16.5" customHeight="1" x14ac:dyDescent="0.35">
      <c r="J5032" s="56" t="str">
        <f t="shared" si="234"/>
        <v/>
      </c>
      <c r="K5032" s="74" t="str">
        <f t="shared" si="235"/>
        <v/>
      </c>
      <c r="L5032" s="58" t="str">
        <f t="shared" si="236"/>
        <v/>
      </c>
    </row>
    <row r="5033" spans="10:12" ht="16.5" customHeight="1" x14ac:dyDescent="0.35">
      <c r="J5033" s="56" t="str">
        <f t="shared" si="234"/>
        <v/>
      </c>
      <c r="K5033" s="74" t="str">
        <f t="shared" si="235"/>
        <v/>
      </c>
      <c r="L5033" s="58" t="str">
        <f t="shared" si="236"/>
        <v/>
      </c>
    </row>
    <row r="5034" spans="10:12" ht="16.5" customHeight="1" x14ac:dyDescent="0.35">
      <c r="J5034" s="56" t="str">
        <f t="shared" si="234"/>
        <v/>
      </c>
      <c r="K5034" s="74" t="str">
        <f t="shared" si="235"/>
        <v/>
      </c>
      <c r="L5034" s="58" t="str">
        <f t="shared" si="236"/>
        <v/>
      </c>
    </row>
    <row r="5035" spans="10:12" ht="16.5" customHeight="1" x14ac:dyDescent="0.35">
      <c r="J5035" s="56" t="str">
        <f t="shared" si="234"/>
        <v/>
      </c>
      <c r="K5035" s="74" t="str">
        <f t="shared" si="235"/>
        <v/>
      </c>
      <c r="L5035" s="58" t="str">
        <f t="shared" si="236"/>
        <v/>
      </c>
    </row>
    <row r="5036" spans="10:12" ht="16.5" customHeight="1" x14ac:dyDescent="0.35">
      <c r="J5036" s="56" t="str">
        <f t="shared" si="234"/>
        <v/>
      </c>
      <c r="K5036" s="74" t="str">
        <f t="shared" si="235"/>
        <v/>
      </c>
      <c r="L5036" s="58" t="str">
        <f t="shared" si="236"/>
        <v/>
      </c>
    </row>
    <row r="5037" spans="10:12" ht="16.5" customHeight="1" x14ac:dyDescent="0.35">
      <c r="J5037" s="56" t="str">
        <f t="shared" si="234"/>
        <v/>
      </c>
      <c r="K5037" s="74" t="str">
        <f t="shared" si="235"/>
        <v/>
      </c>
      <c r="L5037" s="58" t="str">
        <f t="shared" si="236"/>
        <v/>
      </c>
    </row>
    <row r="5038" spans="10:12" ht="16.5" customHeight="1" x14ac:dyDescent="0.35">
      <c r="J5038" s="56" t="str">
        <f t="shared" si="234"/>
        <v/>
      </c>
      <c r="K5038" s="74" t="str">
        <f t="shared" si="235"/>
        <v/>
      </c>
      <c r="L5038" s="58" t="str">
        <f t="shared" si="236"/>
        <v/>
      </c>
    </row>
    <row r="5039" spans="10:12" ht="16.5" customHeight="1" x14ac:dyDescent="0.35">
      <c r="J5039" s="56" t="str">
        <f t="shared" si="234"/>
        <v/>
      </c>
      <c r="K5039" s="74" t="str">
        <f t="shared" si="235"/>
        <v/>
      </c>
      <c r="L5039" s="58" t="str">
        <f t="shared" si="236"/>
        <v/>
      </c>
    </row>
    <row r="5040" spans="10:12" ht="16.5" customHeight="1" x14ac:dyDescent="0.35">
      <c r="J5040" s="56" t="str">
        <f t="shared" si="234"/>
        <v/>
      </c>
      <c r="K5040" s="74" t="str">
        <f t="shared" si="235"/>
        <v/>
      </c>
      <c r="L5040" s="58" t="str">
        <f t="shared" si="236"/>
        <v/>
      </c>
    </row>
    <row r="5041" spans="10:12" ht="16.5" customHeight="1" x14ac:dyDescent="0.35">
      <c r="J5041" s="56" t="str">
        <f t="shared" si="234"/>
        <v/>
      </c>
      <c r="K5041" s="74" t="str">
        <f t="shared" si="235"/>
        <v/>
      </c>
      <c r="L5041" s="58" t="str">
        <f t="shared" si="236"/>
        <v/>
      </c>
    </row>
    <row r="5042" spans="10:12" ht="16.5" customHeight="1" x14ac:dyDescent="0.35">
      <c r="J5042" s="56" t="str">
        <f t="shared" si="234"/>
        <v/>
      </c>
      <c r="K5042" s="74" t="str">
        <f t="shared" si="235"/>
        <v/>
      </c>
      <c r="L5042" s="58" t="str">
        <f t="shared" si="236"/>
        <v/>
      </c>
    </row>
    <row r="5043" spans="10:12" ht="16.5" customHeight="1" x14ac:dyDescent="0.35">
      <c r="J5043" s="56" t="str">
        <f t="shared" si="234"/>
        <v/>
      </c>
      <c r="K5043" s="74" t="str">
        <f t="shared" si="235"/>
        <v/>
      </c>
      <c r="L5043" s="58" t="str">
        <f t="shared" si="236"/>
        <v/>
      </c>
    </row>
    <row r="5044" spans="10:12" ht="16.5" customHeight="1" x14ac:dyDescent="0.35">
      <c r="J5044" s="56" t="str">
        <f t="shared" si="234"/>
        <v/>
      </c>
      <c r="K5044" s="74" t="str">
        <f t="shared" si="235"/>
        <v/>
      </c>
      <c r="L5044" s="58" t="str">
        <f t="shared" si="236"/>
        <v/>
      </c>
    </row>
    <row r="5045" spans="10:12" ht="16.5" customHeight="1" x14ac:dyDescent="0.35">
      <c r="J5045" s="56" t="str">
        <f t="shared" si="234"/>
        <v/>
      </c>
      <c r="K5045" s="74" t="str">
        <f t="shared" si="235"/>
        <v/>
      </c>
      <c r="L5045" s="58" t="str">
        <f t="shared" si="236"/>
        <v/>
      </c>
    </row>
    <row r="5046" spans="10:12" ht="16.5" customHeight="1" x14ac:dyDescent="0.35">
      <c r="J5046" s="56" t="str">
        <f t="shared" si="234"/>
        <v/>
      </c>
      <c r="K5046" s="74" t="str">
        <f t="shared" si="235"/>
        <v/>
      </c>
      <c r="L5046" s="58" t="str">
        <f t="shared" si="236"/>
        <v/>
      </c>
    </row>
    <row r="5047" spans="10:12" ht="16.5" customHeight="1" x14ac:dyDescent="0.35">
      <c r="J5047" s="56" t="str">
        <f t="shared" si="234"/>
        <v/>
      </c>
      <c r="K5047" s="74" t="str">
        <f t="shared" si="235"/>
        <v/>
      </c>
      <c r="L5047" s="58" t="str">
        <f t="shared" si="236"/>
        <v/>
      </c>
    </row>
    <row r="5048" spans="10:12" ht="16.5" customHeight="1" x14ac:dyDescent="0.35">
      <c r="J5048" s="56" t="str">
        <f t="shared" si="234"/>
        <v/>
      </c>
      <c r="K5048" s="74" t="str">
        <f t="shared" si="235"/>
        <v/>
      </c>
      <c r="L5048" s="58" t="str">
        <f t="shared" si="236"/>
        <v/>
      </c>
    </row>
    <row r="5049" spans="10:12" ht="16.5" customHeight="1" x14ac:dyDescent="0.35">
      <c r="J5049" s="56" t="str">
        <f t="shared" si="234"/>
        <v/>
      </c>
      <c r="K5049" s="74" t="str">
        <f t="shared" si="235"/>
        <v/>
      </c>
      <c r="L5049" s="58" t="str">
        <f t="shared" si="236"/>
        <v/>
      </c>
    </row>
    <row r="5050" spans="10:12" ht="16.5" customHeight="1" x14ac:dyDescent="0.35">
      <c r="J5050" s="56" t="str">
        <f t="shared" si="234"/>
        <v/>
      </c>
      <c r="K5050" s="74" t="str">
        <f t="shared" si="235"/>
        <v/>
      </c>
      <c r="L5050" s="58" t="str">
        <f t="shared" si="236"/>
        <v/>
      </c>
    </row>
    <row r="5051" spans="10:12" ht="16.5" customHeight="1" x14ac:dyDescent="0.35">
      <c r="J5051" s="56" t="str">
        <f t="shared" si="234"/>
        <v/>
      </c>
      <c r="K5051" s="74" t="str">
        <f t="shared" si="235"/>
        <v/>
      </c>
      <c r="L5051" s="58" t="str">
        <f t="shared" si="236"/>
        <v/>
      </c>
    </row>
    <row r="5052" spans="10:12" ht="16.5" customHeight="1" x14ac:dyDescent="0.35">
      <c r="J5052" s="56" t="str">
        <f t="shared" si="234"/>
        <v/>
      </c>
      <c r="K5052" s="74" t="str">
        <f t="shared" si="235"/>
        <v/>
      </c>
      <c r="L5052" s="58" t="str">
        <f t="shared" si="236"/>
        <v/>
      </c>
    </row>
    <row r="5053" spans="10:12" ht="16.5" customHeight="1" x14ac:dyDescent="0.35">
      <c r="J5053" s="56" t="str">
        <f t="shared" si="234"/>
        <v/>
      </c>
      <c r="K5053" s="74" t="str">
        <f t="shared" si="235"/>
        <v/>
      </c>
      <c r="L5053" s="58" t="str">
        <f t="shared" si="236"/>
        <v/>
      </c>
    </row>
    <row r="5054" spans="10:12" ht="16.5" customHeight="1" x14ac:dyDescent="0.35">
      <c r="J5054" s="56" t="str">
        <f t="shared" si="234"/>
        <v/>
      </c>
      <c r="K5054" s="74" t="str">
        <f t="shared" si="235"/>
        <v/>
      </c>
      <c r="L5054" s="58" t="str">
        <f t="shared" si="236"/>
        <v/>
      </c>
    </row>
    <row r="5055" spans="10:12" ht="16.5" customHeight="1" x14ac:dyDescent="0.35">
      <c r="J5055" s="56" t="str">
        <f t="shared" si="234"/>
        <v/>
      </c>
      <c r="K5055" s="74" t="str">
        <f t="shared" si="235"/>
        <v/>
      </c>
      <c r="L5055" s="58" t="str">
        <f t="shared" si="236"/>
        <v/>
      </c>
    </row>
    <row r="5056" spans="10:12" ht="16.5" customHeight="1" x14ac:dyDescent="0.35">
      <c r="J5056" s="56" t="str">
        <f t="shared" si="234"/>
        <v/>
      </c>
      <c r="K5056" s="74" t="str">
        <f t="shared" si="235"/>
        <v/>
      </c>
      <c r="L5056" s="58" t="str">
        <f t="shared" si="236"/>
        <v/>
      </c>
    </row>
    <row r="5057" spans="10:12" ht="16.5" customHeight="1" x14ac:dyDescent="0.35">
      <c r="J5057" s="56" t="str">
        <f t="shared" si="234"/>
        <v/>
      </c>
      <c r="K5057" s="74" t="str">
        <f t="shared" si="235"/>
        <v/>
      </c>
      <c r="L5057" s="58" t="str">
        <f t="shared" si="236"/>
        <v/>
      </c>
    </row>
    <row r="5058" spans="10:12" ht="16.5" customHeight="1" x14ac:dyDescent="0.35">
      <c r="J5058" s="56" t="str">
        <f t="shared" si="234"/>
        <v/>
      </c>
      <c r="K5058" s="74" t="str">
        <f t="shared" si="235"/>
        <v/>
      </c>
      <c r="L5058" s="58" t="str">
        <f t="shared" si="236"/>
        <v/>
      </c>
    </row>
    <row r="5059" spans="10:12" ht="16.5" customHeight="1" x14ac:dyDescent="0.35">
      <c r="J5059" s="56" t="str">
        <f t="shared" si="234"/>
        <v/>
      </c>
      <c r="K5059" s="74" t="str">
        <f t="shared" si="235"/>
        <v/>
      </c>
      <c r="L5059" s="58" t="str">
        <f t="shared" si="236"/>
        <v/>
      </c>
    </row>
    <row r="5060" spans="10:12" ht="16.5" customHeight="1" x14ac:dyDescent="0.35">
      <c r="J5060" s="56" t="str">
        <f t="shared" si="234"/>
        <v/>
      </c>
      <c r="K5060" s="74" t="str">
        <f t="shared" si="235"/>
        <v/>
      </c>
      <c r="L5060" s="58" t="str">
        <f t="shared" si="236"/>
        <v/>
      </c>
    </row>
    <row r="5061" spans="10:12" ht="16.5" customHeight="1" x14ac:dyDescent="0.35">
      <c r="J5061" s="56" t="str">
        <f t="shared" si="234"/>
        <v/>
      </c>
      <c r="K5061" s="74" t="str">
        <f t="shared" si="235"/>
        <v/>
      </c>
      <c r="L5061" s="58" t="str">
        <f t="shared" si="236"/>
        <v/>
      </c>
    </row>
    <row r="5062" spans="10:12" ht="16.5" customHeight="1" x14ac:dyDescent="0.35">
      <c r="J5062" s="56" t="str">
        <f t="shared" si="234"/>
        <v/>
      </c>
      <c r="K5062" s="74" t="str">
        <f t="shared" si="235"/>
        <v/>
      </c>
      <c r="L5062" s="58" t="str">
        <f t="shared" si="236"/>
        <v/>
      </c>
    </row>
    <row r="5063" spans="10:12" ht="16.5" customHeight="1" x14ac:dyDescent="0.35">
      <c r="J5063" s="56" t="str">
        <f t="shared" si="234"/>
        <v/>
      </c>
      <c r="K5063" s="74" t="str">
        <f t="shared" si="235"/>
        <v/>
      </c>
      <c r="L5063" s="58" t="str">
        <f t="shared" si="236"/>
        <v/>
      </c>
    </row>
    <row r="5064" spans="10:12" ht="16.5" customHeight="1" x14ac:dyDescent="0.35">
      <c r="J5064" s="56" t="str">
        <f t="shared" si="234"/>
        <v/>
      </c>
      <c r="K5064" s="74" t="str">
        <f t="shared" si="235"/>
        <v/>
      </c>
      <c r="L5064" s="58" t="str">
        <f t="shared" si="236"/>
        <v/>
      </c>
    </row>
    <row r="5065" spans="10:12" ht="16.5" customHeight="1" x14ac:dyDescent="0.35">
      <c r="J5065" s="56" t="str">
        <f t="shared" ref="J5065:J5128" si="237">IF(A5065="","",A$5-A5065)</f>
        <v/>
      </c>
      <c r="K5065" s="74" t="str">
        <f t="shared" ref="K5065:K5128" si="238">IF(J5065="","",IF(J5065&lt;4,"0-3 Days",IF(J5065&lt;31,"4-30 Days",IF(J5065&lt;61,"31-60 Days",IF(J5065&lt;=90,"61-90 Days",IF(J5065&gt;90,"Above 90 Days","0"))))))</f>
        <v/>
      </c>
      <c r="L5065" s="58" t="str">
        <f t="shared" ref="L5065:L5128" si="239">IF(C5065="","",IF(C5065&gt;0,IF(J5065&lt;30,"Normal",IF(J5065&lt;60,"Especially Mentioned",IF(J5065&lt;90,"Substandard",IF(J5065&lt;=180,"Doubtful",IF(J5065&gt;180,"Loss","0"))))),"Not Applicable"))</f>
        <v/>
      </c>
    </row>
    <row r="5066" spans="10:12" ht="16.5" customHeight="1" x14ac:dyDescent="0.35">
      <c r="J5066" s="56" t="str">
        <f t="shared" si="237"/>
        <v/>
      </c>
      <c r="K5066" s="74" t="str">
        <f t="shared" si="238"/>
        <v/>
      </c>
      <c r="L5066" s="58" t="str">
        <f t="shared" si="239"/>
        <v/>
      </c>
    </row>
    <row r="5067" spans="10:12" ht="16.5" customHeight="1" x14ac:dyDescent="0.35">
      <c r="J5067" s="56" t="str">
        <f t="shared" si="237"/>
        <v/>
      </c>
      <c r="K5067" s="74" t="str">
        <f t="shared" si="238"/>
        <v/>
      </c>
      <c r="L5067" s="58" t="str">
        <f t="shared" si="239"/>
        <v/>
      </c>
    </row>
    <row r="5068" spans="10:12" ht="16.5" customHeight="1" x14ac:dyDescent="0.35">
      <c r="J5068" s="56" t="str">
        <f t="shared" si="237"/>
        <v/>
      </c>
      <c r="K5068" s="74" t="str">
        <f t="shared" si="238"/>
        <v/>
      </c>
      <c r="L5068" s="58" t="str">
        <f t="shared" si="239"/>
        <v/>
      </c>
    </row>
    <row r="5069" spans="10:12" ht="16.5" customHeight="1" x14ac:dyDescent="0.35">
      <c r="J5069" s="56" t="str">
        <f t="shared" si="237"/>
        <v/>
      </c>
      <c r="K5069" s="74" t="str">
        <f t="shared" si="238"/>
        <v/>
      </c>
      <c r="L5069" s="58" t="str">
        <f t="shared" si="239"/>
        <v/>
      </c>
    </row>
    <row r="5070" spans="10:12" ht="16.5" customHeight="1" x14ac:dyDescent="0.35">
      <c r="J5070" s="56" t="str">
        <f t="shared" si="237"/>
        <v/>
      </c>
      <c r="K5070" s="74" t="str">
        <f t="shared" si="238"/>
        <v/>
      </c>
      <c r="L5070" s="58" t="str">
        <f t="shared" si="239"/>
        <v/>
      </c>
    </row>
    <row r="5071" spans="10:12" ht="16.5" customHeight="1" x14ac:dyDescent="0.35">
      <c r="J5071" s="56" t="str">
        <f t="shared" si="237"/>
        <v/>
      </c>
      <c r="K5071" s="74" t="str">
        <f t="shared" si="238"/>
        <v/>
      </c>
      <c r="L5071" s="58" t="str">
        <f t="shared" si="239"/>
        <v/>
      </c>
    </row>
    <row r="5072" spans="10:12" ht="16.5" customHeight="1" x14ac:dyDescent="0.35">
      <c r="J5072" s="56" t="str">
        <f t="shared" si="237"/>
        <v/>
      </c>
      <c r="K5072" s="74" t="str">
        <f t="shared" si="238"/>
        <v/>
      </c>
      <c r="L5072" s="58" t="str">
        <f t="shared" si="239"/>
        <v/>
      </c>
    </row>
    <row r="5073" spans="10:12" ht="16.5" customHeight="1" x14ac:dyDescent="0.35">
      <c r="J5073" s="56" t="str">
        <f t="shared" si="237"/>
        <v/>
      </c>
      <c r="K5073" s="74" t="str">
        <f t="shared" si="238"/>
        <v/>
      </c>
      <c r="L5073" s="58" t="str">
        <f t="shared" si="239"/>
        <v/>
      </c>
    </row>
    <row r="5074" spans="10:12" ht="16.5" customHeight="1" x14ac:dyDescent="0.35">
      <c r="J5074" s="56" t="str">
        <f t="shared" si="237"/>
        <v/>
      </c>
      <c r="K5074" s="74" t="str">
        <f t="shared" si="238"/>
        <v/>
      </c>
      <c r="L5074" s="58" t="str">
        <f t="shared" si="239"/>
        <v/>
      </c>
    </row>
    <row r="5075" spans="10:12" ht="16.5" customHeight="1" x14ac:dyDescent="0.35">
      <c r="J5075" s="56" t="str">
        <f t="shared" si="237"/>
        <v/>
      </c>
      <c r="K5075" s="74" t="str">
        <f t="shared" si="238"/>
        <v/>
      </c>
      <c r="L5075" s="58" t="str">
        <f t="shared" si="239"/>
        <v/>
      </c>
    </row>
    <row r="5076" spans="10:12" ht="16.5" customHeight="1" x14ac:dyDescent="0.35">
      <c r="J5076" s="56" t="str">
        <f t="shared" si="237"/>
        <v/>
      </c>
      <c r="K5076" s="74" t="str">
        <f t="shared" si="238"/>
        <v/>
      </c>
      <c r="L5076" s="58" t="str">
        <f t="shared" si="239"/>
        <v/>
      </c>
    </row>
    <row r="5077" spans="10:12" ht="16.5" customHeight="1" x14ac:dyDescent="0.35">
      <c r="J5077" s="56" t="str">
        <f t="shared" si="237"/>
        <v/>
      </c>
      <c r="K5077" s="74" t="str">
        <f t="shared" si="238"/>
        <v/>
      </c>
      <c r="L5077" s="58" t="str">
        <f t="shared" si="239"/>
        <v/>
      </c>
    </row>
    <row r="5078" spans="10:12" ht="16.5" customHeight="1" x14ac:dyDescent="0.35">
      <c r="J5078" s="56" t="str">
        <f t="shared" si="237"/>
        <v/>
      </c>
      <c r="K5078" s="74" t="str">
        <f t="shared" si="238"/>
        <v/>
      </c>
      <c r="L5078" s="58" t="str">
        <f t="shared" si="239"/>
        <v/>
      </c>
    </row>
    <row r="5079" spans="10:12" ht="16.5" customHeight="1" x14ac:dyDescent="0.35">
      <c r="J5079" s="56" t="str">
        <f t="shared" si="237"/>
        <v/>
      </c>
      <c r="K5079" s="74" t="str">
        <f t="shared" si="238"/>
        <v/>
      </c>
      <c r="L5079" s="58" t="str">
        <f t="shared" si="239"/>
        <v/>
      </c>
    </row>
    <row r="5080" spans="10:12" ht="16.5" customHeight="1" x14ac:dyDescent="0.35">
      <c r="J5080" s="56" t="str">
        <f t="shared" si="237"/>
        <v/>
      </c>
      <c r="K5080" s="74" t="str">
        <f t="shared" si="238"/>
        <v/>
      </c>
      <c r="L5080" s="58" t="str">
        <f t="shared" si="239"/>
        <v/>
      </c>
    </row>
    <row r="5081" spans="10:12" ht="16.5" customHeight="1" x14ac:dyDescent="0.35">
      <c r="J5081" s="56" t="str">
        <f t="shared" si="237"/>
        <v/>
      </c>
      <c r="K5081" s="74" t="str">
        <f t="shared" si="238"/>
        <v/>
      </c>
      <c r="L5081" s="58" t="str">
        <f t="shared" si="239"/>
        <v/>
      </c>
    </row>
    <row r="5082" spans="10:12" ht="16.5" customHeight="1" x14ac:dyDescent="0.35">
      <c r="J5082" s="56" t="str">
        <f t="shared" si="237"/>
        <v/>
      </c>
      <c r="K5082" s="74" t="str">
        <f t="shared" si="238"/>
        <v/>
      </c>
      <c r="L5082" s="58" t="str">
        <f t="shared" si="239"/>
        <v/>
      </c>
    </row>
    <row r="5083" spans="10:12" ht="16.5" customHeight="1" x14ac:dyDescent="0.35">
      <c r="J5083" s="56" t="str">
        <f t="shared" si="237"/>
        <v/>
      </c>
      <c r="K5083" s="74" t="str">
        <f t="shared" si="238"/>
        <v/>
      </c>
      <c r="L5083" s="58" t="str">
        <f t="shared" si="239"/>
        <v/>
      </c>
    </row>
    <row r="5084" spans="10:12" ht="16.5" customHeight="1" x14ac:dyDescent="0.35">
      <c r="J5084" s="56" t="str">
        <f t="shared" si="237"/>
        <v/>
      </c>
      <c r="K5084" s="74" t="str">
        <f t="shared" si="238"/>
        <v/>
      </c>
      <c r="L5084" s="58" t="str">
        <f t="shared" si="239"/>
        <v/>
      </c>
    </row>
    <row r="5085" spans="10:12" ht="16.5" customHeight="1" x14ac:dyDescent="0.35">
      <c r="J5085" s="56" t="str">
        <f t="shared" si="237"/>
        <v/>
      </c>
      <c r="K5085" s="74" t="str">
        <f t="shared" si="238"/>
        <v/>
      </c>
      <c r="L5085" s="58" t="str">
        <f t="shared" si="239"/>
        <v/>
      </c>
    </row>
    <row r="5086" spans="10:12" ht="16.5" customHeight="1" x14ac:dyDescent="0.35">
      <c r="J5086" s="56" t="str">
        <f t="shared" si="237"/>
        <v/>
      </c>
      <c r="K5086" s="74" t="str">
        <f t="shared" si="238"/>
        <v/>
      </c>
      <c r="L5086" s="58" t="str">
        <f t="shared" si="239"/>
        <v/>
      </c>
    </row>
    <row r="5087" spans="10:12" ht="16.5" customHeight="1" x14ac:dyDescent="0.35">
      <c r="J5087" s="56" t="str">
        <f t="shared" si="237"/>
        <v/>
      </c>
      <c r="K5087" s="74" t="str">
        <f t="shared" si="238"/>
        <v/>
      </c>
      <c r="L5087" s="58" t="str">
        <f t="shared" si="239"/>
        <v/>
      </c>
    </row>
    <row r="5088" spans="10:12" ht="16.5" customHeight="1" x14ac:dyDescent="0.35">
      <c r="J5088" s="56" t="str">
        <f t="shared" si="237"/>
        <v/>
      </c>
      <c r="K5088" s="74" t="str">
        <f t="shared" si="238"/>
        <v/>
      </c>
      <c r="L5088" s="58" t="str">
        <f t="shared" si="239"/>
        <v/>
      </c>
    </row>
    <row r="5089" spans="10:12" ht="16.5" customHeight="1" x14ac:dyDescent="0.35">
      <c r="J5089" s="56" t="str">
        <f t="shared" si="237"/>
        <v/>
      </c>
      <c r="K5089" s="74" t="str">
        <f t="shared" si="238"/>
        <v/>
      </c>
      <c r="L5089" s="58" t="str">
        <f t="shared" si="239"/>
        <v/>
      </c>
    </row>
    <row r="5090" spans="10:12" ht="16.5" customHeight="1" x14ac:dyDescent="0.35">
      <c r="J5090" s="56" t="str">
        <f t="shared" si="237"/>
        <v/>
      </c>
      <c r="K5090" s="74" t="str">
        <f t="shared" si="238"/>
        <v/>
      </c>
      <c r="L5090" s="58" t="str">
        <f t="shared" si="239"/>
        <v/>
      </c>
    </row>
    <row r="5091" spans="10:12" ht="16.5" customHeight="1" x14ac:dyDescent="0.35">
      <c r="J5091" s="56" t="str">
        <f t="shared" si="237"/>
        <v/>
      </c>
      <c r="K5091" s="74" t="str">
        <f t="shared" si="238"/>
        <v/>
      </c>
      <c r="L5091" s="58" t="str">
        <f t="shared" si="239"/>
        <v/>
      </c>
    </row>
    <row r="5092" spans="10:12" ht="16.5" customHeight="1" x14ac:dyDescent="0.35">
      <c r="J5092" s="56" t="str">
        <f t="shared" si="237"/>
        <v/>
      </c>
      <c r="K5092" s="74" t="str">
        <f t="shared" si="238"/>
        <v/>
      </c>
      <c r="L5092" s="58" t="str">
        <f t="shared" si="239"/>
        <v/>
      </c>
    </row>
    <row r="5093" spans="10:12" ht="16.5" customHeight="1" x14ac:dyDescent="0.35">
      <c r="J5093" s="56" t="str">
        <f t="shared" si="237"/>
        <v/>
      </c>
      <c r="K5093" s="74" t="str">
        <f t="shared" si="238"/>
        <v/>
      </c>
      <c r="L5093" s="58" t="str">
        <f t="shared" si="239"/>
        <v/>
      </c>
    </row>
    <row r="5094" spans="10:12" ht="16.5" customHeight="1" x14ac:dyDescent="0.35">
      <c r="J5094" s="56" t="str">
        <f t="shared" si="237"/>
        <v/>
      </c>
      <c r="K5094" s="74" t="str">
        <f t="shared" si="238"/>
        <v/>
      </c>
      <c r="L5094" s="58" t="str">
        <f t="shared" si="239"/>
        <v/>
      </c>
    </row>
    <row r="5095" spans="10:12" ht="16.5" customHeight="1" x14ac:dyDescent="0.35">
      <c r="J5095" s="56" t="str">
        <f t="shared" si="237"/>
        <v/>
      </c>
      <c r="K5095" s="74" t="str">
        <f t="shared" si="238"/>
        <v/>
      </c>
      <c r="L5095" s="58" t="str">
        <f t="shared" si="239"/>
        <v/>
      </c>
    </row>
    <row r="5096" spans="10:12" ht="16.5" customHeight="1" x14ac:dyDescent="0.35">
      <c r="J5096" s="56" t="str">
        <f t="shared" si="237"/>
        <v/>
      </c>
      <c r="K5096" s="74" t="str">
        <f t="shared" si="238"/>
        <v/>
      </c>
      <c r="L5096" s="58" t="str">
        <f t="shared" si="239"/>
        <v/>
      </c>
    </row>
    <row r="5097" spans="10:12" ht="16.5" customHeight="1" x14ac:dyDescent="0.35">
      <c r="J5097" s="56" t="str">
        <f t="shared" si="237"/>
        <v/>
      </c>
      <c r="K5097" s="74" t="str">
        <f t="shared" si="238"/>
        <v/>
      </c>
      <c r="L5097" s="58" t="str">
        <f t="shared" si="239"/>
        <v/>
      </c>
    </row>
    <row r="5098" spans="10:12" ht="16.5" customHeight="1" x14ac:dyDescent="0.35">
      <c r="J5098" s="56" t="str">
        <f t="shared" si="237"/>
        <v/>
      </c>
      <c r="K5098" s="74" t="str">
        <f t="shared" si="238"/>
        <v/>
      </c>
      <c r="L5098" s="58" t="str">
        <f t="shared" si="239"/>
        <v/>
      </c>
    </row>
    <row r="5099" spans="10:12" ht="16.5" customHeight="1" x14ac:dyDescent="0.35">
      <c r="J5099" s="56" t="str">
        <f t="shared" si="237"/>
        <v/>
      </c>
      <c r="K5099" s="74" t="str">
        <f t="shared" si="238"/>
        <v/>
      </c>
      <c r="L5099" s="58" t="str">
        <f t="shared" si="239"/>
        <v/>
      </c>
    </row>
    <row r="5100" spans="10:12" ht="16.5" customHeight="1" x14ac:dyDescent="0.35">
      <c r="J5100" s="56" t="str">
        <f t="shared" si="237"/>
        <v/>
      </c>
      <c r="K5100" s="74" t="str">
        <f t="shared" si="238"/>
        <v/>
      </c>
      <c r="L5100" s="58" t="str">
        <f t="shared" si="239"/>
        <v/>
      </c>
    </row>
    <row r="5101" spans="10:12" ht="16.5" customHeight="1" x14ac:dyDescent="0.35">
      <c r="J5101" s="56" t="str">
        <f t="shared" si="237"/>
        <v/>
      </c>
      <c r="K5101" s="74" t="str">
        <f t="shared" si="238"/>
        <v/>
      </c>
      <c r="L5101" s="58" t="str">
        <f t="shared" si="239"/>
        <v/>
      </c>
    </row>
    <row r="5102" spans="10:12" ht="16.5" customHeight="1" x14ac:dyDescent="0.35">
      <c r="J5102" s="56" t="str">
        <f t="shared" si="237"/>
        <v/>
      </c>
      <c r="K5102" s="74" t="str">
        <f t="shared" si="238"/>
        <v/>
      </c>
      <c r="L5102" s="58" t="str">
        <f t="shared" si="239"/>
        <v/>
      </c>
    </row>
    <row r="5103" spans="10:12" ht="16.5" customHeight="1" x14ac:dyDescent="0.35">
      <c r="J5103" s="56" t="str">
        <f t="shared" si="237"/>
        <v/>
      </c>
      <c r="K5103" s="74" t="str">
        <f t="shared" si="238"/>
        <v/>
      </c>
      <c r="L5103" s="58" t="str">
        <f t="shared" si="239"/>
        <v/>
      </c>
    </row>
    <row r="5104" spans="10:12" ht="16.5" customHeight="1" x14ac:dyDescent="0.35">
      <c r="J5104" s="56" t="str">
        <f t="shared" si="237"/>
        <v/>
      </c>
      <c r="K5104" s="74" t="str">
        <f t="shared" si="238"/>
        <v/>
      </c>
      <c r="L5104" s="58" t="str">
        <f t="shared" si="239"/>
        <v/>
      </c>
    </row>
    <row r="5105" spans="10:12" ht="16.5" customHeight="1" x14ac:dyDescent="0.35">
      <c r="J5105" s="56" t="str">
        <f t="shared" si="237"/>
        <v/>
      </c>
      <c r="K5105" s="74" t="str">
        <f t="shared" si="238"/>
        <v/>
      </c>
      <c r="L5105" s="58" t="str">
        <f t="shared" si="239"/>
        <v/>
      </c>
    </row>
    <row r="5106" spans="10:12" ht="16.5" customHeight="1" x14ac:dyDescent="0.35">
      <c r="J5106" s="56" t="str">
        <f t="shared" si="237"/>
        <v/>
      </c>
      <c r="K5106" s="74" t="str">
        <f t="shared" si="238"/>
        <v/>
      </c>
      <c r="L5106" s="58" t="str">
        <f t="shared" si="239"/>
        <v/>
      </c>
    </row>
    <row r="5107" spans="10:12" ht="16.5" customHeight="1" x14ac:dyDescent="0.35">
      <c r="J5107" s="56" t="str">
        <f t="shared" si="237"/>
        <v/>
      </c>
      <c r="K5107" s="74" t="str">
        <f t="shared" si="238"/>
        <v/>
      </c>
      <c r="L5107" s="58" t="str">
        <f t="shared" si="239"/>
        <v/>
      </c>
    </row>
    <row r="5108" spans="10:12" ht="16.5" customHeight="1" x14ac:dyDescent="0.35">
      <c r="J5108" s="56" t="str">
        <f t="shared" si="237"/>
        <v/>
      </c>
      <c r="K5108" s="74" t="str">
        <f t="shared" si="238"/>
        <v/>
      </c>
      <c r="L5108" s="58" t="str">
        <f t="shared" si="239"/>
        <v/>
      </c>
    </row>
    <row r="5109" spans="10:12" ht="16.5" customHeight="1" x14ac:dyDescent="0.35">
      <c r="J5109" s="56" t="str">
        <f t="shared" si="237"/>
        <v/>
      </c>
      <c r="K5109" s="74" t="str">
        <f t="shared" si="238"/>
        <v/>
      </c>
      <c r="L5109" s="58" t="str">
        <f t="shared" si="239"/>
        <v/>
      </c>
    </row>
    <row r="5110" spans="10:12" ht="16.5" customHeight="1" x14ac:dyDescent="0.35">
      <c r="J5110" s="56" t="str">
        <f t="shared" si="237"/>
        <v/>
      </c>
      <c r="K5110" s="74" t="str">
        <f t="shared" si="238"/>
        <v/>
      </c>
      <c r="L5110" s="58" t="str">
        <f t="shared" si="239"/>
        <v/>
      </c>
    </row>
    <row r="5111" spans="10:12" ht="16.5" customHeight="1" x14ac:dyDescent="0.35">
      <c r="J5111" s="56" t="str">
        <f t="shared" si="237"/>
        <v/>
      </c>
      <c r="K5111" s="74" t="str">
        <f t="shared" si="238"/>
        <v/>
      </c>
      <c r="L5111" s="58" t="str">
        <f t="shared" si="239"/>
        <v/>
      </c>
    </row>
    <row r="5112" spans="10:12" ht="16.5" customHeight="1" x14ac:dyDescent="0.35">
      <c r="J5112" s="56" t="str">
        <f t="shared" si="237"/>
        <v/>
      </c>
      <c r="K5112" s="74" t="str">
        <f t="shared" si="238"/>
        <v/>
      </c>
      <c r="L5112" s="58" t="str">
        <f t="shared" si="239"/>
        <v/>
      </c>
    </row>
    <row r="5113" spans="10:12" ht="16.5" customHeight="1" x14ac:dyDescent="0.35">
      <c r="J5113" s="56" t="str">
        <f t="shared" si="237"/>
        <v/>
      </c>
      <c r="K5113" s="74" t="str">
        <f t="shared" si="238"/>
        <v/>
      </c>
      <c r="L5113" s="58" t="str">
        <f t="shared" si="239"/>
        <v/>
      </c>
    </row>
    <row r="5114" spans="10:12" ht="16.5" customHeight="1" x14ac:dyDescent="0.35">
      <c r="J5114" s="56" t="str">
        <f t="shared" si="237"/>
        <v/>
      </c>
      <c r="K5114" s="74" t="str">
        <f t="shared" si="238"/>
        <v/>
      </c>
      <c r="L5114" s="58" t="str">
        <f t="shared" si="239"/>
        <v/>
      </c>
    </row>
    <row r="5115" spans="10:12" ht="16.5" customHeight="1" x14ac:dyDescent="0.35">
      <c r="J5115" s="56" t="str">
        <f t="shared" si="237"/>
        <v/>
      </c>
      <c r="K5115" s="74" t="str">
        <f t="shared" si="238"/>
        <v/>
      </c>
      <c r="L5115" s="58" t="str">
        <f t="shared" si="239"/>
        <v/>
      </c>
    </row>
    <row r="5116" spans="10:12" ht="16.5" customHeight="1" x14ac:dyDescent="0.35">
      <c r="J5116" s="56" t="str">
        <f t="shared" si="237"/>
        <v/>
      </c>
      <c r="K5116" s="74" t="str">
        <f t="shared" si="238"/>
        <v/>
      </c>
      <c r="L5116" s="58" t="str">
        <f t="shared" si="239"/>
        <v/>
      </c>
    </row>
    <row r="5117" spans="10:12" ht="16.5" customHeight="1" x14ac:dyDescent="0.35">
      <c r="J5117" s="56" t="str">
        <f t="shared" si="237"/>
        <v/>
      </c>
      <c r="K5117" s="74" t="str">
        <f t="shared" si="238"/>
        <v/>
      </c>
      <c r="L5117" s="58" t="str">
        <f t="shared" si="239"/>
        <v/>
      </c>
    </row>
    <row r="5118" spans="10:12" ht="16.5" customHeight="1" x14ac:dyDescent="0.35">
      <c r="J5118" s="56" t="str">
        <f t="shared" si="237"/>
        <v/>
      </c>
      <c r="K5118" s="74" t="str">
        <f t="shared" si="238"/>
        <v/>
      </c>
      <c r="L5118" s="58" t="str">
        <f t="shared" si="239"/>
        <v/>
      </c>
    </row>
    <row r="5119" spans="10:12" ht="16.5" customHeight="1" x14ac:dyDescent="0.35">
      <c r="J5119" s="56" t="str">
        <f t="shared" si="237"/>
        <v/>
      </c>
      <c r="K5119" s="74" t="str">
        <f t="shared" si="238"/>
        <v/>
      </c>
      <c r="L5119" s="58" t="str">
        <f t="shared" si="239"/>
        <v/>
      </c>
    </row>
    <row r="5120" spans="10:12" ht="16.5" customHeight="1" x14ac:dyDescent="0.35">
      <c r="J5120" s="56" t="str">
        <f t="shared" si="237"/>
        <v/>
      </c>
      <c r="K5120" s="74" t="str">
        <f t="shared" si="238"/>
        <v/>
      </c>
      <c r="L5120" s="58" t="str">
        <f t="shared" si="239"/>
        <v/>
      </c>
    </row>
    <row r="5121" spans="10:12" ht="16.5" customHeight="1" x14ac:dyDescent="0.35">
      <c r="J5121" s="56" t="str">
        <f t="shared" si="237"/>
        <v/>
      </c>
      <c r="K5121" s="74" t="str">
        <f t="shared" si="238"/>
        <v/>
      </c>
      <c r="L5121" s="58" t="str">
        <f t="shared" si="239"/>
        <v/>
      </c>
    </row>
    <row r="5122" spans="10:12" ht="16.5" customHeight="1" x14ac:dyDescent="0.35">
      <c r="J5122" s="56" t="str">
        <f t="shared" si="237"/>
        <v/>
      </c>
      <c r="K5122" s="74" t="str">
        <f t="shared" si="238"/>
        <v/>
      </c>
      <c r="L5122" s="58" t="str">
        <f t="shared" si="239"/>
        <v/>
      </c>
    </row>
    <row r="5123" spans="10:12" ht="16.5" customHeight="1" x14ac:dyDescent="0.35">
      <c r="J5123" s="56" t="str">
        <f t="shared" si="237"/>
        <v/>
      </c>
      <c r="K5123" s="74" t="str">
        <f t="shared" si="238"/>
        <v/>
      </c>
      <c r="L5123" s="58" t="str">
        <f t="shared" si="239"/>
        <v/>
      </c>
    </row>
    <row r="5124" spans="10:12" ht="16.5" customHeight="1" x14ac:dyDescent="0.35">
      <c r="J5124" s="56" t="str">
        <f t="shared" si="237"/>
        <v/>
      </c>
      <c r="K5124" s="74" t="str">
        <f t="shared" si="238"/>
        <v/>
      </c>
      <c r="L5124" s="58" t="str">
        <f t="shared" si="239"/>
        <v/>
      </c>
    </row>
    <row r="5125" spans="10:12" ht="16.5" customHeight="1" x14ac:dyDescent="0.35">
      <c r="J5125" s="56" t="str">
        <f t="shared" si="237"/>
        <v/>
      </c>
      <c r="K5125" s="74" t="str">
        <f t="shared" si="238"/>
        <v/>
      </c>
      <c r="L5125" s="58" t="str">
        <f t="shared" si="239"/>
        <v/>
      </c>
    </row>
    <row r="5126" spans="10:12" ht="16.5" customHeight="1" x14ac:dyDescent="0.35">
      <c r="J5126" s="56" t="str">
        <f t="shared" si="237"/>
        <v/>
      </c>
      <c r="K5126" s="74" t="str">
        <f t="shared" si="238"/>
        <v/>
      </c>
      <c r="L5126" s="58" t="str">
        <f t="shared" si="239"/>
        <v/>
      </c>
    </row>
    <row r="5127" spans="10:12" ht="16.5" customHeight="1" x14ac:dyDescent="0.35">
      <c r="J5127" s="56" t="str">
        <f t="shared" si="237"/>
        <v/>
      </c>
      <c r="K5127" s="74" t="str">
        <f t="shared" si="238"/>
        <v/>
      </c>
      <c r="L5127" s="58" t="str">
        <f t="shared" si="239"/>
        <v/>
      </c>
    </row>
    <row r="5128" spans="10:12" ht="16.5" customHeight="1" x14ac:dyDescent="0.35">
      <c r="J5128" s="56" t="str">
        <f t="shared" si="237"/>
        <v/>
      </c>
      <c r="K5128" s="74" t="str">
        <f t="shared" si="238"/>
        <v/>
      </c>
      <c r="L5128" s="58" t="str">
        <f t="shared" si="239"/>
        <v/>
      </c>
    </row>
    <row r="5129" spans="10:12" ht="16.5" customHeight="1" x14ac:dyDescent="0.35">
      <c r="J5129" s="56" t="str">
        <f t="shared" ref="J5129:J5192" si="240">IF(A5129="","",A$5-A5129)</f>
        <v/>
      </c>
      <c r="K5129" s="74" t="str">
        <f t="shared" ref="K5129:K5192" si="241">IF(J5129="","",IF(J5129&lt;4,"0-3 Days",IF(J5129&lt;31,"4-30 Days",IF(J5129&lt;61,"31-60 Days",IF(J5129&lt;=90,"61-90 Days",IF(J5129&gt;90,"Above 90 Days","0"))))))</f>
        <v/>
      </c>
      <c r="L5129" s="58" t="str">
        <f t="shared" ref="L5129:L5192" si="242">IF(C5129="","",IF(C5129&gt;0,IF(J5129&lt;30,"Normal",IF(J5129&lt;60,"Especially Mentioned",IF(J5129&lt;90,"Substandard",IF(J5129&lt;=180,"Doubtful",IF(J5129&gt;180,"Loss","0"))))),"Not Applicable"))</f>
        <v/>
      </c>
    </row>
    <row r="5130" spans="10:12" ht="16.5" customHeight="1" x14ac:dyDescent="0.35">
      <c r="J5130" s="56" t="str">
        <f t="shared" si="240"/>
        <v/>
      </c>
      <c r="K5130" s="74" t="str">
        <f t="shared" si="241"/>
        <v/>
      </c>
      <c r="L5130" s="58" t="str">
        <f t="shared" si="242"/>
        <v/>
      </c>
    </row>
    <row r="5131" spans="10:12" ht="16.5" customHeight="1" x14ac:dyDescent="0.35">
      <c r="J5131" s="56" t="str">
        <f t="shared" si="240"/>
        <v/>
      </c>
      <c r="K5131" s="74" t="str">
        <f t="shared" si="241"/>
        <v/>
      </c>
      <c r="L5131" s="58" t="str">
        <f t="shared" si="242"/>
        <v/>
      </c>
    </row>
    <row r="5132" spans="10:12" ht="16.5" customHeight="1" x14ac:dyDescent="0.35">
      <c r="J5132" s="56" t="str">
        <f t="shared" si="240"/>
        <v/>
      </c>
      <c r="K5132" s="74" t="str">
        <f t="shared" si="241"/>
        <v/>
      </c>
      <c r="L5132" s="58" t="str">
        <f t="shared" si="242"/>
        <v/>
      </c>
    </row>
    <row r="5133" spans="10:12" ht="16.5" customHeight="1" x14ac:dyDescent="0.35">
      <c r="J5133" s="56" t="str">
        <f t="shared" si="240"/>
        <v/>
      </c>
      <c r="K5133" s="74" t="str">
        <f t="shared" si="241"/>
        <v/>
      </c>
      <c r="L5133" s="58" t="str">
        <f t="shared" si="242"/>
        <v/>
      </c>
    </row>
    <row r="5134" spans="10:12" ht="16.5" customHeight="1" x14ac:dyDescent="0.35">
      <c r="J5134" s="56" t="str">
        <f t="shared" si="240"/>
        <v/>
      </c>
      <c r="K5134" s="74" t="str">
        <f t="shared" si="241"/>
        <v/>
      </c>
      <c r="L5134" s="58" t="str">
        <f t="shared" si="242"/>
        <v/>
      </c>
    </row>
    <row r="5135" spans="10:12" ht="16.5" customHeight="1" x14ac:dyDescent="0.35">
      <c r="J5135" s="56" t="str">
        <f t="shared" si="240"/>
        <v/>
      </c>
      <c r="K5135" s="74" t="str">
        <f t="shared" si="241"/>
        <v/>
      </c>
      <c r="L5135" s="58" t="str">
        <f t="shared" si="242"/>
        <v/>
      </c>
    </row>
    <row r="5136" spans="10:12" ht="16.5" customHeight="1" x14ac:dyDescent="0.35">
      <c r="J5136" s="56" t="str">
        <f t="shared" si="240"/>
        <v/>
      </c>
      <c r="K5136" s="74" t="str">
        <f t="shared" si="241"/>
        <v/>
      </c>
      <c r="L5136" s="58" t="str">
        <f t="shared" si="242"/>
        <v/>
      </c>
    </row>
    <row r="5137" spans="10:12" ht="16.5" customHeight="1" x14ac:dyDescent="0.35">
      <c r="J5137" s="56" t="str">
        <f t="shared" si="240"/>
        <v/>
      </c>
      <c r="K5137" s="74" t="str">
        <f t="shared" si="241"/>
        <v/>
      </c>
      <c r="L5137" s="58" t="str">
        <f t="shared" si="242"/>
        <v/>
      </c>
    </row>
    <row r="5138" spans="10:12" ht="16.5" customHeight="1" x14ac:dyDescent="0.35">
      <c r="J5138" s="56" t="str">
        <f t="shared" si="240"/>
        <v/>
      </c>
      <c r="K5138" s="74" t="str">
        <f t="shared" si="241"/>
        <v/>
      </c>
      <c r="L5138" s="58" t="str">
        <f t="shared" si="242"/>
        <v/>
      </c>
    </row>
    <row r="5139" spans="10:12" ht="16.5" customHeight="1" x14ac:dyDescent="0.35">
      <c r="J5139" s="56" t="str">
        <f t="shared" si="240"/>
        <v/>
      </c>
      <c r="K5139" s="74" t="str">
        <f t="shared" si="241"/>
        <v/>
      </c>
      <c r="L5139" s="58" t="str">
        <f t="shared" si="242"/>
        <v/>
      </c>
    </row>
    <row r="5140" spans="10:12" ht="16.5" customHeight="1" x14ac:dyDescent="0.35">
      <c r="J5140" s="56" t="str">
        <f t="shared" si="240"/>
        <v/>
      </c>
      <c r="K5140" s="74" t="str">
        <f t="shared" si="241"/>
        <v/>
      </c>
      <c r="L5140" s="58" t="str">
        <f t="shared" si="242"/>
        <v/>
      </c>
    </row>
    <row r="5141" spans="10:12" ht="16.5" customHeight="1" x14ac:dyDescent="0.35">
      <c r="J5141" s="56" t="str">
        <f t="shared" si="240"/>
        <v/>
      </c>
      <c r="K5141" s="74" t="str">
        <f t="shared" si="241"/>
        <v/>
      </c>
      <c r="L5141" s="58" t="str">
        <f t="shared" si="242"/>
        <v/>
      </c>
    </row>
    <row r="5142" spans="10:12" ht="16.5" customHeight="1" x14ac:dyDescent="0.35">
      <c r="J5142" s="56" t="str">
        <f t="shared" si="240"/>
        <v/>
      </c>
      <c r="K5142" s="74" t="str">
        <f t="shared" si="241"/>
        <v/>
      </c>
      <c r="L5142" s="58" t="str">
        <f t="shared" si="242"/>
        <v/>
      </c>
    </row>
    <row r="5143" spans="10:12" ht="16.5" customHeight="1" x14ac:dyDescent="0.35">
      <c r="J5143" s="56" t="str">
        <f t="shared" si="240"/>
        <v/>
      </c>
      <c r="K5143" s="74" t="str">
        <f t="shared" si="241"/>
        <v/>
      </c>
      <c r="L5143" s="58" t="str">
        <f t="shared" si="242"/>
        <v/>
      </c>
    </row>
    <row r="5144" spans="10:12" ht="16.5" customHeight="1" x14ac:dyDescent="0.35">
      <c r="J5144" s="56" t="str">
        <f t="shared" si="240"/>
        <v/>
      </c>
      <c r="K5144" s="74" t="str">
        <f t="shared" si="241"/>
        <v/>
      </c>
      <c r="L5144" s="58" t="str">
        <f t="shared" si="242"/>
        <v/>
      </c>
    </row>
    <row r="5145" spans="10:12" ht="16.5" customHeight="1" x14ac:dyDescent="0.35">
      <c r="J5145" s="56" t="str">
        <f t="shared" si="240"/>
        <v/>
      </c>
      <c r="K5145" s="74" t="str">
        <f t="shared" si="241"/>
        <v/>
      </c>
      <c r="L5145" s="58" t="str">
        <f t="shared" si="242"/>
        <v/>
      </c>
    </row>
    <row r="5146" spans="10:12" ht="16.5" customHeight="1" x14ac:dyDescent="0.35">
      <c r="J5146" s="56" t="str">
        <f t="shared" si="240"/>
        <v/>
      </c>
      <c r="K5146" s="74" t="str">
        <f t="shared" si="241"/>
        <v/>
      </c>
      <c r="L5146" s="58" t="str">
        <f t="shared" si="242"/>
        <v/>
      </c>
    </row>
    <row r="5147" spans="10:12" ht="16.5" customHeight="1" x14ac:dyDescent="0.35">
      <c r="J5147" s="56" t="str">
        <f t="shared" si="240"/>
        <v/>
      </c>
      <c r="K5147" s="74" t="str">
        <f t="shared" si="241"/>
        <v/>
      </c>
      <c r="L5147" s="58" t="str">
        <f t="shared" si="242"/>
        <v/>
      </c>
    </row>
    <row r="5148" spans="10:12" ht="16.5" customHeight="1" x14ac:dyDescent="0.35">
      <c r="J5148" s="56" t="str">
        <f t="shared" si="240"/>
        <v/>
      </c>
      <c r="K5148" s="74" t="str">
        <f t="shared" si="241"/>
        <v/>
      </c>
      <c r="L5148" s="58" t="str">
        <f t="shared" si="242"/>
        <v/>
      </c>
    </row>
    <row r="5149" spans="10:12" ht="16.5" customHeight="1" x14ac:dyDescent="0.35">
      <c r="J5149" s="56" t="str">
        <f t="shared" si="240"/>
        <v/>
      </c>
      <c r="K5149" s="74" t="str">
        <f t="shared" si="241"/>
        <v/>
      </c>
      <c r="L5149" s="58" t="str">
        <f t="shared" si="242"/>
        <v/>
      </c>
    </row>
    <row r="5150" spans="10:12" ht="16.5" customHeight="1" x14ac:dyDescent="0.35">
      <c r="J5150" s="56" t="str">
        <f t="shared" si="240"/>
        <v/>
      </c>
      <c r="K5150" s="74" t="str">
        <f t="shared" si="241"/>
        <v/>
      </c>
      <c r="L5150" s="58" t="str">
        <f t="shared" si="242"/>
        <v/>
      </c>
    </row>
    <row r="5151" spans="10:12" ht="16.5" customHeight="1" x14ac:dyDescent="0.35">
      <c r="J5151" s="56" t="str">
        <f t="shared" si="240"/>
        <v/>
      </c>
      <c r="K5151" s="74" t="str">
        <f t="shared" si="241"/>
        <v/>
      </c>
      <c r="L5151" s="58" t="str">
        <f t="shared" si="242"/>
        <v/>
      </c>
    </row>
    <row r="5152" spans="10:12" ht="16.5" customHeight="1" x14ac:dyDescent="0.35">
      <c r="J5152" s="56" t="str">
        <f t="shared" si="240"/>
        <v/>
      </c>
      <c r="K5152" s="74" t="str">
        <f t="shared" si="241"/>
        <v/>
      </c>
      <c r="L5152" s="58" t="str">
        <f t="shared" si="242"/>
        <v/>
      </c>
    </row>
    <row r="5153" spans="10:12" ht="16.5" customHeight="1" x14ac:dyDescent="0.35">
      <c r="J5153" s="56" t="str">
        <f t="shared" si="240"/>
        <v/>
      </c>
      <c r="K5153" s="74" t="str">
        <f t="shared" si="241"/>
        <v/>
      </c>
      <c r="L5153" s="58" t="str">
        <f t="shared" si="242"/>
        <v/>
      </c>
    </row>
    <row r="5154" spans="10:12" ht="16.5" customHeight="1" x14ac:dyDescent="0.35">
      <c r="J5154" s="56" t="str">
        <f t="shared" si="240"/>
        <v/>
      </c>
      <c r="K5154" s="74" t="str">
        <f t="shared" si="241"/>
        <v/>
      </c>
      <c r="L5154" s="58" t="str">
        <f t="shared" si="242"/>
        <v/>
      </c>
    </row>
    <row r="5155" spans="10:12" ht="16.5" customHeight="1" x14ac:dyDescent="0.35">
      <c r="J5155" s="56" t="str">
        <f t="shared" si="240"/>
        <v/>
      </c>
      <c r="K5155" s="74" t="str">
        <f t="shared" si="241"/>
        <v/>
      </c>
      <c r="L5155" s="58" t="str">
        <f t="shared" si="242"/>
        <v/>
      </c>
    </row>
    <row r="5156" spans="10:12" ht="16.5" customHeight="1" x14ac:dyDescent="0.35">
      <c r="J5156" s="56" t="str">
        <f t="shared" si="240"/>
        <v/>
      </c>
      <c r="K5156" s="74" t="str">
        <f t="shared" si="241"/>
        <v/>
      </c>
      <c r="L5156" s="58" t="str">
        <f t="shared" si="242"/>
        <v/>
      </c>
    </row>
    <row r="5157" spans="10:12" ht="16.5" customHeight="1" x14ac:dyDescent="0.35">
      <c r="J5157" s="56" t="str">
        <f t="shared" si="240"/>
        <v/>
      </c>
      <c r="K5157" s="74" t="str">
        <f t="shared" si="241"/>
        <v/>
      </c>
      <c r="L5157" s="58" t="str">
        <f t="shared" si="242"/>
        <v/>
      </c>
    </row>
    <row r="5158" spans="10:12" ht="16.5" customHeight="1" x14ac:dyDescent="0.35">
      <c r="J5158" s="56" t="str">
        <f t="shared" si="240"/>
        <v/>
      </c>
      <c r="K5158" s="74" t="str">
        <f t="shared" si="241"/>
        <v/>
      </c>
      <c r="L5158" s="58" t="str">
        <f t="shared" si="242"/>
        <v/>
      </c>
    </row>
    <row r="5159" spans="10:12" ht="16.5" customHeight="1" x14ac:dyDescent="0.35">
      <c r="J5159" s="56" t="str">
        <f t="shared" si="240"/>
        <v/>
      </c>
      <c r="K5159" s="74" t="str">
        <f t="shared" si="241"/>
        <v/>
      </c>
      <c r="L5159" s="58" t="str">
        <f t="shared" si="242"/>
        <v/>
      </c>
    </row>
    <row r="5160" spans="10:12" ht="16.5" customHeight="1" x14ac:dyDescent="0.35">
      <c r="J5160" s="56" t="str">
        <f t="shared" si="240"/>
        <v/>
      </c>
      <c r="K5160" s="74" t="str">
        <f t="shared" si="241"/>
        <v/>
      </c>
      <c r="L5160" s="58" t="str">
        <f t="shared" si="242"/>
        <v/>
      </c>
    </row>
    <row r="5161" spans="10:12" ht="16.5" customHeight="1" x14ac:dyDescent="0.35">
      <c r="J5161" s="56" t="str">
        <f t="shared" si="240"/>
        <v/>
      </c>
      <c r="K5161" s="74" t="str">
        <f t="shared" si="241"/>
        <v/>
      </c>
      <c r="L5161" s="58" t="str">
        <f t="shared" si="242"/>
        <v/>
      </c>
    </row>
    <row r="5162" spans="10:12" ht="16.5" customHeight="1" x14ac:dyDescent="0.35">
      <c r="J5162" s="56" t="str">
        <f t="shared" si="240"/>
        <v/>
      </c>
      <c r="K5162" s="74" t="str">
        <f t="shared" si="241"/>
        <v/>
      </c>
      <c r="L5162" s="58" t="str">
        <f t="shared" si="242"/>
        <v/>
      </c>
    </row>
    <row r="5163" spans="10:12" ht="16.5" customHeight="1" x14ac:dyDescent="0.35">
      <c r="J5163" s="56" t="str">
        <f t="shared" si="240"/>
        <v/>
      </c>
      <c r="K5163" s="74" t="str">
        <f t="shared" si="241"/>
        <v/>
      </c>
      <c r="L5163" s="58" t="str">
        <f t="shared" si="242"/>
        <v/>
      </c>
    </row>
    <row r="5164" spans="10:12" ht="16.5" customHeight="1" x14ac:dyDescent="0.35">
      <c r="J5164" s="56" t="str">
        <f t="shared" si="240"/>
        <v/>
      </c>
      <c r="K5164" s="74" t="str">
        <f t="shared" si="241"/>
        <v/>
      </c>
      <c r="L5164" s="58" t="str">
        <f t="shared" si="242"/>
        <v/>
      </c>
    </row>
    <row r="5165" spans="10:12" ht="16.5" customHeight="1" x14ac:dyDescent="0.35">
      <c r="J5165" s="56" t="str">
        <f t="shared" si="240"/>
        <v/>
      </c>
      <c r="K5165" s="74" t="str">
        <f t="shared" si="241"/>
        <v/>
      </c>
      <c r="L5165" s="58" t="str">
        <f t="shared" si="242"/>
        <v/>
      </c>
    </row>
    <row r="5166" spans="10:12" ht="16.5" customHeight="1" x14ac:dyDescent="0.35">
      <c r="J5166" s="56" t="str">
        <f t="shared" si="240"/>
        <v/>
      </c>
      <c r="K5166" s="74" t="str">
        <f t="shared" si="241"/>
        <v/>
      </c>
      <c r="L5166" s="58" t="str">
        <f t="shared" si="242"/>
        <v/>
      </c>
    </row>
    <row r="5167" spans="10:12" ht="16.5" customHeight="1" x14ac:dyDescent="0.35">
      <c r="J5167" s="56" t="str">
        <f t="shared" si="240"/>
        <v/>
      </c>
      <c r="K5167" s="74" t="str">
        <f t="shared" si="241"/>
        <v/>
      </c>
      <c r="L5167" s="58" t="str">
        <f t="shared" si="242"/>
        <v/>
      </c>
    </row>
    <row r="5168" spans="10:12" ht="16.5" customHeight="1" x14ac:dyDescent="0.35">
      <c r="J5168" s="56" t="str">
        <f t="shared" si="240"/>
        <v/>
      </c>
      <c r="K5168" s="74" t="str">
        <f t="shared" si="241"/>
        <v/>
      </c>
      <c r="L5168" s="58" t="str">
        <f t="shared" si="242"/>
        <v/>
      </c>
    </row>
    <row r="5169" spans="10:12" ht="16.5" customHeight="1" x14ac:dyDescent="0.35">
      <c r="J5169" s="56" t="str">
        <f t="shared" si="240"/>
        <v/>
      </c>
      <c r="K5169" s="74" t="str">
        <f t="shared" si="241"/>
        <v/>
      </c>
      <c r="L5169" s="58" t="str">
        <f t="shared" si="242"/>
        <v/>
      </c>
    </row>
    <row r="5170" spans="10:12" ht="16.5" customHeight="1" x14ac:dyDescent="0.35">
      <c r="J5170" s="56" t="str">
        <f t="shared" si="240"/>
        <v/>
      </c>
      <c r="K5170" s="74" t="str">
        <f t="shared" si="241"/>
        <v/>
      </c>
      <c r="L5170" s="58" t="str">
        <f t="shared" si="242"/>
        <v/>
      </c>
    </row>
    <row r="5171" spans="10:12" ht="16.5" customHeight="1" x14ac:dyDescent="0.35">
      <c r="J5171" s="56" t="str">
        <f t="shared" si="240"/>
        <v/>
      </c>
      <c r="K5171" s="74" t="str">
        <f t="shared" si="241"/>
        <v/>
      </c>
      <c r="L5171" s="58" t="str">
        <f t="shared" si="242"/>
        <v/>
      </c>
    </row>
    <row r="5172" spans="10:12" ht="16.5" customHeight="1" x14ac:dyDescent="0.35">
      <c r="J5172" s="56" t="str">
        <f t="shared" si="240"/>
        <v/>
      </c>
      <c r="K5172" s="74" t="str">
        <f t="shared" si="241"/>
        <v/>
      </c>
      <c r="L5172" s="58" t="str">
        <f t="shared" si="242"/>
        <v/>
      </c>
    </row>
    <row r="5173" spans="10:12" ht="16.5" customHeight="1" x14ac:dyDescent="0.35">
      <c r="J5173" s="56" t="str">
        <f t="shared" si="240"/>
        <v/>
      </c>
      <c r="K5173" s="74" t="str">
        <f t="shared" si="241"/>
        <v/>
      </c>
      <c r="L5173" s="58" t="str">
        <f t="shared" si="242"/>
        <v/>
      </c>
    </row>
    <row r="5174" spans="10:12" ht="16.5" customHeight="1" x14ac:dyDescent="0.35">
      <c r="J5174" s="56" t="str">
        <f t="shared" si="240"/>
        <v/>
      </c>
      <c r="K5174" s="74" t="str">
        <f t="shared" si="241"/>
        <v/>
      </c>
      <c r="L5174" s="58" t="str">
        <f t="shared" si="242"/>
        <v/>
      </c>
    </row>
    <row r="5175" spans="10:12" ht="16.5" customHeight="1" x14ac:dyDescent="0.35">
      <c r="J5175" s="56" t="str">
        <f t="shared" si="240"/>
        <v/>
      </c>
      <c r="K5175" s="74" t="str">
        <f t="shared" si="241"/>
        <v/>
      </c>
      <c r="L5175" s="58" t="str">
        <f t="shared" si="242"/>
        <v/>
      </c>
    </row>
    <row r="5176" spans="10:12" ht="16.5" customHeight="1" x14ac:dyDescent="0.35">
      <c r="J5176" s="56" t="str">
        <f t="shared" si="240"/>
        <v/>
      </c>
      <c r="K5176" s="74" t="str">
        <f t="shared" si="241"/>
        <v/>
      </c>
      <c r="L5176" s="58" t="str">
        <f t="shared" si="242"/>
        <v/>
      </c>
    </row>
    <row r="5177" spans="10:12" ht="16.5" customHeight="1" x14ac:dyDescent="0.35">
      <c r="J5177" s="56" t="str">
        <f t="shared" si="240"/>
        <v/>
      </c>
      <c r="K5177" s="74" t="str">
        <f t="shared" si="241"/>
        <v/>
      </c>
      <c r="L5177" s="58" t="str">
        <f t="shared" si="242"/>
        <v/>
      </c>
    </row>
    <row r="5178" spans="10:12" ht="16.5" customHeight="1" x14ac:dyDescent="0.35">
      <c r="J5178" s="56" t="str">
        <f t="shared" si="240"/>
        <v/>
      </c>
      <c r="K5178" s="74" t="str">
        <f t="shared" si="241"/>
        <v/>
      </c>
      <c r="L5178" s="58" t="str">
        <f t="shared" si="242"/>
        <v/>
      </c>
    </row>
    <row r="5179" spans="10:12" ht="16.5" customHeight="1" x14ac:dyDescent="0.35">
      <c r="J5179" s="56" t="str">
        <f t="shared" si="240"/>
        <v/>
      </c>
      <c r="K5179" s="74" t="str">
        <f t="shared" si="241"/>
        <v/>
      </c>
      <c r="L5179" s="58" t="str">
        <f t="shared" si="242"/>
        <v/>
      </c>
    </row>
    <row r="5180" spans="10:12" ht="16.5" customHeight="1" x14ac:dyDescent="0.35">
      <c r="J5180" s="56" t="str">
        <f t="shared" si="240"/>
        <v/>
      </c>
      <c r="K5180" s="74" t="str">
        <f t="shared" si="241"/>
        <v/>
      </c>
      <c r="L5180" s="58" t="str">
        <f t="shared" si="242"/>
        <v/>
      </c>
    </row>
    <row r="5181" spans="10:12" ht="16.5" customHeight="1" x14ac:dyDescent="0.35">
      <c r="J5181" s="56" t="str">
        <f t="shared" si="240"/>
        <v/>
      </c>
      <c r="K5181" s="74" t="str">
        <f t="shared" si="241"/>
        <v/>
      </c>
      <c r="L5181" s="58" t="str">
        <f t="shared" si="242"/>
        <v/>
      </c>
    </row>
    <row r="5182" spans="10:12" ht="16.5" customHeight="1" x14ac:dyDescent="0.35">
      <c r="J5182" s="56" t="str">
        <f t="shared" si="240"/>
        <v/>
      </c>
      <c r="K5182" s="74" t="str">
        <f t="shared" si="241"/>
        <v/>
      </c>
      <c r="L5182" s="58" t="str">
        <f t="shared" si="242"/>
        <v/>
      </c>
    </row>
    <row r="5183" spans="10:12" ht="16.5" customHeight="1" x14ac:dyDescent="0.35">
      <c r="J5183" s="56" t="str">
        <f t="shared" si="240"/>
        <v/>
      </c>
      <c r="K5183" s="74" t="str">
        <f t="shared" si="241"/>
        <v/>
      </c>
      <c r="L5183" s="58" t="str">
        <f t="shared" si="242"/>
        <v/>
      </c>
    </row>
    <row r="5184" spans="10:12" ht="16.5" customHeight="1" x14ac:dyDescent="0.35">
      <c r="J5184" s="56" t="str">
        <f t="shared" si="240"/>
        <v/>
      </c>
      <c r="K5184" s="74" t="str">
        <f t="shared" si="241"/>
        <v/>
      </c>
      <c r="L5184" s="58" t="str">
        <f t="shared" si="242"/>
        <v/>
      </c>
    </row>
    <row r="5185" spans="10:12" ht="16.5" customHeight="1" x14ac:dyDescent="0.35">
      <c r="J5185" s="56" t="str">
        <f t="shared" si="240"/>
        <v/>
      </c>
      <c r="K5185" s="74" t="str">
        <f t="shared" si="241"/>
        <v/>
      </c>
      <c r="L5185" s="58" t="str">
        <f t="shared" si="242"/>
        <v/>
      </c>
    </row>
    <row r="5186" spans="10:12" ht="16.5" customHeight="1" x14ac:dyDescent="0.35">
      <c r="J5186" s="56" t="str">
        <f t="shared" si="240"/>
        <v/>
      </c>
      <c r="K5186" s="74" t="str">
        <f t="shared" si="241"/>
        <v/>
      </c>
      <c r="L5186" s="58" t="str">
        <f t="shared" si="242"/>
        <v/>
      </c>
    </row>
    <row r="5187" spans="10:12" ht="16.5" customHeight="1" x14ac:dyDescent="0.35">
      <c r="J5187" s="56" t="str">
        <f t="shared" si="240"/>
        <v/>
      </c>
      <c r="K5187" s="74" t="str">
        <f t="shared" si="241"/>
        <v/>
      </c>
      <c r="L5187" s="58" t="str">
        <f t="shared" si="242"/>
        <v/>
      </c>
    </row>
    <row r="5188" spans="10:12" ht="16.5" customHeight="1" x14ac:dyDescent="0.35">
      <c r="J5188" s="56" t="str">
        <f t="shared" si="240"/>
        <v/>
      </c>
      <c r="K5188" s="74" t="str">
        <f t="shared" si="241"/>
        <v/>
      </c>
      <c r="L5188" s="58" t="str">
        <f t="shared" si="242"/>
        <v/>
      </c>
    </row>
    <row r="5189" spans="10:12" ht="16.5" customHeight="1" x14ac:dyDescent="0.35">
      <c r="J5189" s="56" t="str">
        <f t="shared" si="240"/>
        <v/>
      </c>
      <c r="K5189" s="74" t="str">
        <f t="shared" si="241"/>
        <v/>
      </c>
      <c r="L5189" s="58" t="str">
        <f t="shared" si="242"/>
        <v/>
      </c>
    </row>
    <row r="5190" spans="10:12" ht="16.5" customHeight="1" x14ac:dyDescent="0.35">
      <c r="J5190" s="56" t="str">
        <f t="shared" si="240"/>
        <v/>
      </c>
      <c r="K5190" s="74" t="str">
        <f t="shared" si="241"/>
        <v/>
      </c>
      <c r="L5190" s="58" t="str">
        <f t="shared" si="242"/>
        <v/>
      </c>
    </row>
    <row r="5191" spans="10:12" ht="16.5" customHeight="1" x14ac:dyDescent="0.35">
      <c r="J5191" s="56" t="str">
        <f t="shared" si="240"/>
        <v/>
      </c>
      <c r="K5191" s="74" t="str">
        <f t="shared" si="241"/>
        <v/>
      </c>
      <c r="L5191" s="58" t="str">
        <f t="shared" si="242"/>
        <v/>
      </c>
    </row>
    <row r="5192" spans="10:12" ht="16.5" customHeight="1" x14ac:dyDescent="0.35">
      <c r="J5192" s="56" t="str">
        <f t="shared" si="240"/>
        <v/>
      </c>
      <c r="K5192" s="74" t="str">
        <f t="shared" si="241"/>
        <v/>
      </c>
      <c r="L5192" s="58" t="str">
        <f t="shared" si="242"/>
        <v/>
      </c>
    </row>
    <row r="5193" spans="10:12" ht="16.5" customHeight="1" x14ac:dyDescent="0.35">
      <c r="J5193" s="56" t="str">
        <f t="shared" ref="J5193:J5256" si="243">IF(A5193="","",A$5-A5193)</f>
        <v/>
      </c>
      <c r="K5193" s="74" t="str">
        <f t="shared" ref="K5193:K5256" si="244">IF(J5193="","",IF(J5193&lt;4,"0-3 Days",IF(J5193&lt;31,"4-30 Days",IF(J5193&lt;61,"31-60 Days",IF(J5193&lt;=90,"61-90 Days",IF(J5193&gt;90,"Above 90 Days","0"))))))</f>
        <v/>
      </c>
      <c r="L5193" s="58" t="str">
        <f t="shared" ref="L5193:L5256" si="245">IF(C5193="","",IF(C5193&gt;0,IF(J5193&lt;30,"Normal",IF(J5193&lt;60,"Especially Mentioned",IF(J5193&lt;90,"Substandard",IF(J5193&lt;=180,"Doubtful",IF(J5193&gt;180,"Loss","0"))))),"Not Applicable"))</f>
        <v/>
      </c>
    </row>
    <row r="5194" spans="10:12" ht="16.5" customHeight="1" x14ac:dyDescent="0.35">
      <c r="J5194" s="56" t="str">
        <f t="shared" si="243"/>
        <v/>
      </c>
      <c r="K5194" s="74" t="str">
        <f t="shared" si="244"/>
        <v/>
      </c>
      <c r="L5194" s="58" t="str">
        <f t="shared" si="245"/>
        <v/>
      </c>
    </row>
    <row r="5195" spans="10:12" ht="16.5" customHeight="1" x14ac:dyDescent="0.35">
      <c r="J5195" s="56" t="str">
        <f t="shared" si="243"/>
        <v/>
      </c>
      <c r="K5195" s="74" t="str">
        <f t="shared" si="244"/>
        <v/>
      </c>
      <c r="L5195" s="58" t="str">
        <f t="shared" si="245"/>
        <v/>
      </c>
    </row>
    <row r="5196" spans="10:12" ht="16.5" customHeight="1" x14ac:dyDescent="0.35">
      <c r="J5196" s="56" t="str">
        <f t="shared" si="243"/>
        <v/>
      </c>
      <c r="K5196" s="74" t="str">
        <f t="shared" si="244"/>
        <v/>
      </c>
      <c r="L5196" s="58" t="str">
        <f t="shared" si="245"/>
        <v/>
      </c>
    </row>
    <row r="5197" spans="10:12" ht="16.5" customHeight="1" x14ac:dyDescent="0.35">
      <c r="J5197" s="56" t="str">
        <f t="shared" si="243"/>
        <v/>
      </c>
      <c r="K5197" s="74" t="str">
        <f t="shared" si="244"/>
        <v/>
      </c>
      <c r="L5197" s="58" t="str">
        <f t="shared" si="245"/>
        <v/>
      </c>
    </row>
    <row r="5198" spans="10:12" ht="16.5" customHeight="1" x14ac:dyDescent="0.35">
      <c r="J5198" s="56" t="str">
        <f t="shared" si="243"/>
        <v/>
      </c>
      <c r="K5198" s="74" t="str">
        <f t="shared" si="244"/>
        <v/>
      </c>
      <c r="L5198" s="58" t="str">
        <f t="shared" si="245"/>
        <v/>
      </c>
    </row>
    <row r="5199" spans="10:12" ht="16.5" customHeight="1" x14ac:dyDescent="0.35">
      <c r="J5199" s="56" t="str">
        <f t="shared" si="243"/>
        <v/>
      </c>
      <c r="K5199" s="74" t="str">
        <f t="shared" si="244"/>
        <v/>
      </c>
      <c r="L5199" s="58" t="str">
        <f t="shared" si="245"/>
        <v/>
      </c>
    </row>
    <row r="5200" spans="10:12" ht="16.5" customHeight="1" x14ac:dyDescent="0.35">
      <c r="J5200" s="56" t="str">
        <f t="shared" si="243"/>
        <v/>
      </c>
      <c r="K5200" s="74" t="str">
        <f t="shared" si="244"/>
        <v/>
      </c>
      <c r="L5200" s="58" t="str">
        <f t="shared" si="245"/>
        <v/>
      </c>
    </row>
    <row r="5201" spans="10:12" ht="16.5" customHeight="1" x14ac:dyDescent="0.35">
      <c r="J5201" s="56" t="str">
        <f t="shared" si="243"/>
        <v/>
      </c>
      <c r="K5201" s="74" t="str">
        <f t="shared" si="244"/>
        <v/>
      </c>
      <c r="L5201" s="58" t="str">
        <f t="shared" si="245"/>
        <v/>
      </c>
    </row>
    <row r="5202" spans="10:12" ht="16.5" customHeight="1" x14ac:dyDescent="0.35">
      <c r="J5202" s="56" t="str">
        <f t="shared" si="243"/>
        <v/>
      </c>
      <c r="K5202" s="74" t="str">
        <f t="shared" si="244"/>
        <v/>
      </c>
      <c r="L5202" s="58" t="str">
        <f t="shared" si="245"/>
        <v/>
      </c>
    </row>
    <row r="5203" spans="10:12" ht="16.5" customHeight="1" x14ac:dyDescent="0.35">
      <c r="J5203" s="56" t="str">
        <f t="shared" si="243"/>
        <v/>
      </c>
      <c r="K5203" s="74" t="str">
        <f t="shared" si="244"/>
        <v/>
      </c>
      <c r="L5203" s="58" t="str">
        <f t="shared" si="245"/>
        <v/>
      </c>
    </row>
    <row r="5204" spans="10:12" ht="16.5" customHeight="1" x14ac:dyDescent="0.35">
      <c r="J5204" s="56" t="str">
        <f t="shared" si="243"/>
        <v/>
      </c>
      <c r="K5204" s="74" t="str">
        <f t="shared" si="244"/>
        <v/>
      </c>
      <c r="L5204" s="58" t="str">
        <f t="shared" si="245"/>
        <v/>
      </c>
    </row>
    <row r="5205" spans="10:12" ht="16.5" customHeight="1" x14ac:dyDescent="0.35">
      <c r="J5205" s="56" t="str">
        <f t="shared" si="243"/>
        <v/>
      </c>
      <c r="K5205" s="74" t="str">
        <f t="shared" si="244"/>
        <v/>
      </c>
      <c r="L5205" s="58" t="str">
        <f t="shared" si="245"/>
        <v/>
      </c>
    </row>
    <row r="5206" spans="10:12" ht="16.5" customHeight="1" x14ac:dyDescent="0.35">
      <c r="J5206" s="56" t="str">
        <f t="shared" si="243"/>
        <v/>
      </c>
      <c r="K5206" s="74" t="str">
        <f t="shared" si="244"/>
        <v/>
      </c>
      <c r="L5206" s="58" t="str">
        <f t="shared" si="245"/>
        <v/>
      </c>
    </row>
    <row r="5207" spans="10:12" ht="16.5" customHeight="1" x14ac:dyDescent="0.35">
      <c r="J5207" s="56" t="str">
        <f t="shared" si="243"/>
        <v/>
      </c>
      <c r="K5207" s="74" t="str">
        <f t="shared" si="244"/>
        <v/>
      </c>
      <c r="L5207" s="58" t="str">
        <f t="shared" si="245"/>
        <v/>
      </c>
    </row>
    <row r="5208" spans="10:12" ht="16.5" customHeight="1" x14ac:dyDescent="0.35">
      <c r="J5208" s="56" t="str">
        <f t="shared" si="243"/>
        <v/>
      </c>
      <c r="K5208" s="74" t="str">
        <f t="shared" si="244"/>
        <v/>
      </c>
      <c r="L5208" s="58" t="str">
        <f t="shared" si="245"/>
        <v/>
      </c>
    </row>
    <row r="5209" spans="10:12" ht="16.5" customHeight="1" x14ac:dyDescent="0.35">
      <c r="J5209" s="56" t="str">
        <f t="shared" si="243"/>
        <v/>
      </c>
      <c r="K5209" s="74" t="str">
        <f t="shared" si="244"/>
        <v/>
      </c>
      <c r="L5209" s="58" t="str">
        <f t="shared" si="245"/>
        <v/>
      </c>
    </row>
    <row r="5210" spans="10:12" ht="16.5" customHeight="1" x14ac:dyDescent="0.35">
      <c r="J5210" s="56" t="str">
        <f t="shared" si="243"/>
        <v/>
      </c>
      <c r="K5210" s="74" t="str">
        <f t="shared" si="244"/>
        <v/>
      </c>
      <c r="L5210" s="58" t="str">
        <f t="shared" si="245"/>
        <v/>
      </c>
    </row>
    <row r="5211" spans="10:12" ht="16.5" customHeight="1" x14ac:dyDescent="0.35">
      <c r="J5211" s="56" t="str">
        <f t="shared" si="243"/>
        <v/>
      </c>
      <c r="K5211" s="74" t="str">
        <f t="shared" si="244"/>
        <v/>
      </c>
      <c r="L5211" s="58" t="str">
        <f t="shared" si="245"/>
        <v/>
      </c>
    </row>
    <row r="5212" spans="10:12" ht="16.5" customHeight="1" x14ac:dyDescent="0.35">
      <c r="J5212" s="56" t="str">
        <f t="shared" si="243"/>
        <v/>
      </c>
      <c r="K5212" s="74" t="str">
        <f t="shared" si="244"/>
        <v/>
      </c>
      <c r="L5212" s="58" t="str">
        <f t="shared" si="245"/>
        <v/>
      </c>
    </row>
    <row r="5213" spans="10:12" ht="16.5" customHeight="1" x14ac:dyDescent="0.35">
      <c r="J5213" s="56" t="str">
        <f t="shared" si="243"/>
        <v/>
      </c>
      <c r="K5213" s="74" t="str">
        <f t="shared" si="244"/>
        <v/>
      </c>
      <c r="L5213" s="58" t="str">
        <f t="shared" si="245"/>
        <v/>
      </c>
    </row>
    <row r="5214" spans="10:12" ht="16.5" customHeight="1" x14ac:dyDescent="0.35">
      <c r="J5214" s="56" t="str">
        <f t="shared" si="243"/>
        <v/>
      </c>
      <c r="K5214" s="74" t="str">
        <f t="shared" si="244"/>
        <v/>
      </c>
      <c r="L5214" s="58" t="str">
        <f t="shared" si="245"/>
        <v/>
      </c>
    </row>
    <row r="5215" spans="10:12" ht="16.5" customHeight="1" x14ac:dyDescent="0.35">
      <c r="J5215" s="56" t="str">
        <f t="shared" si="243"/>
        <v/>
      </c>
      <c r="K5215" s="74" t="str">
        <f t="shared" si="244"/>
        <v/>
      </c>
      <c r="L5215" s="58" t="str">
        <f t="shared" si="245"/>
        <v/>
      </c>
    </row>
    <row r="5216" spans="10:12" ht="16.5" customHeight="1" x14ac:dyDescent="0.35">
      <c r="J5216" s="56" t="str">
        <f t="shared" si="243"/>
        <v/>
      </c>
      <c r="K5216" s="74" t="str">
        <f t="shared" si="244"/>
        <v/>
      </c>
      <c r="L5216" s="58" t="str">
        <f t="shared" si="245"/>
        <v/>
      </c>
    </row>
    <row r="5217" spans="10:12" ht="16.5" customHeight="1" x14ac:dyDescent="0.35">
      <c r="J5217" s="56" t="str">
        <f t="shared" si="243"/>
        <v/>
      </c>
      <c r="K5217" s="74" t="str">
        <f t="shared" si="244"/>
        <v/>
      </c>
      <c r="L5217" s="58" t="str">
        <f t="shared" si="245"/>
        <v/>
      </c>
    </row>
    <row r="5218" spans="10:12" ht="16.5" customHeight="1" x14ac:dyDescent="0.35">
      <c r="J5218" s="56" t="str">
        <f t="shared" si="243"/>
        <v/>
      </c>
      <c r="K5218" s="74" t="str">
        <f t="shared" si="244"/>
        <v/>
      </c>
      <c r="L5218" s="58" t="str">
        <f t="shared" si="245"/>
        <v/>
      </c>
    </row>
    <row r="5219" spans="10:12" ht="16.5" customHeight="1" x14ac:dyDescent="0.35">
      <c r="J5219" s="56" t="str">
        <f t="shared" si="243"/>
        <v/>
      </c>
      <c r="K5219" s="74" t="str">
        <f t="shared" si="244"/>
        <v/>
      </c>
      <c r="L5219" s="58" t="str">
        <f t="shared" si="245"/>
        <v/>
      </c>
    </row>
    <row r="5220" spans="10:12" ht="16.5" customHeight="1" x14ac:dyDescent="0.35">
      <c r="J5220" s="56" t="str">
        <f t="shared" si="243"/>
        <v/>
      </c>
      <c r="K5220" s="74" t="str">
        <f t="shared" si="244"/>
        <v/>
      </c>
      <c r="L5220" s="58" t="str">
        <f t="shared" si="245"/>
        <v/>
      </c>
    </row>
    <row r="5221" spans="10:12" ht="16.5" customHeight="1" x14ac:dyDescent="0.35">
      <c r="J5221" s="56" t="str">
        <f t="shared" si="243"/>
        <v/>
      </c>
      <c r="K5221" s="74" t="str">
        <f t="shared" si="244"/>
        <v/>
      </c>
      <c r="L5221" s="58" t="str">
        <f t="shared" si="245"/>
        <v/>
      </c>
    </row>
    <row r="5222" spans="10:12" ht="16.5" customHeight="1" x14ac:dyDescent="0.35">
      <c r="J5222" s="56" t="str">
        <f t="shared" si="243"/>
        <v/>
      </c>
      <c r="K5222" s="74" t="str">
        <f t="shared" si="244"/>
        <v/>
      </c>
      <c r="L5222" s="58" t="str">
        <f t="shared" si="245"/>
        <v/>
      </c>
    </row>
    <row r="5223" spans="10:12" ht="16.5" customHeight="1" x14ac:dyDescent="0.35">
      <c r="J5223" s="56" t="str">
        <f t="shared" si="243"/>
        <v/>
      </c>
      <c r="K5223" s="74" t="str">
        <f t="shared" si="244"/>
        <v/>
      </c>
      <c r="L5223" s="58" t="str">
        <f t="shared" si="245"/>
        <v/>
      </c>
    </row>
    <row r="5224" spans="10:12" ht="16.5" customHeight="1" x14ac:dyDescent="0.35">
      <c r="J5224" s="56" t="str">
        <f t="shared" si="243"/>
        <v/>
      </c>
      <c r="K5224" s="74" t="str">
        <f t="shared" si="244"/>
        <v/>
      </c>
      <c r="L5224" s="58" t="str">
        <f t="shared" si="245"/>
        <v/>
      </c>
    </row>
    <row r="5225" spans="10:12" ht="16.5" customHeight="1" x14ac:dyDescent="0.35">
      <c r="J5225" s="56" t="str">
        <f t="shared" si="243"/>
        <v/>
      </c>
      <c r="K5225" s="74" t="str">
        <f t="shared" si="244"/>
        <v/>
      </c>
      <c r="L5225" s="58" t="str">
        <f t="shared" si="245"/>
        <v/>
      </c>
    </row>
    <row r="5226" spans="10:12" ht="16.5" customHeight="1" x14ac:dyDescent="0.35">
      <c r="J5226" s="56" t="str">
        <f t="shared" si="243"/>
        <v/>
      </c>
      <c r="K5226" s="74" t="str">
        <f t="shared" si="244"/>
        <v/>
      </c>
      <c r="L5226" s="58" t="str">
        <f t="shared" si="245"/>
        <v/>
      </c>
    </row>
    <row r="5227" spans="10:12" ht="16.5" customHeight="1" x14ac:dyDescent="0.35">
      <c r="J5227" s="56" t="str">
        <f t="shared" si="243"/>
        <v/>
      </c>
      <c r="K5227" s="74" t="str">
        <f t="shared" si="244"/>
        <v/>
      </c>
      <c r="L5227" s="58" t="str">
        <f t="shared" si="245"/>
        <v/>
      </c>
    </row>
    <row r="5228" spans="10:12" ht="16.5" customHeight="1" x14ac:dyDescent="0.35">
      <c r="J5228" s="56" t="str">
        <f t="shared" si="243"/>
        <v/>
      </c>
      <c r="K5228" s="74" t="str">
        <f t="shared" si="244"/>
        <v/>
      </c>
      <c r="L5228" s="58" t="str">
        <f t="shared" si="245"/>
        <v/>
      </c>
    </row>
    <row r="5229" spans="10:12" ht="16.5" customHeight="1" x14ac:dyDescent="0.35">
      <c r="J5229" s="56" t="str">
        <f t="shared" si="243"/>
        <v/>
      </c>
      <c r="K5229" s="74" t="str">
        <f t="shared" si="244"/>
        <v/>
      </c>
      <c r="L5229" s="58" t="str">
        <f t="shared" si="245"/>
        <v/>
      </c>
    </row>
    <row r="5230" spans="10:12" ht="16.5" customHeight="1" x14ac:dyDescent="0.35">
      <c r="J5230" s="56" t="str">
        <f t="shared" si="243"/>
        <v/>
      </c>
      <c r="K5230" s="74" t="str">
        <f t="shared" si="244"/>
        <v/>
      </c>
      <c r="L5230" s="58" t="str">
        <f t="shared" si="245"/>
        <v/>
      </c>
    </row>
    <row r="5231" spans="10:12" ht="16.5" customHeight="1" x14ac:dyDescent="0.35">
      <c r="J5231" s="56" t="str">
        <f t="shared" si="243"/>
        <v/>
      </c>
      <c r="K5231" s="74" t="str">
        <f t="shared" si="244"/>
        <v/>
      </c>
      <c r="L5231" s="58" t="str">
        <f t="shared" si="245"/>
        <v/>
      </c>
    </row>
    <row r="5232" spans="10:12" ht="16.5" customHeight="1" x14ac:dyDescent="0.35">
      <c r="J5232" s="56" t="str">
        <f t="shared" si="243"/>
        <v/>
      </c>
      <c r="K5232" s="74" t="str">
        <f t="shared" si="244"/>
        <v/>
      </c>
      <c r="L5232" s="58" t="str">
        <f t="shared" si="245"/>
        <v/>
      </c>
    </row>
    <row r="5233" spans="10:12" ht="16.5" customHeight="1" x14ac:dyDescent="0.35">
      <c r="J5233" s="56" t="str">
        <f t="shared" si="243"/>
        <v/>
      </c>
      <c r="K5233" s="74" t="str">
        <f t="shared" si="244"/>
        <v/>
      </c>
      <c r="L5233" s="58" t="str">
        <f t="shared" si="245"/>
        <v/>
      </c>
    </row>
    <row r="5234" spans="10:12" ht="16.5" customHeight="1" x14ac:dyDescent="0.35">
      <c r="J5234" s="56" t="str">
        <f t="shared" si="243"/>
        <v/>
      </c>
      <c r="K5234" s="74" t="str">
        <f t="shared" si="244"/>
        <v/>
      </c>
      <c r="L5234" s="58" t="str">
        <f t="shared" si="245"/>
        <v/>
      </c>
    </row>
    <row r="5235" spans="10:12" ht="16.5" customHeight="1" x14ac:dyDescent="0.35">
      <c r="J5235" s="56" t="str">
        <f t="shared" si="243"/>
        <v/>
      </c>
      <c r="K5235" s="74" t="str">
        <f t="shared" si="244"/>
        <v/>
      </c>
      <c r="L5235" s="58" t="str">
        <f t="shared" si="245"/>
        <v/>
      </c>
    </row>
    <row r="5236" spans="10:12" ht="16.5" customHeight="1" x14ac:dyDescent="0.35">
      <c r="J5236" s="56" t="str">
        <f t="shared" si="243"/>
        <v/>
      </c>
      <c r="K5236" s="74" t="str">
        <f t="shared" si="244"/>
        <v/>
      </c>
      <c r="L5236" s="58" t="str">
        <f t="shared" si="245"/>
        <v/>
      </c>
    </row>
    <row r="5237" spans="10:12" ht="16.5" customHeight="1" x14ac:dyDescent="0.35">
      <c r="J5237" s="56" t="str">
        <f t="shared" si="243"/>
        <v/>
      </c>
      <c r="K5237" s="74" t="str">
        <f t="shared" si="244"/>
        <v/>
      </c>
      <c r="L5237" s="58" t="str">
        <f t="shared" si="245"/>
        <v/>
      </c>
    </row>
    <row r="5238" spans="10:12" ht="16.5" customHeight="1" x14ac:dyDescent="0.35">
      <c r="J5238" s="56" t="str">
        <f t="shared" si="243"/>
        <v/>
      </c>
      <c r="K5238" s="74" t="str">
        <f t="shared" si="244"/>
        <v/>
      </c>
      <c r="L5238" s="58" t="str">
        <f t="shared" si="245"/>
        <v/>
      </c>
    </row>
    <row r="5239" spans="10:12" ht="16.5" customHeight="1" x14ac:dyDescent="0.35">
      <c r="J5239" s="56" t="str">
        <f t="shared" si="243"/>
        <v/>
      </c>
      <c r="K5239" s="74" t="str">
        <f t="shared" si="244"/>
        <v/>
      </c>
      <c r="L5239" s="58" t="str">
        <f t="shared" si="245"/>
        <v/>
      </c>
    </row>
    <row r="5240" spans="10:12" ht="16.5" customHeight="1" x14ac:dyDescent="0.35">
      <c r="J5240" s="56" t="str">
        <f t="shared" si="243"/>
        <v/>
      </c>
      <c r="K5240" s="74" t="str">
        <f t="shared" si="244"/>
        <v/>
      </c>
      <c r="L5240" s="58" t="str">
        <f t="shared" si="245"/>
        <v/>
      </c>
    </row>
    <row r="5241" spans="10:12" ht="16.5" customHeight="1" x14ac:dyDescent="0.35">
      <c r="J5241" s="56" t="str">
        <f t="shared" si="243"/>
        <v/>
      </c>
      <c r="K5241" s="74" t="str">
        <f t="shared" si="244"/>
        <v/>
      </c>
      <c r="L5241" s="58" t="str">
        <f t="shared" si="245"/>
        <v/>
      </c>
    </row>
    <row r="5242" spans="10:12" ht="16.5" customHeight="1" x14ac:dyDescent="0.35">
      <c r="J5242" s="56" t="str">
        <f t="shared" si="243"/>
        <v/>
      </c>
      <c r="K5242" s="74" t="str">
        <f t="shared" si="244"/>
        <v/>
      </c>
      <c r="L5242" s="58" t="str">
        <f t="shared" si="245"/>
        <v/>
      </c>
    </row>
    <row r="5243" spans="10:12" ht="16.5" customHeight="1" x14ac:dyDescent="0.35">
      <c r="J5243" s="56" t="str">
        <f t="shared" si="243"/>
        <v/>
      </c>
      <c r="K5243" s="74" t="str">
        <f t="shared" si="244"/>
        <v/>
      </c>
      <c r="L5243" s="58" t="str">
        <f t="shared" si="245"/>
        <v/>
      </c>
    </row>
    <row r="5244" spans="10:12" ht="16.5" customHeight="1" x14ac:dyDescent="0.35">
      <c r="J5244" s="56" t="str">
        <f t="shared" si="243"/>
        <v/>
      </c>
      <c r="K5244" s="74" t="str">
        <f t="shared" si="244"/>
        <v/>
      </c>
      <c r="L5244" s="58" t="str">
        <f t="shared" si="245"/>
        <v/>
      </c>
    </row>
    <row r="5245" spans="10:12" ht="16.5" customHeight="1" x14ac:dyDescent="0.35">
      <c r="J5245" s="56" t="str">
        <f t="shared" si="243"/>
        <v/>
      </c>
      <c r="K5245" s="74" t="str">
        <f t="shared" si="244"/>
        <v/>
      </c>
      <c r="L5245" s="58" t="str">
        <f t="shared" si="245"/>
        <v/>
      </c>
    </row>
    <row r="5246" spans="10:12" ht="16.5" customHeight="1" x14ac:dyDescent="0.35">
      <c r="J5246" s="56" t="str">
        <f t="shared" si="243"/>
        <v/>
      </c>
      <c r="K5246" s="74" t="str">
        <f t="shared" si="244"/>
        <v/>
      </c>
      <c r="L5246" s="58" t="str">
        <f t="shared" si="245"/>
        <v/>
      </c>
    </row>
    <row r="5247" spans="10:12" ht="16.5" customHeight="1" x14ac:dyDescent="0.35">
      <c r="J5247" s="56" t="str">
        <f t="shared" si="243"/>
        <v/>
      </c>
      <c r="K5247" s="74" t="str">
        <f t="shared" si="244"/>
        <v/>
      </c>
      <c r="L5247" s="58" t="str">
        <f t="shared" si="245"/>
        <v/>
      </c>
    </row>
    <row r="5248" spans="10:12" ht="16.5" customHeight="1" x14ac:dyDescent="0.35">
      <c r="J5248" s="56" t="str">
        <f t="shared" si="243"/>
        <v/>
      </c>
      <c r="K5248" s="74" t="str">
        <f t="shared" si="244"/>
        <v/>
      </c>
      <c r="L5248" s="58" t="str">
        <f t="shared" si="245"/>
        <v/>
      </c>
    </row>
    <row r="5249" spans="10:12" ht="16.5" customHeight="1" x14ac:dyDescent="0.35">
      <c r="J5249" s="56" t="str">
        <f t="shared" si="243"/>
        <v/>
      </c>
      <c r="K5249" s="74" t="str">
        <f t="shared" si="244"/>
        <v/>
      </c>
      <c r="L5249" s="58" t="str">
        <f t="shared" si="245"/>
        <v/>
      </c>
    </row>
    <row r="5250" spans="10:12" ht="16.5" customHeight="1" x14ac:dyDescent="0.35">
      <c r="J5250" s="56" t="str">
        <f t="shared" si="243"/>
        <v/>
      </c>
      <c r="K5250" s="74" t="str">
        <f t="shared" si="244"/>
        <v/>
      </c>
      <c r="L5250" s="58" t="str">
        <f t="shared" si="245"/>
        <v/>
      </c>
    </row>
    <row r="5251" spans="10:12" ht="16.5" customHeight="1" x14ac:dyDescent="0.35">
      <c r="J5251" s="56" t="str">
        <f t="shared" si="243"/>
        <v/>
      </c>
      <c r="K5251" s="74" t="str">
        <f t="shared" si="244"/>
        <v/>
      </c>
      <c r="L5251" s="58" t="str">
        <f t="shared" si="245"/>
        <v/>
      </c>
    </row>
    <row r="5252" spans="10:12" ht="16.5" customHeight="1" x14ac:dyDescent="0.35">
      <c r="J5252" s="56" t="str">
        <f t="shared" si="243"/>
        <v/>
      </c>
      <c r="K5252" s="74" t="str">
        <f t="shared" si="244"/>
        <v/>
      </c>
      <c r="L5252" s="58" t="str">
        <f t="shared" si="245"/>
        <v/>
      </c>
    </row>
    <row r="5253" spans="10:12" ht="16.5" customHeight="1" x14ac:dyDescent="0.35">
      <c r="J5253" s="56" t="str">
        <f t="shared" si="243"/>
        <v/>
      </c>
      <c r="K5253" s="74" t="str">
        <f t="shared" si="244"/>
        <v/>
      </c>
      <c r="L5253" s="58" t="str">
        <f t="shared" si="245"/>
        <v/>
      </c>
    </row>
    <row r="5254" spans="10:12" ht="16.5" customHeight="1" x14ac:dyDescent="0.35">
      <c r="J5254" s="56" t="str">
        <f t="shared" si="243"/>
        <v/>
      </c>
      <c r="K5254" s="74" t="str">
        <f t="shared" si="244"/>
        <v/>
      </c>
      <c r="L5254" s="58" t="str">
        <f t="shared" si="245"/>
        <v/>
      </c>
    </row>
    <row r="5255" spans="10:12" ht="16.5" customHeight="1" x14ac:dyDescent="0.35">
      <c r="J5255" s="56" t="str">
        <f t="shared" si="243"/>
        <v/>
      </c>
      <c r="K5255" s="74" t="str">
        <f t="shared" si="244"/>
        <v/>
      </c>
      <c r="L5255" s="58" t="str">
        <f t="shared" si="245"/>
        <v/>
      </c>
    </row>
    <row r="5256" spans="10:12" ht="16.5" customHeight="1" x14ac:dyDescent="0.35">
      <c r="J5256" s="56" t="str">
        <f t="shared" si="243"/>
        <v/>
      </c>
      <c r="K5256" s="74" t="str">
        <f t="shared" si="244"/>
        <v/>
      </c>
      <c r="L5256" s="58" t="str">
        <f t="shared" si="245"/>
        <v/>
      </c>
    </row>
    <row r="5257" spans="10:12" ht="16.5" customHeight="1" x14ac:dyDescent="0.35">
      <c r="J5257" s="56" t="str">
        <f t="shared" ref="J5257:J5320" si="246">IF(A5257="","",A$5-A5257)</f>
        <v/>
      </c>
      <c r="K5257" s="74" t="str">
        <f t="shared" ref="K5257:K5320" si="247">IF(J5257="","",IF(J5257&lt;4,"0-3 Days",IF(J5257&lt;31,"4-30 Days",IF(J5257&lt;61,"31-60 Days",IF(J5257&lt;=90,"61-90 Days",IF(J5257&gt;90,"Above 90 Days","0"))))))</f>
        <v/>
      </c>
      <c r="L5257" s="58" t="str">
        <f t="shared" ref="L5257:L5320" si="248">IF(C5257="","",IF(C5257&gt;0,IF(J5257&lt;30,"Normal",IF(J5257&lt;60,"Especially Mentioned",IF(J5257&lt;90,"Substandard",IF(J5257&lt;=180,"Doubtful",IF(J5257&gt;180,"Loss","0"))))),"Not Applicable"))</f>
        <v/>
      </c>
    </row>
    <row r="5258" spans="10:12" ht="16.5" customHeight="1" x14ac:dyDescent="0.35">
      <c r="J5258" s="56" t="str">
        <f t="shared" si="246"/>
        <v/>
      </c>
      <c r="K5258" s="74" t="str">
        <f t="shared" si="247"/>
        <v/>
      </c>
      <c r="L5258" s="58" t="str">
        <f t="shared" si="248"/>
        <v/>
      </c>
    </row>
    <row r="5259" spans="10:12" ht="16.5" customHeight="1" x14ac:dyDescent="0.35">
      <c r="J5259" s="56" t="str">
        <f t="shared" si="246"/>
        <v/>
      </c>
      <c r="K5259" s="74" t="str">
        <f t="shared" si="247"/>
        <v/>
      </c>
      <c r="L5259" s="58" t="str">
        <f t="shared" si="248"/>
        <v/>
      </c>
    </row>
    <row r="5260" spans="10:12" ht="16.5" customHeight="1" x14ac:dyDescent="0.35">
      <c r="J5260" s="56" t="str">
        <f t="shared" si="246"/>
        <v/>
      </c>
      <c r="K5260" s="74" t="str">
        <f t="shared" si="247"/>
        <v/>
      </c>
      <c r="L5260" s="58" t="str">
        <f t="shared" si="248"/>
        <v/>
      </c>
    </row>
    <row r="5261" spans="10:12" ht="16.5" customHeight="1" x14ac:dyDescent="0.35">
      <c r="J5261" s="56" t="str">
        <f t="shared" si="246"/>
        <v/>
      </c>
      <c r="K5261" s="74" t="str">
        <f t="shared" si="247"/>
        <v/>
      </c>
      <c r="L5261" s="58" t="str">
        <f t="shared" si="248"/>
        <v/>
      </c>
    </row>
    <row r="5262" spans="10:12" ht="16.5" customHeight="1" x14ac:dyDescent="0.35">
      <c r="J5262" s="56" t="str">
        <f t="shared" si="246"/>
        <v/>
      </c>
      <c r="K5262" s="74" t="str">
        <f t="shared" si="247"/>
        <v/>
      </c>
      <c r="L5262" s="58" t="str">
        <f t="shared" si="248"/>
        <v/>
      </c>
    </row>
    <row r="5263" spans="10:12" ht="16.5" customHeight="1" x14ac:dyDescent="0.35">
      <c r="J5263" s="56" t="str">
        <f t="shared" si="246"/>
        <v/>
      </c>
      <c r="K5263" s="74" t="str">
        <f t="shared" si="247"/>
        <v/>
      </c>
      <c r="L5263" s="58" t="str">
        <f t="shared" si="248"/>
        <v/>
      </c>
    </row>
    <row r="5264" spans="10:12" ht="16.5" customHeight="1" x14ac:dyDescent="0.35">
      <c r="J5264" s="56" t="str">
        <f t="shared" si="246"/>
        <v/>
      </c>
      <c r="K5264" s="74" t="str">
        <f t="shared" si="247"/>
        <v/>
      </c>
      <c r="L5264" s="58" t="str">
        <f t="shared" si="248"/>
        <v/>
      </c>
    </row>
    <row r="5265" spans="10:12" ht="16.5" customHeight="1" x14ac:dyDescent="0.35">
      <c r="J5265" s="56" t="str">
        <f t="shared" si="246"/>
        <v/>
      </c>
      <c r="K5265" s="74" t="str">
        <f t="shared" si="247"/>
        <v/>
      </c>
      <c r="L5265" s="58" t="str">
        <f t="shared" si="248"/>
        <v/>
      </c>
    </row>
    <row r="5266" spans="10:12" ht="16.5" customHeight="1" x14ac:dyDescent="0.35">
      <c r="J5266" s="56" t="str">
        <f t="shared" si="246"/>
        <v/>
      </c>
      <c r="K5266" s="74" t="str">
        <f t="shared" si="247"/>
        <v/>
      </c>
      <c r="L5266" s="58" t="str">
        <f t="shared" si="248"/>
        <v/>
      </c>
    </row>
    <row r="5267" spans="10:12" ht="16.5" customHeight="1" x14ac:dyDescent="0.35">
      <c r="J5267" s="56" t="str">
        <f t="shared" si="246"/>
        <v/>
      </c>
      <c r="K5267" s="74" t="str">
        <f t="shared" si="247"/>
        <v/>
      </c>
      <c r="L5267" s="58" t="str">
        <f t="shared" si="248"/>
        <v/>
      </c>
    </row>
    <row r="5268" spans="10:12" ht="16.5" customHeight="1" x14ac:dyDescent="0.35">
      <c r="J5268" s="56" t="str">
        <f t="shared" si="246"/>
        <v/>
      </c>
      <c r="K5268" s="74" t="str">
        <f t="shared" si="247"/>
        <v/>
      </c>
      <c r="L5268" s="58" t="str">
        <f t="shared" si="248"/>
        <v/>
      </c>
    </row>
    <row r="5269" spans="10:12" ht="16.5" customHeight="1" x14ac:dyDescent="0.35">
      <c r="J5269" s="56" t="str">
        <f t="shared" si="246"/>
        <v/>
      </c>
      <c r="K5269" s="74" t="str">
        <f t="shared" si="247"/>
        <v/>
      </c>
      <c r="L5269" s="58" t="str">
        <f t="shared" si="248"/>
        <v/>
      </c>
    </row>
    <row r="5270" spans="10:12" ht="16.5" customHeight="1" x14ac:dyDescent="0.35">
      <c r="J5270" s="56" t="str">
        <f t="shared" si="246"/>
        <v/>
      </c>
      <c r="K5270" s="74" t="str">
        <f t="shared" si="247"/>
        <v/>
      </c>
      <c r="L5270" s="58" t="str">
        <f t="shared" si="248"/>
        <v/>
      </c>
    </row>
    <row r="5271" spans="10:12" ht="16.5" customHeight="1" x14ac:dyDescent="0.35">
      <c r="J5271" s="56" t="str">
        <f t="shared" si="246"/>
        <v/>
      </c>
      <c r="K5271" s="74" t="str">
        <f t="shared" si="247"/>
        <v/>
      </c>
      <c r="L5271" s="58" t="str">
        <f t="shared" si="248"/>
        <v/>
      </c>
    </row>
    <row r="5272" spans="10:12" ht="16.5" customHeight="1" x14ac:dyDescent="0.35">
      <c r="J5272" s="56" t="str">
        <f t="shared" si="246"/>
        <v/>
      </c>
      <c r="K5272" s="74" t="str">
        <f t="shared" si="247"/>
        <v/>
      </c>
      <c r="L5272" s="58" t="str">
        <f t="shared" si="248"/>
        <v/>
      </c>
    </row>
    <row r="5273" spans="10:12" ht="16.5" customHeight="1" x14ac:dyDescent="0.35">
      <c r="J5273" s="56" t="str">
        <f t="shared" si="246"/>
        <v/>
      </c>
      <c r="K5273" s="74" t="str">
        <f t="shared" si="247"/>
        <v/>
      </c>
      <c r="L5273" s="58" t="str">
        <f t="shared" si="248"/>
        <v/>
      </c>
    </row>
    <row r="5274" spans="10:12" ht="16.5" customHeight="1" x14ac:dyDescent="0.35">
      <c r="J5274" s="56" t="str">
        <f t="shared" si="246"/>
        <v/>
      </c>
      <c r="K5274" s="74" t="str">
        <f t="shared" si="247"/>
        <v/>
      </c>
      <c r="L5274" s="58" t="str">
        <f t="shared" si="248"/>
        <v/>
      </c>
    </row>
    <row r="5275" spans="10:12" ht="16.5" customHeight="1" x14ac:dyDescent="0.35">
      <c r="J5275" s="56" t="str">
        <f t="shared" si="246"/>
        <v/>
      </c>
      <c r="K5275" s="74" t="str">
        <f t="shared" si="247"/>
        <v/>
      </c>
      <c r="L5275" s="58" t="str">
        <f t="shared" si="248"/>
        <v/>
      </c>
    </row>
    <row r="5276" spans="10:12" ht="16.5" customHeight="1" x14ac:dyDescent="0.35">
      <c r="J5276" s="56" t="str">
        <f t="shared" si="246"/>
        <v/>
      </c>
      <c r="K5276" s="74" t="str">
        <f t="shared" si="247"/>
        <v/>
      </c>
      <c r="L5276" s="58" t="str">
        <f t="shared" si="248"/>
        <v/>
      </c>
    </row>
    <row r="5277" spans="10:12" ht="16.5" customHeight="1" x14ac:dyDescent="0.35">
      <c r="J5277" s="56" t="str">
        <f t="shared" si="246"/>
        <v/>
      </c>
      <c r="K5277" s="74" t="str">
        <f t="shared" si="247"/>
        <v/>
      </c>
      <c r="L5277" s="58" t="str">
        <f t="shared" si="248"/>
        <v/>
      </c>
    </row>
    <row r="5278" spans="10:12" ht="16.5" customHeight="1" x14ac:dyDescent="0.35">
      <c r="J5278" s="56" t="str">
        <f t="shared" si="246"/>
        <v/>
      </c>
      <c r="K5278" s="74" t="str">
        <f t="shared" si="247"/>
        <v/>
      </c>
      <c r="L5278" s="58" t="str">
        <f t="shared" si="248"/>
        <v/>
      </c>
    </row>
    <row r="5279" spans="10:12" ht="16.5" customHeight="1" x14ac:dyDescent="0.35">
      <c r="J5279" s="56" t="str">
        <f t="shared" si="246"/>
        <v/>
      </c>
      <c r="K5279" s="74" t="str">
        <f t="shared" si="247"/>
        <v/>
      </c>
      <c r="L5279" s="58" t="str">
        <f t="shared" si="248"/>
        <v/>
      </c>
    </row>
    <row r="5280" spans="10:12" ht="16.5" customHeight="1" x14ac:dyDescent="0.35">
      <c r="J5280" s="56" t="str">
        <f t="shared" si="246"/>
        <v/>
      </c>
      <c r="K5280" s="74" t="str">
        <f t="shared" si="247"/>
        <v/>
      </c>
      <c r="L5280" s="58" t="str">
        <f t="shared" si="248"/>
        <v/>
      </c>
    </row>
    <row r="5281" spans="10:12" ht="16.5" customHeight="1" x14ac:dyDescent="0.35">
      <c r="J5281" s="56" t="str">
        <f t="shared" si="246"/>
        <v/>
      </c>
      <c r="K5281" s="74" t="str">
        <f t="shared" si="247"/>
        <v/>
      </c>
      <c r="L5281" s="58" t="str">
        <f t="shared" si="248"/>
        <v/>
      </c>
    </row>
    <row r="5282" spans="10:12" ht="16.5" customHeight="1" x14ac:dyDescent="0.35">
      <c r="J5282" s="56" t="str">
        <f t="shared" si="246"/>
        <v/>
      </c>
      <c r="K5282" s="74" t="str">
        <f t="shared" si="247"/>
        <v/>
      </c>
      <c r="L5282" s="58" t="str">
        <f t="shared" si="248"/>
        <v/>
      </c>
    </row>
    <row r="5283" spans="10:12" ht="16.5" customHeight="1" x14ac:dyDescent="0.35">
      <c r="J5283" s="56" t="str">
        <f t="shared" si="246"/>
        <v/>
      </c>
      <c r="K5283" s="74" t="str">
        <f t="shared" si="247"/>
        <v/>
      </c>
      <c r="L5283" s="58" t="str">
        <f t="shared" si="248"/>
        <v/>
      </c>
    </row>
    <row r="5284" spans="10:12" ht="16.5" customHeight="1" x14ac:dyDescent="0.35">
      <c r="J5284" s="56" t="str">
        <f t="shared" si="246"/>
        <v/>
      </c>
      <c r="K5284" s="74" t="str">
        <f t="shared" si="247"/>
        <v/>
      </c>
      <c r="L5284" s="58" t="str">
        <f t="shared" si="248"/>
        <v/>
      </c>
    </row>
    <row r="5285" spans="10:12" ht="16.5" customHeight="1" x14ac:dyDescent="0.35">
      <c r="J5285" s="56" t="str">
        <f t="shared" si="246"/>
        <v/>
      </c>
      <c r="K5285" s="74" t="str">
        <f t="shared" si="247"/>
        <v/>
      </c>
      <c r="L5285" s="58" t="str">
        <f t="shared" si="248"/>
        <v/>
      </c>
    </row>
    <row r="5286" spans="10:12" ht="16.5" customHeight="1" x14ac:dyDescent="0.35">
      <c r="J5286" s="56" t="str">
        <f t="shared" si="246"/>
        <v/>
      </c>
      <c r="K5286" s="74" t="str">
        <f t="shared" si="247"/>
        <v/>
      </c>
      <c r="L5286" s="58" t="str">
        <f t="shared" si="248"/>
        <v/>
      </c>
    </row>
    <row r="5287" spans="10:12" ht="16.5" customHeight="1" x14ac:dyDescent="0.35">
      <c r="J5287" s="56" t="str">
        <f t="shared" si="246"/>
        <v/>
      </c>
      <c r="K5287" s="74" t="str">
        <f t="shared" si="247"/>
        <v/>
      </c>
      <c r="L5287" s="58" t="str">
        <f t="shared" si="248"/>
        <v/>
      </c>
    </row>
    <row r="5288" spans="10:12" ht="16.5" customHeight="1" x14ac:dyDescent="0.35">
      <c r="J5288" s="56" t="str">
        <f t="shared" si="246"/>
        <v/>
      </c>
      <c r="K5288" s="74" t="str">
        <f t="shared" si="247"/>
        <v/>
      </c>
      <c r="L5288" s="58" t="str">
        <f t="shared" si="248"/>
        <v/>
      </c>
    </row>
    <row r="5289" spans="10:12" ht="16.5" customHeight="1" x14ac:dyDescent="0.35">
      <c r="J5289" s="56" t="str">
        <f t="shared" si="246"/>
        <v/>
      </c>
      <c r="K5289" s="74" t="str">
        <f t="shared" si="247"/>
        <v/>
      </c>
      <c r="L5289" s="58" t="str">
        <f t="shared" si="248"/>
        <v/>
      </c>
    </row>
    <row r="5290" spans="10:12" ht="16.5" customHeight="1" x14ac:dyDescent="0.35">
      <c r="J5290" s="56" t="str">
        <f t="shared" si="246"/>
        <v/>
      </c>
      <c r="K5290" s="74" t="str">
        <f t="shared" si="247"/>
        <v/>
      </c>
      <c r="L5290" s="58" t="str">
        <f t="shared" si="248"/>
        <v/>
      </c>
    </row>
    <row r="5291" spans="10:12" ht="16.5" customHeight="1" x14ac:dyDescent="0.35">
      <c r="J5291" s="56" t="str">
        <f t="shared" si="246"/>
        <v/>
      </c>
      <c r="K5291" s="74" t="str">
        <f t="shared" si="247"/>
        <v/>
      </c>
      <c r="L5291" s="58" t="str">
        <f t="shared" si="248"/>
        <v/>
      </c>
    </row>
    <row r="5292" spans="10:12" ht="16.5" customHeight="1" x14ac:dyDescent="0.35">
      <c r="J5292" s="56" t="str">
        <f t="shared" si="246"/>
        <v/>
      </c>
      <c r="K5292" s="74" t="str">
        <f t="shared" si="247"/>
        <v/>
      </c>
      <c r="L5292" s="58" t="str">
        <f t="shared" si="248"/>
        <v/>
      </c>
    </row>
    <row r="5293" spans="10:12" ht="16.5" customHeight="1" x14ac:dyDescent="0.35">
      <c r="J5293" s="56" t="str">
        <f t="shared" si="246"/>
        <v/>
      </c>
      <c r="K5293" s="74" t="str">
        <f t="shared" si="247"/>
        <v/>
      </c>
      <c r="L5293" s="58" t="str">
        <f t="shared" si="248"/>
        <v/>
      </c>
    </row>
    <row r="5294" spans="10:12" ht="16.5" customHeight="1" x14ac:dyDescent="0.35">
      <c r="J5294" s="56" t="str">
        <f t="shared" si="246"/>
        <v/>
      </c>
      <c r="K5294" s="74" t="str">
        <f t="shared" si="247"/>
        <v/>
      </c>
      <c r="L5294" s="58" t="str">
        <f t="shared" si="248"/>
        <v/>
      </c>
    </row>
    <row r="5295" spans="10:12" ht="16.5" customHeight="1" x14ac:dyDescent="0.35">
      <c r="J5295" s="56" t="str">
        <f t="shared" si="246"/>
        <v/>
      </c>
      <c r="K5295" s="74" t="str">
        <f t="shared" si="247"/>
        <v/>
      </c>
      <c r="L5295" s="58" t="str">
        <f t="shared" si="248"/>
        <v/>
      </c>
    </row>
    <row r="5296" spans="10:12" ht="16.5" customHeight="1" x14ac:dyDescent="0.35">
      <c r="J5296" s="56" t="str">
        <f t="shared" si="246"/>
        <v/>
      </c>
      <c r="K5296" s="74" t="str">
        <f t="shared" si="247"/>
        <v/>
      </c>
      <c r="L5296" s="58" t="str">
        <f t="shared" si="248"/>
        <v/>
      </c>
    </row>
    <row r="5297" spans="10:12" ht="16.5" customHeight="1" x14ac:dyDescent="0.35">
      <c r="J5297" s="56" t="str">
        <f t="shared" si="246"/>
        <v/>
      </c>
      <c r="K5297" s="74" t="str">
        <f t="shared" si="247"/>
        <v/>
      </c>
      <c r="L5297" s="58" t="str">
        <f t="shared" si="248"/>
        <v/>
      </c>
    </row>
    <row r="5298" spans="10:12" ht="16.5" customHeight="1" x14ac:dyDescent="0.35">
      <c r="J5298" s="56" t="str">
        <f t="shared" si="246"/>
        <v/>
      </c>
      <c r="K5298" s="74" t="str">
        <f t="shared" si="247"/>
        <v/>
      </c>
      <c r="L5298" s="58" t="str">
        <f t="shared" si="248"/>
        <v/>
      </c>
    </row>
    <row r="5299" spans="10:12" ht="16.5" customHeight="1" x14ac:dyDescent="0.35">
      <c r="J5299" s="56" t="str">
        <f t="shared" si="246"/>
        <v/>
      </c>
      <c r="K5299" s="74" t="str">
        <f t="shared" si="247"/>
        <v/>
      </c>
      <c r="L5299" s="58" t="str">
        <f t="shared" si="248"/>
        <v/>
      </c>
    </row>
    <row r="5300" spans="10:12" ht="16.5" customHeight="1" x14ac:dyDescent="0.35">
      <c r="J5300" s="56" t="str">
        <f t="shared" si="246"/>
        <v/>
      </c>
      <c r="K5300" s="74" t="str">
        <f t="shared" si="247"/>
        <v/>
      </c>
      <c r="L5300" s="58" t="str">
        <f t="shared" si="248"/>
        <v/>
      </c>
    </row>
    <row r="5301" spans="10:12" ht="16.5" customHeight="1" x14ac:dyDescent="0.35">
      <c r="J5301" s="56" t="str">
        <f t="shared" si="246"/>
        <v/>
      </c>
      <c r="K5301" s="74" t="str">
        <f t="shared" si="247"/>
        <v/>
      </c>
      <c r="L5301" s="58" t="str">
        <f t="shared" si="248"/>
        <v/>
      </c>
    </row>
    <row r="5302" spans="10:12" ht="16.5" customHeight="1" x14ac:dyDescent="0.35">
      <c r="J5302" s="56" t="str">
        <f t="shared" si="246"/>
        <v/>
      </c>
      <c r="K5302" s="74" t="str">
        <f t="shared" si="247"/>
        <v/>
      </c>
      <c r="L5302" s="58" t="str">
        <f t="shared" si="248"/>
        <v/>
      </c>
    </row>
    <row r="5303" spans="10:12" ht="16.5" customHeight="1" x14ac:dyDescent="0.35">
      <c r="J5303" s="56" t="str">
        <f t="shared" si="246"/>
        <v/>
      </c>
      <c r="K5303" s="74" t="str">
        <f t="shared" si="247"/>
        <v/>
      </c>
      <c r="L5303" s="58" t="str">
        <f t="shared" si="248"/>
        <v/>
      </c>
    </row>
    <row r="5304" spans="10:12" ht="16.5" customHeight="1" x14ac:dyDescent="0.35">
      <c r="J5304" s="56" t="str">
        <f t="shared" si="246"/>
        <v/>
      </c>
      <c r="K5304" s="74" t="str">
        <f t="shared" si="247"/>
        <v/>
      </c>
      <c r="L5304" s="58" t="str">
        <f t="shared" si="248"/>
        <v/>
      </c>
    </row>
    <row r="5305" spans="10:12" ht="16.5" customHeight="1" x14ac:dyDescent="0.35">
      <c r="J5305" s="56" t="str">
        <f t="shared" si="246"/>
        <v/>
      </c>
      <c r="K5305" s="74" t="str">
        <f t="shared" si="247"/>
        <v/>
      </c>
      <c r="L5305" s="58" t="str">
        <f t="shared" si="248"/>
        <v/>
      </c>
    </row>
    <row r="5306" spans="10:12" ht="16.5" customHeight="1" x14ac:dyDescent="0.35">
      <c r="J5306" s="56" t="str">
        <f t="shared" si="246"/>
        <v/>
      </c>
      <c r="K5306" s="74" t="str">
        <f t="shared" si="247"/>
        <v/>
      </c>
      <c r="L5306" s="58" t="str">
        <f t="shared" si="248"/>
        <v/>
      </c>
    </row>
    <row r="5307" spans="10:12" ht="16.5" customHeight="1" x14ac:dyDescent="0.35">
      <c r="J5307" s="56" t="str">
        <f t="shared" si="246"/>
        <v/>
      </c>
      <c r="K5307" s="74" t="str">
        <f t="shared" si="247"/>
        <v/>
      </c>
      <c r="L5307" s="58" t="str">
        <f t="shared" si="248"/>
        <v/>
      </c>
    </row>
    <row r="5308" spans="10:12" ht="16.5" customHeight="1" x14ac:dyDescent="0.35">
      <c r="J5308" s="56" t="str">
        <f t="shared" si="246"/>
        <v/>
      </c>
      <c r="K5308" s="74" t="str">
        <f t="shared" si="247"/>
        <v/>
      </c>
      <c r="L5308" s="58" t="str">
        <f t="shared" si="248"/>
        <v/>
      </c>
    </row>
    <row r="5309" spans="10:12" ht="16.5" customHeight="1" x14ac:dyDescent="0.35">
      <c r="J5309" s="56" t="str">
        <f t="shared" si="246"/>
        <v/>
      </c>
      <c r="K5309" s="74" t="str">
        <f t="shared" si="247"/>
        <v/>
      </c>
      <c r="L5309" s="58" t="str">
        <f t="shared" si="248"/>
        <v/>
      </c>
    </row>
    <row r="5310" spans="10:12" ht="16.5" customHeight="1" x14ac:dyDescent="0.35">
      <c r="J5310" s="56" t="str">
        <f t="shared" si="246"/>
        <v/>
      </c>
      <c r="K5310" s="74" t="str">
        <f t="shared" si="247"/>
        <v/>
      </c>
      <c r="L5310" s="58" t="str">
        <f t="shared" si="248"/>
        <v/>
      </c>
    </row>
    <row r="5311" spans="10:12" ht="16.5" customHeight="1" x14ac:dyDescent="0.35">
      <c r="J5311" s="56" t="str">
        <f t="shared" si="246"/>
        <v/>
      </c>
      <c r="K5311" s="74" t="str">
        <f t="shared" si="247"/>
        <v/>
      </c>
      <c r="L5311" s="58" t="str">
        <f t="shared" si="248"/>
        <v/>
      </c>
    </row>
    <row r="5312" spans="10:12" ht="16.5" customHeight="1" x14ac:dyDescent="0.35">
      <c r="J5312" s="56" t="str">
        <f t="shared" si="246"/>
        <v/>
      </c>
      <c r="K5312" s="74" t="str">
        <f t="shared" si="247"/>
        <v/>
      </c>
      <c r="L5312" s="58" t="str">
        <f t="shared" si="248"/>
        <v/>
      </c>
    </row>
    <row r="5313" spans="10:12" ht="16.5" customHeight="1" x14ac:dyDescent="0.35">
      <c r="J5313" s="56" t="str">
        <f t="shared" si="246"/>
        <v/>
      </c>
      <c r="K5313" s="74" t="str">
        <f t="shared" si="247"/>
        <v/>
      </c>
      <c r="L5313" s="58" t="str">
        <f t="shared" si="248"/>
        <v/>
      </c>
    </row>
    <row r="5314" spans="10:12" ht="16.5" customHeight="1" x14ac:dyDescent="0.35">
      <c r="J5314" s="56" t="str">
        <f t="shared" si="246"/>
        <v/>
      </c>
      <c r="K5314" s="74" t="str">
        <f t="shared" si="247"/>
        <v/>
      </c>
      <c r="L5314" s="58" t="str">
        <f t="shared" si="248"/>
        <v/>
      </c>
    </row>
    <row r="5315" spans="10:12" ht="16.5" customHeight="1" x14ac:dyDescent="0.35">
      <c r="J5315" s="56" t="str">
        <f t="shared" si="246"/>
        <v/>
      </c>
      <c r="K5315" s="74" t="str">
        <f t="shared" si="247"/>
        <v/>
      </c>
      <c r="L5315" s="58" t="str">
        <f t="shared" si="248"/>
        <v/>
      </c>
    </row>
    <row r="5316" spans="10:12" ht="16.5" customHeight="1" x14ac:dyDescent="0.35">
      <c r="J5316" s="56" t="str">
        <f t="shared" si="246"/>
        <v/>
      </c>
      <c r="K5316" s="74" t="str">
        <f t="shared" si="247"/>
        <v/>
      </c>
      <c r="L5316" s="58" t="str">
        <f t="shared" si="248"/>
        <v/>
      </c>
    </row>
    <row r="5317" spans="10:12" ht="16.5" customHeight="1" x14ac:dyDescent="0.35">
      <c r="J5317" s="56" t="str">
        <f t="shared" si="246"/>
        <v/>
      </c>
      <c r="K5317" s="74" t="str">
        <f t="shared" si="247"/>
        <v/>
      </c>
      <c r="L5317" s="58" t="str">
        <f t="shared" si="248"/>
        <v/>
      </c>
    </row>
    <row r="5318" spans="10:12" ht="16.5" customHeight="1" x14ac:dyDescent="0.35">
      <c r="J5318" s="56" t="str">
        <f t="shared" si="246"/>
        <v/>
      </c>
      <c r="K5318" s="74" t="str">
        <f t="shared" si="247"/>
        <v/>
      </c>
      <c r="L5318" s="58" t="str">
        <f t="shared" si="248"/>
        <v/>
      </c>
    </row>
    <row r="5319" spans="10:12" ht="16.5" customHeight="1" x14ac:dyDescent="0.35">
      <c r="J5319" s="56" t="str">
        <f t="shared" si="246"/>
        <v/>
      </c>
      <c r="K5319" s="74" t="str">
        <f t="shared" si="247"/>
        <v/>
      </c>
      <c r="L5319" s="58" t="str">
        <f t="shared" si="248"/>
        <v/>
      </c>
    </row>
    <row r="5320" spans="10:12" ht="16.5" customHeight="1" x14ac:dyDescent="0.35">
      <c r="J5320" s="56" t="str">
        <f t="shared" si="246"/>
        <v/>
      </c>
      <c r="K5320" s="74" t="str">
        <f t="shared" si="247"/>
        <v/>
      </c>
      <c r="L5320" s="58" t="str">
        <f t="shared" si="248"/>
        <v/>
      </c>
    </row>
    <row r="5321" spans="10:12" ht="16.5" customHeight="1" x14ac:dyDescent="0.35">
      <c r="J5321" s="56" t="str">
        <f t="shared" ref="J5321:J5384" si="249">IF(A5321="","",A$5-A5321)</f>
        <v/>
      </c>
      <c r="K5321" s="74" t="str">
        <f t="shared" ref="K5321:K5384" si="250">IF(J5321="","",IF(J5321&lt;4,"0-3 Days",IF(J5321&lt;31,"4-30 Days",IF(J5321&lt;61,"31-60 Days",IF(J5321&lt;=90,"61-90 Days",IF(J5321&gt;90,"Above 90 Days","0"))))))</f>
        <v/>
      </c>
      <c r="L5321" s="58" t="str">
        <f t="shared" ref="L5321:L5384" si="251">IF(C5321="","",IF(C5321&gt;0,IF(J5321&lt;30,"Normal",IF(J5321&lt;60,"Especially Mentioned",IF(J5321&lt;90,"Substandard",IF(J5321&lt;=180,"Doubtful",IF(J5321&gt;180,"Loss","0"))))),"Not Applicable"))</f>
        <v/>
      </c>
    </row>
    <row r="5322" spans="10:12" ht="16.5" customHeight="1" x14ac:dyDescent="0.35">
      <c r="J5322" s="56" t="str">
        <f t="shared" si="249"/>
        <v/>
      </c>
      <c r="K5322" s="74" t="str">
        <f t="shared" si="250"/>
        <v/>
      </c>
      <c r="L5322" s="58" t="str">
        <f t="shared" si="251"/>
        <v/>
      </c>
    </row>
    <row r="5323" spans="10:12" ht="16.5" customHeight="1" x14ac:dyDescent="0.35">
      <c r="J5323" s="56" t="str">
        <f t="shared" si="249"/>
        <v/>
      </c>
      <c r="K5323" s="74" t="str">
        <f t="shared" si="250"/>
        <v/>
      </c>
      <c r="L5323" s="58" t="str">
        <f t="shared" si="251"/>
        <v/>
      </c>
    </row>
    <row r="5324" spans="10:12" ht="16.5" customHeight="1" x14ac:dyDescent="0.35">
      <c r="J5324" s="56" t="str">
        <f t="shared" si="249"/>
        <v/>
      </c>
      <c r="K5324" s="74" t="str">
        <f t="shared" si="250"/>
        <v/>
      </c>
      <c r="L5324" s="58" t="str">
        <f t="shared" si="251"/>
        <v/>
      </c>
    </row>
    <row r="5325" spans="10:12" ht="16.5" customHeight="1" x14ac:dyDescent="0.35">
      <c r="J5325" s="56" t="str">
        <f t="shared" si="249"/>
        <v/>
      </c>
      <c r="K5325" s="74" t="str">
        <f t="shared" si="250"/>
        <v/>
      </c>
      <c r="L5325" s="58" t="str">
        <f t="shared" si="251"/>
        <v/>
      </c>
    </row>
    <row r="5326" spans="10:12" ht="16.5" customHeight="1" x14ac:dyDescent="0.35">
      <c r="J5326" s="56" t="str">
        <f t="shared" si="249"/>
        <v/>
      </c>
      <c r="K5326" s="74" t="str">
        <f t="shared" si="250"/>
        <v/>
      </c>
      <c r="L5326" s="58" t="str">
        <f t="shared" si="251"/>
        <v/>
      </c>
    </row>
    <row r="5327" spans="10:12" ht="16.5" customHeight="1" x14ac:dyDescent="0.35">
      <c r="J5327" s="56" t="str">
        <f t="shared" si="249"/>
        <v/>
      </c>
      <c r="K5327" s="74" t="str">
        <f t="shared" si="250"/>
        <v/>
      </c>
      <c r="L5327" s="58" t="str">
        <f t="shared" si="251"/>
        <v/>
      </c>
    </row>
    <row r="5328" spans="10:12" ht="16.5" customHeight="1" x14ac:dyDescent="0.35">
      <c r="J5328" s="56" t="str">
        <f t="shared" si="249"/>
        <v/>
      </c>
      <c r="K5328" s="74" t="str">
        <f t="shared" si="250"/>
        <v/>
      </c>
      <c r="L5328" s="58" t="str">
        <f t="shared" si="251"/>
        <v/>
      </c>
    </row>
    <row r="5329" spans="10:12" ht="16.5" customHeight="1" x14ac:dyDescent="0.35">
      <c r="J5329" s="56" t="str">
        <f t="shared" si="249"/>
        <v/>
      </c>
      <c r="K5329" s="74" t="str">
        <f t="shared" si="250"/>
        <v/>
      </c>
      <c r="L5329" s="58" t="str">
        <f t="shared" si="251"/>
        <v/>
      </c>
    </row>
    <row r="5330" spans="10:12" ht="16.5" customHeight="1" x14ac:dyDescent="0.35">
      <c r="J5330" s="56" t="str">
        <f t="shared" si="249"/>
        <v/>
      </c>
      <c r="K5330" s="74" t="str">
        <f t="shared" si="250"/>
        <v/>
      </c>
      <c r="L5330" s="58" t="str">
        <f t="shared" si="251"/>
        <v/>
      </c>
    </row>
    <row r="5331" spans="10:12" ht="16.5" customHeight="1" x14ac:dyDescent="0.35">
      <c r="J5331" s="56" t="str">
        <f t="shared" si="249"/>
        <v/>
      </c>
      <c r="K5331" s="74" t="str">
        <f t="shared" si="250"/>
        <v/>
      </c>
      <c r="L5331" s="58" t="str">
        <f t="shared" si="251"/>
        <v/>
      </c>
    </row>
    <row r="5332" spans="10:12" ht="16.5" customHeight="1" x14ac:dyDescent="0.35">
      <c r="J5332" s="56" t="str">
        <f t="shared" si="249"/>
        <v/>
      </c>
      <c r="K5332" s="74" t="str">
        <f t="shared" si="250"/>
        <v/>
      </c>
      <c r="L5332" s="58" t="str">
        <f t="shared" si="251"/>
        <v/>
      </c>
    </row>
    <row r="5333" spans="10:12" ht="16.5" customHeight="1" x14ac:dyDescent="0.35">
      <c r="J5333" s="56" t="str">
        <f t="shared" si="249"/>
        <v/>
      </c>
      <c r="K5333" s="74" t="str">
        <f t="shared" si="250"/>
        <v/>
      </c>
      <c r="L5333" s="58" t="str">
        <f t="shared" si="251"/>
        <v/>
      </c>
    </row>
    <row r="5334" spans="10:12" ht="16.5" customHeight="1" x14ac:dyDescent="0.35">
      <c r="J5334" s="56" t="str">
        <f t="shared" si="249"/>
        <v/>
      </c>
      <c r="K5334" s="74" t="str">
        <f t="shared" si="250"/>
        <v/>
      </c>
      <c r="L5334" s="58" t="str">
        <f t="shared" si="251"/>
        <v/>
      </c>
    </row>
    <row r="5335" spans="10:12" ht="16.5" customHeight="1" x14ac:dyDescent="0.35">
      <c r="J5335" s="56" t="str">
        <f t="shared" si="249"/>
        <v/>
      </c>
      <c r="K5335" s="74" t="str">
        <f t="shared" si="250"/>
        <v/>
      </c>
      <c r="L5335" s="58" t="str">
        <f t="shared" si="251"/>
        <v/>
      </c>
    </row>
    <row r="5336" spans="10:12" ht="16.5" customHeight="1" x14ac:dyDescent="0.35">
      <c r="J5336" s="56" t="str">
        <f t="shared" si="249"/>
        <v/>
      </c>
      <c r="K5336" s="74" t="str">
        <f t="shared" si="250"/>
        <v/>
      </c>
      <c r="L5336" s="58" t="str">
        <f t="shared" si="251"/>
        <v/>
      </c>
    </row>
    <row r="5337" spans="10:12" ht="16.5" customHeight="1" x14ac:dyDescent="0.35">
      <c r="J5337" s="56" t="str">
        <f t="shared" si="249"/>
        <v/>
      </c>
      <c r="K5337" s="74" t="str">
        <f t="shared" si="250"/>
        <v/>
      </c>
      <c r="L5337" s="58" t="str">
        <f t="shared" si="251"/>
        <v/>
      </c>
    </row>
    <row r="5338" spans="10:12" ht="16.5" customHeight="1" x14ac:dyDescent="0.35">
      <c r="J5338" s="56" t="str">
        <f t="shared" si="249"/>
        <v/>
      </c>
      <c r="K5338" s="74" t="str">
        <f t="shared" si="250"/>
        <v/>
      </c>
      <c r="L5338" s="58" t="str">
        <f t="shared" si="251"/>
        <v/>
      </c>
    </row>
    <row r="5339" spans="10:12" ht="16.5" customHeight="1" x14ac:dyDescent="0.35">
      <c r="J5339" s="56" t="str">
        <f t="shared" si="249"/>
        <v/>
      </c>
      <c r="K5339" s="74" t="str">
        <f t="shared" si="250"/>
        <v/>
      </c>
      <c r="L5339" s="58" t="str">
        <f t="shared" si="251"/>
        <v/>
      </c>
    </row>
    <row r="5340" spans="10:12" ht="16.5" customHeight="1" x14ac:dyDescent="0.35">
      <c r="J5340" s="56" t="str">
        <f t="shared" si="249"/>
        <v/>
      </c>
      <c r="K5340" s="74" t="str">
        <f t="shared" si="250"/>
        <v/>
      </c>
      <c r="L5340" s="58" t="str">
        <f t="shared" si="251"/>
        <v/>
      </c>
    </row>
    <row r="5341" spans="10:12" ht="16.5" customHeight="1" x14ac:dyDescent="0.35">
      <c r="J5341" s="56" t="str">
        <f t="shared" si="249"/>
        <v/>
      </c>
      <c r="K5341" s="74" t="str">
        <f t="shared" si="250"/>
        <v/>
      </c>
      <c r="L5341" s="58" t="str">
        <f t="shared" si="251"/>
        <v/>
      </c>
    </row>
    <row r="5342" spans="10:12" ht="16.5" customHeight="1" x14ac:dyDescent="0.35">
      <c r="J5342" s="56" t="str">
        <f t="shared" si="249"/>
        <v/>
      </c>
      <c r="K5342" s="74" t="str">
        <f t="shared" si="250"/>
        <v/>
      </c>
      <c r="L5342" s="58" t="str">
        <f t="shared" si="251"/>
        <v/>
      </c>
    </row>
    <row r="5343" spans="10:12" ht="16.5" customHeight="1" x14ac:dyDescent="0.35">
      <c r="J5343" s="56" t="str">
        <f t="shared" si="249"/>
        <v/>
      </c>
      <c r="K5343" s="74" t="str">
        <f t="shared" si="250"/>
        <v/>
      </c>
      <c r="L5343" s="58" t="str">
        <f t="shared" si="251"/>
        <v/>
      </c>
    </row>
    <row r="5344" spans="10:12" ht="16.5" customHeight="1" x14ac:dyDescent="0.35">
      <c r="J5344" s="56" t="str">
        <f t="shared" si="249"/>
        <v/>
      </c>
      <c r="K5344" s="74" t="str">
        <f t="shared" si="250"/>
        <v/>
      </c>
      <c r="L5344" s="58" t="str">
        <f t="shared" si="251"/>
        <v/>
      </c>
    </row>
    <row r="5345" spans="10:12" ht="16.5" customHeight="1" x14ac:dyDescent="0.35">
      <c r="J5345" s="56" t="str">
        <f t="shared" si="249"/>
        <v/>
      </c>
      <c r="K5345" s="74" t="str">
        <f t="shared" si="250"/>
        <v/>
      </c>
      <c r="L5345" s="58" t="str">
        <f t="shared" si="251"/>
        <v/>
      </c>
    </row>
    <row r="5346" spans="10:12" ht="16.5" customHeight="1" x14ac:dyDescent="0.35">
      <c r="J5346" s="56" t="str">
        <f t="shared" si="249"/>
        <v/>
      </c>
      <c r="K5346" s="74" t="str">
        <f t="shared" si="250"/>
        <v/>
      </c>
      <c r="L5346" s="58" t="str">
        <f t="shared" si="251"/>
        <v/>
      </c>
    </row>
    <row r="5347" spans="10:12" ht="16.5" customHeight="1" x14ac:dyDescent="0.35">
      <c r="J5347" s="56" t="str">
        <f t="shared" si="249"/>
        <v/>
      </c>
      <c r="K5347" s="74" t="str">
        <f t="shared" si="250"/>
        <v/>
      </c>
      <c r="L5347" s="58" t="str">
        <f t="shared" si="251"/>
        <v/>
      </c>
    </row>
    <row r="5348" spans="10:12" ht="16.5" customHeight="1" x14ac:dyDescent="0.35">
      <c r="J5348" s="56" t="str">
        <f t="shared" si="249"/>
        <v/>
      </c>
      <c r="K5348" s="74" t="str">
        <f t="shared" si="250"/>
        <v/>
      </c>
      <c r="L5348" s="58" t="str">
        <f t="shared" si="251"/>
        <v/>
      </c>
    </row>
    <row r="5349" spans="10:12" ht="16.5" customHeight="1" x14ac:dyDescent="0.35">
      <c r="J5349" s="56" t="str">
        <f t="shared" si="249"/>
        <v/>
      </c>
      <c r="K5349" s="74" t="str">
        <f t="shared" si="250"/>
        <v/>
      </c>
      <c r="L5349" s="58" t="str">
        <f t="shared" si="251"/>
        <v/>
      </c>
    </row>
    <row r="5350" spans="10:12" ht="16.5" customHeight="1" x14ac:dyDescent="0.35">
      <c r="J5350" s="56" t="str">
        <f t="shared" si="249"/>
        <v/>
      </c>
      <c r="K5350" s="74" t="str">
        <f t="shared" si="250"/>
        <v/>
      </c>
      <c r="L5350" s="58" t="str">
        <f t="shared" si="251"/>
        <v/>
      </c>
    </row>
    <row r="5351" spans="10:12" ht="16.5" customHeight="1" x14ac:dyDescent="0.35">
      <c r="J5351" s="56" t="str">
        <f t="shared" si="249"/>
        <v/>
      </c>
      <c r="K5351" s="74" t="str">
        <f t="shared" si="250"/>
        <v/>
      </c>
      <c r="L5351" s="58" t="str">
        <f t="shared" si="251"/>
        <v/>
      </c>
    </row>
    <row r="5352" spans="10:12" ht="16.5" customHeight="1" x14ac:dyDescent="0.35">
      <c r="J5352" s="56" t="str">
        <f t="shared" si="249"/>
        <v/>
      </c>
      <c r="K5352" s="74" t="str">
        <f t="shared" si="250"/>
        <v/>
      </c>
      <c r="L5352" s="58" t="str">
        <f t="shared" si="251"/>
        <v/>
      </c>
    </row>
    <row r="5353" spans="10:12" ht="16.5" customHeight="1" x14ac:dyDescent="0.35">
      <c r="J5353" s="56" t="str">
        <f t="shared" si="249"/>
        <v/>
      </c>
      <c r="K5353" s="74" t="str">
        <f t="shared" si="250"/>
        <v/>
      </c>
      <c r="L5353" s="58" t="str">
        <f t="shared" si="251"/>
        <v/>
      </c>
    </row>
    <row r="5354" spans="10:12" ht="16.5" customHeight="1" x14ac:dyDescent="0.35">
      <c r="J5354" s="56" t="str">
        <f t="shared" si="249"/>
        <v/>
      </c>
      <c r="K5354" s="74" t="str">
        <f t="shared" si="250"/>
        <v/>
      </c>
      <c r="L5354" s="58" t="str">
        <f t="shared" si="251"/>
        <v/>
      </c>
    </row>
    <row r="5355" spans="10:12" ht="16.5" customHeight="1" x14ac:dyDescent="0.35">
      <c r="J5355" s="56" t="str">
        <f t="shared" si="249"/>
        <v/>
      </c>
      <c r="K5355" s="74" t="str">
        <f t="shared" si="250"/>
        <v/>
      </c>
      <c r="L5355" s="58" t="str">
        <f t="shared" si="251"/>
        <v/>
      </c>
    </row>
    <row r="5356" spans="10:12" ht="16.5" customHeight="1" x14ac:dyDescent="0.35">
      <c r="J5356" s="56" t="str">
        <f t="shared" si="249"/>
        <v/>
      </c>
      <c r="K5356" s="74" t="str">
        <f t="shared" si="250"/>
        <v/>
      </c>
      <c r="L5356" s="58" t="str">
        <f t="shared" si="251"/>
        <v/>
      </c>
    </row>
    <row r="5357" spans="10:12" ht="16.5" customHeight="1" x14ac:dyDescent="0.35">
      <c r="J5357" s="56" t="str">
        <f t="shared" si="249"/>
        <v/>
      </c>
      <c r="K5357" s="74" t="str">
        <f t="shared" si="250"/>
        <v/>
      </c>
      <c r="L5357" s="58" t="str">
        <f t="shared" si="251"/>
        <v/>
      </c>
    </row>
    <row r="5358" spans="10:12" ht="16.5" customHeight="1" x14ac:dyDescent="0.35">
      <c r="J5358" s="56" t="str">
        <f t="shared" si="249"/>
        <v/>
      </c>
      <c r="K5358" s="74" t="str">
        <f t="shared" si="250"/>
        <v/>
      </c>
      <c r="L5358" s="58" t="str">
        <f t="shared" si="251"/>
        <v/>
      </c>
    </row>
    <row r="5359" spans="10:12" ht="16.5" customHeight="1" x14ac:dyDescent="0.35">
      <c r="J5359" s="56" t="str">
        <f t="shared" si="249"/>
        <v/>
      </c>
      <c r="K5359" s="74" t="str">
        <f t="shared" si="250"/>
        <v/>
      </c>
      <c r="L5359" s="58" t="str">
        <f t="shared" si="251"/>
        <v/>
      </c>
    </row>
    <row r="5360" spans="10:12" ht="16.5" customHeight="1" x14ac:dyDescent="0.35">
      <c r="J5360" s="56" t="str">
        <f t="shared" si="249"/>
        <v/>
      </c>
      <c r="K5360" s="74" t="str">
        <f t="shared" si="250"/>
        <v/>
      </c>
      <c r="L5360" s="58" t="str">
        <f t="shared" si="251"/>
        <v/>
      </c>
    </row>
    <row r="5361" spans="10:12" ht="16.5" customHeight="1" x14ac:dyDescent="0.35">
      <c r="J5361" s="56" t="str">
        <f t="shared" si="249"/>
        <v/>
      </c>
      <c r="K5361" s="74" t="str">
        <f t="shared" si="250"/>
        <v/>
      </c>
      <c r="L5361" s="58" t="str">
        <f t="shared" si="251"/>
        <v/>
      </c>
    </row>
    <row r="5362" spans="10:12" ht="16.5" customHeight="1" x14ac:dyDescent="0.35">
      <c r="J5362" s="56" t="str">
        <f t="shared" si="249"/>
        <v/>
      </c>
      <c r="K5362" s="74" t="str">
        <f t="shared" si="250"/>
        <v/>
      </c>
      <c r="L5362" s="58" t="str">
        <f t="shared" si="251"/>
        <v/>
      </c>
    </row>
    <row r="5363" spans="10:12" ht="16.5" customHeight="1" x14ac:dyDescent="0.35">
      <c r="J5363" s="56" t="str">
        <f t="shared" si="249"/>
        <v/>
      </c>
      <c r="K5363" s="74" t="str">
        <f t="shared" si="250"/>
        <v/>
      </c>
      <c r="L5363" s="58" t="str">
        <f t="shared" si="251"/>
        <v/>
      </c>
    </row>
    <row r="5364" spans="10:12" ht="16.5" customHeight="1" x14ac:dyDescent="0.35">
      <c r="J5364" s="56" t="str">
        <f t="shared" si="249"/>
        <v/>
      </c>
      <c r="K5364" s="74" t="str">
        <f t="shared" si="250"/>
        <v/>
      </c>
      <c r="L5364" s="58" t="str">
        <f t="shared" si="251"/>
        <v/>
      </c>
    </row>
    <row r="5365" spans="10:12" ht="16.5" customHeight="1" x14ac:dyDescent="0.35">
      <c r="J5365" s="56" t="str">
        <f t="shared" si="249"/>
        <v/>
      </c>
      <c r="K5365" s="74" t="str">
        <f t="shared" si="250"/>
        <v/>
      </c>
      <c r="L5365" s="58" t="str">
        <f t="shared" si="251"/>
        <v/>
      </c>
    </row>
    <row r="5366" spans="10:12" ht="16.5" customHeight="1" x14ac:dyDescent="0.35">
      <c r="J5366" s="56" t="str">
        <f t="shared" si="249"/>
        <v/>
      </c>
      <c r="K5366" s="74" t="str">
        <f t="shared" si="250"/>
        <v/>
      </c>
      <c r="L5366" s="58" t="str">
        <f t="shared" si="251"/>
        <v/>
      </c>
    </row>
    <row r="5367" spans="10:12" ht="16.5" customHeight="1" x14ac:dyDescent="0.35">
      <c r="J5367" s="56" t="str">
        <f t="shared" si="249"/>
        <v/>
      </c>
      <c r="K5367" s="74" t="str">
        <f t="shared" si="250"/>
        <v/>
      </c>
      <c r="L5367" s="58" t="str">
        <f t="shared" si="251"/>
        <v/>
      </c>
    </row>
    <row r="5368" spans="10:12" ht="16.5" customHeight="1" x14ac:dyDescent="0.35">
      <c r="J5368" s="56" t="str">
        <f t="shared" si="249"/>
        <v/>
      </c>
      <c r="K5368" s="74" t="str">
        <f t="shared" si="250"/>
        <v/>
      </c>
      <c r="L5368" s="58" t="str">
        <f t="shared" si="251"/>
        <v/>
      </c>
    </row>
    <row r="5369" spans="10:12" ht="16.5" customHeight="1" x14ac:dyDescent="0.35">
      <c r="J5369" s="56" t="str">
        <f t="shared" si="249"/>
        <v/>
      </c>
      <c r="K5369" s="74" t="str">
        <f t="shared" si="250"/>
        <v/>
      </c>
      <c r="L5369" s="58" t="str">
        <f t="shared" si="251"/>
        <v/>
      </c>
    </row>
    <row r="5370" spans="10:12" ht="16.5" customHeight="1" x14ac:dyDescent="0.35">
      <c r="J5370" s="56" t="str">
        <f t="shared" si="249"/>
        <v/>
      </c>
      <c r="K5370" s="74" t="str">
        <f t="shared" si="250"/>
        <v/>
      </c>
      <c r="L5370" s="58" t="str">
        <f t="shared" si="251"/>
        <v/>
      </c>
    </row>
    <row r="5371" spans="10:12" ht="16.5" customHeight="1" x14ac:dyDescent="0.35">
      <c r="J5371" s="56" t="str">
        <f t="shared" si="249"/>
        <v/>
      </c>
      <c r="K5371" s="74" t="str">
        <f t="shared" si="250"/>
        <v/>
      </c>
      <c r="L5371" s="58" t="str">
        <f t="shared" si="251"/>
        <v/>
      </c>
    </row>
    <row r="5372" spans="10:12" ht="16.5" customHeight="1" x14ac:dyDescent="0.35">
      <c r="J5372" s="56" t="str">
        <f t="shared" si="249"/>
        <v/>
      </c>
      <c r="K5372" s="74" t="str">
        <f t="shared" si="250"/>
        <v/>
      </c>
      <c r="L5372" s="58" t="str">
        <f t="shared" si="251"/>
        <v/>
      </c>
    </row>
    <row r="5373" spans="10:12" ht="16.5" customHeight="1" x14ac:dyDescent="0.35">
      <c r="J5373" s="56" t="str">
        <f t="shared" si="249"/>
        <v/>
      </c>
      <c r="K5373" s="74" t="str">
        <f t="shared" si="250"/>
        <v/>
      </c>
      <c r="L5373" s="58" t="str">
        <f t="shared" si="251"/>
        <v/>
      </c>
    </row>
    <row r="5374" spans="10:12" ht="16.5" customHeight="1" x14ac:dyDescent="0.35">
      <c r="J5374" s="56" t="str">
        <f t="shared" si="249"/>
        <v/>
      </c>
      <c r="K5374" s="74" t="str">
        <f t="shared" si="250"/>
        <v/>
      </c>
      <c r="L5374" s="58" t="str">
        <f t="shared" si="251"/>
        <v/>
      </c>
    </row>
    <row r="5375" spans="10:12" ht="16.5" customHeight="1" x14ac:dyDescent="0.35">
      <c r="J5375" s="56" t="str">
        <f t="shared" si="249"/>
        <v/>
      </c>
      <c r="K5375" s="74" t="str">
        <f t="shared" si="250"/>
        <v/>
      </c>
      <c r="L5375" s="58" t="str">
        <f t="shared" si="251"/>
        <v/>
      </c>
    </row>
    <row r="5376" spans="10:12" ht="16.5" customHeight="1" x14ac:dyDescent="0.35">
      <c r="J5376" s="56" t="str">
        <f t="shared" si="249"/>
        <v/>
      </c>
      <c r="K5376" s="74" t="str">
        <f t="shared" si="250"/>
        <v/>
      </c>
      <c r="L5376" s="58" t="str">
        <f t="shared" si="251"/>
        <v/>
      </c>
    </row>
    <row r="5377" spans="10:12" ht="16.5" customHeight="1" x14ac:dyDescent="0.35">
      <c r="J5377" s="56" t="str">
        <f t="shared" si="249"/>
        <v/>
      </c>
      <c r="K5377" s="74" t="str">
        <f t="shared" si="250"/>
        <v/>
      </c>
      <c r="L5377" s="58" t="str">
        <f t="shared" si="251"/>
        <v/>
      </c>
    </row>
    <row r="5378" spans="10:12" ht="16.5" customHeight="1" x14ac:dyDescent="0.35">
      <c r="J5378" s="56" t="str">
        <f t="shared" si="249"/>
        <v/>
      </c>
      <c r="K5378" s="74" t="str">
        <f t="shared" si="250"/>
        <v/>
      </c>
      <c r="L5378" s="58" t="str">
        <f t="shared" si="251"/>
        <v/>
      </c>
    </row>
    <row r="5379" spans="10:12" ht="16.5" customHeight="1" x14ac:dyDescent="0.35">
      <c r="J5379" s="56" t="str">
        <f t="shared" si="249"/>
        <v/>
      </c>
      <c r="K5379" s="74" t="str">
        <f t="shared" si="250"/>
        <v/>
      </c>
      <c r="L5379" s="58" t="str">
        <f t="shared" si="251"/>
        <v/>
      </c>
    </row>
    <row r="5380" spans="10:12" ht="16.5" customHeight="1" x14ac:dyDescent="0.35">
      <c r="J5380" s="56" t="str">
        <f t="shared" si="249"/>
        <v/>
      </c>
      <c r="K5380" s="74" t="str">
        <f t="shared" si="250"/>
        <v/>
      </c>
      <c r="L5380" s="58" t="str">
        <f t="shared" si="251"/>
        <v/>
      </c>
    </row>
    <row r="5381" spans="10:12" ht="16.5" customHeight="1" x14ac:dyDescent="0.35">
      <c r="J5381" s="56" t="str">
        <f t="shared" si="249"/>
        <v/>
      </c>
      <c r="K5381" s="74" t="str">
        <f t="shared" si="250"/>
        <v/>
      </c>
      <c r="L5381" s="58" t="str">
        <f t="shared" si="251"/>
        <v/>
      </c>
    </row>
    <row r="5382" spans="10:12" ht="16.5" customHeight="1" x14ac:dyDescent="0.35">
      <c r="J5382" s="56" t="str">
        <f t="shared" si="249"/>
        <v/>
      </c>
      <c r="K5382" s="74" t="str">
        <f t="shared" si="250"/>
        <v/>
      </c>
      <c r="L5382" s="58" t="str">
        <f t="shared" si="251"/>
        <v/>
      </c>
    </row>
    <row r="5383" spans="10:12" ht="16.5" customHeight="1" x14ac:dyDescent="0.35">
      <c r="J5383" s="56" t="str">
        <f t="shared" si="249"/>
        <v/>
      </c>
      <c r="K5383" s="74" t="str">
        <f t="shared" si="250"/>
        <v/>
      </c>
      <c r="L5383" s="58" t="str">
        <f t="shared" si="251"/>
        <v/>
      </c>
    </row>
    <row r="5384" spans="10:12" ht="16.5" customHeight="1" x14ac:dyDescent="0.35">
      <c r="J5384" s="56" t="str">
        <f t="shared" si="249"/>
        <v/>
      </c>
      <c r="K5384" s="74" t="str">
        <f t="shared" si="250"/>
        <v/>
      </c>
      <c r="L5384" s="58" t="str">
        <f t="shared" si="251"/>
        <v/>
      </c>
    </row>
    <row r="5385" spans="10:12" ht="16.5" customHeight="1" x14ac:dyDescent="0.35">
      <c r="J5385" s="56" t="str">
        <f t="shared" ref="J5385:J5448" si="252">IF(A5385="","",A$5-A5385)</f>
        <v/>
      </c>
      <c r="K5385" s="74" t="str">
        <f t="shared" ref="K5385:K5448" si="253">IF(J5385="","",IF(J5385&lt;4,"0-3 Days",IF(J5385&lt;31,"4-30 Days",IF(J5385&lt;61,"31-60 Days",IF(J5385&lt;=90,"61-90 Days",IF(J5385&gt;90,"Above 90 Days","0"))))))</f>
        <v/>
      </c>
      <c r="L5385" s="58" t="str">
        <f t="shared" ref="L5385:L5448" si="254">IF(C5385="","",IF(C5385&gt;0,IF(J5385&lt;30,"Normal",IF(J5385&lt;60,"Especially Mentioned",IF(J5385&lt;90,"Substandard",IF(J5385&lt;=180,"Doubtful",IF(J5385&gt;180,"Loss","0"))))),"Not Applicable"))</f>
        <v/>
      </c>
    </row>
    <row r="5386" spans="10:12" ht="16.5" customHeight="1" x14ac:dyDescent="0.35">
      <c r="J5386" s="56" t="str">
        <f t="shared" si="252"/>
        <v/>
      </c>
      <c r="K5386" s="74" t="str">
        <f t="shared" si="253"/>
        <v/>
      </c>
      <c r="L5386" s="58" t="str">
        <f t="shared" si="254"/>
        <v/>
      </c>
    </row>
    <row r="5387" spans="10:12" ht="16.5" customHeight="1" x14ac:dyDescent="0.35">
      <c r="J5387" s="56" t="str">
        <f t="shared" si="252"/>
        <v/>
      </c>
      <c r="K5387" s="74" t="str">
        <f t="shared" si="253"/>
        <v/>
      </c>
      <c r="L5387" s="58" t="str">
        <f t="shared" si="254"/>
        <v/>
      </c>
    </row>
    <row r="5388" spans="10:12" ht="16.5" customHeight="1" x14ac:dyDescent="0.35">
      <c r="J5388" s="56" t="str">
        <f t="shared" si="252"/>
        <v/>
      </c>
      <c r="K5388" s="74" t="str">
        <f t="shared" si="253"/>
        <v/>
      </c>
      <c r="L5388" s="58" t="str">
        <f t="shared" si="254"/>
        <v/>
      </c>
    </row>
    <row r="5389" spans="10:12" ht="16.5" customHeight="1" x14ac:dyDescent="0.35">
      <c r="J5389" s="56" t="str">
        <f t="shared" si="252"/>
        <v/>
      </c>
      <c r="K5389" s="74" t="str">
        <f t="shared" si="253"/>
        <v/>
      </c>
      <c r="L5389" s="58" t="str">
        <f t="shared" si="254"/>
        <v/>
      </c>
    </row>
    <row r="5390" spans="10:12" ht="16.5" customHeight="1" x14ac:dyDescent="0.35">
      <c r="J5390" s="56" t="str">
        <f t="shared" si="252"/>
        <v/>
      </c>
      <c r="K5390" s="74" t="str">
        <f t="shared" si="253"/>
        <v/>
      </c>
      <c r="L5390" s="58" t="str">
        <f t="shared" si="254"/>
        <v/>
      </c>
    </row>
    <row r="5391" spans="10:12" ht="16.5" customHeight="1" x14ac:dyDescent="0.35">
      <c r="J5391" s="56" t="str">
        <f t="shared" si="252"/>
        <v/>
      </c>
      <c r="K5391" s="74" t="str">
        <f t="shared" si="253"/>
        <v/>
      </c>
      <c r="L5391" s="58" t="str">
        <f t="shared" si="254"/>
        <v/>
      </c>
    </row>
    <row r="5392" spans="10:12" ht="16.5" customHeight="1" x14ac:dyDescent="0.35">
      <c r="J5392" s="56" t="str">
        <f t="shared" si="252"/>
        <v/>
      </c>
      <c r="K5392" s="74" t="str">
        <f t="shared" si="253"/>
        <v/>
      </c>
      <c r="L5392" s="58" t="str">
        <f t="shared" si="254"/>
        <v/>
      </c>
    </row>
    <row r="5393" spans="10:12" ht="16.5" customHeight="1" x14ac:dyDescent="0.35">
      <c r="J5393" s="56" t="str">
        <f t="shared" si="252"/>
        <v/>
      </c>
      <c r="K5393" s="74" t="str">
        <f t="shared" si="253"/>
        <v/>
      </c>
      <c r="L5393" s="58" t="str">
        <f t="shared" si="254"/>
        <v/>
      </c>
    </row>
    <row r="5394" spans="10:12" ht="16.5" customHeight="1" x14ac:dyDescent="0.35">
      <c r="J5394" s="56" t="str">
        <f t="shared" si="252"/>
        <v/>
      </c>
      <c r="K5394" s="74" t="str">
        <f t="shared" si="253"/>
        <v/>
      </c>
      <c r="L5394" s="58" t="str">
        <f t="shared" si="254"/>
        <v/>
      </c>
    </row>
    <row r="5395" spans="10:12" ht="16.5" customHeight="1" x14ac:dyDescent="0.35">
      <c r="J5395" s="56" t="str">
        <f t="shared" si="252"/>
        <v/>
      </c>
      <c r="K5395" s="74" t="str">
        <f t="shared" si="253"/>
        <v/>
      </c>
      <c r="L5395" s="58" t="str">
        <f t="shared" si="254"/>
        <v/>
      </c>
    </row>
    <row r="5396" spans="10:12" ht="16.5" customHeight="1" x14ac:dyDescent="0.35">
      <c r="J5396" s="56" t="str">
        <f t="shared" si="252"/>
        <v/>
      </c>
      <c r="K5396" s="74" t="str">
        <f t="shared" si="253"/>
        <v/>
      </c>
      <c r="L5396" s="58" t="str">
        <f t="shared" si="254"/>
        <v/>
      </c>
    </row>
    <row r="5397" spans="10:12" ht="16.5" customHeight="1" x14ac:dyDescent="0.35">
      <c r="J5397" s="56" t="str">
        <f t="shared" si="252"/>
        <v/>
      </c>
      <c r="K5397" s="74" t="str">
        <f t="shared" si="253"/>
        <v/>
      </c>
      <c r="L5397" s="58" t="str">
        <f t="shared" si="254"/>
        <v/>
      </c>
    </row>
    <row r="5398" spans="10:12" ht="16.5" customHeight="1" x14ac:dyDescent="0.35">
      <c r="J5398" s="56" t="str">
        <f t="shared" si="252"/>
        <v/>
      </c>
      <c r="K5398" s="74" t="str">
        <f t="shared" si="253"/>
        <v/>
      </c>
      <c r="L5398" s="58" t="str">
        <f t="shared" si="254"/>
        <v/>
      </c>
    </row>
    <row r="5399" spans="10:12" ht="16.5" customHeight="1" x14ac:dyDescent="0.35">
      <c r="J5399" s="56" t="str">
        <f t="shared" si="252"/>
        <v/>
      </c>
      <c r="K5399" s="74" t="str">
        <f t="shared" si="253"/>
        <v/>
      </c>
      <c r="L5399" s="58" t="str">
        <f t="shared" si="254"/>
        <v/>
      </c>
    </row>
    <row r="5400" spans="10:12" ht="16.5" customHeight="1" x14ac:dyDescent="0.35">
      <c r="J5400" s="56" t="str">
        <f t="shared" si="252"/>
        <v/>
      </c>
      <c r="K5400" s="74" t="str">
        <f t="shared" si="253"/>
        <v/>
      </c>
      <c r="L5400" s="58" t="str">
        <f t="shared" si="254"/>
        <v/>
      </c>
    </row>
    <row r="5401" spans="10:12" ht="16.5" customHeight="1" x14ac:dyDescent="0.35">
      <c r="J5401" s="56" t="str">
        <f t="shared" si="252"/>
        <v/>
      </c>
      <c r="K5401" s="74" t="str">
        <f t="shared" si="253"/>
        <v/>
      </c>
      <c r="L5401" s="58" t="str">
        <f t="shared" si="254"/>
        <v/>
      </c>
    </row>
    <row r="5402" spans="10:12" ht="16.5" customHeight="1" x14ac:dyDescent="0.35">
      <c r="J5402" s="56" t="str">
        <f t="shared" si="252"/>
        <v/>
      </c>
      <c r="K5402" s="74" t="str">
        <f t="shared" si="253"/>
        <v/>
      </c>
      <c r="L5402" s="58" t="str">
        <f t="shared" si="254"/>
        <v/>
      </c>
    </row>
    <row r="5403" spans="10:12" ht="16.5" customHeight="1" x14ac:dyDescent="0.35">
      <c r="J5403" s="56" t="str">
        <f t="shared" si="252"/>
        <v/>
      </c>
      <c r="K5403" s="74" t="str">
        <f t="shared" si="253"/>
        <v/>
      </c>
      <c r="L5403" s="58" t="str">
        <f t="shared" si="254"/>
        <v/>
      </c>
    </row>
    <row r="5404" spans="10:12" ht="16.5" customHeight="1" x14ac:dyDescent="0.35">
      <c r="J5404" s="56" t="str">
        <f t="shared" si="252"/>
        <v/>
      </c>
      <c r="K5404" s="74" t="str">
        <f t="shared" si="253"/>
        <v/>
      </c>
      <c r="L5404" s="58" t="str">
        <f t="shared" si="254"/>
        <v/>
      </c>
    </row>
    <row r="5405" spans="10:12" ht="16.5" customHeight="1" x14ac:dyDescent="0.35">
      <c r="J5405" s="56" t="str">
        <f t="shared" si="252"/>
        <v/>
      </c>
      <c r="K5405" s="74" t="str">
        <f t="shared" si="253"/>
        <v/>
      </c>
      <c r="L5405" s="58" t="str">
        <f t="shared" si="254"/>
        <v/>
      </c>
    </row>
    <row r="5406" spans="10:12" ht="16.5" customHeight="1" x14ac:dyDescent="0.35">
      <c r="J5406" s="56" t="str">
        <f t="shared" si="252"/>
        <v/>
      </c>
      <c r="K5406" s="74" t="str">
        <f t="shared" si="253"/>
        <v/>
      </c>
      <c r="L5406" s="58" t="str">
        <f t="shared" si="254"/>
        <v/>
      </c>
    </row>
    <row r="5407" spans="10:12" ht="16.5" customHeight="1" x14ac:dyDescent="0.35">
      <c r="J5407" s="56" t="str">
        <f t="shared" si="252"/>
        <v/>
      </c>
      <c r="K5407" s="74" t="str">
        <f t="shared" si="253"/>
        <v/>
      </c>
      <c r="L5407" s="58" t="str">
        <f t="shared" si="254"/>
        <v/>
      </c>
    </row>
    <row r="5408" spans="10:12" ht="16.5" customHeight="1" x14ac:dyDescent="0.35">
      <c r="J5408" s="56" t="str">
        <f t="shared" si="252"/>
        <v/>
      </c>
      <c r="K5408" s="74" t="str">
        <f t="shared" si="253"/>
        <v/>
      </c>
      <c r="L5408" s="58" t="str">
        <f t="shared" si="254"/>
        <v/>
      </c>
    </row>
    <row r="5409" spans="10:12" ht="16.5" customHeight="1" x14ac:dyDescent="0.35">
      <c r="J5409" s="56" t="str">
        <f t="shared" si="252"/>
        <v/>
      </c>
      <c r="K5409" s="74" t="str">
        <f t="shared" si="253"/>
        <v/>
      </c>
      <c r="L5409" s="58" t="str">
        <f t="shared" si="254"/>
        <v/>
      </c>
    </row>
    <row r="5410" spans="10:12" ht="16.5" customHeight="1" x14ac:dyDescent="0.35">
      <c r="J5410" s="56" t="str">
        <f t="shared" si="252"/>
        <v/>
      </c>
      <c r="K5410" s="74" t="str">
        <f t="shared" si="253"/>
        <v/>
      </c>
      <c r="L5410" s="58" t="str">
        <f t="shared" si="254"/>
        <v/>
      </c>
    </row>
    <row r="5411" spans="10:12" ht="16.5" customHeight="1" x14ac:dyDescent="0.35">
      <c r="J5411" s="56" t="str">
        <f t="shared" si="252"/>
        <v/>
      </c>
      <c r="K5411" s="74" t="str">
        <f t="shared" si="253"/>
        <v/>
      </c>
      <c r="L5411" s="58" t="str">
        <f t="shared" si="254"/>
        <v/>
      </c>
    </row>
    <row r="5412" spans="10:12" ht="16.5" customHeight="1" x14ac:dyDescent="0.35">
      <c r="J5412" s="56" t="str">
        <f t="shared" si="252"/>
        <v/>
      </c>
      <c r="K5412" s="74" t="str">
        <f t="shared" si="253"/>
        <v/>
      </c>
      <c r="L5412" s="58" t="str">
        <f t="shared" si="254"/>
        <v/>
      </c>
    </row>
    <row r="5413" spans="10:12" ht="16.5" customHeight="1" x14ac:dyDescent="0.35">
      <c r="J5413" s="56" t="str">
        <f t="shared" si="252"/>
        <v/>
      </c>
      <c r="K5413" s="74" t="str">
        <f t="shared" si="253"/>
        <v/>
      </c>
      <c r="L5413" s="58" t="str">
        <f t="shared" si="254"/>
        <v/>
      </c>
    </row>
    <row r="5414" spans="10:12" ht="16.5" customHeight="1" x14ac:dyDescent="0.35">
      <c r="J5414" s="56" t="str">
        <f t="shared" si="252"/>
        <v/>
      </c>
      <c r="K5414" s="74" t="str">
        <f t="shared" si="253"/>
        <v/>
      </c>
      <c r="L5414" s="58" t="str">
        <f t="shared" si="254"/>
        <v/>
      </c>
    </row>
    <row r="5415" spans="10:12" ht="16.5" customHeight="1" x14ac:dyDescent="0.35">
      <c r="J5415" s="56" t="str">
        <f t="shared" si="252"/>
        <v/>
      </c>
      <c r="K5415" s="74" t="str">
        <f t="shared" si="253"/>
        <v/>
      </c>
      <c r="L5415" s="58" t="str">
        <f t="shared" si="254"/>
        <v/>
      </c>
    </row>
    <row r="5416" spans="10:12" ht="16.5" customHeight="1" x14ac:dyDescent="0.35">
      <c r="J5416" s="56" t="str">
        <f t="shared" si="252"/>
        <v/>
      </c>
      <c r="K5416" s="74" t="str">
        <f t="shared" si="253"/>
        <v/>
      </c>
      <c r="L5416" s="58" t="str">
        <f t="shared" si="254"/>
        <v/>
      </c>
    </row>
    <row r="5417" spans="10:12" ht="16.5" customHeight="1" x14ac:dyDescent="0.35">
      <c r="J5417" s="56" t="str">
        <f t="shared" si="252"/>
        <v/>
      </c>
      <c r="K5417" s="74" t="str">
        <f t="shared" si="253"/>
        <v/>
      </c>
      <c r="L5417" s="58" t="str">
        <f t="shared" si="254"/>
        <v/>
      </c>
    </row>
    <row r="5418" spans="10:12" ht="16.5" customHeight="1" x14ac:dyDescent="0.35">
      <c r="J5418" s="56" t="str">
        <f t="shared" si="252"/>
        <v/>
      </c>
      <c r="K5418" s="74" t="str">
        <f t="shared" si="253"/>
        <v/>
      </c>
      <c r="L5418" s="58" t="str">
        <f t="shared" si="254"/>
        <v/>
      </c>
    </row>
    <row r="5419" spans="10:12" ht="16.5" customHeight="1" x14ac:dyDescent="0.35">
      <c r="J5419" s="56" t="str">
        <f t="shared" si="252"/>
        <v/>
      </c>
      <c r="K5419" s="74" t="str">
        <f t="shared" si="253"/>
        <v/>
      </c>
      <c r="L5419" s="58" t="str">
        <f t="shared" si="254"/>
        <v/>
      </c>
    </row>
    <row r="5420" spans="10:12" ht="16.5" customHeight="1" x14ac:dyDescent="0.35">
      <c r="J5420" s="56" t="str">
        <f t="shared" si="252"/>
        <v/>
      </c>
      <c r="K5420" s="74" t="str">
        <f t="shared" si="253"/>
        <v/>
      </c>
      <c r="L5420" s="58" t="str">
        <f t="shared" si="254"/>
        <v/>
      </c>
    </row>
    <row r="5421" spans="10:12" ht="16.5" customHeight="1" x14ac:dyDescent="0.35">
      <c r="J5421" s="56" t="str">
        <f t="shared" si="252"/>
        <v/>
      </c>
      <c r="K5421" s="74" t="str">
        <f t="shared" si="253"/>
        <v/>
      </c>
      <c r="L5421" s="58" t="str">
        <f t="shared" si="254"/>
        <v/>
      </c>
    </row>
    <row r="5422" spans="10:12" ht="16.5" customHeight="1" x14ac:dyDescent="0.35">
      <c r="J5422" s="56" t="str">
        <f t="shared" si="252"/>
        <v/>
      </c>
      <c r="K5422" s="74" t="str">
        <f t="shared" si="253"/>
        <v/>
      </c>
      <c r="L5422" s="58" t="str">
        <f t="shared" si="254"/>
        <v/>
      </c>
    </row>
    <row r="5423" spans="10:12" ht="16.5" customHeight="1" x14ac:dyDescent="0.35">
      <c r="J5423" s="56" t="str">
        <f t="shared" si="252"/>
        <v/>
      </c>
      <c r="K5423" s="74" t="str">
        <f t="shared" si="253"/>
        <v/>
      </c>
      <c r="L5423" s="58" t="str">
        <f t="shared" si="254"/>
        <v/>
      </c>
    </row>
    <row r="5424" spans="10:12" ht="16.5" customHeight="1" x14ac:dyDescent="0.35">
      <c r="J5424" s="56" t="str">
        <f t="shared" si="252"/>
        <v/>
      </c>
      <c r="K5424" s="74" t="str">
        <f t="shared" si="253"/>
        <v/>
      </c>
      <c r="L5424" s="58" t="str">
        <f t="shared" si="254"/>
        <v/>
      </c>
    </row>
    <row r="5425" spans="10:12" ht="16.5" customHeight="1" x14ac:dyDescent="0.35">
      <c r="J5425" s="56" t="str">
        <f t="shared" si="252"/>
        <v/>
      </c>
      <c r="K5425" s="74" t="str">
        <f t="shared" si="253"/>
        <v/>
      </c>
      <c r="L5425" s="58" t="str">
        <f t="shared" si="254"/>
        <v/>
      </c>
    </row>
    <row r="5426" spans="10:12" ht="16.5" customHeight="1" x14ac:dyDescent="0.35">
      <c r="J5426" s="56" t="str">
        <f t="shared" si="252"/>
        <v/>
      </c>
      <c r="K5426" s="74" t="str">
        <f t="shared" si="253"/>
        <v/>
      </c>
      <c r="L5426" s="58" t="str">
        <f t="shared" si="254"/>
        <v/>
      </c>
    </row>
    <row r="5427" spans="10:12" ht="16.5" customHeight="1" x14ac:dyDescent="0.35">
      <c r="J5427" s="56" t="str">
        <f t="shared" si="252"/>
        <v/>
      </c>
      <c r="K5427" s="74" t="str">
        <f t="shared" si="253"/>
        <v/>
      </c>
      <c r="L5427" s="58" t="str">
        <f t="shared" si="254"/>
        <v/>
      </c>
    </row>
    <row r="5428" spans="10:12" ht="16.5" customHeight="1" x14ac:dyDescent="0.35">
      <c r="J5428" s="56" t="str">
        <f t="shared" si="252"/>
        <v/>
      </c>
      <c r="K5428" s="74" t="str">
        <f t="shared" si="253"/>
        <v/>
      </c>
      <c r="L5428" s="58" t="str">
        <f t="shared" si="254"/>
        <v/>
      </c>
    </row>
    <row r="5429" spans="10:12" ht="16.5" customHeight="1" x14ac:dyDescent="0.35">
      <c r="J5429" s="56" t="str">
        <f t="shared" si="252"/>
        <v/>
      </c>
      <c r="K5429" s="74" t="str">
        <f t="shared" si="253"/>
        <v/>
      </c>
      <c r="L5429" s="58" t="str">
        <f t="shared" si="254"/>
        <v/>
      </c>
    </row>
    <row r="5430" spans="10:12" ht="16.5" customHeight="1" x14ac:dyDescent="0.35">
      <c r="J5430" s="56" t="str">
        <f t="shared" si="252"/>
        <v/>
      </c>
      <c r="K5430" s="74" t="str">
        <f t="shared" si="253"/>
        <v/>
      </c>
      <c r="L5430" s="58" t="str">
        <f t="shared" si="254"/>
        <v/>
      </c>
    </row>
    <row r="5431" spans="10:12" ht="16.5" customHeight="1" x14ac:dyDescent="0.35">
      <c r="J5431" s="56" t="str">
        <f t="shared" si="252"/>
        <v/>
      </c>
      <c r="K5431" s="74" t="str">
        <f t="shared" si="253"/>
        <v/>
      </c>
      <c r="L5431" s="58" t="str">
        <f t="shared" si="254"/>
        <v/>
      </c>
    </row>
    <row r="5432" spans="10:12" ht="16.5" customHeight="1" x14ac:dyDescent="0.35">
      <c r="J5432" s="56" t="str">
        <f t="shared" si="252"/>
        <v/>
      </c>
      <c r="K5432" s="74" t="str">
        <f t="shared" si="253"/>
        <v/>
      </c>
      <c r="L5432" s="58" t="str">
        <f t="shared" si="254"/>
        <v/>
      </c>
    </row>
    <row r="5433" spans="10:12" ht="16.5" customHeight="1" x14ac:dyDescent="0.35">
      <c r="J5433" s="56" t="str">
        <f t="shared" si="252"/>
        <v/>
      </c>
      <c r="K5433" s="74" t="str">
        <f t="shared" si="253"/>
        <v/>
      </c>
      <c r="L5433" s="58" t="str">
        <f t="shared" si="254"/>
        <v/>
      </c>
    </row>
    <row r="5434" spans="10:12" ht="16.5" customHeight="1" x14ac:dyDescent="0.35">
      <c r="J5434" s="56" t="str">
        <f t="shared" si="252"/>
        <v/>
      </c>
      <c r="K5434" s="74" t="str">
        <f t="shared" si="253"/>
        <v/>
      </c>
      <c r="L5434" s="58" t="str">
        <f t="shared" si="254"/>
        <v/>
      </c>
    </row>
    <row r="5435" spans="10:12" ht="16.5" customHeight="1" x14ac:dyDescent="0.35">
      <c r="J5435" s="56" t="str">
        <f t="shared" si="252"/>
        <v/>
      </c>
      <c r="K5435" s="74" t="str">
        <f t="shared" si="253"/>
        <v/>
      </c>
      <c r="L5435" s="58" t="str">
        <f t="shared" si="254"/>
        <v/>
      </c>
    </row>
    <row r="5436" spans="10:12" ht="16.5" customHeight="1" x14ac:dyDescent="0.35">
      <c r="J5436" s="56" t="str">
        <f t="shared" si="252"/>
        <v/>
      </c>
      <c r="K5436" s="74" t="str">
        <f t="shared" si="253"/>
        <v/>
      </c>
      <c r="L5436" s="58" t="str">
        <f t="shared" si="254"/>
        <v/>
      </c>
    </row>
    <row r="5437" spans="10:12" ht="16.5" customHeight="1" x14ac:dyDescent="0.35">
      <c r="J5437" s="56" t="str">
        <f t="shared" si="252"/>
        <v/>
      </c>
      <c r="K5437" s="74" t="str">
        <f t="shared" si="253"/>
        <v/>
      </c>
      <c r="L5437" s="58" t="str">
        <f t="shared" si="254"/>
        <v/>
      </c>
    </row>
    <row r="5438" spans="10:12" ht="16.5" customHeight="1" x14ac:dyDescent="0.35">
      <c r="J5438" s="56" t="str">
        <f t="shared" si="252"/>
        <v/>
      </c>
      <c r="K5438" s="74" t="str">
        <f t="shared" si="253"/>
        <v/>
      </c>
      <c r="L5438" s="58" t="str">
        <f t="shared" si="254"/>
        <v/>
      </c>
    </row>
    <row r="5439" spans="10:12" ht="16.5" customHeight="1" x14ac:dyDescent="0.35">
      <c r="J5439" s="56" t="str">
        <f t="shared" si="252"/>
        <v/>
      </c>
      <c r="K5439" s="74" t="str">
        <f t="shared" si="253"/>
        <v/>
      </c>
      <c r="L5439" s="58" t="str">
        <f t="shared" si="254"/>
        <v/>
      </c>
    </row>
    <row r="5440" spans="10:12" ht="16.5" customHeight="1" x14ac:dyDescent="0.35">
      <c r="J5440" s="56" t="str">
        <f t="shared" si="252"/>
        <v/>
      </c>
      <c r="K5440" s="74" t="str">
        <f t="shared" si="253"/>
        <v/>
      </c>
      <c r="L5440" s="58" t="str">
        <f t="shared" si="254"/>
        <v/>
      </c>
    </row>
    <row r="5441" spans="10:12" ht="16.5" customHeight="1" x14ac:dyDescent="0.35">
      <c r="J5441" s="56" t="str">
        <f t="shared" si="252"/>
        <v/>
      </c>
      <c r="K5441" s="74" t="str">
        <f t="shared" si="253"/>
        <v/>
      </c>
      <c r="L5441" s="58" t="str">
        <f t="shared" si="254"/>
        <v/>
      </c>
    </row>
    <row r="5442" spans="10:12" ht="16.5" customHeight="1" x14ac:dyDescent="0.35">
      <c r="J5442" s="56" t="str">
        <f t="shared" si="252"/>
        <v/>
      </c>
      <c r="K5442" s="74" t="str">
        <f t="shared" si="253"/>
        <v/>
      </c>
      <c r="L5442" s="58" t="str">
        <f t="shared" si="254"/>
        <v/>
      </c>
    </row>
    <row r="5443" spans="10:12" ht="16.5" customHeight="1" x14ac:dyDescent="0.35">
      <c r="J5443" s="56" t="str">
        <f t="shared" si="252"/>
        <v/>
      </c>
      <c r="K5443" s="74" t="str">
        <f t="shared" si="253"/>
        <v/>
      </c>
      <c r="L5443" s="58" t="str">
        <f t="shared" si="254"/>
        <v/>
      </c>
    </row>
    <row r="5444" spans="10:12" ht="16.5" customHeight="1" x14ac:dyDescent="0.35">
      <c r="J5444" s="56" t="str">
        <f t="shared" si="252"/>
        <v/>
      </c>
      <c r="K5444" s="74" t="str">
        <f t="shared" si="253"/>
        <v/>
      </c>
      <c r="L5444" s="58" t="str">
        <f t="shared" si="254"/>
        <v/>
      </c>
    </row>
    <row r="5445" spans="10:12" ht="16.5" customHeight="1" x14ac:dyDescent="0.35">
      <c r="J5445" s="56" t="str">
        <f t="shared" si="252"/>
        <v/>
      </c>
      <c r="K5445" s="74" t="str">
        <f t="shared" si="253"/>
        <v/>
      </c>
      <c r="L5445" s="58" t="str">
        <f t="shared" si="254"/>
        <v/>
      </c>
    </row>
    <row r="5446" spans="10:12" ht="16.5" customHeight="1" x14ac:dyDescent="0.35">
      <c r="J5446" s="56" t="str">
        <f t="shared" si="252"/>
        <v/>
      </c>
      <c r="K5446" s="74" t="str">
        <f t="shared" si="253"/>
        <v/>
      </c>
      <c r="L5446" s="58" t="str">
        <f t="shared" si="254"/>
        <v/>
      </c>
    </row>
    <row r="5447" spans="10:12" ht="16.5" customHeight="1" x14ac:dyDescent="0.35">
      <c r="J5447" s="56" t="str">
        <f t="shared" si="252"/>
        <v/>
      </c>
      <c r="K5447" s="74" t="str">
        <f t="shared" si="253"/>
        <v/>
      </c>
      <c r="L5447" s="58" t="str">
        <f t="shared" si="254"/>
        <v/>
      </c>
    </row>
    <row r="5448" spans="10:12" ht="16.5" customHeight="1" x14ac:dyDescent="0.35">
      <c r="J5448" s="56" t="str">
        <f t="shared" si="252"/>
        <v/>
      </c>
      <c r="K5448" s="74" t="str">
        <f t="shared" si="253"/>
        <v/>
      </c>
      <c r="L5448" s="58" t="str">
        <f t="shared" si="254"/>
        <v/>
      </c>
    </row>
    <row r="5449" spans="10:12" ht="16.5" customHeight="1" x14ac:dyDescent="0.35">
      <c r="J5449" s="56" t="str">
        <f t="shared" ref="J5449:J5512" si="255">IF(A5449="","",A$5-A5449)</f>
        <v/>
      </c>
      <c r="K5449" s="74" t="str">
        <f t="shared" ref="K5449:K5512" si="256">IF(J5449="","",IF(J5449&lt;4,"0-3 Days",IF(J5449&lt;31,"4-30 Days",IF(J5449&lt;61,"31-60 Days",IF(J5449&lt;=90,"61-90 Days",IF(J5449&gt;90,"Above 90 Days","0"))))))</f>
        <v/>
      </c>
      <c r="L5449" s="58" t="str">
        <f t="shared" ref="L5449:L5512" si="257">IF(C5449="","",IF(C5449&gt;0,IF(J5449&lt;30,"Normal",IF(J5449&lt;60,"Especially Mentioned",IF(J5449&lt;90,"Substandard",IF(J5449&lt;=180,"Doubtful",IF(J5449&gt;180,"Loss","0"))))),"Not Applicable"))</f>
        <v/>
      </c>
    </row>
    <row r="5450" spans="10:12" ht="16.5" customHeight="1" x14ac:dyDescent="0.35">
      <c r="J5450" s="56" t="str">
        <f t="shared" si="255"/>
        <v/>
      </c>
      <c r="K5450" s="74" t="str">
        <f t="shared" si="256"/>
        <v/>
      </c>
      <c r="L5450" s="58" t="str">
        <f t="shared" si="257"/>
        <v/>
      </c>
    </row>
    <row r="5451" spans="10:12" ht="16.5" customHeight="1" x14ac:dyDescent="0.35">
      <c r="J5451" s="56" t="str">
        <f t="shared" si="255"/>
        <v/>
      </c>
      <c r="K5451" s="74" t="str">
        <f t="shared" si="256"/>
        <v/>
      </c>
      <c r="L5451" s="58" t="str">
        <f t="shared" si="257"/>
        <v/>
      </c>
    </row>
    <row r="5452" spans="10:12" ht="16.5" customHeight="1" x14ac:dyDescent="0.35">
      <c r="J5452" s="56" t="str">
        <f t="shared" si="255"/>
        <v/>
      </c>
      <c r="K5452" s="74" t="str">
        <f t="shared" si="256"/>
        <v/>
      </c>
      <c r="L5452" s="58" t="str">
        <f t="shared" si="257"/>
        <v/>
      </c>
    </row>
    <row r="5453" spans="10:12" ht="16.5" customHeight="1" x14ac:dyDescent="0.35">
      <c r="J5453" s="56" t="str">
        <f t="shared" si="255"/>
        <v/>
      </c>
      <c r="K5453" s="74" t="str">
        <f t="shared" si="256"/>
        <v/>
      </c>
      <c r="L5453" s="58" t="str">
        <f t="shared" si="257"/>
        <v/>
      </c>
    </row>
    <row r="5454" spans="10:12" ht="16.5" customHeight="1" x14ac:dyDescent="0.35">
      <c r="J5454" s="56" t="str">
        <f t="shared" si="255"/>
        <v/>
      </c>
      <c r="K5454" s="74" t="str">
        <f t="shared" si="256"/>
        <v/>
      </c>
      <c r="L5454" s="58" t="str">
        <f t="shared" si="257"/>
        <v/>
      </c>
    </row>
    <row r="5455" spans="10:12" ht="16.5" customHeight="1" x14ac:dyDescent="0.35">
      <c r="J5455" s="56" t="str">
        <f t="shared" si="255"/>
        <v/>
      </c>
      <c r="K5455" s="74" t="str">
        <f t="shared" si="256"/>
        <v/>
      </c>
      <c r="L5455" s="58" t="str">
        <f t="shared" si="257"/>
        <v/>
      </c>
    </row>
    <row r="5456" spans="10:12" ht="16.5" customHeight="1" x14ac:dyDescent="0.35">
      <c r="J5456" s="56" t="str">
        <f t="shared" si="255"/>
        <v/>
      </c>
      <c r="K5456" s="74" t="str">
        <f t="shared" si="256"/>
        <v/>
      </c>
      <c r="L5456" s="58" t="str">
        <f t="shared" si="257"/>
        <v/>
      </c>
    </row>
    <row r="5457" spans="10:12" ht="16.5" customHeight="1" x14ac:dyDescent="0.35">
      <c r="J5457" s="56" t="str">
        <f t="shared" si="255"/>
        <v/>
      </c>
      <c r="K5457" s="74" t="str">
        <f t="shared" si="256"/>
        <v/>
      </c>
      <c r="L5457" s="58" t="str">
        <f t="shared" si="257"/>
        <v/>
      </c>
    </row>
    <row r="5458" spans="10:12" ht="16.5" customHeight="1" x14ac:dyDescent="0.35">
      <c r="J5458" s="56" t="str">
        <f t="shared" si="255"/>
        <v/>
      </c>
      <c r="K5458" s="74" t="str">
        <f t="shared" si="256"/>
        <v/>
      </c>
      <c r="L5458" s="58" t="str">
        <f t="shared" si="257"/>
        <v/>
      </c>
    </row>
    <row r="5459" spans="10:12" ht="16.5" customHeight="1" x14ac:dyDescent="0.35">
      <c r="J5459" s="56" t="str">
        <f t="shared" si="255"/>
        <v/>
      </c>
      <c r="K5459" s="74" t="str">
        <f t="shared" si="256"/>
        <v/>
      </c>
      <c r="L5459" s="58" t="str">
        <f t="shared" si="257"/>
        <v/>
      </c>
    </row>
    <row r="5460" spans="10:12" ht="16.5" customHeight="1" x14ac:dyDescent="0.35">
      <c r="J5460" s="56" t="str">
        <f t="shared" si="255"/>
        <v/>
      </c>
      <c r="K5460" s="74" t="str">
        <f t="shared" si="256"/>
        <v/>
      </c>
      <c r="L5460" s="58" t="str">
        <f t="shared" si="257"/>
        <v/>
      </c>
    </row>
    <row r="5461" spans="10:12" ht="16.5" customHeight="1" x14ac:dyDescent="0.35">
      <c r="J5461" s="56" t="str">
        <f t="shared" si="255"/>
        <v/>
      </c>
      <c r="K5461" s="74" t="str">
        <f t="shared" si="256"/>
        <v/>
      </c>
      <c r="L5461" s="58" t="str">
        <f t="shared" si="257"/>
        <v/>
      </c>
    </row>
    <row r="5462" spans="10:12" ht="16.5" customHeight="1" x14ac:dyDescent="0.35">
      <c r="J5462" s="56" t="str">
        <f t="shared" si="255"/>
        <v/>
      </c>
      <c r="K5462" s="74" t="str">
        <f t="shared" si="256"/>
        <v/>
      </c>
      <c r="L5462" s="58" t="str">
        <f t="shared" si="257"/>
        <v/>
      </c>
    </row>
    <row r="5463" spans="10:12" ht="16.5" customHeight="1" x14ac:dyDescent="0.35">
      <c r="J5463" s="56" t="str">
        <f t="shared" si="255"/>
        <v/>
      </c>
      <c r="K5463" s="74" t="str">
        <f t="shared" si="256"/>
        <v/>
      </c>
      <c r="L5463" s="58" t="str">
        <f t="shared" si="257"/>
        <v/>
      </c>
    </row>
    <row r="5464" spans="10:12" ht="16.5" customHeight="1" x14ac:dyDescent="0.35">
      <c r="J5464" s="56" t="str">
        <f t="shared" si="255"/>
        <v/>
      </c>
      <c r="K5464" s="74" t="str">
        <f t="shared" si="256"/>
        <v/>
      </c>
      <c r="L5464" s="58" t="str">
        <f t="shared" si="257"/>
        <v/>
      </c>
    </row>
    <row r="5465" spans="10:12" ht="16.5" customHeight="1" x14ac:dyDescent="0.35">
      <c r="J5465" s="56" t="str">
        <f t="shared" si="255"/>
        <v/>
      </c>
      <c r="K5465" s="74" t="str">
        <f t="shared" si="256"/>
        <v/>
      </c>
      <c r="L5465" s="58" t="str">
        <f t="shared" si="257"/>
        <v/>
      </c>
    </row>
    <row r="5466" spans="10:12" ht="16.5" customHeight="1" x14ac:dyDescent="0.35">
      <c r="J5466" s="56" t="str">
        <f t="shared" si="255"/>
        <v/>
      </c>
      <c r="K5466" s="74" t="str">
        <f t="shared" si="256"/>
        <v/>
      </c>
      <c r="L5466" s="58" t="str">
        <f t="shared" si="257"/>
        <v/>
      </c>
    </row>
    <row r="5467" spans="10:12" ht="16.5" customHeight="1" x14ac:dyDescent="0.35">
      <c r="J5467" s="56" t="str">
        <f t="shared" si="255"/>
        <v/>
      </c>
      <c r="K5467" s="74" t="str">
        <f t="shared" si="256"/>
        <v/>
      </c>
      <c r="L5467" s="58" t="str">
        <f t="shared" si="257"/>
        <v/>
      </c>
    </row>
    <row r="5468" spans="10:12" ht="16.5" customHeight="1" x14ac:dyDescent="0.35">
      <c r="J5468" s="56" t="str">
        <f t="shared" si="255"/>
        <v/>
      </c>
      <c r="K5468" s="74" t="str">
        <f t="shared" si="256"/>
        <v/>
      </c>
      <c r="L5468" s="58" t="str">
        <f t="shared" si="257"/>
        <v/>
      </c>
    </row>
    <row r="5469" spans="10:12" ht="16.5" customHeight="1" x14ac:dyDescent="0.35">
      <c r="J5469" s="56" t="str">
        <f t="shared" si="255"/>
        <v/>
      </c>
      <c r="K5469" s="74" t="str">
        <f t="shared" si="256"/>
        <v/>
      </c>
      <c r="L5469" s="58" t="str">
        <f t="shared" si="257"/>
        <v/>
      </c>
    </row>
    <row r="5470" spans="10:12" ht="16.5" customHeight="1" x14ac:dyDescent="0.35">
      <c r="J5470" s="56" t="str">
        <f t="shared" si="255"/>
        <v/>
      </c>
      <c r="K5470" s="74" t="str">
        <f t="shared" si="256"/>
        <v/>
      </c>
      <c r="L5470" s="58" t="str">
        <f t="shared" si="257"/>
        <v/>
      </c>
    </row>
    <row r="5471" spans="10:12" ht="16.5" customHeight="1" x14ac:dyDescent="0.35">
      <c r="J5471" s="56" t="str">
        <f t="shared" si="255"/>
        <v/>
      </c>
      <c r="K5471" s="74" t="str">
        <f t="shared" si="256"/>
        <v/>
      </c>
      <c r="L5471" s="58" t="str">
        <f t="shared" si="257"/>
        <v/>
      </c>
    </row>
    <row r="5472" spans="10:12" ht="16.5" customHeight="1" x14ac:dyDescent="0.35">
      <c r="J5472" s="56" t="str">
        <f t="shared" si="255"/>
        <v/>
      </c>
      <c r="K5472" s="74" t="str">
        <f t="shared" si="256"/>
        <v/>
      </c>
      <c r="L5472" s="58" t="str">
        <f t="shared" si="257"/>
        <v/>
      </c>
    </row>
    <row r="5473" spans="10:12" ht="16.5" customHeight="1" x14ac:dyDescent="0.35">
      <c r="J5473" s="56" t="str">
        <f t="shared" si="255"/>
        <v/>
      </c>
      <c r="K5473" s="74" t="str">
        <f t="shared" si="256"/>
        <v/>
      </c>
      <c r="L5473" s="58" t="str">
        <f t="shared" si="257"/>
        <v/>
      </c>
    </row>
    <row r="5474" spans="10:12" ht="16.5" customHeight="1" x14ac:dyDescent="0.35">
      <c r="J5474" s="56" t="str">
        <f t="shared" si="255"/>
        <v/>
      </c>
      <c r="K5474" s="74" t="str">
        <f t="shared" si="256"/>
        <v/>
      </c>
      <c r="L5474" s="58" t="str">
        <f t="shared" si="257"/>
        <v/>
      </c>
    </row>
    <row r="5475" spans="10:12" ht="16.5" customHeight="1" x14ac:dyDescent="0.35">
      <c r="J5475" s="56" t="str">
        <f t="shared" si="255"/>
        <v/>
      </c>
      <c r="K5475" s="74" t="str">
        <f t="shared" si="256"/>
        <v/>
      </c>
      <c r="L5475" s="58" t="str">
        <f t="shared" si="257"/>
        <v/>
      </c>
    </row>
    <row r="5476" spans="10:12" ht="16.5" customHeight="1" x14ac:dyDescent="0.35">
      <c r="J5476" s="56" t="str">
        <f t="shared" si="255"/>
        <v/>
      </c>
      <c r="K5476" s="74" t="str">
        <f t="shared" si="256"/>
        <v/>
      </c>
      <c r="L5476" s="58" t="str">
        <f t="shared" si="257"/>
        <v/>
      </c>
    </row>
    <row r="5477" spans="10:12" ht="16.5" customHeight="1" x14ac:dyDescent="0.35">
      <c r="J5477" s="56" t="str">
        <f t="shared" si="255"/>
        <v/>
      </c>
      <c r="K5477" s="74" t="str">
        <f t="shared" si="256"/>
        <v/>
      </c>
      <c r="L5477" s="58" t="str">
        <f t="shared" si="257"/>
        <v/>
      </c>
    </row>
    <row r="5478" spans="10:12" ht="16.5" customHeight="1" x14ac:dyDescent="0.35">
      <c r="J5478" s="56" t="str">
        <f t="shared" si="255"/>
        <v/>
      </c>
      <c r="K5478" s="74" t="str">
        <f t="shared" si="256"/>
        <v/>
      </c>
      <c r="L5478" s="58" t="str">
        <f t="shared" si="257"/>
        <v/>
      </c>
    </row>
    <row r="5479" spans="10:12" ht="16.5" customHeight="1" x14ac:dyDescent="0.35">
      <c r="J5479" s="56" t="str">
        <f t="shared" si="255"/>
        <v/>
      </c>
      <c r="K5479" s="74" t="str">
        <f t="shared" si="256"/>
        <v/>
      </c>
      <c r="L5479" s="58" t="str">
        <f t="shared" si="257"/>
        <v/>
      </c>
    </row>
    <row r="5480" spans="10:12" ht="16.5" customHeight="1" x14ac:dyDescent="0.35">
      <c r="J5480" s="56" t="str">
        <f t="shared" si="255"/>
        <v/>
      </c>
      <c r="K5480" s="74" t="str">
        <f t="shared" si="256"/>
        <v/>
      </c>
      <c r="L5480" s="58" t="str">
        <f t="shared" si="257"/>
        <v/>
      </c>
    </row>
    <row r="5481" spans="10:12" ht="16.5" customHeight="1" x14ac:dyDescent="0.35">
      <c r="J5481" s="56" t="str">
        <f t="shared" si="255"/>
        <v/>
      </c>
      <c r="K5481" s="74" t="str">
        <f t="shared" si="256"/>
        <v/>
      </c>
      <c r="L5481" s="58" t="str">
        <f t="shared" si="257"/>
        <v/>
      </c>
    </row>
    <row r="5482" spans="10:12" ht="16.5" customHeight="1" x14ac:dyDescent="0.35">
      <c r="J5482" s="56" t="str">
        <f t="shared" si="255"/>
        <v/>
      </c>
      <c r="K5482" s="74" t="str">
        <f t="shared" si="256"/>
        <v/>
      </c>
      <c r="L5482" s="58" t="str">
        <f t="shared" si="257"/>
        <v/>
      </c>
    </row>
    <row r="5483" spans="10:12" ht="16.5" customHeight="1" x14ac:dyDescent="0.35">
      <c r="J5483" s="56" t="str">
        <f t="shared" si="255"/>
        <v/>
      </c>
      <c r="K5483" s="74" t="str">
        <f t="shared" si="256"/>
        <v/>
      </c>
      <c r="L5483" s="58" t="str">
        <f t="shared" si="257"/>
        <v/>
      </c>
    </row>
    <row r="5484" spans="10:12" ht="16.5" customHeight="1" x14ac:dyDescent="0.35">
      <c r="J5484" s="56" t="str">
        <f t="shared" si="255"/>
        <v/>
      </c>
      <c r="K5484" s="74" t="str">
        <f t="shared" si="256"/>
        <v/>
      </c>
      <c r="L5484" s="58" t="str">
        <f t="shared" si="257"/>
        <v/>
      </c>
    </row>
    <row r="5485" spans="10:12" ht="16.5" customHeight="1" x14ac:dyDescent="0.35">
      <c r="J5485" s="56" t="str">
        <f t="shared" si="255"/>
        <v/>
      </c>
      <c r="K5485" s="74" t="str">
        <f t="shared" si="256"/>
        <v/>
      </c>
      <c r="L5485" s="58" t="str">
        <f t="shared" si="257"/>
        <v/>
      </c>
    </row>
    <row r="5486" spans="10:12" ht="16.5" customHeight="1" x14ac:dyDescent="0.35">
      <c r="J5486" s="56" t="str">
        <f t="shared" si="255"/>
        <v/>
      </c>
      <c r="K5486" s="74" t="str">
        <f t="shared" si="256"/>
        <v/>
      </c>
      <c r="L5486" s="58" t="str">
        <f t="shared" si="257"/>
        <v/>
      </c>
    </row>
    <row r="5487" spans="10:12" ht="16.5" customHeight="1" x14ac:dyDescent="0.35">
      <c r="J5487" s="56" t="str">
        <f t="shared" si="255"/>
        <v/>
      </c>
      <c r="K5487" s="74" t="str">
        <f t="shared" si="256"/>
        <v/>
      </c>
      <c r="L5487" s="58" t="str">
        <f t="shared" si="257"/>
        <v/>
      </c>
    </row>
    <row r="5488" spans="10:12" ht="16.5" customHeight="1" x14ac:dyDescent="0.35">
      <c r="J5488" s="56" t="str">
        <f t="shared" si="255"/>
        <v/>
      </c>
      <c r="K5488" s="74" t="str">
        <f t="shared" si="256"/>
        <v/>
      </c>
      <c r="L5488" s="58" t="str">
        <f t="shared" si="257"/>
        <v/>
      </c>
    </row>
    <row r="5489" spans="10:12" ht="16.5" customHeight="1" x14ac:dyDescent="0.35">
      <c r="J5489" s="56" t="str">
        <f t="shared" si="255"/>
        <v/>
      </c>
      <c r="K5489" s="74" t="str">
        <f t="shared" si="256"/>
        <v/>
      </c>
      <c r="L5489" s="58" t="str">
        <f t="shared" si="257"/>
        <v/>
      </c>
    </row>
    <row r="5490" spans="10:12" ht="16.5" customHeight="1" x14ac:dyDescent="0.35">
      <c r="J5490" s="56" t="str">
        <f t="shared" si="255"/>
        <v/>
      </c>
      <c r="K5490" s="74" t="str">
        <f t="shared" si="256"/>
        <v/>
      </c>
      <c r="L5490" s="58" t="str">
        <f t="shared" si="257"/>
        <v/>
      </c>
    </row>
    <row r="5491" spans="10:12" ht="16.5" customHeight="1" x14ac:dyDescent="0.35">
      <c r="J5491" s="56" t="str">
        <f t="shared" si="255"/>
        <v/>
      </c>
      <c r="K5491" s="74" t="str">
        <f t="shared" si="256"/>
        <v/>
      </c>
      <c r="L5491" s="58" t="str">
        <f t="shared" si="257"/>
        <v/>
      </c>
    </row>
    <row r="5492" spans="10:12" ht="16.5" customHeight="1" x14ac:dyDescent="0.35">
      <c r="J5492" s="56" t="str">
        <f t="shared" si="255"/>
        <v/>
      </c>
      <c r="K5492" s="74" t="str">
        <f t="shared" si="256"/>
        <v/>
      </c>
      <c r="L5492" s="58" t="str">
        <f t="shared" si="257"/>
        <v/>
      </c>
    </row>
    <row r="5493" spans="10:12" ht="16.5" customHeight="1" x14ac:dyDescent="0.35">
      <c r="J5493" s="56" t="str">
        <f t="shared" si="255"/>
        <v/>
      </c>
      <c r="K5493" s="74" t="str">
        <f t="shared" si="256"/>
        <v/>
      </c>
      <c r="L5493" s="58" t="str">
        <f t="shared" si="257"/>
        <v/>
      </c>
    </row>
    <row r="5494" spans="10:12" ht="16.5" customHeight="1" x14ac:dyDescent="0.35">
      <c r="J5494" s="56" t="str">
        <f t="shared" si="255"/>
        <v/>
      </c>
      <c r="K5494" s="74" t="str">
        <f t="shared" si="256"/>
        <v/>
      </c>
      <c r="L5494" s="58" t="str">
        <f t="shared" si="257"/>
        <v/>
      </c>
    </row>
    <row r="5495" spans="10:12" ht="16.5" customHeight="1" x14ac:dyDescent="0.35">
      <c r="J5495" s="56" t="str">
        <f t="shared" si="255"/>
        <v/>
      </c>
      <c r="K5495" s="74" t="str">
        <f t="shared" si="256"/>
        <v/>
      </c>
      <c r="L5495" s="58" t="str">
        <f t="shared" si="257"/>
        <v/>
      </c>
    </row>
    <row r="5496" spans="10:12" ht="16.5" customHeight="1" x14ac:dyDescent="0.35">
      <c r="J5496" s="56" t="str">
        <f t="shared" si="255"/>
        <v/>
      </c>
      <c r="K5496" s="74" t="str">
        <f t="shared" si="256"/>
        <v/>
      </c>
      <c r="L5496" s="58" t="str">
        <f t="shared" si="257"/>
        <v/>
      </c>
    </row>
    <row r="5497" spans="10:12" ht="16.5" customHeight="1" x14ac:dyDescent="0.35">
      <c r="J5497" s="56" t="str">
        <f t="shared" si="255"/>
        <v/>
      </c>
      <c r="K5497" s="74" t="str">
        <f t="shared" si="256"/>
        <v/>
      </c>
      <c r="L5497" s="58" t="str">
        <f t="shared" si="257"/>
        <v/>
      </c>
    </row>
    <row r="5498" spans="10:12" ht="16.5" customHeight="1" x14ac:dyDescent="0.35">
      <c r="J5498" s="56" t="str">
        <f t="shared" si="255"/>
        <v/>
      </c>
      <c r="K5498" s="74" t="str">
        <f t="shared" si="256"/>
        <v/>
      </c>
      <c r="L5498" s="58" t="str">
        <f t="shared" si="257"/>
        <v/>
      </c>
    </row>
    <row r="5499" spans="10:12" ht="16.5" customHeight="1" x14ac:dyDescent="0.35">
      <c r="J5499" s="56" t="str">
        <f t="shared" si="255"/>
        <v/>
      </c>
      <c r="K5499" s="74" t="str">
        <f t="shared" si="256"/>
        <v/>
      </c>
      <c r="L5499" s="58" t="str">
        <f t="shared" si="257"/>
        <v/>
      </c>
    </row>
    <row r="5500" spans="10:12" ht="16.5" customHeight="1" x14ac:dyDescent="0.35">
      <c r="J5500" s="56" t="str">
        <f t="shared" si="255"/>
        <v/>
      </c>
      <c r="K5500" s="74" t="str">
        <f t="shared" si="256"/>
        <v/>
      </c>
      <c r="L5500" s="58" t="str">
        <f t="shared" si="257"/>
        <v/>
      </c>
    </row>
    <row r="5501" spans="10:12" ht="16.5" customHeight="1" x14ac:dyDescent="0.35">
      <c r="J5501" s="56" t="str">
        <f t="shared" si="255"/>
        <v/>
      </c>
      <c r="K5501" s="74" t="str">
        <f t="shared" si="256"/>
        <v/>
      </c>
      <c r="L5501" s="58" t="str">
        <f t="shared" si="257"/>
        <v/>
      </c>
    </row>
    <row r="5502" spans="10:12" ht="16.5" customHeight="1" x14ac:dyDescent="0.35">
      <c r="J5502" s="56" t="str">
        <f t="shared" si="255"/>
        <v/>
      </c>
      <c r="K5502" s="74" t="str">
        <f t="shared" si="256"/>
        <v/>
      </c>
      <c r="L5502" s="58" t="str">
        <f t="shared" si="257"/>
        <v/>
      </c>
    </row>
    <row r="5503" spans="10:12" ht="16.5" customHeight="1" x14ac:dyDescent="0.35">
      <c r="J5503" s="56" t="str">
        <f t="shared" si="255"/>
        <v/>
      </c>
      <c r="K5503" s="74" t="str">
        <f t="shared" si="256"/>
        <v/>
      </c>
      <c r="L5503" s="58" t="str">
        <f t="shared" si="257"/>
        <v/>
      </c>
    </row>
    <row r="5504" spans="10:12" ht="16.5" customHeight="1" x14ac:dyDescent="0.35">
      <c r="J5504" s="56" t="str">
        <f t="shared" si="255"/>
        <v/>
      </c>
      <c r="K5504" s="74" t="str">
        <f t="shared" si="256"/>
        <v/>
      </c>
      <c r="L5504" s="58" t="str">
        <f t="shared" si="257"/>
        <v/>
      </c>
    </row>
    <row r="5505" spans="10:12" ht="16.5" customHeight="1" x14ac:dyDescent="0.35">
      <c r="J5505" s="56" t="str">
        <f t="shared" si="255"/>
        <v/>
      </c>
      <c r="K5505" s="74" t="str">
        <f t="shared" si="256"/>
        <v/>
      </c>
      <c r="L5505" s="58" t="str">
        <f t="shared" si="257"/>
        <v/>
      </c>
    </row>
    <row r="5506" spans="10:12" ht="16.5" customHeight="1" x14ac:dyDescent="0.35">
      <c r="J5506" s="56" t="str">
        <f t="shared" si="255"/>
        <v/>
      </c>
      <c r="K5506" s="74" t="str">
        <f t="shared" si="256"/>
        <v/>
      </c>
      <c r="L5506" s="58" t="str">
        <f t="shared" si="257"/>
        <v/>
      </c>
    </row>
    <row r="5507" spans="10:12" ht="16.5" customHeight="1" x14ac:dyDescent="0.35">
      <c r="J5507" s="56" t="str">
        <f t="shared" si="255"/>
        <v/>
      </c>
      <c r="K5507" s="74" t="str">
        <f t="shared" si="256"/>
        <v/>
      </c>
      <c r="L5507" s="58" t="str">
        <f t="shared" si="257"/>
        <v/>
      </c>
    </row>
    <row r="5508" spans="10:12" ht="16.5" customHeight="1" x14ac:dyDescent="0.35">
      <c r="J5508" s="56" t="str">
        <f t="shared" si="255"/>
        <v/>
      </c>
      <c r="K5508" s="74" t="str">
        <f t="shared" si="256"/>
        <v/>
      </c>
      <c r="L5508" s="58" t="str">
        <f t="shared" si="257"/>
        <v/>
      </c>
    </row>
    <row r="5509" spans="10:12" ht="16.5" customHeight="1" x14ac:dyDescent="0.35">
      <c r="J5509" s="56" t="str">
        <f t="shared" si="255"/>
        <v/>
      </c>
      <c r="K5509" s="74" t="str">
        <f t="shared" si="256"/>
        <v/>
      </c>
      <c r="L5509" s="58" t="str">
        <f t="shared" si="257"/>
        <v/>
      </c>
    </row>
    <row r="5510" spans="10:12" ht="16.5" customHeight="1" x14ac:dyDescent="0.35">
      <c r="J5510" s="56" t="str">
        <f t="shared" si="255"/>
        <v/>
      </c>
      <c r="K5510" s="74" t="str">
        <f t="shared" si="256"/>
        <v/>
      </c>
      <c r="L5510" s="58" t="str">
        <f t="shared" si="257"/>
        <v/>
      </c>
    </row>
    <row r="5511" spans="10:12" ht="16.5" customHeight="1" x14ac:dyDescent="0.35">
      <c r="J5511" s="56" t="str">
        <f t="shared" si="255"/>
        <v/>
      </c>
      <c r="K5511" s="74" t="str">
        <f t="shared" si="256"/>
        <v/>
      </c>
      <c r="L5511" s="58" t="str">
        <f t="shared" si="257"/>
        <v/>
      </c>
    </row>
    <row r="5512" spans="10:12" ht="16.5" customHeight="1" x14ac:dyDescent="0.35">
      <c r="J5512" s="56" t="str">
        <f t="shared" si="255"/>
        <v/>
      </c>
      <c r="K5512" s="74" t="str">
        <f t="shared" si="256"/>
        <v/>
      </c>
      <c r="L5512" s="58" t="str">
        <f t="shared" si="257"/>
        <v/>
      </c>
    </row>
    <row r="5513" spans="10:12" ht="16.5" customHeight="1" x14ac:dyDescent="0.35">
      <c r="J5513" s="56" t="str">
        <f t="shared" ref="J5513:J5576" si="258">IF(A5513="","",A$5-A5513)</f>
        <v/>
      </c>
      <c r="K5513" s="74" t="str">
        <f t="shared" ref="K5513:K5576" si="259">IF(J5513="","",IF(J5513&lt;4,"0-3 Days",IF(J5513&lt;31,"4-30 Days",IF(J5513&lt;61,"31-60 Days",IF(J5513&lt;=90,"61-90 Days",IF(J5513&gt;90,"Above 90 Days","0"))))))</f>
        <v/>
      </c>
      <c r="L5513" s="58" t="str">
        <f t="shared" ref="L5513:L5576" si="260">IF(C5513="","",IF(C5513&gt;0,IF(J5513&lt;30,"Normal",IF(J5513&lt;60,"Especially Mentioned",IF(J5513&lt;90,"Substandard",IF(J5513&lt;=180,"Doubtful",IF(J5513&gt;180,"Loss","0"))))),"Not Applicable"))</f>
        <v/>
      </c>
    </row>
    <row r="5514" spans="10:12" ht="16.5" customHeight="1" x14ac:dyDescent="0.35">
      <c r="J5514" s="56" t="str">
        <f t="shared" si="258"/>
        <v/>
      </c>
      <c r="K5514" s="74" t="str">
        <f t="shared" si="259"/>
        <v/>
      </c>
      <c r="L5514" s="58" t="str">
        <f t="shared" si="260"/>
        <v/>
      </c>
    </row>
    <row r="5515" spans="10:12" ht="16.5" customHeight="1" x14ac:dyDescent="0.35">
      <c r="J5515" s="56" t="str">
        <f t="shared" si="258"/>
        <v/>
      </c>
      <c r="K5515" s="74" t="str">
        <f t="shared" si="259"/>
        <v/>
      </c>
      <c r="L5515" s="58" t="str">
        <f t="shared" si="260"/>
        <v/>
      </c>
    </row>
    <row r="5516" spans="10:12" ht="16.5" customHeight="1" x14ac:dyDescent="0.35">
      <c r="J5516" s="56" t="str">
        <f t="shared" si="258"/>
        <v/>
      </c>
      <c r="K5516" s="74" t="str">
        <f t="shared" si="259"/>
        <v/>
      </c>
      <c r="L5516" s="58" t="str">
        <f t="shared" si="260"/>
        <v/>
      </c>
    </row>
    <row r="5517" spans="10:12" ht="16.5" customHeight="1" x14ac:dyDescent="0.35">
      <c r="J5517" s="56" t="str">
        <f t="shared" si="258"/>
        <v/>
      </c>
      <c r="K5517" s="74" t="str">
        <f t="shared" si="259"/>
        <v/>
      </c>
      <c r="L5517" s="58" t="str">
        <f t="shared" si="260"/>
        <v/>
      </c>
    </row>
    <row r="5518" spans="10:12" ht="16.5" customHeight="1" x14ac:dyDescent="0.35">
      <c r="J5518" s="56" t="str">
        <f t="shared" si="258"/>
        <v/>
      </c>
      <c r="K5518" s="74" t="str">
        <f t="shared" si="259"/>
        <v/>
      </c>
      <c r="L5518" s="58" t="str">
        <f t="shared" si="260"/>
        <v/>
      </c>
    </row>
    <row r="5519" spans="10:12" ht="16.5" customHeight="1" x14ac:dyDescent="0.35">
      <c r="J5519" s="56" t="str">
        <f t="shared" si="258"/>
        <v/>
      </c>
      <c r="K5519" s="74" t="str">
        <f t="shared" si="259"/>
        <v/>
      </c>
      <c r="L5519" s="58" t="str">
        <f t="shared" si="260"/>
        <v/>
      </c>
    </row>
    <row r="5520" spans="10:12" ht="16.5" customHeight="1" x14ac:dyDescent="0.35">
      <c r="J5520" s="56" t="str">
        <f t="shared" si="258"/>
        <v/>
      </c>
      <c r="K5520" s="74" t="str">
        <f t="shared" si="259"/>
        <v/>
      </c>
      <c r="L5520" s="58" t="str">
        <f t="shared" si="260"/>
        <v/>
      </c>
    </row>
    <row r="5521" spans="10:12" ht="16.5" customHeight="1" x14ac:dyDescent="0.35">
      <c r="J5521" s="56" t="str">
        <f t="shared" si="258"/>
        <v/>
      </c>
      <c r="K5521" s="74" t="str">
        <f t="shared" si="259"/>
        <v/>
      </c>
      <c r="L5521" s="58" t="str">
        <f t="shared" si="260"/>
        <v/>
      </c>
    </row>
    <row r="5522" spans="10:12" ht="16.5" customHeight="1" x14ac:dyDescent="0.35">
      <c r="J5522" s="56" t="str">
        <f t="shared" si="258"/>
        <v/>
      </c>
      <c r="K5522" s="74" t="str">
        <f t="shared" si="259"/>
        <v/>
      </c>
      <c r="L5522" s="58" t="str">
        <f t="shared" si="260"/>
        <v/>
      </c>
    </row>
    <row r="5523" spans="10:12" ht="16.5" customHeight="1" x14ac:dyDescent="0.35">
      <c r="J5523" s="56" t="str">
        <f t="shared" si="258"/>
        <v/>
      </c>
      <c r="K5523" s="74" t="str">
        <f t="shared" si="259"/>
        <v/>
      </c>
      <c r="L5523" s="58" t="str">
        <f t="shared" si="260"/>
        <v/>
      </c>
    </row>
    <row r="5524" spans="10:12" ht="16.5" customHeight="1" x14ac:dyDescent="0.35">
      <c r="J5524" s="56" t="str">
        <f t="shared" si="258"/>
        <v/>
      </c>
      <c r="K5524" s="74" t="str">
        <f t="shared" si="259"/>
        <v/>
      </c>
      <c r="L5524" s="58" t="str">
        <f t="shared" si="260"/>
        <v/>
      </c>
    </row>
    <row r="5525" spans="10:12" ht="16.5" customHeight="1" x14ac:dyDescent="0.35">
      <c r="J5525" s="56" t="str">
        <f t="shared" si="258"/>
        <v/>
      </c>
      <c r="K5525" s="74" t="str">
        <f t="shared" si="259"/>
        <v/>
      </c>
      <c r="L5525" s="58" t="str">
        <f t="shared" si="260"/>
        <v/>
      </c>
    </row>
    <row r="5526" spans="10:12" ht="16.5" customHeight="1" x14ac:dyDescent="0.35">
      <c r="J5526" s="56" t="str">
        <f t="shared" si="258"/>
        <v/>
      </c>
      <c r="K5526" s="74" t="str">
        <f t="shared" si="259"/>
        <v/>
      </c>
      <c r="L5526" s="58" t="str">
        <f t="shared" si="260"/>
        <v/>
      </c>
    </row>
    <row r="5527" spans="10:12" ht="16.5" customHeight="1" x14ac:dyDescent="0.35">
      <c r="J5527" s="56" t="str">
        <f t="shared" si="258"/>
        <v/>
      </c>
      <c r="K5527" s="74" t="str">
        <f t="shared" si="259"/>
        <v/>
      </c>
      <c r="L5527" s="58" t="str">
        <f t="shared" si="260"/>
        <v/>
      </c>
    </row>
    <row r="5528" spans="10:12" ht="16.5" customHeight="1" x14ac:dyDescent="0.35">
      <c r="J5528" s="56" t="str">
        <f t="shared" si="258"/>
        <v/>
      </c>
      <c r="K5528" s="74" t="str">
        <f t="shared" si="259"/>
        <v/>
      </c>
      <c r="L5528" s="58" t="str">
        <f t="shared" si="260"/>
        <v/>
      </c>
    </row>
    <row r="5529" spans="10:12" ht="16.5" customHeight="1" x14ac:dyDescent="0.35">
      <c r="J5529" s="56" t="str">
        <f t="shared" si="258"/>
        <v/>
      </c>
      <c r="K5529" s="74" t="str">
        <f t="shared" si="259"/>
        <v/>
      </c>
      <c r="L5529" s="58" t="str">
        <f t="shared" si="260"/>
        <v/>
      </c>
    </row>
    <row r="5530" spans="10:12" ht="16.5" customHeight="1" x14ac:dyDescent="0.35">
      <c r="J5530" s="56" t="str">
        <f t="shared" si="258"/>
        <v/>
      </c>
      <c r="K5530" s="74" t="str">
        <f t="shared" si="259"/>
        <v/>
      </c>
      <c r="L5530" s="58" t="str">
        <f t="shared" si="260"/>
        <v/>
      </c>
    </row>
    <row r="5531" spans="10:12" ht="16.5" customHeight="1" x14ac:dyDescent="0.35">
      <c r="J5531" s="56" t="str">
        <f t="shared" si="258"/>
        <v/>
      </c>
      <c r="K5531" s="74" t="str">
        <f t="shared" si="259"/>
        <v/>
      </c>
      <c r="L5531" s="58" t="str">
        <f t="shared" si="260"/>
        <v/>
      </c>
    </row>
    <row r="5532" spans="10:12" ht="16.5" customHeight="1" x14ac:dyDescent="0.35">
      <c r="J5532" s="56" t="str">
        <f t="shared" si="258"/>
        <v/>
      </c>
      <c r="K5532" s="74" t="str">
        <f t="shared" si="259"/>
        <v/>
      </c>
      <c r="L5532" s="58" t="str">
        <f t="shared" si="260"/>
        <v/>
      </c>
    </row>
    <row r="5533" spans="10:12" ht="16.5" customHeight="1" x14ac:dyDescent="0.35">
      <c r="J5533" s="56" t="str">
        <f t="shared" si="258"/>
        <v/>
      </c>
      <c r="K5533" s="74" t="str">
        <f t="shared" si="259"/>
        <v/>
      </c>
      <c r="L5533" s="58" t="str">
        <f t="shared" si="260"/>
        <v/>
      </c>
    </row>
    <row r="5534" spans="10:12" ht="16.5" customHeight="1" x14ac:dyDescent="0.35">
      <c r="J5534" s="56" t="str">
        <f t="shared" si="258"/>
        <v/>
      </c>
      <c r="K5534" s="74" t="str">
        <f t="shared" si="259"/>
        <v/>
      </c>
      <c r="L5534" s="58" t="str">
        <f t="shared" si="260"/>
        <v/>
      </c>
    </row>
    <row r="5535" spans="10:12" ht="16.5" customHeight="1" x14ac:dyDescent="0.35">
      <c r="J5535" s="56" t="str">
        <f t="shared" si="258"/>
        <v/>
      </c>
      <c r="K5535" s="74" t="str">
        <f t="shared" si="259"/>
        <v/>
      </c>
      <c r="L5535" s="58" t="str">
        <f t="shared" si="260"/>
        <v/>
      </c>
    </row>
    <row r="5536" spans="10:12" ht="16.5" customHeight="1" x14ac:dyDescent="0.35">
      <c r="J5536" s="56" t="str">
        <f t="shared" si="258"/>
        <v/>
      </c>
      <c r="K5536" s="74" t="str">
        <f t="shared" si="259"/>
        <v/>
      </c>
      <c r="L5536" s="58" t="str">
        <f t="shared" si="260"/>
        <v/>
      </c>
    </row>
    <row r="5537" spans="10:12" ht="16.5" customHeight="1" x14ac:dyDescent="0.35">
      <c r="J5537" s="56" t="str">
        <f t="shared" si="258"/>
        <v/>
      </c>
      <c r="K5537" s="74" t="str">
        <f t="shared" si="259"/>
        <v/>
      </c>
      <c r="L5537" s="58" t="str">
        <f t="shared" si="260"/>
        <v/>
      </c>
    </row>
    <row r="5538" spans="10:12" ht="16.5" customHeight="1" x14ac:dyDescent="0.35">
      <c r="J5538" s="56" t="str">
        <f t="shared" si="258"/>
        <v/>
      </c>
      <c r="K5538" s="74" t="str">
        <f t="shared" si="259"/>
        <v/>
      </c>
      <c r="L5538" s="58" t="str">
        <f t="shared" si="260"/>
        <v/>
      </c>
    </row>
    <row r="5539" spans="10:12" ht="16.5" customHeight="1" x14ac:dyDescent="0.35">
      <c r="J5539" s="56" t="str">
        <f t="shared" si="258"/>
        <v/>
      </c>
      <c r="K5539" s="74" t="str">
        <f t="shared" si="259"/>
        <v/>
      </c>
      <c r="L5539" s="58" t="str">
        <f t="shared" si="260"/>
        <v/>
      </c>
    </row>
    <row r="5540" spans="10:12" ht="16.5" customHeight="1" x14ac:dyDescent="0.35">
      <c r="J5540" s="56" t="str">
        <f t="shared" si="258"/>
        <v/>
      </c>
      <c r="K5540" s="74" t="str">
        <f t="shared" si="259"/>
        <v/>
      </c>
      <c r="L5540" s="58" t="str">
        <f t="shared" si="260"/>
        <v/>
      </c>
    </row>
    <row r="5541" spans="10:12" ht="16.5" customHeight="1" x14ac:dyDescent="0.35">
      <c r="J5541" s="56" t="str">
        <f t="shared" si="258"/>
        <v/>
      </c>
      <c r="K5541" s="74" t="str">
        <f t="shared" si="259"/>
        <v/>
      </c>
      <c r="L5541" s="58" t="str">
        <f t="shared" si="260"/>
        <v/>
      </c>
    </row>
    <row r="5542" spans="10:12" ht="16.5" customHeight="1" x14ac:dyDescent="0.35">
      <c r="J5542" s="56" t="str">
        <f t="shared" si="258"/>
        <v/>
      </c>
      <c r="K5542" s="74" t="str">
        <f t="shared" si="259"/>
        <v/>
      </c>
      <c r="L5542" s="58" t="str">
        <f t="shared" si="260"/>
        <v/>
      </c>
    </row>
    <row r="5543" spans="10:12" ht="16.5" customHeight="1" x14ac:dyDescent="0.35">
      <c r="J5543" s="56" t="str">
        <f t="shared" si="258"/>
        <v/>
      </c>
      <c r="K5543" s="74" t="str">
        <f t="shared" si="259"/>
        <v/>
      </c>
      <c r="L5543" s="58" t="str">
        <f t="shared" si="260"/>
        <v/>
      </c>
    </row>
    <row r="5544" spans="10:12" ht="16.5" customHeight="1" x14ac:dyDescent="0.35">
      <c r="J5544" s="56" t="str">
        <f t="shared" si="258"/>
        <v/>
      </c>
      <c r="K5544" s="74" t="str">
        <f t="shared" si="259"/>
        <v/>
      </c>
      <c r="L5544" s="58" t="str">
        <f t="shared" si="260"/>
        <v/>
      </c>
    </row>
    <row r="5545" spans="10:12" ht="16.5" customHeight="1" x14ac:dyDescent="0.35">
      <c r="J5545" s="56" t="str">
        <f t="shared" si="258"/>
        <v/>
      </c>
      <c r="K5545" s="74" t="str">
        <f t="shared" si="259"/>
        <v/>
      </c>
      <c r="L5545" s="58" t="str">
        <f t="shared" si="260"/>
        <v/>
      </c>
    </row>
    <row r="5546" spans="10:12" ht="16.5" customHeight="1" x14ac:dyDescent="0.35">
      <c r="J5546" s="56" t="str">
        <f t="shared" si="258"/>
        <v/>
      </c>
      <c r="K5546" s="74" t="str">
        <f t="shared" si="259"/>
        <v/>
      </c>
      <c r="L5546" s="58" t="str">
        <f t="shared" si="260"/>
        <v/>
      </c>
    </row>
    <row r="5547" spans="10:12" ht="16.5" customHeight="1" x14ac:dyDescent="0.35">
      <c r="J5547" s="56" t="str">
        <f t="shared" si="258"/>
        <v/>
      </c>
      <c r="K5547" s="74" t="str">
        <f t="shared" si="259"/>
        <v/>
      </c>
      <c r="L5547" s="58" t="str">
        <f t="shared" si="260"/>
        <v/>
      </c>
    </row>
    <row r="5548" spans="10:12" ht="16.5" customHeight="1" x14ac:dyDescent="0.35">
      <c r="J5548" s="56" t="str">
        <f t="shared" si="258"/>
        <v/>
      </c>
      <c r="K5548" s="74" t="str">
        <f t="shared" si="259"/>
        <v/>
      </c>
      <c r="L5548" s="58" t="str">
        <f t="shared" si="260"/>
        <v/>
      </c>
    </row>
    <row r="5549" spans="10:12" ht="16.5" customHeight="1" x14ac:dyDescent="0.35">
      <c r="J5549" s="56" t="str">
        <f t="shared" si="258"/>
        <v/>
      </c>
      <c r="K5549" s="74" t="str">
        <f t="shared" si="259"/>
        <v/>
      </c>
      <c r="L5549" s="58" t="str">
        <f t="shared" si="260"/>
        <v/>
      </c>
    </row>
    <row r="5550" spans="10:12" ht="16.5" customHeight="1" x14ac:dyDescent="0.35">
      <c r="J5550" s="56" t="str">
        <f t="shared" si="258"/>
        <v/>
      </c>
      <c r="K5550" s="74" t="str">
        <f t="shared" si="259"/>
        <v/>
      </c>
      <c r="L5550" s="58" t="str">
        <f t="shared" si="260"/>
        <v/>
      </c>
    </row>
    <row r="5551" spans="10:12" ht="16.5" customHeight="1" x14ac:dyDescent="0.35">
      <c r="J5551" s="56" t="str">
        <f t="shared" si="258"/>
        <v/>
      </c>
      <c r="K5551" s="74" t="str">
        <f t="shared" si="259"/>
        <v/>
      </c>
      <c r="L5551" s="58" t="str">
        <f t="shared" si="260"/>
        <v/>
      </c>
    </row>
    <row r="5552" spans="10:12" ht="16.5" customHeight="1" x14ac:dyDescent="0.35">
      <c r="J5552" s="56" t="str">
        <f t="shared" si="258"/>
        <v/>
      </c>
      <c r="K5552" s="74" t="str">
        <f t="shared" si="259"/>
        <v/>
      </c>
      <c r="L5552" s="58" t="str">
        <f t="shared" si="260"/>
        <v/>
      </c>
    </row>
    <row r="5553" spans="10:12" ht="16.5" customHeight="1" x14ac:dyDescent="0.35">
      <c r="J5553" s="56" t="str">
        <f t="shared" si="258"/>
        <v/>
      </c>
      <c r="K5553" s="74" t="str">
        <f t="shared" si="259"/>
        <v/>
      </c>
      <c r="L5553" s="58" t="str">
        <f t="shared" si="260"/>
        <v/>
      </c>
    </row>
    <row r="5554" spans="10:12" ht="16.5" customHeight="1" x14ac:dyDescent="0.35">
      <c r="J5554" s="56" t="str">
        <f t="shared" si="258"/>
        <v/>
      </c>
      <c r="K5554" s="74" t="str">
        <f t="shared" si="259"/>
        <v/>
      </c>
      <c r="L5554" s="58" t="str">
        <f t="shared" si="260"/>
        <v/>
      </c>
    </row>
    <row r="5555" spans="10:12" ht="16.5" customHeight="1" x14ac:dyDescent="0.35">
      <c r="J5555" s="56" t="str">
        <f t="shared" si="258"/>
        <v/>
      </c>
      <c r="K5555" s="74" t="str">
        <f t="shared" si="259"/>
        <v/>
      </c>
      <c r="L5555" s="58" t="str">
        <f t="shared" si="260"/>
        <v/>
      </c>
    </row>
    <row r="5556" spans="10:12" ht="16.5" customHeight="1" x14ac:dyDescent="0.35">
      <c r="J5556" s="56" t="str">
        <f t="shared" si="258"/>
        <v/>
      </c>
      <c r="K5556" s="74" t="str">
        <f t="shared" si="259"/>
        <v/>
      </c>
      <c r="L5556" s="58" t="str">
        <f t="shared" si="260"/>
        <v/>
      </c>
    </row>
    <row r="5557" spans="10:12" ht="16.5" customHeight="1" x14ac:dyDescent="0.35">
      <c r="J5557" s="56" t="str">
        <f t="shared" si="258"/>
        <v/>
      </c>
      <c r="K5557" s="74" t="str">
        <f t="shared" si="259"/>
        <v/>
      </c>
      <c r="L5557" s="58" t="str">
        <f t="shared" si="260"/>
        <v/>
      </c>
    </row>
    <row r="5558" spans="10:12" ht="16.5" customHeight="1" x14ac:dyDescent="0.35">
      <c r="J5558" s="56" t="str">
        <f t="shared" si="258"/>
        <v/>
      </c>
      <c r="K5558" s="74" t="str">
        <f t="shared" si="259"/>
        <v/>
      </c>
      <c r="L5558" s="58" t="str">
        <f t="shared" si="260"/>
        <v/>
      </c>
    </row>
    <row r="5559" spans="10:12" ht="16.5" customHeight="1" x14ac:dyDescent="0.35">
      <c r="J5559" s="56" t="str">
        <f t="shared" si="258"/>
        <v/>
      </c>
      <c r="K5559" s="74" t="str">
        <f t="shared" si="259"/>
        <v/>
      </c>
      <c r="L5559" s="58" t="str">
        <f t="shared" si="260"/>
        <v/>
      </c>
    </row>
    <row r="5560" spans="10:12" ht="16.5" customHeight="1" x14ac:dyDescent="0.35">
      <c r="J5560" s="56" t="str">
        <f t="shared" si="258"/>
        <v/>
      </c>
      <c r="K5560" s="74" t="str">
        <f t="shared" si="259"/>
        <v/>
      </c>
      <c r="L5560" s="58" t="str">
        <f t="shared" si="260"/>
        <v/>
      </c>
    </row>
    <row r="5561" spans="10:12" ht="16.5" customHeight="1" x14ac:dyDescent="0.35">
      <c r="J5561" s="56" t="str">
        <f t="shared" si="258"/>
        <v/>
      </c>
      <c r="K5561" s="74" t="str">
        <f t="shared" si="259"/>
        <v/>
      </c>
      <c r="L5561" s="58" t="str">
        <f t="shared" si="260"/>
        <v/>
      </c>
    </row>
    <row r="5562" spans="10:12" ht="16.5" customHeight="1" x14ac:dyDescent="0.35">
      <c r="J5562" s="56" t="str">
        <f t="shared" si="258"/>
        <v/>
      </c>
      <c r="K5562" s="74" t="str">
        <f t="shared" si="259"/>
        <v/>
      </c>
      <c r="L5562" s="58" t="str">
        <f t="shared" si="260"/>
        <v/>
      </c>
    </row>
    <row r="5563" spans="10:12" ht="16.5" customHeight="1" x14ac:dyDescent="0.35">
      <c r="J5563" s="56" t="str">
        <f t="shared" si="258"/>
        <v/>
      </c>
      <c r="K5563" s="74" t="str">
        <f t="shared" si="259"/>
        <v/>
      </c>
      <c r="L5563" s="58" t="str">
        <f t="shared" si="260"/>
        <v/>
      </c>
    </row>
    <row r="5564" spans="10:12" ht="16.5" customHeight="1" x14ac:dyDescent="0.35">
      <c r="J5564" s="56" t="str">
        <f t="shared" si="258"/>
        <v/>
      </c>
      <c r="K5564" s="74" t="str">
        <f t="shared" si="259"/>
        <v/>
      </c>
      <c r="L5564" s="58" t="str">
        <f t="shared" si="260"/>
        <v/>
      </c>
    </row>
    <row r="5565" spans="10:12" ht="16.5" customHeight="1" x14ac:dyDescent="0.35">
      <c r="J5565" s="56" t="str">
        <f t="shared" si="258"/>
        <v/>
      </c>
      <c r="K5565" s="74" t="str">
        <f t="shared" si="259"/>
        <v/>
      </c>
      <c r="L5565" s="58" t="str">
        <f t="shared" si="260"/>
        <v/>
      </c>
    </row>
    <row r="5566" spans="10:12" ht="16.5" customHeight="1" x14ac:dyDescent="0.35">
      <c r="J5566" s="56" t="str">
        <f t="shared" si="258"/>
        <v/>
      </c>
      <c r="K5566" s="74" t="str">
        <f t="shared" si="259"/>
        <v/>
      </c>
      <c r="L5566" s="58" t="str">
        <f t="shared" si="260"/>
        <v/>
      </c>
    </row>
    <row r="5567" spans="10:12" ht="16.5" customHeight="1" x14ac:dyDescent="0.35">
      <c r="J5567" s="56" t="str">
        <f t="shared" si="258"/>
        <v/>
      </c>
      <c r="K5567" s="74" t="str">
        <f t="shared" si="259"/>
        <v/>
      </c>
      <c r="L5567" s="58" t="str">
        <f t="shared" si="260"/>
        <v/>
      </c>
    </row>
    <row r="5568" spans="10:12" ht="16.5" customHeight="1" x14ac:dyDescent="0.35">
      <c r="J5568" s="56" t="str">
        <f t="shared" si="258"/>
        <v/>
      </c>
      <c r="K5568" s="74" t="str">
        <f t="shared" si="259"/>
        <v/>
      </c>
      <c r="L5568" s="58" t="str">
        <f t="shared" si="260"/>
        <v/>
      </c>
    </row>
    <row r="5569" spans="10:12" ht="16.5" customHeight="1" x14ac:dyDescent="0.35">
      <c r="J5569" s="56" t="str">
        <f t="shared" si="258"/>
        <v/>
      </c>
      <c r="K5569" s="74" t="str">
        <f t="shared" si="259"/>
        <v/>
      </c>
      <c r="L5569" s="58" t="str">
        <f t="shared" si="260"/>
        <v/>
      </c>
    </row>
    <row r="5570" spans="10:12" ht="16.5" customHeight="1" x14ac:dyDescent="0.35">
      <c r="J5570" s="56" t="str">
        <f t="shared" si="258"/>
        <v/>
      </c>
      <c r="K5570" s="74" t="str">
        <f t="shared" si="259"/>
        <v/>
      </c>
      <c r="L5570" s="58" t="str">
        <f t="shared" si="260"/>
        <v/>
      </c>
    </row>
    <row r="5571" spans="10:12" ht="16.5" customHeight="1" x14ac:dyDescent="0.35">
      <c r="J5571" s="56" t="str">
        <f t="shared" si="258"/>
        <v/>
      </c>
      <c r="K5571" s="74" t="str">
        <f t="shared" si="259"/>
        <v/>
      </c>
      <c r="L5571" s="58" t="str">
        <f t="shared" si="260"/>
        <v/>
      </c>
    </row>
    <row r="5572" spans="10:12" ht="16.5" customHeight="1" x14ac:dyDescent="0.35">
      <c r="J5572" s="56" t="str">
        <f t="shared" si="258"/>
        <v/>
      </c>
      <c r="K5572" s="74" t="str">
        <f t="shared" si="259"/>
        <v/>
      </c>
      <c r="L5572" s="58" t="str">
        <f t="shared" si="260"/>
        <v/>
      </c>
    </row>
    <row r="5573" spans="10:12" ht="16.5" customHeight="1" x14ac:dyDescent="0.35">
      <c r="J5573" s="56" t="str">
        <f t="shared" si="258"/>
        <v/>
      </c>
      <c r="K5573" s="74" t="str">
        <f t="shared" si="259"/>
        <v/>
      </c>
      <c r="L5573" s="58" t="str">
        <f t="shared" si="260"/>
        <v/>
      </c>
    </row>
    <row r="5574" spans="10:12" ht="16.5" customHeight="1" x14ac:dyDescent="0.35">
      <c r="J5574" s="56" t="str">
        <f t="shared" si="258"/>
        <v/>
      </c>
      <c r="K5574" s="74" t="str">
        <f t="shared" si="259"/>
        <v/>
      </c>
      <c r="L5574" s="58" t="str">
        <f t="shared" si="260"/>
        <v/>
      </c>
    </row>
    <row r="5575" spans="10:12" ht="16.5" customHeight="1" x14ac:dyDescent="0.35">
      <c r="J5575" s="56" t="str">
        <f t="shared" si="258"/>
        <v/>
      </c>
      <c r="K5575" s="74" t="str">
        <f t="shared" si="259"/>
        <v/>
      </c>
      <c r="L5575" s="58" t="str">
        <f t="shared" si="260"/>
        <v/>
      </c>
    </row>
    <row r="5576" spans="10:12" ht="16.5" customHeight="1" x14ac:dyDescent="0.35">
      <c r="J5576" s="56" t="str">
        <f t="shared" si="258"/>
        <v/>
      </c>
      <c r="K5576" s="74" t="str">
        <f t="shared" si="259"/>
        <v/>
      </c>
      <c r="L5576" s="58" t="str">
        <f t="shared" si="260"/>
        <v/>
      </c>
    </row>
    <row r="5577" spans="10:12" ht="16.5" customHeight="1" x14ac:dyDescent="0.35">
      <c r="J5577" s="56" t="str">
        <f t="shared" ref="J5577:J5640" si="261">IF(A5577="","",A$5-A5577)</f>
        <v/>
      </c>
      <c r="K5577" s="74" t="str">
        <f t="shared" ref="K5577:K5640" si="262">IF(J5577="","",IF(J5577&lt;4,"0-3 Days",IF(J5577&lt;31,"4-30 Days",IF(J5577&lt;61,"31-60 Days",IF(J5577&lt;=90,"61-90 Days",IF(J5577&gt;90,"Above 90 Days","0"))))))</f>
        <v/>
      </c>
      <c r="L5577" s="58" t="str">
        <f t="shared" ref="L5577:L5640" si="263">IF(C5577="","",IF(C5577&gt;0,IF(J5577&lt;30,"Normal",IF(J5577&lt;60,"Especially Mentioned",IF(J5577&lt;90,"Substandard",IF(J5577&lt;=180,"Doubtful",IF(J5577&gt;180,"Loss","0"))))),"Not Applicable"))</f>
        <v/>
      </c>
    </row>
    <row r="5578" spans="10:12" ht="16.5" customHeight="1" x14ac:dyDescent="0.35">
      <c r="J5578" s="56" t="str">
        <f t="shared" si="261"/>
        <v/>
      </c>
      <c r="K5578" s="74" t="str">
        <f t="shared" si="262"/>
        <v/>
      </c>
      <c r="L5578" s="58" t="str">
        <f t="shared" si="263"/>
        <v/>
      </c>
    </row>
    <row r="5579" spans="10:12" ht="16.5" customHeight="1" x14ac:dyDescent="0.35">
      <c r="J5579" s="56" t="str">
        <f t="shared" si="261"/>
        <v/>
      </c>
      <c r="K5579" s="74" t="str">
        <f t="shared" si="262"/>
        <v/>
      </c>
      <c r="L5579" s="58" t="str">
        <f t="shared" si="263"/>
        <v/>
      </c>
    </row>
    <row r="5580" spans="10:12" ht="16.5" customHeight="1" x14ac:dyDescent="0.35">
      <c r="J5580" s="56" t="str">
        <f t="shared" si="261"/>
        <v/>
      </c>
      <c r="K5580" s="74" t="str">
        <f t="shared" si="262"/>
        <v/>
      </c>
      <c r="L5580" s="58" t="str">
        <f t="shared" si="263"/>
        <v/>
      </c>
    </row>
    <row r="5581" spans="10:12" ht="16.5" customHeight="1" x14ac:dyDescent="0.35">
      <c r="J5581" s="56" t="str">
        <f t="shared" si="261"/>
        <v/>
      </c>
      <c r="K5581" s="74" t="str">
        <f t="shared" si="262"/>
        <v/>
      </c>
      <c r="L5581" s="58" t="str">
        <f t="shared" si="263"/>
        <v/>
      </c>
    </row>
    <row r="5582" spans="10:12" ht="16.5" customHeight="1" x14ac:dyDescent="0.35">
      <c r="J5582" s="56" t="str">
        <f t="shared" si="261"/>
        <v/>
      </c>
      <c r="K5582" s="74" t="str">
        <f t="shared" si="262"/>
        <v/>
      </c>
      <c r="L5582" s="58" t="str">
        <f t="shared" si="263"/>
        <v/>
      </c>
    </row>
    <row r="5583" spans="10:12" ht="16.5" customHeight="1" x14ac:dyDescent="0.35">
      <c r="J5583" s="56" t="str">
        <f t="shared" si="261"/>
        <v/>
      </c>
      <c r="K5583" s="74" t="str">
        <f t="shared" si="262"/>
        <v/>
      </c>
      <c r="L5583" s="58" t="str">
        <f t="shared" si="263"/>
        <v/>
      </c>
    </row>
    <row r="5584" spans="10:12" ht="16.5" customHeight="1" x14ac:dyDescent="0.35">
      <c r="J5584" s="56" t="str">
        <f t="shared" si="261"/>
        <v/>
      </c>
      <c r="K5584" s="74" t="str">
        <f t="shared" si="262"/>
        <v/>
      </c>
      <c r="L5584" s="58" t="str">
        <f t="shared" si="263"/>
        <v/>
      </c>
    </row>
    <row r="5585" spans="10:12" ht="16.5" customHeight="1" x14ac:dyDescent="0.35">
      <c r="J5585" s="56" t="str">
        <f t="shared" si="261"/>
        <v/>
      </c>
      <c r="K5585" s="74" t="str">
        <f t="shared" si="262"/>
        <v/>
      </c>
      <c r="L5585" s="58" t="str">
        <f t="shared" si="263"/>
        <v/>
      </c>
    </row>
    <row r="5586" spans="10:12" ht="16.5" customHeight="1" x14ac:dyDescent="0.35">
      <c r="J5586" s="56" t="str">
        <f t="shared" si="261"/>
        <v/>
      </c>
      <c r="K5586" s="74" t="str">
        <f t="shared" si="262"/>
        <v/>
      </c>
      <c r="L5586" s="58" t="str">
        <f t="shared" si="263"/>
        <v/>
      </c>
    </row>
    <row r="5587" spans="10:12" ht="16.5" customHeight="1" x14ac:dyDescent="0.35">
      <c r="J5587" s="56" t="str">
        <f t="shared" si="261"/>
        <v/>
      </c>
      <c r="K5587" s="74" t="str">
        <f t="shared" si="262"/>
        <v/>
      </c>
      <c r="L5587" s="58" t="str">
        <f t="shared" si="263"/>
        <v/>
      </c>
    </row>
    <row r="5588" spans="10:12" ht="16.5" customHeight="1" x14ac:dyDescent="0.35">
      <c r="J5588" s="56" t="str">
        <f t="shared" si="261"/>
        <v/>
      </c>
      <c r="K5588" s="74" t="str">
        <f t="shared" si="262"/>
        <v/>
      </c>
      <c r="L5588" s="58" t="str">
        <f t="shared" si="263"/>
        <v/>
      </c>
    </row>
    <row r="5589" spans="10:12" ht="16.5" customHeight="1" x14ac:dyDescent="0.35">
      <c r="J5589" s="56" t="str">
        <f t="shared" si="261"/>
        <v/>
      </c>
      <c r="K5589" s="74" t="str">
        <f t="shared" si="262"/>
        <v/>
      </c>
      <c r="L5589" s="58" t="str">
        <f t="shared" si="263"/>
        <v/>
      </c>
    </row>
    <row r="5590" spans="10:12" ht="16.5" customHeight="1" x14ac:dyDescent="0.35">
      <c r="J5590" s="56" t="str">
        <f t="shared" si="261"/>
        <v/>
      </c>
      <c r="K5590" s="74" t="str">
        <f t="shared" si="262"/>
        <v/>
      </c>
      <c r="L5590" s="58" t="str">
        <f t="shared" si="263"/>
        <v/>
      </c>
    </row>
    <row r="5591" spans="10:12" ht="16.5" customHeight="1" x14ac:dyDescent="0.35">
      <c r="J5591" s="56" t="str">
        <f t="shared" si="261"/>
        <v/>
      </c>
      <c r="K5591" s="74" t="str">
        <f t="shared" si="262"/>
        <v/>
      </c>
      <c r="L5591" s="58" t="str">
        <f t="shared" si="263"/>
        <v/>
      </c>
    </row>
    <row r="5592" spans="10:12" ht="16.5" customHeight="1" x14ac:dyDescent="0.35">
      <c r="J5592" s="56" t="str">
        <f t="shared" si="261"/>
        <v/>
      </c>
      <c r="K5592" s="74" t="str">
        <f t="shared" si="262"/>
        <v/>
      </c>
      <c r="L5592" s="58" t="str">
        <f t="shared" si="263"/>
        <v/>
      </c>
    </row>
    <row r="5593" spans="10:12" ht="16.5" customHeight="1" x14ac:dyDescent="0.35">
      <c r="J5593" s="56" t="str">
        <f t="shared" si="261"/>
        <v/>
      </c>
      <c r="K5593" s="74" t="str">
        <f t="shared" si="262"/>
        <v/>
      </c>
      <c r="L5593" s="58" t="str">
        <f t="shared" si="263"/>
        <v/>
      </c>
    </row>
    <row r="5594" spans="10:12" ht="16.5" customHeight="1" x14ac:dyDescent="0.35">
      <c r="J5594" s="56" t="str">
        <f t="shared" si="261"/>
        <v/>
      </c>
      <c r="K5594" s="74" t="str">
        <f t="shared" si="262"/>
        <v/>
      </c>
      <c r="L5594" s="58" t="str">
        <f t="shared" si="263"/>
        <v/>
      </c>
    </row>
    <row r="5595" spans="10:12" ht="16.5" customHeight="1" x14ac:dyDescent="0.35">
      <c r="J5595" s="56" t="str">
        <f t="shared" si="261"/>
        <v/>
      </c>
      <c r="K5595" s="74" t="str">
        <f t="shared" si="262"/>
        <v/>
      </c>
      <c r="L5595" s="58" t="str">
        <f t="shared" si="263"/>
        <v/>
      </c>
    </row>
    <row r="5596" spans="10:12" ht="16.5" customHeight="1" x14ac:dyDescent="0.35">
      <c r="J5596" s="56" t="str">
        <f t="shared" si="261"/>
        <v/>
      </c>
      <c r="K5596" s="74" t="str">
        <f t="shared" si="262"/>
        <v/>
      </c>
      <c r="L5596" s="58" t="str">
        <f t="shared" si="263"/>
        <v/>
      </c>
    </row>
    <row r="5597" spans="10:12" ht="16.5" customHeight="1" x14ac:dyDescent="0.35">
      <c r="J5597" s="56" t="str">
        <f t="shared" si="261"/>
        <v/>
      </c>
      <c r="K5597" s="74" t="str">
        <f t="shared" si="262"/>
        <v/>
      </c>
      <c r="L5597" s="58" t="str">
        <f t="shared" si="263"/>
        <v/>
      </c>
    </row>
    <row r="5598" spans="10:12" ht="16.5" customHeight="1" x14ac:dyDescent="0.35">
      <c r="J5598" s="56" t="str">
        <f t="shared" si="261"/>
        <v/>
      </c>
      <c r="K5598" s="74" t="str">
        <f t="shared" si="262"/>
        <v/>
      </c>
      <c r="L5598" s="58" t="str">
        <f t="shared" si="263"/>
        <v/>
      </c>
    </row>
    <row r="5599" spans="10:12" ht="16.5" customHeight="1" x14ac:dyDescent="0.35">
      <c r="J5599" s="56" t="str">
        <f t="shared" si="261"/>
        <v/>
      </c>
      <c r="K5599" s="74" t="str">
        <f t="shared" si="262"/>
        <v/>
      </c>
      <c r="L5599" s="58" t="str">
        <f t="shared" si="263"/>
        <v/>
      </c>
    </row>
    <row r="5600" spans="10:12" ht="16.5" customHeight="1" x14ac:dyDescent="0.35">
      <c r="J5600" s="56" t="str">
        <f t="shared" si="261"/>
        <v/>
      </c>
      <c r="K5600" s="74" t="str">
        <f t="shared" si="262"/>
        <v/>
      </c>
      <c r="L5600" s="58" t="str">
        <f t="shared" si="263"/>
        <v/>
      </c>
    </row>
    <row r="5601" spans="10:12" ht="16.5" customHeight="1" x14ac:dyDescent="0.35">
      <c r="J5601" s="56" t="str">
        <f t="shared" si="261"/>
        <v/>
      </c>
      <c r="K5601" s="74" t="str">
        <f t="shared" si="262"/>
        <v/>
      </c>
      <c r="L5601" s="58" t="str">
        <f t="shared" si="263"/>
        <v/>
      </c>
    </row>
    <row r="5602" spans="10:12" ht="16.5" customHeight="1" x14ac:dyDescent="0.35">
      <c r="J5602" s="56" t="str">
        <f t="shared" si="261"/>
        <v/>
      </c>
      <c r="K5602" s="74" t="str">
        <f t="shared" si="262"/>
        <v/>
      </c>
      <c r="L5602" s="58" t="str">
        <f t="shared" si="263"/>
        <v/>
      </c>
    </row>
    <row r="5603" spans="10:12" ht="16.5" customHeight="1" x14ac:dyDescent="0.35">
      <c r="J5603" s="56" t="str">
        <f t="shared" si="261"/>
        <v/>
      </c>
      <c r="K5603" s="74" t="str">
        <f t="shared" si="262"/>
        <v/>
      </c>
      <c r="L5603" s="58" t="str">
        <f t="shared" si="263"/>
        <v/>
      </c>
    </row>
    <row r="5604" spans="10:12" ht="16.5" customHeight="1" x14ac:dyDescent="0.35">
      <c r="J5604" s="56" t="str">
        <f t="shared" si="261"/>
        <v/>
      </c>
      <c r="K5604" s="74" t="str">
        <f t="shared" si="262"/>
        <v/>
      </c>
      <c r="L5604" s="58" t="str">
        <f t="shared" si="263"/>
        <v/>
      </c>
    </row>
    <row r="5605" spans="10:12" ht="16.5" customHeight="1" x14ac:dyDescent="0.35">
      <c r="J5605" s="56" t="str">
        <f t="shared" si="261"/>
        <v/>
      </c>
      <c r="K5605" s="74" t="str">
        <f t="shared" si="262"/>
        <v/>
      </c>
      <c r="L5605" s="58" t="str">
        <f t="shared" si="263"/>
        <v/>
      </c>
    </row>
    <row r="5606" spans="10:12" ht="16.5" customHeight="1" x14ac:dyDescent="0.35">
      <c r="J5606" s="56" t="str">
        <f t="shared" si="261"/>
        <v/>
      </c>
      <c r="K5606" s="74" t="str">
        <f t="shared" si="262"/>
        <v/>
      </c>
      <c r="L5606" s="58" t="str">
        <f t="shared" si="263"/>
        <v/>
      </c>
    </row>
    <row r="5607" spans="10:12" ht="16.5" customHeight="1" x14ac:dyDescent="0.35">
      <c r="J5607" s="56" t="str">
        <f t="shared" si="261"/>
        <v/>
      </c>
      <c r="K5607" s="74" t="str">
        <f t="shared" si="262"/>
        <v/>
      </c>
      <c r="L5607" s="58" t="str">
        <f t="shared" si="263"/>
        <v/>
      </c>
    </row>
    <row r="5608" spans="10:12" ht="16.5" customHeight="1" x14ac:dyDescent="0.35">
      <c r="J5608" s="56" t="str">
        <f t="shared" si="261"/>
        <v/>
      </c>
      <c r="K5608" s="74" t="str">
        <f t="shared" si="262"/>
        <v/>
      </c>
      <c r="L5608" s="58" t="str">
        <f t="shared" si="263"/>
        <v/>
      </c>
    </row>
    <row r="5609" spans="10:12" ht="16.5" customHeight="1" x14ac:dyDescent="0.35">
      <c r="J5609" s="56" t="str">
        <f t="shared" si="261"/>
        <v/>
      </c>
      <c r="K5609" s="74" t="str">
        <f t="shared" si="262"/>
        <v/>
      </c>
      <c r="L5609" s="58" t="str">
        <f t="shared" si="263"/>
        <v/>
      </c>
    </row>
    <row r="5610" spans="10:12" ht="16.5" customHeight="1" x14ac:dyDescent="0.35">
      <c r="J5610" s="56" t="str">
        <f t="shared" si="261"/>
        <v/>
      </c>
      <c r="K5610" s="74" t="str">
        <f t="shared" si="262"/>
        <v/>
      </c>
      <c r="L5610" s="58" t="str">
        <f t="shared" si="263"/>
        <v/>
      </c>
    </row>
    <row r="5611" spans="10:12" ht="16.5" customHeight="1" x14ac:dyDescent="0.35">
      <c r="J5611" s="56" t="str">
        <f t="shared" si="261"/>
        <v/>
      </c>
      <c r="K5611" s="74" t="str">
        <f t="shared" si="262"/>
        <v/>
      </c>
      <c r="L5611" s="58" t="str">
        <f t="shared" si="263"/>
        <v/>
      </c>
    </row>
    <row r="5612" spans="10:12" ht="16.5" customHeight="1" x14ac:dyDescent="0.35">
      <c r="J5612" s="56" t="str">
        <f t="shared" si="261"/>
        <v/>
      </c>
      <c r="K5612" s="74" t="str">
        <f t="shared" si="262"/>
        <v/>
      </c>
      <c r="L5612" s="58" t="str">
        <f t="shared" si="263"/>
        <v/>
      </c>
    </row>
    <row r="5613" spans="10:12" ht="16.5" customHeight="1" x14ac:dyDescent="0.35">
      <c r="J5613" s="56" t="str">
        <f t="shared" si="261"/>
        <v/>
      </c>
      <c r="K5613" s="74" t="str">
        <f t="shared" si="262"/>
        <v/>
      </c>
      <c r="L5613" s="58" t="str">
        <f t="shared" si="263"/>
        <v/>
      </c>
    </row>
    <row r="5614" spans="10:12" ht="16.5" customHeight="1" x14ac:dyDescent="0.35">
      <c r="J5614" s="56" t="str">
        <f t="shared" si="261"/>
        <v/>
      </c>
      <c r="K5614" s="74" t="str">
        <f t="shared" si="262"/>
        <v/>
      </c>
      <c r="L5614" s="58" t="str">
        <f t="shared" si="263"/>
        <v/>
      </c>
    </row>
    <row r="5615" spans="10:12" ht="16.5" customHeight="1" x14ac:dyDescent="0.35">
      <c r="J5615" s="56" t="str">
        <f t="shared" si="261"/>
        <v/>
      </c>
      <c r="K5615" s="74" t="str">
        <f t="shared" si="262"/>
        <v/>
      </c>
      <c r="L5615" s="58" t="str">
        <f t="shared" si="263"/>
        <v/>
      </c>
    </row>
    <row r="5616" spans="10:12" ht="16.5" customHeight="1" x14ac:dyDescent="0.35">
      <c r="J5616" s="56" t="str">
        <f t="shared" si="261"/>
        <v/>
      </c>
      <c r="K5616" s="74" t="str">
        <f t="shared" si="262"/>
        <v/>
      </c>
      <c r="L5616" s="58" t="str">
        <f t="shared" si="263"/>
        <v/>
      </c>
    </row>
    <row r="5617" spans="10:12" ht="16.5" customHeight="1" x14ac:dyDescent="0.35">
      <c r="J5617" s="56" t="str">
        <f t="shared" si="261"/>
        <v/>
      </c>
      <c r="K5617" s="74" t="str">
        <f t="shared" si="262"/>
        <v/>
      </c>
      <c r="L5617" s="58" t="str">
        <f t="shared" si="263"/>
        <v/>
      </c>
    </row>
    <row r="5618" spans="10:12" ht="16.5" customHeight="1" x14ac:dyDescent="0.35">
      <c r="J5618" s="56" t="str">
        <f t="shared" si="261"/>
        <v/>
      </c>
      <c r="K5618" s="74" t="str">
        <f t="shared" si="262"/>
        <v/>
      </c>
      <c r="L5618" s="58" t="str">
        <f t="shared" si="263"/>
        <v/>
      </c>
    </row>
    <row r="5619" spans="10:12" ht="16.5" customHeight="1" x14ac:dyDescent="0.35">
      <c r="J5619" s="56" t="str">
        <f t="shared" si="261"/>
        <v/>
      </c>
      <c r="K5619" s="74" t="str">
        <f t="shared" si="262"/>
        <v/>
      </c>
      <c r="L5619" s="58" t="str">
        <f t="shared" si="263"/>
        <v/>
      </c>
    </row>
    <row r="5620" spans="10:12" ht="16.5" customHeight="1" x14ac:dyDescent="0.35">
      <c r="J5620" s="56" t="str">
        <f t="shared" si="261"/>
        <v/>
      </c>
      <c r="K5620" s="74" t="str">
        <f t="shared" si="262"/>
        <v/>
      </c>
      <c r="L5620" s="58" t="str">
        <f t="shared" si="263"/>
        <v/>
      </c>
    </row>
    <row r="5621" spans="10:12" ht="16.5" customHeight="1" x14ac:dyDescent="0.35">
      <c r="J5621" s="56" t="str">
        <f t="shared" si="261"/>
        <v/>
      </c>
      <c r="K5621" s="74" t="str">
        <f t="shared" si="262"/>
        <v/>
      </c>
      <c r="L5621" s="58" t="str">
        <f t="shared" si="263"/>
        <v/>
      </c>
    </row>
    <row r="5622" spans="10:12" ht="16.5" customHeight="1" x14ac:dyDescent="0.35">
      <c r="J5622" s="56" t="str">
        <f t="shared" si="261"/>
        <v/>
      </c>
      <c r="K5622" s="74" t="str">
        <f t="shared" si="262"/>
        <v/>
      </c>
      <c r="L5622" s="58" t="str">
        <f t="shared" si="263"/>
        <v/>
      </c>
    </row>
    <row r="5623" spans="10:12" ht="16.5" customHeight="1" x14ac:dyDescent="0.35">
      <c r="J5623" s="56" t="str">
        <f t="shared" si="261"/>
        <v/>
      </c>
      <c r="K5623" s="74" t="str">
        <f t="shared" si="262"/>
        <v/>
      </c>
      <c r="L5623" s="58" t="str">
        <f t="shared" si="263"/>
        <v/>
      </c>
    </row>
    <row r="5624" spans="10:12" ht="16.5" customHeight="1" x14ac:dyDescent="0.35">
      <c r="J5624" s="56" t="str">
        <f t="shared" si="261"/>
        <v/>
      </c>
      <c r="K5624" s="74" t="str">
        <f t="shared" si="262"/>
        <v/>
      </c>
      <c r="L5624" s="58" t="str">
        <f t="shared" si="263"/>
        <v/>
      </c>
    </row>
    <row r="5625" spans="10:12" ht="16.5" customHeight="1" x14ac:dyDescent="0.35">
      <c r="J5625" s="56" t="str">
        <f t="shared" si="261"/>
        <v/>
      </c>
      <c r="K5625" s="74" t="str">
        <f t="shared" si="262"/>
        <v/>
      </c>
      <c r="L5625" s="58" t="str">
        <f t="shared" si="263"/>
        <v/>
      </c>
    </row>
    <row r="5626" spans="10:12" ht="16.5" customHeight="1" x14ac:dyDescent="0.35">
      <c r="J5626" s="56" t="str">
        <f t="shared" si="261"/>
        <v/>
      </c>
      <c r="K5626" s="74" t="str">
        <f t="shared" si="262"/>
        <v/>
      </c>
      <c r="L5626" s="58" t="str">
        <f t="shared" si="263"/>
        <v/>
      </c>
    </row>
    <row r="5627" spans="10:12" ht="16.5" customHeight="1" x14ac:dyDescent="0.35">
      <c r="J5627" s="56" t="str">
        <f t="shared" si="261"/>
        <v/>
      </c>
      <c r="K5627" s="74" t="str">
        <f t="shared" si="262"/>
        <v/>
      </c>
      <c r="L5627" s="58" t="str">
        <f t="shared" si="263"/>
        <v/>
      </c>
    </row>
    <row r="5628" spans="10:12" ht="16.5" customHeight="1" x14ac:dyDescent="0.35">
      <c r="J5628" s="56" t="str">
        <f t="shared" si="261"/>
        <v/>
      </c>
      <c r="K5628" s="74" t="str">
        <f t="shared" si="262"/>
        <v/>
      </c>
      <c r="L5628" s="58" t="str">
        <f t="shared" si="263"/>
        <v/>
      </c>
    </row>
    <row r="5629" spans="10:12" ht="16.5" customHeight="1" x14ac:dyDescent="0.35">
      <c r="J5629" s="56" t="str">
        <f t="shared" si="261"/>
        <v/>
      </c>
      <c r="K5629" s="74" t="str">
        <f t="shared" si="262"/>
        <v/>
      </c>
      <c r="L5629" s="58" t="str">
        <f t="shared" si="263"/>
        <v/>
      </c>
    </row>
    <row r="5630" spans="10:12" ht="16.5" customHeight="1" x14ac:dyDescent="0.35">
      <c r="J5630" s="56" t="str">
        <f t="shared" si="261"/>
        <v/>
      </c>
      <c r="K5630" s="74" t="str">
        <f t="shared" si="262"/>
        <v/>
      </c>
      <c r="L5630" s="58" t="str">
        <f t="shared" si="263"/>
        <v/>
      </c>
    </row>
    <row r="5631" spans="10:12" ht="16.5" customHeight="1" x14ac:dyDescent="0.35">
      <c r="J5631" s="56" t="str">
        <f t="shared" si="261"/>
        <v/>
      </c>
      <c r="K5631" s="74" t="str">
        <f t="shared" si="262"/>
        <v/>
      </c>
      <c r="L5631" s="58" t="str">
        <f t="shared" si="263"/>
        <v/>
      </c>
    </row>
    <row r="5632" spans="10:12" ht="16.5" customHeight="1" x14ac:dyDescent="0.35">
      <c r="J5632" s="56" t="str">
        <f t="shared" si="261"/>
        <v/>
      </c>
      <c r="K5632" s="74" t="str">
        <f t="shared" si="262"/>
        <v/>
      </c>
      <c r="L5632" s="58" t="str">
        <f t="shared" si="263"/>
        <v/>
      </c>
    </row>
    <row r="5633" spans="10:12" ht="16.5" customHeight="1" x14ac:dyDescent="0.35">
      <c r="J5633" s="56" t="str">
        <f t="shared" si="261"/>
        <v/>
      </c>
      <c r="K5633" s="74" t="str">
        <f t="shared" si="262"/>
        <v/>
      </c>
      <c r="L5633" s="58" t="str">
        <f t="shared" si="263"/>
        <v/>
      </c>
    </row>
    <row r="5634" spans="10:12" ht="16.5" customHeight="1" x14ac:dyDescent="0.35">
      <c r="J5634" s="56" t="str">
        <f t="shared" si="261"/>
        <v/>
      </c>
      <c r="K5634" s="74" t="str">
        <f t="shared" si="262"/>
        <v/>
      </c>
      <c r="L5634" s="58" t="str">
        <f t="shared" si="263"/>
        <v/>
      </c>
    </row>
    <row r="5635" spans="10:12" ht="16.5" customHeight="1" x14ac:dyDescent="0.35">
      <c r="J5635" s="56" t="str">
        <f t="shared" si="261"/>
        <v/>
      </c>
      <c r="K5635" s="74" t="str">
        <f t="shared" si="262"/>
        <v/>
      </c>
      <c r="L5635" s="58" t="str">
        <f t="shared" si="263"/>
        <v/>
      </c>
    </row>
    <row r="5636" spans="10:12" ht="16.5" customHeight="1" x14ac:dyDescent="0.35">
      <c r="J5636" s="56" t="str">
        <f t="shared" si="261"/>
        <v/>
      </c>
      <c r="K5636" s="74" t="str">
        <f t="shared" si="262"/>
        <v/>
      </c>
      <c r="L5636" s="58" t="str">
        <f t="shared" si="263"/>
        <v/>
      </c>
    </row>
    <row r="5637" spans="10:12" ht="16.5" customHeight="1" x14ac:dyDescent="0.35">
      <c r="J5637" s="56" t="str">
        <f t="shared" si="261"/>
        <v/>
      </c>
      <c r="K5637" s="74" t="str">
        <f t="shared" si="262"/>
        <v/>
      </c>
      <c r="L5637" s="58" t="str">
        <f t="shared" si="263"/>
        <v/>
      </c>
    </row>
    <row r="5638" spans="10:12" ht="16.5" customHeight="1" x14ac:dyDescent="0.35">
      <c r="J5638" s="56" t="str">
        <f t="shared" si="261"/>
        <v/>
      </c>
      <c r="K5638" s="74" t="str">
        <f t="shared" si="262"/>
        <v/>
      </c>
      <c r="L5638" s="58" t="str">
        <f t="shared" si="263"/>
        <v/>
      </c>
    </row>
    <row r="5639" spans="10:12" ht="16.5" customHeight="1" x14ac:dyDescent="0.35">
      <c r="J5639" s="56" t="str">
        <f t="shared" si="261"/>
        <v/>
      </c>
      <c r="K5639" s="74" t="str">
        <f t="shared" si="262"/>
        <v/>
      </c>
      <c r="L5639" s="58" t="str">
        <f t="shared" si="263"/>
        <v/>
      </c>
    </row>
    <row r="5640" spans="10:12" ht="16.5" customHeight="1" x14ac:dyDescent="0.35">
      <c r="J5640" s="56" t="str">
        <f t="shared" si="261"/>
        <v/>
      </c>
      <c r="K5640" s="74" t="str">
        <f t="shared" si="262"/>
        <v/>
      </c>
      <c r="L5640" s="58" t="str">
        <f t="shared" si="263"/>
        <v/>
      </c>
    </row>
    <row r="5641" spans="10:12" ht="16.5" customHeight="1" x14ac:dyDescent="0.35">
      <c r="J5641" s="56" t="str">
        <f t="shared" ref="J5641:J5704" si="264">IF(A5641="","",A$5-A5641)</f>
        <v/>
      </c>
      <c r="K5641" s="74" t="str">
        <f t="shared" ref="K5641:K5704" si="265">IF(J5641="","",IF(J5641&lt;4,"0-3 Days",IF(J5641&lt;31,"4-30 Days",IF(J5641&lt;61,"31-60 Days",IF(J5641&lt;=90,"61-90 Days",IF(J5641&gt;90,"Above 90 Days","0"))))))</f>
        <v/>
      </c>
      <c r="L5641" s="58" t="str">
        <f t="shared" ref="L5641:L5704" si="266">IF(C5641="","",IF(C5641&gt;0,IF(J5641&lt;30,"Normal",IF(J5641&lt;60,"Especially Mentioned",IF(J5641&lt;90,"Substandard",IF(J5641&lt;=180,"Doubtful",IF(J5641&gt;180,"Loss","0"))))),"Not Applicable"))</f>
        <v/>
      </c>
    </row>
    <row r="5642" spans="10:12" ht="16.5" customHeight="1" x14ac:dyDescent="0.35">
      <c r="J5642" s="56" t="str">
        <f t="shared" si="264"/>
        <v/>
      </c>
      <c r="K5642" s="74" t="str">
        <f t="shared" si="265"/>
        <v/>
      </c>
      <c r="L5642" s="58" t="str">
        <f t="shared" si="266"/>
        <v/>
      </c>
    </row>
    <row r="5643" spans="10:12" ht="16.5" customHeight="1" x14ac:dyDescent="0.35">
      <c r="J5643" s="56" t="str">
        <f t="shared" si="264"/>
        <v/>
      </c>
      <c r="K5643" s="74" t="str">
        <f t="shared" si="265"/>
        <v/>
      </c>
      <c r="L5643" s="58" t="str">
        <f t="shared" si="266"/>
        <v/>
      </c>
    </row>
    <row r="5644" spans="10:12" ht="16.5" customHeight="1" x14ac:dyDescent="0.35">
      <c r="J5644" s="56" t="str">
        <f t="shared" si="264"/>
        <v/>
      </c>
      <c r="K5644" s="74" t="str">
        <f t="shared" si="265"/>
        <v/>
      </c>
      <c r="L5644" s="58" t="str">
        <f t="shared" si="266"/>
        <v/>
      </c>
    </row>
    <row r="5645" spans="10:12" ht="16.5" customHeight="1" x14ac:dyDescent="0.35">
      <c r="J5645" s="56" t="str">
        <f t="shared" si="264"/>
        <v/>
      </c>
      <c r="K5645" s="74" t="str">
        <f t="shared" si="265"/>
        <v/>
      </c>
      <c r="L5645" s="58" t="str">
        <f t="shared" si="266"/>
        <v/>
      </c>
    </row>
    <row r="5646" spans="10:12" ht="16.5" customHeight="1" x14ac:dyDescent="0.35">
      <c r="J5646" s="56" t="str">
        <f t="shared" si="264"/>
        <v/>
      </c>
      <c r="K5646" s="74" t="str">
        <f t="shared" si="265"/>
        <v/>
      </c>
      <c r="L5646" s="58" t="str">
        <f t="shared" si="266"/>
        <v/>
      </c>
    </row>
    <row r="5647" spans="10:12" ht="16.5" customHeight="1" x14ac:dyDescent="0.35">
      <c r="J5647" s="56" t="str">
        <f t="shared" si="264"/>
        <v/>
      </c>
      <c r="K5647" s="74" t="str">
        <f t="shared" si="265"/>
        <v/>
      </c>
      <c r="L5647" s="58" t="str">
        <f t="shared" si="266"/>
        <v/>
      </c>
    </row>
    <row r="5648" spans="10:12" ht="16.5" customHeight="1" x14ac:dyDescent="0.35">
      <c r="J5648" s="56" t="str">
        <f t="shared" si="264"/>
        <v/>
      </c>
      <c r="K5648" s="74" t="str">
        <f t="shared" si="265"/>
        <v/>
      </c>
      <c r="L5648" s="58" t="str">
        <f t="shared" si="266"/>
        <v/>
      </c>
    </row>
    <row r="5649" spans="10:12" ht="16.5" customHeight="1" x14ac:dyDescent="0.35">
      <c r="J5649" s="56" t="str">
        <f t="shared" si="264"/>
        <v/>
      </c>
      <c r="K5649" s="74" t="str">
        <f t="shared" si="265"/>
        <v/>
      </c>
      <c r="L5649" s="58" t="str">
        <f t="shared" si="266"/>
        <v/>
      </c>
    </row>
    <row r="5650" spans="10:12" ht="16.5" customHeight="1" x14ac:dyDescent="0.35">
      <c r="J5650" s="56" t="str">
        <f t="shared" si="264"/>
        <v/>
      </c>
      <c r="K5650" s="74" t="str">
        <f t="shared" si="265"/>
        <v/>
      </c>
      <c r="L5650" s="58" t="str">
        <f t="shared" si="266"/>
        <v/>
      </c>
    </row>
    <row r="5651" spans="10:12" ht="16.5" customHeight="1" x14ac:dyDescent="0.35">
      <c r="J5651" s="56" t="str">
        <f t="shared" si="264"/>
        <v/>
      </c>
      <c r="K5651" s="74" t="str">
        <f t="shared" si="265"/>
        <v/>
      </c>
      <c r="L5651" s="58" t="str">
        <f t="shared" si="266"/>
        <v/>
      </c>
    </row>
    <row r="5652" spans="10:12" ht="16.5" customHeight="1" x14ac:dyDescent="0.35">
      <c r="J5652" s="56" t="str">
        <f t="shared" si="264"/>
        <v/>
      </c>
      <c r="K5652" s="74" t="str">
        <f t="shared" si="265"/>
        <v/>
      </c>
      <c r="L5652" s="58" t="str">
        <f t="shared" si="266"/>
        <v/>
      </c>
    </row>
    <row r="5653" spans="10:12" ht="16.5" customHeight="1" x14ac:dyDescent="0.35">
      <c r="J5653" s="56" t="str">
        <f t="shared" si="264"/>
        <v/>
      </c>
      <c r="K5653" s="74" t="str">
        <f t="shared" si="265"/>
        <v/>
      </c>
      <c r="L5653" s="58" t="str">
        <f t="shared" si="266"/>
        <v/>
      </c>
    </row>
    <row r="5654" spans="10:12" ht="16.5" customHeight="1" x14ac:dyDescent="0.35">
      <c r="J5654" s="56" t="str">
        <f t="shared" si="264"/>
        <v/>
      </c>
      <c r="K5654" s="74" t="str">
        <f t="shared" si="265"/>
        <v/>
      </c>
      <c r="L5654" s="58" t="str">
        <f t="shared" si="266"/>
        <v/>
      </c>
    </row>
    <row r="5655" spans="10:12" ht="16.5" customHeight="1" x14ac:dyDescent="0.35">
      <c r="J5655" s="56" t="str">
        <f t="shared" si="264"/>
        <v/>
      </c>
      <c r="K5655" s="74" t="str">
        <f t="shared" si="265"/>
        <v/>
      </c>
      <c r="L5655" s="58" t="str">
        <f t="shared" si="266"/>
        <v/>
      </c>
    </row>
    <row r="5656" spans="10:12" ht="16.5" customHeight="1" x14ac:dyDescent="0.35">
      <c r="J5656" s="56" t="str">
        <f t="shared" si="264"/>
        <v/>
      </c>
      <c r="K5656" s="74" t="str">
        <f t="shared" si="265"/>
        <v/>
      </c>
      <c r="L5656" s="58" t="str">
        <f t="shared" si="266"/>
        <v/>
      </c>
    </row>
    <row r="5657" spans="10:12" ht="16.5" customHeight="1" x14ac:dyDescent="0.35">
      <c r="J5657" s="56" t="str">
        <f t="shared" si="264"/>
        <v/>
      </c>
      <c r="K5657" s="74" t="str">
        <f t="shared" si="265"/>
        <v/>
      </c>
      <c r="L5657" s="58" t="str">
        <f t="shared" si="266"/>
        <v/>
      </c>
    </row>
    <row r="5658" spans="10:12" ht="16.5" customHeight="1" x14ac:dyDescent="0.35">
      <c r="J5658" s="56" t="str">
        <f t="shared" si="264"/>
        <v/>
      </c>
      <c r="K5658" s="74" t="str">
        <f t="shared" si="265"/>
        <v/>
      </c>
      <c r="L5658" s="58" t="str">
        <f t="shared" si="266"/>
        <v/>
      </c>
    </row>
    <row r="5659" spans="10:12" ht="16.5" customHeight="1" x14ac:dyDescent="0.35">
      <c r="J5659" s="56" t="str">
        <f t="shared" si="264"/>
        <v/>
      </c>
      <c r="K5659" s="74" t="str">
        <f t="shared" si="265"/>
        <v/>
      </c>
      <c r="L5659" s="58" t="str">
        <f t="shared" si="266"/>
        <v/>
      </c>
    </row>
    <row r="5660" spans="10:12" ht="16.5" customHeight="1" x14ac:dyDescent="0.35">
      <c r="J5660" s="56" t="str">
        <f t="shared" si="264"/>
        <v/>
      </c>
      <c r="K5660" s="74" t="str">
        <f t="shared" si="265"/>
        <v/>
      </c>
      <c r="L5660" s="58" t="str">
        <f t="shared" si="266"/>
        <v/>
      </c>
    </row>
    <row r="5661" spans="10:12" ht="16.5" customHeight="1" x14ac:dyDescent="0.35">
      <c r="J5661" s="56" t="str">
        <f t="shared" si="264"/>
        <v/>
      </c>
      <c r="K5661" s="74" t="str">
        <f t="shared" si="265"/>
        <v/>
      </c>
      <c r="L5661" s="58" t="str">
        <f t="shared" si="266"/>
        <v/>
      </c>
    </row>
    <row r="5662" spans="10:12" ht="16.5" customHeight="1" x14ac:dyDescent="0.35">
      <c r="J5662" s="56" t="str">
        <f t="shared" si="264"/>
        <v/>
      </c>
      <c r="K5662" s="74" t="str">
        <f t="shared" si="265"/>
        <v/>
      </c>
      <c r="L5662" s="58" t="str">
        <f t="shared" si="266"/>
        <v/>
      </c>
    </row>
    <row r="5663" spans="10:12" ht="16.5" customHeight="1" x14ac:dyDescent="0.35">
      <c r="J5663" s="56" t="str">
        <f t="shared" si="264"/>
        <v/>
      </c>
      <c r="K5663" s="74" t="str">
        <f t="shared" si="265"/>
        <v/>
      </c>
      <c r="L5663" s="58" t="str">
        <f t="shared" si="266"/>
        <v/>
      </c>
    </row>
    <row r="5664" spans="10:12" ht="16.5" customHeight="1" x14ac:dyDescent="0.35">
      <c r="J5664" s="56" t="str">
        <f t="shared" si="264"/>
        <v/>
      </c>
      <c r="K5664" s="74" t="str">
        <f t="shared" si="265"/>
        <v/>
      </c>
      <c r="L5664" s="58" t="str">
        <f t="shared" si="266"/>
        <v/>
      </c>
    </row>
    <row r="5665" spans="10:12" ht="16.5" customHeight="1" x14ac:dyDescent="0.35">
      <c r="J5665" s="56" t="str">
        <f t="shared" si="264"/>
        <v/>
      </c>
      <c r="K5665" s="74" t="str">
        <f t="shared" si="265"/>
        <v/>
      </c>
      <c r="L5665" s="58" t="str">
        <f t="shared" si="266"/>
        <v/>
      </c>
    </row>
    <row r="5666" spans="10:12" ht="16.5" customHeight="1" x14ac:dyDescent="0.35">
      <c r="J5666" s="56" t="str">
        <f t="shared" si="264"/>
        <v/>
      </c>
      <c r="K5666" s="74" t="str">
        <f t="shared" si="265"/>
        <v/>
      </c>
      <c r="L5666" s="58" t="str">
        <f t="shared" si="266"/>
        <v/>
      </c>
    </row>
    <row r="5667" spans="10:12" ht="16.5" customHeight="1" x14ac:dyDescent="0.35">
      <c r="J5667" s="56" t="str">
        <f t="shared" si="264"/>
        <v/>
      </c>
      <c r="K5667" s="74" t="str">
        <f t="shared" si="265"/>
        <v/>
      </c>
      <c r="L5667" s="58" t="str">
        <f t="shared" si="266"/>
        <v/>
      </c>
    </row>
    <row r="5668" spans="10:12" ht="16.5" customHeight="1" x14ac:dyDescent="0.35">
      <c r="J5668" s="56" t="str">
        <f t="shared" si="264"/>
        <v/>
      </c>
      <c r="K5668" s="74" t="str">
        <f t="shared" si="265"/>
        <v/>
      </c>
      <c r="L5668" s="58" t="str">
        <f t="shared" si="266"/>
        <v/>
      </c>
    </row>
    <row r="5669" spans="10:12" ht="16.5" customHeight="1" x14ac:dyDescent="0.35">
      <c r="J5669" s="56" t="str">
        <f t="shared" si="264"/>
        <v/>
      </c>
      <c r="K5669" s="74" t="str">
        <f t="shared" si="265"/>
        <v/>
      </c>
      <c r="L5669" s="58" t="str">
        <f t="shared" si="266"/>
        <v/>
      </c>
    </row>
    <row r="5670" spans="10:12" ht="16.5" customHeight="1" x14ac:dyDescent="0.35">
      <c r="J5670" s="56" t="str">
        <f t="shared" si="264"/>
        <v/>
      </c>
      <c r="K5670" s="74" t="str">
        <f t="shared" si="265"/>
        <v/>
      </c>
      <c r="L5670" s="58" t="str">
        <f t="shared" si="266"/>
        <v/>
      </c>
    </row>
    <row r="5671" spans="10:12" ht="16.5" customHeight="1" x14ac:dyDescent="0.35">
      <c r="J5671" s="56" t="str">
        <f t="shared" si="264"/>
        <v/>
      </c>
      <c r="K5671" s="74" t="str">
        <f t="shared" si="265"/>
        <v/>
      </c>
      <c r="L5671" s="58" t="str">
        <f t="shared" si="266"/>
        <v/>
      </c>
    </row>
    <row r="5672" spans="10:12" ht="16.5" customHeight="1" x14ac:dyDescent="0.35">
      <c r="J5672" s="56" t="str">
        <f t="shared" si="264"/>
        <v/>
      </c>
      <c r="K5672" s="74" t="str">
        <f t="shared" si="265"/>
        <v/>
      </c>
      <c r="L5672" s="58" t="str">
        <f t="shared" si="266"/>
        <v/>
      </c>
    </row>
    <row r="5673" spans="10:12" ht="16.5" customHeight="1" x14ac:dyDescent="0.35">
      <c r="J5673" s="56" t="str">
        <f t="shared" si="264"/>
        <v/>
      </c>
      <c r="K5673" s="74" t="str">
        <f t="shared" si="265"/>
        <v/>
      </c>
      <c r="L5673" s="58" t="str">
        <f t="shared" si="266"/>
        <v/>
      </c>
    </row>
    <row r="5674" spans="10:12" ht="16.5" customHeight="1" x14ac:dyDescent="0.35">
      <c r="J5674" s="56" t="str">
        <f t="shared" si="264"/>
        <v/>
      </c>
      <c r="K5674" s="74" t="str">
        <f t="shared" si="265"/>
        <v/>
      </c>
      <c r="L5674" s="58" t="str">
        <f t="shared" si="266"/>
        <v/>
      </c>
    </row>
    <row r="5675" spans="10:12" ht="16.5" customHeight="1" x14ac:dyDescent="0.35">
      <c r="J5675" s="56" t="str">
        <f t="shared" si="264"/>
        <v/>
      </c>
      <c r="K5675" s="74" t="str">
        <f t="shared" si="265"/>
        <v/>
      </c>
      <c r="L5675" s="58" t="str">
        <f t="shared" si="266"/>
        <v/>
      </c>
    </row>
    <row r="5676" spans="10:12" ht="16.5" customHeight="1" x14ac:dyDescent="0.35">
      <c r="J5676" s="56" t="str">
        <f t="shared" si="264"/>
        <v/>
      </c>
      <c r="K5676" s="74" t="str">
        <f t="shared" si="265"/>
        <v/>
      </c>
      <c r="L5676" s="58" t="str">
        <f t="shared" si="266"/>
        <v/>
      </c>
    </row>
    <row r="5677" spans="10:12" ht="16.5" customHeight="1" x14ac:dyDescent="0.35">
      <c r="J5677" s="56" t="str">
        <f t="shared" si="264"/>
        <v/>
      </c>
      <c r="K5677" s="74" t="str">
        <f t="shared" si="265"/>
        <v/>
      </c>
      <c r="L5677" s="58" t="str">
        <f t="shared" si="266"/>
        <v/>
      </c>
    </row>
    <row r="5678" spans="10:12" ht="16.5" customHeight="1" x14ac:dyDescent="0.35">
      <c r="J5678" s="56" t="str">
        <f t="shared" si="264"/>
        <v/>
      </c>
      <c r="K5678" s="74" t="str">
        <f t="shared" si="265"/>
        <v/>
      </c>
      <c r="L5678" s="58" t="str">
        <f t="shared" si="266"/>
        <v/>
      </c>
    </row>
    <row r="5679" spans="10:12" ht="16.5" customHeight="1" x14ac:dyDescent="0.35">
      <c r="J5679" s="56" t="str">
        <f t="shared" si="264"/>
        <v/>
      </c>
      <c r="K5679" s="74" t="str">
        <f t="shared" si="265"/>
        <v/>
      </c>
      <c r="L5679" s="58" t="str">
        <f t="shared" si="266"/>
        <v/>
      </c>
    </row>
    <row r="5680" spans="10:12" ht="16.5" customHeight="1" x14ac:dyDescent="0.35">
      <c r="J5680" s="56" t="str">
        <f t="shared" si="264"/>
        <v/>
      </c>
      <c r="K5680" s="74" t="str">
        <f t="shared" si="265"/>
        <v/>
      </c>
      <c r="L5680" s="58" t="str">
        <f t="shared" si="266"/>
        <v/>
      </c>
    </row>
    <row r="5681" spans="10:12" ht="16.5" customHeight="1" x14ac:dyDescent="0.35">
      <c r="J5681" s="56" t="str">
        <f t="shared" si="264"/>
        <v/>
      </c>
      <c r="K5681" s="74" t="str">
        <f t="shared" si="265"/>
        <v/>
      </c>
      <c r="L5681" s="58" t="str">
        <f t="shared" si="266"/>
        <v/>
      </c>
    </row>
    <row r="5682" spans="10:12" ht="16.5" customHeight="1" x14ac:dyDescent="0.35">
      <c r="J5682" s="56" t="str">
        <f t="shared" si="264"/>
        <v/>
      </c>
      <c r="K5682" s="74" t="str">
        <f t="shared" si="265"/>
        <v/>
      </c>
      <c r="L5682" s="58" t="str">
        <f t="shared" si="266"/>
        <v/>
      </c>
    </row>
    <row r="5683" spans="10:12" ht="16.5" customHeight="1" x14ac:dyDescent="0.35">
      <c r="J5683" s="56" t="str">
        <f t="shared" si="264"/>
        <v/>
      </c>
      <c r="K5683" s="74" t="str">
        <f t="shared" si="265"/>
        <v/>
      </c>
      <c r="L5683" s="58" t="str">
        <f t="shared" si="266"/>
        <v/>
      </c>
    </row>
    <row r="5684" spans="10:12" ht="16.5" customHeight="1" x14ac:dyDescent="0.35">
      <c r="J5684" s="56" t="str">
        <f t="shared" si="264"/>
        <v/>
      </c>
      <c r="K5684" s="74" t="str">
        <f t="shared" si="265"/>
        <v/>
      </c>
      <c r="L5684" s="58" t="str">
        <f t="shared" si="266"/>
        <v/>
      </c>
    </row>
    <row r="5685" spans="10:12" ht="16.5" customHeight="1" x14ac:dyDescent="0.35">
      <c r="J5685" s="56" t="str">
        <f t="shared" si="264"/>
        <v/>
      </c>
      <c r="K5685" s="74" t="str">
        <f t="shared" si="265"/>
        <v/>
      </c>
      <c r="L5685" s="58" t="str">
        <f t="shared" si="266"/>
        <v/>
      </c>
    </row>
    <row r="5686" spans="10:12" ht="16.5" customHeight="1" x14ac:dyDescent="0.35">
      <c r="J5686" s="56" t="str">
        <f t="shared" si="264"/>
        <v/>
      </c>
      <c r="K5686" s="74" t="str">
        <f t="shared" si="265"/>
        <v/>
      </c>
      <c r="L5686" s="58" t="str">
        <f t="shared" si="266"/>
        <v/>
      </c>
    </row>
    <row r="5687" spans="10:12" ht="16.5" customHeight="1" x14ac:dyDescent="0.35">
      <c r="J5687" s="56" t="str">
        <f t="shared" si="264"/>
        <v/>
      </c>
      <c r="K5687" s="74" t="str">
        <f t="shared" si="265"/>
        <v/>
      </c>
      <c r="L5687" s="58" t="str">
        <f t="shared" si="266"/>
        <v/>
      </c>
    </row>
    <row r="5688" spans="10:12" ht="16.5" customHeight="1" x14ac:dyDescent="0.35">
      <c r="J5688" s="56" t="str">
        <f t="shared" si="264"/>
        <v/>
      </c>
      <c r="K5688" s="74" t="str">
        <f t="shared" si="265"/>
        <v/>
      </c>
      <c r="L5688" s="58" t="str">
        <f t="shared" si="266"/>
        <v/>
      </c>
    </row>
    <row r="5689" spans="10:12" ht="16.5" customHeight="1" x14ac:dyDescent="0.35">
      <c r="J5689" s="56" t="str">
        <f t="shared" si="264"/>
        <v/>
      </c>
      <c r="K5689" s="74" t="str">
        <f t="shared" si="265"/>
        <v/>
      </c>
      <c r="L5689" s="58" t="str">
        <f t="shared" si="266"/>
        <v/>
      </c>
    </row>
    <row r="5690" spans="10:12" ht="16.5" customHeight="1" x14ac:dyDescent="0.35">
      <c r="J5690" s="56" t="str">
        <f t="shared" si="264"/>
        <v/>
      </c>
      <c r="K5690" s="74" t="str">
        <f t="shared" si="265"/>
        <v/>
      </c>
      <c r="L5690" s="58" t="str">
        <f t="shared" si="266"/>
        <v/>
      </c>
    </row>
    <row r="5691" spans="10:12" ht="16.5" customHeight="1" x14ac:dyDescent="0.35">
      <c r="J5691" s="56" t="str">
        <f t="shared" si="264"/>
        <v/>
      </c>
      <c r="K5691" s="74" t="str">
        <f t="shared" si="265"/>
        <v/>
      </c>
      <c r="L5691" s="58" t="str">
        <f t="shared" si="266"/>
        <v/>
      </c>
    </row>
    <row r="5692" spans="10:12" ht="16.5" customHeight="1" x14ac:dyDescent="0.35">
      <c r="J5692" s="56" t="str">
        <f t="shared" si="264"/>
        <v/>
      </c>
      <c r="K5692" s="74" t="str">
        <f t="shared" si="265"/>
        <v/>
      </c>
      <c r="L5692" s="58" t="str">
        <f t="shared" si="266"/>
        <v/>
      </c>
    </row>
    <row r="5693" spans="10:12" ht="16.5" customHeight="1" x14ac:dyDescent="0.35">
      <c r="J5693" s="56" t="str">
        <f t="shared" si="264"/>
        <v/>
      </c>
      <c r="K5693" s="74" t="str">
        <f t="shared" si="265"/>
        <v/>
      </c>
      <c r="L5693" s="58" t="str">
        <f t="shared" si="266"/>
        <v/>
      </c>
    </row>
    <row r="5694" spans="10:12" ht="16.5" customHeight="1" x14ac:dyDescent="0.35">
      <c r="J5694" s="56" t="str">
        <f t="shared" si="264"/>
        <v/>
      </c>
      <c r="K5694" s="74" t="str">
        <f t="shared" si="265"/>
        <v/>
      </c>
      <c r="L5694" s="58" t="str">
        <f t="shared" si="266"/>
        <v/>
      </c>
    </row>
    <row r="5695" spans="10:12" ht="16.5" customHeight="1" x14ac:dyDescent="0.35">
      <c r="J5695" s="56" t="str">
        <f t="shared" si="264"/>
        <v/>
      </c>
      <c r="K5695" s="74" t="str">
        <f t="shared" si="265"/>
        <v/>
      </c>
      <c r="L5695" s="58" t="str">
        <f t="shared" si="266"/>
        <v/>
      </c>
    </row>
    <row r="5696" spans="10:12" ht="16.5" customHeight="1" x14ac:dyDescent="0.35">
      <c r="J5696" s="56" t="str">
        <f t="shared" si="264"/>
        <v/>
      </c>
      <c r="K5696" s="74" t="str">
        <f t="shared" si="265"/>
        <v/>
      </c>
      <c r="L5696" s="58" t="str">
        <f t="shared" si="266"/>
        <v/>
      </c>
    </row>
    <row r="5697" spans="10:12" ht="16.5" customHeight="1" x14ac:dyDescent="0.35">
      <c r="J5697" s="56" t="str">
        <f t="shared" si="264"/>
        <v/>
      </c>
      <c r="K5697" s="74" t="str">
        <f t="shared" si="265"/>
        <v/>
      </c>
      <c r="L5697" s="58" t="str">
        <f t="shared" si="266"/>
        <v/>
      </c>
    </row>
    <row r="5698" spans="10:12" ht="16.5" customHeight="1" x14ac:dyDescent="0.35">
      <c r="J5698" s="56" t="str">
        <f t="shared" si="264"/>
        <v/>
      </c>
      <c r="K5698" s="74" t="str">
        <f t="shared" si="265"/>
        <v/>
      </c>
      <c r="L5698" s="58" t="str">
        <f t="shared" si="266"/>
        <v/>
      </c>
    </row>
    <row r="5699" spans="10:12" ht="16.5" customHeight="1" x14ac:dyDescent="0.35">
      <c r="J5699" s="56" t="str">
        <f t="shared" si="264"/>
        <v/>
      </c>
      <c r="K5699" s="74" t="str">
        <f t="shared" si="265"/>
        <v/>
      </c>
      <c r="L5699" s="58" t="str">
        <f t="shared" si="266"/>
        <v/>
      </c>
    </row>
    <row r="5700" spans="10:12" ht="16.5" customHeight="1" x14ac:dyDescent="0.35">
      <c r="J5700" s="56" t="str">
        <f t="shared" si="264"/>
        <v/>
      </c>
      <c r="K5700" s="74" t="str">
        <f t="shared" si="265"/>
        <v/>
      </c>
      <c r="L5700" s="58" t="str">
        <f t="shared" si="266"/>
        <v/>
      </c>
    </row>
    <row r="5701" spans="10:12" ht="16.5" customHeight="1" x14ac:dyDescent="0.35">
      <c r="J5701" s="56" t="str">
        <f t="shared" si="264"/>
        <v/>
      </c>
      <c r="K5701" s="74" t="str">
        <f t="shared" si="265"/>
        <v/>
      </c>
      <c r="L5701" s="58" t="str">
        <f t="shared" si="266"/>
        <v/>
      </c>
    </row>
    <row r="5702" spans="10:12" ht="16.5" customHeight="1" x14ac:dyDescent="0.35">
      <c r="J5702" s="56" t="str">
        <f t="shared" si="264"/>
        <v/>
      </c>
      <c r="K5702" s="74" t="str">
        <f t="shared" si="265"/>
        <v/>
      </c>
      <c r="L5702" s="58" t="str">
        <f t="shared" si="266"/>
        <v/>
      </c>
    </row>
    <row r="5703" spans="10:12" ht="16.5" customHeight="1" x14ac:dyDescent="0.35">
      <c r="J5703" s="56" t="str">
        <f t="shared" si="264"/>
        <v/>
      </c>
      <c r="K5703" s="74" t="str">
        <f t="shared" si="265"/>
        <v/>
      </c>
      <c r="L5703" s="58" t="str">
        <f t="shared" si="266"/>
        <v/>
      </c>
    </row>
    <row r="5704" spans="10:12" ht="16.5" customHeight="1" x14ac:dyDescent="0.35">
      <c r="J5704" s="56" t="str">
        <f t="shared" si="264"/>
        <v/>
      </c>
      <c r="K5704" s="74" t="str">
        <f t="shared" si="265"/>
        <v/>
      </c>
      <c r="L5704" s="58" t="str">
        <f t="shared" si="266"/>
        <v/>
      </c>
    </row>
    <row r="5705" spans="10:12" ht="16.5" customHeight="1" x14ac:dyDescent="0.35">
      <c r="J5705" s="56" t="str">
        <f t="shared" ref="J5705:J5768" si="267">IF(A5705="","",A$5-A5705)</f>
        <v/>
      </c>
      <c r="K5705" s="74" t="str">
        <f t="shared" ref="K5705:K5768" si="268">IF(J5705="","",IF(J5705&lt;4,"0-3 Days",IF(J5705&lt;31,"4-30 Days",IF(J5705&lt;61,"31-60 Days",IF(J5705&lt;=90,"61-90 Days",IF(J5705&gt;90,"Above 90 Days","0"))))))</f>
        <v/>
      </c>
      <c r="L5705" s="58" t="str">
        <f t="shared" ref="L5705:L5768" si="269">IF(C5705="","",IF(C5705&gt;0,IF(J5705&lt;30,"Normal",IF(J5705&lt;60,"Especially Mentioned",IF(J5705&lt;90,"Substandard",IF(J5705&lt;=180,"Doubtful",IF(J5705&gt;180,"Loss","0"))))),"Not Applicable"))</f>
        <v/>
      </c>
    </row>
    <row r="5706" spans="10:12" ht="16.5" customHeight="1" x14ac:dyDescent="0.35">
      <c r="J5706" s="56" t="str">
        <f t="shared" si="267"/>
        <v/>
      </c>
      <c r="K5706" s="74" t="str">
        <f t="shared" si="268"/>
        <v/>
      </c>
      <c r="L5706" s="58" t="str">
        <f t="shared" si="269"/>
        <v/>
      </c>
    </row>
    <row r="5707" spans="10:12" ht="16.5" customHeight="1" x14ac:dyDescent="0.35">
      <c r="J5707" s="56" t="str">
        <f t="shared" si="267"/>
        <v/>
      </c>
      <c r="K5707" s="74" t="str">
        <f t="shared" si="268"/>
        <v/>
      </c>
      <c r="L5707" s="58" t="str">
        <f t="shared" si="269"/>
        <v/>
      </c>
    </row>
    <row r="5708" spans="10:12" ht="16.5" customHeight="1" x14ac:dyDescent="0.35">
      <c r="J5708" s="56" t="str">
        <f t="shared" si="267"/>
        <v/>
      </c>
      <c r="K5708" s="74" t="str">
        <f t="shared" si="268"/>
        <v/>
      </c>
      <c r="L5708" s="58" t="str">
        <f t="shared" si="269"/>
        <v/>
      </c>
    </row>
    <row r="5709" spans="10:12" ht="16.5" customHeight="1" x14ac:dyDescent="0.35">
      <c r="J5709" s="56" t="str">
        <f t="shared" si="267"/>
        <v/>
      </c>
      <c r="K5709" s="74" t="str">
        <f t="shared" si="268"/>
        <v/>
      </c>
      <c r="L5709" s="58" t="str">
        <f t="shared" si="269"/>
        <v/>
      </c>
    </row>
    <row r="5710" spans="10:12" ht="16.5" customHeight="1" x14ac:dyDescent="0.35">
      <c r="J5710" s="56" t="str">
        <f t="shared" si="267"/>
        <v/>
      </c>
      <c r="K5710" s="74" t="str">
        <f t="shared" si="268"/>
        <v/>
      </c>
      <c r="L5710" s="58" t="str">
        <f t="shared" si="269"/>
        <v/>
      </c>
    </row>
    <row r="5711" spans="10:12" ht="16.5" customHeight="1" x14ac:dyDescent="0.35">
      <c r="J5711" s="56" t="str">
        <f t="shared" si="267"/>
        <v/>
      </c>
      <c r="K5711" s="74" t="str">
        <f t="shared" si="268"/>
        <v/>
      </c>
      <c r="L5711" s="58" t="str">
        <f t="shared" si="269"/>
        <v/>
      </c>
    </row>
    <row r="5712" spans="10:12" ht="16.5" customHeight="1" x14ac:dyDescent="0.35">
      <c r="J5712" s="56" t="str">
        <f t="shared" si="267"/>
        <v/>
      </c>
      <c r="K5712" s="74" t="str">
        <f t="shared" si="268"/>
        <v/>
      </c>
      <c r="L5712" s="58" t="str">
        <f t="shared" si="269"/>
        <v/>
      </c>
    </row>
    <row r="5713" spans="10:12" ht="16.5" customHeight="1" x14ac:dyDescent="0.35">
      <c r="J5713" s="56" t="str">
        <f t="shared" si="267"/>
        <v/>
      </c>
      <c r="K5713" s="74" t="str">
        <f t="shared" si="268"/>
        <v/>
      </c>
      <c r="L5713" s="58" t="str">
        <f t="shared" si="269"/>
        <v/>
      </c>
    </row>
    <row r="5714" spans="10:12" ht="16.5" customHeight="1" x14ac:dyDescent="0.35">
      <c r="J5714" s="56" t="str">
        <f t="shared" si="267"/>
        <v/>
      </c>
      <c r="K5714" s="74" t="str">
        <f t="shared" si="268"/>
        <v/>
      </c>
      <c r="L5714" s="58" t="str">
        <f t="shared" si="269"/>
        <v/>
      </c>
    </row>
    <row r="5715" spans="10:12" ht="16.5" customHeight="1" x14ac:dyDescent="0.35">
      <c r="J5715" s="56" t="str">
        <f t="shared" si="267"/>
        <v/>
      </c>
      <c r="K5715" s="74" t="str">
        <f t="shared" si="268"/>
        <v/>
      </c>
      <c r="L5715" s="58" t="str">
        <f t="shared" si="269"/>
        <v/>
      </c>
    </row>
    <row r="5716" spans="10:12" ht="16.5" customHeight="1" x14ac:dyDescent="0.35">
      <c r="J5716" s="56" t="str">
        <f t="shared" si="267"/>
        <v/>
      </c>
      <c r="K5716" s="74" t="str">
        <f t="shared" si="268"/>
        <v/>
      </c>
      <c r="L5716" s="58" t="str">
        <f t="shared" si="269"/>
        <v/>
      </c>
    </row>
    <row r="5717" spans="10:12" ht="16.5" customHeight="1" x14ac:dyDescent="0.35">
      <c r="J5717" s="56" t="str">
        <f t="shared" si="267"/>
        <v/>
      </c>
      <c r="K5717" s="74" t="str">
        <f t="shared" si="268"/>
        <v/>
      </c>
      <c r="L5717" s="58" t="str">
        <f t="shared" si="269"/>
        <v/>
      </c>
    </row>
    <row r="5718" spans="10:12" ht="16.5" customHeight="1" x14ac:dyDescent="0.35">
      <c r="J5718" s="56" t="str">
        <f t="shared" si="267"/>
        <v/>
      </c>
      <c r="K5718" s="74" t="str">
        <f t="shared" si="268"/>
        <v/>
      </c>
      <c r="L5718" s="58" t="str">
        <f t="shared" si="269"/>
        <v/>
      </c>
    </row>
    <row r="5719" spans="10:12" ht="16.5" customHeight="1" x14ac:dyDescent="0.35">
      <c r="J5719" s="56" t="str">
        <f t="shared" si="267"/>
        <v/>
      </c>
      <c r="K5719" s="74" t="str">
        <f t="shared" si="268"/>
        <v/>
      </c>
      <c r="L5719" s="58" t="str">
        <f t="shared" si="269"/>
        <v/>
      </c>
    </row>
    <row r="5720" spans="10:12" ht="16.5" customHeight="1" x14ac:dyDescent="0.35">
      <c r="J5720" s="56" t="str">
        <f t="shared" si="267"/>
        <v/>
      </c>
      <c r="K5720" s="74" t="str">
        <f t="shared" si="268"/>
        <v/>
      </c>
      <c r="L5720" s="58" t="str">
        <f t="shared" si="269"/>
        <v/>
      </c>
    </row>
    <row r="5721" spans="10:12" ht="16.5" customHeight="1" x14ac:dyDescent="0.35">
      <c r="J5721" s="56" t="str">
        <f t="shared" si="267"/>
        <v/>
      </c>
      <c r="K5721" s="74" t="str">
        <f t="shared" si="268"/>
        <v/>
      </c>
      <c r="L5721" s="58" t="str">
        <f t="shared" si="269"/>
        <v/>
      </c>
    </row>
    <row r="5722" spans="10:12" ht="16.5" customHeight="1" x14ac:dyDescent="0.35">
      <c r="J5722" s="56" t="str">
        <f t="shared" si="267"/>
        <v/>
      </c>
      <c r="K5722" s="74" t="str">
        <f t="shared" si="268"/>
        <v/>
      </c>
      <c r="L5722" s="58" t="str">
        <f t="shared" si="269"/>
        <v/>
      </c>
    </row>
    <row r="5723" spans="10:12" ht="16.5" customHeight="1" x14ac:dyDescent="0.35">
      <c r="J5723" s="56" t="str">
        <f t="shared" si="267"/>
        <v/>
      </c>
      <c r="K5723" s="74" t="str">
        <f t="shared" si="268"/>
        <v/>
      </c>
      <c r="L5723" s="58" t="str">
        <f t="shared" si="269"/>
        <v/>
      </c>
    </row>
    <row r="5724" spans="10:12" ht="16.5" customHeight="1" x14ac:dyDescent="0.35">
      <c r="J5724" s="56" t="str">
        <f t="shared" si="267"/>
        <v/>
      </c>
      <c r="K5724" s="74" t="str">
        <f t="shared" si="268"/>
        <v/>
      </c>
      <c r="L5724" s="58" t="str">
        <f t="shared" si="269"/>
        <v/>
      </c>
    </row>
    <row r="5725" spans="10:12" ht="16.5" customHeight="1" x14ac:dyDescent="0.35">
      <c r="J5725" s="56" t="str">
        <f t="shared" si="267"/>
        <v/>
      </c>
      <c r="K5725" s="74" t="str">
        <f t="shared" si="268"/>
        <v/>
      </c>
      <c r="L5725" s="58" t="str">
        <f t="shared" si="269"/>
        <v/>
      </c>
    </row>
    <row r="5726" spans="10:12" ht="16.5" customHeight="1" x14ac:dyDescent="0.35">
      <c r="J5726" s="56" t="str">
        <f t="shared" si="267"/>
        <v/>
      </c>
      <c r="K5726" s="74" t="str">
        <f t="shared" si="268"/>
        <v/>
      </c>
      <c r="L5726" s="58" t="str">
        <f t="shared" si="269"/>
        <v/>
      </c>
    </row>
    <row r="5727" spans="10:12" ht="16.5" customHeight="1" x14ac:dyDescent="0.35">
      <c r="J5727" s="56" t="str">
        <f t="shared" si="267"/>
        <v/>
      </c>
      <c r="K5727" s="74" t="str">
        <f t="shared" si="268"/>
        <v/>
      </c>
      <c r="L5727" s="58" t="str">
        <f t="shared" si="269"/>
        <v/>
      </c>
    </row>
    <row r="5728" spans="10:12" ht="16.5" customHeight="1" x14ac:dyDescent="0.35">
      <c r="J5728" s="56" t="str">
        <f t="shared" si="267"/>
        <v/>
      </c>
      <c r="K5728" s="74" t="str">
        <f t="shared" si="268"/>
        <v/>
      </c>
      <c r="L5728" s="58" t="str">
        <f t="shared" si="269"/>
        <v/>
      </c>
    </row>
    <row r="5729" spans="10:12" ht="16.5" customHeight="1" x14ac:dyDescent="0.35">
      <c r="J5729" s="56" t="str">
        <f t="shared" si="267"/>
        <v/>
      </c>
      <c r="K5729" s="74" t="str">
        <f t="shared" si="268"/>
        <v/>
      </c>
      <c r="L5729" s="58" t="str">
        <f t="shared" si="269"/>
        <v/>
      </c>
    </row>
    <row r="5730" spans="10:12" ht="16.5" customHeight="1" x14ac:dyDescent="0.35">
      <c r="J5730" s="56" t="str">
        <f t="shared" si="267"/>
        <v/>
      </c>
      <c r="K5730" s="74" t="str">
        <f t="shared" si="268"/>
        <v/>
      </c>
      <c r="L5730" s="58" t="str">
        <f t="shared" si="269"/>
        <v/>
      </c>
    </row>
    <row r="5731" spans="10:12" ht="16.5" customHeight="1" x14ac:dyDescent="0.35">
      <c r="J5731" s="56" t="str">
        <f t="shared" si="267"/>
        <v/>
      </c>
      <c r="K5731" s="74" t="str">
        <f t="shared" si="268"/>
        <v/>
      </c>
      <c r="L5731" s="58" t="str">
        <f t="shared" si="269"/>
        <v/>
      </c>
    </row>
    <row r="5732" spans="10:12" ht="16.5" customHeight="1" x14ac:dyDescent="0.35">
      <c r="J5732" s="56" t="str">
        <f t="shared" si="267"/>
        <v/>
      </c>
      <c r="K5732" s="74" t="str">
        <f t="shared" si="268"/>
        <v/>
      </c>
      <c r="L5732" s="58" t="str">
        <f t="shared" si="269"/>
        <v/>
      </c>
    </row>
    <row r="5733" spans="10:12" ht="16.5" customHeight="1" x14ac:dyDescent="0.35">
      <c r="J5733" s="56" t="str">
        <f t="shared" si="267"/>
        <v/>
      </c>
      <c r="K5733" s="74" t="str">
        <f t="shared" si="268"/>
        <v/>
      </c>
      <c r="L5733" s="58" t="str">
        <f t="shared" si="269"/>
        <v/>
      </c>
    </row>
    <row r="5734" spans="10:12" ht="16.5" customHeight="1" x14ac:dyDescent="0.35">
      <c r="J5734" s="56" t="str">
        <f t="shared" si="267"/>
        <v/>
      </c>
      <c r="K5734" s="74" t="str">
        <f t="shared" si="268"/>
        <v/>
      </c>
      <c r="L5734" s="58" t="str">
        <f t="shared" si="269"/>
        <v/>
      </c>
    </row>
    <row r="5735" spans="10:12" ht="16.5" customHeight="1" x14ac:dyDescent="0.35">
      <c r="J5735" s="56" t="str">
        <f t="shared" si="267"/>
        <v/>
      </c>
      <c r="K5735" s="74" t="str">
        <f t="shared" si="268"/>
        <v/>
      </c>
      <c r="L5735" s="58" t="str">
        <f t="shared" si="269"/>
        <v/>
      </c>
    </row>
    <row r="5736" spans="10:12" ht="16.5" customHeight="1" x14ac:dyDescent="0.35">
      <c r="J5736" s="56" t="str">
        <f t="shared" si="267"/>
        <v/>
      </c>
      <c r="K5736" s="74" t="str">
        <f t="shared" si="268"/>
        <v/>
      </c>
      <c r="L5736" s="58" t="str">
        <f t="shared" si="269"/>
        <v/>
      </c>
    </row>
    <row r="5737" spans="10:12" ht="16.5" customHeight="1" x14ac:dyDescent="0.35">
      <c r="J5737" s="56" t="str">
        <f t="shared" si="267"/>
        <v/>
      </c>
      <c r="K5737" s="74" t="str">
        <f t="shared" si="268"/>
        <v/>
      </c>
      <c r="L5737" s="58" t="str">
        <f t="shared" si="269"/>
        <v/>
      </c>
    </row>
    <row r="5738" spans="10:12" ht="16.5" customHeight="1" x14ac:dyDescent="0.35">
      <c r="J5738" s="56" t="str">
        <f t="shared" si="267"/>
        <v/>
      </c>
      <c r="K5738" s="74" t="str">
        <f t="shared" si="268"/>
        <v/>
      </c>
      <c r="L5738" s="58" t="str">
        <f t="shared" si="269"/>
        <v/>
      </c>
    </row>
    <row r="5739" spans="10:12" ht="16.5" customHeight="1" x14ac:dyDescent="0.35">
      <c r="J5739" s="56" t="str">
        <f t="shared" si="267"/>
        <v/>
      </c>
      <c r="K5739" s="74" t="str">
        <f t="shared" si="268"/>
        <v/>
      </c>
      <c r="L5739" s="58" t="str">
        <f t="shared" si="269"/>
        <v/>
      </c>
    </row>
    <row r="5740" spans="10:12" ht="16.5" customHeight="1" x14ac:dyDescent="0.35">
      <c r="J5740" s="56" t="str">
        <f t="shared" si="267"/>
        <v/>
      </c>
      <c r="K5740" s="74" t="str">
        <f t="shared" si="268"/>
        <v/>
      </c>
      <c r="L5740" s="58" t="str">
        <f t="shared" si="269"/>
        <v/>
      </c>
    </row>
    <row r="5741" spans="10:12" ht="16.5" customHeight="1" x14ac:dyDescent="0.35">
      <c r="J5741" s="56" t="str">
        <f t="shared" si="267"/>
        <v/>
      </c>
      <c r="K5741" s="74" t="str">
        <f t="shared" si="268"/>
        <v/>
      </c>
      <c r="L5741" s="58" t="str">
        <f t="shared" si="269"/>
        <v/>
      </c>
    </row>
    <row r="5742" spans="10:12" ht="16.5" customHeight="1" x14ac:dyDescent="0.35">
      <c r="J5742" s="56" t="str">
        <f t="shared" si="267"/>
        <v/>
      </c>
      <c r="K5742" s="74" t="str">
        <f t="shared" si="268"/>
        <v/>
      </c>
      <c r="L5742" s="58" t="str">
        <f t="shared" si="269"/>
        <v/>
      </c>
    </row>
    <row r="5743" spans="10:12" ht="16.5" customHeight="1" x14ac:dyDescent="0.35">
      <c r="J5743" s="56" t="str">
        <f t="shared" si="267"/>
        <v/>
      </c>
      <c r="K5743" s="74" t="str">
        <f t="shared" si="268"/>
        <v/>
      </c>
      <c r="L5743" s="58" t="str">
        <f t="shared" si="269"/>
        <v/>
      </c>
    </row>
    <row r="5744" spans="10:12" ht="16.5" customHeight="1" x14ac:dyDescent="0.35">
      <c r="J5744" s="56" t="str">
        <f t="shared" si="267"/>
        <v/>
      </c>
      <c r="K5744" s="74" t="str">
        <f t="shared" si="268"/>
        <v/>
      </c>
      <c r="L5744" s="58" t="str">
        <f t="shared" si="269"/>
        <v/>
      </c>
    </row>
    <row r="5745" spans="10:12" ht="16.5" customHeight="1" x14ac:dyDescent="0.35">
      <c r="J5745" s="56" t="str">
        <f t="shared" si="267"/>
        <v/>
      </c>
      <c r="K5745" s="74" t="str">
        <f t="shared" si="268"/>
        <v/>
      </c>
      <c r="L5745" s="58" t="str">
        <f t="shared" si="269"/>
        <v/>
      </c>
    </row>
    <row r="5746" spans="10:12" ht="16.5" customHeight="1" x14ac:dyDescent="0.35">
      <c r="J5746" s="56" t="str">
        <f t="shared" si="267"/>
        <v/>
      </c>
      <c r="K5746" s="74" t="str">
        <f t="shared" si="268"/>
        <v/>
      </c>
      <c r="L5746" s="58" t="str">
        <f t="shared" si="269"/>
        <v/>
      </c>
    </row>
    <row r="5747" spans="10:12" ht="16.5" customHeight="1" x14ac:dyDescent="0.35">
      <c r="J5747" s="56" t="str">
        <f t="shared" si="267"/>
        <v/>
      </c>
      <c r="K5747" s="74" t="str">
        <f t="shared" si="268"/>
        <v/>
      </c>
      <c r="L5747" s="58" t="str">
        <f t="shared" si="269"/>
        <v/>
      </c>
    </row>
    <row r="5748" spans="10:12" ht="16.5" customHeight="1" x14ac:dyDescent="0.35">
      <c r="J5748" s="56" t="str">
        <f t="shared" si="267"/>
        <v/>
      </c>
      <c r="K5748" s="74" t="str">
        <f t="shared" si="268"/>
        <v/>
      </c>
      <c r="L5748" s="58" t="str">
        <f t="shared" si="269"/>
        <v/>
      </c>
    </row>
    <row r="5749" spans="10:12" ht="16.5" customHeight="1" x14ac:dyDescent="0.35">
      <c r="J5749" s="56" t="str">
        <f t="shared" si="267"/>
        <v/>
      </c>
      <c r="K5749" s="74" t="str">
        <f t="shared" si="268"/>
        <v/>
      </c>
      <c r="L5749" s="58" t="str">
        <f t="shared" si="269"/>
        <v/>
      </c>
    </row>
    <row r="5750" spans="10:12" ht="16.5" customHeight="1" x14ac:dyDescent="0.35">
      <c r="J5750" s="56" t="str">
        <f t="shared" si="267"/>
        <v/>
      </c>
      <c r="K5750" s="74" t="str">
        <f t="shared" si="268"/>
        <v/>
      </c>
      <c r="L5750" s="58" t="str">
        <f t="shared" si="269"/>
        <v/>
      </c>
    </row>
    <row r="5751" spans="10:12" ht="16.5" customHeight="1" x14ac:dyDescent="0.35">
      <c r="J5751" s="56" t="str">
        <f t="shared" si="267"/>
        <v/>
      </c>
      <c r="K5751" s="74" t="str">
        <f t="shared" si="268"/>
        <v/>
      </c>
      <c r="L5751" s="58" t="str">
        <f t="shared" si="269"/>
        <v/>
      </c>
    </row>
    <row r="5752" spans="10:12" ht="16.5" customHeight="1" x14ac:dyDescent="0.35">
      <c r="J5752" s="56" t="str">
        <f t="shared" si="267"/>
        <v/>
      </c>
      <c r="K5752" s="74" t="str">
        <f t="shared" si="268"/>
        <v/>
      </c>
      <c r="L5752" s="58" t="str">
        <f t="shared" si="269"/>
        <v/>
      </c>
    </row>
    <row r="5753" spans="10:12" ht="16.5" customHeight="1" x14ac:dyDescent="0.35">
      <c r="J5753" s="56" t="str">
        <f t="shared" si="267"/>
        <v/>
      </c>
      <c r="K5753" s="74" t="str">
        <f t="shared" si="268"/>
        <v/>
      </c>
      <c r="L5753" s="58" t="str">
        <f t="shared" si="269"/>
        <v/>
      </c>
    </row>
    <row r="5754" spans="10:12" ht="16.5" customHeight="1" x14ac:dyDescent="0.35">
      <c r="J5754" s="56" t="str">
        <f t="shared" si="267"/>
        <v/>
      </c>
      <c r="K5754" s="74" t="str">
        <f t="shared" si="268"/>
        <v/>
      </c>
      <c r="L5754" s="58" t="str">
        <f t="shared" si="269"/>
        <v/>
      </c>
    </row>
    <row r="5755" spans="10:12" ht="16.5" customHeight="1" x14ac:dyDescent="0.35">
      <c r="J5755" s="56" t="str">
        <f t="shared" si="267"/>
        <v/>
      </c>
      <c r="K5755" s="74" t="str">
        <f t="shared" si="268"/>
        <v/>
      </c>
      <c r="L5755" s="58" t="str">
        <f t="shared" si="269"/>
        <v/>
      </c>
    </row>
    <row r="5756" spans="10:12" ht="16.5" customHeight="1" x14ac:dyDescent="0.35">
      <c r="J5756" s="56" t="str">
        <f t="shared" si="267"/>
        <v/>
      </c>
      <c r="K5756" s="74" t="str">
        <f t="shared" si="268"/>
        <v/>
      </c>
      <c r="L5756" s="58" t="str">
        <f t="shared" si="269"/>
        <v/>
      </c>
    </row>
    <row r="5757" spans="10:12" ht="16.5" customHeight="1" x14ac:dyDescent="0.35">
      <c r="J5757" s="56" t="str">
        <f t="shared" si="267"/>
        <v/>
      </c>
      <c r="K5757" s="74" t="str">
        <f t="shared" si="268"/>
        <v/>
      </c>
      <c r="L5757" s="58" t="str">
        <f t="shared" si="269"/>
        <v/>
      </c>
    </row>
    <row r="5758" spans="10:12" ht="16.5" customHeight="1" x14ac:dyDescent="0.35">
      <c r="J5758" s="56" t="str">
        <f t="shared" si="267"/>
        <v/>
      </c>
      <c r="K5758" s="74" t="str">
        <f t="shared" si="268"/>
        <v/>
      </c>
      <c r="L5758" s="58" t="str">
        <f t="shared" si="269"/>
        <v/>
      </c>
    </row>
    <row r="5759" spans="10:12" ht="16.5" customHeight="1" x14ac:dyDescent="0.35">
      <c r="J5759" s="56" t="str">
        <f t="shared" si="267"/>
        <v/>
      </c>
      <c r="K5759" s="74" t="str">
        <f t="shared" si="268"/>
        <v/>
      </c>
      <c r="L5759" s="58" t="str">
        <f t="shared" si="269"/>
        <v/>
      </c>
    </row>
    <row r="5760" spans="10:12" ht="16.5" customHeight="1" x14ac:dyDescent="0.35">
      <c r="J5760" s="56" t="str">
        <f t="shared" si="267"/>
        <v/>
      </c>
      <c r="K5760" s="74" t="str">
        <f t="shared" si="268"/>
        <v/>
      </c>
      <c r="L5760" s="58" t="str">
        <f t="shared" si="269"/>
        <v/>
      </c>
    </row>
    <row r="5761" spans="10:12" ht="16.5" customHeight="1" x14ac:dyDescent="0.35">
      <c r="J5761" s="56" t="str">
        <f t="shared" si="267"/>
        <v/>
      </c>
      <c r="K5761" s="74" t="str">
        <f t="shared" si="268"/>
        <v/>
      </c>
      <c r="L5761" s="58" t="str">
        <f t="shared" si="269"/>
        <v/>
      </c>
    </row>
    <row r="5762" spans="10:12" ht="16.5" customHeight="1" x14ac:dyDescent="0.35">
      <c r="J5762" s="56" t="str">
        <f t="shared" si="267"/>
        <v/>
      </c>
      <c r="K5762" s="74" t="str">
        <f t="shared" si="268"/>
        <v/>
      </c>
      <c r="L5762" s="58" t="str">
        <f t="shared" si="269"/>
        <v/>
      </c>
    </row>
    <row r="5763" spans="10:12" ht="16.5" customHeight="1" x14ac:dyDescent="0.35">
      <c r="J5763" s="56" t="str">
        <f t="shared" si="267"/>
        <v/>
      </c>
      <c r="K5763" s="74" t="str">
        <f t="shared" si="268"/>
        <v/>
      </c>
      <c r="L5763" s="58" t="str">
        <f t="shared" si="269"/>
        <v/>
      </c>
    </row>
    <row r="5764" spans="10:12" ht="16.5" customHeight="1" x14ac:dyDescent="0.35">
      <c r="J5764" s="56" t="str">
        <f t="shared" si="267"/>
        <v/>
      </c>
      <c r="K5764" s="74" t="str">
        <f t="shared" si="268"/>
        <v/>
      </c>
      <c r="L5764" s="58" t="str">
        <f t="shared" si="269"/>
        <v/>
      </c>
    </row>
    <row r="5765" spans="10:12" ht="16.5" customHeight="1" x14ac:dyDescent="0.35">
      <c r="J5765" s="56" t="str">
        <f t="shared" si="267"/>
        <v/>
      </c>
      <c r="K5765" s="74" t="str">
        <f t="shared" si="268"/>
        <v/>
      </c>
      <c r="L5765" s="58" t="str">
        <f t="shared" si="269"/>
        <v/>
      </c>
    </row>
    <row r="5766" spans="10:12" ht="16.5" customHeight="1" x14ac:dyDescent="0.35">
      <c r="J5766" s="56" t="str">
        <f t="shared" si="267"/>
        <v/>
      </c>
      <c r="K5766" s="74" t="str">
        <f t="shared" si="268"/>
        <v/>
      </c>
      <c r="L5766" s="58" t="str">
        <f t="shared" si="269"/>
        <v/>
      </c>
    </row>
    <row r="5767" spans="10:12" ht="16.5" customHeight="1" x14ac:dyDescent="0.35">
      <c r="J5767" s="56" t="str">
        <f t="shared" si="267"/>
        <v/>
      </c>
      <c r="K5767" s="74" t="str">
        <f t="shared" si="268"/>
        <v/>
      </c>
      <c r="L5767" s="58" t="str">
        <f t="shared" si="269"/>
        <v/>
      </c>
    </row>
    <row r="5768" spans="10:12" ht="16.5" customHeight="1" x14ac:dyDescent="0.35">
      <c r="J5768" s="56" t="str">
        <f t="shared" si="267"/>
        <v/>
      </c>
      <c r="K5768" s="74" t="str">
        <f t="shared" si="268"/>
        <v/>
      </c>
      <c r="L5768" s="58" t="str">
        <f t="shared" si="269"/>
        <v/>
      </c>
    </row>
    <row r="5769" spans="10:12" ht="16.5" customHeight="1" x14ac:dyDescent="0.35">
      <c r="J5769" s="56" t="str">
        <f t="shared" ref="J5769:J5832" si="270">IF(A5769="","",A$5-A5769)</f>
        <v/>
      </c>
      <c r="K5769" s="74" t="str">
        <f t="shared" ref="K5769:K5832" si="271">IF(J5769="","",IF(J5769&lt;4,"0-3 Days",IF(J5769&lt;31,"4-30 Days",IF(J5769&lt;61,"31-60 Days",IF(J5769&lt;=90,"61-90 Days",IF(J5769&gt;90,"Above 90 Days","0"))))))</f>
        <v/>
      </c>
      <c r="L5769" s="58" t="str">
        <f t="shared" ref="L5769:L5832" si="272">IF(C5769="","",IF(C5769&gt;0,IF(J5769&lt;30,"Normal",IF(J5769&lt;60,"Especially Mentioned",IF(J5769&lt;90,"Substandard",IF(J5769&lt;=180,"Doubtful",IF(J5769&gt;180,"Loss","0"))))),"Not Applicable"))</f>
        <v/>
      </c>
    </row>
    <row r="5770" spans="10:12" ht="16.5" customHeight="1" x14ac:dyDescent="0.35">
      <c r="J5770" s="56" t="str">
        <f t="shared" si="270"/>
        <v/>
      </c>
      <c r="K5770" s="74" t="str">
        <f t="shared" si="271"/>
        <v/>
      </c>
      <c r="L5770" s="58" t="str">
        <f t="shared" si="272"/>
        <v/>
      </c>
    </row>
    <row r="5771" spans="10:12" ht="16.5" customHeight="1" x14ac:dyDescent="0.35">
      <c r="J5771" s="56" t="str">
        <f t="shared" si="270"/>
        <v/>
      </c>
      <c r="K5771" s="74" t="str">
        <f t="shared" si="271"/>
        <v/>
      </c>
      <c r="L5771" s="58" t="str">
        <f t="shared" si="272"/>
        <v/>
      </c>
    </row>
    <row r="5772" spans="10:12" ht="16.5" customHeight="1" x14ac:dyDescent="0.35">
      <c r="J5772" s="56" t="str">
        <f t="shared" si="270"/>
        <v/>
      </c>
      <c r="K5772" s="74" t="str">
        <f t="shared" si="271"/>
        <v/>
      </c>
      <c r="L5772" s="58" t="str">
        <f t="shared" si="272"/>
        <v/>
      </c>
    </row>
    <row r="5773" spans="10:12" ht="16.5" customHeight="1" x14ac:dyDescent="0.35">
      <c r="J5773" s="56" t="str">
        <f t="shared" si="270"/>
        <v/>
      </c>
      <c r="K5773" s="74" t="str">
        <f t="shared" si="271"/>
        <v/>
      </c>
      <c r="L5773" s="58" t="str">
        <f t="shared" si="272"/>
        <v/>
      </c>
    </row>
    <row r="5774" spans="10:12" ht="16.5" customHeight="1" x14ac:dyDescent="0.35">
      <c r="J5774" s="56" t="str">
        <f t="shared" si="270"/>
        <v/>
      </c>
      <c r="K5774" s="74" t="str">
        <f t="shared" si="271"/>
        <v/>
      </c>
      <c r="L5774" s="58" t="str">
        <f t="shared" si="272"/>
        <v/>
      </c>
    </row>
    <row r="5775" spans="10:12" ht="16.5" customHeight="1" x14ac:dyDescent="0.35">
      <c r="J5775" s="56" t="str">
        <f t="shared" si="270"/>
        <v/>
      </c>
      <c r="K5775" s="74" t="str">
        <f t="shared" si="271"/>
        <v/>
      </c>
      <c r="L5775" s="58" t="str">
        <f t="shared" si="272"/>
        <v/>
      </c>
    </row>
    <row r="5776" spans="10:12" ht="16.5" customHeight="1" x14ac:dyDescent="0.35">
      <c r="J5776" s="56" t="str">
        <f t="shared" si="270"/>
        <v/>
      </c>
      <c r="K5776" s="74" t="str">
        <f t="shared" si="271"/>
        <v/>
      </c>
      <c r="L5776" s="58" t="str">
        <f t="shared" si="272"/>
        <v/>
      </c>
    </row>
    <row r="5777" spans="10:12" ht="16.5" customHeight="1" x14ac:dyDescent="0.35">
      <c r="J5777" s="56" t="str">
        <f t="shared" si="270"/>
        <v/>
      </c>
      <c r="K5777" s="74" t="str">
        <f t="shared" si="271"/>
        <v/>
      </c>
      <c r="L5777" s="58" t="str">
        <f t="shared" si="272"/>
        <v/>
      </c>
    </row>
    <row r="5778" spans="10:12" ht="16.5" customHeight="1" x14ac:dyDescent="0.35">
      <c r="J5778" s="56" t="str">
        <f t="shared" si="270"/>
        <v/>
      </c>
      <c r="K5778" s="74" t="str">
        <f t="shared" si="271"/>
        <v/>
      </c>
      <c r="L5778" s="58" t="str">
        <f t="shared" si="272"/>
        <v/>
      </c>
    </row>
    <row r="5779" spans="10:12" ht="16.5" customHeight="1" x14ac:dyDescent="0.35">
      <c r="J5779" s="56" t="str">
        <f t="shared" si="270"/>
        <v/>
      </c>
      <c r="K5779" s="74" t="str">
        <f t="shared" si="271"/>
        <v/>
      </c>
      <c r="L5779" s="58" t="str">
        <f t="shared" si="272"/>
        <v/>
      </c>
    </row>
    <row r="5780" spans="10:12" ht="16.5" customHeight="1" x14ac:dyDescent="0.35">
      <c r="J5780" s="56" t="str">
        <f t="shared" si="270"/>
        <v/>
      </c>
      <c r="K5780" s="74" t="str">
        <f t="shared" si="271"/>
        <v/>
      </c>
      <c r="L5780" s="58" t="str">
        <f t="shared" si="272"/>
        <v/>
      </c>
    </row>
    <row r="5781" spans="10:12" ht="16.5" customHeight="1" x14ac:dyDescent="0.35">
      <c r="J5781" s="56" t="str">
        <f t="shared" si="270"/>
        <v/>
      </c>
      <c r="K5781" s="74" t="str">
        <f t="shared" si="271"/>
        <v/>
      </c>
      <c r="L5781" s="58" t="str">
        <f t="shared" si="272"/>
        <v/>
      </c>
    </row>
    <row r="5782" spans="10:12" ht="16.5" customHeight="1" x14ac:dyDescent="0.35">
      <c r="J5782" s="56" t="str">
        <f t="shared" si="270"/>
        <v/>
      </c>
      <c r="K5782" s="74" t="str">
        <f t="shared" si="271"/>
        <v/>
      </c>
      <c r="L5782" s="58" t="str">
        <f t="shared" si="272"/>
        <v/>
      </c>
    </row>
    <row r="5783" spans="10:12" ht="16.5" customHeight="1" x14ac:dyDescent="0.35">
      <c r="J5783" s="56" t="str">
        <f t="shared" si="270"/>
        <v/>
      </c>
      <c r="K5783" s="74" t="str">
        <f t="shared" si="271"/>
        <v/>
      </c>
      <c r="L5783" s="58" t="str">
        <f t="shared" si="272"/>
        <v/>
      </c>
    </row>
    <row r="5784" spans="10:12" ht="16.5" customHeight="1" x14ac:dyDescent="0.35">
      <c r="J5784" s="56" t="str">
        <f t="shared" si="270"/>
        <v/>
      </c>
      <c r="K5784" s="74" t="str">
        <f t="shared" si="271"/>
        <v/>
      </c>
      <c r="L5784" s="58" t="str">
        <f t="shared" si="272"/>
        <v/>
      </c>
    </row>
    <row r="5785" spans="10:12" ht="16.5" customHeight="1" x14ac:dyDescent="0.35">
      <c r="J5785" s="56" t="str">
        <f t="shared" si="270"/>
        <v/>
      </c>
      <c r="K5785" s="74" t="str">
        <f t="shared" si="271"/>
        <v/>
      </c>
      <c r="L5785" s="58" t="str">
        <f t="shared" si="272"/>
        <v/>
      </c>
    </row>
    <row r="5786" spans="10:12" ht="16.5" customHeight="1" x14ac:dyDescent="0.35">
      <c r="J5786" s="56" t="str">
        <f t="shared" si="270"/>
        <v/>
      </c>
      <c r="K5786" s="74" t="str">
        <f t="shared" si="271"/>
        <v/>
      </c>
      <c r="L5786" s="58" t="str">
        <f t="shared" si="272"/>
        <v/>
      </c>
    </row>
    <row r="5787" spans="10:12" ht="16.5" customHeight="1" x14ac:dyDescent="0.35">
      <c r="J5787" s="56" t="str">
        <f t="shared" si="270"/>
        <v/>
      </c>
      <c r="K5787" s="74" t="str">
        <f t="shared" si="271"/>
        <v/>
      </c>
      <c r="L5787" s="58" t="str">
        <f t="shared" si="272"/>
        <v/>
      </c>
    </row>
    <row r="5788" spans="10:12" ht="16.5" customHeight="1" x14ac:dyDescent="0.35">
      <c r="J5788" s="56" t="str">
        <f t="shared" si="270"/>
        <v/>
      </c>
      <c r="K5788" s="74" t="str">
        <f t="shared" si="271"/>
        <v/>
      </c>
      <c r="L5788" s="58" t="str">
        <f t="shared" si="272"/>
        <v/>
      </c>
    </row>
    <row r="5789" spans="10:12" ht="16.5" customHeight="1" x14ac:dyDescent="0.35">
      <c r="J5789" s="56" t="str">
        <f t="shared" si="270"/>
        <v/>
      </c>
      <c r="K5789" s="74" t="str">
        <f t="shared" si="271"/>
        <v/>
      </c>
      <c r="L5789" s="58" t="str">
        <f t="shared" si="272"/>
        <v/>
      </c>
    </row>
    <row r="5790" spans="10:12" ht="16.5" customHeight="1" x14ac:dyDescent="0.35">
      <c r="J5790" s="56" t="str">
        <f t="shared" si="270"/>
        <v/>
      </c>
      <c r="K5790" s="74" t="str">
        <f t="shared" si="271"/>
        <v/>
      </c>
      <c r="L5790" s="58" t="str">
        <f t="shared" si="272"/>
        <v/>
      </c>
    </row>
    <row r="5791" spans="10:12" ht="16.5" customHeight="1" x14ac:dyDescent="0.35">
      <c r="J5791" s="56" t="str">
        <f t="shared" si="270"/>
        <v/>
      </c>
      <c r="K5791" s="74" t="str">
        <f t="shared" si="271"/>
        <v/>
      </c>
      <c r="L5791" s="58" t="str">
        <f t="shared" si="272"/>
        <v/>
      </c>
    </row>
    <row r="5792" spans="10:12" ht="16.5" customHeight="1" x14ac:dyDescent="0.35">
      <c r="J5792" s="56" t="str">
        <f t="shared" si="270"/>
        <v/>
      </c>
      <c r="K5792" s="74" t="str">
        <f t="shared" si="271"/>
        <v/>
      </c>
      <c r="L5792" s="58" t="str">
        <f t="shared" si="272"/>
        <v/>
      </c>
    </row>
    <row r="5793" spans="10:12" ht="16.5" customHeight="1" x14ac:dyDescent="0.35">
      <c r="J5793" s="56" t="str">
        <f t="shared" si="270"/>
        <v/>
      </c>
      <c r="K5793" s="74" t="str">
        <f t="shared" si="271"/>
        <v/>
      </c>
      <c r="L5793" s="58" t="str">
        <f t="shared" si="272"/>
        <v/>
      </c>
    </row>
    <row r="5794" spans="10:12" ht="16.5" customHeight="1" x14ac:dyDescent="0.35">
      <c r="J5794" s="56" t="str">
        <f t="shared" si="270"/>
        <v/>
      </c>
      <c r="K5794" s="74" t="str">
        <f t="shared" si="271"/>
        <v/>
      </c>
      <c r="L5794" s="58" t="str">
        <f t="shared" si="272"/>
        <v/>
      </c>
    </row>
    <row r="5795" spans="10:12" ht="16.5" customHeight="1" x14ac:dyDescent="0.35">
      <c r="J5795" s="56" t="str">
        <f t="shared" si="270"/>
        <v/>
      </c>
      <c r="K5795" s="74" t="str">
        <f t="shared" si="271"/>
        <v/>
      </c>
      <c r="L5795" s="58" t="str">
        <f t="shared" si="272"/>
        <v/>
      </c>
    </row>
    <row r="5796" spans="10:12" ht="16.5" customHeight="1" x14ac:dyDescent="0.35">
      <c r="J5796" s="56" t="str">
        <f t="shared" si="270"/>
        <v/>
      </c>
      <c r="K5796" s="74" t="str">
        <f t="shared" si="271"/>
        <v/>
      </c>
      <c r="L5796" s="58" t="str">
        <f t="shared" si="272"/>
        <v/>
      </c>
    </row>
    <row r="5797" spans="10:12" ht="16.5" customHeight="1" x14ac:dyDescent="0.35">
      <c r="J5797" s="56" t="str">
        <f t="shared" si="270"/>
        <v/>
      </c>
      <c r="K5797" s="74" t="str">
        <f t="shared" si="271"/>
        <v/>
      </c>
      <c r="L5797" s="58" t="str">
        <f t="shared" si="272"/>
        <v/>
      </c>
    </row>
    <row r="5798" spans="10:12" ht="16.5" customHeight="1" x14ac:dyDescent="0.35">
      <c r="J5798" s="56" t="str">
        <f t="shared" si="270"/>
        <v/>
      </c>
      <c r="K5798" s="74" t="str">
        <f t="shared" si="271"/>
        <v/>
      </c>
      <c r="L5798" s="58" t="str">
        <f t="shared" si="272"/>
        <v/>
      </c>
    </row>
    <row r="5799" spans="10:12" ht="16.5" customHeight="1" x14ac:dyDescent="0.35">
      <c r="J5799" s="56" t="str">
        <f t="shared" si="270"/>
        <v/>
      </c>
      <c r="K5799" s="74" t="str">
        <f t="shared" si="271"/>
        <v/>
      </c>
      <c r="L5799" s="58" t="str">
        <f t="shared" si="272"/>
        <v/>
      </c>
    </row>
    <row r="5800" spans="10:12" ht="16.5" customHeight="1" x14ac:dyDescent="0.35">
      <c r="J5800" s="56" t="str">
        <f t="shared" si="270"/>
        <v/>
      </c>
      <c r="K5800" s="74" t="str">
        <f t="shared" si="271"/>
        <v/>
      </c>
      <c r="L5800" s="58" t="str">
        <f t="shared" si="272"/>
        <v/>
      </c>
    </row>
    <row r="5801" spans="10:12" ht="16.5" customHeight="1" x14ac:dyDescent="0.35">
      <c r="J5801" s="56" t="str">
        <f t="shared" si="270"/>
        <v/>
      </c>
      <c r="K5801" s="74" t="str">
        <f t="shared" si="271"/>
        <v/>
      </c>
      <c r="L5801" s="58" t="str">
        <f t="shared" si="272"/>
        <v/>
      </c>
    </row>
    <row r="5802" spans="10:12" ht="16.5" customHeight="1" x14ac:dyDescent="0.35">
      <c r="J5802" s="56" t="str">
        <f t="shared" si="270"/>
        <v/>
      </c>
      <c r="K5802" s="74" t="str">
        <f t="shared" si="271"/>
        <v/>
      </c>
      <c r="L5802" s="58" t="str">
        <f t="shared" si="272"/>
        <v/>
      </c>
    </row>
    <row r="5803" spans="10:12" ht="16.5" customHeight="1" x14ac:dyDescent="0.35">
      <c r="J5803" s="56" t="str">
        <f t="shared" si="270"/>
        <v/>
      </c>
      <c r="K5803" s="74" t="str">
        <f t="shared" si="271"/>
        <v/>
      </c>
      <c r="L5803" s="58" t="str">
        <f t="shared" si="272"/>
        <v/>
      </c>
    </row>
    <row r="5804" spans="10:12" ht="16.5" customHeight="1" x14ac:dyDescent="0.35">
      <c r="J5804" s="56" t="str">
        <f t="shared" si="270"/>
        <v/>
      </c>
      <c r="K5804" s="74" t="str">
        <f t="shared" si="271"/>
        <v/>
      </c>
      <c r="L5804" s="58" t="str">
        <f t="shared" si="272"/>
        <v/>
      </c>
    </row>
    <row r="5805" spans="10:12" ht="16.5" customHeight="1" x14ac:dyDescent="0.35">
      <c r="J5805" s="56" t="str">
        <f t="shared" si="270"/>
        <v/>
      </c>
      <c r="K5805" s="74" t="str">
        <f t="shared" si="271"/>
        <v/>
      </c>
      <c r="L5805" s="58" t="str">
        <f t="shared" si="272"/>
        <v/>
      </c>
    </row>
    <row r="5806" spans="10:12" ht="16.5" customHeight="1" x14ac:dyDescent="0.35">
      <c r="J5806" s="56" t="str">
        <f t="shared" si="270"/>
        <v/>
      </c>
      <c r="K5806" s="74" t="str">
        <f t="shared" si="271"/>
        <v/>
      </c>
      <c r="L5806" s="58" t="str">
        <f t="shared" si="272"/>
        <v/>
      </c>
    </row>
    <row r="5807" spans="10:12" ht="16.5" customHeight="1" x14ac:dyDescent="0.35">
      <c r="J5807" s="56" t="str">
        <f t="shared" si="270"/>
        <v/>
      </c>
      <c r="K5807" s="74" t="str">
        <f t="shared" si="271"/>
        <v/>
      </c>
      <c r="L5807" s="58" t="str">
        <f t="shared" si="272"/>
        <v/>
      </c>
    </row>
    <row r="5808" spans="10:12" ht="16.5" customHeight="1" x14ac:dyDescent="0.35">
      <c r="J5808" s="56" t="str">
        <f t="shared" si="270"/>
        <v/>
      </c>
      <c r="K5808" s="74" t="str">
        <f t="shared" si="271"/>
        <v/>
      </c>
      <c r="L5808" s="58" t="str">
        <f t="shared" si="272"/>
        <v/>
      </c>
    </row>
    <row r="5809" spans="10:12" ht="16.5" customHeight="1" x14ac:dyDescent="0.35">
      <c r="J5809" s="56" t="str">
        <f t="shared" si="270"/>
        <v/>
      </c>
      <c r="K5809" s="74" t="str">
        <f t="shared" si="271"/>
        <v/>
      </c>
      <c r="L5809" s="58" t="str">
        <f t="shared" si="272"/>
        <v/>
      </c>
    </row>
    <row r="5810" spans="10:12" ht="16.5" customHeight="1" x14ac:dyDescent="0.35">
      <c r="J5810" s="56" t="str">
        <f t="shared" si="270"/>
        <v/>
      </c>
      <c r="K5810" s="74" t="str">
        <f t="shared" si="271"/>
        <v/>
      </c>
      <c r="L5810" s="58" t="str">
        <f t="shared" si="272"/>
        <v/>
      </c>
    </row>
    <row r="5811" spans="10:12" ht="16.5" customHeight="1" x14ac:dyDescent="0.35">
      <c r="J5811" s="56" t="str">
        <f t="shared" si="270"/>
        <v/>
      </c>
      <c r="K5811" s="74" t="str">
        <f t="shared" si="271"/>
        <v/>
      </c>
      <c r="L5811" s="58" t="str">
        <f t="shared" si="272"/>
        <v/>
      </c>
    </row>
    <row r="5812" spans="10:12" ht="16.5" customHeight="1" x14ac:dyDescent="0.35">
      <c r="J5812" s="56" t="str">
        <f t="shared" si="270"/>
        <v/>
      </c>
      <c r="K5812" s="74" t="str">
        <f t="shared" si="271"/>
        <v/>
      </c>
      <c r="L5812" s="58" t="str">
        <f t="shared" si="272"/>
        <v/>
      </c>
    </row>
    <row r="5813" spans="10:12" ht="16.5" customHeight="1" x14ac:dyDescent="0.35">
      <c r="J5813" s="56" t="str">
        <f t="shared" si="270"/>
        <v/>
      </c>
      <c r="K5813" s="74" t="str">
        <f t="shared" si="271"/>
        <v/>
      </c>
      <c r="L5813" s="58" t="str">
        <f t="shared" si="272"/>
        <v/>
      </c>
    </row>
    <row r="5814" spans="10:12" ht="16.5" customHeight="1" x14ac:dyDescent="0.35">
      <c r="J5814" s="56" t="str">
        <f t="shared" si="270"/>
        <v/>
      </c>
      <c r="K5814" s="74" t="str">
        <f t="shared" si="271"/>
        <v/>
      </c>
      <c r="L5814" s="58" t="str">
        <f t="shared" si="272"/>
        <v/>
      </c>
    </row>
    <row r="5815" spans="10:12" ht="16.5" customHeight="1" x14ac:dyDescent="0.35">
      <c r="J5815" s="56" t="str">
        <f t="shared" si="270"/>
        <v/>
      </c>
      <c r="K5815" s="74" t="str">
        <f t="shared" si="271"/>
        <v/>
      </c>
      <c r="L5815" s="58" t="str">
        <f t="shared" si="272"/>
        <v/>
      </c>
    </row>
    <row r="5816" spans="10:12" ht="16.5" customHeight="1" x14ac:dyDescent="0.35">
      <c r="J5816" s="56" t="str">
        <f t="shared" si="270"/>
        <v/>
      </c>
      <c r="K5816" s="74" t="str">
        <f t="shared" si="271"/>
        <v/>
      </c>
      <c r="L5816" s="58" t="str">
        <f t="shared" si="272"/>
        <v/>
      </c>
    </row>
    <row r="5817" spans="10:12" ht="16.5" customHeight="1" x14ac:dyDescent="0.35">
      <c r="J5817" s="56" t="str">
        <f t="shared" si="270"/>
        <v/>
      </c>
      <c r="K5817" s="74" t="str">
        <f t="shared" si="271"/>
        <v/>
      </c>
      <c r="L5817" s="58" t="str">
        <f t="shared" si="272"/>
        <v/>
      </c>
    </row>
    <row r="5818" spans="10:12" ht="16.5" customHeight="1" x14ac:dyDescent="0.35">
      <c r="J5818" s="56" t="str">
        <f t="shared" si="270"/>
        <v/>
      </c>
      <c r="K5818" s="74" t="str">
        <f t="shared" si="271"/>
        <v/>
      </c>
      <c r="L5818" s="58" t="str">
        <f t="shared" si="272"/>
        <v/>
      </c>
    </row>
    <row r="5819" spans="10:12" ht="16.5" customHeight="1" x14ac:dyDescent="0.35">
      <c r="J5819" s="56" t="str">
        <f t="shared" si="270"/>
        <v/>
      </c>
      <c r="K5819" s="74" t="str">
        <f t="shared" si="271"/>
        <v/>
      </c>
      <c r="L5819" s="58" t="str">
        <f t="shared" si="272"/>
        <v/>
      </c>
    </row>
    <row r="5820" spans="10:12" ht="16.5" customHeight="1" x14ac:dyDescent="0.35">
      <c r="J5820" s="56" t="str">
        <f t="shared" si="270"/>
        <v/>
      </c>
      <c r="K5820" s="74" t="str">
        <f t="shared" si="271"/>
        <v/>
      </c>
      <c r="L5820" s="58" t="str">
        <f t="shared" si="272"/>
        <v/>
      </c>
    </row>
    <row r="5821" spans="10:12" ht="16.5" customHeight="1" x14ac:dyDescent="0.35">
      <c r="J5821" s="56" t="str">
        <f t="shared" si="270"/>
        <v/>
      </c>
      <c r="K5821" s="74" t="str">
        <f t="shared" si="271"/>
        <v/>
      </c>
      <c r="L5821" s="58" t="str">
        <f t="shared" si="272"/>
        <v/>
      </c>
    </row>
    <row r="5822" spans="10:12" ht="16.5" customHeight="1" x14ac:dyDescent="0.35">
      <c r="J5822" s="56" t="str">
        <f t="shared" si="270"/>
        <v/>
      </c>
      <c r="K5822" s="74" t="str">
        <f t="shared" si="271"/>
        <v/>
      </c>
      <c r="L5822" s="58" t="str">
        <f t="shared" si="272"/>
        <v/>
      </c>
    </row>
    <row r="5823" spans="10:12" ht="16.5" customHeight="1" x14ac:dyDescent="0.35">
      <c r="J5823" s="56" t="str">
        <f t="shared" si="270"/>
        <v/>
      </c>
      <c r="K5823" s="74" t="str">
        <f t="shared" si="271"/>
        <v/>
      </c>
      <c r="L5823" s="58" t="str">
        <f t="shared" si="272"/>
        <v/>
      </c>
    </row>
    <row r="5824" spans="10:12" ht="16.5" customHeight="1" x14ac:dyDescent="0.35">
      <c r="J5824" s="56" t="str">
        <f t="shared" si="270"/>
        <v/>
      </c>
      <c r="K5824" s="74" t="str">
        <f t="shared" si="271"/>
        <v/>
      </c>
      <c r="L5824" s="58" t="str">
        <f t="shared" si="272"/>
        <v/>
      </c>
    </row>
    <row r="5825" spans="10:12" ht="16.5" customHeight="1" x14ac:dyDescent="0.35">
      <c r="J5825" s="56" t="str">
        <f t="shared" si="270"/>
        <v/>
      </c>
      <c r="K5825" s="74" t="str">
        <f t="shared" si="271"/>
        <v/>
      </c>
      <c r="L5825" s="58" t="str">
        <f t="shared" si="272"/>
        <v/>
      </c>
    </row>
    <row r="5826" spans="10:12" ht="16.5" customHeight="1" x14ac:dyDescent="0.35">
      <c r="J5826" s="56" t="str">
        <f t="shared" si="270"/>
        <v/>
      </c>
      <c r="K5826" s="74" t="str">
        <f t="shared" si="271"/>
        <v/>
      </c>
      <c r="L5826" s="58" t="str">
        <f t="shared" si="272"/>
        <v/>
      </c>
    </row>
    <row r="5827" spans="10:12" ht="16.5" customHeight="1" x14ac:dyDescent="0.35">
      <c r="J5827" s="56" t="str">
        <f t="shared" si="270"/>
        <v/>
      </c>
      <c r="K5827" s="74" t="str">
        <f t="shared" si="271"/>
        <v/>
      </c>
      <c r="L5827" s="58" t="str">
        <f t="shared" si="272"/>
        <v/>
      </c>
    </row>
    <row r="5828" spans="10:12" ht="16.5" customHeight="1" x14ac:dyDescent="0.35">
      <c r="J5828" s="56" t="str">
        <f t="shared" si="270"/>
        <v/>
      </c>
      <c r="K5828" s="74" t="str">
        <f t="shared" si="271"/>
        <v/>
      </c>
      <c r="L5828" s="58" t="str">
        <f t="shared" si="272"/>
        <v/>
      </c>
    </row>
    <row r="5829" spans="10:12" ht="16.5" customHeight="1" x14ac:dyDescent="0.35">
      <c r="J5829" s="56" t="str">
        <f t="shared" si="270"/>
        <v/>
      </c>
      <c r="K5829" s="74" t="str">
        <f t="shared" si="271"/>
        <v/>
      </c>
      <c r="L5829" s="58" t="str">
        <f t="shared" si="272"/>
        <v/>
      </c>
    </row>
    <row r="5830" spans="10:12" ht="16.5" customHeight="1" x14ac:dyDescent="0.35">
      <c r="J5830" s="56" t="str">
        <f t="shared" si="270"/>
        <v/>
      </c>
      <c r="K5830" s="74" t="str">
        <f t="shared" si="271"/>
        <v/>
      </c>
      <c r="L5830" s="58" t="str">
        <f t="shared" si="272"/>
        <v/>
      </c>
    </row>
    <row r="5831" spans="10:12" ht="16.5" customHeight="1" x14ac:dyDescent="0.35">
      <c r="J5831" s="56" t="str">
        <f t="shared" si="270"/>
        <v/>
      </c>
      <c r="K5831" s="74" t="str">
        <f t="shared" si="271"/>
        <v/>
      </c>
      <c r="L5831" s="58" t="str">
        <f t="shared" si="272"/>
        <v/>
      </c>
    </row>
    <row r="5832" spans="10:12" ht="16.5" customHeight="1" x14ac:dyDescent="0.35">
      <c r="J5832" s="56" t="str">
        <f t="shared" si="270"/>
        <v/>
      </c>
      <c r="K5832" s="74" t="str">
        <f t="shared" si="271"/>
        <v/>
      </c>
      <c r="L5832" s="58" t="str">
        <f t="shared" si="272"/>
        <v/>
      </c>
    </row>
    <row r="5833" spans="10:12" ht="16.5" customHeight="1" x14ac:dyDescent="0.35">
      <c r="J5833" s="56" t="str">
        <f t="shared" ref="J5833:J5896" si="273">IF(A5833="","",A$5-A5833)</f>
        <v/>
      </c>
      <c r="K5833" s="74" t="str">
        <f t="shared" ref="K5833:K5896" si="274">IF(J5833="","",IF(J5833&lt;4,"0-3 Days",IF(J5833&lt;31,"4-30 Days",IF(J5833&lt;61,"31-60 Days",IF(J5833&lt;=90,"61-90 Days",IF(J5833&gt;90,"Above 90 Days","0"))))))</f>
        <v/>
      </c>
      <c r="L5833" s="58" t="str">
        <f t="shared" ref="L5833:L5896" si="275">IF(C5833="","",IF(C5833&gt;0,IF(J5833&lt;30,"Normal",IF(J5833&lt;60,"Especially Mentioned",IF(J5833&lt;90,"Substandard",IF(J5833&lt;=180,"Doubtful",IF(J5833&gt;180,"Loss","0"))))),"Not Applicable"))</f>
        <v/>
      </c>
    </row>
    <row r="5834" spans="10:12" ht="16.5" customHeight="1" x14ac:dyDescent="0.35">
      <c r="J5834" s="56" t="str">
        <f t="shared" si="273"/>
        <v/>
      </c>
      <c r="K5834" s="74" t="str">
        <f t="shared" si="274"/>
        <v/>
      </c>
      <c r="L5834" s="58" t="str">
        <f t="shared" si="275"/>
        <v/>
      </c>
    </row>
    <row r="5835" spans="10:12" ht="16.5" customHeight="1" x14ac:dyDescent="0.35">
      <c r="J5835" s="56" t="str">
        <f t="shared" si="273"/>
        <v/>
      </c>
      <c r="K5835" s="74" t="str">
        <f t="shared" si="274"/>
        <v/>
      </c>
      <c r="L5835" s="58" t="str">
        <f t="shared" si="275"/>
        <v/>
      </c>
    </row>
    <row r="5836" spans="10:12" ht="16.5" customHeight="1" x14ac:dyDescent="0.35">
      <c r="J5836" s="56" t="str">
        <f t="shared" si="273"/>
        <v/>
      </c>
      <c r="K5836" s="74" t="str">
        <f t="shared" si="274"/>
        <v/>
      </c>
      <c r="L5836" s="58" t="str">
        <f t="shared" si="275"/>
        <v/>
      </c>
    </row>
    <row r="5837" spans="10:12" ht="16.5" customHeight="1" x14ac:dyDescent="0.35">
      <c r="J5837" s="56" t="str">
        <f t="shared" si="273"/>
        <v/>
      </c>
      <c r="K5837" s="74" t="str">
        <f t="shared" si="274"/>
        <v/>
      </c>
      <c r="L5837" s="58" t="str">
        <f t="shared" si="275"/>
        <v/>
      </c>
    </row>
    <row r="5838" spans="10:12" ht="16.5" customHeight="1" x14ac:dyDescent="0.35">
      <c r="J5838" s="56" t="str">
        <f t="shared" si="273"/>
        <v/>
      </c>
      <c r="K5838" s="74" t="str">
        <f t="shared" si="274"/>
        <v/>
      </c>
      <c r="L5838" s="58" t="str">
        <f t="shared" si="275"/>
        <v/>
      </c>
    </row>
    <row r="5839" spans="10:12" ht="16.5" customHeight="1" x14ac:dyDescent="0.35">
      <c r="J5839" s="56" t="str">
        <f t="shared" si="273"/>
        <v/>
      </c>
      <c r="K5839" s="74" t="str">
        <f t="shared" si="274"/>
        <v/>
      </c>
      <c r="L5839" s="58" t="str">
        <f t="shared" si="275"/>
        <v/>
      </c>
    </row>
    <row r="5840" spans="10:12" ht="16.5" customHeight="1" x14ac:dyDescent="0.35">
      <c r="J5840" s="56" t="str">
        <f t="shared" si="273"/>
        <v/>
      </c>
      <c r="K5840" s="74" t="str">
        <f t="shared" si="274"/>
        <v/>
      </c>
      <c r="L5840" s="58" t="str">
        <f t="shared" si="275"/>
        <v/>
      </c>
    </row>
    <row r="5841" spans="10:12" ht="16.5" customHeight="1" x14ac:dyDescent="0.35">
      <c r="J5841" s="56" t="str">
        <f t="shared" si="273"/>
        <v/>
      </c>
      <c r="K5841" s="74" t="str">
        <f t="shared" si="274"/>
        <v/>
      </c>
      <c r="L5841" s="58" t="str">
        <f t="shared" si="275"/>
        <v/>
      </c>
    </row>
    <row r="5842" spans="10:12" ht="16.5" customHeight="1" x14ac:dyDescent="0.35">
      <c r="J5842" s="56" t="str">
        <f t="shared" si="273"/>
        <v/>
      </c>
      <c r="K5842" s="74" t="str">
        <f t="shared" si="274"/>
        <v/>
      </c>
      <c r="L5842" s="58" t="str">
        <f t="shared" si="275"/>
        <v/>
      </c>
    </row>
    <row r="5843" spans="10:12" ht="16.5" customHeight="1" x14ac:dyDescent="0.35">
      <c r="J5843" s="56" t="str">
        <f t="shared" si="273"/>
        <v/>
      </c>
      <c r="K5843" s="74" t="str">
        <f t="shared" si="274"/>
        <v/>
      </c>
      <c r="L5843" s="58" t="str">
        <f t="shared" si="275"/>
        <v/>
      </c>
    </row>
    <row r="5844" spans="10:12" ht="16.5" customHeight="1" x14ac:dyDescent="0.35">
      <c r="J5844" s="56" t="str">
        <f t="shared" si="273"/>
        <v/>
      </c>
      <c r="K5844" s="74" t="str">
        <f t="shared" si="274"/>
        <v/>
      </c>
      <c r="L5844" s="58" t="str">
        <f t="shared" si="275"/>
        <v/>
      </c>
    </row>
    <row r="5845" spans="10:12" ht="16.5" customHeight="1" x14ac:dyDescent="0.35">
      <c r="J5845" s="56" t="str">
        <f t="shared" si="273"/>
        <v/>
      </c>
      <c r="K5845" s="74" t="str">
        <f t="shared" si="274"/>
        <v/>
      </c>
      <c r="L5845" s="58" t="str">
        <f t="shared" si="275"/>
        <v/>
      </c>
    </row>
    <row r="5846" spans="10:12" ht="16.5" customHeight="1" x14ac:dyDescent="0.35">
      <c r="J5846" s="56" t="str">
        <f t="shared" si="273"/>
        <v/>
      </c>
      <c r="K5846" s="74" t="str">
        <f t="shared" si="274"/>
        <v/>
      </c>
      <c r="L5846" s="58" t="str">
        <f t="shared" si="275"/>
        <v/>
      </c>
    </row>
    <row r="5847" spans="10:12" ht="16.5" customHeight="1" x14ac:dyDescent="0.35">
      <c r="J5847" s="56" t="str">
        <f t="shared" si="273"/>
        <v/>
      </c>
      <c r="K5847" s="74" t="str">
        <f t="shared" si="274"/>
        <v/>
      </c>
      <c r="L5847" s="58" t="str">
        <f t="shared" si="275"/>
        <v/>
      </c>
    </row>
    <row r="5848" spans="10:12" ht="16.5" customHeight="1" x14ac:dyDescent="0.35">
      <c r="J5848" s="56" t="str">
        <f t="shared" si="273"/>
        <v/>
      </c>
      <c r="K5848" s="74" t="str">
        <f t="shared" si="274"/>
        <v/>
      </c>
      <c r="L5848" s="58" t="str">
        <f t="shared" si="275"/>
        <v/>
      </c>
    </row>
    <row r="5849" spans="10:12" ht="16.5" customHeight="1" x14ac:dyDescent="0.35">
      <c r="J5849" s="56" t="str">
        <f t="shared" si="273"/>
        <v/>
      </c>
      <c r="K5849" s="74" t="str">
        <f t="shared" si="274"/>
        <v/>
      </c>
      <c r="L5849" s="58" t="str">
        <f t="shared" si="275"/>
        <v/>
      </c>
    </row>
    <row r="5850" spans="10:12" ht="16.5" customHeight="1" x14ac:dyDescent="0.35">
      <c r="J5850" s="56" t="str">
        <f t="shared" si="273"/>
        <v/>
      </c>
      <c r="K5850" s="74" t="str">
        <f t="shared" si="274"/>
        <v/>
      </c>
      <c r="L5850" s="58" t="str">
        <f t="shared" si="275"/>
        <v/>
      </c>
    </row>
    <row r="5851" spans="10:12" ht="16.5" customHeight="1" x14ac:dyDescent="0.35">
      <c r="J5851" s="56" t="str">
        <f t="shared" si="273"/>
        <v/>
      </c>
      <c r="K5851" s="74" t="str">
        <f t="shared" si="274"/>
        <v/>
      </c>
      <c r="L5851" s="58" t="str">
        <f t="shared" si="275"/>
        <v/>
      </c>
    </row>
    <row r="5852" spans="10:12" ht="16.5" customHeight="1" x14ac:dyDescent="0.35">
      <c r="J5852" s="56" t="str">
        <f t="shared" si="273"/>
        <v/>
      </c>
      <c r="K5852" s="74" t="str">
        <f t="shared" si="274"/>
        <v/>
      </c>
      <c r="L5852" s="58" t="str">
        <f t="shared" si="275"/>
        <v/>
      </c>
    </row>
    <row r="5853" spans="10:12" ht="16.5" customHeight="1" x14ac:dyDescent="0.35">
      <c r="J5853" s="56" t="str">
        <f t="shared" si="273"/>
        <v/>
      </c>
      <c r="K5853" s="74" t="str">
        <f t="shared" si="274"/>
        <v/>
      </c>
      <c r="L5853" s="58" t="str">
        <f t="shared" si="275"/>
        <v/>
      </c>
    </row>
    <row r="5854" spans="10:12" ht="16.5" customHeight="1" x14ac:dyDescent="0.35">
      <c r="J5854" s="56" t="str">
        <f t="shared" si="273"/>
        <v/>
      </c>
      <c r="K5854" s="74" t="str">
        <f t="shared" si="274"/>
        <v/>
      </c>
      <c r="L5854" s="58" t="str">
        <f t="shared" si="275"/>
        <v/>
      </c>
    </row>
    <row r="5855" spans="10:12" ht="16.5" customHeight="1" x14ac:dyDescent="0.35">
      <c r="J5855" s="56" t="str">
        <f t="shared" si="273"/>
        <v/>
      </c>
      <c r="K5855" s="74" t="str">
        <f t="shared" si="274"/>
        <v/>
      </c>
      <c r="L5855" s="58" t="str">
        <f t="shared" si="275"/>
        <v/>
      </c>
    </row>
    <row r="5856" spans="10:12" ht="16.5" customHeight="1" x14ac:dyDescent="0.35">
      <c r="J5856" s="56" t="str">
        <f t="shared" si="273"/>
        <v/>
      </c>
      <c r="K5856" s="74" t="str">
        <f t="shared" si="274"/>
        <v/>
      </c>
      <c r="L5856" s="58" t="str">
        <f t="shared" si="275"/>
        <v/>
      </c>
    </row>
    <row r="5857" spans="10:12" ht="16.5" customHeight="1" x14ac:dyDescent="0.35">
      <c r="J5857" s="56" t="str">
        <f t="shared" si="273"/>
        <v/>
      </c>
      <c r="K5857" s="74" t="str">
        <f t="shared" si="274"/>
        <v/>
      </c>
      <c r="L5857" s="58" t="str">
        <f t="shared" si="275"/>
        <v/>
      </c>
    </row>
    <row r="5858" spans="10:12" ht="16.5" customHeight="1" x14ac:dyDescent="0.35">
      <c r="J5858" s="56" t="str">
        <f t="shared" si="273"/>
        <v/>
      </c>
      <c r="K5858" s="74" t="str">
        <f t="shared" si="274"/>
        <v/>
      </c>
      <c r="L5858" s="58" t="str">
        <f t="shared" si="275"/>
        <v/>
      </c>
    </row>
    <row r="5859" spans="10:12" ht="16.5" customHeight="1" x14ac:dyDescent="0.35">
      <c r="J5859" s="56" t="str">
        <f t="shared" si="273"/>
        <v/>
      </c>
      <c r="K5859" s="74" t="str">
        <f t="shared" si="274"/>
        <v/>
      </c>
      <c r="L5859" s="58" t="str">
        <f t="shared" si="275"/>
        <v/>
      </c>
    </row>
    <row r="5860" spans="10:12" ht="16.5" customHeight="1" x14ac:dyDescent="0.35">
      <c r="J5860" s="56" t="str">
        <f t="shared" si="273"/>
        <v/>
      </c>
      <c r="K5860" s="74" t="str">
        <f t="shared" si="274"/>
        <v/>
      </c>
      <c r="L5860" s="58" t="str">
        <f t="shared" si="275"/>
        <v/>
      </c>
    </row>
    <row r="5861" spans="10:12" ht="16.5" customHeight="1" x14ac:dyDescent="0.35">
      <c r="J5861" s="56" t="str">
        <f t="shared" si="273"/>
        <v/>
      </c>
      <c r="K5861" s="74" t="str">
        <f t="shared" si="274"/>
        <v/>
      </c>
      <c r="L5861" s="58" t="str">
        <f t="shared" si="275"/>
        <v/>
      </c>
    </row>
    <row r="5862" spans="10:12" ht="16.5" customHeight="1" x14ac:dyDescent="0.35">
      <c r="J5862" s="56" t="str">
        <f t="shared" si="273"/>
        <v/>
      </c>
      <c r="K5862" s="74" t="str">
        <f t="shared" si="274"/>
        <v/>
      </c>
      <c r="L5862" s="58" t="str">
        <f t="shared" si="275"/>
        <v/>
      </c>
    </row>
    <row r="5863" spans="10:12" ht="16.5" customHeight="1" x14ac:dyDescent="0.35">
      <c r="J5863" s="56" t="str">
        <f t="shared" si="273"/>
        <v/>
      </c>
      <c r="K5863" s="74" t="str">
        <f t="shared" si="274"/>
        <v/>
      </c>
      <c r="L5863" s="58" t="str">
        <f t="shared" si="275"/>
        <v/>
      </c>
    </row>
    <row r="5864" spans="10:12" ht="16.5" customHeight="1" x14ac:dyDescent="0.35">
      <c r="J5864" s="56" t="str">
        <f t="shared" si="273"/>
        <v/>
      </c>
      <c r="K5864" s="74" t="str">
        <f t="shared" si="274"/>
        <v/>
      </c>
      <c r="L5864" s="58" t="str">
        <f t="shared" si="275"/>
        <v/>
      </c>
    </row>
    <row r="5865" spans="10:12" ht="16.5" customHeight="1" x14ac:dyDescent="0.35">
      <c r="J5865" s="56" t="str">
        <f t="shared" si="273"/>
        <v/>
      </c>
      <c r="K5865" s="74" t="str">
        <f t="shared" si="274"/>
        <v/>
      </c>
      <c r="L5865" s="58" t="str">
        <f t="shared" si="275"/>
        <v/>
      </c>
    </row>
    <row r="5866" spans="10:12" ht="16.5" customHeight="1" x14ac:dyDescent="0.35">
      <c r="J5866" s="56" t="str">
        <f t="shared" si="273"/>
        <v/>
      </c>
      <c r="K5866" s="74" t="str">
        <f t="shared" si="274"/>
        <v/>
      </c>
      <c r="L5866" s="58" t="str">
        <f t="shared" si="275"/>
        <v/>
      </c>
    </row>
    <row r="5867" spans="10:12" ht="16.5" customHeight="1" x14ac:dyDescent="0.35">
      <c r="J5867" s="56" t="str">
        <f t="shared" si="273"/>
        <v/>
      </c>
      <c r="K5867" s="74" t="str">
        <f t="shared" si="274"/>
        <v/>
      </c>
      <c r="L5867" s="58" t="str">
        <f t="shared" si="275"/>
        <v/>
      </c>
    </row>
    <row r="5868" spans="10:12" ht="16.5" customHeight="1" x14ac:dyDescent="0.35">
      <c r="J5868" s="56" t="str">
        <f t="shared" si="273"/>
        <v/>
      </c>
      <c r="K5868" s="74" t="str">
        <f t="shared" si="274"/>
        <v/>
      </c>
      <c r="L5868" s="58" t="str">
        <f t="shared" si="275"/>
        <v/>
      </c>
    </row>
    <row r="5869" spans="10:12" ht="16.5" customHeight="1" x14ac:dyDescent="0.35">
      <c r="J5869" s="56" t="str">
        <f t="shared" si="273"/>
        <v/>
      </c>
      <c r="K5869" s="74" t="str">
        <f t="shared" si="274"/>
        <v/>
      </c>
      <c r="L5869" s="58" t="str">
        <f t="shared" si="275"/>
        <v/>
      </c>
    </row>
    <row r="5870" spans="10:12" ht="16.5" customHeight="1" x14ac:dyDescent="0.35">
      <c r="J5870" s="56" t="str">
        <f t="shared" si="273"/>
        <v/>
      </c>
      <c r="K5870" s="74" t="str">
        <f t="shared" si="274"/>
        <v/>
      </c>
      <c r="L5870" s="58" t="str">
        <f t="shared" si="275"/>
        <v/>
      </c>
    </row>
    <row r="5871" spans="10:12" ht="16.5" customHeight="1" x14ac:dyDescent="0.35">
      <c r="J5871" s="56" t="str">
        <f t="shared" si="273"/>
        <v/>
      </c>
      <c r="K5871" s="74" t="str">
        <f t="shared" si="274"/>
        <v/>
      </c>
      <c r="L5871" s="58" t="str">
        <f t="shared" si="275"/>
        <v/>
      </c>
    </row>
    <row r="5872" spans="10:12" ht="16.5" customHeight="1" x14ac:dyDescent="0.35">
      <c r="J5872" s="56" t="str">
        <f t="shared" si="273"/>
        <v/>
      </c>
      <c r="K5872" s="74" t="str">
        <f t="shared" si="274"/>
        <v/>
      </c>
      <c r="L5872" s="58" t="str">
        <f t="shared" si="275"/>
        <v/>
      </c>
    </row>
    <row r="5873" spans="10:12" ht="16.5" customHeight="1" x14ac:dyDescent="0.35">
      <c r="J5873" s="56" t="str">
        <f t="shared" si="273"/>
        <v/>
      </c>
      <c r="K5873" s="74" t="str">
        <f t="shared" si="274"/>
        <v/>
      </c>
      <c r="L5873" s="58" t="str">
        <f t="shared" si="275"/>
        <v/>
      </c>
    </row>
    <row r="5874" spans="10:12" ht="16.5" customHeight="1" x14ac:dyDescent="0.35">
      <c r="J5874" s="56" t="str">
        <f t="shared" si="273"/>
        <v/>
      </c>
      <c r="K5874" s="74" t="str">
        <f t="shared" si="274"/>
        <v/>
      </c>
      <c r="L5874" s="58" t="str">
        <f t="shared" si="275"/>
        <v/>
      </c>
    </row>
    <row r="5875" spans="10:12" ht="16.5" customHeight="1" x14ac:dyDescent="0.35">
      <c r="J5875" s="56" t="str">
        <f t="shared" si="273"/>
        <v/>
      </c>
      <c r="K5875" s="74" t="str">
        <f t="shared" si="274"/>
        <v/>
      </c>
      <c r="L5875" s="58" t="str">
        <f t="shared" si="275"/>
        <v/>
      </c>
    </row>
    <row r="5876" spans="10:12" ht="16.5" customHeight="1" x14ac:dyDescent="0.35">
      <c r="J5876" s="56" t="str">
        <f t="shared" si="273"/>
        <v/>
      </c>
      <c r="K5876" s="74" t="str">
        <f t="shared" si="274"/>
        <v/>
      </c>
      <c r="L5876" s="58" t="str">
        <f t="shared" si="275"/>
        <v/>
      </c>
    </row>
    <row r="5877" spans="10:12" ht="16.5" customHeight="1" x14ac:dyDescent="0.35">
      <c r="J5877" s="56" t="str">
        <f t="shared" si="273"/>
        <v/>
      </c>
      <c r="K5877" s="74" t="str">
        <f t="shared" si="274"/>
        <v/>
      </c>
      <c r="L5877" s="58" t="str">
        <f t="shared" si="275"/>
        <v/>
      </c>
    </row>
    <row r="5878" spans="10:12" ht="16.5" customHeight="1" x14ac:dyDescent="0.35">
      <c r="J5878" s="56" t="str">
        <f t="shared" si="273"/>
        <v/>
      </c>
      <c r="K5878" s="74" t="str">
        <f t="shared" si="274"/>
        <v/>
      </c>
      <c r="L5878" s="58" t="str">
        <f t="shared" si="275"/>
        <v/>
      </c>
    </row>
    <row r="5879" spans="10:12" ht="16.5" customHeight="1" x14ac:dyDescent="0.35">
      <c r="J5879" s="56" t="str">
        <f t="shared" si="273"/>
        <v/>
      </c>
      <c r="K5879" s="74" t="str">
        <f t="shared" si="274"/>
        <v/>
      </c>
      <c r="L5879" s="58" t="str">
        <f t="shared" si="275"/>
        <v/>
      </c>
    </row>
    <row r="5880" spans="10:12" ht="16.5" customHeight="1" x14ac:dyDescent="0.35">
      <c r="J5880" s="56" t="str">
        <f t="shared" si="273"/>
        <v/>
      </c>
      <c r="K5880" s="74" t="str">
        <f t="shared" si="274"/>
        <v/>
      </c>
      <c r="L5880" s="58" t="str">
        <f t="shared" si="275"/>
        <v/>
      </c>
    </row>
    <row r="5881" spans="10:12" ht="16.5" customHeight="1" x14ac:dyDescent="0.35">
      <c r="J5881" s="56" t="str">
        <f t="shared" si="273"/>
        <v/>
      </c>
      <c r="K5881" s="74" t="str">
        <f t="shared" si="274"/>
        <v/>
      </c>
      <c r="L5881" s="58" t="str">
        <f t="shared" si="275"/>
        <v/>
      </c>
    </row>
    <row r="5882" spans="10:12" ht="16.5" customHeight="1" x14ac:dyDescent="0.35">
      <c r="J5882" s="56" t="str">
        <f t="shared" si="273"/>
        <v/>
      </c>
      <c r="K5882" s="74" t="str">
        <f t="shared" si="274"/>
        <v/>
      </c>
      <c r="L5882" s="58" t="str">
        <f t="shared" si="275"/>
        <v/>
      </c>
    </row>
    <row r="5883" spans="10:12" ht="16.5" customHeight="1" x14ac:dyDescent="0.35">
      <c r="J5883" s="56" t="str">
        <f t="shared" si="273"/>
        <v/>
      </c>
      <c r="K5883" s="74" t="str">
        <f t="shared" si="274"/>
        <v/>
      </c>
      <c r="L5883" s="58" t="str">
        <f t="shared" si="275"/>
        <v/>
      </c>
    </row>
    <row r="5884" spans="10:12" ht="16.5" customHeight="1" x14ac:dyDescent="0.35">
      <c r="J5884" s="56" t="str">
        <f t="shared" si="273"/>
        <v/>
      </c>
      <c r="K5884" s="74" t="str">
        <f t="shared" si="274"/>
        <v/>
      </c>
      <c r="L5884" s="58" t="str">
        <f t="shared" si="275"/>
        <v/>
      </c>
    </row>
    <row r="5885" spans="10:12" ht="16.5" customHeight="1" x14ac:dyDescent="0.35">
      <c r="J5885" s="56" t="str">
        <f t="shared" si="273"/>
        <v/>
      </c>
      <c r="K5885" s="74" t="str">
        <f t="shared" si="274"/>
        <v/>
      </c>
      <c r="L5885" s="58" t="str">
        <f t="shared" si="275"/>
        <v/>
      </c>
    </row>
    <row r="5886" spans="10:12" ht="16.5" customHeight="1" x14ac:dyDescent="0.35">
      <c r="J5886" s="56" t="str">
        <f t="shared" si="273"/>
        <v/>
      </c>
      <c r="K5886" s="74" t="str">
        <f t="shared" si="274"/>
        <v/>
      </c>
      <c r="L5886" s="58" t="str">
        <f t="shared" si="275"/>
        <v/>
      </c>
    </row>
    <row r="5887" spans="10:12" ht="16.5" customHeight="1" x14ac:dyDescent="0.35">
      <c r="J5887" s="56" t="str">
        <f t="shared" si="273"/>
        <v/>
      </c>
      <c r="K5887" s="74" t="str">
        <f t="shared" si="274"/>
        <v/>
      </c>
      <c r="L5887" s="58" t="str">
        <f t="shared" si="275"/>
        <v/>
      </c>
    </row>
    <row r="5888" spans="10:12" ht="16.5" customHeight="1" x14ac:dyDescent="0.35">
      <c r="J5888" s="56" t="str">
        <f t="shared" si="273"/>
        <v/>
      </c>
      <c r="K5888" s="74" t="str">
        <f t="shared" si="274"/>
        <v/>
      </c>
      <c r="L5888" s="58" t="str">
        <f t="shared" si="275"/>
        <v/>
      </c>
    </row>
    <row r="5889" spans="10:12" ht="16.5" customHeight="1" x14ac:dyDescent="0.35">
      <c r="J5889" s="56" t="str">
        <f t="shared" si="273"/>
        <v/>
      </c>
      <c r="K5889" s="74" t="str">
        <f t="shared" si="274"/>
        <v/>
      </c>
      <c r="L5889" s="58" t="str">
        <f t="shared" si="275"/>
        <v/>
      </c>
    </row>
    <row r="5890" spans="10:12" ht="16.5" customHeight="1" x14ac:dyDescent="0.35">
      <c r="J5890" s="56" t="str">
        <f t="shared" si="273"/>
        <v/>
      </c>
      <c r="K5890" s="74" t="str">
        <f t="shared" si="274"/>
        <v/>
      </c>
      <c r="L5890" s="58" t="str">
        <f t="shared" si="275"/>
        <v/>
      </c>
    </row>
    <row r="5891" spans="10:12" ht="16.5" customHeight="1" x14ac:dyDescent="0.35">
      <c r="J5891" s="56" t="str">
        <f t="shared" si="273"/>
        <v/>
      </c>
      <c r="K5891" s="74" t="str">
        <f t="shared" si="274"/>
        <v/>
      </c>
      <c r="L5891" s="58" t="str">
        <f t="shared" si="275"/>
        <v/>
      </c>
    </row>
    <row r="5892" spans="10:12" ht="16.5" customHeight="1" x14ac:dyDescent="0.35">
      <c r="J5892" s="56" t="str">
        <f t="shared" si="273"/>
        <v/>
      </c>
      <c r="K5892" s="74" t="str">
        <f t="shared" si="274"/>
        <v/>
      </c>
      <c r="L5892" s="58" t="str">
        <f t="shared" si="275"/>
        <v/>
      </c>
    </row>
    <row r="5893" spans="10:12" ht="16.5" customHeight="1" x14ac:dyDescent="0.35">
      <c r="J5893" s="56" t="str">
        <f t="shared" si="273"/>
        <v/>
      </c>
      <c r="K5893" s="74" t="str">
        <f t="shared" si="274"/>
        <v/>
      </c>
      <c r="L5893" s="58" t="str">
        <f t="shared" si="275"/>
        <v/>
      </c>
    </row>
    <row r="5894" spans="10:12" ht="16.5" customHeight="1" x14ac:dyDescent="0.35">
      <c r="J5894" s="56" t="str">
        <f t="shared" si="273"/>
        <v/>
      </c>
      <c r="K5894" s="74" t="str">
        <f t="shared" si="274"/>
        <v/>
      </c>
      <c r="L5894" s="58" t="str">
        <f t="shared" si="275"/>
        <v/>
      </c>
    </row>
    <row r="5895" spans="10:12" ht="16.5" customHeight="1" x14ac:dyDescent="0.35">
      <c r="J5895" s="56" t="str">
        <f t="shared" si="273"/>
        <v/>
      </c>
      <c r="K5895" s="74" t="str">
        <f t="shared" si="274"/>
        <v/>
      </c>
      <c r="L5895" s="58" t="str">
        <f t="shared" si="275"/>
        <v/>
      </c>
    </row>
    <row r="5896" spans="10:12" ht="16.5" customHeight="1" x14ac:dyDescent="0.35">
      <c r="J5896" s="56" t="str">
        <f t="shared" si="273"/>
        <v/>
      </c>
      <c r="K5896" s="74" t="str">
        <f t="shared" si="274"/>
        <v/>
      </c>
      <c r="L5896" s="58" t="str">
        <f t="shared" si="275"/>
        <v/>
      </c>
    </row>
    <row r="5897" spans="10:12" ht="16.5" customHeight="1" x14ac:dyDescent="0.35">
      <c r="J5897" s="56" t="str">
        <f t="shared" ref="J5897:J5960" si="276">IF(A5897="","",A$5-A5897)</f>
        <v/>
      </c>
      <c r="K5897" s="74" t="str">
        <f t="shared" ref="K5897:K5960" si="277">IF(J5897="","",IF(J5897&lt;4,"0-3 Days",IF(J5897&lt;31,"4-30 Days",IF(J5897&lt;61,"31-60 Days",IF(J5897&lt;=90,"61-90 Days",IF(J5897&gt;90,"Above 90 Days","0"))))))</f>
        <v/>
      </c>
      <c r="L5897" s="58" t="str">
        <f t="shared" ref="L5897:L5960" si="278">IF(C5897="","",IF(C5897&gt;0,IF(J5897&lt;30,"Normal",IF(J5897&lt;60,"Especially Mentioned",IF(J5897&lt;90,"Substandard",IF(J5897&lt;=180,"Doubtful",IF(J5897&gt;180,"Loss","0"))))),"Not Applicable"))</f>
        <v/>
      </c>
    </row>
    <row r="5898" spans="10:12" ht="16.5" customHeight="1" x14ac:dyDescent="0.35">
      <c r="J5898" s="56" t="str">
        <f t="shared" si="276"/>
        <v/>
      </c>
      <c r="K5898" s="74" t="str">
        <f t="shared" si="277"/>
        <v/>
      </c>
      <c r="L5898" s="58" t="str">
        <f t="shared" si="278"/>
        <v/>
      </c>
    </row>
    <row r="5899" spans="10:12" ht="16.5" customHeight="1" x14ac:dyDescent="0.35">
      <c r="J5899" s="56" t="str">
        <f t="shared" si="276"/>
        <v/>
      </c>
      <c r="K5899" s="74" t="str">
        <f t="shared" si="277"/>
        <v/>
      </c>
      <c r="L5899" s="58" t="str">
        <f t="shared" si="278"/>
        <v/>
      </c>
    </row>
    <row r="5900" spans="10:12" ht="16.5" customHeight="1" x14ac:dyDescent="0.35">
      <c r="J5900" s="56" t="str">
        <f t="shared" si="276"/>
        <v/>
      </c>
      <c r="K5900" s="74" t="str">
        <f t="shared" si="277"/>
        <v/>
      </c>
      <c r="L5900" s="58" t="str">
        <f t="shared" si="278"/>
        <v/>
      </c>
    </row>
    <row r="5901" spans="10:12" ht="16.5" customHeight="1" x14ac:dyDescent="0.35">
      <c r="J5901" s="56" t="str">
        <f t="shared" si="276"/>
        <v/>
      </c>
      <c r="K5901" s="74" t="str">
        <f t="shared" si="277"/>
        <v/>
      </c>
      <c r="L5901" s="58" t="str">
        <f t="shared" si="278"/>
        <v/>
      </c>
    </row>
    <row r="5902" spans="10:12" ht="16.5" customHeight="1" x14ac:dyDescent="0.35">
      <c r="J5902" s="56" t="str">
        <f t="shared" si="276"/>
        <v/>
      </c>
      <c r="K5902" s="74" t="str">
        <f t="shared" si="277"/>
        <v/>
      </c>
      <c r="L5902" s="58" t="str">
        <f t="shared" si="278"/>
        <v/>
      </c>
    </row>
    <row r="5903" spans="10:12" ht="16.5" customHeight="1" x14ac:dyDescent="0.35">
      <c r="J5903" s="56" t="str">
        <f t="shared" si="276"/>
        <v/>
      </c>
      <c r="K5903" s="74" t="str">
        <f t="shared" si="277"/>
        <v/>
      </c>
      <c r="L5903" s="58" t="str">
        <f t="shared" si="278"/>
        <v/>
      </c>
    </row>
    <row r="5904" spans="10:12" ht="16.5" customHeight="1" x14ac:dyDescent="0.35">
      <c r="J5904" s="56" t="str">
        <f t="shared" si="276"/>
        <v/>
      </c>
      <c r="K5904" s="74" t="str">
        <f t="shared" si="277"/>
        <v/>
      </c>
      <c r="L5904" s="58" t="str">
        <f t="shared" si="278"/>
        <v/>
      </c>
    </row>
    <row r="5905" spans="10:12" ht="16.5" customHeight="1" x14ac:dyDescent="0.35">
      <c r="J5905" s="56" t="str">
        <f t="shared" si="276"/>
        <v/>
      </c>
      <c r="K5905" s="74" t="str">
        <f t="shared" si="277"/>
        <v/>
      </c>
      <c r="L5905" s="58" t="str">
        <f t="shared" si="278"/>
        <v/>
      </c>
    </row>
    <row r="5906" spans="10:12" ht="16.5" customHeight="1" x14ac:dyDescent="0.35">
      <c r="J5906" s="56" t="str">
        <f t="shared" si="276"/>
        <v/>
      </c>
      <c r="K5906" s="74" t="str">
        <f t="shared" si="277"/>
        <v/>
      </c>
      <c r="L5906" s="58" t="str">
        <f t="shared" si="278"/>
        <v/>
      </c>
    </row>
    <row r="5907" spans="10:12" ht="16.5" customHeight="1" x14ac:dyDescent="0.35">
      <c r="J5907" s="56" t="str">
        <f t="shared" si="276"/>
        <v/>
      </c>
      <c r="K5907" s="74" t="str">
        <f t="shared" si="277"/>
        <v/>
      </c>
      <c r="L5907" s="58" t="str">
        <f t="shared" si="278"/>
        <v/>
      </c>
    </row>
    <row r="5908" spans="10:12" ht="16.5" customHeight="1" x14ac:dyDescent="0.35">
      <c r="J5908" s="56" t="str">
        <f t="shared" si="276"/>
        <v/>
      </c>
      <c r="K5908" s="74" t="str">
        <f t="shared" si="277"/>
        <v/>
      </c>
      <c r="L5908" s="58" t="str">
        <f t="shared" si="278"/>
        <v/>
      </c>
    </row>
    <row r="5909" spans="10:12" ht="16.5" customHeight="1" x14ac:dyDescent="0.35">
      <c r="J5909" s="56" t="str">
        <f t="shared" si="276"/>
        <v/>
      </c>
      <c r="K5909" s="74" t="str">
        <f t="shared" si="277"/>
        <v/>
      </c>
      <c r="L5909" s="58" t="str">
        <f t="shared" si="278"/>
        <v/>
      </c>
    </row>
    <row r="5910" spans="10:12" ht="16.5" customHeight="1" x14ac:dyDescent="0.35">
      <c r="J5910" s="56" t="str">
        <f t="shared" si="276"/>
        <v/>
      </c>
      <c r="K5910" s="74" t="str">
        <f t="shared" si="277"/>
        <v/>
      </c>
      <c r="L5910" s="58" t="str">
        <f t="shared" si="278"/>
        <v/>
      </c>
    </row>
    <row r="5911" spans="10:12" ht="16.5" customHeight="1" x14ac:dyDescent="0.35">
      <c r="J5911" s="56" t="str">
        <f t="shared" si="276"/>
        <v/>
      </c>
      <c r="K5911" s="74" t="str">
        <f t="shared" si="277"/>
        <v/>
      </c>
      <c r="L5911" s="58" t="str">
        <f t="shared" si="278"/>
        <v/>
      </c>
    </row>
    <row r="5912" spans="10:12" ht="16.5" customHeight="1" x14ac:dyDescent="0.35">
      <c r="J5912" s="56" t="str">
        <f t="shared" si="276"/>
        <v/>
      </c>
      <c r="K5912" s="74" t="str">
        <f t="shared" si="277"/>
        <v/>
      </c>
      <c r="L5912" s="58" t="str">
        <f t="shared" si="278"/>
        <v/>
      </c>
    </row>
    <row r="5913" spans="10:12" ht="16.5" customHeight="1" x14ac:dyDescent="0.35">
      <c r="J5913" s="56" t="str">
        <f t="shared" si="276"/>
        <v/>
      </c>
      <c r="K5913" s="74" t="str">
        <f t="shared" si="277"/>
        <v/>
      </c>
      <c r="L5913" s="58" t="str">
        <f t="shared" si="278"/>
        <v/>
      </c>
    </row>
    <row r="5914" spans="10:12" ht="16.5" customHeight="1" x14ac:dyDescent="0.35">
      <c r="J5914" s="56" t="str">
        <f t="shared" si="276"/>
        <v/>
      </c>
      <c r="K5914" s="74" t="str">
        <f t="shared" si="277"/>
        <v/>
      </c>
      <c r="L5914" s="58" t="str">
        <f t="shared" si="278"/>
        <v/>
      </c>
    </row>
    <row r="5915" spans="10:12" ht="16.5" customHeight="1" x14ac:dyDescent="0.35">
      <c r="J5915" s="56" t="str">
        <f t="shared" si="276"/>
        <v/>
      </c>
      <c r="K5915" s="74" t="str">
        <f t="shared" si="277"/>
        <v/>
      </c>
      <c r="L5915" s="58" t="str">
        <f t="shared" si="278"/>
        <v/>
      </c>
    </row>
    <row r="5916" spans="10:12" ht="16.5" customHeight="1" x14ac:dyDescent="0.35">
      <c r="J5916" s="56" t="str">
        <f t="shared" si="276"/>
        <v/>
      </c>
      <c r="K5916" s="74" t="str">
        <f t="shared" si="277"/>
        <v/>
      </c>
      <c r="L5916" s="58" t="str">
        <f t="shared" si="278"/>
        <v/>
      </c>
    </row>
    <row r="5917" spans="10:12" ht="16.5" customHeight="1" x14ac:dyDescent="0.35">
      <c r="J5917" s="56" t="str">
        <f t="shared" si="276"/>
        <v/>
      </c>
      <c r="K5917" s="74" t="str">
        <f t="shared" si="277"/>
        <v/>
      </c>
      <c r="L5917" s="58" t="str">
        <f t="shared" si="278"/>
        <v/>
      </c>
    </row>
    <row r="5918" spans="10:12" ht="16.5" customHeight="1" x14ac:dyDescent="0.35">
      <c r="J5918" s="56" t="str">
        <f t="shared" si="276"/>
        <v/>
      </c>
      <c r="K5918" s="74" t="str">
        <f t="shared" si="277"/>
        <v/>
      </c>
      <c r="L5918" s="58" t="str">
        <f t="shared" si="278"/>
        <v/>
      </c>
    </row>
    <row r="5919" spans="10:12" ht="16.5" customHeight="1" x14ac:dyDescent="0.35">
      <c r="J5919" s="56" t="str">
        <f t="shared" si="276"/>
        <v/>
      </c>
      <c r="K5919" s="74" t="str">
        <f t="shared" si="277"/>
        <v/>
      </c>
      <c r="L5919" s="58" t="str">
        <f t="shared" si="278"/>
        <v/>
      </c>
    </row>
    <row r="5920" spans="10:12" ht="16.5" customHeight="1" x14ac:dyDescent="0.35">
      <c r="J5920" s="56" t="str">
        <f t="shared" si="276"/>
        <v/>
      </c>
      <c r="K5920" s="74" t="str">
        <f t="shared" si="277"/>
        <v/>
      </c>
      <c r="L5920" s="58" t="str">
        <f t="shared" si="278"/>
        <v/>
      </c>
    </row>
    <row r="5921" spans="10:12" ht="16.5" customHeight="1" x14ac:dyDescent="0.35">
      <c r="J5921" s="56" t="str">
        <f t="shared" si="276"/>
        <v/>
      </c>
      <c r="K5921" s="74" t="str">
        <f t="shared" si="277"/>
        <v/>
      </c>
      <c r="L5921" s="58" t="str">
        <f t="shared" si="278"/>
        <v/>
      </c>
    </row>
    <row r="5922" spans="10:12" ht="16.5" customHeight="1" x14ac:dyDescent="0.35">
      <c r="J5922" s="56" t="str">
        <f t="shared" si="276"/>
        <v/>
      </c>
      <c r="K5922" s="74" t="str">
        <f t="shared" si="277"/>
        <v/>
      </c>
      <c r="L5922" s="58" t="str">
        <f t="shared" si="278"/>
        <v/>
      </c>
    </row>
    <row r="5923" spans="10:12" ht="16.5" customHeight="1" x14ac:dyDescent="0.35">
      <c r="J5923" s="56" t="str">
        <f t="shared" si="276"/>
        <v/>
      </c>
      <c r="K5923" s="74" t="str">
        <f t="shared" si="277"/>
        <v/>
      </c>
      <c r="L5923" s="58" t="str">
        <f t="shared" si="278"/>
        <v/>
      </c>
    </row>
    <row r="5924" spans="10:12" ht="16.5" customHeight="1" x14ac:dyDescent="0.35">
      <c r="J5924" s="56" t="str">
        <f t="shared" si="276"/>
        <v/>
      </c>
      <c r="K5924" s="74" t="str">
        <f t="shared" si="277"/>
        <v/>
      </c>
      <c r="L5924" s="58" t="str">
        <f t="shared" si="278"/>
        <v/>
      </c>
    </row>
    <row r="5925" spans="10:12" ht="16.5" customHeight="1" x14ac:dyDescent="0.35">
      <c r="J5925" s="56" t="str">
        <f t="shared" si="276"/>
        <v/>
      </c>
      <c r="K5925" s="74" t="str">
        <f t="shared" si="277"/>
        <v/>
      </c>
      <c r="L5925" s="58" t="str">
        <f t="shared" si="278"/>
        <v/>
      </c>
    </row>
    <row r="5926" spans="10:12" ht="16.5" customHeight="1" x14ac:dyDescent="0.35">
      <c r="J5926" s="56" t="str">
        <f t="shared" si="276"/>
        <v/>
      </c>
      <c r="K5926" s="74" t="str">
        <f t="shared" si="277"/>
        <v/>
      </c>
      <c r="L5926" s="58" t="str">
        <f t="shared" si="278"/>
        <v/>
      </c>
    </row>
    <row r="5927" spans="10:12" ht="16.5" customHeight="1" x14ac:dyDescent="0.35">
      <c r="J5927" s="56" t="str">
        <f t="shared" si="276"/>
        <v/>
      </c>
      <c r="K5927" s="74" t="str">
        <f t="shared" si="277"/>
        <v/>
      </c>
      <c r="L5927" s="58" t="str">
        <f t="shared" si="278"/>
        <v/>
      </c>
    </row>
    <row r="5928" spans="10:12" ht="16.5" customHeight="1" x14ac:dyDescent="0.35">
      <c r="J5928" s="56" t="str">
        <f t="shared" si="276"/>
        <v/>
      </c>
      <c r="K5928" s="74" t="str">
        <f t="shared" si="277"/>
        <v/>
      </c>
      <c r="L5928" s="58" t="str">
        <f t="shared" si="278"/>
        <v/>
      </c>
    </row>
    <row r="5929" spans="10:12" ht="16.5" customHeight="1" x14ac:dyDescent="0.35">
      <c r="J5929" s="56" t="str">
        <f t="shared" si="276"/>
        <v/>
      </c>
      <c r="K5929" s="74" t="str">
        <f t="shared" si="277"/>
        <v/>
      </c>
      <c r="L5929" s="58" t="str">
        <f t="shared" si="278"/>
        <v/>
      </c>
    </row>
    <row r="5930" spans="10:12" ht="16.5" customHeight="1" x14ac:dyDescent="0.35">
      <c r="J5930" s="56" t="str">
        <f t="shared" si="276"/>
        <v/>
      </c>
      <c r="K5930" s="74" t="str">
        <f t="shared" si="277"/>
        <v/>
      </c>
      <c r="L5930" s="58" t="str">
        <f t="shared" si="278"/>
        <v/>
      </c>
    </row>
    <row r="5931" spans="10:12" ht="16.5" customHeight="1" x14ac:dyDescent="0.35">
      <c r="J5931" s="56" t="str">
        <f t="shared" si="276"/>
        <v/>
      </c>
      <c r="K5931" s="74" t="str">
        <f t="shared" si="277"/>
        <v/>
      </c>
      <c r="L5931" s="58" t="str">
        <f t="shared" si="278"/>
        <v/>
      </c>
    </row>
    <row r="5932" spans="10:12" ht="16.5" customHeight="1" x14ac:dyDescent="0.35">
      <c r="J5932" s="56" t="str">
        <f t="shared" si="276"/>
        <v/>
      </c>
      <c r="K5932" s="74" t="str">
        <f t="shared" si="277"/>
        <v/>
      </c>
      <c r="L5932" s="58" t="str">
        <f t="shared" si="278"/>
        <v/>
      </c>
    </row>
    <row r="5933" spans="10:12" ht="16.5" customHeight="1" x14ac:dyDescent="0.35">
      <c r="J5933" s="56" t="str">
        <f t="shared" si="276"/>
        <v/>
      </c>
      <c r="K5933" s="74" t="str">
        <f t="shared" si="277"/>
        <v/>
      </c>
      <c r="L5933" s="58" t="str">
        <f t="shared" si="278"/>
        <v/>
      </c>
    </row>
    <row r="5934" spans="10:12" ht="16.5" customHeight="1" x14ac:dyDescent="0.35">
      <c r="J5934" s="56" t="str">
        <f t="shared" si="276"/>
        <v/>
      </c>
      <c r="K5934" s="74" t="str">
        <f t="shared" si="277"/>
        <v/>
      </c>
      <c r="L5934" s="58" t="str">
        <f t="shared" si="278"/>
        <v/>
      </c>
    </row>
    <row r="5935" spans="10:12" ht="16.5" customHeight="1" x14ac:dyDescent="0.35">
      <c r="J5935" s="56" t="str">
        <f t="shared" si="276"/>
        <v/>
      </c>
      <c r="K5935" s="74" t="str">
        <f t="shared" si="277"/>
        <v/>
      </c>
      <c r="L5935" s="58" t="str">
        <f t="shared" si="278"/>
        <v/>
      </c>
    </row>
    <row r="5936" spans="10:12" ht="16.5" customHeight="1" x14ac:dyDescent="0.35">
      <c r="J5936" s="56" t="str">
        <f t="shared" si="276"/>
        <v/>
      </c>
      <c r="K5936" s="74" t="str">
        <f t="shared" si="277"/>
        <v/>
      </c>
      <c r="L5936" s="58" t="str">
        <f t="shared" si="278"/>
        <v/>
      </c>
    </row>
    <row r="5937" spans="10:12" ht="16.5" customHeight="1" x14ac:dyDescent="0.35">
      <c r="J5937" s="56" t="str">
        <f t="shared" si="276"/>
        <v/>
      </c>
      <c r="K5937" s="74" t="str">
        <f t="shared" si="277"/>
        <v/>
      </c>
      <c r="L5937" s="58" t="str">
        <f t="shared" si="278"/>
        <v/>
      </c>
    </row>
    <row r="5938" spans="10:12" ht="16.5" customHeight="1" x14ac:dyDescent="0.35">
      <c r="J5938" s="56" t="str">
        <f t="shared" si="276"/>
        <v/>
      </c>
      <c r="K5938" s="74" t="str">
        <f t="shared" si="277"/>
        <v/>
      </c>
      <c r="L5938" s="58" t="str">
        <f t="shared" si="278"/>
        <v/>
      </c>
    </row>
    <row r="5939" spans="10:12" ht="16.5" customHeight="1" x14ac:dyDescent="0.35">
      <c r="J5939" s="56" t="str">
        <f t="shared" si="276"/>
        <v/>
      </c>
      <c r="K5939" s="74" t="str">
        <f t="shared" si="277"/>
        <v/>
      </c>
      <c r="L5939" s="58" t="str">
        <f t="shared" si="278"/>
        <v/>
      </c>
    </row>
    <row r="5940" spans="10:12" ht="16.5" customHeight="1" x14ac:dyDescent="0.35">
      <c r="J5940" s="56" t="str">
        <f t="shared" si="276"/>
        <v/>
      </c>
      <c r="K5940" s="74" t="str">
        <f t="shared" si="277"/>
        <v/>
      </c>
      <c r="L5940" s="58" t="str">
        <f t="shared" si="278"/>
        <v/>
      </c>
    </row>
    <row r="5941" spans="10:12" ht="16.5" customHeight="1" x14ac:dyDescent="0.35">
      <c r="J5941" s="56" t="str">
        <f t="shared" si="276"/>
        <v/>
      </c>
      <c r="K5941" s="74" t="str">
        <f t="shared" si="277"/>
        <v/>
      </c>
      <c r="L5941" s="58" t="str">
        <f t="shared" si="278"/>
        <v/>
      </c>
    </row>
    <row r="5942" spans="10:12" ht="16.5" customHeight="1" x14ac:dyDescent="0.35">
      <c r="J5942" s="56" t="str">
        <f t="shared" si="276"/>
        <v/>
      </c>
      <c r="K5942" s="74" t="str">
        <f t="shared" si="277"/>
        <v/>
      </c>
      <c r="L5942" s="58" t="str">
        <f t="shared" si="278"/>
        <v/>
      </c>
    </row>
    <row r="5943" spans="10:12" ht="16.5" customHeight="1" x14ac:dyDescent="0.35">
      <c r="J5943" s="56" t="str">
        <f t="shared" si="276"/>
        <v/>
      </c>
      <c r="K5943" s="74" t="str">
        <f t="shared" si="277"/>
        <v/>
      </c>
      <c r="L5943" s="58" t="str">
        <f t="shared" si="278"/>
        <v/>
      </c>
    </row>
    <row r="5944" spans="10:12" ht="16.5" customHeight="1" x14ac:dyDescent="0.35">
      <c r="J5944" s="56" t="str">
        <f t="shared" si="276"/>
        <v/>
      </c>
      <c r="K5944" s="74" t="str">
        <f t="shared" si="277"/>
        <v/>
      </c>
      <c r="L5944" s="58" t="str">
        <f t="shared" si="278"/>
        <v/>
      </c>
    </row>
    <row r="5945" spans="10:12" ht="16.5" customHeight="1" x14ac:dyDescent="0.35">
      <c r="J5945" s="56" t="str">
        <f t="shared" si="276"/>
        <v/>
      </c>
      <c r="K5945" s="74" t="str">
        <f t="shared" si="277"/>
        <v/>
      </c>
      <c r="L5945" s="58" t="str">
        <f t="shared" si="278"/>
        <v/>
      </c>
    </row>
    <row r="5946" spans="10:12" ht="16.5" customHeight="1" x14ac:dyDescent="0.35">
      <c r="J5946" s="56" t="str">
        <f t="shared" si="276"/>
        <v/>
      </c>
      <c r="K5946" s="74" t="str">
        <f t="shared" si="277"/>
        <v/>
      </c>
      <c r="L5946" s="58" t="str">
        <f t="shared" si="278"/>
        <v/>
      </c>
    </row>
    <row r="5947" spans="10:12" ht="16.5" customHeight="1" x14ac:dyDescent="0.35">
      <c r="J5947" s="56" t="str">
        <f t="shared" si="276"/>
        <v/>
      </c>
      <c r="K5947" s="74" t="str">
        <f t="shared" si="277"/>
        <v/>
      </c>
      <c r="L5947" s="58" t="str">
        <f t="shared" si="278"/>
        <v/>
      </c>
    </row>
    <row r="5948" spans="10:12" ht="16.5" customHeight="1" x14ac:dyDescent="0.35">
      <c r="J5948" s="56" t="str">
        <f t="shared" si="276"/>
        <v/>
      </c>
      <c r="K5948" s="74" t="str">
        <f t="shared" si="277"/>
        <v/>
      </c>
      <c r="L5948" s="58" t="str">
        <f t="shared" si="278"/>
        <v/>
      </c>
    </row>
    <row r="5949" spans="10:12" ht="16.5" customHeight="1" x14ac:dyDescent="0.35">
      <c r="J5949" s="56" t="str">
        <f t="shared" si="276"/>
        <v/>
      </c>
      <c r="K5949" s="74" t="str">
        <f t="shared" si="277"/>
        <v/>
      </c>
      <c r="L5949" s="58" t="str">
        <f t="shared" si="278"/>
        <v/>
      </c>
    </row>
    <row r="5950" spans="10:12" ht="16.5" customHeight="1" x14ac:dyDescent="0.35">
      <c r="J5950" s="56" t="str">
        <f t="shared" si="276"/>
        <v/>
      </c>
      <c r="K5950" s="74" t="str">
        <f t="shared" si="277"/>
        <v/>
      </c>
      <c r="L5950" s="58" t="str">
        <f t="shared" si="278"/>
        <v/>
      </c>
    </row>
    <row r="5951" spans="10:12" ht="16.5" customHeight="1" x14ac:dyDescent="0.35">
      <c r="J5951" s="56" t="str">
        <f t="shared" si="276"/>
        <v/>
      </c>
      <c r="K5951" s="74" t="str">
        <f t="shared" si="277"/>
        <v/>
      </c>
      <c r="L5951" s="58" t="str">
        <f t="shared" si="278"/>
        <v/>
      </c>
    </row>
    <row r="5952" spans="10:12" ht="16.5" customHeight="1" x14ac:dyDescent="0.35">
      <c r="J5952" s="56" t="str">
        <f t="shared" si="276"/>
        <v/>
      </c>
      <c r="K5952" s="74" t="str">
        <f t="shared" si="277"/>
        <v/>
      </c>
      <c r="L5952" s="58" t="str">
        <f t="shared" si="278"/>
        <v/>
      </c>
    </row>
    <row r="5953" spans="10:12" ht="16.5" customHeight="1" x14ac:dyDescent="0.35">
      <c r="J5953" s="56" t="str">
        <f t="shared" si="276"/>
        <v/>
      </c>
      <c r="K5953" s="74" t="str">
        <f t="shared" si="277"/>
        <v/>
      </c>
      <c r="L5953" s="58" t="str">
        <f t="shared" si="278"/>
        <v/>
      </c>
    </row>
    <row r="5954" spans="10:12" ht="16.5" customHeight="1" x14ac:dyDescent="0.35">
      <c r="J5954" s="56" t="str">
        <f t="shared" si="276"/>
        <v/>
      </c>
      <c r="K5954" s="74" t="str">
        <f t="shared" si="277"/>
        <v/>
      </c>
      <c r="L5954" s="58" t="str">
        <f t="shared" si="278"/>
        <v/>
      </c>
    </row>
    <row r="5955" spans="10:12" ht="16.5" customHeight="1" x14ac:dyDescent="0.35">
      <c r="J5955" s="56" t="str">
        <f t="shared" si="276"/>
        <v/>
      </c>
      <c r="K5955" s="74" t="str">
        <f t="shared" si="277"/>
        <v/>
      </c>
      <c r="L5955" s="58" t="str">
        <f t="shared" si="278"/>
        <v/>
      </c>
    </row>
    <row r="5956" spans="10:12" ht="16.5" customHeight="1" x14ac:dyDescent="0.35">
      <c r="J5956" s="56" t="str">
        <f t="shared" si="276"/>
        <v/>
      </c>
      <c r="K5956" s="74" t="str">
        <f t="shared" si="277"/>
        <v/>
      </c>
      <c r="L5956" s="58" t="str">
        <f t="shared" si="278"/>
        <v/>
      </c>
    </row>
    <row r="5957" spans="10:12" ht="16.5" customHeight="1" x14ac:dyDescent="0.35">
      <c r="J5957" s="56" t="str">
        <f t="shared" si="276"/>
        <v/>
      </c>
      <c r="K5957" s="74" t="str">
        <f t="shared" si="277"/>
        <v/>
      </c>
      <c r="L5957" s="58" t="str">
        <f t="shared" si="278"/>
        <v/>
      </c>
    </row>
    <row r="5958" spans="10:12" ht="16.5" customHeight="1" x14ac:dyDescent="0.35">
      <c r="J5958" s="56" t="str">
        <f t="shared" si="276"/>
        <v/>
      </c>
      <c r="K5958" s="74" t="str">
        <f t="shared" si="277"/>
        <v/>
      </c>
      <c r="L5958" s="58" t="str">
        <f t="shared" si="278"/>
        <v/>
      </c>
    </row>
    <row r="5959" spans="10:12" ht="16.5" customHeight="1" x14ac:dyDescent="0.35">
      <c r="J5959" s="56" t="str">
        <f t="shared" si="276"/>
        <v/>
      </c>
      <c r="K5959" s="74" t="str">
        <f t="shared" si="277"/>
        <v/>
      </c>
      <c r="L5959" s="58" t="str">
        <f t="shared" si="278"/>
        <v/>
      </c>
    </row>
    <row r="5960" spans="10:12" ht="16.5" customHeight="1" x14ac:dyDescent="0.35">
      <c r="J5960" s="56" t="str">
        <f t="shared" si="276"/>
        <v/>
      </c>
      <c r="K5960" s="74" t="str">
        <f t="shared" si="277"/>
        <v/>
      </c>
      <c r="L5960" s="58" t="str">
        <f t="shared" si="278"/>
        <v/>
      </c>
    </row>
    <row r="5961" spans="10:12" ht="16.5" customHeight="1" x14ac:dyDescent="0.35">
      <c r="J5961" s="56" t="str">
        <f t="shared" ref="J5961:J6024" si="279">IF(A5961="","",A$5-A5961)</f>
        <v/>
      </c>
      <c r="K5961" s="74" t="str">
        <f t="shared" ref="K5961:K6024" si="280">IF(J5961="","",IF(J5961&lt;4,"0-3 Days",IF(J5961&lt;31,"4-30 Days",IF(J5961&lt;61,"31-60 Days",IF(J5961&lt;=90,"61-90 Days",IF(J5961&gt;90,"Above 90 Days","0"))))))</f>
        <v/>
      </c>
      <c r="L5961" s="58" t="str">
        <f t="shared" ref="L5961:L6024" si="281">IF(C5961="","",IF(C5961&gt;0,IF(J5961&lt;30,"Normal",IF(J5961&lt;60,"Especially Mentioned",IF(J5961&lt;90,"Substandard",IF(J5961&lt;=180,"Doubtful",IF(J5961&gt;180,"Loss","0"))))),"Not Applicable"))</f>
        <v/>
      </c>
    </row>
    <row r="5962" spans="10:12" ht="16.5" customHeight="1" x14ac:dyDescent="0.35">
      <c r="J5962" s="56" t="str">
        <f t="shared" si="279"/>
        <v/>
      </c>
      <c r="K5962" s="74" t="str">
        <f t="shared" si="280"/>
        <v/>
      </c>
      <c r="L5962" s="58" t="str">
        <f t="shared" si="281"/>
        <v/>
      </c>
    </row>
    <row r="5963" spans="10:12" ht="16.5" customHeight="1" x14ac:dyDescent="0.35">
      <c r="J5963" s="56" t="str">
        <f t="shared" si="279"/>
        <v/>
      </c>
      <c r="K5963" s="74" t="str">
        <f t="shared" si="280"/>
        <v/>
      </c>
      <c r="L5963" s="58" t="str">
        <f t="shared" si="281"/>
        <v/>
      </c>
    </row>
    <row r="5964" spans="10:12" ht="16.5" customHeight="1" x14ac:dyDescent="0.35">
      <c r="J5964" s="56" t="str">
        <f t="shared" si="279"/>
        <v/>
      </c>
      <c r="K5964" s="74" t="str">
        <f t="shared" si="280"/>
        <v/>
      </c>
      <c r="L5964" s="58" t="str">
        <f t="shared" si="281"/>
        <v/>
      </c>
    </row>
    <row r="5965" spans="10:12" ht="16.5" customHeight="1" x14ac:dyDescent="0.35">
      <c r="J5965" s="56" t="str">
        <f t="shared" si="279"/>
        <v/>
      </c>
      <c r="K5965" s="74" t="str">
        <f t="shared" si="280"/>
        <v/>
      </c>
      <c r="L5965" s="58" t="str">
        <f t="shared" si="281"/>
        <v/>
      </c>
    </row>
    <row r="5966" spans="10:12" ht="16.5" customHeight="1" x14ac:dyDescent="0.35">
      <c r="J5966" s="56" t="str">
        <f t="shared" si="279"/>
        <v/>
      </c>
      <c r="K5966" s="74" t="str">
        <f t="shared" si="280"/>
        <v/>
      </c>
      <c r="L5966" s="58" t="str">
        <f t="shared" si="281"/>
        <v/>
      </c>
    </row>
    <row r="5967" spans="10:12" ht="16.5" customHeight="1" x14ac:dyDescent="0.35">
      <c r="J5967" s="56" t="str">
        <f t="shared" si="279"/>
        <v/>
      </c>
      <c r="K5967" s="74" t="str">
        <f t="shared" si="280"/>
        <v/>
      </c>
      <c r="L5967" s="58" t="str">
        <f t="shared" si="281"/>
        <v/>
      </c>
    </row>
    <row r="5968" spans="10:12" ht="16.5" customHeight="1" x14ac:dyDescent="0.35">
      <c r="J5968" s="56" t="str">
        <f t="shared" si="279"/>
        <v/>
      </c>
      <c r="K5968" s="74" t="str">
        <f t="shared" si="280"/>
        <v/>
      </c>
      <c r="L5968" s="58" t="str">
        <f t="shared" si="281"/>
        <v/>
      </c>
    </row>
    <row r="5969" spans="10:12" ht="16.5" customHeight="1" x14ac:dyDescent="0.35">
      <c r="J5969" s="56" t="str">
        <f t="shared" si="279"/>
        <v/>
      </c>
      <c r="K5969" s="74" t="str">
        <f t="shared" si="280"/>
        <v/>
      </c>
      <c r="L5969" s="58" t="str">
        <f t="shared" si="281"/>
        <v/>
      </c>
    </row>
    <row r="5970" spans="10:12" ht="16.5" customHeight="1" x14ac:dyDescent="0.35">
      <c r="J5970" s="56" t="str">
        <f t="shared" si="279"/>
        <v/>
      </c>
      <c r="K5970" s="74" t="str">
        <f t="shared" si="280"/>
        <v/>
      </c>
      <c r="L5970" s="58" t="str">
        <f t="shared" si="281"/>
        <v/>
      </c>
    </row>
    <row r="5971" spans="10:12" ht="16.5" customHeight="1" x14ac:dyDescent="0.35">
      <c r="J5971" s="56" t="str">
        <f t="shared" si="279"/>
        <v/>
      </c>
      <c r="K5971" s="74" t="str">
        <f t="shared" si="280"/>
        <v/>
      </c>
      <c r="L5971" s="58" t="str">
        <f t="shared" si="281"/>
        <v/>
      </c>
    </row>
    <row r="5972" spans="10:12" ht="16.5" customHeight="1" x14ac:dyDescent="0.35">
      <c r="J5972" s="56" t="str">
        <f t="shared" si="279"/>
        <v/>
      </c>
      <c r="K5972" s="74" t="str">
        <f t="shared" si="280"/>
        <v/>
      </c>
      <c r="L5972" s="58" t="str">
        <f t="shared" si="281"/>
        <v/>
      </c>
    </row>
    <row r="5973" spans="10:12" ht="16.5" customHeight="1" x14ac:dyDescent="0.35">
      <c r="J5973" s="56" t="str">
        <f t="shared" si="279"/>
        <v/>
      </c>
      <c r="K5973" s="74" t="str">
        <f t="shared" si="280"/>
        <v/>
      </c>
      <c r="L5973" s="58" t="str">
        <f t="shared" si="281"/>
        <v/>
      </c>
    </row>
    <row r="5974" spans="10:12" ht="16.5" customHeight="1" x14ac:dyDescent="0.35">
      <c r="J5974" s="56" t="str">
        <f t="shared" si="279"/>
        <v/>
      </c>
      <c r="K5974" s="74" t="str">
        <f t="shared" si="280"/>
        <v/>
      </c>
      <c r="L5974" s="58" t="str">
        <f t="shared" si="281"/>
        <v/>
      </c>
    </row>
    <row r="5975" spans="10:12" ht="16.5" customHeight="1" x14ac:dyDescent="0.35">
      <c r="J5975" s="56" t="str">
        <f t="shared" si="279"/>
        <v/>
      </c>
      <c r="K5975" s="74" t="str">
        <f t="shared" si="280"/>
        <v/>
      </c>
      <c r="L5975" s="58" t="str">
        <f t="shared" si="281"/>
        <v/>
      </c>
    </row>
    <row r="5976" spans="10:12" ht="16.5" customHeight="1" x14ac:dyDescent="0.35">
      <c r="J5976" s="56" t="str">
        <f t="shared" si="279"/>
        <v/>
      </c>
      <c r="K5976" s="74" t="str">
        <f t="shared" si="280"/>
        <v/>
      </c>
      <c r="L5976" s="58" t="str">
        <f t="shared" si="281"/>
        <v/>
      </c>
    </row>
    <row r="5977" spans="10:12" ht="16.5" customHeight="1" x14ac:dyDescent="0.35">
      <c r="J5977" s="56" t="str">
        <f t="shared" si="279"/>
        <v/>
      </c>
      <c r="K5977" s="74" t="str">
        <f t="shared" si="280"/>
        <v/>
      </c>
      <c r="L5977" s="58" t="str">
        <f t="shared" si="281"/>
        <v/>
      </c>
    </row>
    <row r="5978" spans="10:12" ht="16.5" customHeight="1" x14ac:dyDescent="0.35">
      <c r="J5978" s="56" t="str">
        <f t="shared" si="279"/>
        <v/>
      </c>
      <c r="K5978" s="74" t="str">
        <f t="shared" si="280"/>
        <v/>
      </c>
      <c r="L5978" s="58" t="str">
        <f t="shared" si="281"/>
        <v/>
      </c>
    </row>
    <row r="5979" spans="10:12" ht="16.5" customHeight="1" x14ac:dyDescent="0.35">
      <c r="J5979" s="56" t="str">
        <f t="shared" si="279"/>
        <v/>
      </c>
      <c r="K5979" s="74" t="str">
        <f t="shared" si="280"/>
        <v/>
      </c>
      <c r="L5979" s="58" t="str">
        <f t="shared" si="281"/>
        <v/>
      </c>
    </row>
    <row r="5980" spans="10:12" ht="16.5" customHeight="1" x14ac:dyDescent="0.35">
      <c r="J5980" s="56" t="str">
        <f t="shared" si="279"/>
        <v/>
      </c>
      <c r="K5980" s="74" t="str">
        <f t="shared" si="280"/>
        <v/>
      </c>
      <c r="L5980" s="58" t="str">
        <f t="shared" si="281"/>
        <v/>
      </c>
    </row>
    <row r="5981" spans="10:12" ht="16.5" customHeight="1" x14ac:dyDescent="0.35">
      <c r="J5981" s="56" t="str">
        <f t="shared" si="279"/>
        <v/>
      </c>
      <c r="K5981" s="74" t="str">
        <f t="shared" si="280"/>
        <v/>
      </c>
      <c r="L5981" s="58" t="str">
        <f t="shared" si="281"/>
        <v/>
      </c>
    </row>
    <row r="5982" spans="10:12" ht="16.5" customHeight="1" x14ac:dyDescent="0.35">
      <c r="J5982" s="56" t="str">
        <f t="shared" si="279"/>
        <v/>
      </c>
      <c r="K5982" s="74" t="str">
        <f t="shared" si="280"/>
        <v/>
      </c>
      <c r="L5982" s="58" t="str">
        <f t="shared" si="281"/>
        <v/>
      </c>
    </row>
    <row r="5983" spans="10:12" ht="16.5" customHeight="1" x14ac:dyDescent="0.35">
      <c r="J5983" s="56" t="str">
        <f t="shared" si="279"/>
        <v/>
      </c>
      <c r="K5983" s="74" t="str">
        <f t="shared" si="280"/>
        <v/>
      </c>
      <c r="L5983" s="58" t="str">
        <f t="shared" si="281"/>
        <v/>
      </c>
    </row>
    <row r="5984" spans="10:12" ht="16.5" customHeight="1" x14ac:dyDescent="0.35">
      <c r="J5984" s="56" t="str">
        <f t="shared" si="279"/>
        <v/>
      </c>
      <c r="K5984" s="74" t="str">
        <f t="shared" si="280"/>
        <v/>
      </c>
      <c r="L5984" s="58" t="str">
        <f t="shared" si="281"/>
        <v/>
      </c>
    </row>
    <row r="5985" spans="10:12" ht="16.5" customHeight="1" x14ac:dyDescent="0.35">
      <c r="J5985" s="56" t="str">
        <f t="shared" si="279"/>
        <v/>
      </c>
      <c r="K5985" s="74" t="str">
        <f t="shared" si="280"/>
        <v/>
      </c>
      <c r="L5985" s="58" t="str">
        <f t="shared" si="281"/>
        <v/>
      </c>
    </row>
    <row r="5986" spans="10:12" ht="16.5" customHeight="1" x14ac:dyDescent="0.35">
      <c r="J5986" s="56" t="str">
        <f t="shared" si="279"/>
        <v/>
      </c>
      <c r="K5986" s="74" t="str">
        <f t="shared" si="280"/>
        <v/>
      </c>
      <c r="L5986" s="58" t="str">
        <f t="shared" si="281"/>
        <v/>
      </c>
    </row>
    <row r="5987" spans="10:12" ht="16.5" customHeight="1" x14ac:dyDescent="0.35">
      <c r="J5987" s="56" t="str">
        <f t="shared" si="279"/>
        <v/>
      </c>
      <c r="K5987" s="74" t="str">
        <f t="shared" si="280"/>
        <v/>
      </c>
      <c r="L5987" s="58" t="str">
        <f t="shared" si="281"/>
        <v/>
      </c>
    </row>
    <row r="5988" spans="10:12" ht="16.5" customHeight="1" x14ac:dyDescent="0.35">
      <c r="J5988" s="56" t="str">
        <f t="shared" si="279"/>
        <v/>
      </c>
      <c r="K5988" s="74" t="str">
        <f t="shared" si="280"/>
        <v/>
      </c>
      <c r="L5988" s="58" t="str">
        <f t="shared" si="281"/>
        <v/>
      </c>
    </row>
    <row r="5989" spans="10:12" ht="16.5" customHeight="1" x14ac:dyDescent="0.35">
      <c r="J5989" s="56" t="str">
        <f t="shared" si="279"/>
        <v/>
      </c>
      <c r="K5989" s="74" t="str">
        <f t="shared" si="280"/>
        <v/>
      </c>
      <c r="L5989" s="58" t="str">
        <f t="shared" si="281"/>
        <v/>
      </c>
    </row>
    <row r="5990" spans="10:12" ht="16.5" customHeight="1" x14ac:dyDescent="0.35">
      <c r="J5990" s="56" t="str">
        <f t="shared" si="279"/>
        <v/>
      </c>
      <c r="K5990" s="74" t="str">
        <f t="shared" si="280"/>
        <v/>
      </c>
      <c r="L5990" s="58" t="str">
        <f t="shared" si="281"/>
        <v/>
      </c>
    </row>
    <row r="5991" spans="10:12" ht="16.5" customHeight="1" x14ac:dyDescent="0.35">
      <c r="J5991" s="56" t="str">
        <f t="shared" si="279"/>
        <v/>
      </c>
      <c r="K5991" s="74" t="str">
        <f t="shared" si="280"/>
        <v/>
      </c>
      <c r="L5991" s="58" t="str">
        <f t="shared" si="281"/>
        <v/>
      </c>
    </row>
    <row r="5992" spans="10:12" ht="16.5" customHeight="1" x14ac:dyDescent="0.35">
      <c r="J5992" s="56" t="str">
        <f t="shared" si="279"/>
        <v/>
      </c>
      <c r="K5992" s="74" t="str">
        <f t="shared" si="280"/>
        <v/>
      </c>
      <c r="L5992" s="58" t="str">
        <f t="shared" si="281"/>
        <v/>
      </c>
    </row>
    <row r="5993" spans="10:12" ht="16.5" customHeight="1" x14ac:dyDescent="0.35">
      <c r="J5993" s="56" t="str">
        <f t="shared" si="279"/>
        <v/>
      </c>
      <c r="K5993" s="74" t="str">
        <f t="shared" si="280"/>
        <v/>
      </c>
      <c r="L5993" s="58" t="str">
        <f t="shared" si="281"/>
        <v/>
      </c>
    </row>
    <row r="5994" spans="10:12" ht="16.5" customHeight="1" x14ac:dyDescent="0.35">
      <c r="J5994" s="56" t="str">
        <f t="shared" si="279"/>
        <v/>
      </c>
      <c r="K5994" s="74" t="str">
        <f t="shared" si="280"/>
        <v/>
      </c>
      <c r="L5994" s="58" t="str">
        <f t="shared" si="281"/>
        <v/>
      </c>
    </row>
    <row r="5995" spans="10:12" ht="16.5" customHeight="1" x14ac:dyDescent="0.35">
      <c r="J5995" s="56" t="str">
        <f t="shared" si="279"/>
        <v/>
      </c>
      <c r="K5995" s="74" t="str">
        <f t="shared" si="280"/>
        <v/>
      </c>
      <c r="L5995" s="58" t="str">
        <f t="shared" si="281"/>
        <v/>
      </c>
    </row>
    <row r="5996" spans="10:12" ht="16.5" customHeight="1" x14ac:dyDescent="0.35">
      <c r="J5996" s="56" t="str">
        <f t="shared" si="279"/>
        <v/>
      </c>
      <c r="K5996" s="74" t="str">
        <f t="shared" si="280"/>
        <v/>
      </c>
      <c r="L5996" s="58" t="str">
        <f t="shared" si="281"/>
        <v/>
      </c>
    </row>
    <row r="5997" spans="10:12" ht="16.5" customHeight="1" x14ac:dyDescent="0.35">
      <c r="J5997" s="56" t="str">
        <f t="shared" si="279"/>
        <v/>
      </c>
      <c r="K5997" s="74" t="str">
        <f t="shared" si="280"/>
        <v/>
      </c>
      <c r="L5997" s="58" t="str">
        <f t="shared" si="281"/>
        <v/>
      </c>
    </row>
    <row r="5998" spans="10:12" ht="16.5" customHeight="1" x14ac:dyDescent="0.35">
      <c r="J5998" s="56" t="str">
        <f t="shared" si="279"/>
        <v/>
      </c>
      <c r="K5998" s="74" t="str">
        <f t="shared" si="280"/>
        <v/>
      </c>
      <c r="L5998" s="58" t="str">
        <f t="shared" si="281"/>
        <v/>
      </c>
    </row>
    <row r="5999" spans="10:12" ht="16.5" customHeight="1" x14ac:dyDescent="0.35">
      <c r="J5999" s="56" t="str">
        <f t="shared" si="279"/>
        <v/>
      </c>
      <c r="K5999" s="74" t="str">
        <f t="shared" si="280"/>
        <v/>
      </c>
      <c r="L5999" s="58" t="str">
        <f t="shared" si="281"/>
        <v/>
      </c>
    </row>
    <row r="6000" spans="10:12" ht="16.5" customHeight="1" x14ac:dyDescent="0.35">
      <c r="J6000" s="56" t="str">
        <f t="shared" si="279"/>
        <v/>
      </c>
      <c r="K6000" s="74" t="str">
        <f t="shared" si="280"/>
        <v/>
      </c>
      <c r="L6000" s="58" t="str">
        <f t="shared" si="281"/>
        <v/>
      </c>
    </row>
    <row r="6001" spans="10:12" ht="16.5" customHeight="1" x14ac:dyDescent="0.35">
      <c r="J6001" s="56" t="str">
        <f t="shared" si="279"/>
        <v/>
      </c>
      <c r="K6001" s="74" t="str">
        <f t="shared" si="280"/>
        <v/>
      </c>
      <c r="L6001" s="58" t="str">
        <f t="shared" si="281"/>
        <v/>
      </c>
    </row>
    <row r="6002" spans="10:12" ht="16.5" customHeight="1" x14ac:dyDescent="0.35">
      <c r="J6002" s="56" t="str">
        <f t="shared" si="279"/>
        <v/>
      </c>
      <c r="K6002" s="74" t="str">
        <f t="shared" si="280"/>
        <v/>
      </c>
      <c r="L6002" s="58" t="str">
        <f t="shared" si="281"/>
        <v/>
      </c>
    </row>
    <row r="6003" spans="10:12" ht="16.5" customHeight="1" x14ac:dyDescent="0.35">
      <c r="J6003" s="56" t="str">
        <f t="shared" si="279"/>
        <v/>
      </c>
      <c r="K6003" s="74" t="str">
        <f t="shared" si="280"/>
        <v/>
      </c>
      <c r="L6003" s="58" t="str">
        <f t="shared" si="281"/>
        <v/>
      </c>
    </row>
    <row r="6004" spans="10:12" ht="16.5" customHeight="1" x14ac:dyDescent="0.35">
      <c r="J6004" s="56" t="str">
        <f t="shared" si="279"/>
        <v/>
      </c>
      <c r="K6004" s="74" t="str">
        <f t="shared" si="280"/>
        <v/>
      </c>
      <c r="L6004" s="58" t="str">
        <f t="shared" si="281"/>
        <v/>
      </c>
    </row>
    <row r="6005" spans="10:12" ht="16.5" customHeight="1" x14ac:dyDescent="0.35">
      <c r="J6005" s="56" t="str">
        <f t="shared" si="279"/>
        <v/>
      </c>
      <c r="K6005" s="74" t="str">
        <f t="shared" si="280"/>
        <v/>
      </c>
      <c r="L6005" s="58" t="str">
        <f t="shared" si="281"/>
        <v/>
      </c>
    </row>
    <row r="6006" spans="10:12" ht="16.5" customHeight="1" x14ac:dyDescent="0.35">
      <c r="J6006" s="56" t="str">
        <f t="shared" si="279"/>
        <v/>
      </c>
      <c r="K6006" s="74" t="str">
        <f t="shared" si="280"/>
        <v/>
      </c>
      <c r="L6006" s="58" t="str">
        <f t="shared" si="281"/>
        <v/>
      </c>
    </row>
    <row r="6007" spans="10:12" ht="16.5" customHeight="1" x14ac:dyDescent="0.35">
      <c r="J6007" s="56" t="str">
        <f t="shared" si="279"/>
        <v/>
      </c>
      <c r="K6007" s="74" t="str">
        <f t="shared" si="280"/>
        <v/>
      </c>
      <c r="L6007" s="58" t="str">
        <f t="shared" si="281"/>
        <v/>
      </c>
    </row>
    <row r="6008" spans="10:12" ht="16.5" customHeight="1" x14ac:dyDescent="0.35">
      <c r="J6008" s="56" t="str">
        <f t="shared" si="279"/>
        <v/>
      </c>
      <c r="K6008" s="74" t="str">
        <f t="shared" si="280"/>
        <v/>
      </c>
      <c r="L6008" s="58" t="str">
        <f t="shared" si="281"/>
        <v/>
      </c>
    </row>
    <row r="6009" spans="10:12" ht="16.5" customHeight="1" x14ac:dyDescent="0.35">
      <c r="J6009" s="56" t="str">
        <f t="shared" si="279"/>
        <v/>
      </c>
      <c r="K6009" s="74" t="str">
        <f t="shared" si="280"/>
        <v/>
      </c>
      <c r="L6009" s="58" t="str">
        <f t="shared" si="281"/>
        <v/>
      </c>
    </row>
    <row r="6010" spans="10:12" ht="16.5" customHeight="1" x14ac:dyDescent="0.35">
      <c r="J6010" s="56" t="str">
        <f t="shared" si="279"/>
        <v/>
      </c>
      <c r="K6010" s="74" t="str">
        <f t="shared" si="280"/>
        <v/>
      </c>
      <c r="L6010" s="58" t="str">
        <f t="shared" si="281"/>
        <v/>
      </c>
    </row>
    <row r="6011" spans="10:12" ht="16.5" customHeight="1" x14ac:dyDescent="0.35">
      <c r="J6011" s="56" t="str">
        <f t="shared" si="279"/>
        <v/>
      </c>
      <c r="K6011" s="74" t="str">
        <f t="shared" si="280"/>
        <v/>
      </c>
      <c r="L6011" s="58" t="str">
        <f t="shared" si="281"/>
        <v/>
      </c>
    </row>
    <row r="6012" spans="10:12" ht="16.5" customHeight="1" x14ac:dyDescent="0.35">
      <c r="J6012" s="56" t="str">
        <f t="shared" si="279"/>
        <v/>
      </c>
      <c r="K6012" s="74" t="str">
        <f t="shared" si="280"/>
        <v/>
      </c>
      <c r="L6012" s="58" t="str">
        <f t="shared" si="281"/>
        <v/>
      </c>
    </row>
    <row r="6013" spans="10:12" ht="16.5" customHeight="1" x14ac:dyDescent="0.35">
      <c r="J6013" s="56" t="str">
        <f t="shared" si="279"/>
        <v/>
      </c>
      <c r="K6013" s="74" t="str">
        <f t="shared" si="280"/>
        <v/>
      </c>
      <c r="L6013" s="58" t="str">
        <f t="shared" si="281"/>
        <v/>
      </c>
    </row>
    <row r="6014" spans="10:12" ht="16.5" customHeight="1" x14ac:dyDescent="0.35">
      <c r="J6014" s="56" t="str">
        <f t="shared" si="279"/>
        <v/>
      </c>
      <c r="K6014" s="74" t="str">
        <f t="shared" si="280"/>
        <v/>
      </c>
      <c r="L6014" s="58" t="str">
        <f t="shared" si="281"/>
        <v/>
      </c>
    </row>
    <row r="6015" spans="10:12" ht="16.5" customHeight="1" x14ac:dyDescent="0.35">
      <c r="J6015" s="56" t="str">
        <f t="shared" si="279"/>
        <v/>
      </c>
      <c r="K6015" s="74" t="str">
        <f t="shared" si="280"/>
        <v/>
      </c>
      <c r="L6015" s="58" t="str">
        <f t="shared" si="281"/>
        <v/>
      </c>
    </row>
    <row r="6016" spans="10:12" ht="16.5" customHeight="1" x14ac:dyDescent="0.35">
      <c r="J6016" s="56" t="str">
        <f t="shared" si="279"/>
        <v/>
      </c>
      <c r="K6016" s="74" t="str">
        <f t="shared" si="280"/>
        <v/>
      </c>
      <c r="L6016" s="58" t="str">
        <f t="shared" si="281"/>
        <v/>
      </c>
    </row>
    <row r="6017" spans="10:12" ht="16.5" customHeight="1" x14ac:dyDescent="0.35">
      <c r="J6017" s="56" t="str">
        <f t="shared" si="279"/>
        <v/>
      </c>
      <c r="K6017" s="74" t="str">
        <f t="shared" si="280"/>
        <v/>
      </c>
      <c r="L6017" s="58" t="str">
        <f t="shared" si="281"/>
        <v/>
      </c>
    </row>
    <row r="6018" spans="10:12" ht="16.5" customHeight="1" x14ac:dyDescent="0.35">
      <c r="J6018" s="56" t="str">
        <f t="shared" si="279"/>
        <v/>
      </c>
      <c r="K6018" s="74" t="str">
        <f t="shared" si="280"/>
        <v/>
      </c>
      <c r="L6018" s="58" t="str">
        <f t="shared" si="281"/>
        <v/>
      </c>
    </row>
    <row r="6019" spans="10:12" ht="16.5" customHeight="1" x14ac:dyDescent="0.35">
      <c r="J6019" s="56" t="str">
        <f t="shared" si="279"/>
        <v/>
      </c>
      <c r="K6019" s="74" t="str">
        <f t="shared" si="280"/>
        <v/>
      </c>
      <c r="L6019" s="58" t="str">
        <f t="shared" si="281"/>
        <v/>
      </c>
    </row>
    <row r="6020" spans="10:12" ht="16.5" customHeight="1" x14ac:dyDescent="0.35">
      <c r="J6020" s="56" t="str">
        <f t="shared" si="279"/>
        <v/>
      </c>
      <c r="K6020" s="74" t="str">
        <f t="shared" si="280"/>
        <v/>
      </c>
      <c r="L6020" s="58" t="str">
        <f t="shared" si="281"/>
        <v/>
      </c>
    </row>
    <row r="6021" spans="10:12" ht="16.5" customHeight="1" x14ac:dyDescent="0.35">
      <c r="J6021" s="56" t="str">
        <f t="shared" si="279"/>
        <v/>
      </c>
      <c r="K6021" s="74" t="str">
        <f t="shared" si="280"/>
        <v/>
      </c>
      <c r="L6021" s="58" t="str">
        <f t="shared" si="281"/>
        <v/>
      </c>
    </row>
    <row r="6022" spans="10:12" ht="16.5" customHeight="1" x14ac:dyDescent="0.35">
      <c r="J6022" s="56" t="str">
        <f t="shared" si="279"/>
        <v/>
      </c>
      <c r="K6022" s="74" t="str">
        <f t="shared" si="280"/>
        <v/>
      </c>
      <c r="L6022" s="58" t="str">
        <f t="shared" si="281"/>
        <v/>
      </c>
    </row>
    <row r="6023" spans="10:12" ht="16.5" customHeight="1" x14ac:dyDescent="0.35">
      <c r="J6023" s="56" t="str">
        <f t="shared" si="279"/>
        <v/>
      </c>
      <c r="K6023" s="74" t="str">
        <f t="shared" si="280"/>
        <v/>
      </c>
      <c r="L6023" s="58" t="str">
        <f t="shared" si="281"/>
        <v/>
      </c>
    </row>
    <row r="6024" spans="10:12" ht="16.5" customHeight="1" x14ac:dyDescent="0.35">
      <c r="J6024" s="56" t="str">
        <f t="shared" si="279"/>
        <v/>
      </c>
      <c r="K6024" s="74" t="str">
        <f t="shared" si="280"/>
        <v/>
      </c>
      <c r="L6024" s="58" t="str">
        <f t="shared" si="281"/>
        <v/>
      </c>
    </row>
    <row r="6025" spans="10:12" ht="16.5" customHeight="1" x14ac:dyDescent="0.35">
      <c r="J6025" s="56" t="str">
        <f t="shared" ref="J6025:J6088" si="282">IF(A6025="","",A$5-A6025)</f>
        <v/>
      </c>
      <c r="K6025" s="74" t="str">
        <f t="shared" ref="K6025:K6088" si="283">IF(J6025="","",IF(J6025&lt;4,"0-3 Days",IF(J6025&lt;31,"4-30 Days",IF(J6025&lt;61,"31-60 Days",IF(J6025&lt;=90,"61-90 Days",IF(J6025&gt;90,"Above 90 Days","0"))))))</f>
        <v/>
      </c>
      <c r="L6025" s="58" t="str">
        <f t="shared" ref="L6025:L6088" si="284">IF(C6025="","",IF(C6025&gt;0,IF(J6025&lt;30,"Normal",IF(J6025&lt;60,"Especially Mentioned",IF(J6025&lt;90,"Substandard",IF(J6025&lt;=180,"Doubtful",IF(J6025&gt;180,"Loss","0"))))),"Not Applicable"))</f>
        <v/>
      </c>
    </row>
    <row r="6026" spans="10:12" ht="16.5" customHeight="1" x14ac:dyDescent="0.35">
      <c r="J6026" s="56" t="str">
        <f t="shared" si="282"/>
        <v/>
      </c>
      <c r="K6026" s="74" t="str">
        <f t="shared" si="283"/>
        <v/>
      </c>
      <c r="L6026" s="58" t="str">
        <f t="shared" si="284"/>
        <v/>
      </c>
    </row>
    <row r="6027" spans="10:12" ht="16.5" customHeight="1" x14ac:dyDescent="0.35">
      <c r="J6027" s="56" t="str">
        <f t="shared" si="282"/>
        <v/>
      </c>
      <c r="K6027" s="74" t="str">
        <f t="shared" si="283"/>
        <v/>
      </c>
      <c r="L6027" s="58" t="str">
        <f t="shared" si="284"/>
        <v/>
      </c>
    </row>
    <row r="6028" spans="10:12" ht="16.5" customHeight="1" x14ac:dyDescent="0.35">
      <c r="J6028" s="56" t="str">
        <f t="shared" si="282"/>
        <v/>
      </c>
      <c r="K6028" s="74" t="str">
        <f t="shared" si="283"/>
        <v/>
      </c>
      <c r="L6028" s="58" t="str">
        <f t="shared" si="284"/>
        <v/>
      </c>
    </row>
    <row r="6029" spans="10:12" ht="16.5" customHeight="1" x14ac:dyDescent="0.35">
      <c r="J6029" s="56" t="str">
        <f t="shared" si="282"/>
        <v/>
      </c>
      <c r="K6029" s="74" t="str">
        <f t="shared" si="283"/>
        <v/>
      </c>
      <c r="L6029" s="58" t="str">
        <f t="shared" si="284"/>
        <v/>
      </c>
    </row>
    <row r="6030" spans="10:12" ht="16.5" customHeight="1" x14ac:dyDescent="0.35">
      <c r="J6030" s="56" t="str">
        <f t="shared" si="282"/>
        <v/>
      </c>
      <c r="K6030" s="74" t="str">
        <f t="shared" si="283"/>
        <v/>
      </c>
      <c r="L6030" s="58" t="str">
        <f t="shared" si="284"/>
        <v/>
      </c>
    </row>
    <row r="6031" spans="10:12" ht="16.5" customHeight="1" x14ac:dyDescent="0.35">
      <c r="J6031" s="56" t="str">
        <f t="shared" si="282"/>
        <v/>
      </c>
      <c r="K6031" s="74" t="str">
        <f t="shared" si="283"/>
        <v/>
      </c>
      <c r="L6031" s="58" t="str">
        <f t="shared" si="284"/>
        <v/>
      </c>
    </row>
    <row r="6032" spans="10:12" ht="16.5" customHeight="1" x14ac:dyDescent="0.35">
      <c r="J6032" s="56" t="str">
        <f t="shared" si="282"/>
        <v/>
      </c>
      <c r="K6032" s="74" t="str">
        <f t="shared" si="283"/>
        <v/>
      </c>
      <c r="L6032" s="58" t="str">
        <f t="shared" si="284"/>
        <v/>
      </c>
    </row>
    <row r="6033" spans="10:12" ht="16.5" customHeight="1" x14ac:dyDescent="0.35">
      <c r="J6033" s="56" t="str">
        <f t="shared" si="282"/>
        <v/>
      </c>
      <c r="K6033" s="74" t="str">
        <f t="shared" si="283"/>
        <v/>
      </c>
      <c r="L6033" s="58" t="str">
        <f t="shared" si="284"/>
        <v/>
      </c>
    </row>
    <row r="6034" spans="10:12" ht="16.5" customHeight="1" x14ac:dyDescent="0.35">
      <c r="J6034" s="56" t="str">
        <f t="shared" si="282"/>
        <v/>
      </c>
      <c r="K6034" s="74" t="str">
        <f t="shared" si="283"/>
        <v/>
      </c>
      <c r="L6034" s="58" t="str">
        <f t="shared" si="284"/>
        <v/>
      </c>
    </row>
    <row r="6035" spans="10:12" ht="16.5" customHeight="1" x14ac:dyDescent="0.35">
      <c r="J6035" s="56" t="str">
        <f t="shared" si="282"/>
        <v/>
      </c>
      <c r="K6035" s="74" t="str">
        <f t="shared" si="283"/>
        <v/>
      </c>
      <c r="L6035" s="58" t="str">
        <f t="shared" si="284"/>
        <v/>
      </c>
    </row>
    <row r="6036" spans="10:12" ht="16.5" customHeight="1" x14ac:dyDescent="0.35">
      <c r="J6036" s="56" t="str">
        <f t="shared" si="282"/>
        <v/>
      </c>
      <c r="K6036" s="74" t="str">
        <f t="shared" si="283"/>
        <v/>
      </c>
      <c r="L6036" s="58" t="str">
        <f t="shared" si="284"/>
        <v/>
      </c>
    </row>
    <row r="6037" spans="10:12" ht="16.5" customHeight="1" x14ac:dyDescent="0.35">
      <c r="J6037" s="56" t="str">
        <f t="shared" si="282"/>
        <v/>
      </c>
      <c r="K6037" s="74" t="str">
        <f t="shared" si="283"/>
        <v/>
      </c>
      <c r="L6037" s="58" t="str">
        <f t="shared" si="284"/>
        <v/>
      </c>
    </row>
    <row r="6038" spans="10:12" ht="16.5" customHeight="1" x14ac:dyDescent="0.35">
      <c r="J6038" s="56" t="str">
        <f t="shared" si="282"/>
        <v/>
      </c>
      <c r="K6038" s="74" t="str">
        <f t="shared" si="283"/>
        <v/>
      </c>
      <c r="L6038" s="58" t="str">
        <f t="shared" si="284"/>
        <v/>
      </c>
    </row>
    <row r="6039" spans="10:12" ht="16.5" customHeight="1" x14ac:dyDescent="0.35">
      <c r="J6039" s="56" t="str">
        <f t="shared" si="282"/>
        <v/>
      </c>
      <c r="K6039" s="74" t="str">
        <f t="shared" si="283"/>
        <v/>
      </c>
      <c r="L6039" s="58" t="str">
        <f t="shared" si="284"/>
        <v/>
      </c>
    </row>
    <row r="6040" spans="10:12" ht="16.5" customHeight="1" x14ac:dyDescent="0.35">
      <c r="J6040" s="56" t="str">
        <f t="shared" si="282"/>
        <v/>
      </c>
      <c r="K6040" s="74" t="str">
        <f t="shared" si="283"/>
        <v/>
      </c>
      <c r="L6040" s="58" t="str">
        <f t="shared" si="284"/>
        <v/>
      </c>
    </row>
    <row r="6041" spans="10:12" ht="16.5" customHeight="1" x14ac:dyDescent="0.35">
      <c r="J6041" s="56" t="str">
        <f t="shared" si="282"/>
        <v/>
      </c>
      <c r="K6041" s="74" t="str">
        <f t="shared" si="283"/>
        <v/>
      </c>
      <c r="L6041" s="58" t="str">
        <f t="shared" si="284"/>
        <v/>
      </c>
    </row>
    <row r="6042" spans="10:12" ht="16.5" customHeight="1" x14ac:dyDescent="0.35">
      <c r="J6042" s="56" t="str">
        <f t="shared" si="282"/>
        <v/>
      </c>
      <c r="K6042" s="74" t="str">
        <f t="shared" si="283"/>
        <v/>
      </c>
      <c r="L6042" s="58" t="str">
        <f t="shared" si="284"/>
        <v/>
      </c>
    </row>
    <row r="6043" spans="10:12" ht="16.5" customHeight="1" x14ac:dyDescent="0.35">
      <c r="J6043" s="56" t="str">
        <f t="shared" si="282"/>
        <v/>
      </c>
      <c r="K6043" s="74" t="str">
        <f t="shared" si="283"/>
        <v/>
      </c>
      <c r="L6043" s="58" t="str">
        <f t="shared" si="284"/>
        <v/>
      </c>
    </row>
    <row r="6044" spans="10:12" ht="16.5" customHeight="1" x14ac:dyDescent="0.35">
      <c r="J6044" s="56" t="str">
        <f t="shared" si="282"/>
        <v/>
      </c>
      <c r="K6044" s="74" t="str">
        <f t="shared" si="283"/>
        <v/>
      </c>
      <c r="L6044" s="58" t="str">
        <f t="shared" si="284"/>
        <v/>
      </c>
    </row>
    <row r="6045" spans="10:12" ht="16.5" customHeight="1" x14ac:dyDescent="0.35">
      <c r="J6045" s="56" t="str">
        <f t="shared" si="282"/>
        <v/>
      </c>
      <c r="K6045" s="74" t="str">
        <f t="shared" si="283"/>
        <v/>
      </c>
      <c r="L6045" s="58" t="str">
        <f t="shared" si="284"/>
        <v/>
      </c>
    </row>
    <row r="6046" spans="10:12" ht="16.5" customHeight="1" x14ac:dyDescent="0.35">
      <c r="J6046" s="56" t="str">
        <f t="shared" si="282"/>
        <v/>
      </c>
      <c r="K6046" s="74" t="str">
        <f t="shared" si="283"/>
        <v/>
      </c>
      <c r="L6046" s="58" t="str">
        <f t="shared" si="284"/>
        <v/>
      </c>
    </row>
    <row r="6047" spans="10:12" ht="16.5" customHeight="1" x14ac:dyDescent="0.35">
      <c r="J6047" s="56" t="str">
        <f t="shared" si="282"/>
        <v/>
      </c>
      <c r="K6047" s="74" t="str">
        <f t="shared" si="283"/>
        <v/>
      </c>
      <c r="L6047" s="58" t="str">
        <f t="shared" si="284"/>
        <v/>
      </c>
    </row>
    <row r="6048" spans="10:12" ht="16.5" customHeight="1" x14ac:dyDescent="0.35">
      <c r="J6048" s="56" t="str">
        <f t="shared" si="282"/>
        <v/>
      </c>
      <c r="K6048" s="74" t="str">
        <f t="shared" si="283"/>
        <v/>
      </c>
      <c r="L6048" s="58" t="str">
        <f t="shared" si="284"/>
        <v/>
      </c>
    </row>
    <row r="6049" spans="10:12" ht="16.5" customHeight="1" x14ac:dyDescent="0.35">
      <c r="J6049" s="56" t="str">
        <f t="shared" si="282"/>
        <v/>
      </c>
      <c r="K6049" s="74" t="str">
        <f t="shared" si="283"/>
        <v/>
      </c>
      <c r="L6049" s="58" t="str">
        <f t="shared" si="284"/>
        <v/>
      </c>
    </row>
    <row r="6050" spans="10:12" ht="16.5" customHeight="1" x14ac:dyDescent="0.35">
      <c r="J6050" s="56" t="str">
        <f t="shared" si="282"/>
        <v/>
      </c>
      <c r="K6050" s="74" t="str">
        <f t="shared" si="283"/>
        <v/>
      </c>
      <c r="L6050" s="58" t="str">
        <f t="shared" si="284"/>
        <v/>
      </c>
    </row>
    <row r="6051" spans="10:12" ht="16.5" customHeight="1" x14ac:dyDescent="0.35">
      <c r="J6051" s="56" t="str">
        <f t="shared" si="282"/>
        <v/>
      </c>
      <c r="K6051" s="74" t="str">
        <f t="shared" si="283"/>
        <v/>
      </c>
      <c r="L6051" s="58" t="str">
        <f t="shared" si="284"/>
        <v/>
      </c>
    </row>
    <row r="6052" spans="10:12" ht="16.5" customHeight="1" x14ac:dyDescent="0.35">
      <c r="J6052" s="56" t="str">
        <f t="shared" si="282"/>
        <v/>
      </c>
      <c r="K6052" s="74" t="str">
        <f t="shared" si="283"/>
        <v/>
      </c>
      <c r="L6052" s="58" t="str">
        <f t="shared" si="284"/>
        <v/>
      </c>
    </row>
    <row r="6053" spans="10:12" ht="16.5" customHeight="1" x14ac:dyDescent="0.35">
      <c r="J6053" s="56" t="str">
        <f t="shared" si="282"/>
        <v/>
      </c>
      <c r="K6053" s="74" t="str">
        <f t="shared" si="283"/>
        <v/>
      </c>
      <c r="L6053" s="58" t="str">
        <f t="shared" si="284"/>
        <v/>
      </c>
    </row>
    <row r="6054" spans="10:12" ht="16.5" customHeight="1" x14ac:dyDescent="0.35">
      <c r="J6054" s="56" t="str">
        <f t="shared" si="282"/>
        <v/>
      </c>
      <c r="K6054" s="74" t="str">
        <f t="shared" si="283"/>
        <v/>
      </c>
      <c r="L6054" s="58" t="str">
        <f t="shared" si="284"/>
        <v/>
      </c>
    </row>
    <row r="6055" spans="10:12" ht="16.5" customHeight="1" x14ac:dyDescent="0.35">
      <c r="J6055" s="56" t="str">
        <f t="shared" si="282"/>
        <v/>
      </c>
      <c r="K6055" s="74" t="str">
        <f t="shared" si="283"/>
        <v/>
      </c>
      <c r="L6055" s="58" t="str">
        <f t="shared" si="284"/>
        <v/>
      </c>
    </row>
    <row r="6056" spans="10:12" ht="16.5" customHeight="1" x14ac:dyDescent="0.35">
      <c r="J6056" s="56" t="str">
        <f t="shared" si="282"/>
        <v/>
      </c>
      <c r="K6056" s="74" t="str">
        <f t="shared" si="283"/>
        <v/>
      </c>
      <c r="L6056" s="58" t="str">
        <f t="shared" si="284"/>
        <v/>
      </c>
    </row>
    <row r="6057" spans="10:12" ht="16.5" customHeight="1" x14ac:dyDescent="0.35">
      <c r="J6057" s="56" t="str">
        <f t="shared" si="282"/>
        <v/>
      </c>
      <c r="K6057" s="74" t="str">
        <f t="shared" si="283"/>
        <v/>
      </c>
      <c r="L6057" s="58" t="str">
        <f t="shared" si="284"/>
        <v/>
      </c>
    </row>
    <row r="6058" spans="10:12" ht="16.5" customHeight="1" x14ac:dyDescent="0.35">
      <c r="J6058" s="56" t="str">
        <f t="shared" si="282"/>
        <v/>
      </c>
      <c r="K6058" s="74" t="str">
        <f t="shared" si="283"/>
        <v/>
      </c>
      <c r="L6058" s="58" t="str">
        <f t="shared" si="284"/>
        <v/>
      </c>
    </row>
    <row r="6059" spans="10:12" ht="16.5" customHeight="1" x14ac:dyDescent="0.35">
      <c r="J6059" s="56" t="str">
        <f t="shared" si="282"/>
        <v/>
      </c>
      <c r="K6059" s="74" t="str">
        <f t="shared" si="283"/>
        <v/>
      </c>
      <c r="L6059" s="58" t="str">
        <f t="shared" si="284"/>
        <v/>
      </c>
    </row>
    <row r="6060" spans="10:12" ht="16.5" customHeight="1" x14ac:dyDescent="0.35">
      <c r="J6060" s="56" t="str">
        <f t="shared" si="282"/>
        <v/>
      </c>
      <c r="K6060" s="74" t="str">
        <f t="shared" si="283"/>
        <v/>
      </c>
      <c r="L6060" s="58" t="str">
        <f t="shared" si="284"/>
        <v/>
      </c>
    </row>
    <row r="6061" spans="10:12" ht="16.5" customHeight="1" x14ac:dyDescent="0.35">
      <c r="J6061" s="56" t="str">
        <f t="shared" si="282"/>
        <v/>
      </c>
      <c r="K6061" s="74" t="str">
        <f t="shared" si="283"/>
        <v/>
      </c>
      <c r="L6061" s="58" t="str">
        <f t="shared" si="284"/>
        <v/>
      </c>
    </row>
    <row r="6062" spans="10:12" ht="16.5" customHeight="1" x14ac:dyDescent="0.35">
      <c r="J6062" s="56" t="str">
        <f t="shared" si="282"/>
        <v/>
      </c>
      <c r="K6062" s="74" t="str">
        <f t="shared" si="283"/>
        <v/>
      </c>
      <c r="L6062" s="58" t="str">
        <f t="shared" si="284"/>
        <v/>
      </c>
    </row>
    <row r="6063" spans="10:12" ht="16.5" customHeight="1" x14ac:dyDescent="0.35">
      <c r="J6063" s="56" t="str">
        <f t="shared" si="282"/>
        <v/>
      </c>
      <c r="K6063" s="74" t="str">
        <f t="shared" si="283"/>
        <v/>
      </c>
      <c r="L6063" s="58" t="str">
        <f t="shared" si="284"/>
        <v/>
      </c>
    </row>
    <row r="6064" spans="10:12" ht="16.5" customHeight="1" x14ac:dyDescent="0.35">
      <c r="J6064" s="56" t="str">
        <f t="shared" si="282"/>
        <v/>
      </c>
      <c r="K6064" s="74" t="str">
        <f t="shared" si="283"/>
        <v/>
      </c>
      <c r="L6064" s="58" t="str">
        <f t="shared" si="284"/>
        <v/>
      </c>
    </row>
    <row r="6065" spans="10:12" ht="16.5" customHeight="1" x14ac:dyDescent="0.35">
      <c r="J6065" s="56" t="str">
        <f t="shared" si="282"/>
        <v/>
      </c>
      <c r="K6065" s="74" t="str">
        <f t="shared" si="283"/>
        <v/>
      </c>
      <c r="L6065" s="58" t="str">
        <f t="shared" si="284"/>
        <v/>
      </c>
    </row>
    <row r="6066" spans="10:12" ht="16.5" customHeight="1" x14ac:dyDescent="0.35">
      <c r="J6066" s="56" t="str">
        <f t="shared" si="282"/>
        <v/>
      </c>
      <c r="K6066" s="74" t="str">
        <f t="shared" si="283"/>
        <v/>
      </c>
      <c r="L6066" s="58" t="str">
        <f t="shared" si="284"/>
        <v/>
      </c>
    </row>
    <row r="6067" spans="10:12" ht="16.5" customHeight="1" x14ac:dyDescent="0.35">
      <c r="J6067" s="56" t="str">
        <f t="shared" si="282"/>
        <v/>
      </c>
      <c r="K6067" s="74" t="str">
        <f t="shared" si="283"/>
        <v/>
      </c>
      <c r="L6067" s="58" t="str">
        <f t="shared" si="284"/>
        <v/>
      </c>
    </row>
    <row r="6068" spans="10:12" ht="16.5" customHeight="1" x14ac:dyDescent="0.35">
      <c r="J6068" s="56" t="str">
        <f t="shared" si="282"/>
        <v/>
      </c>
      <c r="K6068" s="74" t="str">
        <f t="shared" si="283"/>
        <v/>
      </c>
      <c r="L6068" s="58" t="str">
        <f t="shared" si="284"/>
        <v/>
      </c>
    </row>
    <row r="6069" spans="10:12" ht="16.5" customHeight="1" x14ac:dyDescent="0.35">
      <c r="J6069" s="56" t="str">
        <f t="shared" si="282"/>
        <v/>
      </c>
      <c r="K6069" s="74" t="str">
        <f t="shared" si="283"/>
        <v/>
      </c>
      <c r="L6069" s="58" t="str">
        <f t="shared" si="284"/>
        <v/>
      </c>
    </row>
    <row r="6070" spans="10:12" ht="16.5" customHeight="1" x14ac:dyDescent="0.35">
      <c r="J6070" s="56" t="str">
        <f t="shared" si="282"/>
        <v/>
      </c>
      <c r="K6070" s="74" t="str">
        <f t="shared" si="283"/>
        <v/>
      </c>
      <c r="L6070" s="58" t="str">
        <f t="shared" si="284"/>
        <v/>
      </c>
    </row>
    <row r="6071" spans="10:12" ht="16.5" customHeight="1" x14ac:dyDescent="0.35">
      <c r="J6071" s="56" t="str">
        <f t="shared" si="282"/>
        <v/>
      </c>
      <c r="K6071" s="74" t="str">
        <f t="shared" si="283"/>
        <v/>
      </c>
      <c r="L6071" s="58" t="str">
        <f t="shared" si="284"/>
        <v/>
      </c>
    </row>
    <row r="6072" spans="10:12" ht="16.5" customHeight="1" x14ac:dyDescent="0.35">
      <c r="J6072" s="56" t="str">
        <f t="shared" si="282"/>
        <v/>
      </c>
      <c r="K6072" s="74" t="str">
        <f t="shared" si="283"/>
        <v/>
      </c>
      <c r="L6072" s="58" t="str">
        <f t="shared" si="284"/>
        <v/>
      </c>
    </row>
    <row r="6073" spans="10:12" ht="16.5" customHeight="1" x14ac:dyDescent="0.35">
      <c r="J6073" s="56" t="str">
        <f t="shared" si="282"/>
        <v/>
      </c>
      <c r="K6073" s="74" t="str">
        <f t="shared" si="283"/>
        <v/>
      </c>
      <c r="L6073" s="58" t="str">
        <f t="shared" si="284"/>
        <v/>
      </c>
    </row>
    <row r="6074" spans="10:12" ht="16.5" customHeight="1" x14ac:dyDescent="0.35">
      <c r="J6074" s="56" t="str">
        <f t="shared" si="282"/>
        <v/>
      </c>
      <c r="K6074" s="74" t="str">
        <f t="shared" si="283"/>
        <v/>
      </c>
      <c r="L6074" s="58" t="str">
        <f t="shared" si="284"/>
        <v/>
      </c>
    </row>
    <row r="6075" spans="10:12" ht="16.5" customHeight="1" x14ac:dyDescent="0.35">
      <c r="J6075" s="56" t="str">
        <f t="shared" si="282"/>
        <v/>
      </c>
      <c r="K6075" s="74" t="str">
        <f t="shared" si="283"/>
        <v/>
      </c>
      <c r="L6075" s="58" t="str">
        <f t="shared" si="284"/>
        <v/>
      </c>
    </row>
    <row r="6076" spans="10:12" ht="16.5" customHeight="1" x14ac:dyDescent="0.35">
      <c r="J6076" s="56" t="str">
        <f t="shared" si="282"/>
        <v/>
      </c>
      <c r="K6076" s="74" t="str">
        <f t="shared" si="283"/>
        <v/>
      </c>
      <c r="L6076" s="58" t="str">
        <f t="shared" si="284"/>
        <v/>
      </c>
    </row>
    <row r="6077" spans="10:12" ht="16.5" customHeight="1" x14ac:dyDescent="0.35">
      <c r="J6077" s="56" t="str">
        <f t="shared" si="282"/>
        <v/>
      </c>
      <c r="K6077" s="74" t="str">
        <f t="shared" si="283"/>
        <v/>
      </c>
      <c r="L6077" s="58" t="str">
        <f t="shared" si="284"/>
        <v/>
      </c>
    </row>
    <row r="6078" spans="10:12" ht="16.5" customHeight="1" x14ac:dyDescent="0.35">
      <c r="J6078" s="56" t="str">
        <f t="shared" si="282"/>
        <v/>
      </c>
      <c r="K6078" s="74" t="str">
        <f t="shared" si="283"/>
        <v/>
      </c>
      <c r="L6078" s="58" t="str">
        <f t="shared" si="284"/>
        <v/>
      </c>
    </row>
    <row r="6079" spans="10:12" ht="16.5" customHeight="1" x14ac:dyDescent="0.35">
      <c r="J6079" s="56" t="str">
        <f t="shared" si="282"/>
        <v/>
      </c>
      <c r="K6079" s="74" t="str">
        <f t="shared" si="283"/>
        <v/>
      </c>
      <c r="L6079" s="58" t="str">
        <f t="shared" si="284"/>
        <v/>
      </c>
    </row>
    <row r="6080" spans="10:12" ht="16.5" customHeight="1" x14ac:dyDescent="0.35">
      <c r="J6080" s="56" t="str">
        <f t="shared" si="282"/>
        <v/>
      </c>
      <c r="K6080" s="74" t="str">
        <f t="shared" si="283"/>
        <v/>
      </c>
      <c r="L6080" s="58" t="str">
        <f t="shared" si="284"/>
        <v/>
      </c>
    </row>
    <row r="6081" spans="10:12" ht="16.5" customHeight="1" x14ac:dyDescent="0.35">
      <c r="J6081" s="56" t="str">
        <f t="shared" si="282"/>
        <v/>
      </c>
      <c r="K6081" s="74" t="str">
        <f t="shared" si="283"/>
        <v/>
      </c>
      <c r="L6081" s="58" t="str">
        <f t="shared" si="284"/>
        <v/>
      </c>
    </row>
    <row r="6082" spans="10:12" ht="16.5" customHeight="1" x14ac:dyDescent="0.35">
      <c r="J6082" s="56" t="str">
        <f t="shared" si="282"/>
        <v/>
      </c>
      <c r="K6082" s="74" t="str">
        <f t="shared" si="283"/>
        <v/>
      </c>
      <c r="L6082" s="58" t="str">
        <f t="shared" si="284"/>
        <v/>
      </c>
    </row>
    <row r="6083" spans="10:12" ht="16.5" customHeight="1" x14ac:dyDescent="0.35">
      <c r="J6083" s="56" t="str">
        <f t="shared" si="282"/>
        <v/>
      </c>
      <c r="K6083" s="74" t="str">
        <f t="shared" si="283"/>
        <v/>
      </c>
      <c r="L6083" s="58" t="str">
        <f t="shared" si="284"/>
        <v/>
      </c>
    </row>
    <row r="6084" spans="10:12" ht="16.5" customHeight="1" x14ac:dyDescent="0.35">
      <c r="J6084" s="56" t="str">
        <f t="shared" si="282"/>
        <v/>
      </c>
      <c r="K6084" s="74" t="str">
        <f t="shared" si="283"/>
        <v/>
      </c>
      <c r="L6084" s="58" t="str">
        <f t="shared" si="284"/>
        <v/>
      </c>
    </row>
    <row r="6085" spans="10:12" ht="16.5" customHeight="1" x14ac:dyDescent="0.35">
      <c r="J6085" s="56" t="str">
        <f t="shared" si="282"/>
        <v/>
      </c>
      <c r="K6085" s="74" t="str">
        <f t="shared" si="283"/>
        <v/>
      </c>
      <c r="L6085" s="58" t="str">
        <f t="shared" si="284"/>
        <v/>
      </c>
    </row>
    <row r="6086" spans="10:12" ht="16.5" customHeight="1" x14ac:dyDescent="0.35">
      <c r="J6086" s="56" t="str">
        <f t="shared" si="282"/>
        <v/>
      </c>
      <c r="K6086" s="74" t="str">
        <f t="shared" si="283"/>
        <v/>
      </c>
      <c r="L6086" s="58" t="str">
        <f t="shared" si="284"/>
        <v/>
      </c>
    </row>
    <row r="6087" spans="10:12" ht="16.5" customHeight="1" x14ac:dyDescent="0.35">
      <c r="J6087" s="56" t="str">
        <f t="shared" si="282"/>
        <v/>
      </c>
      <c r="K6087" s="74" t="str">
        <f t="shared" si="283"/>
        <v/>
      </c>
      <c r="L6087" s="58" t="str">
        <f t="shared" si="284"/>
        <v/>
      </c>
    </row>
    <row r="6088" spans="10:12" ht="16.5" customHeight="1" x14ac:dyDescent="0.35">
      <c r="J6088" s="56" t="str">
        <f t="shared" si="282"/>
        <v/>
      </c>
      <c r="K6088" s="74" t="str">
        <f t="shared" si="283"/>
        <v/>
      </c>
      <c r="L6088" s="58" t="str">
        <f t="shared" si="284"/>
        <v/>
      </c>
    </row>
    <row r="6089" spans="10:12" ht="16.5" customHeight="1" x14ac:dyDescent="0.35">
      <c r="J6089" s="56" t="str">
        <f t="shared" ref="J6089:J6152" si="285">IF(A6089="","",A$5-A6089)</f>
        <v/>
      </c>
      <c r="K6089" s="74" t="str">
        <f t="shared" ref="K6089:K6152" si="286">IF(J6089="","",IF(J6089&lt;4,"0-3 Days",IF(J6089&lt;31,"4-30 Days",IF(J6089&lt;61,"31-60 Days",IF(J6089&lt;=90,"61-90 Days",IF(J6089&gt;90,"Above 90 Days","0"))))))</f>
        <v/>
      </c>
      <c r="L6089" s="58" t="str">
        <f t="shared" ref="L6089:L6152" si="287">IF(C6089="","",IF(C6089&gt;0,IF(J6089&lt;30,"Normal",IF(J6089&lt;60,"Especially Mentioned",IF(J6089&lt;90,"Substandard",IF(J6089&lt;=180,"Doubtful",IF(J6089&gt;180,"Loss","0"))))),"Not Applicable"))</f>
        <v/>
      </c>
    </row>
    <row r="6090" spans="10:12" ht="16.5" customHeight="1" x14ac:dyDescent="0.35">
      <c r="J6090" s="56" t="str">
        <f t="shared" si="285"/>
        <v/>
      </c>
      <c r="K6090" s="74" t="str">
        <f t="shared" si="286"/>
        <v/>
      </c>
      <c r="L6090" s="58" t="str">
        <f t="shared" si="287"/>
        <v/>
      </c>
    </row>
    <row r="6091" spans="10:12" ht="16.5" customHeight="1" x14ac:dyDescent="0.35">
      <c r="J6091" s="56" t="str">
        <f t="shared" si="285"/>
        <v/>
      </c>
      <c r="K6091" s="74" t="str">
        <f t="shared" si="286"/>
        <v/>
      </c>
      <c r="L6091" s="58" t="str">
        <f t="shared" si="287"/>
        <v/>
      </c>
    </row>
    <row r="6092" spans="10:12" ht="16.5" customHeight="1" x14ac:dyDescent="0.35">
      <c r="J6092" s="56" t="str">
        <f t="shared" si="285"/>
        <v/>
      </c>
      <c r="K6092" s="74" t="str">
        <f t="shared" si="286"/>
        <v/>
      </c>
      <c r="L6092" s="58" t="str">
        <f t="shared" si="287"/>
        <v/>
      </c>
    </row>
    <row r="6093" spans="10:12" ht="16.5" customHeight="1" x14ac:dyDescent="0.35">
      <c r="J6093" s="56" t="str">
        <f t="shared" si="285"/>
        <v/>
      </c>
      <c r="K6093" s="74" t="str">
        <f t="shared" si="286"/>
        <v/>
      </c>
      <c r="L6093" s="58" t="str">
        <f t="shared" si="287"/>
        <v/>
      </c>
    </row>
    <row r="6094" spans="10:12" ht="16.5" customHeight="1" x14ac:dyDescent="0.35">
      <c r="J6094" s="56" t="str">
        <f t="shared" si="285"/>
        <v/>
      </c>
      <c r="K6094" s="74" t="str">
        <f t="shared" si="286"/>
        <v/>
      </c>
      <c r="L6094" s="58" t="str">
        <f t="shared" si="287"/>
        <v/>
      </c>
    </row>
    <row r="6095" spans="10:12" ht="16.5" customHeight="1" x14ac:dyDescent="0.35">
      <c r="J6095" s="56" t="str">
        <f t="shared" si="285"/>
        <v/>
      </c>
      <c r="K6095" s="74" t="str">
        <f t="shared" si="286"/>
        <v/>
      </c>
      <c r="L6095" s="58" t="str">
        <f t="shared" si="287"/>
        <v/>
      </c>
    </row>
    <row r="6096" spans="10:12" ht="16.5" customHeight="1" x14ac:dyDescent="0.35">
      <c r="J6096" s="56" t="str">
        <f t="shared" si="285"/>
        <v/>
      </c>
      <c r="K6096" s="74" t="str">
        <f t="shared" si="286"/>
        <v/>
      </c>
      <c r="L6096" s="58" t="str">
        <f t="shared" si="287"/>
        <v/>
      </c>
    </row>
    <row r="6097" spans="10:12" ht="16.5" customHeight="1" x14ac:dyDescent="0.35">
      <c r="J6097" s="56" t="str">
        <f t="shared" si="285"/>
        <v/>
      </c>
      <c r="K6097" s="74" t="str">
        <f t="shared" si="286"/>
        <v/>
      </c>
      <c r="L6097" s="58" t="str">
        <f t="shared" si="287"/>
        <v/>
      </c>
    </row>
    <row r="6098" spans="10:12" ht="16.5" customHeight="1" x14ac:dyDescent="0.35">
      <c r="J6098" s="56" t="str">
        <f t="shared" si="285"/>
        <v/>
      </c>
      <c r="K6098" s="74" t="str">
        <f t="shared" si="286"/>
        <v/>
      </c>
      <c r="L6098" s="58" t="str">
        <f t="shared" si="287"/>
        <v/>
      </c>
    </row>
    <row r="6099" spans="10:12" ht="16.5" customHeight="1" x14ac:dyDescent="0.35">
      <c r="J6099" s="56" t="str">
        <f t="shared" si="285"/>
        <v/>
      </c>
      <c r="K6099" s="74" t="str">
        <f t="shared" si="286"/>
        <v/>
      </c>
      <c r="L6099" s="58" t="str">
        <f t="shared" si="287"/>
        <v/>
      </c>
    </row>
    <row r="6100" spans="10:12" ht="16.5" customHeight="1" x14ac:dyDescent="0.35">
      <c r="J6100" s="56" t="str">
        <f t="shared" si="285"/>
        <v/>
      </c>
      <c r="K6100" s="74" t="str">
        <f t="shared" si="286"/>
        <v/>
      </c>
      <c r="L6100" s="58" t="str">
        <f t="shared" si="287"/>
        <v/>
      </c>
    </row>
    <row r="6101" spans="10:12" ht="16.5" customHeight="1" x14ac:dyDescent="0.35">
      <c r="J6101" s="56" t="str">
        <f t="shared" si="285"/>
        <v/>
      </c>
      <c r="K6101" s="74" t="str">
        <f t="shared" si="286"/>
        <v/>
      </c>
      <c r="L6101" s="58" t="str">
        <f t="shared" si="287"/>
        <v/>
      </c>
    </row>
    <row r="6102" spans="10:12" ht="16.5" customHeight="1" x14ac:dyDescent="0.35">
      <c r="J6102" s="56" t="str">
        <f t="shared" si="285"/>
        <v/>
      </c>
      <c r="K6102" s="74" t="str">
        <f t="shared" si="286"/>
        <v/>
      </c>
      <c r="L6102" s="58" t="str">
        <f t="shared" si="287"/>
        <v/>
      </c>
    </row>
    <row r="6103" spans="10:12" ht="16.5" customHeight="1" x14ac:dyDescent="0.35">
      <c r="J6103" s="56" t="str">
        <f t="shared" si="285"/>
        <v/>
      </c>
      <c r="K6103" s="74" t="str">
        <f t="shared" si="286"/>
        <v/>
      </c>
      <c r="L6103" s="58" t="str">
        <f t="shared" si="287"/>
        <v/>
      </c>
    </row>
    <row r="6104" spans="10:12" ht="16.5" customHeight="1" x14ac:dyDescent="0.35">
      <c r="J6104" s="56" t="str">
        <f t="shared" si="285"/>
        <v/>
      </c>
      <c r="K6104" s="74" t="str">
        <f t="shared" si="286"/>
        <v/>
      </c>
      <c r="L6104" s="58" t="str">
        <f t="shared" si="287"/>
        <v/>
      </c>
    </row>
    <row r="6105" spans="10:12" ht="16.5" customHeight="1" x14ac:dyDescent="0.35">
      <c r="J6105" s="56" t="str">
        <f t="shared" si="285"/>
        <v/>
      </c>
      <c r="K6105" s="74" t="str">
        <f t="shared" si="286"/>
        <v/>
      </c>
      <c r="L6105" s="58" t="str">
        <f t="shared" si="287"/>
        <v/>
      </c>
    </row>
    <row r="6106" spans="10:12" ht="16.5" customHeight="1" x14ac:dyDescent="0.35">
      <c r="J6106" s="56" t="str">
        <f t="shared" si="285"/>
        <v/>
      </c>
      <c r="K6106" s="74" t="str">
        <f t="shared" si="286"/>
        <v/>
      </c>
      <c r="L6106" s="58" t="str">
        <f t="shared" si="287"/>
        <v/>
      </c>
    </row>
    <row r="6107" spans="10:12" ht="16.5" customHeight="1" x14ac:dyDescent="0.35">
      <c r="J6107" s="56" t="str">
        <f t="shared" si="285"/>
        <v/>
      </c>
      <c r="K6107" s="74" t="str">
        <f t="shared" si="286"/>
        <v/>
      </c>
      <c r="L6107" s="58" t="str">
        <f t="shared" si="287"/>
        <v/>
      </c>
    </row>
    <row r="6108" spans="10:12" ht="16.5" customHeight="1" x14ac:dyDescent="0.35">
      <c r="J6108" s="56" t="str">
        <f t="shared" si="285"/>
        <v/>
      </c>
      <c r="K6108" s="74" t="str">
        <f t="shared" si="286"/>
        <v/>
      </c>
      <c r="L6108" s="58" t="str">
        <f t="shared" si="287"/>
        <v/>
      </c>
    </row>
    <row r="6109" spans="10:12" ht="16.5" customHeight="1" x14ac:dyDescent="0.35">
      <c r="J6109" s="56" t="str">
        <f t="shared" si="285"/>
        <v/>
      </c>
      <c r="K6109" s="74" t="str">
        <f t="shared" si="286"/>
        <v/>
      </c>
      <c r="L6109" s="58" t="str">
        <f t="shared" si="287"/>
        <v/>
      </c>
    </row>
    <row r="6110" spans="10:12" ht="16.5" customHeight="1" x14ac:dyDescent="0.35">
      <c r="J6110" s="56" t="str">
        <f t="shared" si="285"/>
        <v/>
      </c>
      <c r="K6110" s="74" t="str">
        <f t="shared" si="286"/>
        <v/>
      </c>
      <c r="L6110" s="58" t="str">
        <f t="shared" si="287"/>
        <v/>
      </c>
    </row>
    <row r="6111" spans="10:12" ht="16.5" customHeight="1" x14ac:dyDescent="0.35">
      <c r="J6111" s="56" t="str">
        <f t="shared" si="285"/>
        <v/>
      </c>
      <c r="K6111" s="74" t="str">
        <f t="shared" si="286"/>
        <v/>
      </c>
      <c r="L6111" s="58" t="str">
        <f t="shared" si="287"/>
        <v/>
      </c>
    </row>
    <row r="6112" spans="10:12" ht="16.5" customHeight="1" x14ac:dyDescent="0.35">
      <c r="J6112" s="56" t="str">
        <f t="shared" si="285"/>
        <v/>
      </c>
      <c r="K6112" s="74" t="str">
        <f t="shared" si="286"/>
        <v/>
      </c>
      <c r="L6112" s="58" t="str">
        <f t="shared" si="287"/>
        <v/>
      </c>
    </row>
    <row r="6113" spans="10:12" ht="16.5" customHeight="1" x14ac:dyDescent="0.35">
      <c r="J6113" s="56" t="str">
        <f t="shared" si="285"/>
        <v/>
      </c>
      <c r="K6113" s="74" t="str">
        <f t="shared" si="286"/>
        <v/>
      </c>
      <c r="L6113" s="58" t="str">
        <f t="shared" si="287"/>
        <v/>
      </c>
    </row>
    <row r="6114" spans="10:12" ht="16.5" customHeight="1" x14ac:dyDescent="0.35">
      <c r="J6114" s="56" t="str">
        <f t="shared" si="285"/>
        <v/>
      </c>
      <c r="K6114" s="74" t="str">
        <f t="shared" si="286"/>
        <v/>
      </c>
      <c r="L6114" s="58" t="str">
        <f t="shared" si="287"/>
        <v/>
      </c>
    </row>
    <row r="6115" spans="10:12" ht="16.5" customHeight="1" x14ac:dyDescent="0.35">
      <c r="J6115" s="56" t="str">
        <f t="shared" si="285"/>
        <v/>
      </c>
      <c r="K6115" s="74" t="str">
        <f t="shared" si="286"/>
        <v/>
      </c>
      <c r="L6115" s="58" t="str">
        <f t="shared" si="287"/>
        <v/>
      </c>
    </row>
    <row r="6116" spans="10:12" ht="16.5" customHeight="1" x14ac:dyDescent="0.35">
      <c r="J6116" s="56" t="str">
        <f t="shared" si="285"/>
        <v/>
      </c>
      <c r="K6116" s="74" t="str">
        <f t="shared" si="286"/>
        <v/>
      </c>
      <c r="L6116" s="58" t="str">
        <f t="shared" si="287"/>
        <v/>
      </c>
    </row>
    <row r="6117" spans="10:12" ht="16.5" customHeight="1" x14ac:dyDescent="0.35">
      <c r="J6117" s="56" t="str">
        <f t="shared" si="285"/>
        <v/>
      </c>
      <c r="K6117" s="74" t="str">
        <f t="shared" si="286"/>
        <v/>
      </c>
      <c r="L6117" s="58" t="str">
        <f t="shared" si="287"/>
        <v/>
      </c>
    </row>
    <row r="6118" spans="10:12" ht="16.5" customHeight="1" x14ac:dyDescent="0.35">
      <c r="J6118" s="56" t="str">
        <f t="shared" si="285"/>
        <v/>
      </c>
      <c r="K6118" s="74" t="str">
        <f t="shared" si="286"/>
        <v/>
      </c>
      <c r="L6118" s="58" t="str">
        <f t="shared" si="287"/>
        <v/>
      </c>
    </row>
    <row r="6119" spans="10:12" ht="16.5" customHeight="1" x14ac:dyDescent="0.35">
      <c r="J6119" s="56" t="str">
        <f t="shared" si="285"/>
        <v/>
      </c>
      <c r="K6119" s="74" t="str">
        <f t="shared" si="286"/>
        <v/>
      </c>
      <c r="L6119" s="58" t="str">
        <f t="shared" si="287"/>
        <v/>
      </c>
    </row>
    <row r="6120" spans="10:12" ht="16.5" customHeight="1" x14ac:dyDescent="0.35">
      <c r="J6120" s="56" t="str">
        <f t="shared" si="285"/>
        <v/>
      </c>
      <c r="K6120" s="74" t="str">
        <f t="shared" si="286"/>
        <v/>
      </c>
      <c r="L6120" s="58" t="str">
        <f t="shared" si="287"/>
        <v/>
      </c>
    </row>
    <row r="6121" spans="10:12" ht="16.5" customHeight="1" x14ac:dyDescent="0.35">
      <c r="J6121" s="56" t="str">
        <f t="shared" si="285"/>
        <v/>
      </c>
      <c r="K6121" s="74" t="str">
        <f t="shared" si="286"/>
        <v/>
      </c>
      <c r="L6121" s="58" t="str">
        <f t="shared" si="287"/>
        <v/>
      </c>
    </row>
    <row r="6122" spans="10:12" ht="16.5" customHeight="1" x14ac:dyDescent="0.35">
      <c r="J6122" s="56" t="str">
        <f t="shared" si="285"/>
        <v/>
      </c>
      <c r="K6122" s="74" t="str">
        <f t="shared" si="286"/>
        <v/>
      </c>
      <c r="L6122" s="58" t="str">
        <f t="shared" si="287"/>
        <v/>
      </c>
    </row>
    <row r="6123" spans="10:12" ht="16.5" customHeight="1" x14ac:dyDescent="0.35">
      <c r="J6123" s="56" t="str">
        <f t="shared" si="285"/>
        <v/>
      </c>
      <c r="K6123" s="74" t="str">
        <f t="shared" si="286"/>
        <v/>
      </c>
      <c r="L6123" s="58" t="str">
        <f t="shared" si="287"/>
        <v/>
      </c>
    </row>
    <row r="6124" spans="10:12" ht="16.5" customHeight="1" x14ac:dyDescent="0.35">
      <c r="J6124" s="56" t="str">
        <f t="shared" si="285"/>
        <v/>
      </c>
      <c r="K6124" s="74" t="str">
        <f t="shared" si="286"/>
        <v/>
      </c>
      <c r="L6124" s="58" t="str">
        <f t="shared" si="287"/>
        <v/>
      </c>
    </row>
    <row r="6125" spans="10:12" ht="16.5" customHeight="1" x14ac:dyDescent="0.35">
      <c r="J6125" s="56" t="str">
        <f t="shared" si="285"/>
        <v/>
      </c>
      <c r="K6125" s="74" t="str">
        <f t="shared" si="286"/>
        <v/>
      </c>
      <c r="L6125" s="58" t="str">
        <f t="shared" si="287"/>
        <v/>
      </c>
    </row>
    <row r="6126" spans="10:12" ht="16.5" customHeight="1" x14ac:dyDescent="0.35">
      <c r="J6126" s="56" t="str">
        <f t="shared" si="285"/>
        <v/>
      </c>
      <c r="K6126" s="74" t="str">
        <f t="shared" si="286"/>
        <v/>
      </c>
      <c r="L6126" s="58" t="str">
        <f t="shared" si="287"/>
        <v/>
      </c>
    </row>
    <row r="6127" spans="10:12" ht="16.5" customHeight="1" x14ac:dyDescent="0.35">
      <c r="J6127" s="56" t="str">
        <f t="shared" si="285"/>
        <v/>
      </c>
      <c r="K6127" s="74" t="str">
        <f t="shared" si="286"/>
        <v/>
      </c>
      <c r="L6127" s="58" t="str">
        <f t="shared" si="287"/>
        <v/>
      </c>
    </row>
    <row r="6128" spans="10:12" ht="16.5" customHeight="1" x14ac:dyDescent="0.35">
      <c r="J6128" s="56" t="str">
        <f t="shared" si="285"/>
        <v/>
      </c>
      <c r="K6128" s="74" t="str">
        <f t="shared" si="286"/>
        <v/>
      </c>
      <c r="L6128" s="58" t="str">
        <f t="shared" si="287"/>
        <v/>
      </c>
    </row>
    <row r="6129" spans="10:12" ht="16.5" customHeight="1" x14ac:dyDescent="0.35">
      <c r="J6129" s="56" t="str">
        <f t="shared" si="285"/>
        <v/>
      </c>
      <c r="K6129" s="74" t="str">
        <f t="shared" si="286"/>
        <v/>
      </c>
      <c r="L6129" s="58" t="str">
        <f t="shared" si="287"/>
        <v/>
      </c>
    </row>
    <row r="6130" spans="10:12" ht="16.5" customHeight="1" x14ac:dyDescent="0.35">
      <c r="J6130" s="56" t="str">
        <f t="shared" si="285"/>
        <v/>
      </c>
      <c r="K6130" s="74" t="str">
        <f t="shared" si="286"/>
        <v/>
      </c>
      <c r="L6130" s="58" t="str">
        <f t="shared" si="287"/>
        <v/>
      </c>
    </row>
    <row r="6131" spans="10:12" ht="16.5" customHeight="1" x14ac:dyDescent="0.35">
      <c r="J6131" s="56" t="str">
        <f t="shared" si="285"/>
        <v/>
      </c>
      <c r="K6131" s="74" t="str">
        <f t="shared" si="286"/>
        <v/>
      </c>
      <c r="L6131" s="58" t="str">
        <f t="shared" si="287"/>
        <v/>
      </c>
    </row>
    <row r="6132" spans="10:12" ht="16.5" customHeight="1" x14ac:dyDescent="0.35">
      <c r="J6132" s="56" t="str">
        <f t="shared" si="285"/>
        <v/>
      </c>
      <c r="K6132" s="74" t="str">
        <f t="shared" si="286"/>
        <v/>
      </c>
      <c r="L6132" s="58" t="str">
        <f t="shared" si="287"/>
        <v/>
      </c>
    </row>
    <row r="6133" spans="10:12" ht="16.5" customHeight="1" x14ac:dyDescent="0.35">
      <c r="J6133" s="56" t="str">
        <f t="shared" si="285"/>
        <v/>
      </c>
      <c r="K6133" s="74" t="str">
        <f t="shared" si="286"/>
        <v/>
      </c>
      <c r="L6133" s="58" t="str">
        <f t="shared" si="287"/>
        <v/>
      </c>
    </row>
    <row r="6134" spans="10:12" ht="16.5" customHeight="1" x14ac:dyDescent="0.35">
      <c r="J6134" s="56" t="str">
        <f t="shared" si="285"/>
        <v/>
      </c>
      <c r="K6134" s="74" t="str">
        <f t="shared" si="286"/>
        <v/>
      </c>
      <c r="L6134" s="58" t="str">
        <f t="shared" si="287"/>
        <v/>
      </c>
    </row>
    <row r="6135" spans="10:12" ht="16.5" customHeight="1" x14ac:dyDescent="0.35">
      <c r="J6135" s="56" t="str">
        <f t="shared" si="285"/>
        <v/>
      </c>
      <c r="K6135" s="74" t="str">
        <f t="shared" si="286"/>
        <v/>
      </c>
      <c r="L6135" s="58" t="str">
        <f t="shared" si="287"/>
        <v/>
      </c>
    </row>
    <row r="6136" spans="10:12" ht="16.5" customHeight="1" x14ac:dyDescent="0.35">
      <c r="J6136" s="56" t="str">
        <f t="shared" si="285"/>
        <v/>
      </c>
      <c r="K6136" s="74" t="str">
        <f t="shared" si="286"/>
        <v/>
      </c>
      <c r="L6136" s="58" t="str">
        <f t="shared" si="287"/>
        <v/>
      </c>
    </row>
    <row r="6137" spans="10:12" ht="16.5" customHeight="1" x14ac:dyDescent="0.35">
      <c r="J6137" s="56" t="str">
        <f t="shared" si="285"/>
        <v/>
      </c>
      <c r="K6137" s="74" t="str">
        <f t="shared" si="286"/>
        <v/>
      </c>
      <c r="L6137" s="58" t="str">
        <f t="shared" si="287"/>
        <v/>
      </c>
    </row>
    <row r="6138" spans="10:12" ht="16.5" customHeight="1" x14ac:dyDescent="0.35">
      <c r="J6138" s="56" t="str">
        <f t="shared" si="285"/>
        <v/>
      </c>
      <c r="K6138" s="74" t="str">
        <f t="shared" si="286"/>
        <v/>
      </c>
      <c r="L6138" s="58" t="str">
        <f t="shared" si="287"/>
        <v/>
      </c>
    </row>
    <row r="6139" spans="10:12" ht="16.5" customHeight="1" x14ac:dyDescent="0.35">
      <c r="J6139" s="56" t="str">
        <f t="shared" si="285"/>
        <v/>
      </c>
      <c r="K6139" s="74" t="str">
        <f t="shared" si="286"/>
        <v/>
      </c>
      <c r="L6139" s="58" t="str">
        <f t="shared" si="287"/>
        <v/>
      </c>
    </row>
    <row r="6140" spans="10:12" ht="16.5" customHeight="1" x14ac:dyDescent="0.35">
      <c r="J6140" s="56" t="str">
        <f t="shared" si="285"/>
        <v/>
      </c>
      <c r="K6140" s="74" t="str">
        <f t="shared" si="286"/>
        <v/>
      </c>
      <c r="L6140" s="58" t="str">
        <f t="shared" si="287"/>
        <v/>
      </c>
    </row>
    <row r="6141" spans="10:12" ht="16.5" customHeight="1" x14ac:dyDescent="0.35">
      <c r="J6141" s="56" t="str">
        <f t="shared" si="285"/>
        <v/>
      </c>
      <c r="K6141" s="74" t="str">
        <f t="shared" si="286"/>
        <v/>
      </c>
      <c r="L6141" s="58" t="str">
        <f t="shared" si="287"/>
        <v/>
      </c>
    </row>
    <row r="6142" spans="10:12" ht="16.5" customHeight="1" x14ac:dyDescent="0.35">
      <c r="J6142" s="56" t="str">
        <f t="shared" si="285"/>
        <v/>
      </c>
      <c r="K6142" s="74" t="str">
        <f t="shared" si="286"/>
        <v/>
      </c>
      <c r="L6142" s="58" t="str">
        <f t="shared" si="287"/>
        <v/>
      </c>
    </row>
    <row r="6143" spans="10:12" ht="16.5" customHeight="1" x14ac:dyDescent="0.35">
      <c r="J6143" s="56" t="str">
        <f t="shared" si="285"/>
        <v/>
      </c>
      <c r="K6143" s="74" t="str">
        <f t="shared" si="286"/>
        <v/>
      </c>
      <c r="L6143" s="58" t="str">
        <f t="shared" si="287"/>
        <v/>
      </c>
    </row>
    <row r="6144" spans="10:12" ht="16.5" customHeight="1" x14ac:dyDescent="0.35">
      <c r="J6144" s="56" t="str">
        <f t="shared" si="285"/>
        <v/>
      </c>
      <c r="K6144" s="74" t="str">
        <f t="shared" si="286"/>
        <v/>
      </c>
      <c r="L6144" s="58" t="str">
        <f t="shared" si="287"/>
        <v/>
      </c>
    </row>
    <row r="6145" spans="10:12" ht="16.5" customHeight="1" x14ac:dyDescent="0.35">
      <c r="J6145" s="56" t="str">
        <f t="shared" si="285"/>
        <v/>
      </c>
      <c r="K6145" s="74" t="str">
        <f t="shared" si="286"/>
        <v/>
      </c>
      <c r="L6145" s="58" t="str">
        <f t="shared" si="287"/>
        <v/>
      </c>
    </row>
    <row r="6146" spans="10:12" ht="16.5" customHeight="1" x14ac:dyDescent="0.35">
      <c r="J6146" s="56" t="str">
        <f t="shared" si="285"/>
        <v/>
      </c>
      <c r="K6146" s="74" t="str">
        <f t="shared" si="286"/>
        <v/>
      </c>
      <c r="L6146" s="58" t="str">
        <f t="shared" si="287"/>
        <v/>
      </c>
    </row>
    <row r="6147" spans="10:12" ht="16.5" customHeight="1" x14ac:dyDescent="0.35">
      <c r="J6147" s="56" t="str">
        <f t="shared" si="285"/>
        <v/>
      </c>
      <c r="K6147" s="74" t="str">
        <f t="shared" si="286"/>
        <v/>
      </c>
      <c r="L6147" s="58" t="str">
        <f t="shared" si="287"/>
        <v/>
      </c>
    </row>
    <row r="6148" spans="10:12" ht="16.5" customHeight="1" x14ac:dyDescent="0.35">
      <c r="J6148" s="56" t="str">
        <f t="shared" si="285"/>
        <v/>
      </c>
      <c r="K6148" s="74" t="str">
        <f t="shared" si="286"/>
        <v/>
      </c>
      <c r="L6148" s="58" t="str">
        <f t="shared" si="287"/>
        <v/>
      </c>
    </row>
    <row r="6149" spans="10:12" ht="16.5" customHeight="1" x14ac:dyDescent="0.35">
      <c r="J6149" s="56" t="str">
        <f t="shared" si="285"/>
        <v/>
      </c>
      <c r="K6149" s="74" t="str">
        <f t="shared" si="286"/>
        <v/>
      </c>
      <c r="L6149" s="58" t="str">
        <f t="shared" si="287"/>
        <v/>
      </c>
    </row>
    <row r="6150" spans="10:12" ht="16.5" customHeight="1" x14ac:dyDescent="0.35">
      <c r="J6150" s="56" t="str">
        <f t="shared" si="285"/>
        <v/>
      </c>
      <c r="K6150" s="74" t="str">
        <f t="shared" si="286"/>
        <v/>
      </c>
      <c r="L6150" s="58" t="str">
        <f t="shared" si="287"/>
        <v/>
      </c>
    </row>
    <row r="6151" spans="10:12" ht="16.5" customHeight="1" x14ac:dyDescent="0.35">
      <c r="J6151" s="56" t="str">
        <f t="shared" si="285"/>
        <v/>
      </c>
      <c r="K6151" s="74" t="str">
        <f t="shared" si="286"/>
        <v/>
      </c>
      <c r="L6151" s="58" t="str">
        <f t="shared" si="287"/>
        <v/>
      </c>
    </row>
    <row r="6152" spans="10:12" ht="16.5" customHeight="1" x14ac:dyDescent="0.35">
      <c r="J6152" s="56" t="str">
        <f t="shared" si="285"/>
        <v/>
      </c>
      <c r="K6152" s="74" t="str">
        <f t="shared" si="286"/>
        <v/>
      </c>
      <c r="L6152" s="58" t="str">
        <f t="shared" si="287"/>
        <v/>
      </c>
    </row>
    <row r="6153" spans="10:12" ht="16.5" customHeight="1" x14ac:dyDescent="0.35">
      <c r="J6153" s="56" t="str">
        <f t="shared" ref="J6153:J6216" si="288">IF(A6153="","",A$5-A6153)</f>
        <v/>
      </c>
      <c r="K6153" s="74" t="str">
        <f t="shared" ref="K6153:K6216" si="289">IF(J6153="","",IF(J6153&lt;4,"0-3 Days",IF(J6153&lt;31,"4-30 Days",IF(J6153&lt;61,"31-60 Days",IF(J6153&lt;=90,"61-90 Days",IF(J6153&gt;90,"Above 90 Days","0"))))))</f>
        <v/>
      </c>
      <c r="L6153" s="58" t="str">
        <f t="shared" ref="L6153:L6216" si="290">IF(C6153="","",IF(C6153&gt;0,IF(J6153&lt;30,"Normal",IF(J6153&lt;60,"Especially Mentioned",IF(J6153&lt;90,"Substandard",IF(J6153&lt;=180,"Doubtful",IF(J6153&gt;180,"Loss","0"))))),"Not Applicable"))</f>
        <v/>
      </c>
    </row>
    <row r="6154" spans="10:12" ht="16.5" customHeight="1" x14ac:dyDescent="0.35">
      <c r="J6154" s="56" t="str">
        <f t="shared" si="288"/>
        <v/>
      </c>
      <c r="K6154" s="74" t="str">
        <f t="shared" si="289"/>
        <v/>
      </c>
      <c r="L6154" s="58" t="str">
        <f t="shared" si="290"/>
        <v/>
      </c>
    </row>
    <row r="6155" spans="10:12" ht="16.5" customHeight="1" x14ac:dyDescent="0.35">
      <c r="J6155" s="56" t="str">
        <f t="shared" si="288"/>
        <v/>
      </c>
      <c r="K6155" s="74" t="str">
        <f t="shared" si="289"/>
        <v/>
      </c>
      <c r="L6155" s="58" t="str">
        <f t="shared" si="290"/>
        <v/>
      </c>
    </row>
    <row r="6156" spans="10:12" ht="16.5" customHeight="1" x14ac:dyDescent="0.35">
      <c r="J6156" s="56" t="str">
        <f t="shared" si="288"/>
        <v/>
      </c>
      <c r="K6156" s="74" t="str">
        <f t="shared" si="289"/>
        <v/>
      </c>
      <c r="L6156" s="58" t="str">
        <f t="shared" si="290"/>
        <v/>
      </c>
    </row>
    <row r="6157" spans="10:12" ht="16.5" customHeight="1" x14ac:dyDescent="0.35">
      <c r="J6157" s="56" t="str">
        <f t="shared" si="288"/>
        <v/>
      </c>
      <c r="K6157" s="74" t="str">
        <f t="shared" si="289"/>
        <v/>
      </c>
      <c r="L6157" s="58" t="str">
        <f t="shared" si="290"/>
        <v/>
      </c>
    </row>
    <row r="6158" spans="10:12" ht="16.5" customHeight="1" x14ac:dyDescent="0.35">
      <c r="J6158" s="56" t="str">
        <f t="shared" si="288"/>
        <v/>
      </c>
      <c r="K6158" s="74" t="str">
        <f t="shared" si="289"/>
        <v/>
      </c>
      <c r="L6158" s="58" t="str">
        <f t="shared" si="290"/>
        <v/>
      </c>
    </row>
    <row r="6159" spans="10:12" ht="16.5" customHeight="1" x14ac:dyDescent="0.35">
      <c r="J6159" s="56" t="str">
        <f t="shared" si="288"/>
        <v/>
      </c>
      <c r="K6159" s="74" t="str">
        <f t="shared" si="289"/>
        <v/>
      </c>
      <c r="L6159" s="58" t="str">
        <f t="shared" si="290"/>
        <v/>
      </c>
    </row>
    <row r="6160" spans="10:12" ht="16.5" customHeight="1" x14ac:dyDescent="0.35">
      <c r="J6160" s="56" t="str">
        <f t="shared" si="288"/>
        <v/>
      </c>
      <c r="K6160" s="74" t="str">
        <f t="shared" si="289"/>
        <v/>
      </c>
      <c r="L6160" s="58" t="str">
        <f t="shared" si="290"/>
        <v/>
      </c>
    </row>
    <row r="6161" spans="10:12" ht="16.5" customHeight="1" x14ac:dyDescent="0.35">
      <c r="J6161" s="56" t="str">
        <f t="shared" si="288"/>
        <v/>
      </c>
      <c r="K6161" s="74" t="str">
        <f t="shared" si="289"/>
        <v/>
      </c>
      <c r="L6161" s="58" t="str">
        <f t="shared" si="290"/>
        <v/>
      </c>
    </row>
    <row r="6162" spans="10:12" ht="16.5" customHeight="1" x14ac:dyDescent="0.35">
      <c r="J6162" s="56" t="str">
        <f t="shared" si="288"/>
        <v/>
      </c>
      <c r="K6162" s="74" t="str">
        <f t="shared" si="289"/>
        <v/>
      </c>
      <c r="L6162" s="58" t="str">
        <f t="shared" si="290"/>
        <v/>
      </c>
    </row>
    <row r="6163" spans="10:12" ht="16.5" customHeight="1" x14ac:dyDescent="0.35">
      <c r="J6163" s="56" t="str">
        <f t="shared" si="288"/>
        <v/>
      </c>
      <c r="K6163" s="74" t="str">
        <f t="shared" si="289"/>
        <v/>
      </c>
      <c r="L6163" s="58" t="str">
        <f t="shared" si="290"/>
        <v/>
      </c>
    </row>
    <row r="6164" spans="10:12" ht="16.5" customHeight="1" x14ac:dyDescent="0.35">
      <c r="J6164" s="56" t="str">
        <f t="shared" si="288"/>
        <v/>
      </c>
      <c r="K6164" s="74" t="str">
        <f t="shared" si="289"/>
        <v/>
      </c>
      <c r="L6164" s="58" t="str">
        <f t="shared" si="290"/>
        <v/>
      </c>
    </row>
    <row r="6165" spans="10:12" ht="16.5" customHeight="1" x14ac:dyDescent="0.35">
      <c r="J6165" s="56" t="str">
        <f t="shared" si="288"/>
        <v/>
      </c>
      <c r="K6165" s="74" t="str">
        <f t="shared" si="289"/>
        <v/>
      </c>
      <c r="L6165" s="58" t="str">
        <f t="shared" si="290"/>
        <v/>
      </c>
    </row>
    <row r="6166" spans="10:12" ht="16.5" customHeight="1" x14ac:dyDescent="0.35">
      <c r="J6166" s="56" t="str">
        <f t="shared" si="288"/>
        <v/>
      </c>
      <c r="K6166" s="74" t="str">
        <f t="shared" si="289"/>
        <v/>
      </c>
      <c r="L6166" s="58" t="str">
        <f t="shared" si="290"/>
        <v/>
      </c>
    </row>
    <row r="6167" spans="10:12" ht="16.5" customHeight="1" x14ac:dyDescent="0.35">
      <c r="J6167" s="56" t="str">
        <f t="shared" si="288"/>
        <v/>
      </c>
      <c r="K6167" s="74" t="str">
        <f t="shared" si="289"/>
        <v/>
      </c>
      <c r="L6167" s="58" t="str">
        <f t="shared" si="290"/>
        <v/>
      </c>
    </row>
    <row r="6168" spans="10:12" ht="16.5" customHeight="1" x14ac:dyDescent="0.35">
      <c r="J6168" s="56" t="str">
        <f t="shared" si="288"/>
        <v/>
      </c>
      <c r="K6168" s="74" t="str">
        <f t="shared" si="289"/>
        <v/>
      </c>
      <c r="L6168" s="58" t="str">
        <f t="shared" si="290"/>
        <v/>
      </c>
    </row>
    <row r="6169" spans="10:12" ht="16.5" customHeight="1" x14ac:dyDescent="0.35">
      <c r="J6169" s="56" t="str">
        <f t="shared" si="288"/>
        <v/>
      </c>
      <c r="K6169" s="74" t="str">
        <f t="shared" si="289"/>
        <v/>
      </c>
      <c r="L6169" s="58" t="str">
        <f t="shared" si="290"/>
        <v/>
      </c>
    </row>
    <row r="6170" spans="10:12" ht="16.5" customHeight="1" x14ac:dyDescent="0.35">
      <c r="J6170" s="56" t="str">
        <f t="shared" si="288"/>
        <v/>
      </c>
      <c r="K6170" s="74" t="str">
        <f t="shared" si="289"/>
        <v/>
      </c>
      <c r="L6170" s="58" t="str">
        <f t="shared" si="290"/>
        <v/>
      </c>
    </row>
    <row r="6171" spans="10:12" ht="16.5" customHeight="1" x14ac:dyDescent="0.35">
      <c r="J6171" s="56" t="str">
        <f t="shared" si="288"/>
        <v/>
      </c>
      <c r="K6171" s="74" t="str">
        <f t="shared" si="289"/>
        <v/>
      </c>
      <c r="L6171" s="58" t="str">
        <f t="shared" si="290"/>
        <v/>
      </c>
    </row>
    <row r="6172" spans="10:12" ht="16.5" customHeight="1" x14ac:dyDescent="0.35">
      <c r="J6172" s="56" t="str">
        <f t="shared" si="288"/>
        <v/>
      </c>
      <c r="K6172" s="74" t="str">
        <f t="shared" si="289"/>
        <v/>
      </c>
      <c r="L6172" s="58" t="str">
        <f t="shared" si="290"/>
        <v/>
      </c>
    </row>
    <row r="6173" spans="10:12" ht="16.5" customHeight="1" x14ac:dyDescent="0.35">
      <c r="J6173" s="56" t="str">
        <f t="shared" si="288"/>
        <v/>
      </c>
      <c r="K6173" s="74" t="str">
        <f t="shared" si="289"/>
        <v/>
      </c>
      <c r="L6173" s="58" t="str">
        <f t="shared" si="290"/>
        <v/>
      </c>
    </row>
    <row r="6174" spans="10:12" ht="16.5" customHeight="1" x14ac:dyDescent="0.35">
      <c r="J6174" s="56" t="str">
        <f t="shared" si="288"/>
        <v/>
      </c>
      <c r="K6174" s="74" t="str">
        <f t="shared" si="289"/>
        <v/>
      </c>
      <c r="L6174" s="58" t="str">
        <f t="shared" si="290"/>
        <v/>
      </c>
    </row>
    <row r="6175" spans="10:12" ht="16.5" customHeight="1" x14ac:dyDescent="0.35">
      <c r="J6175" s="56" t="str">
        <f t="shared" si="288"/>
        <v/>
      </c>
      <c r="K6175" s="74" t="str">
        <f t="shared" si="289"/>
        <v/>
      </c>
      <c r="L6175" s="58" t="str">
        <f t="shared" si="290"/>
        <v/>
      </c>
    </row>
    <row r="6176" spans="10:12" ht="16.5" customHeight="1" x14ac:dyDescent="0.35">
      <c r="J6176" s="56" t="str">
        <f t="shared" si="288"/>
        <v/>
      </c>
      <c r="K6176" s="74" t="str">
        <f t="shared" si="289"/>
        <v/>
      </c>
      <c r="L6176" s="58" t="str">
        <f t="shared" si="290"/>
        <v/>
      </c>
    </row>
    <row r="6177" spans="10:12" ht="16.5" customHeight="1" x14ac:dyDescent="0.35">
      <c r="J6177" s="56" t="str">
        <f t="shared" si="288"/>
        <v/>
      </c>
      <c r="K6177" s="74" t="str">
        <f t="shared" si="289"/>
        <v/>
      </c>
      <c r="L6177" s="58" t="str">
        <f t="shared" si="290"/>
        <v/>
      </c>
    </row>
    <row r="6178" spans="10:12" ht="16.5" customHeight="1" x14ac:dyDescent="0.35">
      <c r="J6178" s="56" t="str">
        <f t="shared" si="288"/>
        <v/>
      </c>
      <c r="K6178" s="74" t="str">
        <f t="shared" si="289"/>
        <v/>
      </c>
      <c r="L6178" s="58" t="str">
        <f t="shared" si="290"/>
        <v/>
      </c>
    </row>
    <row r="6179" spans="10:12" ht="16.5" customHeight="1" x14ac:dyDescent="0.35">
      <c r="J6179" s="56" t="str">
        <f t="shared" si="288"/>
        <v/>
      </c>
      <c r="K6179" s="74" t="str">
        <f t="shared" si="289"/>
        <v/>
      </c>
      <c r="L6179" s="58" t="str">
        <f t="shared" si="290"/>
        <v/>
      </c>
    </row>
    <row r="6180" spans="10:12" ht="16.5" customHeight="1" x14ac:dyDescent="0.35">
      <c r="J6180" s="56" t="str">
        <f t="shared" si="288"/>
        <v/>
      </c>
      <c r="K6180" s="74" t="str">
        <f t="shared" si="289"/>
        <v/>
      </c>
      <c r="L6180" s="58" t="str">
        <f t="shared" si="290"/>
        <v/>
      </c>
    </row>
    <row r="6181" spans="10:12" ht="16.5" customHeight="1" x14ac:dyDescent="0.35">
      <c r="J6181" s="56" t="str">
        <f t="shared" si="288"/>
        <v/>
      </c>
      <c r="K6181" s="74" t="str">
        <f t="shared" si="289"/>
        <v/>
      </c>
      <c r="L6181" s="58" t="str">
        <f t="shared" si="290"/>
        <v/>
      </c>
    </row>
    <row r="6182" spans="10:12" ht="16.5" customHeight="1" x14ac:dyDescent="0.35">
      <c r="J6182" s="56" t="str">
        <f t="shared" si="288"/>
        <v/>
      </c>
      <c r="K6182" s="74" t="str">
        <f t="shared" si="289"/>
        <v/>
      </c>
      <c r="L6182" s="58" t="str">
        <f t="shared" si="290"/>
        <v/>
      </c>
    </row>
    <row r="6183" spans="10:12" ht="16.5" customHeight="1" x14ac:dyDescent="0.35">
      <c r="J6183" s="56" t="str">
        <f t="shared" si="288"/>
        <v/>
      </c>
      <c r="K6183" s="74" t="str">
        <f t="shared" si="289"/>
        <v/>
      </c>
      <c r="L6183" s="58" t="str">
        <f t="shared" si="290"/>
        <v/>
      </c>
    </row>
    <row r="6184" spans="10:12" ht="16.5" customHeight="1" x14ac:dyDescent="0.35">
      <c r="J6184" s="56" t="str">
        <f t="shared" si="288"/>
        <v/>
      </c>
      <c r="K6184" s="74" t="str">
        <f t="shared" si="289"/>
        <v/>
      </c>
      <c r="L6184" s="58" t="str">
        <f t="shared" si="290"/>
        <v/>
      </c>
    </row>
    <row r="6185" spans="10:12" ht="16.5" customHeight="1" x14ac:dyDescent="0.35">
      <c r="J6185" s="56" t="str">
        <f t="shared" si="288"/>
        <v/>
      </c>
      <c r="K6185" s="74" t="str">
        <f t="shared" si="289"/>
        <v/>
      </c>
      <c r="L6185" s="58" t="str">
        <f t="shared" si="290"/>
        <v/>
      </c>
    </row>
    <row r="6186" spans="10:12" ht="16.5" customHeight="1" x14ac:dyDescent="0.35">
      <c r="J6186" s="56" t="str">
        <f t="shared" si="288"/>
        <v/>
      </c>
      <c r="K6186" s="74" t="str">
        <f t="shared" si="289"/>
        <v/>
      </c>
      <c r="L6186" s="58" t="str">
        <f t="shared" si="290"/>
        <v/>
      </c>
    </row>
    <row r="6187" spans="10:12" ht="16.5" customHeight="1" x14ac:dyDescent="0.35">
      <c r="J6187" s="56" t="str">
        <f t="shared" si="288"/>
        <v/>
      </c>
      <c r="K6187" s="74" t="str">
        <f t="shared" si="289"/>
        <v/>
      </c>
      <c r="L6187" s="58" t="str">
        <f t="shared" si="290"/>
        <v/>
      </c>
    </row>
    <row r="6188" spans="10:12" ht="16.5" customHeight="1" x14ac:dyDescent="0.35">
      <c r="J6188" s="56" t="str">
        <f t="shared" si="288"/>
        <v/>
      </c>
      <c r="K6188" s="74" t="str">
        <f t="shared" si="289"/>
        <v/>
      </c>
      <c r="L6188" s="58" t="str">
        <f t="shared" si="290"/>
        <v/>
      </c>
    </row>
    <row r="6189" spans="10:12" ht="16.5" customHeight="1" x14ac:dyDescent="0.35">
      <c r="J6189" s="56" t="str">
        <f t="shared" si="288"/>
        <v/>
      </c>
      <c r="K6189" s="74" t="str">
        <f t="shared" si="289"/>
        <v/>
      </c>
      <c r="L6189" s="58" t="str">
        <f t="shared" si="290"/>
        <v/>
      </c>
    </row>
    <row r="6190" spans="10:12" ht="16.5" customHeight="1" x14ac:dyDescent="0.35">
      <c r="J6190" s="56" t="str">
        <f t="shared" si="288"/>
        <v/>
      </c>
      <c r="K6190" s="74" t="str">
        <f t="shared" si="289"/>
        <v/>
      </c>
      <c r="L6190" s="58" t="str">
        <f t="shared" si="290"/>
        <v/>
      </c>
    </row>
    <row r="6191" spans="10:12" ht="16.5" customHeight="1" x14ac:dyDescent="0.35">
      <c r="J6191" s="56" t="str">
        <f t="shared" si="288"/>
        <v/>
      </c>
      <c r="K6191" s="74" t="str">
        <f t="shared" si="289"/>
        <v/>
      </c>
      <c r="L6191" s="58" t="str">
        <f t="shared" si="290"/>
        <v/>
      </c>
    </row>
    <row r="6192" spans="10:12" ht="16.5" customHeight="1" x14ac:dyDescent="0.35">
      <c r="J6192" s="56" t="str">
        <f t="shared" si="288"/>
        <v/>
      </c>
      <c r="K6192" s="74" t="str">
        <f t="shared" si="289"/>
        <v/>
      </c>
      <c r="L6192" s="58" t="str">
        <f t="shared" si="290"/>
        <v/>
      </c>
    </row>
    <row r="6193" spans="10:12" ht="16.5" customHeight="1" x14ac:dyDescent="0.35">
      <c r="J6193" s="56" t="str">
        <f t="shared" si="288"/>
        <v/>
      </c>
      <c r="K6193" s="74" t="str">
        <f t="shared" si="289"/>
        <v/>
      </c>
      <c r="L6193" s="58" t="str">
        <f t="shared" si="290"/>
        <v/>
      </c>
    </row>
    <row r="6194" spans="10:12" ht="16.5" customHeight="1" x14ac:dyDescent="0.35">
      <c r="J6194" s="56" t="str">
        <f t="shared" si="288"/>
        <v/>
      </c>
      <c r="K6194" s="74" t="str">
        <f t="shared" si="289"/>
        <v/>
      </c>
      <c r="L6194" s="58" t="str">
        <f t="shared" si="290"/>
        <v/>
      </c>
    </row>
    <row r="6195" spans="10:12" ht="16.5" customHeight="1" x14ac:dyDescent="0.35">
      <c r="J6195" s="56" t="str">
        <f t="shared" si="288"/>
        <v/>
      </c>
      <c r="K6195" s="74" t="str">
        <f t="shared" si="289"/>
        <v/>
      </c>
      <c r="L6195" s="58" t="str">
        <f t="shared" si="290"/>
        <v/>
      </c>
    </row>
    <row r="6196" spans="10:12" ht="16.5" customHeight="1" x14ac:dyDescent="0.35">
      <c r="J6196" s="56" t="str">
        <f t="shared" si="288"/>
        <v/>
      </c>
      <c r="K6196" s="74" t="str">
        <f t="shared" si="289"/>
        <v/>
      </c>
      <c r="L6196" s="58" t="str">
        <f t="shared" si="290"/>
        <v/>
      </c>
    </row>
    <row r="6197" spans="10:12" ht="16.5" customHeight="1" x14ac:dyDescent="0.35">
      <c r="J6197" s="56" t="str">
        <f t="shared" si="288"/>
        <v/>
      </c>
      <c r="K6197" s="74" t="str">
        <f t="shared" si="289"/>
        <v/>
      </c>
      <c r="L6197" s="58" t="str">
        <f t="shared" si="290"/>
        <v/>
      </c>
    </row>
    <row r="6198" spans="10:12" ht="16.5" customHeight="1" x14ac:dyDescent="0.35">
      <c r="J6198" s="56" t="str">
        <f t="shared" si="288"/>
        <v/>
      </c>
      <c r="K6198" s="74" t="str">
        <f t="shared" si="289"/>
        <v/>
      </c>
      <c r="L6198" s="58" t="str">
        <f t="shared" si="290"/>
        <v/>
      </c>
    </row>
    <row r="6199" spans="10:12" ht="16.5" customHeight="1" x14ac:dyDescent="0.35">
      <c r="J6199" s="56" t="str">
        <f t="shared" si="288"/>
        <v/>
      </c>
      <c r="K6199" s="74" t="str">
        <f t="shared" si="289"/>
        <v/>
      </c>
      <c r="L6199" s="58" t="str">
        <f t="shared" si="290"/>
        <v/>
      </c>
    </row>
    <row r="6200" spans="10:12" ht="16.5" customHeight="1" x14ac:dyDescent="0.35">
      <c r="J6200" s="56" t="str">
        <f t="shared" si="288"/>
        <v/>
      </c>
      <c r="K6200" s="74" t="str">
        <f t="shared" si="289"/>
        <v/>
      </c>
      <c r="L6200" s="58" t="str">
        <f t="shared" si="290"/>
        <v/>
      </c>
    </row>
    <row r="6201" spans="10:12" ht="16.5" customHeight="1" x14ac:dyDescent="0.35">
      <c r="J6201" s="56" t="str">
        <f t="shared" si="288"/>
        <v/>
      </c>
      <c r="K6201" s="74" t="str">
        <f t="shared" si="289"/>
        <v/>
      </c>
      <c r="L6201" s="58" t="str">
        <f t="shared" si="290"/>
        <v/>
      </c>
    </row>
    <row r="6202" spans="10:12" ht="16.5" customHeight="1" x14ac:dyDescent="0.35">
      <c r="J6202" s="56" t="str">
        <f t="shared" si="288"/>
        <v/>
      </c>
      <c r="K6202" s="74" t="str">
        <f t="shared" si="289"/>
        <v/>
      </c>
      <c r="L6202" s="58" t="str">
        <f t="shared" si="290"/>
        <v/>
      </c>
    </row>
    <row r="6203" spans="10:12" ht="16.5" customHeight="1" x14ac:dyDescent="0.35">
      <c r="J6203" s="56" t="str">
        <f t="shared" si="288"/>
        <v/>
      </c>
      <c r="K6203" s="74" t="str">
        <f t="shared" si="289"/>
        <v/>
      </c>
      <c r="L6203" s="58" t="str">
        <f t="shared" si="290"/>
        <v/>
      </c>
    </row>
    <row r="6204" spans="10:12" ht="16.5" customHeight="1" x14ac:dyDescent="0.35">
      <c r="J6204" s="56" t="str">
        <f t="shared" si="288"/>
        <v/>
      </c>
      <c r="K6204" s="74" t="str">
        <f t="shared" si="289"/>
        <v/>
      </c>
      <c r="L6204" s="58" t="str">
        <f t="shared" si="290"/>
        <v/>
      </c>
    </row>
    <row r="6205" spans="10:12" ht="16.5" customHeight="1" x14ac:dyDescent="0.35">
      <c r="J6205" s="56" t="str">
        <f t="shared" si="288"/>
        <v/>
      </c>
      <c r="K6205" s="74" t="str">
        <f t="shared" si="289"/>
        <v/>
      </c>
      <c r="L6205" s="58" t="str">
        <f t="shared" si="290"/>
        <v/>
      </c>
    </row>
    <row r="6206" spans="10:12" ht="16.5" customHeight="1" x14ac:dyDescent="0.35">
      <c r="J6206" s="56" t="str">
        <f t="shared" si="288"/>
        <v/>
      </c>
      <c r="K6206" s="74" t="str">
        <f t="shared" si="289"/>
        <v/>
      </c>
      <c r="L6206" s="58" t="str">
        <f t="shared" si="290"/>
        <v/>
      </c>
    </row>
    <row r="6207" spans="10:12" ht="16.5" customHeight="1" x14ac:dyDescent="0.35">
      <c r="J6207" s="56" t="str">
        <f t="shared" si="288"/>
        <v/>
      </c>
      <c r="K6207" s="74" t="str">
        <f t="shared" si="289"/>
        <v/>
      </c>
      <c r="L6207" s="58" t="str">
        <f t="shared" si="290"/>
        <v/>
      </c>
    </row>
    <row r="6208" spans="10:12" ht="16.5" customHeight="1" x14ac:dyDescent="0.35">
      <c r="J6208" s="56" t="str">
        <f t="shared" si="288"/>
        <v/>
      </c>
      <c r="K6208" s="74" t="str">
        <f t="shared" si="289"/>
        <v/>
      </c>
      <c r="L6208" s="58" t="str">
        <f t="shared" si="290"/>
        <v/>
      </c>
    </row>
    <row r="6209" spans="10:12" ht="16.5" customHeight="1" x14ac:dyDescent="0.35">
      <c r="J6209" s="56" t="str">
        <f t="shared" si="288"/>
        <v/>
      </c>
      <c r="K6209" s="74" t="str">
        <f t="shared" si="289"/>
        <v/>
      </c>
      <c r="L6209" s="58" t="str">
        <f t="shared" si="290"/>
        <v/>
      </c>
    </row>
    <row r="6210" spans="10:12" ht="16.5" customHeight="1" x14ac:dyDescent="0.35">
      <c r="J6210" s="56" t="str">
        <f t="shared" si="288"/>
        <v/>
      </c>
      <c r="K6210" s="74" t="str">
        <f t="shared" si="289"/>
        <v/>
      </c>
      <c r="L6210" s="58" t="str">
        <f t="shared" si="290"/>
        <v/>
      </c>
    </row>
    <row r="6211" spans="10:12" ht="16.5" customHeight="1" x14ac:dyDescent="0.35">
      <c r="J6211" s="56" t="str">
        <f t="shared" si="288"/>
        <v/>
      </c>
      <c r="K6211" s="74" t="str">
        <f t="shared" si="289"/>
        <v/>
      </c>
      <c r="L6211" s="58" t="str">
        <f t="shared" si="290"/>
        <v/>
      </c>
    </row>
    <row r="6212" spans="10:12" ht="16.5" customHeight="1" x14ac:dyDescent="0.35">
      <c r="J6212" s="56" t="str">
        <f t="shared" si="288"/>
        <v/>
      </c>
      <c r="K6212" s="74" t="str">
        <f t="shared" si="289"/>
        <v/>
      </c>
      <c r="L6212" s="58" t="str">
        <f t="shared" si="290"/>
        <v/>
      </c>
    </row>
    <row r="6213" spans="10:12" ht="16.5" customHeight="1" x14ac:dyDescent="0.35">
      <c r="J6213" s="56" t="str">
        <f t="shared" si="288"/>
        <v/>
      </c>
      <c r="K6213" s="74" t="str">
        <f t="shared" si="289"/>
        <v/>
      </c>
      <c r="L6213" s="58" t="str">
        <f t="shared" si="290"/>
        <v/>
      </c>
    </row>
    <row r="6214" spans="10:12" ht="16.5" customHeight="1" x14ac:dyDescent="0.35">
      <c r="J6214" s="56" t="str">
        <f t="shared" si="288"/>
        <v/>
      </c>
      <c r="K6214" s="74" t="str">
        <f t="shared" si="289"/>
        <v/>
      </c>
      <c r="L6214" s="58" t="str">
        <f t="shared" si="290"/>
        <v/>
      </c>
    </row>
    <row r="6215" spans="10:12" ht="16.5" customHeight="1" x14ac:dyDescent="0.35">
      <c r="J6215" s="56" t="str">
        <f t="shared" si="288"/>
        <v/>
      </c>
      <c r="K6215" s="74" t="str">
        <f t="shared" si="289"/>
        <v/>
      </c>
      <c r="L6215" s="58" t="str">
        <f t="shared" si="290"/>
        <v/>
      </c>
    </row>
    <row r="6216" spans="10:12" ht="16.5" customHeight="1" x14ac:dyDescent="0.35">
      <c r="J6216" s="56" t="str">
        <f t="shared" si="288"/>
        <v/>
      </c>
      <c r="K6216" s="74" t="str">
        <f t="shared" si="289"/>
        <v/>
      </c>
      <c r="L6216" s="58" t="str">
        <f t="shared" si="290"/>
        <v/>
      </c>
    </row>
    <row r="6217" spans="10:12" ht="16.5" customHeight="1" x14ac:dyDescent="0.35">
      <c r="J6217" s="56" t="str">
        <f t="shared" ref="J6217:J6280" si="291">IF(A6217="","",A$5-A6217)</f>
        <v/>
      </c>
      <c r="K6217" s="74" t="str">
        <f t="shared" ref="K6217:K6280" si="292">IF(J6217="","",IF(J6217&lt;4,"0-3 Days",IF(J6217&lt;31,"4-30 Days",IF(J6217&lt;61,"31-60 Days",IF(J6217&lt;=90,"61-90 Days",IF(J6217&gt;90,"Above 90 Days","0"))))))</f>
        <v/>
      </c>
      <c r="L6217" s="58" t="str">
        <f t="shared" ref="L6217:L6280" si="293">IF(C6217="","",IF(C6217&gt;0,IF(J6217&lt;30,"Normal",IF(J6217&lt;60,"Especially Mentioned",IF(J6217&lt;90,"Substandard",IF(J6217&lt;=180,"Doubtful",IF(J6217&gt;180,"Loss","0"))))),"Not Applicable"))</f>
        <v/>
      </c>
    </row>
    <row r="6218" spans="10:12" ht="16.5" customHeight="1" x14ac:dyDescent="0.35">
      <c r="J6218" s="56" t="str">
        <f t="shared" si="291"/>
        <v/>
      </c>
      <c r="K6218" s="74" t="str">
        <f t="shared" si="292"/>
        <v/>
      </c>
      <c r="L6218" s="58" t="str">
        <f t="shared" si="293"/>
        <v/>
      </c>
    </row>
    <row r="6219" spans="10:12" ht="16.5" customHeight="1" x14ac:dyDescent="0.35">
      <c r="J6219" s="56" t="str">
        <f t="shared" si="291"/>
        <v/>
      </c>
      <c r="K6219" s="74" t="str">
        <f t="shared" si="292"/>
        <v/>
      </c>
      <c r="L6219" s="58" t="str">
        <f t="shared" si="293"/>
        <v/>
      </c>
    </row>
    <row r="6220" spans="10:12" ht="16.5" customHeight="1" x14ac:dyDescent="0.35">
      <c r="J6220" s="56" t="str">
        <f t="shared" si="291"/>
        <v/>
      </c>
      <c r="K6220" s="74" t="str">
        <f t="shared" si="292"/>
        <v/>
      </c>
      <c r="L6220" s="58" t="str">
        <f t="shared" si="293"/>
        <v/>
      </c>
    </row>
    <row r="6221" spans="10:12" ht="16.5" customHeight="1" x14ac:dyDescent="0.35">
      <c r="J6221" s="56" t="str">
        <f t="shared" si="291"/>
        <v/>
      </c>
      <c r="K6221" s="74" t="str">
        <f t="shared" si="292"/>
        <v/>
      </c>
      <c r="L6221" s="58" t="str">
        <f t="shared" si="293"/>
        <v/>
      </c>
    </row>
    <row r="6222" spans="10:12" ht="16.5" customHeight="1" x14ac:dyDescent="0.35">
      <c r="J6222" s="56" t="str">
        <f t="shared" si="291"/>
        <v/>
      </c>
      <c r="K6222" s="74" t="str">
        <f t="shared" si="292"/>
        <v/>
      </c>
      <c r="L6222" s="58" t="str">
        <f t="shared" si="293"/>
        <v/>
      </c>
    </row>
    <row r="6223" spans="10:12" ht="16.5" customHeight="1" x14ac:dyDescent="0.35">
      <c r="J6223" s="56" t="str">
        <f t="shared" si="291"/>
        <v/>
      </c>
      <c r="K6223" s="74" t="str">
        <f t="shared" si="292"/>
        <v/>
      </c>
      <c r="L6223" s="58" t="str">
        <f t="shared" si="293"/>
        <v/>
      </c>
    </row>
    <row r="6224" spans="10:12" ht="16.5" customHeight="1" x14ac:dyDescent="0.35">
      <c r="J6224" s="56" t="str">
        <f t="shared" si="291"/>
        <v/>
      </c>
      <c r="K6224" s="74" t="str">
        <f t="shared" si="292"/>
        <v/>
      </c>
      <c r="L6224" s="58" t="str">
        <f t="shared" si="293"/>
        <v/>
      </c>
    </row>
    <row r="6225" spans="10:12" ht="16.5" customHeight="1" x14ac:dyDescent="0.35">
      <c r="J6225" s="56" t="str">
        <f t="shared" si="291"/>
        <v/>
      </c>
      <c r="K6225" s="74" t="str">
        <f t="shared" si="292"/>
        <v/>
      </c>
      <c r="L6225" s="58" t="str">
        <f t="shared" si="293"/>
        <v/>
      </c>
    </row>
    <row r="6226" spans="10:12" ht="16.5" customHeight="1" x14ac:dyDescent="0.35">
      <c r="J6226" s="56" t="str">
        <f t="shared" si="291"/>
        <v/>
      </c>
      <c r="K6226" s="74" t="str">
        <f t="shared" si="292"/>
        <v/>
      </c>
      <c r="L6226" s="58" t="str">
        <f t="shared" si="293"/>
        <v/>
      </c>
    </row>
    <row r="6227" spans="10:12" ht="16.5" customHeight="1" x14ac:dyDescent="0.35">
      <c r="J6227" s="56" t="str">
        <f t="shared" si="291"/>
        <v/>
      </c>
      <c r="K6227" s="74" t="str">
        <f t="shared" si="292"/>
        <v/>
      </c>
      <c r="L6227" s="58" t="str">
        <f t="shared" si="293"/>
        <v/>
      </c>
    </row>
    <row r="6228" spans="10:12" ht="16.5" customHeight="1" x14ac:dyDescent="0.35">
      <c r="J6228" s="56" t="str">
        <f t="shared" si="291"/>
        <v/>
      </c>
      <c r="K6228" s="74" t="str">
        <f t="shared" si="292"/>
        <v/>
      </c>
      <c r="L6228" s="58" t="str">
        <f t="shared" si="293"/>
        <v/>
      </c>
    </row>
    <row r="6229" spans="10:12" ht="16.5" customHeight="1" x14ac:dyDescent="0.35">
      <c r="J6229" s="56" t="str">
        <f t="shared" si="291"/>
        <v/>
      </c>
      <c r="K6229" s="74" t="str">
        <f t="shared" si="292"/>
        <v/>
      </c>
      <c r="L6229" s="58" t="str">
        <f t="shared" si="293"/>
        <v/>
      </c>
    </row>
    <row r="6230" spans="10:12" ht="16.5" customHeight="1" x14ac:dyDescent="0.35">
      <c r="J6230" s="56" t="str">
        <f t="shared" si="291"/>
        <v/>
      </c>
      <c r="K6230" s="74" t="str">
        <f t="shared" si="292"/>
        <v/>
      </c>
      <c r="L6230" s="58" t="str">
        <f t="shared" si="293"/>
        <v/>
      </c>
    </row>
    <row r="6231" spans="10:12" ht="16.5" customHeight="1" x14ac:dyDescent="0.35">
      <c r="J6231" s="56" t="str">
        <f t="shared" si="291"/>
        <v/>
      </c>
      <c r="K6231" s="74" t="str">
        <f t="shared" si="292"/>
        <v/>
      </c>
      <c r="L6231" s="58" t="str">
        <f t="shared" si="293"/>
        <v/>
      </c>
    </row>
    <row r="6232" spans="10:12" ht="16.5" customHeight="1" x14ac:dyDescent="0.35">
      <c r="J6232" s="56" t="str">
        <f t="shared" si="291"/>
        <v/>
      </c>
      <c r="K6232" s="74" t="str">
        <f t="shared" si="292"/>
        <v/>
      </c>
      <c r="L6232" s="58" t="str">
        <f t="shared" si="293"/>
        <v/>
      </c>
    </row>
    <row r="6233" spans="10:12" ht="16.5" customHeight="1" x14ac:dyDescent="0.35">
      <c r="J6233" s="56" t="str">
        <f t="shared" si="291"/>
        <v/>
      </c>
      <c r="K6233" s="74" t="str">
        <f t="shared" si="292"/>
        <v/>
      </c>
      <c r="L6233" s="58" t="str">
        <f t="shared" si="293"/>
        <v/>
      </c>
    </row>
    <row r="6234" spans="10:12" ht="16.5" customHeight="1" x14ac:dyDescent="0.35">
      <c r="J6234" s="56" t="str">
        <f t="shared" si="291"/>
        <v/>
      </c>
      <c r="K6234" s="74" t="str">
        <f t="shared" si="292"/>
        <v/>
      </c>
      <c r="L6234" s="58" t="str">
        <f t="shared" si="293"/>
        <v/>
      </c>
    </row>
    <row r="6235" spans="10:12" ht="16.5" customHeight="1" x14ac:dyDescent="0.35">
      <c r="J6235" s="56" t="str">
        <f t="shared" si="291"/>
        <v/>
      </c>
      <c r="K6235" s="74" t="str">
        <f t="shared" si="292"/>
        <v/>
      </c>
      <c r="L6235" s="58" t="str">
        <f t="shared" si="293"/>
        <v/>
      </c>
    </row>
    <row r="6236" spans="10:12" ht="16.5" customHeight="1" x14ac:dyDescent="0.35">
      <c r="J6236" s="56" t="str">
        <f t="shared" si="291"/>
        <v/>
      </c>
      <c r="K6236" s="74" t="str">
        <f t="shared" si="292"/>
        <v/>
      </c>
      <c r="L6236" s="58" t="str">
        <f t="shared" si="293"/>
        <v/>
      </c>
    </row>
    <row r="6237" spans="10:12" ht="16.5" customHeight="1" x14ac:dyDescent="0.35">
      <c r="J6237" s="56" t="str">
        <f t="shared" si="291"/>
        <v/>
      </c>
      <c r="K6237" s="74" t="str">
        <f t="shared" si="292"/>
        <v/>
      </c>
      <c r="L6237" s="58" t="str">
        <f t="shared" si="293"/>
        <v/>
      </c>
    </row>
    <row r="6238" spans="10:12" ht="16.5" customHeight="1" x14ac:dyDescent="0.35">
      <c r="J6238" s="56" t="str">
        <f t="shared" si="291"/>
        <v/>
      </c>
      <c r="K6238" s="74" t="str">
        <f t="shared" si="292"/>
        <v/>
      </c>
      <c r="L6238" s="58" t="str">
        <f t="shared" si="293"/>
        <v/>
      </c>
    </row>
    <row r="6239" spans="10:12" ht="16.5" customHeight="1" x14ac:dyDescent="0.35">
      <c r="J6239" s="56" t="str">
        <f t="shared" si="291"/>
        <v/>
      </c>
      <c r="K6239" s="74" t="str">
        <f t="shared" si="292"/>
        <v/>
      </c>
      <c r="L6239" s="58" t="str">
        <f t="shared" si="293"/>
        <v/>
      </c>
    </row>
    <row r="6240" spans="10:12" ht="16.5" customHeight="1" x14ac:dyDescent="0.35">
      <c r="J6240" s="56" t="str">
        <f t="shared" si="291"/>
        <v/>
      </c>
      <c r="K6240" s="74" t="str">
        <f t="shared" si="292"/>
        <v/>
      </c>
      <c r="L6240" s="58" t="str">
        <f t="shared" si="293"/>
        <v/>
      </c>
    </row>
    <row r="6241" spans="10:12" ht="16.5" customHeight="1" x14ac:dyDescent="0.35">
      <c r="J6241" s="56" t="str">
        <f t="shared" si="291"/>
        <v/>
      </c>
      <c r="K6241" s="74" t="str">
        <f t="shared" si="292"/>
        <v/>
      </c>
      <c r="L6241" s="58" t="str">
        <f t="shared" si="293"/>
        <v/>
      </c>
    </row>
    <row r="6242" spans="10:12" ht="16.5" customHeight="1" x14ac:dyDescent="0.35">
      <c r="J6242" s="56" t="str">
        <f t="shared" si="291"/>
        <v/>
      </c>
      <c r="K6242" s="74" t="str">
        <f t="shared" si="292"/>
        <v/>
      </c>
      <c r="L6242" s="58" t="str">
        <f t="shared" si="293"/>
        <v/>
      </c>
    </row>
    <row r="6243" spans="10:12" ht="16.5" customHeight="1" x14ac:dyDescent="0.35">
      <c r="J6243" s="56" t="str">
        <f t="shared" si="291"/>
        <v/>
      </c>
      <c r="K6243" s="74" t="str">
        <f t="shared" si="292"/>
        <v/>
      </c>
      <c r="L6243" s="58" t="str">
        <f t="shared" si="293"/>
        <v/>
      </c>
    </row>
    <row r="6244" spans="10:12" ht="16.5" customHeight="1" x14ac:dyDescent="0.35">
      <c r="J6244" s="56" t="str">
        <f t="shared" si="291"/>
        <v/>
      </c>
      <c r="K6244" s="74" t="str">
        <f t="shared" si="292"/>
        <v/>
      </c>
      <c r="L6244" s="58" t="str">
        <f t="shared" si="293"/>
        <v/>
      </c>
    </row>
    <row r="6245" spans="10:12" ht="16.5" customHeight="1" x14ac:dyDescent="0.35">
      <c r="J6245" s="56" t="str">
        <f t="shared" si="291"/>
        <v/>
      </c>
      <c r="K6245" s="74" t="str">
        <f t="shared" si="292"/>
        <v/>
      </c>
      <c r="L6245" s="58" t="str">
        <f t="shared" si="293"/>
        <v/>
      </c>
    </row>
    <row r="6246" spans="10:12" ht="16.5" customHeight="1" x14ac:dyDescent="0.35">
      <c r="J6246" s="56" t="str">
        <f t="shared" si="291"/>
        <v/>
      </c>
      <c r="K6246" s="74" t="str">
        <f t="shared" si="292"/>
        <v/>
      </c>
      <c r="L6246" s="58" t="str">
        <f t="shared" si="293"/>
        <v/>
      </c>
    </row>
    <row r="6247" spans="10:12" ht="16.5" customHeight="1" x14ac:dyDescent="0.35">
      <c r="J6247" s="56" t="str">
        <f t="shared" si="291"/>
        <v/>
      </c>
      <c r="K6247" s="74" t="str">
        <f t="shared" si="292"/>
        <v/>
      </c>
      <c r="L6247" s="58" t="str">
        <f t="shared" si="293"/>
        <v/>
      </c>
    </row>
    <row r="6248" spans="10:12" ht="16.5" customHeight="1" x14ac:dyDescent="0.35">
      <c r="J6248" s="56" t="str">
        <f t="shared" si="291"/>
        <v/>
      </c>
      <c r="K6248" s="74" t="str">
        <f t="shared" si="292"/>
        <v/>
      </c>
      <c r="L6248" s="58" t="str">
        <f t="shared" si="293"/>
        <v/>
      </c>
    </row>
    <row r="6249" spans="10:12" ht="16.5" customHeight="1" x14ac:dyDescent="0.35">
      <c r="J6249" s="56" t="str">
        <f t="shared" si="291"/>
        <v/>
      </c>
      <c r="K6249" s="74" t="str">
        <f t="shared" si="292"/>
        <v/>
      </c>
      <c r="L6249" s="58" t="str">
        <f t="shared" si="293"/>
        <v/>
      </c>
    </row>
    <row r="6250" spans="10:12" ht="16.5" customHeight="1" x14ac:dyDescent="0.35">
      <c r="J6250" s="56" t="str">
        <f t="shared" si="291"/>
        <v/>
      </c>
      <c r="K6250" s="74" t="str">
        <f t="shared" si="292"/>
        <v/>
      </c>
      <c r="L6250" s="58" t="str">
        <f t="shared" si="293"/>
        <v/>
      </c>
    </row>
    <row r="6251" spans="10:12" ht="16.5" customHeight="1" x14ac:dyDescent="0.35">
      <c r="J6251" s="56" t="str">
        <f t="shared" si="291"/>
        <v/>
      </c>
      <c r="K6251" s="74" t="str">
        <f t="shared" si="292"/>
        <v/>
      </c>
      <c r="L6251" s="58" t="str">
        <f t="shared" si="293"/>
        <v/>
      </c>
    </row>
    <row r="6252" spans="10:12" ht="16.5" customHeight="1" x14ac:dyDescent="0.35">
      <c r="J6252" s="56" t="str">
        <f t="shared" si="291"/>
        <v/>
      </c>
      <c r="K6252" s="74" t="str">
        <f t="shared" si="292"/>
        <v/>
      </c>
      <c r="L6252" s="58" t="str">
        <f t="shared" si="293"/>
        <v/>
      </c>
    </row>
    <row r="6253" spans="10:12" ht="16.5" customHeight="1" x14ac:dyDescent="0.35">
      <c r="J6253" s="56" t="str">
        <f t="shared" si="291"/>
        <v/>
      </c>
      <c r="K6253" s="74" t="str">
        <f t="shared" si="292"/>
        <v/>
      </c>
      <c r="L6253" s="58" t="str">
        <f t="shared" si="293"/>
        <v/>
      </c>
    </row>
    <row r="6254" spans="10:12" ht="16.5" customHeight="1" x14ac:dyDescent="0.35">
      <c r="J6254" s="56" t="str">
        <f t="shared" si="291"/>
        <v/>
      </c>
      <c r="K6254" s="74" t="str">
        <f t="shared" si="292"/>
        <v/>
      </c>
      <c r="L6254" s="58" t="str">
        <f t="shared" si="293"/>
        <v/>
      </c>
    </row>
    <row r="6255" spans="10:12" ht="16.5" customHeight="1" x14ac:dyDescent="0.35">
      <c r="J6255" s="56" t="str">
        <f t="shared" si="291"/>
        <v/>
      </c>
      <c r="K6255" s="74" t="str">
        <f t="shared" si="292"/>
        <v/>
      </c>
      <c r="L6255" s="58" t="str">
        <f t="shared" si="293"/>
        <v/>
      </c>
    </row>
    <row r="6256" spans="10:12" ht="16.5" customHeight="1" x14ac:dyDescent="0.35">
      <c r="J6256" s="56" t="str">
        <f t="shared" si="291"/>
        <v/>
      </c>
      <c r="K6256" s="74" t="str">
        <f t="shared" si="292"/>
        <v/>
      </c>
      <c r="L6256" s="58" t="str">
        <f t="shared" si="293"/>
        <v/>
      </c>
    </row>
    <row r="6257" spans="10:12" ht="16.5" customHeight="1" x14ac:dyDescent="0.35">
      <c r="J6257" s="56" t="str">
        <f t="shared" si="291"/>
        <v/>
      </c>
      <c r="K6257" s="74" t="str">
        <f t="shared" si="292"/>
        <v/>
      </c>
      <c r="L6257" s="58" t="str">
        <f t="shared" si="293"/>
        <v/>
      </c>
    </row>
    <row r="6258" spans="10:12" ht="16.5" customHeight="1" x14ac:dyDescent="0.35">
      <c r="J6258" s="56" t="str">
        <f t="shared" si="291"/>
        <v/>
      </c>
      <c r="K6258" s="74" t="str">
        <f t="shared" si="292"/>
        <v/>
      </c>
      <c r="L6258" s="58" t="str">
        <f t="shared" si="293"/>
        <v/>
      </c>
    </row>
    <row r="6259" spans="10:12" ht="16.5" customHeight="1" x14ac:dyDescent="0.35">
      <c r="J6259" s="56" t="str">
        <f t="shared" si="291"/>
        <v/>
      </c>
      <c r="K6259" s="74" t="str">
        <f t="shared" si="292"/>
        <v/>
      </c>
      <c r="L6259" s="58" t="str">
        <f t="shared" si="293"/>
        <v/>
      </c>
    </row>
    <row r="6260" spans="10:12" ht="16.5" customHeight="1" x14ac:dyDescent="0.35">
      <c r="J6260" s="56" t="str">
        <f t="shared" si="291"/>
        <v/>
      </c>
      <c r="K6260" s="74" t="str">
        <f t="shared" si="292"/>
        <v/>
      </c>
      <c r="L6260" s="58" t="str">
        <f t="shared" si="293"/>
        <v/>
      </c>
    </row>
    <row r="6261" spans="10:12" ht="16.5" customHeight="1" x14ac:dyDescent="0.35">
      <c r="J6261" s="56" t="str">
        <f t="shared" si="291"/>
        <v/>
      </c>
      <c r="K6261" s="74" t="str">
        <f t="shared" si="292"/>
        <v/>
      </c>
      <c r="L6261" s="58" t="str">
        <f t="shared" si="293"/>
        <v/>
      </c>
    </row>
    <row r="6262" spans="10:12" ht="16.5" customHeight="1" x14ac:dyDescent="0.35">
      <c r="J6262" s="56" t="str">
        <f t="shared" si="291"/>
        <v/>
      </c>
      <c r="K6262" s="74" t="str">
        <f t="shared" si="292"/>
        <v/>
      </c>
      <c r="L6262" s="58" t="str">
        <f t="shared" si="293"/>
        <v/>
      </c>
    </row>
    <row r="6263" spans="10:12" ht="16.5" customHeight="1" x14ac:dyDescent="0.35">
      <c r="J6263" s="56" t="str">
        <f t="shared" si="291"/>
        <v/>
      </c>
      <c r="K6263" s="74" t="str">
        <f t="shared" si="292"/>
        <v/>
      </c>
      <c r="L6263" s="58" t="str">
        <f t="shared" si="293"/>
        <v/>
      </c>
    </row>
    <row r="6264" spans="10:12" ht="16.5" customHeight="1" x14ac:dyDescent="0.35">
      <c r="J6264" s="56" t="str">
        <f t="shared" si="291"/>
        <v/>
      </c>
      <c r="K6264" s="74" t="str">
        <f t="shared" si="292"/>
        <v/>
      </c>
      <c r="L6264" s="58" t="str">
        <f t="shared" si="293"/>
        <v/>
      </c>
    </row>
    <row r="6265" spans="10:12" ht="16.5" customHeight="1" x14ac:dyDescent="0.35">
      <c r="J6265" s="56" t="str">
        <f t="shared" si="291"/>
        <v/>
      </c>
      <c r="K6265" s="74" t="str">
        <f t="shared" si="292"/>
        <v/>
      </c>
      <c r="L6265" s="58" t="str">
        <f t="shared" si="293"/>
        <v/>
      </c>
    </row>
    <row r="6266" spans="10:12" ht="16.5" customHeight="1" x14ac:dyDescent="0.35">
      <c r="J6266" s="56" t="str">
        <f t="shared" si="291"/>
        <v/>
      </c>
      <c r="K6266" s="74" t="str">
        <f t="shared" si="292"/>
        <v/>
      </c>
      <c r="L6266" s="58" t="str">
        <f t="shared" si="293"/>
        <v/>
      </c>
    </row>
    <row r="6267" spans="10:12" ht="16.5" customHeight="1" x14ac:dyDescent="0.35">
      <c r="J6267" s="56" t="str">
        <f t="shared" si="291"/>
        <v/>
      </c>
      <c r="K6267" s="74" t="str">
        <f t="shared" si="292"/>
        <v/>
      </c>
      <c r="L6267" s="58" t="str">
        <f t="shared" si="293"/>
        <v/>
      </c>
    </row>
    <row r="6268" spans="10:12" ht="16.5" customHeight="1" x14ac:dyDescent="0.35">
      <c r="J6268" s="56" t="str">
        <f t="shared" si="291"/>
        <v/>
      </c>
      <c r="K6268" s="74" t="str">
        <f t="shared" si="292"/>
        <v/>
      </c>
      <c r="L6268" s="58" t="str">
        <f t="shared" si="293"/>
        <v/>
      </c>
    </row>
    <row r="6269" spans="10:12" ht="16.5" customHeight="1" x14ac:dyDescent="0.35">
      <c r="J6269" s="56" t="str">
        <f t="shared" si="291"/>
        <v/>
      </c>
      <c r="K6269" s="74" t="str">
        <f t="shared" si="292"/>
        <v/>
      </c>
      <c r="L6269" s="58" t="str">
        <f t="shared" si="293"/>
        <v/>
      </c>
    </row>
    <row r="6270" spans="10:12" ht="16.5" customHeight="1" x14ac:dyDescent="0.35">
      <c r="J6270" s="56" t="str">
        <f t="shared" si="291"/>
        <v/>
      </c>
      <c r="K6270" s="74" t="str">
        <f t="shared" si="292"/>
        <v/>
      </c>
      <c r="L6270" s="58" t="str">
        <f t="shared" si="293"/>
        <v/>
      </c>
    </row>
    <row r="6271" spans="10:12" ht="16.5" customHeight="1" x14ac:dyDescent="0.35">
      <c r="J6271" s="56" t="str">
        <f t="shared" si="291"/>
        <v/>
      </c>
      <c r="K6271" s="74" t="str">
        <f t="shared" si="292"/>
        <v/>
      </c>
      <c r="L6271" s="58" t="str">
        <f t="shared" si="293"/>
        <v/>
      </c>
    </row>
    <row r="6272" spans="10:12" ht="16.5" customHeight="1" x14ac:dyDescent="0.35">
      <c r="J6272" s="56" t="str">
        <f t="shared" si="291"/>
        <v/>
      </c>
      <c r="K6272" s="74" t="str">
        <f t="shared" si="292"/>
        <v/>
      </c>
      <c r="L6272" s="58" t="str">
        <f t="shared" si="293"/>
        <v/>
      </c>
    </row>
    <row r="6273" spans="10:12" ht="16.5" customHeight="1" x14ac:dyDescent="0.35">
      <c r="J6273" s="56" t="str">
        <f t="shared" si="291"/>
        <v/>
      </c>
      <c r="K6273" s="74" t="str">
        <f t="shared" si="292"/>
        <v/>
      </c>
      <c r="L6273" s="58" t="str">
        <f t="shared" si="293"/>
        <v/>
      </c>
    </row>
    <row r="6274" spans="10:12" ht="16.5" customHeight="1" x14ac:dyDescent="0.35">
      <c r="J6274" s="56" t="str">
        <f t="shared" si="291"/>
        <v/>
      </c>
      <c r="K6274" s="74" t="str">
        <f t="shared" si="292"/>
        <v/>
      </c>
      <c r="L6274" s="58" t="str">
        <f t="shared" si="293"/>
        <v/>
      </c>
    </row>
    <row r="6275" spans="10:12" ht="16.5" customHeight="1" x14ac:dyDescent="0.35">
      <c r="J6275" s="56" t="str">
        <f t="shared" si="291"/>
        <v/>
      </c>
      <c r="K6275" s="74" t="str">
        <f t="shared" si="292"/>
        <v/>
      </c>
      <c r="L6275" s="58" t="str">
        <f t="shared" si="293"/>
        <v/>
      </c>
    </row>
    <row r="6276" spans="10:12" ht="16.5" customHeight="1" x14ac:dyDescent="0.35">
      <c r="J6276" s="56" t="str">
        <f t="shared" si="291"/>
        <v/>
      </c>
      <c r="K6276" s="74" t="str">
        <f t="shared" si="292"/>
        <v/>
      </c>
      <c r="L6276" s="58" t="str">
        <f t="shared" si="293"/>
        <v/>
      </c>
    </row>
    <row r="6277" spans="10:12" ht="16.5" customHeight="1" x14ac:dyDescent="0.35">
      <c r="J6277" s="56" t="str">
        <f t="shared" si="291"/>
        <v/>
      </c>
      <c r="K6277" s="74" t="str">
        <f t="shared" si="292"/>
        <v/>
      </c>
      <c r="L6277" s="58" t="str">
        <f t="shared" si="293"/>
        <v/>
      </c>
    </row>
    <row r="6278" spans="10:12" ht="16.5" customHeight="1" x14ac:dyDescent="0.35">
      <c r="J6278" s="56" t="str">
        <f t="shared" si="291"/>
        <v/>
      </c>
      <c r="K6278" s="74" t="str">
        <f t="shared" si="292"/>
        <v/>
      </c>
      <c r="L6278" s="58" t="str">
        <f t="shared" si="293"/>
        <v/>
      </c>
    </row>
    <row r="6279" spans="10:12" ht="16.5" customHeight="1" x14ac:dyDescent="0.35">
      <c r="J6279" s="56" t="str">
        <f t="shared" si="291"/>
        <v/>
      </c>
      <c r="K6279" s="74" t="str">
        <f t="shared" si="292"/>
        <v/>
      </c>
      <c r="L6279" s="58" t="str">
        <f t="shared" si="293"/>
        <v/>
      </c>
    </row>
    <row r="6280" spans="10:12" ht="16.5" customHeight="1" x14ac:dyDescent="0.35">
      <c r="J6280" s="56" t="str">
        <f t="shared" si="291"/>
        <v/>
      </c>
      <c r="K6280" s="74" t="str">
        <f t="shared" si="292"/>
        <v/>
      </c>
      <c r="L6280" s="58" t="str">
        <f t="shared" si="293"/>
        <v/>
      </c>
    </row>
    <row r="6281" spans="10:12" ht="16.5" customHeight="1" x14ac:dyDescent="0.35">
      <c r="J6281" s="56" t="str">
        <f t="shared" ref="J6281:J6344" si="294">IF(A6281="","",A$5-A6281)</f>
        <v/>
      </c>
      <c r="K6281" s="74" t="str">
        <f t="shared" ref="K6281:K6344" si="295">IF(J6281="","",IF(J6281&lt;4,"0-3 Days",IF(J6281&lt;31,"4-30 Days",IF(J6281&lt;61,"31-60 Days",IF(J6281&lt;=90,"61-90 Days",IF(J6281&gt;90,"Above 90 Days","0"))))))</f>
        <v/>
      </c>
      <c r="L6281" s="58" t="str">
        <f t="shared" ref="L6281:L6344" si="296">IF(C6281="","",IF(C6281&gt;0,IF(J6281&lt;30,"Normal",IF(J6281&lt;60,"Especially Mentioned",IF(J6281&lt;90,"Substandard",IF(J6281&lt;=180,"Doubtful",IF(J6281&gt;180,"Loss","0"))))),"Not Applicable"))</f>
        <v/>
      </c>
    </row>
    <row r="6282" spans="10:12" ht="16.5" customHeight="1" x14ac:dyDescent="0.35">
      <c r="J6282" s="56" t="str">
        <f t="shared" si="294"/>
        <v/>
      </c>
      <c r="K6282" s="74" t="str">
        <f t="shared" si="295"/>
        <v/>
      </c>
      <c r="L6282" s="58" t="str">
        <f t="shared" si="296"/>
        <v/>
      </c>
    </row>
    <row r="6283" spans="10:12" ht="16.5" customHeight="1" x14ac:dyDescent="0.35">
      <c r="J6283" s="56" t="str">
        <f t="shared" si="294"/>
        <v/>
      </c>
      <c r="K6283" s="74" t="str">
        <f t="shared" si="295"/>
        <v/>
      </c>
      <c r="L6283" s="58" t="str">
        <f t="shared" si="296"/>
        <v/>
      </c>
    </row>
    <row r="6284" spans="10:12" ht="16.5" customHeight="1" x14ac:dyDescent="0.35">
      <c r="J6284" s="56" t="str">
        <f t="shared" si="294"/>
        <v/>
      </c>
      <c r="K6284" s="74" t="str">
        <f t="shared" si="295"/>
        <v/>
      </c>
      <c r="L6284" s="58" t="str">
        <f t="shared" si="296"/>
        <v/>
      </c>
    </row>
    <row r="6285" spans="10:12" ht="16.5" customHeight="1" x14ac:dyDescent="0.35">
      <c r="J6285" s="56" t="str">
        <f t="shared" si="294"/>
        <v/>
      </c>
      <c r="K6285" s="74" t="str">
        <f t="shared" si="295"/>
        <v/>
      </c>
      <c r="L6285" s="58" t="str">
        <f t="shared" si="296"/>
        <v/>
      </c>
    </row>
    <row r="6286" spans="10:12" ht="16.5" customHeight="1" x14ac:dyDescent="0.35">
      <c r="J6286" s="56" t="str">
        <f t="shared" si="294"/>
        <v/>
      </c>
      <c r="K6286" s="74" t="str">
        <f t="shared" si="295"/>
        <v/>
      </c>
      <c r="L6286" s="58" t="str">
        <f t="shared" si="296"/>
        <v/>
      </c>
    </row>
    <row r="6287" spans="10:12" ht="16.5" customHeight="1" x14ac:dyDescent="0.35">
      <c r="J6287" s="56" t="str">
        <f t="shared" si="294"/>
        <v/>
      </c>
      <c r="K6287" s="74" t="str">
        <f t="shared" si="295"/>
        <v/>
      </c>
      <c r="L6287" s="58" t="str">
        <f t="shared" si="296"/>
        <v/>
      </c>
    </row>
    <row r="6288" spans="10:12" ht="16.5" customHeight="1" x14ac:dyDescent="0.35">
      <c r="J6288" s="56" t="str">
        <f t="shared" si="294"/>
        <v/>
      </c>
      <c r="K6288" s="74" t="str">
        <f t="shared" si="295"/>
        <v/>
      </c>
      <c r="L6288" s="58" t="str">
        <f t="shared" si="296"/>
        <v/>
      </c>
    </row>
    <row r="6289" spans="10:12" ht="16.5" customHeight="1" x14ac:dyDescent="0.35">
      <c r="J6289" s="56" t="str">
        <f t="shared" si="294"/>
        <v/>
      </c>
      <c r="K6289" s="74" t="str">
        <f t="shared" si="295"/>
        <v/>
      </c>
      <c r="L6289" s="58" t="str">
        <f t="shared" si="296"/>
        <v/>
      </c>
    </row>
    <row r="6290" spans="10:12" ht="16.5" customHeight="1" x14ac:dyDescent="0.35">
      <c r="J6290" s="56" t="str">
        <f t="shared" si="294"/>
        <v/>
      </c>
      <c r="K6290" s="74" t="str">
        <f t="shared" si="295"/>
        <v/>
      </c>
      <c r="L6290" s="58" t="str">
        <f t="shared" si="296"/>
        <v/>
      </c>
    </row>
    <row r="6291" spans="10:12" ht="16.5" customHeight="1" x14ac:dyDescent="0.35">
      <c r="J6291" s="56" t="str">
        <f t="shared" si="294"/>
        <v/>
      </c>
      <c r="K6291" s="74" t="str">
        <f t="shared" si="295"/>
        <v/>
      </c>
      <c r="L6291" s="58" t="str">
        <f t="shared" si="296"/>
        <v/>
      </c>
    </row>
    <row r="6292" spans="10:12" ht="16.5" customHeight="1" x14ac:dyDescent="0.35">
      <c r="J6292" s="56" t="str">
        <f t="shared" si="294"/>
        <v/>
      </c>
      <c r="K6292" s="74" t="str">
        <f t="shared" si="295"/>
        <v/>
      </c>
      <c r="L6292" s="58" t="str">
        <f t="shared" si="296"/>
        <v/>
      </c>
    </row>
    <row r="6293" spans="10:12" ht="16.5" customHeight="1" x14ac:dyDescent="0.35">
      <c r="J6293" s="56" t="str">
        <f t="shared" si="294"/>
        <v/>
      </c>
      <c r="K6293" s="74" t="str">
        <f t="shared" si="295"/>
        <v/>
      </c>
      <c r="L6293" s="58" t="str">
        <f t="shared" si="296"/>
        <v/>
      </c>
    </row>
    <row r="6294" spans="10:12" ht="16.5" customHeight="1" x14ac:dyDescent="0.35">
      <c r="J6294" s="56" t="str">
        <f t="shared" si="294"/>
        <v/>
      </c>
      <c r="K6294" s="74" t="str">
        <f t="shared" si="295"/>
        <v/>
      </c>
      <c r="L6294" s="58" t="str">
        <f t="shared" si="296"/>
        <v/>
      </c>
    </row>
    <row r="6295" spans="10:12" ht="16.5" customHeight="1" x14ac:dyDescent="0.35">
      <c r="J6295" s="56" t="str">
        <f t="shared" si="294"/>
        <v/>
      </c>
      <c r="K6295" s="74" t="str">
        <f t="shared" si="295"/>
        <v/>
      </c>
      <c r="L6295" s="58" t="str">
        <f t="shared" si="296"/>
        <v/>
      </c>
    </row>
    <row r="6296" spans="10:12" ht="16.5" customHeight="1" x14ac:dyDescent="0.35">
      <c r="J6296" s="56" t="str">
        <f t="shared" si="294"/>
        <v/>
      </c>
      <c r="K6296" s="74" t="str">
        <f t="shared" si="295"/>
        <v/>
      </c>
      <c r="L6296" s="58" t="str">
        <f t="shared" si="296"/>
        <v/>
      </c>
    </row>
    <row r="6297" spans="10:12" ht="16.5" customHeight="1" x14ac:dyDescent="0.35">
      <c r="J6297" s="56" t="str">
        <f t="shared" si="294"/>
        <v/>
      </c>
      <c r="K6297" s="74" t="str">
        <f t="shared" si="295"/>
        <v/>
      </c>
      <c r="L6297" s="58" t="str">
        <f t="shared" si="296"/>
        <v/>
      </c>
    </row>
    <row r="6298" spans="10:12" ht="16.5" customHeight="1" x14ac:dyDescent="0.35">
      <c r="J6298" s="56" t="str">
        <f t="shared" si="294"/>
        <v/>
      </c>
      <c r="K6298" s="74" t="str">
        <f t="shared" si="295"/>
        <v/>
      </c>
      <c r="L6298" s="58" t="str">
        <f t="shared" si="296"/>
        <v/>
      </c>
    </row>
    <row r="6299" spans="10:12" ht="16.5" customHeight="1" x14ac:dyDescent="0.35">
      <c r="J6299" s="56" t="str">
        <f t="shared" si="294"/>
        <v/>
      </c>
      <c r="K6299" s="74" t="str">
        <f t="shared" si="295"/>
        <v/>
      </c>
      <c r="L6299" s="58" t="str">
        <f t="shared" si="296"/>
        <v/>
      </c>
    </row>
    <row r="6300" spans="10:12" ht="16.5" customHeight="1" x14ac:dyDescent="0.35">
      <c r="J6300" s="56" t="str">
        <f t="shared" si="294"/>
        <v/>
      </c>
      <c r="K6300" s="74" t="str">
        <f t="shared" si="295"/>
        <v/>
      </c>
      <c r="L6300" s="58" t="str">
        <f t="shared" si="296"/>
        <v/>
      </c>
    </row>
    <row r="6301" spans="10:12" ht="16.5" customHeight="1" x14ac:dyDescent="0.35">
      <c r="J6301" s="56" t="str">
        <f t="shared" si="294"/>
        <v/>
      </c>
      <c r="K6301" s="74" t="str">
        <f t="shared" si="295"/>
        <v/>
      </c>
      <c r="L6301" s="58" t="str">
        <f t="shared" si="296"/>
        <v/>
      </c>
    </row>
    <row r="6302" spans="10:12" ht="16.5" customHeight="1" x14ac:dyDescent="0.35">
      <c r="J6302" s="56" t="str">
        <f t="shared" si="294"/>
        <v/>
      </c>
      <c r="K6302" s="74" t="str">
        <f t="shared" si="295"/>
        <v/>
      </c>
      <c r="L6302" s="58" t="str">
        <f t="shared" si="296"/>
        <v/>
      </c>
    </row>
    <row r="6303" spans="10:12" ht="16.5" customHeight="1" x14ac:dyDescent="0.35">
      <c r="J6303" s="56" t="str">
        <f t="shared" si="294"/>
        <v/>
      </c>
      <c r="K6303" s="74" t="str">
        <f t="shared" si="295"/>
        <v/>
      </c>
      <c r="L6303" s="58" t="str">
        <f t="shared" si="296"/>
        <v/>
      </c>
    </row>
    <row r="6304" spans="10:12" ht="16.5" customHeight="1" x14ac:dyDescent="0.35">
      <c r="J6304" s="56" t="str">
        <f t="shared" si="294"/>
        <v/>
      </c>
      <c r="K6304" s="74" t="str">
        <f t="shared" si="295"/>
        <v/>
      </c>
      <c r="L6304" s="58" t="str">
        <f t="shared" si="296"/>
        <v/>
      </c>
    </row>
    <row r="6305" spans="10:12" ht="16.5" customHeight="1" x14ac:dyDescent="0.35">
      <c r="J6305" s="56" t="str">
        <f t="shared" si="294"/>
        <v/>
      </c>
      <c r="K6305" s="74" t="str">
        <f t="shared" si="295"/>
        <v/>
      </c>
      <c r="L6305" s="58" t="str">
        <f t="shared" si="296"/>
        <v/>
      </c>
    </row>
    <row r="6306" spans="10:12" ht="16.5" customHeight="1" x14ac:dyDescent="0.35">
      <c r="J6306" s="56" t="str">
        <f t="shared" si="294"/>
        <v/>
      </c>
      <c r="K6306" s="74" t="str">
        <f t="shared" si="295"/>
        <v/>
      </c>
      <c r="L6306" s="58" t="str">
        <f t="shared" si="296"/>
        <v/>
      </c>
    </row>
    <row r="6307" spans="10:12" ht="16.5" customHeight="1" x14ac:dyDescent="0.35">
      <c r="J6307" s="56" t="str">
        <f t="shared" si="294"/>
        <v/>
      </c>
      <c r="K6307" s="74" t="str">
        <f t="shared" si="295"/>
        <v/>
      </c>
      <c r="L6307" s="58" t="str">
        <f t="shared" si="296"/>
        <v/>
      </c>
    </row>
    <row r="6308" spans="10:12" ht="16.5" customHeight="1" x14ac:dyDescent="0.35">
      <c r="J6308" s="56" t="str">
        <f t="shared" si="294"/>
        <v/>
      </c>
      <c r="K6308" s="74" t="str">
        <f t="shared" si="295"/>
        <v/>
      </c>
      <c r="L6308" s="58" t="str">
        <f t="shared" si="296"/>
        <v/>
      </c>
    </row>
    <row r="6309" spans="10:12" ht="16.5" customHeight="1" x14ac:dyDescent="0.35">
      <c r="J6309" s="56" t="str">
        <f t="shared" si="294"/>
        <v/>
      </c>
      <c r="K6309" s="74" t="str">
        <f t="shared" si="295"/>
        <v/>
      </c>
      <c r="L6309" s="58" t="str">
        <f t="shared" si="296"/>
        <v/>
      </c>
    </row>
    <row r="6310" spans="10:12" ht="16.5" customHeight="1" x14ac:dyDescent="0.35">
      <c r="J6310" s="56" t="str">
        <f t="shared" si="294"/>
        <v/>
      </c>
      <c r="K6310" s="74" t="str">
        <f t="shared" si="295"/>
        <v/>
      </c>
      <c r="L6310" s="58" t="str">
        <f t="shared" si="296"/>
        <v/>
      </c>
    </row>
    <row r="6311" spans="10:12" ht="16.5" customHeight="1" x14ac:dyDescent="0.35">
      <c r="J6311" s="56" t="str">
        <f t="shared" si="294"/>
        <v/>
      </c>
      <c r="K6311" s="74" t="str">
        <f t="shared" si="295"/>
        <v/>
      </c>
      <c r="L6311" s="58" t="str">
        <f t="shared" si="296"/>
        <v/>
      </c>
    </row>
    <row r="6312" spans="10:12" ht="16.5" customHeight="1" x14ac:dyDescent="0.35">
      <c r="J6312" s="56" t="str">
        <f t="shared" si="294"/>
        <v/>
      </c>
      <c r="K6312" s="74" t="str">
        <f t="shared" si="295"/>
        <v/>
      </c>
      <c r="L6312" s="58" t="str">
        <f t="shared" si="296"/>
        <v/>
      </c>
    </row>
    <row r="6313" spans="10:12" ht="16.5" customHeight="1" x14ac:dyDescent="0.35">
      <c r="J6313" s="56" t="str">
        <f t="shared" si="294"/>
        <v/>
      </c>
      <c r="K6313" s="74" t="str">
        <f t="shared" si="295"/>
        <v/>
      </c>
      <c r="L6313" s="58" t="str">
        <f t="shared" si="296"/>
        <v/>
      </c>
    </row>
    <row r="6314" spans="10:12" ht="16.5" customHeight="1" x14ac:dyDescent="0.35">
      <c r="J6314" s="56" t="str">
        <f t="shared" si="294"/>
        <v/>
      </c>
      <c r="K6314" s="74" t="str">
        <f t="shared" si="295"/>
        <v/>
      </c>
      <c r="L6314" s="58" t="str">
        <f t="shared" si="296"/>
        <v/>
      </c>
    </row>
    <row r="6315" spans="10:12" ht="16.5" customHeight="1" x14ac:dyDescent="0.35">
      <c r="J6315" s="56" t="str">
        <f t="shared" si="294"/>
        <v/>
      </c>
      <c r="K6315" s="74" t="str">
        <f t="shared" si="295"/>
        <v/>
      </c>
      <c r="L6315" s="58" t="str">
        <f t="shared" si="296"/>
        <v/>
      </c>
    </row>
    <row r="6316" spans="10:12" ht="16.5" customHeight="1" x14ac:dyDescent="0.35">
      <c r="J6316" s="56" t="str">
        <f t="shared" si="294"/>
        <v/>
      </c>
      <c r="K6316" s="74" t="str">
        <f t="shared" si="295"/>
        <v/>
      </c>
      <c r="L6316" s="58" t="str">
        <f t="shared" si="296"/>
        <v/>
      </c>
    </row>
    <row r="6317" spans="10:12" ht="16.5" customHeight="1" x14ac:dyDescent="0.35">
      <c r="J6317" s="56" t="str">
        <f t="shared" si="294"/>
        <v/>
      </c>
      <c r="K6317" s="74" t="str">
        <f t="shared" si="295"/>
        <v/>
      </c>
      <c r="L6317" s="58" t="str">
        <f t="shared" si="296"/>
        <v/>
      </c>
    </row>
    <row r="6318" spans="10:12" ht="16.5" customHeight="1" x14ac:dyDescent="0.35">
      <c r="J6318" s="56" t="str">
        <f t="shared" si="294"/>
        <v/>
      </c>
      <c r="K6318" s="74" t="str">
        <f t="shared" si="295"/>
        <v/>
      </c>
      <c r="L6318" s="58" t="str">
        <f t="shared" si="296"/>
        <v/>
      </c>
    </row>
    <row r="6319" spans="10:12" ht="16.5" customHeight="1" x14ac:dyDescent="0.35">
      <c r="J6319" s="56" t="str">
        <f t="shared" si="294"/>
        <v/>
      </c>
      <c r="K6319" s="74" t="str">
        <f t="shared" si="295"/>
        <v/>
      </c>
      <c r="L6319" s="58" t="str">
        <f t="shared" si="296"/>
        <v/>
      </c>
    </row>
    <row r="6320" spans="10:12" ht="16.5" customHeight="1" x14ac:dyDescent="0.35">
      <c r="J6320" s="56" t="str">
        <f t="shared" si="294"/>
        <v/>
      </c>
      <c r="K6320" s="74" t="str">
        <f t="shared" si="295"/>
        <v/>
      </c>
      <c r="L6320" s="58" t="str">
        <f t="shared" si="296"/>
        <v/>
      </c>
    </row>
    <row r="6321" spans="10:12" ht="16.5" customHeight="1" x14ac:dyDescent="0.35">
      <c r="J6321" s="56" t="str">
        <f t="shared" si="294"/>
        <v/>
      </c>
      <c r="K6321" s="74" t="str">
        <f t="shared" si="295"/>
        <v/>
      </c>
      <c r="L6321" s="58" t="str">
        <f t="shared" si="296"/>
        <v/>
      </c>
    </row>
    <row r="6322" spans="10:12" ht="16.5" customHeight="1" x14ac:dyDescent="0.35">
      <c r="J6322" s="56" t="str">
        <f t="shared" si="294"/>
        <v/>
      </c>
      <c r="K6322" s="74" t="str">
        <f t="shared" si="295"/>
        <v/>
      </c>
      <c r="L6322" s="58" t="str">
        <f t="shared" si="296"/>
        <v/>
      </c>
    </row>
    <row r="6323" spans="10:12" ht="16.5" customHeight="1" x14ac:dyDescent="0.35">
      <c r="J6323" s="56" t="str">
        <f t="shared" si="294"/>
        <v/>
      </c>
      <c r="K6323" s="74" t="str">
        <f t="shared" si="295"/>
        <v/>
      </c>
      <c r="L6323" s="58" t="str">
        <f t="shared" si="296"/>
        <v/>
      </c>
    </row>
    <row r="6324" spans="10:12" ht="16.5" customHeight="1" x14ac:dyDescent="0.35">
      <c r="J6324" s="56" t="str">
        <f t="shared" si="294"/>
        <v/>
      </c>
      <c r="K6324" s="74" t="str">
        <f t="shared" si="295"/>
        <v/>
      </c>
      <c r="L6324" s="58" t="str">
        <f t="shared" si="296"/>
        <v/>
      </c>
    </row>
    <row r="6325" spans="10:12" ht="16.5" customHeight="1" x14ac:dyDescent="0.35">
      <c r="J6325" s="56" t="str">
        <f t="shared" si="294"/>
        <v/>
      </c>
      <c r="K6325" s="74" t="str">
        <f t="shared" si="295"/>
        <v/>
      </c>
      <c r="L6325" s="58" t="str">
        <f t="shared" si="296"/>
        <v/>
      </c>
    </row>
    <row r="6326" spans="10:12" ht="16.5" customHeight="1" x14ac:dyDescent="0.35">
      <c r="J6326" s="56" t="str">
        <f t="shared" si="294"/>
        <v/>
      </c>
      <c r="K6326" s="74" t="str">
        <f t="shared" si="295"/>
        <v/>
      </c>
      <c r="L6326" s="58" t="str">
        <f t="shared" si="296"/>
        <v/>
      </c>
    </row>
    <row r="6327" spans="10:12" ht="16.5" customHeight="1" x14ac:dyDescent="0.35">
      <c r="J6327" s="56" t="str">
        <f t="shared" si="294"/>
        <v/>
      </c>
      <c r="K6327" s="74" t="str">
        <f t="shared" si="295"/>
        <v/>
      </c>
      <c r="L6327" s="58" t="str">
        <f t="shared" si="296"/>
        <v/>
      </c>
    </row>
    <row r="6328" spans="10:12" ht="16.5" customHeight="1" x14ac:dyDescent="0.35">
      <c r="J6328" s="56" t="str">
        <f t="shared" si="294"/>
        <v/>
      </c>
      <c r="K6328" s="74" t="str">
        <f t="shared" si="295"/>
        <v/>
      </c>
      <c r="L6328" s="58" t="str">
        <f t="shared" si="296"/>
        <v/>
      </c>
    </row>
    <row r="6329" spans="10:12" ht="16.5" customHeight="1" x14ac:dyDescent="0.35">
      <c r="J6329" s="56" t="str">
        <f t="shared" si="294"/>
        <v/>
      </c>
      <c r="K6329" s="74" t="str">
        <f t="shared" si="295"/>
        <v/>
      </c>
      <c r="L6329" s="58" t="str">
        <f t="shared" si="296"/>
        <v/>
      </c>
    </row>
    <row r="6330" spans="10:12" ht="16.5" customHeight="1" x14ac:dyDescent="0.35">
      <c r="J6330" s="56" t="str">
        <f t="shared" si="294"/>
        <v/>
      </c>
      <c r="K6330" s="74" t="str">
        <f t="shared" si="295"/>
        <v/>
      </c>
      <c r="L6330" s="58" t="str">
        <f t="shared" si="296"/>
        <v/>
      </c>
    </row>
    <row r="6331" spans="10:12" ht="16.5" customHeight="1" x14ac:dyDescent="0.35">
      <c r="J6331" s="56" t="str">
        <f t="shared" si="294"/>
        <v/>
      </c>
      <c r="K6331" s="74" t="str">
        <f t="shared" si="295"/>
        <v/>
      </c>
      <c r="L6331" s="58" t="str">
        <f t="shared" si="296"/>
        <v/>
      </c>
    </row>
    <row r="6332" spans="10:12" ht="16.5" customHeight="1" x14ac:dyDescent="0.35">
      <c r="J6332" s="56" t="str">
        <f t="shared" si="294"/>
        <v/>
      </c>
      <c r="K6332" s="74" t="str">
        <f t="shared" si="295"/>
        <v/>
      </c>
      <c r="L6332" s="58" t="str">
        <f t="shared" si="296"/>
        <v/>
      </c>
    </row>
    <row r="6333" spans="10:12" ht="16.5" customHeight="1" x14ac:dyDescent="0.35">
      <c r="J6333" s="56" t="str">
        <f t="shared" si="294"/>
        <v/>
      </c>
      <c r="K6333" s="74" t="str">
        <f t="shared" si="295"/>
        <v/>
      </c>
      <c r="L6333" s="58" t="str">
        <f t="shared" si="296"/>
        <v/>
      </c>
    </row>
    <row r="6334" spans="10:12" ht="16.5" customHeight="1" x14ac:dyDescent="0.35">
      <c r="J6334" s="56" t="str">
        <f t="shared" si="294"/>
        <v/>
      </c>
      <c r="K6334" s="74" t="str">
        <f t="shared" si="295"/>
        <v/>
      </c>
      <c r="L6334" s="58" t="str">
        <f t="shared" si="296"/>
        <v/>
      </c>
    </row>
    <row r="6335" spans="10:12" ht="16.5" customHeight="1" x14ac:dyDescent="0.35">
      <c r="J6335" s="56" t="str">
        <f t="shared" si="294"/>
        <v/>
      </c>
      <c r="K6335" s="74" t="str">
        <f t="shared" si="295"/>
        <v/>
      </c>
      <c r="L6335" s="58" t="str">
        <f t="shared" si="296"/>
        <v/>
      </c>
    </row>
    <row r="6336" spans="10:12" ht="16.5" customHeight="1" x14ac:dyDescent="0.35">
      <c r="J6336" s="56" t="str">
        <f t="shared" si="294"/>
        <v/>
      </c>
      <c r="K6336" s="74" t="str">
        <f t="shared" si="295"/>
        <v/>
      </c>
      <c r="L6336" s="58" t="str">
        <f t="shared" si="296"/>
        <v/>
      </c>
    </row>
    <row r="6337" spans="10:12" ht="16.5" customHeight="1" x14ac:dyDescent="0.35">
      <c r="J6337" s="56" t="str">
        <f t="shared" si="294"/>
        <v/>
      </c>
      <c r="K6337" s="74" t="str">
        <f t="shared" si="295"/>
        <v/>
      </c>
      <c r="L6337" s="58" t="str">
        <f t="shared" si="296"/>
        <v/>
      </c>
    </row>
    <row r="6338" spans="10:12" ht="16.5" customHeight="1" x14ac:dyDescent="0.35">
      <c r="J6338" s="56" t="str">
        <f t="shared" si="294"/>
        <v/>
      </c>
      <c r="K6338" s="74" t="str">
        <f t="shared" si="295"/>
        <v/>
      </c>
      <c r="L6338" s="58" t="str">
        <f t="shared" si="296"/>
        <v/>
      </c>
    </row>
    <row r="6339" spans="10:12" ht="16.5" customHeight="1" x14ac:dyDescent="0.35">
      <c r="J6339" s="56" t="str">
        <f t="shared" si="294"/>
        <v/>
      </c>
      <c r="K6339" s="74" t="str">
        <f t="shared" si="295"/>
        <v/>
      </c>
      <c r="L6339" s="58" t="str">
        <f t="shared" si="296"/>
        <v/>
      </c>
    </row>
    <row r="6340" spans="10:12" ht="16.5" customHeight="1" x14ac:dyDescent="0.35">
      <c r="J6340" s="56" t="str">
        <f t="shared" si="294"/>
        <v/>
      </c>
      <c r="K6340" s="74" t="str">
        <f t="shared" si="295"/>
        <v/>
      </c>
      <c r="L6340" s="58" t="str">
        <f t="shared" si="296"/>
        <v/>
      </c>
    </row>
    <row r="6341" spans="10:12" ht="16.5" customHeight="1" x14ac:dyDescent="0.35">
      <c r="J6341" s="56" t="str">
        <f t="shared" si="294"/>
        <v/>
      </c>
      <c r="K6341" s="74" t="str">
        <f t="shared" si="295"/>
        <v/>
      </c>
      <c r="L6341" s="58" t="str">
        <f t="shared" si="296"/>
        <v/>
      </c>
    </row>
    <row r="6342" spans="10:12" ht="16.5" customHeight="1" x14ac:dyDescent="0.35">
      <c r="J6342" s="56" t="str">
        <f t="shared" si="294"/>
        <v/>
      </c>
      <c r="K6342" s="74" t="str">
        <f t="shared" si="295"/>
        <v/>
      </c>
      <c r="L6342" s="58" t="str">
        <f t="shared" si="296"/>
        <v/>
      </c>
    </row>
    <row r="6343" spans="10:12" ht="16.5" customHeight="1" x14ac:dyDescent="0.35">
      <c r="J6343" s="56" t="str">
        <f t="shared" si="294"/>
        <v/>
      </c>
      <c r="K6343" s="74" t="str">
        <f t="shared" si="295"/>
        <v/>
      </c>
      <c r="L6343" s="58" t="str">
        <f t="shared" si="296"/>
        <v/>
      </c>
    </row>
    <row r="6344" spans="10:12" ht="16.5" customHeight="1" x14ac:dyDescent="0.35">
      <c r="J6344" s="56" t="str">
        <f t="shared" si="294"/>
        <v/>
      </c>
      <c r="K6344" s="74" t="str">
        <f t="shared" si="295"/>
        <v/>
      </c>
      <c r="L6344" s="58" t="str">
        <f t="shared" si="296"/>
        <v/>
      </c>
    </row>
    <row r="6345" spans="10:12" ht="16.5" customHeight="1" x14ac:dyDescent="0.35">
      <c r="J6345" s="56" t="str">
        <f t="shared" ref="J6345:J6408" si="297">IF(A6345="","",A$5-A6345)</f>
        <v/>
      </c>
      <c r="K6345" s="74" t="str">
        <f t="shared" ref="K6345:K6408" si="298">IF(J6345="","",IF(J6345&lt;4,"0-3 Days",IF(J6345&lt;31,"4-30 Days",IF(J6345&lt;61,"31-60 Days",IF(J6345&lt;=90,"61-90 Days",IF(J6345&gt;90,"Above 90 Days","0"))))))</f>
        <v/>
      </c>
      <c r="L6345" s="58" t="str">
        <f t="shared" ref="L6345:L6408" si="299">IF(C6345="","",IF(C6345&gt;0,IF(J6345&lt;30,"Normal",IF(J6345&lt;60,"Especially Mentioned",IF(J6345&lt;90,"Substandard",IF(J6345&lt;=180,"Doubtful",IF(J6345&gt;180,"Loss","0"))))),"Not Applicable"))</f>
        <v/>
      </c>
    </row>
    <row r="6346" spans="10:12" ht="16.5" customHeight="1" x14ac:dyDescent="0.35">
      <c r="J6346" s="56" t="str">
        <f t="shared" si="297"/>
        <v/>
      </c>
      <c r="K6346" s="74" t="str">
        <f t="shared" si="298"/>
        <v/>
      </c>
      <c r="L6346" s="58" t="str">
        <f t="shared" si="299"/>
        <v/>
      </c>
    </row>
    <row r="6347" spans="10:12" ht="16.5" customHeight="1" x14ac:dyDescent="0.35">
      <c r="J6347" s="56" t="str">
        <f t="shared" si="297"/>
        <v/>
      </c>
      <c r="K6347" s="74" t="str">
        <f t="shared" si="298"/>
        <v/>
      </c>
      <c r="L6347" s="58" t="str">
        <f t="shared" si="299"/>
        <v/>
      </c>
    </row>
    <row r="6348" spans="10:12" ht="16.5" customHeight="1" x14ac:dyDescent="0.35">
      <c r="J6348" s="56" t="str">
        <f t="shared" si="297"/>
        <v/>
      </c>
      <c r="K6348" s="74" t="str">
        <f t="shared" si="298"/>
        <v/>
      </c>
      <c r="L6348" s="58" t="str">
        <f t="shared" si="299"/>
        <v/>
      </c>
    </row>
    <row r="6349" spans="10:12" ht="16.5" customHeight="1" x14ac:dyDescent="0.35">
      <c r="J6349" s="56" t="str">
        <f t="shared" si="297"/>
        <v/>
      </c>
      <c r="K6349" s="74" t="str">
        <f t="shared" si="298"/>
        <v/>
      </c>
      <c r="L6349" s="58" t="str">
        <f t="shared" si="299"/>
        <v/>
      </c>
    </row>
    <row r="6350" spans="10:12" ht="16.5" customHeight="1" x14ac:dyDescent="0.35">
      <c r="J6350" s="56" t="str">
        <f t="shared" si="297"/>
        <v/>
      </c>
      <c r="K6350" s="74" t="str">
        <f t="shared" si="298"/>
        <v/>
      </c>
      <c r="L6350" s="58" t="str">
        <f t="shared" si="299"/>
        <v/>
      </c>
    </row>
    <row r="6351" spans="10:12" ht="16.5" customHeight="1" x14ac:dyDescent="0.35">
      <c r="J6351" s="56" t="str">
        <f t="shared" si="297"/>
        <v/>
      </c>
      <c r="K6351" s="74" t="str">
        <f t="shared" si="298"/>
        <v/>
      </c>
      <c r="L6351" s="58" t="str">
        <f t="shared" si="299"/>
        <v/>
      </c>
    </row>
    <row r="6352" spans="10:12" ht="16.5" customHeight="1" x14ac:dyDescent="0.35">
      <c r="J6352" s="56" t="str">
        <f t="shared" si="297"/>
        <v/>
      </c>
      <c r="K6352" s="74" t="str">
        <f t="shared" si="298"/>
        <v/>
      </c>
      <c r="L6352" s="58" t="str">
        <f t="shared" si="299"/>
        <v/>
      </c>
    </row>
    <row r="6353" spans="10:12" ht="16.5" customHeight="1" x14ac:dyDescent="0.35">
      <c r="J6353" s="56" t="str">
        <f t="shared" si="297"/>
        <v/>
      </c>
      <c r="K6353" s="74" t="str">
        <f t="shared" si="298"/>
        <v/>
      </c>
      <c r="L6353" s="58" t="str">
        <f t="shared" si="299"/>
        <v/>
      </c>
    </row>
    <row r="6354" spans="10:12" ht="16.5" customHeight="1" x14ac:dyDescent="0.35">
      <c r="J6354" s="56" t="str">
        <f t="shared" si="297"/>
        <v/>
      </c>
      <c r="K6354" s="74" t="str">
        <f t="shared" si="298"/>
        <v/>
      </c>
      <c r="L6354" s="58" t="str">
        <f t="shared" si="299"/>
        <v/>
      </c>
    </row>
    <row r="6355" spans="10:12" ht="16.5" customHeight="1" x14ac:dyDescent="0.35">
      <c r="J6355" s="56" t="str">
        <f t="shared" si="297"/>
        <v/>
      </c>
      <c r="K6355" s="74" t="str">
        <f t="shared" si="298"/>
        <v/>
      </c>
      <c r="L6355" s="58" t="str">
        <f t="shared" si="299"/>
        <v/>
      </c>
    </row>
    <row r="6356" spans="10:12" ht="16.5" customHeight="1" x14ac:dyDescent="0.35">
      <c r="J6356" s="56" t="str">
        <f t="shared" si="297"/>
        <v/>
      </c>
      <c r="K6356" s="74" t="str">
        <f t="shared" si="298"/>
        <v/>
      </c>
      <c r="L6356" s="58" t="str">
        <f t="shared" si="299"/>
        <v/>
      </c>
    </row>
    <row r="6357" spans="10:12" ht="16.5" customHeight="1" x14ac:dyDescent="0.35">
      <c r="J6357" s="56" t="str">
        <f t="shared" si="297"/>
        <v/>
      </c>
      <c r="K6357" s="74" t="str">
        <f t="shared" si="298"/>
        <v/>
      </c>
      <c r="L6357" s="58" t="str">
        <f t="shared" si="299"/>
        <v/>
      </c>
    </row>
    <row r="6358" spans="10:12" ht="16.5" customHeight="1" x14ac:dyDescent="0.35">
      <c r="J6358" s="56" t="str">
        <f t="shared" si="297"/>
        <v/>
      </c>
      <c r="K6358" s="74" t="str">
        <f t="shared" si="298"/>
        <v/>
      </c>
      <c r="L6358" s="58" t="str">
        <f t="shared" si="299"/>
        <v/>
      </c>
    </row>
    <row r="6359" spans="10:12" ht="16.5" customHeight="1" x14ac:dyDescent="0.35">
      <c r="J6359" s="56" t="str">
        <f t="shared" si="297"/>
        <v/>
      </c>
      <c r="K6359" s="74" t="str">
        <f t="shared" si="298"/>
        <v/>
      </c>
      <c r="L6359" s="58" t="str">
        <f t="shared" si="299"/>
        <v/>
      </c>
    </row>
    <row r="6360" spans="10:12" ht="16.5" customHeight="1" x14ac:dyDescent="0.35">
      <c r="J6360" s="56" t="str">
        <f t="shared" si="297"/>
        <v/>
      </c>
      <c r="K6360" s="74" t="str">
        <f t="shared" si="298"/>
        <v/>
      </c>
      <c r="L6360" s="58" t="str">
        <f t="shared" si="299"/>
        <v/>
      </c>
    </row>
    <row r="6361" spans="10:12" ht="16.5" customHeight="1" x14ac:dyDescent="0.35">
      <c r="J6361" s="56" t="str">
        <f t="shared" si="297"/>
        <v/>
      </c>
      <c r="K6361" s="74" t="str">
        <f t="shared" si="298"/>
        <v/>
      </c>
      <c r="L6361" s="58" t="str">
        <f t="shared" si="299"/>
        <v/>
      </c>
    </row>
    <row r="6362" spans="10:12" ht="16.5" customHeight="1" x14ac:dyDescent="0.35">
      <c r="J6362" s="56" t="str">
        <f t="shared" si="297"/>
        <v/>
      </c>
      <c r="K6362" s="74" t="str">
        <f t="shared" si="298"/>
        <v/>
      </c>
      <c r="L6362" s="58" t="str">
        <f t="shared" si="299"/>
        <v/>
      </c>
    </row>
    <row r="6363" spans="10:12" ht="16.5" customHeight="1" x14ac:dyDescent="0.35">
      <c r="J6363" s="56" t="str">
        <f t="shared" si="297"/>
        <v/>
      </c>
      <c r="K6363" s="74" t="str">
        <f t="shared" si="298"/>
        <v/>
      </c>
      <c r="L6363" s="58" t="str">
        <f t="shared" si="299"/>
        <v/>
      </c>
    </row>
    <row r="6364" spans="10:12" ht="16.5" customHeight="1" x14ac:dyDescent="0.35">
      <c r="J6364" s="56" t="str">
        <f t="shared" si="297"/>
        <v/>
      </c>
      <c r="K6364" s="74" t="str">
        <f t="shared" si="298"/>
        <v/>
      </c>
      <c r="L6364" s="58" t="str">
        <f t="shared" si="299"/>
        <v/>
      </c>
    </row>
    <row r="6365" spans="10:12" ht="16.5" customHeight="1" x14ac:dyDescent="0.35">
      <c r="J6365" s="56" t="str">
        <f t="shared" si="297"/>
        <v/>
      </c>
      <c r="K6365" s="74" t="str">
        <f t="shared" si="298"/>
        <v/>
      </c>
      <c r="L6365" s="58" t="str">
        <f t="shared" si="299"/>
        <v/>
      </c>
    </row>
    <row r="6366" spans="10:12" ht="16.5" customHeight="1" x14ac:dyDescent="0.35">
      <c r="J6366" s="56" t="str">
        <f t="shared" si="297"/>
        <v/>
      </c>
      <c r="K6366" s="74" t="str">
        <f t="shared" si="298"/>
        <v/>
      </c>
      <c r="L6366" s="58" t="str">
        <f t="shared" si="299"/>
        <v/>
      </c>
    </row>
    <row r="6367" spans="10:12" ht="16.5" customHeight="1" x14ac:dyDescent="0.35">
      <c r="J6367" s="56" t="str">
        <f t="shared" si="297"/>
        <v/>
      </c>
      <c r="K6367" s="74" t="str">
        <f t="shared" si="298"/>
        <v/>
      </c>
      <c r="L6367" s="58" t="str">
        <f t="shared" si="299"/>
        <v/>
      </c>
    </row>
    <row r="6368" spans="10:12" ht="16.5" customHeight="1" x14ac:dyDescent="0.35">
      <c r="J6368" s="56" t="str">
        <f t="shared" si="297"/>
        <v/>
      </c>
      <c r="K6368" s="74" t="str">
        <f t="shared" si="298"/>
        <v/>
      </c>
      <c r="L6368" s="58" t="str">
        <f t="shared" si="299"/>
        <v/>
      </c>
    </row>
    <row r="6369" spans="10:12" ht="16.5" customHeight="1" x14ac:dyDescent="0.35">
      <c r="J6369" s="56" t="str">
        <f t="shared" si="297"/>
        <v/>
      </c>
      <c r="K6369" s="74" t="str">
        <f t="shared" si="298"/>
        <v/>
      </c>
      <c r="L6369" s="58" t="str">
        <f t="shared" si="299"/>
        <v/>
      </c>
    </row>
    <row r="6370" spans="10:12" ht="16.5" customHeight="1" x14ac:dyDescent="0.35">
      <c r="J6370" s="56" t="str">
        <f t="shared" si="297"/>
        <v/>
      </c>
      <c r="K6370" s="74" t="str">
        <f t="shared" si="298"/>
        <v/>
      </c>
      <c r="L6370" s="58" t="str">
        <f t="shared" si="299"/>
        <v/>
      </c>
    </row>
    <row r="6371" spans="10:12" ht="16.5" customHeight="1" x14ac:dyDescent="0.35">
      <c r="J6371" s="56" t="str">
        <f t="shared" si="297"/>
        <v/>
      </c>
      <c r="K6371" s="74" t="str">
        <f t="shared" si="298"/>
        <v/>
      </c>
      <c r="L6371" s="58" t="str">
        <f t="shared" si="299"/>
        <v/>
      </c>
    </row>
    <row r="6372" spans="10:12" ht="16.5" customHeight="1" x14ac:dyDescent="0.35">
      <c r="J6372" s="56" t="str">
        <f t="shared" si="297"/>
        <v/>
      </c>
      <c r="K6372" s="74" t="str">
        <f t="shared" si="298"/>
        <v/>
      </c>
      <c r="L6372" s="58" t="str">
        <f t="shared" si="299"/>
        <v/>
      </c>
    </row>
    <row r="6373" spans="10:12" ht="16.5" customHeight="1" x14ac:dyDescent="0.35">
      <c r="J6373" s="56" t="str">
        <f t="shared" si="297"/>
        <v/>
      </c>
      <c r="K6373" s="74" t="str">
        <f t="shared" si="298"/>
        <v/>
      </c>
      <c r="L6373" s="58" t="str">
        <f t="shared" si="299"/>
        <v/>
      </c>
    </row>
    <row r="6374" spans="10:12" ht="16.5" customHeight="1" x14ac:dyDescent="0.35">
      <c r="J6374" s="56" t="str">
        <f t="shared" si="297"/>
        <v/>
      </c>
      <c r="K6374" s="74" t="str">
        <f t="shared" si="298"/>
        <v/>
      </c>
      <c r="L6374" s="58" t="str">
        <f t="shared" si="299"/>
        <v/>
      </c>
    </row>
    <row r="6375" spans="10:12" ht="16.5" customHeight="1" x14ac:dyDescent="0.35">
      <c r="J6375" s="56" t="str">
        <f t="shared" si="297"/>
        <v/>
      </c>
      <c r="K6375" s="74" t="str">
        <f t="shared" si="298"/>
        <v/>
      </c>
      <c r="L6375" s="58" t="str">
        <f t="shared" si="299"/>
        <v/>
      </c>
    </row>
    <row r="6376" spans="10:12" ht="16.5" customHeight="1" x14ac:dyDescent="0.35">
      <c r="J6376" s="56" t="str">
        <f t="shared" si="297"/>
        <v/>
      </c>
      <c r="K6376" s="74" t="str">
        <f t="shared" si="298"/>
        <v/>
      </c>
      <c r="L6376" s="58" t="str">
        <f t="shared" si="299"/>
        <v/>
      </c>
    </row>
    <row r="6377" spans="10:12" ht="16.5" customHeight="1" x14ac:dyDescent="0.35">
      <c r="J6377" s="56" t="str">
        <f t="shared" si="297"/>
        <v/>
      </c>
      <c r="K6377" s="74" t="str">
        <f t="shared" si="298"/>
        <v/>
      </c>
      <c r="L6377" s="58" t="str">
        <f t="shared" si="299"/>
        <v/>
      </c>
    </row>
    <row r="6378" spans="10:12" ht="16.5" customHeight="1" x14ac:dyDescent="0.35">
      <c r="J6378" s="56" t="str">
        <f t="shared" si="297"/>
        <v/>
      </c>
      <c r="K6378" s="74" t="str">
        <f t="shared" si="298"/>
        <v/>
      </c>
      <c r="L6378" s="58" t="str">
        <f t="shared" si="299"/>
        <v/>
      </c>
    </row>
    <row r="6379" spans="10:12" ht="16.5" customHeight="1" x14ac:dyDescent="0.35">
      <c r="J6379" s="56" t="str">
        <f t="shared" si="297"/>
        <v/>
      </c>
      <c r="K6379" s="74" t="str">
        <f t="shared" si="298"/>
        <v/>
      </c>
      <c r="L6379" s="58" t="str">
        <f t="shared" si="299"/>
        <v/>
      </c>
    </row>
    <row r="6380" spans="10:12" ht="16.5" customHeight="1" x14ac:dyDescent="0.35">
      <c r="J6380" s="56" t="str">
        <f t="shared" si="297"/>
        <v/>
      </c>
      <c r="K6380" s="74" t="str">
        <f t="shared" si="298"/>
        <v/>
      </c>
      <c r="L6380" s="58" t="str">
        <f t="shared" si="299"/>
        <v/>
      </c>
    </row>
    <row r="6381" spans="10:12" ht="16.5" customHeight="1" x14ac:dyDescent="0.35">
      <c r="J6381" s="56" t="str">
        <f t="shared" si="297"/>
        <v/>
      </c>
      <c r="K6381" s="74" t="str">
        <f t="shared" si="298"/>
        <v/>
      </c>
      <c r="L6381" s="58" t="str">
        <f t="shared" si="299"/>
        <v/>
      </c>
    </row>
    <row r="6382" spans="10:12" ht="16.5" customHeight="1" x14ac:dyDescent="0.35">
      <c r="J6382" s="56" t="str">
        <f t="shared" si="297"/>
        <v/>
      </c>
      <c r="K6382" s="74" t="str">
        <f t="shared" si="298"/>
        <v/>
      </c>
      <c r="L6382" s="58" t="str">
        <f t="shared" si="299"/>
        <v/>
      </c>
    </row>
    <row r="6383" spans="10:12" ht="16.5" customHeight="1" x14ac:dyDescent="0.35">
      <c r="J6383" s="56" t="str">
        <f t="shared" si="297"/>
        <v/>
      </c>
      <c r="K6383" s="74" t="str">
        <f t="shared" si="298"/>
        <v/>
      </c>
      <c r="L6383" s="58" t="str">
        <f t="shared" si="299"/>
        <v/>
      </c>
    </row>
    <row r="6384" spans="10:12" ht="16.5" customHeight="1" x14ac:dyDescent="0.35">
      <c r="J6384" s="56" t="str">
        <f t="shared" si="297"/>
        <v/>
      </c>
      <c r="K6384" s="74" t="str">
        <f t="shared" si="298"/>
        <v/>
      </c>
      <c r="L6384" s="58" t="str">
        <f t="shared" si="299"/>
        <v/>
      </c>
    </row>
    <row r="6385" spans="10:12" ht="16.5" customHeight="1" x14ac:dyDescent="0.35">
      <c r="J6385" s="56" t="str">
        <f t="shared" si="297"/>
        <v/>
      </c>
      <c r="K6385" s="74" t="str">
        <f t="shared" si="298"/>
        <v/>
      </c>
      <c r="L6385" s="58" t="str">
        <f t="shared" si="299"/>
        <v/>
      </c>
    </row>
    <row r="6386" spans="10:12" ht="16.5" customHeight="1" x14ac:dyDescent="0.35">
      <c r="J6386" s="56" t="str">
        <f t="shared" si="297"/>
        <v/>
      </c>
      <c r="K6386" s="74" t="str">
        <f t="shared" si="298"/>
        <v/>
      </c>
      <c r="L6386" s="58" t="str">
        <f t="shared" si="299"/>
        <v/>
      </c>
    </row>
    <row r="6387" spans="10:12" ht="16.5" customHeight="1" x14ac:dyDescent="0.35">
      <c r="J6387" s="56" t="str">
        <f t="shared" si="297"/>
        <v/>
      </c>
      <c r="K6387" s="74" t="str">
        <f t="shared" si="298"/>
        <v/>
      </c>
      <c r="L6387" s="58" t="str">
        <f t="shared" si="299"/>
        <v/>
      </c>
    </row>
    <row r="6388" spans="10:12" ht="16.5" customHeight="1" x14ac:dyDescent="0.35">
      <c r="J6388" s="56" t="str">
        <f t="shared" si="297"/>
        <v/>
      </c>
      <c r="K6388" s="74" t="str">
        <f t="shared" si="298"/>
        <v/>
      </c>
      <c r="L6388" s="58" t="str">
        <f t="shared" si="299"/>
        <v/>
      </c>
    </row>
    <row r="6389" spans="10:12" ht="16.5" customHeight="1" x14ac:dyDescent="0.35">
      <c r="J6389" s="56" t="str">
        <f t="shared" si="297"/>
        <v/>
      </c>
      <c r="K6389" s="74" t="str">
        <f t="shared" si="298"/>
        <v/>
      </c>
      <c r="L6389" s="58" t="str">
        <f t="shared" si="299"/>
        <v/>
      </c>
    </row>
    <row r="6390" spans="10:12" ht="16.5" customHeight="1" x14ac:dyDescent="0.35">
      <c r="J6390" s="56" t="str">
        <f t="shared" si="297"/>
        <v/>
      </c>
      <c r="K6390" s="74" t="str">
        <f t="shared" si="298"/>
        <v/>
      </c>
      <c r="L6390" s="58" t="str">
        <f t="shared" si="299"/>
        <v/>
      </c>
    </row>
    <row r="6391" spans="10:12" ht="16.5" customHeight="1" x14ac:dyDescent="0.35">
      <c r="J6391" s="56" t="str">
        <f t="shared" si="297"/>
        <v/>
      </c>
      <c r="K6391" s="74" t="str">
        <f t="shared" si="298"/>
        <v/>
      </c>
      <c r="L6391" s="58" t="str">
        <f t="shared" si="299"/>
        <v/>
      </c>
    </row>
    <row r="6392" spans="10:12" ht="16.5" customHeight="1" x14ac:dyDescent="0.35">
      <c r="J6392" s="56" t="str">
        <f t="shared" si="297"/>
        <v/>
      </c>
      <c r="K6392" s="74" t="str">
        <f t="shared" si="298"/>
        <v/>
      </c>
      <c r="L6392" s="58" t="str">
        <f t="shared" si="299"/>
        <v/>
      </c>
    </row>
    <row r="6393" spans="10:12" ht="16.5" customHeight="1" x14ac:dyDescent="0.35">
      <c r="J6393" s="56" t="str">
        <f t="shared" si="297"/>
        <v/>
      </c>
      <c r="K6393" s="74" t="str">
        <f t="shared" si="298"/>
        <v/>
      </c>
      <c r="L6393" s="58" t="str">
        <f t="shared" si="299"/>
        <v/>
      </c>
    </row>
    <row r="6394" spans="10:12" ht="16.5" customHeight="1" x14ac:dyDescent="0.35">
      <c r="J6394" s="56" t="str">
        <f t="shared" si="297"/>
        <v/>
      </c>
      <c r="K6394" s="74" t="str">
        <f t="shared" si="298"/>
        <v/>
      </c>
      <c r="L6394" s="58" t="str">
        <f t="shared" si="299"/>
        <v/>
      </c>
    </row>
    <row r="6395" spans="10:12" ht="16.5" customHeight="1" x14ac:dyDescent="0.35">
      <c r="J6395" s="56" t="str">
        <f t="shared" si="297"/>
        <v/>
      </c>
      <c r="K6395" s="74" t="str">
        <f t="shared" si="298"/>
        <v/>
      </c>
      <c r="L6395" s="58" t="str">
        <f t="shared" si="299"/>
        <v/>
      </c>
    </row>
    <row r="6396" spans="10:12" ht="16.5" customHeight="1" x14ac:dyDescent="0.35">
      <c r="J6396" s="56" t="str">
        <f t="shared" si="297"/>
        <v/>
      </c>
      <c r="K6396" s="74" t="str">
        <f t="shared" si="298"/>
        <v/>
      </c>
      <c r="L6396" s="58" t="str">
        <f t="shared" si="299"/>
        <v/>
      </c>
    </row>
    <row r="6397" spans="10:12" ht="16.5" customHeight="1" x14ac:dyDescent="0.35">
      <c r="J6397" s="56" t="str">
        <f t="shared" si="297"/>
        <v/>
      </c>
      <c r="K6397" s="74" t="str">
        <f t="shared" si="298"/>
        <v/>
      </c>
      <c r="L6397" s="58" t="str">
        <f t="shared" si="299"/>
        <v/>
      </c>
    </row>
    <row r="6398" spans="10:12" ht="16.5" customHeight="1" x14ac:dyDescent="0.35">
      <c r="J6398" s="56" t="str">
        <f t="shared" si="297"/>
        <v/>
      </c>
      <c r="K6398" s="74" t="str">
        <f t="shared" si="298"/>
        <v/>
      </c>
      <c r="L6398" s="58" t="str">
        <f t="shared" si="299"/>
        <v/>
      </c>
    </row>
    <row r="6399" spans="10:12" ht="16.5" customHeight="1" x14ac:dyDescent="0.35">
      <c r="J6399" s="56" t="str">
        <f t="shared" si="297"/>
        <v/>
      </c>
      <c r="K6399" s="74" t="str">
        <f t="shared" si="298"/>
        <v/>
      </c>
      <c r="L6399" s="58" t="str">
        <f t="shared" si="299"/>
        <v/>
      </c>
    </row>
    <row r="6400" spans="10:12" ht="16.5" customHeight="1" x14ac:dyDescent="0.35">
      <c r="J6400" s="56" t="str">
        <f t="shared" si="297"/>
        <v/>
      </c>
      <c r="K6400" s="74" t="str">
        <f t="shared" si="298"/>
        <v/>
      </c>
      <c r="L6400" s="58" t="str">
        <f t="shared" si="299"/>
        <v/>
      </c>
    </row>
    <row r="6401" spans="10:12" ht="16.5" customHeight="1" x14ac:dyDescent="0.35">
      <c r="J6401" s="56" t="str">
        <f t="shared" si="297"/>
        <v/>
      </c>
      <c r="K6401" s="74" t="str">
        <f t="shared" si="298"/>
        <v/>
      </c>
      <c r="L6401" s="58" t="str">
        <f t="shared" si="299"/>
        <v/>
      </c>
    </row>
    <row r="6402" spans="10:12" ht="16.5" customHeight="1" x14ac:dyDescent="0.35">
      <c r="J6402" s="56" t="str">
        <f t="shared" si="297"/>
        <v/>
      </c>
      <c r="K6402" s="74" t="str">
        <f t="shared" si="298"/>
        <v/>
      </c>
      <c r="L6402" s="58" t="str">
        <f t="shared" si="299"/>
        <v/>
      </c>
    </row>
    <row r="6403" spans="10:12" ht="16.5" customHeight="1" x14ac:dyDescent="0.35">
      <c r="J6403" s="56" t="str">
        <f t="shared" si="297"/>
        <v/>
      </c>
      <c r="K6403" s="74" t="str">
        <f t="shared" si="298"/>
        <v/>
      </c>
      <c r="L6403" s="58" t="str">
        <f t="shared" si="299"/>
        <v/>
      </c>
    </row>
    <row r="6404" spans="10:12" ht="16.5" customHeight="1" x14ac:dyDescent="0.35">
      <c r="J6404" s="56" t="str">
        <f t="shared" si="297"/>
        <v/>
      </c>
      <c r="K6404" s="74" t="str">
        <f t="shared" si="298"/>
        <v/>
      </c>
      <c r="L6404" s="58" t="str">
        <f t="shared" si="299"/>
        <v/>
      </c>
    </row>
    <row r="6405" spans="10:12" ht="16.5" customHeight="1" x14ac:dyDescent="0.35">
      <c r="J6405" s="56" t="str">
        <f t="shared" si="297"/>
        <v/>
      </c>
      <c r="K6405" s="74" t="str">
        <f t="shared" si="298"/>
        <v/>
      </c>
      <c r="L6405" s="58" t="str">
        <f t="shared" si="299"/>
        <v/>
      </c>
    </row>
    <row r="6406" spans="10:12" ht="16.5" customHeight="1" x14ac:dyDescent="0.35">
      <c r="J6406" s="56" t="str">
        <f t="shared" si="297"/>
        <v/>
      </c>
      <c r="K6406" s="74" t="str">
        <f t="shared" si="298"/>
        <v/>
      </c>
      <c r="L6406" s="58" t="str">
        <f t="shared" si="299"/>
        <v/>
      </c>
    </row>
    <row r="6407" spans="10:12" ht="16.5" customHeight="1" x14ac:dyDescent="0.35">
      <c r="J6407" s="56" t="str">
        <f t="shared" si="297"/>
        <v/>
      </c>
      <c r="K6407" s="74" t="str">
        <f t="shared" si="298"/>
        <v/>
      </c>
      <c r="L6407" s="58" t="str">
        <f t="shared" si="299"/>
        <v/>
      </c>
    </row>
    <row r="6408" spans="10:12" ht="16.5" customHeight="1" x14ac:dyDescent="0.35">
      <c r="J6408" s="56" t="str">
        <f t="shared" si="297"/>
        <v/>
      </c>
      <c r="K6408" s="74" t="str">
        <f t="shared" si="298"/>
        <v/>
      </c>
      <c r="L6408" s="58" t="str">
        <f t="shared" si="299"/>
        <v/>
      </c>
    </row>
    <row r="6409" spans="10:12" ht="16.5" customHeight="1" x14ac:dyDescent="0.35">
      <c r="J6409" s="56" t="str">
        <f t="shared" ref="J6409:J6472" si="300">IF(A6409="","",A$5-A6409)</f>
        <v/>
      </c>
      <c r="K6409" s="74" t="str">
        <f t="shared" ref="K6409:K6472" si="301">IF(J6409="","",IF(J6409&lt;4,"0-3 Days",IF(J6409&lt;31,"4-30 Days",IF(J6409&lt;61,"31-60 Days",IF(J6409&lt;=90,"61-90 Days",IF(J6409&gt;90,"Above 90 Days","0"))))))</f>
        <v/>
      </c>
      <c r="L6409" s="58" t="str">
        <f t="shared" ref="L6409:L6472" si="302">IF(C6409="","",IF(C6409&gt;0,IF(J6409&lt;30,"Normal",IF(J6409&lt;60,"Especially Mentioned",IF(J6409&lt;90,"Substandard",IF(J6409&lt;=180,"Doubtful",IF(J6409&gt;180,"Loss","0"))))),"Not Applicable"))</f>
        <v/>
      </c>
    </row>
    <row r="6410" spans="10:12" ht="16.5" customHeight="1" x14ac:dyDescent="0.35">
      <c r="J6410" s="56" t="str">
        <f t="shared" si="300"/>
        <v/>
      </c>
      <c r="K6410" s="74" t="str">
        <f t="shared" si="301"/>
        <v/>
      </c>
      <c r="L6410" s="58" t="str">
        <f t="shared" si="302"/>
        <v/>
      </c>
    </row>
    <row r="6411" spans="10:12" ht="16.5" customHeight="1" x14ac:dyDescent="0.35">
      <c r="J6411" s="56" t="str">
        <f t="shared" si="300"/>
        <v/>
      </c>
      <c r="K6411" s="74" t="str">
        <f t="shared" si="301"/>
        <v/>
      </c>
      <c r="L6411" s="58" t="str">
        <f t="shared" si="302"/>
        <v/>
      </c>
    </row>
    <row r="6412" spans="10:12" ht="16.5" customHeight="1" x14ac:dyDescent="0.35">
      <c r="J6412" s="56" t="str">
        <f t="shared" si="300"/>
        <v/>
      </c>
      <c r="K6412" s="74" t="str">
        <f t="shared" si="301"/>
        <v/>
      </c>
      <c r="L6412" s="58" t="str">
        <f t="shared" si="302"/>
        <v/>
      </c>
    </row>
    <row r="6413" spans="10:12" ht="16.5" customHeight="1" x14ac:dyDescent="0.35">
      <c r="J6413" s="56" t="str">
        <f t="shared" si="300"/>
        <v/>
      </c>
      <c r="K6413" s="74" t="str">
        <f t="shared" si="301"/>
        <v/>
      </c>
      <c r="L6413" s="58" t="str">
        <f t="shared" si="302"/>
        <v/>
      </c>
    </row>
    <row r="6414" spans="10:12" ht="16.5" customHeight="1" x14ac:dyDescent="0.35">
      <c r="J6414" s="56" t="str">
        <f t="shared" si="300"/>
        <v/>
      </c>
      <c r="K6414" s="74" t="str">
        <f t="shared" si="301"/>
        <v/>
      </c>
      <c r="L6414" s="58" t="str">
        <f t="shared" si="302"/>
        <v/>
      </c>
    </row>
    <row r="6415" spans="10:12" ht="16.5" customHeight="1" x14ac:dyDescent="0.35">
      <c r="J6415" s="56" t="str">
        <f t="shared" si="300"/>
        <v/>
      </c>
      <c r="K6415" s="74" t="str">
        <f t="shared" si="301"/>
        <v/>
      </c>
      <c r="L6415" s="58" t="str">
        <f t="shared" si="302"/>
        <v/>
      </c>
    </row>
    <row r="6416" spans="10:12" ht="16.5" customHeight="1" x14ac:dyDescent="0.35">
      <c r="J6416" s="56" t="str">
        <f t="shared" si="300"/>
        <v/>
      </c>
      <c r="K6416" s="74" t="str">
        <f t="shared" si="301"/>
        <v/>
      </c>
      <c r="L6416" s="58" t="str">
        <f t="shared" si="302"/>
        <v/>
      </c>
    </row>
    <row r="6417" spans="10:12" ht="16.5" customHeight="1" x14ac:dyDescent="0.35">
      <c r="J6417" s="56" t="str">
        <f t="shared" si="300"/>
        <v/>
      </c>
      <c r="K6417" s="74" t="str">
        <f t="shared" si="301"/>
        <v/>
      </c>
      <c r="L6417" s="58" t="str">
        <f t="shared" si="302"/>
        <v/>
      </c>
    </row>
    <row r="6418" spans="10:12" ht="16.5" customHeight="1" x14ac:dyDescent="0.35">
      <c r="J6418" s="56" t="str">
        <f t="shared" si="300"/>
        <v/>
      </c>
      <c r="K6418" s="74" t="str">
        <f t="shared" si="301"/>
        <v/>
      </c>
      <c r="L6418" s="58" t="str">
        <f t="shared" si="302"/>
        <v/>
      </c>
    </row>
    <row r="6419" spans="10:12" ht="16.5" customHeight="1" x14ac:dyDescent="0.35">
      <c r="J6419" s="56" t="str">
        <f t="shared" si="300"/>
        <v/>
      </c>
      <c r="K6419" s="74" t="str">
        <f t="shared" si="301"/>
        <v/>
      </c>
      <c r="L6419" s="58" t="str">
        <f t="shared" si="302"/>
        <v/>
      </c>
    </row>
    <row r="6420" spans="10:12" ht="16.5" customHeight="1" x14ac:dyDescent="0.35">
      <c r="J6420" s="56" t="str">
        <f t="shared" si="300"/>
        <v/>
      </c>
      <c r="K6420" s="74" t="str">
        <f t="shared" si="301"/>
        <v/>
      </c>
      <c r="L6420" s="58" t="str">
        <f t="shared" si="302"/>
        <v/>
      </c>
    </row>
    <row r="6421" spans="10:12" ht="16.5" customHeight="1" x14ac:dyDescent="0.35">
      <c r="J6421" s="56" t="str">
        <f t="shared" si="300"/>
        <v/>
      </c>
      <c r="K6421" s="74" t="str">
        <f t="shared" si="301"/>
        <v/>
      </c>
      <c r="L6421" s="58" t="str">
        <f t="shared" si="302"/>
        <v/>
      </c>
    </row>
    <row r="6422" spans="10:12" ht="16.5" customHeight="1" x14ac:dyDescent="0.35">
      <c r="J6422" s="56" t="str">
        <f t="shared" si="300"/>
        <v/>
      </c>
      <c r="K6422" s="74" t="str">
        <f t="shared" si="301"/>
        <v/>
      </c>
      <c r="L6422" s="58" t="str">
        <f t="shared" si="302"/>
        <v/>
      </c>
    </row>
    <row r="6423" spans="10:12" ht="16.5" customHeight="1" x14ac:dyDescent="0.35">
      <c r="J6423" s="56" t="str">
        <f t="shared" si="300"/>
        <v/>
      </c>
      <c r="K6423" s="74" t="str">
        <f t="shared" si="301"/>
        <v/>
      </c>
      <c r="L6423" s="58" t="str">
        <f t="shared" si="302"/>
        <v/>
      </c>
    </row>
    <row r="6424" spans="10:12" ht="16.5" customHeight="1" x14ac:dyDescent="0.35">
      <c r="J6424" s="56" t="str">
        <f t="shared" si="300"/>
        <v/>
      </c>
      <c r="K6424" s="74" t="str">
        <f t="shared" si="301"/>
        <v/>
      </c>
      <c r="L6424" s="58" t="str">
        <f t="shared" si="302"/>
        <v/>
      </c>
    </row>
    <row r="6425" spans="10:12" ht="16.5" customHeight="1" x14ac:dyDescent="0.35">
      <c r="J6425" s="56" t="str">
        <f t="shared" si="300"/>
        <v/>
      </c>
      <c r="K6425" s="74" t="str">
        <f t="shared" si="301"/>
        <v/>
      </c>
      <c r="L6425" s="58" t="str">
        <f t="shared" si="302"/>
        <v/>
      </c>
    </row>
    <row r="6426" spans="10:12" ht="16.5" customHeight="1" x14ac:dyDescent="0.35">
      <c r="J6426" s="56" t="str">
        <f t="shared" si="300"/>
        <v/>
      </c>
      <c r="K6426" s="74" t="str">
        <f t="shared" si="301"/>
        <v/>
      </c>
      <c r="L6426" s="58" t="str">
        <f t="shared" si="302"/>
        <v/>
      </c>
    </row>
    <row r="6427" spans="10:12" ht="16.5" customHeight="1" x14ac:dyDescent="0.35">
      <c r="J6427" s="56" t="str">
        <f t="shared" si="300"/>
        <v/>
      </c>
      <c r="K6427" s="74" t="str">
        <f t="shared" si="301"/>
        <v/>
      </c>
      <c r="L6427" s="58" t="str">
        <f t="shared" si="302"/>
        <v/>
      </c>
    </row>
    <row r="6428" spans="10:12" ht="16.5" customHeight="1" x14ac:dyDescent="0.35">
      <c r="J6428" s="56" t="str">
        <f t="shared" si="300"/>
        <v/>
      </c>
      <c r="K6428" s="74" t="str">
        <f t="shared" si="301"/>
        <v/>
      </c>
      <c r="L6428" s="58" t="str">
        <f t="shared" si="302"/>
        <v/>
      </c>
    </row>
    <row r="6429" spans="10:12" ht="16.5" customHeight="1" x14ac:dyDescent="0.35">
      <c r="J6429" s="56" t="str">
        <f t="shared" si="300"/>
        <v/>
      </c>
      <c r="K6429" s="74" t="str">
        <f t="shared" si="301"/>
        <v/>
      </c>
      <c r="L6429" s="58" t="str">
        <f t="shared" si="302"/>
        <v/>
      </c>
    </row>
    <row r="6430" spans="10:12" ht="16.5" customHeight="1" x14ac:dyDescent="0.35">
      <c r="J6430" s="56" t="str">
        <f t="shared" si="300"/>
        <v/>
      </c>
      <c r="K6430" s="74" t="str">
        <f t="shared" si="301"/>
        <v/>
      </c>
      <c r="L6430" s="58" t="str">
        <f t="shared" si="302"/>
        <v/>
      </c>
    </row>
    <row r="6431" spans="10:12" ht="16.5" customHeight="1" x14ac:dyDescent="0.35">
      <c r="J6431" s="56" t="str">
        <f t="shared" si="300"/>
        <v/>
      </c>
      <c r="K6431" s="74" t="str">
        <f t="shared" si="301"/>
        <v/>
      </c>
      <c r="L6431" s="58" t="str">
        <f t="shared" si="302"/>
        <v/>
      </c>
    </row>
    <row r="6432" spans="10:12" ht="16.5" customHeight="1" x14ac:dyDescent="0.35">
      <c r="J6432" s="56" t="str">
        <f t="shared" si="300"/>
        <v/>
      </c>
      <c r="K6432" s="74" t="str">
        <f t="shared" si="301"/>
        <v/>
      </c>
      <c r="L6432" s="58" t="str">
        <f t="shared" si="302"/>
        <v/>
      </c>
    </row>
    <row r="6433" spans="10:12" ht="16.5" customHeight="1" x14ac:dyDescent="0.35">
      <c r="J6433" s="56" t="str">
        <f t="shared" si="300"/>
        <v/>
      </c>
      <c r="K6433" s="74" t="str">
        <f t="shared" si="301"/>
        <v/>
      </c>
      <c r="L6433" s="58" t="str">
        <f t="shared" si="302"/>
        <v/>
      </c>
    </row>
    <row r="6434" spans="10:12" ht="16.5" customHeight="1" x14ac:dyDescent="0.35">
      <c r="J6434" s="56" t="str">
        <f t="shared" si="300"/>
        <v/>
      </c>
      <c r="K6434" s="74" t="str">
        <f t="shared" si="301"/>
        <v/>
      </c>
      <c r="L6434" s="58" t="str">
        <f t="shared" si="302"/>
        <v/>
      </c>
    </row>
    <row r="6435" spans="10:12" ht="16.5" customHeight="1" x14ac:dyDescent="0.35">
      <c r="J6435" s="56" t="str">
        <f t="shared" si="300"/>
        <v/>
      </c>
      <c r="K6435" s="74" t="str">
        <f t="shared" si="301"/>
        <v/>
      </c>
      <c r="L6435" s="58" t="str">
        <f t="shared" si="302"/>
        <v/>
      </c>
    </row>
    <row r="6436" spans="10:12" ht="16.5" customHeight="1" x14ac:dyDescent="0.35">
      <c r="J6436" s="56" t="str">
        <f t="shared" si="300"/>
        <v/>
      </c>
      <c r="K6436" s="74" t="str">
        <f t="shared" si="301"/>
        <v/>
      </c>
      <c r="L6436" s="58" t="str">
        <f t="shared" si="302"/>
        <v/>
      </c>
    </row>
    <row r="6437" spans="10:12" ht="16.5" customHeight="1" x14ac:dyDescent="0.35">
      <c r="J6437" s="56" t="str">
        <f t="shared" si="300"/>
        <v/>
      </c>
      <c r="K6437" s="74" t="str">
        <f t="shared" si="301"/>
        <v/>
      </c>
      <c r="L6437" s="58" t="str">
        <f t="shared" si="302"/>
        <v/>
      </c>
    </row>
    <row r="6438" spans="10:12" ht="16.5" customHeight="1" x14ac:dyDescent="0.35">
      <c r="J6438" s="56" t="str">
        <f t="shared" si="300"/>
        <v/>
      </c>
      <c r="K6438" s="74" t="str">
        <f t="shared" si="301"/>
        <v/>
      </c>
      <c r="L6438" s="58" t="str">
        <f t="shared" si="302"/>
        <v/>
      </c>
    </row>
    <row r="6439" spans="10:12" ht="16.5" customHeight="1" x14ac:dyDescent="0.35">
      <c r="J6439" s="56" t="str">
        <f t="shared" si="300"/>
        <v/>
      </c>
      <c r="K6439" s="74" t="str">
        <f t="shared" si="301"/>
        <v/>
      </c>
      <c r="L6439" s="58" t="str">
        <f t="shared" si="302"/>
        <v/>
      </c>
    </row>
    <row r="6440" spans="10:12" ht="16.5" customHeight="1" x14ac:dyDescent="0.35">
      <c r="J6440" s="56" t="str">
        <f t="shared" si="300"/>
        <v/>
      </c>
      <c r="K6440" s="74" t="str">
        <f t="shared" si="301"/>
        <v/>
      </c>
      <c r="L6440" s="58" t="str">
        <f t="shared" si="302"/>
        <v/>
      </c>
    </row>
    <row r="6441" spans="10:12" ht="16.5" customHeight="1" x14ac:dyDescent="0.35">
      <c r="J6441" s="56" t="str">
        <f t="shared" si="300"/>
        <v/>
      </c>
      <c r="K6441" s="74" t="str">
        <f t="shared" si="301"/>
        <v/>
      </c>
      <c r="L6441" s="58" t="str">
        <f t="shared" si="302"/>
        <v/>
      </c>
    </row>
    <row r="6442" spans="10:12" ht="16.5" customHeight="1" x14ac:dyDescent="0.35">
      <c r="J6442" s="56" t="str">
        <f t="shared" si="300"/>
        <v/>
      </c>
      <c r="K6442" s="74" t="str">
        <f t="shared" si="301"/>
        <v/>
      </c>
      <c r="L6442" s="58" t="str">
        <f t="shared" si="302"/>
        <v/>
      </c>
    </row>
    <row r="6443" spans="10:12" ht="16.5" customHeight="1" x14ac:dyDescent="0.35">
      <c r="J6443" s="56" t="str">
        <f t="shared" si="300"/>
        <v/>
      </c>
      <c r="K6443" s="74" t="str">
        <f t="shared" si="301"/>
        <v/>
      </c>
      <c r="L6443" s="58" t="str">
        <f t="shared" si="302"/>
        <v/>
      </c>
    </row>
    <row r="6444" spans="10:12" ht="16.5" customHeight="1" x14ac:dyDescent="0.35">
      <c r="J6444" s="56" t="str">
        <f t="shared" si="300"/>
        <v/>
      </c>
      <c r="K6444" s="74" t="str">
        <f t="shared" si="301"/>
        <v/>
      </c>
      <c r="L6444" s="58" t="str">
        <f t="shared" si="302"/>
        <v/>
      </c>
    </row>
    <row r="6445" spans="10:12" ht="16.5" customHeight="1" x14ac:dyDescent="0.35">
      <c r="J6445" s="56" t="str">
        <f t="shared" si="300"/>
        <v/>
      </c>
      <c r="K6445" s="74" t="str">
        <f t="shared" si="301"/>
        <v/>
      </c>
      <c r="L6445" s="58" t="str">
        <f t="shared" si="302"/>
        <v/>
      </c>
    </row>
    <row r="6446" spans="10:12" ht="16.5" customHeight="1" x14ac:dyDescent="0.35">
      <c r="J6446" s="56" t="str">
        <f t="shared" si="300"/>
        <v/>
      </c>
      <c r="K6446" s="74" t="str">
        <f t="shared" si="301"/>
        <v/>
      </c>
      <c r="L6446" s="58" t="str">
        <f t="shared" si="302"/>
        <v/>
      </c>
    </row>
    <row r="6447" spans="10:12" ht="16.5" customHeight="1" x14ac:dyDescent="0.35">
      <c r="J6447" s="56" t="str">
        <f t="shared" si="300"/>
        <v/>
      </c>
      <c r="K6447" s="74" t="str">
        <f t="shared" si="301"/>
        <v/>
      </c>
      <c r="L6447" s="58" t="str">
        <f t="shared" si="302"/>
        <v/>
      </c>
    </row>
    <row r="6448" spans="10:12" ht="16.5" customHeight="1" x14ac:dyDescent="0.35">
      <c r="J6448" s="56" t="str">
        <f t="shared" si="300"/>
        <v/>
      </c>
      <c r="K6448" s="74" t="str">
        <f t="shared" si="301"/>
        <v/>
      </c>
      <c r="L6448" s="58" t="str">
        <f t="shared" si="302"/>
        <v/>
      </c>
    </row>
    <row r="6449" spans="10:12" ht="16.5" customHeight="1" x14ac:dyDescent="0.35">
      <c r="J6449" s="56" t="str">
        <f t="shared" si="300"/>
        <v/>
      </c>
      <c r="K6449" s="74" t="str">
        <f t="shared" si="301"/>
        <v/>
      </c>
      <c r="L6449" s="58" t="str">
        <f t="shared" si="302"/>
        <v/>
      </c>
    </row>
    <row r="6450" spans="10:12" ht="16.5" customHeight="1" x14ac:dyDescent="0.35">
      <c r="J6450" s="56" t="str">
        <f t="shared" si="300"/>
        <v/>
      </c>
      <c r="K6450" s="74" t="str">
        <f t="shared" si="301"/>
        <v/>
      </c>
      <c r="L6450" s="58" t="str">
        <f t="shared" si="302"/>
        <v/>
      </c>
    </row>
    <row r="6451" spans="10:12" ht="16.5" customHeight="1" x14ac:dyDescent="0.35">
      <c r="J6451" s="56" t="str">
        <f t="shared" si="300"/>
        <v/>
      </c>
      <c r="K6451" s="74" t="str">
        <f t="shared" si="301"/>
        <v/>
      </c>
      <c r="L6451" s="58" t="str">
        <f t="shared" si="302"/>
        <v/>
      </c>
    </row>
    <row r="6452" spans="10:12" ht="16.5" customHeight="1" x14ac:dyDescent="0.35">
      <c r="J6452" s="56" t="str">
        <f t="shared" si="300"/>
        <v/>
      </c>
      <c r="K6452" s="74" t="str">
        <f t="shared" si="301"/>
        <v/>
      </c>
      <c r="L6452" s="58" t="str">
        <f t="shared" si="302"/>
        <v/>
      </c>
    </row>
    <row r="6453" spans="10:12" ht="16.5" customHeight="1" x14ac:dyDescent="0.35">
      <c r="J6453" s="56" t="str">
        <f t="shared" si="300"/>
        <v/>
      </c>
      <c r="K6453" s="74" t="str">
        <f t="shared" si="301"/>
        <v/>
      </c>
      <c r="L6453" s="58" t="str">
        <f t="shared" si="302"/>
        <v/>
      </c>
    </row>
    <row r="6454" spans="10:12" ht="16.5" customHeight="1" x14ac:dyDescent="0.35">
      <c r="J6454" s="56" t="str">
        <f t="shared" si="300"/>
        <v/>
      </c>
      <c r="K6454" s="74" t="str">
        <f t="shared" si="301"/>
        <v/>
      </c>
      <c r="L6454" s="58" t="str">
        <f t="shared" si="302"/>
        <v/>
      </c>
    </row>
    <row r="6455" spans="10:12" ht="16.5" customHeight="1" x14ac:dyDescent="0.35">
      <c r="J6455" s="56" t="str">
        <f t="shared" si="300"/>
        <v/>
      </c>
      <c r="K6455" s="74" t="str">
        <f t="shared" si="301"/>
        <v/>
      </c>
      <c r="L6455" s="58" t="str">
        <f t="shared" si="302"/>
        <v/>
      </c>
    </row>
    <row r="6456" spans="10:12" ht="16.5" customHeight="1" x14ac:dyDescent="0.35">
      <c r="J6456" s="56" t="str">
        <f t="shared" si="300"/>
        <v/>
      </c>
      <c r="K6456" s="74" t="str">
        <f t="shared" si="301"/>
        <v/>
      </c>
      <c r="L6456" s="58" t="str">
        <f t="shared" si="302"/>
        <v/>
      </c>
    </row>
    <row r="6457" spans="10:12" ht="16.5" customHeight="1" x14ac:dyDescent="0.35">
      <c r="J6457" s="56" t="str">
        <f t="shared" si="300"/>
        <v/>
      </c>
      <c r="K6457" s="74" t="str">
        <f t="shared" si="301"/>
        <v/>
      </c>
      <c r="L6457" s="58" t="str">
        <f t="shared" si="302"/>
        <v/>
      </c>
    </row>
    <row r="6458" spans="10:12" ht="16.5" customHeight="1" x14ac:dyDescent="0.35">
      <c r="J6458" s="56" t="str">
        <f t="shared" si="300"/>
        <v/>
      </c>
      <c r="K6458" s="74" t="str">
        <f t="shared" si="301"/>
        <v/>
      </c>
      <c r="L6458" s="58" t="str">
        <f t="shared" si="302"/>
        <v/>
      </c>
    </row>
    <row r="6459" spans="10:12" ht="16.5" customHeight="1" x14ac:dyDescent="0.35">
      <c r="J6459" s="56" t="str">
        <f t="shared" si="300"/>
        <v/>
      </c>
      <c r="K6459" s="74" t="str">
        <f t="shared" si="301"/>
        <v/>
      </c>
      <c r="L6459" s="58" t="str">
        <f t="shared" si="302"/>
        <v/>
      </c>
    </row>
    <row r="6460" spans="10:12" ht="16.5" customHeight="1" x14ac:dyDescent="0.35">
      <c r="J6460" s="56" t="str">
        <f t="shared" si="300"/>
        <v/>
      </c>
      <c r="K6460" s="74" t="str">
        <f t="shared" si="301"/>
        <v/>
      </c>
      <c r="L6460" s="58" t="str">
        <f t="shared" si="302"/>
        <v/>
      </c>
    </row>
    <row r="6461" spans="10:12" ht="16.5" customHeight="1" x14ac:dyDescent="0.35">
      <c r="J6461" s="56" t="str">
        <f t="shared" si="300"/>
        <v/>
      </c>
      <c r="K6461" s="74" t="str">
        <f t="shared" si="301"/>
        <v/>
      </c>
      <c r="L6461" s="58" t="str">
        <f t="shared" si="302"/>
        <v/>
      </c>
    </row>
    <row r="6462" spans="10:12" ht="16.5" customHeight="1" x14ac:dyDescent="0.35">
      <c r="J6462" s="56" t="str">
        <f t="shared" si="300"/>
        <v/>
      </c>
      <c r="K6462" s="74" t="str">
        <f t="shared" si="301"/>
        <v/>
      </c>
      <c r="L6462" s="58" t="str">
        <f t="shared" si="302"/>
        <v/>
      </c>
    </row>
    <row r="6463" spans="10:12" ht="16.5" customHeight="1" x14ac:dyDescent="0.35">
      <c r="J6463" s="56" t="str">
        <f t="shared" si="300"/>
        <v/>
      </c>
      <c r="K6463" s="74" t="str">
        <f t="shared" si="301"/>
        <v/>
      </c>
      <c r="L6463" s="58" t="str">
        <f t="shared" si="302"/>
        <v/>
      </c>
    </row>
    <row r="6464" spans="10:12" ht="16.5" customHeight="1" x14ac:dyDescent="0.35">
      <c r="J6464" s="56" t="str">
        <f t="shared" si="300"/>
        <v/>
      </c>
      <c r="K6464" s="74" t="str">
        <f t="shared" si="301"/>
        <v/>
      </c>
      <c r="L6464" s="58" t="str">
        <f t="shared" si="302"/>
        <v/>
      </c>
    </row>
    <row r="6465" spans="10:12" ht="16.5" customHeight="1" x14ac:dyDescent="0.35">
      <c r="J6465" s="56" t="str">
        <f t="shared" si="300"/>
        <v/>
      </c>
      <c r="K6465" s="74" t="str">
        <f t="shared" si="301"/>
        <v/>
      </c>
      <c r="L6465" s="58" t="str">
        <f t="shared" si="302"/>
        <v/>
      </c>
    </row>
    <row r="6466" spans="10:12" ht="16.5" customHeight="1" x14ac:dyDescent="0.35">
      <c r="J6466" s="56" t="str">
        <f t="shared" si="300"/>
        <v/>
      </c>
      <c r="K6466" s="74" t="str">
        <f t="shared" si="301"/>
        <v/>
      </c>
      <c r="L6466" s="58" t="str">
        <f t="shared" si="302"/>
        <v/>
      </c>
    </row>
    <row r="6467" spans="10:12" ht="16.5" customHeight="1" x14ac:dyDescent="0.35">
      <c r="J6467" s="56" t="str">
        <f t="shared" si="300"/>
        <v/>
      </c>
      <c r="K6467" s="74" t="str">
        <f t="shared" si="301"/>
        <v/>
      </c>
      <c r="L6467" s="58" t="str">
        <f t="shared" si="302"/>
        <v/>
      </c>
    </row>
    <row r="6468" spans="10:12" ht="16.5" customHeight="1" x14ac:dyDescent="0.35">
      <c r="J6468" s="56" t="str">
        <f t="shared" si="300"/>
        <v/>
      </c>
      <c r="K6468" s="74" t="str">
        <f t="shared" si="301"/>
        <v/>
      </c>
      <c r="L6468" s="58" t="str">
        <f t="shared" si="302"/>
        <v/>
      </c>
    </row>
    <row r="6469" spans="10:12" ht="16.5" customHeight="1" x14ac:dyDescent="0.35">
      <c r="J6469" s="56" t="str">
        <f t="shared" si="300"/>
        <v/>
      </c>
      <c r="K6469" s="74" t="str">
        <f t="shared" si="301"/>
        <v/>
      </c>
      <c r="L6469" s="58" t="str">
        <f t="shared" si="302"/>
        <v/>
      </c>
    </row>
    <row r="6470" spans="10:12" ht="16.5" customHeight="1" x14ac:dyDescent="0.35">
      <c r="J6470" s="56" t="str">
        <f t="shared" si="300"/>
        <v/>
      </c>
      <c r="K6470" s="74" t="str">
        <f t="shared" si="301"/>
        <v/>
      </c>
      <c r="L6470" s="58" t="str">
        <f t="shared" si="302"/>
        <v/>
      </c>
    </row>
    <row r="6471" spans="10:12" ht="16.5" customHeight="1" x14ac:dyDescent="0.35">
      <c r="J6471" s="56" t="str">
        <f t="shared" si="300"/>
        <v/>
      </c>
      <c r="K6471" s="74" t="str">
        <f t="shared" si="301"/>
        <v/>
      </c>
      <c r="L6471" s="58" t="str">
        <f t="shared" si="302"/>
        <v/>
      </c>
    </row>
    <row r="6472" spans="10:12" ht="16.5" customHeight="1" x14ac:dyDescent="0.35">
      <c r="J6472" s="56" t="str">
        <f t="shared" si="300"/>
        <v/>
      </c>
      <c r="K6472" s="74" t="str">
        <f t="shared" si="301"/>
        <v/>
      </c>
      <c r="L6472" s="58" t="str">
        <f t="shared" si="302"/>
        <v/>
      </c>
    </row>
    <row r="6473" spans="10:12" ht="16.5" customHeight="1" x14ac:dyDescent="0.35">
      <c r="J6473" s="56" t="str">
        <f t="shared" ref="J6473:J6536" si="303">IF(A6473="","",A$5-A6473)</f>
        <v/>
      </c>
      <c r="K6473" s="74" t="str">
        <f t="shared" ref="K6473:K6536" si="304">IF(J6473="","",IF(J6473&lt;4,"0-3 Days",IF(J6473&lt;31,"4-30 Days",IF(J6473&lt;61,"31-60 Days",IF(J6473&lt;=90,"61-90 Days",IF(J6473&gt;90,"Above 90 Days","0"))))))</f>
        <v/>
      </c>
      <c r="L6473" s="58" t="str">
        <f t="shared" ref="L6473:L6536" si="305">IF(C6473="","",IF(C6473&gt;0,IF(J6473&lt;30,"Normal",IF(J6473&lt;60,"Especially Mentioned",IF(J6473&lt;90,"Substandard",IF(J6473&lt;=180,"Doubtful",IF(J6473&gt;180,"Loss","0"))))),"Not Applicable"))</f>
        <v/>
      </c>
    </row>
    <row r="6474" spans="10:12" ht="16.5" customHeight="1" x14ac:dyDescent="0.35">
      <c r="J6474" s="56" t="str">
        <f t="shared" si="303"/>
        <v/>
      </c>
      <c r="K6474" s="74" t="str">
        <f t="shared" si="304"/>
        <v/>
      </c>
      <c r="L6474" s="58" t="str">
        <f t="shared" si="305"/>
        <v/>
      </c>
    </row>
    <row r="6475" spans="10:12" ht="16.5" customHeight="1" x14ac:dyDescent="0.35">
      <c r="J6475" s="56" t="str">
        <f t="shared" si="303"/>
        <v/>
      </c>
      <c r="K6475" s="74" t="str">
        <f t="shared" si="304"/>
        <v/>
      </c>
      <c r="L6475" s="58" t="str">
        <f t="shared" si="305"/>
        <v/>
      </c>
    </row>
    <row r="6476" spans="10:12" ht="16.5" customHeight="1" x14ac:dyDescent="0.35">
      <c r="J6476" s="56" t="str">
        <f t="shared" si="303"/>
        <v/>
      </c>
      <c r="K6476" s="74" t="str">
        <f t="shared" si="304"/>
        <v/>
      </c>
      <c r="L6476" s="58" t="str">
        <f t="shared" si="305"/>
        <v/>
      </c>
    </row>
    <row r="6477" spans="10:12" ht="16.5" customHeight="1" x14ac:dyDescent="0.35">
      <c r="J6477" s="56" t="str">
        <f t="shared" si="303"/>
        <v/>
      </c>
      <c r="K6477" s="74" t="str">
        <f t="shared" si="304"/>
        <v/>
      </c>
      <c r="L6477" s="58" t="str">
        <f t="shared" si="305"/>
        <v/>
      </c>
    </row>
    <row r="6478" spans="10:12" ht="16.5" customHeight="1" x14ac:dyDescent="0.35">
      <c r="J6478" s="56" t="str">
        <f t="shared" si="303"/>
        <v/>
      </c>
      <c r="K6478" s="74" t="str">
        <f t="shared" si="304"/>
        <v/>
      </c>
      <c r="L6478" s="58" t="str">
        <f t="shared" si="305"/>
        <v/>
      </c>
    </row>
    <row r="6479" spans="10:12" ht="16.5" customHeight="1" x14ac:dyDescent="0.35">
      <c r="J6479" s="56" t="str">
        <f t="shared" si="303"/>
        <v/>
      </c>
      <c r="K6479" s="74" t="str">
        <f t="shared" si="304"/>
        <v/>
      </c>
      <c r="L6479" s="58" t="str">
        <f t="shared" si="305"/>
        <v/>
      </c>
    </row>
    <row r="6480" spans="10:12" ht="16.5" customHeight="1" x14ac:dyDescent="0.35">
      <c r="J6480" s="56" t="str">
        <f t="shared" si="303"/>
        <v/>
      </c>
      <c r="K6480" s="74" t="str">
        <f t="shared" si="304"/>
        <v/>
      </c>
      <c r="L6480" s="58" t="str">
        <f t="shared" si="305"/>
        <v/>
      </c>
    </row>
    <row r="6481" spans="10:12" ht="16.5" customHeight="1" x14ac:dyDescent="0.35">
      <c r="J6481" s="56" t="str">
        <f t="shared" si="303"/>
        <v/>
      </c>
      <c r="K6481" s="74" t="str">
        <f t="shared" si="304"/>
        <v/>
      </c>
      <c r="L6481" s="58" t="str">
        <f t="shared" si="305"/>
        <v/>
      </c>
    </row>
    <row r="6482" spans="10:12" ht="16.5" customHeight="1" x14ac:dyDescent="0.35">
      <c r="J6482" s="56" t="str">
        <f t="shared" si="303"/>
        <v/>
      </c>
      <c r="K6482" s="74" t="str">
        <f t="shared" si="304"/>
        <v/>
      </c>
      <c r="L6482" s="58" t="str">
        <f t="shared" si="305"/>
        <v/>
      </c>
    </row>
    <row r="6483" spans="10:12" ht="16.5" customHeight="1" x14ac:dyDescent="0.35">
      <c r="J6483" s="56" t="str">
        <f t="shared" si="303"/>
        <v/>
      </c>
      <c r="K6483" s="74" t="str">
        <f t="shared" si="304"/>
        <v/>
      </c>
      <c r="L6483" s="58" t="str">
        <f t="shared" si="305"/>
        <v/>
      </c>
    </row>
    <row r="6484" spans="10:12" ht="16.5" customHeight="1" x14ac:dyDescent="0.35">
      <c r="J6484" s="56" t="str">
        <f t="shared" si="303"/>
        <v/>
      </c>
      <c r="K6484" s="74" t="str">
        <f t="shared" si="304"/>
        <v/>
      </c>
      <c r="L6484" s="58" t="str">
        <f t="shared" si="305"/>
        <v/>
      </c>
    </row>
    <row r="6485" spans="10:12" ht="16.5" customHeight="1" x14ac:dyDescent="0.35">
      <c r="J6485" s="56" t="str">
        <f t="shared" si="303"/>
        <v/>
      </c>
      <c r="K6485" s="74" t="str">
        <f t="shared" si="304"/>
        <v/>
      </c>
      <c r="L6485" s="58" t="str">
        <f t="shared" si="305"/>
        <v/>
      </c>
    </row>
    <row r="6486" spans="10:12" ht="16.5" customHeight="1" x14ac:dyDescent="0.35">
      <c r="J6486" s="56" t="str">
        <f t="shared" si="303"/>
        <v/>
      </c>
      <c r="K6486" s="74" t="str">
        <f t="shared" si="304"/>
        <v/>
      </c>
      <c r="L6486" s="58" t="str">
        <f t="shared" si="305"/>
        <v/>
      </c>
    </row>
    <row r="6487" spans="10:12" ht="16.5" customHeight="1" x14ac:dyDescent="0.35">
      <c r="J6487" s="56" t="str">
        <f t="shared" si="303"/>
        <v/>
      </c>
      <c r="K6487" s="74" t="str">
        <f t="shared" si="304"/>
        <v/>
      </c>
      <c r="L6487" s="58" t="str">
        <f t="shared" si="305"/>
        <v/>
      </c>
    </row>
    <row r="6488" spans="10:12" ht="16.5" customHeight="1" x14ac:dyDescent="0.35">
      <c r="J6488" s="56" t="str">
        <f t="shared" si="303"/>
        <v/>
      </c>
      <c r="K6488" s="74" t="str">
        <f t="shared" si="304"/>
        <v/>
      </c>
      <c r="L6488" s="58" t="str">
        <f t="shared" si="305"/>
        <v/>
      </c>
    </row>
    <row r="6489" spans="10:12" ht="16.5" customHeight="1" x14ac:dyDescent="0.35">
      <c r="J6489" s="56" t="str">
        <f t="shared" si="303"/>
        <v/>
      </c>
      <c r="K6489" s="74" t="str">
        <f t="shared" si="304"/>
        <v/>
      </c>
      <c r="L6489" s="58" t="str">
        <f t="shared" si="305"/>
        <v/>
      </c>
    </row>
    <row r="6490" spans="10:12" ht="16.5" customHeight="1" x14ac:dyDescent="0.35">
      <c r="J6490" s="56" t="str">
        <f t="shared" si="303"/>
        <v/>
      </c>
      <c r="K6490" s="74" t="str">
        <f t="shared" si="304"/>
        <v/>
      </c>
      <c r="L6490" s="58" t="str">
        <f t="shared" si="305"/>
        <v/>
      </c>
    </row>
    <row r="6491" spans="10:12" ht="16.5" customHeight="1" x14ac:dyDescent="0.35">
      <c r="J6491" s="56" t="str">
        <f t="shared" si="303"/>
        <v/>
      </c>
      <c r="K6491" s="74" t="str">
        <f t="shared" si="304"/>
        <v/>
      </c>
      <c r="L6491" s="58" t="str">
        <f t="shared" si="305"/>
        <v/>
      </c>
    </row>
    <row r="6492" spans="10:12" ht="16.5" customHeight="1" x14ac:dyDescent="0.35">
      <c r="J6492" s="56" t="str">
        <f t="shared" si="303"/>
        <v/>
      </c>
      <c r="K6492" s="74" t="str">
        <f t="shared" si="304"/>
        <v/>
      </c>
      <c r="L6492" s="58" t="str">
        <f t="shared" si="305"/>
        <v/>
      </c>
    </row>
    <row r="6493" spans="10:12" ht="16.5" customHeight="1" x14ac:dyDescent="0.35">
      <c r="J6493" s="56" t="str">
        <f t="shared" si="303"/>
        <v/>
      </c>
      <c r="K6493" s="74" t="str">
        <f t="shared" si="304"/>
        <v/>
      </c>
      <c r="L6493" s="58" t="str">
        <f t="shared" si="305"/>
        <v/>
      </c>
    </row>
    <row r="6494" spans="10:12" ht="16.5" customHeight="1" x14ac:dyDescent="0.35">
      <c r="J6494" s="56" t="str">
        <f t="shared" si="303"/>
        <v/>
      </c>
      <c r="K6494" s="74" t="str">
        <f t="shared" si="304"/>
        <v/>
      </c>
      <c r="L6494" s="58" t="str">
        <f t="shared" si="305"/>
        <v/>
      </c>
    </row>
    <row r="6495" spans="10:12" ht="16.5" customHeight="1" x14ac:dyDescent="0.35">
      <c r="J6495" s="56" t="str">
        <f t="shared" si="303"/>
        <v/>
      </c>
      <c r="K6495" s="74" t="str">
        <f t="shared" si="304"/>
        <v/>
      </c>
      <c r="L6495" s="58" t="str">
        <f t="shared" si="305"/>
        <v/>
      </c>
    </row>
    <row r="6496" spans="10:12" ht="16.5" customHeight="1" x14ac:dyDescent="0.35">
      <c r="J6496" s="56" t="str">
        <f t="shared" si="303"/>
        <v/>
      </c>
      <c r="K6496" s="74" t="str">
        <f t="shared" si="304"/>
        <v/>
      </c>
      <c r="L6496" s="58" t="str">
        <f t="shared" si="305"/>
        <v/>
      </c>
    </row>
    <row r="6497" spans="10:12" ht="16.5" customHeight="1" x14ac:dyDescent="0.35">
      <c r="J6497" s="56" t="str">
        <f t="shared" si="303"/>
        <v/>
      </c>
      <c r="K6497" s="74" t="str">
        <f t="shared" si="304"/>
        <v/>
      </c>
      <c r="L6497" s="58" t="str">
        <f t="shared" si="305"/>
        <v/>
      </c>
    </row>
    <row r="6498" spans="10:12" ht="16.5" customHeight="1" x14ac:dyDescent="0.35">
      <c r="J6498" s="56" t="str">
        <f t="shared" si="303"/>
        <v/>
      </c>
      <c r="K6498" s="74" t="str">
        <f t="shared" si="304"/>
        <v/>
      </c>
      <c r="L6498" s="58" t="str">
        <f t="shared" si="305"/>
        <v/>
      </c>
    </row>
    <row r="6499" spans="10:12" ht="16.5" customHeight="1" x14ac:dyDescent="0.35">
      <c r="J6499" s="56" t="str">
        <f t="shared" si="303"/>
        <v/>
      </c>
      <c r="K6499" s="74" t="str">
        <f t="shared" si="304"/>
        <v/>
      </c>
      <c r="L6499" s="58" t="str">
        <f t="shared" si="305"/>
        <v/>
      </c>
    </row>
    <row r="6500" spans="10:12" ht="16.5" customHeight="1" x14ac:dyDescent="0.35">
      <c r="J6500" s="56" t="str">
        <f t="shared" si="303"/>
        <v/>
      </c>
      <c r="K6500" s="74" t="str">
        <f t="shared" si="304"/>
        <v/>
      </c>
      <c r="L6500" s="58" t="str">
        <f t="shared" si="305"/>
        <v/>
      </c>
    </row>
    <row r="6501" spans="10:12" ht="16.5" customHeight="1" x14ac:dyDescent="0.35">
      <c r="J6501" s="56" t="str">
        <f t="shared" si="303"/>
        <v/>
      </c>
      <c r="K6501" s="74" t="str">
        <f t="shared" si="304"/>
        <v/>
      </c>
      <c r="L6501" s="58" t="str">
        <f t="shared" si="305"/>
        <v/>
      </c>
    </row>
    <row r="6502" spans="10:12" ht="16.5" customHeight="1" x14ac:dyDescent="0.35">
      <c r="J6502" s="56" t="str">
        <f t="shared" si="303"/>
        <v/>
      </c>
      <c r="K6502" s="74" t="str">
        <f t="shared" si="304"/>
        <v/>
      </c>
      <c r="L6502" s="58" t="str">
        <f t="shared" si="305"/>
        <v/>
      </c>
    </row>
    <row r="6503" spans="10:12" ht="16.5" customHeight="1" x14ac:dyDescent="0.35">
      <c r="J6503" s="56" t="str">
        <f t="shared" si="303"/>
        <v/>
      </c>
      <c r="K6503" s="74" t="str">
        <f t="shared" si="304"/>
        <v/>
      </c>
      <c r="L6503" s="58" t="str">
        <f t="shared" si="305"/>
        <v/>
      </c>
    </row>
    <row r="6504" spans="10:12" ht="16.5" customHeight="1" x14ac:dyDescent="0.35">
      <c r="J6504" s="56" t="str">
        <f t="shared" si="303"/>
        <v/>
      </c>
      <c r="K6504" s="74" t="str">
        <f t="shared" si="304"/>
        <v/>
      </c>
      <c r="L6504" s="58" t="str">
        <f t="shared" si="305"/>
        <v/>
      </c>
    </row>
    <row r="6505" spans="10:12" ht="16.5" customHeight="1" x14ac:dyDescent="0.35">
      <c r="J6505" s="56" t="str">
        <f t="shared" si="303"/>
        <v/>
      </c>
      <c r="K6505" s="74" t="str">
        <f t="shared" si="304"/>
        <v/>
      </c>
      <c r="L6505" s="58" t="str">
        <f t="shared" si="305"/>
        <v/>
      </c>
    </row>
    <row r="6506" spans="10:12" ht="16.5" customHeight="1" x14ac:dyDescent="0.35">
      <c r="J6506" s="56" t="str">
        <f t="shared" si="303"/>
        <v/>
      </c>
      <c r="K6506" s="74" t="str">
        <f t="shared" si="304"/>
        <v/>
      </c>
      <c r="L6506" s="58" t="str">
        <f t="shared" si="305"/>
        <v/>
      </c>
    </row>
    <row r="6507" spans="10:12" ht="16.5" customHeight="1" x14ac:dyDescent="0.35">
      <c r="J6507" s="56" t="str">
        <f t="shared" si="303"/>
        <v/>
      </c>
      <c r="K6507" s="74" t="str">
        <f t="shared" si="304"/>
        <v/>
      </c>
      <c r="L6507" s="58" t="str">
        <f t="shared" si="305"/>
        <v/>
      </c>
    </row>
    <row r="6508" spans="10:12" ht="16.5" customHeight="1" x14ac:dyDescent="0.35">
      <c r="J6508" s="56" t="str">
        <f t="shared" si="303"/>
        <v/>
      </c>
      <c r="K6508" s="74" t="str">
        <f t="shared" si="304"/>
        <v/>
      </c>
      <c r="L6508" s="58" t="str">
        <f t="shared" si="305"/>
        <v/>
      </c>
    </row>
    <row r="6509" spans="10:12" ht="16.5" customHeight="1" x14ac:dyDescent="0.35">
      <c r="J6509" s="56" t="str">
        <f t="shared" si="303"/>
        <v/>
      </c>
      <c r="K6509" s="74" t="str">
        <f t="shared" si="304"/>
        <v/>
      </c>
      <c r="L6509" s="58" t="str">
        <f t="shared" si="305"/>
        <v/>
      </c>
    </row>
    <row r="6510" spans="10:12" ht="16.5" customHeight="1" x14ac:dyDescent="0.35">
      <c r="J6510" s="56" t="str">
        <f t="shared" si="303"/>
        <v/>
      </c>
      <c r="K6510" s="74" t="str">
        <f t="shared" si="304"/>
        <v/>
      </c>
      <c r="L6510" s="58" t="str">
        <f t="shared" si="305"/>
        <v/>
      </c>
    </row>
    <row r="6511" spans="10:12" ht="16.5" customHeight="1" x14ac:dyDescent="0.35">
      <c r="J6511" s="56" t="str">
        <f t="shared" si="303"/>
        <v/>
      </c>
      <c r="K6511" s="74" t="str">
        <f t="shared" si="304"/>
        <v/>
      </c>
      <c r="L6511" s="58" t="str">
        <f t="shared" si="305"/>
        <v/>
      </c>
    </row>
    <row r="6512" spans="10:12" ht="16.5" customHeight="1" x14ac:dyDescent="0.35">
      <c r="J6512" s="56" t="str">
        <f t="shared" si="303"/>
        <v/>
      </c>
      <c r="K6512" s="74" t="str">
        <f t="shared" si="304"/>
        <v/>
      </c>
      <c r="L6512" s="58" t="str">
        <f t="shared" si="305"/>
        <v/>
      </c>
    </row>
    <row r="6513" spans="10:12" ht="16.5" customHeight="1" x14ac:dyDescent="0.35">
      <c r="J6513" s="56" t="str">
        <f t="shared" si="303"/>
        <v/>
      </c>
      <c r="K6513" s="74" t="str">
        <f t="shared" si="304"/>
        <v/>
      </c>
      <c r="L6513" s="58" t="str">
        <f t="shared" si="305"/>
        <v/>
      </c>
    </row>
    <row r="6514" spans="10:12" ht="16.5" customHeight="1" x14ac:dyDescent="0.35">
      <c r="J6514" s="56" t="str">
        <f t="shared" si="303"/>
        <v/>
      </c>
      <c r="K6514" s="74" t="str">
        <f t="shared" si="304"/>
        <v/>
      </c>
      <c r="L6514" s="58" t="str">
        <f t="shared" si="305"/>
        <v/>
      </c>
    </row>
    <row r="6515" spans="10:12" ht="16.5" customHeight="1" x14ac:dyDescent="0.35">
      <c r="J6515" s="56" t="str">
        <f t="shared" si="303"/>
        <v/>
      </c>
      <c r="K6515" s="74" t="str">
        <f t="shared" si="304"/>
        <v/>
      </c>
      <c r="L6515" s="58" t="str">
        <f t="shared" si="305"/>
        <v/>
      </c>
    </row>
    <row r="6516" spans="10:12" ht="16.5" customHeight="1" x14ac:dyDescent="0.35">
      <c r="J6516" s="56" t="str">
        <f t="shared" si="303"/>
        <v/>
      </c>
      <c r="K6516" s="74" t="str">
        <f t="shared" si="304"/>
        <v/>
      </c>
      <c r="L6516" s="58" t="str">
        <f t="shared" si="305"/>
        <v/>
      </c>
    </row>
    <row r="6517" spans="10:12" ht="16.5" customHeight="1" x14ac:dyDescent="0.35">
      <c r="J6517" s="56" t="str">
        <f t="shared" si="303"/>
        <v/>
      </c>
      <c r="K6517" s="74" t="str">
        <f t="shared" si="304"/>
        <v/>
      </c>
      <c r="L6517" s="58" t="str">
        <f t="shared" si="305"/>
        <v/>
      </c>
    </row>
    <row r="6518" spans="10:12" ht="16.5" customHeight="1" x14ac:dyDescent="0.35">
      <c r="J6518" s="56" t="str">
        <f t="shared" si="303"/>
        <v/>
      </c>
      <c r="K6518" s="74" t="str">
        <f t="shared" si="304"/>
        <v/>
      </c>
      <c r="L6518" s="58" t="str">
        <f t="shared" si="305"/>
        <v/>
      </c>
    </row>
    <row r="6519" spans="10:12" ht="16.5" customHeight="1" x14ac:dyDescent="0.35">
      <c r="J6519" s="56" t="str">
        <f t="shared" si="303"/>
        <v/>
      </c>
      <c r="K6519" s="74" t="str">
        <f t="shared" si="304"/>
        <v/>
      </c>
      <c r="L6519" s="58" t="str">
        <f t="shared" si="305"/>
        <v/>
      </c>
    </row>
    <row r="6520" spans="10:12" ht="16.5" customHeight="1" x14ac:dyDescent="0.35">
      <c r="J6520" s="56" t="str">
        <f t="shared" si="303"/>
        <v/>
      </c>
      <c r="K6520" s="74" t="str">
        <f t="shared" si="304"/>
        <v/>
      </c>
      <c r="L6520" s="58" t="str">
        <f t="shared" si="305"/>
        <v/>
      </c>
    </row>
    <row r="6521" spans="10:12" ht="16.5" customHeight="1" x14ac:dyDescent="0.35">
      <c r="J6521" s="56" t="str">
        <f t="shared" si="303"/>
        <v/>
      </c>
      <c r="K6521" s="74" t="str">
        <f t="shared" si="304"/>
        <v/>
      </c>
      <c r="L6521" s="58" t="str">
        <f t="shared" si="305"/>
        <v/>
      </c>
    </row>
    <row r="6522" spans="10:12" ht="16.5" customHeight="1" x14ac:dyDescent="0.35">
      <c r="J6522" s="56" t="str">
        <f t="shared" si="303"/>
        <v/>
      </c>
      <c r="K6522" s="74" t="str">
        <f t="shared" si="304"/>
        <v/>
      </c>
      <c r="L6522" s="58" t="str">
        <f t="shared" si="305"/>
        <v/>
      </c>
    </row>
    <row r="6523" spans="10:12" ht="16.5" customHeight="1" x14ac:dyDescent="0.35">
      <c r="J6523" s="56" t="str">
        <f t="shared" si="303"/>
        <v/>
      </c>
      <c r="K6523" s="74" t="str">
        <f t="shared" si="304"/>
        <v/>
      </c>
      <c r="L6523" s="58" t="str">
        <f t="shared" si="305"/>
        <v/>
      </c>
    </row>
    <row r="6524" spans="10:12" ht="16.5" customHeight="1" x14ac:dyDescent="0.35">
      <c r="J6524" s="56" t="str">
        <f t="shared" si="303"/>
        <v/>
      </c>
      <c r="K6524" s="74" t="str">
        <f t="shared" si="304"/>
        <v/>
      </c>
      <c r="L6524" s="58" t="str">
        <f t="shared" si="305"/>
        <v/>
      </c>
    </row>
    <row r="6525" spans="10:12" ht="16.5" customHeight="1" x14ac:dyDescent="0.35">
      <c r="J6525" s="56" t="str">
        <f t="shared" si="303"/>
        <v/>
      </c>
      <c r="K6525" s="74" t="str">
        <f t="shared" si="304"/>
        <v/>
      </c>
      <c r="L6525" s="58" t="str">
        <f t="shared" si="305"/>
        <v/>
      </c>
    </row>
    <row r="6526" spans="10:12" ht="16.5" customHeight="1" x14ac:dyDescent="0.35">
      <c r="J6526" s="56" t="str">
        <f t="shared" si="303"/>
        <v/>
      </c>
      <c r="K6526" s="74" t="str">
        <f t="shared" si="304"/>
        <v/>
      </c>
      <c r="L6526" s="58" t="str">
        <f t="shared" si="305"/>
        <v/>
      </c>
    </row>
    <row r="6527" spans="10:12" ht="16.5" customHeight="1" x14ac:dyDescent="0.35">
      <c r="J6527" s="56" t="str">
        <f t="shared" si="303"/>
        <v/>
      </c>
      <c r="K6527" s="74" t="str">
        <f t="shared" si="304"/>
        <v/>
      </c>
      <c r="L6527" s="58" t="str">
        <f t="shared" si="305"/>
        <v/>
      </c>
    </row>
    <row r="6528" spans="10:12" ht="16.5" customHeight="1" x14ac:dyDescent="0.35">
      <c r="J6528" s="56" t="str">
        <f t="shared" si="303"/>
        <v/>
      </c>
      <c r="K6528" s="74" t="str">
        <f t="shared" si="304"/>
        <v/>
      </c>
      <c r="L6528" s="58" t="str">
        <f t="shared" si="305"/>
        <v/>
      </c>
    </row>
    <row r="6529" spans="10:12" ht="16.5" customHeight="1" x14ac:dyDescent="0.35">
      <c r="J6529" s="56" t="str">
        <f t="shared" si="303"/>
        <v/>
      </c>
      <c r="K6529" s="74" t="str">
        <f t="shared" si="304"/>
        <v/>
      </c>
      <c r="L6529" s="58" t="str">
        <f t="shared" si="305"/>
        <v/>
      </c>
    </row>
    <row r="6530" spans="10:12" ht="16.5" customHeight="1" x14ac:dyDescent="0.35">
      <c r="J6530" s="56" t="str">
        <f t="shared" si="303"/>
        <v/>
      </c>
      <c r="K6530" s="74" t="str">
        <f t="shared" si="304"/>
        <v/>
      </c>
      <c r="L6530" s="58" t="str">
        <f t="shared" si="305"/>
        <v/>
      </c>
    </row>
    <row r="6531" spans="10:12" ht="16.5" customHeight="1" x14ac:dyDescent="0.35">
      <c r="J6531" s="56" t="str">
        <f t="shared" si="303"/>
        <v/>
      </c>
      <c r="K6531" s="74" t="str">
        <f t="shared" si="304"/>
        <v/>
      </c>
      <c r="L6531" s="58" t="str">
        <f t="shared" si="305"/>
        <v/>
      </c>
    </row>
    <row r="6532" spans="10:12" ht="16.5" customHeight="1" x14ac:dyDescent="0.35">
      <c r="J6532" s="56" t="str">
        <f t="shared" si="303"/>
        <v/>
      </c>
      <c r="K6532" s="74" t="str">
        <f t="shared" si="304"/>
        <v/>
      </c>
      <c r="L6532" s="58" t="str">
        <f t="shared" si="305"/>
        <v/>
      </c>
    </row>
    <row r="6533" spans="10:12" ht="16.5" customHeight="1" x14ac:dyDescent="0.35">
      <c r="J6533" s="56" t="str">
        <f t="shared" si="303"/>
        <v/>
      </c>
      <c r="K6533" s="74" t="str">
        <f t="shared" si="304"/>
        <v/>
      </c>
      <c r="L6533" s="58" t="str">
        <f t="shared" si="305"/>
        <v/>
      </c>
    </row>
    <row r="6534" spans="10:12" ht="16.5" customHeight="1" x14ac:dyDescent="0.35">
      <c r="J6534" s="56" t="str">
        <f t="shared" si="303"/>
        <v/>
      </c>
      <c r="K6534" s="74" t="str">
        <f t="shared" si="304"/>
        <v/>
      </c>
      <c r="L6534" s="58" t="str">
        <f t="shared" si="305"/>
        <v/>
      </c>
    </row>
    <row r="6535" spans="10:12" ht="16.5" customHeight="1" x14ac:dyDescent="0.35">
      <c r="J6535" s="56" t="str">
        <f t="shared" si="303"/>
        <v/>
      </c>
      <c r="K6535" s="74" t="str">
        <f t="shared" si="304"/>
        <v/>
      </c>
      <c r="L6535" s="58" t="str">
        <f t="shared" si="305"/>
        <v/>
      </c>
    </row>
    <row r="6536" spans="10:12" ht="16.5" customHeight="1" x14ac:dyDescent="0.35">
      <c r="J6536" s="56" t="str">
        <f t="shared" si="303"/>
        <v/>
      </c>
      <c r="K6536" s="74" t="str">
        <f t="shared" si="304"/>
        <v/>
      </c>
      <c r="L6536" s="58" t="str">
        <f t="shared" si="305"/>
        <v/>
      </c>
    </row>
    <row r="6537" spans="10:12" ht="16.5" customHeight="1" x14ac:dyDescent="0.35">
      <c r="J6537" s="56" t="str">
        <f t="shared" ref="J6537:J6600" si="306">IF(A6537="","",A$5-A6537)</f>
        <v/>
      </c>
      <c r="K6537" s="74" t="str">
        <f t="shared" ref="K6537:K6600" si="307">IF(J6537="","",IF(J6537&lt;4,"0-3 Days",IF(J6537&lt;31,"4-30 Days",IF(J6537&lt;61,"31-60 Days",IF(J6537&lt;=90,"61-90 Days",IF(J6537&gt;90,"Above 90 Days","0"))))))</f>
        <v/>
      </c>
      <c r="L6537" s="58" t="str">
        <f t="shared" ref="L6537:L6600" si="308">IF(C6537="","",IF(C6537&gt;0,IF(J6537&lt;30,"Normal",IF(J6537&lt;60,"Especially Mentioned",IF(J6537&lt;90,"Substandard",IF(J6537&lt;=180,"Doubtful",IF(J6537&gt;180,"Loss","0"))))),"Not Applicable"))</f>
        <v/>
      </c>
    </row>
    <row r="6538" spans="10:12" ht="16.5" customHeight="1" x14ac:dyDescent="0.35">
      <c r="J6538" s="56" t="str">
        <f t="shared" si="306"/>
        <v/>
      </c>
      <c r="K6538" s="74" t="str">
        <f t="shared" si="307"/>
        <v/>
      </c>
      <c r="L6538" s="58" t="str">
        <f t="shared" si="308"/>
        <v/>
      </c>
    </row>
    <row r="6539" spans="10:12" ht="16.5" customHeight="1" x14ac:dyDescent="0.35">
      <c r="J6539" s="56" t="str">
        <f t="shared" si="306"/>
        <v/>
      </c>
      <c r="K6539" s="74" t="str">
        <f t="shared" si="307"/>
        <v/>
      </c>
      <c r="L6539" s="58" t="str">
        <f t="shared" si="308"/>
        <v/>
      </c>
    </row>
    <row r="6540" spans="10:12" ht="16.5" customHeight="1" x14ac:dyDescent="0.35">
      <c r="J6540" s="56" t="str">
        <f t="shared" si="306"/>
        <v/>
      </c>
      <c r="K6540" s="74" t="str">
        <f t="shared" si="307"/>
        <v/>
      </c>
      <c r="L6540" s="58" t="str">
        <f t="shared" si="308"/>
        <v/>
      </c>
    </row>
    <row r="6541" spans="10:12" ht="16.5" customHeight="1" x14ac:dyDescent="0.35">
      <c r="J6541" s="56" t="str">
        <f t="shared" si="306"/>
        <v/>
      </c>
      <c r="K6541" s="74" t="str">
        <f t="shared" si="307"/>
        <v/>
      </c>
      <c r="L6541" s="58" t="str">
        <f t="shared" si="308"/>
        <v/>
      </c>
    </row>
    <row r="6542" spans="10:12" ht="16.5" customHeight="1" x14ac:dyDescent="0.35">
      <c r="J6542" s="56" t="str">
        <f t="shared" si="306"/>
        <v/>
      </c>
      <c r="K6542" s="74" t="str">
        <f t="shared" si="307"/>
        <v/>
      </c>
      <c r="L6542" s="58" t="str">
        <f t="shared" si="308"/>
        <v/>
      </c>
    </row>
    <row r="6543" spans="10:12" ht="16.5" customHeight="1" x14ac:dyDescent="0.35">
      <c r="J6543" s="56" t="str">
        <f t="shared" si="306"/>
        <v/>
      </c>
      <c r="K6543" s="74" t="str">
        <f t="shared" si="307"/>
        <v/>
      </c>
      <c r="L6543" s="58" t="str">
        <f t="shared" si="308"/>
        <v/>
      </c>
    </row>
    <row r="6544" spans="10:12" ht="16.5" customHeight="1" x14ac:dyDescent="0.35">
      <c r="J6544" s="56" t="str">
        <f t="shared" si="306"/>
        <v/>
      </c>
      <c r="K6544" s="74" t="str">
        <f t="shared" si="307"/>
        <v/>
      </c>
      <c r="L6544" s="58" t="str">
        <f t="shared" si="308"/>
        <v/>
      </c>
    </row>
    <row r="6545" spans="10:12" ht="16.5" customHeight="1" x14ac:dyDescent="0.35">
      <c r="J6545" s="56" t="str">
        <f t="shared" si="306"/>
        <v/>
      </c>
      <c r="K6545" s="74" t="str">
        <f t="shared" si="307"/>
        <v/>
      </c>
      <c r="L6545" s="58" t="str">
        <f t="shared" si="308"/>
        <v/>
      </c>
    </row>
    <row r="6546" spans="10:12" ht="16.5" customHeight="1" x14ac:dyDescent="0.35">
      <c r="J6546" s="56" t="str">
        <f t="shared" si="306"/>
        <v/>
      </c>
      <c r="K6546" s="74" t="str">
        <f t="shared" si="307"/>
        <v/>
      </c>
      <c r="L6546" s="58" t="str">
        <f t="shared" si="308"/>
        <v/>
      </c>
    </row>
    <row r="6547" spans="10:12" ht="16.5" customHeight="1" x14ac:dyDescent="0.35">
      <c r="J6547" s="56" t="str">
        <f t="shared" si="306"/>
        <v/>
      </c>
      <c r="K6547" s="74" t="str">
        <f t="shared" si="307"/>
        <v/>
      </c>
      <c r="L6547" s="58" t="str">
        <f t="shared" si="308"/>
        <v/>
      </c>
    </row>
    <row r="6548" spans="10:12" ht="16.5" customHeight="1" x14ac:dyDescent="0.35">
      <c r="J6548" s="56" t="str">
        <f t="shared" si="306"/>
        <v/>
      </c>
      <c r="K6548" s="74" t="str">
        <f t="shared" si="307"/>
        <v/>
      </c>
      <c r="L6548" s="58" t="str">
        <f t="shared" si="308"/>
        <v/>
      </c>
    </row>
    <row r="6549" spans="10:12" ht="16.5" customHeight="1" x14ac:dyDescent="0.35">
      <c r="J6549" s="56" t="str">
        <f t="shared" si="306"/>
        <v/>
      </c>
      <c r="K6549" s="74" t="str">
        <f t="shared" si="307"/>
        <v/>
      </c>
      <c r="L6549" s="58" t="str">
        <f t="shared" si="308"/>
        <v/>
      </c>
    </row>
    <row r="6550" spans="10:12" ht="16.5" customHeight="1" x14ac:dyDescent="0.35">
      <c r="J6550" s="56" t="str">
        <f t="shared" si="306"/>
        <v/>
      </c>
      <c r="K6550" s="74" t="str">
        <f t="shared" si="307"/>
        <v/>
      </c>
      <c r="L6550" s="58" t="str">
        <f t="shared" si="308"/>
        <v/>
      </c>
    </row>
    <row r="6551" spans="10:12" ht="16.5" customHeight="1" x14ac:dyDescent="0.35">
      <c r="J6551" s="56" t="str">
        <f t="shared" si="306"/>
        <v/>
      </c>
      <c r="K6551" s="74" t="str">
        <f t="shared" si="307"/>
        <v/>
      </c>
      <c r="L6551" s="58" t="str">
        <f t="shared" si="308"/>
        <v/>
      </c>
    </row>
    <row r="6552" spans="10:12" ht="16.5" customHeight="1" x14ac:dyDescent="0.35">
      <c r="J6552" s="56" t="str">
        <f t="shared" si="306"/>
        <v/>
      </c>
      <c r="K6552" s="74" t="str">
        <f t="shared" si="307"/>
        <v/>
      </c>
      <c r="L6552" s="58" t="str">
        <f t="shared" si="308"/>
        <v/>
      </c>
    </row>
    <row r="6553" spans="10:12" ht="16.5" customHeight="1" x14ac:dyDescent="0.35">
      <c r="J6553" s="56" t="str">
        <f t="shared" si="306"/>
        <v/>
      </c>
      <c r="K6553" s="74" t="str">
        <f t="shared" si="307"/>
        <v/>
      </c>
      <c r="L6553" s="58" t="str">
        <f t="shared" si="308"/>
        <v/>
      </c>
    </row>
    <row r="6554" spans="10:12" ht="16.5" customHeight="1" x14ac:dyDescent="0.35">
      <c r="J6554" s="56" t="str">
        <f t="shared" si="306"/>
        <v/>
      </c>
      <c r="K6554" s="74" t="str">
        <f t="shared" si="307"/>
        <v/>
      </c>
      <c r="L6554" s="58" t="str">
        <f t="shared" si="308"/>
        <v/>
      </c>
    </row>
    <row r="6555" spans="10:12" ht="16.5" customHeight="1" x14ac:dyDescent="0.35">
      <c r="J6555" s="56" t="str">
        <f t="shared" si="306"/>
        <v/>
      </c>
      <c r="K6555" s="74" t="str">
        <f t="shared" si="307"/>
        <v/>
      </c>
      <c r="L6555" s="58" t="str">
        <f t="shared" si="308"/>
        <v/>
      </c>
    </row>
    <row r="6556" spans="10:12" ht="16.5" customHeight="1" x14ac:dyDescent="0.35">
      <c r="J6556" s="56" t="str">
        <f t="shared" si="306"/>
        <v/>
      </c>
      <c r="K6556" s="74" t="str">
        <f t="shared" si="307"/>
        <v/>
      </c>
      <c r="L6556" s="58" t="str">
        <f t="shared" si="308"/>
        <v/>
      </c>
    </row>
    <row r="6557" spans="10:12" ht="16.5" customHeight="1" x14ac:dyDescent="0.35">
      <c r="J6557" s="56" t="str">
        <f t="shared" si="306"/>
        <v/>
      </c>
      <c r="K6557" s="74" t="str">
        <f t="shared" si="307"/>
        <v/>
      </c>
      <c r="L6557" s="58" t="str">
        <f t="shared" si="308"/>
        <v/>
      </c>
    </row>
    <row r="6558" spans="10:12" ht="16.5" customHeight="1" x14ac:dyDescent="0.35">
      <c r="J6558" s="56" t="str">
        <f t="shared" si="306"/>
        <v/>
      </c>
      <c r="K6558" s="74" t="str">
        <f t="shared" si="307"/>
        <v/>
      </c>
      <c r="L6558" s="58" t="str">
        <f t="shared" si="308"/>
        <v/>
      </c>
    </row>
    <row r="6559" spans="10:12" ht="16.5" customHeight="1" x14ac:dyDescent="0.35">
      <c r="J6559" s="56" t="str">
        <f t="shared" si="306"/>
        <v/>
      </c>
      <c r="K6559" s="74" t="str">
        <f t="shared" si="307"/>
        <v/>
      </c>
      <c r="L6559" s="58" t="str">
        <f t="shared" si="308"/>
        <v/>
      </c>
    </row>
    <row r="6560" spans="10:12" ht="16.5" customHeight="1" x14ac:dyDescent="0.35">
      <c r="J6560" s="56" t="str">
        <f t="shared" si="306"/>
        <v/>
      </c>
      <c r="K6560" s="74" t="str">
        <f t="shared" si="307"/>
        <v/>
      </c>
      <c r="L6560" s="58" t="str">
        <f t="shared" si="308"/>
        <v/>
      </c>
    </row>
    <row r="6561" spans="10:12" ht="16.5" customHeight="1" x14ac:dyDescent="0.35">
      <c r="J6561" s="56" t="str">
        <f t="shared" si="306"/>
        <v/>
      </c>
      <c r="K6561" s="74" t="str">
        <f t="shared" si="307"/>
        <v/>
      </c>
      <c r="L6561" s="58" t="str">
        <f t="shared" si="308"/>
        <v/>
      </c>
    </row>
    <row r="6562" spans="10:12" ht="16.5" customHeight="1" x14ac:dyDescent="0.35">
      <c r="J6562" s="56" t="str">
        <f t="shared" si="306"/>
        <v/>
      </c>
      <c r="K6562" s="74" t="str">
        <f t="shared" si="307"/>
        <v/>
      </c>
      <c r="L6562" s="58" t="str">
        <f t="shared" si="308"/>
        <v/>
      </c>
    </row>
    <row r="6563" spans="10:12" ht="16.5" customHeight="1" x14ac:dyDescent="0.35">
      <c r="J6563" s="56" t="str">
        <f t="shared" si="306"/>
        <v/>
      </c>
      <c r="K6563" s="74" t="str">
        <f t="shared" si="307"/>
        <v/>
      </c>
      <c r="L6563" s="58" t="str">
        <f t="shared" si="308"/>
        <v/>
      </c>
    </row>
    <row r="6564" spans="10:12" ht="16.5" customHeight="1" x14ac:dyDescent="0.35">
      <c r="J6564" s="56" t="str">
        <f t="shared" si="306"/>
        <v/>
      </c>
      <c r="K6564" s="74" t="str">
        <f t="shared" si="307"/>
        <v/>
      </c>
      <c r="L6564" s="58" t="str">
        <f t="shared" si="308"/>
        <v/>
      </c>
    </row>
    <row r="6565" spans="10:12" ht="16.5" customHeight="1" x14ac:dyDescent="0.35">
      <c r="J6565" s="56" t="str">
        <f t="shared" si="306"/>
        <v/>
      </c>
      <c r="K6565" s="74" t="str">
        <f t="shared" si="307"/>
        <v/>
      </c>
      <c r="L6565" s="58" t="str">
        <f t="shared" si="308"/>
        <v/>
      </c>
    </row>
    <row r="6566" spans="10:12" ht="16.5" customHeight="1" x14ac:dyDescent="0.35">
      <c r="J6566" s="56" t="str">
        <f t="shared" si="306"/>
        <v/>
      </c>
      <c r="K6566" s="74" t="str">
        <f t="shared" si="307"/>
        <v/>
      </c>
      <c r="L6566" s="58" t="str">
        <f t="shared" si="308"/>
        <v/>
      </c>
    </row>
    <row r="6567" spans="10:12" ht="16.5" customHeight="1" x14ac:dyDescent="0.35">
      <c r="J6567" s="56" t="str">
        <f t="shared" si="306"/>
        <v/>
      </c>
      <c r="K6567" s="74" t="str">
        <f t="shared" si="307"/>
        <v/>
      </c>
      <c r="L6567" s="58" t="str">
        <f t="shared" si="308"/>
        <v/>
      </c>
    </row>
    <row r="6568" spans="10:12" ht="16.5" customHeight="1" x14ac:dyDescent="0.35">
      <c r="J6568" s="56" t="str">
        <f t="shared" si="306"/>
        <v/>
      </c>
      <c r="K6568" s="74" t="str">
        <f t="shared" si="307"/>
        <v/>
      </c>
      <c r="L6568" s="58" t="str">
        <f t="shared" si="308"/>
        <v/>
      </c>
    </row>
    <row r="6569" spans="10:12" ht="16.5" customHeight="1" x14ac:dyDescent="0.35">
      <c r="J6569" s="56" t="str">
        <f t="shared" si="306"/>
        <v/>
      </c>
      <c r="K6569" s="74" t="str">
        <f t="shared" si="307"/>
        <v/>
      </c>
      <c r="L6569" s="58" t="str">
        <f t="shared" si="308"/>
        <v/>
      </c>
    </row>
    <row r="6570" spans="10:12" ht="16.5" customHeight="1" x14ac:dyDescent="0.35">
      <c r="J6570" s="56" t="str">
        <f t="shared" si="306"/>
        <v/>
      </c>
      <c r="K6570" s="74" t="str">
        <f t="shared" si="307"/>
        <v/>
      </c>
      <c r="L6570" s="58" t="str">
        <f t="shared" si="308"/>
        <v/>
      </c>
    </row>
    <row r="6571" spans="10:12" ht="16.5" customHeight="1" x14ac:dyDescent="0.35">
      <c r="J6571" s="56" t="str">
        <f t="shared" si="306"/>
        <v/>
      </c>
      <c r="K6571" s="74" t="str">
        <f t="shared" si="307"/>
        <v/>
      </c>
      <c r="L6571" s="58" t="str">
        <f t="shared" si="308"/>
        <v/>
      </c>
    </row>
    <row r="6572" spans="10:12" ht="16.5" customHeight="1" x14ac:dyDescent="0.35">
      <c r="J6572" s="56" t="str">
        <f t="shared" si="306"/>
        <v/>
      </c>
      <c r="K6572" s="74" t="str">
        <f t="shared" si="307"/>
        <v/>
      </c>
      <c r="L6572" s="58" t="str">
        <f t="shared" si="308"/>
        <v/>
      </c>
    </row>
    <row r="6573" spans="10:12" ht="16.5" customHeight="1" x14ac:dyDescent="0.35">
      <c r="J6573" s="56" t="str">
        <f t="shared" si="306"/>
        <v/>
      </c>
      <c r="K6573" s="74" t="str">
        <f t="shared" si="307"/>
        <v/>
      </c>
      <c r="L6573" s="58" t="str">
        <f t="shared" si="308"/>
        <v/>
      </c>
    </row>
    <row r="6574" spans="10:12" ht="16.5" customHeight="1" x14ac:dyDescent="0.35">
      <c r="J6574" s="56" t="str">
        <f t="shared" si="306"/>
        <v/>
      </c>
      <c r="K6574" s="74" t="str">
        <f t="shared" si="307"/>
        <v/>
      </c>
      <c r="L6574" s="58" t="str">
        <f t="shared" si="308"/>
        <v/>
      </c>
    </row>
    <row r="6575" spans="10:12" ht="16.5" customHeight="1" x14ac:dyDescent="0.35">
      <c r="J6575" s="56" t="str">
        <f t="shared" si="306"/>
        <v/>
      </c>
      <c r="K6575" s="74" t="str">
        <f t="shared" si="307"/>
        <v/>
      </c>
      <c r="L6575" s="58" t="str">
        <f t="shared" si="308"/>
        <v/>
      </c>
    </row>
    <row r="6576" spans="10:12" ht="16.5" customHeight="1" x14ac:dyDescent="0.35">
      <c r="J6576" s="56" t="str">
        <f t="shared" si="306"/>
        <v/>
      </c>
      <c r="K6576" s="74" t="str">
        <f t="shared" si="307"/>
        <v/>
      </c>
      <c r="L6576" s="58" t="str">
        <f t="shared" si="308"/>
        <v/>
      </c>
    </row>
    <row r="6577" spans="10:12" ht="16.5" customHeight="1" x14ac:dyDescent="0.35">
      <c r="J6577" s="56" t="str">
        <f t="shared" si="306"/>
        <v/>
      </c>
      <c r="K6577" s="74" t="str">
        <f t="shared" si="307"/>
        <v/>
      </c>
      <c r="L6577" s="58" t="str">
        <f t="shared" si="308"/>
        <v/>
      </c>
    </row>
    <row r="6578" spans="10:12" ht="16.5" customHeight="1" x14ac:dyDescent="0.35">
      <c r="J6578" s="56" t="str">
        <f t="shared" si="306"/>
        <v/>
      </c>
      <c r="K6578" s="74" t="str">
        <f t="shared" si="307"/>
        <v/>
      </c>
      <c r="L6578" s="58" t="str">
        <f t="shared" si="308"/>
        <v/>
      </c>
    </row>
    <row r="6579" spans="10:12" ht="16.5" customHeight="1" x14ac:dyDescent="0.35">
      <c r="J6579" s="56" t="str">
        <f t="shared" si="306"/>
        <v/>
      </c>
      <c r="K6579" s="74" t="str">
        <f t="shared" si="307"/>
        <v/>
      </c>
      <c r="L6579" s="58" t="str">
        <f t="shared" si="308"/>
        <v/>
      </c>
    </row>
    <row r="6580" spans="10:12" ht="16.5" customHeight="1" x14ac:dyDescent="0.35">
      <c r="J6580" s="56" t="str">
        <f t="shared" si="306"/>
        <v/>
      </c>
      <c r="K6580" s="74" t="str">
        <f t="shared" si="307"/>
        <v/>
      </c>
      <c r="L6580" s="58" t="str">
        <f t="shared" si="308"/>
        <v/>
      </c>
    </row>
    <row r="6581" spans="10:12" ht="16.5" customHeight="1" x14ac:dyDescent="0.35">
      <c r="J6581" s="56" t="str">
        <f t="shared" si="306"/>
        <v/>
      </c>
      <c r="K6581" s="74" t="str">
        <f t="shared" si="307"/>
        <v/>
      </c>
      <c r="L6581" s="58" t="str">
        <f t="shared" si="308"/>
        <v/>
      </c>
    </row>
    <row r="6582" spans="10:12" ht="16.5" customHeight="1" x14ac:dyDescent="0.35">
      <c r="J6582" s="56" t="str">
        <f t="shared" si="306"/>
        <v/>
      </c>
      <c r="K6582" s="74" t="str">
        <f t="shared" si="307"/>
        <v/>
      </c>
      <c r="L6582" s="58" t="str">
        <f t="shared" si="308"/>
        <v/>
      </c>
    </row>
    <row r="6583" spans="10:12" ht="16.5" customHeight="1" x14ac:dyDescent="0.35">
      <c r="J6583" s="56" t="str">
        <f t="shared" si="306"/>
        <v/>
      </c>
      <c r="K6583" s="74" t="str">
        <f t="shared" si="307"/>
        <v/>
      </c>
      <c r="L6583" s="58" t="str">
        <f t="shared" si="308"/>
        <v/>
      </c>
    </row>
    <row r="6584" spans="10:12" ht="16.5" customHeight="1" x14ac:dyDescent="0.35">
      <c r="J6584" s="56" t="str">
        <f t="shared" si="306"/>
        <v/>
      </c>
      <c r="K6584" s="74" t="str">
        <f t="shared" si="307"/>
        <v/>
      </c>
      <c r="L6584" s="58" t="str">
        <f t="shared" si="308"/>
        <v/>
      </c>
    </row>
    <row r="6585" spans="10:12" ht="16.5" customHeight="1" x14ac:dyDescent="0.35">
      <c r="J6585" s="56" t="str">
        <f t="shared" si="306"/>
        <v/>
      </c>
      <c r="K6585" s="74" t="str">
        <f t="shared" si="307"/>
        <v/>
      </c>
      <c r="L6585" s="58" t="str">
        <f t="shared" si="308"/>
        <v/>
      </c>
    </row>
    <row r="6586" spans="10:12" ht="16.5" customHeight="1" x14ac:dyDescent="0.35">
      <c r="J6586" s="56" t="str">
        <f t="shared" si="306"/>
        <v/>
      </c>
      <c r="K6586" s="74" t="str">
        <f t="shared" si="307"/>
        <v/>
      </c>
      <c r="L6586" s="58" t="str">
        <f t="shared" si="308"/>
        <v/>
      </c>
    </row>
    <row r="6587" spans="10:12" ht="16.5" customHeight="1" x14ac:dyDescent="0.35">
      <c r="J6587" s="56" t="str">
        <f t="shared" si="306"/>
        <v/>
      </c>
      <c r="K6587" s="74" t="str">
        <f t="shared" si="307"/>
        <v/>
      </c>
      <c r="L6587" s="58" t="str">
        <f t="shared" si="308"/>
        <v/>
      </c>
    </row>
    <row r="6588" spans="10:12" ht="16.5" customHeight="1" x14ac:dyDescent="0.35">
      <c r="J6588" s="56" t="str">
        <f t="shared" si="306"/>
        <v/>
      </c>
      <c r="K6588" s="74" t="str">
        <f t="shared" si="307"/>
        <v/>
      </c>
      <c r="L6588" s="58" t="str">
        <f t="shared" si="308"/>
        <v/>
      </c>
    </row>
    <row r="6589" spans="10:12" ht="16.5" customHeight="1" x14ac:dyDescent="0.35">
      <c r="J6589" s="56" t="str">
        <f t="shared" si="306"/>
        <v/>
      </c>
      <c r="K6589" s="74" t="str">
        <f t="shared" si="307"/>
        <v/>
      </c>
      <c r="L6589" s="58" t="str">
        <f t="shared" si="308"/>
        <v/>
      </c>
    </row>
    <row r="6590" spans="10:12" ht="16.5" customHeight="1" x14ac:dyDescent="0.35">
      <c r="J6590" s="56" t="str">
        <f t="shared" si="306"/>
        <v/>
      </c>
      <c r="K6590" s="74" t="str">
        <f t="shared" si="307"/>
        <v/>
      </c>
      <c r="L6590" s="58" t="str">
        <f t="shared" si="308"/>
        <v/>
      </c>
    </row>
    <row r="6591" spans="10:12" ht="16.5" customHeight="1" x14ac:dyDescent="0.35">
      <c r="J6591" s="56" t="str">
        <f t="shared" si="306"/>
        <v/>
      </c>
      <c r="K6591" s="74" t="str">
        <f t="shared" si="307"/>
        <v/>
      </c>
      <c r="L6591" s="58" t="str">
        <f t="shared" si="308"/>
        <v/>
      </c>
    </row>
    <row r="6592" spans="10:12" ht="16.5" customHeight="1" x14ac:dyDescent="0.35">
      <c r="J6592" s="56" t="str">
        <f t="shared" si="306"/>
        <v/>
      </c>
      <c r="K6592" s="74" t="str">
        <f t="shared" si="307"/>
        <v/>
      </c>
      <c r="L6592" s="58" t="str">
        <f t="shared" si="308"/>
        <v/>
      </c>
    </row>
    <row r="6593" spans="10:12" ht="16.5" customHeight="1" x14ac:dyDescent="0.35">
      <c r="J6593" s="56" t="str">
        <f t="shared" si="306"/>
        <v/>
      </c>
      <c r="K6593" s="74" t="str">
        <f t="shared" si="307"/>
        <v/>
      </c>
      <c r="L6593" s="58" t="str">
        <f t="shared" si="308"/>
        <v/>
      </c>
    </row>
    <row r="6594" spans="10:12" ht="16.5" customHeight="1" x14ac:dyDescent="0.35">
      <c r="J6594" s="56" t="str">
        <f t="shared" si="306"/>
        <v/>
      </c>
      <c r="K6594" s="74" t="str">
        <f t="shared" si="307"/>
        <v/>
      </c>
      <c r="L6594" s="58" t="str">
        <f t="shared" si="308"/>
        <v/>
      </c>
    </row>
    <row r="6595" spans="10:12" ht="16.5" customHeight="1" x14ac:dyDescent="0.35">
      <c r="J6595" s="56" t="str">
        <f t="shared" si="306"/>
        <v/>
      </c>
      <c r="K6595" s="74" t="str">
        <f t="shared" si="307"/>
        <v/>
      </c>
      <c r="L6595" s="58" t="str">
        <f t="shared" si="308"/>
        <v/>
      </c>
    </row>
    <row r="6596" spans="10:12" ht="16.5" customHeight="1" x14ac:dyDescent="0.35">
      <c r="J6596" s="56" t="str">
        <f t="shared" si="306"/>
        <v/>
      </c>
      <c r="K6596" s="74" t="str">
        <f t="shared" si="307"/>
        <v/>
      </c>
      <c r="L6596" s="58" t="str">
        <f t="shared" si="308"/>
        <v/>
      </c>
    </row>
    <row r="6597" spans="10:12" ht="16.5" customHeight="1" x14ac:dyDescent="0.35">
      <c r="J6597" s="56" t="str">
        <f t="shared" si="306"/>
        <v/>
      </c>
      <c r="K6597" s="74" t="str">
        <f t="shared" si="307"/>
        <v/>
      </c>
      <c r="L6597" s="58" t="str">
        <f t="shared" si="308"/>
        <v/>
      </c>
    </row>
    <row r="6598" spans="10:12" ht="16.5" customHeight="1" x14ac:dyDescent="0.35">
      <c r="J6598" s="56" t="str">
        <f t="shared" si="306"/>
        <v/>
      </c>
      <c r="K6598" s="74" t="str">
        <f t="shared" si="307"/>
        <v/>
      </c>
      <c r="L6598" s="58" t="str">
        <f t="shared" si="308"/>
        <v/>
      </c>
    </row>
    <row r="6599" spans="10:12" ht="16.5" customHeight="1" x14ac:dyDescent="0.35">
      <c r="J6599" s="56" t="str">
        <f t="shared" si="306"/>
        <v/>
      </c>
      <c r="K6599" s="74" t="str">
        <f t="shared" si="307"/>
        <v/>
      </c>
      <c r="L6599" s="58" t="str">
        <f t="shared" si="308"/>
        <v/>
      </c>
    </row>
    <row r="6600" spans="10:12" ht="16.5" customHeight="1" x14ac:dyDescent="0.35">
      <c r="J6600" s="56" t="str">
        <f t="shared" si="306"/>
        <v/>
      </c>
      <c r="K6600" s="74" t="str">
        <f t="shared" si="307"/>
        <v/>
      </c>
      <c r="L6600" s="58" t="str">
        <f t="shared" si="308"/>
        <v/>
      </c>
    </row>
    <row r="6601" spans="10:12" ht="16.5" customHeight="1" x14ac:dyDescent="0.35">
      <c r="J6601" s="56" t="str">
        <f t="shared" ref="J6601:J6664" si="309">IF(A6601="","",A$5-A6601)</f>
        <v/>
      </c>
      <c r="K6601" s="74" t="str">
        <f t="shared" ref="K6601:K6664" si="310">IF(J6601="","",IF(J6601&lt;4,"0-3 Days",IF(J6601&lt;31,"4-30 Days",IF(J6601&lt;61,"31-60 Days",IF(J6601&lt;=90,"61-90 Days",IF(J6601&gt;90,"Above 90 Days","0"))))))</f>
        <v/>
      </c>
      <c r="L6601" s="58" t="str">
        <f t="shared" ref="L6601:L6664" si="311">IF(C6601="","",IF(C6601&gt;0,IF(J6601&lt;30,"Normal",IF(J6601&lt;60,"Especially Mentioned",IF(J6601&lt;90,"Substandard",IF(J6601&lt;=180,"Doubtful",IF(J6601&gt;180,"Loss","0"))))),"Not Applicable"))</f>
        <v/>
      </c>
    </row>
    <row r="6602" spans="10:12" ht="16.5" customHeight="1" x14ac:dyDescent="0.35">
      <c r="J6602" s="56" t="str">
        <f t="shared" si="309"/>
        <v/>
      </c>
      <c r="K6602" s="74" t="str">
        <f t="shared" si="310"/>
        <v/>
      </c>
      <c r="L6602" s="58" t="str">
        <f t="shared" si="311"/>
        <v/>
      </c>
    </row>
    <row r="6603" spans="10:12" ht="16.5" customHeight="1" x14ac:dyDescent="0.35">
      <c r="J6603" s="56" t="str">
        <f t="shared" si="309"/>
        <v/>
      </c>
      <c r="K6603" s="74" t="str">
        <f t="shared" si="310"/>
        <v/>
      </c>
      <c r="L6603" s="58" t="str">
        <f t="shared" si="311"/>
        <v/>
      </c>
    </row>
    <row r="6604" spans="10:12" ht="16.5" customHeight="1" x14ac:dyDescent="0.35">
      <c r="J6604" s="56" t="str">
        <f t="shared" si="309"/>
        <v/>
      </c>
      <c r="K6604" s="74" t="str">
        <f t="shared" si="310"/>
        <v/>
      </c>
      <c r="L6604" s="58" t="str">
        <f t="shared" si="311"/>
        <v/>
      </c>
    </row>
    <row r="6605" spans="10:12" ht="16.5" customHeight="1" x14ac:dyDescent="0.35">
      <c r="J6605" s="56" t="str">
        <f t="shared" si="309"/>
        <v/>
      </c>
      <c r="K6605" s="74" t="str">
        <f t="shared" si="310"/>
        <v/>
      </c>
      <c r="L6605" s="58" t="str">
        <f t="shared" si="311"/>
        <v/>
      </c>
    </row>
    <row r="6606" spans="10:12" ht="16.5" customHeight="1" x14ac:dyDescent="0.35">
      <c r="J6606" s="56" t="str">
        <f t="shared" si="309"/>
        <v/>
      </c>
      <c r="K6606" s="74" t="str">
        <f t="shared" si="310"/>
        <v/>
      </c>
      <c r="L6606" s="58" t="str">
        <f t="shared" si="311"/>
        <v/>
      </c>
    </row>
    <row r="6607" spans="10:12" ht="16.5" customHeight="1" x14ac:dyDescent="0.35">
      <c r="J6607" s="56" t="str">
        <f t="shared" si="309"/>
        <v/>
      </c>
      <c r="K6607" s="74" t="str">
        <f t="shared" si="310"/>
        <v/>
      </c>
      <c r="L6607" s="58" t="str">
        <f t="shared" si="311"/>
        <v/>
      </c>
    </row>
    <row r="6608" spans="10:12" ht="16.5" customHeight="1" x14ac:dyDescent="0.35">
      <c r="J6608" s="56" t="str">
        <f t="shared" si="309"/>
        <v/>
      </c>
      <c r="K6608" s="74" t="str">
        <f t="shared" si="310"/>
        <v/>
      </c>
      <c r="L6608" s="58" t="str">
        <f t="shared" si="311"/>
        <v/>
      </c>
    </row>
    <row r="6609" spans="10:12" ht="16.5" customHeight="1" x14ac:dyDescent="0.35">
      <c r="J6609" s="56" t="str">
        <f t="shared" si="309"/>
        <v/>
      </c>
      <c r="K6609" s="74" t="str">
        <f t="shared" si="310"/>
        <v/>
      </c>
      <c r="L6609" s="58" t="str">
        <f t="shared" si="311"/>
        <v/>
      </c>
    </row>
    <row r="6610" spans="10:12" ht="16.5" customHeight="1" x14ac:dyDescent="0.35">
      <c r="J6610" s="56" t="str">
        <f t="shared" si="309"/>
        <v/>
      </c>
      <c r="K6610" s="74" t="str">
        <f t="shared" si="310"/>
        <v/>
      </c>
      <c r="L6610" s="58" t="str">
        <f t="shared" si="311"/>
        <v/>
      </c>
    </row>
    <row r="6611" spans="10:12" ht="16.5" customHeight="1" x14ac:dyDescent="0.35">
      <c r="J6611" s="56" t="str">
        <f t="shared" si="309"/>
        <v/>
      </c>
      <c r="K6611" s="74" t="str">
        <f t="shared" si="310"/>
        <v/>
      </c>
      <c r="L6611" s="58" t="str">
        <f t="shared" si="311"/>
        <v/>
      </c>
    </row>
    <row r="6612" spans="10:12" ht="16.5" customHeight="1" x14ac:dyDescent="0.35">
      <c r="J6612" s="56" t="str">
        <f t="shared" si="309"/>
        <v/>
      </c>
      <c r="K6612" s="74" t="str">
        <f t="shared" si="310"/>
        <v/>
      </c>
      <c r="L6612" s="58" t="str">
        <f t="shared" si="311"/>
        <v/>
      </c>
    </row>
    <row r="6613" spans="10:12" ht="16.5" customHeight="1" x14ac:dyDescent="0.35">
      <c r="J6613" s="56" t="str">
        <f t="shared" si="309"/>
        <v/>
      </c>
      <c r="K6613" s="74" t="str">
        <f t="shared" si="310"/>
        <v/>
      </c>
      <c r="L6613" s="58" t="str">
        <f t="shared" si="311"/>
        <v/>
      </c>
    </row>
    <row r="6614" spans="10:12" ht="16.5" customHeight="1" x14ac:dyDescent="0.35">
      <c r="J6614" s="56" t="str">
        <f t="shared" si="309"/>
        <v/>
      </c>
      <c r="K6614" s="74" t="str">
        <f t="shared" si="310"/>
        <v/>
      </c>
      <c r="L6614" s="58" t="str">
        <f t="shared" si="311"/>
        <v/>
      </c>
    </row>
    <row r="6615" spans="10:12" ht="16.5" customHeight="1" x14ac:dyDescent="0.35">
      <c r="J6615" s="56" t="str">
        <f t="shared" si="309"/>
        <v/>
      </c>
      <c r="K6615" s="74" t="str">
        <f t="shared" si="310"/>
        <v/>
      </c>
      <c r="L6615" s="58" t="str">
        <f t="shared" si="311"/>
        <v/>
      </c>
    </row>
    <row r="6616" spans="10:12" ht="16.5" customHeight="1" x14ac:dyDescent="0.35">
      <c r="J6616" s="56" t="str">
        <f t="shared" si="309"/>
        <v/>
      </c>
      <c r="K6616" s="74" t="str">
        <f t="shared" si="310"/>
        <v/>
      </c>
      <c r="L6616" s="58" t="str">
        <f t="shared" si="311"/>
        <v/>
      </c>
    </row>
    <row r="6617" spans="10:12" ht="16.5" customHeight="1" x14ac:dyDescent="0.35">
      <c r="J6617" s="56" t="str">
        <f t="shared" si="309"/>
        <v/>
      </c>
      <c r="K6617" s="74" t="str">
        <f t="shared" si="310"/>
        <v/>
      </c>
      <c r="L6617" s="58" t="str">
        <f t="shared" si="311"/>
        <v/>
      </c>
    </row>
    <row r="6618" spans="10:12" ht="16.5" customHeight="1" x14ac:dyDescent="0.35">
      <c r="J6618" s="56" t="str">
        <f t="shared" si="309"/>
        <v/>
      </c>
      <c r="K6618" s="74" t="str">
        <f t="shared" si="310"/>
        <v/>
      </c>
      <c r="L6618" s="58" t="str">
        <f t="shared" si="311"/>
        <v/>
      </c>
    </row>
    <row r="6619" spans="10:12" ht="16.5" customHeight="1" x14ac:dyDescent="0.35">
      <c r="J6619" s="56" t="str">
        <f t="shared" si="309"/>
        <v/>
      </c>
      <c r="K6619" s="74" t="str">
        <f t="shared" si="310"/>
        <v/>
      </c>
      <c r="L6619" s="58" t="str">
        <f t="shared" si="311"/>
        <v/>
      </c>
    </row>
    <row r="6620" spans="10:12" ht="16.5" customHeight="1" x14ac:dyDescent="0.35">
      <c r="J6620" s="56" t="str">
        <f t="shared" si="309"/>
        <v/>
      </c>
      <c r="K6620" s="74" t="str">
        <f t="shared" si="310"/>
        <v/>
      </c>
      <c r="L6620" s="58" t="str">
        <f t="shared" si="311"/>
        <v/>
      </c>
    </row>
    <row r="6621" spans="10:12" ht="16.5" customHeight="1" x14ac:dyDescent="0.35">
      <c r="J6621" s="56" t="str">
        <f t="shared" si="309"/>
        <v/>
      </c>
      <c r="K6621" s="74" t="str">
        <f t="shared" si="310"/>
        <v/>
      </c>
      <c r="L6621" s="58" t="str">
        <f t="shared" si="311"/>
        <v/>
      </c>
    </row>
    <row r="6622" spans="10:12" ht="16.5" customHeight="1" x14ac:dyDescent="0.35">
      <c r="J6622" s="56" t="str">
        <f t="shared" si="309"/>
        <v/>
      </c>
      <c r="K6622" s="74" t="str">
        <f t="shared" si="310"/>
        <v/>
      </c>
      <c r="L6622" s="58" t="str">
        <f t="shared" si="311"/>
        <v/>
      </c>
    </row>
    <row r="6623" spans="10:12" ht="16.5" customHeight="1" x14ac:dyDescent="0.35">
      <c r="J6623" s="56" t="str">
        <f t="shared" si="309"/>
        <v/>
      </c>
      <c r="K6623" s="74" t="str">
        <f t="shared" si="310"/>
        <v/>
      </c>
      <c r="L6623" s="58" t="str">
        <f t="shared" si="311"/>
        <v/>
      </c>
    </row>
    <row r="6624" spans="10:12" ht="16.5" customHeight="1" x14ac:dyDescent="0.35">
      <c r="J6624" s="56" t="str">
        <f t="shared" si="309"/>
        <v/>
      </c>
      <c r="K6624" s="74" t="str">
        <f t="shared" si="310"/>
        <v/>
      </c>
      <c r="L6624" s="58" t="str">
        <f t="shared" si="311"/>
        <v/>
      </c>
    </row>
    <row r="6625" spans="10:12" ht="16.5" customHeight="1" x14ac:dyDescent="0.35">
      <c r="J6625" s="56" t="str">
        <f t="shared" si="309"/>
        <v/>
      </c>
      <c r="K6625" s="74" t="str">
        <f t="shared" si="310"/>
        <v/>
      </c>
      <c r="L6625" s="58" t="str">
        <f t="shared" si="311"/>
        <v/>
      </c>
    </row>
    <row r="6626" spans="10:12" ht="16.5" customHeight="1" x14ac:dyDescent="0.35">
      <c r="J6626" s="56" t="str">
        <f t="shared" si="309"/>
        <v/>
      </c>
      <c r="K6626" s="74" t="str">
        <f t="shared" si="310"/>
        <v/>
      </c>
      <c r="L6626" s="58" t="str">
        <f t="shared" si="311"/>
        <v/>
      </c>
    </row>
    <row r="6627" spans="10:12" ht="16.5" customHeight="1" x14ac:dyDescent="0.35">
      <c r="J6627" s="56" t="str">
        <f t="shared" si="309"/>
        <v/>
      </c>
      <c r="K6627" s="74" t="str">
        <f t="shared" si="310"/>
        <v/>
      </c>
      <c r="L6627" s="58" t="str">
        <f t="shared" si="311"/>
        <v/>
      </c>
    </row>
    <row r="6628" spans="10:12" ht="16.5" customHeight="1" x14ac:dyDescent="0.35">
      <c r="J6628" s="56" t="str">
        <f t="shared" si="309"/>
        <v/>
      </c>
      <c r="K6628" s="74" t="str">
        <f t="shared" si="310"/>
        <v/>
      </c>
      <c r="L6628" s="58" t="str">
        <f t="shared" si="311"/>
        <v/>
      </c>
    </row>
    <row r="6629" spans="10:12" ht="16.5" customHeight="1" x14ac:dyDescent="0.35">
      <c r="J6629" s="56" t="str">
        <f t="shared" si="309"/>
        <v/>
      </c>
      <c r="K6629" s="74" t="str">
        <f t="shared" si="310"/>
        <v/>
      </c>
      <c r="L6629" s="58" t="str">
        <f t="shared" si="311"/>
        <v/>
      </c>
    </row>
    <row r="6630" spans="10:12" ht="16.5" customHeight="1" x14ac:dyDescent="0.35">
      <c r="J6630" s="56" t="str">
        <f t="shared" si="309"/>
        <v/>
      </c>
      <c r="K6630" s="74" t="str">
        <f t="shared" si="310"/>
        <v/>
      </c>
      <c r="L6630" s="58" t="str">
        <f t="shared" si="311"/>
        <v/>
      </c>
    </row>
    <row r="6631" spans="10:12" ht="16.5" customHeight="1" x14ac:dyDescent="0.35">
      <c r="J6631" s="56" t="str">
        <f t="shared" si="309"/>
        <v/>
      </c>
      <c r="K6631" s="74" t="str">
        <f t="shared" si="310"/>
        <v/>
      </c>
      <c r="L6631" s="58" t="str">
        <f t="shared" si="311"/>
        <v/>
      </c>
    </row>
    <row r="6632" spans="10:12" ht="16.5" customHeight="1" x14ac:dyDescent="0.35">
      <c r="J6632" s="56" t="str">
        <f t="shared" si="309"/>
        <v/>
      </c>
      <c r="K6632" s="74" t="str">
        <f t="shared" si="310"/>
        <v/>
      </c>
      <c r="L6632" s="58" t="str">
        <f t="shared" si="311"/>
        <v/>
      </c>
    </row>
    <row r="6633" spans="10:12" ht="16.5" customHeight="1" x14ac:dyDescent="0.35">
      <c r="J6633" s="56" t="str">
        <f t="shared" si="309"/>
        <v/>
      </c>
      <c r="K6633" s="74" t="str">
        <f t="shared" si="310"/>
        <v/>
      </c>
      <c r="L6633" s="58" t="str">
        <f t="shared" si="311"/>
        <v/>
      </c>
    </row>
    <row r="6634" spans="10:12" ht="16.5" customHeight="1" x14ac:dyDescent="0.35">
      <c r="J6634" s="56" t="str">
        <f t="shared" si="309"/>
        <v/>
      </c>
      <c r="K6634" s="74" t="str">
        <f t="shared" si="310"/>
        <v/>
      </c>
      <c r="L6634" s="58" t="str">
        <f t="shared" si="311"/>
        <v/>
      </c>
    </row>
    <row r="6635" spans="10:12" ht="16.5" customHeight="1" x14ac:dyDescent="0.35">
      <c r="J6635" s="56" t="str">
        <f t="shared" si="309"/>
        <v/>
      </c>
      <c r="K6635" s="74" t="str">
        <f t="shared" si="310"/>
        <v/>
      </c>
      <c r="L6635" s="58" t="str">
        <f t="shared" si="311"/>
        <v/>
      </c>
    </row>
    <row r="6636" spans="10:12" ht="16.5" customHeight="1" x14ac:dyDescent="0.35">
      <c r="J6636" s="56" t="str">
        <f t="shared" si="309"/>
        <v/>
      </c>
      <c r="K6636" s="74" t="str">
        <f t="shared" si="310"/>
        <v/>
      </c>
      <c r="L6636" s="58" t="str">
        <f t="shared" si="311"/>
        <v/>
      </c>
    </row>
    <row r="6637" spans="10:12" ht="16.5" customHeight="1" x14ac:dyDescent="0.35">
      <c r="J6637" s="56" t="str">
        <f t="shared" si="309"/>
        <v/>
      </c>
      <c r="K6637" s="74" t="str">
        <f t="shared" si="310"/>
        <v/>
      </c>
      <c r="L6637" s="58" t="str">
        <f t="shared" si="311"/>
        <v/>
      </c>
    </row>
    <row r="6638" spans="10:12" ht="16.5" customHeight="1" x14ac:dyDescent="0.35">
      <c r="J6638" s="56" t="str">
        <f t="shared" si="309"/>
        <v/>
      </c>
      <c r="K6638" s="74" t="str">
        <f t="shared" si="310"/>
        <v/>
      </c>
      <c r="L6638" s="58" t="str">
        <f t="shared" si="311"/>
        <v/>
      </c>
    </row>
    <row r="6639" spans="10:12" ht="16.5" customHeight="1" x14ac:dyDescent="0.35">
      <c r="J6639" s="56" t="str">
        <f t="shared" si="309"/>
        <v/>
      </c>
      <c r="K6639" s="74" t="str">
        <f t="shared" si="310"/>
        <v/>
      </c>
      <c r="L6639" s="58" t="str">
        <f t="shared" si="311"/>
        <v/>
      </c>
    </row>
    <row r="6640" spans="10:12" ht="16.5" customHeight="1" x14ac:dyDescent="0.35">
      <c r="J6640" s="56" t="str">
        <f t="shared" si="309"/>
        <v/>
      </c>
      <c r="K6640" s="74" t="str">
        <f t="shared" si="310"/>
        <v/>
      </c>
      <c r="L6640" s="58" t="str">
        <f t="shared" si="311"/>
        <v/>
      </c>
    </row>
    <row r="6641" spans="10:12" ht="16.5" customHeight="1" x14ac:dyDescent="0.35">
      <c r="J6641" s="56" t="str">
        <f t="shared" si="309"/>
        <v/>
      </c>
      <c r="K6641" s="74" t="str">
        <f t="shared" si="310"/>
        <v/>
      </c>
      <c r="L6641" s="58" t="str">
        <f t="shared" si="311"/>
        <v/>
      </c>
    </row>
    <row r="6642" spans="10:12" ht="16.5" customHeight="1" x14ac:dyDescent="0.35">
      <c r="J6642" s="56" t="str">
        <f t="shared" si="309"/>
        <v/>
      </c>
      <c r="K6642" s="74" t="str">
        <f t="shared" si="310"/>
        <v/>
      </c>
      <c r="L6642" s="58" t="str">
        <f t="shared" si="311"/>
        <v/>
      </c>
    </row>
    <row r="6643" spans="10:12" ht="16.5" customHeight="1" x14ac:dyDescent="0.35">
      <c r="J6643" s="56" t="str">
        <f t="shared" si="309"/>
        <v/>
      </c>
      <c r="K6643" s="74" t="str">
        <f t="shared" si="310"/>
        <v/>
      </c>
      <c r="L6643" s="58" t="str">
        <f t="shared" si="311"/>
        <v/>
      </c>
    </row>
    <row r="6644" spans="10:12" ht="16.5" customHeight="1" x14ac:dyDescent="0.35">
      <c r="J6644" s="56" t="str">
        <f t="shared" si="309"/>
        <v/>
      </c>
      <c r="K6644" s="74" t="str">
        <f t="shared" si="310"/>
        <v/>
      </c>
      <c r="L6644" s="58" t="str">
        <f t="shared" si="311"/>
        <v/>
      </c>
    </row>
    <row r="6645" spans="10:12" ht="16.5" customHeight="1" x14ac:dyDescent="0.35">
      <c r="J6645" s="56" t="str">
        <f t="shared" si="309"/>
        <v/>
      </c>
      <c r="K6645" s="74" t="str">
        <f t="shared" si="310"/>
        <v/>
      </c>
      <c r="L6645" s="58" t="str">
        <f t="shared" si="311"/>
        <v/>
      </c>
    </row>
    <row r="6646" spans="10:12" ht="16.5" customHeight="1" x14ac:dyDescent="0.35">
      <c r="J6646" s="56" t="str">
        <f t="shared" si="309"/>
        <v/>
      </c>
      <c r="K6646" s="74" t="str">
        <f t="shared" si="310"/>
        <v/>
      </c>
      <c r="L6646" s="58" t="str">
        <f t="shared" si="311"/>
        <v/>
      </c>
    </row>
    <row r="6647" spans="10:12" ht="16.5" customHeight="1" x14ac:dyDescent="0.35">
      <c r="J6647" s="56" t="str">
        <f t="shared" si="309"/>
        <v/>
      </c>
      <c r="K6647" s="74" t="str">
        <f t="shared" si="310"/>
        <v/>
      </c>
      <c r="L6647" s="58" t="str">
        <f t="shared" si="311"/>
        <v/>
      </c>
    </row>
    <row r="6648" spans="10:12" ht="16.5" customHeight="1" x14ac:dyDescent="0.35">
      <c r="J6648" s="56" t="str">
        <f t="shared" si="309"/>
        <v/>
      </c>
      <c r="K6648" s="74" t="str">
        <f t="shared" si="310"/>
        <v/>
      </c>
      <c r="L6648" s="58" t="str">
        <f t="shared" si="311"/>
        <v/>
      </c>
    </row>
    <row r="6649" spans="10:12" ht="16.5" customHeight="1" x14ac:dyDescent="0.35">
      <c r="J6649" s="56" t="str">
        <f t="shared" si="309"/>
        <v/>
      </c>
      <c r="K6649" s="74" t="str">
        <f t="shared" si="310"/>
        <v/>
      </c>
      <c r="L6649" s="58" t="str">
        <f t="shared" si="311"/>
        <v/>
      </c>
    </row>
    <row r="6650" spans="10:12" ht="16.5" customHeight="1" x14ac:dyDescent="0.35">
      <c r="J6650" s="56" t="str">
        <f t="shared" si="309"/>
        <v/>
      </c>
      <c r="K6650" s="74" t="str">
        <f t="shared" si="310"/>
        <v/>
      </c>
      <c r="L6650" s="58" t="str">
        <f t="shared" si="311"/>
        <v/>
      </c>
    </row>
    <row r="6651" spans="10:12" ht="16.5" customHeight="1" x14ac:dyDescent="0.35">
      <c r="J6651" s="56" t="str">
        <f t="shared" si="309"/>
        <v/>
      </c>
      <c r="K6651" s="74" t="str">
        <f t="shared" si="310"/>
        <v/>
      </c>
      <c r="L6651" s="58" t="str">
        <f t="shared" si="311"/>
        <v/>
      </c>
    </row>
    <row r="6652" spans="10:12" ht="16.5" customHeight="1" x14ac:dyDescent="0.35">
      <c r="J6652" s="56" t="str">
        <f t="shared" si="309"/>
        <v/>
      </c>
      <c r="K6652" s="74" t="str">
        <f t="shared" si="310"/>
        <v/>
      </c>
      <c r="L6652" s="58" t="str">
        <f t="shared" si="311"/>
        <v/>
      </c>
    </row>
    <row r="6653" spans="10:12" ht="16.5" customHeight="1" x14ac:dyDescent="0.35">
      <c r="J6653" s="56" t="str">
        <f t="shared" si="309"/>
        <v/>
      </c>
      <c r="K6653" s="74" t="str">
        <f t="shared" si="310"/>
        <v/>
      </c>
      <c r="L6653" s="58" t="str">
        <f t="shared" si="311"/>
        <v/>
      </c>
    </row>
    <row r="6654" spans="10:12" ht="16.5" customHeight="1" x14ac:dyDescent="0.35">
      <c r="J6654" s="56" t="str">
        <f t="shared" si="309"/>
        <v/>
      </c>
      <c r="K6654" s="74" t="str">
        <f t="shared" si="310"/>
        <v/>
      </c>
      <c r="L6654" s="58" t="str">
        <f t="shared" si="311"/>
        <v/>
      </c>
    </row>
    <row r="6655" spans="10:12" ht="16.5" customHeight="1" x14ac:dyDescent="0.35">
      <c r="J6655" s="56" t="str">
        <f t="shared" si="309"/>
        <v/>
      </c>
      <c r="K6655" s="74" t="str">
        <f t="shared" si="310"/>
        <v/>
      </c>
      <c r="L6655" s="58" t="str">
        <f t="shared" si="311"/>
        <v/>
      </c>
    </row>
    <row r="6656" spans="10:12" ht="16.5" customHeight="1" x14ac:dyDescent="0.35">
      <c r="J6656" s="56" t="str">
        <f t="shared" si="309"/>
        <v/>
      </c>
      <c r="K6656" s="74" t="str">
        <f t="shared" si="310"/>
        <v/>
      </c>
      <c r="L6656" s="58" t="str">
        <f t="shared" si="311"/>
        <v/>
      </c>
    </row>
    <row r="6657" spans="10:12" ht="16.5" customHeight="1" x14ac:dyDescent="0.35">
      <c r="J6657" s="56" t="str">
        <f t="shared" si="309"/>
        <v/>
      </c>
      <c r="K6657" s="74" t="str">
        <f t="shared" si="310"/>
        <v/>
      </c>
      <c r="L6657" s="58" t="str">
        <f t="shared" si="311"/>
        <v/>
      </c>
    </row>
    <row r="6658" spans="10:12" ht="16.5" customHeight="1" x14ac:dyDescent="0.35">
      <c r="J6658" s="56" t="str">
        <f t="shared" si="309"/>
        <v/>
      </c>
      <c r="K6658" s="74" t="str">
        <f t="shared" si="310"/>
        <v/>
      </c>
      <c r="L6658" s="58" t="str">
        <f t="shared" si="311"/>
        <v/>
      </c>
    </row>
    <row r="6659" spans="10:12" ht="16.5" customHeight="1" x14ac:dyDescent="0.35">
      <c r="J6659" s="56" t="str">
        <f t="shared" si="309"/>
        <v/>
      </c>
      <c r="K6659" s="74" t="str">
        <f t="shared" si="310"/>
        <v/>
      </c>
      <c r="L6659" s="58" t="str">
        <f t="shared" si="311"/>
        <v/>
      </c>
    </row>
    <row r="6660" spans="10:12" ht="16.5" customHeight="1" x14ac:dyDescent="0.35">
      <c r="J6660" s="56" t="str">
        <f t="shared" si="309"/>
        <v/>
      </c>
      <c r="K6660" s="74" t="str">
        <f t="shared" si="310"/>
        <v/>
      </c>
      <c r="L6660" s="58" t="str">
        <f t="shared" si="311"/>
        <v/>
      </c>
    </row>
    <row r="6661" spans="10:12" ht="16.5" customHeight="1" x14ac:dyDescent="0.35">
      <c r="J6661" s="56" t="str">
        <f t="shared" si="309"/>
        <v/>
      </c>
      <c r="K6661" s="74" t="str">
        <f t="shared" si="310"/>
        <v/>
      </c>
      <c r="L6661" s="58" t="str">
        <f t="shared" si="311"/>
        <v/>
      </c>
    </row>
    <row r="6662" spans="10:12" ht="16.5" customHeight="1" x14ac:dyDescent="0.35">
      <c r="J6662" s="56" t="str">
        <f t="shared" si="309"/>
        <v/>
      </c>
      <c r="K6662" s="74" t="str">
        <f t="shared" si="310"/>
        <v/>
      </c>
      <c r="L6662" s="58" t="str">
        <f t="shared" si="311"/>
        <v/>
      </c>
    </row>
    <row r="6663" spans="10:12" ht="16.5" customHeight="1" x14ac:dyDescent="0.35">
      <c r="J6663" s="56" t="str">
        <f t="shared" si="309"/>
        <v/>
      </c>
      <c r="K6663" s="74" t="str">
        <f t="shared" si="310"/>
        <v/>
      </c>
      <c r="L6663" s="58" t="str">
        <f t="shared" si="311"/>
        <v/>
      </c>
    </row>
    <row r="6664" spans="10:12" ht="16.5" customHeight="1" x14ac:dyDescent="0.35">
      <c r="J6664" s="56" t="str">
        <f t="shared" si="309"/>
        <v/>
      </c>
      <c r="K6664" s="74" t="str">
        <f t="shared" si="310"/>
        <v/>
      </c>
      <c r="L6664" s="58" t="str">
        <f t="shared" si="311"/>
        <v/>
      </c>
    </row>
    <row r="6665" spans="10:12" ht="16.5" customHeight="1" x14ac:dyDescent="0.35">
      <c r="J6665" s="56" t="str">
        <f t="shared" ref="J6665:J6728" si="312">IF(A6665="","",A$5-A6665)</f>
        <v/>
      </c>
      <c r="K6665" s="74" t="str">
        <f t="shared" ref="K6665:K6728" si="313">IF(J6665="","",IF(J6665&lt;4,"0-3 Days",IF(J6665&lt;31,"4-30 Days",IF(J6665&lt;61,"31-60 Days",IF(J6665&lt;=90,"61-90 Days",IF(J6665&gt;90,"Above 90 Days","0"))))))</f>
        <v/>
      </c>
      <c r="L6665" s="58" t="str">
        <f t="shared" ref="L6665:L6728" si="314">IF(C6665="","",IF(C6665&gt;0,IF(J6665&lt;30,"Normal",IF(J6665&lt;60,"Especially Mentioned",IF(J6665&lt;90,"Substandard",IF(J6665&lt;=180,"Doubtful",IF(J6665&gt;180,"Loss","0"))))),"Not Applicable"))</f>
        <v/>
      </c>
    </row>
    <row r="6666" spans="10:12" ht="16.5" customHeight="1" x14ac:dyDescent="0.35">
      <c r="J6666" s="56" t="str">
        <f t="shared" si="312"/>
        <v/>
      </c>
      <c r="K6666" s="74" t="str">
        <f t="shared" si="313"/>
        <v/>
      </c>
      <c r="L6666" s="58" t="str">
        <f t="shared" si="314"/>
        <v/>
      </c>
    </row>
    <row r="6667" spans="10:12" ht="16.5" customHeight="1" x14ac:dyDescent="0.35">
      <c r="J6667" s="56" t="str">
        <f t="shared" si="312"/>
        <v/>
      </c>
      <c r="K6667" s="74" t="str">
        <f t="shared" si="313"/>
        <v/>
      </c>
      <c r="L6667" s="58" t="str">
        <f t="shared" si="314"/>
        <v/>
      </c>
    </row>
    <row r="6668" spans="10:12" ht="16.5" customHeight="1" x14ac:dyDescent="0.35">
      <c r="J6668" s="56" t="str">
        <f t="shared" si="312"/>
        <v/>
      </c>
      <c r="K6668" s="74" t="str">
        <f t="shared" si="313"/>
        <v/>
      </c>
      <c r="L6668" s="58" t="str">
        <f t="shared" si="314"/>
        <v/>
      </c>
    </row>
    <row r="6669" spans="10:12" ht="16.5" customHeight="1" x14ac:dyDescent="0.35">
      <c r="J6669" s="56" t="str">
        <f t="shared" si="312"/>
        <v/>
      </c>
      <c r="K6669" s="74" t="str">
        <f t="shared" si="313"/>
        <v/>
      </c>
      <c r="L6669" s="58" t="str">
        <f t="shared" si="314"/>
        <v/>
      </c>
    </row>
    <row r="6670" spans="10:12" ht="16.5" customHeight="1" x14ac:dyDescent="0.35">
      <c r="J6670" s="56" t="str">
        <f t="shared" si="312"/>
        <v/>
      </c>
      <c r="K6670" s="74" t="str">
        <f t="shared" si="313"/>
        <v/>
      </c>
      <c r="L6670" s="58" t="str">
        <f t="shared" si="314"/>
        <v/>
      </c>
    </row>
    <row r="6671" spans="10:12" ht="16.5" customHeight="1" x14ac:dyDescent="0.35">
      <c r="J6671" s="56" t="str">
        <f t="shared" si="312"/>
        <v/>
      </c>
      <c r="K6671" s="74" t="str">
        <f t="shared" si="313"/>
        <v/>
      </c>
      <c r="L6671" s="58" t="str">
        <f t="shared" si="314"/>
        <v/>
      </c>
    </row>
    <row r="6672" spans="10:12" ht="16.5" customHeight="1" x14ac:dyDescent="0.35">
      <c r="J6672" s="56" t="str">
        <f t="shared" si="312"/>
        <v/>
      </c>
      <c r="K6672" s="74" t="str">
        <f t="shared" si="313"/>
        <v/>
      </c>
      <c r="L6672" s="58" t="str">
        <f t="shared" si="314"/>
        <v/>
      </c>
    </row>
    <row r="6673" spans="10:12" ht="16.5" customHeight="1" x14ac:dyDescent="0.35">
      <c r="J6673" s="56" t="str">
        <f t="shared" si="312"/>
        <v/>
      </c>
      <c r="K6673" s="74" t="str">
        <f t="shared" si="313"/>
        <v/>
      </c>
      <c r="L6673" s="58" t="str">
        <f t="shared" si="314"/>
        <v/>
      </c>
    </row>
    <row r="6674" spans="10:12" ht="16.5" customHeight="1" x14ac:dyDescent="0.35">
      <c r="J6674" s="56" t="str">
        <f t="shared" si="312"/>
        <v/>
      </c>
      <c r="K6674" s="74" t="str">
        <f t="shared" si="313"/>
        <v/>
      </c>
      <c r="L6674" s="58" t="str">
        <f t="shared" si="314"/>
        <v/>
      </c>
    </row>
    <row r="6675" spans="10:12" ht="16.5" customHeight="1" x14ac:dyDescent="0.35">
      <c r="J6675" s="56" t="str">
        <f t="shared" si="312"/>
        <v/>
      </c>
      <c r="K6675" s="74" t="str">
        <f t="shared" si="313"/>
        <v/>
      </c>
      <c r="L6675" s="58" t="str">
        <f t="shared" si="314"/>
        <v/>
      </c>
    </row>
    <row r="6676" spans="10:12" ht="16.5" customHeight="1" x14ac:dyDescent="0.35">
      <c r="J6676" s="56" t="str">
        <f t="shared" si="312"/>
        <v/>
      </c>
      <c r="K6676" s="74" t="str">
        <f t="shared" si="313"/>
        <v/>
      </c>
      <c r="L6676" s="58" t="str">
        <f t="shared" si="314"/>
        <v/>
      </c>
    </row>
    <row r="6677" spans="10:12" ht="16.5" customHeight="1" x14ac:dyDescent="0.35">
      <c r="J6677" s="56" t="str">
        <f t="shared" si="312"/>
        <v/>
      </c>
      <c r="K6677" s="74" t="str">
        <f t="shared" si="313"/>
        <v/>
      </c>
      <c r="L6677" s="58" t="str">
        <f t="shared" si="314"/>
        <v/>
      </c>
    </row>
    <row r="6678" spans="10:12" ht="16.5" customHeight="1" x14ac:dyDescent="0.35">
      <c r="J6678" s="56" t="str">
        <f t="shared" si="312"/>
        <v/>
      </c>
      <c r="K6678" s="74" t="str">
        <f t="shared" si="313"/>
        <v/>
      </c>
      <c r="L6678" s="58" t="str">
        <f t="shared" si="314"/>
        <v/>
      </c>
    </row>
    <row r="6679" spans="10:12" ht="16.5" customHeight="1" x14ac:dyDescent="0.35">
      <c r="J6679" s="56" t="str">
        <f t="shared" si="312"/>
        <v/>
      </c>
      <c r="K6679" s="74" t="str">
        <f t="shared" si="313"/>
        <v/>
      </c>
      <c r="L6679" s="58" t="str">
        <f t="shared" si="314"/>
        <v/>
      </c>
    </row>
    <row r="6680" spans="10:12" ht="16.5" customHeight="1" x14ac:dyDescent="0.35">
      <c r="J6680" s="56" t="str">
        <f t="shared" si="312"/>
        <v/>
      </c>
      <c r="K6680" s="74" t="str">
        <f t="shared" si="313"/>
        <v/>
      </c>
      <c r="L6680" s="58" t="str">
        <f t="shared" si="314"/>
        <v/>
      </c>
    </row>
    <row r="6681" spans="10:12" ht="16.5" customHeight="1" x14ac:dyDescent="0.35">
      <c r="J6681" s="56" t="str">
        <f t="shared" si="312"/>
        <v/>
      </c>
      <c r="K6681" s="74" t="str">
        <f t="shared" si="313"/>
        <v/>
      </c>
      <c r="L6681" s="58" t="str">
        <f t="shared" si="314"/>
        <v/>
      </c>
    </row>
    <row r="6682" spans="10:12" ht="16.5" customHeight="1" x14ac:dyDescent="0.35">
      <c r="J6682" s="56" t="str">
        <f t="shared" si="312"/>
        <v/>
      </c>
      <c r="K6682" s="74" t="str">
        <f t="shared" si="313"/>
        <v/>
      </c>
      <c r="L6682" s="58" t="str">
        <f t="shared" si="314"/>
        <v/>
      </c>
    </row>
    <row r="6683" spans="10:12" ht="16.5" customHeight="1" x14ac:dyDescent="0.35">
      <c r="J6683" s="56" t="str">
        <f t="shared" si="312"/>
        <v/>
      </c>
      <c r="K6683" s="74" t="str">
        <f t="shared" si="313"/>
        <v/>
      </c>
      <c r="L6683" s="58" t="str">
        <f t="shared" si="314"/>
        <v/>
      </c>
    </row>
    <row r="6684" spans="10:12" ht="16.5" customHeight="1" x14ac:dyDescent="0.35">
      <c r="J6684" s="56" t="str">
        <f t="shared" si="312"/>
        <v/>
      </c>
      <c r="K6684" s="74" t="str">
        <f t="shared" si="313"/>
        <v/>
      </c>
      <c r="L6684" s="58" t="str">
        <f t="shared" si="314"/>
        <v/>
      </c>
    </row>
    <row r="6685" spans="10:12" ht="16.5" customHeight="1" x14ac:dyDescent="0.35">
      <c r="J6685" s="56" t="str">
        <f t="shared" si="312"/>
        <v/>
      </c>
      <c r="K6685" s="74" t="str">
        <f t="shared" si="313"/>
        <v/>
      </c>
      <c r="L6685" s="58" t="str">
        <f t="shared" si="314"/>
        <v/>
      </c>
    </row>
    <row r="6686" spans="10:12" ht="16.5" customHeight="1" x14ac:dyDescent="0.35">
      <c r="J6686" s="56" t="str">
        <f t="shared" si="312"/>
        <v/>
      </c>
      <c r="K6686" s="74" t="str">
        <f t="shared" si="313"/>
        <v/>
      </c>
      <c r="L6686" s="58" t="str">
        <f t="shared" si="314"/>
        <v/>
      </c>
    </row>
    <row r="6687" spans="10:12" ht="16.5" customHeight="1" x14ac:dyDescent="0.35">
      <c r="J6687" s="56" t="str">
        <f t="shared" si="312"/>
        <v/>
      </c>
      <c r="K6687" s="74" t="str">
        <f t="shared" si="313"/>
        <v/>
      </c>
      <c r="L6687" s="58" t="str">
        <f t="shared" si="314"/>
        <v/>
      </c>
    </row>
    <row r="6688" spans="10:12" ht="16.5" customHeight="1" x14ac:dyDescent="0.35">
      <c r="J6688" s="56" t="str">
        <f t="shared" si="312"/>
        <v/>
      </c>
      <c r="K6688" s="74" t="str">
        <f t="shared" si="313"/>
        <v/>
      </c>
      <c r="L6688" s="58" t="str">
        <f t="shared" si="314"/>
        <v/>
      </c>
    </row>
    <row r="6689" spans="10:12" ht="16.5" customHeight="1" x14ac:dyDescent="0.35">
      <c r="J6689" s="56" t="str">
        <f t="shared" si="312"/>
        <v/>
      </c>
      <c r="K6689" s="74" t="str">
        <f t="shared" si="313"/>
        <v/>
      </c>
      <c r="L6689" s="58" t="str">
        <f t="shared" si="314"/>
        <v/>
      </c>
    </row>
    <row r="6690" spans="10:12" ht="16.5" customHeight="1" x14ac:dyDescent="0.35">
      <c r="J6690" s="56" t="str">
        <f t="shared" si="312"/>
        <v/>
      </c>
      <c r="K6690" s="74" t="str">
        <f t="shared" si="313"/>
        <v/>
      </c>
      <c r="L6690" s="58" t="str">
        <f t="shared" si="314"/>
        <v/>
      </c>
    </row>
    <row r="6691" spans="10:12" ht="16.5" customHeight="1" x14ac:dyDescent="0.35">
      <c r="J6691" s="56" t="str">
        <f t="shared" si="312"/>
        <v/>
      </c>
      <c r="K6691" s="74" t="str">
        <f t="shared" si="313"/>
        <v/>
      </c>
      <c r="L6691" s="58" t="str">
        <f t="shared" si="314"/>
        <v/>
      </c>
    </row>
    <row r="6692" spans="10:12" ht="16.5" customHeight="1" x14ac:dyDescent="0.35">
      <c r="J6692" s="56" t="str">
        <f t="shared" si="312"/>
        <v/>
      </c>
      <c r="K6692" s="74" t="str">
        <f t="shared" si="313"/>
        <v/>
      </c>
      <c r="L6692" s="58" t="str">
        <f t="shared" si="314"/>
        <v/>
      </c>
    </row>
    <row r="6693" spans="10:12" ht="16.5" customHeight="1" x14ac:dyDescent="0.35">
      <c r="J6693" s="56" t="str">
        <f t="shared" si="312"/>
        <v/>
      </c>
      <c r="K6693" s="74" t="str">
        <f t="shared" si="313"/>
        <v/>
      </c>
      <c r="L6693" s="58" t="str">
        <f t="shared" si="314"/>
        <v/>
      </c>
    </row>
    <row r="6694" spans="10:12" ht="16.5" customHeight="1" x14ac:dyDescent="0.35">
      <c r="J6694" s="56" t="str">
        <f t="shared" si="312"/>
        <v/>
      </c>
      <c r="K6694" s="74" t="str">
        <f t="shared" si="313"/>
        <v/>
      </c>
      <c r="L6694" s="58" t="str">
        <f t="shared" si="314"/>
        <v/>
      </c>
    </row>
    <row r="6695" spans="10:12" ht="16.5" customHeight="1" x14ac:dyDescent="0.35">
      <c r="J6695" s="56" t="str">
        <f t="shared" si="312"/>
        <v/>
      </c>
      <c r="K6695" s="74" t="str">
        <f t="shared" si="313"/>
        <v/>
      </c>
      <c r="L6695" s="58" t="str">
        <f t="shared" si="314"/>
        <v/>
      </c>
    </row>
    <row r="6696" spans="10:12" ht="16.5" customHeight="1" x14ac:dyDescent="0.35">
      <c r="J6696" s="56" t="str">
        <f t="shared" si="312"/>
        <v/>
      </c>
      <c r="K6696" s="74" t="str">
        <f t="shared" si="313"/>
        <v/>
      </c>
      <c r="L6696" s="58" t="str">
        <f t="shared" si="314"/>
        <v/>
      </c>
    </row>
    <row r="6697" spans="10:12" ht="16.5" customHeight="1" x14ac:dyDescent="0.35">
      <c r="J6697" s="56" t="str">
        <f t="shared" si="312"/>
        <v/>
      </c>
      <c r="K6697" s="74" t="str">
        <f t="shared" si="313"/>
        <v/>
      </c>
      <c r="L6697" s="58" t="str">
        <f t="shared" si="314"/>
        <v/>
      </c>
    </row>
    <row r="6698" spans="10:12" ht="16.5" customHeight="1" x14ac:dyDescent="0.35">
      <c r="J6698" s="56" t="str">
        <f t="shared" si="312"/>
        <v/>
      </c>
      <c r="K6698" s="74" t="str">
        <f t="shared" si="313"/>
        <v/>
      </c>
      <c r="L6698" s="58" t="str">
        <f t="shared" si="314"/>
        <v/>
      </c>
    </row>
    <row r="6699" spans="10:12" ht="16.5" customHeight="1" x14ac:dyDescent="0.35">
      <c r="J6699" s="56" t="str">
        <f t="shared" si="312"/>
        <v/>
      </c>
      <c r="K6699" s="74" t="str">
        <f t="shared" si="313"/>
        <v/>
      </c>
      <c r="L6699" s="58" t="str">
        <f t="shared" si="314"/>
        <v/>
      </c>
    </row>
    <row r="6700" spans="10:12" ht="16.5" customHeight="1" x14ac:dyDescent="0.35">
      <c r="J6700" s="56" t="str">
        <f t="shared" si="312"/>
        <v/>
      </c>
      <c r="K6700" s="74" t="str">
        <f t="shared" si="313"/>
        <v/>
      </c>
      <c r="L6700" s="58" t="str">
        <f t="shared" si="314"/>
        <v/>
      </c>
    </row>
    <row r="6701" spans="10:12" ht="16.5" customHeight="1" x14ac:dyDescent="0.35">
      <c r="J6701" s="56" t="str">
        <f t="shared" si="312"/>
        <v/>
      </c>
      <c r="K6701" s="74" t="str">
        <f t="shared" si="313"/>
        <v/>
      </c>
      <c r="L6701" s="58" t="str">
        <f t="shared" si="314"/>
        <v/>
      </c>
    </row>
    <row r="6702" spans="10:12" ht="16.5" customHeight="1" x14ac:dyDescent="0.35">
      <c r="J6702" s="56" t="str">
        <f t="shared" si="312"/>
        <v/>
      </c>
      <c r="K6702" s="74" t="str">
        <f t="shared" si="313"/>
        <v/>
      </c>
      <c r="L6702" s="58" t="str">
        <f t="shared" si="314"/>
        <v/>
      </c>
    </row>
    <row r="6703" spans="10:12" ht="16.5" customHeight="1" x14ac:dyDescent="0.35">
      <c r="J6703" s="56" t="str">
        <f t="shared" si="312"/>
        <v/>
      </c>
      <c r="K6703" s="74" t="str">
        <f t="shared" si="313"/>
        <v/>
      </c>
      <c r="L6703" s="58" t="str">
        <f t="shared" si="314"/>
        <v/>
      </c>
    </row>
    <row r="6704" spans="10:12" ht="16.5" customHeight="1" x14ac:dyDescent="0.35">
      <c r="J6704" s="56" t="str">
        <f t="shared" si="312"/>
        <v/>
      </c>
      <c r="K6704" s="74" t="str">
        <f t="shared" si="313"/>
        <v/>
      </c>
      <c r="L6704" s="58" t="str">
        <f t="shared" si="314"/>
        <v/>
      </c>
    </row>
    <row r="6705" spans="10:12" ht="16.5" customHeight="1" x14ac:dyDescent="0.35">
      <c r="J6705" s="56" t="str">
        <f t="shared" si="312"/>
        <v/>
      </c>
      <c r="K6705" s="74" t="str">
        <f t="shared" si="313"/>
        <v/>
      </c>
      <c r="L6705" s="58" t="str">
        <f t="shared" si="314"/>
        <v/>
      </c>
    </row>
    <row r="6706" spans="10:12" ht="16.5" customHeight="1" x14ac:dyDescent="0.35">
      <c r="J6706" s="56" t="str">
        <f t="shared" si="312"/>
        <v/>
      </c>
      <c r="K6706" s="74" t="str">
        <f t="shared" si="313"/>
        <v/>
      </c>
      <c r="L6706" s="58" t="str">
        <f t="shared" si="314"/>
        <v/>
      </c>
    </row>
    <row r="6707" spans="10:12" ht="16.5" customHeight="1" x14ac:dyDescent="0.35">
      <c r="J6707" s="56" t="str">
        <f t="shared" si="312"/>
        <v/>
      </c>
      <c r="K6707" s="74" t="str">
        <f t="shared" si="313"/>
        <v/>
      </c>
      <c r="L6707" s="58" t="str">
        <f t="shared" si="314"/>
        <v/>
      </c>
    </row>
    <row r="6708" spans="10:12" ht="16.5" customHeight="1" x14ac:dyDescent="0.35">
      <c r="J6708" s="56" t="str">
        <f t="shared" si="312"/>
        <v/>
      </c>
      <c r="K6708" s="74" t="str">
        <f t="shared" si="313"/>
        <v/>
      </c>
      <c r="L6708" s="58" t="str">
        <f t="shared" si="314"/>
        <v/>
      </c>
    </row>
    <row r="6709" spans="10:12" ht="16.5" customHeight="1" x14ac:dyDescent="0.35">
      <c r="J6709" s="56" t="str">
        <f t="shared" si="312"/>
        <v/>
      </c>
      <c r="K6709" s="74" t="str">
        <f t="shared" si="313"/>
        <v/>
      </c>
      <c r="L6709" s="58" t="str">
        <f t="shared" si="314"/>
        <v/>
      </c>
    </row>
    <row r="6710" spans="10:12" ht="16.5" customHeight="1" x14ac:dyDescent="0.35">
      <c r="J6710" s="56" t="str">
        <f t="shared" si="312"/>
        <v/>
      </c>
      <c r="K6710" s="74" t="str">
        <f t="shared" si="313"/>
        <v/>
      </c>
      <c r="L6710" s="58" t="str">
        <f t="shared" si="314"/>
        <v/>
      </c>
    </row>
    <row r="6711" spans="10:12" ht="16.5" customHeight="1" x14ac:dyDescent="0.35">
      <c r="J6711" s="56" t="str">
        <f t="shared" si="312"/>
        <v/>
      </c>
      <c r="K6711" s="74" t="str">
        <f t="shared" si="313"/>
        <v/>
      </c>
      <c r="L6711" s="58" t="str">
        <f t="shared" si="314"/>
        <v/>
      </c>
    </row>
    <row r="6712" spans="10:12" ht="16.5" customHeight="1" x14ac:dyDescent="0.35">
      <c r="J6712" s="56" t="str">
        <f t="shared" si="312"/>
        <v/>
      </c>
      <c r="K6712" s="74" t="str">
        <f t="shared" si="313"/>
        <v/>
      </c>
      <c r="L6712" s="58" t="str">
        <f t="shared" si="314"/>
        <v/>
      </c>
    </row>
    <row r="6713" spans="10:12" ht="16.5" customHeight="1" x14ac:dyDescent="0.35">
      <c r="J6713" s="56" t="str">
        <f t="shared" si="312"/>
        <v/>
      </c>
      <c r="K6713" s="74" t="str">
        <f t="shared" si="313"/>
        <v/>
      </c>
      <c r="L6713" s="58" t="str">
        <f t="shared" si="314"/>
        <v/>
      </c>
    </row>
    <row r="6714" spans="10:12" ht="16.5" customHeight="1" x14ac:dyDescent="0.35">
      <c r="J6714" s="56" t="str">
        <f t="shared" si="312"/>
        <v/>
      </c>
      <c r="K6714" s="74" t="str">
        <f t="shared" si="313"/>
        <v/>
      </c>
      <c r="L6714" s="58" t="str">
        <f t="shared" si="314"/>
        <v/>
      </c>
    </row>
    <row r="6715" spans="10:12" ht="16.5" customHeight="1" x14ac:dyDescent="0.35">
      <c r="J6715" s="56" t="str">
        <f t="shared" si="312"/>
        <v/>
      </c>
      <c r="K6715" s="74" t="str">
        <f t="shared" si="313"/>
        <v/>
      </c>
      <c r="L6715" s="58" t="str">
        <f t="shared" si="314"/>
        <v/>
      </c>
    </row>
    <row r="6716" spans="10:12" ht="16.5" customHeight="1" x14ac:dyDescent="0.35">
      <c r="J6716" s="56" t="str">
        <f t="shared" si="312"/>
        <v/>
      </c>
      <c r="K6716" s="74" t="str">
        <f t="shared" si="313"/>
        <v/>
      </c>
      <c r="L6716" s="58" t="str">
        <f t="shared" si="314"/>
        <v/>
      </c>
    </row>
    <row r="6717" spans="10:12" ht="16.5" customHeight="1" x14ac:dyDescent="0.35">
      <c r="J6717" s="56" t="str">
        <f t="shared" si="312"/>
        <v/>
      </c>
      <c r="K6717" s="74" t="str">
        <f t="shared" si="313"/>
        <v/>
      </c>
      <c r="L6717" s="58" t="str">
        <f t="shared" si="314"/>
        <v/>
      </c>
    </row>
    <row r="6718" spans="10:12" ht="16.5" customHeight="1" x14ac:dyDescent="0.35">
      <c r="J6718" s="56" t="str">
        <f t="shared" si="312"/>
        <v/>
      </c>
      <c r="K6718" s="74" t="str">
        <f t="shared" si="313"/>
        <v/>
      </c>
      <c r="L6718" s="58" t="str">
        <f t="shared" si="314"/>
        <v/>
      </c>
    </row>
    <row r="6719" spans="10:12" ht="16.5" customHeight="1" x14ac:dyDescent="0.35">
      <c r="J6719" s="56" t="str">
        <f t="shared" si="312"/>
        <v/>
      </c>
      <c r="K6719" s="74" t="str">
        <f t="shared" si="313"/>
        <v/>
      </c>
      <c r="L6719" s="58" t="str">
        <f t="shared" si="314"/>
        <v/>
      </c>
    </row>
    <row r="6720" spans="10:12" ht="16.5" customHeight="1" x14ac:dyDescent="0.35">
      <c r="J6720" s="56" t="str">
        <f t="shared" si="312"/>
        <v/>
      </c>
      <c r="K6720" s="74" t="str">
        <f t="shared" si="313"/>
        <v/>
      </c>
      <c r="L6720" s="58" t="str">
        <f t="shared" si="314"/>
        <v/>
      </c>
    </row>
    <row r="6721" spans="10:12" ht="16.5" customHeight="1" x14ac:dyDescent="0.35">
      <c r="J6721" s="56" t="str">
        <f t="shared" si="312"/>
        <v/>
      </c>
      <c r="K6721" s="74" t="str">
        <f t="shared" si="313"/>
        <v/>
      </c>
      <c r="L6721" s="58" t="str">
        <f t="shared" si="314"/>
        <v/>
      </c>
    </row>
    <row r="6722" spans="10:12" ht="16.5" customHeight="1" x14ac:dyDescent="0.35">
      <c r="J6722" s="56" t="str">
        <f t="shared" si="312"/>
        <v/>
      </c>
      <c r="K6722" s="74" t="str">
        <f t="shared" si="313"/>
        <v/>
      </c>
      <c r="L6722" s="58" t="str">
        <f t="shared" si="314"/>
        <v/>
      </c>
    </row>
    <row r="6723" spans="10:12" ht="16.5" customHeight="1" x14ac:dyDescent="0.35">
      <c r="J6723" s="56" t="str">
        <f t="shared" si="312"/>
        <v/>
      </c>
      <c r="K6723" s="74" t="str">
        <f t="shared" si="313"/>
        <v/>
      </c>
      <c r="L6723" s="58" t="str">
        <f t="shared" si="314"/>
        <v/>
      </c>
    </row>
    <row r="6724" spans="10:12" ht="16.5" customHeight="1" x14ac:dyDescent="0.35">
      <c r="J6724" s="56" t="str">
        <f t="shared" si="312"/>
        <v/>
      </c>
      <c r="K6724" s="74" t="str">
        <f t="shared" si="313"/>
        <v/>
      </c>
      <c r="L6724" s="58" t="str">
        <f t="shared" si="314"/>
        <v/>
      </c>
    </row>
    <row r="6725" spans="10:12" ht="16.5" customHeight="1" x14ac:dyDescent="0.35">
      <c r="J6725" s="56" t="str">
        <f t="shared" si="312"/>
        <v/>
      </c>
      <c r="K6725" s="74" t="str">
        <f t="shared" si="313"/>
        <v/>
      </c>
      <c r="L6725" s="58" t="str">
        <f t="shared" si="314"/>
        <v/>
      </c>
    </row>
    <row r="6726" spans="10:12" ht="16.5" customHeight="1" x14ac:dyDescent="0.35">
      <c r="J6726" s="56" t="str">
        <f t="shared" si="312"/>
        <v/>
      </c>
      <c r="K6726" s="74" t="str">
        <f t="shared" si="313"/>
        <v/>
      </c>
      <c r="L6726" s="58" t="str">
        <f t="shared" si="314"/>
        <v/>
      </c>
    </row>
    <row r="6727" spans="10:12" ht="16.5" customHeight="1" x14ac:dyDescent="0.35">
      <c r="J6727" s="56" t="str">
        <f t="shared" si="312"/>
        <v/>
      </c>
      <c r="K6727" s="74" t="str">
        <f t="shared" si="313"/>
        <v/>
      </c>
      <c r="L6727" s="58" t="str">
        <f t="shared" si="314"/>
        <v/>
      </c>
    </row>
    <row r="6728" spans="10:12" ht="16.5" customHeight="1" x14ac:dyDescent="0.35">
      <c r="J6728" s="56" t="str">
        <f t="shared" si="312"/>
        <v/>
      </c>
      <c r="K6728" s="74" t="str">
        <f t="shared" si="313"/>
        <v/>
      </c>
      <c r="L6728" s="58" t="str">
        <f t="shared" si="314"/>
        <v/>
      </c>
    </row>
    <row r="6729" spans="10:12" ht="16.5" customHeight="1" x14ac:dyDescent="0.35">
      <c r="J6729" s="56" t="str">
        <f t="shared" ref="J6729:J6792" si="315">IF(A6729="","",A$5-A6729)</f>
        <v/>
      </c>
      <c r="K6729" s="74" t="str">
        <f t="shared" ref="K6729:K6792" si="316">IF(J6729="","",IF(J6729&lt;4,"0-3 Days",IF(J6729&lt;31,"4-30 Days",IF(J6729&lt;61,"31-60 Days",IF(J6729&lt;=90,"61-90 Days",IF(J6729&gt;90,"Above 90 Days","0"))))))</f>
        <v/>
      </c>
      <c r="L6729" s="58" t="str">
        <f t="shared" ref="L6729:L6792" si="317">IF(C6729="","",IF(C6729&gt;0,IF(J6729&lt;30,"Normal",IF(J6729&lt;60,"Especially Mentioned",IF(J6729&lt;90,"Substandard",IF(J6729&lt;=180,"Doubtful",IF(J6729&gt;180,"Loss","0"))))),"Not Applicable"))</f>
        <v/>
      </c>
    </row>
    <row r="6730" spans="10:12" ht="16.5" customHeight="1" x14ac:dyDescent="0.35">
      <c r="J6730" s="56" t="str">
        <f t="shared" si="315"/>
        <v/>
      </c>
      <c r="K6730" s="74" t="str">
        <f t="shared" si="316"/>
        <v/>
      </c>
      <c r="L6730" s="58" t="str">
        <f t="shared" si="317"/>
        <v/>
      </c>
    </row>
    <row r="6731" spans="10:12" ht="16.5" customHeight="1" x14ac:dyDescent="0.35">
      <c r="J6731" s="56" t="str">
        <f t="shared" si="315"/>
        <v/>
      </c>
      <c r="K6731" s="74" t="str">
        <f t="shared" si="316"/>
        <v/>
      </c>
      <c r="L6731" s="58" t="str">
        <f t="shared" si="317"/>
        <v/>
      </c>
    </row>
    <row r="6732" spans="10:12" ht="16.5" customHeight="1" x14ac:dyDescent="0.35">
      <c r="J6732" s="56" t="str">
        <f t="shared" si="315"/>
        <v/>
      </c>
      <c r="K6732" s="74" t="str">
        <f t="shared" si="316"/>
        <v/>
      </c>
      <c r="L6732" s="58" t="str">
        <f t="shared" si="317"/>
        <v/>
      </c>
    </row>
    <row r="6733" spans="10:12" ht="16.5" customHeight="1" x14ac:dyDescent="0.35">
      <c r="J6733" s="56" t="str">
        <f t="shared" si="315"/>
        <v/>
      </c>
      <c r="K6733" s="74" t="str">
        <f t="shared" si="316"/>
        <v/>
      </c>
      <c r="L6733" s="58" t="str">
        <f t="shared" si="317"/>
        <v/>
      </c>
    </row>
    <row r="6734" spans="10:12" ht="16.5" customHeight="1" x14ac:dyDescent="0.35">
      <c r="J6734" s="56" t="str">
        <f t="shared" si="315"/>
        <v/>
      </c>
      <c r="K6734" s="74" t="str">
        <f t="shared" si="316"/>
        <v/>
      </c>
      <c r="L6734" s="58" t="str">
        <f t="shared" si="317"/>
        <v/>
      </c>
    </row>
    <row r="6735" spans="10:12" ht="16.5" customHeight="1" x14ac:dyDescent="0.35">
      <c r="J6735" s="56" t="str">
        <f t="shared" si="315"/>
        <v/>
      </c>
      <c r="K6735" s="74" t="str">
        <f t="shared" si="316"/>
        <v/>
      </c>
      <c r="L6735" s="58" t="str">
        <f t="shared" si="317"/>
        <v/>
      </c>
    </row>
    <row r="6736" spans="10:12" ht="16.5" customHeight="1" x14ac:dyDescent="0.35">
      <c r="J6736" s="56" t="str">
        <f t="shared" si="315"/>
        <v/>
      </c>
      <c r="K6736" s="74" t="str">
        <f t="shared" si="316"/>
        <v/>
      </c>
      <c r="L6736" s="58" t="str">
        <f t="shared" si="317"/>
        <v/>
      </c>
    </row>
    <row r="6737" spans="10:12" ht="16.5" customHeight="1" x14ac:dyDescent="0.35">
      <c r="J6737" s="56" t="str">
        <f t="shared" si="315"/>
        <v/>
      </c>
      <c r="K6737" s="74" t="str">
        <f t="shared" si="316"/>
        <v/>
      </c>
      <c r="L6737" s="58" t="str">
        <f t="shared" si="317"/>
        <v/>
      </c>
    </row>
    <row r="6738" spans="10:12" ht="16.5" customHeight="1" x14ac:dyDescent="0.35">
      <c r="J6738" s="56" t="str">
        <f t="shared" si="315"/>
        <v/>
      </c>
      <c r="K6738" s="74" t="str">
        <f t="shared" si="316"/>
        <v/>
      </c>
      <c r="L6738" s="58" t="str">
        <f t="shared" si="317"/>
        <v/>
      </c>
    </row>
    <row r="6739" spans="10:12" ht="16.5" customHeight="1" x14ac:dyDescent="0.35">
      <c r="J6739" s="56" t="str">
        <f t="shared" si="315"/>
        <v/>
      </c>
      <c r="K6739" s="74" t="str">
        <f t="shared" si="316"/>
        <v/>
      </c>
      <c r="L6739" s="58" t="str">
        <f t="shared" si="317"/>
        <v/>
      </c>
    </row>
    <row r="6740" spans="10:12" ht="16.5" customHeight="1" x14ac:dyDescent="0.35">
      <c r="J6740" s="56" t="str">
        <f t="shared" si="315"/>
        <v/>
      </c>
      <c r="K6740" s="74" t="str">
        <f t="shared" si="316"/>
        <v/>
      </c>
      <c r="L6740" s="58" t="str">
        <f t="shared" si="317"/>
        <v/>
      </c>
    </row>
    <row r="6741" spans="10:12" ht="16.5" customHeight="1" x14ac:dyDescent="0.35">
      <c r="J6741" s="56" t="str">
        <f t="shared" si="315"/>
        <v/>
      </c>
      <c r="K6741" s="74" t="str">
        <f t="shared" si="316"/>
        <v/>
      </c>
      <c r="L6741" s="58" t="str">
        <f t="shared" si="317"/>
        <v/>
      </c>
    </row>
    <row r="6742" spans="10:12" ht="16.5" customHeight="1" x14ac:dyDescent="0.35">
      <c r="J6742" s="56" t="str">
        <f t="shared" si="315"/>
        <v/>
      </c>
      <c r="K6742" s="74" t="str">
        <f t="shared" si="316"/>
        <v/>
      </c>
      <c r="L6742" s="58" t="str">
        <f t="shared" si="317"/>
        <v/>
      </c>
    </row>
    <row r="6743" spans="10:12" ht="16.5" customHeight="1" x14ac:dyDescent="0.35">
      <c r="J6743" s="56" t="str">
        <f t="shared" si="315"/>
        <v/>
      </c>
      <c r="K6743" s="74" t="str">
        <f t="shared" si="316"/>
        <v/>
      </c>
      <c r="L6743" s="58" t="str">
        <f t="shared" si="317"/>
        <v/>
      </c>
    </row>
    <row r="6744" spans="10:12" ht="16.5" customHeight="1" x14ac:dyDescent="0.35">
      <c r="J6744" s="56" t="str">
        <f t="shared" si="315"/>
        <v/>
      </c>
      <c r="K6744" s="74" t="str">
        <f t="shared" si="316"/>
        <v/>
      </c>
      <c r="L6744" s="58" t="str">
        <f t="shared" si="317"/>
        <v/>
      </c>
    </row>
    <row r="6745" spans="10:12" ht="16.5" customHeight="1" x14ac:dyDescent="0.35">
      <c r="J6745" s="56" t="str">
        <f t="shared" si="315"/>
        <v/>
      </c>
      <c r="K6745" s="74" t="str">
        <f t="shared" si="316"/>
        <v/>
      </c>
      <c r="L6745" s="58" t="str">
        <f t="shared" si="317"/>
        <v/>
      </c>
    </row>
    <row r="6746" spans="10:12" ht="16.5" customHeight="1" x14ac:dyDescent="0.35">
      <c r="J6746" s="56" t="str">
        <f t="shared" si="315"/>
        <v/>
      </c>
      <c r="K6746" s="74" t="str">
        <f t="shared" si="316"/>
        <v/>
      </c>
      <c r="L6746" s="58" t="str">
        <f t="shared" si="317"/>
        <v/>
      </c>
    </row>
    <row r="6747" spans="10:12" ht="16.5" customHeight="1" x14ac:dyDescent="0.35">
      <c r="J6747" s="56" t="str">
        <f t="shared" si="315"/>
        <v/>
      </c>
      <c r="K6747" s="74" t="str">
        <f t="shared" si="316"/>
        <v/>
      </c>
      <c r="L6747" s="58" t="str">
        <f t="shared" si="317"/>
        <v/>
      </c>
    </row>
    <row r="6748" spans="10:12" ht="16.5" customHeight="1" x14ac:dyDescent="0.35">
      <c r="J6748" s="56" t="str">
        <f t="shared" si="315"/>
        <v/>
      </c>
      <c r="K6748" s="74" t="str">
        <f t="shared" si="316"/>
        <v/>
      </c>
      <c r="L6748" s="58" t="str">
        <f t="shared" si="317"/>
        <v/>
      </c>
    </row>
    <row r="6749" spans="10:12" ht="16.5" customHeight="1" x14ac:dyDescent="0.35">
      <c r="J6749" s="56" t="str">
        <f t="shared" si="315"/>
        <v/>
      </c>
      <c r="K6749" s="74" t="str">
        <f t="shared" si="316"/>
        <v/>
      </c>
      <c r="L6749" s="58" t="str">
        <f t="shared" si="317"/>
        <v/>
      </c>
    </row>
    <row r="6750" spans="10:12" ht="16.5" customHeight="1" x14ac:dyDescent="0.35">
      <c r="J6750" s="56" t="str">
        <f t="shared" si="315"/>
        <v/>
      </c>
      <c r="K6750" s="74" t="str">
        <f t="shared" si="316"/>
        <v/>
      </c>
      <c r="L6750" s="58" t="str">
        <f t="shared" si="317"/>
        <v/>
      </c>
    </row>
    <row r="6751" spans="10:12" ht="16.5" customHeight="1" x14ac:dyDescent="0.35">
      <c r="J6751" s="56" t="str">
        <f t="shared" si="315"/>
        <v/>
      </c>
      <c r="K6751" s="74" t="str">
        <f t="shared" si="316"/>
        <v/>
      </c>
      <c r="L6751" s="58" t="str">
        <f t="shared" si="317"/>
        <v/>
      </c>
    </row>
    <row r="6752" spans="10:12" ht="16.5" customHeight="1" x14ac:dyDescent="0.35">
      <c r="J6752" s="56" t="str">
        <f t="shared" si="315"/>
        <v/>
      </c>
      <c r="K6752" s="74" t="str">
        <f t="shared" si="316"/>
        <v/>
      </c>
      <c r="L6752" s="58" t="str">
        <f t="shared" si="317"/>
        <v/>
      </c>
    </row>
    <row r="6753" spans="10:12" ht="16.5" customHeight="1" x14ac:dyDescent="0.35">
      <c r="J6753" s="56" t="str">
        <f t="shared" si="315"/>
        <v/>
      </c>
      <c r="K6753" s="74" t="str">
        <f t="shared" si="316"/>
        <v/>
      </c>
      <c r="L6753" s="58" t="str">
        <f t="shared" si="317"/>
        <v/>
      </c>
    </row>
    <row r="6754" spans="10:12" ht="16.5" customHeight="1" x14ac:dyDescent="0.35">
      <c r="J6754" s="56" t="str">
        <f t="shared" si="315"/>
        <v/>
      </c>
      <c r="K6754" s="74" t="str">
        <f t="shared" si="316"/>
        <v/>
      </c>
      <c r="L6754" s="58" t="str">
        <f t="shared" si="317"/>
        <v/>
      </c>
    </row>
    <row r="6755" spans="10:12" ht="16.5" customHeight="1" x14ac:dyDescent="0.35">
      <c r="J6755" s="56" t="str">
        <f t="shared" si="315"/>
        <v/>
      </c>
      <c r="K6755" s="74" t="str">
        <f t="shared" si="316"/>
        <v/>
      </c>
      <c r="L6755" s="58" t="str">
        <f t="shared" si="317"/>
        <v/>
      </c>
    </row>
    <row r="6756" spans="10:12" ht="16.5" customHeight="1" x14ac:dyDescent="0.35">
      <c r="J6756" s="56" t="str">
        <f t="shared" si="315"/>
        <v/>
      </c>
      <c r="K6756" s="74" t="str">
        <f t="shared" si="316"/>
        <v/>
      </c>
      <c r="L6756" s="58" t="str">
        <f t="shared" si="317"/>
        <v/>
      </c>
    </row>
    <row r="6757" spans="10:12" ht="16.5" customHeight="1" x14ac:dyDescent="0.35">
      <c r="J6757" s="56" t="str">
        <f t="shared" si="315"/>
        <v/>
      </c>
      <c r="K6757" s="74" t="str">
        <f t="shared" si="316"/>
        <v/>
      </c>
      <c r="L6757" s="58" t="str">
        <f t="shared" si="317"/>
        <v/>
      </c>
    </row>
    <row r="6758" spans="10:12" ht="16.5" customHeight="1" x14ac:dyDescent="0.35">
      <c r="J6758" s="56" t="str">
        <f t="shared" si="315"/>
        <v/>
      </c>
      <c r="K6758" s="74" t="str">
        <f t="shared" si="316"/>
        <v/>
      </c>
      <c r="L6758" s="58" t="str">
        <f t="shared" si="317"/>
        <v/>
      </c>
    </row>
    <row r="6759" spans="10:12" ht="16.5" customHeight="1" x14ac:dyDescent="0.35">
      <c r="J6759" s="56" t="str">
        <f t="shared" si="315"/>
        <v/>
      </c>
      <c r="K6759" s="74" t="str">
        <f t="shared" si="316"/>
        <v/>
      </c>
      <c r="L6759" s="58" t="str">
        <f t="shared" si="317"/>
        <v/>
      </c>
    </row>
    <row r="6760" spans="10:12" ht="16.5" customHeight="1" x14ac:dyDescent="0.35">
      <c r="J6760" s="56" t="str">
        <f t="shared" si="315"/>
        <v/>
      </c>
      <c r="K6760" s="74" t="str">
        <f t="shared" si="316"/>
        <v/>
      </c>
      <c r="L6760" s="58" t="str">
        <f t="shared" si="317"/>
        <v/>
      </c>
    </row>
    <row r="6761" spans="10:12" ht="16.5" customHeight="1" x14ac:dyDescent="0.35">
      <c r="J6761" s="56" t="str">
        <f t="shared" si="315"/>
        <v/>
      </c>
      <c r="K6761" s="74" t="str">
        <f t="shared" si="316"/>
        <v/>
      </c>
      <c r="L6761" s="58" t="str">
        <f t="shared" si="317"/>
        <v/>
      </c>
    </row>
    <row r="6762" spans="10:12" ht="16.5" customHeight="1" x14ac:dyDescent="0.35">
      <c r="J6762" s="56" t="str">
        <f t="shared" si="315"/>
        <v/>
      </c>
      <c r="K6762" s="74" t="str">
        <f t="shared" si="316"/>
        <v/>
      </c>
      <c r="L6762" s="58" t="str">
        <f t="shared" si="317"/>
        <v/>
      </c>
    </row>
    <row r="6763" spans="10:12" ht="16.5" customHeight="1" x14ac:dyDescent="0.35">
      <c r="J6763" s="56" t="str">
        <f t="shared" si="315"/>
        <v/>
      </c>
      <c r="K6763" s="74" t="str">
        <f t="shared" si="316"/>
        <v/>
      </c>
      <c r="L6763" s="58" t="str">
        <f t="shared" si="317"/>
        <v/>
      </c>
    </row>
    <row r="6764" spans="10:12" ht="16.5" customHeight="1" x14ac:dyDescent="0.35">
      <c r="J6764" s="56" t="str">
        <f t="shared" si="315"/>
        <v/>
      </c>
      <c r="K6764" s="74" t="str">
        <f t="shared" si="316"/>
        <v/>
      </c>
      <c r="L6764" s="58" t="str">
        <f t="shared" si="317"/>
        <v/>
      </c>
    </row>
    <row r="6765" spans="10:12" ht="16.5" customHeight="1" x14ac:dyDescent="0.35">
      <c r="J6765" s="56" t="str">
        <f t="shared" si="315"/>
        <v/>
      </c>
      <c r="K6765" s="74" t="str">
        <f t="shared" si="316"/>
        <v/>
      </c>
      <c r="L6765" s="58" t="str">
        <f t="shared" si="317"/>
        <v/>
      </c>
    </row>
    <row r="6766" spans="10:12" ht="16.5" customHeight="1" x14ac:dyDescent="0.35">
      <c r="J6766" s="56" t="str">
        <f t="shared" si="315"/>
        <v/>
      </c>
      <c r="K6766" s="74" t="str">
        <f t="shared" si="316"/>
        <v/>
      </c>
      <c r="L6766" s="58" t="str">
        <f t="shared" si="317"/>
        <v/>
      </c>
    </row>
    <row r="6767" spans="10:12" ht="16.5" customHeight="1" x14ac:dyDescent="0.35">
      <c r="J6767" s="56" t="str">
        <f t="shared" si="315"/>
        <v/>
      </c>
      <c r="K6767" s="74" t="str">
        <f t="shared" si="316"/>
        <v/>
      </c>
      <c r="L6767" s="58" t="str">
        <f t="shared" si="317"/>
        <v/>
      </c>
    </row>
    <row r="6768" spans="10:12" ht="16.5" customHeight="1" x14ac:dyDescent="0.35">
      <c r="J6768" s="56" t="str">
        <f t="shared" si="315"/>
        <v/>
      </c>
      <c r="K6768" s="74" t="str">
        <f t="shared" si="316"/>
        <v/>
      </c>
      <c r="L6768" s="58" t="str">
        <f t="shared" si="317"/>
        <v/>
      </c>
    </row>
    <row r="6769" spans="10:12" ht="16.5" customHeight="1" x14ac:dyDescent="0.35">
      <c r="J6769" s="56" t="str">
        <f t="shared" si="315"/>
        <v/>
      </c>
      <c r="K6769" s="74" t="str">
        <f t="shared" si="316"/>
        <v/>
      </c>
      <c r="L6769" s="58" t="str">
        <f t="shared" si="317"/>
        <v/>
      </c>
    </row>
    <row r="6770" spans="10:12" ht="16.5" customHeight="1" x14ac:dyDescent="0.35">
      <c r="J6770" s="56" t="str">
        <f t="shared" si="315"/>
        <v/>
      </c>
      <c r="K6770" s="74" t="str">
        <f t="shared" si="316"/>
        <v/>
      </c>
      <c r="L6770" s="58" t="str">
        <f t="shared" si="317"/>
        <v/>
      </c>
    </row>
    <row r="6771" spans="10:12" ht="16.5" customHeight="1" x14ac:dyDescent="0.35">
      <c r="J6771" s="56" t="str">
        <f t="shared" si="315"/>
        <v/>
      </c>
      <c r="K6771" s="74" t="str">
        <f t="shared" si="316"/>
        <v/>
      </c>
      <c r="L6771" s="58" t="str">
        <f t="shared" si="317"/>
        <v/>
      </c>
    </row>
    <row r="6772" spans="10:12" ht="16.5" customHeight="1" x14ac:dyDescent="0.35">
      <c r="J6772" s="56" t="str">
        <f t="shared" si="315"/>
        <v/>
      </c>
      <c r="K6772" s="74" t="str">
        <f t="shared" si="316"/>
        <v/>
      </c>
      <c r="L6772" s="58" t="str">
        <f t="shared" si="317"/>
        <v/>
      </c>
    </row>
    <row r="6773" spans="10:12" ht="16.5" customHeight="1" x14ac:dyDescent="0.35">
      <c r="J6773" s="56" t="str">
        <f t="shared" si="315"/>
        <v/>
      </c>
      <c r="K6773" s="74" t="str">
        <f t="shared" si="316"/>
        <v/>
      </c>
      <c r="L6773" s="58" t="str">
        <f t="shared" si="317"/>
        <v/>
      </c>
    </row>
    <row r="6774" spans="10:12" ht="16.5" customHeight="1" x14ac:dyDescent="0.35">
      <c r="J6774" s="56" t="str">
        <f t="shared" si="315"/>
        <v/>
      </c>
      <c r="K6774" s="74" t="str">
        <f t="shared" si="316"/>
        <v/>
      </c>
      <c r="L6774" s="58" t="str">
        <f t="shared" si="317"/>
        <v/>
      </c>
    </row>
    <row r="6775" spans="10:12" ht="16.5" customHeight="1" x14ac:dyDescent="0.35">
      <c r="J6775" s="56" t="str">
        <f t="shared" si="315"/>
        <v/>
      </c>
      <c r="K6775" s="74" t="str">
        <f t="shared" si="316"/>
        <v/>
      </c>
      <c r="L6775" s="58" t="str">
        <f t="shared" si="317"/>
        <v/>
      </c>
    </row>
    <row r="6776" spans="10:12" ht="16.5" customHeight="1" x14ac:dyDescent="0.35">
      <c r="J6776" s="56" t="str">
        <f t="shared" si="315"/>
        <v/>
      </c>
      <c r="K6776" s="74" t="str">
        <f t="shared" si="316"/>
        <v/>
      </c>
      <c r="L6776" s="58" t="str">
        <f t="shared" si="317"/>
        <v/>
      </c>
    </row>
    <row r="6777" spans="10:12" ht="16.5" customHeight="1" x14ac:dyDescent="0.35">
      <c r="J6777" s="56" t="str">
        <f t="shared" si="315"/>
        <v/>
      </c>
      <c r="K6777" s="74" t="str">
        <f t="shared" si="316"/>
        <v/>
      </c>
      <c r="L6777" s="58" t="str">
        <f t="shared" si="317"/>
        <v/>
      </c>
    </row>
    <row r="6778" spans="10:12" ht="16.5" customHeight="1" x14ac:dyDescent="0.35">
      <c r="J6778" s="56" t="str">
        <f t="shared" si="315"/>
        <v/>
      </c>
      <c r="K6778" s="74" t="str">
        <f t="shared" si="316"/>
        <v/>
      </c>
      <c r="L6778" s="58" t="str">
        <f t="shared" si="317"/>
        <v/>
      </c>
    </row>
    <row r="6779" spans="10:12" ht="16.5" customHeight="1" x14ac:dyDescent="0.35">
      <c r="J6779" s="56" t="str">
        <f t="shared" si="315"/>
        <v/>
      </c>
      <c r="K6779" s="74" t="str">
        <f t="shared" si="316"/>
        <v/>
      </c>
      <c r="L6779" s="58" t="str">
        <f t="shared" si="317"/>
        <v/>
      </c>
    </row>
    <row r="6780" spans="10:12" ht="16.5" customHeight="1" x14ac:dyDescent="0.35">
      <c r="J6780" s="56" t="str">
        <f t="shared" si="315"/>
        <v/>
      </c>
      <c r="K6780" s="74" t="str">
        <f t="shared" si="316"/>
        <v/>
      </c>
      <c r="L6780" s="58" t="str">
        <f t="shared" si="317"/>
        <v/>
      </c>
    </row>
    <row r="6781" spans="10:12" ht="16.5" customHeight="1" x14ac:dyDescent="0.35">
      <c r="J6781" s="56" t="str">
        <f t="shared" si="315"/>
        <v/>
      </c>
      <c r="K6781" s="74" t="str">
        <f t="shared" si="316"/>
        <v/>
      </c>
      <c r="L6781" s="58" t="str">
        <f t="shared" si="317"/>
        <v/>
      </c>
    </row>
    <row r="6782" spans="10:12" ht="16.5" customHeight="1" x14ac:dyDescent="0.35">
      <c r="J6782" s="56" t="str">
        <f t="shared" si="315"/>
        <v/>
      </c>
      <c r="K6782" s="74" t="str">
        <f t="shared" si="316"/>
        <v/>
      </c>
      <c r="L6782" s="58" t="str">
        <f t="shared" si="317"/>
        <v/>
      </c>
    </row>
    <row r="6783" spans="10:12" ht="16.5" customHeight="1" x14ac:dyDescent="0.35">
      <c r="J6783" s="56" t="str">
        <f t="shared" si="315"/>
        <v/>
      </c>
      <c r="K6783" s="74" t="str">
        <f t="shared" si="316"/>
        <v/>
      </c>
      <c r="L6783" s="58" t="str">
        <f t="shared" si="317"/>
        <v/>
      </c>
    </row>
    <row r="6784" spans="10:12" ht="16.5" customHeight="1" x14ac:dyDescent="0.35">
      <c r="J6784" s="56" t="str">
        <f t="shared" si="315"/>
        <v/>
      </c>
      <c r="K6784" s="74" t="str">
        <f t="shared" si="316"/>
        <v/>
      </c>
      <c r="L6784" s="58" t="str">
        <f t="shared" si="317"/>
        <v/>
      </c>
    </row>
    <row r="6785" spans="10:12" ht="16.5" customHeight="1" x14ac:dyDescent="0.35">
      <c r="J6785" s="56" t="str">
        <f t="shared" si="315"/>
        <v/>
      </c>
      <c r="K6785" s="74" t="str">
        <f t="shared" si="316"/>
        <v/>
      </c>
      <c r="L6785" s="58" t="str">
        <f t="shared" si="317"/>
        <v/>
      </c>
    </row>
    <row r="6786" spans="10:12" ht="16.5" customHeight="1" x14ac:dyDescent="0.35">
      <c r="J6786" s="56" t="str">
        <f t="shared" si="315"/>
        <v/>
      </c>
      <c r="K6786" s="74" t="str">
        <f t="shared" si="316"/>
        <v/>
      </c>
      <c r="L6786" s="58" t="str">
        <f t="shared" si="317"/>
        <v/>
      </c>
    </row>
    <row r="6787" spans="10:12" ht="16.5" customHeight="1" x14ac:dyDescent="0.35">
      <c r="J6787" s="56" t="str">
        <f t="shared" si="315"/>
        <v/>
      </c>
      <c r="K6787" s="74" t="str">
        <f t="shared" si="316"/>
        <v/>
      </c>
      <c r="L6787" s="58" t="str">
        <f t="shared" si="317"/>
        <v/>
      </c>
    </row>
    <row r="6788" spans="10:12" ht="16.5" customHeight="1" x14ac:dyDescent="0.35">
      <c r="J6788" s="56" t="str">
        <f t="shared" si="315"/>
        <v/>
      </c>
      <c r="K6788" s="74" t="str">
        <f t="shared" si="316"/>
        <v/>
      </c>
      <c r="L6788" s="58" t="str">
        <f t="shared" si="317"/>
        <v/>
      </c>
    </row>
    <row r="6789" spans="10:12" ht="16.5" customHeight="1" x14ac:dyDescent="0.35">
      <c r="J6789" s="56" t="str">
        <f t="shared" si="315"/>
        <v/>
      </c>
      <c r="K6789" s="74" t="str">
        <f t="shared" si="316"/>
        <v/>
      </c>
      <c r="L6789" s="58" t="str">
        <f t="shared" si="317"/>
        <v/>
      </c>
    </row>
    <row r="6790" spans="10:12" ht="16.5" customHeight="1" x14ac:dyDescent="0.35">
      <c r="J6790" s="56" t="str">
        <f t="shared" si="315"/>
        <v/>
      </c>
      <c r="K6790" s="74" t="str">
        <f t="shared" si="316"/>
        <v/>
      </c>
      <c r="L6790" s="58" t="str">
        <f t="shared" si="317"/>
        <v/>
      </c>
    </row>
    <row r="6791" spans="10:12" ht="16.5" customHeight="1" x14ac:dyDescent="0.35">
      <c r="J6791" s="56" t="str">
        <f t="shared" si="315"/>
        <v/>
      </c>
      <c r="K6791" s="74" t="str">
        <f t="shared" si="316"/>
        <v/>
      </c>
      <c r="L6791" s="58" t="str">
        <f t="shared" si="317"/>
        <v/>
      </c>
    </row>
    <row r="6792" spans="10:12" ht="16.5" customHeight="1" x14ac:dyDescent="0.35">
      <c r="J6792" s="56" t="str">
        <f t="shared" si="315"/>
        <v/>
      </c>
      <c r="K6792" s="74" t="str">
        <f t="shared" si="316"/>
        <v/>
      </c>
      <c r="L6792" s="58" t="str">
        <f t="shared" si="317"/>
        <v/>
      </c>
    </row>
    <row r="6793" spans="10:12" ht="16.5" customHeight="1" x14ac:dyDescent="0.35">
      <c r="J6793" s="56" t="str">
        <f t="shared" ref="J6793:J6856" si="318">IF(A6793="","",A$5-A6793)</f>
        <v/>
      </c>
      <c r="K6793" s="74" t="str">
        <f t="shared" ref="K6793:K6856" si="319">IF(J6793="","",IF(J6793&lt;4,"0-3 Days",IF(J6793&lt;31,"4-30 Days",IF(J6793&lt;61,"31-60 Days",IF(J6793&lt;=90,"61-90 Days",IF(J6793&gt;90,"Above 90 Days","0"))))))</f>
        <v/>
      </c>
      <c r="L6793" s="58" t="str">
        <f t="shared" ref="L6793:L6856" si="320">IF(C6793="","",IF(C6793&gt;0,IF(J6793&lt;30,"Normal",IF(J6793&lt;60,"Especially Mentioned",IF(J6793&lt;90,"Substandard",IF(J6793&lt;=180,"Doubtful",IF(J6793&gt;180,"Loss","0"))))),"Not Applicable"))</f>
        <v/>
      </c>
    </row>
    <row r="6794" spans="10:12" ht="16.5" customHeight="1" x14ac:dyDescent="0.35">
      <c r="J6794" s="56" t="str">
        <f t="shared" si="318"/>
        <v/>
      </c>
      <c r="K6794" s="74" t="str">
        <f t="shared" si="319"/>
        <v/>
      </c>
      <c r="L6794" s="58" t="str">
        <f t="shared" si="320"/>
        <v/>
      </c>
    </row>
    <row r="6795" spans="10:12" ht="16.5" customHeight="1" x14ac:dyDescent="0.35">
      <c r="J6795" s="56" t="str">
        <f t="shared" si="318"/>
        <v/>
      </c>
      <c r="K6795" s="74" t="str">
        <f t="shared" si="319"/>
        <v/>
      </c>
      <c r="L6795" s="58" t="str">
        <f t="shared" si="320"/>
        <v/>
      </c>
    </row>
    <row r="6796" spans="10:12" ht="16.5" customHeight="1" x14ac:dyDescent="0.35">
      <c r="J6796" s="56" t="str">
        <f t="shared" si="318"/>
        <v/>
      </c>
      <c r="K6796" s="74" t="str">
        <f t="shared" si="319"/>
        <v/>
      </c>
      <c r="L6796" s="58" t="str">
        <f t="shared" si="320"/>
        <v/>
      </c>
    </row>
    <row r="6797" spans="10:12" ht="16.5" customHeight="1" x14ac:dyDescent="0.35">
      <c r="J6797" s="56" t="str">
        <f t="shared" si="318"/>
        <v/>
      </c>
      <c r="K6797" s="74" t="str">
        <f t="shared" si="319"/>
        <v/>
      </c>
      <c r="L6797" s="58" t="str">
        <f t="shared" si="320"/>
        <v/>
      </c>
    </row>
    <row r="6798" spans="10:12" ht="16.5" customHeight="1" x14ac:dyDescent="0.35">
      <c r="J6798" s="56" t="str">
        <f t="shared" si="318"/>
        <v/>
      </c>
      <c r="K6798" s="74" t="str">
        <f t="shared" si="319"/>
        <v/>
      </c>
      <c r="L6798" s="58" t="str">
        <f t="shared" si="320"/>
        <v/>
      </c>
    </row>
    <row r="6799" spans="10:12" ht="16.5" customHeight="1" x14ac:dyDescent="0.35">
      <c r="J6799" s="56" t="str">
        <f t="shared" si="318"/>
        <v/>
      </c>
      <c r="K6799" s="74" t="str">
        <f t="shared" si="319"/>
        <v/>
      </c>
      <c r="L6799" s="58" t="str">
        <f t="shared" si="320"/>
        <v/>
      </c>
    </row>
    <row r="6800" spans="10:12" ht="16.5" customHeight="1" x14ac:dyDescent="0.35">
      <c r="J6800" s="56" t="str">
        <f t="shared" si="318"/>
        <v/>
      </c>
      <c r="K6800" s="74" t="str">
        <f t="shared" si="319"/>
        <v/>
      </c>
      <c r="L6800" s="58" t="str">
        <f t="shared" si="320"/>
        <v/>
      </c>
    </row>
    <row r="6801" spans="10:12" ht="16.5" customHeight="1" x14ac:dyDescent="0.35">
      <c r="J6801" s="56" t="str">
        <f t="shared" si="318"/>
        <v/>
      </c>
      <c r="K6801" s="74" t="str">
        <f t="shared" si="319"/>
        <v/>
      </c>
      <c r="L6801" s="58" t="str">
        <f t="shared" si="320"/>
        <v/>
      </c>
    </row>
    <row r="6802" spans="10:12" ht="16.5" customHeight="1" x14ac:dyDescent="0.35">
      <c r="J6802" s="56" t="str">
        <f t="shared" si="318"/>
        <v/>
      </c>
      <c r="K6802" s="74" t="str">
        <f t="shared" si="319"/>
        <v/>
      </c>
      <c r="L6802" s="58" t="str">
        <f t="shared" si="320"/>
        <v/>
      </c>
    </row>
    <row r="6803" spans="10:12" ht="16.5" customHeight="1" x14ac:dyDescent="0.35">
      <c r="J6803" s="56" t="str">
        <f t="shared" si="318"/>
        <v/>
      </c>
      <c r="K6803" s="74" t="str">
        <f t="shared" si="319"/>
        <v/>
      </c>
      <c r="L6803" s="58" t="str">
        <f t="shared" si="320"/>
        <v/>
      </c>
    </row>
    <row r="6804" spans="10:12" ht="16.5" customHeight="1" x14ac:dyDescent="0.35">
      <c r="J6804" s="56" t="str">
        <f t="shared" si="318"/>
        <v/>
      </c>
      <c r="K6804" s="74" t="str">
        <f t="shared" si="319"/>
        <v/>
      </c>
      <c r="L6804" s="58" t="str">
        <f t="shared" si="320"/>
        <v/>
      </c>
    </row>
    <row r="6805" spans="10:12" ht="16.5" customHeight="1" x14ac:dyDescent="0.35">
      <c r="J6805" s="56" t="str">
        <f t="shared" si="318"/>
        <v/>
      </c>
      <c r="K6805" s="74" t="str">
        <f t="shared" si="319"/>
        <v/>
      </c>
      <c r="L6805" s="58" t="str">
        <f t="shared" si="320"/>
        <v/>
      </c>
    </row>
    <row r="6806" spans="10:12" ht="16.5" customHeight="1" x14ac:dyDescent="0.35">
      <c r="J6806" s="56" t="str">
        <f t="shared" si="318"/>
        <v/>
      </c>
      <c r="K6806" s="74" t="str">
        <f t="shared" si="319"/>
        <v/>
      </c>
      <c r="L6806" s="58" t="str">
        <f t="shared" si="320"/>
        <v/>
      </c>
    </row>
    <row r="6807" spans="10:12" ht="16.5" customHeight="1" x14ac:dyDescent="0.35">
      <c r="J6807" s="56" t="str">
        <f t="shared" si="318"/>
        <v/>
      </c>
      <c r="K6807" s="74" t="str">
        <f t="shared" si="319"/>
        <v/>
      </c>
      <c r="L6807" s="58" t="str">
        <f t="shared" si="320"/>
        <v/>
      </c>
    </row>
    <row r="6808" spans="10:12" ht="16.5" customHeight="1" x14ac:dyDescent="0.35">
      <c r="J6808" s="56" t="str">
        <f t="shared" si="318"/>
        <v/>
      </c>
      <c r="K6808" s="74" t="str">
        <f t="shared" si="319"/>
        <v/>
      </c>
      <c r="L6808" s="58" t="str">
        <f t="shared" si="320"/>
        <v/>
      </c>
    </row>
    <row r="6809" spans="10:12" ht="16.5" customHeight="1" x14ac:dyDescent="0.35">
      <c r="J6809" s="56" t="str">
        <f t="shared" si="318"/>
        <v/>
      </c>
      <c r="K6809" s="74" t="str">
        <f t="shared" si="319"/>
        <v/>
      </c>
      <c r="L6809" s="58" t="str">
        <f t="shared" si="320"/>
        <v/>
      </c>
    </row>
    <row r="6810" spans="10:12" ht="16.5" customHeight="1" x14ac:dyDescent="0.35">
      <c r="J6810" s="56" t="str">
        <f t="shared" si="318"/>
        <v/>
      </c>
      <c r="K6810" s="74" t="str">
        <f t="shared" si="319"/>
        <v/>
      </c>
      <c r="L6810" s="58" t="str">
        <f t="shared" si="320"/>
        <v/>
      </c>
    </row>
    <row r="6811" spans="10:12" ht="16.5" customHeight="1" x14ac:dyDescent="0.35">
      <c r="J6811" s="56" t="str">
        <f t="shared" si="318"/>
        <v/>
      </c>
      <c r="K6811" s="74" t="str">
        <f t="shared" si="319"/>
        <v/>
      </c>
      <c r="L6811" s="58" t="str">
        <f t="shared" si="320"/>
        <v/>
      </c>
    </row>
    <row r="6812" spans="10:12" ht="16.5" customHeight="1" x14ac:dyDescent="0.35">
      <c r="J6812" s="56" t="str">
        <f t="shared" si="318"/>
        <v/>
      </c>
      <c r="K6812" s="74" t="str">
        <f t="shared" si="319"/>
        <v/>
      </c>
      <c r="L6812" s="58" t="str">
        <f t="shared" si="320"/>
        <v/>
      </c>
    </row>
    <row r="6813" spans="10:12" ht="16.5" customHeight="1" x14ac:dyDescent="0.35">
      <c r="J6813" s="56" t="str">
        <f t="shared" si="318"/>
        <v/>
      </c>
      <c r="K6813" s="74" t="str">
        <f t="shared" si="319"/>
        <v/>
      </c>
      <c r="L6813" s="58" t="str">
        <f t="shared" si="320"/>
        <v/>
      </c>
    </row>
    <row r="6814" spans="10:12" ht="16.5" customHeight="1" x14ac:dyDescent="0.35">
      <c r="J6814" s="56" t="str">
        <f t="shared" si="318"/>
        <v/>
      </c>
      <c r="K6814" s="74" t="str">
        <f t="shared" si="319"/>
        <v/>
      </c>
      <c r="L6814" s="58" t="str">
        <f t="shared" si="320"/>
        <v/>
      </c>
    </row>
    <row r="6815" spans="10:12" ht="16.5" customHeight="1" x14ac:dyDescent="0.35">
      <c r="J6815" s="56" t="str">
        <f t="shared" si="318"/>
        <v/>
      </c>
      <c r="K6815" s="74" t="str">
        <f t="shared" si="319"/>
        <v/>
      </c>
      <c r="L6815" s="58" t="str">
        <f t="shared" si="320"/>
        <v/>
      </c>
    </row>
    <row r="6816" spans="10:12" ht="16.5" customHeight="1" x14ac:dyDescent="0.35">
      <c r="J6816" s="56" t="str">
        <f t="shared" si="318"/>
        <v/>
      </c>
      <c r="K6816" s="74" t="str">
        <f t="shared" si="319"/>
        <v/>
      </c>
      <c r="L6816" s="58" t="str">
        <f t="shared" si="320"/>
        <v/>
      </c>
    </row>
    <row r="6817" spans="10:12" ht="16.5" customHeight="1" x14ac:dyDescent="0.35">
      <c r="J6817" s="56" t="str">
        <f t="shared" si="318"/>
        <v/>
      </c>
      <c r="K6817" s="74" t="str">
        <f t="shared" si="319"/>
        <v/>
      </c>
      <c r="L6817" s="58" t="str">
        <f t="shared" si="320"/>
        <v/>
      </c>
    </row>
    <row r="6818" spans="10:12" ht="16.5" customHeight="1" x14ac:dyDescent="0.35">
      <c r="J6818" s="56" t="str">
        <f t="shared" si="318"/>
        <v/>
      </c>
      <c r="K6818" s="74" t="str">
        <f t="shared" si="319"/>
        <v/>
      </c>
      <c r="L6818" s="58" t="str">
        <f t="shared" si="320"/>
        <v/>
      </c>
    </row>
    <row r="6819" spans="10:12" ht="16.5" customHeight="1" x14ac:dyDescent="0.35">
      <c r="J6819" s="56" t="str">
        <f t="shared" si="318"/>
        <v/>
      </c>
      <c r="K6819" s="74" t="str">
        <f t="shared" si="319"/>
        <v/>
      </c>
      <c r="L6819" s="58" t="str">
        <f t="shared" si="320"/>
        <v/>
      </c>
    </row>
    <row r="6820" spans="10:12" ht="16.5" customHeight="1" x14ac:dyDescent="0.35">
      <c r="J6820" s="56" t="str">
        <f t="shared" si="318"/>
        <v/>
      </c>
      <c r="K6820" s="74" t="str">
        <f t="shared" si="319"/>
        <v/>
      </c>
      <c r="L6820" s="58" t="str">
        <f t="shared" si="320"/>
        <v/>
      </c>
    </row>
    <row r="6821" spans="10:12" ht="16.5" customHeight="1" x14ac:dyDescent="0.35">
      <c r="J6821" s="56" t="str">
        <f t="shared" si="318"/>
        <v/>
      </c>
      <c r="K6821" s="74" t="str">
        <f t="shared" si="319"/>
        <v/>
      </c>
      <c r="L6821" s="58" t="str">
        <f t="shared" si="320"/>
        <v/>
      </c>
    </row>
    <row r="6822" spans="10:12" ht="16.5" customHeight="1" x14ac:dyDescent="0.35">
      <c r="J6822" s="56" t="str">
        <f t="shared" si="318"/>
        <v/>
      </c>
      <c r="K6822" s="74" t="str">
        <f t="shared" si="319"/>
        <v/>
      </c>
      <c r="L6822" s="58" t="str">
        <f t="shared" si="320"/>
        <v/>
      </c>
    </row>
    <row r="6823" spans="10:12" ht="16.5" customHeight="1" x14ac:dyDescent="0.35">
      <c r="J6823" s="56" t="str">
        <f t="shared" si="318"/>
        <v/>
      </c>
      <c r="K6823" s="74" t="str">
        <f t="shared" si="319"/>
        <v/>
      </c>
      <c r="L6823" s="58" t="str">
        <f t="shared" si="320"/>
        <v/>
      </c>
    </row>
    <row r="6824" spans="10:12" ht="16.5" customHeight="1" x14ac:dyDescent="0.35">
      <c r="J6824" s="56" t="str">
        <f t="shared" si="318"/>
        <v/>
      </c>
      <c r="K6824" s="74" t="str">
        <f t="shared" si="319"/>
        <v/>
      </c>
      <c r="L6824" s="58" t="str">
        <f t="shared" si="320"/>
        <v/>
      </c>
    </row>
    <row r="6825" spans="10:12" ht="16.5" customHeight="1" x14ac:dyDescent="0.35">
      <c r="J6825" s="56" t="str">
        <f t="shared" si="318"/>
        <v/>
      </c>
      <c r="K6825" s="74" t="str">
        <f t="shared" si="319"/>
        <v/>
      </c>
      <c r="L6825" s="58" t="str">
        <f t="shared" si="320"/>
        <v/>
      </c>
    </row>
    <row r="6826" spans="10:12" ht="16.5" customHeight="1" x14ac:dyDescent="0.35">
      <c r="J6826" s="56" t="str">
        <f t="shared" si="318"/>
        <v/>
      </c>
      <c r="K6826" s="74" t="str">
        <f t="shared" si="319"/>
        <v/>
      </c>
      <c r="L6826" s="58" t="str">
        <f t="shared" si="320"/>
        <v/>
      </c>
    </row>
    <row r="6827" spans="10:12" ht="16.5" customHeight="1" x14ac:dyDescent="0.35">
      <c r="J6827" s="56" t="str">
        <f t="shared" si="318"/>
        <v/>
      </c>
      <c r="K6827" s="74" t="str">
        <f t="shared" si="319"/>
        <v/>
      </c>
      <c r="L6827" s="58" t="str">
        <f t="shared" si="320"/>
        <v/>
      </c>
    </row>
    <row r="6828" spans="10:12" ht="16.5" customHeight="1" x14ac:dyDescent="0.35">
      <c r="J6828" s="56" t="str">
        <f t="shared" si="318"/>
        <v/>
      </c>
      <c r="K6828" s="74" t="str">
        <f t="shared" si="319"/>
        <v/>
      </c>
      <c r="L6828" s="58" t="str">
        <f t="shared" si="320"/>
        <v/>
      </c>
    </row>
    <row r="6829" spans="10:12" ht="16.5" customHeight="1" x14ac:dyDescent="0.35">
      <c r="J6829" s="56" t="str">
        <f t="shared" si="318"/>
        <v/>
      </c>
      <c r="K6829" s="74" t="str">
        <f t="shared" si="319"/>
        <v/>
      </c>
      <c r="L6829" s="58" t="str">
        <f t="shared" si="320"/>
        <v/>
      </c>
    </row>
    <row r="6830" spans="10:12" ht="16.5" customHeight="1" x14ac:dyDescent="0.35">
      <c r="J6830" s="56" t="str">
        <f t="shared" si="318"/>
        <v/>
      </c>
      <c r="K6830" s="74" t="str">
        <f t="shared" si="319"/>
        <v/>
      </c>
      <c r="L6830" s="58" t="str">
        <f t="shared" si="320"/>
        <v/>
      </c>
    </row>
    <row r="6831" spans="10:12" ht="16.5" customHeight="1" x14ac:dyDescent="0.35">
      <c r="J6831" s="56" t="str">
        <f t="shared" si="318"/>
        <v/>
      </c>
      <c r="K6831" s="74" t="str">
        <f t="shared" si="319"/>
        <v/>
      </c>
      <c r="L6831" s="58" t="str">
        <f t="shared" si="320"/>
        <v/>
      </c>
    </row>
    <row r="6832" spans="10:12" ht="16.5" customHeight="1" x14ac:dyDescent="0.35">
      <c r="J6832" s="56" t="str">
        <f t="shared" si="318"/>
        <v/>
      </c>
      <c r="K6832" s="74" t="str">
        <f t="shared" si="319"/>
        <v/>
      </c>
      <c r="L6832" s="58" t="str">
        <f t="shared" si="320"/>
        <v/>
      </c>
    </row>
    <row r="6833" spans="10:12" ht="16.5" customHeight="1" x14ac:dyDescent="0.35">
      <c r="J6833" s="56" t="str">
        <f t="shared" si="318"/>
        <v/>
      </c>
      <c r="K6833" s="74" t="str">
        <f t="shared" si="319"/>
        <v/>
      </c>
      <c r="L6833" s="58" t="str">
        <f t="shared" si="320"/>
        <v/>
      </c>
    </row>
    <row r="6834" spans="10:12" ht="16.5" customHeight="1" x14ac:dyDescent="0.35">
      <c r="J6834" s="56" t="str">
        <f t="shared" si="318"/>
        <v/>
      </c>
      <c r="K6834" s="74" t="str">
        <f t="shared" si="319"/>
        <v/>
      </c>
      <c r="L6834" s="58" t="str">
        <f t="shared" si="320"/>
        <v/>
      </c>
    </row>
    <row r="6835" spans="10:12" ht="16.5" customHeight="1" x14ac:dyDescent="0.35">
      <c r="J6835" s="56" t="str">
        <f t="shared" si="318"/>
        <v/>
      </c>
      <c r="K6835" s="74" t="str">
        <f t="shared" si="319"/>
        <v/>
      </c>
      <c r="L6835" s="58" t="str">
        <f t="shared" si="320"/>
        <v/>
      </c>
    </row>
    <row r="6836" spans="10:12" ht="16.5" customHeight="1" x14ac:dyDescent="0.35">
      <c r="J6836" s="56" t="str">
        <f t="shared" si="318"/>
        <v/>
      </c>
      <c r="K6836" s="74" t="str">
        <f t="shared" si="319"/>
        <v/>
      </c>
      <c r="L6836" s="58" t="str">
        <f t="shared" si="320"/>
        <v/>
      </c>
    </row>
    <row r="6837" spans="10:12" ht="16.5" customHeight="1" x14ac:dyDescent="0.35">
      <c r="J6837" s="56" t="str">
        <f t="shared" si="318"/>
        <v/>
      </c>
      <c r="K6837" s="74" t="str">
        <f t="shared" si="319"/>
        <v/>
      </c>
      <c r="L6837" s="58" t="str">
        <f t="shared" si="320"/>
        <v/>
      </c>
    </row>
    <row r="6838" spans="10:12" ht="16.5" customHeight="1" x14ac:dyDescent="0.35">
      <c r="J6838" s="56" t="str">
        <f t="shared" si="318"/>
        <v/>
      </c>
      <c r="K6838" s="74" t="str">
        <f t="shared" si="319"/>
        <v/>
      </c>
      <c r="L6838" s="58" t="str">
        <f t="shared" si="320"/>
        <v/>
      </c>
    </row>
    <row r="6839" spans="10:12" ht="16.5" customHeight="1" x14ac:dyDescent="0.35">
      <c r="J6839" s="56" t="str">
        <f t="shared" si="318"/>
        <v/>
      </c>
      <c r="K6839" s="74" t="str">
        <f t="shared" si="319"/>
        <v/>
      </c>
      <c r="L6839" s="58" t="str">
        <f t="shared" si="320"/>
        <v/>
      </c>
    </row>
    <row r="6840" spans="10:12" ht="16.5" customHeight="1" x14ac:dyDescent="0.35">
      <c r="J6840" s="56" t="str">
        <f t="shared" si="318"/>
        <v/>
      </c>
      <c r="K6840" s="74" t="str">
        <f t="shared" si="319"/>
        <v/>
      </c>
      <c r="L6840" s="58" t="str">
        <f t="shared" si="320"/>
        <v/>
      </c>
    </row>
    <row r="6841" spans="10:12" ht="16.5" customHeight="1" x14ac:dyDescent="0.35">
      <c r="J6841" s="56" t="str">
        <f t="shared" si="318"/>
        <v/>
      </c>
      <c r="K6841" s="74" t="str">
        <f t="shared" si="319"/>
        <v/>
      </c>
      <c r="L6841" s="58" t="str">
        <f t="shared" si="320"/>
        <v/>
      </c>
    </row>
    <row r="6842" spans="10:12" ht="16.5" customHeight="1" x14ac:dyDescent="0.35">
      <c r="J6842" s="56" t="str">
        <f t="shared" si="318"/>
        <v/>
      </c>
      <c r="K6842" s="74" t="str">
        <f t="shared" si="319"/>
        <v/>
      </c>
      <c r="L6842" s="58" t="str">
        <f t="shared" si="320"/>
        <v/>
      </c>
    </row>
    <row r="6843" spans="10:12" ht="16.5" customHeight="1" x14ac:dyDescent="0.35">
      <c r="J6843" s="56" t="str">
        <f t="shared" si="318"/>
        <v/>
      </c>
      <c r="K6843" s="74" t="str">
        <f t="shared" si="319"/>
        <v/>
      </c>
      <c r="L6843" s="58" t="str">
        <f t="shared" si="320"/>
        <v/>
      </c>
    </row>
    <row r="6844" spans="10:12" ht="16.5" customHeight="1" x14ac:dyDescent="0.35">
      <c r="J6844" s="56" t="str">
        <f t="shared" si="318"/>
        <v/>
      </c>
      <c r="K6844" s="74" t="str">
        <f t="shared" si="319"/>
        <v/>
      </c>
      <c r="L6844" s="58" t="str">
        <f t="shared" si="320"/>
        <v/>
      </c>
    </row>
    <row r="6845" spans="10:12" ht="16.5" customHeight="1" x14ac:dyDescent="0.35">
      <c r="J6845" s="56" t="str">
        <f t="shared" si="318"/>
        <v/>
      </c>
      <c r="K6845" s="74" t="str">
        <f t="shared" si="319"/>
        <v/>
      </c>
      <c r="L6845" s="58" t="str">
        <f t="shared" si="320"/>
        <v/>
      </c>
    </row>
    <row r="6846" spans="10:12" ht="16.5" customHeight="1" x14ac:dyDescent="0.35">
      <c r="J6846" s="56" t="str">
        <f t="shared" si="318"/>
        <v/>
      </c>
      <c r="K6846" s="74" t="str">
        <f t="shared" si="319"/>
        <v/>
      </c>
      <c r="L6846" s="58" t="str">
        <f t="shared" si="320"/>
        <v/>
      </c>
    </row>
    <row r="6847" spans="10:12" ht="16.5" customHeight="1" x14ac:dyDescent="0.35">
      <c r="J6847" s="56" t="str">
        <f t="shared" si="318"/>
        <v/>
      </c>
      <c r="K6847" s="74" t="str">
        <f t="shared" si="319"/>
        <v/>
      </c>
      <c r="L6847" s="58" t="str">
        <f t="shared" si="320"/>
        <v/>
      </c>
    </row>
    <row r="6848" spans="10:12" ht="16.5" customHeight="1" x14ac:dyDescent="0.35">
      <c r="J6848" s="56" t="str">
        <f t="shared" si="318"/>
        <v/>
      </c>
      <c r="K6848" s="74" t="str">
        <f t="shared" si="319"/>
        <v/>
      </c>
      <c r="L6848" s="58" t="str">
        <f t="shared" si="320"/>
        <v/>
      </c>
    </row>
    <row r="6849" spans="10:12" ht="16.5" customHeight="1" x14ac:dyDescent="0.35">
      <c r="J6849" s="56" t="str">
        <f t="shared" si="318"/>
        <v/>
      </c>
      <c r="K6849" s="74" t="str">
        <f t="shared" si="319"/>
        <v/>
      </c>
      <c r="L6849" s="58" t="str">
        <f t="shared" si="320"/>
        <v/>
      </c>
    </row>
    <row r="6850" spans="10:12" ht="16.5" customHeight="1" x14ac:dyDescent="0.35">
      <c r="J6850" s="56" t="str">
        <f t="shared" si="318"/>
        <v/>
      </c>
      <c r="K6850" s="74" t="str">
        <f t="shared" si="319"/>
        <v/>
      </c>
      <c r="L6850" s="58" t="str">
        <f t="shared" si="320"/>
        <v/>
      </c>
    </row>
    <row r="6851" spans="10:12" ht="16.5" customHeight="1" x14ac:dyDescent="0.35">
      <c r="J6851" s="56" t="str">
        <f t="shared" si="318"/>
        <v/>
      </c>
      <c r="K6851" s="74" t="str">
        <f t="shared" si="319"/>
        <v/>
      </c>
      <c r="L6851" s="58" t="str">
        <f t="shared" si="320"/>
        <v/>
      </c>
    </row>
    <row r="6852" spans="10:12" ht="16.5" customHeight="1" x14ac:dyDescent="0.35">
      <c r="J6852" s="56" t="str">
        <f t="shared" si="318"/>
        <v/>
      </c>
      <c r="K6852" s="74" t="str">
        <f t="shared" si="319"/>
        <v/>
      </c>
      <c r="L6852" s="58" t="str">
        <f t="shared" si="320"/>
        <v/>
      </c>
    </row>
    <row r="6853" spans="10:12" ht="16.5" customHeight="1" x14ac:dyDescent="0.35">
      <c r="J6853" s="56" t="str">
        <f t="shared" si="318"/>
        <v/>
      </c>
      <c r="K6853" s="74" t="str">
        <f t="shared" si="319"/>
        <v/>
      </c>
      <c r="L6853" s="58" t="str">
        <f t="shared" si="320"/>
        <v/>
      </c>
    </row>
    <row r="6854" spans="10:12" ht="16.5" customHeight="1" x14ac:dyDescent="0.35">
      <c r="J6854" s="56" t="str">
        <f t="shared" si="318"/>
        <v/>
      </c>
      <c r="K6854" s="74" t="str">
        <f t="shared" si="319"/>
        <v/>
      </c>
      <c r="L6854" s="58" t="str">
        <f t="shared" si="320"/>
        <v/>
      </c>
    </row>
    <row r="6855" spans="10:12" ht="16.5" customHeight="1" x14ac:dyDescent="0.35">
      <c r="J6855" s="56" t="str">
        <f t="shared" si="318"/>
        <v/>
      </c>
      <c r="K6855" s="74" t="str">
        <f t="shared" si="319"/>
        <v/>
      </c>
      <c r="L6855" s="58" t="str">
        <f t="shared" si="320"/>
        <v/>
      </c>
    </row>
    <row r="6856" spans="10:12" ht="16.5" customHeight="1" x14ac:dyDescent="0.35">
      <c r="J6856" s="56" t="str">
        <f t="shared" si="318"/>
        <v/>
      </c>
      <c r="K6856" s="74" t="str">
        <f t="shared" si="319"/>
        <v/>
      </c>
      <c r="L6856" s="58" t="str">
        <f t="shared" si="320"/>
        <v/>
      </c>
    </row>
    <row r="6857" spans="10:12" ht="16.5" customHeight="1" x14ac:dyDescent="0.35">
      <c r="J6857" s="56" t="str">
        <f t="shared" ref="J6857:J6920" si="321">IF(A6857="","",A$5-A6857)</f>
        <v/>
      </c>
      <c r="K6857" s="74" t="str">
        <f t="shared" ref="K6857:K6920" si="322">IF(J6857="","",IF(J6857&lt;4,"0-3 Days",IF(J6857&lt;31,"4-30 Days",IF(J6857&lt;61,"31-60 Days",IF(J6857&lt;=90,"61-90 Days",IF(J6857&gt;90,"Above 90 Days","0"))))))</f>
        <v/>
      </c>
      <c r="L6857" s="58" t="str">
        <f t="shared" ref="L6857:L6920" si="323">IF(C6857="","",IF(C6857&gt;0,IF(J6857&lt;30,"Normal",IF(J6857&lt;60,"Especially Mentioned",IF(J6857&lt;90,"Substandard",IF(J6857&lt;=180,"Doubtful",IF(J6857&gt;180,"Loss","0"))))),"Not Applicable"))</f>
        <v/>
      </c>
    </row>
    <row r="6858" spans="10:12" ht="16.5" customHeight="1" x14ac:dyDescent="0.35">
      <c r="J6858" s="56" t="str">
        <f t="shared" si="321"/>
        <v/>
      </c>
      <c r="K6858" s="74" t="str">
        <f t="shared" si="322"/>
        <v/>
      </c>
      <c r="L6858" s="58" t="str">
        <f t="shared" si="323"/>
        <v/>
      </c>
    </row>
    <row r="6859" spans="10:12" ht="16.5" customHeight="1" x14ac:dyDescent="0.35">
      <c r="J6859" s="56" t="str">
        <f t="shared" si="321"/>
        <v/>
      </c>
      <c r="K6859" s="74" t="str">
        <f t="shared" si="322"/>
        <v/>
      </c>
      <c r="L6859" s="58" t="str">
        <f t="shared" si="323"/>
        <v/>
      </c>
    </row>
    <row r="6860" spans="10:12" ht="16.5" customHeight="1" x14ac:dyDescent="0.35">
      <c r="J6860" s="56" t="str">
        <f t="shared" si="321"/>
        <v/>
      </c>
      <c r="K6860" s="74" t="str">
        <f t="shared" si="322"/>
        <v/>
      </c>
      <c r="L6860" s="58" t="str">
        <f t="shared" si="323"/>
        <v/>
      </c>
    </row>
    <row r="6861" spans="10:12" ht="16.5" customHeight="1" x14ac:dyDescent="0.35">
      <c r="J6861" s="56" t="str">
        <f t="shared" si="321"/>
        <v/>
      </c>
      <c r="K6861" s="74" t="str">
        <f t="shared" si="322"/>
        <v/>
      </c>
      <c r="L6861" s="58" t="str">
        <f t="shared" si="323"/>
        <v/>
      </c>
    </row>
    <row r="6862" spans="10:12" ht="16.5" customHeight="1" x14ac:dyDescent="0.35">
      <c r="J6862" s="56" t="str">
        <f t="shared" si="321"/>
        <v/>
      </c>
      <c r="K6862" s="74" t="str">
        <f t="shared" si="322"/>
        <v/>
      </c>
      <c r="L6862" s="58" t="str">
        <f t="shared" si="323"/>
        <v/>
      </c>
    </row>
    <row r="6863" spans="10:12" ht="16.5" customHeight="1" x14ac:dyDescent="0.35">
      <c r="J6863" s="56" t="str">
        <f t="shared" si="321"/>
        <v/>
      </c>
      <c r="K6863" s="74" t="str">
        <f t="shared" si="322"/>
        <v/>
      </c>
      <c r="L6863" s="58" t="str">
        <f t="shared" si="323"/>
        <v/>
      </c>
    </row>
    <row r="6864" spans="10:12" ht="16.5" customHeight="1" x14ac:dyDescent="0.35">
      <c r="J6864" s="56" t="str">
        <f t="shared" si="321"/>
        <v/>
      </c>
      <c r="K6864" s="74" t="str">
        <f t="shared" si="322"/>
        <v/>
      </c>
      <c r="L6864" s="58" t="str">
        <f t="shared" si="323"/>
        <v/>
      </c>
    </row>
    <row r="6865" spans="10:12" ht="16.5" customHeight="1" x14ac:dyDescent="0.35">
      <c r="J6865" s="56" t="str">
        <f t="shared" si="321"/>
        <v/>
      </c>
      <c r="K6865" s="74" t="str">
        <f t="shared" si="322"/>
        <v/>
      </c>
      <c r="L6865" s="58" t="str">
        <f t="shared" si="323"/>
        <v/>
      </c>
    </row>
    <row r="6866" spans="10:12" ht="16.5" customHeight="1" x14ac:dyDescent="0.35">
      <c r="J6866" s="56" t="str">
        <f t="shared" si="321"/>
        <v/>
      </c>
      <c r="K6866" s="74" t="str">
        <f t="shared" si="322"/>
        <v/>
      </c>
      <c r="L6866" s="58" t="str">
        <f t="shared" si="323"/>
        <v/>
      </c>
    </row>
    <row r="6867" spans="10:12" ht="16.5" customHeight="1" x14ac:dyDescent="0.35">
      <c r="J6867" s="56" t="str">
        <f t="shared" si="321"/>
        <v/>
      </c>
      <c r="K6867" s="74" t="str">
        <f t="shared" si="322"/>
        <v/>
      </c>
      <c r="L6867" s="58" t="str">
        <f t="shared" si="323"/>
        <v/>
      </c>
    </row>
    <row r="6868" spans="10:12" ht="16.5" customHeight="1" x14ac:dyDescent="0.35">
      <c r="J6868" s="56" t="str">
        <f t="shared" si="321"/>
        <v/>
      </c>
      <c r="K6868" s="74" t="str">
        <f t="shared" si="322"/>
        <v/>
      </c>
      <c r="L6868" s="58" t="str">
        <f t="shared" si="323"/>
        <v/>
      </c>
    </row>
    <row r="6869" spans="10:12" ht="16.5" customHeight="1" x14ac:dyDescent="0.35">
      <c r="J6869" s="56" t="str">
        <f t="shared" si="321"/>
        <v/>
      </c>
      <c r="K6869" s="74" t="str">
        <f t="shared" si="322"/>
        <v/>
      </c>
      <c r="L6869" s="58" t="str">
        <f t="shared" si="323"/>
        <v/>
      </c>
    </row>
    <row r="6870" spans="10:12" ht="16.5" customHeight="1" x14ac:dyDescent="0.35">
      <c r="J6870" s="56" t="str">
        <f t="shared" si="321"/>
        <v/>
      </c>
      <c r="K6870" s="74" t="str">
        <f t="shared" si="322"/>
        <v/>
      </c>
      <c r="L6870" s="58" t="str">
        <f t="shared" si="323"/>
        <v/>
      </c>
    </row>
    <row r="6871" spans="10:12" ht="16.5" customHeight="1" x14ac:dyDescent="0.35">
      <c r="J6871" s="56" t="str">
        <f t="shared" si="321"/>
        <v/>
      </c>
      <c r="K6871" s="74" t="str">
        <f t="shared" si="322"/>
        <v/>
      </c>
      <c r="L6871" s="58" t="str">
        <f t="shared" si="323"/>
        <v/>
      </c>
    </row>
    <row r="6872" spans="10:12" ht="16.5" customHeight="1" x14ac:dyDescent="0.35">
      <c r="J6872" s="56" t="str">
        <f t="shared" si="321"/>
        <v/>
      </c>
      <c r="K6872" s="74" t="str">
        <f t="shared" si="322"/>
        <v/>
      </c>
      <c r="L6872" s="58" t="str">
        <f t="shared" si="323"/>
        <v/>
      </c>
    </row>
    <row r="6873" spans="10:12" ht="16.5" customHeight="1" x14ac:dyDescent="0.35">
      <c r="J6873" s="56" t="str">
        <f t="shared" si="321"/>
        <v/>
      </c>
      <c r="K6873" s="74" t="str">
        <f t="shared" si="322"/>
        <v/>
      </c>
      <c r="L6873" s="58" t="str">
        <f t="shared" si="323"/>
        <v/>
      </c>
    </row>
    <row r="6874" spans="10:12" ht="16.5" customHeight="1" x14ac:dyDescent="0.35">
      <c r="J6874" s="56" t="str">
        <f t="shared" si="321"/>
        <v/>
      </c>
      <c r="K6874" s="74" t="str">
        <f t="shared" si="322"/>
        <v/>
      </c>
      <c r="L6874" s="58" t="str">
        <f t="shared" si="323"/>
        <v/>
      </c>
    </row>
    <row r="6875" spans="10:12" ht="16.5" customHeight="1" x14ac:dyDescent="0.35">
      <c r="J6875" s="56" t="str">
        <f t="shared" si="321"/>
        <v/>
      </c>
      <c r="K6875" s="74" t="str">
        <f t="shared" si="322"/>
        <v/>
      </c>
      <c r="L6875" s="58" t="str">
        <f t="shared" si="323"/>
        <v/>
      </c>
    </row>
    <row r="6876" spans="10:12" ht="16.5" customHeight="1" x14ac:dyDescent="0.35">
      <c r="J6876" s="56" t="str">
        <f t="shared" si="321"/>
        <v/>
      </c>
      <c r="K6876" s="74" t="str">
        <f t="shared" si="322"/>
        <v/>
      </c>
      <c r="L6876" s="58" t="str">
        <f t="shared" si="323"/>
        <v/>
      </c>
    </row>
    <row r="6877" spans="10:12" ht="16.5" customHeight="1" x14ac:dyDescent="0.35">
      <c r="J6877" s="56" t="str">
        <f t="shared" si="321"/>
        <v/>
      </c>
      <c r="K6877" s="74" t="str">
        <f t="shared" si="322"/>
        <v/>
      </c>
      <c r="L6877" s="58" t="str">
        <f t="shared" si="323"/>
        <v/>
      </c>
    </row>
    <row r="6878" spans="10:12" ht="16.5" customHeight="1" x14ac:dyDescent="0.35">
      <c r="J6878" s="56" t="str">
        <f t="shared" si="321"/>
        <v/>
      </c>
      <c r="K6878" s="74" t="str">
        <f t="shared" si="322"/>
        <v/>
      </c>
      <c r="L6878" s="58" t="str">
        <f t="shared" si="323"/>
        <v/>
      </c>
    </row>
    <row r="6879" spans="10:12" ht="16.5" customHeight="1" x14ac:dyDescent="0.35">
      <c r="J6879" s="56" t="str">
        <f t="shared" si="321"/>
        <v/>
      </c>
      <c r="K6879" s="74" t="str">
        <f t="shared" si="322"/>
        <v/>
      </c>
      <c r="L6879" s="58" t="str">
        <f t="shared" si="323"/>
        <v/>
      </c>
    </row>
    <row r="6880" spans="10:12" ht="16.5" customHeight="1" x14ac:dyDescent="0.35">
      <c r="J6880" s="56" t="str">
        <f t="shared" si="321"/>
        <v/>
      </c>
      <c r="K6880" s="74" t="str">
        <f t="shared" si="322"/>
        <v/>
      </c>
      <c r="L6880" s="58" t="str">
        <f t="shared" si="323"/>
        <v/>
      </c>
    </row>
    <row r="6881" spans="10:12" ht="16.5" customHeight="1" x14ac:dyDescent="0.35">
      <c r="J6881" s="56" t="str">
        <f t="shared" si="321"/>
        <v/>
      </c>
      <c r="K6881" s="74" t="str">
        <f t="shared" si="322"/>
        <v/>
      </c>
      <c r="L6881" s="58" t="str">
        <f t="shared" si="323"/>
        <v/>
      </c>
    </row>
    <row r="6882" spans="10:12" ht="16.5" customHeight="1" x14ac:dyDescent="0.35">
      <c r="J6882" s="56" t="str">
        <f t="shared" si="321"/>
        <v/>
      </c>
      <c r="K6882" s="74" t="str">
        <f t="shared" si="322"/>
        <v/>
      </c>
      <c r="L6882" s="58" t="str">
        <f t="shared" si="323"/>
        <v/>
      </c>
    </row>
    <row r="6883" spans="10:12" ht="16.5" customHeight="1" x14ac:dyDescent="0.35">
      <c r="J6883" s="56" t="str">
        <f t="shared" si="321"/>
        <v/>
      </c>
      <c r="K6883" s="74" t="str">
        <f t="shared" si="322"/>
        <v/>
      </c>
      <c r="L6883" s="58" t="str">
        <f t="shared" si="323"/>
        <v/>
      </c>
    </row>
    <row r="6884" spans="10:12" ht="16.5" customHeight="1" x14ac:dyDescent="0.35">
      <c r="J6884" s="56" t="str">
        <f t="shared" si="321"/>
        <v/>
      </c>
      <c r="K6884" s="74" t="str">
        <f t="shared" si="322"/>
        <v/>
      </c>
      <c r="L6884" s="58" t="str">
        <f t="shared" si="323"/>
        <v/>
      </c>
    </row>
    <row r="6885" spans="10:12" ht="16.5" customHeight="1" x14ac:dyDescent="0.35">
      <c r="J6885" s="56" t="str">
        <f t="shared" si="321"/>
        <v/>
      </c>
      <c r="K6885" s="74" t="str">
        <f t="shared" si="322"/>
        <v/>
      </c>
      <c r="L6885" s="58" t="str">
        <f t="shared" si="323"/>
        <v/>
      </c>
    </row>
    <row r="6886" spans="10:12" ht="16.5" customHeight="1" x14ac:dyDescent="0.35">
      <c r="J6886" s="56" t="str">
        <f t="shared" si="321"/>
        <v/>
      </c>
      <c r="K6886" s="74" t="str">
        <f t="shared" si="322"/>
        <v/>
      </c>
      <c r="L6886" s="58" t="str">
        <f t="shared" si="323"/>
        <v/>
      </c>
    </row>
    <row r="6887" spans="10:12" ht="16.5" customHeight="1" x14ac:dyDescent="0.35">
      <c r="J6887" s="56" t="str">
        <f t="shared" si="321"/>
        <v/>
      </c>
      <c r="K6887" s="74" t="str">
        <f t="shared" si="322"/>
        <v/>
      </c>
      <c r="L6887" s="58" t="str">
        <f t="shared" si="323"/>
        <v/>
      </c>
    </row>
    <row r="6888" spans="10:12" ht="16.5" customHeight="1" x14ac:dyDescent="0.35">
      <c r="J6888" s="56" t="str">
        <f t="shared" si="321"/>
        <v/>
      </c>
      <c r="K6888" s="74" t="str">
        <f t="shared" si="322"/>
        <v/>
      </c>
      <c r="L6888" s="58" t="str">
        <f t="shared" si="323"/>
        <v/>
      </c>
    </row>
    <row r="6889" spans="10:12" ht="16.5" customHeight="1" x14ac:dyDescent="0.35">
      <c r="J6889" s="56" t="str">
        <f t="shared" si="321"/>
        <v/>
      </c>
      <c r="K6889" s="74" t="str">
        <f t="shared" si="322"/>
        <v/>
      </c>
      <c r="L6889" s="58" t="str">
        <f t="shared" si="323"/>
        <v/>
      </c>
    </row>
    <row r="6890" spans="10:12" ht="16.5" customHeight="1" x14ac:dyDescent="0.35">
      <c r="J6890" s="56" t="str">
        <f t="shared" si="321"/>
        <v/>
      </c>
      <c r="K6890" s="74" t="str">
        <f t="shared" si="322"/>
        <v/>
      </c>
      <c r="L6890" s="58" t="str">
        <f t="shared" si="323"/>
        <v/>
      </c>
    </row>
    <row r="6891" spans="10:12" ht="16.5" customHeight="1" x14ac:dyDescent="0.35">
      <c r="J6891" s="56" t="str">
        <f t="shared" si="321"/>
        <v/>
      </c>
      <c r="K6891" s="74" t="str">
        <f t="shared" si="322"/>
        <v/>
      </c>
      <c r="L6891" s="58" t="str">
        <f t="shared" si="323"/>
        <v/>
      </c>
    </row>
    <row r="6892" spans="10:12" ht="16.5" customHeight="1" x14ac:dyDescent="0.35">
      <c r="J6892" s="56" t="str">
        <f t="shared" si="321"/>
        <v/>
      </c>
      <c r="K6892" s="74" t="str">
        <f t="shared" si="322"/>
        <v/>
      </c>
      <c r="L6892" s="58" t="str">
        <f t="shared" si="323"/>
        <v/>
      </c>
    </row>
    <row r="6893" spans="10:12" ht="16.5" customHeight="1" x14ac:dyDescent="0.35">
      <c r="J6893" s="56" t="str">
        <f t="shared" si="321"/>
        <v/>
      </c>
      <c r="K6893" s="74" t="str">
        <f t="shared" si="322"/>
        <v/>
      </c>
      <c r="L6893" s="58" t="str">
        <f t="shared" si="323"/>
        <v/>
      </c>
    </row>
    <row r="6894" spans="10:12" ht="16.5" customHeight="1" x14ac:dyDescent="0.35">
      <c r="J6894" s="56" t="str">
        <f t="shared" si="321"/>
        <v/>
      </c>
      <c r="K6894" s="74" t="str">
        <f t="shared" si="322"/>
        <v/>
      </c>
      <c r="L6894" s="58" t="str">
        <f t="shared" si="323"/>
        <v/>
      </c>
    </row>
    <row r="6895" spans="10:12" ht="16.5" customHeight="1" x14ac:dyDescent="0.35">
      <c r="J6895" s="56" t="str">
        <f t="shared" si="321"/>
        <v/>
      </c>
      <c r="K6895" s="74" t="str">
        <f t="shared" si="322"/>
        <v/>
      </c>
      <c r="L6895" s="58" t="str">
        <f t="shared" si="323"/>
        <v/>
      </c>
    </row>
    <row r="6896" spans="10:12" ht="16.5" customHeight="1" x14ac:dyDescent="0.35">
      <c r="J6896" s="56" t="str">
        <f t="shared" si="321"/>
        <v/>
      </c>
      <c r="K6896" s="74" t="str">
        <f t="shared" si="322"/>
        <v/>
      </c>
      <c r="L6896" s="58" t="str">
        <f t="shared" si="323"/>
        <v/>
      </c>
    </row>
    <row r="6897" spans="10:12" ht="16.5" customHeight="1" x14ac:dyDescent="0.35">
      <c r="J6897" s="56" t="str">
        <f t="shared" si="321"/>
        <v/>
      </c>
      <c r="K6897" s="74" t="str">
        <f t="shared" si="322"/>
        <v/>
      </c>
      <c r="L6897" s="58" t="str">
        <f t="shared" si="323"/>
        <v/>
      </c>
    </row>
    <row r="6898" spans="10:12" ht="16.5" customHeight="1" x14ac:dyDescent="0.35">
      <c r="J6898" s="56" t="str">
        <f t="shared" si="321"/>
        <v/>
      </c>
      <c r="K6898" s="74" t="str">
        <f t="shared" si="322"/>
        <v/>
      </c>
      <c r="L6898" s="58" t="str">
        <f t="shared" si="323"/>
        <v/>
      </c>
    </row>
    <row r="6899" spans="10:12" ht="16.5" customHeight="1" x14ac:dyDescent="0.35">
      <c r="J6899" s="56" t="str">
        <f t="shared" si="321"/>
        <v/>
      </c>
      <c r="K6899" s="74" t="str">
        <f t="shared" si="322"/>
        <v/>
      </c>
      <c r="L6899" s="58" t="str">
        <f t="shared" si="323"/>
        <v/>
      </c>
    </row>
    <row r="6900" spans="10:12" ht="16.5" customHeight="1" x14ac:dyDescent="0.35">
      <c r="J6900" s="56" t="str">
        <f t="shared" si="321"/>
        <v/>
      </c>
      <c r="K6900" s="74" t="str">
        <f t="shared" si="322"/>
        <v/>
      </c>
      <c r="L6900" s="58" t="str">
        <f t="shared" si="323"/>
        <v/>
      </c>
    </row>
    <row r="6901" spans="10:12" ht="16.5" customHeight="1" x14ac:dyDescent="0.35">
      <c r="J6901" s="56" t="str">
        <f t="shared" si="321"/>
        <v/>
      </c>
      <c r="K6901" s="74" t="str">
        <f t="shared" si="322"/>
        <v/>
      </c>
      <c r="L6901" s="58" t="str">
        <f t="shared" si="323"/>
        <v/>
      </c>
    </row>
    <row r="6902" spans="10:12" ht="16.5" customHeight="1" x14ac:dyDescent="0.35">
      <c r="J6902" s="56" t="str">
        <f t="shared" si="321"/>
        <v/>
      </c>
      <c r="K6902" s="74" t="str">
        <f t="shared" si="322"/>
        <v/>
      </c>
      <c r="L6902" s="58" t="str">
        <f t="shared" si="323"/>
        <v/>
      </c>
    </row>
    <row r="6903" spans="10:12" ht="16.5" customHeight="1" x14ac:dyDescent="0.35">
      <c r="J6903" s="56" t="str">
        <f t="shared" si="321"/>
        <v/>
      </c>
      <c r="K6903" s="74" t="str">
        <f t="shared" si="322"/>
        <v/>
      </c>
      <c r="L6903" s="58" t="str">
        <f t="shared" si="323"/>
        <v/>
      </c>
    </row>
    <row r="6904" spans="10:12" ht="16.5" customHeight="1" x14ac:dyDescent="0.35">
      <c r="J6904" s="56" t="str">
        <f t="shared" si="321"/>
        <v/>
      </c>
      <c r="K6904" s="74" t="str">
        <f t="shared" si="322"/>
        <v/>
      </c>
      <c r="L6904" s="58" t="str">
        <f t="shared" si="323"/>
        <v/>
      </c>
    </row>
    <row r="6905" spans="10:12" ht="16.5" customHeight="1" x14ac:dyDescent="0.35">
      <c r="J6905" s="56" t="str">
        <f t="shared" si="321"/>
        <v/>
      </c>
      <c r="K6905" s="74" t="str">
        <f t="shared" si="322"/>
        <v/>
      </c>
      <c r="L6905" s="58" t="str">
        <f t="shared" si="323"/>
        <v/>
      </c>
    </row>
    <row r="6906" spans="10:12" ht="16.5" customHeight="1" x14ac:dyDescent="0.35">
      <c r="J6906" s="56" t="str">
        <f t="shared" si="321"/>
        <v/>
      </c>
      <c r="K6906" s="74" t="str">
        <f t="shared" si="322"/>
        <v/>
      </c>
      <c r="L6906" s="58" t="str">
        <f t="shared" si="323"/>
        <v/>
      </c>
    </row>
    <row r="6907" spans="10:12" ht="16.5" customHeight="1" x14ac:dyDescent="0.35">
      <c r="J6907" s="56" t="str">
        <f t="shared" si="321"/>
        <v/>
      </c>
      <c r="K6907" s="74" t="str">
        <f t="shared" si="322"/>
        <v/>
      </c>
      <c r="L6907" s="58" t="str">
        <f t="shared" si="323"/>
        <v/>
      </c>
    </row>
    <row r="6908" spans="10:12" ht="16.5" customHeight="1" x14ac:dyDescent="0.35">
      <c r="J6908" s="56" t="str">
        <f t="shared" si="321"/>
        <v/>
      </c>
      <c r="K6908" s="74" t="str">
        <f t="shared" si="322"/>
        <v/>
      </c>
      <c r="L6908" s="58" t="str">
        <f t="shared" si="323"/>
        <v/>
      </c>
    </row>
    <row r="6909" spans="10:12" ht="16.5" customHeight="1" x14ac:dyDescent="0.35">
      <c r="J6909" s="56" t="str">
        <f t="shared" si="321"/>
        <v/>
      </c>
      <c r="K6909" s="74" t="str">
        <f t="shared" si="322"/>
        <v/>
      </c>
      <c r="L6909" s="58" t="str">
        <f t="shared" si="323"/>
        <v/>
      </c>
    </row>
    <row r="6910" spans="10:12" ht="16.5" customHeight="1" x14ac:dyDescent="0.35">
      <c r="J6910" s="56" t="str">
        <f t="shared" si="321"/>
        <v/>
      </c>
      <c r="K6910" s="74" t="str">
        <f t="shared" si="322"/>
        <v/>
      </c>
      <c r="L6910" s="58" t="str">
        <f t="shared" si="323"/>
        <v/>
      </c>
    </row>
    <row r="6911" spans="10:12" ht="16.5" customHeight="1" x14ac:dyDescent="0.35">
      <c r="J6911" s="56" t="str">
        <f t="shared" si="321"/>
        <v/>
      </c>
      <c r="K6911" s="74" t="str">
        <f t="shared" si="322"/>
        <v/>
      </c>
      <c r="L6911" s="58" t="str">
        <f t="shared" si="323"/>
        <v/>
      </c>
    </row>
    <row r="6912" spans="10:12" ht="16.5" customHeight="1" x14ac:dyDescent="0.35">
      <c r="J6912" s="56" t="str">
        <f t="shared" si="321"/>
        <v/>
      </c>
      <c r="K6912" s="74" t="str">
        <f t="shared" si="322"/>
        <v/>
      </c>
      <c r="L6912" s="58" t="str">
        <f t="shared" si="323"/>
        <v/>
      </c>
    </row>
    <row r="6913" spans="10:12" ht="16.5" customHeight="1" x14ac:dyDescent="0.35">
      <c r="J6913" s="56" t="str">
        <f t="shared" si="321"/>
        <v/>
      </c>
      <c r="K6913" s="74" t="str">
        <f t="shared" si="322"/>
        <v/>
      </c>
      <c r="L6913" s="58" t="str">
        <f t="shared" si="323"/>
        <v/>
      </c>
    </row>
    <row r="6914" spans="10:12" ht="16.5" customHeight="1" x14ac:dyDescent="0.35">
      <c r="J6914" s="56" t="str">
        <f t="shared" si="321"/>
        <v/>
      </c>
      <c r="K6914" s="74" t="str">
        <f t="shared" si="322"/>
        <v/>
      </c>
      <c r="L6914" s="58" t="str">
        <f t="shared" si="323"/>
        <v/>
      </c>
    </row>
    <row r="6915" spans="10:12" ht="16.5" customHeight="1" x14ac:dyDescent="0.35">
      <c r="J6915" s="56" t="str">
        <f t="shared" si="321"/>
        <v/>
      </c>
      <c r="K6915" s="74" t="str">
        <f t="shared" si="322"/>
        <v/>
      </c>
      <c r="L6915" s="58" t="str">
        <f t="shared" si="323"/>
        <v/>
      </c>
    </row>
    <row r="6916" spans="10:12" ht="16.5" customHeight="1" x14ac:dyDescent="0.35">
      <c r="J6916" s="56" t="str">
        <f t="shared" si="321"/>
        <v/>
      </c>
      <c r="K6916" s="74" t="str">
        <f t="shared" si="322"/>
        <v/>
      </c>
      <c r="L6916" s="58" t="str">
        <f t="shared" si="323"/>
        <v/>
      </c>
    </row>
    <row r="6917" spans="10:12" ht="16.5" customHeight="1" x14ac:dyDescent="0.35">
      <c r="J6917" s="56" t="str">
        <f t="shared" si="321"/>
        <v/>
      </c>
      <c r="K6917" s="74" t="str">
        <f t="shared" si="322"/>
        <v/>
      </c>
      <c r="L6917" s="58" t="str">
        <f t="shared" si="323"/>
        <v/>
      </c>
    </row>
    <row r="6918" spans="10:12" ht="16.5" customHeight="1" x14ac:dyDescent="0.35">
      <c r="J6918" s="56" t="str">
        <f t="shared" si="321"/>
        <v/>
      </c>
      <c r="K6918" s="74" t="str">
        <f t="shared" si="322"/>
        <v/>
      </c>
      <c r="L6918" s="58" t="str">
        <f t="shared" si="323"/>
        <v/>
      </c>
    </row>
    <row r="6919" spans="10:12" ht="16.5" customHeight="1" x14ac:dyDescent="0.35">
      <c r="J6919" s="56" t="str">
        <f t="shared" si="321"/>
        <v/>
      </c>
      <c r="K6919" s="74" t="str">
        <f t="shared" si="322"/>
        <v/>
      </c>
      <c r="L6919" s="58" t="str">
        <f t="shared" si="323"/>
        <v/>
      </c>
    </row>
    <row r="6920" spans="10:12" ht="16.5" customHeight="1" x14ac:dyDescent="0.35">
      <c r="J6920" s="56" t="str">
        <f t="shared" si="321"/>
        <v/>
      </c>
      <c r="K6920" s="74" t="str">
        <f t="shared" si="322"/>
        <v/>
      </c>
      <c r="L6920" s="58" t="str">
        <f t="shared" si="323"/>
        <v/>
      </c>
    </row>
    <row r="6921" spans="10:12" ht="16.5" customHeight="1" x14ac:dyDescent="0.35">
      <c r="J6921" s="56" t="str">
        <f t="shared" ref="J6921:J6984" si="324">IF(A6921="","",A$5-A6921)</f>
        <v/>
      </c>
      <c r="K6921" s="74" t="str">
        <f t="shared" ref="K6921:K6984" si="325">IF(J6921="","",IF(J6921&lt;4,"0-3 Days",IF(J6921&lt;31,"4-30 Days",IF(J6921&lt;61,"31-60 Days",IF(J6921&lt;=90,"61-90 Days",IF(J6921&gt;90,"Above 90 Days","0"))))))</f>
        <v/>
      </c>
      <c r="L6921" s="58" t="str">
        <f t="shared" ref="L6921:L6984" si="326">IF(C6921="","",IF(C6921&gt;0,IF(J6921&lt;30,"Normal",IF(J6921&lt;60,"Especially Mentioned",IF(J6921&lt;90,"Substandard",IF(J6921&lt;=180,"Doubtful",IF(J6921&gt;180,"Loss","0"))))),"Not Applicable"))</f>
        <v/>
      </c>
    </row>
    <row r="6922" spans="10:12" ht="16.5" customHeight="1" x14ac:dyDescent="0.35">
      <c r="J6922" s="56" t="str">
        <f t="shared" si="324"/>
        <v/>
      </c>
      <c r="K6922" s="74" t="str">
        <f t="shared" si="325"/>
        <v/>
      </c>
      <c r="L6922" s="58" t="str">
        <f t="shared" si="326"/>
        <v/>
      </c>
    </row>
    <row r="6923" spans="10:12" ht="16.5" customHeight="1" x14ac:dyDescent="0.35">
      <c r="J6923" s="56" t="str">
        <f t="shared" si="324"/>
        <v/>
      </c>
      <c r="K6923" s="74" t="str">
        <f t="shared" si="325"/>
        <v/>
      </c>
      <c r="L6923" s="58" t="str">
        <f t="shared" si="326"/>
        <v/>
      </c>
    </row>
    <row r="6924" spans="10:12" ht="16.5" customHeight="1" x14ac:dyDescent="0.35">
      <c r="J6924" s="56" t="str">
        <f t="shared" si="324"/>
        <v/>
      </c>
      <c r="K6924" s="74" t="str">
        <f t="shared" si="325"/>
        <v/>
      </c>
      <c r="L6924" s="58" t="str">
        <f t="shared" si="326"/>
        <v/>
      </c>
    </row>
    <row r="6925" spans="10:12" ht="16.5" customHeight="1" x14ac:dyDescent="0.35">
      <c r="J6925" s="56" t="str">
        <f t="shared" si="324"/>
        <v/>
      </c>
      <c r="K6925" s="74" t="str">
        <f t="shared" si="325"/>
        <v/>
      </c>
      <c r="L6925" s="58" t="str">
        <f t="shared" si="326"/>
        <v/>
      </c>
    </row>
    <row r="6926" spans="10:12" ht="16.5" customHeight="1" x14ac:dyDescent="0.35">
      <c r="J6926" s="56" t="str">
        <f t="shared" si="324"/>
        <v/>
      </c>
      <c r="K6926" s="74" t="str">
        <f t="shared" si="325"/>
        <v/>
      </c>
      <c r="L6926" s="58" t="str">
        <f t="shared" si="326"/>
        <v/>
      </c>
    </row>
    <row r="6927" spans="10:12" ht="16.5" customHeight="1" x14ac:dyDescent="0.35">
      <c r="J6927" s="56" t="str">
        <f t="shared" si="324"/>
        <v/>
      </c>
      <c r="K6927" s="74" t="str">
        <f t="shared" si="325"/>
        <v/>
      </c>
      <c r="L6927" s="58" t="str">
        <f t="shared" si="326"/>
        <v/>
      </c>
    </row>
    <row r="6928" spans="10:12" ht="16.5" customHeight="1" x14ac:dyDescent="0.35">
      <c r="J6928" s="56" t="str">
        <f t="shared" si="324"/>
        <v/>
      </c>
      <c r="K6928" s="74" t="str">
        <f t="shared" si="325"/>
        <v/>
      </c>
      <c r="L6928" s="58" t="str">
        <f t="shared" si="326"/>
        <v/>
      </c>
    </row>
    <row r="6929" spans="10:12" ht="16.5" customHeight="1" x14ac:dyDescent="0.35">
      <c r="J6929" s="56" t="str">
        <f t="shared" si="324"/>
        <v/>
      </c>
      <c r="K6929" s="74" t="str">
        <f t="shared" si="325"/>
        <v/>
      </c>
      <c r="L6929" s="58" t="str">
        <f t="shared" si="326"/>
        <v/>
      </c>
    </row>
    <row r="6930" spans="10:12" ht="16.5" customHeight="1" x14ac:dyDescent="0.35">
      <c r="J6930" s="56" t="str">
        <f t="shared" si="324"/>
        <v/>
      </c>
      <c r="K6930" s="74" t="str">
        <f t="shared" si="325"/>
        <v/>
      </c>
      <c r="L6930" s="58" t="str">
        <f t="shared" si="326"/>
        <v/>
      </c>
    </row>
    <row r="6931" spans="10:12" ht="16.5" customHeight="1" x14ac:dyDescent="0.35">
      <c r="J6931" s="56" t="str">
        <f t="shared" si="324"/>
        <v/>
      </c>
      <c r="K6931" s="74" t="str">
        <f t="shared" si="325"/>
        <v/>
      </c>
      <c r="L6931" s="58" t="str">
        <f t="shared" si="326"/>
        <v/>
      </c>
    </row>
    <row r="6932" spans="10:12" ht="16.5" customHeight="1" x14ac:dyDescent="0.35">
      <c r="J6932" s="56" t="str">
        <f t="shared" si="324"/>
        <v/>
      </c>
      <c r="K6932" s="74" t="str">
        <f t="shared" si="325"/>
        <v/>
      </c>
      <c r="L6932" s="58" t="str">
        <f t="shared" si="326"/>
        <v/>
      </c>
    </row>
    <row r="6933" spans="10:12" ht="16.5" customHeight="1" x14ac:dyDescent="0.35">
      <c r="J6933" s="56" t="str">
        <f t="shared" si="324"/>
        <v/>
      </c>
      <c r="K6933" s="74" t="str">
        <f t="shared" si="325"/>
        <v/>
      </c>
      <c r="L6933" s="58" t="str">
        <f t="shared" si="326"/>
        <v/>
      </c>
    </row>
    <row r="6934" spans="10:12" ht="16.5" customHeight="1" x14ac:dyDescent="0.35">
      <c r="J6934" s="56" t="str">
        <f t="shared" si="324"/>
        <v/>
      </c>
      <c r="K6934" s="74" t="str">
        <f t="shared" si="325"/>
        <v/>
      </c>
      <c r="L6934" s="58" t="str">
        <f t="shared" si="326"/>
        <v/>
      </c>
    </row>
    <row r="6935" spans="10:12" ht="16.5" customHeight="1" x14ac:dyDescent="0.35">
      <c r="J6935" s="56" t="str">
        <f t="shared" si="324"/>
        <v/>
      </c>
      <c r="K6935" s="74" t="str">
        <f t="shared" si="325"/>
        <v/>
      </c>
      <c r="L6935" s="58" t="str">
        <f t="shared" si="326"/>
        <v/>
      </c>
    </row>
    <row r="6936" spans="10:12" ht="16.5" customHeight="1" x14ac:dyDescent="0.35">
      <c r="J6936" s="56" t="str">
        <f t="shared" si="324"/>
        <v/>
      </c>
      <c r="K6936" s="74" t="str">
        <f t="shared" si="325"/>
        <v/>
      </c>
      <c r="L6936" s="58" t="str">
        <f t="shared" si="326"/>
        <v/>
      </c>
    </row>
    <row r="6937" spans="10:12" ht="16.5" customHeight="1" x14ac:dyDescent="0.35">
      <c r="J6937" s="56" t="str">
        <f t="shared" si="324"/>
        <v/>
      </c>
      <c r="K6937" s="74" t="str">
        <f t="shared" si="325"/>
        <v/>
      </c>
      <c r="L6937" s="58" t="str">
        <f t="shared" si="326"/>
        <v/>
      </c>
    </row>
    <row r="6938" spans="10:12" ht="16.5" customHeight="1" x14ac:dyDescent="0.35">
      <c r="J6938" s="56" t="str">
        <f t="shared" si="324"/>
        <v/>
      </c>
      <c r="K6938" s="74" t="str">
        <f t="shared" si="325"/>
        <v/>
      </c>
      <c r="L6938" s="58" t="str">
        <f t="shared" si="326"/>
        <v/>
      </c>
    </row>
    <row r="6939" spans="10:12" ht="16.5" customHeight="1" x14ac:dyDescent="0.35">
      <c r="J6939" s="56" t="str">
        <f t="shared" si="324"/>
        <v/>
      </c>
      <c r="K6939" s="74" t="str">
        <f t="shared" si="325"/>
        <v/>
      </c>
      <c r="L6939" s="58" t="str">
        <f t="shared" si="326"/>
        <v/>
      </c>
    </row>
    <row r="6940" spans="10:12" ht="16.5" customHeight="1" x14ac:dyDescent="0.35">
      <c r="J6940" s="56" t="str">
        <f t="shared" si="324"/>
        <v/>
      </c>
      <c r="K6940" s="74" t="str">
        <f t="shared" si="325"/>
        <v/>
      </c>
      <c r="L6940" s="58" t="str">
        <f t="shared" si="326"/>
        <v/>
      </c>
    </row>
    <row r="6941" spans="10:12" ht="16.5" customHeight="1" x14ac:dyDescent="0.35">
      <c r="J6941" s="56" t="str">
        <f t="shared" si="324"/>
        <v/>
      </c>
      <c r="K6941" s="74" t="str">
        <f t="shared" si="325"/>
        <v/>
      </c>
      <c r="L6941" s="58" t="str">
        <f t="shared" si="326"/>
        <v/>
      </c>
    </row>
    <row r="6942" spans="10:12" ht="16.5" customHeight="1" x14ac:dyDescent="0.35">
      <c r="J6942" s="56" t="str">
        <f t="shared" si="324"/>
        <v/>
      </c>
      <c r="K6942" s="74" t="str">
        <f t="shared" si="325"/>
        <v/>
      </c>
      <c r="L6942" s="58" t="str">
        <f t="shared" si="326"/>
        <v/>
      </c>
    </row>
    <row r="6943" spans="10:12" ht="16.5" customHeight="1" x14ac:dyDescent="0.35">
      <c r="J6943" s="56" t="str">
        <f t="shared" si="324"/>
        <v/>
      </c>
      <c r="K6943" s="74" t="str">
        <f t="shared" si="325"/>
        <v/>
      </c>
      <c r="L6943" s="58" t="str">
        <f t="shared" si="326"/>
        <v/>
      </c>
    </row>
    <row r="6944" spans="10:12" ht="16.5" customHeight="1" x14ac:dyDescent="0.35">
      <c r="J6944" s="56" t="str">
        <f t="shared" si="324"/>
        <v/>
      </c>
      <c r="K6944" s="74" t="str">
        <f t="shared" si="325"/>
        <v/>
      </c>
      <c r="L6944" s="58" t="str">
        <f t="shared" si="326"/>
        <v/>
      </c>
    </row>
    <row r="6945" spans="10:12" ht="16.5" customHeight="1" x14ac:dyDescent="0.35">
      <c r="J6945" s="56" t="str">
        <f t="shared" si="324"/>
        <v/>
      </c>
      <c r="K6945" s="74" t="str">
        <f t="shared" si="325"/>
        <v/>
      </c>
      <c r="L6945" s="58" t="str">
        <f t="shared" si="326"/>
        <v/>
      </c>
    </row>
    <row r="6946" spans="10:12" ht="16.5" customHeight="1" x14ac:dyDescent="0.35">
      <c r="J6946" s="56" t="str">
        <f t="shared" si="324"/>
        <v/>
      </c>
      <c r="K6946" s="74" t="str">
        <f t="shared" si="325"/>
        <v/>
      </c>
      <c r="L6946" s="58" t="str">
        <f t="shared" si="326"/>
        <v/>
      </c>
    </row>
    <row r="6947" spans="10:12" ht="16.5" customHeight="1" x14ac:dyDescent="0.35">
      <c r="J6947" s="56" t="str">
        <f t="shared" si="324"/>
        <v/>
      </c>
      <c r="K6947" s="74" t="str">
        <f t="shared" si="325"/>
        <v/>
      </c>
      <c r="L6947" s="58" t="str">
        <f t="shared" si="326"/>
        <v/>
      </c>
    </row>
    <row r="6948" spans="10:12" ht="16.5" customHeight="1" x14ac:dyDescent="0.35">
      <c r="J6948" s="56" t="str">
        <f t="shared" si="324"/>
        <v/>
      </c>
      <c r="K6948" s="74" t="str">
        <f t="shared" si="325"/>
        <v/>
      </c>
      <c r="L6948" s="58" t="str">
        <f t="shared" si="326"/>
        <v/>
      </c>
    </row>
    <row r="6949" spans="10:12" ht="16.5" customHeight="1" x14ac:dyDescent="0.35">
      <c r="J6949" s="56" t="str">
        <f t="shared" si="324"/>
        <v/>
      </c>
      <c r="K6949" s="74" t="str">
        <f t="shared" si="325"/>
        <v/>
      </c>
      <c r="L6949" s="58" t="str">
        <f t="shared" si="326"/>
        <v/>
      </c>
    </row>
    <row r="6950" spans="10:12" ht="16.5" customHeight="1" x14ac:dyDescent="0.35">
      <c r="J6950" s="56" t="str">
        <f t="shared" si="324"/>
        <v/>
      </c>
      <c r="K6950" s="74" t="str">
        <f t="shared" si="325"/>
        <v/>
      </c>
      <c r="L6950" s="58" t="str">
        <f t="shared" si="326"/>
        <v/>
      </c>
    </row>
    <row r="6951" spans="10:12" ht="16.5" customHeight="1" x14ac:dyDescent="0.35">
      <c r="J6951" s="56" t="str">
        <f t="shared" si="324"/>
        <v/>
      </c>
      <c r="K6951" s="74" t="str">
        <f t="shared" si="325"/>
        <v/>
      </c>
      <c r="L6951" s="58" t="str">
        <f t="shared" si="326"/>
        <v/>
      </c>
    </row>
    <row r="6952" spans="10:12" ht="16.5" customHeight="1" x14ac:dyDescent="0.35">
      <c r="J6952" s="56" t="str">
        <f t="shared" si="324"/>
        <v/>
      </c>
      <c r="K6952" s="74" t="str">
        <f t="shared" si="325"/>
        <v/>
      </c>
      <c r="L6952" s="58" t="str">
        <f t="shared" si="326"/>
        <v/>
      </c>
    </row>
    <row r="6953" spans="10:12" ht="16.5" customHeight="1" x14ac:dyDescent="0.35">
      <c r="J6953" s="56" t="str">
        <f t="shared" si="324"/>
        <v/>
      </c>
      <c r="K6953" s="74" t="str">
        <f t="shared" si="325"/>
        <v/>
      </c>
      <c r="L6953" s="58" t="str">
        <f t="shared" si="326"/>
        <v/>
      </c>
    </row>
    <row r="6954" spans="10:12" ht="16.5" customHeight="1" x14ac:dyDescent="0.35">
      <c r="J6954" s="56" t="str">
        <f t="shared" si="324"/>
        <v/>
      </c>
      <c r="K6954" s="74" t="str">
        <f t="shared" si="325"/>
        <v/>
      </c>
      <c r="L6954" s="58" t="str">
        <f t="shared" si="326"/>
        <v/>
      </c>
    </row>
    <row r="6955" spans="10:12" ht="16.5" customHeight="1" x14ac:dyDescent="0.35">
      <c r="J6955" s="56" t="str">
        <f t="shared" si="324"/>
        <v/>
      </c>
      <c r="K6955" s="74" t="str">
        <f t="shared" si="325"/>
        <v/>
      </c>
      <c r="L6955" s="58" t="str">
        <f t="shared" si="326"/>
        <v/>
      </c>
    </row>
    <row r="6956" spans="10:12" ht="16.5" customHeight="1" x14ac:dyDescent="0.35">
      <c r="J6956" s="56" t="str">
        <f t="shared" si="324"/>
        <v/>
      </c>
      <c r="K6956" s="74" t="str">
        <f t="shared" si="325"/>
        <v/>
      </c>
      <c r="L6956" s="58" t="str">
        <f t="shared" si="326"/>
        <v/>
      </c>
    </row>
    <row r="6957" spans="10:12" ht="16.5" customHeight="1" x14ac:dyDescent="0.35">
      <c r="J6957" s="56" t="str">
        <f t="shared" si="324"/>
        <v/>
      </c>
      <c r="K6957" s="74" t="str">
        <f t="shared" si="325"/>
        <v/>
      </c>
      <c r="L6957" s="58" t="str">
        <f t="shared" si="326"/>
        <v/>
      </c>
    </row>
    <row r="6958" spans="10:12" ht="16.5" customHeight="1" x14ac:dyDescent="0.35">
      <c r="J6958" s="56" t="str">
        <f t="shared" si="324"/>
        <v/>
      </c>
      <c r="K6958" s="74" t="str">
        <f t="shared" si="325"/>
        <v/>
      </c>
      <c r="L6958" s="58" t="str">
        <f t="shared" si="326"/>
        <v/>
      </c>
    </row>
    <row r="6959" spans="10:12" ht="16.5" customHeight="1" x14ac:dyDescent="0.35">
      <c r="J6959" s="56" t="str">
        <f t="shared" si="324"/>
        <v/>
      </c>
      <c r="K6959" s="74" t="str">
        <f t="shared" si="325"/>
        <v/>
      </c>
      <c r="L6959" s="58" t="str">
        <f t="shared" si="326"/>
        <v/>
      </c>
    </row>
    <row r="6960" spans="10:12" ht="16.5" customHeight="1" x14ac:dyDescent="0.35">
      <c r="J6960" s="56" t="str">
        <f t="shared" si="324"/>
        <v/>
      </c>
      <c r="K6960" s="74" t="str">
        <f t="shared" si="325"/>
        <v/>
      </c>
      <c r="L6960" s="58" t="str">
        <f t="shared" si="326"/>
        <v/>
      </c>
    </row>
    <row r="6961" spans="10:12" ht="16.5" customHeight="1" x14ac:dyDescent="0.35">
      <c r="J6961" s="56" t="str">
        <f t="shared" si="324"/>
        <v/>
      </c>
      <c r="K6961" s="74" t="str">
        <f t="shared" si="325"/>
        <v/>
      </c>
      <c r="L6961" s="58" t="str">
        <f t="shared" si="326"/>
        <v/>
      </c>
    </row>
    <row r="6962" spans="10:12" ht="16.5" customHeight="1" x14ac:dyDescent="0.35">
      <c r="J6962" s="56" t="str">
        <f t="shared" si="324"/>
        <v/>
      </c>
      <c r="K6962" s="74" t="str">
        <f t="shared" si="325"/>
        <v/>
      </c>
      <c r="L6962" s="58" t="str">
        <f t="shared" si="326"/>
        <v/>
      </c>
    </row>
    <row r="6963" spans="10:12" ht="16.5" customHeight="1" x14ac:dyDescent="0.35">
      <c r="J6963" s="56" t="str">
        <f t="shared" si="324"/>
        <v/>
      </c>
      <c r="K6963" s="74" t="str">
        <f t="shared" si="325"/>
        <v/>
      </c>
      <c r="L6963" s="58" t="str">
        <f t="shared" si="326"/>
        <v/>
      </c>
    </row>
    <row r="6964" spans="10:12" ht="16.5" customHeight="1" x14ac:dyDescent="0.35">
      <c r="J6964" s="56" t="str">
        <f t="shared" si="324"/>
        <v/>
      </c>
      <c r="K6964" s="74" t="str">
        <f t="shared" si="325"/>
        <v/>
      </c>
      <c r="L6964" s="58" t="str">
        <f t="shared" si="326"/>
        <v/>
      </c>
    </row>
    <row r="6965" spans="10:12" ht="16.5" customHeight="1" x14ac:dyDescent="0.35">
      <c r="J6965" s="56" t="str">
        <f t="shared" si="324"/>
        <v/>
      </c>
      <c r="K6965" s="74" t="str">
        <f t="shared" si="325"/>
        <v/>
      </c>
      <c r="L6965" s="58" t="str">
        <f t="shared" si="326"/>
        <v/>
      </c>
    </row>
    <row r="6966" spans="10:12" ht="16.5" customHeight="1" x14ac:dyDescent="0.35">
      <c r="J6966" s="56" t="str">
        <f t="shared" si="324"/>
        <v/>
      </c>
      <c r="K6966" s="74" t="str">
        <f t="shared" si="325"/>
        <v/>
      </c>
      <c r="L6966" s="58" t="str">
        <f t="shared" si="326"/>
        <v/>
      </c>
    </row>
    <row r="6967" spans="10:12" ht="16.5" customHeight="1" x14ac:dyDescent="0.35">
      <c r="J6967" s="56" t="str">
        <f t="shared" si="324"/>
        <v/>
      </c>
      <c r="K6967" s="74" t="str">
        <f t="shared" si="325"/>
        <v/>
      </c>
      <c r="L6967" s="58" t="str">
        <f t="shared" si="326"/>
        <v/>
      </c>
    </row>
    <row r="6968" spans="10:12" ht="16.5" customHeight="1" x14ac:dyDescent="0.35">
      <c r="J6968" s="56" t="str">
        <f t="shared" si="324"/>
        <v/>
      </c>
      <c r="K6968" s="74" t="str">
        <f t="shared" si="325"/>
        <v/>
      </c>
      <c r="L6968" s="58" t="str">
        <f t="shared" si="326"/>
        <v/>
      </c>
    </row>
    <row r="6969" spans="10:12" ht="16.5" customHeight="1" x14ac:dyDescent="0.35">
      <c r="J6969" s="56" t="str">
        <f t="shared" si="324"/>
        <v/>
      </c>
      <c r="K6969" s="74" t="str">
        <f t="shared" si="325"/>
        <v/>
      </c>
      <c r="L6969" s="58" t="str">
        <f t="shared" si="326"/>
        <v/>
      </c>
    </row>
    <row r="6970" spans="10:12" ht="16.5" customHeight="1" x14ac:dyDescent="0.35">
      <c r="J6970" s="56" t="str">
        <f t="shared" si="324"/>
        <v/>
      </c>
      <c r="K6970" s="74" t="str">
        <f t="shared" si="325"/>
        <v/>
      </c>
      <c r="L6970" s="58" t="str">
        <f t="shared" si="326"/>
        <v/>
      </c>
    </row>
    <row r="6971" spans="10:12" ht="16.5" customHeight="1" x14ac:dyDescent="0.35">
      <c r="J6971" s="56" t="str">
        <f t="shared" si="324"/>
        <v/>
      </c>
      <c r="K6971" s="74" t="str">
        <f t="shared" si="325"/>
        <v/>
      </c>
      <c r="L6971" s="58" t="str">
        <f t="shared" si="326"/>
        <v/>
      </c>
    </row>
    <row r="6972" spans="10:12" ht="16.5" customHeight="1" x14ac:dyDescent="0.35">
      <c r="J6972" s="56" t="str">
        <f t="shared" si="324"/>
        <v/>
      </c>
      <c r="K6972" s="74" t="str">
        <f t="shared" si="325"/>
        <v/>
      </c>
      <c r="L6972" s="58" t="str">
        <f t="shared" si="326"/>
        <v/>
      </c>
    </row>
    <row r="6973" spans="10:12" ht="16.5" customHeight="1" x14ac:dyDescent="0.35">
      <c r="J6973" s="56" t="str">
        <f t="shared" si="324"/>
        <v/>
      </c>
      <c r="K6973" s="74" t="str">
        <f t="shared" si="325"/>
        <v/>
      </c>
      <c r="L6973" s="58" t="str">
        <f t="shared" si="326"/>
        <v/>
      </c>
    </row>
    <row r="6974" spans="10:12" ht="16.5" customHeight="1" x14ac:dyDescent="0.35">
      <c r="J6974" s="56" t="str">
        <f t="shared" si="324"/>
        <v/>
      </c>
      <c r="K6974" s="74" t="str">
        <f t="shared" si="325"/>
        <v/>
      </c>
      <c r="L6974" s="58" t="str">
        <f t="shared" si="326"/>
        <v/>
      </c>
    </row>
    <row r="6975" spans="10:12" ht="16.5" customHeight="1" x14ac:dyDescent="0.35">
      <c r="J6975" s="56" t="str">
        <f t="shared" si="324"/>
        <v/>
      </c>
      <c r="K6975" s="74" t="str">
        <f t="shared" si="325"/>
        <v/>
      </c>
      <c r="L6975" s="58" t="str">
        <f t="shared" si="326"/>
        <v/>
      </c>
    </row>
    <row r="6976" spans="10:12" ht="16.5" customHeight="1" x14ac:dyDescent="0.35">
      <c r="J6976" s="56" t="str">
        <f t="shared" si="324"/>
        <v/>
      </c>
      <c r="K6976" s="74" t="str">
        <f t="shared" si="325"/>
        <v/>
      </c>
      <c r="L6976" s="58" t="str">
        <f t="shared" si="326"/>
        <v/>
      </c>
    </row>
    <row r="6977" spans="10:12" ht="16.5" customHeight="1" x14ac:dyDescent="0.35">
      <c r="J6977" s="56" t="str">
        <f t="shared" si="324"/>
        <v/>
      </c>
      <c r="K6977" s="74" t="str">
        <f t="shared" si="325"/>
        <v/>
      </c>
      <c r="L6977" s="58" t="str">
        <f t="shared" si="326"/>
        <v/>
      </c>
    </row>
    <row r="6978" spans="10:12" ht="16.5" customHeight="1" x14ac:dyDescent="0.35">
      <c r="J6978" s="56" t="str">
        <f t="shared" si="324"/>
        <v/>
      </c>
      <c r="K6978" s="74" t="str">
        <f t="shared" si="325"/>
        <v/>
      </c>
      <c r="L6978" s="58" t="str">
        <f t="shared" si="326"/>
        <v/>
      </c>
    </row>
    <row r="6979" spans="10:12" ht="16.5" customHeight="1" x14ac:dyDescent="0.35">
      <c r="J6979" s="56" t="str">
        <f t="shared" si="324"/>
        <v/>
      </c>
      <c r="K6979" s="74" t="str">
        <f t="shared" si="325"/>
        <v/>
      </c>
      <c r="L6979" s="58" t="str">
        <f t="shared" si="326"/>
        <v/>
      </c>
    </row>
    <row r="6980" spans="10:12" ht="16.5" customHeight="1" x14ac:dyDescent="0.35">
      <c r="J6980" s="56" t="str">
        <f t="shared" si="324"/>
        <v/>
      </c>
      <c r="K6980" s="74" t="str">
        <f t="shared" si="325"/>
        <v/>
      </c>
      <c r="L6980" s="58" t="str">
        <f t="shared" si="326"/>
        <v/>
      </c>
    </row>
    <row r="6981" spans="10:12" ht="16.5" customHeight="1" x14ac:dyDescent="0.35">
      <c r="J6981" s="56" t="str">
        <f t="shared" si="324"/>
        <v/>
      </c>
      <c r="K6981" s="74" t="str">
        <f t="shared" si="325"/>
        <v/>
      </c>
      <c r="L6981" s="58" t="str">
        <f t="shared" si="326"/>
        <v/>
      </c>
    </row>
    <row r="6982" spans="10:12" ht="16.5" customHeight="1" x14ac:dyDescent="0.35">
      <c r="J6982" s="56" t="str">
        <f t="shared" si="324"/>
        <v/>
      </c>
      <c r="K6982" s="74" t="str">
        <f t="shared" si="325"/>
        <v/>
      </c>
      <c r="L6982" s="58" t="str">
        <f t="shared" si="326"/>
        <v/>
      </c>
    </row>
    <row r="6983" spans="10:12" ht="16.5" customHeight="1" x14ac:dyDescent="0.35">
      <c r="J6983" s="56" t="str">
        <f t="shared" si="324"/>
        <v/>
      </c>
      <c r="K6983" s="74" t="str">
        <f t="shared" si="325"/>
        <v/>
      </c>
      <c r="L6983" s="58" t="str">
        <f t="shared" si="326"/>
        <v/>
      </c>
    </row>
    <row r="6984" spans="10:12" ht="16.5" customHeight="1" x14ac:dyDescent="0.35">
      <c r="J6984" s="56" t="str">
        <f t="shared" si="324"/>
        <v/>
      </c>
      <c r="K6984" s="74" t="str">
        <f t="shared" si="325"/>
        <v/>
      </c>
      <c r="L6984" s="58" t="str">
        <f t="shared" si="326"/>
        <v/>
      </c>
    </row>
    <row r="6985" spans="10:12" ht="16.5" customHeight="1" x14ac:dyDescent="0.35">
      <c r="J6985" s="56" t="str">
        <f t="shared" ref="J6985:J7048" si="327">IF(A6985="","",A$5-A6985)</f>
        <v/>
      </c>
      <c r="K6985" s="74" t="str">
        <f t="shared" ref="K6985:K7048" si="328">IF(J6985="","",IF(J6985&lt;4,"0-3 Days",IF(J6985&lt;31,"4-30 Days",IF(J6985&lt;61,"31-60 Days",IF(J6985&lt;=90,"61-90 Days",IF(J6985&gt;90,"Above 90 Days","0"))))))</f>
        <v/>
      </c>
      <c r="L6985" s="58" t="str">
        <f t="shared" ref="L6985:L7048" si="329">IF(C6985="","",IF(C6985&gt;0,IF(J6985&lt;30,"Normal",IF(J6985&lt;60,"Especially Mentioned",IF(J6985&lt;90,"Substandard",IF(J6985&lt;=180,"Doubtful",IF(J6985&gt;180,"Loss","0"))))),"Not Applicable"))</f>
        <v/>
      </c>
    </row>
    <row r="6986" spans="10:12" ht="16.5" customHeight="1" x14ac:dyDescent="0.35">
      <c r="J6986" s="56" t="str">
        <f t="shared" si="327"/>
        <v/>
      </c>
      <c r="K6986" s="74" t="str">
        <f t="shared" si="328"/>
        <v/>
      </c>
      <c r="L6986" s="58" t="str">
        <f t="shared" si="329"/>
        <v/>
      </c>
    </row>
    <row r="6987" spans="10:12" ht="16.5" customHeight="1" x14ac:dyDescent="0.35">
      <c r="J6987" s="56" t="str">
        <f t="shared" si="327"/>
        <v/>
      </c>
      <c r="K6987" s="74" t="str">
        <f t="shared" si="328"/>
        <v/>
      </c>
      <c r="L6987" s="58" t="str">
        <f t="shared" si="329"/>
        <v/>
      </c>
    </row>
    <row r="6988" spans="10:12" ht="16.5" customHeight="1" x14ac:dyDescent="0.35">
      <c r="J6988" s="56" t="str">
        <f t="shared" si="327"/>
        <v/>
      </c>
      <c r="K6988" s="74" t="str">
        <f t="shared" si="328"/>
        <v/>
      </c>
      <c r="L6988" s="58" t="str">
        <f t="shared" si="329"/>
        <v/>
      </c>
    </row>
    <row r="6989" spans="10:12" ht="16.5" customHeight="1" x14ac:dyDescent="0.35">
      <c r="J6989" s="56" t="str">
        <f t="shared" si="327"/>
        <v/>
      </c>
      <c r="K6989" s="74" t="str">
        <f t="shared" si="328"/>
        <v/>
      </c>
      <c r="L6989" s="58" t="str">
        <f t="shared" si="329"/>
        <v/>
      </c>
    </row>
    <row r="6990" spans="10:12" ht="16.5" customHeight="1" x14ac:dyDescent="0.35">
      <c r="J6990" s="56" t="str">
        <f t="shared" si="327"/>
        <v/>
      </c>
      <c r="K6990" s="74" t="str">
        <f t="shared" si="328"/>
        <v/>
      </c>
      <c r="L6990" s="58" t="str">
        <f t="shared" si="329"/>
        <v/>
      </c>
    </row>
    <row r="6991" spans="10:12" ht="16.5" customHeight="1" x14ac:dyDescent="0.35">
      <c r="J6991" s="56" t="str">
        <f t="shared" si="327"/>
        <v/>
      </c>
      <c r="K6991" s="74" t="str">
        <f t="shared" si="328"/>
        <v/>
      </c>
      <c r="L6991" s="58" t="str">
        <f t="shared" si="329"/>
        <v/>
      </c>
    </row>
    <row r="6992" spans="10:12" ht="16.5" customHeight="1" x14ac:dyDescent="0.35">
      <c r="J6992" s="56" t="str">
        <f t="shared" si="327"/>
        <v/>
      </c>
      <c r="K6992" s="74" t="str">
        <f t="shared" si="328"/>
        <v/>
      </c>
      <c r="L6992" s="58" t="str">
        <f t="shared" si="329"/>
        <v/>
      </c>
    </row>
    <row r="6993" spans="10:12" ht="16.5" customHeight="1" x14ac:dyDescent="0.35">
      <c r="J6993" s="56" t="str">
        <f t="shared" si="327"/>
        <v/>
      </c>
      <c r="K6993" s="74" t="str">
        <f t="shared" si="328"/>
        <v/>
      </c>
      <c r="L6993" s="58" t="str">
        <f t="shared" si="329"/>
        <v/>
      </c>
    </row>
    <row r="6994" spans="10:12" ht="16.5" customHeight="1" x14ac:dyDescent="0.35">
      <c r="J6994" s="56" t="str">
        <f t="shared" si="327"/>
        <v/>
      </c>
      <c r="K6994" s="74" t="str">
        <f t="shared" si="328"/>
        <v/>
      </c>
      <c r="L6994" s="58" t="str">
        <f t="shared" si="329"/>
        <v/>
      </c>
    </row>
    <row r="6995" spans="10:12" ht="16.5" customHeight="1" x14ac:dyDescent="0.35">
      <c r="J6995" s="56" t="str">
        <f t="shared" si="327"/>
        <v/>
      </c>
      <c r="K6995" s="74" t="str">
        <f t="shared" si="328"/>
        <v/>
      </c>
      <c r="L6995" s="58" t="str">
        <f t="shared" si="329"/>
        <v/>
      </c>
    </row>
    <row r="6996" spans="10:12" ht="16.5" customHeight="1" x14ac:dyDescent="0.35">
      <c r="J6996" s="56" t="str">
        <f t="shared" si="327"/>
        <v/>
      </c>
      <c r="K6996" s="74" t="str">
        <f t="shared" si="328"/>
        <v/>
      </c>
      <c r="L6996" s="58" t="str">
        <f t="shared" si="329"/>
        <v/>
      </c>
    </row>
    <row r="6997" spans="10:12" ht="16.5" customHeight="1" x14ac:dyDescent="0.35">
      <c r="J6997" s="56" t="str">
        <f t="shared" si="327"/>
        <v/>
      </c>
      <c r="K6997" s="74" t="str">
        <f t="shared" si="328"/>
        <v/>
      </c>
      <c r="L6997" s="58" t="str">
        <f t="shared" si="329"/>
        <v/>
      </c>
    </row>
    <row r="6998" spans="10:12" ht="16.5" customHeight="1" x14ac:dyDescent="0.35">
      <c r="J6998" s="56" t="str">
        <f t="shared" si="327"/>
        <v/>
      </c>
      <c r="K6998" s="74" t="str">
        <f t="shared" si="328"/>
        <v/>
      </c>
      <c r="L6998" s="58" t="str">
        <f t="shared" si="329"/>
        <v/>
      </c>
    </row>
    <row r="6999" spans="10:12" ht="16.5" customHeight="1" x14ac:dyDescent="0.35">
      <c r="J6999" s="56" t="str">
        <f t="shared" si="327"/>
        <v/>
      </c>
      <c r="K6999" s="74" t="str">
        <f t="shared" si="328"/>
        <v/>
      </c>
      <c r="L6999" s="58" t="str">
        <f t="shared" si="329"/>
        <v/>
      </c>
    </row>
    <row r="7000" spans="10:12" ht="16.5" customHeight="1" x14ac:dyDescent="0.35">
      <c r="J7000" s="56" t="str">
        <f t="shared" si="327"/>
        <v/>
      </c>
      <c r="K7000" s="74" t="str">
        <f t="shared" si="328"/>
        <v/>
      </c>
      <c r="L7000" s="58" t="str">
        <f t="shared" si="329"/>
        <v/>
      </c>
    </row>
    <row r="7001" spans="10:12" ht="16.5" customHeight="1" x14ac:dyDescent="0.35">
      <c r="J7001" s="56" t="str">
        <f t="shared" si="327"/>
        <v/>
      </c>
      <c r="K7001" s="74" t="str">
        <f t="shared" si="328"/>
        <v/>
      </c>
      <c r="L7001" s="58" t="str">
        <f t="shared" si="329"/>
        <v/>
      </c>
    </row>
    <row r="7002" spans="10:12" ht="16.5" customHeight="1" x14ac:dyDescent="0.35">
      <c r="J7002" s="56" t="str">
        <f t="shared" si="327"/>
        <v/>
      </c>
      <c r="K7002" s="74" t="str">
        <f t="shared" si="328"/>
        <v/>
      </c>
      <c r="L7002" s="58" t="str">
        <f t="shared" si="329"/>
        <v/>
      </c>
    </row>
    <row r="7003" spans="10:12" ht="16.5" customHeight="1" x14ac:dyDescent="0.35">
      <c r="J7003" s="56" t="str">
        <f t="shared" si="327"/>
        <v/>
      </c>
      <c r="K7003" s="74" t="str">
        <f t="shared" si="328"/>
        <v/>
      </c>
      <c r="L7003" s="58" t="str">
        <f t="shared" si="329"/>
        <v/>
      </c>
    </row>
    <row r="7004" spans="10:12" ht="16.5" customHeight="1" x14ac:dyDescent="0.35">
      <c r="J7004" s="56" t="str">
        <f t="shared" si="327"/>
        <v/>
      </c>
      <c r="K7004" s="74" t="str">
        <f t="shared" si="328"/>
        <v/>
      </c>
      <c r="L7004" s="58" t="str">
        <f t="shared" si="329"/>
        <v/>
      </c>
    </row>
    <row r="7005" spans="10:12" ht="16.5" customHeight="1" x14ac:dyDescent="0.35">
      <c r="J7005" s="56" t="str">
        <f t="shared" si="327"/>
        <v/>
      </c>
      <c r="K7005" s="74" t="str">
        <f t="shared" si="328"/>
        <v/>
      </c>
      <c r="L7005" s="58" t="str">
        <f t="shared" si="329"/>
        <v/>
      </c>
    </row>
    <row r="7006" spans="10:12" ht="16.5" customHeight="1" x14ac:dyDescent="0.35">
      <c r="J7006" s="56" t="str">
        <f t="shared" si="327"/>
        <v/>
      </c>
      <c r="K7006" s="74" t="str">
        <f t="shared" si="328"/>
        <v/>
      </c>
      <c r="L7006" s="58" t="str">
        <f t="shared" si="329"/>
        <v/>
      </c>
    </row>
    <row r="7007" spans="10:12" ht="16.5" customHeight="1" x14ac:dyDescent="0.35">
      <c r="J7007" s="56" t="str">
        <f t="shared" si="327"/>
        <v/>
      </c>
      <c r="K7007" s="74" t="str">
        <f t="shared" si="328"/>
        <v/>
      </c>
      <c r="L7007" s="58" t="str">
        <f t="shared" si="329"/>
        <v/>
      </c>
    </row>
    <row r="7008" spans="10:12" ht="16.5" customHeight="1" x14ac:dyDescent="0.35">
      <c r="J7008" s="56" t="str">
        <f t="shared" si="327"/>
        <v/>
      </c>
      <c r="K7008" s="74" t="str">
        <f t="shared" si="328"/>
        <v/>
      </c>
      <c r="L7008" s="58" t="str">
        <f t="shared" si="329"/>
        <v/>
      </c>
    </row>
    <row r="7009" spans="10:12" ht="16.5" customHeight="1" x14ac:dyDescent="0.35">
      <c r="J7009" s="56" t="str">
        <f t="shared" si="327"/>
        <v/>
      </c>
      <c r="K7009" s="74" t="str">
        <f t="shared" si="328"/>
        <v/>
      </c>
      <c r="L7009" s="58" t="str">
        <f t="shared" si="329"/>
        <v/>
      </c>
    </row>
    <row r="7010" spans="10:12" ht="16.5" customHeight="1" x14ac:dyDescent="0.35">
      <c r="J7010" s="56" t="str">
        <f t="shared" si="327"/>
        <v/>
      </c>
      <c r="K7010" s="74" t="str">
        <f t="shared" si="328"/>
        <v/>
      </c>
      <c r="L7010" s="58" t="str">
        <f t="shared" si="329"/>
        <v/>
      </c>
    </row>
    <row r="7011" spans="10:12" ht="16.5" customHeight="1" x14ac:dyDescent="0.35">
      <c r="J7011" s="56" t="str">
        <f t="shared" si="327"/>
        <v/>
      </c>
      <c r="K7011" s="74" t="str">
        <f t="shared" si="328"/>
        <v/>
      </c>
      <c r="L7011" s="58" t="str">
        <f t="shared" si="329"/>
        <v/>
      </c>
    </row>
    <row r="7012" spans="10:12" ht="16.5" customHeight="1" x14ac:dyDescent="0.35">
      <c r="J7012" s="56" t="str">
        <f t="shared" si="327"/>
        <v/>
      </c>
      <c r="K7012" s="74" t="str">
        <f t="shared" si="328"/>
        <v/>
      </c>
      <c r="L7012" s="58" t="str">
        <f t="shared" si="329"/>
        <v/>
      </c>
    </row>
    <row r="7013" spans="10:12" ht="16.5" customHeight="1" x14ac:dyDescent="0.35">
      <c r="J7013" s="56" t="str">
        <f t="shared" si="327"/>
        <v/>
      </c>
      <c r="K7013" s="74" t="str">
        <f t="shared" si="328"/>
        <v/>
      </c>
      <c r="L7013" s="58" t="str">
        <f t="shared" si="329"/>
        <v/>
      </c>
    </row>
    <row r="7014" spans="10:12" ht="16.5" customHeight="1" x14ac:dyDescent="0.35">
      <c r="J7014" s="56" t="str">
        <f t="shared" si="327"/>
        <v/>
      </c>
      <c r="K7014" s="74" t="str">
        <f t="shared" si="328"/>
        <v/>
      </c>
      <c r="L7014" s="58" t="str">
        <f t="shared" si="329"/>
        <v/>
      </c>
    </row>
    <row r="7015" spans="10:12" ht="16.5" customHeight="1" x14ac:dyDescent="0.35">
      <c r="J7015" s="56" t="str">
        <f t="shared" si="327"/>
        <v/>
      </c>
      <c r="K7015" s="74" t="str">
        <f t="shared" si="328"/>
        <v/>
      </c>
      <c r="L7015" s="58" t="str">
        <f t="shared" si="329"/>
        <v/>
      </c>
    </row>
    <row r="7016" spans="10:12" ht="16.5" customHeight="1" x14ac:dyDescent="0.35">
      <c r="J7016" s="56" t="str">
        <f t="shared" si="327"/>
        <v/>
      </c>
      <c r="K7016" s="74" t="str">
        <f t="shared" si="328"/>
        <v/>
      </c>
      <c r="L7016" s="58" t="str">
        <f t="shared" si="329"/>
        <v/>
      </c>
    </row>
    <row r="7017" spans="10:12" ht="16.5" customHeight="1" x14ac:dyDescent="0.35">
      <c r="J7017" s="56" t="str">
        <f t="shared" si="327"/>
        <v/>
      </c>
      <c r="K7017" s="74" t="str">
        <f t="shared" si="328"/>
        <v/>
      </c>
      <c r="L7017" s="58" t="str">
        <f t="shared" si="329"/>
        <v/>
      </c>
    </row>
    <row r="7018" spans="10:12" ht="16.5" customHeight="1" x14ac:dyDescent="0.35">
      <c r="J7018" s="56" t="str">
        <f t="shared" si="327"/>
        <v/>
      </c>
      <c r="K7018" s="74" t="str">
        <f t="shared" si="328"/>
        <v/>
      </c>
      <c r="L7018" s="58" t="str">
        <f t="shared" si="329"/>
        <v/>
      </c>
    </row>
    <row r="7019" spans="10:12" ht="16.5" customHeight="1" x14ac:dyDescent="0.35">
      <c r="J7019" s="56" t="str">
        <f t="shared" si="327"/>
        <v/>
      </c>
      <c r="K7019" s="74" t="str">
        <f t="shared" si="328"/>
        <v/>
      </c>
      <c r="L7019" s="58" t="str">
        <f t="shared" si="329"/>
        <v/>
      </c>
    </row>
    <row r="7020" spans="10:12" ht="16.5" customHeight="1" x14ac:dyDescent="0.35">
      <c r="J7020" s="56" t="str">
        <f t="shared" si="327"/>
        <v/>
      </c>
      <c r="K7020" s="74" t="str">
        <f t="shared" si="328"/>
        <v/>
      </c>
      <c r="L7020" s="58" t="str">
        <f t="shared" si="329"/>
        <v/>
      </c>
    </row>
    <row r="7021" spans="10:12" ht="16.5" customHeight="1" x14ac:dyDescent="0.35">
      <c r="J7021" s="56" t="str">
        <f t="shared" si="327"/>
        <v/>
      </c>
      <c r="K7021" s="74" t="str">
        <f t="shared" si="328"/>
        <v/>
      </c>
      <c r="L7021" s="58" t="str">
        <f t="shared" si="329"/>
        <v/>
      </c>
    </row>
    <row r="7022" spans="10:12" ht="16.5" customHeight="1" x14ac:dyDescent="0.35">
      <c r="J7022" s="56" t="str">
        <f t="shared" si="327"/>
        <v/>
      </c>
      <c r="K7022" s="74" t="str">
        <f t="shared" si="328"/>
        <v/>
      </c>
      <c r="L7022" s="58" t="str">
        <f t="shared" si="329"/>
        <v/>
      </c>
    </row>
    <row r="7023" spans="10:12" ht="16.5" customHeight="1" x14ac:dyDescent="0.35">
      <c r="J7023" s="56" t="str">
        <f t="shared" si="327"/>
        <v/>
      </c>
      <c r="K7023" s="74" t="str">
        <f t="shared" si="328"/>
        <v/>
      </c>
      <c r="L7023" s="58" t="str">
        <f t="shared" si="329"/>
        <v/>
      </c>
    </row>
    <row r="7024" spans="10:12" ht="16.5" customHeight="1" x14ac:dyDescent="0.35">
      <c r="J7024" s="56" t="str">
        <f t="shared" si="327"/>
        <v/>
      </c>
      <c r="K7024" s="74" t="str">
        <f t="shared" si="328"/>
        <v/>
      </c>
      <c r="L7024" s="58" t="str">
        <f t="shared" si="329"/>
        <v/>
      </c>
    </row>
    <row r="7025" spans="10:12" ht="16.5" customHeight="1" x14ac:dyDescent="0.35">
      <c r="J7025" s="56" t="str">
        <f t="shared" si="327"/>
        <v/>
      </c>
      <c r="K7025" s="74" t="str">
        <f t="shared" si="328"/>
        <v/>
      </c>
      <c r="L7025" s="58" t="str">
        <f t="shared" si="329"/>
        <v/>
      </c>
    </row>
    <row r="7026" spans="10:12" ht="16.5" customHeight="1" x14ac:dyDescent="0.35">
      <c r="J7026" s="56" t="str">
        <f t="shared" si="327"/>
        <v/>
      </c>
      <c r="K7026" s="74" t="str">
        <f t="shared" si="328"/>
        <v/>
      </c>
      <c r="L7026" s="58" t="str">
        <f t="shared" si="329"/>
        <v/>
      </c>
    </row>
    <row r="7027" spans="10:12" ht="16.5" customHeight="1" x14ac:dyDescent="0.35">
      <c r="J7027" s="56" t="str">
        <f t="shared" si="327"/>
        <v/>
      </c>
      <c r="K7027" s="74" t="str">
        <f t="shared" si="328"/>
        <v/>
      </c>
      <c r="L7027" s="58" t="str">
        <f t="shared" si="329"/>
        <v/>
      </c>
    </row>
    <row r="7028" spans="10:12" ht="16.5" customHeight="1" x14ac:dyDescent="0.35">
      <c r="J7028" s="56" t="str">
        <f t="shared" si="327"/>
        <v/>
      </c>
      <c r="K7028" s="74" t="str">
        <f t="shared" si="328"/>
        <v/>
      </c>
      <c r="L7028" s="58" t="str">
        <f t="shared" si="329"/>
        <v/>
      </c>
    </row>
    <row r="7029" spans="10:12" ht="16.5" customHeight="1" x14ac:dyDescent="0.35">
      <c r="J7029" s="56" t="str">
        <f t="shared" si="327"/>
        <v/>
      </c>
      <c r="K7029" s="74" t="str">
        <f t="shared" si="328"/>
        <v/>
      </c>
      <c r="L7029" s="58" t="str">
        <f t="shared" si="329"/>
        <v/>
      </c>
    </row>
    <row r="7030" spans="10:12" ht="16.5" customHeight="1" x14ac:dyDescent="0.35">
      <c r="J7030" s="56" t="str">
        <f t="shared" si="327"/>
        <v/>
      </c>
      <c r="K7030" s="74" t="str">
        <f t="shared" si="328"/>
        <v/>
      </c>
      <c r="L7030" s="58" t="str">
        <f t="shared" si="329"/>
        <v/>
      </c>
    </row>
    <row r="7031" spans="10:12" ht="16.5" customHeight="1" x14ac:dyDescent="0.35">
      <c r="J7031" s="56" t="str">
        <f t="shared" si="327"/>
        <v/>
      </c>
      <c r="K7031" s="74" t="str">
        <f t="shared" si="328"/>
        <v/>
      </c>
      <c r="L7031" s="58" t="str">
        <f t="shared" si="329"/>
        <v/>
      </c>
    </row>
    <row r="7032" spans="10:12" ht="16.5" customHeight="1" x14ac:dyDescent="0.35">
      <c r="J7032" s="56" t="str">
        <f t="shared" si="327"/>
        <v/>
      </c>
      <c r="K7032" s="74" t="str">
        <f t="shared" si="328"/>
        <v/>
      </c>
      <c r="L7032" s="58" t="str">
        <f t="shared" si="329"/>
        <v/>
      </c>
    </row>
    <row r="7033" spans="10:12" ht="16.5" customHeight="1" x14ac:dyDescent="0.35">
      <c r="J7033" s="56" t="str">
        <f t="shared" si="327"/>
        <v/>
      </c>
      <c r="K7033" s="74" t="str">
        <f t="shared" si="328"/>
        <v/>
      </c>
      <c r="L7033" s="58" t="str">
        <f t="shared" si="329"/>
        <v/>
      </c>
    </row>
    <row r="7034" spans="10:12" ht="16.5" customHeight="1" x14ac:dyDescent="0.35">
      <c r="J7034" s="56" t="str">
        <f t="shared" si="327"/>
        <v/>
      </c>
      <c r="K7034" s="74" t="str">
        <f t="shared" si="328"/>
        <v/>
      </c>
      <c r="L7034" s="58" t="str">
        <f t="shared" si="329"/>
        <v/>
      </c>
    </row>
    <row r="7035" spans="10:12" ht="16.5" customHeight="1" x14ac:dyDescent="0.35">
      <c r="J7035" s="56" t="str">
        <f t="shared" si="327"/>
        <v/>
      </c>
      <c r="K7035" s="74" t="str">
        <f t="shared" si="328"/>
        <v/>
      </c>
      <c r="L7035" s="58" t="str">
        <f t="shared" si="329"/>
        <v/>
      </c>
    </row>
    <row r="7036" spans="10:12" ht="16.5" customHeight="1" x14ac:dyDescent="0.35">
      <c r="J7036" s="56" t="str">
        <f t="shared" si="327"/>
        <v/>
      </c>
      <c r="K7036" s="74" t="str">
        <f t="shared" si="328"/>
        <v/>
      </c>
      <c r="L7036" s="58" t="str">
        <f t="shared" si="329"/>
        <v/>
      </c>
    </row>
    <row r="7037" spans="10:12" ht="16.5" customHeight="1" x14ac:dyDescent="0.35">
      <c r="J7037" s="56" t="str">
        <f t="shared" si="327"/>
        <v/>
      </c>
      <c r="K7037" s="74" t="str">
        <f t="shared" si="328"/>
        <v/>
      </c>
      <c r="L7037" s="58" t="str">
        <f t="shared" si="329"/>
        <v/>
      </c>
    </row>
    <row r="7038" spans="10:12" ht="16.5" customHeight="1" x14ac:dyDescent="0.35">
      <c r="J7038" s="56" t="str">
        <f t="shared" si="327"/>
        <v/>
      </c>
      <c r="K7038" s="74" t="str">
        <f t="shared" si="328"/>
        <v/>
      </c>
      <c r="L7038" s="58" t="str">
        <f t="shared" si="329"/>
        <v/>
      </c>
    </row>
    <row r="7039" spans="10:12" ht="16.5" customHeight="1" x14ac:dyDescent="0.35">
      <c r="J7039" s="56" t="str">
        <f t="shared" si="327"/>
        <v/>
      </c>
      <c r="K7039" s="74" t="str">
        <f t="shared" si="328"/>
        <v/>
      </c>
      <c r="L7039" s="58" t="str">
        <f t="shared" si="329"/>
        <v/>
      </c>
    </row>
    <row r="7040" spans="10:12" ht="16.5" customHeight="1" x14ac:dyDescent="0.35">
      <c r="J7040" s="56" t="str">
        <f t="shared" si="327"/>
        <v/>
      </c>
      <c r="K7040" s="74" t="str">
        <f t="shared" si="328"/>
        <v/>
      </c>
      <c r="L7040" s="58" t="str">
        <f t="shared" si="329"/>
        <v/>
      </c>
    </row>
    <row r="7041" spans="10:12" ht="16.5" customHeight="1" x14ac:dyDescent="0.35">
      <c r="J7041" s="56" t="str">
        <f t="shared" si="327"/>
        <v/>
      </c>
      <c r="K7041" s="74" t="str">
        <f t="shared" si="328"/>
        <v/>
      </c>
      <c r="L7041" s="58" t="str">
        <f t="shared" si="329"/>
        <v/>
      </c>
    </row>
    <row r="7042" spans="10:12" ht="16.5" customHeight="1" x14ac:dyDescent="0.35">
      <c r="J7042" s="56" t="str">
        <f t="shared" si="327"/>
        <v/>
      </c>
      <c r="K7042" s="74" t="str">
        <f t="shared" si="328"/>
        <v/>
      </c>
      <c r="L7042" s="58" t="str">
        <f t="shared" si="329"/>
        <v/>
      </c>
    </row>
    <row r="7043" spans="10:12" ht="16.5" customHeight="1" x14ac:dyDescent="0.35">
      <c r="J7043" s="56" t="str">
        <f t="shared" si="327"/>
        <v/>
      </c>
      <c r="K7043" s="74" t="str">
        <f t="shared" si="328"/>
        <v/>
      </c>
      <c r="L7043" s="58" t="str">
        <f t="shared" si="329"/>
        <v/>
      </c>
    </row>
    <row r="7044" spans="10:12" ht="16.5" customHeight="1" x14ac:dyDescent="0.35">
      <c r="J7044" s="56" t="str">
        <f t="shared" si="327"/>
        <v/>
      </c>
      <c r="K7044" s="74" t="str">
        <f t="shared" si="328"/>
        <v/>
      </c>
      <c r="L7044" s="58" t="str">
        <f t="shared" si="329"/>
        <v/>
      </c>
    </row>
    <row r="7045" spans="10:12" ht="16.5" customHeight="1" x14ac:dyDescent="0.35">
      <c r="J7045" s="56" t="str">
        <f t="shared" si="327"/>
        <v/>
      </c>
      <c r="K7045" s="74" t="str">
        <f t="shared" si="328"/>
        <v/>
      </c>
      <c r="L7045" s="58" t="str">
        <f t="shared" si="329"/>
        <v/>
      </c>
    </row>
    <row r="7046" spans="10:12" ht="16.5" customHeight="1" x14ac:dyDescent="0.35">
      <c r="J7046" s="56" t="str">
        <f t="shared" si="327"/>
        <v/>
      </c>
      <c r="K7046" s="74" t="str">
        <f t="shared" si="328"/>
        <v/>
      </c>
      <c r="L7046" s="58" t="str">
        <f t="shared" si="329"/>
        <v/>
      </c>
    </row>
    <row r="7047" spans="10:12" ht="16.5" customHeight="1" x14ac:dyDescent="0.35">
      <c r="J7047" s="56" t="str">
        <f t="shared" si="327"/>
        <v/>
      </c>
      <c r="K7047" s="74" t="str">
        <f t="shared" si="328"/>
        <v/>
      </c>
      <c r="L7047" s="58" t="str">
        <f t="shared" si="329"/>
        <v/>
      </c>
    </row>
    <row r="7048" spans="10:12" ht="16.5" customHeight="1" x14ac:dyDescent="0.35">
      <c r="J7048" s="56" t="str">
        <f t="shared" si="327"/>
        <v/>
      </c>
      <c r="K7048" s="74" t="str">
        <f t="shared" si="328"/>
        <v/>
      </c>
      <c r="L7048" s="58" t="str">
        <f t="shared" si="329"/>
        <v/>
      </c>
    </row>
    <row r="7049" spans="10:12" ht="16.5" customHeight="1" x14ac:dyDescent="0.35">
      <c r="J7049" s="56" t="str">
        <f t="shared" ref="J7049:J7112" si="330">IF(A7049="","",A$5-A7049)</f>
        <v/>
      </c>
      <c r="K7049" s="74" t="str">
        <f t="shared" ref="K7049:K7112" si="331">IF(J7049="","",IF(J7049&lt;4,"0-3 Days",IF(J7049&lt;31,"4-30 Days",IF(J7049&lt;61,"31-60 Days",IF(J7049&lt;=90,"61-90 Days",IF(J7049&gt;90,"Above 90 Days","0"))))))</f>
        <v/>
      </c>
      <c r="L7049" s="58" t="str">
        <f t="shared" ref="L7049:L7112" si="332">IF(C7049="","",IF(C7049&gt;0,IF(J7049&lt;30,"Normal",IF(J7049&lt;60,"Especially Mentioned",IF(J7049&lt;90,"Substandard",IF(J7049&lt;=180,"Doubtful",IF(J7049&gt;180,"Loss","0"))))),"Not Applicable"))</f>
        <v/>
      </c>
    </row>
    <row r="7050" spans="10:12" ht="16.5" customHeight="1" x14ac:dyDescent="0.35">
      <c r="J7050" s="56" t="str">
        <f t="shared" si="330"/>
        <v/>
      </c>
      <c r="K7050" s="74" t="str">
        <f t="shared" si="331"/>
        <v/>
      </c>
      <c r="L7050" s="58" t="str">
        <f t="shared" si="332"/>
        <v/>
      </c>
    </row>
    <row r="7051" spans="10:12" ht="16.5" customHeight="1" x14ac:dyDescent="0.35">
      <c r="J7051" s="56" t="str">
        <f t="shared" si="330"/>
        <v/>
      </c>
      <c r="K7051" s="74" t="str">
        <f t="shared" si="331"/>
        <v/>
      </c>
      <c r="L7051" s="58" t="str">
        <f t="shared" si="332"/>
        <v/>
      </c>
    </row>
    <row r="7052" spans="10:12" ht="16.5" customHeight="1" x14ac:dyDescent="0.35">
      <c r="J7052" s="56" t="str">
        <f t="shared" si="330"/>
        <v/>
      </c>
      <c r="K7052" s="74" t="str">
        <f t="shared" si="331"/>
        <v/>
      </c>
      <c r="L7052" s="58" t="str">
        <f t="shared" si="332"/>
        <v/>
      </c>
    </row>
    <row r="7053" spans="10:12" ht="16.5" customHeight="1" x14ac:dyDescent="0.35">
      <c r="J7053" s="56" t="str">
        <f t="shared" si="330"/>
        <v/>
      </c>
      <c r="K7053" s="74" t="str">
        <f t="shared" si="331"/>
        <v/>
      </c>
      <c r="L7053" s="58" t="str">
        <f t="shared" si="332"/>
        <v/>
      </c>
    </row>
    <row r="7054" spans="10:12" ht="16.5" customHeight="1" x14ac:dyDescent="0.35">
      <c r="J7054" s="56" t="str">
        <f t="shared" si="330"/>
        <v/>
      </c>
      <c r="K7054" s="74" t="str">
        <f t="shared" si="331"/>
        <v/>
      </c>
      <c r="L7054" s="58" t="str">
        <f t="shared" si="332"/>
        <v/>
      </c>
    </row>
    <row r="7055" spans="10:12" ht="16.5" customHeight="1" x14ac:dyDescent="0.35">
      <c r="J7055" s="56" t="str">
        <f t="shared" si="330"/>
        <v/>
      </c>
      <c r="K7055" s="74" t="str">
        <f t="shared" si="331"/>
        <v/>
      </c>
      <c r="L7055" s="58" t="str">
        <f t="shared" si="332"/>
        <v/>
      </c>
    </row>
    <row r="7056" spans="10:12" ht="16.5" customHeight="1" x14ac:dyDescent="0.35">
      <c r="J7056" s="56" t="str">
        <f t="shared" si="330"/>
        <v/>
      </c>
      <c r="K7056" s="74" t="str">
        <f t="shared" si="331"/>
        <v/>
      </c>
      <c r="L7056" s="58" t="str">
        <f t="shared" si="332"/>
        <v/>
      </c>
    </row>
    <row r="7057" spans="10:12" ht="16.5" customHeight="1" x14ac:dyDescent="0.35">
      <c r="J7057" s="56" t="str">
        <f t="shared" si="330"/>
        <v/>
      </c>
      <c r="K7057" s="74" t="str">
        <f t="shared" si="331"/>
        <v/>
      </c>
      <c r="L7057" s="58" t="str">
        <f t="shared" si="332"/>
        <v/>
      </c>
    </row>
    <row r="7058" spans="10:12" ht="16.5" customHeight="1" x14ac:dyDescent="0.35">
      <c r="J7058" s="56" t="str">
        <f t="shared" si="330"/>
        <v/>
      </c>
      <c r="K7058" s="74" t="str">
        <f t="shared" si="331"/>
        <v/>
      </c>
      <c r="L7058" s="58" t="str">
        <f t="shared" si="332"/>
        <v/>
      </c>
    </row>
    <row r="7059" spans="10:12" ht="16.5" customHeight="1" x14ac:dyDescent="0.35">
      <c r="J7059" s="56" t="str">
        <f t="shared" si="330"/>
        <v/>
      </c>
      <c r="K7059" s="74" t="str">
        <f t="shared" si="331"/>
        <v/>
      </c>
      <c r="L7059" s="58" t="str">
        <f t="shared" si="332"/>
        <v/>
      </c>
    </row>
    <row r="7060" spans="10:12" ht="16.5" customHeight="1" x14ac:dyDescent="0.35">
      <c r="J7060" s="56" t="str">
        <f t="shared" si="330"/>
        <v/>
      </c>
      <c r="K7060" s="74" t="str">
        <f t="shared" si="331"/>
        <v/>
      </c>
      <c r="L7060" s="58" t="str">
        <f t="shared" si="332"/>
        <v/>
      </c>
    </row>
    <row r="7061" spans="10:12" ht="16.5" customHeight="1" x14ac:dyDescent="0.35">
      <c r="J7061" s="56" t="str">
        <f t="shared" si="330"/>
        <v/>
      </c>
      <c r="K7061" s="74" t="str">
        <f t="shared" si="331"/>
        <v/>
      </c>
      <c r="L7061" s="58" t="str">
        <f t="shared" si="332"/>
        <v/>
      </c>
    </row>
    <row r="7062" spans="10:12" ht="16.5" customHeight="1" x14ac:dyDescent="0.35">
      <c r="J7062" s="56" t="str">
        <f t="shared" si="330"/>
        <v/>
      </c>
      <c r="K7062" s="74" t="str">
        <f t="shared" si="331"/>
        <v/>
      </c>
      <c r="L7062" s="58" t="str">
        <f t="shared" si="332"/>
        <v/>
      </c>
    </row>
    <row r="7063" spans="10:12" ht="16.5" customHeight="1" x14ac:dyDescent="0.35">
      <c r="J7063" s="56" t="str">
        <f t="shared" si="330"/>
        <v/>
      </c>
      <c r="K7063" s="74" t="str">
        <f t="shared" si="331"/>
        <v/>
      </c>
      <c r="L7063" s="58" t="str">
        <f t="shared" si="332"/>
        <v/>
      </c>
    </row>
    <row r="7064" spans="10:12" ht="16.5" customHeight="1" x14ac:dyDescent="0.35">
      <c r="J7064" s="56" t="str">
        <f t="shared" si="330"/>
        <v/>
      </c>
      <c r="K7064" s="74" t="str">
        <f t="shared" si="331"/>
        <v/>
      </c>
      <c r="L7064" s="58" t="str">
        <f t="shared" si="332"/>
        <v/>
      </c>
    </row>
    <row r="7065" spans="10:12" ht="16.5" customHeight="1" x14ac:dyDescent="0.35">
      <c r="J7065" s="56" t="str">
        <f t="shared" si="330"/>
        <v/>
      </c>
      <c r="K7065" s="74" t="str">
        <f t="shared" si="331"/>
        <v/>
      </c>
      <c r="L7065" s="58" t="str">
        <f t="shared" si="332"/>
        <v/>
      </c>
    </row>
    <row r="7066" spans="10:12" ht="16.5" customHeight="1" x14ac:dyDescent="0.35">
      <c r="J7066" s="56" t="str">
        <f t="shared" si="330"/>
        <v/>
      </c>
      <c r="K7066" s="74" t="str">
        <f t="shared" si="331"/>
        <v/>
      </c>
      <c r="L7066" s="58" t="str">
        <f t="shared" si="332"/>
        <v/>
      </c>
    </row>
    <row r="7067" spans="10:12" ht="16.5" customHeight="1" x14ac:dyDescent="0.35">
      <c r="J7067" s="56" t="str">
        <f t="shared" si="330"/>
        <v/>
      </c>
      <c r="K7067" s="74" t="str">
        <f t="shared" si="331"/>
        <v/>
      </c>
      <c r="L7067" s="58" t="str">
        <f t="shared" si="332"/>
        <v/>
      </c>
    </row>
    <row r="7068" spans="10:12" ht="16.5" customHeight="1" x14ac:dyDescent="0.35">
      <c r="J7068" s="56" t="str">
        <f t="shared" si="330"/>
        <v/>
      </c>
      <c r="K7068" s="74" t="str">
        <f t="shared" si="331"/>
        <v/>
      </c>
      <c r="L7068" s="58" t="str">
        <f t="shared" si="332"/>
        <v/>
      </c>
    </row>
    <row r="7069" spans="10:12" ht="16.5" customHeight="1" x14ac:dyDescent="0.35">
      <c r="J7069" s="56" t="str">
        <f t="shared" si="330"/>
        <v/>
      </c>
      <c r="K7069" s="74" t="str">
        <f t="shared" si="331"/>
        <v/>
      </c>
      <c r="L7069" s="58" t="str">
        <f t="shared" si="332"/>
        <v/>
      </c>
    </row>
    <row r="7070" spans="10:12" ht="16.5" customHeight="1" x14ac:dyDescent="0.35">
      <c r="J7070" s="56" t="str">
        <f t="shared" si="330"/>
        <v/>
      </c>
      <c r="K7070" s="74" t="str">
        <f t="shared" si="331"/>
        <v/>
      </c>
      <c r="L7070" s="58" t="str">
        <f t="shared" si="332"/>
        <v/>
      </c>
    </row>
    <row r="7071" spans="10:12" ht="16.5" customHeight="1" x14ac:dyDescent="0.35">
      <c r="J7071" s="56" t="str">
        <f t="shared" si="330"/>
        <v/>
      </c>
      <c r="K7071" s="74" t="str">
        <f t="shared" si="331"/>
        <v/>
      </c>
      <c r="L7071" s="58" t="str">
        <f t="shared" si="332"/>
        <v/>
      </c>
    </row>
    <row r="7072" spans="10:12" ht="16.5" customHeight="1" x14ac:dyDescent="0.35">
      <c r="J7072" s="56" t="str">
        <f t="shared" si="330"/>
        <v/>
      </c>
      <c r="K7072" s="74" t="str">
        <f t="shared" si="331"/>
        <v/>
      </c>
      <c r="L7072" s="58" t="str">
        <f t="shared" si="332"/>
        <v/>
      </c>
    </row>
    <row r="7073" spans="10:12" ht="16.5" customHeight="1" x14ac:dyDescent="0.35">
      <c r="J7073" s="56" t="str">
        <f t="shared" si="330"/>
        <v/>
      </c>
      <c r="K7073" s="74" t="str">
        <f t="shared" si="331"/>
        <v/>
      </c>
      <c r="L7073" s="58" t="str">
        <f t="shared" si="332"/>
        <v/>
      </c>
    </row>
    <row r="7074" spans="10:12" ht="16.5" customHeight="1" x14ac:dyDescent="0.35">
      <c r="J7074" s="56" t="str">
        <f t="shared" si="330"/>
        <v/>
      </c>
      <c r="K7074" s="74" t="str">
        <f t="shared" si="331"/>
        <v/>
      </c>
      <c r="L7074" s="58" t="str">
        <f t="shared" si="332"/>
        <v/>
      </c>
    </row>
    <row r="7075" spans="10:12" ht="16.5" customHeight="1" x14ac:dyDescent="0.35">
      <c r="J7075" s="56" t="str">
        <f t="shared" si="330"/>
        <v/>
      </c>
      <c r="K7075" s="74" t="str">
        <f t="shared" si="331"/>
        <v/>
      </c>
      <c r="L7075" s="58" t="str">
        <f t="shared" si="332"/>
        <v/>
      </c>
    </row>
    <row r="7076" spans="10:12" ht="16.5" customHeight="1" x14ac:dyDescent="0.35">
      <c r="J7076" s="56" t="str">
        <f t="shared" si="330"/>
        <v/>
      </c>
      <c r="K7076" s="74" t="str">
        <f t="shared" si="331"/>
        <v/>
      </c>
      <c r="L7076" s="58" t="str">
        <f t="shared" si="332"/>
        <v/>
      </c>
    </row>
    <row r="7077" spans="10:12" ht="16.5" customHeight="1" x14ac:dyDescent="0.35">
      <c r="J7077" s="56" t="str">
        <f t="shared" si="330"/>
        <v/>
      </c>
      <c r="K7077" s="74" t="str">
        <f t="shared" si="331"/>
        <v/>
      </c>
      <c r="L7077" s="58" t="str">
        <f t="shared" si="332"/>
        <v/>
      </c>
    </row>
    <row r="7078" spans="10:12" ht="16.5" customHeight="1" x14ac:dyDescent="0.35">
      <c r="J7078" s="56" t="str">
        <f t="shared" si="330"/>
        <v/>
      </c>
      <c r="K7078" s="74" t="str">
        <f t="shared" si="331"/>
        <v/>
      </c>
      <c r="L7078" s="58" t="str">
        <f t="shared" si="332"/>
        <v/>
      </c>
    </row>
    <row r="7079" spans="10:12" ht="16.5" customHeight="1" x14ac:dyDescent="0.35">
      <c r="J7079" s="56" t="str">
        <f t="shared" si="330"/>
        <v/>
      </c>
      <c r="K7079" s="74" t="str">
        <f t="shared" si="331"/>
        <v/>
      </c>
      <c r="L7079" s="58" t="str">
        <f t="shared" si="332"/>
        <v/>
      </c>
    </row>
    <row r="7080" spans="10:12" ht="16.5" customHeight="1" x14ac:dyDescent="0.35">
      <c r="J7080" s="56" t="str">
        <f t="shared" si="330"/>
        <v/>
      </c>
      <c r="K7080" s="74" t="str">
        <f t="shared" si="331"/>
        <v/>
      </c>
      <c r="L7080" s="58" t="str">
        <f t="shared" si="332"/>
        <v/>
      </c>
    </row>
    <row r="7081" spans="10:12" ht="16.5" customHeight="1" x14ac:dyDescent="0.35">
      <c r="J7081" s="56" t="str">
        <f t="shared" si="330"/>
        <v/>
      </c>
      <c r="K7081" s="74" t="str">
        <f t="shared" si="331"/>
        <v/>
      </c>
      <c r="L7081" s="58" t="str">
        <f t="shared" si="332"/>
        <v/>
      </c>
    </row>
    <row r="7082" spans="10:12" ht="16.5" customHeight="1" x14ac:dyDescent="0.35">
      <c r="J7082" s="56" t="str">
        <f t="shared" si="330"/>
        <v/>
      </c>
      <c r="K7082" s="74" t="str">
        <f t="shared" si="331"/>
        <v/>
      </c>
      <c r="L7082" s="58" t="str">
        <f t="shared" si="332"/>
        <v/>
      </c>
    </row>
    <row r="7083" spans="10:12" ht="16.5" customHeight="1" x14ac:dyDescent="0.35">
      <c r="J7083" s="56" t="str">
        <f t="shared" si="330"/>
        <v/>
      </c>
      <c r="K7083" s="74" t="str">
        <f t="shared" si="331"/>
        <v/>
      </c>
      <c r="L7083" s="58" t="str">
        <f t="shared" si="332"/>
        <v/>
      </c>
    </row>
    <row r="7084" spans="10:12" ht="16.5" customHeight="1" x14ac:dyDescent="0.35">
      <c r="J7084" s="56" t="str">
        <f t="shared" si="330"/>
        <v/>
      </c>
      <c r="K7084" s="74" t="str">
        <f t="shared" si="331"/>
        <v/>
      </c>
      <c r="L7084" s="58" t="str">
        <f t="shared" si="332"/>
        <v/>
      </c>
    </row>
    <row r="7085" spans="10:12" ht="16.5" customHeight="1" x14ac:dyDescent="0.35">
      <c r="J7085" s="56" t="str">
        <f t="shared" si="330"/>
        <v/>
      </c>
      <c r="K7085" s="74" t="str">
        <f t="shared" si="331"/>
        <v/>
      </c>
      <c r="L7085" s="58" t="str">
        <f t="shared" si="332"/>
        <v/>
      </c>
    </row>
    <row r="7086" spans="10:12" ht="16.5" customHeight="1" x14ac:dyDescent="0.35">
      <c r="J7086" s="56" t="str">
        <f t="shared" si="330"/>
        <v/>
      </c>
      <c r="K7086" s="74" t="str">
        <f t="shared" si="331"/>
        <v/>
      </c>
      <c r="L7086" s="58" t="str">
        <f t="shared" si="332"/>
        <v/>
      </c>
    </row>
    <row r="7087" spans="10:12" ht="16.5" customHeight="1" x14ac:dyDescent="0.35">
      <c r="J7087" s="56" t="str">
        <f t="shared" si="330"/>
        <v/>
      </c>
      <c r="K7087" s="74" t="str">
        <f t="shared" si="331"/>
        <v/>
      </c>
      <c r="L7087" s="58" t="str">
        <f t="shared" si="332"/>
        <v/>
      </c>
    </row>
    <row r="7088" spans="10:12" ht="16.5" customHeight="1" x14ac:dyDescent="0.35">
      <c r="J7088" s="56" t="str">
        <f t="shared" si="330"/>
        <v/>
      </c>
      <c r="K7088" s="74" t="str">
        <f t="shared" si="331"/>
        <v/>
      </c>
      <c r="L7088" s="58" t="str">
        <f t="shared" si="332"/>
        <v/>
      </c>
    </row>
    <row r="7089" spans="10:12" ht="16.5" customHeight="1" x14ac:dyDescent="0.35">
      <c r="J7089" s="56" t="str">
        <f t="shared" si="330"/>
        <v/>
      </c>
      <c r="K7089" s="74" t="str">
        <f t="shared" si="331"/>
        <v/>
      </c>
      <c r="L7089" s="58" t="str">
        <f t="shared" si="332"/>
        <v/>
      </c>
    </row>
    <row r="7090" spans="10:12" ht="16.5" customHeight="1" x14ac:dyDescent="0.35">
      <c r="J7090" s="56" t="str">
        <f t="shared" si="330"/>
        <v/>
      </c>
      <c r="K7090" s="74" t="str">
        <f t="shared" si="331"/>
        <v/>
      </c>
      <c r="L7090" s="58" t="str">
        <f t="shared" si="332"/>
        <v/>
      </c>
    </row>
    <row r="7091" spans="10:12" ht="16.5" customHeight="1" x14ac:dyDescent="0.35">
      <c r="J7091" s="56" t="str">
        <f t="shared" si="330"/>
        <v/>
      </c>
      <c r="K7091" s="74" t="str">
        <f t="shared" si="331"/>
        <v/>
      </c>
      <c r="L7091" s="58" t="str">
        <f t="shared" si="332"/>
        <v/>
      </c>
    </row>
    <row r="7092" spans="10:12" ht="16.5" customHeight="1" x14ac:dyDescent="0.35">
      <c r="J7092" s="56" t="str">
        <f t="shared" si="330"/>
        <v/>
      </c>
      <c r="K7092" s="74" t="str">
        <f t="shared" si="331"/>
        <v/>
      </c>
      <c r="L7092" s="58" t="str">
        <f t="shared" si="332"/>
        <v/>
      </c>
    </row>
    <row r="7093" spans="10:12" ht="16.5" customHeight="1" x14ac:dyDescent="0.35">
      <c r="J7093" s="56" t="str">
        <f t="shared" si="330"/>
        <v/>
      </c>
      <c r="K7093" s="74" t="str">
        <f t="shared" si="331"/>
        <v/>
      </c>
      <c r="L7093" s="58" t="str">
        <f t="shared" si="332"/>
        <v/>
      </c>
    </row>
    <row r="7094" spans="10:12" ht="16.5" customHeight="1" x14ac:dyDescent="0.35">
      <c r="J7094" s="56" t="str">
        <f t="shared" si="330"/>
        <v/>
      </c>
      <c r="K7094" s="74" t="str">
        <f t="shared" si="331"/>
        <v/>
      </c>
      <c r="L7094" s="58" t="str">
        <f t="shared" si="332"/>
        <v/>
      </c>
    </row>
    <row r="7095" spans="10:12" ht="16.5" customHeight="1" x14ac:dyDescent="0.35">
      <c r="J7095" s="56" t="str">
        <f t="shared" si="330"/>
        <v/>
      </c>
      <c r="K7095" s="74" t="str">
        <f t="shared" si="331"/>
        <v/>
      </c>
      <c r="L7095" s="58" t="str">
        <f t="shared" si="332"/>
        <v/>
      </c>
    </row>
    <row r="7096" spans="10:12" ht="16.5" customHeight="1" x14ac:dyDescent="0.35">
      <c r="J7096" s="56" t="str">
        <f t="shared" si="330"/>
        <v/>
      </c>
      <c r="K7096" s="74" t="str">
        <f t="shared" si="331"/>
        <v/>
      </c>
      <c r="L7096" s="58" t="str">
        <f t="shared" si="332"/>
        <v/>
      </c>
    </row>
    <row r="7097" spans="10:12" ht="16.5" customHeight="1" x14ac:dyDescent="0.35">
      <c r="J7097" s="56" t="str">
        <f t="shared" si="330"/>
        <v/>
      </c>
      <c r="K7097" s="74" t="str">
        <f t="shared" si="331"/>
        <v/>
      </c>
      <c r="L7097" s="58" t="str">
        <f t="shared" si="332"/>
        <v/>
      </c>
    </row>
    <row r="7098" spans="10:12" ht="16.5" customHeight="1" x14ac:dyDescent="0.35">
      <c r="J7098" s="56" t="str">
        <f t="shared" si="330"/>
        <v/>
      </c>
      <c r="K7098" s="74" t="str">
        <f t="shared" si="331"/>
        <v/>
      </c>
      <c r="L7098" s="58" t="str">
        <f t="shared" si="332"/>
        <v/>
      </c>
    </row>
    <row r="7099" spans="10:12" ht="16.5" customHeight="1" x14ac:dyDescent="0.35">
      <c r="J7099" s="56" t="str">
        <f t="shared" si="330"/>
        <v/>
      </c>
      <c r="K7099" s="74" t="str">
        <f t="shared" si="331"/>
        <v/>
      </c>
      <c r="L7099" s="58" t="str">
        <f t="shared" si="332"/>
        <v/>
      </c>
    </row>
    <row r="7100" spans="10:12" ht="16.5" customHeight="1" x14ac:dyDescent="0.35">
      <c r="J7100" s="56" t="str">
        <f t="shared" si="330"/>
        <v/>
      </c>
      <c r="K7100" s="74" t="str">
        <f t="shared" si="331"/>
        <v/>
      </c>
      <c r="L7100" s="58" t="str">
        <f t="shared" si="332"/>
        <v/>
      </c>
    </row>
    <row r="7101" spans="10:12" ht="16.5" customHeight="1" x14ac:dyDescent="0.35">
      <c r="J7101" s="56" t="str">
        <f t="shared" si="330"/>
        <v/>
      </c>
      <c r="K7101" s="74" t="str">
        <f t="shared" si="331"/>
        <v/>
      </c>
      <c r="L7101" s="58" t="str">
        <f t="shared" si="332"/>
        <v/>
      </c>
    </row>
    <row r="7102" spans="10:12" ht="16.5" customHeight="1" x14ac:dyDescent="0.35">
      <c r="J7102" s="56" t="str">
        <f t="shared" si="330"/>
        <v/>
      </c>
      <c r="K7102" s="74" t="str">
        <f t="shared" si="331"/>
        <v/>
      </c>
      <c r="L7102" s="58" t="str">
        <f t="shared" si="332"/>
        <v/>
      </c>
    </row>
    <row r="7103" spans="10:12" ht="16.5" customHeight="1" x14ac:dyDescent="0.35">
      <c r="J7103" s="56" t="str">
        <f t="shared" si="330"/>
        <v/>
      </c>
      <c r="K7103" s="74" t="str">
        <f t="shared" si="331"/>
        <v/>
      </c>
      <c r="L7103" s="58" t="str">
        <f t="shared" si="332"/>
        <v/>
      </c>
    </row>
    <row r="7104" spans="10:12" ht="16.5" customHeight="1" x14ac:dyDescent="0.35">
      <c r="J7104" s="56" t="str">
        <f t="shared" si="330"/>
        <v/>
      </c>
      <c r="K7104" s="74" t="str">
        <f t="shared" si="331"/>
        <v/>
      </c>
      <c r="L7104" s="58" t="str">
        <f t="shared" si="332"/>
        <v/>
      </c>
    </row>
    <row r="7105" spans="10:12" ht="16.5" customHeight="1" x14ac:dyDescent="0.35">
      <c r="J7105" s="56" t="str">
        <f t="shared" si="330"/>
        <v/>
      </c>
      <c r="K7105" s="74" t="str">
        <f t="shared" si="331"/>
        <v/>
      </c>
      <c r="L7105" s="58" t="str">
        <f t="shared" si="332"/>
        <v/>
      </c>
    </row>
    <row r="7106" spans="10:12" ht="16.5" customHeight="1" x14ac:dyDescent="0.35">
      <c r="J7106" s="56" t="str">
        <f t="shared" si="330"/>
        <v/>
      </c>
      <c r="K7106" s="74" t="str">
        <f t="shared" si="331"/>
        <v/>
      </c>
      <c r="L7106" s="58" t="str">
        <f t="shared" si="332"/>
        <v/>
      </c>
    </row>
    <row r="7107" spans="10:12" ht="16.5" customHeight="1" x14ac:dyDescent="0.35">
      <c r="J7107" s="56" t="str">
        <f t="shared" si="330"/>
        <v/>
      </c>
      <c r="K7107" s="74" t="str">
        <f t="shared" si="331"/>
        <v/>
      </c>
      <c r="L7107" s="58" t="str">
        <f t="shared" si="332"/>
        <v/>
      </c>
    </row>
    <row r="7108" spans="10:12" ht="16.5" customHeight="1" x14ac:dyDescent="0.35">
      <c r="J7108" s="56" t="str">
        <f t="shared" si="330"/>
        <v/>
      </c>
      <c r="K7108" s="74" t="str">
        <f t="shared" si="331"/>
        <v/>
      </c>
      <c r="L7108" s="58" t="str">
        <f t="shared" si="332"/>
        <v/>
      </c>
    </row>
    <row r="7109" spans="10:12" ht="16.5" customHeight="1" x14ac:dyDescent="0.35">
      <c r="J7109" s="56" t="str">
        <f t="shared" si="330"/>
        <v/>
      </c>
      <c r="K7109" s="74" t="str">
        <f t="shared" si="331"/>
        <v/>
      </c>
      <c r="L7109" s="58" t="str">
        <f t="shared" si="332"/>
        <v/>
      </c>
    </row>
    <row r="7110" spans="10:12" ht="16.5" customHeight="1" x14ac:dyDescent="0.35">
      <c r="J7110" s="56" t="str">
        <f t="shared" si="330"/>
        <v/>
      </c>
      <c r="K7110" s="74" t="str">
        <f t="shared" si="331"/>
        <v/>
      </c>
      <c r="L7110" s="58" t="str">
        <f t="shared" si="332"/>
        <v/>
      </c>
    </row>
    <row r="7111" spans="10:12" ht="16.5" customHeight="1" x14ac:dyDescent="0.35">
      <c r="J7111" s="56" t="str">
        <f t="shared" si="330"/>
        <v/>
      </c>
      <c r="K7111" s="74" t="str">
        <f t="shared" si="331"/>
        <v/>
      </c>
      <c r="L7111" s="58" t="str">
        <f t="shared" si="332"/>
        <v/>
      </c>
    </row>
    <row r="7112" spans="10:12" ht="16.5" customHeight="1" x14ac:dyDescent="0.35">
      <c r="J7112" s="56" t="str">
        <f t="shared" si="330"/>
        <v/>
      </c>
      <c r="K7112" s="74" t="str">
        <f t="shared" si="331"/>
        <v/>
      </c>
      <c r="L7112" s="58" t="str">
        <f t="shared" si="332"/>
        <v/>
      </c>
    </row>
    <row r="7113" spans="10:12" ht="16.5" customHeight="1" x14ac:dyDescent="0.35">
      <c r="J7113" s="56" t="str">
        <f t="shared" ref="J7113:J7176" si="333">IF(A7113="","",A$5-A7113)</f>
        <v/>
      </c>
      <c r="K7113" s="74" t="str">
        <f t="shared" ref="K7113:K7176" si="334">IF(J7113="","",IF(J7113&lt;4,"0-3 Days",IF(J7113&lt;31,"4-30 Days",IF(J7113&lt;61,"31-60 Days",IF(J7113&lt;=90,"61-90 Days",IF(J7113&gt;90,"Above 90 Days","0"))))))</f>
        <v/>
      </c>
      <c r="L7113" s="58" t="str">
        <f t="shared" ref="L7113:L7176" si="335">IF(C7113="","",IF(C7113&gt;0,IF(J7113&lt;30,"Normal",IF(J7113&lt;60,"Especially Mentioned",IF(J7113&lt;90,"Substandard",IF(J7113&lt;=180,"Doubtful",IF(J7113&gt;180,"Loss","0"))))),"Not Applicable"))</f>
        <v/>
      </c>
    </row>
    <row r="7114" spans="10:12" ht="16.5" customHeight="1" x14ac:dyDescent="0.35">
      <c r="J7114" s="56" t="str">
        <f t="shared" si="333"/>
        <v/>
      </c>
      <c r="K7114" s="74" t="str">
        <f t="shared" si="334"/>
        <v/>
      </c>
      <c r="L7114" s="58" t="str">
        <f t="shared" si="335"/>
        <v/>
      </c>
    </row>
    <row r="7115" spans="10:12" ht="16.5" customHeight="1" x14ac:dyDescent="0.35">
      <c r="J7115" s="56" t="str">
        <f t="shared" si="333"/>
        <v/>
      </c>
      <c r="K7115" s="74" t="str">
        <f t="shared" si="334"/>
        <v/>
      </c>
      <c r="L7115" s="58" t="str">
        <f t="shared" si="335"/>
        <v/>
      </c>
    </row>
    <row r="7116" spans="10:12" ht="16.5" customHeight="1" x14ac:dyDescent="0.35">
      <c r="J7116" s="56" t="str">
        <f t="shared" si="333"/>
        <v/>
      </c>
      <c r="K7116" s="74" t="str">
        <f t="shared" si="334"/>
        <v/>
      </c>
      <c r="L7116" s="58" t="str">
        <f t="shared" si="335"/>
        <v/>
      </c>
    </row>
    <row r="7117" spans="10:12" ht="16.5" customHeight="1" x14ac:dyDescent="0.35">
      <c r="J7117" s="56" t="str">
        <f t="shared" si="333"/>
        <v/>
      </c>
      <c r="K7117" s="74" t="str">
        <f t="shared" si="334"/>
        <v/>
      </c>
      <c r="L7117" s="58" t="str">
        <f t="shared" si="335"/>
        <v/>
      </c>
    </row>
    <row r="7118" spans="10:12" ht="16.5" customHeight="1" x14ac:dyDescent="0.35">
      <c r="J7118" s="56" t="str">
        <f t="shared" si="333"/>
        <v/>
      </c>
      <c r="K7118" s="74" t="str">
        <f t="shared" si="334"/>
        <v/>
      </c>
      <c r="L7118" s="58" t="str">
        <f t="shared" si="335"/>
        <v/>
      </c>
    </row>
    <row r="7119" spans="10:12" ht="16.5" customHeight="1" x14ac:dyDescent="0.35">
      <c r="J7119" s="56" t="str">
        <f t="shared" si="333"/>
        <v/>
      </c>
      <c r="K7119" s="74" t="str">
        <f t="shared" si="334"/>
        <v/>
      </c>
      <c r="L7119" s="58" t="str">
        <f t="shared" si="335"/>
        <v/>
      </c>
    </row>
    <row r="7120" spans="10:12" ht="16.5" customHeight="1" x14ac:dyDescent="0.35">
      <c r="J7120" s="56" t="str">
        <f t="shared" si="333"/>
        <v/>
      </c>
      <c r="K7120" s="74" t="str">
        <f t="shared" si="334"/>
        <v/>
      </c>
      <c r="L7120" s="58" t="str">
        <f t="shared" si="335"/>
        <v/>
      </c>
    </row>
    <row r="7121" spans="10:12" ht="16.5" customHeight="1" x14ac:dyDescent="0.35">
      <c r="J7121" s="56" t="str">
        <f t="shared" si="333"/>
        <v/>
      </c>
      <c r="K7121" s="74" t="str">
        <f t="shared" si="334"/>
        <v/>
      </c>
      <c r="L7121" s="58" t="str">
        <f t="shared" si="335"/>
        <v/>
      </c>
    </row>
    <row r="7122" spans="10:12" ht="16.5" customHeight="1" x14ac:dyDescent="0.35">
      <c r="J7122" s="56" t="str">
        <f t="shared" si="333"/>
        <v/>
      </c>
      <c r="K7122" s="74" t="str">
        <f t="shared" si="334"/>
        <v/>
      </c>
      <c r="L7122" s="58" t="str">
        <f t="shared" si="335"/>
        <v/>
      </c>
    </row>
    <row r="7123" spans="10:12" ht="16.5" customHeight="1" x14ac:dyDescent="0.35">
      <c r="J7123" s="56" t="str">
        <f t="shared" si="333"/>
        <v/>
      </c>
      <c r="K7123" s="74" t="str">
        <f t="shared" si="334"/>
        <v/>
      </c>
      <c r="L7123" s="58" t="str">
        <f t="shared" si="335"/>
        <v/>
      </c>
    </row>
    <row r="7124" spans="10:12" ht="16.5" customHeight="1" x14ac:dyDescent="0.35">
      <c r="J7124" s="56" t="str">
        <f t="shared" si="333"/>
        <v/>
      </c>
      <c r="K7124" s="74" t="str">
        <f t="shared" si="334"/>
        <v/>
      </c>
      <c r="L7124" s="58" t="str">
        <f t="shared" si="335"/>
        <v/>
      </c>
    </row>
    <row r="7125" spans="10:12" ht="16.5" customHeight="1" x14ac:dyDescent="0.35">
      <c r="J7125" s="56" t="str">
        <f t="shared" si="333"/>
        <v/>
      </c>
      <c r="K7125" s="74" t="str">
        <f t="shared" si="334"/>
        <v/>
      </c>
      <c r="L7125" s="58" t="str">
        <f t="shared" si="335"/>
        <v/>
      </c>
    </row>
    <row r="7126" spans="10:12" ht="16.5" customHeight="1" x14ac:dyDescent="0.35">
      <c r="J7126" s="56" t="str">
        <f t="shared" si="333"/>
        <v/>
      </c>
      <c r="K7126" s="74" t="str">
        <f t="shared" si="334"/>
        <v/>
      </c>
      <c r="L7126" s="58" t="str">
        <f t="shared" si="335"/>
        <v/>
      </c>
    </row>
    <row r="7127" spans="10:12" ht="16.5" customHeight="1" x14ac:dyDescent="0.35">
      <c r="J7127" s="56" t="str">
        <f t="shared" si="333"/>
        <v/>
      </c>
      <c r="K7127" s="74" t="str">
        <f t="shared" si="334"/>
        <v/>
      </c>
      <c r="L7127" s="58" t="str">
        <f t="shared" si="335"/>
        <v/>
      </c>
    </row>
    <row r="7128" spans="10:12" ht="16.5" customHeight="1" x14ac:dyDescent="0.35">
      <c r="J7128" s="56" t="str">
        <f t="shared" si="333"/>
        <v/>
      </c>
      <c r="K7128" s="74" t="str">
        <f t="shared" si="334"/>
        <v/>
      </c>
      <c r="L7128" s="58" t="str">
        <f t="shared" si="335"/>
        <v/>
      </c>
    </row>
    <row r="7129" spans="10:12" ht="16.5" customHeight="1" x14ac:dyDescent="0.35">
      <c r="J7129" s="56" t="str">
        <f t="shared" si="333"/>
        <v/>
      </c>
      <c r="K7129" s="74" t="str">
        <f t="shared" si="334"/>
        <v/>
      </c>
      <c r="L7129" s="58" t="str">
        <f t="shared" si="335"/>
        <v/>
      </c>
    </row>
    <row r="7130" spans="10:12" ht="16.5" customHeight="1" x14ac:dyDescent="0.35">
      <c r="J7130" s="56" t="str">
        <f t="shared" si="333"/>
        <v/>
      </c>
      <c r="K7130" s="74" t="str">
        <f t="shared" si="334"/>
        <v/>
      </c>
      <c r="L7130" s="58" t="str">
        <f t="shared" si="335"/>
        <v/>
      </c>
    </row>
    <row r="7131" spans="10:12" ht="16.5" customHeight="1" x14ac:dyDescent="0.35">
      <c r="J7131" s="56" t="str">
        <f t="shared" si="333"/>
        <v/>
      </c>
      <c r="K7131" s="74" t="str">
        <f t="shared" si="334"/>
        <v/>
      </c>
      <c r="L7131" s="58" t="str">
        <f t="shared" si="335"/>
        <v/>
      </c>
    </row>
    <row r="7132" spans="10:12" ht="16.5" customHeight="1" x14ac:dyDescent="0.35">
      <c r="J7132" s="56" t="str">
        <f t="shared" si="333"/>
        <v/>
      </c>
      <c r="K7132" s="74" t="str">
        <f t="shared" si="334"/>
        <v/>
      </c>
      <c r="L7132" s="58" t="str">
        <f t="shared" si="335"/>
        <v/>
      </c>
    </row>
    <row r="7133" spans="10:12" ht="16.5" customHeight="1" x14ac:dyDescent="0.35">
      <c r="J7133" s="56" t="str">
        <f t="shared" si="333"/>
        <v/>
      </c>
      <c r="K7133" s="74" t="str">
        <f t="shared" si="334"/>
        <v/>
      </c>
      <c r="L7133" s="58" t="str">
        <f t="shared" si="335"/>
        <v/>
      </c>
    </row>
    <row r="7134" spans="10:12" ht="16.5" customHeight="1" x14ac:dyDescent="0.35">
      <c r="J7134" s="56" t="str">
        <f t="shared" si="333"/>
        <v/>
      </c>
      <c r="K7134" s="74" t="str">
        <f t="shared" si="334"/>
        <v/>
      </c>
      <c r="L7134" s="58" t="str">
        <f t="shared" si="335"/>
        <v/>
      </c>
    </row>
    <row r="7135" spans="10:12" ht="16.5" customHeight="1" x14ac:dyDescent="0.35">
      <c r="J7135" s="56" t="str">
        <f t="shared" si="333"/>
        <v/>
      </c>
      <c r="K7135" s="74" t="str">
        <f t="shared" si="334"/>
        <v/>
      </c>
      <c r="L7135" s="58" t="str">
        <f t="shared" si="335"/>
        <v/>
      </c>
    </row>
    <row r="7136" spans="10:12" ht="16.5" customHeight="1" x14ac:dyDescent="0.35">
      <c r="J7136" s="56" t="str">
        <f t="shared" si="333"/>
        <v/>
      </c>
      <c r="K7136" s="74" t="str">
        <f t="shared" si="334"/>
        <v/>
      </c>
      <c r="L7136" s="58" t="str">
        <f t="shared" si="335"/>
        <v/>
      </c>
    </row>
    <row r="7137" spans="10:12" ht="16.5" customHeight="1" x14ac:dyDescent="0.35">
      <c r="J7137" s="56" t="str">
        <f t="shared" si="333"/>
        <v/>
      </c>
      <c r="K7137" s="74" t="str">
        <f t="shared" si="334"/>
        <v/>
      </c>
      <c r="L7137" s="58" t="str">
        <f t="shared" si="335"/>
        <v/>
      </c>
    </row>
    <row r="7138" spans="10:12" ht="16.5" customHeight="1" x14ac:dyDescent="0.35">
      <c r="J7138" s="56" t="str">
        <f t="shared" si="333"/>
        <v/>
      </c>
      <c r="K7138" s="74" t="str">
        <f t="shared" si="334"/>
        <v/>
      </c>
      <c r="L7138" s="58" t="str">
        <f t="shared" si="335"/>
        <v/>
      </c>
    </row>
    <row r="7139" spans="10:12" ht="16.5" customHeight="1" x14ac:dyDescent="0.35">
      <c r="J7139" s="56" t="str">
        <f t="shared" si="333"/>
        <v/>
      </c>
      <c r="K7139" s="74" t="str">
        <f t="shared" si="334"/>
        <v/>
      </c>
      <c r="L7139" s="58" t="str">
        <f t="shared" si="335"/>
        <v/>
      </c>
    </row>
    <row r="7140" spans="10:12" ht="16.5" customHeight="1" x14ac:dyDescent="0.35">
      <c r="J7140" s="56" t="str">
        <f t="shared" si="333"/>
        <v/>
      </c>
      <c r="K7140" s="74" t="str">
        <f t="shared" si="334"/>
        <v/>
      </c>
      <c r="L7140" s="58" t="str">
        <f t="shared" si="335"/>
        <v/>
      </c>
    </row>
    <row r="7141" spans="10:12" ht="16.5" customHeight="1" x14ac:dyDescent="0.35">
      <c r="J7141" s="56" t="str">
        <f t="shared" si="333"/>
        <v/>
      </c>
      <c r="K7141" s="74" t="str">
        <f t="shared" si="334"/>
        <v/>
      </c>
      <c r="L7141" s="58" t="str">
        <f t="shared" si="335"/>
        <v/>
      </c>
    </row>
    <row r="7142" spans="10:12" ht="16.5" customHeight="1" x14ac:dyDescent="0.35">
      <c r="J7142" s="56" t="str">
        <f t="shared" si="333"/>
        <v/>
      </c>
      <c r="K7142" s="74" t="str">
        <f t="shared" si="334"/>
        <v/>
      </c>
      <c r="L7142" s="58" t="str">
        <f t="shared" si="335"/>
        <v/>
      </c>
    </row>
    <row r="7143" spans="10:12" ht="16.5" customHeight="1" x14ac:dyDescent="0.35">
      <c r="J7143" s="56" t="str">
        <f t="shared" si="333"/>
        <v/>
      </c>
      <c r="K7143" s="74" t="str">
        <f t="shared" si="334"/>
        <v/>
      </c>
      <c r="L7143" s="58" t="str">
        <f t="shared" si="335"/>
        <v/>
      </c>
    </row>
    <row r="7144" spans="10:12" ht="16.5" customHeight="1" x14ac:dyDescent="0.35">
      <c r="J7144" s="56" t="str">
        <f t="shared" si="333"/>
        <v/>
      </c>
      <c r="K7144" s="74" t="str">
        <f t="shared" si="334"/>
        <v/>
      </c>
      <c r="L7144" s="58" t="str">
        <f t="shared" si="335"/>
        <v/>
      </c>
    </row>
    <row r="7145" spans="10:12" ht="16.5" customHeight="1" x14ac:dyDescent="0.35">
      <c r="J7145" s="56" t="str">
        <f t="shared" si="333"/>
        <v/>
      </c>
      <c r="K7145" s="74" t="str">
        <f t="shared" si="334"/>
        <v/>
      </c>
      <c r="L7145" s="58" t="str">
        <f t="shared" si="335"/>
        <v/>
      </c>
    </row>
    <row r="7146" spans="10:12" ht="16.5" customHeight="1" x14ac:dyDescent="0.35">
      <c r="J7146" s="56" t="str">
        <f t="shared" si="333"/>
        <v/>
      </c>
      <c r="K7146" s="74" t="str">
        <f t="shared" si="334"/>
        <v/>
      </c>
      <c r="L7146" s="58" t="str">
        <f t="shared" si="335"/>
        <v/>
      </c>
    </row>
    <row r="7147" spans="10:12" ht="16.5" customHeight="1" x14ac:dyDescent="0.35">
      <c r="J7147" s="56" t="str">
        <f t="shared" si="333"/>
        <v/>
      </c>
      <c r="K7147" s="74" t="str">
        <f t="shared" si="334"/>
        <v/>
      </c>
      <c r="L7147" s="58" t="str">
        <f t="shared" si="335"/>
        <v/>
      </c>
    </row>
    <row r="7148" spans="10:12" ht="16.5" customHeight="1" x14ac:dyDescent="0.35">
      <c r="J7148" s="56" t="str">
        <f t="shared" si="333"/>
        <v/>
      </c>
      <c r="K7148" s="74" t="str">
        <f t="shared" si="334"/>
        <v/>
      </c>
      <c r="L7148" s="58" t="str">
        <f t="shared" si="335"/>
        <v/>
      </c>
    </row>
    <row r="7149" spans="10:12" ht="16.5" customHeight="1" x14ac:dyDescent="0.35">
      <c r="J7149" s="56" t="str">
        <f t="shared" si="333"/>
        <v/>
      </c>
      <c r="K7149" s="74" t="str">
        <f t="shared" si="334"/>
        <v/>
      </c>
      <c r="L7149" s="58" t="str">
        <f t="shared" si="335"/>
        <v/>
      </c>
    </row>
    <row r="7150" spans="10:12" ht="16.5" customHeight="1" x14ac:dyDescent="0.35">
      <c r="J7150" s="56" t="str">
        <f t="shared" si="333"/>
        <v/>
      </c>
      <c r="K7150" s="74" t="str">
        <f t="shared" si="334"/>
        <v/>
      </c>
      <c r="L7150" s="58" t="str">
        <f t="shared" si="335"/>
        <v/>
      </c>
    </row>
    <row r="7151" spans="10:12" ht="16.5" customHeight="1" x14ac:dyDescent="0.35">
      <c r="J7151" s="56" t="str">
        <f t="shared" si="333"/>
        <v/>
      </c>
      <c r="K7151" s="74" t="str">
        <f t="shared" si="334"/>
        <v/>
      </c>
      <c r="L7151" s="58" t="str">
        <f t="shared" si="335"/>
        <v/>
      </c>
    </row>
    <row r="7152" spans="10:12" ht="16.5" customHeight="1" x14ac:dyDescent="0.35">
      <c r="J7152" s="56" t="str">
        <f t="shared" si="333"/>
        <v/>
      </c>
      <c r="K7152" s="74" t="str">
        <f t="shared" si="334"/>
        <v/>
      </c>
      <c r="L7152" s="58" t="str">
        <f t="shared" si="335"/>
        <v/>
      </c>
    </row>
    <row r="7153" spans="10:12" ht="16.5" customHeight="1" x14ac:dyDescent="0.35">
      <c r="J7153" s="56" t="str">
        <f t="shared" si="333"/>
        <v/>
      </c>
      <c r="K7153" s="74" t="str">
        <f t="shared" si="334"/>
        <v/>
      </c>
      <c r="L7153" s="58" t="str">
        <f t="shared" si="335"/>
        <v/>
      </c>
    </row>
    <row r="7154" spans="10:12" ht="16.5" customHeight="1" x14ac:dyDescent="0.35">
      <c r="J7154" s="56" t="str">
        <f t="shared" si="333"/>
        <v/>
      </c>
      <c r="K7154" s="74" t="str">
        <f t="shared" si="334"/>
        <v/>
      </c>
      <c r="L7154" s="58" t="str">
        <f t="shared" si="335"/>
        <v/>
      </c>
    </row>
    <row r="7155" spans="10:12" ht="16.5" customHeight="1" x14ac:dyDescent="0.35">
      <c r="J7155" s="56" t="str">
        <f t="shared" si="333"/>
        <v/>
      </c>
      <c r="K7155" s="74" t="str">
        <f t="shared" si="334"/>
        <v/>
      </c>
      <c r="L7155" s="58" t="str">
        <f t="shared" si="335"/>
        <v/>
      </c>
    </row>
    <row r="7156" spans="10:12" ht="16.5" customHeight="1" x14ac:dyDescent="0.35">
      <c r="J7156" s="56" t="str">
        <f t="shared" si="333"/>
        <v/>
      </c>
      <c r="K7156" s="74" t="str">
        <f t="shared" si="334"/>
        <v/>
      </c>
      <c r="L7156" s="58" t="str">
        <f t="shared" si="335"/>
        <v/>
      </c>
    </row>
    <row r="7157" spans="10:12" ht="16.5" customHeight="1" x14ac:dyDescent="0.35">
      <c r="J7157" s="56" t="str">
        <f t="shared" si="333"/>
        <v/>
      </c>
      <c r="K7157" s="74" t="str">
        <f t="shared" si="334"/>
        <v/>
      </c>
      <c r="L7157" s="58" t="str">
        <f t="shared" si="335"/>
        <v/>
      </c>
    </row>
    <row r="7158" spans="10:12" ht="16.5" customHeight="1" x14ac:dyDescent="0.35">
      <c r="J7158" s="56" t="str">
        <f t="shared" si="333"/>
        <v/>
      </c>
      <c r="K7158" s="74" t="str">
        <f t="shared" si="334"/>
        <v/>
      </c>
      <c r="L7158" s="58" t="str">
        <f t="shared" si="335"/>
        <v/>
      </c>
    </row>
    <row r="7159" spans="10:12" ht="16.5" customHeight="1" x14ac:dyDescent="0.35">
      <c r="J7159" s="56" t="str">
        <f t="shared" si="333"/>
        <v/>
      </c>
      <c r="K7159" s="74" t="str">
        <f t="shared" si="334"/>
        <v/>
      </c>
      <c r="L7159" s="58" t="str">
        <f t="shared" si="335"/>
        <v/>
      </c>
    </row>
    <row r="7160" spans="10:12" ht="16.5" customHeight="1" x14ac:dyDescent="0.35">
      <c r="J7160" s="56" t="str">
        <f t="shared" si="333"/>
        <v/>
      </c>
      <c r="K7160" s="74" t="str">
        <f t="shared" si="334"/>
        <v/>
      </c>
      <c r="L7160" s="58" t="str">
        <f t="shared" si="335"/>
        <v/>
      </c>
    </row>
    <row r="7161" spans="10:12" ht="16.5" customHeight="1" x14ac:dyDescent="0.35">
      <c r="J7161" s="56" t="str">
        <f t="shared" si="333"/>
        <v/>
      </c>
      <c r="K7161" s="74" t="str">
        <f t="shared" si="334"/>
        <v/>
      </c>
      <c r="L7161" s="58" t="str">
        <f t="shared" si="335"/>
        <v/>
      </c>
    </row>
    <row r="7162" spans="10:12" ht="16.5" customHeight="1" x14ac:dyDescent="0.35">
      <c r="J7162" s="56" t="str">
        <f t="shared" si="333"/>
        <v/>
      </c>
      <c r="K7162" s="74" t="str">
        <f t="shared" si="334"/>
        <v/>
      </c>
      <c r="L7162" s="58" t="str">
        <f t="shared" si="335"/>
        <v/>
      </c>
    </row>
    <row r="7163" spans="10:12" ht="16.5" customHeight="1" x14ac:dyDescent="0.35">
      <c r="J7163" s="56" t="str">
        <f t="shared" si="333"/>
        <v/>
      </c>
      <c r="K7163" s="74" t="str">
        <f t="shared" si="334"/>
        <v/>
      </c>
      <c r="L7163" s="58" t="str">
        <f t="shared" si="335"/>
        <v/>
      </c>
    </row>
    <row r="7164" spans="10:12" ht="16.5" customHeight="1" x14ac:dyDescent="0.35">
      <c r="J7164" s="56" t="str">
        <f t="shared" si="333"/>
        <v/>
      </c>
      <c r="K7164" s="74" t="str">
        <f t="shared" si="334"/>
        <v/>
      </c>
      <c r="L7164" s="58" t="str">
        <f t="shared" si="335"/>
        <v/>
      </c>
    </row>
    <row r="7165" spans="10:12" ht="16.5" customHeight="1" x14ac:dyDescent="0.35">
      <c r="J7165" s="56" t="str">
        <f t="shared" si="333"/>
        <v/>
      </c>
      <c r="K7165" s="74" t="str">
        <f t="shared" si="334"/>
        <v/>
      </c>
      <c r="L7165" s="58" t="str">
        <f t="shared" si="335"/>
        <v/>
      </c>
    </row>
    <row r="7166" spans="10:12" ht="16.5" customHeight="1" x14ac:dyDescent="0.35">
      <c r="J7166" s="56" t="str">
        <f t="shared" si="333"/>
        <v/>
      </c>
      <c r="K7166" s="74" t="str">
        <f t="shared" si="334"/>
        <v/>
      </c>
      <c r="L7166" s="58" t="str">
        <f t="shared" si="335"/>
        <v/>
      </c>
    </row>
    <row r="7167" spans="10:12" ht="16.5" customHeight="1" x14ac:dyDescent="0.35">
      <c r="J7167" s="56" t="str">
        <f t="shared" si="333"/>
        <v/>
      </c>
      <c r="K7167" s="74" t="str">
        <f t="shared" si="334"/>
        <v/>
      </c>
      <c r="L7167" s="58" t="str">
        <f t="shared" si="335"/>
        <v/>
      </c>
    </row>
    <row r="7168" spans="10:12" ht="16.5" customHeight="1" x14ac:dyDescent="0.35">
      <c r="J7168" s="56" t="str">
        <f t="shared" si="333"/>
        <v/>
      </c>
      <c r="K7168" s="74" t="str">
        <f t="shared" si="334"/>
        <v/>
      </c>
      <c r="L7168" s="58" t="str">
        <f t="shared" si="335"/>
        <v/>
      </c>
    </row>
    <row r="7169" spans="10:12" ht="16.5" customHeight="1" x14ac:dyDescent="0.35">
      <c r="J7169" s="56" t="str">
        <f t="shared" si="333"/>
        <v/>
      </c>
      <c r="K7169" s="74" t="str">
        <f t="shared" si="334"/>
        <v/>
      </c>
      <c r="L7169" s="58" t="str">
        <f t="shared" si="335"/>
        <v/>
      </c>
    </row>
    <row r="7170" spans="10:12" ht="16.5" customHeight="1" x14ac:dyDescent="0.35">
      <c r="J7170" s="56" t="str">
        <f t="shared" si="333"/>
        <v/>
      </c>
      <c r="K7170" s="74" t="str">
        <f t="shared" si="334"/>
        <v/>
      </c>
      <c r="L7170" s="58" t="str">
        <f t="shared" si="335"/>
        <v/>
      </c>
    </row>
    <row r="7171" spans="10:12" ht="16.5" customHeight="1" x14ac:dyDescent="0.35">
      <c r="J7171" s="56" t="str">
        <f t="shared" si="333"/>
        <v/>
      </c>
      <c r="K7171" s="74" t="str">
        <f t="shared" si="334"/>
        <v/>
      </c>
      <c r="L7171" s="58" t="str">
        <f t="shared" si="335"/>
        <v/>
      </c>
    </row>
    <row r="7172" spans="10:12" ht="16.5" customHeight="1" x14ac:dyDescent="0.35">
      <c r="J7172" s="56" t="str">
        <f t="shared" si="333"/>
        <v/>
      </c>
      <c r="K7172" s="74" t="str">
        <f t="shared" si="334"/>
        <v/>
      </c>
      <c r="L7172" s="58" t="str">
        <f t="shared" si="335"/>
        <v/>
      </c>
    </row>
    <row r="7173" spans="10:12" ht="16.5" customHeight="1" x14ac:dyDescent="0.35">
      <c r="J7173" s="56" t="str">
        <f t="shared" si="333"/>
        <v/>
      </c>
      <c r="K7173" s="74" t="str">
        <f t="shared" si="334"/>
        <v/>
      </c>
      <c r="L7173" s="58" t="str">
        <f t="shared" si="335"/>
        <v/>
      </c>
    </row>
    <row r="7174" spans="10:12" ht="16.5" customHeight="1" x14ac:dyDescent="0.35">
      <c r="J7174" s="56" t="str">
        <f t="shared" si="333"/>
        <v/>
      </c>
      <c r="K7174" s="74" t="str">
        <f t="shared" si="334"/>
        <v/>
      </c>
      <c r="L7174" s="58" t="str">
        <f t="shared" si="335"/>
        <v/>
      </c>
    </row>
    <row r="7175" spans="10:12" ht="16.5" customHeight="1" x14ac:dyDescent="0.35">
      <c r="J7175" s="56" t="str">
        <f t="shared" si="333"/>
        <v/>
      </c>
      <c r="K7175" s="74" t="str">
        <f t="shared" si="334"/>
        <v/>
      </c>
      <c r="L7175" s="58" t="str">
        <f t="shared" si="335"/>
        <v/>
      </c>
    </row>
    <row r="7176" spans="10:12" ht="16.5" customHeight="1" x14ac:dyDescent="0.35">
      <c r="J7176" s="56" t="str">
        <f t="shared" si="333"/>
        <v/>
      </c>
      <c r="K7176" s="74" t="str">
        <f t="shared" si="334"/>
        <v/>
      </c>
      <c r="L7176" s="58" t="str">
        <f t="shared" si="335"/>
        <v/>
      </c>
    </row>
    <row r="7177" spans="10:12" ht="16.5" customHeight="1" x14ac:dyDescent="0.35">
      <c r="J7177" s="56" t="str">
        <f t="shared" ref="J7177:J7240" si="336">IF(A7177="","",A$5-A7177)</f>
        <v/>
      </c>
      <c r="K7177" s="74" t="str">
        <f t="shared" ref="K7177:K7240" si="337">IF(J7177="","",IF(J7177&lt;4,"0-3 Days",IF(J7177&lt;31,"4-30 Days",IF(J7177&lt;61,"31-60 Days",IF(J7177&lt;=90,"61-90 Days",IF(J7177&gt;90,"Above 90 Days","0"))))))</f>
        <v/>
      </c>
      <c r="L7177" s="58" t="str">
        <f t="shared" ref="L7177:L7240" si="338">IF(C7177="","",IF(C7177&gt;0,IF(J7177&lt;30,"Normal",IF(J7177&lt;60,"Especially Mentioned",IF(J7177&lt;90,"Substandard",IF(J7177&lt;=180,"Doubtful",IF(J7177&gt;180,"Loss","0"))))),"Not Applicable"))</f>
        <v/>
      </c>
    </row>
    <row r="7178" spans="10:12" ht="16.5" customHeight="1" x14ac:dyDescent="0.35">
      <c r="J7178" s="56" t="str">
        <f t="shared" si="336"/>
        <v/>
      </c>
      <c r="K7178" s="74" t="str">
        <f t="shared" si="337"/>
        <v/>
      </c>
      <c r="L7178" s="58" t="str">
        <f t="shared" si="338"/>
        <v/>
      </c>
    </row>
    <row r="7179" spans="10:12" ht="16.5" customHeight="1" x14ac:dyDescent="0.35">
      <c r="J7179" s="56" t="str">
        <f t="shared" si="336"/>
        <v/>
      </c>
      <c r="K7179" s="74" t="str">
        <f t="shared" si="337"/>
        <v/>
      </c>
      <c r="L7179" s="58" t="str">
        <f t="shared" si="338"/>
        <v/>
      </c>
    </row>
    <row r="7180" spans="10:12" ht="16.5" customHeight="1" x14ac:dyDescent="0.35">
      <c r="J7180" s="56" t="str">
        <f t="shared" si="336"/>
        <v/>
      </c>
      <c r="K7180" s="74" t="str">
        <f t="shared" si="337"/>
        <v/>
      </c>
      <c r="L7180" s="58" t="str">
        <f t="shared" si="338"/>
        <v/>
      </c>
    </row>
    <row r="7181" spans="10:12" ht="16.5" customHeight="1" x14ac:dyDescent="0.35">
      <c r="J7181" s="56" t="str">
        <f t="shared" si="336"/>
        <v/>
      </c>
      <c r="K7181" s="74" t="str">
        <f t="shared" si="337"/>
        <v/>
      </c>
      <c r="L7181" s="58" t="str">
        <f t="shared" si="338"/>
        <v/>
      </c>
    </row>
    <row r="7182" spans="10:12" ht="16.5" customHeight="1" x14ac:dyDescent="0.35">
      <c r="J7182" s="56" t="str">
        <f t="shared" si="336"/>
        <v/>
      </c>
      <c r="K7182" s="74" t="str">
        <f t="shared" si="337"/>
        <v/>
      </c>
      <c r="L7182" s="58" t="str">
        <f t="shared" si="338"/>
        <v/>
      </c>
    </row>
    <row r="7183" spans="10:12" ht="16.5" customHeight="1" x14ac:dyDescent="0.35">
      <c r="J7183" s="56" t="str">
        <f t="shared" si="336"/>
        <v/>
      </c>
      <c r="K7183" s="74" t="str">
        <f t="shared" si="337"/>
        <v/>
      </c>
      <c r="L7183" s="58" t="str">
        <f t="shared" si="338"/>
        <v/>
      </c>
    </row>
    <row r="7184" spans="10:12" ht="16.5" customHeight="1" x14ac:dyDescent="0.35">
      <c r="J7184" s="56" t="str">
        <f t="shared" si="336"/>
        <v/>
      </c>
      <c r="K7184" s="74" t="str">
        <f t="shared" si="337"/>
        <v/>
      </c>
      <c r="L7184" s="58" t="str">
        <f t="shared" si="338"/>
        <v/>
      </c>
    </row>
    <row r="7185" spans="10:12" ht="16.5" customHeight="1" x14ac:dyDescent="0.35">
      <c r="J7185" s="56" t="str">
        <f t="shared" si="336"/>
        <v/>
      </c>
      <c r="K7185" s="74" t="str">
        <f t="shared" si="337"/>
        <v/>
      </c>
      <c r="L7185" s="58" t="str">
        <f t="shared" si="338"/>
        <v/>
      </c>
    </row>
    <row r="7186" spans="10:12" ht="16.5" customHeight="1" x14ac:dyDescent="0.35">
      <c r="J7186" s="56" t="str">
        <f t="shared" si="336"/>
        <v/>
      </c>
      <c r="K7186" s="74" t="str">
        <f t="shared" si="337"/>
        <v/>
      </c>
      <c r="L7186" s="58" t="str">
        <f t="shared" si="338"/>
        <v/>
      </c>
    </row>
    <row r="7187" spans="10:12" ht="16.5" customHeight="1" x14ac:dyDescent="0.35">
      <c r="J7187" s="56" t="str">
        <f t="shared" si="336"/>
        <v/>
      </c>
      <c r="K7187" s="74" t="str">
        <f t="shared" si="337"/>
        <v/>
      </c>
      <c r="L7187" s="58" t="str">
        <f t="shared" si="338"/>
        <v/>
      </c>
    </row>
    <row r="7188" spans="10:12" ht="16.5" customHeight="1" x14ac:dyDescent="0.35">
      <c r="J7188" s="56" t="str">
        <f t="shared" si="336"/>
        <v/>
      </c>
      <c r="K7188" s="74" t="str">
        <f t="shared" si="337"/>
        <v/>
      </c>
      <c r="L7188" s="58" t="str">
        <f t="shared" si="338"/>
        <v/>
      </c>
    </row>
    <row r="7189" spans="10:12" ht="16.5" customHeight="1" x14ac:dyDescent="0.35">
      <c r="J7189" s="56" t="str">
        <f t="shared" si="336"/>
        <v/>
      </c>
      <c r="K7189" s="74" t="str">
        <f t="shared" si="337"/>
        <v/>
      </c>
      <c r="L7189" s="58" t="str">
        <f t="shared" si="338"/>
        <v/>
      </c>
    </row>
    <row r="7190" spans="10:12" ht="16.5" customHeight="1" x14ac:dyDescent="0.35">
      <c r="J7190" s="56" t="str">
        <f t="shared" si="336"/>
        <v/>
      </c>
      <c r="K7190" s="74" t="str">
        <f t="shared" si="337"/>
        <v/>
      </c>
      <c r="L7190" s="58" t="str">
        <f t="shared" si="338"/>
        <v/>
      </c>
    </row>
    <row r="7191" spans="10:12" ht="16.5" customHeight="1" x14ac:dyDescent="0.35">
      <c r="J7191" s="56" t="str">
        <f t="shared" si="336"/>
        <v/>
      </c>
      <c r="K7191" s="74" t="str">
        <f t="shared" si="337"/>
        <v/>
      </c>
      <c r="L7191" s="58" t="str">
        <f t="shared" si="338"/>
        <v/>
      </c>
    </row>
    <row r="7192" spans="10:12" ht="16.5" customHeight="1" x14ac:dyDescent="0.35">
      <c r="J7192" s="56" t="str">
        <f t="shared" si="336"/>
        <v/>
      </c>
      <c r="K7192" s="74" t="str">
        <f t="shared" si="337"/>
        <v/>
      </c>
      <c r="L7192" s="58" t="str">
        <f t="shared" si="338"/>
        <v/>
      </c>
    </row>
    <row r="7193" spans="10:12" ht="16.5" customHeight="1" x14ac:dyDescent="0.35">
      <c r="J7193" s="56" t="str">
        <f t="shared" si="336"/>
        <v/>
      </c>
      <c r="K7193" s="74" t="str">
        <f t="shared" si="337"/>
        <v/>
      </c>
      <c r="L7193" s="58" t="str">
        <f t="shared" si="338"/>
        <v/>
      </c>
    </row>
    <row r="7194" spans="10:12" ht="16.5" customHeight="1" x14ac:dyDescent="0.35">
      <c r="J7194" s="56" t="str">
        <f t="shared" si="336"/>
        <v/>
      </c>
      <c r="K7194" s="74" t="str">
        <f t="shared" si="337"/>
        <v/>
      </c>
      <c r="L7194" s="58" t="str">
        <f t="shared" si="338"/>
        <v/>
      </c>
    </row>
    <row r="7195" spans="10:12" ht="16.5" customHeight="1" x14ac:dyDescent="0.35">
      <c r="J7195" s="56" t="str">
        <f t="shared" si="336"/>
        <v/>
      </c>
      <c r="K7195" s="74" t="str">
        <f t="shared" si="337"/>
        <v/>
      </c>
      <c r="L7195" s="58" t="str">
        <f t="shared" si="338"/>
        <v/>
      </c>
    </row>
    <row r="7196" spans="10:12" ht="16.5" customHeight="1" x14ac:dyDescent="0.35">
      <c r="J7196" s="56" t="str">
        <f t="shared" si="336"/>
        <v/>
      </c>
      <c r="K7196" s="74" t="str">
        <f t="shared" si="337"/>
        <v/>
      </c>
      <c r="L7196" s="58" t="str">
        <f t="shared" si="338"/>
        <v/>
      </c>
    </row>
    <row r="7197" spans="10:12" ht="16.5" customHeight="1" x14ac:dyDescent="0.35">
      <c r="J7197" s="56" t="str">
        <f t="shared" si="336"/>
        <v/>
      </c>
      <c r="K7197" s="74" t="str">
        <f t="shared" si="337"/>
        <v/>
      </c>
      <c r="L7197" s="58" t="str">
        <f t="shared" si="338"/>
        <v/>
      </c>
    </row>
    <row r="7198" spans="10:12" ht="16.5" customHeight="1" x14ac:dyDescent="0.35">
      <c r="J7198" s="56" t="str">
        <f t="shared" si="336"/>
        <v/>
      </c>
      <c r="K7198" s="74" t="str">
        <f t="shared" si="337"/>
        <v/>
      </c>
      <c r="L7198" s="58" t="str">
        <f t="shared" si="338"/>
        <v/>
      </c>
    </row>
    <row r="7199" spans="10:12" ht="16.5" customHeight="1" x14ac:dyDescent="0.35">
      <c r="J7199" s="56" t="str">
        <f t="shared" si="336"/>
        <v/>
      </c>
      <c r="K7199" s="74" t="str">
        <f t="shared" si="337"/>
        <v/>
      </c>
      <c r="L7199" s="58" t="str">
        <f t="shared" si="338"/>
        <v/>
      </c>
    </row>
    <row r="7200" spans="10:12" ht="16.5" customHeight="1" x14ac:dyDescent="0.35">
      <c r="J7200" s="56" t="str">
        <f t="shared" si="336"/>
        <v/>
      </c>
      <c r="K7200" s="74" t="str">
        <f t="shared" si="337"/>
        <v/>
      </c>
      <c r="L7200" s="58" t="str">
        <f t="shared" si="338"/>
        <v/>
      </c>
    </row>
    <row r="7201" spans="10:12" ht="16.5" customHeight="1" x14ac:dyDescent="0.35">
      <c r="J7201" s="56" t="str">
        <f t="shared" si="336"/>
        <v/>
      </c>
      <c r="K7201" s="74" t="str">
        <f t="shared" si="337"/>
        <v/>
      </c>
      <c r="L7201" s="58" t="str">
        <f t="shared" si="338"/>
        <v/>
      </c>
    </row>
    <row r="7202" spans="10:12" ht="16.5" customHeight="1" x14ac:dyDescent="0.35">
      <c r="J7202" s="56" t="str">
        <f t="shared" si="336"/>
        <v/>
      </c>
      <c r="K7202" s="74" t="str">
        <f t="shared" si="337"/>
        <v/>
      </c>
      <c r="L7202" s="58" t="str">
        <f t="shared" si="338"/>
        <v/>
      </c>
    </row>
    <row r="7203" spans="10:12" ht="16.5" customHeight="1" x14ac:dyDescent="0.35">
      <c r="J7203" s="56" t="str">
        <f t="shared" si="336"/>
        <v/>
      </c>
      <c r="K7203" s="74" t="str">
        <f t="shared" si="337"/>
        <v/>
      </c>
      <c r="L7203" s="58" t="str">
        <f t="shared" si="338"/>
        <v/>
      </c>
    </row>
    <row r="7204" spans="10:12" ht="16.5" customHeight="1" x14ac:dyDescent="0.35">
      <c r="J7204" s="56" t="str">
        <f t="shared" si="336"/>
        <v/>
      </c>
      <c r="K7204" s="74" t="str">
        <f t="shared" si="337"/>
        <v/>
      </c>
      <c r="L7204" s="58" t="str">
        <f t="shared" si="338"/>
        <v/>
      </c>
    </row>
    <row r="7205" spans="10:12" ht="16.5" customHeight="1" x14ac:dyDescent="0.35">
      <c r="J7205" s="56" t="str">
        <f t="shared" si="336"/>
        <v/>
      </c>
      <c r="K7205" s="74" t="str">
        <f t="shared" si="337"/>
        <v/>
      </c>
      <c r="L7205" s="58" t="str">
        <f t="shared" si="338"/>
        <v/>
      </c>
    </row>
    <row r="7206" spans="10:12" ht="16.5" customHeight="1" x14ac:dyDescent="0.35">
      <c r="J7206" s="56" t="str">
        <f t="shared" si="336"/>
        <v/>
      </c>
      <c r="K7206" s="74" t="str">
        <f t="shared" si="337"/>
        <v/>
      </c>
      <c r="L7206" s="58" t="str">
        <f t="shared" si="338"/>
        <v/>
      </c>
    </row>
    <row r="7207" spans="10:12" ht="16.5" customHeight="1" x14ac:dyDescent="0.35">
      <c r="J7207" s="56" t="str">
        <f t="shared" si="336"/>
        <v/>
      </c>
      <c r="K7207" s="74" t="str">
        <f t="shared" si="337"/>
        <v/>
      </c>
      <c r="L7207" s="58" t="str">
        <f t="shared" si="338"/>
        <v/>
      </c>
    </row>
    <row r="7208" spans="10:12" ht="16.5" customHeight="1" x14ac:dyDescent="0.35">
      <c r="J7208" s="56" t="str">
        <f t="shared" si="336"/>
        <v/>
      </c>
      <c r="K7208" s="74" t="str">
        <f t="shared" si="337"/>
        <v/>
      </c>
      <c r="L7208" s="58" t="str">
        <f t="shared" si="338"/>
        <v/>
      </c>
    </row>
    <row r="7209" spans="10:12" ht="16.5" customHeight="1" x14ac:dyDescent="0.35">
      <c r="J7209" s="56" t="str">
        <f t="shared" si="336"/>
        <v/>
      </c>
      <c r="K7209" s="74" t="str">
        <f t="shared" si="337"/>
        <v/>
      </c>
      <c r="L7209" s="58" t="str">
        <f t="shared" si="338"/>
        <v/>
      </c>
    </row>
    <row r="7210" spans="10:12" ht="16.5" customHeight="1" x14ac:dyDescent="0.35">
      <c r="J7210" s="56" t="str">
        <f t="shared" si="336"/>
        <v/>
      </c>
      <c r="K7210" s="74" t="str">
        <f t="shared" si="337"/>
        <v/>
      </c>
      <c r="L7210" s="58" t="str">
        <f t="shared" si="338"/>
        <v/>
      </c>
    </row>
    <row r="7211" spans="10:12" ht="16.5" customHeight="1" x14ac:dyDescent="0.35">
      <c r="J7211" s="56" t="str">
        <f t="shared" si="336"/>
        <v/>
      </c>
      <c r="K7211" s="74" t="str">
        <f t="shared" si="337"/>
        <v/>
      </c>
      <c r="L7211" s="58" t="str">
        <f t="shared" si="338"/>
        <v/>
      </c>
    </row>
    <row r="7212" spans="10:12" ht="16.5" customHeight="1" x14ac:dyDescent="0.35">
      <c r="J7212" s="56" t="str">
        <f t="shared" si="336"/>
        <v/>
      </c>
      <c r="K7212" s="74" t="str">
        <f t="shared" si="337"/>
        <v/>
      </c>
      <c r="L7212" s="58" t="str">
        <f t="shared" si="338"/>
        <v/>
      </c>
    </row>
    <row r="7213" spans="10:12" ht="16.5" customHeight="1" x14ac:dyDescent="0.35">
      <c r="J7213" s="56" t="str">
        <f t="shared" si="336"/>
        <v/>
      </c>
      <c r="K7213" s="74" t="str">
        <f t="shared" si="337"/>
        <v/>
      </c>
      <c r="L7213" s="58" t="str">
        <f t="shared" si="338"/>
        <v/>
      </c>
    </row>
    <row r="7214" spans="10:12" ht="16.5" customHeight="1" x14ac:dyDescent="0.35">
      <c r="J7214" s="56" t="str">
        <f t="shared" si="336"/>
        <v/>
      </c>
      <c r="K7214" s="74" t="str">
        <f t="shared" si="337"/>
        <v/>
      </c>
      <c r="L7214" s="58" t="str">
        <f t="shared" si="338"/>
        <v/>
      </c>
    </row>
    <row r="7215" spans="10:12" ht="16.5" customHeight="1" x14ac:dyDescent="0.35">
      <c r="J7215" s="56" t="str">
        <f t="shared" si="336"/>
        <v/>
      </c>
      <c r="K7215" s="74" t="str">
        <f t="shared" si="337"/>
        <v/>
      </c>
      <c r="L7215" s="58" t="str">
        <f t="shared" si="338"/>
        <v/>
      </c>
    </row>
    <row r="7216" spans="10:12" ht="16.5" customHeight="1" x14ac:dyDescent="0.35">
      <c r="J7216" s="56" t="str">
        <f t="shared" si="336"/>
        <v/>
      </c>
      <c r="K7216" s="74" t="str">
        <f t="shared" si="337"/>
        <v/>
      </c>
      <c r="L7216" s="58" t="str">
        <f t="shared" si="338"/>
        <v/>
      </c>
    </row>
    <row r="7217" spans="10:12" ht="16.5" customHeight="1" x14ac:dyDescent="0.35">
      <c r="J7217" s="56" t="str">
        <f t="shared" si="336"/>
        <v/>
      </c>
      <c r="K7217" s="74" t="str">
        <f t="shared" si="337"/>
        <v/>
      </c>
      <c r="L7217" s="58" t="str">
        <f t="shared" si="338"/>
        <v/>
      </c>
    </row>
    <row r="7218" spans="10:12" ht="16.5" customHeight="1" x14ac:dyDescent="0.35">
      <c r="J7218" s="56" t="str">
        <f t="shared" si="336"/>
        <v/>
      </c>
      <c r="K7218" s="74" t="str">
        <f t="shared" si="337"/>
        <v/>
      </c>
      <c r="L7218" s="58" t="str">
        <f t="shared" si="338"/>
        <v/>
      </c>
    </row>
    <row r="7219" spans="10:12" ht="16.5" customHeight="1" x14ac:dyDescent="0.35">
      <c r="J7219" s="56" t="str">
        <f t="shared" si="336"/>
        <v/>
      </c>
      <c r="K7219" s="74" t="str">
        <f t="shared" si="337"/>
        <v/>
      </c>
      <c r="L7219" s="58" t="str">
        <f t="shared" si="338"/>
        <v/>
      </c>
    </row>
    <row r="7220" spans="10:12" ht="16.5" customHeight="1" x14ac:dyDescent="0.35">
      <c r="J7220" s="56" t="str">
        <f t="shared" si="336"/>
        <v/>
      </c>
      <c r="K7220" s="74" t="str">
        <f t="shared" si="337"/>
        <v/>
      </c>
      <c r="L7220" s="58" t="str">
        <f t="shared" si="338"/>
        <v/>
      </c>
    </row>
    <row r="7221" spans="10:12" ht="16.5" customHeight="1" x14ac:dyDescent="0.35">
      <c r="J7221" s="56" t="str">
        <f t="shared" si="336"/>
        <v/>
      </c>
      <c r="K7221" s="74" t="str">
        <f t="shared" si="337"/>
        <v/>
      </c>
      <c r="L7221" s="58" t="str">
        <f t="shared" si="338"/>
        <v/>
      </c>
    </row>
    <row r="7222" spans="10:12" ht="16.5" customHeight="1" x14ac:dyDescent="0.35">
      <c r="J7222" s="56" t="str">
        <f t="shared" si="336"/>
        <v/>
      </c>
      <c r="K7222" s="74" t="str">
        <f t="shared" si="337"/>
        <v/>
      </c>
      <c r="L7222" s="58" t="str">
        <f t="shared" si="338"/>
        <v/>
      </c>
    </row>
    <row r="7223" spans="10:12" ht="16.5" customHeight="1" x14ac:dyDescent="0.35">
      <c r="J7223" s="56" t="str">
        <f t="shared" si="336"/>
        <v/>
      </c>
      <c r="K7223" s="74" t="str">
        <f t="shared" si="337"/>
        <v/>
      </c>
      <c r="L7223" s="58" t="str">
        <f t="shared" si="338"/>
        <v/>
      </c>
    </row>
    <row r="7224" spans="10:12" ht="16.5" customHeight="1" x14ac:dyDescent="0.35">
      <c r="J7224" s="56" t="str">
        <f t="shared" si="336"/>
        <v/>
      </c>
      <c r="K7224" s="74" t="str">
        <f t="shared" si="337"/>
        <v/>
      </c>
      <c r="L7224" s="58" t="str">
        <f t="shared" si="338"/>
        <v/>
      </c>
    </row>
    <row r="7225" spans="10:12" ht="16.5" customHeight="1" x14ac:dyDescent="0.35">
      <c r="J7225" s="56" t="str">
        <f t="shared" si="336"/>
        <v/>
      </c>
      <c r="K7225" s="74" t="str">
        <f t="shared" si="337"/>
        <v/>
      </c>
      <c r="L7225" s="58" t="str">
        <f t="shared" si="338"/>
        <v/>
      </c>
    </row>
    <row r="7226" spans="10:12" ht="16.5" customHeight="1" x14ac:dyDescent="0.35">
      <c r="J7226" s="56" t="str">
        <f t="shared" si="336"/>
        <v/>
      </c>
      <c r="K7226" s="74" t="str">
        <f t="shared" si="337"/>
        <v/>
      </c>
      <c r="L7226" s="58" t="str">
        <f t="shared" si="338"/>
        <v/>
      </c>
    </row>
    <row r="7227" spans="10:12" ht="16.5" customHeight="1" x14ac:dyDescent="0.35">
      <c r="J7227" s="56" t="str">
        <f t="shared" si="336"/>
        <v/>
      </c>
      <c r="K7227" s="74" t="str">
        <f t="shared" si="337"/>
        <v/>
      </c>
      <c r="L7227" s="58" t="str">
        <f t="shared" si="338"/>
        <v/>
      </c>
    </row>
    <row r="7228" spans="10:12" ht="16.5" customHeight="1" x14ac:dyDescent="0.35">
      <c r="J7228" s="56" t="str">
        <f t="shared" si="336"/>
        <v/>
      </c>
      <c r="K7228" s="74" t="str">
        <f t="shared" si="337"/>
        <v/>
      </c>
      <c r="L7228" s="58" t="str">
        <f t="shared" si="338"/>
        <v/>
      </c>
    </row>
    <row r="7229" spans="10:12" ht="16.5" customHeight="1" x14ac:dyDescent="0.35">
      <c r="J7229" s="56" t="str">
        <f t="shared" si="336"/>
        <v/>
      </c>
      <c r="K7229" s="74" t="str">
        <f t="shared" si="337"/>
        <v/>
      </c>
      <c r="L7229" s="58" t="str">
        <f t="shared" si="338"/>
        <v/>
      </c>
    </row>
    <row r="7230" spans="10:12" ht="16.5" customHeight="1" x14ac:dyDescent="0.35">
      <c r="J7230" s="56" t="str">
        <f t="shared" si="336"/>
        <v/>
      </c>
      <c r="K7230" s="74" t="str">
        <f t="shared" si="337"/>
        <v/>
      </c>
      <c r="L7230" s="58" t="str">
        <f t="shared" si="338"/>
        <v/>
      </c>
    </row>
    <row r="7231" spans="10:12" ht="16.5" customHeight="1" x14ac:dyDescent="0.35">
      <c r="J7231" s="56" t="str">
        <f t="shared" si="336"/>
        <v/>
      </c>
      <c r="K7231" s="74" t="str">
        <f t="shared" si="337"/>
        <v/>
      </c>
      <c r="L7231" s="58" t="str">
        <f t="shared" si="338"/>
        <v/>
      </c>
    </row>
    <row r="7232" spans="10:12" ht="16.5" customHeight="1" x14ac:dyDescent="0.35">
      <c r="J7232" s="56" t="str">
        <f t="shared" si="336"/>
        <v/>
      </c>
      <c r="K7232" s="74" t="str">
        <f t="shared" si="337"/>
        <v/>
      </c>
      <c r="L7232" s="58" t="str">
        <f t="shared" si="338"/>
        <v/>
      </c>
    </row>
    <row r="7233" spans="10:12" ht="16.5" customHeight="1" x14ac:dyDescent="0.35">
      <c r="J7233" s="56" t="str">
        <f t="shared" si="336"/>
        <v/>
      </c>
      <c r="K7233" s="74" t="str">
        <f t="shared" si="337"/>
        <v/>
      </c>
      <c r="L7233" s="58" t="str">
        <f t="shared" si="338"/>
        <v/>
      </c>
    </row>
    <row r="7234" spans="10:12" ht="16.5" customHeight="1" x14ac:dyDescent="0.35">
      <c r="J7234" s="56" t="str">
        <f t="shared" si="336"/>
        <v/>
      </c>
      <c r="K7234" s="74" t="str">
        <f t="shared" si="337"/>
        <v/>
      </c>
      <c r="L7234" s="58" t="str">
        <f t="shared" si="338"/>
        <v/>
      </c>
    </row>
    <row r="7235" spans="10:12" ht="16.5" customHeight="1" x14ac:dyDescent="0.35">
      <c r="J7235" s="56" t="str">
        <f t="shared" si="336"/>
        <v/>
      </c>
      <c r="K7235" s="74" t="str">
        <f t="shared" si="337"/>
        <v/>
      </c>
      <c r="L7235" s="58" t="str">
        <f t="shared" si="338"/>
        <v/>
      </c>
    </row>
    <row r="7236" spans="10:12" ht="16.5" customHeight="1" x14ac:dyDescent="0.35">
      <c r="J7236" s="56" t="str">
        <f t="shared" si="336"/>
        <v/>
      </c>
      <c r="K7236" s="74" t="str">
        <f t="shared" si="337"/>
        <v/>
      </c>
      <c r="L7236" s="58" t="str">
        <f t="shared" si="338"/>
        <v/>
      </c>
    </row>
    <row r="7237" spans="10:12" ht="16.5" customHeight="1" x14ac:dyDescent="0.35">
      <c r="J7237" s="56" t="str">
        <f t="shared" si="336"/>
        <v/>
      </c>
      <c r="K7237" s="74" t="str">
        <f t="shared" si="337"/>
        <v/>
      </c>
      <c r="L7237" s="58" t="str">
        <f t="shared" si="338"/>
        <v/>
      </c>
    </row>
    <row r="7238" spans="10:12" ht="16.5" customHeight="1" x14ac:dyDescent="0.35">
      <c r="J7238" s="56" t="str">
        <f t="shared" si="336"/>
        <v/>
      </c>
      <c r="K7238" s="74" t="str">
        <f t="shared" si="337"/>
        <v/>
      </c>
      <c r="L7238" s="58" t="str">
        <f t="shared" si="338"/>
        <v/>
      </c>
    </row>
    <row r="7239" spans="10:12" ht="16.5" customHeight="1" x14ac:dyDescent="0.35">
      <c r="J7239" s="56" t="str">
        <f t="shared" si="336"/>
        <v/>
      </c>
      <c r="K7239" s="74" t="str">
        <f t="shared" si="337"/>
        <v/>
      </c>
      <c r="L7239" s="58" t="str">
        <f t="shared" si="338"/>
        <v/>
      </c>
    </row>
    <row r="7240" spans="10:12" ht="16.5" customHeight="1" x14ac:dyDescent="0.35">
      <c r="J7240" s="56" t="str">
        <f t="shared" si="336"/>
        <v/>
      </c>
      <c r="K7240" s="74" t="str">
        <f t="shared" si="337"/>
        <v/>
      </c>
      <c r="L7240" s="58" t="str">
        <f t="shared" si="338"/>
        <v/>
      </c>
    </row>
    <row r="7241" spans="10:12" ht="16.5" customHeight="1" x14ac:dyDescent="0.35">
      <c r="J7241" s="56" t="str">
        <f t="shared" ref="J7241:J7303" si="339">IF(A7241="","",A$5-A7241)</f>
        <v/>
      </c>
      <c r="K7241" s="74" t="str">
        <f t="shared" ref="K7241:K7303" si="340">IF(J7241="","",IF(J7241&lt;4,"0-3 Days",IF(J7241&lt;31,"4-30 Days",IF(J7241&lt;61,"31-60 Days",IF(J7241&lt;=90,"61-90 Days",IF(J7241&gt;90,"Above 90 Days","0"))))))</f>
        <v/>
      </c>
      <c r="L7241" s="58" t="str">
        <f t="shared" ref="L7241:L7303" si="341">IF(C7241="","",IF(C7241&gt;0,IF(J7241&lt;30,"Normal",IF(J7241&lt;60,"Especially Mentioned",IF(J7241&lt;90,"Substandard",IF(J7241&lt;=180,"Doubtful",IF(J7241&gt;180,"Loss","0"))))),"Not Applicable"))</f>
        <v/>
      </c>
    </row>
    <row r="7242" spans="10:12" ht="16.5" customHeight="1" x14ac:dyDescent="0.35">
      <c r="J7242" s="56" t="str">
        <f t="shared" si="339"/>
        <v/>
      </c>
      <c r="K7242" s="74" t="str">
        <f t="shared" si="340"/>
        <v/>
      </c>
      <c r="L7242" s="58" t="str">
        <f t="shared" si="341"/>
        <v/>
      </c>
    </row>
    <row r="7243" spans="10:12" ht="16.5" customHeight="1" x14ac:dyDescent="0.35">
      <c r="J7243" s="56" t="str">
        <f t="shared" si="339"/>
        <v/>
      </c>
      <c r="K7243" s="74" t="str">
        <f t="shared" si="340"/>
        <v/>
      </c>
      <c r="L7243" s="58" t="str">
        <f t="shared" si="341"/>
        <v/>
      </c>
    </row>
    <row r="7244" spans="10:12" ht="16.5" customHeight="1" x14ac:dyDescent="0.35">
      <c r="J7244" s="56" t="str">
        <f t="shared" si="339"/>
        <v/>
      </c>
      <c r="K7244" s="74" t="str">
        <f t="shared" si="340"/>
        <v/>
      </c>
      <c r="L7244" s="58" t="str">
        <f t="shared" si="341"/>
        <v/>
      </c>
    </row>
    <row r="7245" spans="10:12" ht="16.5" customHeight="1" x14ac:dyDescent="0.35">
      <c r="J7245" s="56" t="str">
        <f t="shared" si="339"/>
        <v/>
      </c>
      <c r="K7245" s="74" t="str">
        <f t="shared" si="340"/>
        <v/>
      </c>
      <c r="L7245" s="58" t="str">
        <f t="shared" si="341"/>
        <v/>
      </c>
    </row>
    <row r="7246" spans="10:12" ht="16.5" customHeight="1" x14ac:dyDescent="0.35">
      <c r="J7246" s="56" t="str">
        <f t="shared" si="339"/>
        <v/>
      </c>
      <c r="K7246" s="74" t="str">
        <f t="shared" si="340"/>
        <v/>
      </c>
      <c r="L7246" s="58" t="str">
        <f t="shared" si="341"/>
        <v/>
      </c>
    </row>
    <row r="7247" spans="10:12" ht="16.5" customHeight="1" x14ac:dyDescent="0.35">
      <c r="J7247" s="56" t="str">
        <f t="shared" si="339"/>
        <v/>
      </c>
      <c r="K7247" s="74" t="str">
        <f t="shared" si="340"/>
        <v/>
      </c>
      <c r="L7247" s="58" t="str">
        <f t="shared" si="341"/>
        <v/>
      </c>
    </row>
    <row r="7248" spans="10:12" ht="16.5" customHeight="1" x14ac:dyDescent="0.35">
      <c r="J7248" s="56" t="str">
        <f t="shared" si="339"/>
        <v/>
      </c>
      <c r="K7248" s="74" t="str">
        <f t="shared" si="340"/>
        <v/>
      </c>
      <c r="L7248" s="58" t="str">
        <f t="shared" si="341"/>
        <v/>
      </c>
    </row>
    <row r="7249" spans="10:12" ht="16.5" customHeight="1" x14ac:dyDescent="0.35">
      <c r="J7249" s="56" t="str">
        <f t="shared" si="339"/>
        <v/>
      </c>
      <c r="K7249" s="74" t="str">
        <f t="shared" si="340"/>
        <v/>
      </c>
      <c r="L7249" s="58" t="str">
        <f t="shared" si="341"/>
        <v/>
      </c>
    </row>
    <row r="7250" spans="10:12" ht="16.5" customHeight="1" x14ac:dyDescent="0.35">
      <c r="J7250" s="56" t="str">
        <f t="shared" si="339"/>
        <v/>
      </c>
      <c r="K7250" s="74" t="str">
        <f t="shared" si="340"/>
        <v/>
      </c>
      <c r="L7250" s="58" t="str">
        <f t="shared" si="341"/>
        <v/>
      </c>
    </row>
    <row r="7251" spans="10:12" ht="16.5" customHeight="1" x14ac:dyDescent="0.35">
      <c r="J7251" s="56" t="str">
        <f t="shared" si="339"/>
        <v/>
      </c>
      <c r="K7251" s="74" t="str">
        <f t="shared" si="340"/>
        <v/>
      </c>
      <c r="L7251" s="58" t="str">
        <f t="shared" si="341"/>
        <v/>
      </c>
    </row>
    <row r="7252" spans="10:12" ht="16.5" customHeight="1" x14ac:dyDescent="0.35">
      <c r="J7252" s="56" t="str">
        <f t="shared" si="339"/>
        <v/>
      </c>
      <c r="K7252" s="74" t="str">
        <f t="shared" si="340"/>
        <v/>
      </c>
      <c r="L7252" s="58" t="str">
        <f t="shared" si="341"/>
        <v/>
      </c>
    </row>
    <row r="7253" spans="10:12" ht="16.5" customHeight="1" x14ac:dyDescent="0.35">
      <c r="J7253" s="56" t="str">
        <f t="shared" si="339"/>
        <v/>
      </c>
      <c r="K7253" s="74" t="str">
        <f t="shared" si="340"/>
        <v/>
      </c>
      <c r="L7253" s="58" t="str">
        <f t="shared" si="341"/>
        <v/>
      </c>
    </row>
    <row r="7254" spans="10:12" ht="16.5" customHeight="1" x14ac:dyDescent="0.35">
      <c r="J7254" s="56" t="str">
        <f t="shared" si="339"/>
        <v/>
      </c>
      <c r="K7254" s="74" t="str">
        <f t="shared" si="340"/>
        <v/>
      </c>
      <c r="L7254" s="58" t="str">
        <f t="shared" si="341"/>
        <v/>
      </c>
    </row>
    <row r="7255" spans="10:12" ht="16.5" customHeight="1" x14ac:dyDescent="0.35">
      <c r="J7255" s="56" t="str">
        <f t="shared" si="339"/>
        <v/>
      </c>
      <c r="K7255" s="74" t="str">
        <f t="shared" si="340"/>
        <v/>
      </c>
      <c r="L7255" s="58" t="str">
        <f t="shared" si="341"/>
        <v/>
      </c>
    </row>
    <row r="7256" spans="10:12" ht="16.5" customHeight="1" x14ac:dyDescent="0.35">
      <c r="J7256" s="56" t="str">
        <f t="shared" si="339"/>
        <v/>
      </c>
      <c r="K7256" s="74" t="str">
        <f t="shared" si="340"/>
        <v/>
      </c>
      <c r="L7256" s="58" t="str">
        <f t="shared" si="341"/>
        <v/>
      </c>
    </row>
    <row r="7257" spans="10:12" ht="16.5" customHeight="1" x14ac:dyDescent="0.35">
      <c r="J7257" s="56" t="str">
        <f t="shared" si="339"/>
        <v/>
      </c>
      <c r="K7257" s="74" t="str">
        <f t="shared" si="340"/>
        <v/>
      </c>
      <c r="L7257" s="58" t="str">
        <f t="shared" si="341"/>
        <v/>
      </c>
    </row>
    <row r="7258" spans="10:12" ht="16.5" customHeight="1" x14ac:dyDescent="0.35">
      <c r="J7258" s="56" t="str">
        <f t="shared" si="339"/>
        <v/>
      </c>
      <c r="K7258" s="74" t="str">
        <f t="shared" si="340"/>
        <v/>
      </c>
      <c r="L7258" s="58" t="str">
        <f t="shared" si="341"/>
        <v/>
      </c>
    </row>
    <row r="7259" spans="10:12" ht="16.5" customHeight="1" x14ac:dyDescent="0.35">
      <c r="J7259" s="56" t="str">
        <f t="shared" si="339"/>
        <v/>
      </c>
      <c r="K7259" s="74" t="str">
        <f t="shared" si="340"/>
        <v/>
      </c>
      <c r="L7259" s="58" t="str">
        <f t="shared" si="341"/>
        <v/>
      </c>
    </row>
    <row r="7260" spans="10:12" ht="16.5" customHeight="1" x14ac:dyDescent="0.35">
      <c r="J7260" s="56" t="str">
        <f t="shared" si="339"/>
        <v/>
      </c>
      <c r="K7260" s="74" t="str">
        <f t="shared" si="340"/>
        <v/>
      </c>
      <c r="L7260" s="58" t="str">
        <f t="shared" si="341"/>
        <v/>
      </c>
    </row>
    <row r="7261" spans="10:12" ht="16.5" customHeight="1" x14ac:dyDescent="0.35">
      <c r="J7261" s="56" t="str">
        <f t="shared" si="339"/>
        <v/>
      </c>
      <c r="K7261" s="74" t="str">
        <f t="shared" si="340"/>
        <v/>
      </c>
      <c r="L7261" s="58" t="str">
        <f t="shared" si="341"/>
        <v/>
      </c>
    </row>
    <row r="7262" spans="10:12" ht="16.5" customHeight="1" x14ac:dyDescent="0.35">
      <c r="J7262" s="56" t="str">
        <f t="shared" si="339"/>
        <v/>
      </c>
      <c r="K7262" s="74" t="str">
        <f t="shared" si="340"/>
        <v/>
      </c>
      <c r="L7262" s="58" t="str">
        <f t="shared" si="341"/>
        <v/>
      </c>
    </row>
    <row r="7263" spans="10:12" ht="16.5" customHeight="1" x14ac:dyDescent="0.35">
      <c r="J7263" s="56" t="str">
        <f t="shared" si="339"/>
        <v/>
      </c>
      <c r="K7263" s="74" t="str">
        <f t="shared" si="340"/>
        <v/>
      </c>
      <c r="L7263" s="58" t="str">
        <f t="shared" si="341"/>
        <v/>
      </c>
    </row>
    <row r="7264" spans="10:12" ht="16.5" customHeight="1" x14ac:dyDescent="0.35">
      <c r="J7264" s="56" t="str">
        <f t="shared" si="339"/>
        <v/>
      </c>
      <c r="K7264" s="74" t="str">
        <f t="shared" si="340"/>
        <v/>
      </c>
      <c r="L7264" s="58" t="str">
        <f t="shared" si="341"/>
        <v/>
      </c>
    </row>
    <row r="7265" spans="10:12" ht="16.5" customHeight="1" x14ac:dyDescent="0.35">
      <c r="J7265" s="56" t="str">
        <f t="shared" si="339"/>
        <v/>
      </c>
      <c r="K7265" s="74" t="str">
        <f t="shared" si="340"/>
        <v/>
      </c>
      <c r="L7265" s="58" t="str">
        <f t="shared" si="341"/>
        <v/>
      </c>
    </row>
    <row r="7266" spans="10:12" ht="16.5" customHeight="1" x14ac:dyDescent="0.35">
      <c r="J7266" s="56" t="str">
        <f t="shared" si="339"/>
        <v/>
      </c>
      <c r="K7266" s="74" t="str">
        <f t="shared" si="340"/>
        <v/>
      </c>
      <c r="L7266" s="58" t="str">
        <f t="shared" si="341"/>
        <v/>
      </c>
    </row>
    <row r="7267" spans="10:12" ht="16.5" customHeight="1" x14ac:dyDescent="0.35">
      <c r="J7267" s="56" t="str">
        <f t="shared" si="339"/>
        <v/>
      </c>
      <c r="K7267" s="74" t="str">
        <f t="shared" si="340"/>
        <v/>
      </c>
      <c r="L7267" s="58" t="str">
        <f t="shared" si="341"/>
        <v/>
      </c>
    </row>
    <row r="7268" spans="10:12" ht="16.5" customHeight="1" x14ac:dyDescent="0.35">
      <c r="J7268" s="56" t="str">
        <f t="shared" si="339"/>
        <v/>
      </c>
      <c r="K7268" s="74" t="str">
        <f t="shared" si="340"/>
        <v/>
      </c>
      <c r="L7268" s="58" t="str">
        <f t="shared" si="341"/>
        <v/>
      </c>
    </row>
    <row r="7269" spans="10:12" ht="16.5" customHeight="1" x14ac:dyDescent="0.35">
      <c r="J7269" s="56" t="str">
        <f t="shared" si="339"/>
        <v/>
      </c>
      <c r="K7269" s="74" t="str">
        <f t="shared" si="340"/>
        <v/>
      </c>
      <c r="L7269" s="58" t="str">
        <f t="shared" si="341"/>
        <v/>
      </c>
    </row>
    <row r="7270" spans="10:12" ht="16.5" customHeight="1" x14ac:dyDescent="0.35">
      <c r="J7270" s="56" t="str">
        <f t="shared" si="339"/>
        <v/>
      </c>
      <c r="K7270" s="74" t="str">
        <f t="shared" si="340"/>
        <v/>
      </c>
      <c r="L7270" s="58" t="str">
        <f t="shared" si="341"/>
        <v/>
      </c>
    </row>
    <row r="7271" spans="10:12" ht="16.5" customHeight="1" x14ac:dyDescent="0.35">
      <c r="J7271" s="56" t="str">
        <f t="shared" si="339"/>
        <v/>
      </c>
      <c r="K7271" s="74" t="str">
        <f t="shared" si="340"/>
        <v/>
      </c>
      <c r="L7271" s="58" t="str">
        <f t="shared" si="341"/>
        <v/>
      </c>
    </row>
    <row r="7272" spans="10:12" ht="16.5" customHeight="1" x14ac:dyDescent="0.35">
      <c r="J7272" s="56" t="str">
        <f t="shared" si="339"/>
        <v/>
      </c>
      <c r="K7272" s="74" t="str">
        <f t="shared" si="340"/>
        <v/>
      </c>
      <c r="L7272" s="58" t="str">
        <f t="shared" si="341"/>
        <v/>
      </c>
    </row>
    <row r="7273" spans="10:12" ht="16.5" customHeight="1" x14ac:dyDescent="0.35">
      <c r="J7273" s="56" t="str">
        <f t="shared" si="339"/>
        <v/>
      </c>
      <c r="K7273" s="74" t="str">
        <f t="shared" si="340"/>
        <v/>
      </c>
      <c r="L7273" s="58" t="str">
        <f t="shared" si="341"/>
        <v/>
      </c>
    </row>
    <row r="7274" spans="10:12" ht="16.5" customHeight="1" x14ac:dyDescent="0.35">
      <c r="J7274" s="56" t="str">
        <f t="shared" si="339"/>
        <v/>
      </c>
      <c r="K7274" s="74" t="str">
        <f t="shared" si="340"/>
        <v/>
      </c>
      <c r="L7274" s="58" t="str">
        <f t="shared" si="341"/>
        <v/>
      </c>
    </row>
    <row r="7275" spans="10:12" ht="16.5" customHeight="1" x14ac:dyDescent="0.35">
      <c r="J7275" s="56" t="str">
        <f t="shared" si="339"/>
        <v/>
      </c>
      <c r="K7275" s="74" t="str">
        <f t="shared" si="340"/>
        <v/>
      </c>
      <c r="L7275" s="58" t="str">
        <f t="shared" si="341"/>
        <v/>
      </c>
    </row>
    <row r="7276" spans="10:12" ht="16.5" customHeight="1" x14ac:dyDescent="0.35">
      <c r="J7276" s="56" t="str">
        <f t="shared" si="339"/>
        <v/>
      </c>
      <c r="K7276" s="74" t="str">
        <f t="shared" si="340"/>
        <v/>
      </c>
      <c r="L7276" s="58" t="str">
        <f t="shared" si="341"/>
        <v/>
      </c>
    </row>
    <row r="7277" spans="10:12" ht="16.5" customHeight="1" x14ac:dyDescent="0.35">
      <c r="J7277" s="56" t="str">
        <f t="shared" si="339"/>
        <v/>
      </c>
      <c r="K7277" s="74" t="str">
        <f t="shared" si="340"/>
        <v/>
      </c>
      <c r="L7277" s="58" t="str">
        <f t="shared" si="341"/>
        <v/>
      </c>
    </row>
    <row r="7278" spans="10:12" ht="16.5" customHeight="1" x14ac:dyDescent="0.35">
      <c r="J7278" s="56" t="str">
        <f t="shared" si="339"/>
        <v/>
      </c>
      <c r="K7278" s="74" t="str">
        <f t="shared" si="340"/>
        <v/>
      </c>
      <c r="L7278" s="58" t="str">
        <f t="shared" si="341"/>
        <v/>
      </c>
    </row>
    <row r="7279" spans="10:12" ht="16.5" customHeight="1" x14ac:dyDescent="0.35">
      <c r="J7279" s="56" t="str">
        <f t="shared" si="339"/>
        <v/>
      </c>
      <c r="K7279" s="74" t="str">
        <f t="shared" si="340"/>
        <v/>
      </c>
      <c r="L7279" s="58" t="str">
        <f t="shared" si="341"/>
        <v/>
      </c>
    </row>
    <row r="7280" spans="10:12" ht="16.5" customHeight="1" x14ac:dyDescent="0.35">
      <c r="J7280" s="56" t="str">
        <f t="shared" si="339"/>
        <v/>
      </c>
      <c r="K7280" s="74" t="str">
        <f t="shared" si="340"/>
        <v/>
      </c>
      <c r="L7280" s="58" t="str">
        <f t="shared" si="341"/>
        <v/>
      </c>
    </row>
    <row r="7281" spans="10:12" ht="16.5" customHeight="1" x14ac:dyDescent="0.35">
      <c r="J7281" s="56" t="str">
        <f t="shared" si="339"/>
        <v/>
      </c>
      <c r="K7281" s="74" t="str">
        <f t="shared" si="340"/>
        <v/>
      </c>
      <c r="L7281" s="58" t="str">
        <f t="shared" si="341"/>
        <v/>
      </c>
    </row>
    <row r="7282" spans="10:12" ht="16.5" customHeight="1" x14ac:dyDescent="0.35">
      <c r="J7282" s="56" t="str">
        <f t="shared" si="339"/>
        <v/>
      </c>
      <c r="K7282" s="74" t="str">
        <f t="shared" si="340"/>
        <v/>
      </c>
      <c r="L7282" s="58" t="str">
        <f t="shared" si="341"/>
        <v/>
      </c>
    </row>
    <row r="7283" spans="10:12" ht="16.5" customHeight="1" x14ac:dyDescent="0.35">
      <c r="J7283" s="56" t="str">
        <f t="shared" si="339"/>
        <v/>
      </c>
      <c r="K7283" s="74" t="str">
        <f t="shared" si="340"/>
        <v/>
      </c>
      <c r="L7283" s="58" t="str">
        <f t="shared" si="341"/>
        <v/>
      </c>
    </row>
    <row r="7284" spans="10:12" ht="16.5" customHeight="1" x14ac:dyDescent="0.35">
      <c r="J7284" s="56" t="str">
        <f t="shared" si="339"/>
        <v/>
      </c>
      <c r="K7284" s="74" t="str">
        <f t="shared" si="340"/>
        <v/>
      </c>
      <c r="L7284" s="58" t="str">
        <f t="shared" si="341"/>
        <v/>
      </c>
    </row>
    <row r="7285" spans="10:12" ht="16.5" customHeight="1" x14ac:dyDescent="0.35">
      <c r="J7285" s="56" t="str">
        <f t="shared" si="339"/>
        <v/>
      </c>
      <c r="K7285" s="74" t="str">
        <f t="shared" si="340"/>
        <v/>
      </c>
      <c r="L7285" s="58" t="str">
        <f t="shared" si="341"/>
        <v/>
      </c>
    </row>
    <row r="7286" spans="10:12" ht="16.5" customHeight="1" x14ac:dyDescent="0.35">
      <c r="J7286" s="56" t="str">
        <f t="shared" si="339"/>
        <v/>
      </c>
      <c r="K7286" s="74" t="str">
        <f t="shared" si="340"/>
        <v/>
      </c>
      <c r="L7286" s="58" t="str">
        <f t="shared" si="341"/>
        <v/>
      </c>
    </row>
    <row r="7287" spans="10:12" ht="16.5" customHeight="1" x14ac:dyDescent="0.35">
      <c r="J7287" s="56" t="str">
        <f t="shared" si="339"/>
        <v/>
      </c>
      <c r="K7287" s="74" t="str">
        <f t="shared" si="340"/>
        <v/>
      </c>
      <c r="L7287" s="58" t="str">
        <f t="shared" si="341"/>
        <v/>
      </c>
    </row>
    <row r="7288" spans="10:12" ht="16.5" customHeight="1" x14ac:dyDescent="0.35">
      <c r="J7288" s="56" t="str">
        <f t="shared" si="339"/>
        <v/>
      </c>
      <c r="K7288" s="74" t="str">
        <f t="shared" si="340"/>
        <v/>
      </c>
      <c r="L7288" s="58" t="str">
        <f t="shared" si="341"/>
        <v/>
      </c>
    </row>
    <row r="7289" spans="10:12" ht="16.5" customHeight="1" x14ac:dyDescent="0.35">
      <c r="J7289" s="56" t="str">
        <f t="shared" si="339"/>
        <v/>
      </c>
      <c r="K7289" s="74" t="str">
        <f t="shared" si="340"/>
        <v/>
      </c>
      <c r="L7289" s="58" t="str">
        <f t="shared" si="341"/>
        <v/>
      </c>
    </row>
    <row r="7290" spans="10:12" ht="16.5" customHeight="1" x14ac:dyDescent="0.35">
      <c r="J7290" s="56" t="str">
        <f t="shared" si="339"/>
        <v/>
      </c>
      <c r="K7290" s="74" t="str">
        <f t="shared" si="340"/>
        <v/>
      </c>
      <c r="L7290" s="58" t="str">
        <f t="shared" si="341"/>
        <v/>
      </c>
    </row>
    <row r="7291" spans="10:12" ht="16.5" customHeight="1" x14ac:dyDescent="0.35">
      <c r="J7291" s="56" t="str">
        <f t="shared" si="339"/>
        <v/>
      </c>
      <c r="K7291" s="74" t="str">
        <f t="shared" si="340"/>
        <v/>
      </c>
      <c r="L7291" s="58" t="str">
        <f t="shared" si="341"/>
        <v/>
      </c>
    </row>
    <row r="7292" spans="10:12" ht="16.5" customHeight="1" x14ac:dyDescent="0.35">
      <c r="J7292" s="56" t="str">
        <f t="shared" si="339"/>
        <v/>
      </c>
      <c r="K7292" s="74" t="str">
        <f t="shared" si="340"/>
        <v/>
      </c>
      <c r="L7292" s="58" t="str">
        <f t="shared" si="341"/>
        <v/>
      </c>
    </row>
    <row r="7293" spans="10:12" ht="16.5" customHeight="1" x14ac:dyDescent="0.35">
      <c r="J7293" s="56" t="str">
        <f t="shared" si="339"/>
        <v/>
      </c>
      <c r="K7293" s="74" t="str">
        <f t="shared" si="340"/>
        <v/>
      </c>
      <c r="L7293" s="58" t="str">
        <f t="shared" si="341"/>
        <v/>
      </c>
    </row>
    <row r="7294" spans="10:12" ht="16.5" customHeight="1" x14ac:dyDescent="0.35">
      <c r="J7294" s="56" t="str">
        <f t="shared" si="339"/>
        <v/>
      </c>
      <c r="K7294" s="74" t="str">
        <f t="shared" si="340"/>
        <v/>
      </c>
      <c r="L7294" s="58" t="str">
        <f t="shared" si="341"/>
        <v/>
      </c>
    </row>
    <row r="7295" spans="10:12" ht="16.5" customHeight="1" x14ac:dyDescent="0.35">
      <c r="J7295" s="56" t="str">
        <f t="shared" si="339"/>
        <v/>
      </c>
      <c r="K7295" s="74" t="str">
        <f t="shared" si="340"/>
        <v/>
      </c>
      <c r="L7295" s="58" t="str">
        <f t="shared" si="341"/>
        <v/>
      </c>
    </row>
    <row r="7296" spans="10:12" ht="16.5" customHeight="1" x14ac:dyDescent="0.35">
      <c r="J7296" s="56" t="str">
        <f t="shared" si="339"/>
        <v/>
      </c>
      <c r="K7296" s="74" t="str">
        <f t="shared" si="340"/>
        <v/>
      </c>
      <c r="L7296" s="58" t="str">
        <f t="shared" si="341"/>
        <v/>
      </c>
    </row>
    <row r="7297" spans="10:12" ht="16.5" customHeight="1" x14ac:dyDescent="0.35">
      <c r="J7297" s="56" t="str">
        <f t="shared" si="339"/>
        <v/>
      </c>
      <c r="K7297" s="74" t="str">
        <f t="shared" si="340"/>
        <v/>
      </c>
      <c r="L7297" s="58" t="str">
        <f t="shared" si="341"/>
        <v/>
      </c>
    </row>
    <row r="7298" spans="10:12" ht="16.5" customHeight="1" x14ac:dyDescent="0.35">
      <c r="J7298" s="56" t="str">
        <f t="shared" si="339"/>
        <v/>
      </c>
      <c r="K7298" s="74" t="str">
        <f t="shared" si="340"/>
        <v/>
      </c>
      <c r="L7298" s="58" t="str">
        <f t="shared" si="341"/>
        <v/>
      </c>
    </row>
    <row r="7299" spans="10:12" ht="16.5" customHeight="1" x14ac:dyDescent="0.35">
      <c r="J7299" s="56" t="str">
        <f t="shared" si="339"/>
        <v/>
      </c>
      <c r="K7299" s="74" t="str">
        <f t="shared" si="340"/>
        <v/>
      </c>
      <c r="L7299" s="58" t="str">
        <f t="shared" si="341"/>
        <v/>
      </c>
    </row>
    <row r="7300" spans="10:12" ht="16.5" customHeight="1" x14ac:dyDescent="0.35">
      <c r="J7300" s="56" t="str">
        <f t="shared" si="339"/>
        <v/>
      </c>
      <c r="K7300" s="74" t="str">
        <f t="shared" si="340"/>
        <v/>
      </c>
      <c r="L7300" s="58" t="str">
        <f t="shared" si="341"/>
        <v/>
      </c>
    </row>
    <row r="7301" spans="10:12" ht="16.5" customHeight="1" x14ac:dyDescent="0.35">
      <c r="J7301" s="56" t="str">
        <f t="shared" si="339"/>
        <v/>
      </c>
      <c r="K7301" s="74" t="str">
        <f t="shared" si="340"/>
        <v/>
      </c>
      <c r="L7301" s="58" t="str">
        <f t="shared" si="341"/>
        <v/>
      </c>
    </row>
    <row r="7302" spans="10:12" ht="16.5" customHeight="1" x14ac:dyDescent="0.35">
      <c r="J7302" s="56" t="str">
        <f t="shared" si="339"/>
        <v/>
      </c>
      <c r="K7302" s="74" t="str">
        <f t="shared" si="340"/>
        <v/>
      </c>
      <c r="L7302" s="58" t="str">
        <f t="shared" si="341"/>
        <v/>
      </c>
    </row>
    <row r="7303" spans="10:12" ht="16.5" customHeight="1" x14ac:dyDescent="0.35">
      <c r="J7303" s="56" t="str">
        <f t="shared" si="339"/>
        <v/>
      </c>
      <c r="K7303" s="74" t="str">
        <f t="shared" si="340"/>
        <v/>
      </c>
      <c r="L7303" s="58" t="str">
        <f t="shared" si="341"/>
        <v/>
      </c>
    </row>
    <row r="7304" spans="10:12" ht="16.5" customHeight="1" x14ac:dyDescent="0.35">
      <c r="K7304" s="74"/>
    </row>
    <row r="7305" spans="10:12" ht="16.5" customHeight="1" x14ac:dyDescent="0.35">
      <c r="K7305" s="74"/>
    </row>
    <row r="7306" spans="10:12" ht="16.5" customHeight="1" x14ac:dyDescent="0.35">
      <c r="K7306" s="74"/>
    </row>
    <row r="7307" spans="10:12" ht="16.5" customHeight="1" x14ac:dyDescent="0.35">
      <c r="K7307" s="74"/>
    </row>
    <row r="7308" spans="10:12" ht="16.5" customHeight="1" x14ac:dyDescent="0.35">
      <c r="K7308" s="74"/>
    </row>
    <row r="7309" spans="10:12" ht="16.5" customHeight="1" x14ac:dyDescent="0.35">
      <c r="K7309" s="74"/>
    </row>
    <row r="7310" spans="10:12" ht="16.5" customHeight="1" x14ac:dyDescent="0.35">
      <c r="K7310" s="74"/>
    </row>
    <row r="7311" spans="10:12" ht="16.5" customHeight="1" x14ac:dyDescent="0.35">
      <c r="K7311" s="74"/>
    </row>
    <row r="7312" spans="10:12" ht="16.5" customHeight="1" x14ac:dyDescent="0.35">
      <c r="K7312" s="74"/>
    </row>
    <row r="7313" spans="11:11" ht="16.5" customHeight="1" x14ac:dyDescent="0.35">
      <c r="K7313" s="74"/>
    </row>
    <row r="7314" spans="11:11" ht="16.5" customHeight="1" x14ac:dyDescent="0.35">
      <c r="K7314" s="74"/>
    </row>
    <row r="7315" spans="11:11" ht="16.5" customHeight="1" x14ac:dyDescent="0.35">
      <c r="K7315" s="74"/>
    </row>
    <row r="7316" spans="11:11" ht="16.5" customHeight="1" x14ac:dyDescent="0.35">
      <c r="K7316" s="74"/>
    </row>
    <row r="7317" spans="11:11" ht="16.5" customHeight="1" x14ac:dyDescent="0.35">
      <c r="K7317" s="74"/>
    </row>
    <row r="7318" spans="11:11" ht="16.5" customHeight="1" x14ac:dyDescent="0.35">
      <c r="K7318" s="74"/>
    </row>
    <row r="7319" spans="11:11" ht="16.5" customHeight="1" x14ac:dyDescent="0.35">
      <c r="K7319" s="74"/>
    </row>
    <row r="7320" spans="11:11" ht="16.5" customHeight="1" x14ac:dyDescent="0.35">
      <c r="K7320" s="74"/>
    </row>
    <row r="7321" spans="11:11" ht="16.5" customHeight="1" x14ac:dyDescent="0.35">
      <c r="K7321" s="74"/>
    </row>
    <row r="7322" spans="11:11" ht="16.5" customHeight="1" x14ac:dyDescent="0.35">
      <c r="K7322" s="74"/>
    </row>
    <row r="7323" spans="11:11" ht="16.5" customHeight="1" x14ac:dyDescent="0.35">
      <c r="K7323" s="74"/>
    </row>
    <row r="7324" spans="11:11" ht="16.5" customHeight="1" x14ac:dyDescent="0.35">
      <c r="K7324" s="74"/>
    </row>
    <row r="7325" spans="11:11" ht="16.5" customHeight="1" x14ac:dyDescent="0.35">
      <c r="K7325" s="74"/>
    </row>
    <row r="7326" spans="11:11" ht="16.5" customHeight="1" x14ac:dyDescent="0.35">
      <c r="K7326" s="74"/>
    </row>
    <row r="7327" spans="11:11" ht="16.5" customHeight="1" x14ac:dyDescent="0.35">
      <c r="K7327" s="74"/>
    </row>
    <row r="7328" spans="11:11" ht="16.5" customHeight="1" x14ac:dyDescent="0.35">
      <c r="K7328" s="74"/>
    </row>
    <row r="7329" spans="11:11" ht="16.5" customHeight="1" x14ac:dyDescent="0.35">
      <c r="K7329" s="74"/>
    </row>
    <row r="7330" spans="11:11" ht="16.5" customHeight="1" x14ac:dyDescent="0.35">
      <c r="K7330" s="74"/>
    </row>
    <row r="7331" spans="11:11" ht="16.5" customHeight="1" x14ac:dyDescent="0.35">
      <c r="K7331" s="74"/>
    </row>
    <row r="7332" spans="11:11" ht="16.5" customHeight="1" x14ac:dyDescent="0.35">
      <c r="K7332" s="74"/>
    </row>
    <row r="7333" spans="11:11" ht="16.5" customHeight="1" x14ac:dyDescent="0.35">
      <c r="K7333" s="74"/>
    </row>
    <row r="7334" spans="11:11" ht="16.5" customHeight="1" x14ac:dyDescent="0.35">
      <c r="K7334" s="74"/>
    </row>
    <row r="7335" spans="11:11" ht="16.5" customHeight="1" x14ac:dyDescent="0.35">
      <c r="K7335" s="74"/>
    </row>
    <row r="7336" spans="11:11" ht="16.5" customHeight="1" x14ac:dyDescent="0.35">
      <c r="K7336" s="74"/>
    </row>
    <row r="7337" spans="11:11" ht="16.5" customHeight="1" x14ac:dyDescent="0.35">
      <c r="K7337" s="74"/>
    </row>
    <row r="7338" spans="11:11" ht="16.5" customHeight="1" x14ac:dyDescent="0.35">
      <c r="K7338" s="74"/>
    </row>
    <row r="7339" spans="11:11" ht="16.5" customHeight="1" x14ac:dyDescent="0.35">
      <c r="K7339" s="74"/>
    </row>
    <row r="7340" spans="11:11" ht="16.5" customHeight="1" x14ac:dyDescent="0.35">
      <c r="K7340" s="74"/>
    </row>
    <row r="7341" spans="11:11" ht="16.5" customHeight="1" x14ac:dyDescent="0.35">
      <c r="K7341" s="74"/>
    </row>
    <row r="7342" spans="11:11" ht="16.5" customHeight="1" x14ac:dyDescent="0.35">
      <c r="K7342" s="74"/>
    </row>
    <row r="7343" spans="11:11" ht="16.5" customHeight="1" x14ac:dyDescent="0.35">
      <c r="K7343" s="74"/>
    </row>
    <row r="7344" spans="11:11" ht="16.5" customHeight="1" x14ac:dyDescent="0.35">
      <c r="K7344" s="74"/>
    </row>
    <row r="7345" spans="11:11" ht="16.5" customHeight="1" x14ac:dyDescent="0.35">
      <c r="K7345" s="74"/>
    </row>
    <row r="7346" spans="11:11" ht="16.5" customHeight="1" x14ac:dyDescent="0.35">
      <c r="K7346" s="74"/>
    </row>
    <row r="7347" spans="11:11" ht="16.5" customHeight="1" x14ac:dyDescent="0.35">
      <c r="K7347" s="74"/>
    </row>
    <row r="7348" spans="11:11" ht="16.5" customHeight="1" x14ac:dyDescent="0.35">
      <c r="K7348" s="74"/>
    </row>
    <row r="7349" spans="11:11" ht="16.5" customHeight="1" x14ac:dyDescent="0.35">
      <c r="K7349" s="74"/>
    </row>
    <row r="7350" spans="11:11" ht="16.5" customHeight="1" x14ac:dyDescent="0.35">
      <c r="K7350" s="74"/>
    </row>
    <row r="7351" spans="11:11" ht="16.5" customHeight="1" x14ac:dyDescent="0.35">
      <c r="K7351" s="74"/>
    </row>
    <row r="7352" spans="11:11" ht="16.5" customHeight="1" x14ac:dyDescent="0.35">
      <c r="K7352" s="74"/>
    </row>
    <row r="7353" spans="11:11" ht="16.5" customHeight="1" x14ac:dyDescent="0.35">
      <c r="K7353" s="74"/>
    </row>
    <row r="7354" spans="11:11" ht="16.5" customHeight="1" x14ac:dyDescent="0.35">
      <c r="K7354" s="74"/>
    </row>
    <row r="7355" spans="11:11" ht="16.5" customHeight="1" x14ac:dyDescent="0.35">
      <c r="K7355" s="74"/>
    </row>
    <row r="7356" spans="11:11" ht="16.5" customHeight="1" x14ac:dyDescent="0.35">
      <c r="K7356" s="74"/>
    </row>
    <row r="7357" spans="11:11" ht="16.5" customHeight="1" x14ac:dyDescent="0.35">
      <c r="K7357" s="74"/>
    </row>
    <row r="7358" spans="11:11" ht="16.5" customHeight="1" x14ac:dyDescent="0.35">
      <c r="K7358" s="74"/>
    </row>
    <row r="7359" spans="11:11" ht="16.5" customHeight="1" x14ac:dyDescent="0.35">
      <c r="K7359" s="74"/>
    </row>
    <row r="7360" spans="11:11" ht="16.5" customHeight="1" x14ac:dyDescent="0.35">
      <c r="K7360" s="74"/>
    </row>
    <row r="7361" spans="11:11" ht="16.5" customHeight="1" x14ac:dyDescent="0.35">
      <c r="K7361" s="74"/>
    </row>
    <row r="7362" spans="11:11" ht="16.5" customHeight="1" x14ac:dyDescent="0.35">
      <c r="K7362" s="74"/>
    </row>
    <row r="7363" spans="11:11" ht="16.5" customHeight="1" x14ac:dyDescent="0.35">
      <c r="K7363" s="74"/>
    </row>
    <row r="7364" spans="11:11" ht="16.5" customHeight="1" x14ac:dyDescent="0.35">
      <c r="K7364" s="74"/>
    </row>
    <row r="7365" spans="11:11" ht="16.5" customHeight="1" x14ac:dyDescent="0.35">
      <c r="K7365" s="74"/>
    </row>
    <row r="7366" spans="11:11" ht="16.5" customHeight="1" x14ac:dyDescent="0.35">
      <c r="K7366" s="74"/>
    </row>
    <row r="7367" spans="11:11" ht="16.5" customHeight="1" x14ac:dyDescent="0.35">
      <c r="K7367" s="74"/>
    </row>
    <row r="7368" spans="11:11" ht="16.5" customHeight="1" x14ac:dyDescent="0.35">
      <c r="K7368" s="74"/>
    </row>
    <row r="7369" spans="11:11" ht="16.5" customHeight="1" x14ac:dyDescent="0.35">
      <c r="K7369" s="74"/>
    </row>
    <row r="7370" spans="11:11" ht="16.5" customHeight="1" x14ac:dyDescent="0.35">
      <c r="K7370" s="74"/>
    </row>
    <row r="7371" spans="11:11" ht="16.5" customHeight="1" x14ac:dyDescent="0.35">
      <c r="K7371" s="74"/>
    </row>
    <row r="7372" spans="11:11" ht="16.5" customHeight="1" x14ac:dyDescent="0.35">
      <c r="K7372" s="74"/>
    </row>
    <row r="7373" spans="11:11" ht="16.5" customHeight="1" x14ac:dyDescent="0.35">
      <c r="K7373" s="74"/>
    </row>
    <row r="7374" spans="11:11" ht="16.5" customHeight="1" x14ac:dyDescent="0.35">
      <c r="K7374" s="74"/>
    </row>
    <row r="7375" spans="11:11" ht="16.5" customHeight="1" x14ac:dyDescent="0.35">
      <c r="K7375" s="74"/>
    </row>
    <row r="7376" spans="11:11" ht="16.5" customHeight="1" x14ac:dyDescent="0.35">
      <c r="K7376" s="74"/>
    </row>
    <row r="7377" spans="11:11" ht="16.5" customHeight="1" x14ac:dyDescent="0.35">
      <c r="K7377" s="74"/>
    </row>
    <row r="7378" spans="11:11" ht="16.5" customHeight="1" x14ac:dyDescent="0.35">
      <c r="K7378" s="74"/>
    </row>
    <row r="7379" spans="11:11" ht="16.5" customHeight="1" x14ac:dyDescent="0.35">
      <c r="K7379" s="74"/>
    </row>
    <row r="7380" spans="11:11" ht="16.5" customHeight="1" x14ac:dyDescent="0.35">
      <c r="K7380" s="74"/>
    </row>
    <row r="7381" spans="11:11" ht="16.5" customHeight="1" x14ac:dyDescent="0.35">
      <c r="K7381" s="74"/>
    </row>
    <row r="7382" spans="11:11" ht="16.5" customHeight="1" x14ac:dyDescent="0.35">
      <c r="K7382" s="74"/>
    </row>
    <row r="7383" spans="11:11" ht="16.5" customHeight="1" x14ac:dyDescent="0.35">
      <c r="K7383" s="74"/>
    </row>
    <row r="7384" spans="11:11" ht="16.5" customHeight="1" x14ac:dyDescent="0.35">
      <c r="K7384" s="74"/>
    </row>
    <row r="7385" spans="11:11" ht="16.5" customHeight="1" x14ac:dyDescent="0.35">
      <c r="K7385" s="74"/>
    </row>
    <row r="7386" spans="11:11" ht="16.5" customHeight="1" x14ac:dyDescent="0.35">
      <c r="K7386" s="74"/>
    </row>
    <row r="7387" spans="11:11" ht="16.5" customHeight="1" x14ac:dyDescent="0.35">
      <c r="K7387" s="74"/>
    </row>
    <row r="7388" spans="11:11" ht="16.5" customHeight="1" x14ac:dyDescent="0.35">
      <c r="K7388" s="74"/>
    </row>
    <row r="7389" spans="11:11" ht="16.5" customHeight="1" x14ac:dyDescent="0.35">
      <c r="K7389" s="74"/>
    </row>
    <row r="7390" spans="11:11" ht="16.5" customHeight="1" x14ac:dyDescent="0.35">
      <c r="K7390" s="74"/>
    </row>
    <row r="7391" spans="11:11" ht="16.5" customHeight="1" x14ac:dyDescent="0.35">
      <c r="K7391" s="74"/>
    </row>
    <row r="7392" spans="11:11" ht="16.5" customHeight="1" x14ac:dyDescent="0.35">
      <c r="K7392" s="74"/>
    </row>
    <row r="7393" spans="11:11" ht="16.5" customHeight="1" x14ac:dyDescent="0.35">
      <c r="K7393" s="74"/>
    </row>
    <row r="7394" spans="11:11" ht="16.5" customHeight="1" x14ac:dyDescent="0.35">
      <c r="K7394" s="74"/>
    </row>
    <row r="7395" spans="11:11" ht="16.5" customHeight="1" x14ac:dyDescent="0.35">
      <c r="K7395" s="74"/>
    </row>
    <row r="7396" spans="11:11" ht="16.5" customHeight="1" x14ac:dyDescent="0.35">
      <c r="K7396" s="74"/>
    </row>
    <row r="7397" spans="11:11" ht="16.5" customHeight="1" x14ac:dyDescent="0.35">
      <c r="K7397" s="74"/>
    </row>
    <row r="7398" spans="11:11" ht="16.5" customHeight="1" x14ac:dyDescent="0.35">
      <c r="K7398" s="74"/>
    </row>
    <row r="7399" spans="11:11" ht="16.5" customHeight="1" x14ac:dyDescent="0.35">
      <c r="K7399" s="74"/>
    </row>
    <row r="7400" spans="11:11" ht="16.5" customHeight="1" x14ac:dyDescent="0.35">
      <c r="K7400" s="74"/>
    </row>
    <row r="7401" spans="11:11" ht="16.5" customHeight="1" x14ac:dyDescent="0.35">
      <c r="K7401" s="74"/>
    </row>
    <row r="7402" spans="11:11" ht="16.5" customHeight="1" x14ac:dyDescent="0.35">
      <c r="K7402" s="74"/>
    </row>
    <row r="7403" spans="11:11" ht="16.5" customHeight="1" x14ac:dyDescent="0.35">
      <c r="K7403" s="74"/>
    </row>
    <row r="7404" spans="11:11" ht="16.5" customHeight="1" x14ac:dyDescent="0.35">
      <c r="K7404" s="74"/>
    </row>
    <row r="7405" spans="11:11" ht="16.5" customHeight="1" x14ac:dyDescent="0.35">
      <c r="K7405" s="74"/>
    </row>
    <row r="7406" spans="11:11" ht="16.5" customHeight="1" x14ac:dyDescent="0.35">
      <c r="K7406" s="74"/>
    </row>
    <row r="7407" spans="11:11" ht="16.5" customHeight="1" x14ac:dyDescent="0.35">
      <c r="K7407" s="74"/>
    </row>
    <row r="7408" spans="11:11" ht="16.5" customHeight="1" x14ac:dyDescent="0.35">
      <c r="K7408" s="74"/>
    </row>
    <row r="7409" spans="11:11" ht="16.5" customHeight="1" x14ac:dyDescent="0.35">
      <c r="K7409" s="74"/>
    </row>
    <row r="7410" spans="11:11" ht="16.5" customHeight="1" x14ac:dyDescent="0.35">
      <c r="K7410" s="74"/>
    </row>
    <row r="7411" spans="11:11" ht="16.5" customHeight="1" x14ac:dyDescent="0.35">
      <c r="K7411" s="74"/>
    </row>
    <row r="7412" spans="11:11" ht="16.5" customHeight="1" x14ac:dyDescent="0.35">
      <c r="K7412" s="74"/>
    </row>
    <row r="7413" spans="11:11" ht="16.5" customHeight="1" x14ac:dyDescent="0.35">
      <c r="K7413" s="74"/>
    </row>
    <row r="7414" spans="11:11" ht="16.5" customHeight="1" x14ac:dyDescent="0.35">
      <c r="K7414" s="74"/>
    </row>
    <row r="7415" spans="11:11" ht="16.5" customHeight="1" x14ac:dyDescent="0.35">
      <c r="K7415" s="74"/>
    </row>
    <row r="7416" spans="11:11" ht="16.5" customHeight="1" x14ac:dyDescent="0.35">
      <c r="K7416" s="74"/>
    </row>
    <row r="7417" spans="11:11" ht="16.5" customHeight="1" x14ac:dyDescent="0.35">
      <c r="K7417" s="74"/>
    </row>
    <row r="7418" spans="11:11" ht="16.5" customHeight="1" x14ac:dyDescent="0.35">
      <c r="K7418" s="74"/>
    </row>
    <row r="7419" spans="11:11" ht="16.5" customHeight="1" x14ac:dyDescent="0.35">
      <c r="K7419" s="74"/>
    </row>
    <row r="7420" spans="11:11" ht="16.5" customHeight="1" x14ac:dyDescent="0.35">
      <c r="K7420" s="74"/>
    </row>
    <row r="7421" spans="11:11" ht="16.5" customHeight="1" x14ac:dyDescent="0.35">
      <c r="K7421" s="74"/>
    </row>
    <row r="7422" spans="11:11" ht="16.5" customHeight="1" x14ac:dyDescent="0.35">
      <c r="K7422" s="74"/>
    </row>
    <row r="7423" spans="11:11" ht="16.5" customHeight="1" x14ac:dyDescent="0.35">
      <c r="K7423" s="74"/>
    </row>
    <row r="7424" spans="11:11" ht="16.5" customHeight="1" x14ac:dyDescent="0.35">
      <c r="K7424" s="74"/>
    </row>
    <row r="7425" spans="11:11" ht="16.5" customHeight="1" x14ac:dyDescent="0.35">
      <c r="K7425" s="74"/>
    </row>
    <row r="7426" spans="11:11" ht="16.5" customHeight="1" x14ac:dyDescent="0.35">
      <c r="K7426" s="74"/>
    </row>
    <row r="7427" spans="11:11" ht="16.5" customHeight="1" x14ac:dyDescent="0.35">
      <c r="K7427" s="74"/>
    </row>
    <row r="7428" spans="11:11" ht="16.5" customHeight="1" x14ac:dyDescent="0.35">
      <c r="K7428" s="74"/>
    </row>
    <row r="7429" spans="11:11" ht="16.5" customHeight="1" x14ac:dyDescent="0.35">
      <c r="K7429" s="74"/>
    </row>
    <row r="7430" spans="11:11" ht="16.5" customHeight="1" x14ac:dyDescent="0.35">
      <c r="K7430" s="74"/>
    </row>
    <row r="7431" spans="11:11" ht="16.5" customHeight="1" x14ac:dyDescent="0.35">
      <c r="K7431" s="74"/>
    </row>
    <row r="7432" spans="11:11" ht="16.5" customHeight="1" x14ac:dyDescent="0.35">
      <c r="K7432" s="74"/>
    </row>
    <row r="7433" spans="11:11" ht="16.5" customHeight="1" x14ac:dyDescent="0.35">
      <c r="K7433" s="74"/>
    </row>
    <row r="7434" spans="11:11" ht="16.5" customHeight="1" x14ac:dyDescent="0.35">
      <c r="K7434" s="74"/>
    </row>
    <row r="7435" spans="11:11" ht="16.5" customHeight="1" x14ac:dyDescent="0.35">
      <c r="K7435" s="74"/>
    </row>
    <row r="7436" spans="11:11" ht="16.5" customHeight="1" x14ac:dyDescent="0.35">
      <c r="K7436" s="74"/>
    </row>
    <row r="7437" spans="11:11" ht="16.5" customHeight="1" x14ac:dyDescent="0.35">
      <c r="K7437" s="74"/>
    </row>
    <row r="7438" spans="11:11" ht="16.5" customHeight="1" x14ac:dyDescent="0.35">
      <c r="K7438" s="74"/>
    </row>
    <row r="7439" spans="11:11" ht="16.5" customHeight="1" x14ac:dyDescent="0.35">
      <c r="K7439" s="74"/>
    </row>
    <row r="7440" spans="11:11" ht="16.5" customHeight="1" x14ac:dyDescent="0.35">
      <c r="K7440" s="74"/>
    </row>
    <row r="7441" spans="11:11" ht="16.5" customHeight="1" x14ac:dyDescent="0.35">
      <c r="K7441" s="74"/>
    </row>
    <row r="7442" spans="11:11" ht="16.5" customHeight="1" x14ac:dyDescent="0.35">
      <c r="K7442" s="74"/>
    </row>
    <row r="7443" spans="11:11" ht="16.5" customHeight="1" x14ac:dyDescent="0.35">
      <c r="K7443" s="74"/>
    </row>
    <row r="7444" spans="11:11" ht="16.5" customHeight="1" x14ac:dyDescent="0.35">
      <c r="K7444" s="74"/>
    </row>
    <row r="7445" spans="11:11" ht="16.5" customHeight="1" x14ac:dyDescent="0.35">
      <c r="K7445" s="74"/>
    </row>
    <row r="7446" spans="11:11" ht="16.5" customHeight="1" x14ac:dyDescent="0.35">
      <c r="K7446" s="74"/>
    </row>
    <row r="7447" spans="11:11" ht="16.5" customHeight="1" x14ac:dyDescent="0.35">
      <c r="K7447" s="74"/>
    </row>
    <row r="7448" spans="11:11" ht="16.5" customHeight="1" x14ac:dyDescent="0.35">
      <c r="K7448" s="74"/>
    </row>
    <row r="7449" spans="11:11" ht="16.5" customHeight="1" x14ac:dyDescent="0.35">
      <c r="K7449" s="74"/>
    </row>
    <row r="7450" spans="11:11" ht="16.5" customHeight="1" x14ac:dyDescent="0.35">
      <c r="K7450" s="74"/>
    </row>
    <row r="7451" spans="11:11" ht="16.5" customHeight="1" x14ac:dyDescent="0.35">
      <c r="K7451" s="74"/>
    </row>
    <row r="7452" spans="11:11" ht="16.5" customHeight="1" x14ac:dyDescent="0.35">
      <c r="K7452" s="74"/>
    </row>
    <row r="7453" spans="11:11" ht="16.5" customHeight="1" x14ac:dyDescent="0.35">
      <c r="K7453" s="74"/>
    </row>
    <row r="7454" spans="11:11" ht="16.5" customHeight="1" x14ac:dyDescent="0.35">
      <c r="K7454" s="74"/>
    </row>
    <row r="7455" spans="11:11" ht="16.5" customHeight="1" x14ac:dyDescent="0.35">
      <c r="K7455" s="74"/>
    </row>
    <row r="7456" spans="11:11" ht="16.5" customHeight="1" x14ac:dyDescent="0.35">
      <c r="K7456" s="74"/>
    </row>
    <row r="7457" spans="11:11" ht="16.5" customHeight="1" x14ac:dyDescent="0.35">
      <c r="K7457" s="74"/>
    </row>
    <row r="7458" spans="11:11" ht="16.5" customHeight="1" x14ac:dyDescent="0.35">
      <c r="K7458" s="74"/>
    </row>
    <row r="7459" spans="11:11" ht="16.5" customHeight="1" x14ac:dyDescent="0.35">
      <c r="K7459" s="74"/>
    </row>
    <row r="7460" spans="11:11" ht="16.5" customHeight="1" x14ac:dyDescent="0.35">
      <c r="K7460" s="74"/>
    </row>
    <row r="7461" spans="11:11" ht="16.5" customHeight="1" x14ac:dyDescent="0.35">
      <c r="K7461" s="74"/>
    </row>
    <row r="7462" spans="11:11" ht="16.5" customHeight="1" x14ac:dyDescent="0.35">
      <c r="K7462" s="74"/>
    </row>
    <row r="7463" spans="11:11" ht="16.5" customHeight="1" x14ac:dyDescent="0.35">
      <c r="K7463" s="74"/>
    </row>
    <row r="7464" spans="11:11" ht="16.5" customHeight="1" x14ac:dyDescent="0.35">
      <c r="K7464" s="74"/>
    </row>
    <row r="7465" spans="11:11" ht="16.5" customHeight="1" x14ac:dyDescent="0.35">
      <c r="K7465" s="74"/>
    </row>
    <row r="7466" spans="11:11" ht="16.5" customHeight="1" x14ac:dyDescent="0.35">
      <c r="K7466" s="74"/>
    </row>
    <row r="7467" spans="11:11" ht="16.5" customHeight="1" x14ac:dyDescent="0.35">
      <c r="K7467" s="74"/>
    </row>
    <row r="7468" spans="11:11" ht="16.5" customHeight="1" x14ac:dyDescent="0.35">
      <c r="K7468" s="74"/>
    </row>
    <row r="7469" spans="11:11" ht="16.5" customHeight="1" x14ac:dyDescent="0.35">
      <c r="K7469" s="74"/>
    </row>
    <row r="7470" spans="11:11" ht="16.5" customHeight="1" x14ac:dyDescent="0.35">
      <c r="K7470" s="74"/>
    </row>
    <row r="7471" spans="11:11" ht="16.5" customHeight="1" x14ac:dyDescent="0.35">
      <c r="K7471" s="74"/>
    </row>
    <row r="7472" spans="11:11" ht="16.5" customHeight="1" x14ac:dyDescent="0.35">
      <c r="K7472" s="74"/>
    </row>
    <row r="7473" spans="11:11" ht="16.5" customHeight="1" x14ac:dyDescent="0.35">
      <c r="K7473" s="74"/>
    </row>
    <row r="7474" spans="11:11" ht="16.5" customHeight="1" x14ac:dyDescent="0.35">
      <c r="K7474" s="74"/>
    </row>
    <row r="7475" spans="11:11" ht="16.5" customHeight="1" x14ac:dyDescent="0.35">
      <c r="K7475" s="74"/>
    </row>
    <row r="7476" spans="11:11" ht="16.5" customHeight="1" x14ac:dyDescent="0.35">
      <c r="K7476" s="74"/>
    </row>
    <row r="7477" spans="11:11" ht="16.5" customHeight="1" x14ac:dyDescent="0.35">
      <c r="K7477" s="74"/>
    </row>
    <row r="7478" spans="11:11" ht="16.5" customHeight="1" x14ac:dyDescent="0.35">
      <c r="K7478" s="74"/>
    </row>
    <row r="7479" spans="11:11" ht="16.5" customHeight="1" x14ac:dyDescent="0.35">
      <c r="K7479" s="74"/>
    </row>
    <row r="7480" spans="11:11" ht="16.5" customHeight="1" x14ac:dyDescent="0.35">
      <c r="K7480" s="74"/>
    </row>
    <row r="7481" spans="11:11" ht="16.5" customHeight="1" x14ac:dyDescent="0.35">
      <c r="K7481" s="74"/>
    </row>
    <row r="7482" spans="11:11" ht="16.5" customHeight="1" x14ac:dyDescent="0.35">
      <c r="K7482" s="74"/>
    </row>
    <row r="7483" spans="11:11" ht="16.5" customHeight="1" x14ac:dyDescent="0.35">
      <c r="K7483" s="74"/>
    </row>
    <row r="7484" spans="11:11" ht="16.5" customHeight="1" x14ac:dyDescent="0.35">
      <c r="K7484" s="74"/>
    </row>
    <row r="7485" spans="11:11" ht="16.5" customHeight="1" x14ac:dyDescent="0.35">
      <c r="K7485" s="74"/>
    </row>
    <row r="7486" spans="11:11" ht="16.5" customHeight="1" x14ac:dyDescent="0.35">
      <c r="K7486" s="74"/>
    </row>
    <row r="7487" spans="11:11" ht="16.5" customHeight="1" x14ac:dyDescent="0.35">
      <c r="K7487" s="74"/>
    </row>
    <row r="7488" spans="11:11" ht="16.5" customHeight="1" x14ac:dyDescent="0.35">
      <c r="K7488" s="74"/>
    </row>
    <row r="7489" spans="11:11" ht="16.5" customHeight="1" x14ac:dyDescent="0.35">
      <c r="K7489" s="74"/>
    </row>
    <row r="7490" spans="11:11" ht="16.5" customHeight="1" x14ac:dyDescent="0.35">
      <c r="K7490" s="74"/>
    </row>
    <row r="7491" spans="11:11" ht="16.5" customHeight="1" x14ac:dyDescent="0.35">
      <c r="K7491" s="74"/>
    </row>
    <row r="7492" spans="11:11" ht="16.5" customHeight="1" x14ac:dyDescent="0.35">
      <c r="K7492" s="74"/>
    </row>
    <row r="7493" spans="11:11" ht="16.5" customHeight="1" x14ac:dyDescent="0.35">
      <c r="K7493" s="74"/>
    </row>
    <row r="7494" spans="11:11" ht="16.5" customHeight="1" x14ac:dyDescent="0.35">
      <c r="K7494" s="74"/>
    </row>
    <row r="7495" spans="11:11" ht="16.5" customHeight="1" x14ac:dyDescent="0.35">
      <c r="K7495" s="74"/>
    </row>
    <row r="7496" spans="11:11" ht="16.5" customHeight="1" x14ac:dyDescent="0.35">
      <c r="K7496" s="74"/>
    </row>
    <row r="7497" spans="11:11" ht="16.5" customHeight="1" x14ac:dyDescent="0.35">
      <c r="K7497" s="74"/>
    </row>
    <row r="7498" spans="11:11" ht="16.5" customHeight="1" x14ac:dyDescent="0.35">
      <c r="K7498" s="74"/>
    </row>
    <row r="7499" spans="11:11" ht="16.5" customHeight="1" x14ac:dyDescent="0.35">
      <c r="K7499" s="74"/>
    </row>
    <row r="7500" spans="11:11" ht="16.5" customHeight="1" x14ac:dyDescent="0.35">
      <c r="K7500" s="74"/>
    </row>
    <row r="7501" spans="11:11" ht="16.5" customHeight="1" x14ac:dyDescent="0.35">
      <c r="K7501" s="74"/>
    </row>
    <row r="7502" spans="11:11" ht="16.5" customHeight="1" x14ac:dyDescent="0.35">
      <c r="K7502" s="74"/>
    </row>
    <row r="7503" spans="11:11" ht="16.5" customHeight="1" x14ac:dyDescent="0.35">
      <c r="K7503" s="74"/>
    </row>
    <row r="7504" spans="11:11" ht="16.5" customHeight="1" x14ac:dyDescent="0.35">
      <c r="K7504" s="74"/>
    </row>
    <row r="7505" spans="11:11" ht="16.5" customHeight="1" x14ac:dyDescent="0.35">
      <c r="K7505" s="74"/>
    </row>
    <row r="7506" spans="11:11" ht="16.5" customHeight="1" x14ac:dyDescent="0.35">
      <c r="K7506" s="74"/>
    </row>
    <row r="7507" spans="11:11" ht="16.5" customHeight="1" x14ac:dyDescent="0.35">
      <c r="K7507" s="74"/>
    </row>
    <row r="7508" spans="11:11" ht="16.5" customHeight="1" x14ac:dyDescent="0.35">
      <c r="K7508" s="74"/>
    </row>
    <row r="7509" spans="11:11" ht="16.5" customHeight="1" x14ac:dyDescent="0.35">
      <c r="K7509" s="74"/>
    </row>
    <row r="7510" spans="11:11" ht="16.5" customHeight="1" x14ac:dyDescent="0.35">
      <c r="K7510" s="74"/>
    </row>
    <row r="7511" spans="11:11" ht="16.5" customHeight="1" x14ac:dyDescent="0.35">
      <c r="K7511" s="74"/>
    </row>
    <row r="7512" spans="11:11" ht="16.5" customHeight="1" x14ac:dyDescent="0.35">
      <c r="K7512" s="74"/>
    </row>
    <row r="7513" spans="11:11" ht="16.5" customHeight="1" x14ac:dyDescent="0.35">
      <c r="K7513" s="74"/>
    </row>
    <row r="7514" spans="11:11" ht="16.5" customHeight="1" x14ac:dyDescent="0.35">
      <c r="K7514" s="74"/>
    </row>
    <row r="7515" spans="11:11" ht="16.5" customHeight="1" x14ac:dyDescent="0.35">
      <c r="K7515" s="74"/>
    </row>
    <row r="7516" spans="11:11" ht="16.5" customHeight="1" x14ac:dyDescent="0.35">
      <c r="K7516" s="74"/>
    </row>
    <row r="7517" spans="11:11" ht="16.5" customHeight="1" x14ac:dyDescent="0.35">
      <c r="K7517" s="74"/>
    </row>
    <row r="7518" spans="11:11" ht="16.5" customHeight="1" x14ac:dyDescent="0.35">
      <c r="K7518" s="74"/>
    </row>
    <row r="7519" spans="11:11" ht="16.5" customHeight="1" x14ac:dyDescent="0.35">
      <c r="K7519" s="74"/>
    </row>
    <row r="7520" spans="11:11" ht="16.5" customHeight="1" x14ac:dyDescent="0.35">
      <c r="K7520" s="74"/>
    </row>
    <row r="7521" spans="11:11" ht="16.5" customHeight="1" x14ac:dyDescent="0.35">
      <c r="K7521" s="74"/>
    </row>
    <row r="7522" spans="11:11" ht="16.5" customHeight="1" x14ac:dyDescent="0.35">
      <c r="K7522" s="74"/>
    </row>
    <row r="7523" spans="11:11" ht="16.5" customHeight="1" x14ac:dyDescent="0.35">
      <c r="K7523" s="74"/>
    </row>
    <row r="7524" spans="11:11" ht="16.5" customHeight="1" x14ac:dyDescent="0.35">
      <c r="K7524" s="74"/>
    </row>
    <row r="7525" spans="11:11" ht="16.5" customHeight="1" x14ac:dyDescent="0.35">
      <c r="K7525" s="74"/>
    </row>
    <row r="7526" spans="11:11" ht="16.5" customHeight="1" x14ac:dyDescent="0.35">
      <c r="K7526" s="74"/>
    </row>
    <row r="7527" spans="11:11" ht="16.5" customHeight="1" x14ac:dyDescent="0.35">
      <c r="K7527" s="74"/>
    </row>
    <row r="7528" spans="11:11" ht="16.5" customHeight="1" x14ac:dyDescent="0.35">
      <c r="K7528" s="74"/>
    </row>
    <row r="7529" spans="11:11" ht="16.5" customHeight="1" x14ac:dyDescent="0.35">
      <c r="K7529" s="74"/>
    </row>
    <row r="7530" spans="11:11" ht="16.5" customHeight="1" x14ac:dyDescent="0.35">
      <c r="K7530" s="74"/>
    </row>
    <row r="7531" spans="11:11" ht="16.5" customHeight="1" x14ac:dyDescent="0.35">
      <c r="K7531" s="74"/>
    </row>
    <row r="7532" spans="11:11" ht="16.5" customHeight="1" x14ac:dyDescent="0.35">
      <c r="K7532" s="74"/>
    </row>
    <row r="7533" spans="11:11" ht="16.5" customHeight="1" x14ac:dyDescent="0.35">
      <c r="K7533" s="74"/>
    </row>
    <row r="7534" spans="11:11" ht="16.5" customHeight="1" x14ac:dyDescent="0.35">
      <c r="K7534" s="74"/>
    </row>
    <row r="7535" spans="11:11" ht="16.5" customHeight="1" x14ac:dyDescent="0.35">
      <c r="K7535" s="74"/>
    </row>
    <row r="7536" spans="11:11" ht="16.5" customHeight="1" x14ac:dyDescent="0.35">
      <c r="K7536" s="74"/>
    </row>
    <row r="7537" spans="11:11" ht="16.5" customHeight="1" x14ac:dyDescent="0.35">
      <c r="K7537" s="74"/>
    </row>
    <row r="7538" spans="11:11" ht="16.5" customHeight="1" x14ac:dyDescent="0.35">
      <c r="K7538" s="74"/>
    </row>
    <row r="7539" spans="11:11" ht="16.5" customHeight="1" x14ac:dyDescent="0.35">
      <c r="K7539" s="74"/>
    </row>
    <row r="7540" spans="11:11" ht="16.5" customHeight="1" x14ac:dyDescent="0.35">
      <c r="K7540" s="74"/>
    </row>
    <row r="7541" spans="11:11" ht="16.5" customHeight="1" x14ac:dyDescent="0.35">
      <c r="K7541" s="74"/>
    </row>
    <row r="7542" spans="11:11" ht="16.5" customHeight="1" x14ac:dyDescent="0.35">
      <c r="K7542" s="74"/>
    </row>
    <row r="7543" spans="11:11" ht="16.5" customHeight="1" x14ac:dyDescent="0.35">
      <c r="K7543" s="74"/>
    </row>
    <row r="7544" spans="11:11" ht="16.5" customHeight="1" x14ac:dyDescent="0.35">
      <c r="K7544" s="74"/>
    </row>
    <row r="7545" spans="11:11" ht="16.5" customHeight="1" x14ac:dyDescent="0.35">
      <c r="K7545" s="74"/>
    </row>
    <row r="7546" spans="11:11" ht="16.5" customHeight="1" x14ac:dyDescent="0.35">
      <c r="K7546" s="74"/>
    </row>
    <row r="7547" spans="11:11" ht="16.5" customHeight="1" x14ac:dyDescent="0.35">
      <c r="K7547" s="74"/>
    </row>
    <row r="7548" spans="11:11" ht="16.5" customHeight="1" x14ac:dyDescent="0.35">
      <c r="K7548" s="74"/>
    </row>
    <row r="7549" spans="11:11" ht="16.5" customHeight="1" x14ac:dyDescent="0.35">
      <c r="K7549" s="74"/>
    </row>
    <row r="7550" spans="11:11" ht="16.5" customHeight="1" x14ac:dyDescent="0.35">
      <c r="K7550" s="74"/>
    </row>
    <row r="7551" spans="11:11" ht="16.5" customHeight="1" x14ac:dyDescent="0.35">
      <c r="K7551" s="74"/>
    </row>
    <row r="7552" spans="11:11" ht="16.5" customHeight="1" x14ac:dyDescent="0.35">
      <c r="K7552" s="74"/>
    </row>
    <row r="7553" spans="11:11" ht="16.5" customHeight="1" x14ac:dyDescent="0.35">
      <c r="K7553" s="74"/>
    </row>
    <row r="7554" spans="11:11" ht="16.5" customHeight="1" x14ac:dyDescent="0.35">
      <c r="K7554" s="74"/>
    </row>
    <row r="7555" spans="11:11" ht="16.5" customHeight="1" x14ac:dyDescent="0.35">
      <c r="K7555" s="74"/>
    </row>
    <row r="7556" spans="11:11" ht="16.5" customHeight="1" x14ac:dyDescent="0.35">
      <c r="K7556" s="74"/>
    </row>
    <row r="7557" spans="11:11" ht="16.5" customHeight="1" x14ac:dyDescent="0.35">
      <c r="K7557" s="74"/>
    </row>
    <row r="7558" spans="11:11" ht="16.5" customHeight="1" x14ac:dyDescent="0.35">
      <c r="K7558" s="74"/>
    </row>
    <row r="7559" spans="11:11" ht="16.5" customHeight="1" x14ac:dyDescent="0.35">
      <c r="K7559" s="74"/>
    </row>
    <row r="7560" spans="11:11" ht="16.5" customHeight="1" x14ac:dyDescent="0.35">
      <c r="K7560" s="74"/>
    </row>
    <row r="7561" spans="11:11" ht="16.5" customHeight="1" x14ac:dyDescent="0.35">
      <c r="K7561" s="74"/>
    </row>
    <row r="7562" spans="11:11" ht="16.5" customHeight="1" x14ac:dyDescent="0.35">
      <c r="K7562" s="74"/>
    </row>
    <row r="7563" spans="11:11" ht="16.5" customHeight="1" x14ac:dyDescent="0.35">
      <c r="K7563" s="74"/>
    </row>
    <row r="7564" spans="11:11" ht="16.5" customHeight="1" x14ac:dyDescent="0.35">
      <c r="K7564" s="74"/>
    </row>
    <row r="7565" spans="11:11" ht="16.5" customHeight="1" x14ac:dyDescent="0.35">
      <c r="K7565" s="74"/>
    </row>
    <row r="7566" spans="11:11" ht="16.5" customHeight="1" x14ac:dyDescent="0.35">
      <c r="K7566" s="74"/>
    </row>
    <row r="7567" spans="11:11" ht="16.5" customHeight="1" x14ac:dyDescent="0.35">
      <c r="K7567" s="74"/>
    </row>
    <row r="7568" spans="11:11" ht="16.5" customHeight="1" x14ac:dyDescent="0.35">
      <c r="K7568" s="74"/>
    </row>
    <row r="7569" spans="11:11" ht="16.5" customHeight="1" x14ac:dyDescent="0.35">
      <c r="K7569" s="74"/>
    </row>
    <row r="7570" spans="11:11" ht="16.5" customHeight="1" x14ac:dyDescent="0.35">
      <c r="K7570" s="74"/>
    </row>
    <row r="7571" spans="11:11" ht="16.5" customHeight="1" x14ac:dyDescent="0.35">
      <c r="K7571" s="74"/>
    </row>
    <row r="7572" spans="11:11" ht="16.5" customHeight="1" x14ac:dyDescent="0.35">
      <c r="K7572" s="74"/>
    </row>
    <row r="7573" spans="11:11" ht="16.5" customHeight="1" x14ac:dyDescent="0.35">
      <c r="K7573" s="74"/>
    </row>
    <row r="7574" spans="11:11" ht="16.5" customHeight="1" x14ac:dyDescent="0.35">
      <c r="K7574" s="74"/>
    </row>
    <row r="7575" spans="11:11" ht="16.5" customHeight="1" x14ac:dyDescent="0.35">
      <c r="K7575" s="74"/>
    </row>
    <row r="7576" spans="11:11" ht="16.5" customHeight="1" x14ac:dyDescent="0.35">
      <c r="K7576" s="74"/>
    </row>
    <row r="7577" spans="11:11" ht="16.5" customHeight="1" x14ac:dyDescent="0.35">
      <c r="K7577" s="74"/>
    </row>
    <row r="7578" spans="11:11" ht="16.5" customHeight="1" x14ac:dyDescent="0.35">
      <c r="K7578" s="74"/>
    </row>
    <row r="7579" spans="11:11" ht="16.5" customHeight="1" x14ac:dyDescent="0.35">
      <c r="K7579" s="74"/>
    </row>
    <row r="7580" spans="11:11" ht="16.5" customHeight="1" x14ac:dyDescent="0.35">
      <c r="K7580" s="74"/>
    </row>
    <row r="7581" spans="11:11" ht="16.5" customHeight="1" x14ac:dyDescent="0.35">
      <c r="K7581" s="74"/>
    </row>
    <row r="7582" spans="11:11" ht="16.5" customHeight="1" x14ac:dyDescent="0.35">
      <c r="K7582" s="74"/>
    </row>
    <row r="7583" spans="11:11" ht="16.5" customHeight="1" x14ac:dyDescent="0.35">
      <c r="K7583" s="74"/>
    </row>
    <row r="7584" spans="11:11" ht="16.5" customHeight="1" x14ac:dyDescent="0.35">
      <c r="K7584" s="74"/>
    </row>
    <row r="7585" spans="11:11" ht="16.5" customHeight="1" x14ac:dyDescent="0.35">
      <c r="K7585" s="74"/>
    </row>
    <row r="7586" spans="11:11" ht="16.5" customHeight="1" x14ac:dyDescent="0.35">
      <c r="K7586" s="74"/>
    </row>
    <row r="7587" spans="11:11" ht="16.5" customHeight="1" x14ac:dyDescent="0.35">
      <c r="K7587" s="74"/>
    </row>
    <row r="7588" spans="11:11" ht="16.5" customHeight="1" x14ac:dyDescent="0.35">
      <c r="K7588" s="74"/>
    </row>
    <row r="7589" spans="11:11" ht="16.5" customHeight="1" x14ac:dyDescent="0.35">
      <c r="K7589" s="74"/>
    </row>
    <row r="7590" spans="11:11" ht="16.5" customHeight="1" x14ac:dyDescent="0.35">
      <c r="K7590" s="74"/>
    </row>
    <row r="7591" spans="11:11" ht="16.5" customHeight="1" x14ac:dyDescent="0.35">
      <c r="K7591" s="74"/>
    </row>
  </sheetData>
  <mergeCells count="1">
    <mergeCell ref="A1:K4"/>
  </mergeCells>
  <conditionalFormatting sqref="E5:E6">
    <cfRule type="duplicateValues" dxfId="1" priority="1" stopIfTrue="1"/>
    <cfRule type="expression" dxfId="0" priority="2" stopIfTrue="1">
      <formula>AND(COUNTIF($E$8:$E$405, E5)+COUNTIF($E$1:$E$7, E5)+COUNTIF($E$406:$E$65540, E5)&gt;1,NOT(ISBLANK(E5)))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Internal outstanding</vt:lpstr>
      <vt:lpstr>External outstanding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Saswati.Padhi</dc:creator>
  <cp:lastModifiedBy>Charles Kahungu</cp:lastModifiedBy>
  <dcterms:created xsi:type="dcterms:W3CDTF">2023-04-13T06:07:21Z</dcterms:created>
  <dcterms:modified xsi:type="dcterms:W3CDTF">2026-10-28T12:01:19Z</dcterms:modified>
</cp:coreProperties>
</file>